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10F15BC8-6AC4-431D-B964-0BEAE0BB4C2E}" xr6:coauthVersionLast="47" xr6:coauthVersionMax="47" xr10:uidLastSave="{00000000-0000-0000-0000-000000000000}"/>
  <bookViews>
    <workbookView xWindow="-120" yWindow="-120" windowWidth="29040" windowHeight="15720" tabRatio="590" activeTab="1" xr2:uid="{00000000-000D-0000-FFFF-FFFF00000000}"/>
  </bookViews>
  <sheets>
    <sheet name="전체" sheetId="1" r:id="rId1"/>
    <sheet name="26.05월_수정본" sheetId="2" r:id="rId2"/>
    <sheet name="수정본" sheetId="3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'26.05월_수정본'!$A$3:$BG$677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BE651" i="3" l="1"/>
  <c r="AZ651" i="3"/>
  <c r="AE651" i="3"/>
  <c r="V651" i="3"/>
  <c r="O651" i="3" s="1"/>
  <c r="BE650" i="3"/>
  <c r="AZ650" i="3"/>
  <c r="AE650" i="3"/>
  <c r="V650" i="3"/>
  <c r="O650" i="3"/>
  <c r="BE649" i="3"/>
  <c r="AZ649" i="3"/>
  <c r="AE649" i="3"/>
  <c r="O649" i="3" s="1"/>
  <c r="V649" i="3"/>
  <c r="BE648" i="3"/>
  <c r="AZ648" i="3"/>
  <c r="AE648" i="3"/>
  <c r="V648" i="3"/>
  <c r="O648" i="3" s="1"/>
  <c r="BE647" i="3"/>
  <c r="AZ647" i="3"/>
  <c r="AE647" i="3"/>
  <c r="O647" i="3" s="1"/>
  <c r="V647" i="3"/>
  <c r="BE646" i="3"/>
  <c r="AZ646" i="3"/>
  <c r="AE646" i="3"/>
  <c r="V646" i="3"/>
  <c r="O646" i="3" s="1"/>
  <c r="BE645" i="3"/>
  <c r="AZ645" i="3"/>
  <c r="AE645" i="3"/>
  <c r="V645" i="3"/>
  <c r="O645" i="3" s="1"/>
  <c r="BE644" i="3"/>
  <c r="AZ644" i="3"/>
  <c r="AE644" i="3"/>
  <c r="V644" i="3"/>
  <c r="O644" i="3"/>
  <c r="BE643" i="3"/>
  <c r="AZ643" i="3"/>
  <c r="AE643" i="3"/>
  <c r="V643" i="3"/>
  <c r="O643" i="3" s="1"/>
  <c r="BE642" i="3"/>
  <c r="AZ642" i="3"/>
  <c r="O642" i="3" s="1"/>
  <c r="AE642" i="3"/>
  <c r="V642" i="3"/>
  <c r="BE641" i="3"/>
  <c r="AZ641" i="3"/>
  <c r="AE641" i="3"/>
  <c r="O641" i="3" s="1"/>
  <c r="V641" i="3"/>
  <c r="BE640" i="3"/>
  <c r="AZ640" i="3"/>
  <c r="AE640" i="3"/>
  <c r="V640" i="3"/>
  <c r="O640" i="3" s="1"/>
  <c r="BE639" i="3"/>
  <c r="AZ639" i="3"/>
  <c r="AE639" i="3"/>
  <c r="V639" i="3"/>
  <c r="O639" i="3" s="1"/>
  <c r="BE638" i="3"/>
  <c r="AZ638" i="3"/>
  <c r="AE638" i="3"/>
  <c r="V638" i="3"/>
  <c r="O638" i="3"/>
  <c r="BE637" i="3"/>
  <c r="AZ637" i="3"/>
  <c r="AE637" i="3"/>
  <c r="V637" i="3"/>
  <c r="O637" i="3" s="1"/>
  <c r="BE636" i="3"/>
  <c r="AZ636" i="3"/>
  <c r="O636" i="3" s="1"/>
  <c r="AE636" i="3"/>
  <c r="V636" i="3"/>
  <c r="BE635" i="3"/>
  <c r="AZ635" i="3"/>
  <c r="AE635" i="3"/>
  <c r="V635" i="3"/>
  <c r="BE634" i="3"/>
  <c r="AZ634" i="3"/>
  <c r="AE634" i="3"/>
  <c r="V634" i="3"/>
  <c r="O634" i="3" s="1"/>
  <c r="BE633" i="3"/>
  <c r="AZ633" i="3"/>
  <c r="AE633" i="3"/>
  <c r="V633" i="3"/>
  <c r="O633" i="3" s="1"/>
  <c r="BE632" i="3"/>
  <c r="AZ632" i="3"/>
  <c r="AE632" i="3"/>
  <c r="V632" i="3"/>
  <c r="O632" i="3"/>
  <c r="BE631" i="3"/>
  <c r="AZ631" i="3"/>
  <c r="AE631" i="3"/>
  <c r="V631" i="3"/>
  <c r="O631" i="3" s="1"/>
  <c r="BE630" i="3"/>
  <c r="AZ630" i="3"/>
  <c r="O630" i="3" s="1"/>
  <c r="AE630" i="3"/>
  <c r="V630" i="3"/>
  <c r="BE629" i="3"/>
  <c r="AZ629" i="3"/>
  <c r="AE629" i="3"/>
  <c r="O629" i="3" s="1"/>
  <c r="V629" i="3"/>
  <c r="BE628" i="3"/>
  <c r="AZ628" i="3"/>
  <c r="AE628" i="3"/>
  <c r="V628" i="3"/>
  <c r="O628" i="3" s="1"/>
  <c r="BE627" i="3"/>
  <c r="AZ627" i="3"/>
  <c r="AE627" i="3"/>
  <c r="V627" i="3"/>
  <c r="O627" i="3" s="1"/>
  <c r="BE626" i="3"/>
  <c r="AZ626" i="3"/>
  <c r="AE626" i="3"/>
  <c r="V626" i="3"/>
  <c r="O626" i="3"/>
  <c r="BE625" i="3"/>
  <c r="AZ625" i="3"/>
  <c r="AE625" i="3"/>
  <c r="V625" i="3"/>
  <c r="O625" i="3" s="1"/>
  <c r="BE624" i="3"/>
  <c r="AZ624" i="3"/>
  <c r="O624" i="3" s="1"/>
  <c r="AE624" i="3"/>
  <c r="V624" i="3"/>
  <c r="BE623" i="3"/>
  <c r="AZ623" i="3"/>
  <c r="AE623" i="3"/>
  <c r="V623" i="3"/>
  <c r="BE622" i="3"/>
  <c r="AZ622" i="3"/>
  <c r="AE622" i="3"/>
  <c r="V622" i="3"/>
  <c r="O622" i="3" s="1"/>
  <c r="BE621" i="3"/>
  <c r="AZ621" i="3"/>
  <c r="AE621" i="3"/>
  <c r="V621" i="3"/>
  <c r="O621" i="3" s="1"/>
  <c r="BE620" i="3"/>
  <c r="AZ620" i="3"/>
  <c r="AE620" i="3"/>
  <c r="V620" i="3"/>
  <c r="O620" i="3"/>
  <c r="BE619" i="3"/>
  <c r="AZ619" i="3"/>
  <c r="AE619" i="3"/>
  <c r="V619" i="3"/>
  <c r="O619" i="3" s="1"/>
  <c r="BE618" i="3"/>
  <c r="AZ618" i="3"/>
  <c r="AE618" i="3"/>
  <c r="V618" i="3"/>
  <c r="O618" i="3" s="1"/>
  <c r="BE617" i="3"/>
  <c r="AZ617" i="3"/>
  <c r="AE617" i="3"/>
  <c r="V617" i="3"/>
  <c r="O617" i="3" s="1"/>
  <c r="BE616" i="3"/>
  <c r="AZ616" i="3"/>
  <c r="AE616" i="3"/>
  <c r="V616" i="3"/>
  <c r="BE615" i="3"/>
  <c r="AZ615" i="3"/>
  <c r="AE615" i="3"/>
  <c r="V615" i="3"/>
  <c r="O615" i="3" s="1"/>
  <c r="BE614" i="3"/>
  <c r="AZ614" i="3"/>
  <c r="AE614" i="3"/>
  <c r="V614" i="3"/>
  <c r="O614" i="3"/>
  <c r="BE613" i="3"/>
  <c r="AZ613" i="3"/>
  <c r="AE613" i="3"/>
  <c r="V613" i="3"/>
  <c r="O613" i="3" s="1"/>
  <c r="BE612" i="3"/>
  <c r="AZ612" i="3"/>
  <c r="AE612" i="3"/>
  <c r="V612" i="3"/>
  <c r="O612" i="3" s="1"/>
  <c r="BE611" i="3"/>
  <c r="AZ611" i="3"/>
  <c r="AE611" i="3"/>
  <c r="V611" i="3"/>
  <c r="O611" i="3" s="1"/>
  <c r="BE610" i="3"/>
  <c r="AZ610" i="3"/>
  <c r="AE610" i="3"/>
  <c r="V610" i="3"/>
  <c r="O610" i="3" s="1"/>
  <c r="BE609" i="3"/>
  <c r="AZ609" i="3"/>
  <c r="AE609" i="3"/>
  <c r="V609" i="3"/>
  <c r="O609" i="3" s="1"/>
  <c r="BE608" i="3"/>
  <c r="AZ608" i="3"/>
  <c r="AE608" i="3"/>
  <c r="V608" i="3"/>
  <c r="O608" i="3"/>
  <c r="BE607" i="3"/>
  <c r="AZ607" i="3"/>
  <c r="AE607" i="3"/>
  <c r="V607" i="3"/>
  <c r="O607" i="3" s="1"/>
  <c r="BE606" i="3"/>
  <c r="AZ606" i="3"/>
  <c r="AE606" i="3"/>
  <c r="V606" i="3"/>
  <c r="O606" i="3" s="1"/>
  <c r="BE605" i="3"/>
  <c r="AZ605" i="3"/>
  <c r="AE605" i="3"/>
  <c r="V605" i="3"/>
  <c r="O605" i="3" s="1"/>
  <c r="BE604" i="3"/>
  <c r="AZ604" i="3"/>
  <c r="AE604" i="3"/>
  <c r="V604" i="3"/>
  <c r="O604" i="3" s="1"/>
  <c r="BE603" i="3"/>
  <c r="AZ603" i="3"/>
  <c r="AE603" i="3"/>
  <c r="V603" i="3"/>
  <c r="O603" i="3" s="1"/>
  <c r="BE602" i="3"/>
  <c r="AZ602" i="3"/>
  <c r="AE602" i="3"/>
  <c r="V602" i="3"/>
  <c r="O602" i="3"/>
  <c r="BE601" i="3"/>
  <c r="AZ601" i="3"/>
  <c r="AE601" i="3"/>
  <c r="V601" i="3"/>
  <c r="O601" i="3"/>
  <c r="BE600" i="3"/>
  <c r="AZ600" i="3"/>
  <c r="AE600" i="3"/>
  <c r="V600" i="3"/>
  <c r="O600" i="3" s="1"/>
  <c r="BE599" i="3"/>
  <c r="AZ599" i="3"/>
  <c r="AE599" i="3"/>
  <c r="V599" i="3"/>
  <c r="BE598" i="3"/>
  <c r="AZ598" i="3"/>
  <c r="AE598" i="3"/>
  <c r="V598" i="3"/>
  <c r="O598" i="3" s="1"/>
  <c r="BE597" i="3"/>
  <c r="AZ597" i="3"/>
  <c r="AE597" i="3"/>
  <c r="V597" i="3"/>
  <c r="O597" i="3" s="1"/>
  <c r="BE596" i="3"/>
  <c r="AZ596" i="3"/>
  <c r="AE596" i="3"/>
  <c r="V596" i="3"/>
  <c r="O596" i="3"/>
  <c r="BE595" i="3"/>
  <c r="AZ595" i="3"/>
  <c r="AE595" i="3"/>
  <c r="V595" i="3"/>
  <c r="O595" i="3"/>
  <c r="BE594" i="3"/>
  <c r="AZ594" i="3"/>
  <c r="AE594" i="3"/>
  <c r="V594" i="3"/>
  <c r="O594" i="3" s="1"/>
  <c r="BE593" i="3"/>
  <c r="AZ593" i="3"/>
  <c r="AE593" i="3"/>
  <c r="V593" i="3"/>
  <c r="O593" i="3" s="1"/>
  <c r="BE592" i="3"/>
  <c r="AZ592" i="3"/>
  <c r="AE592" i="3"/>
  <c r="V592" i="3"/>
  <c r="BE591" i="3"/>
  <c r="AZ591" i="3"/>
  <c r="AE591" i="3"/>
  <c r="V591" i="3"/>
  <c r="O591" i="3" s="1"/>
  <c r="BE590" i="3"/>
  <c r="AZ590" i="3"/>
  <c r="AE590" i="3"/>
  <c r="V590" i="3"/>
  <c r="O590" i="3"/>
  <c r="BE589" i="3"/>
  <c r="AZ589" i="3"/>
  <c r="AE589" i="3"/>
  <c r="V589" i="3"/>
  <c r="O589" i="3"/>
  <c r="BE588" i="3"/>
  <c r="AZ588" i="3"/>
  <c r="AE588" i="3"/>
  <c r="V588" i="3"/>
  <c r="O588" i="3" s="1"/>
  <c r="BE587" i="3"/>
  <c r="AZ587" i="3"/>
  <c r="AE587" i="3"/>
  <c r="O587" i="3" s="1"/>
  <c r="V587" i="3"/>
  <c r="BE586" i="3"/>
  <c r="AZ586" i="3"/>
  <c r="AE586" i="3"/>
  <c r="V586" i="3"/>
  <c r="O586" i="3" s="1"/>
  <c r="BE585" i="3"/>
  <c r="AZ585" i="3"/>
  <c r="AE585" i="3"/>
  <c r="V585" i="3"/>
  <c r="O585" i="3" s="1"/>
  <c r="BE584" i="3"/>
  <c r="AZ584" i="3"/>
  <c r="AE584" i="3"/>
  <c r="V584" i="3"/>
  <c r="O584" i="3"/>
  <c r="BE583" i="3"/>
  <c r="AZ583" i="3"/>
  <c r="AE583" i="3"/>
  <c r="V583" i="3"/>
  <c r="O583" i="3"/>
  <c r="BE582" i="3"/>
  <c r="AZ582" i="3"/>
  <c r="AE582" i="3"/>
  <c r="V582" i="3"/>
  <c r="O582" i="3" s="1"/>
  <c r="BE581" i="3"/>
  <c r="AZ581" i="3"/>
  <c r="AE581" i="3"/>
  <c r="V581" i="3"/>
  <c r="BE580" i="3"/>
  <c r="AZ580" i="3"/>
  <c r="AE580" i="3"/>
  <c r="V580" i="3"/>
  <c r="O580" i="3" s="1"/>
  <c r="BE579" i="3"/>
  <c r="AZ579" i="3"/>
  <c r="AE579" i="3"/>
  <c r="V579" i="3"/>
  <c r="O579" i="3" s="1"/>
  <c r="O578" i="3"/>
  <c r="BE577" i="3"/>
  <c r="AZ577" i="3"/>
  <c r="AE577" i="3"/>
  <c r="V577" i="3"/>
  <c r="O577" i="3" s="1"/>
  <c r="BE576" i="3"/>
  <c r="AZ576" i="3"/>
  <c r="AE576" i="3"/>
  <c r="V576" i="3"/>
  <c r="O576" i="3"/>
  <c r="BE575" i="3"/>
  <c r="AZ575" i="3"/>
  <c r="AE575" i="3"/>
  <c r="V575" i="3"/>
  <c r="O575" i="3"/>
  <c r="BE574" i="3"/>
  <c r="AZ574" i="3"/>
  <c r="AE574" i="3"/>
  <c r="V574" i="3"/>
  <c r="O574" i="3" s="1"/>
  <c r="BE573" i="3"/>
  <c r="AZ573" i="3"/>
  <c r="AE573" i="3"/>
  <c r="V573" i="3"/>
  <c r="BE572" i="3"/>
  <c r="AZ572" i="3"/>
  <c r="AE572" i="3"/>
  <c r="V572" i="3"/>
  <c r="O572" i="3" s="1"/>
  <c r="BE571" i="3"/>
  <c r="AZ571" i="3"/>
  <c r="AE571" i="3"/>
  <c r="V571" i="3"/>
  <c r="O571" i="3" s="1"/>
  <c r="BE570" i="3"/>
  <c r="AZ570" i="3"/>
  <c r="AE570" i="3"/>
  <c r="V570" i="3"/>
  <c r="O570" i="3"/>
  <c r="BE569" i="3"/>
  <c r="AZ569" i="3"/>
  <c r="AE569" i="3"/>
  <c r="V569" i="3"/>
  <c r="O569" i="3"/>
  <c r="BE568" i="3"/>
  <c r="AZ568" i="3"/>
  <c r="AE568" i="3"/>
  <c r="V568" i="3"/>
  <c r="O568" i="3" s="1"/>
  <c r="BE567" i="3"/>
  <c r="AZ567" i="3"/>
  <c r="AE567" i="3"/>
  <c r="V567" i="3"/>
  <c r="O567" i="3" s="1"/>
  <c r="BE566" i="3"/>
  <c r="AZ566" i="3"/>
  <c r="AE566" i="3"/>
  <c r="V566" i="3"/>
  <c r="O566" i="3" s="1"/>
  <c r="BE564" i="3"/>
  <c r="AZ564" i="3"/>
  <c r="AE564" i="3"/>
  <c r="V564" i="3"/>
  <c r="O564" i="3" s="1"/>
  <c r="BE563" i="3"/>
  <c r="AZ563" i="3"/>
  <c r="AE563" i="3"/>
  <c r="V563" i="3"/>
  <c r="O563" i="3"/>
  <c r="BE562" i="3"/>
  <c r="AZ562" i="3"/>
  <c r="AE562" i="3"/>
  <c r="V562" i="3"/>
  <c r="O562" i="3"/>
  <c r="BE561" i="3"/>
  <c r="AZ561" i="3"/>
  <c r="AE561" i="3"/>
  <c r="V561" i="3"/>
  <c r="O561" i="3" s="1"/>
  <c r="BE560" i="3"/>
  <c r="AZ560" i="3"/>
  <c r="AE560" i="3"/>
  <c r="V560" i="3"/>
  <c r="O560" i="3" s="1"/>
  <c r="BE559" i="3"/>
  <c r="AZ559" i="3"/>
  <c r="AE559" i="3"/>
  <c r="V559" i="3"/>
  <c r="O559" i="3" s="1"/>
  <c r="BE558" i="3"/>
  <c r="AZ558" i="3"/>
  <c r="AE558" i="3"/>
  <c r="V558" i="3"/>
  <c r="O558" i="3" s="1"/>
  <c r="BE557" i="3"/>
  <c r="AZ557" i="3"/>
  <c r="AE557" i="3"/>
  <c r="V557" i="3"/>
  <c r="O557" i="3"/>
  <c r="BE556" i="3"/>
  <c r="AZ556" i="3"/>
  <c r="AE556" i="3"/>
  <c r="V556" i="3"/>
  <c r="O556" i="3"/>
  <c r="BE555" i="3"/>
  <c r="AZ555" i="3"/>
  <c r="AE555" i="3"/>
  <c r="V555" i="3"/>
  <c r="O555" i="3" s="1"/>
  <c r="BE554" i="3"/>
  <c r="AZ554" i="3"/>
  <c r="AE554" i="3"/>
  <c r="V554" i="3"/>
  <c r="BE553" i="3"/>
  <c r="AZ553" i="3"/>
  <c r="AE553" i="3"/>
  <c r="V553" i="3"/>
  <c r="O553" i="3" s="1"/>
  <c r="BE552" i="3"/>
  <c r="AZ552" i="3"/>
  <c r="AE552" i="3"/>
  <c r="V552" i="3"/>
  <c r="O552" i="3" s="1"/>
  <c r="BE551" i="3"/>
  <c r="AZ551" i="3"/>
  <c r="AE551" i="3"/>
  <c r="V551" i="3"/>
  <c r="O551" i="3"/>
  <c r="BE550" i="3"/>
  <c r="AZ550" i="3"/>
  <c r="AE550" i="3"/>
  <c r="V550" i="3"/>
  <c r="O550" i="3"/>
  <c r="BE549" i="3"/>
  <c r="AZ549" i="3"/>
  <c r="O549" i="3" s="1"/>
  <c r="AE549" i="3"/>
  <c r="V549" i="3"/>
  <c r="BE548" i="3"/>
  <c r="AZ548" i="3"/>
  <c r="AE548" i="3"/>
  <c r="V548" i="3"/>
  <c r="O548" i="3" s="1"/>
  <c r="BE547" i="3"/>
  <c r="AZ547" i="3"/>
  <c r="AE547" i="3"/>
  <c r="V547" i="3"/>
  <c r="O547" i="3" s="1"/>
  <c r="BE546" i="3"/>
  <c r="AZ546" i="3"/>
  <c r="AE546" i="3"/>
  <c r="V546" i="3"/>
  <c r="O546" i="3" s="1"/>
  <c r="BE545" i="3"/>
  <c r="AZ545" i="3"/>
  <c r="AE545" i="3"/>
  <c r="V545" i="3"/>
  <c r="O545" i="3"/>
  <c r="BE544" i="3"/>
  <c r="AZ544" i="3"/>
  <c r="AE544" i="3"/>
  <c r="V544" i="3"/>
  <c r="O544" i="3"/>
  <c r="BE543" i="3"/>
  <c r="AZ543" i="3"/>
  <c r="AE543" i="3"/>
  <c r="V543" i="3"/>
  <c r="O543" i="3" s="1"/>
  <c r="BE542" i="3"/>
  <c r="AZ542" i="3"/>
  <c r="AE542" i="3"/>
  <c r="V542" i="3"/>
  <c r="O542" i="3" s="1"/>
  <c r="BE541" i="3"/>
  <c r="AZ541" i="3"/>
  <c r="AE541" i="3"/>
  <c r="V541" i="3"/>
  <c r="O541" i="3" s="1"/>
  <c r="BE540" i="3"/>
  <c r="AZ540" i="3"/>
  <c r="AE540" i="3"/>
  <c r="V540" i="3"/>
  <c r="O540" i="3" s="1"/>
  <c r="BE539" i="3"/>
  <c r="AZ539" i="3"/>
  <c r="AE539" i="3"/>
  <c r="V539" i="3"/>
  <c r="O539" i="3"/>
  <c r="BE538" i="3"/>
  <c r="AZ538" i="3"/>
  <c r="AE538" i="3"/>
  <c r="V538" i="3"/>
  <c r="O538" i="3"/>
  <c r="BE537" i="3"/>
  <c r="AZ537" i="3"/>
  <c r="AE537" i="3"/>
  <c r="V537" i="3"/>
  <c r="O537" i="3" s="1"/>
  <c r="BE536" i="3"/>
  <c r="AZ536" i="3"/>
  <c r="AE536" i="3"/>
  <c r="V536" i="3"/>
  <c r="BE535" i="3"/>
  <c r="AZ535" i="3"/>
  <c r="AE535" i="3"/>
  <c r="V535" i="3"/>
  <c r="O535" i="3" s="1"/>
  <c r="BE534" i="3"/>
  <c r="AZ534" i="3"/>
  <c r="AE534" i="3"/>
  <c r="V534" i="3"/>
  <c r="O534" i="3" s="1"/>
  <c r="BE533" i="3"/>
  <c r="AZ533" i="3"/>
  <c r="AE533" i="3"/>
  <c r="V533" i="3"/>
  <c r="O533" i="3"/>
  <c r="BE532" i="3"/>
  <c r="AZ532" i="3"/>
  <c r="AE532" i="3"/>
  <c r="V532" i="3"/>
  <c r="O532" i="3"/>
  <c r="BE531" i="3"/>
  <c r="AZ531" i="3"/>
  <c r="AE531" i="3"/>
  <c r="V531" i="3"/>
  <c r="O531" i="3" s="1"/>
  <c r="BE530" i="3"/>
  <c r="AZ530" i="3"/>
  <c r="AE530" i="3"/>
  <c r="V530" i="3"/>
  <c r="O530" i="3" s="1"/>
  <c r="BE529" i="3"/>
  <c r="AZ529" i="3"/>
  <c r="AE529" i="3"/>
  <c r="V529" i="3"/>
  <c r="O529" i="3" s="1"/>
  <c r="BE528" i="3"/>
  <c r="AZ528" i="3"/>
  <c r="AE528" i="3"/>
  <c r="V528" i="3"/>
  <c r="O528" i="3" s="1"/>
  <c r="BE527" i="3"/>
  <c r="AZ527" i="3"/>
  <c r="AE527" i="3"/>
  <c r="V527" i="3"/>
  <c r="O527" i="3"/>
  <c r="BE526" i="3"/>
  <c r="AZ526" i="3"/>
  <c r="AE526" i="3"/>
  <c r="V526" i="3"/>
  <c r="O526" i="3"/>
  <c r="BE525" i="3"/>
  <c r="AZ525" i="3"/>
  <c r="AE525" i="3"/>
  <c r="V525" i="3"/>
  <c r="O525" i="3" s="1"/>
  <c r="BE524" i="3"/>
  <c r="AZ524" i="3"/>
  <c r="AE524" i="3"/>
  <c r="V524" i="3"/>
  <c r="O524" i="3" s="1"/>
  <c r="BE523" i="3"/>
  <c r="AZ523" i="3"/>
  <c r="AE523" i="3"/>
  <c r="V523" i="3"/>
  <c r="O523" i="3" s="1"/>
  <c r="BE522" i="3"/>
  <c r="AZ522" i="3"/>
  <c r="AE522" i="3"/>
  <c r="V522" i="3"/>
  <c r="O522" i="3" s="1"/>
  <c r="BE521" i="3"/>
  <c r="AZ521" i="3"/>
  <c r="AE521" i="3"/>
  <c r="V521" i="3"/>
  <c r="O521" i="3"/>
  <c r="BE520" i="3"/>
  <c r="AZ520" i="3"/>
  <c r="AE520" i="3"/>
  <c r="V520" i="3"/>
  <c r="O520" i="3"/>
  <c r="BE519" i="3"/>
  <c r="AZ519" i="3"/>
  <c r="AE519" i="3"/>
  <c r="V519" i="3"/>
  <c r="O519" i="3" s="1"/>
  <c r="BE518" i="3"/>
  <c r="AZ518" i="3"/>
  <c r="AE518" i="3"/>
  <c r="V518" i="3"/>
  <c r="BE517" i="3"/>
  <c r="AZ517" i="3"/>
  <c r="AE517" i="3"/>
  <c r="V517" i="3"/>
  <c r="O517" i="3" s="1"/>
  <c r="BE516" i="3"/>
  <c r="AZ516" i="3"/>
  <c r="AE516" i="3"/>
  <c r="V516" i="3"/>
  <c r="O516" i="3" s="1"/>
  <c r="BE515" i="3"/>
  <c r="AZ515" i="3"/>
  <c r="AE515" i="3"/>
  <c r="V515" i="3"/>
  <c r="O515" i="3"/>
  <c r="BE514" i="3"/>
  <c r="AZ514" i="3"/>
  <c r="AE514" i="3"/>
  <c r="V514" i="3"/>
  <c r="O514" i="3"/>
  <c r="BE513" i="3"/>
  <c r="AZ513" i="3"/>
  <c r="O513" i="3" s="1"/>
  <c r="AE513" i="3"/>
  <c r="V513" i="3"/>
  <c r="BE512" i="3"/>
  <c r="AZ512" i="3"/>
  <c r="AE512" i="3"/>
  <c r="V512" i="3"/>
  <c r="O512" i="3" s="1"/>
  <c r="BE511" i="3"/>
  <c r="AZ511" i="3"/>
  <c r="AE511" i="3"/>
  <c r="V511" i="3"/>
  <c r="O511" i="3" s="1"/>
  <c r="BE510" i="3"/>
  <c r="AZ510" i="3"/>
  <c r="AE510" i="3"/>
  <c r="V510" i="3"/>
  <c r="O510" i="3" s="1"/>
  <c r="BE509" i="3"/>
  <c r="AZ509" i="3"/>
  <c r="AE509" i="3"/>
  <c r="V509" i="3"/>
  <c r="O509" i="3"/>
  <c r="BE508" i="3"/>
  <c r="AZ508" i="3"/>
  <c r="AE508" i="3"/>
  <c r="V508" i="3"/>
  <c r="O508" i="3"/>
  <c r="BE507" i="3"/>
  <c r="AZ507" i="3"/>
  <c r="O507" i="3" s="1"/>
  <c r="AE507" i="3"/>
  <c r="V507" i="3"/>
  <c r="BE506" i="3"/>
  <c r="AZ506" i="3"/>
  <c r="AE506" i="3"/>
  <c r="V506" i="3"/>
  <c r="O506" i="3" s="1"/>
  <c r="BE505" i="3"/>
  <c r="AZ505" i="3"/>
  <c r="AE505" i="3"/>
  <c r="V505" i="3"/>
  <c r="O505" i="3" s="1"/>
  <c r="BE504" i="3"/>
  <c r="AZ504" i="3"/>
  <c r="AE504" i="3"/>
  <c r="V504" i="3"/>
  <c r="O504" i="3" s="1"/>
  <c r="BE503" i="3"/>
  <c r="AZ503" i="3"/>
  <c r="AE503" i="3"/>
  <c r="V503" i="3"/>
  <c r="O503" i="3"/>
  <c r="BE502" i="3"/>
  <c r="AZ502" i="3"/>
  <c r="AE502" i="3"/>
  <c r="V502" i="3"/>
  <c r="O502" i="3"/>
  <c r="BE501" i="3"/>
  <c r="AZ501" i="3"/>
  <c r="O501" i="3" s="1"/>
  <c r="AE501" i="3"/>
  <c r="V501" i="3"/>
  <c r="BE500" i="3"/>
  <c r="AZ500" i="3"/>
  <c r="AE500" i="3"/>
  <c r="V500" i="3"/>
  <c r="BE499" i="3"/>
  <c r="AZ499" i="3"/>
  <c r="AE499" i="3"/>
  <c r="V499" i="3"/>
  <c r="O499" i="3" s="1"/>
  <c r="BE498" i="3"/>
  <c r="AZ498" i="3"/>
  <c r="AE498" i="3"/>
  <c r="V498" i="3"/>
  <c r="O498" i="3" s="1"/>
  <c r="BE497" i="3"/>
  <c r="AZ497" i="3"/>
  <c r="AE497" i="3"/>
  <c r="V497" i="3"/>
  <c r="O497" i="3"/>
  <c r="BE496" i="3"/>
  <c r="AZ496" i="3"/>
  <c r="AE496" i="3"/>
  <c r="V496" i="3"/>
  <c r="O496" i="3"/>
  <c r="BE495" i="3"/>
  <c r="AZ495" i="3"/>
  <c r="O495" i="3" s="1"/>
  <c r="AE495" i="3"/>
  <c r="V495" i="3"/>
  <c r="BE494" i="3"/>
  <c r="AZ494" i="3"/>
  <c r="AE494" i="3"/>
  <c r="V494" i="3"/>
  <c r="O494" i="3" s="1"/>
  <c r="BE493" i="3"/>
  <c r="AZ493" i="3"/>
  <c r="AE493" i="3"/>
  <c r="V493" i="3"/>
  <c r="O493" i="3" s="1"/>
  <c r="BE492" i="3"/>
  <c r="AZ492" i="3"/>
  <c r="AE492" i="3"/>
  <c r="V492" i="3"/>
  <c r="O492" i="3" s="1"/>
  <c r="BE491" i="3"/>
  <c r="AZ491" i="3"/>
  <c r="AE491" i="3"/>
  <c r="V491" i="3"/>
  <c r="O491" i="3"/>
  <c r="BE490" i="3"/>
  <c r="AZ490" i="3"/>
  <c r="AE490" i="3"/>
  <c r="V490" i="3"/>
  <c r="O490" i="3"/>
  <c r="BE489" i="3"/>
  <c r="AZ489" i="3"/>
  <c r="O489" i="3" s="1"/>
  <c r="AE489" i="3"/>
  <c r="V489" i="3"/>
  <c r="BE488" i="3"/>
  <c r="AZ488" i="3"/>
  <c r="AE488" i="3"/>
  <c r="V488" i="3"/>
  <c r="BE487" i="3"/>
  <c r="AZ487" i="3"/>
  <c r="AE487" i="3"/>
  <c r="V487" i="3"/>
  <c r="O487" i="3" s="1"/>
  <c r="BE486" i="3"/>
  <c r="AZ486" i="3"/>
  <c r="AE486" i="3"/>
  <c r="V486" i="3"/>
  <c r="O486" i="3" s="1"/>
  <c r="BE485" i="3"/>
  <c r="AZ485" i="3"/>
  <c r="AE485" i="3"/>
  <c r="V485" i="3"/>
  <c r="O485" i="3"/>
  <c r="BE484" i="3"/>
  <c r="AZ484" i="3"/>
  <c r="AE484" i="3"/>
  <c r="V484" i="3"/>
  <c r="O484" i="3"/>
  <c r="BE483" i="3"/>
  <c r="AZ483" i="3"/>
  <c r="O483" i="3" s="1"/>
  <c r="AE483" i="3"/>
  <c r="V483" i="3"/>
  <c r="BE482" i="3"/>
  <c r="AZ482" i="3"/>
  <c r="AE482" i="3"/>
  <c r="V482" i="3"/>
  <c r="BE481" i="3"/>
  <c r="AZ481" i="3"/>
  <c r="AE481" i="3"/>
  <c r="V481" i="3"/>
  <c r="O481" i="3" s="1"/>
  <c r="BE480" i="3"/>
  <c r="AZ480" i="3"/>
  <c r="AE480" i="3"/>
  <c r="V480" i="3"/>
  <c r="O480" i="3" s="1"/>
  <c r="BE479" i="3"/>
  <c r="AZ479" i="3"/>
  <c r="AE479" i="3"/>
  <c r="V479" i="3"/>
  <c r="O479" i="3"/>
  <c r="BE478" i="3"/>
  <c r="AZ478" i="3"/>
  <c r="AE478" i="3"/>
  <c r="V478" i="3"/>
  <c r="O478" i="3"/>
  <c r="BE477" i="3"/>
  <c r="AZ477" i="3"/>
  <c r="AE477" i="3"/>
  <c r="V477" i="3"/>
  <c r="O477" i="3"/>
  <c r="BE476" i="3"/>
  <c r="AZ476" i="3"/>
  <c r="AE476" i="3"/>
  <c r="O476" i="3" s="1"/>
  <c r="V476" i="3"/>
  <c r="BE475" i="3"/>
  <c r="AZ475" i="3"/>
  <c r="AE475" i="3"/>
  <c r="V475" i="3"/>
  <c r="O475" i="3" s="1"/>
  <c r="BE474" i="3"/>
  <c r="AZ474" i="3"/>
  <c r="AE474" i="3"/>
  <c r="V474" i="3"/>
  <c r="O474" i="3" s="1"/>
  <c r="BE473" i="3"/>
  <c r="AZ473" i="3"/>
  <c r="AE473" i="3"/>
  <c r="V473" i="3"/>
  <c r="O473" i="3"/>
  <c r="BE472" i="3"/>
  <c r="AZ472" i="3"/>
  <c r="AE472" i="3"/>
  <c r="V472" i="3"/>
  <c r="O472" i="3"/>
  <c r="BE471" i="3"/>
  <c r="AZ471" i="3"/>
  <c r="AE471" i="3"/>
  <c r="V471" i="3"/>
  <c r="O471" i="3"/>
  <c r="BE470" i="3"/>
  <c r="AZ470" i="3"/>
  <c r="AE470" i="3"/>
  <c r="V470" i="3"/>
  <c r="BE469" i="3"/>
  <c r="AZ469" i="3"/>
  <c r="AE469" i="3"/>
  <c r="V469" i="3"/>
  <c r="O469" i="3" s="1"/>
  <c r="BE468" i="3"/>
  <c r="AZ468" i="3"/>
  <c r="AE468" i="3"/>
  <c r="V468" i="3"/>
  <c r="O468" i="3" s="1"/>
  <c r="BE467" i="3"/>
  <c r="AZ467" i="3"/>
  <c r="AE467" i="3"/>
  <c r="V467" i="3"/>
  <c r="O467" i="3"/>
  <c r="BE466" i="3"/>
  <c r="AZ466" i="3"/>
  <c r="AE466" i="3"/>
  <c r="V466" i="3"/>
  <c r="O466" i="3"/>
  <c r="BE465" i="3"/>
  <c r="AZ465" i="3"/>
  <c r="AE465" i="3"/>
  <c r="V465" i="3"/>
  <c r="O465" i="3"/>
  <c r="BE464" i="3"/>
  <c r="AZ464" i="3"/>
  <c r="AE464" i="3"/>
  <c r="V464" i="3"/>
  <c r="O464" i="3" s="1"/>
  <c r="BE463" i="3"/>
  <c r="AZ463" i="3"/>
  <c r="AE463" i="3"/>
  <c r="V463" i="3"/>
  <c r="O463" i="3" s="1"/>
  <c r="BE462" i="3"/>
  <c r="AZ462" i="3"/>
  <c r="AE462" i="3"/>
  <c r="V462" i="3"/>
  <c r="O462" i="3" s="1"/>
  <c r="BE461" i="3"/>
  <c r="AZ461" i="3"/>
  <c r="AE461" i="3"/>
  <c r="V461" i="3"/>
  <c r="O461" i="3"/>
  <c r="BE460" i="3"/>
  <c r="AZ460" i="3"/>
  <c r="AE460" i="3"/>
  <c r="V460" i="3"/>
  <c r="O460" i="3"/>
  <c r="BE459" i="3"/>
  <c r="AZ459" i="3"/>
  <c r="AE459" i="3"/>
  <c r="V459" i="3"/>
  <c r="O459" i="3"/>
  <c r="BE458" i="3"/>
  <c r="AZ458" i="3"/>
  <c r="AE458" i="3"/>
  <c r="V458" i="3"/>
  <c r="BE457" i="3"/>
  <c r="AZ457" i="3"/>
  <c r="AE457" i="3"/>
  <c r="V457" i="3"/>
  <c r="O457" i="3" s="1"/>
  <c r="BE456" i="3"/>
  <c r="AZ456" i="3"/>
  <c r="AE456" i="3"/>
  <c r="V456" i="3"/>
  <c r="O456" i="3" s="1"/>
  <c r="BE455" i="3"/>
  <c r="AZ455" i="3"/>
  <c r="AE455" i="3"/>
  <c r="V455" i="3"/>
  <c r="O455" i="3"/>
  <c r="BE454" i="3"/>
  <c r="AZ454" i="3"/>
  <c r="AE454" i="3"/>
  <c r="V454" i="3"/>
  <c r="O454" i="3"/>
  <c r="BE453" i="3"/>
  <c r="AZ453" i="3"/>
  <c r="AE453" i="3"/>
  <c r="V453" i="3"/>
  <c r="O453" i="3"/>
  <c r="BE452" i="3"/>
  <c r="AZ452" i="3"/>
  <c r="AE452" i="3"/>
  <c r="V452" i="3"/>
  <c r="O452" i="3" s="1"/>
  <c r="BE451" i="3"/>
  <c r="AZ451" i="3"/>
  <c r="AE451" i="3"/>
  <c r="V451" i="3"/>
  <c r="O451" i="3" s="1"/>
  <c r="BE450" i="3"/>
  <c r="AZ450" i="3"/>
  <c r="AE450" i="3"/>
  <c r="V450" i="3"/>
  <c r="O450" i="3" s="1"/>
  <c r="BE449" i="3"/>
  <c r="AZ449" i="3"/>
  <c r="AE449" i="3"/>
  <c r="V449" i="3"/>
  <c r="O449" i="3"/>
  <c r="BE448" i="3"/>
  <c r="AZ448" i="3"/>
  <c r="AE448" i="3"/>
  <c r="V448" i="3"/>
  <c r="O448" i="3"/>
  <c r="BE447" i="3"/>
  <c r="AZ447" i="3"/>
  <c r="AE447" i="3"/>
  <c r="V447" i="3"/>
  <c r="O447" i="3"/>
  <c r="BE446" i="3"/>
  <c r="AZ446" i="3"/>
  <c r="AE446" i="3"/>
  <c r="V446" i="3"/>
  <c r="BE445" i="3"/>
  <c r="AZ445" i="3"/>
  <c r="AE445" i="3"/>
  <c r="V445" i="3"/>
  <c r="O445" i="3" s="1"/>
  <c r="BE444" i="3"/>
  <c r="AZ444" i="3"/>
  <c r="AE444" i="3"/>
  <c r="V444" i="3"/>
  <c r="O444" i="3" s="1"/>
  <c r="BE443" i="3"/>
  <c r="AZ443" i="3"/>
  <c r="AE443" i="3"/>
  <c r="V443" i="3"/>
  <c r="O443" i="3"/>
  <c r="BE442" i="3"/>
  <c r="AZ442" i="3"/>
  <c r="AE442" i="3"/>
  <c r="V442" i="3"/>
  <c r="O442" i="3"/>
  <c r="BE441" i="3"/>
  <c r="AZ441" i="3"/>
  <c r="AE441" i="3"/>
  <c r="V441" i="3"/>
  <c r="O441" i="3"/>
  <c r="BE440" i="3"/>
  <c r="AZ440" i="3"/>
  <c r="AE440" i="3"/>
  <c r="V440" i="3"/>
  <c r="O440" i="3" s="1"/>
  <c r="BE439" i="3"/>
  <c r="AZ439" i="3"/>
  <c r="AE439" i="3"/>
  <c r="V439" i="3"/>
  <c r="O439" i="3" s="1"/>
  <c r="BE438" i="3"/>
  <c r="AZ438" i="3"/>
  <c r="AE438" i="3"/>
  <c r="V438" i="3"/>
  <c r="O438" i="3" s="1"/>
  <c r="BE437" i="3"/>
  <c r="AZ437" i="3"/>
  <c r="AE437" i="3"/>
  <c r="V437" i="3"/>
  <c r="O437" i="3"/>
  <c r="BE436" i="3"/>
  <c r="AZ436" i="3"/>
  <c r="AE436" i="3"/>
  <c r="V436" i="3"/>
  <c r="O436" i="3"/>
  <c r="BE435" i="3"/>
  <c r="AZ435" i="3"/>
  <c r="AE435" i="3"/>
  <c r="V435" i="3"/>
  <c r="O435" i="3"/>
  <c r="BE434" i="3"/>
  <c r="AZ434" i="3"/>
  <c r="AE434" i="3"/>
  <c r="V434" i="3"/>
  <c r="BE433" i="3"/>
  <c r="AZ433" i="3"/>
  <c r="AE433" i="3"/>
  <c r="V433" i="3"/>
  <c r="O433" i="3" s="1"/>
  <c r="BE432" i="3"/>
  <c r="AZ432" i="3"/>
  <c r="AE432" i="3"/>
  <c r="V432" i="3"/>
  <c r="O432" i="3" s="1"/>
  <c r="BE431" i="3"/>
  <c r="AZ431" i="3"/>
  <c r="AE431" i="3"/>
  <c r="V431" i="3"/>
  <c r="O431" i="3"/>
  <c r="BE430" i="3"/>
  <c r="AZ430" i="3"/>
  <c r="AE430" i="3"/>
  <c r="V430" i="3"/>
  <c r="O430" i="3" s="1"/>
  <c r="BE429" i="3"/>
  <c r="AZ429" i="3"/>
  <c r="AE429" i="3"/>
  <c r="V429" i="3"/>
  <c r="O429" i="3"/>
  <c r="BE428" i="3"/>
  <c r="AZ428" i="3"/>
  <c r="AE428" i="3"/>
  <c r="O428" i="3" s="1"/>
  <c r="V428" i="3"/>
  <c r="BE427" i="3"/>
  <c r="AZ427" i="3"/>
  <c r="AE427" i="3"/>
  <c r="V427" i="3"/>
  <c r="O427" i="3" s="1"/>
  <c r="BE426" i="3"/>
  <c r="AZ426" i="3"/>
  <c r="AE426" i="3"/>
  <c r="V426" i="3"/>
  <c r="O426" i="3" s="1"/>
  <c r="BE425" i="3"/>
  <c r="AZ425" i="3"/>
  <c r="AE425" i="3"/>
  <c r="V425" i="3"/>
  <c r="O425" i="3"/>
  <c r="BE424" i="3"/>
  <c r="AZ424" i="3"/>
  <c r="AE424" i="3"/>
  <c r="V424" i="3"/>
  <c r="O424" i="3" s="1"/>
  <c r="BE423" i="3"/>
  <c r="AZ423" i="3"/>
  <c r="AE423" i="3"/>
  <c r="V423" i="3"/>
  <c r="O423" i="3"/>
  <c r="BE422" i="3"/>
  <c r="AZ422" i="3"/>
  <c r="AE422" i="3"/>
  <c r="V422" i="3"/>
  <c r="BE421" i="3"/>
  <c r="AZ421" i="3"/>
  <c r="AE421" i="3"/>
  <c r="V421" i="3"/>
  <c r="O421" i="3" s="1"/>
  <c r="BE420" i="3"/>
  <c r="AZ420" i="3"/>
  <c r="AE420" i="3"/>
  <c r="V420" i="3"/>
  <c r="O420" i="3" s="1"/>
  <c r="BE419" i="3"/>
  <c r="AZ419" i="3"/>
  <c r="AE419" i="3"/>
  <c r="V419" i="3"/>
  <c r="O419" i="3"/>
  <c r="BE418" i="3"/>
  <c r="AZ418" i="3"/>
  <c r="AE418" i="3"/>
  <c r="V418" i="3"/>
  <c r="O418" i="3" s="1"/>
  <c r="BE417" i="3"/>
  <c r="AZ417" i="3"/>
  <c r="AE417" i="3"/>
  <c r="V417" i="3"/>
  <c r="O417" i="3"/>
  <c r="BE416" i="3"/>
  <c r="AZ416" i="3"/>
  <c r="AE416" i="3"/>
  <c r="V416" i="3"/>
  <c r="BE415" i="3"/>
  <c r="AZ415" i="3"/>
  <c r="AE415" i="3"/>
  <c r="V415" i="3"/>
  <c r="O415" i="3" s="1"/>
  <c r="BE414" i="3"/>
  <c r="AZ414" i="3"/>
  <c r="AE414" i="3"/>
  <c r="V414" i="3"/>
  <c r="O414" i="3" s="1"/>
  <c r="BE413" i="3"/>
  <c r="AZ413" i="3"/>
  <c r="AE413" i="3"/>
  <c r="V413" i="3"/>
  <c r="O413" i="3"/>
  <c r="BE412" i="3"/>
  <c r="AZ412" i="3"/>
  <c r="AE412" i="3"/>
  <c r="V412" i="3"/>
  <c r="O412" i="3" s="1"/>
  <c r="BE411" i="3"/>
  <c r="AZ411" i="3"/>
  <c r="AE411" i="3"/>
  <c r="V411" i="3"/>
  <c r="O411" i="3"/>
  <c r="BE410" i="3"/>
  <c r="AZ410" i="3"/>
  <c r="AE410" i="3"/>
  <c r="V410" i="3"/>
  <c r="O410" i="3" s="1"/>
  <c r="BE409" i="3"/>
  <c r="AZ409" i="3"/>
  <c r="AE409" i="3"/>
  <c r="V409" i="3"/>
  <c r="O409" i="3" s="1"/>
  <c r="BE408" i="3"/>
  <c r="AZ408" i="3"/>
  <c r="AE408" i="3"/>
  <c r="V408" i="3"/>
  <c r="O408" i="3" s="1"/>
  <c r="BE407" i="3"/>
  <c r="AZ407" i="3"/>
  <c r="AE407" i="3"/>
  <c r="V407" i="3"/>
  <c r="O407" i="3"/>
  <c r="BE406" i="3"/>
  <c r="AZ406" i="3"/>
  <c r="AE406" i="3"/>
  <c r="V406" i="3"/>
  <c r="O406" i="3" s="1"/>
  <c r="BE405" i="3"/>
  <c r="AZ405" i="3"/>
  <c r="AE405" i="3"/>
  <c r="V405" i="3"/>
  <c r="O405" i="3"/>
  <c r="BE404" i="3"/>
  <c r="AZ404" i="3"/>
  <c r="AE404" i="3"/>
  <c r="V404" i="3"/>
  <c r="O404" i="3" s="1"/>
  <c r="BE403" i="3"/>
  <c r="AZ403" i="3"/>
  <c r="AE403" i="3"/>
  <c r="V403" i="3"/>
  <c r="O403" i="3" s="1"/>
  <c r="BE402" i="3"/>
  <c r="AZ402" i="3"/>
  <c r="AE402" i="3"/>
  <c r="V402" i="3"/>
  <c r="O402" i="3" s="1"/>
  <c r="BE401" i="3"/>
  <c r="AZ401" i="3"/>
  <c r="AE401" i="3"/>
  <c r="V401" i="3"/>
  <c r="O401" i="3"/>
  <c r="BE400" i="3"/>
  <c r="AZ400" i="3"/>
  <c r="AE400" i="3"/>
  <c r="V400" i="3"/>
  <c r="O400" i="3" s="1"/>
  <c r="BE399" i="3"/>
  <c r="AZ399" i="3"/>
  <c r="AE399" i="3"/>
  <c r="V399" i="3"/>
  <c r="O399" i="3"/>
  <c r="BE398" i="3"/>
  <c r="AZ398" i="3"/>
  <c r="AE398" i="3"/>
  <c r="V398" i="3"/>
  <c r="BE397" i="3"/>
  <c r="AZ397" i="3"/>
  <c r="AE397" i="3"/>
  <c r="V397" i="3"/>
  <c r="O397" i="3" s="1"/>
  <c r="BE396" i="3"/>
  <c r="AZ396" i="3"/>
  <c r="AE396" i="3"/>
  <c r="V396" i="3"/>
  <c r="O396" i="3" s="1"/>
  <c r="BE395" i="3"/>
  <c r="AZ395" i="3"/>
  <c r="AE395" i="3"/>
  <c r="V395" i="3"/>
  <c r="O395" i="3"/>
  <c r="BE394" i="3"/>
  <c r="AZ394" i="3"/>
  <c r="AE394" i="3"/>
  <c r="V394" i="3"/>
  <c r="O394" i="3" s="1"/>
  <c r="BE393" i="3"/>
  <c r="AZ393" i="3"/>
  <c r="AE393" i="3"/>
  <c r="V393" i="3"/>
  <c r="O393" i="3"/>
  <c r="BE392" i="3"/>
  <c r="AZ392" i="3"/>
  <c r="AE392" i="3"/>
  <c r="V392" i="3"/>
  <c r="O392" i="3" s="1"/>
  <c r="BE391" i="3"/>
  <c r="AZ391" i="3"/>
  <c r="AE391" i="3"/>
  <c r="O391" i="3" s="1"/>
  <c r="V391" i="3"/>
  <c r="BE390" i="3"/>
  <c r="AZ390" i="3"/>
  <c r="AE390" i="3"/>
  <c r="V390" i="3"/>
  <c r="O390" i="3" s="1"/>
  <c r="BE389" i="3"/>
  <c r="AZ389" i="3"/>
  <c r="AE389" i="3"/>
  <c r="V389" i="3"/>
  <c r="O389" i="3"/>
  <c r="BE388" i="3"/>
  <c r="AZ388" i="3"/>
  <c r="AE388" i="3"/>
  <c r="V388" i="3"/>
  <c r="O388" i="3" s="1"/>
  <c r="BE387" i="3"/>
  <c r="AZ387" i="3"/>
  <c r="AE387" i="3"/>
  <c r="V387" i="3"/>
  <c r="O387" i="3"/>
  <c r="BE386" i="3"/>
  <c r="AZ386" i="3"/>
  <c r="AE386" i="3"/>
  <c r="V386" i="3"/>
  <c r="O386" i="3" s="1"/>
  <c r="BE385" i="3"/>
  <c r="AZ385" i="3"/>
  <c r="AE385" i="3"/>
  <c r="V385" i="3"/>
  <c r="O385" i="3" s="1"/>
  <c r="BE384" i="3"/>
  <c r="AZ384" i="3"/>
  <c r="AE384" i="3"/>
  <c r="V384" i="3"/>
  <c r="O384" i="3" s="1"/>
  <c r="BE383" i="3"/>
  <c r="AZ383" i="3"/>
  <c r="AE383" i="3"/>
  <c r="V383" i="3"/>
  <c r="O383" i="3"/>
  <c r="BE382" i="3"/>
  <c r="AZ382" i="3"/>
  <c r="AE382" i="3"/>
  <c r="V382" i="3"/>
  <c r="O382" i="3" s="1"/>
  <c r="BE381" i="3"/>
  <c r="AZ381" i="3"/>
  <c r="AE381" i="3"/>
  <c r="V381" i="3"/>
  <c r="O381" i="3"/>
  <c r="BE380" i="3"/>
  <c r="AZ380" i="3"/>
  <c r="AE380" i="3"/>
  <c r="V380" i="3"/>
  <c r="BE379" i="3"/>
  <c r="AZ379" i="3"/>
  <c r="AE379" i="3"/>
  <c r="V379" i="3"/>
  <c r="O379" i="3" s="1"/>
  <c r="BE378" i="3"/>
  <c r="AZ378" i="3"/>
  <c r="AE378" i="3"/>
  <c r="V378" i="3"/>
  <c r="O378" i="3" s="1"/>
  <c r="BE377" i="3"/>
  <c r="AZ377" i="3"/>
  <c r="AE377" i="3"/>
  <c r="V377" i="3"/>
  <c r="O377" i="3"/>
  <c r="BE376" i="3"/>
  <c r="AZ376" i="3"/>
  <c r="AE376" i="3"/>
  <c r="V376" i="3"/>
  <c r="O376" i="3" s="1"/>
  <c r="BE375" i="3"/>
  <c r="AZ375" i="3"/>
  <c r="AE375" i="3"/>
  <c r="V375" i="3"/>
  <c r="O375" i="3"/>
  <c r="BE374" i="3"/>
  <c r="AZ374" i="3"/>
  <c r="AE374" i="3"/>
  <c r="V374" i="3"/>
  <c r="O374" i="3" s="1"/>
  <c r="BE373" i="3"/>
  <c r="AZ373" i="3"/>
  <c r="AE373" i="3"/>
  <c r="O373" i="3" s="1"/>
  <c r="V373" i="3"/>
  <c r="BE372" i="3"/>
  <c r="AZ372" i="3"/>
  <c r="AE372" i="3"/>
  <c r="V372" i="3"/>
  <c r="O372" i="3" s="1"/>
  <c r="BE371" i="3"/>
  <c r="AZ371" i="3"/>
  <c r="AE371" i="3"/>
  <c r="V371" i="3"/>
  <c r="O371" i="3"/>
  <c r="BE370" i="3"/>
  <c r="AZ370" i="3"/>
  <c r="AE370" i="3"/>
  <c r="V370" i="3"/>
  <c r="O370" i="3" s="1"/>
  <c r="BE369" i="3"/>
  <c r="AZ369" i="3"/>
  <c r="AE369" i="3"/>
  <c r="V369" i="3"/>
  <c r="O369" i="3"/>
  <c r="BE368" i="3"/>
  <c r="AZ368" i="3"/>
  <c r="AE368" i="3"/>
  <c r="V368" i="3"/>
  <c r="O368" i="3" s="1"/>
  <c r="BE367" i="3"/>
  <c r="AZ367" i="3"/>
  <c r="AE367" i="3"/>
  <c r="O367" i="3" s="1"/>
  <c r="V367" i="3"/>
  <c r="BE366" i="3"/>
  <c r="AZ366" i="3"/>
  <c r="AE366" i="3"/>
  <c r="V366" i="3"/>
  <c r="O366" i="3" s="1"/>
  <c r="BE365" i="3"/>
  <c r="AZ365" i="3"/>
  <c r="AE365" i="3"/>
  <c r="V365" i="3"/>
  <c r="O365" i="3"/>
  <c r="BE364" i="3"/>
  <c r="AZ364" i="3"/>
  <c r="AE364" i="3"/>
  <c r="V364" i="3"/>
  <c r="O364" i="3" s="1"/>
  <c r="BE363" i="3"/>
  <c r="AZ363" i="3"/>
  <c r="AE363" i="3"/>
  <c r="V363" i="3"/>
  <c r="O363" i="3"/>
  <c r="BE362" i="3"/>
  <c r="AZ362" i="3"/>
  <c r="AE362" i="3"/>
  <c r="V362" i="3"/>
  <c r="BE361" i="3"/>
  <c r="AZ361" i="3"/>
  <c r="AE361" i="3"/>
  <c r="V361" i="3"/>
  <c r="O361" i="3" s="1"/>
  <c r="BE360" i="3"/>
  <c r="AZ360" i="3"/>
  <c r="AE360" i="3"/>
  <c r="V360" i="3"/>
  <c r="O360" i="3" s="1"/>
  <c r="BE359" i="3"/>
  <c r="AZ359" i="3"/>
  <c r="AE359" i="3"/>
  <c r="V359" i="3"/>
  <c r="O359" i="3"/>
  <c r="BE358" i="3"/>
  <c r="AZ358" i="3"/>
  <c r="AE358" i="3"/>
  <c r="V358" i="3"/>
  <c r="O358" i="3" s="1"/>
  <c r="BE357" i="3"/>
  <c r="AZ357" i="3"/>
  <c r="AE357" i="3"/>
  <c r="V357" i="3"/>
  <c r="O357" i="3"/>
  <c r="BE356" i="3"/>
  <c r="AZ356" i="3"/>
  <c r="AE356" i="3"/>
  <c r="V356" i="3"/>
  <c r="O356" i="3" s="1"/>
  <c r="BE355" i="3"/>
  <c r="AZ355" i="3"/>
  <c r="AE355" i="3"/>
  <c r="O355" i="3" s="1"/>
  <c r="V355" i="3"/>
  <c r="BE354" i="3"/>
  <c r="AZ354" i="3"/>
  <c r="AE354" i="3"/>
  <c r="V354" i="3"/>
  <c r="O354" i="3" s="1"/>
  <c r="BE353" i="3"/>
  <c r="AZ353" i="3"/>
  <c r="AE353" i="3"/>
  <c r="V353" i="3"/>
  <c r="O353" i="3"/>
  <c r="BE352" i="3"/>
  <c r="AZ352" i="3"/>
  <c r="AE352" i="3"/>
  <c r="V352" i="3"/>
  <c r="O352" i="3" s="1"/>
  <c r="BE351" i="3"/>
  <c r="AZ351" i="3"/>
  <c r="AE351" i="3"/>
  <c r="V351" i="3"/>
  <c r="O351" i="3"/>
  <c r="BE350" i="3"/>
  <c r="AZ350" i="3"/>
  <c r="AE350" i="3"/>
  <c r="V350" i="3"/>
  <c r="O350" i="3" s="1"/>
  <c r="BE349" i="3"/>
  <c r="AZ349" i="3"/>
  <c r="AE349" i="3"/>
  <c r="V349" i="3"/>
  <c r="O349" i="3" s="1"/>
  <c r="BE348" i="3"/>
  <c r="AZ348" i="3"/>
  <c r="AE348" i="3"/>
  <c r="V348" i="3"/>
  <c r="O348" i="3" s="1"/>
  <c r="BE347" i="3"/>
  <c r="AZ347" i="3"/>
  <c r="AE347" i="3"/>
  <c r="V347" i="3"/>
  <c r="O347" i="3"/>
  <c r="BE346" i="3"/>
  <c r="AZ346" i="3"/>
  <c r="AE346" i="3"/>
  <c r="V346" i="3"/>
  <c r="O346" i="3" s="1"/>
  <c r="BE345" i="3"/>
  <c r="AZ345" i="3"/>
  <c r="AE345" i="3"/>
  <c r="V345" i="3"/>
  <c r="O345" i="3"/>
  <c r="BE344" i="3"/>
  <c r="AZ344" i="3"/>
  <c r="AE344" i="3"/>
  <c r="V344" i="3"/>
  <c r="BE343" i="3"/>
  <c r="AZ343" i="3"/>
  <c r="AE343" i="3"/>
  <c r="V343" i="3"/>
  <c r="O343" i="3" s="1"/>
  <c r="BE342" i="3"/>
  <c r="AZ342" i="3"/>
  <c r="AE342" i="3"/>
  <c r="V342" i="3"/>
  <c r="O342" i="3" s="1"/>
  <c r="BE341" i="3"/>
  <c r="AZ341" i="3"/>
  <c r="AE341" i="3"/>
  <c r="V341" i="3"/>
  <c r="O341" i="3"/>
  <c r="BE340" i="3"/>
  <c r="AZ340" i="3"/>
  <c r="AE340" i="3"/>
  <c r="V340" i="3"/>
  <c r="O340" i="3" s="1"/>
  <c r="BE339" i="3"/>
  <c r="AZ339" i="3"/>
  <c r="AE339" i="3"/>
  <c r="V339" i="3"/>
  <c r="O339" i="3"/>
  <c r="BE338" i="3"/>
  <c r="AZ338" i="3"/>
  <c r="AE338" i="3"/>
  <c r="V338" i="3"/>
  <c r="O338" i="3" s="1"/>
  <c r="BE337" i="3"/>
  <c r="AZ337" i="3"/>
  <c r="AE337" i="3"/>
  <c r="V337" i="3"/>
  <c r="O337" i="3" s="1"/>
  <c r="BE336" i="3"/>
  <c r="AZ336" i="3"/>
  <c r="AE336" i="3"/>
  <c r="V336" i="3"/>
  <c r="O336" i="3" s="1"/>
  <c r="BE335" i="3"/>
  <c r="AZ335" i="3"/>
  <c r="AE335" i="3"/>
  <c r="V335" i="3"/>
  <c r="O335" i="3"/>
  <c r="BE334" i="3"/>
  <c r="AZ334" i="3"/>
  <c r="AE334" i="3"/>
  <c r="V334" i="3"/>
  <c r="O334" i="3" s="1"/>
  <c r="BE333" i="3"/>
  <c r="AZ333" i="3"/>
  <c r="AE333" i="3"/>
  <c r="V333" i="3"/>
  <c r="O333" i="3"/>
  <c r="BE332" i="3"/>
  <c r="AZ332" i="3"/>
  <c r="AE332" i="3"/>
  <c r="V332" i="3"/>
  <c r="O332" i="3" s="1"/>
  <c r="BE331" i="3"/>
  <c r="AZ331" i="3"/>
  <c r="AE331" i="3"/>
  <c r="V331" i="3"/>
  <c r="O331" i="3" s="1"/>
  <c r="BE330" i="3"/>
  <c r="AZ330" i="3"/>
  <c r="AE330" i="3"/>
  <c r="V330" i="3"/>
  <c r="O330" i="3" s="1"/>
  <c r="BE329" i="3"/>
  <c r="AZ329" i="3"/>
  <c r="AE329" i="3"/>
  <c r="V329" i="3"/>
  <c r="O329" i="3"/>
  <c r="BE328" i="3"/>
  <c r="AZ328" i="3"/>
  <c r="AE328" i="3"/>
  <c r="V328" i="3"/>
  <c r="O328" i="3" s="1"/>
  <c r="BE327" i="3"/>
  <c r="AZ327" i="3"/>
  <c r="AE327" i="3"/>
  <c r="V327" i="3"/>
  <c r="O327" i="3"/>
  <c r="BE326" i="3"/>
  <c r="AZ326" i="3"/>
  <c r="O326" i="3" s="1"/>
  <c r="AE326" i="3"/>
  <c r="V326" i="3"/>
  <c r="BE325" i="3"/>
  <c r="AZ325" i="3"/>
  <c r="AE325" i="3"/>
  <c r="V325" i="3"/>
  <c r="O325" i="3" s="1"/>
  <c r="BE324" i="3"/>
  <c r="AZ324" i="3"/>
  <c r="AE324" i="3"/>
  <c r="V324" i="3"/>
  <c r="O324" i="3" s="1"/>
  <c r="BE323" i="3"/>
  <c r="AZ323" i="3"/>
  <c r="AE323" i="3"/>
  <c r="V323" i="3"/>
  <c r="O323" i="3"/>
  <c r="BE322" i="3"/>
  <c r="AZ322" i="3"/>
  <c r="AE322" i="3"/>
  <c r="V322" i="3"/>
  <c r="O322" i="3" s="1"/>
  <c r="BE321" i="3"/>
  <c r="AZ321" i="3"/>
  <c r="AE321" i="3"/>
  <c r="V321" i="3"/>
  <c r="O321" i="3"/>
  <c r="BE320" i="3"/>
  <c r="AZ320" i="3"/>
  <c r="O320" i="3" s="1"/>
  <c r="AE320" i="3"/>
  <c r="V320" i="3"/>
  <c r="BE319" i="3"/>
  <c r="AZ319" i="3"/>
  <c r="AE319" i="3"/>
  <c r="O319" i="3" s="1"/>
  <c r="V319" i="3"/>
  <c r="BE318" i="3"/>
  <c r="AZ318" i="3"/>
  <c r="AE318" i="3"/>
  <c r="V318" i="3"/>
  <c r="O318" i="3" s="1"/>
  <c r="BE317" i="3"/>
  <c r="AZ317" i="3"/>
  <c r="AE317" i="3"/>
  <c r="V317" i="3"/>
  <c r="O317" i="3"/>
  <c r="BE316" i="3"/>
  <c r="AZ316" i="3"/>
  <c r="AE316" i="3"/>
  <c r="V316" i="3"/>
  <c r="O316" i="3" s="1"/>
  <c r="BE315" i="3"/>
  <c r="AZ315" i="3"/>
  <c r="AE315" i="3"/>
  <c r="V315" i="3"/>
  <c r="O315" i="3"/>
  <c r="BE314" i="3"/>
  <c r="AZ314" i="3"/>
  <c r="O314" i="3" s="1"/>
  <c r="AE314" i="3"/>
  <c r="V314" i="3"/>
  <c r="BE313" i="3"/>
  <c r="AZ313" i="3"/>
  <c r="AE313" i="3"/>
  <c r="V313" i="3"/>
  <c r="O313" i="3" s="1"/>
  <c r="BE312" i="3"/>
  <c r="AZ312" i="3"/>
  <c r="AE312" i="3"/>
  <c r="V312" i="3"/>
  <c r="O312" i="3" s="1"/>
  <c r="BE311" i="3"/>
  <c r="AZ311" i="3"/>
  <c r="AE311" i="3"/>
  <c r="V311" i="3"/>
  <c r="O311" i="3"/>
  <c r="BE310" i="3"/>
  <c r="AZ310" i="3"/>
  <c r="AE310" i="3"/>
  <c r="V310" i="3"/>
  <c r="O310" i="3" s="1"/>
  <c r="BE309" i="3"/>
  <c r="AZ309" i="3"/>
  <c r="AE309" i="3"/>
  <c r="V309" i="3"/>
  <c r="O309" i="3"/>
  <c r="BE308" i="3"/>
  <c r="AZ308" i="3"/>
  <c r="AE308" i="3"/>
  <c r="V308" i="3"/>
  <c r="BE307" i="3"/>
  <c r="AZ307" i="3"/>
  <c r="AE307" i="3"/>
  <c r="V307" i="3"/>
  <c r="O307" i="3" s="1"/>
  <c r="BE306" i="3"/>
  <c r="AZ306" i="3"/>
  <c r="AE306" i="3"/>
  <c r="V306" i="3"/>
  <c r="O306" i="3" s="1"/>
  <c r="BE305" i="3"/>
  <c r="AZ305" i="3"/>
  <c r="AE305" i="3"/>
  <c r="V305" i="3"/>
  <c r="O305" i="3"/>
  <c r="BE304" i="3"/>
  <c r="AZ304" i="3"/>
  <c r="AE304" i="3"/>
  <c r="V304" i="3"/>
  <c r="O304" i="3" s="1"/>
  <c r="BE303" i="3"/>
  <c r="AZ303" i="3"/>
  <c r="AE303" i="3"/>
  <c r="V303" i="3"/>
  <c r="O303" i="3"/>
  <c r="BE302" i="3"/>
  <c r="AZ302" i="3"/>
  <c r="AE302" i="3"/>
  <c r="V302" i="3"/>
  <c r="O302" i="3" s="1"/>
  <c r="BE301" i="3"/>
  <c r="AZ301" i="3"/>
  <c r="AE301" i="3"/>
  <c r="V301" i="3"/>
  <c r="O301" i="3" s="1"/>
  <c r="BE300" i="3"/>
  <c r="AZ300" i="3"/>
  <c r="AE300" i="3"/>
  <c r="V300" i="3"/>
  <c r="O300" i="3" s="1"/>
  <c r="BE299" i="3"/>
  <c r="AZ299" i="3"/>
  <c r="AE299" i="3"/>
  <c r="V299" i="3"/>
  <c r="O299" i="3"/>
  <c r="BE298" i="3"/>
  <c r="AZ298" i="3"/>
  <c r="AE298" i="3"/>
  <c r="V298" i="3"/>
  <c r="O298" i="3" s="1"/>
  <c r="BE297" i="3"/>
  <c r="AZ297" i="3"/>
  <c r="AE297" i="3"/>
  <c r="V297" i="3"/>
  <c r="O297" i="3"/>
  <c r="BE296" i="3"/>
  <c r="AZ296" i="3"/>
  <c r="O296" i="3" s="1"/>
  <c r="AE296" i="3"/>
  <c r="V296" i="3"/>
  <c r="BE295" i="3"/>
  <c r="AZ295" i="3"/>
  <c r="AE295" i="3"/>
  <c r="V295" i="3"/>
  <c r="O295" i="3" s="1"/>
  <c r="BE294" i="3"/>
  <c r="AZ294" i="3"/>
  <c r="AE294" i="3"/>
  <c r="V294" i="3"/>
  <c r="O294" i="3" s="1"/>
  <c r="BE293" i="3"/>
  <c r="AZ293" i="3"/>
  <c r="AE293" i="3"/>
  <c r="V293" i="3"/>
  <c r="O293" i="3"/>
  <c r="BE292" i="3"/>
  <c r="AZ292" i="3"/>
  <c r="AE292" i="3"/>
  <c r="V292" i="3"/>
  <c r="O292" i="3" s="1"/>
  <c r="BE291" i="3"/>
  <c r="AZ291" i="3"/>
  <c r="AE291" i="3"/>
  <c r="V291" i="3"/>
  <c r="O291" i="3"/>
  <c r="BE290" i="3"/>
  <c r="AZ290" i="3"/>
  <c r="AE290" i="3"/>
  <c r="V290" i="3"/>
  <c r="BE289" i="3"/>
  <c r="AZ289" i="3"/>
  <c r="AE289" i="3"/>
  <c r="V289" i="3"/>
  <c r="O289" i="3" s="1"/>
  <c r="BE288" i="3"/>
  <c r="AZ288" i="3"/>
  <c r="AE288" i="3"/>
  <c r="V288" i="3"/>
  <c r="O288" i="3" s="1"/>
  <c r="BE287" i="3"/>
  <c r="AZ287" i="3"/>
  <c r="AE287" i="3"/>
  <c r="V287" i="3"/>
  <c r="O287" i="3"/>
  <c r="BE286" i="3"/>
  <c r="AZ286" i="3"/>
  <c r="AE286" i="3"/>
  <c r="V286" i="3"/>
  <c r="O286" i="3" s="1"/>
  <c r="BE285" i="3"/>
  <c r="AZ285" i="3"/>
  <c r="AE285" i="3"/>
  <c r="V285" i="3"/>
  <c r="O285" i="3"/>
  <c r="BE284" i="3"/>
  <c r="AZ284" i="3"/>
  <c r="AE284" i="3"/>
  <c r="V284" i="3"/>
  <c r="O284" i="3" s="1"/>
  <c r="BE283" i="3"/>
  <c r="AZ283" i="3"/>
  <c r="AE283" i="3"/>
  <c r="V283" i="3"/>
  <c r="O283" i="3" s="1"/>
  <c r="BE282" i="3"/>
  <c r="AZ282" i="3"/>
  <c r="AE282" i="3"/>
  <c r="V282" i="3"/>
  <c r="O282" i="3" s="1"/>
  <c r="BE281" i="3"/>
  <c r="AZ281" i="3"/>
  <c r="AE281" i="3"/>
  <c r="V281" i="3"/>
  <c r="O281" i="3"/>
  <c r="BE280" i="3"/>
  <c r="AZ280" i="3"/>
  <c r="AE280" i="3"/>
  <c r="V280" i="3"/>
  <c r="O280" i="3" s="1"/>
  <c r="BE279" i="3"/>
  <c r="AZ279" i="3"/>
  <c r="AE279" i="3"/>
  <c r="V279" i="3"/>
  <c r="O279" i="3"/>
  <c r="BE278" i="3"/>
  <c r="AZ278" i="3"/>
  <c r="AE278" i="3"/>
  <c r="V278" i="3"/>
  <c r="O278" i="3" s="1"/>
  <c r="BE277" i="3"/>
  <c r="AZ277" i="3"/>
  <c r="AE277" i="3"/>
  <c r="V277" i="3"/>
  <c r="O277" i="3" s="1"/>
  <c r="BE276" i="3"/>
  <c r="AZ276" i="3"/>
  <c r="AE276" i="3"/>
  <c r="V276" i="3"/>
  <c r="O276" i="3" s="1"/>
  <c r="BE275" i="3"/>
  <c r="AZ275" i="3"/>
  <c r="AE275" i="3"/>
  <c r="V275" i="3"/>
  <c r="O275" i="3"/>
  <c r="BE274" i="3"/>
  <c r="AZ274" i="3"/>
  <c r="AE274" i="3"/>
  <c r="V274" i="3"/>
  <c r="O274" i="3" s="1"/>
  <c r="BE273" i="3"/>
  <c r="AZ273" i="3"/>
  <c r="AE273" i="3"/>
  <c r="V273" i="3"/>
  <c r="O273" i="3"/>
  <c r="BE272" i="3"/>
  <c r="AZ272" i="3"/>
  <c r="AE272" i="3"/>
  <c r="V272" i="3"/>
  <c r="BE271" i="3"/>
  <c r="AZ271" i="3"/>
  <c r="AE271" i="3"/>
  <c r="V271" i="3"/>
  <c r="O271" i="3" s="1"/>
  <c r="BE270" i="3"/>
  <c r="AZ270" i="3"/>
  <c r="AE270" i="3"/>
  <c r="V270" i="3"/>
  <c r="O270" i="3" s="1"/>
  <c r="BE269" i="3"/>
  <c r="AZ269" i="3"/>
  <c r="AE269" i="3"/>
  <c r="V269" i="3"/>
  <c r="O269" i="3"/>
  <c r="BE268" i="3"/>
  <c r="AZ268" i="3"/>
  <c r="AE268" i="3"/>
  <c r="V268" i="3"/>
  <c r="O268" i="3" s="1"/>
  <c r="BE267" i="3"/>
  <c r="AZ267" i="3"/>
  <c r="AE267" i="3"/>
  <c r="V267" i="3"/>
  <c r="O267" i="3"/>
  <c r="BE266" i="3"/>
  <c r="AZ266" i="3"/>
  <c r="AE266" i="3"/>
  <c r="V266" i="3"/>
  <c r="O266" i="3" s="1"/>
  <c r="BE265" i="3"/>
  <c r="AZ265" i="3"/>
  <c r="AE265" i="3"/>
  <c r="V265" i="3"/>
  <c r="O265" i="3" s="1"/>
  <c r="BE264" i="3"/>
  <c r="AZ264" i="3"/>
  <c r="AE264" i="3"/>
  <c r="V264" i="3"/>
  <c r="O264" i="3" s="1"/>
  <c r="BE263" i="3"/>
  <c r="AZ263" i="3"/>
  <c r="AE263" i="3"/>
  <c r="V263" i="3"/>
  <c r="O263" i="3"/>
  <c r="BE262" i="3"/>
  <c r="AZ262" i="3"/>
  <c r="AE262" i="3"/>
  <c r="V262" i="3"/>
  <c r="O262" i="3" s="1"/>
  <c r="BE261" i="3"/>
  <c r="AZ261" i="3"/>
  <c r="AE261" i="3"/>
  <c r="V261" i="3"/>
  <c r="O261" i="3"/>
  <c r="BE260" i="3"/>
  <c r="AZ260" i="3"/>
  <c r="AE260" i="3"/>
  <c r="V260" i="3"/>
  <c r="O260" i="3" s="1"/>
  <c r="BE259" i="3"/>
  <c r="AZ259" i="3"/>
  <c r="AE259" i="3"/>
  <c r="O259" i="3" s="1"/>
  <c r="V259" i="3"/>
  <c r="BE258" i="3"/>
  <c r="AZ258" i="3"/>
  <c r="AE258" i="3"/>
  <c r="V258" i="3"/>
  <c r="O258" i="3" s="1"/>
  <c r="BE257" i="3"/>
  <c r="AZ257" i="3"/>
  <c r="AE257" i="3"/>
  <c r="V257" i="3"/>
  <c r="O257" i="3"/>
  <c r="BE256" i="3"/>
  <c r="AZ256" i="3"/>
  <c r="AE256" i="3"/>
  <c r="V256" i="3"/>
  <c r="O256" i="3" s="1"/>
  <c r="BE255" i="3"/>
  <c r="AZ255" i="3"/>
  <c r="AE255" i="3"/>
  <c r="V255" i="3"/>
  <c r="O255" i="3"/>
  <c r="BE254" i="3"/>
  <c r="AZ254" i="3"/>
  <c r="AE254" i="3"/>
  <c r="V254" i="3"/>
  <c r="BE253" i="3"/>
  <c r="AZ253" i="3"/>
  <c r="AE253" i="3"/>
  <c r="V253" i="3"/>
  <c r="O253" i="3" s="1"/>
  <c r="BE252" i="3"/>
  <c r="AZ252" i="3"/>
  <c r="AE252" i="3"/>
  <c r="V252" i="3"/>
  <c r="O252" i="3" s="1"/>
  <c r="BE251" i="3"/>
  <c r="AZ251" i="3"/>
  <c r="AE251" i="3"/>
  <c r="V251" i="3"/>
  <c r="O251" i="3"/>
  <c r="BE250" i="3"/>
  <c r="AZ250" i="3"/>
  <c r="AE250" i="3"/>
  <c r="V250" i="3"/>
  <c r="O250" i="3" s="1"/>
  <c r="BE249" i="3"/>
  <c r="AZ249" i="3"/>
  <c r="AE249" i="3"/>
  <c r="V249" i="3"/>
  <c r="O249" i="3"/>
  <c r="BE248" i="3"/>
  <c r="AZ248" i="3"/>
  <c r="AE248" i="3"/>
  <c r="V248" i="3"/>
  <c r="O248" i="3" s="1"/>
  <c r="BE247" i="3"/>
  <c r="AZ247" i="3"/>
  <c r="AE247" i="3"/>
  <c r="V247" i="3"/>
  <c r="O247" i="3" s="1"/>
  <c r="BE246" i="3"/>
  <c r="AZ246" i="3"/>
  <c r="AE246" i="3"/>
  <c r="V246" i="3"/>
  <c r="O246" i="3" s="1"/>
  <c r="BE245" i="3"/>
  <c r="AZ245" i="3"/>
  <c r="AE245" i="3"/>
  <c r="V245" i="3"/>
  <c r="O245" i="3"/>
  <c r="BE244" i="3"/>
  <c r="AZ244" i="3"/>
  <c r="AE244" i="3"/>
  <c r="V244" i="3"/>
  <c r="O244" i="3" s="1"/>
  <c r="BE243" i="3"/>
  <c r="AZ243" i="3"/>
  <c r="AE243" i="3"/>
  <c r="V243" i="3"/>
  <c r="O243" i="3"/>
  <c r="BE242" i="3"/>
  <c r="AZ242" i="3"/>
  <c r="AE242" i="3"/>
  <c r="V242" i="3"/>
  <c r="O242" i="3" s="1"/>
  <c r="BE241" i="3"/>
  <c r="AZ241" i="3"/>
  <c r="AE241" i="3"/>
  <c r="V241" i="3"/>
  <c r="O241" i="3" s="1"/>
  <c r="BE240" i="3"/>
  <c r="AZ240" i="3"/>
  <c r="AE240" i="3"/>
  <c r="V240" i="3"/>
  <c r="O240" i="3" s="1"/>
  <c r="BE239" i="3"/>
  <c r="AZ239" i="3"/>
  <c r="AE239" i="3"/>
  <c r="V239" i="3"/>
  <c r="O239" i="3"/>
  <c r="BE238" i="3"/>
  <c r="AZ238" i="3"/>
  <c r="AE238" i="3"/>
  <c r="V238" i="3"/>
  <c r="O238" i="3" s="1"/>
  <c r="BE237" i="3"/>
  <c r="AZ237" i="3"/>
  <c r="AE237" i="3"/>
  <c r="V237" i="3"/>
  <c r="O237" i="3"/>
  <c r="BE236" i="3"/>
  <c r="AZ236" i="3"/>
  <c r="AE236" i="3"/>
  <c r="V236" i="3"/>
  <c r="BE235" i="3"/>
  <c r="AZ235" i="3"/>
  <c r="AE235" i="3"/>
  <c r="V235" i="3"/>
  <c r="O235" i="3" s="1"/>
  <c r="BE234" i="3"/>
  <c r="AZ234" i="3"/>
  <c r="AE234" i="3"/>
  <c r="V234" i="3"/>
  <c r="O234" i="3" s="1"/>
  <c r="BE233" i="3"/>
  <c r="AZ233" i="3"/>
  <c r="AE233" i="3"/>
  <c r="V233" i="3"/>
  <c r="O233" i="3"/>
  <c r="BE232" i="3"/>
  <c r="AZ232" i="3"/>
  <c r="AE232" i="3"/>
  <c r="V232" i="3"/>
  <c r="O232" i="3" s="1"/>
  <c r="BE231" i="3"/>
  <c r="AZ231" i="3"/>
  <c r="AE231" i="3"/>
  <c r="V231" i="3"/>
  <c r="O231" i="3"/>
  <c r="BE230" i="3"/>
  <c r="AZ230" i="3"/>
  <c r="AE230" i="3"/>
  <c r="V230" i="3"/>
  <c r="O230" i="3" s="1"/>
  <c r="BE229" i="3"/>
  <c r="AZ229" i="3"/>
  <c r="AE229" i="3"/>
  <c r="V229" i="3"/>
  <c r="O229" i="3" s="1"/>
  <c r="BE228" i="3"/>
  <c r="AZ228" i="3"/>
  <c r="AE228" i="3"/>
  <c r="V228" i="3"/>
  <c r="O228" i="3" s="1"/>
  <c r="BE227" i="3"/>
  <c r="AZ227" i="3"/>
  <c r="AE227" i="3"/>
  <c r="V227" i="3"/>
  <c r="O227" i="3"/>
  <c r="BE226" i="3"/>
  <c r="AZ226" i="3"/>
  <c r="AE226" i="3"/>
  <c r="V226" i="3"/>
  <c r="O226" i="3" s="1"/>
  <c r="BE225" i="3"/>
  <c r="AZ225" i="3"/>
  <c r="AE225" i="3"/>
  <c r="V225" i="3"/>
  <c r="O225" i="3"/>
  <c r="BE224" i="3"/>
  <c r="AZ224" i="3"/>
  <c r="AE224" i="3"/>
  <c r="V224" i="3"/>
  <c r="O224" i="3" s="1"/>
  <c r="BE223" i="3"/>
  <c r="AZ223" i="3"/>
  <c r="AE223" i="3"/>
  <c r="V223" i="3"/>
  <c r="O223" i="3" s="1"/>
  <c r="BE222" i="3"/>
  <c r="AZ222" i="3"/>
  <c r="AE222" i="3"/>
  <c r="V222" i="3"/>
  <c r="O222" i="3" s="1"/>
  <c r="BE221" i="3"/>
  <c r="AZ221" i="3"/>
  <c r="AE221" i="3"/>
  <c r="V221" i="3"/>
  <c r="O221" i="3"/>
  <c r="BE220" i="3"/>
  <c r="AZ220" i="3"/>
  <c r="AE220" i="3"/>
  <c r="V220" i="3"/>
  <c r="O220" i="3" s="1"/>
  <c r="BE219" i="3"/>
  <c r="AZ219" i="3"/>
  <c r="AE219" i="3"/>
  <c r="V219" i="3"/>
  <c r="O219" i="3"/>
  <c r="BE218" i="3"/>
  <c r="AZ218" i="3"/>
  <c r="AE218" i="3"/>
  <c r="V218" i="3"/>
  <c r="BE217" i="3"/>
  <c r="AZ217" i="3"/>
  <c r="AE217" i="3"/>
  <c r="V217" i="3"/>
  <c r="O217" i="3" s="1"/>
  <c r="BE216" i="3"/>
  <c r="AZ216" i="3"/>
  <c r="AE216" i="3"/>
  <c r="V216" i="3"/>
  <c r="O216" i="3" s="1"/>
  <c r="BE215" i="3"/>
  <c r="AZ215" i="3"/>
  <c r="AE215" i="3"/>
  <c r="V215" i="3"/>
  <c r="O215" i="3"/>
  <c r="BE214" i="3"/>
  <c r="AZ214" i="3"/>
  <c r="AE214" i="3"/>
  <c r="V214" i="3"/>
  <c r="O214" i="3" s="1"/>
  <c r="BE213" i="3"/>
  <c r="AZ213" i="3"/>
  <c r="AE213" i="3"/>
  <c r="V213" i="3"/>
  <c r="O213" i="3"/>
  <c r="BE212" i="3"/>
  <c r="AZ212" i="3"/>
  <c r="AE212" i="3"/>
  <c r="V212" i="3"/>
  <c r="O212" i="3" s="1"/>
  <c r="BE211" i="3"/>
  <c r="AZ211" i="3"/>
  <c r="AE211" i="3"/>
  <c r="O211" i="3" s="1"/>
  <c r="V211" i="3"/>
  <c r="BE210" i="3"/>
  <c r="AZ210" i="3"/>
  <c r="AE210" i="3"/>
  <c r="V210" i="3"/>
  <c r="O210" i="3" s="1"/>
  <c r="BE209" i="3"/>
  <c r="AZ209" i="3"/>
  <c r="AE209" i="3"/>
  <c r="V209" i="3"/>
  <c r="O209" i="3"/>
  <c r="BE208" i="3"/>
  <c r="AZ208" i="3"/>
  <c r="AE208" i="3"/>
  <c r="V208" i="3"/>
  <c r="O208" i="3" s="1"/>
  <c r="BE207" i="3"/>
  <c r="AZ207" i="3"/>
  <c r="AE207" i="3"/>
  <c r="V207" i="3"/>
  <c r="O207" i="3"/>
  <c r="BE206" i="3"/>
  <c r="AZ206" i="3"/>
  <c r="AE206" i="3"/>
  <c r="V206" i="3"/>
  <c r="O206" i="3" s="1"/>
  <c r="BE205" i="3"/>
  <c r="AZ205" i="3"/>
  <c r="AE205" i="3"/>
  <c r="O205" i="3" s="1"/>
  <c r="V205" i="3"/>
  <c r="BE204" i="3"/>
  <c r="AZ204" i="3"/>
  <c r="AE204" i="3"/>
  <c r="V204" i="3"/>
  <c r="O204" i="3" s="1"/>
  <c r="BE203" i="3"/>
  <c r="AZ203" i="3"/>
  <c r="AE203" i="3"/>
  <c r="V203" i="3"/>
  <c r="O203" i="3"/>
  <c r="BE202" i="3"/>
  <c r="AZ202" i="3"/>
  <c r="AE202" i="3"/>
  <c r="V202" i="3"/>
  <c r="O202" i="3" s="1"/>
  <c r="BE201" i="3"/>
  <c r="AZ201" i="3"/>
  <c r="AE201" i="3"/>
  <c r="V201" i="3"/>
  <c r="O201" i="3"/>
  <c r="BE200" i="3"/>
  <c r="AZ200" i="3"/>
  <c r="AE200" i="3"/>
  <c r="V200" i="3"/>
  <c r="BE199" i="3"/>
  <c r="AZ199" i="3"/>
  <c r="AE199" i="3"/>
  <c r="O199" i="3" s="1"/>
  <c r="V199" i="3"/>
  <c r="BE198" i="3"/>
  <c r="AZ198" i="3"/>
  <c r="AE198" i="3"/>
  <c r="V198" i="3"/>
  <c r="O198" i="3" s="1"/>
  <c r="BE197" i="3"/>
  <c r="AZ197" i="3"/>
  <c r="AE197" i="3"/>
  <c r="V197" i="3"/>
  <c r="O197" i="3"/>
  <c r="BE196" i="3"/>
  <c r="AZ196" i="3"/>
  <c r="AE196" i="3"/>
  <c r="V196" i="3"/>
  <c r="O196" i="3" s="1"/>
  <c r="BE195" i="3"/>
  <c r="AZ195" i="3"/>
  <c r="AE195" i="3"/>
  <c r="V195" i="3"/>
  <c r="O195" i="3"/>
  <c r="BE194" i="3"/>
  <c r="AZ194" i="3"/>
  <c r="AE194" i="3"/>
  <c r="V194" i="3"/>
  <c r="O194" i="3" s="1"/>
  <c r="BE193" i="3"/>
  <c r="AZ193" i="3"/>
  <c r="AE193" i="3"/>
  <c r="O193" i="3" s="1"/>
  <c r="V193" i="3"/>
  <c r="BE192" i="3"/>
  <c r="AZ192" i="3"/>
  <c r="AE192" i="3"/>
  <c r="V192" i="3"/>
  <c r="O192" i="3" s="1"/>
  <c r="BE191" i="3"/>
  <c r="AZ191" i="3"/>
  <c r="AE191" i="3"/>
  <c r="V191" i="3"/>
  <c r="O191" i="3"/>
  <c r="BE190" i="3"/>
  <c r="AZ190" i="3"/>
  <c r="AE190" i="3"/>
  <c r="V190" i="3"/>
  <c r="O190" i="3" s="1"/>
  <c r="BE189" i="3"/>
  <c r="AZ189" i="3"/>
  <c r="AE189" i="3"/>
  <c r="V189" i="3"/>
  <c r="O189" i="3"/>
  <c r="BE188" i="3"/>
  <c r="AZ188" i="3"/>
  <c r="AE188" i="3"/>
  <c r="V188" i="3"/>
  <c r="O188" i="3" s="1"/>
  <c r="BE187" i="3"/>
  <c r="AZ187" i="3"/>
  <c r="AE187" i="3"/>
  <c r="O187" i="3" s="1"/>
  <c r="V187" i="3"/>
  <c r="BE186" i="3"/>
  <c r="AZ186" i="3"/>
  <c r="AE186" i="3"/>
  <c r="V186" i="3"/>
  <c r="O186" i="3" s="1"/>
  <c r="BE185" i="3"/>
  <c r="AZ185" i="3"/>
  <c r="AE185" i="3"/>
  <c r="V185" i="3"/>
  <c r="O185" i="3"/>
  <c r="BE184" i="3"/>
  <c r="AZ184" i="3"/>
  <c r="AE184" i="3"/>
  <c r="V184" i="3"/>
  <c r="O184" i="3" s="1"/>
  <c r="BE183" i="3"/>
  <c r="AZ183" i="3"/>
  <c r="AE183" i="3"/>
  <c r="V183" i="3"/>
  <c r="O183" i="3"/>
  <c r="BE182" i="3"/>
  <c r="AZ182" i="3"/>
  <c r="AE182" i="3"/>
  <c r="V182" i="3"/>
  <c r="BE181" i="3"/>
  <c r="AZ181" i="3"/>
  <c r="AE181" i="3"/>
  <c r="O181" i="3" s="1"/>
  <c r="V181" i="3"/>
  <c r="BE180" i="3"/>
  <c r="AZ180" i="3"/>
  <c r="AE180" i="3"/>
  <c r="V180" i="3"/>
  <c r="O180" i="3" s="1"/>
  <c r="BE179" i="3"/>
  <c r="AZ179" i="3"/>
  <c r="AE179" i="3"/>
  <c r="V179" i="3"/>
  <c r="O179" i="3"/>
  <c r="BE178" i="3"/>
  <c r="AZ178" i="3"/>
  <c r="AE178" i="3"/>
  <c r="V178" i="3"/>
  <c r="O178" i="3" s="1"/>
  <c r="BE177" i="3"/>
  <c r="AZ177" i="3"/>
  <c r="AE177" i="3"/>
  <c r="V177" i="3"/>
  <c r="O177" i="3"/>
  <c r="BE176" i="3"/>
  <c r="AZ176" i="3"/>
  <c r="AE176" i="3"/>
  <c r="V176" i="3"/>
  <c r="O176" i="3" s="1"/>
  <c r="BE175" i="3"/>
  <c r="AZ175" i="3"/>
  <c r="AE175" i="3"/>
  <c r="V175" i="3"/>
  <c r="O175" i="3" s="1"/>
  <c r="BE174" i="3"/>
  <c r="AZ174" i="3"/>
  <c r="AE174" i="3"/>
  <c r="V174" i="3"/>
  <c r="O174" i="3" s="1"/>
  <c r="BE173" i="3"/>
  <c r="AZ173" i="3"/>
  <c r="AE173" i="3"/>
  <c r="V173" i="3"/>
  <c r="O173" i="3"/>
  <c r="BE172" i="3"/>
  <c r="AZ172" i="3"/>
  <c r="AE172" i="3"/>
  <c r="V172" i="3"/>
  <c r="O172" i="3" s="1"/>
  <c r="BE171" i="3"/>
  <c r="AZ171" i="3"/>
  <c r="AE171" i="3"/>
  <c r="V171" i="3"/>
  <c r="O171" i="3"/>
  <c r="BE170" i="3"/>
  <c r="AZ170" i="3"/>
  <c r="AE170" i="3"/>
  <c r="V170" i="3"/>
  <c r="O170" i="3" s="1"/>
  <c r="BE169" i="3"/>
  <c r="AZ169" i="3"/>
  <c r="AE169" i="3"/>
  <c r="V169" i="3"/>
  <c r="O169" i="3" s="1"/>
  <c r="BE168" i="3"/>
  <c r="AZ168" i="3"/>
  <c r="AE168" i="3"/>
  <c r="V168" i="3"/>
  <c r="O168" i="3" s="1"/>
  <c r="BE167" i="3"/>
  <c r="AZ167" i="3"/>
  <c r="AE167" i="3"/>
  <c r="V167" i="3"/>
  <c r="O167" i="3"/>
  <c r="BE166" i="3"/>
  <c r="AZ166" i="3"/>
  <c r="AE166" i="3"/>
  <c r="V166" i="3"/>
  <c r="O166" i="3" s="1"/>
  <c r="BE165" i="3"/>
  <c r="AZ165" i="3"/>
  <c r="AE165" i="3"/>
  <c r="V165" i="3"/>
  <c r="O165" i="3"/>
  <c r="BE164" i="3"/>
  <c r="AZ164" i="3"/>
  <c r="AE164" i="3"/>
  <c r="V164" i="3"/>
  <c r="BE163" i="3"/>
  <c r="AZ163" i="3"/>
  <c r="AE163" i="3"/>
  <c r="V163" i="3"/>
  <c r="O163" i="3" s="1"/>
  <c r="BE162" i="3"/>
  <c r="AZ162" i="3"/>
  <c r="AE162" i="3"/>
  <c r="V162" i="3"/>
  <c r="O162" i="3" s="1"/>
  <c r="BE161" i="3"/>
  <c r="AZ161" i="3"/>
  <c r="AE161" i="3"/>
  <c r="V161" i="3"/>
  <c r="O161" i="3"/>
  <c r="BE160" i="3"/>
  <c r="AZ160" i="3"/>
  <c r="AE160" i="3"/>
  <c r="V160" i="3"/>
  <c r="O160" i="3" s="1"/>
  <c r="BE159" i="3"/>
  <c r="AZ159" i="3"/>
  <c r="AE159" i="3"/>
  <c r="V159" i="3"/>
  <c r="O159" i="3"/>
  <c r="BE158" i="3"/>
  <c r="AZ158" i="3"/>
  <c r="AE158" i="3"/>
  <c r="V158" i="3"/>
  <c r="O158" i="3" s="1"/>
  <c r="BE157" i="3"/>
  <c r="AZ157" i="3"/>
  <c r="AE157" i="3"/>
  <c r="V157" i="3"/>
  <c r="O157" i="3" s="1"/>
  <c r="BE156" i="3"/>
  <c r="AZ156" i="3"/>
  <c r="AE156" i="3"/>
  <c r="V156" i="3"/>
  <c r="O156" i="3" s="1"/>
  <c r="BE155" i="3"/>
  <c r="AZ155" i="3"/>
  <c r="AE155" i="3"/>
  <c r="V155" i="3"/>
  <c r="O155" i="3"/>
  <c r="BE154" i="3"/>
  <c r="AZ154" i="3"/>
  <c r="AE154" i="3"/>
  <c r="V154" i="3"/>
  <c r="O154" i="3" s="1"/>
  <c r="BE153" i="3"/>
  <c r="AZ153" i="3"/>
  <c r="AE153" i="3"/>
  <c r="V153" i="3"/>
  <c r="O153" i="3"/>
  <c r="BE152" i="3"/>
  <c r="AZ152" i="3"/>
  <c r="AE152" i="3"/>
  <c r="V152" i="3"/>
  <c r="O152" i="3" s="1"/>
  <c r="BE151" i="3"/>
  <c r="AZ151" i="3"/>
  <c r="AE151" i="3"/>
  <c r="V151" i="3"/>
  <c r="O151" i="3" s="1"/>
  <c r="BE150" i="3"/>
  <c r="AZ150" i="3"/>
  <c r="AE150" i="3"/>
  <c r="V150" i="3"/>
  <c r="BE149" i="3"/>
  <c r="AZ149" i="3"/>
  <c r="AE149" i="3"/>
  <c r="O149" i="3" s="1"/>
  <c r="V149" i="3"/>
  <c r="BE148" i="3"/>
  <c r="AZ148" i="3"/>
  <c r="AE148" i="3"/>
  <c r="V148" i="3"/>
  <c r="O148" i="3" s="1"/>
  <c r="BE147" i="3"/>
  <c r="AZ147" i="3"/>
  <c r="AE147" i="3"/>
  <c r="V147" i="3"/>
  <c r="O147" i="3"/>
  <c r="BE146" i="3"/>
  <c r="AZ146" i="3"/>
  <c r="AE146" i="3"/>
  <c r="V146" i="3"/>
  <c r="BE145" i="3"/>
  <c r="AZ145" i="3"/>
  <c r="AE145" i="3"/>
  <c r="V145" i="3"/>
  <c r="O145" i="3" s="1"/>
  <c r="BE144" i="3"/>
  <c r="AZ144" i="3"/>
  <c r="AE144" i="3"/>
  <c r="V144" i="3"/>
  <c r="O144" i="3" s="1"/>
  <c r="BE143" i="3"/>
  <c r="AZ143" i="3"/>
  <c r="AE143" i="3"/>
  <c r="V143" i="3"/>
  <c r="O143" i="3"/>
  <c r="BE142" i="3"/>
  <c r="AZ142" i="3"/>
  <c r="AE142" i="3"/>
  <c r="V142" i="3"/>
  <c r="O142" i="3" s="1"/>
  <c r="BE141" i="3"/>
  <c r="AZ141" i="3"/>
  <c r="O141" i="3" s="1"/>
  <c r="AE141" i="3"/>
  <c r="V141" i="3"/>
  <c r="BE140" i="3"/>
  <c r="AZ140" i="3"/>
  <c r="AE140" i="3"/>
  <c r="V140" i="3"/>
  <c r="BE139" i="3"/>
  <c r="AZ139" i="3"/>
  <c r="AE139" i="3"/>
  <c r="V139" i="3"/>
  <c r="O139" i="3" s="1"/>
  <c r="BE138" i="3"/>
  <c r="AZ138" i="3"/>
  <c r="O138" i="3" s="1"/>
  <c r="AE138" i="3"/>
  <c r="V138" i="3"/>
  <c r="BE137" i="3"/>
  <c r="AZ137" i="3"/>
  <c r="AE137" i="3"/>
  <c r="V137" i="3"/>
  <c r="O137" i="3" s="1"/>
  <c r="BE136" i="3"/>
  <c r="AZ136" i="3"/>
  <c r="AE136" i="3"/>
  <c r="V136" i="3"/>
  <c r="O136" i="3"/>
  <c r="BE135" i="3"/>
  <c r="AZ135" i="3"/>
  <c r="AE135" i="3"/>
  <c r="V135" i="3"/>
  <c r="O135" i="3" s="1"/>
  <c r="BE134" i="3"/>
  <c r="AZ134" i="3"/>
  <c r="AE134" i="3"/>
  <c r="V134" i="3"/>
  <c r="O134" i="3"/>
  <c r="BE133" i="3"/>
  <c r="AZ133" i="3"/>
  <c r="O133" i="3" s="1"/>
  <c r="AE133" i="3"/>
  <c r="V133" i="3"/>
  <c r="BE132" i="3"/>
  <c r="AZ132" i="3"/>
  <c r="AE132" i="3"/>
  <c r="O132" i="3" s="1"/>
  <c r="V132" i="3"/>
  <c r="BE131" i="3"/>
  <c r="AZ131" i="3"/>
  <c r="AE131" i="3"/>
  <c r="V131" i="3"/>
  <c r="O131" i="3" s="1"/>
  <c r="BE130" i="3"/>
  <c r="AZ130" i="3"/>
  <c r="AE130" i="3"/>
  <c r="V130" i="3"/>
  <c r="O130" i="3"/>
  <c r="BE129" i="3"/>
  <c r="AZ129" i="3"/>
  <c r="AE129" i="3"/>
  <c r="V129" i="3"/>
  <c r="O129" i="3" s="1"/>
  <c r="BE128" i="3"/>
  <c r="AZ128" i="3"/>
  <c r="AE128" i="3"/>
  <c r="V128" i="3"/>
  <c r="O128" i="3"/>
  <c r="BE127" i="3"/>
  <c r="AZ127" i="3"/>
  <c r="O127" i="3" s="1"/>
  <c r="AE127" i="3"/>
  <c r="V127" i="3"/>
  <c r="BE126" i="3"/>
  <c r="AZ126" i="3"/>
  <c r="AE126" i="3"/>
  <c r="O126" i="3" s="1"/>
  <c r="V126" i="3"/>
  <c r="BE125" i="3"/>
  <c r="AZ125" i="3"/>
  <c r="AE125" i="3"/>
  <c r="V125" i="3"/>
  <c r="O125" i="3" s="1"/>
  <c r="BE124" i="3"/>
  <c r="AZ124" i="3"/>
  <c r="AE124" i="3"/>
  <c r="V124" i="3"/>
  <c r="O124" i="3"/>
  <c r="BE123" i="3"/>
  <c r="AZ123" i="3"/>
  <c r="AE123" i="3"/>
  <c r="V123" i="3"/>
  <c r="O123" i="3" s="1"/>
  <c r="BE122" i="3"/>
  <c r="AZ122" i="3"/>
  <c r="AE122" i="3"/>
  <c r="V122" i="3"/>
  <c r="O122" i="3"/>
  <c r="BE121" i="3"/>
  <c r="AZ121" i="3"/>
  <c r="O121" i="3" s="1"/>
  <c r="AE121" i="3"/>
  <c r="V121" i="3"/>
  <c r="BE120" i="3"/>
  <c r="AZ120" i="3"/>
  <c r="AE120" i="3"/>
  <c r="O120" i="3" s="1"/>
  <c r="V120" i="3"/>
  <c r="BE119" i="3"/>
  <c r="AZ119" i="3"/>
  <c r="AE119" i="3"/>
  <c r="V119" i="3"/>
  <c r="O119" i="3" s="1"/>
  <c r="BE118" i="3"/>
  <c r="AZ118" i="3"/>
  <c r="AE118" i="3"/>
  <c r="V118" i="3"/>
  <c r="O118" i="3"/>
  <c r="BE117" i="3"/>
  <c r="AZ117" i="3"/>
  <c r="AE117" i="3"/>
  <c r="V117" i="3"/>
  <c r="O117" i="3" s="1"/>
  <c r="BE116" i="3"/>
  <c r="AZ116" i="3"/>
  <c r="AE116" i="3"/>
  <c r="V116" i="3"/>
  <c r="O116" i="3"/>
  <c r="BE115" i="3"/>
  <c r="AZ115" i="3"/>
  <c r="O115" i="3" s="1"/>
  <c r="AE115" i="3"/>
  <c r="V115" i="3"/>
  <c r="BE114" i="3"/>
  <c r="AZ114" i="3"/>
  <c r="AE114" i="3"/>
  <c r="O114" i="3" s="1"/>
  <c r="V114" i="3"/>
  <c r="BE113" i="3"/>
  <c r="AZ113" i="3"/>
  <c r="AE113" i="3"/>
  <c r="V113" i="3"/>
  <c r="O113" i="3" s="1"/>
  <c r="BE112" i="3"/>
  <c r="AZ112" i="3"/>
  <c r="AE112" i="3"/>
  <c r="V112" i="3"/>
  <c r="O112" i="3"/>
  <c r="BE111" i="3"/>
  <c r="AZ111" i="3"/>
  <c r="AE111" i="3"/>
  <c r="V111" i="3"/>
  <c r="O111" i="3" s="1"/>
  <c r="BE110" i="3"/>
  <c r="AZ110" i="3"/>
  <c r="AE110" i="3"/>
  <c r="V110" i="3"/>
  <c r="O110" i="3"/>
  <c r="BE109" i="3"/>
  <c r="AZ109" i="3"/>
  <c r="O109" i="3" s="1"/>
  <c r="AE109" i="3"/>
  <c r="V109" i="3"/>
  <c r="BE108" i="3"/>
  <c r="AZ108" i="3"/>
  <c r="AE108" i="3"/>
  <c r="O108" i="3" s="1"/>
  <c r="V108" i="3"/>
  <c r="BE107" i="3"/>
  <c r="AZ107" i="3"/>
  <c r="AE107" i="3"/>
  <c r="V107" i="3"/>
  <c r="O107" i="3" s="1"/>
  <c r="BE106" i="3"/>
  <c r="AZ106" i="3"/>
  <c r="AE106" i="3"/>
  <c r="V106" i="3"/>
  <c r="O106" i="3"/>
  <c r="BE105" i="3"/>
  <c r="AZ105" i="3"/>
  <c r="AE105" i="3"/>
  <c r="V105" i="3"/>
  <c r="O105" i="3" s="1"/>
  <c r="BE104" i="3"/>
  <c r="AZ104" i="3"/>
  <c r="AE104" i="3"/>
  <c r="V104" i="3"/>
  <c r="O104" i="3"/>
  <c r="BE103" i="3"/>
  <c r="AZ103" i="3"/>
  <c r="O103" i="3" s="1"/>
  <c r="AE103" i="3"/>
  <c r="V103" i="3"/>
  <c r="BE102" i="3"/>
  <c r="AZ102" i="3"/>
  <c r="AE102" i="3"/>
  <c r="O102" i="3" s="1"/>
  <c r="V102" i="3"/>
  <c r="BE101" i="3"/>
  <c r="AZ101" i="3"/>
  <c r="AE101" i="3"/>
  <c r="V101" i="3"/>
  <c r="O101" i="3" s="1"/>
  <c r="BE100" i="3"/>
  <c r="AZ100" i="3"/>
  <c r="AE100" i="3"/>
  <c r="V100" i="3"/>
  <c r="O100" i="3"/>
  <c r="BE99" i="3"/>
  <c r="AZ99" i="3"/>
  <c r="AE99" i="3"/>
  <c r="V99" i="3"/>
  <c r="O99" i="3" s="1"/>
  <c r="BE98" i="3"/>
  <c r="AZ98" i="3"/>
  <c r="AE98" i="3"/>
  <c r="V98" i="3"/>
  <c r="O98" i="3"/>
  <c r="BE97" i="3"/>
  <c r="AZ97" i="3"/>
  <c r="O97" i="3" s="1"/>
  <c r="AE97" i="3"/>
  <c r="V97" i="3"/>
  <c r="BE96" i="3"/>
  <c r="AZ96" i="3"/>
  <c r="AE96" i="3"/>
  <c r="O96" i="3" s="1"/>
  <c r="V96" i="3"/>
  <c r="BE95" i="3"/>
  <c r="AZ95" i="3"/>
  <c r="AE95" i="3"/>
  <c r="V95" i="3"/>
  <c r="O95" i="3" s="1"/>
  <c r="AZ94" i="3"/>
  <c r="AE94" i="3"/>
  <c r="V94" i="3"/>
  <c r="O94" i="3" s="1"/>
  <c r="BE93" i="3"/>
  <c r="AZ93" i="3"/>
  <c r="AE93" i="3"/>
  <c r="V93" i="3"/>
  <c r="O93" i="3"/>
  <c r="BE92" i="3"/>
  <c r="AZ92" i="3"/>
  <c r="O92" i="3" s="1"/>
  <c r="AE92" i="3"/>
  <c r="V92" i="3"/>
  <c r="BE91" i="3"/>
  <c r="AZ91" i="3"/>
  <c r="AE91" i="3"/>
  <c r="O91" i="3" s="1"/>
  <c r="V91" i="3"/>
  <c r="BE90" i="3"/>
  <c r="AZ90" i="3"/>
  <c r="AE90" i="3"/>
  <c r="V90" i="3"/>
  <c r="O90" i="3" s="1"/>
  <c r="BE89" i="3"/>
  <c r="AZ89" i="3"/>
  <c r="AE89" i="3"/>
  <c r="V89" i="3"/>
  <c r="O89" i="3"/>
  <c r="BE88" i="3"/>
  <c r="AZ88" i="3"/>
  <c r="AE88" i="3"/>
  <c r="V88" i="3"/>
  <c r="O88" i="3" s="1"/>
  <c r="BE87" i="3"/>
  <c r="AZ87" i="3"/>
  <c r="AE87" i="3"/>
  <c r="V87" i="3"/>
  <c r="O87" i="3"/>
  <c r="BE86" i="3"/>
  <c r="AZ86" i="3"/>
  <c r="O86" i="3" s="1"/>
  <c r="AE86" i="3"/>
  <c r="V86" i="3"/>
  <c r="BE85" i="3"/>
  <c r="AZ85" i="3"/>
  <c r="AE85" i="3"/>
  <c r="O85" i="3" s="1"/>
  <c r="V85" i="3"/>
  <c r="BE84" i="3"/>
  <c r="AZ84" i="3"/>
  <c r="AE84" i="3"/>
  <c r="V84" i="3"/>
  <c r="O84" i="3" s="1"/>
  <c r="BE83" i="3"/>
  <c r="AZ83" i="3"/>
  <c r="AE83" i="3"/>
  <c r="V83" i="3"/>
  <c r="O83" i="3"/>
  <c r="BE82" i="3"/>
  <c r="AZ82" i="3"/>
  <c r="AE82" i="3"/>
  <c r="V82" i="3"/>
  <c r="O82" i="3" s="1"/>
  <c r="BE81" i="3"/>
  <c r="AZ81" i="3"/>
  <c r="AE81" i="3"/>
  <c r="V81" i="3"/>
  <c r="O81" i="3"/>
  <c r="BE80" i="3"/>
  <c r="AZ80" i="3"/>
  <c r="O80" i="3" s="1"/>
  <c r="AE80" i="3"/>
  <c r="V80" i="3"/>
  <c r="BE79" i="3"/>
  <c r="AZ79" i="3"/>
  <c r="AE79" i="3"/>
  <c r="O79" i="3" s="1"/>
  <c r="V79" i="3"/>
  <c r="BE78" i="3"/>
  <c r="AZ78" i="3"/>
  <c r="AE78" i="3"/>
  <c r="V78" i="3"/>
  <c r="O78" i="3" s="1"/>
  <c r="BE77" i="3"/>
  <c r="AZ77" i="3"/>
  <c r="AE77" i="3"/>
  <c r="V77" i="3"/>
  <c r="O77" i="3"/>
  <c r="BE76" i="3"/>
  <c r="AZ76" i="3"/>
  <c r="AE76" i="3"/>
  <c r="V76" i="3"/>
  <c r="O76" i="3" s="1"/>
  <c r="BE75" i="3"/>
  <c r="AZ75" i="3"/>
  <c r="AE75" i="3"/>
  <c r="V75" i="3"/>
  <c r="O75" i="3"/>
  <c r="BE74" i="3"/>
  <c r="AZ74" i="3"/>
  <c r="O74" i="3" s="1"/>
  <c r="AE74" i="3"/>
  <c r="V74" i="3"/>
  <c r="BE73" i="3"/>
  <c r="AZ73" i="3"/>
  <c r="AE73" i="3"/>
  <c r="O73" i="3" s="1"/>
  <c r="V73" i="3"/>
  <c r="BE72" i="3"/>
  <c r="AZ72" i="3"/>
  <c r="AE72" i="3"/>
  <c r="V72" i="3"/>
  <c r="O72" i="3" s="1"/>
  <c r="BE71" i="3"/>
  <c r="AZ71" i="3"/>
  <c r="AE71" i="3"/>
  <c r="V71" i="3"/>
  <c r="O71" i="3"/>
  <c r="BE70" i="3"/>
  <c r="AZ70" i="3"/>
  <c r="AE70" i="3"/>
  <c r="V70" i="3"/>
  <c r="O70" i="3" s="1"/>
  <c r="BE69" i="3"/>
  <c r="AZ69" i="3"/>
  <c r="AE69" i="3"/>
  <c r="V69" i="3"/>
  <c r="O69" i="3"/>
  <c r="BE68" i="3"/>
  <c r="AZ68" i="3"/>
  <c r="O68" i="3" s="1"/>
  <c r="AE68" i="3"/>
  <c r="V68" i="3"/>
  <c r="BE67" i="3"/>
  <c r="AZ67" i="3"/>
  <c r="AE67" i="3"/>
  <c r="O67" i="3" s="1"/>
  <c r="V67" i="3"/>
  <c r="BE66" i="3"/>
  <c r="AZ66" i="3"/>
  <c r="AE66" i="3"/>
  <c r="V66" i="3"/>
  <c r="O66" i="3" s="1"/>
  <c r="BE65" i="3"/>
  <c r="AZ65" i="3"/>
  <c r="AE65" i="3"/>
  <c r="V65" i="3"/>
  <c r="O65" i="3"/>
  <c r="BE64" i="3"/>
  <c r="AZ64" i="3"/>
  <c r="AE64" i="3"/>
  <c r="V64" i="3"/>
  <c r="O64" i="3" s="1"/>
  <c r="BE63" i="3"/>
  <c r="AZ63" i="3"/>
  <c r="AE63" i="3"/>
  <c r="V63" i="3"/>
  <c r="O63" i="3"/>
  <c r="BE62" i="3"/>
  <c r="AZ62" i="3"/>
  <c r="O62" i="3" s="1"/>
  <c r="AE62" i="3"/>
  <c r="V62" i="3"/>
  <c r="BE61" i="3"/>
  <c r="AZ61" i="3"/>
  <c r="AE61" i="3"/>
  <c r="O61" i="3" s="1"/>
  <c r="V61" i="3"/>
  <c r="BE60" i="3"/>
  <c r="AZ60" i="3"/>
  <c r="AE60" i="3"/>
  <c r="V60" i="3"/>
  <c r="O60" i="3" s="1"/>
  <c r="BE59" i="3"/>
  <c r="AZ59" i="3"/>
  <c r="AE59" i="3"/>
  <c r="V59" i="3"/>
  <c r="O59" i="3"/>
  <c r="BE58" i="3"/>
  <c r="AZ58" i="3"/>
  <c r="AE58" i="3"/>
  <c r="V58" i="3"/>
  <c r="O58" i="3" s="1"/>
  <c r="BE57" i="3"/>
  <c r="AZ57" i="3"/>
  <c r="AE57" i="3"/>
  <c r="V57" i="3"/>
  <c r="O57" i="3"/>
  <c r="BE56" i="3"/>
  <c r="AZ56" i="3"/>
  <c r="O56" i="3" s="1"/>
  <c r="AE56" i="3"/>
  <c r="V56" i="3"/>
  <c r="BE55" i="3"/>
  <c r="AZ55" i="3"/>
  <c r="AE55" i="3"/>
  <c r="O55" i="3" s="1"/>
  <c r="V55" i="3"/>
  <c r="BE54" i="3"/>
  <c r="AZ54" i="3"/>
  <c r="AE54" i="3"/>
  <c r="V54" i="3"/>
  <c r="O54" i="3" s="1"/>
  <c r="BE53" i="3"/>
  <c r="AZ53" i="3"/>
  <c r="AE53" i="3"/>
  <c r="V53" i="3"/>
  <c r="O53" i="3"/>
  <c r="BE52" i="3"/>
  <c r="AZ52" i="3"/>
  <c r="AE52" i="3"/>
  <c r="V52" i="3"/>
  <c r="O52" i="3" s="1"/>
  <c r="BE51" i="3"/>
  <c r="AZ51" i="3"/>
  <c r="AE51" i="3"/>
  <c r="V51" i="3"/>
  <c r="O51" i="3"/>
  <c r="BE50" i="3"/>
  <c r="AZ50" i="3"/>
  <c r="O50" i="3" s="1"/>
  <c r="AE50" i="3"/>
  <c r="V50" i="3"/>
  <c r="BE49" i="3"/>
  <c r="AZ49" i="3"/>
  <c r="AE49" i="3"/>
  <c r="O49" i="3" s="1"/>
  <c r="V49" i="3"/>
  <c r="BE48" i="3"/>
  <c r="AZ48" i="3"/>
  <c r="AE48" i="3"/>
  <c r="V48" i="3"/>
  <c r="O48" i="3" s="1"/>
  <c r="BE47" i="3"/>
  <c r="AZ47" i="3"/>
  <c r="AE47" i="3"/>
  <c r="V47" i="3"/>
  <c r="O47" i="3"/>
  <c r="BE46" i="3"/>
  <c r="AZ46" i="3"/>
  <c r="AE46" i="3"/>
  <c r="V46" i="3"/>
  <c r="O46" i="3" s="1"/>
  <c r="BE45" i="3"/>
  <c r="AZ45" i="3"/>
  <c r="AE45" i="3"/>
  <c r="V45" i="3"/>
  <c r="O45" i="3"/>
  <c r="BE44" i="3"/>
  <c r="AZ44" i="3"/>
  <c r="O44" i="3" s="1"/>
  <c r="AE44" i="3"/>
  <c r="V44" i="3"/>
  <c r="BE43" i="3"/>
  <c r="AZ43" i="3"/>
  <c r="AE43" i="3"/>
  <c r="O43" i="3" s="1"/>
  <c r="V43" i="3"/>
  <c r="BE42" i="3"/>
  <c r="AZ42" i="3"/>
  <c r="AE42" i="3"/>
  <c r="V42" i="3"/>
  <c r="O42" i="3" s="1"/>
  <c r="BE41" i="3"/>
  <c r="AZ41" i="3"/>
  <c r="AE41" i="3"/>
  <c r="V41" i="3"/>
  <c r="O41" i="3"/>
  <c r="BE40" i="3"/>
  <c r="AZ40" i="3"/>
  <c r="AE40" i="3"/>
  <c r="V40" i="3"/>
  <c r="O40" i="3" s="1"/>
  <c r="BE39" i="3"/>
  <c r="AZ39" i="3"/>
  <c r="AE39" i="3"/>
  <c r="V39" i="3"/>
  <c r="O39" i="3"/>
  <c r="BE38" i="3"/>
  <c r="AZ38" i="3"/>
  <c r="O38" i="3" s="1"/>
  <c r="AE38" i="3"/>
  <c r="V38" i="3"/>
  <c r="BE37" i="3"/>
  <c r="AZ37" i="3"/>
  <c r="AE37" i="3"/>
  <c r="O37" i="3" s="1"/>
  <c r="V37" i="3"/>
  <c r="BE36" i="3"/>
  <c r="AZ36" i="3"/>
  <c r="AE36" i="3"/>
  <c r="V36" i="3"/>
  <c r="O36" i="3" s="1"/>
  <c r="BE35" i="3"/>
  <c r="AZ35" i="3"/>
  <c r="AE35" i="3"/>
  <c r="V35" i="3"/>
  <c r="O35" i="3"/>
  <c r="BE34" i="3"/>
  <c r="AZ34" i="3"/>
  <c r="AE34" i="3"/>
  <c r="V34" i="3"/>
  <c r="O34" i="3" s="1"/>
  <c r="BE33" i="3"/>
  <c r="AZ33" i="3"/>
  <c r="AE33" i="3"/>
  <c r="V33" i="3"/>
  <c r="O33" i="3"/>
  <c r="BE32" i="3"/>
  <c r="AZ32" i="3"/>
  <c r="O32" i="3" s="1"/>
  <c r="AE32" i="3"/>
  <c r="V32" i="3"/>
  <c r="BE31" i="3"/>
  <c r="AZ31" i="3"/>
  <c r="AE31" i="3"/>
  <c r="O31" i="3" s="1"/>
  <c r="V31" i="3"/>
  <c r="BE30" i="3"/>
  <c r="AZ30" i="3"/>
  <c r="AE30" i="3"/>
  <c r="V30" i="3"/>
  <c r="O30" i="3" s="1"/>
  <c r="BE29" i="3"/>
  <c r="AZ29" i="3"/>
  <c r="AE29" i="3"/>
  <c r="V29" i="3"/>
  <c r="O29" i="3"/>
  <c r="BE28" i="3"/>
  <c r="AZ28" i="3"/>
  <c r="AE28" i="3"/>
  <c r="V28" i="3"/>
  <c r="O28" i="3" s="1"/>
  <c r="BE27" i="3"/>
  <c r="AZ27" i="3"/>
  <c r="AE27" i="3"/>
  <c r="V27" i="3"/>
  <c r="O27" i="3"/>
  <c r="BE26" i="3"/>
  <c r="AZ26" i="3"/>
  <c r="O26" i="3" s="1"/>
  <c r="AE26" i="3"/>
  <c r="V26" i="3"/>
  <c r="BE25" i="3"/>
  <c r="AZ25" i="3"/>
  <c r="AE25" i="3"/>
  <c r="O25" i="3" s="1"/>
  <c r="V25" i="3"/>
  <c r="BE24" i="3"/>
  <c r="AZ24" i="3"/>
  <c r="AE24" i="3"/>
  <c r="V24" i="3"/>
  <c r="O24" i="3" s="1"/>
  <c r="BE23" i="3"/>
  <c r="AZ23" i="3"/>
  <c r="AE23" i="3"/>
  <c r="V23" i="3"/>
  <c r="O23" i="3"/>
  <c r="BE22" i="3"/>
  <c r="AZ22" i="3"/>
  <c r="AE22" i="3"/>
  <c r="V22" i="3"/>
  <c r="O22" i="3" s="1"/>
  <c r="BE21" i="3"/>
  <c r="AZ21" i="3"/>
  <c r="AE21" i="3"/>
  <c r="V21" i="3"/>
  <c r="O21" i="3"/>
  <c r="BE20" i="3"/>
  <c r="AZ20" i="3"/>
  <c r="O20" i="3" s="1"/>
  <c r="AE20" i="3"/>
  <c r="V20" i="3"/>
  <c r="BE19" i="3"/>
  <c r="AZ19" i="3"/>
  <c r="AE19" i="3"/>
  <c r="O19" i="3" s="1"/>
  <c r="V19" i="3"/>
  <c r="BE18" i="3"/>
  <c r="AZ18" i="3"/>
  <c r="AE18" i="3"/>
  <c r="V18" i="3"/>
  <c r="O18" i="3" s="1"/>
  <c r="BE17" i="3"/>
  <c r="AZ17" i="3"/>
  <c r="AE17" i="3"/>
  <c r="V17" i="3"/>
  <c r="O17" i="3"/>
  <c r="BE16" i="3"/>
  <c r="AZ16" i="3"/>
  <c r="AE16" i="3"/>
  <c r="V16" i="3"/>
  <c r="O16" i="3" s="1"/>
  <c r="BE15" i="3"/>
  <c r="AZ15" i="3"/>
  <c r="AE15" i="3"/>
  <c r="V15" i="3"/>
  <c r="O15" i="3"/>
  <c r="BE14" i="3"/>
  <c r="AZ14" i="3"/>
  <c r="O14" i="3" s="1"/>
  <c r="AE14" i="3"/>
  <c r="V14" i="3"/>
  <c r="BE13" i="3"/>
  <c r="AZ13" i="3"/>
  <c r="AE13" i="3"/>
  <c r="O13" i="3" s="1"/>
  <c r="V13" i="3"/>
  <c r="BE12" i="3"/>
  <c r="AZ12" i="3"/>
  <c r="AE12" i="3"/>
  <c r="V12" i="3"/>
  <c r="O12" i="3" s="1"/>
  <c r="BE11" i="3"/>
  <c r="AZ11" i="3"/>
  <c r="AE11" i="3"/>
  <c r="V11" i="3"/>
  <c r="O11" i="3"/>
  <c r="BE10" i="3"/>
  <c r="AZ10" i="3"/>
  <c r="AE10" i="3"/>
  <c r="V10" i="3"/>
  <c r="O10" i="3" s="1"/>
  <c r="BE9" i="3"/>
  <c r="AZ9" i="3"/>
  <c r="AE9" i="3"/>
  <c r="V9" i="3"/>
  <c r="O9" i="3"/>
  <c r="BE8" i="3"/>
  <c r="AZ8" i="3"/>
  <c r="O8" i="3" s="1"/>
  <c r="AE8" i="3"/>
  <c r="V8" i="3"/>
  <c r="BE7" i="3"/>
  <c r="AZ7" i="3"/>
  <c r="AE7" i="3"/>
  <c r="O7" i="3" s="1"/>
  <c r="V7" i="3"/>
  <c r="BE6" i="3"/>
  <c r="AZ6" i="3"/>
  <c r="AE6" i="3"/>
  <c r="V6" i="3"/>
  <c r="O6" i="3" s="1"/>
  <c r="BE5" i="3"/>
  <c r="AZ5" i="3"/>
  <c r="AE5" i="3"/>
  <c r="V5" i="3"/>
  <c r="O5" i="3"/>
  <c r="BE4" i="3"/>
  <c r="AZ4" i="3"/>
  <c r="AE4" i="3"/>
  <c r="V4" i="3"/>
  <c r="O4" i="3" s="1"/>
  <c r="BE3" i="3"/>
  <c r="AZ3" i="3"/>
  <c r="AE3" i="3"/>
  <c r="V3" i="3"/>
  <c r="O3" i="3"/>
  <c r="AE2" i="3"/>
  <c r="V2" i="3"/>
  <c r="O2" i="3" s="1"/>
  <c r="BG660" i="2"/>
  <c r="BB660" i="2"/>
  <c r="AG660" i="2"/>
  <c r="X660" i="2"/>
  <c r="BG659" i="2"/>
  <c r="BB659" i="2"/>
  <c r="AG659" i="2"/>
  <c r="X659" i="2"/>
  <c r="BG658" i="2"/>
  <c r="BB658" i="2"/>
  <c r="AG658" i="2"/>
  <c r="X658" i="2"/>
  <c r="BG656" i="2"/>
  <c r="BB656" i="2"/>
  <c r="AG656" i="2"/>
  <c r="X656" i="2"/>
  <c r="BG572" i="2"/>
  <c r="BB572" i="2"/>
  <c r="AG572" i="2"/>
  <c r="X572" i="2"/>
  <c r="BG655" i="2"/>
  <c r="BB655" i="2"/>
  <c r="AG655" i="2"/>
  <c r="X655" i="2"/>
  <c r="BG654" i="2"/>
  <c r="BB654" i="2"/>
  <c r="AG654" i="2"/>
  <c r="X654" i="2"/>
  <c r="BG653" i="2"/>
  <c r="BB653" i="2"/>
  <c r="AG653" i="2"/>
  <c r="X653" i="2"/>
  <c r="BG652" i="2"/>
  <c r="BB652" i="2"/>
  <c r="AG652" i="2"/>
  <c r="X652" i="2"/>
  <c r="BG646" i="2"/>
  <c r="BB646" i="2"/>
  <c r="AG646" i="2"/>
  <c r="X646" i="2"/>
  <c r="BG645" i="2"/>
  <c r="BB645" i="2"/>
  <c r="AG645" i="2"/>
  <c r="X645" i="2"/>
  <c r="BG677" i="2"/>
  <c r="BB677" i="2"/>
  <c r="AG677" i="2"/>
  <c r="X677" i="2"/>
  <c r="BG571" i="2"/>
  <c r="BB571" i="2"/>
  <c r="AG571" i="2"/>
  <c r="X571" i="2"/>
  <c r="BG570" i="2"/>
  <c r="BB570" i="2"/>
  <c r="AG570" i="2"/>
  <c r="X570" i="2"/>
  <c r="BG569" i="2"/>
  <c r="BB569" i="2"/>
  <c r="AG569" i="2"/>
  <c r="X569" i="2"/>
  <c r="AG665" i="2"/>
  <c r="X665" i="2"/>
  <c r="BG568" i="2"/>
  <c r="BB568" i="2"/>
  <c r="AG568" i="2"/>
  <c r="X568" i="2"/>
  <c r="BG567" i="2"/>
  <c r="BB567" i="2"/>
  <c r="AG567" i="2"/>
  <c r="X567" i="2"/>
  <c r="BG566" i="2"/>
  <c r="BB566" i="2"/>
  <c r="AG566" i="2"/>
  <c r="X566" i="2"/>
  <c r="BG565" i="2"/>
  <c r="BB565" i="2"/>
  <c r="AG565" i="2"/>
  <c r="X565" i="2"/>
  <c r="BG564" i="2"/>
  <c r="BB564" i="2"/>
  <c r="AG564" i="2"/>
  <c r="X564" i="2"/>
  <c r="BG563" i="2"/>
  <c r="BB563" i="2"/>
  <c r="AG563" i="2"/>
  <c r="X563" i="2"/>
  <c r="BG562" i="2"/>
  <c r="BB562" i="2"/>
  <c r="AG562" i="2"/>
  <c r="X562" i="2"/>
  <c r="BG561" i="2"/>
  <c r="BB561" i="2"/>
  <c r="AG561" i="2"/>
  <c r="X561" i="2"/>
  <c r="BG560" i="2"/>
  <c r="BB560" i="2"/>
  <c r="AG560" i="2"/>
  <c r="X560" i="2"/>
  <c r="BG559" i="2"/>
  <c r="BB559" i="2"/>
  <c r="AG559" i="2"/>
  <c r="X559" i="2"/>
  <c r="BG558" i="2"/>
  <c r="BB558" i="2"/>
  <c r="AG558" i="2"/>
  <c r="X558" i="2"/>
  <c r="AG670" i="2"/>
  <c r="X670" i="2"/>
  <c r="AG669" i="2"/>
  <c r="X669" i="2"/>
  <c r="AG668" i="2"/>
  <c r="X668" i="2"/>
  <c r="BG676" i="2"/>
  <c r="BB676" i="2"/>
  <c r="AG676" i="2"/>
  <c r="X676" i="2"/>
  <c r="BG675" i="2"/>
  <c r="BB675" i="2"/>
  <c r="AG675" i="2"/>
  <c r="X675" i="2"/>
  <c r="BG674" i="2"/>
  <c r="BB674" i="2"/>
  <c r="AG674" i="2"/>
  <c r="X674" i="2"/>
  <c r="BG557" i="2"/>
  <c r="BB557" i="2"/>
  <c r="AG557" i="2"/>
  <c r="X557" i="2"/>
  <c r="BG556" i="2"/>
  <c r="BB556" i="2"/>
  <c r="AG556" i="2"/>
  <c r="X556" i="2"/>
  <c r="BG555" i="2"/>
  <c r="BB555" i="2"/>
  <c r="AG555" i="2"/>
  <c r="X555" i="2"/>
  <c r="BG554" i="2"/>
  <c r="BB554" i="2"/>
  <c r="AG554" i="2"/>
  <c r="X554" i="2"/>
  <c r="BG553" i="2"/>
  <c r="BB553" i="2"/>
  <c r="AG553" i="2"/>
  <c r="X553" i="2"/>
  <c r="BG552" i="2"/>
  <c r="BB552" i="2"/>
  <c r="AG552" i="2"/>
  <c r="X552" i="2"/>
  <c r="BG551" i="2"/>
  <c r="BB551" i="2"/>
  <c r="AG551" i="2"/>
  <c r="X551" i="2"/>
  <c r="BG644" i="2"/>
  <c r="BB644" i="2"/>
  <c r="AG644" i="2"/>
  <c r="X644" i="2"/>
  <c r="BG550" i="2"/>
  <c r="BB550" i="2"/>
  <c r="AG550" i="2"/>
  <c r="X550" i="2"/>
  <c r="BG549" i="2"/>
  <c r="BB549" i="2"/>
  <c r="AG549" i="2"/>
  <c r="X549" i="2"/>
  <c r="BG548" i="2"/>
  <c r="BB548" i="2"/>
  <c r="AG548" i="2"/>
  <c r="X548" i="2"/>
  <c r="BG547" i="2"/>
  <c r="BB547" i="2"/>
  <c r="AG547" i="2"/>
  <c r="X547" i="2"/>
  <c r="BG546" i="2"/>
  <c r="BB546" i="2"/>
  <c r="AG546" i="2"/>
  <c r="X546" i="2"/>
  <c r="BG545" i="2"/>
  <c r="BB545" i="2"/>
  <c r="AG545" i="2"/>
  <c r="X545" i="2"/>
  <c r="BG544" i="2"/>
  <c r="BB544" i="2"/>
  <c r="AG544" i="2"/>
  <c r="X544" i="2"/>
  <c r="BG543" i="2"/>
  <c r="BB543" i="2"/>
  <c r="AG543" i="2"/>
  <c r="X543" i="2"/>
  <c r="BG542" i="2"/>
  <c r="BB542" i="2"/>
  <c r="AG542" i="2"/>
  <c r="X542" i="2"/>
  <c r="BG541" i="2"/>
  <c r="BB541" i="2"/>
  <c r="AG541" i="2"/>
  <c r="X541" i="2"/>
  <c r="BG540" i="2"/>
  <c r="BB540" i="2"/>
  <c r="AG540" i="2"/>
  <c r="X540" i="2"/>
  <c r="BG643" i="2"/>
  <c r="BB643" i="2"/>
  <c r="AG643" i="2"/>
  <c r="X643" i="2"/>
  <c r="BG539" i="2"/>
  <c r="BB539" i="2"/>
  <c r="AG539" i="2"/>
  <c r="X539" i="2"/>
  <c r="BG538" i="2"/>
  <c r="BB538" i="2"/>
  <c r="AG538" i="2"/>
  <c r="X538" i="2"/>
  <c r="BG537" i="2"/>
  <c r="BB537" i="2"/>
  <c r="AG537" i="2"/>
  <c r="X537" i="2"/>
  <c r="BG536" i="2"/>
  <c r="BB536" i="2"/>
  <c r="AG536" i="2"/>
  <c r="X536" i="2"/>
  <c r="BG636" i="2"/>
  <c r="BB636" i="2"/>
  <c r="AG636" i="2"/>
  <c r="X636" i="2"/>
  <c r="BG535" i="2"/>
  <c r="BB535" i="2"/>
  <c r="AG535" i="2"/>
  <c r="X535" i="2"/>
  <c r="BG635" i="2"/>
  <c r="BB635" i="2"/>
  <c r="AG635" i="2"/>
  <c r="X635" i="2"/>
  <c r="BG534" i="2"/>
  <c r="BB534" i="2"/>
  <c r="AG534" i="2"/>
  <c r="X534" i="2"/>
  <c r="BG533" i="2"/>
  <c r="BB533" i="2"/>
  <c r="AG533" i="2"/>
  <c r="X533" i="2"/>
  <c r="BG532" i="2"/>
  <c r="BB532" i="2"/>
  <c r="AG532" i="2"/>
  <c r="X532" i="2"/>
  <c r="BG531" i="2"/>
  <c r="BB531" i="2"/>
  <c r="AG531" i="2"/>
  <c r="X531" i="2"/>
  <c r="BG530" i="2"/>
  <c r="BB530" i="2"/>
  <c r="AG530" i="2"/>
  <c r="X530" i="2"/>
  <c r="BG529" i="2"/>
  <c r="BB529" i="2"/>
  <c r="AG529" i="2"/>
  <c r="X529" i="2"/>
  <c r="BG634" i="2"/>
  <c r="BB634" i="2"/>
  <c r="AG634" i="2"/>
  <c r="X634" i="2"/>
  <c r="BG633" i="2"/>
  <c r="BB633" i="2"/>
  <c r="AG633" i="2"/>
  <c r="X633" i="2"/>
  <c r="BG528" i="2"/>
  <c r="BB528" i="2"/>
  <c r="AG528" i="2"/>
  <c r="X528" i="2"/>
  <c r="BG527" i="2"/>
  <c r="BB527" i="2"/>
  <c r="AG527" i="2"/>
  <c r="X527" i="2"/>
  <c r="BG526" i="2"/>
  <c r="BB526" i="2"/>
  <c r="AG526" i="2"/>
  <c r="X526" i="2"/>
  <c r="BG632" i="2"/>
  <c r="BB632" i="2"/>
  <c r="AG632" i="2"/>
  <c r="X632" i="2"/>
  <c r="BG525" i="2"/>
  <c r="BB525" i="2"/>
  <c r="AG525" i="2"/>
  <c r="X525" i="2"/>
  <c r="BG524" i="2"/>
  <c r="BB524" i="2"/>
  <c r="AG524" i="2"/>
  <c r="X524" i="2"/>
  <c r="BG523" i="2"/>
  <c r="BB523" i="2"/>
  <c r="AG523" i="2"/>
  <c r="X523" i="2"/>
  <c r="BG631" i="2"/>
  <c r="BB631" i="2"/>
  <c r="AG631" i="2"/>
  <c r="X631" i="2"/>
  <c r="BG522" i="2"/>
  <c r="BB522" i="2"/>
  <c r="AG522" i="2"/>
  <c r="X522" i="2"/>
  <c r="BG521" i="2"/>
  <c r="BB521" i="2"/>
  <c r="AG521" i="2"/>
  <c r="X521" i="2"/>
  <c r="BG520" i="2"/>
  <c r="BB520" i="2"/>
  <c r="AG520" i="2"/>
  <c r="X520" i="2"/>
  <c r="BG519" i="2"/>
  <c r="BB519" i="2"/>
  <c r="AG519" i="2"/>
  <c r="X519" i="2"/>
  <c r="BG518" i="2"/>
  <c r="BB518" i="2"/>
  <c r="AG518" i="2"/>
  <c r="X518" i="2"/>
  <c r="BG517" i="2"/>
  <c r="BB517" i="2"/>
  <c r="AG517" i="2"/>
  <c r="X517" i="2"/>
  <c r="BG516" i="2"/>
  <c r="BB516" i="2"/>
  <c r="AG516" i="2"/>
  <c r="X516" i="2"/>
  <c r="AG630" i="2"/>
  <c r="X630" i="2"/>
  <c r="BG515" i="2"/>
  <c r="BB515" i="2"/>
  <c r="AG515" i="2"/>
  <c r="X515" i="2"/>
  <c r="BG514" i="2"/>
  <c r="BB514" i="2"/>
  <c r="AG514" i="2"/>
  <c r="X514" i="2"/>
  <c r="BG513" i="2"/>
  <c r="BB513" i="2"/>
  <c r="AG513" i="2"/>
  <c r="X513" i="2"/>
  <c r="BG657" i="2"/>
  <c r="BB657" i="2"/>
  <c r="AG657" i="2"/>
  <c r="X657" i="2"/>
  <c r="BG512" i="2"/>
  <c r="BB512" i="2"/>
  <c r="AG512" i="2"/>
  <c r="X512" i="2"/>
  <c r="BG622" i="2"/>
  <c r="BB622" i="2"/>
  <c r="AG622" i="2"/>
  <c r="X622" i="2"/>
  <c r="AG667" i="2"/>
  <c r="X667" i="2"/>
  <c r="BG511" i="2"/>
  <c r="BB511" i="2"/>
  <c r="AG511" i="2"/>
  <c r="X511" i="2"/>
  <c r="BG510" i="2"/>
  <c r="BB510" i="2"/>
  <c r="AG510" i="2"/>
  <c r="X510" i="2"/>
  <c r="BG509" i="2"/>
  <c r="BB509" i="2"/>
  <c r="AG509" i="2"/>
  <c r="X509" i="2"/>
  <c r="BG508" i="2"/>
  <c r="BB508" i="2"/>
  <c r="AG508" i="2"/>
  <c r="X508" i="2"/>
  <c r="BG507" i="2"/>
  <c r="BB507" i="2"/>
  <c r="AG507" i="2"/>
  <c r="X507" i="2"/>
  <c r="BG506" i="2"/>
  <c r="BB506" i="2"/>
  <c r="AG506" i="2"/>
  <c r="X506" i="2"/>
  <c r="BG505" i="2"/>
  <c r="BB505" i="2"/>
  <c r="AG505" i="2"/>
  <c r="X505" i="2"/>
  <c r="BG504" i="2"/>
  <c r="BB504" i="2"/>
  <c r="AG504" i="2"/>
  <c r="X504" i="2"/>
  <c r="BG503" i="2"/>
  <c r="BB503" i="2"/>
  <c r="AG503" i="2"/>
  <c r="X503" i="2"/>
  <c r="BG502" i="2"/>
  <c r="BB502" i="2"/>
  <c r="AG502" i="2"/>
  <c r="X502" i="2"/>
  <c r="BG501" i="2"/>
  <c r="BB501" i="2"/>
  <c r="AG501" i="2"/>
  <c r="X501" i="2"/>
  <c r="BG500" i="2"/>
  <c r="BB500" i="2"/>
  <c r="AG500" i="2"/>
  <c r="X500" i="2"/>
  <c r="BG499" i="2"/>
  <c r="BB499" i="2"/>
  <c r="AG499" i="2"/>
  <c r="X499" i="2"/>
  <c r="BG498" i="2"/>
  <c r="BB498" i="2"/>
  <c r="AG498" i="2"/>
  <c r="X498" i="2"/>
  <c r="BG497" i="2"/>
  <c r="BB497" i="2"/>
  <c r="AG497" i="2"/>
  <c r="X497" i="2"/>
  <c r="BG496" i="2"/>
  <c r="BB496" i="2"/>
  <c r="AG496" i="2"/>
  <c r="X496" i="2"/>
  <c r="BG495" i="2"/>
  <c r="BB495" i="2"/>
  <c r="AG495" i="2"/>
  <c r="X495" i="2"/>
  <c r="BG494" i="2"/>
  <c r="BB494" i="2"/>
  <c r="AG494" i="2"/>
  <c r="X494" i="2"/>
  <c r="BG493" i="2"/>
  <c r="BB493" i="2"/>
  <c r="AG493" i="2"/>
  <c r="X493" i="2"/>
  <c r="BG492" i="2"/>
  <c r="BB492" i="2"/>
  <c r="AG492" i="2"/>
  <c r="X492" i="2"/>
  <c r="BG491" i="2"/>
  <c r="BB491" i="2"/>
  <c r="AG491" i="2"/>
  <c r="X491" i="2"/>
  <c r="BG490" i="2"/>
  <c r="BB490" i="2"/>
  <c r="AG490" i="2"/>
  <c r="X490" i="2"/>
  <c r="BG489" i="2"/>
  <c r="BB489" i="2"/>
  <c r="AG489" i="2"/>
  <c r="X489" i="2"/>
  <c r="BG488" i="2"/>
  <c r="BB488" i="2"/>
  <c r="AG488" i="2"/>
  <c r="X488" i="2"/>
  <c r="BG487" i="2"/>
  <c r="BB487" i="2"/>
  <c r="AG487" i="2"/>
  <c r="X487" i="2"/>
  <c r="BG486" i="2"/>
  <c r="BB486" i="2"/>
  <c r="AG486" i="2"/>
  <c r="X486" i="2"/>
  <c r="BG485" i="2"/>
  <c r="BB485" i="2"/>
  <c r="AG485" i="2"/>
  <c r="X485" i="2"/>
  <c r="BG484" i="2"/>
  <c r="BB484" i="2"/>
  <c r="AG484" i="2"/>
  <c r="X484" i="2"/>
  <c r="BG629" i="2"/>
  <c r="BB629" i="2"/>
  <c r="AG629" i="2"/>
  <c r="X629" i="2"/>
  <c r="BG483" i="2"/>
  <c r="BB483" i="2"/>
  <c r="AG483" i="2"/>
  <c r="X483" i="2"/>
  <c r="BG628" i="2"/>
  <c r="BB628" i="2"/>
  <c r="AG628" i="2"/>
  <c r="X628" i="2"/>
  <c r="BG482" i="2"/>
  <c r="BB482" i="2"/>
  <c r="AG482" i="2"/>
  <c r="X482" i="2"/>
  <c r="BG481" i="2"/>
  <c r="BB481" i="2"/>
  <c r="AG481" i="2"/>
  <c r="X481" i="2"/>
  <c r="BG480" i="2"/>
  <c r="BB480" i="2"/>
  <c r="AG480" i="2"/>
  <c r="X480" i="2"/>
  <c r="Q627" i="2"/>
  <c r="BG626" i="2"/>
  <c r="BB626" i="2"/>
  <c r="AG626" i="2"/>
  <c r="X626" i="2"/>
  <c r="BG642" i="2"/>
  <c r="BB642" i="2"/>
  <c r="AG642" i="2"/>
  <c r="X642" i="2"/>
  <c r="BG673" i="2"/>
  <c r="BB673" i="2"/>
  <c r="AG673" i="2"/>
  <c r="X673" i="2"/>
  <c r="BG672" i="2"/>
  <c r="BB672" i="2"/>
  <c r="AG672" i="2"/>
  <c r="X672" i="2"/>
  <c r="BG479" i="2"/>
  <c r="BB479" i="2"/>
  <c r="AG479" i="2"/>
  <c r="X479" i="2"/>
  <c r="BG671" i="2"/>
  <c r="BB671" i="2"/>
  <c r="AG671" i="2"/>
  <c r="X671" i="2"/>
  <c r="BG666" i="2"/>
  <c r="BB666" i="2"/>
  <c r="AG666" i="2"/>
  <c r="X666" i="2"/>
  <c r="BG664" i="2"/>
  <c r="BB664" i="2"/>
  <c r="AG664" i="2"/>
  <c r="X664" i="2"/>
  <c r="BG619" i="2"/>
  <c r="BB619" i="2"/>
  <c r="AG619" i="2"/>
  <c r="X619" i="2"/>
  <c r="BG478" i="2"/>
  <c r="BB478" i="2"/>
  <c r="AG478" i="2"/>
  <c r="X478" i="2"/>
  <c r="BG477" i="2"/>
  <c r="BB477" i="2"/>
  <c r="AG477" i="2"/>
  <c r="X477" i="2"/>
  <c r="BG476" i="2"/>
  <c r="BB476" i="2"/>
  <c r="AG476" i="2"/>
  <c r="X476" i="2"/>
  <c r="BG475" i="2"/>
  <c r="BB475" i="2"/>
  <c r="AG475" i="2"/>
  <c r="X475" i="2"/>
  <c r="BG474" i="2"/>
  <c r="BB474" i="2"/>
  <c r="AG474" i="2"/>
  <c r="X474" i="2"/>
  <c r="BG473" i="2"/>
  <c r="BB473" i="2"/>
  <c r="AG473" i="2"/>
  <c r="X473" i="2"/>
  <c r="BG472" i="2"/>
  <c r="BB472" i="2"/>
  <c r="AG472" i="2"/>
  <c r="X472" i="2"/>
  <c r="BG471" i="2"/>
  <c r="BB471" i="2"/>
  <c r="AG471" i="2"/>
  <c r="X471" i="2"/>
  <c r="BG470" i="2"/>
  <c r="BB470" i="2"/>
  <c r="AG470" i="2"/>
  <c r="X470" i="2"/>
  <c r="BG469" i="2"/>
  <c r="BB469" i="2"/>
  <c r="AG469" i="2"/>
  <c r="X469" i="2"/>
  <c r="BG468" i="2"/>
  <c r="BB468" i="2"/>
  <c r="AG468" i="2"/>
  <c r="X468" i="2"/>
  <c r="BG467" i="2"/>
  <c r="BB467" i="2"/>
  <c r="AG467" i="2"/>
  <c r="X467" i="2"/>
  <c r="BG466" i="2"/>
  <c r="BB466" i="2"/>
  <c r="AG466" i="2"/>
  <c r="X466" i="2"/>
  <c r="BG465" i="2"/>
  <c r="BB465" i="2"/>
  <c r="AG465" i="2"/>
  <c r="X465" i="2"/>
  <c r="BG464" i="2"/>
  <c r="BB464" i="2"/>
  <c r="AG464" i="2"/>
  <c r="X464" i="2"/>
  <c r="BG463" i="2"/>
  <c r="BB463" i="2"/>
  <c r="AG463" i="2"/>
  <c r="X463" i="2"/>
  <c r="BG618" i="2"/>
  <c r="BB618" i="2"/>
  <c r="AG618" i="2"/>
  <c r="X618" i="2"/>
  <c r="BG617" i="2"/>
  <c r="BB617" i="2"/>
  <c r="AG617" i="2"/>
  <c r="X617" i="2"/>
  <c r="BG663" i="2"/>
  <c r="BB663" i="2"/>
  <c r="AG663" i="2"/>
  <c r="X663" i="2"/>
  <c r="BG462" i="2"/>
  <c r="BB462" i="2"/>
  <c r="AG462" i="2"/>
  <c r="X462" i="2"/>
  <c r="BG461" i="2"/>
  <c r="BB461" i="2"/>
  <c r="AG461" i="2"/>
  <c r="X461" i="2"/>
  <c r="BG460" i="2"/>
  <c r="BB460" i="2"/>
  <c r="AG460" i="2"/>
  <c r="X460" i="2"/>
  <c r="BG459" i="2"/>
  <c r="BB459" i="2"/>
  <c r="AG459" i="2"/>
  <c r="X459" i="2"/>
  <c r="BG458" i="2"/>
  <c r="BB458" i="2"/>
  <c r="AG458" i="2"/>
  <c r="X458" i="2"/>
  <c r="BG457" i="2"/>
  <c r="BB457" i="2"/>
  <c r="AG457" i="2"/>
  <c r="X457" i="2"/>
  <c r="BG456" i="2"/>
  <c r="BB456" i="2"/>
  <c r="AG456" i="2"/>
  <c r="X456" i="2"/>
  <c r="BG455" i="2"/>
  <c r="BB455" i="2"/>
  <c r="AG455" i="2"/>
  <c r="X455" i="2"/>
  <c r="BG454" i="2"/>
  <c r="BB454" i="2"/>
  <c r="AG454" i="2"/>
  <c r="X454" i="2"/>
  <c r="BG453" i="2"/>
  <c r="BB453" i="2"/>
  <c r="AG453" i="2"/>
  <c r="X453" i="2"/>
  <c r="BG452" i="2"/>
  <c r="BB452" i="2"/>
  <c r="AG452" i="2"/>
  <c r="X452" i="2"/>
  <c r="BG451" i="2"/>
  <c r="BB451" i="2"/>
  <c r="AG451" i="2"/>
  <c r="X451" i="2"/>
  <c r="BG450" i="2"/>
  <c r="BB450" i="2"/>
  <c r="AG450" i="2"/>
  <c r="X450" i="2"/>
  <c r="BG615" i="2"/>
  <c r="BB615" i="2"/>
  <c r="AG615" i="2"/>
  <c r="X615" i="2"/>
  <c r="BG614" i="2"/>
  <c r="BB614" i="2"/>
  <c r="AG614" i="2"/>
  <c r="X614" i="2"/>
  <c r="BG613" i="2"/>
  <c r="BB613" i="2"/>
  <c r="AG613" i="2"/>
  <c r="X613" i="2"/>
  <c r="BG612" i="2"/>
  <c r="BB612" i="2"/>
  <c r="AG612" i="2"/>
  <c r="X612" i="2"/>
  <c r="BG611" i="2"/>
  <c r="BB611" i="2"/>
  <c r="AG611" i="2"/>
  <c r="X611" i="2"/>
  <c r="BG610" i="2"/>
  <c r="BB610" i="2"/>
  <c r="AG610" i="2"/>
  <c r="X610" i="2"/>
  <c r="BG609" i="2"/>
  <c r="BB609" i="2"/>
  <c r="AG609" i="2"/>
  <c r="X609" i="2"/>
  <c r="BG608" i="2"/>
  <c r="BB608" i="2"/>
  <c r="AG608" i="2"/>
  <c r="X608" i="2"/>
  <c r="BG449" i="2"/>
  <c r="BB449" i="2"/>
  <c r="AG449" i="2"/>
  <c r="X449" i="2"/>
  <c r="BG448" i="2"/>
  <c r="BB448" i="2"/>
  <c r="AG448" i="2"/>
  <c r="X448" i="2"/>
  <c r="BG447" i="2"/>
  <c r="BB447" i="2"/>
  <c r="AG447" i="2"/>
  <c r="X447" i="2"/>
  <c r="BG446" i="2"/>
  <c r="BB446" i="2"/>
  <c r="AG446" i="2"/>
  <c r="X446" i="2"/>
  <c r="BG445" i="2"/>
  <c r="BB445" i="2"/>
  <c r="AG445" i="2"/>
  <c r="X445" i="2"/>
  <c r="BG444" i="2"/>
  <c r="BB444" i="2"/>
  <c r="AG444" i="2"/>
  <c r="X444" i="2"/>
  <c r="BG607" i="2"/>
  <c r="BB607" i="2"/>
  <c r="AG607" i="2"/>
  <c r="X607" i="2"/>
  <c r="BG443" i="2"/>
  <c r="BB443" i="2"/>
  <c r="AG443" i="2"/>
  <c r="X443" i="2"/>
  <c r="BG606" i="2"/>
  <c r="BB606" i="2"/>
  <c r="AG606" i="2"/>
  <c r="X606" i="2"/>
  <c r="BG605" i="2"/>
  <c r="BB605" i="2"/>
  <c r="AG605" i="2"/>
  <c r="X605" i="2"/>
  <c r="BG604" i="2"/>
  <c r="BB604" i="2"/>
  <c r="AG604" i="2"/>
  <c r="X604" i="2"/>
  <c r="BG603" i="2"/>
  <c r="BB603" i="2"/>
  <c r="AG603" i="2"/>
  <c r="X603" i="2"/>
  <c r="BG442" i="2"/>
  <c r="BB442" i="2"/>
  <c r="AG442" i="2"/>
  <c r="X442" i="2"/>
  <c r="BG441" i="2"/>
  <c r="BB441" i="2"/>
  <c r="AG441" i="2"/>
  <c r="X441" i="2"/>
  <c r="BG440" i="2"/>
  <c r="BB440" i="2"/>
  <c r="AG440" i="2"/>
  <c r="X440" i="2"/>
  <c r="BG439" i="2"/>
  <c r="BB439" i="2"/>
  <c r="AG439" i="2"/>
  <c r="X439" i="2"/>
  <c r="BG438" i="2"/>
  <c r="BB438" i="2"/>
  <c r="AG438" i="2"/>
  <c r="X438" i="2"/>
  <c r="BG437" i="2"/>
  <c r="BB437" i="2"/>
  <c r="AG437" i="2"/>
  <c r="X437" i="2"/>
  <c r="BG602" i="2"/>
  <c r="BB602" i="2"/>
  <c r="AG602" i="2"/>
  <c r="X602" i="2"/>
  <c r="BG436" i="2"/>
  <c r="BB436" i="2"/>
  <c r="AG436" i="2"/>
  <c r="X436" i="2"/>
  <c r="BG435" i="2"/>
  <c r="BB435" i="2"/>
  <c r="AG435" i="2"/>
  <c r="X435" i="2"/>
  <c r="BG434" i="2"/>
  <c r="BB434" i="2"/>
  <c r="AG434" i="2"/>
  <c r="X434" i="2"/>
  <c r="BG433" i="2"/>
  <c r="BB433" i="2"/>
  <c r="AG433" i="2"/>
  <c r="X433" i="2"/>
  <c r="BG432" i="2"/>
  <c r="BB432" i="2"/>
  <c r="AG432" i="2"/>
  <c r="X432" i="2"/>
  <c r="BG431" i="2"/>
  <c r="BB431" i="2"/>
  <c r="AG431" i="2"/>
  <c r="X431" i="2"/>
  <c r="BG430" i="2"/>
  <c r="BB430" i="2"/>
  <c r="AG430" i="2"/>
  <c r="X430" i="2"/>
  <c r="BG601" i="2"/>
  <c r="BB601" i="2"/>
  <c r="AG601" i="2"/>
  <c r="X601" i="2"/>
  <c r="BG429" i="2"/>
  <c r="BB429" i="2"/>
  <c r="AG429" i="2"/>
  <c r="X429" i="2"/>
  <c r="BG600" i="2"/>
  <c r="BB600" i="2"/>
  <c r="AG600" i="2"/>
  <c r="X600" i="2"/>
  <c r="BG428" i="2"/>
  <c r="BB428" i="2"/>
  <c r="AG428" i="2"/>
  <c r="X428" i="2"/>
  <c r="BG427" i="2"/>
  <c r="BB427" i="2"/>
  <c r="AG427" i="2"/>
  <c r="X427" i="2"/>
  <c r="BG426" i="2"/>
  <c r="BB426" i="2"/>
  <c r="AG426" i="2"/>
  <c r="X426" i="2"/>
  <c r="BG425" i="2"/>
  <c r="BB425" i="2"/>
  <c r="AG425" i="2"/>
  <c r="X425" i="2"/>
  <c r="BG424" i="2"/>
  <c r="BB424" i="2"/>
  <c r="AG424" i="2"/>
  <c r="X424" i="2"/>
  <c r="BG423" i="2"/>
  <c r="BB423" i="2"/>
  <c r="AG423" i="2"/>
  <c r="X423" i="2"/>
  <c r="BG422" i="2"/>
  <c r="BB422" i="2"/>
  <c r="AG422" i="2"/>
  <c r="X422" i="2"/>
  <c r="BG421" i="2"/>
  <c r="BB421" i="2"/>
  <c r="AG421" i="2"/>
  <c r="X421" i="2"/>
  <c r="BG420" i="2"/>
  <c r="BB420" i="2"/>
  <c r="AG420" i="2"/>
  <c r="X420" i="2"/>
  <c r="BG419" i="2"/>
  <c r="BB419" i="2"/>
  <c r="AG419" i="2"/>
  <c r="X419" i="2"/>
  <c r="BG418" i="2"/>
  <c r="BB418" i="2"/>
  <c r="AG418" i="2"/>
  <c r="X418" i="2"/>
  <c r="BG417" i="2"/>
  <c r="BB417" i="2"/>
  <c r="AG417" i="2"/>
  <c r="X417" i="2"/>
  <c r="BG621" i="2"/>
  <c r="BB621" i="2"/>
  <c r="AG621" i="2"/>
  <c r="X621" i="2"/>
  <c r="BG620" i="2"/>
  <c r="BB620" i="2"/>
  <c r="AG620" i="2"/>
  <c r="X620" i="2"/>
  <c r="BG616" i="2"/>
  <c r="BB616" i="2"/>
  <c r="AG616" i="2"/>
  <c r="X616" i="2"/>
  <c r="BG416" i="2"/>
  <c r="BB416" i="2"/>
  <c r="AG416" i="2"/>
  <c r="X416" i="2"/>
  <c r="BG415" i="2"/>
  <c r="BB415" i="2"/>
  <c r="AG415" i="2"/>
  <c r="X415" i="2"/>
  <c r="BG414" i="2"/>
  <c r="BB414" i="2"/>
  <c r="AG414" i="2"/>
  <c r="X414" i="2"/>
  <c r="BG413" i="2"/>
  <c r="BB413" i="2"/>
  <c r="AG413" i="2"/>
  <c r="X413" i="2"/>
  <c r="BG412" i="2"/>
  <c r="BB412" i="2"/>
  <c r="AG412" i="2"/>
  <c r="X412" i="2"/>
  <c r="BG411" i="2"/>
  <c r="BB411" i="2"/>
  <c r="AG411" i="2"/>
  <c r="X411" i="2"/>
  <c r="BG410" i="2"/>
  <c r="BB410" i="2"/>
  <c r="AG410" i="2"/>
  <c r="X410" i="2"/>
  <c r="BG409" i="2"/>
  <c r="BB409" i="2"/>
  <c r="AG409" i="2"/>
  <c r="X409" i="2"/>
  <c r="BG408" i="2"/>
  <c r="BB408" i="2"/>
  <c r="AG408" i="2"/>
  <c r="X408" i="2"/>
  <c r="BG407" i="2"/>
  <c r="BB407" i="2"/>
  <c r="AG407" i="2"/>
  <c r="X407" i="2"/>
  <c r="BG406" i="2"/>
  <c r="BB406" i="2"/>
  <c r="AG406" i="2"/>
  <c r="X406" i="2"/>
  <c r="BG405" i="2"/>
  <c r="BB405" i="2"/>
  <c r="AG405" i="2"/>
  <c r="X405" i="2"/>
  <c r="BG404" i="2"/>
  <c r="BB404" i="2"/>
  <c r="AG404" i="2"/>
  <c r="X404" i="2"/>
  <c r="BG403" i="2"/>
  <c r="BB403" i="2"/>
  <c r="AG403" i="2"/>
  <c r="X403" i="2"/>
  <c r="BG402" i="2"/>
  <c r="BB402" i="2"/>
  <c r="AG402" i="2"/>
  <c r="X402" i="2"/>
  <c r="BG651" i="2"/>
  <c r="BB651" i="2"/>
  <c r="AG651" i="2"/>
  <c r="X651" i="2"/>
  <c r="BG599" i="2"/>
  <c r="BB599" i="2"/>
  <c r="AG599" i="2"/>
  <c r="X599" i="2"/>
  <c r="BG650" i="2"/>
  <c r="BB650" i="2"/>
  <c r="AG650" i="2"/>
  <c r="X650" i="2"/>
  <c r="BG649" i="2"/>
  <c r="BB649" i="2"/>
  <c r="AG649" i="2"/>
  <c r="X649" i="2"/>
  <c r="BG598" i="2"/>
  <c r="BB598" i="2"/>
  <c r="AG598" i="2"/>
  <c r="X598" i="2"/>
  <c r="BG648" i="2"/>
  <c r="BB648" i="2"/>
  <c r="AG648" i="2"/>
  <c r="X648" i="2"/>
  <c r="BG597" i="2"/>
  <c r="BB597" i="2"/>
  <c r="AG597" i="2"/>
  <c r="X597" i="2"/>
  <c r="BG647" i="2"/>
  <c r="BB647" i="2"/>
  <c r="AG647" i="2"/>
  <c r="X647" i="2"/>
  <c r="BG596" i="2"/>
  <c r="BB596" i="2"/>
  <c r="AG596" i="2"/>
  <c r="X596" i="2"/>
  <c r="BG401" i="2"/>
  <c r="BB401" i="2"/>
  <c r="AG401" i="2"/>
  <c r="X401" i="2"/>
  <c r="BG400" i="2"/>
  <c r="BB400" i="2"/>
  <c r="AG400" i="2"/>
  <c r="X400" i="2"/>
  <c r="BG399" i="2"/>
  <c r="BB399" i="2"/>
  <c r="AG399" i="2"/>
  <c r="X399" i="2"/>
  <c r="BG398" i="2"/>
  <c r="BB398" i="2"/>
  <c r="AG398" i="2"/>
  <c r="X398" i="2"/>
  <c r="BG397" i="2"/>
  <c r="BB397" i="2"/>
  <c r="AG397" i="2"/>
  <c r="X397" i="2"/>
  <c r="BG396" i="2"/>
  <c r="BB396" i="2"/>
  <c r="AG396" i="2"/>
  <c r="X396" i="2"/>
  <c r="BG395" i="2"/>
  <c r="BB395" i="2"/>
  <c r="AG395" i="2"/>
  <c r="X395" i="2"/>
  <c r="BG394" i="2"/>
  <c r="BB394" i="2"/>
  <c r="AG394" i="2"/>
  <c r="X394" i="2"/>
  <c r="BG393" i="2"/>
  <c r="BB393" i="2"/>
  <c r="AG393" i="2"/>
  <c r="X393" i="2"/>
  <c r="BG392" i="2"/>
  <c r="BB392" i="2"/>
  <c r="AG392" i="2"/>
  <c r="X392" i="2"/>
  <c r="BG391" i="2"/>
  <c r="BB391" i="2"/>
  <c r="AG391" i="2"/>
  <c r="X391" i="2"/>
  <c r="BG390" i="2"/>
  <c r="BB390" i="2"/>
  <c r="AG390" i="2"/>
  <c r="X390" i="2"/>
  <c r="BG389" i="2"/>
  <c r="BB389" i="2"/>
  <c r="AG389" i="2"/>
  <c r="X389" i="2"/>
  <c r="BG388" i="2"/>
  <c r="BB388" i="2"/>
  <c r="AG388" i="2"/>
  <c r="X388" i="2"/>
  <c r="BG387" i="2"/>
  <c r="BB387" i="2"/>
  <c r="AG387" i="2"/>
  <c r="X387" i="2"/>
  <c r="BG386" i="2"/>
  <c r="BB386" i="2"/>
  <c r="AG386" i="2"/>
  <c r="X386" i="2"/>
  <c r="BG385" i="2"/>
  <c r="BB385" i="2"/>
  <c r="AG385" i="2"/>
  <c r="X385" i="2"/>
  <c r="BG384" i="2"/>
  <c r="BB384" i="2"/>
  <c r="AG384" i="2"/>
  <c r="X384" i="2"/>
  <c r="BG383" i="2"/>
  <c r="BB383" i="2"/>
  <c r="AG383" i="2"/>
  <c r="X383" i="2"/>
  <c r="BG382" i="2"/>
  <c r="BB382" i="2"/>
  <c r="AG382" i="2"/>
  <c r="X382" i="2"/>
  <c r="BG381" i="2"/>
  <c r="BB381" i="2"/>
  <c r="AG381" i="2"/>
  <c r="X381" i="2"/>
  <c r="BG380" i="2"/>
  <c r="BB380" i="2"/>
  <c r="AG380" i="2"/>
  <c r="X380" i="2"/>
  <c r="BG379" i="2"/>
  <c r="BB379" i="2"/>
  <c r="AG379" i="2"/>
  <c r="X379" i="2"/>
  <c r="BG378" i="2"/>
  <c r="BB378" i="2"/>
  <c r="AG378" i="2"/>
  <c r="X378" i="2"/>
  <c r="BG377" i="2"/>
  <c r="BB377" i="2"/>
  <c r="AG377" i="2"/>
  <c r="X377" i="2"/>
  <c r="BG376" i="2"/>
  <c r="BB376" i="2"/>
  <c r="AG376" i="2"/>
  <c r="X376" i="2"/>
  <c r="BG638" i="2"/>
  <c r="BB638" i="2"/>
  <c r="AG638" i="2"/>
  <c r="X638" i="2"/>
  <c r="BG375" i="2"/>
  <c r="BB375" i="2"/>
  <c r="AG375" i="2"/>
  <c r="X375" i="2"/>
  <c r="BG374" i="2"/>
  <c r="BB374" i="2"/>
  <c r="AG374" i="2"/>
  <c r="X374" i="2"/>
  <c r="BG595" i="2"/>
  <c r="BB595" i="2"/>
  <c r="AG595" i="2"/>
  <c r="X595" i="2"/>
  <c r="BG373" i="2"/>
  <c r="BB373" i="2"/>
  <c r="AG373" i="2"/>
  <c r="X373" i="2"/>
  <c r="BG372" i="2"/>
  <c r="BB372" i="2"/>
  <c r="AG372" i="2"/>
  <c r="X372" i="2"/>
  <c r="BG371" i="2"/>
  <c r="BB371" i="2"/>
  <c r="AG371" i="2"/>
  <c r="X371" i="2"/>
  <c r="BG370" i="2"/>
  <c r="BB370" i="2"/>
  <c r="AG370" i="2"/>
  <c r="X370" i="2"/>
  <c r="BG369" i="2"/>
  <c r="BB369" i="2"/>
  <c r="AG369" i="2"/>
  <c r="X369" i="2"/>
  <c r="BG368" i="2"/>
  <c r="BB368" i="2"/>
  <c r="AG368" i="2"/>
  <c r="X368" i="2"/>
  <c r="BG367" i="2"/>
  <c r="BB367" i="2"/>
  <c r="AG367" i="2"/>
  <c r="X367" i="2"/>
  <c r="BG366" i="2"/>
  <c r="BB366" i="2"/>
  <c r="AG366" i="2"/>
  <c r="X366" i="2"/>
  <c r="BG365" i="2"/>
  <c r="BB365" i="2"/>
  <c r="AG365" i="2"/>
  <c r="X365" i="2"/>
  <c r="AG364" i="2"/>
  <c r="X364" i="2"/>
  <c r="BG363" i="2"/>
  <c r="BB363" i="2"/>
  <c r="AG363" i="2"/>
  <c r="X363" i="2"/>
  <c r="BG362" i="2"/>
  <c r="BB362" i="2"/>
  <c r="AG362" i="2"/>
  <c r="X362" i="2"/>
  <c r="BG361" i="2"/>
  <c r="BB361" i="2"/>
  <c r="AG361" i="2"/>
  <c r="X361" i="2"/>
  <c r="BG360" i="2"/>
  <c r="BB360" i="2"/>
  <c r="AG360" i="2"/>
  <c r="X360" i="2"/>
  <c r="BG359" i="2"/>
  <c r="BB359" i="2"/>
  <c r="AG359" i="2"/>
  <c r="X359" i="2"/>
  <c r="BG358" i="2"/>
  <c r="BB358" i="2"/>
  <c r="AG358" i="2"/>
  <c r="X358" i="2"/>
  <c r="BG357" i="2"/>
  <c r="BB357" i="2"/>
  <c r="AG357" i="2"/>
  <c r="X357" i="2"/>
  <c r="BG356" i="2"/>
  <c r="BB356" i="2"/>
  <c r="AG356" i="2"/>
  <c r="X356" i="2"/>
  <c r="BG355" i="2"/>
  <c r="BB355" i="2"/>
  <c r="AG355" i="2"/>
  <c r="X355" i="2"/>
  <c r="BG354" i="2"/>
  <c r="BB354" i="2"/>
  <c r="AG354" i="2"/>
  <c r="X354" i="2"/>
  <c r="BG353" i="2"/>
  <c r="BB353" i="2"/>
  <c r="AG353" i="2"/>
  <c r="X353" i="2"/>
  <c r="BG352" i="2"/>
  <c r="BB352" i="2"/>
  <c r="AG352" i="2"/>
  <c r="X352" i="2"/>
  <c r="BG351" i="2"/>
  <c r="BB351" i="2"/>
  <c r="AG351" i="2"/>
  <c r="X351" i="2"/>
  <c r="BG350" i="2"/>
  <c r="BB350" i="2"/>
  <c r="AG350" i="2"/>
  <c r="X350" i="2"/>
  <c r="BG349" i="2"/>
  <c r="BB349" i="2"/>
  <c r="AG349" i="2"/>
  <c r="X349" i="2"/>
  <c r="BG348" i="2"/>
  <c r="BB348" i="2"/>
  <c r="AG348" i="2"/>
  <c r="X348" i="2"/>
  <c r="BG347" i="2"/>
  <c r="BB347" i="2"/>
  <c r="AG347" i="2"/>
  <c r="X347" i="2"/>
  <c r="BG346" i="2"/>
  <c r="BB346" i="2"/>
  <c r="AG346" i="2"/>
  <c r="X346" i="2"/>
  <c r="BG345" i="2"/>
  <c r="BB345" i="2"/>
  <c r="AG345" i="2"/>
  <c r="X345" i="2"/>
  <c r="BG344" i="2"/>
  <c r="BB344" i="2"/>
  <c r="AG344" i="2"/>
  <c r="X344" i="2"/>
  <c r="BG343" i="2"/>
  <c r="BB343" i="2"/>
  <c r="AG343" i="2"/>
  <c r="X343" i="2"/>
  <c r="BG342" i="2"/>
  <c r="BB342" i="2"/>
  <c r="AG342" i="2"/>
  <c r="X342" i="2"/>
  <c r="BG662" i="2"/>
  <c r="BB662" i="2"/>
  <c r="AG662" i="2"/>
  <c r="X662" i="2"/>
  <c r="BG594" i="2"/>
  <c r="BB594" i="2"/>
  <c r="AG594" i="2"/>
  <c r="X594" i="2"/>
  <c r="BG341" i="2"/>
  <c r="BB341" i="2"/>
  <c r="AG341" i="2"/>
  <c r="X341" i="2"/>
  <c r="AG593" i="2"/>
  <c r="X593" i="2"/>
  <c r="BG340" i="2"/>
  <c r="BB340" i="2"/>
  <c r="AG340" i="2"/>
  <c r="X340" i="2"/>
  <c r="BG339" i="2"/>
  <c r="BB339" i="2"/>
  <c r="AG339" i="2"/>
  <c r="X339" i="2"/>
  <c r="BG338" i="2"/>
  <c r="BB338" i="2"/>
  <c r="AG338" i="2"/>
  <c r="X338" i="2"/>
  <c r="BG337" i="2"/>
  <c r="BB337" i="2"/>
  <c r="AG337" i="2"/>
  <c r="X337" i="2"/>
  <c r="BG336" i="2"/>
  <c r="BB336" i="2"/>
  <c r="AG336" i="2"/>
  <c r="X336" i="2"/>
  <c r="BG335" i="2"/>
  <c r="BB335" i="2"/>
  <c r="AG335" i="2"/>
  <c r="X335" i="2"/>
  <c r="AG592" i="2"/>
  <c r="X592" i="2"/>
  <c r="BG334" i="2"/>
  <c r="BB334" i="2"/>
  <c r="AG334" i="2"/>
  <c r="X334" i="2"/>
  <c r="BG333" i="2"/>
  <c r="BB333" i="2"/>
  <c r="AG333" i="2"/>
  <c r="X333" i="2"/>
  <c r="BG332" i="2"/>
  <c r="BB332" i="2"/>
  <c r="AG332" i="2"/>
  <c r="X332" i="2"/>
  <c r="BG331" i="2"/>
  <c r="BB331" i="2"/>
  <c r="AG331" i="2"/>
  <c r="X331" i="2"/>
  <c r="BG330" i="2"/>
  <c r="BB330" i="2"/>
  <c r="AG330" i="2"/>
  <c r="X330" i="2"/>
  <c r="BG329" i="2"/>
  <c r="BB329" i="2"/>
  <c r="AG329" i="2"/>
  <c r="X329" i="2"/>
  <c r="BG328" i="2"/>
  <c r="BB328" i="2"/>
  <c r="AG328" i="2"/>
  <c r="X328" i="2"/>
  <c r="BG327" i="2"/>
  <c r="BB327" i="2"/>
  <c r="AG327" i="2"/>
  <c r="X327" i="2"/>
  <c r="BG326" i="2"/>
  <c r="BB326" i="2"/>
  <c r="AG326" i="2"/>
  <c r="X326" i="2"/>
  <c r="BG325" i="2"/>
  <c r="BB325" i="2"/>
  <c r="AG325" i="2"/>
  <c r="X325" i="2"/>
  <c r="BG324" i="2"/>
  <c r="BB324" i="2"/>
  <c r="AG324" i="2"/>
  <c r="X324" i="2"/>
  <c r="BG323" i="2"/>
  <c r="BB323" i="2"/>
  <c r="AG323" i="2"/>
  <c r="X323" i="2"/>
  <c r="BG322" i="2"/>
  <c r="BB322" i="2"/>
  <c r="AG322" i="2"/>
  <c r="X322" i="2"/>
  <c r="BG321" i="2"/>
  <c r="BB321" i="2"/>
  <c r="AG321" i="2"/>
  <c r="X321" i="2"/>
  <c r="BG320" i="2"/>
  <c r="BB320" i="2"/>
  <c r="AG320" i="2"/>
  <c r="X320" i="2"/>
  <c r="BG319" i="2"/>
  <c r="BB319" i="2"/>
  <c r="AG319" i="2"/>
  <c r="X319" i="2"/>
  <c r="BG590" i="2"/>
  <c r="BB590" i="2"/>
  <c r="AG590" i="2"/>
  <c r="X590" i="2"/>
  <c r="BG318" i="2"/>
  <c r="BB318" i="2"/>
  <c r="AG318" i="2"/>
  <c r="X318" i="2"/>
  <c r="BG317" i="2"/>
  <c r="BB317" i="2"/>
  <c r="AG317" i="2"/>
  <c r="X317" i="2"/>
  <c r="BG589" i="2"/>
  <c r="BB589" i="2"/>
  <c r="AG589" i="2"/>
  <c r="X589" i="2"/>
  <c r="BG588" i="2"/>
  <c r="BB588" i="2"/>
  <c r="AG588" i="2"/>
  <c r="X588" i="2"/>
  <c r="BG316" i="2"/>
  <c r="BB316" i="2"/>
  <c r="AG316" i="2"/>
  <c r="X316" i="2"/>
  <c r="BG315" i="2"/>
  <c r="BB315" i="2"/>
  <c r="AG315" i="2"/>
  <c r="X315" i="2"/>
  <c r="BG314" i="2"/>
  <c r="BB314" i="2"/>
  <c r="AG314" i="2"/>
  <c r="X314" i="2"/>
  <c r="BG313" i="2"/>
  <c r="BB313" i="2"/>
  <c r="AG313" i="2"/>
  <c r="X313" i="2"/>
  <c r="BG312" i="2"/>
  <c r="BB312" i="2"/>
  <c r="AG312" i="2"/>
  <c r="X312" i="2"/>
  <c r="BG311" i="2"/>
  <c r="BB311" i="2"/>
  <c r="AG311" i="2"/>
  <c r="X311" i="2"/>
  <c r="AG587" i="2"/>
  <c r="X587" i="2"/>
  <c r="Q587" i="2" s="1"/>
  <c r="BG310" i="2"/>
  <c r="BB310" i="2"/>
  <c r="AG310" i="2"/>
  <c r="X310" i="2"/>
  <c r="BG309" i="2"/>
  <c r="BB309" i="2"/>
  <c r="AG309" i="2"/>
  <c r="X309" i="2"/>
  <c r="BG308" i="2"/>
  <c r="BB308" i="2"/>
  <c r="AG308" i="2"/>
  <c r="X308" i="2"/>
  <c r="BG307" i="2"/>
  <c r="BB307" i="2"/>
  <c r="AG307" i="2"/>
  <c r="X307" i="2"/>
  <c r="BG306" i="2"/>
  <c r="BB306" i="2"/>
  <c r="AG306" i="2"/>
  <c r="X306" i="2"/>
  <c r="AG637" i="2"/>
  <c r="X637" i="2"/>
  <c r="AG625" i="2"/>
  <c r="X625" i="2"/>
  <c r="BG305" i="2"/>
  <c r="BB305" i="2"/>
  <c r="AG305" i="2"/>
  <c r="X305" i="2"/>
  <c r="BG304" i="2"/>
  <c r="BB304" i="2"/>
  <c r="AG304" i="2"/>
  <c r="X304" i="2"/>
  <c r="BG303" i="2"/>
  <c r="BB303" i="2"/>
  <c r="AG303" i="2"/>
  <c r="X303" i="2"/>
  <c r="BG302" i="2"/>
  <c r="BB302" i="2"/>
  <c r="AG302" i="2"/>
  <c r="X302" i="2"/>
  <c r="BG301" i="2"/>
  <c r="BB301" i="2"/>
  <c r="AG301" i="2"/>
  <c r="X301" i="2"/>
  <c r="BG300" i="2"/>
  <c r="BB300" i="2"/>
  <c r="AG300" i="2"/>
  <c r="X300" i="2"/>
  <c r="AG624" i="2"/>
  <c r="X624" i="2"/>
  <c r="BG299" i="2"/>
  <c r="BB299" i="2"/>
  <c r="AG299" i="2"/>
  <c r="X299" i="2"/>
  <c r="BG298" i="2"/>
  <c r="BB298" i="2"/>
  <c r="AG298" i="2"/>
  <c r="X298" i="2"/>
  <c r="AG623" i="2"/>
  <c r="X623" i="2"/>
  <c r="BG297" i="2"/>
  <c r="BB297" i="2"/>
  <c r="AG297" i="2"/>
  <c r="X297" i="2"/>
  <c r="BG296" i="2"/>
  <c r="BB296" i="2"/>
  <c r="AG296" i="2"/>
  <c r="X296" i="2"/>
  <c r="BG295" i="2"/>
  <c r="BB295" i="2"/>
  <c r="AG295" i="2"/>
  <c r="X295" i="2"/>
  <c r="BG294" i="2"/>
  <c r="BB294" i="2"/>
  <c r="AG294" i="2"/>
  <c r="X294" i="2"/>
  <c r="BG293" i="2"/>
  <c r="BB293" i="2"/>
  <c r="AG293" i="2"/>
  <c r="X293" i="2"/>
  <c r="BG292" i="2"/>
  <c r="BB292" i="2"/>
  <c r="AG292" i="2"/>
  <c r="X292" i="2"/>
  <c r="BG291" i="2"/>
  <c r="BB291" i="2"/>
  <c r="AG291" i="2"/>
  <c r="X291" i="2"/>
  <c r="BG290" i="2"/>
  <c r="BB290" i="2"/>
  <c r="AG290" i="2"/>
  <c r="X290" i="2"/>
  <c r="BG289" i="2"/>
  <c r="BB289" i="2"/>
  <c r="AG289" i="2"/>
  <c r="X289" i="2"/>
  <c r="BG288" i="2"/>
  <c r="BB288" i="2"/>
  <c r="AG288" i="2"/>
  <c r="X288" i="2"/>
  <c r="BG287" i="2"/>
  <c r="BB287" i="2"/>
  <c r="AG287" i="2"/>
  <c r="X287" i="2"/>
  <c r="BG286" i="2"/>
  <c r="BB286" i="2"/>
  <c r="AG286" i="2"/>
  <c r="X286" i="2"/>
  <c r="BG285" i="2"/>
  <c r="BB285" i="2"/>
  <c r="AG285" i="2"/>
  <c r="X285" i="2"/>
  <c r="BG284" i="2"/>
  <c r="BB284" i="2"/>
  <c r="AG284" i="2"/>
  <c r="X284" i="2"/>
  <c r="BG283" i="2"/>
  <c r="BB283" i="2"/>
  <c r="AG283" i="2"/>
  <c r="X283" i="2"/>
  <c r="BG282" i="2"/>
  <c r="BB282" i="2"/>
  <c r="AG282" i="2"/>
  <c r="X282" i="2"/>
  <c r="BG281" i="2"/>
  <c r="BB281" i="2"/>
  <c r="AG281" i="2"/>
  <c r="X281" i="2"/>
  <c r="BG280" i="2"/>
  <c r="BB280" i="2"/>
  <c r="AG280" i="2"/>
  <c r="X280" i="2"/>
  <c r="BG279" i="2"/>
  <c r="BB279" i="2"/>
  <c r="AG279" i="2"/>
  <c r="X279" i="2"/>
  <c r="BG278" i="2"/>
  <c r="BB278" i="2"/>
  <c r="AG278" i="2"/>
  <c r="X278" i="2"/>
  <c r="BG277" i="2"/>
  <c r="BB277" i="2"/>
  <c r="AG277" i="2"/>
  <c r="X277" i="2"/>
  <c r="BG276" i="2"/>
  <c r="BB276" i="2"/>
  <c r="AG276" i="2"/>
  <c r="X276" i="2"/>
  <c r="BG275" i="2"/>
  <c r="BB275" i="2"/>
  <c r="AG275" i="2"/>
  <c r="X275" i="2"/>
  <c r="BG274" i="2"/>
  <c r="BB274" i="2"/>
  <c r="AG274" i="2"/>
  <c r="X274" i="2"/>
  <c r="BG273" i="2"/>
  <c r="BB273" i="2"/>
  <c r="AG273" i="2"/>
  <c r="X273" i="2"/>
  <c r="BG272" i="2"/>
  <c r="BB272" i="2"/>
  <c r="AG272" i="2"/>
  <c r="X272" i="2"/>
  <c r="BG271" i="2"/>
  <c r="BB271" i="2"/>
  <c r="AG271" i="2"/>
  <c r="X271" i="2"/>
  <c r="BG270" i="2"/>
  <c r="BB270" i="2"/>
  <c r="AG270" i="2"/>
  <c r="X270" i="2"/>
  <c r="BG269" i="2"/>
  <c r="BB269" i="2"/>
  <c r="AG269" i="2"/>
  <c r="X269" i="2"/>
  <c r="BG268" i="2"/>
  <c r="BB268" i="2"/>
  <c r="AG268" i="2"/>
  <c r="X268" i="2"/>
  <c r="BG267" i="2"/>
  <c r="BB267" i="2"/>
  <c r="AG267" i="2"/>
  <c r="X267" i="2"/>
  <c r="BG266" i="2"/>
  <c r="BB266" i="2"/>
  <c r="AG266" i="2"/>
  <c r="X266" i="2"/>
  <c r="BG265" i="2"/>
  <c r="BB265" i="2"/>
  <c r="AG265" i="2"/>
  <c r="X265" i="2"/>
  <c r="BG264" i="2"/>
  <c r="BB264" i="2"/>
  <c r="AG264" i="2"/>
  <c r="X264" i="2"/>
  <c r="BG263" i="2"/>
  <c r="BB263" i="2"/>
  <c r="AG263" i="2"/>
  <c r="X263" i="2"/>
  <c r="BG262" i="2"/>
  <c r="BB262" i="2"/>
  <c r="AG262" i="2"/>
  <c r="X262" i="2"/>
  <c r="BG261" i="2"/>
  <c r="BB261" i="2"/>
  <c r="AG261" i="2"/>
  <c r="X261" i="2"/>
  <c r="BG260" i="2"/>
  <c r="BB260" i="2"/>
  <c r="AG260" i="2"/>
  <c r="X260" i="2"/>
  <c r="BG259" i="2"/>
  <c r="BB259" i="2"/>
  <c r="AG259" i="2"/>
  <c r="X259" i="2"/>
  <c r="BG258" i="2"/>
  <c r="BB258" i="2"/>
  <c r="AG258" i="2"/>
  <c r="X258" i="2"/>
  <c r="BG257" i="2"/>
  <c r="BB257" i="2"/>
  <c r="AG257" i="2"/>
  <c r="X257" i="2"/>
  <c r="BG256" i="2"/>
  <c r="BB256" i="2"/>
  <c r="AG256" i="2"/>
  <c r="X256" i="2"/>
  <c r="BG641" i="2"/>
  <c r="BB641" i="2"/>
  <c r="AG641" i="2"/>
  <c r="X641" i="2"/>
  <c r="AG640" i="2"/>
  <c r="X640" i="2"/>
  <c r="BG255" i="2"/>
  <c r="BB255" i="2"/>
  <c r="AG255" i="2"/>
  <c r="X255" i="2"/>
  <c r="BG254" i="2"/>
  <c r="BB254" i="2"/>
  <c r="AG254" i="2"/>
  <c r="X254" i="2"/>
  <c r="BG253" i="2"/>
  <c r="BB253" i="2"/>
  <c r="AG253" i="2"/>
  <c r="X253" i="2"/>
  <c r="BG252" i="2"/>
  <c r="BB252" i="2"/>
  <c r="AG252" i="2"/>
  <c r="X252" i="2"/>
  <c r="BG251" i="2"/>
  <c r="BB251" i="2"/>
  <c r="AG251" i="2"/>
  <c r="X251" i="2"/>
  <c r="BG250" i="2"/>
  <c r="BB250" i="2"/>
  <c r="AG250" i="2"/>
  <c r="X250" i="2"/>
  <c r="BG249" i="2"/>
  <c r="BB249" i="2"/>
  <c r="AG249" i="2"/>
  <c r="X249" i="2"/>
  <c r="BG248" i="2"/>
  <c r="BB248" i="2"/>
  <c r="AG248" i="2"/>
  <c r="X248" i="2"/>
  <c r="BG247" i="2"/>
  <c r="BB247" i="2"/>
  <c r="AG247" i="2"/>
  <c r="X247" i="2"/>
  <c r="BG246" i="2"/>
  <c r="BB246" i="2"/>
  <c r="AG246" i="2"/>
  <c r="X246" i="2"/>
  <c r="BG245" i="2"/>
  <c r="BB245" i="2"/>
  <c r="AG245" i="2"/>
  <c r="X245" i="2"/>
  <c r="BG244" i="2"/>
  <c r="BB244" i="2"/>
  <c r="AG244" i="2"/>
  <c r="X244" i="2"/>
  <c r="BG243" i="2"/>
  <c r="BB243" i="2"/>
  <c r="AG243" i="2"/>
  <c r="X243" i="2"/>
  <c r="BG242" i="2"/>
  <c r="BB242" i="2"/>
  <c r="AG242" i="2"/>
  <c r="X242" i="2"/>
  <c r="BG241" i="2"/>
  <c r="BB241" i="2"/>
  <c r="AG241" i="2"/>
  <c r="X241" i="2"/>
  <c r="BG240" i="2"/>
  <c r="BB240" i="2"/>
  <c r="AG240" i="2"/>
  <c r="X240" i="2"/>
  <c r="BG239" i="2"/>
  <c r="BB239" i="2"/>
  <c r="AG239" i="2"/>
  <c r="X239" i="2"/>
  <c r="BG238" i="2"/>
  <c r="BB238" i="2"/>
  <c r="AG238" i="2"/>
  <c r="X238" i="2"/>
  <c r="BG237" i="2"/>
  <c r="BB237" i="2"/>
  <c r="AG237" i="2"/>
  <c r="X237" i="2"/>
  <c r="BG236" i="2"/>
  <c r="BB236" i="2"/>
  <c r="AG236" i="2"/>
  <c r="X236" i="2"/>
  <c r="BG235" i="2"/>
  <c r="BB235" i="2"/>
  <c r="AG235" i="2"/>
  <c r="X235" i="2"/>
  <c r="BG234" i="2"/>
  <c r="BB234" i="2"/>
  <c r="AG234" i="2"/>
  <c r="X234" i="2"/>
  <c r="BG233" i="2"/>
  <c r="BB233" i="2"/>
  <c r="AG233" i="2"/>
  <c r="X233" i="2"/>
  <c r="BG232" i="2"/>
  <c r="BB232" i="2"/>
  <c r="AG232" i="2"/>
  <c r="X232" i="2"/>
  <c r="BG231" i="2"/>
  <c r="BB231" i="2"/>
  <c r="AG231" i="2"/>
  <c r="X231" i="2"/>
  <c r="BG230" i="2"/>
  <c r="BB230" i="2"/>
  <c r="AG230" i="2"/>
  <c r="X230" i="2"/>
  <c r="BG229" i="2"/>
  <c r="BB229" i="2"/>
  <c r="AG229" i="2"/>
  <c r="X229" i="2"/>
  <c r="BG228" i="2"/>
  <c r="BB228" i="2"/>
  <c r="AG228" i="2"/>
  <c r="X228" i="2"/>
  <c r="BG227" i="2"/>
  <c r="BB227" i="2"/>
  <c r="AG227" i="2"/>
  <c r="X227" i="2"/>
  <c r="BG226" i="2"/>
  <c r="BB226" i="2"/>
  <c r="AG226" i="2"/>
  <c r="X226" i="2"/>
  <c r="BG225" i="2"/>
  <c r="BB225" i="2"/>
  <c r="AG225" i="2"/>
  <c r="X225" i="2"/>
  <c r="BG224" i="2"/>
  <c r="BB224" i="2"/>
  <c r="AG224" i="2"/>
  <c r="X224" i="2"/>
  <c r="AG586" i="2"/>
  <c r="X586" i="2"/>
  <c r="BG585" i="2"/>
  <c r="BB585" i="2"/>
  <c r="AG585" i="2"/>
  <c r="X585" i="2"/>
  <c r="BG584" i="2"/>
  <c r="BB584" i="2"/>
  <c r="AG584" i="2"/>
  <c r="X584" i="2"/>
  <c r="BG583" i="2"/>
  <c r="BB583" i="2"/>
  <c r="AG583" i="2"/>
  <c r="X583" i="2"/>
  <c r="BG582" i="2"/>
  <c r="BB582" i="2"/>
  <c r="AG582" i="2"/>
  <c r="X582" i="2"/>
  <c r="BG223" i="2"/>
  <c r="BB223" i="2"/>
  <c r="AG223" i="2"/>
  <c r="X223" i="2"/>
  <c r="BG222" i="2"/>
  <c r="BB222" i="2"/>
  <c r="AG222" i="2"/>
  <c r="X222" i="2"/>
  <c r="BG221" i="2"/>
  <c r="BB221" i="2"/>
  <c r="AG221" i="2"/>
  <c r="X221" i="2"/>
  <c r="BG220" i="2"/>
  <c r="BB220" i="2"/>
  <c r="AG220" i="2"/>
  <c r="X220" i="2"/>
  <c r="BG219" i="2"/>
  <c r="BB219" i="2"/>
  <c r="AG219" i="2"/>
  <c r="X219" i="2"/>
  <c r="BG218" i="2"/>
  <c r="BB218" i="2"/>
  <c r="AG218" i="2"/>
  <c r="X218" i="2"/>
  <c r="BG217" i="2"/>
  <c r="BB217" i="2"/>
  <c r="AG217" i="2"/>
  <c r="X217" i="2"/>
  <c r="BG216" i="2"/>
  <c r="BB216" i="2"/>
  <c r="AG216" i="2"/>
  <c r="X216" i="2"/>
  <c r="BG581" i="2"/>
  <c r="BB581" i="2"/>
  <c r="AG581" i="2"/>
  <c r="X581" i="2"/>
  <c r="BG580" i="2"/>
  <c r="BB580" i="2"/>
  <c r="AG580" i="2"/>
  <c r="X580" i="2"/>
  <c r="BG215" i="2"/>
  <c r="BB215" i="2"/>
  <c r="AG215" i="2"/>
  <c r="X215" i="2"/>
  <c r="BG214" i="2"/>
  <c r="BB214" i="2"/>
  <c r="AG214" i="2"/>
  <c r="X214" i="2"/>
  <c r="BG213" i="2"/>
  <c r="BB213" i="2"/>
  <c r="AG213" i="2"/>
  <c r="X213" i="2"/>
  <c r="BG212" i="2"/>
  <c r="BB212" i="2"/>
  <c r="AG212" i="2"/>
  <c r="X212" i="2"/>
  <c r="BG211" i="2"/>
  <c r="BB211" i="2"/>
  <c r="AG211" i="2"/>
  <c r="X211" i="2"/>
  <c r="BG210" i="2"/>
  <c r="BB210" i="2"/>
  <c r="AG210" i="2"/>
  <c r="X210" i="2"/>
  <c r="BG209" i="2"/>
  <c r="BB209" i="2"/>
  <c r="AG209" i="2"/>
  <c r="X209" i="2"/>
  <c r="BG208" i="2"/>
  <c r="BB208" i="2"/>
  <c r="AG208" i="2"/>
  <c r="X208" i="2"/>
  <c r="BG207" i="2"/>
  <c r="BB207" i="2"/>
  <c r="AG207" i="2"/>
  <c r="X207" i="2"/>
  <c r="BG206" i="2"/>
  <c r="BB206" i="2"/>
  <c r="AG206" i="2"/>
  <c r="X206" i="2"/>
  <c r="BG205" i="2"/>
  <c r="BB205" i="2"/>
  <c r="AG205" i="2"/>
  <c r="X205" i="2"/>
  <c r="AG204" i="2"/>
  <c r="X204" i="2"/>
  <c r="BG203" i="2"/>
  <c r="BB203" i="2"/>
  <c r="AG203" i="2"/>
  <c r="X203" i="2"/>
  <c r="BG202" i="2"/>
  <c r="BB202" i="2"/>
  <c r="AG202" i="2"/>
  <c r="X202" i="2"/>
  <c r="BG201" i="2"/>
  <c r="BB201" i="2"/>
  <c r="AG201" i="2"/>
  <c r="X201" i="2"/>
  <c r="BG200" i="2"/>
  <c r="BB200" i="2"/>
  <c r="AG200" i="2"/>
  <c r="X200" i="2"/>
  <c r="BG199" i="2"/>
  <c r="BB199" i="2"/>
  <c r="AG199" i="2"/>
  <c r="X199" i="2"/>
  <c r="BG198" i="2"/>
  <c r="BB198" i="2"/>
  <c r="AG198" i="2"/>
  <c r="X198" i="2"/>
  <c r="BG197" i="2"/>
  <c r="BB197" i="2"/>
  <c r="AG197" i="2"/>
  <c r="X197" i="2"/>
  <c r="BG196" i="2"/>
  <c r="BB196" i="2"/>
  <c r="AG196" i="2"/>
  <c r="X196" i="2"/>
  <c r="BG195" i="2"/>
  <c r="BB195" i="2"/>
  <c r="AG195" i="2"/>
  <c r="X195" i="2"/>
  <c r="BG194" i="2"/>
  <c r="BB194" i="2"/>
  <c r="AG194" i="2"/>
  <c r="X194" i="2"/>
  <c r="BG193" i="2"/>
  <c r="BB193" i="2"/>
  <c r="AG193" i="2"/>
  <c r="X193" i="2"/>
  <c r="BG192" i="2"/>
  <c r="BB192" i="2"/>
  <c r="AG192" i="2"/>
  <c r="X192" i="2"/>
  <c r="BG191" i="2"/>
  <c r="BB191" i="2"/>
  <c r="AG191" i="2"/>
  <c r="X191" i="2"/>
  <c r="BG190" i="2"/>
  <c r="BB190" i="2"/>
  <c r="AG190" i="2"/>
  <c r="X190" i="2"/>
  <c r="BG189" i="2"/>
  <c r="BB189" i="2"/>
  <c r="AG189" i="2"/>
  <c r="X189" i="2"/>
  <c r="BG188" i="2"/>
  <c r="BB188" i="2"/>
  <c r="AG188" i="2"/>
  <c r="X188" i="2"/>
  <c r="BG187" i="2"/>
  <c r="BB187" i="2"/>
  <c r="AG187" i="2"/>
  <c r="X187" i="2"/>
  <c r="BG186" i="2"/>
  <c r="BB186" i="2"/>
  <c r="AG186" i="2"/>
  <c r="X186" i="2"/>
  <c r="BG185" i="2"/>
  <c r="BB185" i="2"/>
  <c r="AG185" i="2"/>
  <c r="X185" i="2"/>
  <c r="BG579" i="2"/>
  <c r="BB579" i="2"/>
  <c r="AG579" i="2"/>
  <c r="X579" i="2"/>
  <c r="BG184" i="2"/>
  <c r="BB184" i="2"/>
  <c r="AG184" i="2"/>
  <c r="X184" i="2"/>
  <c r="BG183" i="2"/>
  <c r="BB183" i="2"/>
  <c r="AG183" i="2"/>
  <c r="X183" i="2"/>
  <c r="BG578" i="2"/>
  <c r="BB578" i="2"/>
  <c r="AG578" i="2"/>
  <c r="X578" i="2"/>
  <c r="AG182" i="2"/>
  <c r="X182" i="2"/>
  <c r="BG181" i="2"/>
  <c r="BB181" i="2"/>
  <c r="AG181" i="2"/>
  <c r="X181" i="2"/>
  <c r="BG180" i="2"/>
  <c r="BB180" i="2"/>
  <c r="AG180" i="2"/>
  <c r="X180" i="2"/>
  <c r="BG179" i="2"/>
  <c r="BB179" i="2"/>
  <c r="AG179" i="2"/>
  <c r="X179" i="2"/>
  <c r="BG178" i="2"/>
  <c r="BB178" i="2"/>
  <c r="AG178" i="2"/>
  <c r="X178" i="2"/>
  <c r="BG177" i="2"/>
  <c r="BB177" i="2"/>
  <c r="AG177" i="2"/>
  <c r="X177" i="2"/>
  <c r="BG176" i="2"/>
  <c r="BB176" i="2"/>
  <c r="AG176" i="2"/>
  <c r="X176" i="2"/>
  <c r="BG175" i="2"/>
  <c r="BB175" i="2"/>
  <c r="AG175" i="2"/>
  <c r="X175" i="2"/>
  <c r="BG174" i="2"/>
  <c r="BB174" i="2"/>
  <c r="AG174" i="2"/>
  <c r="X174" i="2"/>
  <c r="BG173" i="2"/>
  <c r="BB173" i="2"/>
  <c r="AG173" i="2"/>
  <c r="X173" i="2"/>
  <c r="BG172" i="2"/>
  <c r="BB172" i="2"/>
  <c r="AG172" i="2"/>
  <c r="X172" i="2"/>
  <c r="BG171" i="2"/>
  <c r="BB171" i="2"/>
  <c r="AG171" i="2"/>
  <c r="X171" i="2"/>
  <c r="BG170" i="2"/>
  <c r="BB170" i="2"/>
  <c r="AG170" i="2"/>
  <c r="X170" i="2"/>
  <c r="BG169" i="2"/>
  <c r="BB169" i="2"/>
  <c r="AG169" i="2"/>
  <c r="X169" i="2"/>
  <c r="BG168" i="2"/>
  <c r="BB168" i="2"/>
  <c r="AG168" i="2"/>
  <c r="X168" i="2"/>
  <c r="BG167" i="2"/>
  <c r="BB167" i="2"/>
  <c r="AG167" i="2"/>
  <c r="X167" i="2"/>
  <c r="AG577" i="2"/>
  <c r="X577" i="2"/>
  <c r="BG166" i="2"/>
  <c r="BB166" i="2"/>
  <c r="AG166" i="2"/>
  <c r="X166" i="2"/>
  <c r="AG576" i="2"/>
  <c r="X576" i="2"/>
  <c r="BG165" i="2"/>
  <c r="BB165" i="2"/>
  <c r="AG165" i="2"/>
  <c r="X165" i="2"/>
  <c r="BG164" i="2"/>
  <c r="BB164" i="2"/>
  <c r="AG164" i="2"/>
  <c r="X164" i="2"/>
  <c r="BG163" i="2"/>
  <c r="BB163" i="2"/>
  <c r="AG163" i="2"/>
  <c r="X163" i="2"/>
  <c r="BG162" i="2"/>
  <c r="BB162" i="2"/>
  <c r="AG162" i="2"/>
  <c r="X162" i="2"/>
  <c r="BG161" i="2"/>
  <c r="BB161" i="2"/>
  <c r="AG161" i="2"/>
  <c r="X161" i="2"/>
  <c r="BG160" i="2"/>
  <c r="BB160" i="2"/>
  <c r="AG160" i="2"/>
  <c r="X160" i="2"/>
  <c r="BG159" i="2"/>
  <c r="BB159" i="2"/>
  <c r="AG159" i="2"/>
  <c r="X159" i="2"/>
  <c r="BG158" i="2"/>
  <c r="BB158" i="2"/>
  <c r="AG158" i="2"/>
  <c r="X158" i="2"/>
  <c r="BG157" i="2"/>
  <c r="BB157" i="2"/>
  <c r="AG157" i="2"/>
  <c r="X157" i="2"/>
  <c r="BG156" i="2"/>
  <c r="BB156" i="2"/>
  <c r="AG156" i="2"/>
  <c r="X156" i="2"/>
  <c r="BG155" i="2"/>
  <c r="BB155" i="2"/>
  <c r="AG155" i="2"/>
  <c r="X155" i="2"/>
  <c r="BG154" i="2"/>
  <c r="BB154" i="2"/>
  <c r="AG154" i="2"/>
  <c r="X154" i="2"/>
  <c r="BG153" i="2"/>
  <c r="BB153" i="2"/>
  <c r="AG153" i="2"/>
  <c r="X153" i="2"/>
  <c r="BG152" i="2"/>
  <c r="BB152" i="2"/>
  <c r="AG152" i="2"/>
  <c r="X152" i="2"/>
  <c r="BG151" i="2"/>
  <c r="BB151" i="2"/>
  <c r="AG151" i="2"/>
  <c r="X151" i="2"/>
  <c r="BG150" i="2"/>
  <c r="BB150" i="2"/>
  <c r="AG150" i="2"/>
  <c r="X150" i="2"/>
  <c r="BG149" i="2"/>
  <c r="BB149" i="2"/>
  <c r="AG149" i="2"/>
  <c r="X149" i="2"/>
  <c r="BG148" i="2"/>
  <c r="BB148" i="2"/>
  <c r="AG148" i="2"/>
  <c r="X148" i="2"/>
  <c r="BG147" i="2"/>
  <c r="BB147" i="2"/>
  <c r="AG147" i="2"/>
  <c r="X147" i="2"/>
  <c r="BG146" i="2"/>
  <c r="BB146" i="2"/>
  <c r="AG146" i="2"/>
  <c r="X146" i="2"/>
  <c r="BG145" i="2"/>
  <c r="BB145" i="2"/>
  <c r="AG145" i="2"/>
  <c r="X145" i="2"/>
  <c r="BG144" i="2"/>
  <c r="BB144" i="2"/>
  <c r="AG144" i="2"/>
  <c r="X144" i="2"/>
  <c r="BG143" i="2"/>
  <c r="BB143" i="2"/>
  <c r="AG143" i="2"/>
  <c r="X143" i="2"/>
  <c r="BG142" i="2"/>
  <c r="BB142" i="2"/>
  <c r="AG142" i="2"/>
  <c r="X142" i="2"/>
  <c r="BG141" i="2"/>
  <c r="BB141" i="2"/>
  <c r="AG141" i="2"/>
  <c r="X141" i="2"/>
  <c r="BG140" i="2"/>
  <c r="BB140" i="2"/>
  <c r="AG140" i="2"/>
  <c r="X140" i="2"/>
  <c r="BG139" i="2"/>
  <c r="BB139" i="2"/>
  <c r="AG139" i="2"/>
  <c r="X139" i="2"/>
  <c r="BG138" i="2"/>
  <c r="BB138" i="2"/>
  <c r="AG138" i="2"/>
  <c r="X138" i="2"/>
  <c r="BG137" i="2"/>
  <c r="BB137" i="2"/>
  <c r="AG137" i="2"/>
  <c r="X137" i="2"/>
  <c r="BG136" i="2"/>
  <c r="BB136" i="2"/>
  <c r="AG136" i="2"/>
  <c r="X136" i="2"/>
  <c r="BG135" i="2"/>
  <c r="BB135" i="2"/>
  <c r="AG135" i="2"/>
  <c r="X135" i="2"/>
  <c r="BG575" i="2"/>
  <c r="BB575" i="2"/>
  <c r="AG575" i="2"/>
  <c r="X575" i="2"/>
  <c r="BG574" i="2"/>
  <c r="BB574" i="2"/>
  <c r="AG574" i="2"/>
  <c r="X574" i="2"/>
  <c r="BG134" i="2"/>
  <c r="BB134" i="2"/>
  <c r="AG134" i="2"/>
  <c r="X134" i="2"/>
  <c r="BG133" i="2"/>
  <c r="BB133" i="2"/>
  <c r="AG133" i="2"/>
  <c r="X133" i="2"/>
  <c r="BG132" i="2"/>
  <c r="BB132" i="2"/>
  <c r="AG132" i="2"/>
  <c r="X132" i="2"/>
  <c r="BG131" i="2"/>
  <c r="BB131" i="2"/>
  <c r="AG131" i="2"/>
  <c r="X131" i="2"/>
  <c r="BG130" i="2"/>
  <c r="BB130" i="2"/>
  <c r="AG130" i="2"/>
  <c r="X130" i="2"/>
  <c r="BG129" i="2"/>
  <c r="BB129" i="2"/>
  <c r="AG129" i="2"/>
  <c r="X129" i="2"/>
  <c r="BG128" i="2"/>
  <c r="BB128" i="2"/>
  <c r="AG128" i="2"/>
  <c r="X128" i="2"/>
  <c r="BG127" i="2"/>
  <c r="BB127" i="2"/>
  <c r="AG127" i="2"/>
  <c r="X127" i="2"/>
  <c r="BG126" i="2"/>
  <c r="BB126" i="2"/>
  <c r="AG126" i="2"/>
  <c r="X126" i="2"/>
  <c r="BG125" i="2"/>
  <c r="BB125" i="2"/>
  <c r="AG125" i="2"/>
  <c r="X125" i="2"/>
  <c r="BG573" i="2"/>
  <c r="BB573" i="2"/>
  <c r="AG573" i="2"/>
  <c r="X573" i="2"/>
  <c r="BG639" i="2"/>
  <c r="BB639" i="2"/>
  <c r="AG639" i="2"/>
  <c r="X639" i="2"/>
  <c r="BG124" i="2"/>
  <c r="BB124" i="2"/>
  <c r="AG124" i="2"/>
  <c r="X124" i="2"/>
  <c r="BG123" i="2"/>
  <c r="BB123" i="2"/>
  <c r="AG123" i="2"/>
  <c r="X123" i="2"/>
  <c r="BG122" i="2"/>
  <c r="BB122" i="2"/>
  <c r="AG122" i="2"/>
  <c r="X122" i="2"/>
  <c r="BG121" i="2"/>
  <c r="BB121" i="2"/>
  <c r="AG121" i="2"/>
  <c r="X121" i="2"/>
  <c r="BG120" i="2"/>
  <c r="BB120" i="2"/>
  <c r="AG120" i="2"/>
  <c r="X120" i="2"/>
  <c r="BG119" i="2"/>
  <c r="BB119" i="2"/>
  <c r="AG119" i="2"/>
  <c r="X119" i="2"/>
  <c r="BG118" i="2"/>
  <c r="BB118" i="2"/>
  <c r="AG118" i="2"/>
  <c r="X118" i="2"/>
  <c r="BG117" i="2"/>
  <c r="BB117" i="2"/>
  <c r="AG117" i="2"/>
  <c r="X117" i="2"/>
  <c r="BG116" i="2"/>
  <c r="BB116" i="2"/>
  <c r="AG116" i="2"/>
  <c r="X116" i="2"/>
  <c r="BG115" i="2"/>
  <c r="BB115" i="2"/>
  <c r="AG115" i="2"/>
  <c r="X115" i="2"/>
  <c r="BG114" i="2"/>
  <c r="BB114" i="2"/>
  <c r="AG114" i="2"/>
  <c r="X114" i="2"/>
  <c r="BG113" i="2"/>
  <c r="BB113" i="2"/>
  <c r="AG113" i="2"/>
  <c r="X113" i="2"/>
  <c r="BG112" i="2"/>
  <c r="BB112" i="2"/>
  <c r="AG112" i="2"/>
  <c r="X112" i="2"/>
  <c r="BG111" i="2"/>
  <c r="BB111" i="2"/>
  <c r="AG111" i="2"/>
  <c r="X111" i="2"/>
  <c r="BG110" i="2"/>
  <c r="BB110" i="2"/>
  <c r="AG110" i="2"/>
  <c r="X110" i="2"/>
  <c r="BG109" i="2"/>
  <c r="BB109" i="2"/>
  <c r="AG109" i="2"/>
  <c r="X109" i="2"/>
  <c r="BG108" i="2"/>
  <c r="BB108" i="2"/>
  <c r="AG108" i="2"/>
  <c r="X108" i="2"/>
  <c r="BG107" i="2"/>
  <c r="BB107" i="2"/>
  <c r="AG107" i="2"/>
  <c r="X107" i="2"/>
  <c r="BG106" i="2"/>
  <c r="BB106" i="2"/>
  <c r="AG106" i="2"/>
  <c r="X106" i="2"/>
  <c r="BG105" i="2"/>
  <c r="BB105" i="2"/>
  <c r="AG105" i="2"/>
  <c r="X105" i="2"/>
  <c r="BG104" i="2"/>
  <c r="BB104" i="2"/>
  <c r="AG104" i="2"/>
  <c r="X104" i="2"/>
  <c r="BG103" i="2"/>
  <c r="BB103" i="2"/>
  <c r="AG103" i="2"/>
  <c r="X103" i="2"/>
  <c r="BG102" i="2"/>
  <c r="BB102" i="2"/>
  <c r="AG102" i="2"/>
  <c r="X102" i="2"/>
  <c r="BG101" i="2"/>
  <c r="BB101" i="2"/>
  <c r="AG101" i="2"/>
  <c r="X101" i="2"/>
  <c r="BG100" i="2"/>
  <c r="BB100" i="2"/>
  <c r="AG100" i="2"/>
  <c r="X100" i="2"/>
  <c r="BB99" i="2"/>
  <c r="AG99" i="2"/>
  <c r="X99" i="2"/>
  <c r="BG98" i="2"/>
  <c r="BB98" i="2"/>
  <c r="AG98" i="2"/>
  <c r="X98" i="2"/>
  <c r="BG97" i="2"/>
  <c r="BB97" i="2"/>
  <c r="AG97" i="2"/>
  <c r="X97" i="2"/>
  <c r="BG96" i="2"/>
  <c r="BB96" i="2"/>
  <c r="AG96" i="2"/>
  <c r="X96" i="2"/>
  <c r="BG95" i="2"/>
  <c r="BB95" i="2"/>
  <c r="AG95" i="2"/>
  <c r="X95" i="2"/>
  <c r="BG94" i="2"/>
  <c r="BB94" i="2"/>
  <c r="AG94" i="2"/>
  <c r="X94" i="2"/>
  <c r="BG93" i="2"/>
  <c r="BB93" i="2"/>
  <c r="AG93" i="2"/>
  <c r="X93" i="2"/>
  <c r="BG92" i="2"/>
  <c r="BB92" i="2"/>
  <c r="AG92" i="2"/>
  <c r="X92" i="2"/>
  <c r="BG91" i="2"/>
  <c r="BB91" i="2"/>
  <c r="AG91" i="2"/>
  <c r="X91" i="2"/>
  <c r="BG90" i="2"/>
  <c r="BB90" i="2"/>
  <c r="AG90" i="2"/>
  <c r="X90" i="2"/>
  <c r="BG89" i="2"/>
  <c r="BB89" i="2"/>
  <c r="AG89" i="2"/>
  <c r="X89" i="2"/>
  <c r="BG88" i="2"/>
  <c r="BB88" i="2"/>
  <c r="AG88" i="2"/>
  <c r="X88" i="2"/>
  <c r="BG87" i="2"/>
  <c r="BB87" i="2"/>
  <c r="AG87" i="2"/>
  <c r="X87" i="2"/>
  <c r="BG86" i="2"/>
  <c r="BB86" i="2"/>
  <c r="AG86" i="2"/>
  <c r="Q86" i="2" s="1"/>
  <c r="X86" i="2"/>
  <c r="BG85" i="2"/>
  <c r="BB85" i="2"/>
  <c r="AG85" i="2"/>
  <c r="X85" i="2"/>
  <c r="BG84" i="2"/>
  <c r="BB84" i="2"/>
  <c r="AG84" i="2"/>
  <c r="X84" i="2"/>
  <c r="BG83" i="2"/>
  <c r="BB83" i="2"/>
  <c r="AG83" i="2"/>
  <c r="X83" i="2"/>
  <c r="BG82" i="2"/>
  <c r="BB82" i="2"/>
  <c r="AG82" i="2"/>
  <c r="X82" i="2"/>
  <c r="BG81" i="2"/>
  <c r="BB81" i="2"/>
  <c r="AG81" i="2"/>
  <c r="X81" i="2"/>
  <c r="BG80" i="2"/>
  <c r="BB80" i="2"/>
  <c r="AG80" i="2"/>
  <c r="X80" i="2"/>
  <c r="BG79" i="2"/>
  <c r="BB79" i="2"/>
  <c r="AG79" i="2"/>
  <c r="X79" i="2"/>
  <c r="BG78" i="2"/>
  <c r="BB78" i="2"/>
  <c r="AG78" i="2"/>
  <c r="X78" i="2"/>
  <c r="BG77" i="2"/>
  <c r="BB77" i="2"/>
  <c r="AG77" i="2"/>
  <c r="X77" i="2"/>
  <c r="BG76" i="2"/>
  <c r="BB76" i="2"/>
  <c r="AG76" i="2"/>
  <c r="X76" i="2"/>
  <c r="BG75" i="2"/>
  <c r="BB75" i="2"/>
  <c r="AG75" i="2"/>
  <c r="X75" i="2"/>
  <c r="BG74" i="2"/>
  <c r="BB74" i="2"/>
  <c r="AG74" i="2"/>
  <c r="X74" i="2"/>
  <c r="AG73" i="2"/>
  <c r="X73" i="2"/>
  <c r="BG72" i="2"/>
  <c r="BB72" i="2"/>
  <c r="AG72" i="2"/>
  <c r="X72" i="2"/>
  <c r="BG71" i="2"/>
  <c r="BB71" i="2"/>
  <c r="AG71" i="2"/>
  <c r="X71" i="2"/>
  <c r="BG70" i="2"/>
  <c r="BB70" i="2"/>
  <c r="AG70" i="2"/>
  <c r="X70" i="2"/>
  <c r="BG69" i="2"/>
  <c r="BB69" i="2"/>
  <c r="AG69" i="2"/>
  <c r="X69" i="2"/>
  <c r="BG68" i="2"/>
  <c r="BB68" i="2"/>
  <c r="AG68" i="2"/>
  <c r="X68" i="2"/>
  <c r="BG67" i="2"/>
  <c r="BB67" i="2"/>
  <c r="AG67" i="2"/>
  <c r="X67" i="2"/>
  <c r="BG66" i="2"/>
  <c r="BB66" i="2"/>
  <c r="AG66" i="2"/>
  <c r="X66" i="2"/>
  <c r="BG65" i="2"/>
  <c r="BB65" i="2"/>
  <c r="AG65" i="2"/>
  <c r="X65" i="2"/>
  <c r="BG64" i="2"/>
  <c r="BB64" i="2"/>
  <c r="AG64" i="2"/>
  <c r="X64" i="2"/>
  <c r="BG63" i="2"/>
  <c r="BB63" i="2"/>
  <c r="AG63" i="2"/>
  <c r="X63" i="2"/>
  <c r="BG62" i="2"/>
  <c r="BB62" i="2"/>
  <c r="AG62" i="2"/>
  <c r="X62" i="2"/>
  <c r="BG61" i="2"/>
  <c r="BB61" i="2"/>
  <c r="AG61" i="2"/>
  <c r="X61" i="2"/>
  <c r="BG60" i="2"/>
  <c r="BB60" i="2"/>
  <c r="AG60" i="2"/>
  <c r="X60" i="2"/>
  <c r="BG59" i="2"/>
  <c r="BB59" i="2"/>
  <c r="AG59" i="2"/>
  <c r="X59" i="2"/>
  <c r="BG58" i="2"/>
  <c r="BB58" i="2"/>
  <c r="AG58" i="2"/>
  <c r="X58" i="2"/>
  <c r="BG57" i="2"/>
  <c r="BB57" i="2"/>
  <c r="AG57" i="2"/>
  <c r="X57" i="2"/>
  <c r="BG56" i="2"/>
  <c r="BB56" i="2"/>
  <c r="AG56" i="2"/>
  <c r="X56" i="2"/>
  <c r="BG55" i="2"/>
  <c r="BB55" i="2"/>
  <c r="AG55" i="2"/>
  <c r="X55" i="2"/>
  <c r="BG54" i="2"/>
  <c r="BB54" i="2"/>
  <c r="AG54" i="2"/>
  <c r="X54" i="2"/>
  <c r="BG53" i="2"/>
  <c r="BB53" i="2"/>
  <c r="AG53" i="2"/>
  <c r="X53" i="2"/>
  <c r="AG52" i="2"/>
  <c r="X52" i="2"/>
  <c r="BG51" i="2"/>
  <c r="BB51" i="2"/>
  <c r="AG51" i="2"/>
  <c r="X51" i="2"/>
  <c r="BG50" i="2"/>
  <c r="BB50" i="2"/>
  <c r="AG50" i="2"/>
  <c r="X50" i="2"/>
  <c r="BG49" i="2"/>
  <c r="BB49" i="2"/>
  <c r="AG49" i="2"/>
  <c r="X49" i="2"/>
  <c r="BG48" i="2"/>
  <c r="BB48" i="2"/>
  <c r="AG48" i="2"/>
  <c r="X48" i="2"/>
  <c r="BG47" i="2"/>
  <c r="BB47" i="2"/>
  <c r="AG47" i="2"/>
  <c r="X47" i="2"/>
  <c r="BG46" i="2"/>
  <c r="BB46" i="2"/>
  <c r="AG46" i="2"/>
  <c r="X46" i="2"/>
  <c r="BG45" i="2"/>
  <c r="BB45" i="2"/>
  <c r="AG45" i="2"/>
  <c r="X45" i="2"/>
  <c r="BG44" i="2"/>
  <c r="BB44" i="2"/>
  <c r="AG44" i="2"/>
  <c r="X44" i="2"/>
  <c r="BG43" i="2"/>
  <c r="BB43" i="2"/>
  <c r="AG43" i="2"/>
  <c r="X43" i="2"/>
  <c r="BG42" i="2"/>
  <c r="BB42" i="2"/>
  <c r="AG42" i="2"/>
  <c r="X42" i="2"/>
  <c r="BG41" i="2"/>
  <c r="BB41" i="2"/>
  <c r="AG41" i="2"/>
  <c r="X41" i="2"/>
  <c r="BG40" i="2"/>
  <c r="BB40" i="2"/>
  <c r="AG40" i="2"/>
  <c r="X40" i="2"/>
  <c r="BG39" i="2"/>
  <c r="BB39" i="2"/>
  <c r="AG39" i="2"/>
  <c r="X39" i="2"/>
  <c r="BG38" i="2"/>
  <c r="BB38" i="2"/>
  <c r="AG38" i="2"/>
  <c r="X38" i="2"/>
  <c r="BG37" i="2"/>
  <c r="BB37" i="2"/>
  <c r="AG37" i="2"/>
  <c r="X37" i="2"/>
  <c r="BG36" i="2"/>
  <c r="BB36" i="2"/>
  <c r="AG36" i="2"/>
  <c r="X36" i="2"/>
  <c r="BG35" i="2"/>
  <c r="BB35" i="2"/>
  <c r="AG35" i="2"/>
  <c r="X35" i="2"/>
  <c r="BG34" i="2"/>
  <c r="BB34" i="2"/>
  <c r="AG34" i="2"/>
  <c r="X34" i="2"/>
  <c r="BG33" i="2"/>
  <c r="BB33" i="2"/>
  <c r="AG33" i="2"/>
  <c r="X33" i="2"/>
  <c r="AG32" i="2"/>
  <c r="X32" i="2"/>
  <c r="BG31" i="2"/>
  <c r="BB31" i="2"/>
  <c r="AG31" i="2"/>
  <c r="X31" i="2"/>
  <c r="BG30" i="2"/>
  <c r="BB30" i="2"/>
  <c r="AG30" i="2"/>
  <c r="X30" i="2"/>
  <c r="BG29" i="2"/>
  <c r="BB29" i="2"/>
  <c r="AG29" i="2"/>
  <c r="X29" i="2"/>
  <c r="BG28" i="2"/>
  <c r="BB28" i="2"/>
  <c r="AG28" i="2"/>
  <c r="X28" i="2"/>
  <c r="BG27" i="2"/>
  <c r="BB27" i="2"/>
  <c r="AG27" i="2"/>
  <c r="X27" i="2"/>
  <c r="BG26" i="2"/>
  <c r="BB26" i="2"/>
  <c r="AG26" i="2"/>
  <c r="X26" i="2"/>
  <c r="BG25" i="2"/>
  <c r="BB25" i="2"/>
  <c r="AG25" i="2"/>
  <c r="X25" i="2"/>
  <c r="BG24" i="2"/>
  <c r="BB24" i="2"/>
  <c r="AG24" i="2"/>
  <c r="X24" i="2"/>
  <c r="BG23" i="2"/>
  <c r="BB23" i="2"/>
  <c r="AG23" i="2"/>
  <c r="X23" i="2"/>
  <c r="BG22" i="2"/>
  <c r="BB22" i="2"/>
  <c r="AG22" i="2"/>
  <c r="X22" i="2"/>
  <c r="BG21" i="2"/>
  <c r="BB21" i="2"/>
  <c r="AG21" i="2"/>
  <c r="X21" i="2"/>
  <c r="BG20" i="2"/>
  <c r="BB20" i="2"/>
  <c r="AG20" i="2"/>
  <c r="X20" i="2"/>
  <c r="BG19" i="2"/>
  <c r="BB19" i="2"/>
  <c r="AG19" i="2"/>
  <c r="X19" i="2"/>
  <c r="BG18" i="2"/>
  <c r="BB18" i="2"/>
  <c r="AG18" i="2"/>
  <c r="X18" i="2"/>
  <c r="BG17" i="2"/>
  <c r="BB17" i="2"/>
  <c r="AG17" i="2"/>
  <c r="X17" i="2"/>
  <c r="BG16" i="2"/>
  <c r="BB16" i="2"/>
  <c r="AG16" i="2"/>
  <c r="X16" i="2"/>
  <c r="BG15" i="2"/>
  <c r="BB15" i="2"/>
  <c r="AG15" i="2"/>
  <c r="X15" i="2"/>
  <c r="BG14" i="2"/>
  <c r="BB14" i="2"/>
  <c r="AG14" i="2"/>
  <c r="X14" i="2"/>
  <c r="BG13" i="2"/>
  <c r="BB13" i="2"/>
  <c r="AG13" i="2"/>
  <c r="X13" i="2"/>
  <c r="BG12" i="2"/>
  <c r="BB12" i="2"/>
  <c r="AG12" i="2"/>
  <c r="X12" i="2"/>
  <c r="BG11" i="2"/>
  <c r="BB11" i="2"/>
  <c r="AG11" i="2"/>
  <c r="X11" i="2"/>
  <c r="BG10" i="2"/>
  <c r="BB10" i="2"/>
  <c r="AG10" i="2"/>
  <c r="X10" i="2"/>
  <c r="BG9" i="2"/>
  <c r="BB9" i="2"/>
  <c r="AG9" i="2"/>
  <c r="X9" i="2"/>
  <c r="BG8" i="2"/>
  <c r="BB8" i="2"/>
  <c r="AG8" i="2"/>
  <c r="X8" i="2"/>
  <c r="BG7" i="2"/>
  <c r="BB7" i="2"/>
  <c r="AG7" i="2"/>
  <c r="X7" i="2"/>
  <c r="BG6" i="2"/>
  <c r="BB6" i="2"/>
  <c r="AG6" i="2"/>
  <c r="X6" i="2"/>
  <c r="BG5" i="2"/>
  <c r="BB5" i="2"/>
  <c r="AG5" i="2"/>
  <c r="X5" i="2"/>
  <c r="AG4" i="2"/>
  <c r="X4" i="2"/>
  <c r="BE654" i="1"/>
  <c r="AZ654" i="1"/>
  <c r="AE654" i="1"/>
  <c r="V654" i="1"/>
  <c r="O654" i="1" s="1"/>
  <c r="BE653" i="1"/>
  <c r="AZ653" i="1"/>
  <c r="AE653" i="1"/>
  <c r="V653" i="1"/>
  <c r="O653" i="1" s="1"/>
  <c r="BE652" i="1"/>
  <c r="AZ652" i="1"/>
  <c r="O652" i="1" s="1"/>
  <c r="AE652" i="1"/>
  <c r="V652" i="1"/>
  <c r="BE651" i="1"/>
  <c r="AZ651" i="1"/>
  <c r="AE651" i="1"/>
  <c r="O651" i="1" s="1"/>
  <c r="V651" i="1"/>
  <c r="BE650" i="1"/>
  <c r="AZ650" i="1"/>
  <c r="AE650" i="1"/>
  <c r="V650" i="1"/>
  <c r="O650" i="1" s="1"/>
  <c r="BE649" i="1"/>
  <c r="AZ649" i="1"/>
  <c r="AE649" i="1"/>
  <c r="V649" i="1"/>
  <c r="O649" i="1"/>
  <c r="BE648" i="1"/>
  <c r="AZ648" i="1"/>
  <c r="AE648" i="1"/>
  <c r="V648" i="1"/>
  <c r="O648" i="1" s="1"/>
  <c r="BE647" i="1"/>
  <c r="AZ647" i="1"/>
  <c r="AE647" i="1"/>
  <c r="V647" i="1"/>
  <c r="O647" i="1" s="1"/>
  <c r="BE646" i="1"/>
  <c r="AZ646" i="1"/>
  <c r="O646" i="1" s="1"/>
  <c r="AE646" i="1"/>
  <c r="V646" i="1"/>
  <c r="BE645" i="1"/>
  <c r="AZ645" i="1"/>
  <c r="AE645" i="1"/>
  <c r="O645" i="1" s="1"/>
  <c r="V645" i="1"/>
  <c r="BE644" i="1"/>
  <c r="AZ644" i="1"/>
  <c r="AE644" i="1"/>
  <c r="V644" i="1"/>
  <c r="O644" i="1" s="1"/>
  <c r="BE643" i="1"/>
  <c r="AZ643" i="1"/>
  <c r="AE643" i="1"/>
  <c r="V643" i="1"/>
  <c r="O643" i="1"/>
  <c r="BE642" i="1"/>
  <c r="AZ642" i="1"/>
  <c r="AE642" i="1"/>
  <c r="V642" i="1"/>
  <c r="O642" i="1" s="1"/>
  <c r="BE641" i="1"/>
  <c r="AZ641" i="1"/>
  <c r="AE641" i="1"/>
  <c r="V641" i="1"/>
  <c r="O641" i="1" s="1"/>
  <c r="BE640" i="1"/>
  <c r="AZ640" i="1"/>
  <c r="O640" i="1" s="1"/>
  <c r="AE640" i="1"/>
  <c r="V640" i="1"/>
  <c r="BE639" i="1"/>
  <c r="AZ639" i="1"/>
  <c r="AE639" i="1"/>
  <c r="O639" i="1" s="1"/>
  <c r="V639" i="1"/>
  <c r="BE638" i="1"/>
  <c r="AZ638" i="1"/>
  <c r="AE638" i="1"/>
  <c r="V638" i="1"/>
  <c r="O638" i="1" s="1"/>
  <c r="BE637" i="1"/>
  <c r="AZ637" i="1"/>
  <c r="AE637" i="1"/>
  <c r="V637" i="1"/>
  <c r="O637" i="1"/>
  <c r="BE636" i="1"/>
  <c r="AZ636" i="1"/>
  <c r="AE636" i="1"/>
  <c r="V636" i="1"/>
  <c r="O636" i="1" s="1"/>
  <c r="BE635" i="1"/>
  <c r="AZ635" i="1"/>
  <c r="AE635" i="1"/>
  <c r="V635" i="1"/>
  <c r="O635" i="1" s="1"/>
  <c r="BE634" i="1"/>
  <c r="AZ634" i="1"/>
  <c r="O634" i="1" s="1"/>
  <c r="AE634" i="1"/>
  <c r="V634" i="1"/>
  <c r="BE633" i="1"/>
  <c r="AZ633" i="1"/>
  <c r="AE633" i="1"/>
  <c r="O633" i="1" s="1"/>
  <c r="V633" i="1"/>
  <c r="BE632" i="1"/>
  <c r="AZ632" i="1"/>
  <c r="AE632" i="1"/>
  <c r="V632" i="1"/>
  <c r="O632" i="1" s="1"/>
  <c r="BE631" i="1"/>
  <c r="AZ631" i="1"/>
  <c r="AE631" i="1"/>
  <c r="V631" i="1"/>
  <c r="O631" i="1"/>
  <c r="BE630" i="1"/>
  <c r="AZ630" i="1"/>
  <c r="AE630" i="1"/>
  <c r="V630" i="1"/>
  <c r="O630" i="1" s="1"/>
  <c r="BE629" i="1"/>
  <c r="AZ629" i="1"/>
  <c r="AE629" i="1"/>
  <c r="V629" i="1"/>
  <c r="O629" i="1" s="1"/>
  <c r="BE628" i="1"/>
  <c r="AZ628" i="1"/>
  <c r="O628" i="1" s="1"/>
  <c r="AE628" i="1"/>
  <c r="V628" i="1"/>
  <c r="BE627" i="1"/>
  <c r="AZ627" i="1"/>
  <c r="AE627" i="1"/>
  <c r="O627" i="1" s="1"/>
  <c r="V627" i="1"/>
  <c r="BE626" i="1"/>
  <c r="AZ626" i="1"/>
  <c r="AE626" i="1"/>
  <c r="V626" i="1"/>
  <c r="O626" i="1" s="1"/>
  <c r="BE625" i="1"/>
  <c r="AZ625" i="1"/>
  <c r="AE625" i="1"/>
  <c r="V625" i="1"/>
  <c r="O625" i="1"/>
  <c r="BE624" i="1"/>
  <c r="AZ624" i="1"/>
  <c r="AE624" i="1"/>
  <c r="V624" i="1"/>
  <c r="O624" i="1" s="1"/>
  <c r="BE623" i="1"/>
  <c r="AZ623" i="1"/>
  <c r="AE623" i="1"/>
  <c r="V623" i="1"/>
  <c r="O623" i="1" s="1"/>
  <c r="BE622" i="1"/>
  <c r="AZ622" i="1"/>
  <c r="O622" i="1" s="1"/>
  <c r="AE622" i="1"/>
  <c r="V622" i="1"/>
  <c r="BE621" i="1"/>
  <c r="AZ621" i="1"/>
  <c r="AE621" i="1"/>
  <c r="O621" i="1" s="1"/>
  <c r="V621" i="1"/>
  <c r="BE620" i="1"/>
  <c r="AZ620" i="1"/>
  <c r="AE620" i="1"/>
  <c r="V620" i="1"/>
  <c r="O620" i="1" s="1"/>
  <c r="BE619" i="1"/>
  <c r="AZ619" i="1"/>
  <c r="AE619" i="1"/>
  <c r="V619" i="1"/>
  <c r="O619" i="1"/>
  <c r="BE618" i="1"/>
  <c r="AZ618" i="1"/>
  <c r="AE618" i="1"/>
  <c r="V618" i="1"/>
  <c r="O618" i="1" s="1"/>
  <c r="BE617" i="1"/>
  <c r="AZ617" i="1"/>
  <c r="AE617" i="1"/>
  <c r="V617" i="1"/>
  <c r="O617" i="1" s="1"/>
  <c r="BE616" i="1"/>
  <c r="AZ616" i="1"/>
  <c r="O616" i="1" s="1"/>
  <c r="AE616" i="1"/>
  <c r="V616" i="1"/>
  <c r="BE615" i="1"/>
  <c r="AZ615" i="1"/>
  <c r="AE615" i="1"/>
  <c r="O615" i="1" s="1"/>
  <c r="V615" i="1"/>
  <c r="BE614" i="1"/>
  <c r="AZ614" i="1"/>
  <c r="AE614" i="1"/>
  <c r="V614" i="1"/>
  <c r="O614" i="1" s="1"/>
  <c r="BE613" i="1"/>
  <c r="AZ613" i="1"/>
  <c r="AE613" i="1"/>
  <c r="V613" i="1"/>
  <c r="O613" i="1"/>
  <c r="BE612" i="1"/>
  <c r="AZ612" i="1"/>
  <c r="AE612" i="1"/>
  <c r="V612" i="1"/>
  <c r="O612" i="1" s="1"/>
  <c r="BE611" i="1"/>
  <c r="AZ611" i="1"/>
  <c r="AE611" i="1"/>
  <c r="V611" i="1"/>
  <c r="O611" i="1" s="1"/>
  <c r="BE610" i="1"/>
  <c r="AZ610" i="1"/>
  <c r="O610" i="1" s="1"/>
  <c r="AE610" i="1"/>
  <c r="V610" i="1"/>
  <c r="BE609" i="1"/>
  <c r="AZ609" i="1"/>
  <c r="AE609" i="1"/>
  <c r="O609" i="1" s="1"/>
  <c r="V609" i="1"/>
  <c r="BE608" i="1"/>
  <c r="AZ608" i="1"/>
  <c r="AE608" i="1"/>
  <c r="V608" i="1"/>
  <c r="O608" i="1" s="1"/>
  <c r="BE607" i="1"/>
  <c r="AZ607" i="1"/>
  <c r="AE607" i="1"/>
  <c r="V607" i="1"/>
  <c r="O607" i="1"/>
  <c r="BE606" i="1"/>
  <c r="AZ606" i="1"/>
  <c r="AE606" i="1"/>
  <c r="V606" i="1"/>
  <c r="O606" i="1" s="1"/>
  <c r="BE605" i="1"/>
  <c r="AZ605" i="1"/>
  <c r="AE605" i="1"/>
  <c r="V605" i="1"/>
  <c r="O605" i="1" s="1"/>
  <c r="BE604" i="1"/>
  <c r="AZ604" i="1"/>
  <c r="O604" i="1" s="1"/>
  <c r="AE604" i="1"/>
  <c r="V604" i="1"/>
  <c r="BE603" i="1"/>
  <c r="AZ603" i="1"/>
  <c r="AE603" i="1"/>
  <c r="O603" i="1" s="1"/>
  <c r="V603" i="1"/>
  <c r="BE602" i="1"/>
  <c r="AZ602" i="1"/>
  <c r="AE602" i="1"/>
  <c r="V602" i="1"/>
  <c r="O602" i="1" s="1"/>
  <c r="BE601" i="1"/>
  <c r="AZ601" i="1"/>
  <c r="AE601" i="1"/>
  <c r="V601" i="1"/>
  <c r="O601" i="1"/>
  <c r="BE600" i="1"/>
  <c r="AZ600" i="1"/>
  <c r="AE600" i="1"/>
  <c r="V600" i="1"/>
  <c r="O600" i="1" s="1"/>
  <c r="BE599" i="1"/>
  <c r="AZ599" i="1"/>
  <c r="AE599" i="1"/>
  <c r="V599" i="1"/>
  <c r="O599" i="1" s="1"/>
  <c r="BE598" i="1"/>
  <c r="AZ598" i="1"/>
  <c r="O598" i="1" s="1"/>
  <c r="AE598" i="1"/>
  <c r="V598" i="1"/>
  <c r="BE597" i="1"/>
  <c r="AZ597" i="1"/>
  <c r="AE597" i="1"/>
  <c r="O597" i="1" s="1"/>
  <c r="V597" i="1"/>
  <c r="BE596" i="1"/>
  <c r="AZ596" i="1"/>
  <c r="AE596" i="1"/>
  <c r="V596" i="1"/>
  <c r="O596" i="1" s="1"/>
  <c r="BE595" i="1"/>
  <c r="AZ595" i="1"/>
  <c r="AE595" i="1"/>
  <c r="V595" i="1"/>
  <c r="O595" i="1"/>
  <c r="BE594" i="1"/>
  <c r="AZ594" i="1"/>
  <c r="AE594" i="1"/>
  <c r="V594" i="1"/>
  <c r="O594" i="1" s="1"/>
  <c r="BE593" i="1"/>
  <c r="AZ593" i="1"/>
  <c r="AE593" i="1"/>
  <c r="V593" i="1"/>
  <c r="O593" i="1" s="1"/>
  <c r="BE592" i="1"/>
  <c r="AZ592" i="1"/>
  <c r="O592" i="1" s="1"/>
  <c r="AE592" i="1"/>
  <c r="V592" i="1"/>
  <c r="BE591" i="1"/>
  <c r="AZ591" i="1"/>
  <c r="AE591" i="1"/>
  <c r="O591" i="1" s="1"/>
  <c r="V591" i="1"/>
  <c r="BE590" i="1"/>
  <c r="AZ590" i="1"/>
  <c r="AE590" i="1"/>
  <c r="V590" i="1"/>
  <c r="O590" i="1" s="1"/>
  <c r="BE589" i="1"/>
  <c r="AZ589" i="1"/>
  <c r="AE589" i="1"/>
  <c r="V589" i="1"/>
  <c r="O589" i="1"/>
  <c r="BE588" i="1"/>
  <c r="AZ588" i="1"/>
  <c r="AE588" i="1"/>
  <c r="V588" i="1"/>
  <c r="O588" i="1" s="1"/>
  <c r="BE587" i="1"/>
  <c r="AZ587" i="1"/>
  <c r="AE587" i="1"/>
  <c r="V587" i="1"/>
  <c r="O587" i="1" s="1"/>
  <c r="BE586" i="1"/>
  <c r="AZ586" i="1"/>
  <c r="O586" i="1" s="1"/>
  <c r="AE586" i="1"/>
  <c r="V586" i="1"/>
  <c r="BE585" i="1"/>
  <c r="AZ585" i="1"/>
  <c r="AE585" i="1"/>
  <c r="O585" i="1" s="1"/>
  <c r="V585" i="1"/>
  <c r="BE584" i="1"/>
  <c r="AZ584" i="1"/>
  <c r="AE584" i="1"/>
  <c r="V584" i="1"/>
  <c r="O584" i="1" s="1"/>
  <c r="BE583" i="1"/>
  <c r="AZ583" i="1"/>
  <c r="AE583" i="1"/>
  <c r="V583" i="1"/>
  <c r="O583" i="1"/>
  <c r="BE582" i="1"/>
  <c r="AZ582" i="1"/>
  <c r="AE582" i="1"/>
  <c r="V582" i="1"/>
  <c r="O582" i="1" s="1"/>
  <c r="O581" i="1"/>
  <c r="BE580" i="1"/>
  <c r="AZ580" i="1"/>
  <c r="AE580" i="1"/>
  <c r="V580" i="1"/>
  <c r="O580" i="1" s="1"/>
  <c r="BE579" i="1"/>
  <c r="AZ579" i="1"/>
  <c r="AE579" i="1"/>
  <c r="V579" i="1"/>
  <c r="O579" i="1" s="1"/>
  <c r="BE578" i="1"/>
  <c r="AZ578" i="1"/>
  <c r="O578" i="1" s="1"/>
  <c r="AE578" i="1"/>
  <c r="V578" i="1"/>
  <c r="BE577" i="1"/>
  <c r="AZ577" i="1"/>
  <c r="AE577" i="1"/>
  <c r="O577" i="1" s="1"/>
  <c r="V577" i="1"/>
  <c r="BE576" i="1"/>
  <c r="AZ576" i="1"/>
  <c r="AE576" i="1"/>
  <c r="V576" i="1"/>
  <c r="O576" i="1" s="1"/>
  <c r="BE575" i="1"/>
  <c r="AZ575" i="1"/>
  <c r="AE575" i="1"/>
  <c r="V575" i="1"/>
  <c r="O575" i="1"/>
  <c r="BE574" i="1"/>
  <c r="AZ574" i="1"/>
  <c r="AE574" i="1"/>
  <c r="V574" i="1"/>
  <c r="O574" i="1" s="1"/>
  <c r="BE573" i="1"/>
  <c r="AZ573" i="1"/>
  <c r="AE573" i="1"/>
  <c r="V573" i="1"/>
  <c r="O573" i="1" s="1"/>
  <c r="BE572" i="1"/>
  <c r="AZ572" i="1"/>
  <c r="O572" i="1" s="1"/>
  <c r="AE572" i="1"/>
  <c r="V572" i="1"/>
  <c r="BE571" i="1"/>
  <c r="AZ571" i="1"/>
  <c r="AE571" i="1"/>
  <c r="O571" i="1" s="1"/>
  <c r="V571" i="1"/>
  <c r="BE570" i="1"/>
  <c r="AZ570" i="1"/>
  <c r="AE570" i="1"/>
  <c r="V570" i="1"/>
  <c r="O570" i="1" s="1"/>
  <c r="BE569" i="1"/>
  <c r="AZ569" i="1"/>
  <c r="AE569" i="1"/>
  <c r="V569" i="1"/>
  <c r="O569" i="1"/>
  <c r="BE567" i="1"/>
  <c r="AZ567" i="1"/>
  <c r="AE567" i="1"/>
  <c r="V567" i="1"/>
  <c r="O567" i="1" s="1"/>
  <c r="BE566" i="1"/>
  <c r="AZ566" i="1"/>
  <c r="AE566" i="1"/>
  <c r="V566" i="1"/>
  <c r="O566" i="1" s="1"/>
  <c r="BE565" i="1"/>
  <c r="AZ565" i="1"/>
  <c r="O565" i="1" s="1"/>
  <c r="AE565" i="1"/>
  <c r="V565" i="1"/>
  <c r="BE564" i="1"/>
  <c r="AZ564" i="1"/>
  <c r="AE564" i="1"/>
  <c r="O564" i="1" s="1"/>
  <c r="V564" i="1"/>
  <c r="BE563" i="1"/>
  <c r="AZ563" i="1"/>
  <c r="AE563" i="1"/>
  <c r="V563" i="1"/>
  <c r="O563" i="1" s="1"/>
  <c r="BE562" i="1"/>
  <c r="AZ562" i="1"/>
  <c r="AE562" i="1"/>
  <c r="V562" i="1"/>
  <c r="O562" i="1"/>
  <c r="BE561" i="1"/>
  <c r="AZ561" i="1"/>
  <c r="AE561" i="1"/>
  <c r="V561" i="1"/>
  <c r="O561" i="1" s="1"/>
  <c r="BE560" i="1"/>
  <c r="AZ560" i="1"/>
  <c r="AE560" i="1"/>
  <c r="V560" i="1"/>
  <c r="O560" i="1" s="1"/>
  <c r="BE559" i="1"/>
  <c r="AZ559" i="1"/>
  <c r="O559" i="1" s="1"/>
  <c r="AE559" i="1"/>
  <c r="V559" i="1"/>
  <c r="BE558" i="1"/>
  <c r="AZ558" i="1"/>
  <c r="AE558" i="1"/>
  <c r="O558" i="1" s="1"/>
  <c r="V558" i="1"/>
  <c r="BE557" i="1"/>
  <c r="AZ557" i="1"/>
  <c r="AE557" i="1"/>
  <c r="V557" i="1"/>
  <c r="O557" i="1" s="1"/>
  <c r="BE556" i="1"/>
  <c r="AZ556" i="1"/>
  <c r="AE556" i="1"/>
  <c r="V556" i="1"/>
  <c r="O556" i="1"/>
  <c r="BE555" i="1"/>
  <c r="AZ555" i="1"/>
  <c r="AE555" i="1"/>
  <c r="V555" i="1"/>
  <c r="O555" i="1" s="1"/>
  <c r="BE554" i="1"/>
  <c r="AZ554" i="1"/>
  <c r="AE554" i="1"/>
  <c r="V554" i="1"/>
  <c r="O554" i="1" s="1"/>
  <c r="BE553" i="1"/>
  <c r="AZ553" i="1"/>
  <c r="O553" i="1" s="1"/>
  <c r="AE553" i="1"/>
  <c r="V553" i="1"/>
  <c r="BE552" i="1"/>
  <c r="AZ552" i="1"/>
  <c r="AE552" i="1"/>
  <c r="O552" i="1" s="1"/>
  <c r="V552" i="1"/>
  <c r="BE551" i="1"/>
  <c r="AZ551" i="1"/>
  <c r="AE551" i="1"/>
  <c r="V551" i="1"/>
  <c r="O551" i="1" s="1"/>
  <c r="BE550" i="1"/>
  <c r="AZ550" i="1"/>
  <c r="AE550" i="1"/>
  <c r="V550" i="1"/>
  <c r="O550" i="1"/>
  <c r="BE549" i="1"/>
  <c r="AZ549" i="1"/>
  <c r="AE549" i="1"/>
  <c r="V549" i="1"/>
  <c r="O549" i="1" s="1"/>
  <c r="BE548" i="1"/>
  <c r="AZ548" i="1"/>
  <c r="AE548" i="1"/>
  <c r="V548" i="1"/>
  <c r="O548" i="1" s="1"/>
  <c r="BE547" i="1"/>
  <c r="AZ547" i="1"/>
  <c r="O547" i="1" s="1"/>
  <c r="AE547" i="1"/>
  <c r="V547" i="1"/>
  <c r="BE546" i="1"/>
  <c r="AZ546" i="1"/>
  <c r="AE546" i="1"/>
  <c r="O546" i="1" s="1"/>
  <c r="V546" i="1"/>
  <c r="BE545" i="1"/>
  <c r="AZ545" i="1"/>
  <c r="AE545" i="1"/>
  <c r="V545" i="1"/>
  <c r="O545" i="1" s="1"/>
  <c r="BE544" i="1"/>
  <c r="AZ544" i="1"/>
  <c r="AE544" i="1"/>
  <c r="V544" i="1"/>
  <c r="O544" i="1"/>
  <c r="BE543" i="1"/>
  <c r="AZ543" i="1"/>
  <c r="AE543" i="1"/>
  <c r="V543" i="1"/>
  <c r="O543" i="1" s="1"/>
  <c r="BE542" i="1"/>
  <c r="AZ542" i="1"/>
  <c r="AE542" i="1"/>
  <c r="V542" i="1"/>
  <c r="O542" i="1" s="1"/>
  <c r="BE541" i="1"/>
  <c r="AZ541" i="1"/>
  <c r="O541" i="1" s="1"/>
  <c r="AE541" i="1"/>
  <c r="V541" i="1"/>
  <c r="BE540" i="1"/>
  <c r="AZ540" i="1"/>
  <c r="AE540" i="1"/>
  <c r="O540" i="1" s="1"/>
  <c r="V540" i="1"/>
  <c r="BE539" i="1"/>
  <c r="AZ539" i="1"/>
  <c r="AE539" i="1"/>
  <c r="V539" i="1"/>
  <c r="O539" i="1" s="1"/>
  <c r="BE538" i="1"/>
  <c r="AZ538" i="1"/>
  <c r="AE538" i="1"/>
  <c r="V538" i="1"/>
  <c r="O538" i="1"/>
  <c r="BE537" i="1"/>
  <c r="AZ537" i="1"/>
  <c r="AE537" i="1"/>
  <c r="V537" i="1"/>
  <c r="O537" i="1" s="1"/>
  <c r="BE536" i="1"/>
  <c r="AZ536" i="1"/>
  <c r="AE536" i="1"/>
  <c r="V536" i="1"/>
  <c r="O536" i="1" s="1"/>
  <c r="BE535" i="1"/>
  <c r="AZ535" i="1"/>
  <c r="O535" i="1" s="1"/>
  <c r="AE535" i="1"/>
  <c r="V535" i="1"/>
  <c r="BE534" i="1"/>
  <c r="AZ534" i="1"/>
  <c r="AE534" i="1"/>
  <c r="O534" i="1" s="1"/>
  <c r="V534" i="1"/>
  <c r="BE533" i="1"/>
  <c r="AZ533" i="1"/>
  <c r="AE533" i="1"/>
  <c r="V533" i="1"/>
  <c r="O533" i="1" s="1"/>
  <c r="BE532" i="1"/>
  <c r="AZ532" i="1"/>
  <c r="AE532" i="1"/>
  <c r="V532" i="1"/>
  <c r="O532" i="1"/>
  <c r="BE531" i="1"/>
  <c r="AZ531" i="1"/>
  <c r="AE531" i="1"/>
  <c r="V531" i="1"/>
  <c r="O531" i="1" s="1"/>
  <c r="BE530" i="1"/>
  <c r="AZ530" i="1"/>
  <c r="AE530" i="1"/>
  <c r="V530" i="1"/>
  <c r="O530" i="1" s="1"/>
  <c r="BE529" i="1"/>
  <c r="AZ529" i="1"/>
  <c r="O529" i="1" s="1"/>
  <c r="AE529" i="1"/>
  <c r="V529" i="1"/>
  <c r="BE528" i="1"/>
  <c r="AZ528" i="1"/>
  <c r="AE528" i="1"/>
  <c r="O528" i="1" s="1"/>
  <c r="V528" i="1"/>
  <c r="BE527" i="1"/>
  <c r="AZ527" i="1"/>
  <c r="AE527" i="1"/>
  <c r="V527" i="1"/>
  <c r="O527" i="1" s="1"/>
  <c r="BE526" i="1"/>
  <c r="AZ526" i="1"/>
  <c r="AE526" i="1"/>
  <c r="V526" i="1"/>
  <c r="O526" i="1"/>
  <c r="BE525" i="1"/>
  <c r="AZ525" i="1"/>
  <c r="AE525" i="1"/>
  <c r="V525" i="1"/>
  <c r="O525" i="1" s="1"/>
  <c r="BE524" i="1"/>
  <c r="AZ524" i="1"/>
  <c r="AE524" i="1"/>
  <c r="V524" i="1"/>
  <c r="O524" i="1" s="1"/>
  <c r="BE523" i="1"/>
  <c r="AZ523" i="1"/>
  <c r="O523" i="1" s="1"/>
  <c r="AE523" i="1"/>
  <c r="V523" i="1"/>
  <c r="BE522" i="1"/>
  <c r="AZ522" i="1"/>
  <c r="AE522" i="1"/>
  <c r="O522" i="1" s="1"/>
  <c r="V522" i="1"/>
  <c r="BE521" i="1"/>
  <c r="AZ521" i="1"/>
  <c r="AE521" i="1"/>
  <c r="V521" i="1"/>
  <c r="O521" i="1" s="1"/>
  <c r="BE520" i="1"/>
  <c r="AZ520" i="1"/>
  <c r="AE520" i="1"/>
  <c r="V520" i="1"/>
  <c r="O520" i="1"/>
  <c r="BE519" i="1"/>
  <c r="AZ519" i="1"/>
  <c r="AE519" i="1"/>
  <c r="V519" i="1"/>
  <c r="O519" i="1" s="1"/>
  <c r="BE518" i="1"/>
  <c r="AZ518" i="1"/>
  <c r="AE518" i="1"/>
  <c r="V518" i="1"/>
  <c r="O518" i="1" s="1"/>
  <c r="BE517" i="1"/>
  <c r="AZ517" i="1"/>
  <c r="O517" i="1" s="1"/>
  <c r="AE517" i="1"/>
  <c r="V517" i="1"/>
  <c r="BE516" i="1"/>
  <c r="AZ516" i="1"/>
  <c r="AE516" i="1"/>
  <c r="O516" i="1" s="1"/>
  <c r="V516" i="1"/>
  <c r="BE515" i="1"/>
  <c r="AZ515" i="1"/>
  <c r="AE515" i="1"/>
  <c r="V515" i="1"/>
  <c r="O515" i="1" s="1"/>
  <c r="BE514" i="1"/>
  <c r="AZ514" i="1"/>
  <c r="AE514" i="1"/>
  <c r="V514" i="1"/>
  <c r="O514" i="1"/>
  <c r="BE513" i="1"/>
  <c r="AZ513" i="1"/>
  <c r="AE513" i="1"/>
  <c r="V513" i="1"/>
  <c r="O513" i="1" s="1"/>
  <c r="BE512" i="1"/>
  <c r="AZ512" i="1"/>
  <c r="AE512" i="1"/>
  <c r="V512" i="1"/>
  <c r="O512" i="1" s="1"/>
  <c r="BE511" i="1"/>
  <c r="AZ511" i="1"/>
  <c r="O511" i="1" s="1"/>
  <c r="AE511" i="1"/>
  <c r="V511" i="1"/>
  <c r="BE510" i="1"/>
  <c r="AZ510" i="1"/>
  <c r="AE510" i="1"/>
  <c r="O510" i="1" s="1"/>
  <c r="V510" i="1"/>
  <c r="BE509" i="1"/>
  <c r="AZ509" i="1"/>
  <c r="AE509" i="1"/>
  <c r="V509" i="1"/>
  <c r="O509" i="1" s="1"/>
  <c r="BE508" i="1"/>
  <c r="AZ508" i="1"/>
  <c r="AE508" i="1"/>
  <c r="V508" i="1"/>
  <c r="O508" i="1"/>
  <c r="BE507" i="1"/>
  <c r="AZ507" i="1"/>
  <c r="AE507" i="1"/>
  <c r="V507" i="1"/>
  <c r="O507" i="1" s="1"/>
  <c r="BE506" i="1"/>
  <c r="AZ506" i="1"/>
  <c r="AE506" i="1"/>
  <c r="V506" i="1"/>
  <c r="O506" i="1" s="1"/>
  <c r="BE505" i="1"/>
  <c r="AZ505" i="1"/>
  <c r="O505" i="1" s="1"/>
  <c r="AE505" i="1"/>
  <c r="V505" i="1"/>
  <c r="BE504" i="1"/>
  <c r="AZ504" i="1"/>
  <c r="AE504" i="1"/>
  <c r="O504" i="1" s="1"/>
  <c r="V504" i="1"/>
  <c r="BE503" i="1"/>
  <c r="AZ503" i="1"/>
  <c r="AE503" i="1"/>
  <c r="V503" i="1"/>
  <c r="O503" i="1" s="1"/>
  <c r="BE502" i="1"/>
  <c r="AZ502" i="1"/>
  <c r="AE502" i="1"/>
  <c r="V502" i="1"/>
  <c r="O502" i="1"/>
  <c r="BE501" i="1"/>
  <c r="AZ501" i="1"/>
  <c r="AE501" i="1"/>
  <c r="V501" i="1"/>
  <c r="O501" i="1" s="1"/>
  <c r="BE500" i="1"/>
  <c r="AZ500" i="1"/>
  <c r="AE500" i="1"/>
  <c r="V500" i="1"/>
  <c r="O500" i="1" s="1"/>
  <c r="BE499" i="1"/>
  <c r="AZ499" i="1"/>
  <c r="O499" i="1" s="1"/>
  <c r="AE499" i="1"/>
  <c r="V499" i="1"/>
  <c r="BE498" i="1"/>
  <c r="AZ498" i="1"/>
  <c r="AE498" i="1"/>
  <c r="O498" i="1" s="1"/>
  <c r="V498" i="1"/>
  <c r="BE497" i="1"/>
  <c r="AZ497" i="1"/>
  <c r="AE497" i="1"/>
  <c r="V497" i="1"/>
  <c r="O497" i="1" s="1"/>
  <c r="BE496" i="1"/>
  <c r="AZ496" i="1"/>
  <c r="AE496" i="1"/>
  <c r="V496" i="1"/>
  <c r="O496" i="1"/>
  <c r="BE495" i="1"/>
  <c r="AZ495" i="1"/>
  <c r="AE495" i="1"/>
  <c r="V495" i="1"/>
  <c r="O495" i="1" s="1"/>
  <c r="BE494" i="1"/>
  <c r="AZ494" i="1"/>
  <c r="AE494" i="1"/>
  <c r="V494" i="1"/>
  <c r="O494" i="1" s="1"/>
  <c r="BE493" i="1"/>
  <c r="AZ493" i="1"/>
  <c r="O493" i="1" s="1"/>
  <c r="AE493" i="1"/>
  <c r="V493" i="1"/>
  <c r="BE492" i="1"/>
  <c r="AZ492" i="1"/>
  <c r="AE492" i="1"/>
  <c r="O492" i="1" s="1"/>
  <c r="V492" i="1"/>
  <c r="BE491" i="1"/>
  <c r="AZ491" i="1"/>
  <c r="AE491" i="1"/>
  <c r="V491" i="1"/>
  <c r="O491" i="1" s="1"/>
  <c r="BE490" i="1"/>
  <c r="AZ490" i="1"/>
  <c r="AE490" i="1"/>
  <c r="V490" i="1"/>
  <c r="O490" i="1"/>
  <c r="BE489" i="1"/>
  <c r="AZ489" i="1"/>
  <c r="AE489" i="1"/>
  <c r="V489" i="1"/>
  <c r="O489" i="1" s="1"/>
  <c r="BE488" i="1"/>
  <c r="AZ488" i="1"/>
  <c r="AE488" i="1"/>
  <c r="V488" i="1"/>
  <c r="O488" i="1" s="1"/>
  <c r="BE487" i="1"/>
  <c r="AZ487" i="1"/>
  <c r="O487" i="1" s="1"/>
  <c r="AE487" i="1"/>
  <c r="V487" i="1"/>
  <c r="BE486" i="1"/>
  <c r="AZ486" i="1"/>
  <c r="AE486" i="1"/>
  <c r="O486" i="1" s="1"/>
  <c r="V486" i="1"/>
  <c r="BE485" i="1"/>
  <c r="AZ485" i="1"/>
  <c r="AE485" i="1"/>
  <c r="V485" i="1"/>
  <c r="O485" i="1" s="1"/>
  <c r="BE484" i="1"/>
  <c r="AZ484" i="1"/>
  <c r="AE484" i="1"/>
  <c r="V484" i="1"/>
  <c r="O484" i="1"/>
  <c r="BE483" i="1"/>
  <c r="AZ483" i="1"/>
  <c r="AE483" i="1"/>
  <c r="V483" i="1"/>
  <c r="O483" i="1" s="1"/>
  <c r="BE482" i="1"/>
  <c r="AZ482" i="1"/>
  <c r="AE482" i="1"/>
  <c r="V482" i="1"/>
  <c r="O482" i="1" s="1"/>
  <c r="BE481" i="1"/>
  <c r="AZ481" i="1"/>
  <c r="O481" i="1" s="1"/>
  <c r="AE481" i="1"/>
  <c r="V481" i="1"/>
  <c r="BE480" i="1"/>
  <c r="AZ480" i="1"/>
  <c r="AE480" i="1"/>
  <c r="V480" i="1"/>
  <c r="O480" i="1" s="1"/>
  <c r="BE479" i="1"/>
  <c r="AZ479" i="1"/>
  <c r="AE479" i="1"/>
  <c r="V479" i="1"/>
  <c r="O479" i="1" s="1"/>
  <c r="BE478" i="1"/>
  <c r="AZ478" i="1"/>
  <c r="AE478" i="1"/>
  <c r="V478" i="1"/>
  <c r="O478" i="1"/>
  <c r="BE477" i="1"/>
  <c r="AZ477" i="1"/>
  <c r="AE477" i="1"/>
  <c r="V477" i="1"/>
  <c r="O477" i="1" s="1"/>
  <c r="BE476" i="1"/>
  <c r="AZ476" i="1"/>
  <c r="AE476" i="1"/>
  <c r="V476" i="1"/>
  <c r="O476" i="1" s="1"/>
  <c r="BE475" i="1"/>
  <c r="AZ475" i="1"/>
  <c r="O475" i="1" s="1"/>
  <c r="AE475" i="1"/>
  <c r="V475" i="1"/>
  <c r="BE474" i="1"/>
  <c r="AZ474" i="1"/>
  <c r="AE474" i="1"/>
  <c r="V474" i="1"/>
  <c r="O474" i="1" s="1"/>
  <c r="BE473" i="1"/>
  <c r="AZ473" i="1"/>
  <c r="AE473" i="1"/>
  <c r="V473" i="1"/>
  <c r="O473" i="1" s="1"/>
  <c r="BE472" i="1"/>
  <c r="AZ472" i="1"/>
  <c r="AE472" i="1"/>
  <c r="V472" i="1"/>
  <c r="O472" i="1"/>
  <c r="BE471" i="1"/>
  <c r="AZ471" i="1"/>
  <c r="AE471" i="1"/>
  <c r="V471" i="1"/>
  <c r="O471" i="1" s="1"/>
  <c r="BE470" i="1"/>
  <c r="AZ470" i="1"/>
  <c r="AE470" i="1"/>
  <c r="V470" i="1"/>
  <c r="O470" i="1" s="1"/>
  <c r="BE469" i="1"/>
  <c r="AZ469" i="1"/>
  <c r="O469" i="1" s="1"/>
  <c r="AE469" i="1"/>
  <c r="V469" i="1"/>
  <c r="BE468" i="1"/>
  <c r="AZ468" i="1"/>
  <c r="AE468" i="1"/>
  <c r="V468" i="1"/>
  <c r="O468" i="1" s="1"/>
  <c r="BE467" i="1"/>
  <c r="AZ467" i="1"/>
  <c r="AE467" i="1"/>
  <c r="V467" i="1"/>
  <c r="O467" i="1" s="1"/>
  <c r="BE466" i="1"/>
  <c r="AZ466" i="1"/>
  <c r="AE466" i="1"/>
  <c r="V466" i="1"/>
  <c r="O466" i="1"/>
  <c r="BE465" i="1"/>
  <c r="AZ465" i="1"/>
  <c r="AE465" i="1"/>
  <c r="V465" i="1"/>
  <c r="O465" i="1" s="1"/>
  <c r="BE464" i="1"/>
  <c r="AZ464" i="1"/>
  <c r="AE464" i="1"/>
  <c r="V464" i="1"/>
  <c r="O464" i="1" s="1"/>
  <c r="BE463" i="1"/>
  <c r="AZ463" i="1"/>
  <c r="O463" i="1" s="1"/>
  <c r="AE463" i="1"/>
  <c r="V463" i="1"/>
  <c r="BE462" i="1"/>
  <c r="AZ462" i="1"/>
  <c r="AE462" i="1"/>
  <c r="V462" i="1"/>
  <c r="O462" i="1" s="1"/>
  <c r="BE461" i="1"/>
  <c r="AZ461" i="1"/>
  <c r="AE461" i="1"/>
  <c r="V461" i="1"/>
  <c r="O461" i="1" s="1"/>
  <c r="BE460" i="1"/>
  <c r="AZ460" i="1"/>
  <c r="AE460" i="1"/>
  <c r="V460" i="1"/>
  <c r="O460" i="1"/>
  <c r="BE459" i="1"/>
  <c r="AZ459" i="1"/>
  <c r="AE459" i="1"/>
  <c r="V459" i="1"/>
  <c r="O459" i="1" s="1"/>
  <c r="BE458" i="1"/>
  <c r="AZ458" i="1"/>
  <c r="AE458" i="1"/>
  <c r="V458" i="1"/>
  <c r="O458" i="1" s="1"/>
  <c r="BE457" i="1"/>
  <c r="AZ457" i="1"/>
  <c r="O457" i="1" s="1"/>
  <c r="AE457" i="1"/>
  <c r="V457" i="1"/>
  <c r="BE456" i="1"/>
  <c r="AZ456" i="1"/>
  <c r="AE456" i="1"/>
  <c r="V456" i="1"/>
  <c r="O456" i="1" s="1"/>
  <c r="BE455" i="1"/>
  <c r="AZ455" i="1"/>
  <c r="AE455" i="1"/>
  <c r="V455" i="1"/>
  <c r="O455" i="1" s="1"/>
  <c r="BE454" i="1"/>
  <c r="AZ454" i="1"/>
  <c r="AE454" i="1"/>
  <c r="V454" i="1"/>
  <c r="O454" i="1"/>
  <c r="BE453" i="1"/>
  <c r="AZ453" i="1"/>
  <c r="AE453" i="1"/>
  <c r="V453" i="1"/>
  <c r="O453" i="1" s="1"/>
  <c r="BE452" i="1"/>
  <c r="AZ452" i="1"/>
  <c r="AE452" i="1"/>
  <c r="V452" i="1"/>
  <c r="O452" i="1" s="1"/>
  <c r="BE451" i="1"/>
  <c r="AZ451" i="1"/>
  <c r="O451" i="1" s="1"/>
  <c r="AE451" i="1"/>
  <c r="V451" i="1"/>
  <c r="BE450" i="1"/>
  <c r="AZ450" i="1"/>
  <c r="AE450" i="1"/>
  <c r="V450" i="1"/>
  <c r="O450" i="1" s="1"/>
  <c r="BE449" i="1"/>
  <c r="AZ449" i="1"/>
  <c r="AE449" i="1"/>
  <c r="V449" i="1"/>
  <c r="O449" i="1" s="1"/>
  <c r="BE448" i="1"/>
  <c r="AZ448" i="1"/>
  <c r="AE448" i="1"/>
  <c r="V448" i="1"/>
  <c r="O448" i="1"/>
  <c r="BE447" i="1"/>
  <c r="AZ447" i="1"/>
  <c r="AE447" i="1"/>
  <c r="V447" i="1"/>
  <c r="O447" i="1" s="1"/>
  <c r="BE446" i="1"/>
  <c r="AZ446" i="1"/>
  <c r="AE446" i="1"/>
  <c r="V446" i="1"/>
  <c r="O446" i="1" s="1"/>
  <c r="BE445" i="1"/>
  <c r="AZ445" i="1"/>
  <c r="O445" i="1" s="1"/>
  <c r="AE445" i="1"/>
  <c r="V445" i="1"/>
  <c r="BE444" i="1"/>
  <c r="AZ444" i="1"/>
  <c r="AE444" i="1"/>
  <c r="V444" i="1"/>
  <c r="O444" i="1" s="1"/>
  <c r="BE443" i="1"/>
  <c r="AZ443" i="1"/>
  <c r="AE443" i="1"/>
  <c r="V443" i="1"/>
  <c r="O443" i="1" s="1"/>
  <c r="BE442" i="1"/>
  <c r="AZ442" i="1"/>
  <c r="O442" i="1" s="1"/>
  <c r="AE442" i="1"/>
  <c r="V442" i="1"/>
  <c r="BE441" i="1"/>
  <c r="AZ441" i="1"/>
  <c r="AE441" i="1"/>
  <c r="V441" i="1"/>
  <c r="BE440" i="1"/>
  <c r="AZ440" i="1"/>
  <c r="AE440" i="1"/>
  <c r="V440" i="1"/>
  <c r="O440" i="1" s="1"/>
  <c r="BE439" i="1"/>
  <c r="AZ439" i="1"/>
  <c r="AE439" i="1"/>
  <c r="V439" i="1"/>
  <c r="O439" i="1"/>
  <c r="BE438" i="1"/>
  <c r="AZ438" i="1"/>
  <c r="AE438" i="1"/>
  <c r="V438" i="1"/>
  <c r="O438" i="1" s="1"/>
  <c r="BE437" i="1"/>
  <c r="AZ437" i="1"/>
  <c r="AE437" i="1"/>
  <c r="V437" i="1"/>
  <c r="O437" i="1" s="1"/>
  <c r="BE436" i="1"/>
  <c r="AZ436" i="1"/>
  <c r="AE436" i="1"/>
  <c r="V436" i="1"/>
  <c r="O436" i="1"/>
  <c r="BE435" i="1"/>
  <c r="AZ435" i="1"/>
  <c r="AE435" i="1"/>
  <c r="V435" i="1"/>
  <c r="BE434" i="1"/>
  <c r="AZ434" i="1"/>
  <c r="AE434" i="1"/>
  <c r="V434" i="1"/>
  <c r="O434" i="1" s="1"/>
  <c r="BE433" i="1"/>
  <c r="AZ433" i="1"/>
  <c r="AE433" i="1"/>
  <c r="V433" i="1"/>
  <c r="O433" i="1"/>
  <c r="BE432" i="1"/>
  <c r="AZ432" i="1"/>
  <c r="AE432" i="1"/>
  <c r="V432" i="1"/>
  <c r="O432" i="1" s="1"/>
  <c r="BE431" i="1"/>
  <c r="AZ431" i="1"/>
  <c r="AE431" i="1"/>
  <c r="V431" i="1"/>
  <c r="O431" i="1" s="1"/>
  <c r="BE430" i="1"/>
  <c r="AZ430" i="1"/>
  <c r="O430" i="1" s="1"/>
  <c r="AE430" i="1"/>
  <c r="V430" i="1"/>
  <c r="BE429" i="1"/>
  <c r="AZ429" i="1"/>
  <c r="AE429" i="1"/>
  <c r="V429" i="1"/>
  <c r="O429" i="1" s="1"/>
  <c r="BE428" i="1"/>
  <c r="AZ428" i="1"/>
  <c r="AE428" i="1"/>
  <c r="V428" i="1"/>
  <c r="O428" i="1" s="1"/>
  <c r="BE427" i="1"/>
  <c r="AZ427" i="1"/>
  <c r="O427" i="1" s="1"/>
  <c r="AE427" i="1"/>
  <c r="V427" i="1"/>
  <c r="BE426" i="1"/>
  <c r="AZ426" i="1"/>
  <c r="AE426" i="1"/>
  <c r="V426" i="1"/>
  <c r="O426" i="1" s="1"/>
  <c r="BE425" i="1"/>
  <c r="AZ425" i="1"/>
  <c r="AE425" i="1"/>
  <c r="V425" i="1"/>
  <c r="O425" i="1" s="1"/>
  <c r="BE424" i="1"/>
  <c r="AZ424" i="1"/>
  <c r="O424" i="1" s="1"/>
  <c r="AE424" i="1"/>
  <c r="V424" i="1"/>
  <c r="BE423" i="1"/>
  <c r="AZ423" i="1"/>
  <c r="AE423" i="1"/>
  <c r="V423" i="1"/>
  <c r="BE422" i="1"/>
  <c r="AZ422" i="1"/>
  <c r="AE422" i="1"/>
  <c r="V422" i="1"/>
  <c r="O422" i="1" s="1"/>
  <c r="BE421" i="1"/>
  <c r="AZ421" i="1"/>
  <c r="AE421" i="1"/>
  <c r="V421" i="1"/>
  <c r="O421" i="1"/>
  <c r="BE420" i="1"/>
  <c r="AZ420" i="1"/>
  <c r="AE420" i="1"/>
  <c r="V420" i="1"/>
  <c r="O420" i="1" s="1"/>
  <c r="BE419" i="1"/>
  <c r="AZ419" i="1"/>
  <c r="AE419" i="1"/>
  <c r="V419" i="1"/>
  <c r="O419" i="1" s="1"/>
  <c r="BE418" i="1"/>
  <c r="AZ418" i="1"/>
  <c r="AE418" i="1"/>
  <c r="V418" i="1"/>
  <c r="O418" i="1"/>
  <c r="BE417" i="1"/>
  <c r="AZ417" i="1"/>
  <c r="AE417" i="1"/>
  <c r="V417" i="1"/>
  <c r="BE416" i="1"/>
  <c r="AZ416" i="1"/>
  <c r="AE416" i="1"/>
  <c r="V416" i="1"/>
  <c r="O416" i="1" s="1"/>
  <c r="BE415" i="1"/>
  <c r="AZ415" i="1"/>
  <c r="AE415" i="1"/>
  <c r="V415" i="1"/>
  <c r="O415" i="1"/>
  <c r="BE414" i="1"/>
  <c r="AZ414" i="1"/>
  <c r="AE414" i="1"/>
  <c r="V414" i="1"/>
  <c r="O414" i="1" s="1"/>
  <c r="BE413" i="1"/>
  <c r="AZ413" i="1"/>
  <c r="AE413" i="1"/>
  <c r="V413" i="1"/>
  <c r="BE412" i="1"/>
  <c r="AZ412" i="1"/>
  <c r="AE412" i="1"/>
  <c r="O412" i="1" s="1"/>
  <c r="V412" i="1"/>
  <c r="BE411" i="1"/>
  <c r="AZ411" i="1"/>
  <c r="AE411" i="1"/>
  <c r="V411" i="1"/>
  <c r="O411" i="1" s="1"/>
  <c r="BE410" i="1"/>
  <c r="AZ410" i="1"/>
  <c r="AE410" i="1"/>
  <c r="V410" i="1"/>
  <c r="O410" i="1"/>
  <c r="BE409" i="1"/>
  <c r="AZ409" i="1"/>
  <c r="O409" i="1" s="1"/>
  <c r="AE409" i="1"/>
  <c r="V409" i="1"/>
  <c r="BE408" i="1"/>
  <c r="AZ408" i="1"/>
  <c r="AE408" i="1"/>
  <c r="V408" i="1"/>
  <c r="BE407" i="1"/>
  <c r="AZ407" i="1"/>
  <c r="AE407" i="1"/>
  <c r="V407" i="1"/>
  <c r="O407" i="1" s="1"/>
  <c r="BE406" i="1"/>
  <c r="AZ406" i="1"/>
  <c r="AE406" i="1"/>
  <c r="V406" i="1"/>
  <c r="O406" i="1"/>
  <c r="BE405" i="1"/>
  <c r="AZ405" i="1"/>
  <c r="AE405" i="1"/>
  <c r="V405" i="1"/>
  <c r="O405" i="1" s="1"/>
  <c r="BE404" i="1"/>
  <c r="AZ404" i="1"/>
  <c r="AE404" i="1"/>
  <c r="V404" i="1"/>
  <c r="O404" i="1" s="1"/>
  <c r="BE403" i="1"/>
  <c r="AZ403" i="1"/>
  <c r="AE403" i="1"/>
  <c r="V403" i="1"/>
  <c r="O403" i="1"/>
  <c r="BE402" i="1"/>
  <c r="AZ402" i="1"/>
  <c r="AE402" i="1"/>
  <c r="V402" i="1"/>
  <c r="O402" i="1" s="1"/>
  <c r="BE401" i="1"/>
  <c r="AZ401" i="1"/>
  <c r="AE401" i="1"/>
  <c r="V401" i="1"/>
  <c r="BE400" i="1"/>
  <c r="AZ400" i="1"/>
  <c r="AE400" i="1"/>
  <c r="O400" i="1" s="1"/>
  <c r="V400" i="1"/>
  <c r="BE399" i="1"/>
  <c r="AZ399" i="1"/>
  <c r="AE399" i="1"/>
  <c r="V399" i="1"/>
  <c r="O399" i="1" s="1"/>
  <c r="BE398" i="1"/>
  <c r="AZ398" i="1"/>
  <c r="AE398" i="1"/>
  <c r="V398" i="1"/>
  <c r="O398" i="1"/>
  <c r="BE397" i="1"/>
  <c r="AZ397" i="1"/>
  <c r="O397" i="1" s="1"/>
  <c r="AE397" i="1"/>
  <c r="V397" i="1"/>
  <c r="BE396" i="1"/>
  <c r="AZ396" i="1"/>
  <c r="AE396" i="1"/>
  <c r="V396" i="1"/>
  <c r="BE395" i="1"/>
  <c r="AZ395" i="1"/>
  <c r="AE395" i="1"/>
  <c r="V395" i="1"/>
  <c r="O395" i="1" s="1"/>
  <c r="BE394" i="1"/>
  <c r="AZ394" i="1"/>
  <c r="AE394" i="1"/>
  <c r="V394" i="1"/>
  <c r="O394" i="1"/>
  <c r="BE393" i="1"/>
  <c r="AZ393" i="1"/>
  <c r="AE393" i="1"/>
  <c r="V393" i="1"/>
  <c r="O393" i="1" s="1"/>
  <c r="BE392" i="1"/>
  <c r="AZ392" i="1"/>
  <c r="AE392" i="1"/>
  <c r="V392" i="1"/>
  <c r="O392" i="1" s="1"/>
  <c r="BE391" i="1"/>
  <c r="AZ391" i="1"/>
  <c r="AE391" i="1"/>
  <c r="V391" i="1"/>
  <c r="O391" i="1"/>
  <c r="BE390" i="1"/>
  <c r="AZ390" i="1"/>
  <c r="AE390" i="1"/>
  <c r="V390" i="1"/>
  <c r="O390" i="1" s="1"/>
  <c r="BE389" i="1"/>
  <c r="AZ389" i="1"/>
  <c r="AE389" i="1"/>
  <c r="V389" i="1"/>
  <c r="BE388" i="1"/>
  <c r="AZ388" i="1"/>
  <c r="AE388" i="1"/>
  <c r="O388" i="1" s="1"/>
  <c r="V388" i="1"/>
  <c r="BE387" i="1"/>
  <c r="AZ387" i="1"/>
  <c r="AE387" i="1"/>
  <c r="V387" i="1"/>
  <c r="O387" i="1" s="1"/>
  <c r="BE386" i="1"/>
  <c r="AZ386" i="1"/>
  <c r="AE386" i="1"/>
  <c r="V386" i="1"/>
  <c r="O386" i="1"/>
  <c r="BE385" i="1"/>
  <c r="AZ385" i="1"/>
  <c r="O385" i="1" s="1"/>
  <c r="AE385" i="1"/>
  <c r="V385" i="1"/>
  <c r="BE384" i="1"/>
  <c r="AZ384" i="1"/>
  <c r="AE384" i="1"/>
  <c r="V384" i="1"/>
  <c r="BE383" i="1"/>
  <c r="AZ383" i="1"/>
  <c r="AE383" i="1"/>
  <c r="V383" i="1"/>
  <c r="O383" i="1" s="1"/>
  <c r="BE382" i="1"/>
  <c r="AZ382" i="1"/>
  <c r="AE382" i="1"/>
  <c r="V382" i="1"/>
  <c r="O382" i="1"/>
  <c r="BE381" i="1"/>
  <c r="AZ381" i="1"/>
  <c r="AE381" i="1"/>
  <c r="V381" i="1"/>
  <c r="O381" i="1" s="1"/>
  <c r="BE380" i="1"/>
  <c r="AZ380" i="1"/>
  <c r="AE380" i="1"/>
  <c r="V380" i="1"/>
  <c r="O380" i="1" s="1"/>
  <c r="BE379" i="1"/>
  <c r="AZ379" i="1"/>
  <c r="AE379" i="1"/>
  <c r="V379" i="1"/>
  <c r="O379" i="1"/>
  <c r="BE378" i="1"/>
  <c r="AZ378" i="1"/>
  <c r="AE378" i="1"/>
  <c r="V378" i="1"/>
  <c r="O378" i="1" s="1"/>
  <c r="BE377" i="1"/>
  <c r="AZ377" i="1"/>
  <c r="AE377" i="1"/>
  <c r="V377" i="1"/>
  <c r="BE376" i="1"/>
  <c r="AZ376" i="1"/>
  <c r="AE376" i="1"/>
  <c r="O376" i="1" s="1"/>
  <c r="V376" i="1"/>
  <c r="BE375" i="1"/>
  <c r="AZ375" i="1"/>
  <c r="AE375" i="1"/>
  <c r="V375" i="1"/>
  <c r="O375" i="1" s="1"/>
  <c r="BE374" i="1"/>
  <c r="AZ374" i="1"/>
  <c r="AE374" i="1"/>
  <c r="V374" i="1"/>
  <c r="O374" i="1"/>
  <c r="BE373" i="1"/>
  <c r="AZ373" i="1"/>
  <c r="O373" i="1" s="1"/>
  <c r="AE373" i="1"/>
  <c r="V373" i="1"/>
  <c r="BE372" i="1"/>
  <c r="AZ372" i="1"/>
  <c r="AE372" i="1"/>
  <c r="O372" i="1" s="1"/>
  <c r="V372" i="1"/>
  <c r="BE371" i="1"/>
  <c r="AZ371" i="1"/>
  <c r="AE371" i="1"/>
  <c r="V371" i="1"/>
  <c r="O371" i="1" s="1"/>
  <c r="BE370" i="1"/>
  <c r="AZ370" i="1"/>
  <c r="AE370" i="1"/>
  <c r="V370" i="1"/>
  <c r="O370" i="1"/>
  <c r="BE369" i="1"/>
  <c r="AZ369" i="1"/>
  <c r="AE369" i="1"/>
  <c r="V369" i="1"/>
  <c r="O369" i="1" s="1"/>
  <c r="BE368" i="1"/>
  <c r="AZ368" i="1"/>
  <c r="AE368" i="1"/>
  <c r="V368" i="1"/>
  <c r="O368" i="1" s="1"/>
  <c r="BE367" i="1"/>
  <c r="AZ367" i="1"/>
  <c r="AE367" i="1"/>
  <c r="V367" i="1"/>
  <c r="O367" i="1"/>
  <c r="BE366" i="1"/>
  <c r="AZ366" i="1"/>
  <c r="AE366" i="1"/>
  <c r="O366" i="1" s="1"/>
  <c r="V366" i="1"/>
  <c r="BE365" i="1"/>
  <c r="AZ365" i="1"/>
  <c r="AE365" i="1"/>
  <c r="V365" i="1"/>
  <c r="BE364" i="1"/>
  <c r="AZ364" i="1"/>
  <c r="AE364" i="1"/>
  <c r="O364" i="1" s="1"/>
  <c r="V364" i="1"/>
  <c r="BE363" i="1"/>
  <c r="AZ363" i="1"/>
  <c r="AE363" i="1"/>
  <c r="V363" i="1"/>
  <c r="O363" i="1" s="1"/>
  <c r="BE362" i="1"/>
  <c r="AZ362" i="1"/>
  <c r="AE362" i="1"/>
  <c r="V362" i="1"/>
  <c r="O362" i="1"/>
  <c r="BE361" i="1"/>
  <c r="AZ361" i="1"/>
  <c r="O361" i="1" s="1"/>
  <c r="AE361" i="1"/>
  <c r="V361" i="1"/>
  <c r="BE360" i="1"/>
  <c r="AZ360" i="1"/>
  <c r="AE360" i="1"/>
  <c r="O360" i="1" s="1"/>
  <c r="V360" i="1"/>
  <c r="BE359" i="1"/>
  <c r="AZ359" i="1"/>
  <c r="AE359" i="1"/>
  <c r="V359" i="1"/>
  <c r="O359" i="1" s="1"/>
  <c r="BE358" i="1"/>
  <c r="AZ358" i="1"/>
  <c r="AE358" i="1"/>
  <c r="V358" i="1"/>
  <c r="O358" i="1"/>
  <c r="BE357" i="1"/>
  <c r="AZ357" i="1"/>
  <c r="AE357" i="1"/>
  <c r="V357" i="1"/>
  <c r="O357" i="1" s="1"/>
  <c r="BE356" i="1"/>
  <c r="AZ356" i="1"/>
  <c r="AE356" i="1"/>
  <c r="V356" i="1"/>
  <c r="O356" i="1" s="1"/>
  <c r="BE355" i="1"/>
  <c r="AZ355" i="1"/>
  <c r="AE355" i="1"/>
  <c r="V355" i="1"/>
  <c r="O355" i="1"/>
  <c r="BE354" i="1"/>
  <c r="AZ354" i="1"/>
  <c r="AE354" i="1"/>
  <c r="O354" i="1" s="1"/>
  <c r="V354" i="1"/>
  <c r="BE353" i="1"/>
  <c r="AZ353" i="1"/>
  <c r="AE353" i="1"/>
  <c r="V353" i="1"/>
  <c r="BE352" i="1"/>
  <c r="AZ352" i="1"/>
  <c r="AE352" i="1"/>
  <c r="O352" i="1" s="1"/>
  <c r="V352" i="1"/>
  <c r="BE351" i="1"/>
  <c r="AZ351" i="1"/>
  <c r="AE351" i="1"/>
  <c r="V351" i="1"/>
  <c r="O351" i="1" s="1"/>
  <c r="BE350" i="1"/>
  <c r="AZ350" i="1"/>
  <c r="AE350" i="1"/>
  <c r="V350" i="1"/>
  <c r="O350" i="1"/>
  <c r="BE349" i="1"/>
  <c r="AZ349" i="1"/>
  <c r="O349" i="1" s="1"/>
  <c r="AE349" i="1"/>
  <c r="V349" i="1"/>
  <c r="BE348" i="1"/>
  <c r="AZ348" i="1"/>
  <c r="AE348" i="1"/>
  <c r="V348" i="1"/>
  <c r="BE347" i="1"/>
  <c r="AZ347" i="1"/>
  <c r="AE347" i="1"/>
  <c r="V347" i="1"/>
  <c r="O347" i="1" s="1"/>
  <c r="BE346" i="1"/>
  <c r="AZ346" i="1"/>
  <c r="AE346" i="1"/>
  <c r="V346" i="1"/>
  <c r="O346" i="1"/>
  <c r="BE345" i="1"/>
  <c r="AZ345" i="1"/>
  <c r="AE345" i="1"/>
  <c r="V345" i="1"/>
  <c r="O345" i="1" s="1"/>
  <c r="BE344" i="1"/>
  <c r="AZ344" i="1"/>
  <c r="AE344" i="1"/>
  <c r="V344" i="1"/>
  <c r="O344" i="1" s="1"/>
  <c r="BE343" i="1"/>
  <c r="AZ343" i="1"/>
  <c r="AE343" i="1"/>
  <c r="V343" i="1"/>
  <c r="O343" i="1"/>
  <c r="BE342" i="1"/>
  <c r="AZ342" i="1"/>
  <c r="AE342" i="1"/>
  <c r="O342" i="1" s="1"/>
  <c r="V342" i="1"/>
  <c r="BE341" i="1"/>
  <c r="AZ341" i="1"/>
  <c r="AE341" i="1"/>
  <c r="V341" i="1"/>
  <c r="BE340" i="1"/>
  <c r="AZ340" i="1"/>
  <c r="AE340" i="1"/>
  <c r="O340" i="1" s="1"/>
  <c r="V340" i="1"/>
  <c r="BE339" i="1"/>
  <c r="AZ339" i="1"/>
  <c r="AE339" i="1"/>
  <c r="V339" i="1"/>
  <c r="O339" i="1" s="1"/>
  <c r="BE338" i="1"/>
  <c r="AZ338" i="1"/>
  <c r="AE338" i="1"/>
  <c r="V338" i="1"/>
  <c r="O338" i="1"/>
  <c r="BE337" i="1"/>
  <c r="AZ337" i="1"/>
  <c r="AE337" i="1"/>
  <c r="V337" i="1"/>
  <c r="O337" i="1" s="1"/>
  <c r="BE336" i="1"/>
  <c r="AZ336" i="1"/>
  <c r="AE336" i="1"/>
  <c r="O336" i="1" s="1"/>
  <c r="V336" i="1"/>
  <c r="BE335" i="1"/>
  <c r="AZ335" i="1"/>
  <c r="AE335" i="1"/>
  <c r="V335" i="1"/>
  <c r="O335" i="1" s="1"/>
  <c r="BE334" i="1"/>
  <c r="AZ334" i="1"/>
  <c r="AE334" i="1"/>
  <c r="V334" i="1"/>
  <c r="O334" i="1"/>
  <c r="BE333" i="1"/>
  <c r="AZ333" i="1"/>
  <c r="AE333" i="1"/>
  <c r="V333" i="1"/>
  <c r="O333" i="1"/>
  <c r="BE332" i="1"/>
  <c r="AZ332" i="1"/>
  <c r="AE332" i="1"/>
  <c r="V332" i="1"/>
  <c r="O332" i="1"/>
  <c r="BE331" i="1"/>
  <c r="AZ331" i="1"/>
  <c r="AE331" i="1"/>
  <c r="V331" i="1"/>
  <c r="O331" i="1" s="1"/>
  <c r="BE330" i="1"/>
  <c r="AZ330" i="1"/>
  <c r="AE330" i="1"/>
  <c r="O330" i="1" s="1"/>
  <c r="V330" i="1"/>
  <c r="BE329" i="1"/>
  <c r="AZ329" i="1"/>
  <c r="AE329" i="1"/>
  <c r="V329" i="1"/>
  <c r="O329" i="1" s="1"/>
  <c r="BE328" i="1"/>
  <c r="AZ328" i="1"/>
  <c r="AE328" i="1"/>
  <c r="V328" i="1"/>
  <c r="O328" i="1"/>
  <c r="BE327" i="1"/>
  <c r="AZ327" i="1"/>
  <c r="AE327" i="1"/>
  <c r="V327" i="1"/>
  <c r="O327" i="1"/>
  <c r="BE326" i="1"/>
  <c r="AZ326" i="1"/>
  <c r="AE326" i="1"/>
  <c r="V326" i="1"/>
  <c r="O326" i="1"/>
  <c r="BE325" i="1"/>
  <c r="AZ325" i="1"/>
  <c r="AE325" i="1"/>
  <c r="V325" i="1"/>
  <c r="O325" i="1" s="1"/>
  <c r="BE324" i="1"/>
  <c r="AZ324" i="1"/>
  <c r="AE324" i="1"/>
  <c r="O324" i="1" s="1"/>
  <c r="V324" i="1"/>
  <c r="BE323" i="1"/>
  <c r="AZ323" i="1"/>
  <c r="AE323" i="1"/>
  <c r="V323" i="1"/>
  <c r="O323" i="1" s="1"/>
  <c r="BE322" i="1"/>
  <c r="AZ322" i="1"/>
  <c r="AE322" i="1"/>
  <c r="V322" i="1"/>
  <c r="O322" i="1"/>
  <c r="BE321" i="1"/>
  <c r="AZ321" i="1"/>
  <c r="AE321" i="1"/>
  <c r="V321" i="1"/>
  <c r="O321" i="1"/>
  <c r="BE320" i="1"/>
  <c r="AZ320" i="1"/>
  <c r="AE320" i="1"/>
  <c r="V320" i="1"/>
  <c r="O320" i="1"/>
  <c r="BE319" i="1"/>
  <c r="AZ319" i="1"/>
  <c r="AE319" i="1"/>
  <c r="V319" i="1"/>
  <c r="O319" i="1" s="1"/>
  <c r="BE318" i="1"/>
  <c r="AZ318" i="1"/>
  <c r="AE318" i="1"/>
  <c r="O318" i="1" s="1"/>
  <c r="V318" i="1"/>
  <c r="BE317" i="1"/>
  <c r="AZ317" i="1"/>
  <c r="AE317" i="1"/>
  <c r="V317" i="1"/>
  <c r="O317" i="1" s="1"/>
  <c r="BE316" i="1"/>
  <c r="AZ316" i="1"/>
  <c r="AE316" i="1"/>
  <c r="V316" i="1"/>
  <c r="O316" i="1"/>
  <c r="BE315" i="1"/>
  <c r="AZ315" i="1"/>
  <c r="AE315" i="1"/>
  <c r="V315" i="1"/>
  <c r="O315" i="1"/>
  <c r="BE314" i="1"/>
  <c r="AZ314" i="1"/>
  <c r="AE314" i="1"/>
  <c r="V314" i="1"/>
  <c r="O314" i="1"/>
  <c r="BE313" i="1"/>
  <c r="AZ313" i="1"/>
  <c r="AE313" i="1"/>
  <c r="V313" i="1"/>
  <c r="O313" i="1" s="1"/>
  <c r="BE312" i="1"/>
  <c r="AZ312" i="1"/>
  <c r="AE312" i="1"/>
  <c r="O312" i="1" s="1"/>
  <c r="V312" i="1"/>
  <c r="BE311" i="1"/>
  <c r="AZ311" i="1"/>
  <c r="AE311" i="1"/>
  <c r="V311" i="1"/>
  <c r="O311" i="1" s="1"/>
  <c r="BE310" i="1"/>
  <c r="AZ310" i="1"/>
  <c r="AE310" i="1"/>
  <c r="V310" i="1"/>
  <c r="O310" i="1"/>
  <c r="BE309" i="1"/>
  <c r="AZ309" i="1"/>
  <c r="AE309" i="1"/>
  <c r="V309" i="1"/>
  <c r="O309" i="1"/>
  <c r="BE308" i="1"/>
  <c r="AZ308" i="1"/>
  <c r="AE308" i="1"/>
  <c r="V308" i="1"/>
  <c r="O308" i="1"/>
  <c r="BE307" i="1"/>
  <c r="AZ307" i="1"/>
  <c r="AE307" i="1"/>
  <c r="V307" i="1"/>
  <c r="O307" i="1" s="1"/>
  <c r="BE306" i="1"/>
  <c r="AZ306" i="1"/>
  <c r="AE306" i="1"/>
  <c r="O306" i="1" s="1"/>
  <c r="V306" i="1"/>
  <c r="BE305" i="1"/>
  <c r="AZ305" i="1"/>
  <c r="AE305" i="1"/>
  <c r="V305" i="1"/>
  <c r="O305" i="1" s="1"/>
  <c r="BE304" i="1"/>
  <c r="AZ304" i="1"/>
  <c r="AE304" i="1"/>
  <c r="V304" i="1"/>
  <c r="O304" i="1"/>
  <c r="BE303" i="1"/>
  <c r="AZ303" i="1"/>
  <c r="AE303" i="1"/>
  <c r="V303" i="1"/>
  <c r="O303" i="1"/>
  <c r="BE302" i="1"/>
  <c r="AZ302" i="1"/>
  <c r="AE302" i="1"/>
  <c r="V302" i="1"/>
  <c r="O302" i="1"/>
  <c r="BE301" i="1"/>
  <c r="AZ301" i="1"/>
  <c r="AE301" i="1"/>
  <c r="V301" i="1"/>
  <c r="O301" i="1" s="1"/>
  <c r="BE300" i="1"/>
  <c r="AZ300" i="1"/>
  <c r="AE300" i="1"/>
  <c r="O300" i="1" s="1"/>
  <c r="V300" i="1"/>
  <c r="BE299" i="1"/>
  <c r="AZ299" i="1"/>
  <c r="AE299" i="1"/>
  <c r="V299" i="1"/>
  <c r="O299" i="1" s="1"/>
  <c r="BE298" i="1"/>
  <c r="AZ298" i="1"/>
  <c r="AE298" i="1"/>
  <c r="V298" i="1"/>
  <c r="O298" i="1"/>
  <c r="BE297" i="1"/>
  <c r="AZ297" i="1"/>
  <c r="AE297" i="1"/>
  <c r="V297" i="1"/>
  <c r="O297" i="1"/>
  <c r="BE296" i="1"/>
  <c r="AZ296" i="1"/>
  <c r="AE296" i="1"/>
  <c r="V296" i="1"/>
  <c r="O296" i="1"/>
  <c r="BE295" i="1"/>
  <c r="AZ295" i="1"/>
  <c r="AE295" i="1"/>
  <c r="V295" i="1"/>
  <c r="O295" i="1" s="1"/>
  <c r="BE294" i="1"/>
  <c r="AZ294" i="1"/>
  <c r="AE294" i="1"/>
  <c r="O294" i="1" s="1"/>
  <c r="V294" i="1"/>
  <c r="BE293" i="1"/>
  <c r="AZ293" i="1"/>
  <c r="AE293" i="1"/>
  <c r="V293" i="1"/>
  <c r="O293" i="1" s="1"/>
  <c r="BE292" i="1"/>
  <c r="AZ292" i="1"/>
  <c r="AE292" i="1"/>
  <c r="V292" i="1"/>
  <c r="O292" i="1"/>
  <c r="BE291" i="1"/>
  <c r="AZ291" i="1"/>
  <c r="AE291" i="1"/>
  <c r="V291" i="1"/>
  <c r="O291" i="1"/>
  <c r="BE290" i="1"/>
  <c r="AZ290" i="1"/>
  <c r="AE290" i="1"/>
  <c r="V290" i="1"/>
  <c r="O290" i="1"/>
  <c r="BE289" i="1"/>
  <c r="AZ289" i="1"/>
  <c r="AE289" i="1"/>
  <c r="V289" i="1"/>
  <c r="O289" i="1" s="1"/>
  <c r="BE288" i="1"/>
  <c r="AZ288" i="1"/>
  <c r="AE288" i="1"/>
  <c r="O288" i="1" s="1"/>
  <c r="V288" i="1"/>
  <c r="BE287" i="1"/>
  <c r="AZ287" i="1"/>
  <c r="AE287" i="1"/>
  <c r="V287" i="1"/>
  <c r="O287" i="1" s="1"/>
  <c r="BE286" i="1"/>
  <c r="AZ286" i="1"/>
  <c r="AE286" i="1"/>
  <c r="V286" i="1"/>
  <c r="O286" i="1"/>
  <c r="BE285" i="1"/>
  <c r="AZ285" i="1"/>
  <c r="AE285" i="1"/>
  <c r="V285" i="1"/>
  <c r="O285" i="1"/>
  <c r="BE284" i="1"/>
  <c r="AZ284" i="1"/>
  <c r="AE284" i="1"/>
  <c r="V284" i="1"/>
  <c r="O284" i="1"/>
  <c r="BE283" i="1"/>
  <c r="AZ283" i="1"/>
  <c r="AE283" i="1"/>
  <c r="V283" i="1"/>
  <c r="O283" i="1" s="1"/>
  <c r="BE282" i="1"/>
  <c r="AZ282" i="1"/>
  <c r="AE282" i="1"/>
  <c r="O282" i="1" s="1"/>
  <c r="V282" i="1"/>
  <c r="BE281" i="1"/>
  <c r="AZ281" i="1"/>
  <c r="AE281" i="1"/>
  <c r="V281" i="1"/>
  <c r="O281" i="1" s="1"/>
  <c r="BE280" i="1"/>
  <c r="AZ280" i="1"/>
  <c r="AE280" i="1"/>
  <c r="V280" i="1"/>
  <c r="O280" i="1"/>
  <c r="BE279" i="1"/>
  <c r="AZ279" i="1"/>
  <c r="AE279" i="1"/>
  <c r="V279" i="1"/>
  <c r="O279" i="1"/>
  <c r="BE278" i="1"/>
  <c r="AZ278" i="1"/>
  <c r="AE278" i="1"/>
  <c r="V278" i="1"/>
  <c r="O278" i="1"/>
  <c r="BE277" i="1"/>
  <c r="AZ277" i="1"/>
  <c r="AE277" i="1"/>
  <c r="V277" i="1"/>
  <c r="O277" i="1" s="1"/>
  <c r="BE276" i="1"/>
  <c r="AZ276" i="1"/>
  <c r="AE276" i="1"/>
  <c r="O276" i="1" s="1"/>
  <c r="V276" i="1"/>
  <c r="BE275" i="1"/>
  <c r="AZ275" i="1"/>
  <c r="AE275" i="1"/>
  <c r="V275" i="1"/>
  <c r="O275" i="1" s="1"/>
  <c r="BE274" i="1"/>
  <c r="AZ274" i="1"/>
  <c r="AE274" i="1"/>
  <c r="V274" i="1"/>
  <c r="O274" i="1"/>
  <c r="BE273" i="1"/>
  <c r="AZ273" i="1"/>
  <c r="AE273" i="1"/>
  <c r="V273" i="1"/>
  <c r="O273" i="1"/>
  <c r="BE272" i="1"/>
  <c r="AZ272" i="1"/>
  <c r="AE272" i="1"/>
  <c r="V272" i="1"/>
  <c r="O272" i="1"/>
  <c r="BE271" i="1"/>
  <c r="AZ271" i="1"/>
  <c r="AE271" i="1"/>
  <c r="V271" i="1"/>
  <c r="O271" i="1" s="1"/>
  <c r="BE270" i="1"/>
  <c r="AZ270" i="1"/>
  <c r="AE270" i="1"/>
  <c r="O270" i="1" s="1"/>
  <c r="V270" i="1"/>
  <c r="BE269" i="1"/>
  <c r="AZ269" i="1"/>
  <c r="AE269" i="1"/>
  <c r="V269" i="1"/>
  <c r="O269" i="1" s="1"/>
  <c r="BE268" i="1"/>
  <c r="AZ268" i="1"/>
  <c r="AE268" i="1"/>
  <c r="V268" i="1"/>
  <c r="O268" i="1"/>
  <c r="BE267" i="1"/>
  <c r="AZ267" i="1"/>
  <c r="AE267" i="1"/>
  <c r="V267" i="1"/>
  <c r="O267" i="1"/>
  <c r="BE266" i="1"/>
  <c r="AZ266" i="1"/>
  <c r="AE266" i="1"/>
  <c r="V266" i="1"/>
  <c r="O266" i="1"/>
  <c r="BE265" i="1"/>
  <c r="AZ265" i="1"/>
  <c r="AE265" i="1"/>
  <c r="V265" i="1"/>
  <c r="O265" i="1" s="1"/>
  <c r="BE264" i="1"/>
  <c r="AZ264" i="1"/>
  <c r="AE264" i="1"/>
  <c r="O264" i="1" s="1"/>
  <c r="V264" i="1"/>
  <c r="BE263" i="1"/>
  <c r="AZ263" i="1"/>
  <c r="AE263" i="1"/>
  <c r="V263" i="1"/>
  <c r="O263" i="1" s="1"/>
  <c r="BE262" i="1"/>
  <c r="AZ262" i="1"/>
  <c r="AE262" i="1"/>
  <c r="V262" i="1"/>
  <c r="O262" i="1"/>
  <c r="BE261" i="1"/>
  <c r="AZ261" i="1"/>
  <c r="AE261" i="1"/>
  <c r="V261" i="1"/>
  <c r="O261" i="1"/>
  <c r="BE260" i="1"/>
  <c r="AZ260" i="1"/>
  <c r="AE260" i="1"/>
  <c r="V260" i="1"/>
  <c r="O260" i="1"/>
  <c r="BE259" i="1"/>
  <c r="AZ259" i="1"/>
  <c r="AE259" i="1"/>
  <c r="V259" i="1"/>
  <c r="O259" i="1" s="1"/>
  <c r="BE258" i="1"/>
  <c r="AZ258" i="1"/>
  <c r="AE258" i="1"/>
  <c r="O258" i="1" s="1"/>
  <c r="V258" i="1"/>
  <c r="BE257" i="1"/>
  <c r="AZ257" i="1"/>
  <c r="AE257" i="1"/>
  <c r="V257" i="1"/>
  <c r="O257" i="1" s="1"/>
  <c r="BE256" i="1"/>
  <c r="AZ256" i="1"/>
  <c r="AE256" i="1"/>
  <c r="V256" i="1"/>
  <c r="O256" i="1"/>
  <c r="BE255" i="1"/>
  <c r="AZ255" i="1"/>
  <c r="AE255" i="1"/>
  <c r="V255" i="1"/>
  <c r="O255" i="1"/>
  <c r="BE254" i="1"/>
  <c r="AZ254" i="1"/>
  <c r="AE254" i="1"/>
  <c r="V254" i="1"/>
  <c r="O254" i="1"/>
  <c r="BE253" i="1"/>
  <c r="AZ253" i="1"/>
  <c r="AE253" i="1"/>
  <c r="V253" i="1"/>
  <c r="O253" i="1" s="1"/>
  <c r="BE252" i="1"/>
  <c r="AZ252" i="1"/>
  <c r="AE252" i="1"/>
  <c r="O252" i="1" s="1"/>
  <c r="V252" i="1"/>
  <c r="BE251" i="1"/>
  <c r="AZ251" i="1"/>
  <c r="AE251" i="1"/>
  <c r="V251" i="1"/>
  <c r="O251" i="1" s="1"/>
  <c r="BE250" i="1"/>
  <c r="AZ250" i="1"/>
  <c r="AE250" i="1"/>
  <c r="V250" i="1"/>
  <c r="O250" i="1"/>
  <c r="BE249" i="1"/>
  <c r="AZ249" i="1"/>
  <c r="AE249" i="1"/>
  <c r="V249" i="1"/>
  <c r="O249" i="1"/>
  <c r="BE248" i="1"/>
  <c r="AZ248" i="1"/>
  <c r="AE248" i="1"/>
  <c r="V248" i="1"/>
  <c r="O248" i="1"/>
  <c r="BE247" i="1"/>
  <c r="AZ247" i="1"/>
  <c r="AE247" i="1"/>
  <c r="V247" i="1"/>
  <c r="O247" i="1" s="1"/>
  <c r="BE246" i="1"/>
  <c r="AZ246" i="1"/>
  <c r="AE246" i="1"/>
  <c r="O246" i="1" s="1"/>
  <c r="V246" i="1"/>
  <c r="BE245" i="1"/>
  <c r="AZ245" i="1"/>
  <c r="AE245" i="1"/>
  <c r="V245" i="1"/>
  <c r="O245" i="1" s="1"/>
  <c r="BE244" i="1"/>
  <c r="AZ244" i="1"/>
  <c r="AE244" i="1"/>
  <c r="V244" i="1"/>
  <c r="O244" i="1"/>
  <c r="BE243" i="1"/>
  <c r="AZ243" i="1"/>
  <c r="AE243" i="1"/>
  <c r="V243" i="1"/>
  <c r="O243" i="1"/>
  <c r="BE242" i="1"/>
  <c r="AZ242" i="1"/>
  <c r="AE242" i="1"/>
  <c r="V242" i="1"/>
  <c r="O242" i="1"/>
  <c r="BE241" i="1"/>
  <c r="AZ241" i="1"/>
  <c r="AE241" i="1"/>
  <c r="V241" i="1"/>
  <c r="O241" i="1" s="1"/>
  <c r="BE240" i="1"/>
  <c r="AZ240" i="1"/>
  <c r="AE240" i="1"/>
  <c r="O240" i="1" s="1"/>
  <c r="V240" i="1"/>
  <c r="BE239" i="1"/>
  <c r="AZ239" i="1"/>
  <c r="AE239" i="1"/>
  <c r="V239" i="1"/>
  <c r="O239" i="1" s="1"/>
  <c r="BE238" i="1"/>
  <c r="AZ238" i="1"/>
  <c r="AE238" i="1"/>
  <c r="V238" i="1"/>
  <c r="O238" i="1"/>
  <c r="BE237" i="1"/>
  <c r="AZ237" i="1"/>
  <c r="AE237" i="1"/>
  <c r="V237" i="1"/>
  <c r="O237" i="1"/>
  <c r="BE236" i="1"/>
  <c r="AZ236" i="1"/>
  <c r="AE236" i="1"/>
  <c r="V236" i="1"/>
  <c r="O236" i="1"/>
  <c r="BE235" i="1"/>
  <c r="AZ235" i="1"/>
  <c r="AE235" i="1"/>
  <c r="V235" i="1"/>
  <c r="O235" i="1" s="1"/>
  <c r="BE234" i="1"/>
  <c r="AZ234" i="1"/>
  <c r="AE234" i="1"/>
  <c r="O234" i="1" s="1"/>
  <c r="V234" i="1"/>
  <c r="BE233" i="1"/>
  <c r="AZ233" i="1"/>
  <c r="AE233" i="1"/>
  <c r="V233" i="1"/>
  <c r="O233" i="1" s="1"/>
  <c r="BE232" i="1"/>
  <c r="AZ232" i="1"/>
  <c r="AE232" i="1"/>
  <c r="V232" i="1"/>
  <c r="O232" i="1"/>
  <c r="BE231" i="1"/>
  <c r="AZ231" i="1"/>
  <c r="AE231" i="1"/>
  <c r="V231" i="1"/>
  <c r="O231" i="1"/>
  <c r="BE230" i="1"/>
  <c r="AZ230" i="1"/>
  <c r="AE230" i="1"/>
  <c r="V230" i="1"/>
  <c r="O230" i="1"/>
  <c r="BE229" i="1"/>
  <c r="AZ229" i="1"/>
  <c r="AE229" i="1"/>
  <c r="V229" i="1"/>
  <c r="O229" i="1" s="1"/>
  <c r="BE228" i="1"/>
  <c r="AZ228" i="1"/>
  <c r="AE228" i="1"/>
  <c r="O228" i="1" s="1"/>
  <c r="V228" i="1"/>
  <c r="BE227" i="1"/>
  <c r="AZ227" i="1"/>
  <c r="AE227" i="1"/>
  <c r="V227" i="1"/>
  <c r="O227" i="1" s="1"/>
  <c r="BE226" i="1"/>
  <c r="AZ226" i="1"/>
  <c r="AE226" i="1"/>
  <c r="V226" i="1"/>
  <c r="O226" i="1"/>
  <c r="BE225" i="1"/>
  <c r="AZ225" i="1"/>
  <c r="AE225" i="1"/>
  <c r="V225" i="1"/>
  <c r="O225" i="1"/>
  <c r="BE224" i="1"/>
  <c r="AZ224" i="1"/>
  <c r="AE224" i="1"/>
  <c r="V224" i="1"/>
  <c r="O224" i="1"/>
  <c r="BE223" i="1"/>
  <c r="AZ223" i="1"/>
  <c r="AE223" i="1"/>
  <c r="V223" i="1"/>
  <c r="O223" i="1" s="1"/>
  <c r="BE222" i="1"/>
  <c r="AZ222" i="1"/>
  <c r="AE222" i="1"/>
  <c r="V222" i="1"/>
  <c r="O222" i="1" s="1"/>
  <c r="BE221" i="1"/>
  <c r="AZ221" i="1"/>
  <c r="AE221" i="1"/>
  <c r="V221" i="1"/>
  <c r="O221" i="1" s="1"/>
  <c r="BE220" i="1"/>
  <c r="AZ220" i="1"/>
  <c r="AE220" i="1"/>
  <c r="V220" i="1"/>
  <c r="O220" i="1"/>
  <c r="BE219" i="1"/>
  <c r="AZ219" i="1"/>
  <c r="AE219" i="1"/>
  <c r="V219" i="1"/>
  <c r="O219" i="1"/>
  <c r="BE218" i="1"/>
  <c r="AZ218" i="1"/>
  <c r="AE218" i="1"/>
  <c r="V218" i="1"/>
  <c r="O218" i="1"/>
  <c r="BE217" i="1"/>
  <c r="AZ217" i="1"/>
  <c r="AE217" i="1"/>
  <c r="V217" i="1"/>
  <c r="O217" i="1" s="1"/>
  <c r="BE216" i="1"/>
  <c r="AZ216" i="1"/>
  <c r="AE216" i="1"/>
  <c r="V216" i="1"/>
  <c r="O216" i="1" s="1"/>
  <c r="BE215" i="1"/>
  <c r="AZ215" i="1"/>
  <c r="AE215" i="1"/>
  <c r="V215" i="1"/>
  <c r="O215" i="1" s="1"/>
  <c r="BE214" i="1"/>
  <c r="AZ214" i="1"/>
  <c r="AE214" i="1"/>
  <c r="V214" i="1"/>
  <c r="O214" i="1"/>
  <c r="BE213" i="1"/>
  <c r="AZ213" i="1"/>
  <c r="AE213" i="1"/>
  <c r="V213" i="1"/>
  <c r="O213" i="1"/>
  <c r="BE212" i="1"/>
  <c r="AZ212" i="1"/>
  <c r="AE212" i="1"/>
  <c r="V212" i="1"/>
  <c r="O212" i="1"/>
  <c r="BE211" i="1"/>
  <c r="AZ211" i="1"/>
  <c r="AE211" i="1"/>
  <c r="V211" i="1"/>
  <c r="O211" i="1" s="1"/>
  <c r="BE210" i="1"/>
  <c r="AZ210" i="1"/>
  <c r="AE210" i="1"/>
  <c r="V210" i="1"/>
  <c r="O210" i="1" s="1"/>
  <c r="BE209" i="1"/>
  <c r="AZ209" i="1"/>
  <c r="AE209" i="1"/>
  <c r="V209" i="1"/>
  <c r="O209" i="1" s="1"/>
  <c r="BE208" i="1"/>
  <c r="AZ208" i="1"/>
  <c r="AE208" i="1"/>
  <c r="V208" i="1"/>
  <c r="O208" i="1"/>
  <c r="BE207" i="1"/>
  <c r="AZ207" i="1"/>
  <c r="AE207" i="1"/>
  <c r="V207" i="1"/>
  <c r="O207" i="1"/>
  <c r="BE206" i="1"/>
  <c r="AZ206" i="1"/>
  <c r="AE206" i="1"/>
  <c r="V206" i="1"/>
  <c r="O206" i="1"/>
  <c r="BE205" i="1"/>
  <c r="AZ205" i="1"/>
  <c r="AE205" i="1"/>
  <c r="V205" i="1"/>
  <c r="O205" i="1" s="1"/>
  <c r="BE204" i="1"/>
  <c r="AZ204" i="1"/>
  <c r="AE204" i="1"/>
  <c r="O204" i="1" s="1"/>
  <c r="V204" i="1"/>
  <c r="BE203" i="1"/>
  <c r="AZ203" i="1"/>
  <c r="AE203" i="1"/>
  <c r="V203" i="1"/>
  <c r="O203" i="1" s="1"/>
  <c r="BE202" i="1"/>
  <c r="AZ202" i="1"/>
  <c r="AE202" i="1"/>
  <c r="V202" i="1"/>
  <c r="O202" i="1"/>
  <c r="BE201" i="1"/>
  <c r="AZ201" i="1"/>
  <c r="AE201" i="1"/>
  <c r="V201" i="1"/>
  <c r="O201" i="1"/>
  <c r="BE200" i="1"/>
  <c r="AZ200" i="1"/>
  <c r="AE200" i="1"/>
  <c r="V200" i="1"/>
  <c r="O200" i="1"/>
  <c r="BE199" i="1"/>
  <c r="AZ199" i="1"/>
  <c r="AE199" i="1"/>
  <c r="V199" i="1"/>
  <c r="O199" i="1" s="1"/>
  <c r="BE198" i="1"/>
  <c r="AZ198" i="1"/>
  <c r="AE198" i="1"/>
  <c r="O198" i="1" s="1"/>
  <c r="V198" i="1"/>
  <c r="BE197" i="1"/>
  <c r="AZ197" i="1"/>
  <c r="AE197" i="1"/>
  <c r="V197" i="1"/>
  <c r="O197" i="1" s="1"/>
  <c r="BE196" i="1"/>
  <c r="AZ196" i="1"/>
  <c r="AE196" i="1"/>
  <c r="V196" i="1"/>
  <c r="O196" i="1"/>
  <c r="BE195" i="1"/>
  <c r="AZ195" i="1"/>
  <c r="AE195" i="1"/>
  <c r="V195" i="1"/>
  <c r="O195" i="1"/>
  <c r="BE194" i="1"/>
  <c r="AZ194" i="1"/>
  <c r="AE194" i="1"/>
  <c r="V194" i="1"/>
  <c r="O194" i="1"/>
  <c r="BE193" i="1"/>
  <c r="AZ193" i="1"/>
  <c r="AE193" i="1"/>
  <c r="V193" i="1"/>
  <c r="O193" i="1" s="1"/>
  <c r="BE192" i="1"/>
  <c r="AZ192" i="1"/>
  <c r="AE192" i="1"/>
  <c r="O192" i="1" s="1"/>
  <c r="V192" i="1"/>
  <c r="BE191" i="1"/>
  <c r="AZ191" i="1"/>
  <c r="AE191" i="1"/>
  <c r="V191" i="1"/>
  <c r="O191" i="1" s="1"/>
  <c r="BE190" i="1"/>
  <c r="AZ190" i="1"/>
  <c r="AE190" i="1"/>
  <c r="V190" i="1"/>
  <c r="O190" i="1"/>
  <c r="BE189" i="1"/>
  <c r="AZ189" i="1"/>
  <c r="AE189" i="1"/>
  <c r="V189" i="1"/>
  <c r="O189" i="1"/>
  <c r="BE188" i="1"/>
  <c r="AZ188" i="1"/>
  <c r="AE188" i="1"/>
  <c r="V188" i="1"/>
  <c r="O188" i="1"/>
  <c r="BE187" i="1"/>
  <c r="AZ187" i="1"/>
  <c r="AE187" i="1"/>
  <c r="V187" i="1"/>
  <c r="O187" i="1" s="1"/>
  <c r="BE186" i="1"/>
  <c r="AZ186" i="1"/>
  <c r="AE186" i="1"/>
  <c r="O186" i="1" s="1"/>
  <c r="V186" i="1"/>
  <c r="BE185" i="1"/>
  <c r="AZ185" i="1"/>
  <c r="AE185" i="1"/>
  <c r="V185" i="1"/>
  <c r="O185" i="1" s="1"/>
  <c r="BE184" i="1"/>
  <c r="AZ184" i="1"/>
  <c r="AE184" i="1"/>
  <c r="V184" i="1"/>
  <c r="O184" i="1"/>
  <c r="BE183" i="1"/>
  <c r="AZ183" i="1"/>
  <c r="AE183" i="1"/>
  <c r="V183" i="1"/>
  <c r="O183" i="1"/>
  <c r="BE182" i="1"/>
  <c r="AZ182" i="1"/>
  <c r="AE182" i="1"/>
  <c r="V182" i="1"/>
  <c r="O182" i="1"/>
  <c r="BE181" i="1"/>
  <c r="AZ181" i="1"/>
  <c r="AE181" i="1"/>
  <c r="V181" i="1"/>
  <c r="O181" i="1" s="1"/>
  <c r="BE180" i="1"/>
  <c r="AZ180" i="1"/>
  <c r="AE180" i="1"/>
  <c r="O180" i="1" s="1"/>
  <c r="V180" i="1"/>
  <c r="BE179" i="1"/>
  <c r="AZ179" i="1"/>
  <c r="AE179" i="1"/>
  <c r="V179" i="1"/>
  <c r="O179" i="1" s="1"/>
  <c r="BE178" i="1"/>
  <c r="AZ178" i="1"/>
  <c r="AE178" i="1"/>
  <c r="V178" i="1"/>
  <c r="O178" i="1"/>
  <c r="BE177" i="1"/>
  <c r="AZ177" i="1"/>
  <c r="AE177" i="1"/>
  <c r="V177" i="1"/>
  <c r="O177" i="1"/>
  <c r="BE176" i="1"/>
  <c r="AZ176" i="1"/>
  <c r="AE176" i="1"/>
  <c r="V176" i="1"/>
  <c r="O176" i="1"/>
  <c r="BE175" i="1"/>
  <c r="AZ175" i="1"/>
  <c r="AE175" i="1"/>
  <c r="V175" i="1"/>
  <c r="O175" i="1" s="1"/>
  <c r="BE174" i="1"/>
  <c r="AZ174" i="1"/>
  <c r="AE174" i="1"/>
  <c r="V174" i="1"/>
  <c r="O174" i="1" s="1"/>
  <c r="BE173" i="1"/>
  <c r="AZ173" i="1"/>
  <c r="AE173" i="1"/>
  <c r="V173" i="1"/>
  <c r="O173" i="1" s="1"/>
  <c r="BE172" i="1"/>
  <c r="AZ172" i="1"/>
  <c r="AE172" i="1"/>
  <c r="V172" i="1"/>
  <c r="O172" i="1"/>
  <c r="BE171" i="1"/>
  <c r="AZ171" i="1"/>
  <c r="AE171" i="1"/>
  <c r="V171" i="1"/>
  <c r="O171" i="1"/>
  <c r="BE170" i="1"/>
  <c r="AZ170" i="1"/>
  <c r="AE170" i="1"/>
  <c r="V170" i="1"/>
  <c r="O170" i="1"/>
  <c r="BE169" i="1"/>
  <c r="AZ169" i="1"/>
  <c r="AE169" i="1"/>
  <c r="V169" i="1"/>
  <c r="O169" i="1" s="1"/>
  <c r="BE168" i="1"/>
  <c r="AZ168" i="1"/>
  <c r="AE168" i="1"/>
  <c r="V168" i="1"/>
  <c r="O168" i="1" s="1"/>
  <c r="BE167" i="1"/>
  <c r="AZ167" i="1"/>
  <c r="AE167" i="1"/>
  <c r="V167" i="1"/>
  <c r="O167" i="1" s="1"/>
  <c r="BE166" i="1"/>
  <c r="AZ166" i="1"/>
  <c r="AE166" i="1"/>
  <c r="V166" i="1"/>
  <c r="O166" i="1"/>
  <c r="BE165" i="1"/>
  <c r="AZ165" i="1"/>
  <c r="AE165" i="1"/>
  <c r="V165" i="1"/>
  <c r="O165" i="1"/>
  <c r="BE164" i="1"/>
  <c r="AZ164" i="1"/>
  <c r="AE164" i="1"/>
  <c r="V164" i="1"/>
  <c r="O164" i="1"/>
  <c r="BE163" i="1"/>
  <c r="AZ163" i="1"/>
  <c r="AE163" i="1"/>
  <c r="V163" i="1"/>
  <c r="O163" i="1" s="1"/>
  <c r="BE162" i="1"/>
  <c r="AZ162" i="1"/>
  <c r="AE162" i="1"/>
  <c r="V162" i="1"/>
  <c r="O162" i="1" s="1"/>
  <c r="BE161" i="1"/>
  <c r="AZ161" i="1"/>
  <c r="AE161" i="1"/>
  <c r="V161" i="1"/>
  <c r="O161" i="1" s="1"/>
  <c r="BE160" i="1"/>
  <c r="AZ160" i="1"/>
  <c r="AE160" i="1"/>
  <c r="V160" i="1"/>
  <c r="O160" i="1"/>
  <c r="BE159" i="1"/>
  <c r="AZ159" i="1"/>
  <c r="AE159" i="1"/>
  <c r="V159" i="1"/>
  <c r="O159" i="1"/>
  <c r="BE158" i="1"/>
  <c r="AZ158" i="1"/>
  <c r="AE158" i="1"/>
  <c r="V158" i="1"/>
  <c r="O158" i="1"/>
  <c r="BE157" i="1"/>
  <c r="AZ157" i="1"/>
  <c r="AE157" i="1"/>
  <c r="V157" i="1"/>
  <c r="O157" i="1" s="1"/>
  <c r="BE156" i="1"/>
  <c r="AZ156" i="1"/>
  <c r="AE156" i="1"/>
  <c r="V156" i="1"/>
  <c r="O156" i="1" s="1"/>
  <c r="BE155" i="1"/>
  <c r="AZ155" i="1"/>
  <c r="AE155" i="1"/>
  <c r="V155" i="1"/>
  <c r="O155" i="1" s="1"/>
  <c r="BE154" i="1"/>
  <c r="AZ154" i="1"/>
  <c r="AE154" i="1"/>
  <c r="V154" i="1"/>
  <c r="O154" i="1"/>
  <c r="BE153" i="1"/>
  <c r="AZ153" i="1"/>
  <c r="AE153" i="1"/>
  <c r="V153" i="1"/>
  <c r="O153" i="1"/>
  <c r="BE152" i="1"/>
  <c r="AZ152" i="1"/>
  <c r="AE152" i="1"/>
  <c r="V152" i="1"/>
  <c r="O152" i="1"/>
  <c r="BE151" i="1"/>
  <c r="AZ151" i="1"/>
  <c r="AE151" i="1"/>
  <c r="V151" i="1"/>
  <c r="O151" i="1" s="1"/>
  <c r="BE150" i="1"/>
  <c r="AZ150" i="1"/>
  <c r="AE150" i="1"/>
  <c r="V150" i="1"/>
  <c r="O150" i="1" s="1"/>
  <c r="BE149" i="1"/>
  <c r="AZ149" i="1"/>
  <c r="AE149" i="1"/>
  <c r="V149" i="1"/>
  <c r="O149" i="1" s="1"/>
  <c r="BE148" i="1"/>
  <c r="AZ148" i="1"/>
  <c r="AE148" i="1"/>
  <c r="V148" i="1"/>
  <c r="O148" i="1"/>
  <c r="BE147" i="1"/>
  <c r="AZ147" i="1"/>
  <c r="AE147" i="1"/>
  <c r="V147" i="1"/>
  <c r="O147" i="1"/>
  <c r="BE146" i="1"/>
  <c r="AZ146" i="1"/>
  <c r="AE146" i="1"/>
  <c r="V146" i="1"/>
  <c r="O146" i="1"/>
  <c r="BE145" i="1"/>
  <c r="AZ145" i="1"/>
  <c r="AE145" i="1"/>
  <c r="V145" i="1"/>
  <c r="O145" i="1" s="1"/>
  <c r="BE144" i="1"/>
  <c r="AZ144" i="1"/>
  <c r="AE144" i="1"/>
  <c r="V144" i="1"/>
  <c r="O144" i="1" s="1"/>
  <c r="BE143" i="1"/>
  <c r="AZ143" i="1"/>
  <c r="AE143" i="1"/>
  <c r="V143" i="1"/>
  <c r="O143" i="1" s="1"/>
  <c r="BE142" i="1"/>
  <c r="AZ142" i="1"/>
  <c r="AE142" i="1"/>
  <c r="V142" i="1"/>
  <c r="O142" i="1"/>
  <c r="BE141" i="1"/>
  <c r="AZ141" i="1"/>
  <c r="AE141" i="1"/>
  <c r="V141" i="1"/>
  <c r="O141" i="1"/>
  <c r="BE140" i="1"/>
  <c r="AZ140" i="1"/>
  <c r="AE140" i="1"/>
  <c r="V140" i="1"/>
  <c r="O140" i="1"/>
  <c r="BE139" i="1"/>
  <c r="AZ139" i="1"/>
  <c r="AE139" i="1"/>
  <c r="V139" i="1"/>
  <c r="O139" i="1" s="1"/>
  <c r="BE138" i="1"/>
  <c r="AZ138" i="1"/>
  <c r="AE138" i="1"/>
  <c r="V138" i="1"/>
  <c r="O138" i="1" s="1"/>
  <c r="BE137" i="1"/>
  <c r="AZ137" i="1"/>
  <c r="AE137" i="1"/>
  <c r="V137" i="1"/>
  <c r="O137" i="1" s="1"/>
  <c r="BE136" i="1"/>
  <c r="AZ136" i="1"/>
  <c r="AE136" i="1"/>
  <c r="V136" i="1"/>
  <c r="O136" i="1"/>
  <c r="BE135" i="1"/>
  <c r="AZ135" i="1"/>
  <c r="AE135" i="1"/>
  <c r="V135" i="1"/>
  <c r="O135" i="1"/>
  <c r="BE134" i="1"/>
  <c r="AZ134" i="1"/>
  <c r="AE134" i="1"/>
  <c r="V134" i="1"/>
  <c r="O134" i="1"/>
  <c r="BE133" i="1"/>
  <c r="AZ133" i="1"/>
  <c r="AE133" i="1"/>
  <c r="V133" i="1"/>
  <c r="O133" i="1" s="1"/>
  <c r="BE132" i="1"/>
  <c r="AZ132" i="1"/>
  <c r="AE132" i="1"/>
  <c r="V132" i="1"/>
  <c r="O132" i="1" s="1"/>
  <c r="BE131" i="1"/>
  <c r="AZ131" i="1"/>
  <c r="AE131" i="1"/>
  <c r="V131" i="1"/>
  <c r="O131" i="1" s="1"/>
  <c r="BE130" i="1"/>
  <c r="AZ130" i="1"/>
  <c r="AE130" i="1"/>
  <c r="V130" i="1"/>
  <c r="O130" i="1"/>
  <c r="BE129" i="1"/>
  <c r="AZ129" i="1"/>
  <c r="AE129" i="1"/>
  <c r="V129" i="1"/>
  <c r="O129" i="1"/>
  <c r="BE128" i="1"/>
  <c r="AZ128" i="1"/>
  <c r="AE128" i="1"/>
  <c r="V128" i="1"/>
  <c r="O128" i="1"/>
  <c r="BE127" i="1"/>
  <c r="AZ127" i="1"/>
  <c r="AE127" i="1"/>
  <c r="V127" i="1"/>
  <c r="O127" i="1" s="1"/>
  <c r="BE126" i="1"/>
  <c r="AZ126" i="1"/>
  <c r="AE126" i="1"/>
  <c r="V126" i="1"/>
  <c r="O126" i="1" s="1"/>
  <c r="BE125" i="1"/>
  <c r="AZ125" i="1"/>
  <c r="AE125" i="1"/>
  <c r="V125" i="1"/>
  <c r="O125" i="1" s="1"/>
  <c r="BE124" i="1"/>
  <c r="AZ124" i="1"/>
  <c r="AE124" i="1"/>
  <c r="V124" i="1"/>
  <c r="O124" i="1"/>
  <c r="BE123" i="1"/>
  <c r="AZ123" i="1"/>
  <c r="AE123" i="1"/>
  <c r="V123" i="1"/>
  <c r="O123" i="1"/>
  <c r="BE122" i="1"/>
  <c r="AZ122" i="1"/>
  <c r="AE122" i="1"/>
  <c r="V122" i="1"/>
  <c r="O122" i="1"/>
  <c r="BE121" i="1"/>
  <c r="AZ121" i="1"/>
  <c r="AE121" i="1"/>
  <c r="V121" i="1"/>
  <c r="O121" i="1" s="1"/>
  <c r="BE120" i="1"/>
  <c r="AZ120" i="1"/>
  <c r="AE120" i="1"/>
  <c r="V120" i="1"/>
  <c r="O120" i="1" s="1"/>
  <c r="BE119" i="1"/>
  <c r="AZ119" i="1"/>
  <c r="AE119" i="1"/>
  <c r="V119" i="1"/>
  <c r="O119" i="1" s="1"/>
  <c r="BE118" i="1"/>
  <c r="AZ118" i="1"/>
  <c r="AE118" i="1"/>
  <c r="V118" i="1"/>
  <c r="O118" i="1"/>
  <c r="BE117" i="1"/>
  <c r="AZ117" i="1"/>
  <c r="AE117" i="1"/>
  <c r="V117" i="1"/>
  <c r="O117" i="1"/>
  <c r="BE116" i="1"/>
  <c r="AZ116" i="1"/>
  <c r="AE116" i="1"/>
  <c r="V116" i="1"/>
  <c r="O116" i="1"/>
  <c r="BE115" i="1"/>
  <c r="AZ115" i="1"/>
  <c r="AE115" i="1"/>
  <c r="V115" i="1"/>
  <c r="O115" i="1" s="1"/>
  <c r="BE114" i="1"/>
  <c r="AZ114" i="1"/>
  <c r="AE114" i="1"/>
  <c r="O114" i="1" s="1"/>
  <c r="V114" i="1"/>
  <c r="BE113" i="1"/>
  <c r="AZ113" i="1"/>
  <c r="AE113" i="1"/>
  <c r="V113" i="1"/>
  <c r="O113" i="1" s="1"/>
  <c r="BE112" i="1"/>
  <c r="AZ112" i="1"/>
  <c r="AE112" i="1"/>
  <c r="V112" i="1"/>
  <c r="O112" i="1"/>
  <c r="BE111" i="1"/>
  <c r="AZ111" i="1"/>
  <c r="AE111" i="1"/>
  <c r="V111" i="1"/>
  <c r="O111" i="1"/>
  <c r="BE110" i="1"/>
  <c r="AZ110" i="1"/>
  <c r="AE110" i="1"/>
  <c r="V110" i="1"/>
  <c r="O110" i="1"/>
  <c r="BE109" i="1"/>
  <c r="AZ109" i="1"/>
  <c r="AE109" i="1"/>
  <c r="V109" i="1"/>
  <c r="O109" i="1" s="1"/>
  <c r="BE108" i="1"/>
  <c r="AZ108" i="1"/>
  <c r="AE108" i="1"/>
  <c r="O108" i="1" s="1"/>
  <c r="V108" i="1"/>
  <c r="BE107" i="1"/>
  <c r="AZ107" i="1"/>
  <c r="AE107" i="1"/>
  <c r="V107" i="1"/>
  <c r="O107" i="1" s="1"/>
  <c r="BE106" i="1"/>
  <c r="AZ106" i="1"/>
  <c r="AE106" i="1"/>
  <c r="V106" i="1"/>
  <c r="O106" i="1"/>
  <c r="BE105" i="1"/>
  <c r="AZ105" i="1"/>
  <c r="AE105" i="1"/>
  <c r="V105" i="1"/>
  <c r="O105" i="1"/>
  <c r="BE104" i="1"/>
  <c r="AZ104" i="1"/>
  <c r="AE104" i="1"/>
  <c r="V104" i="1"/>
  <c r="O104" i="1"/>
  <c r="BE103" i="1"/>
  <c r="AZ103" i="1"/>
  <c r="AE103" i="1"/>
  <c r="V103" i="1"/>
  <c r="O103" i="1" s="1"/>
  <c r="BE102" i="1"/>
  <c r="AZ102" i="1"/>
  <c r="AE102" i="1"/>
  <c r="O102" i="1" s="1"/>
  <c r="V102" i="1"/>
  <c r="BE101" i="1"/>
  <c r="AZ101" i="1"/>
  <c r="AE101" i="1"/>
  <c r="V101" i="1"/>
  <c r="O101" i="1" s="1"/>
  <c r="BE100" i="1"/>
  <c r="AZ100" i="1"/>
  <c r="AE100" i="1"/>
  <c r="V100" i="1"/>
  <c r="O100" i="1"/>
  <c r="BE99" i="1"/>
  <c r="AZ99" i="1"/>
  <c r="AE99" i="1"/>
  <c r="V99" i="1"/>
  <c r="O99" i="1"/>
  <c r="BE98" i="1"/>
  <c r="AZ98" i="1"/>
  <c r="AE98" i="1"/>
  <c r="V98" i="1"/>
  <c r="O98" i="1"/>
  <c r="AZ97" i="1"/>
  <c r="AE97" i="1"/>
  <c r="O97" i="1" s="1"/>
  <c r="V97" i="1"/>
  <c r="BE96" i="1"/>
  <c r="AZ96" i="1"/>
  <c r="AE96" i="1"/>
  <c r="V96" i="1"/>
  <c r="O96" i="1" s="1"/>
  <c r="BE95" i="1"/>
  <c r="AZ95" i="1"/>
  <c r="AE95" i="1"/>
  <c r="V95" i="1"/>
  <c r="O95" i="1"/>
  <c r="BE94" i="1"/>
  <c r="AZ94" i="1"/>
  <c r="AE94" i="1"/>
  <c r="V94" i="1"/>
  <c r="O94" i="1"/>
  <c r="BE93" i="1"/>
  <c r="AZ93" i="1"/>
  <c r="AE93" i="1"/>
  <c r="V93" i="1"/>
  <c r="O93" i="1"/>
  <c r="BE92" i="1"/>
  <c r="AZ92" i="1"/>
  <c r="AE92" i="1"/>
  <c r="V92" i="1"/>
  <c r="O92" i="1" s="1"/>
  <c r="BE91" i="1"/>
  <c r="AZ91" i="1"/>
  <c r="AE91" i="1"/>
  <c r="V91" i="1"/>
  <c r="O91" i="1" s="1"/>
  <c r="BE90" i="1"/>
  <c r="AZ90" i="1"/>
  <c r="AE90" i="1"/>
  <c r="V90" i="1"/>
  <c r="O90" i="1" s="1"/>
  <c r="BE89" i="1"/>
  <c r="AZ89" i="1"/>
  <c r="AE89" i="1"/>
  <c r="V89" i="1"/>
  <c r="O89" i="1"/>
  <c r="BE88" i="1"/>
  <c r="AZ88" i="1"/>
  <c r="AE88" i="1"/>
  <c r="V88" i="1"/>
  <c r="O88" i="1"/>
  <c r="BE87" i="1"/>
  <c r="AZ87" i="1"/>
  <c r="AE87" i="1"/>
  <c r="V87" i="1"/>
  <c r="O87" i="1"/>
  <c r="BE86" i="1"/>
  <c r="AZ86" i="1"/>
  <c r="AE86" i="1"/>
  <c r="V86" i="1"/>
  <c r="O86" i="1" s="1"/>
  <c r="BE85" i="1"/>
  <c r="AZ85" i="1"/>
  <c r="AE85" i="1"/>
  <c r="V85" i="1"/>
  <c r="O85" i="1" s="1"/>
  <c r="BE84" i="1"/>
  <c r="AZ84" i="1"/>
  <c r="AE84" i="1"/>
  <c r="V84" i="1"/>
  <c r="O84" i="1" s="1"/>
  <c r="BE83" i="1"/>
  <c r="AZ83" i="1"/>
  <c r="AE83" i="1"/>
  <c r="V83" i="1"/>
  <c r="O83" i="1"/>
  <c r="BE82" i="1"/>
  <c r="AZ82" i="1"/>
  <c r="AE82" i="1"/>
  <c r="V82" i="1"/>
  <c r="O82" i="1"/>
  <c r="BE81" i="1"/>
  <c r="AZ81" i="1"/>
  <c r="AE81" i="1"/>
  <c r="V81" i="1"/>
  <c r="O81" i="1"/>
  <c r="BE80" i="1"/>
  <c r="AZ80" i="1"/>
  <c r="AE80" i="1"/>
  <c r="V80" i="1"/>
  <c r="O80" i="1" s="1"/>
  <c r="BE79" i="1"/>
  <c r="AZ79" i="1"/>
  <c r="AE79" i="1"/>
  <c r="V79" i="1"/>
  <c r="O79" i="1" s="1"/>
  <c r="BE78" i="1"/>
  <c r="AZ78" i="1"/>
  <c r="AE78" i="1"/>
  <c r="V78" i="1"/>
  <c r="O78" i="1" s="1"/>
  <c r="BE77" i="1"/>
  <c r="AZ77" i="1"/>
  <c r="AE77" i="1"/>
  <c r="V77" i="1"/>
  <c r="O77" i="1"/>
  <c r="BE76" i="1"/>
  <c r="AZ76" i="1"/>
  <c r="AE76" i="1"/>
  <c r="V76" i="1"/>
  <c r="O76" i="1"/>
  <c r="BE75" i="1"/>
  <c r="AZ75" i="1"/>
  <c r="AE75" i="1"/>
  <c r="V75" i="1"/>
  <c r="O75" i="1"/>
  <c r="BE74" i="1"/>
  <c r="AZ74" i="1"/>
  <c r="AE74" i="1"/>
  <c r="V74" i="1"/>
  <c r="O74" i="1" s="1"/>
  <c r="BE73" i="1"/>
  <c r="AZ73" i="1"/>
  <c r="AE73" i="1"/>
  <c r="V73" i="1"/>
  <c r="O73" i="1" s="1"/>
  <c r="BE72" i="1"/>
  <c r="AZ72" i="1"/>
  <c r="AE72" i="1"/>
  <c r="V72" i="1"/>
  <c r="O72" i="1" s="1"/>
  <c r="BE71" i="1"/>
  <c r="AZ71" i="1"/>
  <c r="AE71" i="1"/>
  <c r="V71" i="1"/>
  <c r="O71" i="1"/>
  <c r="BE70" i="1"/>
  <c r="AZ70" i="1"/>
  <c r="AE70" i="1"/>
  <c r="V70" i="1"/>
  <c r="O70" i="1"/>
  <c r="BE69" i="1"/>
  <c r="AZ69" i="1"/>
  <c r="AE69" i="1"/>
  <c r="V69" i="1"/>
  <c r="O69" i="1"/>
  <c r="BE68" i="1"/>
  <c r="AZ68" i="1"/>
  <c r="AE68" i="1"/>
  <c r="O68" i="1" s="1"/>
  <c r="V68" i="1"/>
  <c r="BE67" i="1"/>
  <c r="AZ67" i="1"/>
  <c r="AE67" i="1"/>
  <c r="V67" i="1"/>
  <c r="O67" i="1" s="1"/>
  <c r="BE66" i="1"/>
  <c r="AZ66" i="1"/>
  <c r="AE66" i="1"/>
  <c r="V66" i="1"/>
  <c r="O66" i="1" s="1"/>
  <c r="BE65" i="1"/>
  <c r="AZ65" i="1"/>
  <c r="AE65" i="1"/>
  <c r="V65" i="1"/>
  <c r="O65" i="1"/>
  <c r="BE64" i="1"/>
  <c r="AZ64" i="1"/>
  <c r="AE64" i="1"/>
  <c r="V64" i="1"/>
  <c r="O64" i="1"/>
  <c r="BE63" i="1"/>
  <c r="AZ63" i="1"/>
  <c r="AE63" i="1"/>
  <c r="V63" i="1"/>
  <c r="O63" i="1"/>
  <c r="BE62" i="1"/>
  <c r="AZ62" i="1"/>
  <c r="AE62" i="1"/>
  <c r="V62" i="1"/>
  <c r="O62" i="1" s="1"/>
  <c r="BE61" i="1"/>
  <c r="AZ61" i="1"/>
  <c r="AE61" i="1"/>
  <c r="V61" i="1"/>
  <c r="O61" i="1" s="1"/>
  <c r="BE60" i="1"/>
  <c r="AZ60" i="1"/>
  <c r="AE60" i="1"/>
  <c r="V60" i="1"/>
  <c r="O60" i="1" s="1"/>
  <c r="BE59" i="1"/>
  <c r="AZ59" i="1"/>
  <c r="AE59" i="1"/>
  <c r="V59" i="1"/>
  <c r="O59" i="1"/>
  <c r="BE58" i="1"/>
  <c r="AZ58" i="1"/>
  <c r="AE58" i="1"/>
  <c r="V58" i="1"/>
  <c r="O58" i="1"/>
  <c r="BE57" i="1"/>
  <c r="AZ57" i="1"/>
  <c r="AE57" i="1"/>
  <c r="V57" i="1"/>
  <c r="O57" i="1"/>
  <c r="BE56" i="1"/>
  <c r="AZ56" i="1"/>
  <c r="AE56" i="1"/>
  <c r="V56" i="1"/>
  <c r="O56" i="1" s="1"/>
  <c r="BE55" i="1"/>
  <c r="AZ55" i="1"/>
  <c r="AE55" i="1"/>
  <c r="V55" i="1"/>
  <c r="O55" i="1" s="1"/>
  <c r="BE54" i="1"/>
  <c r="AZ54" i="1"/>
  <c r="AE54" i="1"/>
  <c r="V54" i="1"/>
  <c r="O54" i="1" s="1"/>
  <c r="BE53" i="1"/>
  <c r="AZ53" i="1"/>
  <c r="AE53" i="1"/>
  <c r="V53" i="1"/>
  <c r="O53" i="1"/>
  <c r="BE52" i="1"/>
  <c r="AZ52" i="1"/>
  <c r="AE52" i="1"/>
  <c r="V52" i="1"/>
  <c r="O52" i="1"/>
  <c r="BE51" i="1"/>
  <c r="AZ51" i="1"/>
  <c r="AE51" i="1"/>
  <c r="V51" i="1"/>
  <c r="O51" i="1"/>
  <c r="BE50" i="1"/>
  <c r="AZ50" i="1"/>
  <c r="AE50" i="1"/>
  <c r="V50" i="1"/>
  <c r="O50" i="1" s="1"/>
  <c r="BE49" i="1"/>
  <c r="AZ49" i="1"/>
  <c r="AE49" i="1"/>
  <c r="O49" i="1" s="1"/>
  <c r="V49" i="1"/>
  <c r="BE48" i="1"/>
  <c r="AZ48" i="1"/>
  <c r="AE48" i="1"/>
  <c r="V48" i="1"/>
  <c r="O48" i="1" s="1"/>
  <c r="BE47" i="1"/>
  <c r="AZ47" i="1"/>
  <c r="AE47" i="1"/>
  <c r="V47" i="1"/>
  <c r="O47" i="1"/>
  <c r="BE46" i="1"/>
  <c r="AZ46" i="1"/>
  <c r="AE46" i="1"/>
  <c r="V46" i="1"/>
  <c r="O46" i="1"/>
  <c r="BE45" i="1"/>
  <c r="AZ45" i="1"/>
  <c r="AE45" i="1"/>
  <c r="V45" i="1"/>
  <c r="O45" i="1"/>
  <c r="BE44" i="1"/>
  <c r="AZ44" i="1"/>
  <c r="AE44" i="1"/>
  <c r="V44" i="1"/>
  <c r="O44" i="1" s="1"/>
  <c r="BE43" i="1"/>
  <c r="AZ43" i="1"/>
  <c r="AE43" i="1"/>
  <c r="O43" i="1" s="1"/>
  <c r="V43" i="1"/>
  <c r="BE42" i="1"/>
  <c r="AZ42" i="1"/>
  <c r="AE42" i="1"/>
  <c r="V42" i="1"/>
  <c r="O42" i="1" s="1"/>
  <c r="BE41" i="1"/>
  <c r="AZ41" i="1"/>
  <c r="AE41" i="1"/>
  <c r="V41" i="1"/>
  <c r="O41" i="1"/>
  <c r="BE40" i="1"/>
  <c r="AZ40" i="1"/>
  <c r="AE40" i="1"/>
  <c r="V40" i="1"/>
  <c r="O40" i="1"/>
  <c r="BE39" i="1"/>
  <c r="AZ39" i="1"/>
  <c r="AE39" i="1"/>
  <c r="V39" i="1"/>
  <c r="O39" i="1"/>
  <c r="BE38" i="1"/>
  <c r="AZ38" i="1"/>
  <c r="AE38" i="1"/>
  <c r="V38" i="1"/>
  <c r="O38" i="1" s="1"/>
  <c r="BE37" i="1"/>
  <c r="AZ37" i="1"/>
  <c r="AE37" i="1"/>
  <c r="O37" i="1" s="1"/>
  <c r="V37" i="1"/>
  <c r="AE36" i="1"/>
  <c r="V36" i="1"/>
  <c r="O36" i="1"/>
  <c r="BE35" i="1"/>
  <c r="AZ35" i="1"/>
  <c r="AE35" i="1"/>
  <c r="V35" i="1"/>
  <c r="O35" i="1"/>
  <c r="BE34" i="1"/>
  <c r="AZ34" i="1"/>
  <c r="AE34" i="1"/>
  <c r="V34" i="1"/>
  <c r="O34" i="1" s="1"/>
  <c r="BE33" i="1"/>
  <c r="AZ33" i="1"/>
  <c r="AE33" i="1"/>
  <c r="O33" i="1" s="1"/>
  <c r="V33" i="1"/>
  <c r="BE32" i="1"/>
  <c r="AZ32" i="1"/>
  <c r="AE32" i="1"/>
  <c r="V32" i="1"/>
  <c r="O32" i="1" s="1"/>
  <c r="BE31" i="1"/>
  <c r="AZ31" i="1"/>
  <c r="AE31" i="1"/>
  <c r="V31" i="1"/>
  <c r="O31" i="1"/>
  <c r="BE30" i="1"/>
  <c r="AZ30" i="1"/>
  <c r="AE30" i="1"/>
  <c r="V30" i="1"/>
  <c r="O30" i="1"/>
  <c r="BE29" i="1"/>
  <c r="AZ29" i="1"/>
  <c r="AE29" i="1"/>
  <c r="V29" i="1"/>
  <c r="O29" i="1"/>
  <c r="BE28" i="1"/>
  <c r="AZ28" i="1"/>
  <c r="AE28" i="1"/>
  <c r="V28" i="1"/>
  <c r="O28" i="1" s="1"/>
  <c r="BE27" i="1"/>
  <c r="AZ27" i="1"/>
  <c r="AE27" i="1"/>
  <c r="O27" i="1" s="1"/>
  <c r="V27" i="1"/>
  <c r="BE26" i="1"/>
  <c r="AZ26" i="1"/>
  <c r="AE26" i="1"/>
  <c r="V26" i="1"/>
  <c r="O26" i="1" s="1"/>
  <c r="BE25" i="1"/>
  <c r="AZ25" i="1"/>
  <c r="AE25" i="1"/>
  <c r="V25" i="1"/>
  <c r="O25" i="1"/>
  <c r="BE24" i="1"/>
  <c r="AZ24" i="1"/>
  <c r="AE24" i="1"/>
  <c r="V24" i="1"/>
  <c r="O24" i="1"/>
  <c r="BE23" i="1"/>
  <c r="AZ23" i="1"/>
  <c r="AE23" i="1"/>
  <c r="V23" i="1"/>
  <c r="O23" i="1"/>
  <c r="BE22" i="1"/>
  <c r="AZ22" i="1"/>
  <c r="AE22" i="1"/>
  <c r="V22" i="1"/>
  <c r="O22" i="1" s="1"/>
  <c r="BE21" i="1"/>
  <c r="AZ21" i="1"/>
  <c r="AE21" i="1"/>
  <c r="O21" i="1" s="1"/>
  <c r="V21" i="1"/>
  <c r="BE20" i="1"/>
  <c r="AZ20" i="1"/>
  <c r="AE20" i="1"/>
  <c r="V20" i="1"/>
  <c r="O20" i="1" s="1"/>
  <c r="BE19" i="1"/>
  <c r="AZ19" i="1"/>
  <c r="AE19" i="1"/>
  <c r="V19" i="1"/>
  <c r="O19" i="1"/>
  <c r="BE18" i="1"/>
  <c r="AZ18" i="1"/>
  <c r="AE18" i="1"/>
  <c r="V18" i="1"/>
  <c r="O18" i="1"/>
  <c r="BE17" i="1"/>
  <c r="AZ17" i="1"/>
  <c r="AE17" i="1"/>
  <c r="V17" i="1"/>
  <c r="O17" i="1"/>
  <c r="BE16" i="1"/>
  <c r="AZ16" i="1"/>
  <c r="AE16" i="1"/>
  <c r="V16" i="1"/>
  <c r="O16" i="1" s="1"/>
  <c r="BE15" i="1"/>
  <c r="AZ15" i="1"/>
  <c r="AE15" i="1"/>
  <c r="O15" i="1" s="1"/>
  <c r="V15" i="1"/>
  <c r="BE14" i="1"/>
  <c r="AZ14" i="1"/>
  <c r="AE14" i="1"/>
  <c r="V14" i="1"/>
  <c r="O14" i="1" s="1"/>
  <c r="BE13" i="1"/>
  <c r="AZ13" i="1"/>
  <c r="AE13" i="1"/>
  <c r="V13" i="1"/>
  <c r="O13" i="1"/>
  <c r="BE12" i="1"/>
  <c r="AZ12" i="1"/>
  <c r="AE12" i="1"/>
  <c r="V12" i="1"/>
  <c r="O12" i="1"/>
  <c r="BE11" i="1"/>
  <c r="AZ11" i="1"/>
  <c r="AE11" i="1"/>
  <c r="V11" i="1"/>
  <c r="O11" i="1"/>
  <c r="BE10" i="1"/>
  <c r="AZ10" i="1"/>
  <c r="AE10" i="1"/>
  <c r="V10" i="1"/>
  <c r="O10" i="1" s="1"/>
  <c r="BE9" i="1"/>
  <c r="AZ9" i="1"/>
  <c r="AE9" i="1"/>
  <c r="O9" i="1" s="1"/>
  <c r="V9" i="1"/>
  <c r="BE8" i="1"/>
  <c r="AZ8" i="1"/>
  <c r="AE8" i="1"/>
  <c r="V8" i="1"/>
  <c r="O8" i="1" s="1"/>
  <c r="BE7" i="1"/>
  <c r="AZ7" i="1"/>
  <c r="AE7" i="1"/>
  <c r="V7" i="1"/>
  <c r="O7" i="1"/>
  <c r="BE6" i="1"/>
  <c r="AZ6" i="1"/>
  <c r="AE6" i="1"/>
  <c r="V6" i="1"/>
  <c r="O6" i="1"/>
  <c r="BE5" i="1"/>
  <c r="AZ5" i="1"/>
  <c r="AE5" i="1"/>
  <c r="V5" i="1"/>
  <c r="O5" i="1"/>
  <c r="AE4" i="1"/>
  <c r="V4" i="1"/>
  <c r="O4" i="1" s="1"/>
  <c r="Q364" i="2" l="1"/>
  <c r="Q58" i="2"/>
  <c r="Q333" i="2"/>
  <c r="Q109" i="2"/>
  <c r="Q64" i="2"/>
  <c r="Q73" i="2"/>
  <c r="Q594" i="2"/>
  <c r="Q561" i="2"/>
  <c r="Q36" i="2"/>
  <c r="Q80" i="2"/>
  <c r="Q102" i="2"/>
  <c r="Q63" i="2"/>
  <c r="Q115" i="2"/>
  <c r="Q318" i="2"/>
  <c r="Q611" i="2"/>
  <c r="Q451" i="2"/>
  <c r="Q400" i="2"/>
  <c r="Q212" i="2"/>
  <c r="Q222" i="2"/>
  <c r="Q586" i="2"/>
  <c r="Q389" i="2"/>
  <c r="Q457" i="2"/>
  <c r="Q504" i="2"/>
  <c r="Q203" i="2"/>
  <c r="Q300" i="2"/>
  <c r="Q637" i="2"/>
  <c r="Q520" i="2"/>
  <c r="Q676" i="2"/>
  <c r="Q182" i="2"/>
  <c r="Q191" i="2"/>
  <c r="Q197" i="2"/>
  <c r="Q388" i="2"/>
  <c r="Q559" i="2"/>
  <c r="Q571" i="2"/>
  <c r="Q660" i="2"/>
  <c r="Q630" i="2"/>
  <c r="Q149" i="2"/>
  <c r="Q161" i="2"/>
  <c r="Q530" i="2"/>
  <c r="Q535" i="2"/>
  <c r="Q556" i="2"/>
  <c r="Q207" i="2"/>
  <c r="Q135" i="2"/>
  <c r="Q141" i="2"/>
  <c r="Q153" i="2"/>
  <c r="Q159" i="2"/>
  <c r="Q165" i="2"/>
  <c r="Q176" i="2"/>
  <c r="Q420" i="2"/>
  <c r="Q443" i="2"/>
  <c r="Q448" i="2"/>
  <c r="Q473" i="2"/>
  <c r="Q517" i="2"/>
  <c r="Q344" i="2"/>
  <c r="Q350" i="2"/>
  <c r="Q356" i="2"/>
  <c r="Q631" i="2"/>
  <c r="Q253" i="2"/>
  <c r="Q572" i="2"/>
  <c r="Q576" i="2"/>
  <c r="Q299" i="2"/>
  <c r="Q382" i="2"/>
  <c r="Q385" i="2"/>
  <c r="Q424" i="2"/>
  <c r="Q427" i="2"/>
  <c r="Q434" i="2"/>
  <c r="Q439" i="2"/>
  <c r="Q605" i="2"/>
  <c r="Q449" i="2"/>
  <c r="Q664" i="2"/>
  <c r="Q525" i="2"/>
  <c r="Q634" i="2"/>
  <c r="Q510" i="2"/>
  <c r="Q528" i="2"/>
  <c r="Q42" i="2"/>
  <c r="Q48" i="2"/>
  <c r="Q103" i="2"/>
  <c r="Q394" i="2"/>
  <c r="Q467" i="2"/>
  <c r="Q91" i="2"/>
  <c r="Q204" i="2"/>
  <c r="Q217" i="2"/>
  <c r="Q268" i="2"/>
  <c r="Q317" i="2"/>
  <c r="Q322" i="2"/>
  <c r="Q328" i="2"/>
  <c r="Q348" i="2"/>
  <c r="Q647" i="2"/>
  <c r="Q403" i="2"/>
  <c r="Q409" i="2"/>
  <c r="Q415" i="2"/>
  <c r="Q617" i="2"/>
  <c r="Q619" i="2"/>
  <c r="Q673" i="2"/>
  <c r="Q560" i="2"/>
  <c r="Q566" i="2"/>
  <c r="Q243" i="2"/>
  <c r="Q522" i="2"/>
  <c r="Q524" i="2"/>
  <c r="Q121" i="2"/>
  <c r="Q124" i="2"/>
  <c r="Q255" i="2"/>
  <c r="Q386" i="2"/>
  <c r="Q446" i="2"/>
  <c r="Q508" i="2"/>
  <c r="Q31" i="2"/>
  <c r="Q74" i="2"/>
  <c r="Q187" i="2"/>
  <c r="Q199" i="2"/>
  <c r="Q260" i="2"/>
  <c r="Q314" i="2"/>
  <c r="Q358" i="2"/>
  <c r="Q136" i="2"/>
  <c r="Q139" i="2"/>
  <c r="Q148" i="2"/>
  <c r="Q151" i="2"/>
  <c r="Q154" i="2"/>
  <c r="Q160" i="2"/>
  <c r="Q163" i="2"/>
  <c r="Q177" i="2"/>
  <c r="Q229" i="2"/>
  <c r="Q238" i="2"/>
  <c r="Q346" i="2"/>
  <c r="Q349" i="2"/>
  <c r="Q368" i="2"/>
  <c r="Q595" i="2"/>
  <c r="Q597" i="2"/>
  <c r="Q651" i="2"/>
  <c r="Q610" i="2"/>
  <c r="Q450" i="2"/>
  <c r="Q477" i="2"/>
  <c r="Q483" i="2"/>
  <c r="Q488" i="2"/>
  <c r="Q527" i="2"/>
  <c r="Q549" i="2"/>
  <c r="Q554" i="2"/>
  <c r="Q557" i="2"/>
  <c r="Q558" i="2"/>
  <c r="Q92" i="2"/>
  <c r="Q95" i="2"/>
  <c r="Q640" i="2"/>
  <c r="Q662" i="2"/>
  <c r="Q667" i="2"/>
  <c r="Q8" i="2"/>
  <c r="Q14" i="2"/>
  <c r="Q26" i="2"/>
  <c r="Q32" i="2"/>
  <c r="Q38" i="2"/>
  <c r="Q50" i="2"/>
  <c r="Q81" i="2"/>
  <c r="Q84" i="2"/>
  <c r="Q93" i="2"/>
  <c r="Q96" i="2"/>
  <c r="Q264" i="2"/>
  <c r="Q590" i="2"/>
  <c r="Q324" i="2"/>
  <c r="Q335" i="2"/>
  <c r="Q593" i="2"/>
  <c r="Q616" i="2"/>
  <c r="Q513" i="2"/>
  <c r="Q169" i="2"/>
  <c r="Q185" i="2"/>
  <c r="Q188" i="2"/>
  <c r="Q230" i="2"/>
  <c r="Q233" i="2"/>
  <c r="Q276" i="2"/>
  <c r="Q288" i="2"/>
  <c r="Q310" i="2"/>
  <c r="Q372" i="2"/>
  <c r="Q376" i="2"/>
  <c r="Q430" i="2"/>
  <c r="Q436" i="2"/>
  <c r="Q475" i="2"/>
  <c r="Q482" i="2"/>
  <c r="Q486" i="2"/>
  <c r="Q492" i="2"/>
  <c r="Q501" i="2"/>
  <c r="Q313" i="2"/>
  <c r="Q366" i="2"/>
  <c r="Q614" i="2"/>
  <c r="Q454" i="2"/>
  <c r="Q479" i="2"/>
  <c r="Q669" i="2"/>
  <c r="Q654" i="2"/>
  <c r="Q20" i="2"/>
  <c r="Q72" i="2"/>
  <c r="Q111" i="2"/>
  <c r="Q120" i="2"/>
  <c r="Q130" i="2"/>
  <c r="Q575" i="2"/>
  <c r="Q166" i="2"/>
  <c r="Q168" i="2"/>
  <c r="Q235" i="2"/>
  <c r="Q263" i="2"/>
  <c r="Q266" i="2"/>
  <c r="Q269" i="2"/>
  <c r="Q275" i="2"/>
  <c r="Q281" i="2"/>
  <c r="Q304" i="2"/>
  <c r="Q337" i="2"/>
  <c r="Q340" i="2"/>
  <c r="Q441" i="2"/>
  <c r="Q478" i="2"/>
  <c r="Q494" i="2"/>
  <c r="Q500" i="2"/>
  <c r="Q644" i="2"/>
  <c r="Q553" i="2"/>
  <c r="Q545" i="2"/>
  <c r="Q171" i="2"/>
  <c r="Q9" i="2"/>
  <c r="Q12" i="2"/>
  <c r="Q21" i="2"/>
  <c r="Q24" i="2"/>
  <c r="Q123" i="2"/>
  <c r="Q140" i="2"/>
  <c r="Q215" i="2"/>
  <c r="Q272" i="2"/>
  <c r="Q296" i="2"/>
  <c r="Q367" i="2"/>
  <c r="Q373" i="2"/>
  <c r="Q426" i="2"/>
  <c r="Q600" i="2"/>
  <c r="Q672" i="2"/>
  <c r="Q534" i="2"/>
  <c r="Q538" i="2"/>
  <c r="Q546" i="2"/>
  <c r="Q569" i="2"/>
  <c r="Q655" i="2"/>
  <c r="Q39" i="2"/>
  <c r="Q51" i="2"/>
  <c r="Q236" i="2"/>
  <c r="Q641" i="2"/>
  <c r="Q332" i="2"/>
  <c r="Q592" i="2"/>
  <c r="Q352" i="2"/>
  <c r="Q370" i="2"/>
  <c r="Q380" i="2"/>
  <c r="Q598" i="2"/>
  <c r="Q418" i="2"/>
  <c r="Q421" i="2"/>
  <c r="Q452" i="2"/>
  <c r="Q458" i="2"/>
  <c r="Q666" i="2"/>
  <c r="Q626" i="2"/>
  <c r="Q506" i="2"/>
  <c r="Q509" i="2"/>
  <c r="Q543" i="2"/>
  <c r="Q551" i="2"/>
  <c r="Q652" i="2"/>
  <c r="Q82" i="2"/>
  <c r="Q658" i="2"/>
  <c r="Q23" i="2"/>
  <c r="Q37" i="2"/>
  <c r="Q40" i="2"/>
  <c r="Q49" i="2"/>
  <c r="Q52" i="2"/>
  <c r="Q94" i="2"/>
  <c r="Q131" i="2"/>
  <c r="Q186" i="2"/>
  <c r="Q189" i="2"/>
  <c r="Q192" i="2"/>
  <c r="Q195" i="2"/>
  <c r="Q213" i="2"/>
  <c r="Q223" i="2"/>
  <c r="Q248" i="2"/>
  <c r="Q254" i="2"/>
  <c r="Q282" i="2"/>
  <c r="Q312" i="2"/>
  <c r="Q398" i="2"/>
  <c r="Q401" i="2"/>
  <c r="Q649" i="2"/>
  <c r="Q404" i="2"/>
  <c r="Q612" i="2"/>
  <c r="Q615" i="2"/>
  <c r="Q455" i="2"/>
  <c r="Q498" i="2"/>
  <c r="Q507" i="2"/>
  <c r="Q523" i="2"/>
  <c r="Q643" i="2"/>
  <c r="Q70" i="2"/>
  <c r="Q125" i="2"/>
  <c r="Q267" i="2"/>
  <c r="Q429" i="2"/>
  <c r="Q529" i="2"/>
  <c r="Q653" i="2"/>
  <c r="Q308" i="2"/>
  <c r="Q648" i="2"/>
  <c r="Q4" i="2"/>
  <c r="Q22" i="2"/>
  <c r="Q580" i="2"/>
  <c r="Q270" i="2"/>
  <c r="Q273" i="2"/>
  <c r="Q624" i="2"/>
  <c r="Q589" i="2"/>
  <c r="Q384" i="2"/>
  <c r="Q613" i="2"/>
  <c r="Q456" i="2"/>
  <c r="Q462" i="2"/>
  <c r="Q465" i="2"/>
  <c r="Q562" i="2"/>
  <c r="Q645" i="2"/>
  <c r="Q274" i="2"/>
  <c r="Q596" i="2"/>
  <c r="Q608" i="2"/>
  <c r="Q257" i="2"/>
  <c r="Q59" i="2"/>
  <c r="Q62" i="2"/>
  <c r="Q71" i="2"/>
  <c r="Q110" i="2"/>
  <c r="Q113" i="2"/>
  <c r="Q147" i="2"/>
  <c r="Q150" i="2"/>
  <c r="Q167" i="2"/>
  <c r="Q205" i="2"/>
  <c r="Q234" i="2"/>
  <c r="Q246" i="2"/>
  <c r="Q321" i="2"/>
  <c r="Q362" i="2"/>
  <c r="Q365" i="2"/>
  <c r="Q371" i="2"/>
  <c r="Q381" i="2"/>
  <c r="Q390" i="2"/>
  <c r="Q422" i="2"/>
  <c r="Q425" i="2"/>
  <c r="Q601" i="2"/>
  <c r="Q435" i="2"/>
  <c r="Q671" i="2"/>
  <c r="Q480" i="2"/>
  <c r="Q628" i="2"/>
  <c r="Q512" i="2"/>
  <c r="Q516" i="2"/>
  <c r="Q552" i="2"/>
  <c r="Q568" i="2"/>
  <c r="Q47" i="2"/>
  <c r="Q98" i="2"/>
  <c r="Q122" i="2"/>
  <c r="Q639" i="2"/>
  <c r="Q214" i="2"/>
  <c r="Q581" i="2"/>
  <c r="Q280" i="2"/>
  <c r="Q286" i="2"/>
  <c r="Q292" i="2"/>
  <c r="Q295" i="2"/>
  <c r="Q623" i="2"/>
  <c r="Q336" i="2"/>
  <c r="Q650" i="2"/>
  <c r="Q405" i="2"/>
  <c r="Q411" i="2"/>
  <c r="Q428" i="2"/>
  <c r="Q432" i="2"/>
  <c r="Q471" i="2"/>
  <c r="Q526" i="2"/>
  <c r="Q674" i="2"/>
  <c r="Q668" i="2"/>
  <c r="Q16" i="2"/>
  <c r="Q25" i="2"/>
  <c r="Q34" i="2"/>
  <c r="Q45" i="2"/>
  <c r="Q66" i="2"/>
  <c r="Q75" i="2"/>
  <c r="Q78" i="2"/>
  <c r="Q89" i="2"/>
  <c r="Q104" i="2"/>
  <c r="Q107" i="2"/>
  <c r="Q118" i="2"/>
  <c r="Q143" i="2"/>
  <c r="Q152" i="2"/>
  <c r="Q578" i="2"/>
  <c r="Q190" i="2"/>
  <c r="Q210" i="2"/>
  <c r="Q224" i="2"/>
  <c r="Q247" i="2"/>
  <c r="Q262" i="2"/>
  <c r="Q284" i="2"/>
  <c r="Q287" i="2"/>
  <c r="Q320" i="2"/>
  <c r="Q323" i="2"/>
  <c r="Q339" i="2"/>
  <c r="Q375" i="2"/>
  <c r="Q377" i="2"/>
  <c r="Q407" i="2"/>
  <c r="Q410" i="2"/>
  <c r="Q437" i="2"/>
  <c r="Q440" i="2"/>
  <c r="Q460" i="2"/>
  <c r="Q663" i="2"/>
  <c r="Q629" i="2"/>
  <c r="Q491" i="2"/>
  <c r="Q531" i="2"/>
  <c r="Q537" i="2"/>
  <c r="Q564" i="2"/>
  <c r="Q567" i="2"/>
  <c r="Q158" i="2"/>
  <c r="Q196" i="2"/>
  <c r="Q315" i="2"/>
  <c r="Q351" i="2"/>
  <c r="Q383" i="2"/>
  <c r="Q474" i="2"/>
  <c r="Q511" i="2"/>
  <c r="Q632" i="2"/>
  <c r="Q555" i="2"/>
  <c r="Q677" i="2"/>
  <c r="Q656" i="2"/>
  <c r="Q28" i="2"/>
  <c r="Q43" i="2"/>
  <c r="Q46" i="2"/>
  <c r="Q87" i="2"/>
  <c r="Q90" i="2"/>
  <c r="Q116" i="2"/>
  <c r="Q119" i="2"/>
  <c r="Q128" i="2"/>
  <c r="Q155" i="2"/>
  <c r="Q164" i="2"/>
  <c r="Q174" i="2"/>
  <c r="Q193" i="2"/>
  <c r="Q202" i="2"/>
  <c r="Q208" i="2"/>
  <c r="Q211" i="2"/>
  <c r="Q220" i="2"/>
  <c r="Q242" i="2"/>
  <c r="Q250" i="2"/>
  <c r="Q279" i="2"/>
  <c r="Q290" i="2"/>
  <c r="Q293" i="2"/>
  <c r="Q303" i="2"/>
  <c r="Q625" i="2"/>
  <c r="Q326" i="2"/>
  <c r="Q354" i="2"/>
  <c r="Q357" i="2"/>
  <c r="Q413" i="2"/>
  <c r="Q416" i="2"/>
  <c r="Q603" i="2"/>
  <c r="Q606" i="2"/>
  <c r="Q463" i="2"/>
  <c r="Q466" i="2"/>
  <c r="Q489" i="2"/>
  <c r="Q497" i="2"/>
  <c r="Q514" i="2"/>
  <c r="Q636" i="2"/>
  <c r="Q542" i="2"/>
  <c r="Q5" i="2"/>
  <c r="Q55" i="2"/>
  <c r="Q134" i="2"/>
  <c r="Q180" i="2"/>
  <c r="Q584" i="2"/>
  <c r="Q402" i="2"/>
  <c r="Q433" i="2"/>
  <c r="Q11" i="2"/>
  <c r="Q35" i="2"/>
  <c r="Q61" i="2"/>
  <c r="Q79" i="2"/>
  <c r="Q99" i="2"/>
  <c r="Q108" i="2"/>
  <c r="Q126" i="2"/>
  <c r="Q129" i="2"/>
  <c r="Q138" i="2"/>
  <c r="Q172" i="2"/>
  <c r="Q175" i="2"/>
  <c r="Q218" i="2"/>
  <c r="Q221" i="2"/>
  <c r="Q277" i="2"/>
  <c r="Q343" i="2"/>
  <c r="Q360" i="2"/>
  <c r="Q363" i="2"/>
  <c r="Q621" i="2"/>
  <c r="Q419" i="2"/>
  <c r="Q444" i="2"/>
  <c r="Q447" i="2"/>
  <c r="Q469" i="2"/>
  <c r="Q472" i="2"/>
  <c r="Q495" i="2"/>
  <c r="Q503" i="2"/>
  <c r="Q519" i="2"/>
  <c r="Q540" i="2"/>
  <c r="Q548" i="2"/>
  <c r="Q570" i="2"/>
  <c r="Q6" i="2"/>
  <c r="Q17" i="2"/>
  <c r="Q41" i="2"/>
  <c r="Q53" i="2"/>
  <c r="Q56" i="2"/>
  <c r="Q67" i="2"/>
  <c r="Q76" i="2"/>
  <c r="Q85" i="2"/>
  <c r="Q105" i="2"/>
  <c r="Q114" i="2"/>
  <c r="Q132" i="2"/>
  <c r="Q574" i="2"/>
  <c r="Q144" i="2"/>
  <c r="Q577" i="2"/>
  <c r="Q178" i="2"/>
  <c r="Q181" i="2"/>
  <c r="Q183" i="2"/>
  <c r="Q206" i="2"/>
  <c r="Q582" i="2"/>
  <c r="Q585" i="2"/>
  <c r="Q225" i="2"/>
  <c r="Q228" i="2"/>
  <c r="Q231" i="2"/>
  <c r="Q237" i="2"/>
  <c r="Q251" i="2"/>
  <c r="Q285" i="2"/>
  <c r="Q316" i="2"/>
  <c r="Q369" i="2"/>
  <c r="Q638" i="2"/>
  <c r="Q378" i="2"/>
  <c r="Q392" i="2"/>
  <c r="Q395" i="2"/>
  <c r="Q599" i="2"/>
  <c r="Q408" i="2"/>
  <c r="Q431" i="2"/>
  <c r="Q438" i="2"/>
  <c r="Q453" i="2"/>
  <c r="Q461" i="2"/>
  <c r="Q642" i="2"/>
  <c r="Q484" i="2"/>
  <c r="Q487" i="2"/>
  <c r="Q657" i="2"/>
  <c r="Q532" i="2"/>
  <c r="Q635" i="2"/>
  <c r="Q565" i="2"/>
  <c r="Q15" i="2"/>
  <c r="Q18" i="2"/>
  <c r="Q29" i="2"/>
  <c r="Q44" i="2"/>
  <c r="Q65" i="2"/>
  <c r="Q68" i="2"/>
  <c r="Q88" i="2"/>
  <c r="Q97" i="2"/>
  <c r="Q117" i="2"/>
  <c r="Q573" i="2"/>
  <c r="Q142" i="2"/>
  <c r="Q145" i="2"/>
  <c r="Q156" i="2"/>
  <c r="Q170" i="2"/>
  <c r="Q184" i="2"/>
  <c r="Q194" i="2"/>
  <c r="Q209" i="2"/>
  <c r="Q216" i="2"/>
  <c r="Q226" i="2"/>
  <c r="Q261" i="2"/>
  <c r="Q291" i="2"/>
  <c r="Q294" i="2"/>
  <c r="Q306" i="2"/>
  <c r="Q327" i="2"/>
  <c r="Q338" i="2"/>
  <c r="Q355" i="2"/>
  <c r="Q406" i="2"/>
  <c r="Q414" i="2"/>
  <c r="Q602" i="2"/>
  <c r="Q604" i="2"/>
  <c r="Q459" i="2"/>
  <c r="Q464" i="2"/>
  <c r="Q490" i="2"/>
  <c r="Q493" i="2"/>
  <c r="Q515" i="2"/>
  <c r="Q536" i="2"/>
  <c r="Q539" i="2"/>
  <c r="Q670" i="2"/>
  <c r="Q563" i="2"/>
  <c r="Q162" i="2"/>
  <c r="Q200" i="2"/>
  <c r="Q240" i="2"/>
  <c r="Q258" i="2"/>
  <c r="Q297" i="2"/>
  <c r="Q309" i="2"/>
  <c r="Q330" i="2"/>
  <c r="Q387" i="2"/>
  <c r="Q481" i="2"/>
  <c r="Q633" i="2"/>
  <c r="Q675" i="2"/>
  <c r="Q659" i="2"/>
  <c r="Q7" i="2"/>
  <c r="Q27" i="2"/>
  <c r="Q30" i="2"/>
  <c r="Q57" i="2"/>
  <c r="Q100" i="2"/>
  <c r="Q127" i="2"/>
  <c r="Q157" i="2"/>
  <c r="Q173" i="2"/>
  <c r="Q219" i="2"/>
  <c r="Q232" i="2"/>
  <c r="Q249" i="2"/>
  <c r="Q278" i="2"/>
  <c r="Q302" i="2"/>
  <c r="Q305" i="2"/>
  <c r="Q341" i="2"/>
  <c r="Q361" i="2"/>
  <c r="Q412" i="2"/>
  <c r="Q417" i="2"/>
  <c r="Q442" i="2"/>
  <c r="Q445" i="2"/>
  <c r="Q618" i="2"/>
  <c r="Q470" i="2"/>
  <c r="Q496" i="2"/>
  <c r="Q499" i="2"/>
  <c r="Q541" i="2"/>
  <c r="Q544" i="2"/>
  <c r="Q665" i="2"/>
  <c r="Q13" i="2"/>
  <c r="Q33" i="2"/>
  <c r="Q54" i="2"/>
  <c r="Q77" i="2"/>
  <c r="Q106" i="2"/>
  <c r="Q133" i="2"/>
  <c r="Q179" i="2"/>
  <c r="Q198" i="2"/>
  <c r="Q201" i="2"/>
  <c r="Q583" i="2"/>
  <c r="Q241" i="2"/>
  <c r="Q252" i="2"/>
  <c r="Q256" i="2"/>
  <c r="Q259" i="2"/>
  <c r="Q307" i="2"/>
  <c r="Q393" i="2"/>
  <c r="Q396" i="2"/>
  <c r="Q485" i="2"/>
  <c r="Q622" i="2"/>
  <c r="Q533" i="2"/>
  <c r="Q10" i="2"/>
  <c r="Q19" i="2"/>
  <c r="Q60" i="2"/>
  <c r="Q69" i="2"/>
  <c r="Q83" i="2"/>
  <c r="Q101" i="2"/>
  <c r="Q112" i="2"/>
  <c r="Q137" i="2"/>
  <c r="Q146" i="2"/>
  <c r="Q579" i="2"/>
  <c r="Q244" i="2"/>
  <c r="Q334" i="2"/>
  <c r="Q342" i="2"/>
  <c r="Q345" i="2"/>
  <c r="Q359" i="2"/>
  <c r="Q399" i="2"/>
  <c r="Q620" i="2"/>
  <c r="Q423" i="2"/>
  <c r="Q607" i="2"/>
  <c r="Q609" i="2"/>
  <c r="Q468" i="2"/>
  <c r="Q476" i="2"/>
  <c r="Q502" i="2"/>
  <c r="Q505" i="2"/>
  <c r="Q518" i="2"/>
  <c r="Q521" i="2"/>
  <c r="Q547" i="2"/>
  <c r="Q550" i="2"/>
  <c r="Q646" i="2"/>
  <c r="O417" i="1"/>
  <c r="O435" i="1"/>
  <c r="O341" i="1"/>
  <c r="O353" i="1"/>
  <c r="O365" i="1"/>
  <c r="O377" i="1"/>
  <c r="O389" i="1"/>
  <c r="O401" i="1"/>
  <c r="O413" i="1"/>
  <c r="O348" i="1"/>
  <c r="O384" i="1"/>
  <c r="O396" i="1"/>
  <c r="O408" i="1"/>
  <c r="O423" i="1"/>
  <c r="O441" i="1"/>
  <c r="Q239" i="2"/>
  <c r="Q271" i="2"/>
  <c r="Q289" i="2"/>
  <c r="Q301" i="2"/>
  <c r="Q588" i="2"/>
  <c r="Q353" i="2"/>
  <c r="Q379" i="2"/>
  <c r="Q397" i="2"/>
  <c r="Q227" i="2"/>
  <c r="Q265" i="2"/>
  <c r="Q283" i="2"/>
  <c r="Q298" i="2"/>
  <c r="Q311" i="2"/>
  <c r="Q325" i="2"/>
  <c r="Q329" i="2"/>
  <c r="Q245" i="2"/>
  <c r="Q319" i="2"/>
  <c r="Q331" i="2"/>
  <c r="Q347" i="2"/>
  <c r="Q374" i="2"/>
  <c r="Q391" i="2"/>
  <c r="O482" i="3"/>
  <c r="O518" i="3"/>
  <c r="O581" i="3"/>
  <c r="O592" i="3"/>
  <c r="O599" i="3"/>
  <c r="O616" i="3"/>
  <c r="O140" i="3"/>
  <c r="O422" i="3"/>
  <c r="O488" i="3"/>
  <c r="O635" i="3"/>
  <c r="O146" i="3"/>
  <c r="O150" i="3"/>
  <c r="O164" i="3"/>
  <c r="O182" i="3"/>
  <c r="O200" i="3"/>
  <c r="O218" i="3"/>
  <c r="O236" i="3"/>
  <c r="O254" i="3"/>
  <c r="O272" i="3"/>
  <c r="O290" i="3"/>
  <c r="O308" i="3"/>
  <c r="O344" i="3"/>
  <c r="O362" i="3"/>
  <c r="O380" i="3"/>
  <c r="O398" i="3"/>
  <c r="O416" i="3"/>
  <c r="O434" i="3"/>
  <c r="O446" i="3"/>
  <c r="O458" i="3"/>
  <c r="O470" i="3"/>
  <c r="O500" i="3"/>
  <c r="O536" i="3"/>
  <c r="O554" i="3"/>
  <c r="O573" i="3"/>
  <c r="O6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3" authorId="0" shapeId="0" xr:uid="{00000000-0006-0000-00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3" authorId="0" shapeId="0" xr:uid="{00000000-0006-0000-00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3" authorId="0" shapeId="0" xr:uid="{00000000-0006-0000-00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3" authorId="0" shapeId="0" xr:uid="{00000000-0006-0000-00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3" authorId="0" shapeId="0" xr:uid="{00000000-0006-0000-00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3" authorId="0" shapeId="0" xr:uid="{00000000-0006-0000-00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3" authorId="0" shapeId="0" xr:uid="{00000000-0006-0000-00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3" authorId="0" shapeId="0" xr:uid="{00000000-0006-0000-00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3" authorId="0" shapeId="0" xr:uid="{00000000-0006-0000-00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3" authorId="0" shapeId="0" xr:uid="{00000000-0006-0000-00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00000000-0006-0000-02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1" authorId="0" shapeId="0" xr:uid="{00000000-0006-0000-02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1" authorId="0" shapeId="0" xr:uid="{00000000-0006-0000-02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1" authorId="0" shapeId="0" xr:uid="{00000000-0006-0000-02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1" authorId="0" shapeId="0" xr:uid="{00000000-0006-0000-02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1" authorId="0" shapeId="0" xr:uid="{00000000-0006-0000-02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1" authorId="0" shapeId="0" xr:uid="{00000000-0006-0000-02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1" authorId="0" shapeId="0" xr:uid="{00000000-0006-0000-02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1" authorId="0" shapeId="0" xr:uid="{00000000-0006-0000-02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1" authorId="0" shapeId="0" xr:uid="{00000000-0006-0000-02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1" authorId="0" shapeId="0" xr:uid="{00000000-0006-0000-02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1" authorId="0" shapeId="0" xr:uid="{00000000-0006-0000-02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<sst xmlns="http://schemas.openxmlformats.org/spreadsheetml/2006/main" count="10449" uniqueCount="2315">
  <si>
    <t>2026년 04월 자재 재고현황</t>
  </si>
  <si>
    <t>No</t>
  </si>
  <si>
    <t>부품
종류</t>
  </si>
  <si>
    <t>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</si>
  <si>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</si>
  <si>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</si>
  <si>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</si>
  <si>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</si>
  <si>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</si>
  <si>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</si>
  <si>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</si>
  <si>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</si>
  <si>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</si>
  <si>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</si>
  <si>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</si>
  <si>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</si>
  <si>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</si>
  <si>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</si>
  <si>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</si>
  <si>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</si>
  <si>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</si>
  <si>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</si>
  <si>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</si>
  <si>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</si>
  <si>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</si>
  <si>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</si>
  <si>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</si>
  <si>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</si>
  <si>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</si>
  <si>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</si>
  <si>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</si>
  <si>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</si>
  <si>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</si>
  <si>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포커서</t>
  </si>
  <si>
    <t>세라믹</t>
  </si>
  <si>
    <t>세라믹 바디</t>
  </si>
  <si>
    <t>세라믹 스템</t>
  </si>
  <si>
    <t>필러</t>
  </si>
  <si>
    <t>전극 필러</t>
  </si>
  <si>
    <t>DXDR-100</t>
  </si>
  <si>
    <t>전극(100kV)</t>
  </si>
  <si>
    <t>에노드 링</t>
  </si>
  <si>
    <t>세라믹 슬리브</t>
  </si>
  <si>
    <t>X-ray Tube</t>
  </si>
  <si>
    <t>DX3000, ADX4000W</t>
  </si>
  <si>
    <t>TUBE</t>
  </si>
  <si>
    <t>60KV D-081B</t>
  </si>
  <si>
    <t>신광포토레이</t>
  </si>
  <si>
    <t>COCOON</t>
  </si>
  <si>
    <t>70KV D-041</t>
  </si>
  <si>
    <t>SOLO</t>
  </si>
  <si>
    <t>70KV DXDR-070</t>
  </si>
  <si>
    <t>ADX6000</t>
  </si>
  <si>
    <t>80KV D-0813</t>
  </si>
  <si>
    <t>90kV OX / 70-1.0</t>
  </si>
  <si>
    <t>CEI</t>
  </si>
  <si>
    <t>100kV</t>
  </si>
  <si>
    <t>100Kv DXDR-100</t>
  </si>
  <si>
    <t>베이클라이트</t>
  </si>
  <si>
    <t>DX3000, ADX4000W ADX6000</t>
  </si>
  <si>
    <t>튜브 하우징 파이프</t>
  </si>
  <si>
    <t>용봉화학</t>
  </si>
  <si>
    <t>HDPE</t>
  </si>
  <si>
    <t>램프</t>
  </si>
  <si>
    <t>DX3000, ADX4000W COCOON</t>
  </si>
  <si>
    <t>네온램프</t>
  </si>
  <si>
    <t>NEON-5T.5*13 red</t>
  </si>
  <si>
    <t>HLP</t>
  </si>
  <si>
    <t>다이오드</t>
  </si>
  <si>
    <t>고압 다이오드</t>
  </si>
  <si>
    <t>2CL77 (20KV, 5mA)</t>
  </si>
  <si>
    <t>비지티</t>
  </si>
  <si>
    <t>DL1500</t>
  </si>
  <si>
    <t>DD1800</t>
  </si>
  <si>
    <t>LC-2G</t>
  </si>
  <si>
    <t>TEST POINT BLACK</t>
  </si>
  <si>
    <t>저항</t>
  </si>
  <si>
    <t>15㏀ 고압용 저항</t>
  </si>
  <si>
    <t>15㏀±1％, DIP-1/4W</t>
  </si>
  <si>
    <t>30㏀ 고압용 저항</t>
  </si>
  <si>
    <t>30㏀±1％, DIP-1/4W</t>
  </si>
  <si>
    <t>500Ω 고압용 저항</t>
  </si>
  <si>
    <t>500Ω±1％, DIP-1/4W</t>
  </si>
  <si>
    <t>1.7W,10kV 시멘트저항 짧은 것</t>
  </si>
  <si>
    <t>RK92-11XD 307J (1.7W,10kV,±5%,300ppm,Flat)</t>
  </si>
  <si>
    <t>2.7W,15kV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</si>
  <si>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</si>
  <si>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</si>
  <si>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</si>
  <si>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</si>
  <si>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3216B 100nF</t>
  </si>
  <si>
    <t>103Z 고압용 세라믹 콘덴서</t>
  </si>
  <si>
    <t>50V F103Z</t>
  </si>
  <si>
    <t>세라믹 큰 콘덴서</t>
  </si>
  <si>
    <t>DHR4E4C102K2FB</t>
  </si>
  <si>
    <t>비지티, HLP</t>
  </si>
  <si>
    <t>COCOON, 
ADX6000</t>
  </si>
  <si>
    <t>세라믹 작은 콘덴서 Murata</t>
  </si>
  <si>
    <t>680pF DHR4E4C681K2BB</t>
  </si>
  <si>
    <t>세라믹 작은 콘덴서 Vishay</t>
  </si>
  <si>
    <t>HVCC203Y6P681MCAX</t>
  </si>
  <si>
    <t>센서</t>
  </si>
  <si>
    <t>온도센서</t>
  </si>
  <si>
    <t>LNTK103FW</t>
  </si>
  <si>
    <t>트랜스</t>
  </si>
  <si>
    <t>트랜스포머</t>
  </si>
  <si>
    <t>60kV</t>
  </si>
  <si>
    <t>미래메디칼</t>
  </si>
  <si>
    <t>70kV</t>
  </si>
  <si>
    <t>트랜스포머 (800턴)</t>
  </si>
  <si>
    <t>80kV</t>
  </si>
  <si>
    <t>CORE</t>
  </si>
  <si>
    <t>T 코어 (히터트랜스용)</t>
  </si>
  <si>
    <t>T31 X 8 X 19E</t>
  </si>
  <si>
    <t>대영파츠넷</t>
  </si>
  <si>
    <t>TR22-14-6.5</t>
  </si>
  <si>
    <t>DCT,HLP</t>
  </si>
  <si>
    <t>센더스트 코어</t>
  </si>
  <si>
    <t>CS234060</t>
  </si>
  <si>
    <t>도일코리아</t>
  </si>
  <si>
    <t>CABLE</t>
  </si>
  <si>
    <t>TIW 권선 (히터트랜스용 선)</t>
  </si>
  <si>
    <t>(외경)0.7mm (내경)0.5mm, 4000m</t>
  </si>
  <si>
    <t>승리케이블</t>
  </si>
  <si>
    <t>히터트랜스용 고압선(적색)</t>
  </si>
  <si>
    <t>40KVDC 22AWG</t>
  </si>
  <si>
    <t>히터트랜스용 고압선(흰색)</t>
  </si>
  <si>
    <t>DSI HV CABLE 2178</t>
  </si>
  <si>
    <t>BGT</t>
  </si>
  <si>
    <t>BOARD</t>
  </si>
  <si>
    <t>고압베어 B/D</t>
  </si>
  <si>
    <t>한샘디지텍</t>
  </si>
  <si>
    <t>DX3000</t>
  </si>
  <si>
    <t>고압베어 B/D - TFT</t>
  </si>
  <si>
    <t>70kV, 3mA</t>
  </si>
  <si>
    <t xml:space="preserve">구형 </t>
  </si>
  <si>
    <t>신형</t>
  </si>
  <si>
    <t>튜브 고정 보드 에노드</t>
  </si>
  <si>
    <t>나사</t>
  </si>
  <si>
    <t>튜브 고정 보드 케소드</t>
  </si>
  <si>
    <t>ADX4000W</t>
  </si>
  <si>
    <t>베이클라이트 케이스</t>
  </si>
  <si>
    <t>NC 케이스</t>
  </si>
  <si>
    <t>PE케이스 거치대</t>
  </si>
  <si>
    <t>황동</t>
  </si>
  <si>
    <t>신주 케이스</t>
  </si>
  <si>
    <t>0.6T</t>
  </si>
  <si>
    <t>해진정밀</t>
  </si>
  <si>
    <t>디지아이</t>
  </si>
  <si>
    <t>0.6T + 193 (커팅전)</t>
  </si>
  <si>
    <t>신주 케이스 뚜껑</t>
  </si>
  <si>
    <t>공용</t>
  </si>
  <si>
    <t>방사구</t>
  </si>
  <si>
    <t>외경 탭 추가</t>
  </si>
  <si>
    <t>방사구 너트</t>
  </si>
  <si>
    <t>AL</t>
  </si>
  <si>
    <t>알루미늄 필터</t>
  </si>
  <si>
    <t>0.8T * Φ24</t>
  </si>
  <si>
    <t>광전레이저</t>
  </si>
  <si>
    <t>1.2T * Φ24</t>
  </si>
  <si>
    <t>2T * Φ24</t>
  </si>
  <si>
    <t>오링</t>
  </si>
  <si>
    <t>방사구 오링</t>
  </si>
  <si>
    <t>2*18</t>
  </si>
  <si>
    <t>3 PIN 커넥터</t>
  </si>
  <si>
    <t>DX3000,ADX4000W
COCOON,ADX6000</t>
  </si>
  <si>
    <t>4 PIN 커넥터</t>
  </si>
  <si>
    <t>7핀 B/D</t>
  </si>
  <si>
    <t>9핀 B/D - TFT</t>
  </si>
  <si>
    <t>8핀 B/D</t>
  </si>
  <si>
    <t>9핀 B/D</t>
  </si>
  <si>
    <t>10핀 B/D</t>
  </si>
  <si>
    <t>PCB</t>
  </si>
  <si>
    <t>CTR B/D (유럽용)</t>
  </si>
  <si>
    <t>CTR B/D (미국용)</t>
  </si>
  <si>
    <t>CTR B/D (TFT용)</t>
  </si>
  <si>
    <t>V3.1.1</t>
  </si>
  <si>
    <t>LCD B/D (듀얼 슬라이드)</t>
  </si>
  <si>
    <t>TFT LCD B/D (듀얼 슬라이드)</t>
  </si>
  <si>
    <t>V3.0.1</t>
  </si>
  <si>
    <t>LCD B/D (사파리) -원버턴타입</t>
  </si>
  <si>
    <t>OLED B/D (듀얼)</t>
  </si>
  <si>
    <t>EX B/D (듀얼) (좌)</t>
  </si>
  <si>
    <t>EX B/D (듀얼) (우)</t>
  </si>
  <si>
    <t>EX B/D 사파리 (원버턴)</t>
  </si>
  <si>
    <t>RELAY 쪽 보드</t>
  </si>
  <si>
    <t>AIM LED 쪽 보드</t>
  </si>
  <si>
    <t>PANEL</t>
  </si>
  <si>
    <t>LCD PANEL</t>
  </si>
  <si>
    <t>2.35"LCD</t>
  </si>
  <si>
    <t>DX3000, SOLO</t>
  </si>
  <si>
    <t>TFT LCD PANEL</t>
  </si>
  <si>
    <t>2.4"LCD - CT1715N241A</t>
  </si>
  <si>
    <t>클리어디스플레이</t>
  </si>
  <si>
    <t>하네스 1번</t>
  </si>
  <si>
    <t>FFC 20핀</t>
  </si>
  <si>
    <t>하네스 4번</t>
  </si>
  <si>
    <t xml:space="preserve">후면 전원 Wire - DC 잭 </t>
  </si>
  <si>
    <t>하네스 5번</t>
  </si>
  <si>
    <t>EXP KEY 4핀 케이블</t>
  </si>
  <si>
    <t>하네스 7번</t>
  </si>
  <si>
    <t>마그네틱보드 연결 4핀</t>
  </si>
  <si>
    <t>하네스 8번</t>
  </si>
  <si>
    <t>CJ4003 잭 (관전류 짹 + 2핀케이블)</t>
  </si>
  <si>
    <t>ABS 난연</t>
  </si>
  <si>
    <t>LCD GUIDE</t>
  </si>
  <si>
    <t>ABS 난연 화이트</t>
  </si>
  <si>
    <t>천우</t>
  </si>
  <si>
    <t>LCD GUIDE (사파리)</t>
  </si>
  <si>
    <t>FRONT COVER (듀얼 슬라이드)</t>
  </si>
  <si>
    <t>ABS 난연 블랙</t>
  </si>
  <si>
    <t>ABS 난연 블랙 (홀작업 완료)</t>
  </si>
  <si>
    <t>REAR COVER</t>
  </si>
  <si>
    <t>BATTERY COVER</t>
  </si>
  <si>
    <t>ABS 난연 블랙 + 블랙</t>
  </si>
  <si>
    <t>ABS 난연 화이트 + 진한 회색</t>
  </si>
  <si>
    <t>POWER BUTTON</t>
  </si>
  <si>
    <t>ABS 난연 화이트 + 밝은 회색</t>
  </si>
  <si>
    <t>EX BUTTON</t>
  </si>
  <si>
    <t>NAVI KEY</t>
  </si>
  <si>
    <t>DECO GUIDE</t>
  </si>
  <si>
    <t>20cm CONE</t>
  </si>
  <si>
    <t>ABS 난연 블랙 + 블랙 무광</t>
  </si>
  <si>
    <t>15cm CONE</t>
  </si>
  <si>
    <t>X-CAP (기본)</t>
  </si>
  <si>
    <t>ABS 화이트 + 진한 회색</t>
  </si>
  <si>
    <t>X-CAP 체결형 (신형)</t>
  </si>
  <si>
    <t>X-CAP 체결형 (구형, 일본용)</t>
  </si>
  <si>
    <t>X-CAP 체결형 스프레이 X (구형, 일본용)</t>
  </si>
  <si>
    <t>CONE 젠더</t>
  </si>
  <si>
    <t>메디컬용 컬리메타</t>
  </si>
  <si>
    <t>금오몰드</t>
  </si>
  <si>
    <t>메디컬용 컬리메타 CAP</t>
  </si>
  <si>
    <t>아크릴</t>
  </si>
  <si>
    <t>LCD WINDOW</t>
  </si>
  <si>
    <t>투명 아크릴</t>
  </si>
  <si>
    <t>LCD LED</t>
  </si>
  <si>
    <t>확산 아크릴</t>
  </si>
  <si>
    <t>POWER LED</t>
  </si>
  <si>
    <t>EX LED (좌)</t>
  </si>
  <si>
    <t>EX LED (우)</t>
  </si>
  <si>
    <t>메디컬용 십자아크릴 (66*66)</t>
  </si>
  <si>
    <t>0.8T * Φ63</t>
  </si>
  <si>
    <t>1.5T * Φ63 일본 동물용</t>
  </si>
  <si>
    <t>인조가죽</t>
  </si>
  <si>
    <t>HAND STRAP 손잡이</t>
  </si>
  <si>
    <t>인조 가죽</t>
  </si>
  <si>
    <t>굿모닝코리아유통</t>
  </si>
  <si>
    <t>HAND STRAP 손잡이 (로고 없음)</t>
  </si>
  <si>
    <t>STEEL</t>
  </si>
  <si>
    <t>고리 1</t>
  </si>
  <si>
    <t>니켈 도금</t>
  </si>
  <si>
    <t>고리 2</t>
  </si>
  <si>
    <t>CTR B/D</t>
  </si>
  <si>
    <t>FET B/D</t>
  </si>
  <si>
    <t xml:space="preserve"> + 56 (교체전)</t>
  </si>
  <si>
    <t>POWER SWITCH BD</t>
  </si>
  <si>
    <t>POWER SWITCH BD (Ver 3.0.0)</t>
  </si>
  <si>
    <t>HANDLE CONNECTOR BD 신형 (신주 2핀)</t>
  </si>
  <si>
    <t>BATTERY BRIDGE BD</t>
  </si>
  <si>
    <t>CRADLE BD</t>
  </si>
  <si>
    <t>OP &amp; TOUCH BD</t>
  </si>
  <si>
    <t>TX30(FEMALE)+YH396-02 100mm CTR BD 외부단자 2핀</t>
  </si>
  <si>
    <t>하네스 2번</t>
  </si>
  <si>
    <t>TX30(MALE)+DC022(2.5) 80mm 전원 외부단자 2핀</t>
  </si>
  <si>
    <t>하네스 3번</t>
  </si>
  <si>
    <t>FFC CABLE 1mm*30P*200*B CTR BD*OP BD (다른방향)</t>
  </si>
  <si>
    <t>12505HS-02+SORDER 50mm - OP BD 2.20 전용 스피커 2핀</t>
  </si>
  <si>
    <t>YH396-04*2EA 150mm BATTERY BRIDGE BD 4핀</t>
  </si>
  <si>
    <t>12505HS-05 125mm POWER SWITCH BD 5핀</t>
  </si>
  <si>
    <t>하네스 11번</t>
  </si>
  <si>
    <t>YH396-02+SORDER 80mm CRADLE 신주 연결 2핀</t>
  </si>
  <si>
    <t>에이밍 하네스 1번</t>
  </si>
  <si>
    <t>YHM025-02R 210mm, CTR + POWER BD 2핀</t>
  </si>
  <si>
    <t>에이밍 하네스 2번</t>
  </si>
  <si>
    <t>YHM025-02R 180mm, LED BD 2핀, 19+83(사출결합)</t>
  </si>
  <si>
    <t>OLED PANEL</t>
  </si>
  <si>
    <t>UG-5664ASWEF01</t>
  </si>
  <si>
    <t>TOP BODY</t>
  </si>
  <si>
    <t>메탈 실버 유광</t>
  </si>
  <si>
    <t>BOTTOM BODY</t>
  </si>
  <si>
    <t>블랙 유광</t>
  </si>
  <si>
    <t>OLED GUIDE</t>
  </si>
  <si>
    <t>BUTTON INDICATOR</t>
  </si>
  <si>
    <t>TOUCH DUMMY</t>
  </si>
  <si>
    <t>LOCK KNOB</t>
  </si>
  <si>
    <t>LOCK INNER</t>
  </si>
  <si>
    <t>메탈 실버</t>
  </si>
  <si>
    <t>FRONT_S (18cm)</t>
  </si>
  <si>
    <t>FRONT_L (20cm)</t>
  </si>
  <si>
    <t>ABS 난연 블랙 + 블랙 유광</t>
  </si>
  <si>
    <t>FRONT_CAP</t>
  </si>
  <si>
    <t>에이밍 앞 사출</t>
  </si>
  <si>
    <t>CONE GUIDE_S (18cm)</t>
  </si>
  <si>
    <t>CONE GUIDE_L (20cm)</t>
  </si>
  <si>
    <t>HAND BODY</t>
  </si>
  <si>
    <t>HAND TOP COVER</t>
  </si>
  <si>
    <t>BAT BOTTOM</t>
  </si>
  <si>
    <t>CRADLE BODY BUTTON X</t>
  </si>
  <si>
    <t>CRADLE BOTTOM</t>
  </si>
  <si>
    <t>도금용 ABS</t>
  </si>
  <si>
    <t>CRADLE FRAME</t>
  </si>
  <si>
    <t>도금용 사출 + 크롬 도금</t>
  </si>
  <si>
    <t>SHOT BUTTON</t>
  </si>
  <si>
    <t>ABS 난연 화이트 + 오렌지 유광</t>
  </si>
  <si>
    <t>SHOT PCB GUIDE</t>
  </si>
  <si>
    <t>SLIDE SWITCH</t>
  </si>
  <si>
    <t>ABS 난연 화이트 + 레드 유광</t>
  </si>
  <si>
    <t>SLIDE CAP</t>
  </si>
  <si>
    <t>GER GUIDE</t>
  </si>
  <si>
    <t>에이밍 LED BODY 신형 A</t>
  </si>
  <si>
    <t>오비스코리아</t>
  </si>
  <si>
    <t>에이밍 LED BODY 신형 B</t>
  </si>
  <si>
    <t>에이밍 방사구 젠더</t>
  </si>
  <si>
    <t>다우정밀</t>
  </si>
  <si>
    <t>WINDOW</t>
  </si>
  <si>
    <t>투명 아크릴 + 실크 인쇄 로고O</t>
  </si>
  <si>
    <t>우민테크</t>
  </si>
  <si>
    <t>투명 아크릴 + 실크 인쇄 로고X</t>
  </si>
  <si>
    <t xml:space="preserve">에이밍 아크릴 은경 </t>
  </si>
  <si>
    <t>에이밍 십자 아크릴 (사각 모양)</t>
  </si>
  <si>
    <t>투명 아크릴 + 인쇄</t>
  </si>
  <si>
    <t>에이밍 원형 십자 아크릴 (테두리 O)  2.0T</t>
  </si>
  <si>
    <t>투명 아크릴 + 인쇄 2T - 영국용</t>
  </si>
  <si>
    <t>에이밍 원형 십자 아크릴 (테두리 O) 2.0T</t>
  </si>
  <si>
    <t>투명 아크릴 + 인쇄 2T - 얇은 테두리</t>
  </si>
  <si>
    <t>에이밍 원형 십자 아크릴 (테두리 X) 2.0T</t>
  </si>
  <si>
    <t>투명 아크릴 + 인쇄 2T -사파리용</t>
  </si>
  <si>
    <t xml:space="preserve">알루미늄 필터 </t>
  </si>
  <si>
    <t>0.5T * Φ63 코쿤 기본</t>
  </si>
  <si>
    <t>RUBBER</t>
  </si>
  <si>
    <t>BAT BOTTOM RUBBER</t>
  </si>
  <si>
    <t>남경화학</t>
  </si>
  <si>
    <t>CRADLE FOOT RUBBER</t>
  </si>
  <si>
    <t>신주</t>
  </si>
  <si>
    <t>CRADLE 신주 핀</t>
  </si>
  <si>
    <t>신주 가공 + 니켈 도금</t>
  </si>
  <si>
    <t>스프링</t>
  </si>
  <si>
    <t>EXP BUTTON 스프링</t>
  </si>
  <si>
    <t>금호스프링</t>
  </si>
  <si>
    <t>CRADLE 충전단자 스프링</t>
  </si>
  <si>
    <t>고리</t>
  </si>
  <si>
    <t>니켈 도금 D링</t>
  </si>
  <si>
    <t>자석</t>
  </si>
  <si>
    <t>네오디움 마그넷</t>
  </si>
  <si>
    <t>일성마그네트</t>
  </si>
  <si>
    <t>블랙 무광</t>
  </si>
  <si>
    <t>ABS 난연 화이트 유광</t>
  </si>
  <si>
    <t>ABS 난연 화이트 + 화이트 유광</t>
  </si>
  <si>
    <t>CTR _BD</t>
  </si>
  <si>
    <t>OP_BD</t>
  </si>
  <si>
    <t>POWER_BD</t>
  </si>
  <si>
    <t>MAIN_BD</t>
  </si>
  <si>
    <t>리모콘_BD</t>
  </si>
  <si>
    <t>EXP_BD</t>
  </si>
  <si>
    <t>BATCON_BD</t>
  </si>
  <si>
    <t>SOLO 하네스 1번</t>
  </si>
  <si>
    <t>12505HS-12 (PowerBD - OP 12핀)</t>
  </si>
  <si>
    <t>SOLO 하네스 2번</t>
  </si>
  <si>
    <t>12505HS-03 Battery-Handle bridge 3핀</t>
  </si>
  <si>
    <t>SOLO 하네스 3번</t>
  </si>
  <si>
    <t>0.5 * 40 * 100 * B (FFC 40핀)</t>
  </si>
  <si>
    <t>SOLO 하네스 4번</t>
  </si>
  <si>
    <t>BATCON+EXP _ 190mm(Red1EA, White 2EA)-3핀</t>
  </si>
  <si>
    <t>TOP Body</t>
  </si>
  <si>
    <t>ABS 블랙 샌딩</t>
  </si>
  <si>
    <t>Bottom Body</t>
  </si>
  <si>
    <t>Main_Cone</t>
  </si>
  <si>
    <t>ABS 메탈릭 다크그레이</t>
  </si>
  <si>
    <t>Hand_Body</t>
  </si>
  <si>
    <t>Bat_Bottom</t>
  </si>
  <si>
    <t>Power Button</t>
  </si>
  <si>
    <t>Button Indicator</t>
  </si>
  <si>
    <t>ABS 블랙</t>
  </si>
  <si>
    <t>월드씨앤피</t>
  </si>
  <si>
    <t>발생부_Guide</t>
  </si>
  <si>
    <t>Lock Inner</t>
  </si>
  <si>
    <t>Lock Knob</t>
  </si>
  <si>
    <t>Front_CAP</t>
  </si>
  <si>
    <t>연장 Cone</t>
  </si>
  <si>
    <t>Hand Top Cover</t>
  </si>
  <si>
    <t>Slide Switch</t>
  </si>
  <si>
    <t>ABS 블루(PANTTON 660C) 무광</t>
  </si>
  <si>
    <t>Slide Switch Cap</t>
  </si>
  <si>
    <t>ABS 레드 무광</t>
  </si>
  <si>
    <t>Shot_Button</t>
  </si>
  <si>
    <t>Shot_PCB_Guide</t>
  </si>
  <si>
    <t>Bat_Bottom_Cover</t>
  </si>
  <si>
    <t>Aiming_Light_LED_아크릴</t>
  </si>
  <si>
    <t>확산 아크릴/ 화이트</t>
  </si>
  <si>
    <t>LCD_Window</t>
  </si>
  <si>
    <t>PC / 투명 + (구형 26)</t>
  </si>
  <si>
    <t>LCD_LED_확산_아크릴</t>
  </si>
  <si>
    <t>광센서_유색_창</t>
  </si>
  <si>
    <t>PC/스모그/퍼플</t>
  </si>
  <si>
    <t>BAT_LED_확산_아크릴</t>
  </si>
  <si>
    <t>가스켓</t>
  </si>
  <si>
    <t>LCD 터치가스켓</t>
  </si>
  <si>
    <t>8X8X7</t>
  </si>
  <si>
    <t>마운트</t>
  </si>
  <si>
    <t>삼각대 고정홀</t>
  </si>
  <si>
    <t>RUBBER (1T, 마운트 홀)</t>
  </si>
  <si>
    <t>DX3000, ADX6000,SOLO</t>
  </si>
  <si>
    <t>에이밍 바디 뭉치</t>
  </si>
  <si>
    <t>ø33*19.3</t>
  </si>
  <si>
    <t>아크릴 은경</t>
  </si>
  <si>
    <t>아크릴 40파이</t>
  </si>
  <si>
    <t>명동아크릴</t>
  </si>
  <si>
    <t>에이밍 LED 보드</t>
  </si>
  <si>
    <t xml:space="preserve">LED PCB </t>
  </si>
  <si>
    <t>LED PCB 방열 가이드</t>
  </si>
  <si>
    <t>흑색 다이캐스팅</t>
  </si>
  <si>
    <t>㈜쿠가</t>
  </si>
  <si>
    <t xml:space="preserve"> + 12(AS용)</t>
  </si>
  <si>
    <t>4.8" LCD  BD</t>
  </si>
  <si>
    <t>POWER BD</t>
  </si>
  <si>
    <t>EX B/D</t>
  </si>
  <si>
    <t>NAVI BD</t>
  </si>
  <si>
    <t>NAVI BD 사파리</t>
  </si>
  <si>
    <t>Carrier BD (구형 KONTRON)</t>
  </si>
  <si>
    <t>비씨엠테크</t>
  </si>
  <si>
    <t>Carrier BD (신형 DFI)</t>
  </si>
  <si>
    <t>한컴MDS</t>
  </si>
  <si>
    <t>Module BD (구형 KONTRON)</t>
  </si>
  <si>
    <t>KONTRON</t>
  </si>
  <si>
    <t>Module BD (신형 DFI)</t>
  </si>
  <si>
    <t>USB 메모리 BD (구형 KONTRON) ver 1.5</t>
  </si>
  <si>
    <t>USB 메모리 BD (신형 DFI)</t>
  </si>
  <si>
    <t>5" LCD</t>
  </si>
  <si>
    <t>LQ050W1LA0A</t>
  </si>
  <si>
    <t>홍콩</t>
  </si>
  <si>
    <t>4.8" LCD</t>
  </si>
  <si>
    <t>LMS480J-C01(LTS480WS-C01)</t>
  </si>
  <si>
    <t>Embedded PC 전원 (2핀)</t>
  </si>
  <si>
    <t>케리어+CTR B/D 연결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</si>
  <si>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</si>
  <si>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</si>
  <si>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</si>
  <si>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</si>
  <si>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</si>
  <si>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</si>
  <si>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LCD TOP</t>
  </si>
  <si>
    <t>LCD BOTTOM</t>
  </si>
  <si>
    <t>TOP</t>
  </si>
  <si>
    <t>BOTTOM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</si>
  <si>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</si>
  <si>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</si>
  <si>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</si>
  <si>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</si>
  <si>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</si>
  <si>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</si>
  <si>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</si>
  <si>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</si>
  <si>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</si>
  <si>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</si>
  <si>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</si>
  <si>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</si>
  <si>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</si>
  <si>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ABS 난연 반투명</t>
  </si>
  <si>
    <t>NAVI KEY 스프레이 X (방향)</t>
  </si>
  <si>
    <t>FRONT CONE 일체형</t>
  </si>
  <si>
    <t>FRONT CONE 체결형</t>
  </si>
  <si>
    <t>히팅 싱크 구형 (일본 사용)</t>
  </si>
  <si>
    <t>히팅 싱크 신형</t>
  </si>
  <si>
    <t>쿨링팬</t>
  </si>
  <si>
    <t>방열 팬 구형 (일본 사용)</t>
  </si>
  <si>
    <t>1204KL-01W-B10 5V 0.1A</t>
  </si>
  <si>
    <t>직구</t>
  </si>
  <si>
    <t>방열 팬 신형</t>
  </si>
  <si>
    <t>HBD0401005SEM 5V 0.15A</t>
  </si>
  <si>
    <t>써멀패드</t>
  </si>
  <si>
    <t>히팅 패드</t>
  </si>
  <si>
    <t>페라이트</t>
  </si>
  <si>
    <t>큰 페라이트</t>
  </si>
  <si>
    <t>ZCAT-1730-0730</t>
  </si>
  <si>
    <t>작은 페라이트</t>
  </si>
  <si>
    <t>ZCAT-1325-0530</t>
  </si>
  <si>
    <t>동글</t>
  </si>
  <si>
    <t>TP-LINK (WAN1000M)-동글</t>
  </si>
  <si>
    <t>ip TIME 무선 랜카드 [N100UM]</t>
  </si>
  <si>
    <t>ELECOM WIFI (10DR)</t>
  </si>
  <si>
    <t>WDC-150SU2M</t>
  </si>
  <si>
    <t>일본 지사</t>
  </si>
  <si>
    <t>USB</t>
  </si>
  <si>
    <t>USB 메모리</t>
  </si>
  <si>
    <t>16GB</t>
  </si>
  <si>
    <t>클립</t>
  </si>
  <si>
    <t>Q 클립</t>
  </si>
  <si>
    <t>L 클립</t>
  </si>
  <si>
    <t>실리콘</t>
  </si>
  <si>
    <t>HAND GUIDE</t>
  </si>
  <si>
    <t>HAND STRAP -손잡이(터치펜)(유럽용)</t>
  </si>
  <si>
    <t>인조 가죽, AL(Cr도금), SUS Φ2.0</t>
  </si>
  <si>
    <t>HAND STRAP -손잡이(터치펜)</t>
  </si>
  <si>
    <t>ADX6000S</t>
  </si>
  <si>
    <t>CON BD</t>
  </si>
  <si>
    <t>V2.0.1</t>
  </si>
  <si>
    <t>LCD B/D</t>
  </si>
  <si>
    <t>ETC CARRIER BD</t>
  </si>
  <si>
    <t>IEC-1000</t>
  </si>
  <si>
    <t>ETC FRONT BD</t>
  </si>
  <si>
    <t>리모콘 포트 수정 신형 얇은 것</t>
  </si>
  <si>
    <t>Power Switch B/D</t>
  </si>
  <si>
    <t>관전류 B/D</t>
  </si>
  <si>
    <t>Battery Bridge B/D</t>
  </si>
  <si>
    <t>Battery Connect B/D</t>
  </si>
  <si>
    <t>Cradle B/D</t>
  </si>
  <si>
    <t>ADX4000W, ADX6000</t>
  </si>
  <si>
    <t>스피커 2핀</t>
  </si>
  <si>
    <t>12505HS-02+SORDER 200mm</t>
  </si>
  <si>
    <t>12505HS-06, 12505HS-04, 12505HS-03, 12505HS-02 CTR, CURRENT, FRONT, PC BD연결 / 180mm, 140mm, 200mm</t>
  </si>
  <si>
    <t>12505HS-04, USB-105 PC, FRONT BD 연결 / 70mm</t>
  </si>
  <si>
    <t>Power&amp;Exp Connector 12핀 / 160mm, 70mm</t>
  </si>
  <si>
    <t>컬리메이터 LED 2핀 / 300mm</t>
  </si>
  <si>
    <t>하네스 6번</t>
  </si>
  <si>
    <t>SMH250-02 PC 전원 케이블 / 130mm</t>
  </si>
  <si>
    <t>DF19G-20S-1C(0.5) (2EA) LVDS 케이블 / 160mm 힌지 작업시 발주</t>
  </si>
  <si>
    <t>하네스 9-1번</t>
  </si>
  <si>
    <t>12505HS-03 Carrier Mini BD 케이블 / 100mm (한쪽만 커넥터)</t>
  </si>
  <si>
    <t>하네스 10번</t>
  </si>
  <si>
    <t>CHW0640-03, 1205HS-03 PC, CTR BD 연결 / 130mm</t>
  </si>
  <si>
    <t>Battery BD 02 [4핀,2핀,Dual] 탈착, 외부 BAT BD 연결 / 90mm, 80mm</t>
  </si>
  <si>
    <t>하네스 14번</t>
  </si>
  <si>
    <t>FFC Cable 40핀 / 50mm - 사용안함</t>
  </si>
  <si>
    <t>Battery BD 01 Wire Harness (2핀)</t>
  </si>
  <si>
    <t>80mm</t>
  </si>
  <si>
    <t>4.3" LCD (신형)</t>
  </si>
  <si>
    <t>에이치앤에스</t>
  </si>
  <si>
    <t>MODULE</t>
  </si>
  <si>
    <t>4.3" Module (신형)</t>
  </si>
  <si>
    <t>컬리메이터 TOP 사출</t>
  </si>
  <si>
    <t>ABS 난연 화이트 + 스프레이</t>
  </si>
  <si>
    <t>컬리메이터 BOTTOM 사출</t>
  </si>
  <si>
    <t>컬리메이터 FRONT 사출</t>
  </si>
  <si>
    <t>ABS 난연 화이트 + 스프레이(블랙무광)</t>
  </si>
  <si>
    <t>일체형 컬리메이터</t>
  </si>
  <si>
    <t>LCD Cover 사출</t>
  </si>
  <si>
    <t>ABS 난연 화이트+ 색바랜 노란색 398</t>
  </si>
  <si>
    <t xml:space="preserve">LCD Inner Cover 사출 </t>
  </si>
  <si>
    <t>LCD 힌지 사출 커버 TOP</t>
  </si>
  <si>
    <t>LCD 힌지 사출 커버 BOTTOM</t>
  </si>
  <si>
    <t>LCD 사출 나사 커버</t>
  </si>
  <si>
    <t>Main PC 거치대 사출</t>
  </si>
  <si>
    <t>BODY LEFT 사출</t>
  </si>
  <si>
    <t>BODY LEFT 사출 배터리 커버</t>
  </si>
  <si>
    <t>BODY RIGHT 사출</t>
  </si>
  <si>
    <t>HANDLE LEFT 사출</t>
  </si>
  <si>
    <t>HANDLE RIGHT 사출</t>
  </si>
  <si>
    <t>CRADLE TOP 사출</t>
  </si>
  <si>
    <t>CRADLE BOTTOM 사출</t>
  </si>
  <si>
    <t>ABS 난연 화이트 + 스프레이 블랙</t>
  </si>
  <si>
    <t>CRADLE LED Guide 사출</t>
  </si>
  <si>
    <t>리모콘 포트 가이드</t>
  </si>
  <si>
    <t>Power Button 사출</t>
  </si>
  <si>
    <t>스모그 투명 아크릴</t>
  </si>
  <si>
    <t>Black Deco Guide</t>
  </si>
  <si>
    <t>EX Button 사출</t>
  </si>
  <si>
    <t>LCD 아크릴 가이드</t>
  </si>
  <si>
    <t>아크릴최가</t>
  </si>
  <si>
    <t>아크릴 투명 십자 panel</t>
  </si>
  <si>
    <t>아크릴 + 실크 인쇄</t>
  </si>
  <si>
    <t>LCD HINGE</t>
  </si>
  <si>
    <t>가공</t>
  </si>
  <si>
    <t>디엔케이시스템</t>
  </si>
  <si>
    <t>Base Block</t>
  </si>
  <si>
    <t>AL 가공 + 흑색 아노다이징</t>
  </si>
  <si>
    <t>제이케이시스템</t>
  </si>
  <si>
    <t>Bottom Block</t>
  </si>
  <si>
    <t>알루미늄 브라켓 6 hole</t>
  </si>
  <si>
    <t>AL 가공 + 백색 아노다이징</t>
  </si>
  <si>
    <t>SUS</t>
  </si>
  <si>
    <t>손잡이 핀</t>
  </si>
  <si>
    <t>중간 페라이트 코어</t>
  </si>
  <si>
    <t>ZCAT 1518-0730</t>
  </si>
  <si>
    <t>스티커</t>
  </si>
  <si>
    <t>LCD 배젤 스티커</t>
  </si>
  <si>
    <t>그라피아스크린</t>
  </si>
  <si>
    <t>Front Port Sticker</t>
  </si>
  <si>
    <t>리모콘 포트 수정 신형</t>
  </si>
  <si>
    <t>LCD 힌지 가죽 커버</t>
  </si>
  <si>
    <t>가죽 손잡이 (탈착배터리 터치펜 X)</t>
  </si>
  <si>
    <t>배터리</t>
  </si>
  <si>
    <t>기본 배터리</t>
  </si>
  <si>
    <t>PF435060HP</t>
  </si>
  <si>
    <t>비앤테크</t>
  </si>
  <si>
    <t>내부 배터리</t>
  </si>
  <si>
    <t>PF605060HP</t>
  </si>
  <si>
    <t>외부 배터리</t>
  </si>
  <si>
    <t>소형 외부배터리</t>
  </si>
  <si>
    <t>LIP1902A 18.5V 5S 50C 2100mAh</t>
  </si>
  <si>
    <t>LIP1902A_5035127SH25</t>
  </si>
  <si>
    <t>CORD</t>
  </si>
  <si>
    <t>2구 AC코드 C타입</t>
  </si>
  <si>
    <t>220V</t>
  </si>
  <si>
    <t>브리지파워</t>
  </si>
  <si>
    <t>2구 AC코드 A타입</t>
  </si>
  <si>
    <t>일본용, 110V</t>
  </si>
  <si>
    <t>3구 접지 AC 코드</t>
  </si>
  <si>
    <t>유럽용, 220V</t>
  </si>
  <si>
    <t>3구 접지 AC 코드 A타입</t>
  </si>
  <si>
    <t>3구 접지 AC코드 B타입</t>
  </si>
  <si>
    <t>미국용</t>
  </si>
  <si>
    <t>3구 접지 AC코드 I타입</t>
  </si>
  <si>
    <t>호주, 중국 공용</t>
  </si>
  <si>
    <t>3구 접지 AC코드 G타입</t>
  </si>
  <si>
    <t>영국용</t>
  </si>
  <si>
    <t>ADAPTER</t>
  </si>
  <si>
    <t>2구 충전기</t>
  </si>
  <si>
    <t>BPL910S16N01, 220V</t>
  </si>
  <si>
    <t>3구 충전기</t>
  </si>
  <si>
    <t>BPL910S16F01, (미국, 호주 공용)</t>
  </si>
  <si>
    <t>20.7V 1.7A 충전기</t>
  </si>
  <si>
    <t>5S 어댑터</t>
  </si>
  <si>
    <t>25.2V 1.7A 충전기</t>
  </si>
  <si>
    <t>6S 어댑터 (중국용)</t>
  </si>
  <si>
    <t>15V 1.0A 충전기</t>
  </si>
  <si>
    <t>110V</t>
  </si>
  <si>
    <t>충전 변환 젠더</t>
  </si>
  <si>
    <t>외부배터리 충전용 잭</t>
  </si>
  <si>
    <t>배터리 충전기</t>
  </si>
  <si>
    <t>거치대</t>
  </si>
  <si>
    <t>D-910</t>
  </si>
  <si>
    <t>외부 배터리 와이어 케이블</t>
  </si>
  <si>
    <t>USB 2.0 CABLE</t>
  </si>
  <si>
    <t>U-30136, 3m</t>
  </si>
  <si>
    <t>유그린</t>
  </si>
  <si>
    <t>PMM369-0200, 2m</t>
  </si>
  <si>
    <t>강원전자</t>
  </si>
  <si>
    <t>PMM369-0100, 1m</t>
  </si>
  <si>
    <t>PC Link Cable</t>
  </si>
  <si>
    <t>외부 배터리 쪽 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</si>
  <si>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</si>
  <si>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</si>
  <si>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</si>
  <si>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</si>
  <si>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</si>
  <si>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</si>
  <si>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</si>
  <si>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</si>
  <si>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수프림</t>
  </si>
  <si>
    <t>FDXD-810 센서 가방 (뱅가드)</t>
  </si>
  <si>
    <t>PU FOAM</t>
  </si>
  <si>
    <t>계란판</t>
  </si>
  <si>
    <t>COCOON, ADX6000</t>
  </si>
  <si>
    <t>가방 내부 폼</t>
  </si>
  <si>
    <t>15cm cone</t>
  </si>
  <si>
    <t>20cm cone용, 20 * 80</t>
  </si>
  <si>
    <t>20cm cone용, 40 * 60</t>
  </si>
  <si>
    <t>가방 내부 폼 상판</t>
  </si>
  <si>
    <t>18cm</t>
  </si>
  <si>
    <t>가방 내부 폼 하판</t>
  </si>
  <si>
    <t>20cm</t>
  </si>
  <si>
    <t>ADX6000FB</t>
  </si>
  <si>
    <t>가방 내부 폼 상판 (신형)</t>
  </si>
  <si>
    <t>가방 내부 폼 중간판 (신형)</t>
  </si>
  <si>
    <t>가방 내부 폼 하판 (신형)</t>
  </si>
  <si>
    <t>가방 내장재</t>
  </si>
  <si>
    <t>47 * 36.5 * 2.5T</t>
  </si>
  <si>
    <t>47 * 36.5 * 5.5T</t>
  </si>
  <si>
    <t>47 * 36.5 * 7.5T</t>
  </si>
  <si>
    <t>센서 내장재 상단</t>
  </si>
  <si>
    <t xml:space="preserve">   </t>
  </si>
  <si>
    <t>센서 내장재 중간</t>
  </si>
  <si>
    <t>45 * 55.5 * 2T, 접착 X</t>
  </si>
  <si>
    <t>센서 내장재 하단</t>
  </si>
  <si>
    <t>45 * 55.5 * 8T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</si>
  <si>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</si>
  <si>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</si>
  <si>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</si>
  <si>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</si>
  <si>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</si>
  <si>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</si>
  <si>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</si>
  <si>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230 * 920 * 30T</t>
  </si>
  <si>
    <t>BOX</t>
  </si>
  <si>
    <t>카톤 박스</t>
  </si>
  <si>
    <t>495 * 472 * 380</t>
  </si>
  <si>
    <t>대성칼라</t>
  </si>
  <si>
    <t>영문 박스</t>
  </si>
  <si>
    <t>450 * 240 * 360</t>
  </si>
  <si>
    <t>500 * 460 * 520</t>
  </si>
  <si>
    <t>450 * 240 * 490</t>
  </si>
  <si>
    <t>제품박스(I/N BOX)</t>
  </si>
  <si>
    <t>KLB.K.KLB (B) 410 * 390 *180</t>
  </si>
  <si>
    <t>지성수출포장</t>
  </si>
  <si>
    <t>카톤박스(C/T BOX)</t>
  </si>
  <si>
    <t>KLB.4K (BA/W) 430 * 380 * 420</t>
  </si>
  <si>
    <t>제이디자인</t>
  </si>
  <si>
    <t>제품 박스</t>
  </si>
  <si>
    <t>저가 제품 박스 (小)</t>
  </si>
  <si>
    <t>무지 박스 1개</t>
  </si>
  <si>
    <t>450 * 260 * 510(H)mm</t>
  </si>
  <si>
    <t>박스바다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</si>
  <si>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</si>
  <si>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</si>
  <si>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</si>
  <si>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</si>
  <si>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</si>
  <si>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</si>
  <si>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Rex 구강 카메라 박스</t>
  </si>
  <si>
    <t>Rex2 센서 박스</t>
  </si>
  <si>
    <t>ADX6000 센서 무지 박스</t>
  </si>
  <si>
    <t>체스트 &amp; 베드 스탠드 박스</t>
  </si>
  <si>
    <t>1000 * 300 * 150</t>
  </si>
  <si>
    <t>스티로폼</t>
  </si>
  <si>
    <t>제품박스 상, 하 스티로폼</t>
  </si>
  <si>
    <t>60.5 * 27.5 * 3T</t>
  </si>
  <si>
    <t>제품박스 좁은 스티로폼</t>
  </si>
  <si>
    <t>42.5 * 27.5 * 3T</t>
  </si>
  <si>
    <t>제품박스 넒은 스티로폼</t>
  </si>
  <si>
    <t>42.5 * 55 * 3.5T</t>
  </si>
  <si>
    <t>DR Tech 센서 상, 하 스티로폼</t>
  </si>
  <si>
    <t>45.5 * 42 * 3T</t>
  </si>
  <si>
    <t>내부폼</t>
  </si>
  <si>
    <t>내부폼 (가교 PAD) SET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</si>
  <si>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</si>
  <si>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</si>
  <si>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</si>
  <si>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</si>
  <si>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</si>
  <si>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</si>
  <si>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</si>
  <si>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</si>
  <si>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</si>
  <si>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</si>
  <si>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JD010411-01</t>
  </si>
  <si>
    <t>저가 박스  에어셀 ACC</t>
  </si>
  <si>
    <t>JD010412-01</t>
  </si>
  <si>
    <t>넥스트랩</t>
  </si>
  <si>
    <t>넥스트 랩</t>
  </si>
  <si>
    <t>포켓</t>
  </si>
  <si>
    <t>피엔에스</t>
  </si>
  <si>
    <t>포켓 구형</t>
  </si>
  <si>
    <t>씨티무역</t>
  </si>
  <si>
    <t>포켓 X</t>
  </si>
  <si>
    <t>숄더스트랩</t>
  </si>
  <si>
    <t>제품 어깨끈</t>
  </si>
  <si>
    <t>구형</t>
  </si>
  <si>
    <t>가방끈</t>
  </si>
  <si>
    <t>일본용</t>
  </si>
  <si>
    <t>스트랩</t>
  </si>
  <si>
    <t>DX3000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</si>
  <si>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</si>
  <si>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</si>
  <si>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</si>
  <si>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</si>
  <si>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</si>
  <si>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</si>
  <si>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</si>
  <si>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</si>
  <si>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</si>
  <si>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</si>
  <si>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정사각형, 215 * 205mm</t>
  </si>
  <si>
    <t xml:space="preserve">연아크릴 실리콘 오링 </t>
  </si>
  <si>
    <t xml:space="preserve">DX3000 </t>
  </si>
  <si>
    <t>AL 스티커</t>
  </si>
  <si>
    <t>IRay D3 NAME PLATE</t>
  </si>
  <si>
    <t>에덴상공사</t>
  </si>
  <si>
    <t>NAME PLATE</t>
  </si>
  <si>
    <t>우루과이 NAME PLATE</t>
  </si>
  <si>
    <t>ADX6000 NAME PLATE</t>
  </si>
  <si>
    <t>IRay A6 NAME PLATE</t>
  </si>
  <si>
    <t>IRay A6S NAME PLATE</t>
  </si>
  <si>
    <t>DEXCOWIN NAME PLATE</t>
  </si>
  <si>
    <t>FDXD-810 디텍터용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</si>
  <si>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</si>
  <si>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</si>
  <si>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</si>
  <si>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</si>
  <si>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</si>
  <si>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</si>
  <si>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거광에폭시</t>
  </si>
  <si>
    <t>패드</t>
  </si>
  <si>
    <t>가온패드</t>
  </si>
  <si>
    <t>카메라</t>
  </si>
  <si>
    <t>구강 카메라</t>
  </si>
  <si>
    <t>센서 케이스</t>
  </si>
  <si>
    <t>330N 센서 케이스</t>
  </si>
  <si>
    <t>17*17 DRTECH 센서</t>
  </si>
  <si>
    <t>디알텍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</si>
  <si>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</si>
  <si>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</si>
  <si>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</si>
  <si>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</si>
  <si>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</si>
  <si>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</si>
  <si>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</si>
  <si>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</si>
  <si>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</si>
  <si>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CMOS 센서 (#1)</t>
  </si>
  <si>
    <t>EV71JU215A-C-00B1</t>
  </si>
  <si>
    <t>E2V</t>
  </si>
  <si>
    <t>CMOS 센서 (#2)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</si>
  <si>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</si>
  <si>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</si>
  <si>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</si>
  <si>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</si>
  <si>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</si>
  <si>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</si>
  <si>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</si>
  <si>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</si>
  <si>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ABS</t>
  </si>
  <si>
    <t>공 CD</t>
  </si>
  <si>
    <t>터치 팬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</si>
  <si>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</si>
  <si>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</si>
  <si>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</si>
  <si>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</si>
  <si>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</si>
  <si>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</si>
  <si>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</si>
  <si>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</si>
  <si>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</si>
  <si>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은색</t>
  </si>
  <si>
    <t>스탠드홀드(신형)</t>
  </si>
  <si>
    <t>흰색</t>
  </si>
  <si>
    <t>배터리 거치대 사출 SETS</t>
  </si>
  <si>
    <t>다성 ENG</t>
  </si>
  <si>
    <t>배터리 거치대용 신주핀</t>
  </si>
  <si>
    <t>스탠드 브라켓 조인트 셋트</t>
  </si>
  <si>
    <t>스탠드 브라켓 족의학용</t>
  </si>
  <si>
    <t>국내용 스탠드 브라켓 1. BLOCK</t>
  </si>
  <si>
    <t>국내용 스탠드 브라켓 2. ARM</t>
  </si>
  <si>
    <t>국내용 스탠드 브라켓 3. TILT BODY</t>
  </si>
  <si>
    <t>국내용 스탠드 브라켓 4. BASE</t>
  </si>
  <si>
    <t>국내용 스탠드 브라켓 5. SHAFT</t>
  </si>
  <si>
    <t>국내용 스탠드 브라켓 6. PUSH PLATE</t>
  </si>
  <si>
    <t>국내용 스탠드 브라켓 7. EASY LOCK PLATE</t>
  </si>
  <si>
    <t>국내용 스탠드 브라켓 8. MOUNT</t>
  </si>
  <si>
    <t>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</si>
  <si>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</si>
  <si>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</si>
  <si>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</si>
  <si>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</si>
  <si>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</si>
  <si>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사각 줄자 가이드</t>
  </si>
  <si>
    <t>완제품</t>
  </si>
  <si>
    <t>AlmyT STAND BODY SET</t>
  </si>
  <si>
    <t>AlmyT STAND ACC SET</t>
  </si>
  <si>
    <t>체스트 &amp; 베드 스탠드</t>
  </si>
  <si>
    <t>로움텍</t>
  </si>
  <si>
    <t>체스트 &amp; 베드 암 파이프</t>
  </si>
  <si>
    <t>체스트 &amp; 베드 조인트 암</t>
  </si>
  <si>
    <t>체스트 &amp; 베드 픽스 블럭 A, B (육각 렌치 3, 5)</t>
  </si>
  <si>
    <t>접이식 스탠드 SET</t>
  </si>
  <si>
    <t>정형외과용</t>
  </si>
  <si>
    <t>유선리모콘</t>
  </si>
  <si>
    <t>REMOTE CONTROL</t>
  </si>
  <si>
    <t>RW20, 3m  + 샘플 1EA</t>
  </si>
  <si>
    <t>FOOT SWITCH</t>
  </si>
  <si>
    <t>스위치</t>
  </si>
  <si>
    <t>리드스위치</t>
  </si>
  <si>
    <t>쉴드 오링</t>
  </si>
  <si>
    <t>AN-036, 60∮</t>
  </si>
  <si>
    <t>라벨</t>
  </si>
  <si>
    <t>OS라이센서 라벨</t>
  </si>
  <si>
    <t>Windows Embedded Standard 7 "E"</t>
  </si>
  <si>
    <t>실리콘 캡</t>
  </si>
  <si>
    <t>LSR 투명 실리콘</t>
  </si>
  <si>
    <t>가연테크</t>
  </si>
  <si>
    <t>Battery Pack</t>
  </si>
  <si>
    <t xml:space="preserve">사급자재 </t>
  </si>
  <si>
    <t>Battery Case</t>
  </si>
  <si>
    <t>배터리 내부 단자</t>
  </si>
  <si>
    <t>구형 고압보드</t>
  </si>
  <si>
    <t>구형 8핀 보드</t>
  </si>
  <si>
    <t>SPF01-15</t>
  </si>
  <si>
    <t>고압용 칩 세라믹 콘덴서</t>
  </si>
  <si>
    <t>2220J6K00222KXT</t>
  </si>
  <si>
    <t>세라믹 튜브 하우징 파이프</t>
  </si>
  <si>
    <t>내부 케이스</t>
  </si>
  <si>
    <t>고압 격벽</t>
  </si>
  <si>
    <t>에이밍 필터</t>
  </si>
  <si>
    <t>0.5T * Φ40 에이밍 은경 추가 필터</t>
  </si>
  <si>
    <t xml:space="preserve">CTR B/D (ST용) </t>
  </si>
  <si>
    <t>CTR B/D (구형)</t>
  </si>
  <si>
    <t>뉴퓨처</t>
  </si>
  <si>
    <t>EX B/D (원버턴)</t>
  </si>
  <si>
    <t>FFC 10핀</t>
  </si>
  <si>
    <t>하네스 3-1번</t>
  </si>
  <si>
    <t>FFC CABLE 1mm*30P*200*A CTR BD*OP BD FFC CABLE (같은 방향) (구형, 신형)</t>
  </si>
  <si>
    <t>하네스 12번</t>
  </si>
  <si>
    <t>FLAT 30P 2.0mm, L=205mm, 1:1 CTR BD * OP BD 연결 30핀</t>
  </si>
  <si>
    <t>하네스 7-1번</t>
  </si>
  <si>
    <t>12505HS-05 70mm OP BD+TOUCH BD 5핀</t>
  </si>
  <si>
    <t>INNER USB B/D</t>
  </si>
  <si>
    <t>Carrier B/D (구형 KONTRON)</t>
  </si>
  <si>
    <t>Carrier B/D (신형 DFI)</t>
  </si>
  <si>
    <t>ETC CARRIER MINI BD</t>
  </si>
  <si>
    <t>Front Micro B/D</t>
  </si>
  <si>
    <t>Front Connector B/D</t>
  </si>
  <si>
    <t xml:space="preserve">ETC FRONT BD </t>
  </si>
  <si>
    <t>컬리메이터 LED B/D</t>
  </si>
  <si>
    <t>신형 LED 작은것</t>
  </si>
  <si>
    <t>신형 LED, 밝기 수정</t>
  </si>
  <si>
    <t>ETC EX BATTERY BD</t>
  </si>
  <si>
    <t>ETC RESIST BD</t>
  </si>
  <si>
    <t>ETC CAP BANK BD</t>
  </si>
  <si>
    <t>LED DRIVER B/D</t>
  </si>
  <si>
    <t>V1.0.0</t>
  </si>
  <si>
    <t>DRTech FDXD-810, FLAATZ-N330 CTR Battery B/D</t>
  </si>
  <si>
    <t>FFC (16핀)</t>
  </si>
  <si>
    <t>82mm</t>
  </si>
  <si>
    <t>YH396-04V - 2EA CAP BANK 케이블 / 120mm</t>
  </si>
  <si>
    <t>하네스 9번</t>
  </si>
  <si>
    <t>12505HS-03 Carrier Mini BD 케이블 / 100mm</t>
  </si>
  <si>
    <t>YH396-04V - 1EA 외부단자 케이블 / 200mm</t>
  </si>
  <si>
    <t>하네스 13번</t>
  </si>
  <si>
    <t>DC Connector Cable 외부배터리 케이블 / 360mm</t>
  </si>
  <si>
    <t>USB Connector Wire Harness (4핀)</t>
  </si>
  <si>
    <t>100mm</t>
  </si>
  <si>
    <t>Front USB Wire Harness (4핀)</t>
  </si>
  <si>
    <t>RS422 통신 Wire Harness (6핀)</t>
  </si>
  <si>
    <t>120mm</t>
  </si>
  <si>
    <t>PC Connector Wire Harness (7핀)</t>
  </si>
  <si>
    <t>100mm, 140mm, 200mm</t>
  </si>
  <si>
    <t>4.3" LCD</t>
  </si>
  <si>
    <t>IEC266lite-43, OS 영문</t>
  </si>
  <si>
    <t>4.3" Module</t>
  </si>
  <si>
    <t>컬리메이터 REAR 사출</t>
  </si>
  <si>
    <t>컬리메이터 내부하우징 사출</t>
  </si>
  <si>
    <t>컬리메이터 내부브릿지 사출</t>
  </si>
  <si>
    <t>컬리메이터 MIRROR 거치대 사출</t>
  </si>
  <si>
    <t>ABS 난연 화이트 + 스프레이  블랙</t>
  </si>
  <si>
    <t>Micro USB 사출 가이드</t>
  </si>
  <si>
    <t>아크릴 + 불량42</t>
  </si>
  <si>
    <t>AL + STEEL</t>
  </si>
  <si>
    <t>스킨가드 FRAME</t>
  </si>
  <si>
    <t>스킨가드 BODY</t>
  </si>
  <si>
    <t>벨크로, AL 가공</t>
  </si>
  <si>
    <t>스킨가드 구형</t>
  </si>
  <si>
    <t>Top Block</t>
  </si>
  <si>
    <t>알루미늄 브라켓 4 hole</t>
  </si>
  <si>
    <t>컬리메이터 LED 알루미늄 가이드</t>
  </si>
  <si>
    <t>외부전원 연결 DC잭 고무링</t>
  </si>
  <si>
    <t>외부전원 연결 DC잭 너트</t>
  </si>
  <si>
    <t>USB 포트 제거형</t>
  </si>
  <si>
    <t>가죽 손잡이 (탈착배터리 터치펜 O)</t>
  </si>
  <si>
    <t>가죽 손잡이 (외부배터리)</t>
  </si>
  <si>
    <t xml:space="preserve">BODY LEFT 사출(외부배터리 사출커팅) </t>
  </si>
  <si>
    <t>ABS 난연 화이트 + 스프레이 AS용</t>
  </si>
  <si>
    <t>BODY RIGHT 사출(외부배터리용)</t>
  </si>
  <si>
    <t>재공품</t>
  </si>
  <si>
    <t>RIGHT Ass'y</t>
  </si>
  <si>
    <t xml:space="preserve"> </t>
  </si>
  <si>
    <t>덱스코윈</t>
  </si>
  <si>
    <t>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</si>
  <si>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</si>
  <si>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</si>
  <si>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</si>
  <si>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</si>
  <si>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</si>
  <si>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</si>
  <si>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</si>
  <si>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</si>
  <si>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</si>
  <si>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</si>
  <si>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</si>
  <si>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</si>
  <si>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</si>
  <si>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</si>
  <si>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</si>
  <si>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</si>
  <si>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</si>
  <si>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</si>
  <si>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05월 자재 재고현황</t>
  </si>
  <si>
    <t>매칭 확정 품명</t>
  </si>
  <si>
    <t>MES_code</t>
  </si>
  <si>
    <t>7-TR-0001</t>
  </si>
  <si>
    <t>7-TR-0002</t>
  </si>
  <si>
    <t>7-TR-0003</t>
  </si>
  <si>
    <t>애노드 (70kV)</t>
  </si>
  <si>
    <t>7-TR-0005</t>
  </si>
  <si>
    <t>포커서 (70kV)</t>
  </si>
  <si>
    <t>7-TR-0006</t>
  </si>
  <si>
    <t>세라믹 바디 (70kV)</t>
  </si>
  <si>
    <t>7-TR-0007</t>
  </si>
  <si>
    <t>세라믹 스템 (70kV)</t>
  </si>
  <si>
    <t>7-TR-0008</t>
  </si>
  <si>
    <t>필러 (70kV)</t>
  </si>
  <si>
    <t>7-TR-0009</t>
  </si>
  <si>
    <t>전극 필러 (70kV)</t>
  </si>
  <si>
    <t>7-TR-0010</t>
  </si>
  <si>
    <t>7-TR-0004</t>
  </si>
  <si>
    <t>텅스텐 필라멘트 [DXDR-100]</t>
  </si>
  <si>
    <t>9-TR-0018</t>
  </si>
  <si>
    <t>애노드 (100kV)</t>
  </si>
  <si>
    <t>9-TR-0011</t>
  </si>
  <si>
    <t>9-TR-0012</t>
  </si>
  <si>
    <t>포커서 (100kV)</t>
  </si>
  <si>
    <t>9-TR-0013</t>
  </si>
  <si>
    <t>세라믹 바디 (100kV)</t>
  </si>
  <si>
    <t>9-TR-0014</t>
  </si>
  <si>
    <t>9-TR-0015</t>
  </si>
  <si>
    <t>필러 (100kV)</t>
  </si>
  <si>
    <t>9-TR-0016</t>
  </si>
  <si>
    <t>전극 필러 (100kV)</t>
  </si>
  <si>
    <t>9-TR-0017</t>
  </si>
  <si>
    <t>캐논튜브 [ D-081B ] _ 60KV</t>
  </si>
  <si>
    <t>34-HR-0001</t>
  </si>
  <si>
    <t>캐논튜브 [ D-041 ] _ 70KV</t>
  </si>
  <si>
    <t>78-HR-0002</t>
  </si>
  <si>
    <t>세라믹튜브 [DXDR-070] _ 70KV</t>
  </si>
  <si>
    <t>3468-HR-0004</t>
  </si>
  <si>
    <t>캐논튜브 [ D-0813 ] _ 80KV</t>
  </si>
  <si>
    <t>6-HR-0003</t>
  </si>
  <si>
    <t>CEI튜브 [OX-70] _ 90KV</t>
  </si>
  <si>
    <t>6-HR-0006</t>
  </si>
  <si>
    <t>세라믹튜브 [DXDR-100] _ 100KV</t>
  </si>
  <si>
    <t>6-HR-0005</t>
  </si>
  <si>
    <t>베이클라이트 하우징 파이프 [DX3000, ADX4000W, ADX6000]</t>
  </si>
  <si>
    <t>346-HR-0047</t>
  </si>
  <si>
    <t>70KV 튜브 하우징용 파이프 [COCOON, SOLO]</t>
  </si>
  <si>
    <t>78-HR-0048</t>
  </si>
  <si>
    <t>D-041 하우징용 파이프 [SOLO]</t>
  </si>
  <si>
    <t>8-HR-0050</t>
  </si>
  <si>
    <t>COCOON, SOLO</t>
  </si>
  <si>
    <t>70kV 튜브 하우징 파이프</t>
  </si>
  <si>
    <t>네온램프(NEON-5T)</t>
  </si>
  <si>
    <t>347-HR-0008</t>
  </si>
  <si>
    <t>고압다이오드 2CL77 [20KV, 5mA]</t>
  </si>
  <si>
    <t>34-HR-0007</t>
  </si>
  <si>
    <t>DL1500(다이오드)</t>
  </si>
  <si>
    <t>346-HR-0016</t>
  </si>
  <si>
    <t>DD1800 (신규 다이오드)</t>
  </si>
  <si>
    <t>7-HR-0022</t>
  </si>
  <si>
    <t>고압용 (15㏀±1％, DIP) - 1/4W</t>
  </si>
  <si>
    <t>346-HR-0011</t>
  </si>
  <si>
    <t>고압용 (30㏀)</t>
  </si>
  <si>
    <t>34-HR-0010</t>
  </si>
  <si>
    <t>고압용 (500Ω±1％, DIP) - 1/4W</t>
  </si>
  <si>
    <t>6-HR-0012</t>
  </si>
  <si>
    <t>RK92-11XD307J (시멘트 저항)</t>
  </si>
  <si>
    <t>346-HR-0009</t>
  </si>
  <si>
    <t>RK92-18XD 307J 시멘트저항 긴 것</t>
  </si>
  <si>
    <t>7-HR-0018</t>
  </si>
  <si>
    <t>3467-HR-0017</t>
  </si>
  <si>
    <t>3216B 100nF (1롤당 재고 4,000)</t>
  </si>
  <si>
    <t>3216 B 100nF</t>
  </si>
  <si>
    <t>346-HR-0015</t>
  </si>
  <si>
    <t>F103Z 고압용 세라믹 콘덴서</t>
  </si>
  <si>
    <t>고압용(세라믹103)</t>
  </si>
  <si>
    <t>346-HR-0013</t>
  </si>
  <si>
    <t>DHR4E4C102K2FB 큰 콘덴서</t>
  </si>
  <si>
    <t>34-HR-0014</t>
  </si>
  <si>
    <t>680pF DHR4E4C681K2BB 무라타 작은 콘덴서</t>
  </si>
  <si>
    <t>67-HR-0019</t>
  </si>
  <si>
    <t>세라믹 작은 콘덴서 Vishay (HVCC203Y6P681MCAX) [COCOON, ADX6000]</t>
  </si>
  <si>
    <t>67-HR-0052</t>
  </si>
  <si>
    <t>LNTK103FW 온도센서</t>
  </si>
  <si>
    <t>7-HR-0020</t>
  </si>
  <si>
    <t>트랜스포머 [DX3000, ADX4000W]</t>
  </si>
  <si>
    <t>34-HR-0028</t>
  </si>
  <si>
    <t>트랜스포머 [COCOON]</t>
  </si>
  <si>
    <t>7-HR-0029</t>
  </si>
  <si>
    <t>트랜스포머 [ADX6000]</t>
  </si>
  <si>
    <t>6-HR-0031</t>
  </si>
  <si>
    <t>트랜스포머 [SOLO]</t>
  </si>
  <si>
    <t>8-HR-0030</t>
  </si>
  <si>
    <t>T 코어 (히터트랜스용) [DX3000, ADX4000W]</t>
  </si>
  <si>
    <t>34-HR-0026</t>
  </si>
  <si>
    <t>T 코어 (히터트랜스용) [SOLO]</t>
  </si>
  <si>
    <t>8-HR-0027</t>
  </si>
  <si>
    <t>센더스트 코어 CS234060</t>
  </si>
  <si>
    <t>6-HR-0025</t>
  </si>
  <si>
    <t>TIW (외경)0.7mm(내경)0.5 5000m(히터트랜스용 선)</t>
  </si>
  <si>
    <t>346-HR-0023</t>
  </si>
  <si>
    <t>40KVDC 22AWG (히터트랜스용 붉은 고압선)</t>
  </si>
  <si>
    <t>346-HR-0024</t>
  </si>
  <si>
    <t>히터트랜스용 고압선(흰색) (DSI HV CABLE 2178) [SOLO]</t>
  </si>
  <si>
    <t>8-HR-0053</t>
  </si>
  <si>
    <t>고압베어 B/D (Ver. 2.5) [DX3000, ADX4000W]</t>
  </si>
  <si>
    <t>34-HR-0038</t>
  </si>
  <si>
    <t>70kV, 3mA (VER. 1.0.1)</t>
  </si>
  <si>
    <t>고압베어B/D (신형) (Ver. 1.0.1) [DX3000]</t>
  </si>
  <si>
    <t>3-HR-0039</t>
  </si>
  <si>
    <t>고압베어B/D [COCOON]</t>
  </si>
  <si>
    <t>7-HR-0040</t>
  </si>
  <si>
    <t>신형 (VER. 2.12)</t>
  </si>
  <si>
    <t>고압베어B/D (신형) (Ver. 2.12) [SOLO]</t>
  </si>
  <si>
    <t>7-HR-0042</t>
  </si>
  <si>
    <t>고압베어B/D (4개 1세트) [SOLO]</t>
  </si>
  <si>
    <t>8-HR-0041</t>
  </si>
  <si>
    <t>ADX6000 고압 베어보드</t>
  </si>
  <si>
    <t>6-HR-0036</t>
  </si>
  <si>
    <t>ADX6000 신형 고압 베어보드</t>
  </si>
  <si>
    <t>6-HR-0037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</si>
  <si>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</si>
  <si>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</si>
  <si>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</si>
  <si>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</si>
  <si>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</si>
  <si>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</si>
  <si>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나사 (VER. 2.12)</t>
  </si>
  <si>
    <t>에노드 튜브 고정 보드(나사) [COCOON]</t>
  </si>
  <si>
    <t>7-HR-0035</t>
  </si>
  <si>
    <t>튜브 고정 보드 에노드 (나사) [ADX6000]</t>
  </si>
  <si>
    <t>6-HR-0045</t>
  </si>
  <si>
    <t>튜브 고정 보드 케소드 (필라멘트) [ADX6000]</t>
  </si>
  <si>
    <t>6-HR-0046</t>
  </si>
  <si>
    <t>34-VR-0019</t>
  </si>
  <si>
    <t>NC 케이스 [ADX6000]</t>
  </si>
  <si>
    <t>36-VR-0022</t>
  </si>
  <si>
    <t>NC 케이스 [COCOON]</t>
  </si>
  <si>
    <t>7-VR-0020</t>
  </si>
  <si>
    <t>NC 케이스 [SOLO]</t>
  </si>
  <si>
    <t>8-VR-0023</t>
  </si>
  <si>
    <t>PE케이스 거치대 [COCOON]</t>
  </si>
  <si>
    <t>7-VR-0021</t>
  </si>
  <si>
    <t>신주 케이스 [DX3000]</t>
  </si>
  <si>
    <t>3-VR-0031</t>
  </si>
  <si>
    <t>신주 케이스 [COCOON]</t>
  </si>
  <si>
    <t>7-VR-0034</t>
  </si>
  <si>
    <t>신주 케이스 [SOLO]</t>
  </si>
  <si>
    <t>8-VR-0038</t>
  </si>
  <si>
    <t>신주 케이스 [ADX4000]</t>
  </si>
  <si>
    <t>4-VR-0033</t>
  </si>
  <si>
    <t>신주 케이스 (10P)</t>
  </si>
  <si>
    <t>신주 케이스 [ADX6000]</t>
  </si>
  <si>
    <t>6-VR-0035</t>
  </si>
  <si>
    <t>신주 케이스 뚜껑 [DX3000, ADX4000W, ADX6000]</t>
  </si>
  <si>
    <t>346-VR-0032</t>
  </si>
  <si>
    <t>신주 케이스 뚜껑 [COCOON]</t>
  </si>
  <si>
    <t>7-VR-0025</t>
  </si>
  <si>
    <t>신주 케이스 뚜껑 [SOLO]</t>
  </si>
  <si>
    <t>8-VR-0024</t>
  </si>
  <si>
    <t>방사구 [공용]</t>
  </si>
  <si>
    <t>34678-VR-0039</t>
  </si>
  <si>
    <t>방사구 (외경 탭 추가) [공용]</t>
  </si>
  <si>
    <t>346789-VR-0040</t>
  </si>
  <si>
    <t>방사구 너트 [공용]</t>
  </si>
  <si>
    <t>346789-VR-0041</t>
  </si>
  <si>
    <t>알루미늄 필터 (0.8T * Φ24)</t>
  </si>
  <si>
    <t>3478-VR-0003</t>
  </si>
  <si>
    <t>알루미늄 필터 (1.2T * Φ24)</t>
  </si>
  <si>
    <t>37-VR-0002</t>
  </si>
  <si>
    <t>알루미늄 필터 (2T * Φ24)</t>
  </si>
  <si>
    <t>69-VR-0001</t>
  </si>
  <si>
    <t>방사구 오링 (2*18)</t>
  </si>
  <si>
    <t>346789-VR-0004</t>
  </si>
  <si>
    <t>3 PIN 커넥터 [DX3000, ADX4000W]</t>
  </si>
  <si>
    <t>34-VR-0026</t>
  </si>
  <si>
    <t>4 PIN 커넥터 [DX3000, ADX4000W, COCOON, ADX6000]</t>
  </si>
  <si>
    <t>347-VR-0027</t>
  </si>
  <si>
    <t>190*88*1.6T*2L</t>
  </si>
  <si>
    <t>7핀 B/D [DX3000, ADX4000W]</t>
  </si>
  <si>
    <t>34-VR-0005</t>
  </si>
  <si>
    <t>9핀 B/D [DX3000M]</t>
  </si>
  <si>
    <t>3-VR-0009</t>
  </si>
  <si>
    <t>8핀 BD [COCOON]</t>
  </si>
  <si>
    <t>7-VR-0008</t>
  </si>
  <si>
    <t>TFT</t>
  </si>
  <si>
    <t>9핀 B/D [SOLO]</t>
  </si>
  <si>
    <t>8-VR-0010</t>
  </si>
  <si>
    <t>10핀 B/D [ADX6000]</t>
  </si>
  <si>
    <t>6-VR-0007</t>
  </si>
  <si>
    <t>CTR B/D (유럽용)_DC3D</t>
  </si>
  <si>
    <t>CTR B/D (유럽용) [DX3000]</t>
  </si>
  <si>
    <t>3-VR-0013</t>
  </si>
  <si>
    <t>CTR B/D (미국용)_D3CL</t>
  </si>
  <si>
    <t>CTR B/D (미국용) [DX3000]</t>
  </si>
  <si>
    <t>3-VR-0014</t>
  </si>
  <si>
    <t>CTR B/D (TFT용)_D3CT</t>
  </si>
  <si>
    <t>CTR B/D [DX3000M]</t>
  </si>
  <si>
    <t>3-VR-0012</t>
  </si>
  <si>
    <t>DX3000 LCD BD</t>
  </si>
  <si>
    <t>3-AR-0035</t>
  </si>
  <si>
    <t>DX3000 TFT LCD BD</t>
  </si>
  <si>
    <t>3-AR-0037</t>
  </si>
  <si>
    <t>DX3000 LCD BD (사파리) -원버턴타입</t>
  </si>
  <si>
    <t>3-AR-0036</t>
  </si>
  <si>
    <t>DX3000 OLED BD (듀얼 슬라이드)</t>
  </si>
  <si>
    <t>3-AR-0309</t>
  </si>
  <si>
    <t>DX3000 EX BD (듀얼) - 왼쪽</t>
  </si>
  <si>
    <t>3-AR-0032</t>
  </si>
  <si>
    <t>DX3000 EX BD (듀얼) - 오른쪽</t>
  </si>
  <si>
    <t>3-AR-0033</t>
  </si>
  <si>
    <t>DX3000 EX BD (원버턴) - 사파리</t>
  </si>
  <si>
    <t>3-AR-0034</t>
  </si>
  <si>
    <t>DX3000 RELAY 쪽보드</t>
  </si>
  <si>
    <t>3-AR-0310</t>
  </si>
  <si>
    <t>DX3000 LED DRIVE BD V3.0.1 (TFT CTR BD용)</t>
  </si>
  <si>
    <t>3-AR-0038</t>
  </si>
  <si>
    <t>DX3000 2.35" LCD 판넬</t>
  </si>
  <si>
    <t>3-AR-0001</t>
  </si>
  <si>
    <t>DX3000, SOLO 2.4" TFT LCD 판넬</t>
  </si>
  <si>
    <t>38-AR-0002</t>
  </si>
  <si>
    <t>DX3000 FFC 20핀 - 하네스1</t>
  </si>
  <si>
    <t>3-AR-0030</t>
  </si>
  <si>
    <t>DX3000 후면전원 DC 잭 2핀 (YH369-02JR) 65mm [하네스 4번]</t>
  </si>
  <si>
    <t>3-AR-0311</t>
  </si>
  <si>
    <t>DX3000 EXP KEY 4핀 케이블 - 하네스5 (개당 2개씩)</t>
  </si>
  <si>
    <t>3-AR-0031</t>
  </si>
  <si>
    <t>DX3000 마그네틱보드 연결 4핀 (12505HS-04 2EA) 123mm [하네스 7번]</t>
  </si>
  <si>
    <t>3-AR-0312</t>
  </si>
  <si>
    <t>DX3000 CJ4003 JACK (관전류 짹 + 2핀케이블) - 하네스8</t>
  </si>
  <si>
    <t>3-AR-0029</t>
  </si>
  <si>
    <t>DX3000 LCD GUIDE</t>
  </si>
  <si>
    <t>3-AR-0003</t>
  </si>
  <si>
    <t>DX3000 LCD GUIDE (반투명) - 사파리 덴탈용</t>
  </si>
  <si>
    <t>3-AR-0313</t>
  </si>
  <si>
    <t>DX3000 FRONT COVER (B)</t>
  </si>
  <si>
    <t>3-AR-0007</t>
  </si>
  <si>
    <t>DX3000 FRONT COVER (W)</t>
  </si>
  <si>
    <t>3-AR-0008</t>
  </si>
  <si>
    <t>DX3000 REAR COVER (B)</t>
  </si>
  <si>
    <t>3-AR-0009</t>
  </si>
  <si>
    <t>DX3000 REAR COVER (W)</t>
  </si>
  <si>
    <t>3-AR-0010</t>
  </si>
  <si>
    <t>DX3000 배터리커버 (B)</t>
  </si>
  <si>
    <t>3-AR-0026</t>
  </si>
  <si>
    <t>ADX4000W BATTERY COVER</t>
  </si>
  <si>
    <t>DX3000 POWER BUTTON</t>
  </si>
  <si>
    <t>3-AR-0006</t>
  </si>
  <si>
    <t>DX3000 EX BUTTON (개당 두개씩)</t>
  </si>
  <si>
    <t>3-AR-0014</t>
  </si>
  <si>
    <t>DX3000 NAVI KEY</t>
  </si>
  <si>
    <t>3-AR-0004</t>
  </si>
  <si>
    <t>DX3000 데코가이드</t>
  </si>
  <si>
    <t>3-AR-0027</t>
  </si>
  <si>
    <t>DX3000 20cm CONE (B)</t>
  </si>
  <si>
    <t>3-AR-0018</t>
  </si>
  <si>
    <t>DX3000 20cm CONE (W)</t>
  </si>
  <si>
    <t>3-AR-0017</t>
  </si>
  <si>
    <t>DX3000 15cm CONE (W)</t>
  </si>
  <si>
    <t>3-AR-0019</t>
  </si>
  <si>
    <t>DX3000 X-CAP (기본)</t>
  </si>
  <si>
    <t>3-AR-0020</t>
  </si>
  <si>
    <t>DX3000, ADX4000W X-CAP 체결형 (신형)</t>
  </si>
  <si>
    <t>34-AR-0021</t>
  </si>
  <si>
    <t>DX3000M CONE 젠더</t>
  </si>
  <si>
    <t>3-AR-0317</t>
  </si>
  <si>
    <t>메디컬용 컬리메이터 콘</t>
  </si>
  <si>
    <t>메디컬용 컬리메이터 CAP</t>
  </si>
  <si>
    <t>DX3000 LCD 윈도우</t>
  </si>
  <si>
    <t>3-AR-0024</t>
  </si>
  <si>
    <t>DX3000 LCD LED</t>
  </si>
  <si>
    <t>3-AR-0011</t>
  </si>
  <si>
    <t>DX3000 POWER LED</t>
  </si>
  <si>
    <t>3-AR-0005</t>
  </si>
  <si>
    <t>DX3000 EX LED (L)</t>
  </si>
  <si>
    <t>3-AR-0012</t>
  </si>
  <si>
    <t>DX3000 EX LED (R)</t>
  </si>
  <si>
    <t>3-AR-0013</t>
  </si>
  <si>
    <t>DX3000 아크릴 투명 십자 Panel (66 x 66 mm)</t>
  </si>
  <si>
    <t>3-AR-0041</t>
  </si>
  <si>
    <t>DX3000, ADX4000W 알루미늄 필터 [63ɸ 0.8T]</t>
  </si>
  <si>
    <t>34-AR-0028</t>
  </si>
  <si>
    <t>알루미늄 필터 [63ɸ 1.5T] (일본 동물용)</t>
  </si>
  <si>
    <t>3-PR-0057</t>
  </si>
  <si>
    <t>DX3000 HAND STRAP</t>
  </si>
  <si>
    <t>3-AR-0015</t>
  </si>
  <si>
    <t>DX3000 HAND STRAP [로고 X]-사파리,이미지웍스용</t>
  </si>
  <si>
    <t>3-AR-0016</t>
  </si>
  <si>
    <t>가죽손잡이 고리 1</t>
  </si>
  <si>
    <t>DX3000,ADX4000W 가죽손잡이 고리1_ [AL(Cr도금), SUS Φ2.0]</t>
  </si>
  <si>
    <t>34-AR-0022</t>
  </si>
  <si>
    <t>가죽손잡이 고리 2</t>
  </si>
  <si>
    <t>DX3000 가죽손잡이 고리2_ [AL(Cr도금), SUS Φ2.0 ]</t>
  </si>
  <si>
    <t>3-AR-0023</t>
  </si>
  <si>
    <t>COCB</t>
  </si>
  <si>
    <t>7-NR-0002</t>
  </si>
  <si>
    <t>COCOON FET BD (+56 교체전)</t>
  </si>
  <si>
    <t>7-VR-0042</t>
  </si>
  <si>
    <t>COCOON POWER SWITCH BD (Ver 1.0.3)</t>
  </si>
  <si>
    <t>7-AR-0240</t>
  </si>
  <si>
    <t>COCOON POWER SWITCH BD (Ver 3.0.0)</t>
  </si>
  <si>
    <t>7-AR-0255</t>
  </si>
  <si>
    <t>COCOON HANDLE CONNECTOR BD</t>
  </si>
  <si>
    <t>7-AR-0241</t>
  </si>
  <si>
    <t>COCOON BATTERY BRIDGE BD</t>
  </si>
  <si>
    <t>7-AR-0242</t>
  </si>
  <si>
    <t>COCOON CRADLE BD</t>
  </si>
  <si>
    <t>7-AR-0243</t>
  </si>
  <si>
    <t>COCOON OP &amp; TOUCH BD (FFC Cable 방향 변경 전)</t>
  </si>
  <si>
    <t>7-AR-0318</t>
  </si>
  <si>
    <t>COCOON CTR BD 외부단자 2핀 (TX30(FEMALE)+YH396-02) 100mm [하네스 1번]</t>
  </si>
  <si>
    <t>7-AR-0233</t>
  </si>
  <si>
    <t>COCOON 전원 외부단자 2핀 (TX30(MALE)+DC022(2.5)) 80mm [하네스 2번]</t>
  </si>
  <si>
    <t>7-AR-0234</t>
  </si>
  <si>
    <t>COCOON 30핀 FFC CABLE 200mm [하네스 3번]</t>
  </si>
  <si>
    <t>7-AR-0235</t>
  </si>
  <si>
    <t>COCOON 스피커 2핀 12505HS-02+SORDER 50mm [하네스 4번]</t>
  </si>
  <si>
    <t>7-AR-0236</t>
  </si>
  <si>
    <t>COCOON BATTERY BRIDGE BD 4핀 (YH396-04*2EA) 150mm [하네스 5번]</t>
  </si>
  <si>
    <t>7-AR-0237</t>
  </si>
  <si>
    <t>COCOON POWER SWITCH BD 5핀 12505HS-05 120mm [하네스 7번]</t>
  </si>
  <si>
    <t>7-AR-0238</t>
  </si>
  <si>
    <t>COCOON CRADLE 신주 연결 2핀 YH396-02+SORDER 80mm [하네스 11번]</t>
  </si>
  <si>
    <t>7-AR-0239</t>
  </si>
  <si>
    <t>COCOON CTR+Power BD 2핀 (YHM025-02R) 210mm [에이밍하네스 1번]</t>
  </si>
  <si>
    <t>7-AR-0256</t>
  </si>
  <si>
    <t>COCOON LED BD 2핀 (YMH025-02R) 180mm [에이밍하네스 2번]</t>
  </si>
  <si>
    <t>7-AR-0257</t>
  </si>
  <si>
    <t>COCOON 3.1" OLED 판넬 (UG-5664ASWEF01)</t>
  </si>
  <si>
    <t>7-AR-0187</t>
  </si>
  <si>
    <t>COCOON TOP BODY (S)</t>
  </si>
  <si>
    <t>7-AR-0189</t>
  </si>
  <si>
    <t>화이트 유광</t>
  </si>
  <si>
    <t>COCOON BOTTOM BODY (B 유광)</t>
  </si>
  <si>
    <t>7-AR-0191</t>
  </si>
  <si>
    <t>COCOON OLED GUIDE 사출</t>
  </si>
  <si>
    <t>7-AR-0188</t>
  </si>
  <si>
    <t>COCOON POWER BUTTON (S)</t>
  </si>
  <si>
    <t>7-AR-0192</t>
  </si>
  <si>
    <t>COCOON BUTTON INDICATOR</t>
  </si>
  <si>
    <t>7-AR-0193</t>
  </si>
  <si>
    <t>COCOON TOUCH DUMMY</t>
  </si>
  <si>
    <t>7-AR-0194</t>
  </si>
  <si>
    <t>COCOON LOCK KNOB (S)</t>
  </si>
  <si>
    <t>7-AR-0196</t>
  </si>
  <si>
    <t>COCOON LOCK INNER (S)</t>
  </si>
  <si>
    <t>7-AR-0197</t>
  </si>
  <si>
    <t>COCOON 18cm FRONT_S (B 유광)</t>
  </si>
  <si>
    <t>7-AR-0224</t>
  </si>
  <si>
    <t>COCOON 20cm FRONT_L (B 유광)</t>
  </si>
  <si>
    <t>7-AR-0227</t>
  </si>
  <si>
    <t>COCOON FRONT CAP (B 유광)</t>
  </si>
  <si>
    <t>7-AR-0228</t>
  </si>
  <si>
    <t>사각 앞사출</t>
  </si>
  <si>
    <t>COCOON 에이밍 사각 앞 사출 (B 유광)</t>
  </si>
  <si>
    <t>7-AR-0250</t>
  </si>
  <si>
    <t>COCOON 18cm CONE GUIDE_S</t>
  </si>
  <si>
    <t>7-AR-0225</t>
  </si>
  <si>
    <t>COCOON 20cm CONE GUIDE_L</t>
  </si>
  <si>
    <t>7-AR-0226</t>
  </si>
  <si>
    <t>COCOON HAND BODY (S)</t>
  </si>
  <si>
    <t>7-AR-0198</t>
  </si>
  <si>
    <t>COCOON HAND TOP COVER (S)</t>
  </si>
  <si>
    <t>7-AR-0199</t>
  </si>
  <si>
    <t>COCOON BAT BOTTOM (B 유광)</t>
  </si>
  <si>
    <t>7-AR-0204</t>
  </si>
  <si>
    <t>CRADLE BODY</t>
  </si>
  <si>
    <t>COCOON CRADLE BODY (B)</t>
  </si>
  <si>
    <t>7-AR-0208</t>
  </si>
  <si>
    <t>COCOON CRADLE BOTTOM (B)</t>
  </si>
  <si>
    <t>7-AR-0209</t>
  </si>
  <si>
    <t>COCOON CRADLE FRAME (S)</t>
  </si>
  <si>
    <t>7-AR-0210</t>
  </si>
  <si>
    <t>COCOON SHOT BUTTON</t>
  </si>
  <si>
    <t>7-AR-0200</t>
  </si>
  <si>
    <t>COCOON SHOT PCB GUIDE</t>
  </si>
  <si>
    <t>7-AR-0201</t>
  </si>
  <si>
    <t>COCOON SLIDE SWITCH</t>
  </si>
  <si>
    <t>7-AR-0202</t>
  </si>
  <si>
    <t>COCOON SLIDE CAP</t>
  </si>
  <si>
    <t>7-AR-0203</t>
  </si>
  <si>
    <t>COCOON GER GUIDE</t>
  </si>
  <si>
    <t>7-AR-0223</t>
  </si>
  <si>
    <t>블랙_원형</t>
  </si>
  <si>
    <t>COCOON 에이밍 LED BODY A (B) [원형]</t>
  </si>
  <si>
    <t>7-AR-0252</t>
  </si>
  <si>
    <t>블랙_사각형</t>
  </si>
  <si>
    <t>COCOON 에이밍 LED BODY B (B) [사각형]</t>
  </si>
  <si>
    <t>7-AR-0253</t>
  </si>
  <si>
    <t>가공품</t>
  </si>
  <si>
    <t>COCOON 에이밍 체결 젠더</t>
  </si>
  <si>
    <t>7-AR-0254</t>
  </si>
  <si>
    <t>COCOON WINDOW</t>
  </si>
  <si>
    <t>7-AR-0229</t>
  </si>
  <si>
    <t>COCOON WINDOW [COCOON 로고 없음]</t>
  </si>
  <si>
    <t>7-AR-0230</t>
  </si>
  <si>
    <t>COCOON 에이밍 아크릴 은경 (40ɸ)</t>
  </si>
  <si>
    <t>7-AR-0251</t>
  </si>
  <si>
    <t>COCOON, SOLO 사각 에이밍 아크릴 (55.8ɸ 1.3T)</t>
  </si>
  <si>
    <t>78-AR-0246</t>
  </si>
  <si>
    <t>COCOON, SOLO 원형 에이밍 아크릴 (63ɸ 2T) [테두리 13ɸ]</t>
  </si>
  <si>
    <t>78-AR-0247</t>
  </si>
  <si>
    <t>COCOON, SOLO 원형 에이밍 아크릴 (63ɸ 2T) [테두리 8ɸ]</t>
  </si>
  <si>
    <t>78-AR-0248</t>
  </si>
  <si>
    <t>COCOON, SOLO 원형 에이밍 아크릴 (63ɸ 2T) [테두리 없음] (사파리용)</t>
  </si>
  <si>
    <t>78-AR-0249</t>
  </si>
  <si>
    <t>COCOON 알루미늄 필터 [63ɸ 0.5T]</t>
  </si>
  <si>
    <t>37-AR-0232</t>
  </si>
  <si>
    <t>COCOON BAT BOTTOM RUBBER</t>
  </si>
  <si>
    <t>7-AR-0206</t>
  </si>
  <si>
    <t>COCOON CRADLE FOOT RUBBER</t>
  </si>
  <si>
    <t>7-AR-0213</t>
  </si>
  <si>
    <t>COCOON CRADLE 신주 핀</t>
  </si>
  <si>
    <t>7-AR-0211</t>
  </si>
  <si>
    <t>CRADLE 실리콘 커버</t>
  </si>
  <si>
    <t>화이트 케어스트림</t>
  </si>
  <si>
    <t>COCOON CRADLE FRAME 실리콘 커버</t>
  </si>
  <si>
    <t>7-AR-0222</t>
  </si>
  <si>
    <t>COCOON EXP BUTTON 스프링</t>
  </si>
  <si>
    <t>7-AR-0205</t>
  </si>
  <si>
    <t>COCOON CRADLE 충전단자 스프링</t>
  </si>
  <si>
    <t>7-AR-0212</t>
  </si>
  <si>
    <t>D링 고리</t>
  </si>
  <si>
    <t>COCOON D링 고리</t>
  </si>
  <si>
    <t>7-AR-0195</t>
  </si>
  <si>
    <t>COCOON, ADX6000 자석 (네오디움 마그넷)</t>
  </si>
  <si>
    <t>67-AR-0231</t>
  </si>
  <si>
    <t>COCOON 18cm FRONT_S (B 무광)</t>
  </si>
  <si>
    <t>7-AR-0319</t>
  </si>
  <si>
    <t>COCOON 20cm FRONT_L (B 무광)</t>
  </si>
  <si>
    <t>7-AR-0261</t>
  </si>
  <si>
    <t>COCOON FRONT CAP (B 무광)</t>
  </si>
  <si>
    <t>7-AR-0262</t>
  </si>
  <si>
    <t>COCOON 에이밍 사각 앞 사출 (B 무광)</t>
  </si>
  <si>
    <t>78-AR-0263</t>
  </si>
  <si>
    <t>ADX4000W POWER BUTTON</t>
  </si>
  <si>
    <t>4-AR-0050</t>
  </si>
  <si>
    <t>COCOON LOCK KNOB (W)</t>
  </si>
  <si>
    <t>7-AR-0217</t>
  </si>
  <si>
    <t>COCOON LOCK INNER (W)</t>
  </si>
  <si>
    <t>7-AR-0218</t>
  </si>
  <si>
    <t>(매칭작업에서 삭제됨)</t>
  </si>
  <si>
    <t>COCOON BAT BOTTOM (B 무광)</t>
  </si>
  <si>
    <t>7-AR-0260</t>
  </si>
  <si>
    <t>SOLO CTR BD (Ver 1.0.0)</t>
  </si>
  <si>
    <t>8-AR-0299</t>
  </si>
  <si>
    <t>SOLO OP BD (Ver 1.0.0)</t>
  </si>
  <si>
    <t>8-AR-0298</t>
  </si>
  <si>
    <t>SOLO POWER BD (Ver 1.0.0)</t>
  </si>
  <si>
    <t>8-AR-0297</t>
  </si>
  <si>
    <t>SOLO MAIN BD (Ver 1.0.0)</t>
  </si>
  <si>
    <t>8-AR-0300</t>
  </si>
  <si>
    <t>SOLO REMOTE BD (Ver 1.0.0)</t>
  </si>
  <si>
    <t>8-AR-0301</t>
  </si>
  <si>
    <t>SOLO EXP SW BD (Ver 1.0.0)</t>
  </si>
  <si>
    <t>8-AR-0302</t>
  </si>
  <si>
    <t>SOLO BATTERY CN BD (Ver 1.0.0)</t>
  </si>
  <si>
    <t>8-AR-0303</t>
  </si>
  <si>
    <t>BATCON BD + EXP BD 연결_16AWG 실리콘/150mm</t>
  </si>
  <si>
    <t>BATCON BD + EXP BD 연결_26AWG / 190mm</t>
  </si>
  <si>
    <t>SOLO 하네스 4-1번</t>
  </si>
  <si>
    <t>OP BD + CTR BD 연결_0.5mm FFC / 100mm</t>
  </si>
  <si>
    <t>SOLO 하네스 4-2번</t>
  </si>
  <si>
    <t>Main PCB + 리모콘 BD 연결 3핀</t>
  </si>
  <si>
    <t>SOLO TOP BODY (B 샌딩)</t>
  </si>
  <si>
    <t>8-AR-0264</t>
  </si>
  <si>
    <t>SOLO BOTTOM BODY (B 샌딩)</t>
  </si>
  <si>
    <t>8-AR-0265</t>
  </si>
  <si>
    <t>SOLO MAIN CONE (G)</t>
  </si>
  <si>
    <t>8-AR-0273</t>
  </si>
  <si>
    <t>SOLO HAND BODY (B 샌딩)</t>
  </si>
  <si>
    <t>8-AR-0266</t>
  </si>
  <si>
    <t>SOLO BAT BOTTOM (B 샌딩)</t>
  </si>
  <si>
    <t>8-AR-0267</t>
  </si>
  <si>
    <t>SOLO POWER BUTTON (B 샌딩)</t>
  </si>
  <si>
    <t>8-AR-0269</t>
  </si>
  <si>
    <t>SOLO BUTTON INDICATOR (B)</t>
  </si>
  <si>
    <t>8-AR-0320</t>
  </si>
  <si>
    <t>SOLO LCD GUIDE (B)</t>
  </si>
  <si>
    <t>8-AR-0282</t>
  </si>
  <si>
    <t>SOLO GER GUIDE (B)</t>
  </si>
  <si>
    <t>8-AR-0281</t>
  </si>
  <si>
    <t>SOLO LOCK INNER (B)</t>
  </si>
  <si>
    <t>8-AR-0278</t>
  </si>
  <si>
    <t>SOLO LOCK KNOB (B 샌딩)</t>
  </si>
  <si>
    <t>8-AR-0270</t>
  </si>
  <si>
    <t>SOLO FRONT CAP (G)</t>
  </si>
  <si>
    <t>8-AR-0271</t>
  </si>
  <si>
    <t>SOLO 연장 CONE (G)</t>
  </si>
  <si>
    <t>8-AR-0272</t>
  </si>
  <si>
    <t>SOLO HAND TOP COVER (B)</t>
  </si>
  <si>
    <t>8-AR-0279</t>
  </si>
  <si>
    <t>SOLO SLIDE SWITCH (SKY BLUE)</t>
  </si>
  <si>
    <t>8-AR-0276</t>
  </si>
  <si>
    <t>SOLO SLIDE SWITCH CAP (RED)</t>
  </si>
  <si>
    <t>8-AR-0277</t>
  </si>
  <si>
    <t>SOLO SHORT BUTTON (G)</t>
  </si>
  <si>
    <t>8-AR-0275</t>
  </si>
  <si>
    <t>SOLO SHORT PCB GUIDE (B)</t>
  </si>
  <si>
    <t>8-AR-0280</t>
  </si>
  <si>
    <t>Battery Cover</t>
  </si>
  <si>
    <t>SOLO BAT BOTTOM COVER (B 샌딩)</t>
  </si>
  <si>
    <t>8-AR-0268</t>
  </si>
  <si>
    <t>SOLO AIMING LIGHT LED (확산 아크릴)</t>
  </si>
  <si>
    <t>8-AR-0283</t>
  </si>
  <si>
    <t>PC / 투명 (Im3 로고)</t>
  </si>
  <si>
    <t>SOLO LCD WINDOW</t>
  </si>
  <si>
    <t>8-AR-0286</t>
  </si>
  <si>
    <t>PC / 투명 (DEXCOWIN 로고)</t>
  </si>
  <si>
    <t>SOLO LCD WINDOW [iM3 로고]</t>
  </si>
  <si>
    <t>8-AR-0364</t>
  </si>
  <si>
    <t>SOLO LCD LED (확산 아크릴)</t>
  </si>
  <si>
    <t>8-AR-0285</t>
  </si>
  <si>
    <t>SOLO 광센서 유색 창</t>
  </si>
  <si>
    <t>8-AR-0287</t>
  </si>
  <si>
    <t>SOLO BAT LED (확산 아크릴)</t>
  </si>
  <si>
    <t>8-AR-0284</t>
  </si>
  <si>
    <t>SOLO LCD 터치 가스켓 (8x8x7 mm)</t>
  </si>
  <si>
    <t>8-AR-0291</t>
  </si>
  <si>
    <t>SOLO 마운트 (알루미늄 1/4 PT 탭x12mm)</t>
  </si>
  <si>
    <t>8-AR-0288</t>
  </si>
  <si>
    <t>SOLO BAT RUBBER (삼각대 홀 적용)</t>
  </si>
  <si>
    <t>8-AR-0290</t>
  </si>
  <si>
    <t>DX3000 에이밍 원형 LED GUIDE</t>
  </si>
  <si>
    <t>368-AR-0045</t>
  </si>
  <si>
    <t>DX3000, SOLO 아크릴 은경 [40ɸ]</t>
  </si>
  <si>
    <t>368-AR-0042</t>
  </si>
  <si>
    <t>DX3000 에이밍 LED BD</t>
  </si>
  <si>
    <t>368-AR-0044</t>
  </si>
  <si>
    <t>DX3000 에이밍 알루미늄 플레이트</t>
  </si>
  <si>
    <t>368-AR-0043</t>
  </si>
  <si>
    <t>ADX4000W 4.8" LCD BD</t>
  </si>
  <si>
    <t>4-AR-0081</t>
  </si>
  <si>
    <t>ADX4000W POWER BD</t>
  </si>
  <si>
    <t>4-AR-0082</t>
  </si>
  <si>
    <t>ADX4000W EX B/D</t>
  </si>
  <si>
    <t>4-AR-0084</t>
  </si>
  <si>
    <t>ADX4000W NAVI BD</t>
  </si>
  <si>
    <t>4-AR-0083</t>
  </si>
  <si>
    <t>ADX4000W NAVI BD _ 사파리용</t>
  </si>
  <si>
    <t>4-AR-0080</t>
  </si>
  <si>
    <t>ADX4000W Carrier BD [KONTRON]</t>
  </si>
  <si>
    <t>4-AR-0085</t>
  </si>
  <si>
    <t>ADX4000W Carrier BD [DFI]</t>
  </si>
  <si>
    <t>4-AR-0087</t>
  </si>
  <si>
    <t>ADX4000W Module BD [KONTRON]</t>
  </si>
  <si>
    <t>46-AR-0086</t>
  </si>
  <si>
    <t>ADX4000W Module BD [DFI]</t>
  </si>
  <si>
    <t>46-AR-0088</t>
  </si>
  <si>
    <t>USB 메모리 BD (구형 KONTRON)</t>
  </si>
  <si>
    <t>ADX4000W USB 메모리 BD [KONTRON]</t>
  </si>
  <si>
    <t>4-AR-0089</t>
  </si>
  <si>
    <t>ADX4000W USB 메모리 BD [DFI]</t>
  </si>
  <si>
    <t>4-AR-0090</t>
  </si>
  <si>
    <t>5" LCD PANEL (SHARF)</t>
  </si>
  <si>
    <t>ADX4000W 5" LCD 판넬 (SHARF)</t>
  </si>
  <si>
    <t>4-AR-0068</t>
  </si>
  <si>
    <t>4.8" LCD PANEL (SAMSUNG)</t>
  </si>
  <si>
    <t>ADX4000W 4.8" LCD 판넬 (SAMSUNG)</t>
  </si>
  <si>
    <t>46-AR-0069</t>
  </si>
  <si>
    <t>ADX4000W Embedded PC 전원 -2핀 (케리어+CTR B/D 연결)</t>
  </si>
  <si>
    <t>4-AR-0098</t>
  </si>
  <si>
    <t>ADX4000W 리모콘 및 관전류 -4핀</t>
  </si>
  <si>
    <t>4-AR-0096</t>
  </si>
  <si>
    <t>ADX4000W USB Wire -4핀</t>
  </si>
  <si>
    <t>4-AR-0101</t>
  </si>
  <si>
    <t>ADX4000W NAVIGATION KEY -6핀</t>
  </si>
  <si>
    <t>4-AR-0095</t>
  </si>
  <si>
    <t>ADX4000W RS422 통신 및 PC 전원 on/off -7핀</t>
  </si>
  <si>
    <t>4-AR-0097</t>
  </si>
  <si>
    <t>ADX4000W 전원 및 EXP Wire -8핀</t>
  </si>
  <si>
    <t>4-AR-0094</t>
  </si>
  <si>
    <t>ADX4000W LVDS Cable -30핀</t>
  </si>
  <si>
    <t>46-AR-0093</t>
  </si>
  <si>
    <t>ADX4000W 4.8' LCD TOP COVER</t>
  </si>
  <si>
    <t>4-AR-0046</t>
  </si>
  <si>
    <t>ADX4000W 4.8" LCD BOTTOM COVER</t>
  </si>
  <si>
    <t>4-AR-0047</t>
  </si>
  <si>
    <t>ADX4000W LCD GUIDE</t>
  </si>
  <si>
    <t>4-AR-0057</t>
  </si>
  <si>
    <t>ADX4000W TOP BODY</t>
  </si>
  <si>
    <t>4-AR-0048</t>
  </si>
  <si>
    <t>ADX4000W BOTTOM BODY</t>
  </si>
  <si>
    <t>4-AR-0049</t>
  </si>
  <si>
    <t>4-AR-0064</t>
  </si>
  <si>
    <t>ADX4000W USB COVER</t>
  </si>
  <si>
    <t>4-AR-0065</t>
  </si>
  <si>
    <t>ADX4000W POWER LED GUIDE</t>
  </si>
  <si>
    <t>4-AR-0051</t>
  </si>
  <si>
    <t>ADX4000W EX LED GUIDE</t>
  </si>
  <si>
    <t>4-AR-0055</t>
  </si>
  <si>
    <t>ADX4000W 데코 가이드</t>
  </si>
  <si>
    <t>4-AR-0059</t>
  </si>
  <si>
    <t>ADX4000W 데코 가이드 - 스프레이 X</t>
  </si>
  <si>
    <t>4-AR-0321</t>
  </si>
  <si>
    <t>ADX4000W HINGE GUIDE</t>
  </si>
  <si>
    <t>4-AR-0058</t>
  </si>
  <si>
    <t>ADX4000W POWER BUTTON - 스프레이 X</t>
  </si>
  <si>
    <t>4-AR-0322</t>
  </si>
  <si>
    <t>ADX4000W EXPOSE BUTTON</t>
  </si>
  <si>
    <t>4-AR-0054</t>
  </si>
  <si>
    <t>EX BUTTON 스프레이 X</t>
  </si>
  <si>
    <t>ADX4000W EXPOSE BUTTON - 스프레이 X</t>
  </si>
  <si>
    <t>4-AR-0323</t>
  </si>
  <si>
    <t>ADX4000W NAVI BUTTON (가운데)</t>
  </si>
  <si>
    <t>4-AR-0052</t>
  </si>
  <si>
    <t>ADX4000W NAVI BUTTON (가운데) - 스프레이 X</t>
  </si>
  <si>
    <t>4-AR-0324</t>
  </si>
  <si>
    <t>ADX4000W NAVI KEY (방향)</t>
  </si>
  <si>
    <t>4-AR-0053</t>
  </si>
  <si>
    <t>ADX4000W NAVI KEY(방향) _ 사파리용</t>
  </si>
  <si>
    <t>4-AR-0067</t>
  </si>
  <si>
    <t>ADX4000W NAVI KEY (방향) - 스프레이 X</t>
  </si>
  <si>
    <t>4-AR-0325</t>
  </si>
  <si>
    <t>4-AR-0060</t>
  </si>
  <si>
    <t>FRONT CONE 일체형 스프레이 X</t>
  </si>
  <si>
    <t>ADX4000W FRONT CONE 체결형</t>
  </si>
  <si>
    <t>4-AR-0061</t>
  </si>
  <si>
    <t>4-AR-0062</t>
  </si>
  <si>
    <t>20cm CONE + 납 차폐</t>
  </si>
  <si>
    <t>ADX4000W 15cm CONE</t>
  </si>
  <si>
    <t>4-AR-0063</t>
  </si>
  <si>
    <t>ADX4000W 히팅 싱크 구형 (일본 사용)</t>
  </si>
  <si>
    <t>46-AR-0073</t>
  </si>
  <si>
    <t>ADX4000W 히팅 싱크 신형</t>
  </si>
  <si>
    <t>46-AR-0076</t>
  </si>
  <si>
    <t>ADX4000W 방열 팬 구형 (일본 사용) [1204KL-01W-B10 5V 0.1A]</t>
  </si>
  <si>
    <t>46-AR-0074</t>
  </si>
  <si>
    <t>ADX4000W 방열 팬 신형 [HBD0401005SEM 5V 0.15A]</t>
  </si>
  <si>
    <t>46-AR-0077</t>
  </si>
  <si>
    <t>ADX4000W 히팅 패드</t>
  </si>
  <si>
    <t>46-AR-0075</t>
  </si>
  <si>
    <t>혼합</t>
  </si>
  <si>
    <t>히팅 패드+방열팬 구형</t>
  </si>
  <si>
    <t>ADX4000W 큰 페라이트 CAT-1730-0730</t>
  </si>
  <si>
    <t>4-AR-0091</t>
  </si>
  <si>
    <t>ADX4000W 작은 페라이트 ZCAT-1325-0530</t>
  </si>
  <si>
    <t>46-AR-0092</t>
  </si>
  <si>
    <t>ADX4000W TP-LINK (WAN1000M)-동글</t>
  </si>
  <si>
    <t>46-AR-0071</t>
  </si>
  <si>
    <t>ADX4000W ip TIME 무선 랜카드 [N100UM]</t>
  </si>
  <si>
    <t>46-AR-0072</t>
  </si>
  <si>
    <t>ADX4000W ELECOM WIFI 동글 (10DR) [WDC-150SU2M]</t>
  </si>
  <si>
    <t>46-AR-0078</t>
  </si>
  <si>
    <t>BUFFALO USB 동글 (GNM2)</t>
  </si>
  <si>
    <t>WIFI [WLI-UC-GNM2]</t>
  </si>
  <si>
    <t>ADX4000W 16GB USB 메모리</t>
  </si>
  <si>
    <t>46-AR-0070</t>
  </si>
  <si>
    <t>ADX4000 Q클립</t>
  </si>
  <si>
    <t>4-AR-0326</t>
  </si>
  <si>
    <t>ADX4000W L클립</t>
  </si>
  <si>
    <t>4-AR-0327</t>
  </si>
  <si>
    <t>ADX4000W HAND GUIDE</t>
  </si>
  <si>
    <t>4-AR-0056</t>
  </si>
  <si>
    <t>ADX4000W HAND STRAP [AL(Cr도금), SUS Φ2.0]-손잡이(터치펜) (유럽용 알코올 번짐)</t>
  </si>
  <si>
    <t>4-AR-0328</t>
  </si>
  <si>
    <t>HAND STRAP -손잡이(터치펜)(일본용)</t>
  </si>
  <si>
    <t>ADX4000W HAND STRAP [AL(Cr도금), SUS Φ2.0]-손잡이(터치펜)</t>
  </si>
  <si>
    <t>4-AR-0066</t>
  </si>
  <si>
    <t>ADX6000FB/S</t>
  </si>
  <si>
    <t>ETC LCD B/D</t>
  </si>
  <si>
    <t>ADX6000FB LCD BD</t>
  </si>
  <si>
    <t>6-AR-0152</t>
  </si>
  <si>
    <t>ADX6000FB ETC CARRIER BD (IEC-1000)</t>
  </si>
  <si>
    <t>6-AR-0154</t>
  </si>
  <si>
    <t>ADX6000 Power Switch B/D</t>
  </si>
  <si>
    <t>6-AR-0159</t>
  </si>
  <si>
    <t>ADX6000 EX BD</t>
  </si>
  <si>
    <t>6-AR-0165</t>
  </si>
  <si>
    <t>ADX6000 관전류 BD</t>
  </si>
  <si>
    <t>6-AR-0164</t>
  </si>
  <si>
    <t>ADX6000 Battery Bridge BD</t>
  </si>
  <si>
    <t>6-AR-0162</t>
  </si>
  <si>
    <t>ADX6000 Battery Connect BD</t>
  </si>
  <si>
    <t>6-AR-0163</t>
  </si>
  <si>
    <t>ADX6000 Cradle BD</t>
  </si>
  <si>
    <t>6-AR-0166</t>
  </si>
  <si>
    <t>스피커 2핀 (하네스 4-1)</t>
  </si>
  <si>
    <t>ADX4000W, ADX6000 스피커 2핀 (12505HS-02+SORDER) 200mm [하네스 4-1번]</t>
  </si>
  <si>
    <t>46-AR-0099</t>
  </si>
  <si>
    <t>6-AR-0168</t>
  </si>
  <si>
    <t>하네스 1-1번</t>
  </si>
  <si>
    <t>ADX6000FB PC, FRONT BD 연결 (12505HS-04, USB-105) 70mm [하네스 2번]</t>
  </si>
  <si>
    <t>6-AR-0170</t>
  </si>
  <si>
    <t>ADX6000 Power&amp;Exp Connector Wire Harness 12핀 170mm, 70mm [하네스 3번]</t>
  </si>
  <si>
    <t>6-AR-0171</t>
  </si>
  <si>
    <t>ADX6000 컬리메이터 LED Wire Harness 2핀 300mm [하네스 5번]</t>
  </si>
  <si>
    <t>6-AR-0172</t>
  </si>
  <si>
    <t>ADX6000FB PC 전원 케이블 (SMH250-02) 130mm [하네스 6번]</t>
  </si>
  <si>
    <t>6-AR-0173</t>
  </si>
  <si>
    <t>ADX6000FB LVDS 케이블 20핀 (DF19G-20S-1C(0.5) (2EA)) 160mm [하네스 7번]</t>
  </si>
  <si>
    <t>6-AR-0174</t>
  </si>
  <si>
    <t>ADX6000FB Carrier Mini BD 케이블 3핀 (한쪽만 커넥터) (12505HS-03) 100mm [하네스 9-1번]</t>
  </si>
  <si>
    <t>6-AR-0176</t>
  </si>
  <si>
    <t>ADX6000FB PC, CTR BD 연결 3핀 (CHW0640-03, 1205HS-03) 130mm [하네스 10번]</t>
  </si>
  <si>
    <t>6-AR-0177</t>
  </si>
  <si>
    <t>ADX6000 Battery BD 02 Wire Harness [4pin,2pin,Dual] 90mm,80mm 탈착, 외부 BAT BD 연결 (하네스 11번)</t>
  </si>
  <si>
    <t>6-AR-0178</t>
  </si>
  <si>
    <t>하네스 11-1번</t>
  </si>
  <si>
    <t>ADX6000FB 40핀 FFC Cable 50mm [하네스 14번]</t>
  </si>
  <si>
    <t>6-AR-0180</t>
  </si>
  <si>
    <t>ADX6000 Battery BD 01 Wire Harness 2핀 80mm</t>
  </si>
  <si>
    <t>6-AR-0181</t>
  </si>
  <si>
    <t>ADX6000FB 4.3" LCD 판넬 (IEC-266 &amp; IEC-1000 공용)</t>
  </si>
  <si>
    <t>6-AR-0149</t>
  </si>
  <si>
    <t>ADX6000FB 4.3" Module (IEC-1000 신형)</t>
  </si>
  <si>
    <t>6-AR-0151</t>
  </si>
  <si>
    <t>ADX6000 컬리메이터 TOP 사출</t>
  </si>
  <si>
    <t>6-AR-0102</t>
  </si>
  <si>
    <t>ADX6000 컬리메이터 Bottom 사출</t>
  </si>
  <si>
    <t>6-AR-0103</t>
  </si>
  <si>
    <t>컬리메이터 콘 가이드</t>
  </si>
  <si>
    <t>ABS 난연 화이트 + 스프레이 (블루펄유광)</t>
  </si>
  <si>
    <t>ADX6000 컬리메이터 FRONT 사출</t>
  </si>
  <si>
    <t>6-AR-0110</t>
  </si>
  <si>
    <t>ADX6000 LCD Cover 사출 (white)</t>
  </si>
  <si>
    <t>6-AR-0116</t>
  </si>
  <si>
    <t>ADX6000 LCD Inner Cover 사출</t>
  </si>
  <si>
    <t>6-AR-0117</t>
  </si>
  <si>
    <t>ADX6000 LCD 힌지 사출 커버 TOP</t>
  </si>
  <si>
    <t>6-AR-0118</t>
  </si>
  <si>
    <t>ADX6000 LCD 힌지 사출 커버 BOTTOM</t>
  </si>
  <si>
    <t>6-AR-0119</t>
  </si>
  <si>
    <t>ADX6000 LCD 사출 나사 커버</t>
  </si>
  <si>
    <t>6-AR-0139</t>
  </si>
  <si>
    <t>ADX6000 Main PC 거치대 사출</t>
  </si>
  <si>
    <t>6-AR-0130</t>
  </si>
  <si>
    <t>ADX6000 BODY LEFT 사출</t>
  </si>
  <si>
    <t>6-AR-0125</t>
  </si>
  <si>
    <t>ADX6000 배터리 커버</t>
  </si>
  <si>
    <t>6-AR-0126</t>
  </si>
  <si>
    <t>ADX6000 BODY RIGHT 사출</t>
  </si>
  <si>
    <t>6-AR-0137</t>
  </si>
  <si>
    <t>ADX6000 HANDLE LEFT 사출</t>
  </si>
  <si>
    <t>6-AR-0140</t>
  </si>
  <si>
    <t>ADX6000 HANDLE RIGHT 사출</t>
  </si>
  <si>
    <t>6-AR-0138</t>
  </si>
  <si>
    <t>ADX6000 크래들 TOP 사출</t>
  </si>
  <si>
    <t>6-AR-0142</t>
  </si>
  <si>
    <t>ADX6000 크래들 BOTTOM 사출</t>
  </si>
  <si>
    <t>6-AR-0143</t>
  </si>
  <si>
    <t>ADX6000 크래들 LED Guide 사출</t>
  </si>
  <si>
    <t>6-AR-0144</t>
  </si>
  <si>
    <t>ADX6000FB 리모콘 포트 가이드</t>
  </si>
  <si>
    <t>6-AR-0134</t>
  </si>
  <si>
    <t>ADX6000 Power Button 사출</t>
  </si>
  <si>
    <t>6-AR-0128</t>
  </si>
  <si>
    <t>ADX6000 Black Deco Guide</t>
  </si>
  <si>
    <t>6-AR-0127</t>
  </si>
  <si>
    <t>ADX6000 EX Button 사출</t>
  </si>
  <si>
    <t>6-AR-0141</t>
  </si>
  <si>
    <t>ADX6000 LCD 아크릴 가이드</t>
  </si>
  <si>
    <t>6-AR-0122</t>
  </si>
  <si>
    <t>ADX6000 아크릴 투명 십자 panel (70x70x1.5 mm)</t>
  </si>
  <si>
    <t>6-AR-0115</t>
  </si>
  <si>
    <t>ADX6000 LCD HINGE</t>
  </si>
  <si>
    <t>6-AR-0120</t>
  </si>
  <si>
    <t>ADX6000 Base Block</t>
  </si>
  <si>
    <t>6-AR-0111</t>
  </si>
  <si>
    <t>top Block</t>
  </si>
  <si>
    <t>ADX6000 Top Block</t>
  </si>
  <si>
    <t>6-AR-0112</t>
  </si>
  <si>
    <t>ADX6000 Bottom Blcok</t>
  </si>
  <si>
    <t>6-AR-0113</t>
  </si>
  <si>
    <t>ADX6000 알루미늄 브라켓 6 hole</t>
  </si>
  <si>
    <t>6-AR-0146</t>
  </si>
  <si>
    <t>ADX6000 CRADLE FOOT RUBBER</t>
  </si>
  <si>
    <t>6-AR-0329</t>
  </si>
  <si>
    <t>ADX6000 손잡이 핀</t>
  </si>
  <si>
    <t>6-AR-0131</t>
  </si>
  <si>
    <t>페라이트 코어</t>
  </si>
  <si>
    <t>ADX6000 페라이트 코어 ZCAT 1518-0730</t>
  </si>
  <si>
    <t>6-AR-0145</t>
  </si>
  <si>
    <t>LCD 베젤 스티커</t>
  </si>
  <si>
    <t>ADX6000 LCD 배젤 스티커</t>
  </si>
  <si>
    <t>6-AR-0123</t>
  </si>
  <si>
    <t>ADX6000FB Front Port Sticker (리모콘 포트 수정 신형)</t>
  </si>
  <si>
    <t>6-AR-0135</t>
  </si>
  <si>
    <t>ADX6000 LCD 힌지 가죽 커버</t>
  </si>
  <si>
    <t>6-AR-0121</t>
  </si>
  <si>
    <t>ADX6000FB 가죽 손잡이 탈착배터리용 터치펜 X</t>
  </si>
  <si>
    <t>6-AR-0148</t>
  </si>
  <si>
    <t>DX3000, ADX4000W, SOLO 기본 배터리 [PF435060-4S] (4ICP4/50/60)</t>
  </si>
  <si>
    <t>348-PR-0024</t>
  </si>
  <si>
    <t>DX3000 내부 배터리 [PF435060]</t>
  </si>
  <si>
    <t>3-PR-0128</t>
  </si>
  <si>
    <t>배터리 [60C 950mA]</t>
  </si>
  <si>
    <t>60C 950mA</t>
  </si>
  <si>
    <t>COCOON 내부 배터리 [COCOON-041 (PF605060HP)] (4ICP6/50/61)</t>
  </si>
  <si>
    <t>7-AR-0207</t>
  </si>
  <si>
    <t>COCOON 외부 배터리 [PF605060]</t>
  </si>
  <si>
    <t>37-PR-0129</t>
  </si>
  <si>
    <t>COCOON 외부 배터리 [PF435060]</t>
  </si>
  <si>
    <t>37-PR-0026</t>
  </si>
  <si>
    <t>ADX6000 기본 배터리 [LIP1902A] (5ICP5/35/128)</t>
  </si>
  <si>
    <t>6-PR-0025</t>
  </si>
  <si>
    <t>ADX6000 외부 배터리 [LIP1902A_5035127SH25]</t>
  </si>
  <si>
    <t>6-PR-0130</t>
  </si>
  <si>
    <t>2구 AC코드 C 타입 [220V]</t>
  </si>
  <si>
    <t>34678-PR-0030</t>
  </si>
  <si>
    <t>2구 AC코드 A 타입 [110V]-일본향</t>
  </si>
  <si>
    <t>34678-PR-0031</t>
  </si>
  <si>
    <t>3구 접지 AC 코드 F타입</t>
  </si>
  <si>
    <t>3구 접지 AC코드 F 타입 [220V]</t>
  </si>
  <si>
    <t>34678-PR-0035</t>
  </si>
  <si>
    <t>3구 접지 AC코드 A 타입 [110V]</t>
  </si>
  <si>
    <t>34678-PR-0036</t>
  </si>
  <si>
    <t>3구 접지 AC코드 B 타입 [110V]-미국향</t>
  </si>
  <si>
    <t>34678-PR-0032</t>
  </si>
  <si>
    <t>3구 접지 AC코드 I 타입 [110-230V]-호주, 중국향</t>
  </si>
  <si>
    <t>34678-PR-0033</t>
  </si>
  <si>
    <t>3구 접지 AC코드 G 타입 [230V]-영국향</t>
  </si>
  <si>
    <t>34678-PR-0034</t>
  </si>
  <si>
    <t>2구 16.8V 충전기 [BPL910S16N01]</t>
  </si>
  <si>
    <t>34678-PR-0027</t>
  </si>
  <si>
    <t>3구 16.8V 충전기 [BPL910S16F01]</t>
  </si>
  <si>
    <t>34678-PR-0028</t>
  </si>
  <si>
    <t>3구 21.0V 충전기 [JBL7451212000302FJ]</t>
  </si>
  <si>
    <t>6-PR-0029</t>
  </si>
  <si>
    <t>3구 25.2V 1.7A 충전기 [JBL7451251700002FJ]</t>
  </si>
  <si>
    <t>6-PR-0131</t>
  </si>
  <si>
    <t>DRTech 15.0V 충전기 (220V)</t>
  </si>
  <si>
    <t>34678-PR-0132</t>
  </si>
  <si>
    <t>DRTech 15.0V 충전기 (110V)</t>
  </si>
  <si>
    <t>34678-PR-0133</t>
  </si>
  <si>
    <t>양암 변환 젠더 (COCOON 외부배터리 충전용)</t>
  </si>
  <si>
    <t>37-PR-0065</t>
  </si>
  <si>
    <t>크래들 [D-910]</t>
  </si>
  <si>
    <t>348-PR-0037</t>
  </si>
  <si>
    <t>6-PR-0134</t>
  </si>
  <si>
    <t>USB 2.0 CABLE [3M]</t>
  </si>
  <si>
    <t>4-PR-0064</t>
  </si>
  <si>
    <t>ADX4000W USB 2.0 CABLE (PMM369-0200) 2M</t>
  </si>
  <si>
    <t>4-PR-0135</t>
  </si>
  <si>
    <t>ADX4000W USB 2.0 CABLE (PMM369-0100) 1M</t>
  </si>
  <si>
    <t>4-PR-0136</t>
  </si>
  <si>
    <t>6-PR-0071</t>
  </si>
  <si>
    <t>DX3000 외부배터리용 쪽보드</t>
  </si>
  <si>
    <t>3-AR-0330</t>
  </si>
  <si>
    <t>디텍터 가방</t>
  </si>
  <si>
    <t>뱅가드 46F [ADX6000]</t>
  </si>
  <si>
    <t>6-PR-0137</t>
  </si>
  <si>
    <t>뱅가드 53F [FDXD-810]</t>
  </si>
  <si>
    <t>34678-PR-0138</t>
  </si>
  <si>
    <t>DX3000, ADX4000W 계란판</t>
  </si>
  <si>
    <t>34-PR-0139</t>
  </si>
  <si>
    <t>COCOON, ADX6000 계란판</t>
  </si>
  <si>
    <t>67-PR-0140</t>
  </si>
  <si>
    <t>DX3000 15cm 내부폼</t>
  </si>
  <si>
    <t>3-PR-0097</t>
  </si>
  <si>
    <t>DX3000 20cm 내부폼</t>
  </si>
  <si>
    <t>3-PR-0098</t>
  </si>
  <si>
    <t>ADX4000W 15cm 내부폼</t>
  </si>
  <si>
    <t>4-PR-0099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</si>
  <si>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</si>
  <si>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</si>
  <si>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</si>
  <si>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</si>
  <si>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</si>
  <si>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</si>
  <si>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</si>
  <si>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</si>
  <si>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</si>
  <si>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</si>
  <si>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</si>
  <si>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</si>
  <si>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</si>
  <si>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</si>
  <si>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</si>
  <si>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</si>
  <si>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45 * 55.5 * 2T, 접착 O</t>
  </si>
  <si>
    <t>디텍터 내부폼 상판 [45x55.5x2 mm 접착 O] (뱅가드 53F용)</t>
  </si>
  <si>
    <t>34678-PR-0141</t>
  </si>
  <si>
    <t>디텍터 내부폼 중판 [45x55.5x2 mm 접착 X] (뱅가드 53F용)</t>
  </si>
  <si>
    <t>34678-PR-0142</t>
  </si>
  <si>
    <t>디텍터 내부폼 하판 [45x55.5x8 mm] (뱅가드 53F용)</t>
  </si>
  <si>
    <t>34678-PR-0143</t>
  </si>
  <si>
    <t>ADX6000 체스트 &amp; 베드 Stand 박스 내장재 [상, 하판 230x130x30 mm]</t>
  </si>
  <si>
    <t>6-PR-0016</t>
  </si>
  <si>
    <t>ADX6000 체스트 &amp; 베드 Stand 박스 내장재 [좌, 우판 130x980x30 mm]</t>
  </si>
  <si>
    <t>6-PR-0017</t>
  </si>
  <si>
    <t>ADX6000 체스트 &amp; 베드 Stand 박스 내장재 [전, 후판 230x920x30 mm]</t>
  </si>
  <si>
    <t>6-PR-0018</t>
  </si>
  <si>
    <t>DX3000, ADX4000W 카톤 박스 [490x460x370 mm]</t>
  </si>
  <si>
    <t>34-PR-0117</t>
  </si>
  <si>
    <t>DX3000, ADX4000W 제품 박스 [450x240x360 mm]</t>
  </si>
  <si>
    <t>34-PR-0114</t>
  </si>
  <si>
    <t>COCOON 카톤 박스 [500x460x520 mm]</t>
  </si>
  <si>
    <t>7-PR-0118</t>
  </si>
  <si>
    <t>COCOON 제품 박스 [450x240x490 mm]</t>
  </si>
  <si>
    <t>7-PR-0115</t>
  </si>
  <si>
    <t>SOLO 제품 박스 [손잡이 체결형 420x400x180 mm]</t>
  </si>
  <si>
    <t>8-PR-0112</t>
  </si>
  <si>
    <t>SOLO 카톤 박스 [손잡이 체결형 440x390x420 mm]</t>
  </si>
  <si>
    <t>8-PR-0113</t>
  </si>
  <si>
    <t>ADX6000FB 카톤 박스 [500x460x520 mm]</t>
  </si>
  <si>
    <t>6-PR-0119</t>
  </si>
  <si>
    <t>DX3000 저가 박스 [280x220x200 mm]</t>
  </si>
  <si>
    <t>3-PR-0120</t>
  </si>
  <si>
    <t>제품 박스용 무지 박스 [450x260x510 mm] (1개 포장용)</t>
  </si>
  <si>
    <t>3467-PR-0145</t>
  </si>
  <si>
    <t>저가 박스용 무지 박스 [475x295x220 mm] (2개 포장용)</t>
  </si>
  <si>
    <t>3-PR-0146</t>
  </si>
  <si>
    <t>저가 박스용 무지 박스 [475x295x430 mm] (4개 포장용)</t>
  </si>
  <si>
    <t>3-PR-0147</t>
  </si>
  <si>
    <t>저가 박스용 무지 박스 [700x300x430 mm] (6개 포장용)</t>
  </si>
  <si>
    <t>3-PR-0148</t>
  </si>
  <si>
    <t>iCam 구강 카메라 박스</t>
  </si>
  <si>
    <t>34678-PR-0076</t>
  </si>
  <si>
    <t>Rex2 Premium 센서 박스</t>
  </si>
  <si>
    <t>34678-PR-0077</t>
  </si>
  <si>
    <t>ADX6000 체스트 &amp; 베드 Stand ACC 박스 [1000x300x160 mm]</t>
  </si>
  <si>
    <t>6-PR-0019</t>
  </si>
  <si>
    <t>ADX6000 박스 내장재 [상, 하판 60.5x27.5x30 mm] (뱅가드 46F용)</t>
  </si>
  <si>
    <t>6-PR-0150</t>
  </si>
  <si>
    <t>ADX6000 박스 내장재 [좌, 우판 42.5x27.5x30 mm] (뱅가드 46F용)</t>
  </si>
  <si>
    <t>6-PR-0151</t>
  </si>
  <si>
    <t>ADX6000 박스 내장재 [전, 후판 42.5x55x35 mm] (뱅가드 46F용)</t>
  </si>
  <si>
    <t>6-PR-0152</t>
  </si>
  <si>
    <t>DRTech 센서 박스 내장재 [상, 하판 45.5x42x30 mm] (뱅가드 53F용)</t>
  </si>
  <si>
    <t>34678-PR-0153</t>
  </si>
  <si>
    <t>SOLO 내부폼 [손잡이 체결형]</t>
  </si>
  <si>
    <t>8-PR-0111</t>
  </si>
  <si>
    <t>DX3000 저가 박스 에어셀 [Main]</t>
  </si>
  <si>
    <t>3-PR-0121</t>
  </si>
  <si>
    <t>넥스트랩 [포켓 O]</t>
  </si>
  <si>
    <t>37-PR-0060</t>
  </si>
  <si>
    <t>넥스트랩 [포켓 구형]</t>
  </si>
  <si>
    <t>37-PR-0154</t>
  </si>
  <si>
    <t>넥스트랩 [포켓 X]</t>
  </si>
  <si>
    <t>37-PR-0155</t>
  </si>
  <si>
    <t>구형 (호주에 적용)</t>
  </si>
  <si>
    <t>DX3000 가죽 홀더 [호주용]</t>
  </si>
  <si>
    <t>3-PR-0063</t>
  </si>
  <si>
    <t>가방끈 [일본용]</t>
  </si>
  <si>
    <t>346-PR-0062</t>
  </si>
  <si>
    <t>DX3000 포켓 핸드 스트랩</t>
  </si>
  <si>
    <t>3-AR-0331</t>
  </si>
  <si>
    <t>ADX6000 연아크릴 [215x215x8mm] 정사각형-오레곤주용</t>
  </si>
  <si>
    <t>6-PR-0159</t>
  </si>
  <si>
    <t>ADX6000 연아크릴 실리콘 오링</t>
  </si>
  <si>
    <t>6-PR-0049</t>
  </si>
  <si>
    <t>연아크릴 실리콘 오링 3030</t>
  </si>
  <si>
    <t>DX3000 연아크릴 실리콘 오링 [60ɸ 12T 3030]</t>
  </si>
  <si>
    <t>3-PR-0047</t>
  </si>
  <si>
    <t>연아크릴 실리콘 오링 4040</t>
  </si>
  <si>
    <t>ADX4000W 연아크릴 실리콘 오링 [60ɸ 12T 4040]</t>
  </si>
  <si>
    <t>4-PR-0048</t>
  </si>
  <si>
    <t>DX3000 NAME PLATE [iRay D3]</t>
  </si>
  <si>
    <t>3-PR-0054</t>
  </si>
  <si>
    <t>DX3000 NAME PLATE [DX3000]</t>
  </si>
  <si>
    <t>3-PR-0053</t>
  </si>
  <si>
    <t>DX3000 NAME PLATE [iRix]</t>
  </si>
  <si>
    <t>3-PR-0055</t>
  </si>
  <si>
    <t>ADX4000 NAME PLATE [DEXCOWIN]</t>
  </si>
  <si>
    <t>4-PR-0056</t>
  </si>
  <si>
    <t>ADX6000 NAME PLATE [ADX6000]</t>
  </si>
  <si>
    <t>6-PR-0067</t>
  </si>
  <si>
    <t>ADX6000 NAME PLATE [iRay A6]</t>
  </si>
  <si>
    <t>6-PR-0068</t>
  </si>
  <si>
    <t>ADX6000s NAME PLATE [iRay A6s]</t>
  </si>
  <si>
    <t>6-PR-0160</t>
  </si>
  <si>
    <t>뱅가드 53F NAME PLATE [DEXCOWIN]</t>
  </si>
  <si>
    <t>34678-PR-0161</t>
  </si>
  <si>
    <t>뱅가드 46F NAME PLATE [DEXCOWIN]</t>
  </si>
  <si>
    <t>6-PR-0162</t>
  </si>
  <si>
    <t>ADX6000s NAME PLATE [ADX6000s]</t>
  </si>
  <si>
    <t>6-PR-0163</t>
  </si>
  <si>
    <t>DX3000 패드</t>
  </si>
  <si>
    <t>3-PR-0164</t>
  </si>
  <si>
    <t>iCam 구강 카메라</t>
  </si>
  <si>
    <t>34678-PR-0078</t>
  </si>
  <si>
    <t>PLAATZ 330N 센서 케이스</t>
  </si>
  <si>
    <t>34678-PR-0165</t>
  </si>
  <si>
    <t>DRTech [FLAATZ 760/17"x17"]</t>
  </si>
  <si>
    <t>34678-PR-0166</t>
  </si>
  <si>
    <t>DRTech [330N/10"x8"]</t>
  </si>
  <si>
    <t>34678-PR-0079</t>
  </si>
  <si>
    <t>DRTech [FDXD-810/10"x8"]</t>
  </si>
  <si>
    <t>34678-PR-0167</t>
  </si>
  <si>
    <t>HDI-1000 [Rex2 Classic/1.5]</t>
  </si>
  <si>
    <t>34678-PR-0168</t>
  </si>
  <si>
    <t>HDI-2000 [Rex2 Premium/1.5]</t>
  </si>
  <si>
    <t>34678-PR-0082</t>
  </si>
  <si>
    <t>HDI-2000 [Rex2 Premium/2.0]</t>
  </si>
  <si>
    <t>34678-PR-0083</t>
  </si>
  <si>
    <t>34678-PR-0084</t>
  </si>
  <si>
    <t>34678-PR-0085</t>
  </si>
  <si>
    <t>34678-PR-0086</t>
  </si>
  <si>
    <t>E2V CMOS [EV71JU215A-C-00B1/1.0]</t>
  </si>
  <si>
    <t>4-PR-0087</t>
  </si>
  <si>
    <t>E2V CMOS [EV71JU213A-C-00B1/2.0]</t>
  </si>
  <si>
    <t>4-PR-0088</t>
  </si>
  <si>
    <t>34-PR-0050</t>
  </si>
  <si>
    <t>터치 펜</t>
  </si>
  <si>
    <t>4-PR-0059</t>
  </si>
  <si>
    <t>스탠드홀드 (메탈)</t>
  </si>
  <si>
    <t>ADX4000W 스탠드 홀드 (메탈)</t>
  </si>
  <si>
    <t>4-PR-0022</t>
  </si>
  <si>
    <t>DX3000 스탠드 홀드 (메탈)</t>
  </si>
  <si>
    <t>3-PR-0021</t>
  </si>
  <si>
    <t>스탠드홀드 (신형)</t>
  </si>
  <si>
    <t>ADX4000W 스탠드 홀드 (흰색)</t>
  </si>
  <si>
    <t>4-PR-0023</t>
  </si>
  <si>
    <t>DX3000, ADX4000W, SOLO 배터리 거치대용 신주핀 (D-910)</t>
  </si>
  <si>
    <t>348-PR-0169</t>
  </si>
  <si>
    <t>6-PR-0170</t>
  </si>
  <si>
    <t>ADX6000 국내용 스탠드 브라켓 1. BLOCK</t>
  </si>
  <si>
    <t>6-PR-0001</t>
  </si>
  <si>
    <t>ADX6000 국내용 스탠드 브라켓 2. ARM</t>
  </si>
  <si>
    <t>6-PR-0002</t>
  </si>
  <si>
    <t>ADX6000 국내용 스탠드 브라켓 3. TILT BODY</t>
  </si>
  <si>
    <t>6-PR-0003</t>
  </si>
  <si>
    <t>ADX6000 국내용 스탠드 브라켓 4. BASE</t>
  </si>
  <si>
    <t>6-PR-0004</t>
  </si>
  <si>
    <t>ADX6000 국내용 스탠드 브라켓 5. SHAFT</t>
  </si>
  <si>
    <t>6-PR-0005</t>
  </si>
  <si>
    <t>ADX6000 국내용 스탠드 브라켓 6. PUSH PLATE</t>
  </si>
  <si>
    <t>6-PR-0006</t>
  </si>
  <si>
    <t>ADX6000 국내용 스탠드 브라켓 7. EASY LOCK PLATE</t>
  </si>
  <si>
    <t>6-PR-0007</t>
  </si>
  <si>
    <t>ADX6000 국내용 스탠드 브라켓 8. MOUNT</t>
  </si>
  <si>
    <t>6-PR-0008</t>
  </si>
  <si>
    <t>ADX6000 국내용 스탠드 브라켓 9. 조임 손잡이</t>
  </si>
  <si>
    <t>6-PR-0009</t>
  </si>
  <si>
    <t>6-PR-0073</t>
  </si>
  <si>
    <t>6-PR-0074</t>
  </si>
  <si>
    <t>6-PR-0075</t>
  </si>
  <si>
    <t>ADX6000 각도기 홀더</t>
  </si>
  <si>
    <t>6-PR-0171</t>
  </si>
  <si>
    <t>사각 줄자 아크릴 가이드</t>
  </si>
  <si>
    <t>6-PR-0070</t>
  </si>
  <si>
    <t>AllMyT Stand Main Body</t>
  </si>
  <si>
    <t>346-PR-0010</t>
  </si>
  <si>
    <t>AllMyT Stand Accessory</t>
  </si>
  <si>
    <t>346-PR-0011</t>
  </si>
  <si>
    <t>ADX6000 체스트 &amp; 베드 STAND</t>
  </si>
  <si>
    <t>6-PR-0012</t>
  </si>
  <si>
    <t>ADX6000 체스트 &amp; 베드 ARM PIPE</t>
  </si>
  <si>
    <t>6-PR-0014</t>
  </si>
  <si>
    <t>ADX6000 체스트 &amp; 베드 JOINT ARM</t>
  </si>
  <si>
    <t>6-PR-0013</t>
  </si>
  <si>
    <t>ADX6000 체스트 &amp; 베드 FIX BLOCK A, B</t>
  </si>
  <si>
    <t>6-PR-0015</t>
  </si>
  <si>
    <t>ADX6000 접이식 정형외과용 스탠드 세트</t>
  </si>
  <si>
    <t>6-PR-0020</t>
  </si>
  <si>
    <t>REMOTE CONTROL [3M]</t>
  </si>
  <si>
    <t>34678-PR-0066</t>
  </si>
  <si>
    <t>3468-PR-0172</t>
  </si>
  <si>
    <t>3468-PR-0173</t>
  </si>
  <si>
    <t>실드 오링 [AN-036]</t>
  </si>
  <si>
    <t>3478-PR-0045</t>
  </si>
  <si>
    <t>OS라이센스 라벨</t>
  </si>
  <si>
    <t>4-PR-0058</t>
  </si>
  <si>
    <t>DX3000 실리콘 켑</t>
  </si>
  <si>
    <t>3-PR-0052</t>
  </si>
  <si>
    <t>작은 콘덴서</t>
  </si>
  <si>
    <t>Battery Pack [21.0V 5셀]</t>
  </si>
  <si>
    <t>DX3000 기본 Battery Case (사급자재)</t>
  </si>
  <si>
    <t>348-PR-0175</t>
  </si>
  <si>
    <t>Battery Pack Bottom</t>
  </si>
  <si>
    <t>사급자재 (블랙)</t>
  </si>
  <si>
    <t>DX3000 기본 배터리 내부 단자대 (사급자재)</t>
  </si>
  <si>
    <t>348-PR-0176</t>
  </si>
  <si>
    <t>ADX6000 고압베어 BD</t>
  </si>
  <si>
    <t>6-HR-0054</t>
  </si>
  <si>
    <t>8핀 B/D (구형 8핀 보드) [ADX6000]</t>
  </si>
  <si>
    <t>6-VR-0006</t>
  </si>
  <si>
    <t>[CR-ADX] 크래들 ASS'Y</t>
  </si>
  <si>
    <t>SOLO 고압 다이오드 (SPF01-15)</t>
  </si>
  <si>
    <t>8-HR-0055</t>
  </si>
  <si>
    <t>SOLO 고압용 칩 세라믹 콘덴서 (2220J6K00222KXT)</t>
  </si>
  <si>
    <t>8-HR-0056</t>
  </si>
  <si>
    <t>DXDR-070 하우징용 파이프 [SOLO]</t>
  </si>
  <si>
    <t>8-HR-0049</t>
  </si>
  <si>
    <t>SOLO 내부 케이스 (HDPE)</t>
  </si>
  <si>
    <t>8-VR-0043</t>
  </si>
  <si>
    <t>SOLO 고압 격벽 (HDPE)</t>
  </si>
  <si>
    <t>8-VR-0044</t>
  </si>
  <si>
    <t>SOLO 에이밍 은경 필터 [40ɸ 0.5T]</t>
  </si>
  <si>
    <t>8-AR-0332</t>
  </si>
  <si>
    <t>COCOON ST CTR BD</t>
  </si>
  <si>
    <t>7-NR-0010</t>
  </si>
  <si>
    <t>DX3000 2.42" OLED PANEL (UG-2864ASWPG01)</t>
  </si>
  <si>
    <t>3-AR-0333</t>
  </si>
  <si>
    <t>DX3000 OLED GUIDE</t>
  </si>
  <si>
    <t>3-AR-0334</t>
  </si>
  <si>
    <t>DX3000 EX BD FFC CABLE 10핀</t>
  </si>
  <si>
    <t>3-AR-0335</t>
  </si>
  <si>
    <t>COCOON ST CTR to OP 케이블 (FLAT 30P 2.0mm 1:1) 205mm [하네스 12번]</t>
  </si>
  <si>
    <t>7-AR-0337</t>
  </si>
  <si>
    <t>COCOON ST OP to TOUCH 케이블 (12505HS-05) 70mm [하네스 7-1번]</t>
  </si>
  <si>
    <t>7-AR-0338</t>
  </si>
  <si>
    <t>ADX6000 LCD BD</t>
  </si>
  <si>
    <t>6-AR-0153</t>
  </si>
  <si>
    <t>ADX6000 Carrier BD [KONTRON]</t>
  </si>
  <si>
    <t>6-AR-0157</t>
  </si>
  <si>
    <t>ADX6000 Carrier BD [신형 DFI]</t>
  </si>
  <si>
    <t>6-AR-0158</t>
  </si>
  <si>
    <t>ADX6000FB ETC CARRIER BD (IEC-266)</t>
  </si>
  <si>
    <t>6-AR-0155</t>
  </si>
  <si>
    <t>ADX6000FB ETC CARRIER MINI BD</t>
  </si>
  <si>
    <t>6-AR-0156</t>
  </si>
  <si>
    <t>ADX6000 Front Micro BD</t>
  </si>
  <si>
    <t>6-AR-0161</t>
  </si>
  <si>
    <t>ADX6000FB ETC FRONT BD (리모콘 포트 수정 두꺼운 것)</t>
  </si>
  <si>
    <t>6-AR-0340</t>
  </si>
  <si>
    <t>ADX6000 컬리메이터 LED BD (LED 작고 밝은 것 적용)</t>
  </si>
  <si>
    <t>6-AR-0167</t>
  </si>
  <si>
    <t>ADX6000 ETC EX BATTERY BD</t>
  </si>
  <si>
    <t>6-AR-0341</t>
  </si>
  <si>
    <t>ADX6000 ETC RESIST BD</t>
  </si>
  <si>
    <t>6-AR-0342</t>
  </si>
  <si>
    <t>ADX6000 ETC CAP BANK BD</t>
  </si>
  <si>
    <t>6-AR-0343</t>
  </si>
  <si>
    <t>(F704에만 있음)</t>
  </si>
  <si>
    <t xml:space="preserve">DRTech FDXD-810, FLAATZ-N330 CTR Battery B/D (구형) </t>
  </si>
  <si>
    <t>34678-PR-0177</t>
  </si>
  <si>
    <t>DRTech FDXD-810, FLAATZ-N330 CTR Battery B/D (신형)</t>
  </si>
  <si>
    <t>34678-PR-0178</t>
  </si>
  <si>
    <t>ADX6000 16핀 FFC Cable 82mm</t>
  </si>
  <si>
    <t>6-AR-0185</t>
  </si>
  <si>
    <t>ADX6000FB CAP BANK 케이블 (YH396-04V-2EA) 120mm [하네스 8번]</t>
  </si>
  <si>
    <t>6-AR-0344</t>
  </si>
  <si>
    <t>ADX6000FB Carrier Mini BD 케이블 3핀 (12505HS-03) 100mm [하네스 9번]</t>
  </si>
  <si>
    <t>6-AR-0175</t>
  </si>
  <si>
    <t>ADX6000FB 외부단자 케이블 (YH396-04V-1EA) 200mm [하네스 12번]</t>
  </si>
  <si>
    <t>6-AR-0345</t>
  </si>
  <si>
    <t>ADX6000FB 외부배터리 케이블 (DC Connector Cable) 360mm [하네스 13번]</t>
  </si>
  <si>
    <t>6-AR-0346</t>
  </si>
  <si>
    <t>ADX6000 USB Connector Wire Harness 4핀 100mm</t>
  </si>
  <si>
    <t>6-AR-0184</t>
  </si>
  <si>
    <t>ADX6000 Front USB Wire Harness 4핀 80mm</t>
  </si>
  <si>
    <t>6-AR-0186</t>
  </si>
  <si>
    <t>ADX6000 RS422 통신 Wire Harness 6핀 120mm</t>
  </si>
  <si>
    <t>6-AR-0183</t>
  </si>
  <si>
    <t>ADX6000 PC Connector Wire Harness 7핀 100mm,140mm,200mm</t>
  </si>
  <si>
    <t>6-AR-0182</t>
  </si>
  <si>
    <t>ADX6000FB 4.3" Module (IEC-266 구형)</t>
  </si>
  <si>
    <t>6-AR-0150</t>
  </si>
  <si>
    <t>ADX6000 컬리메이터 REAR</t>
  </si>
  <si>
    <t>6-AR-0347</t>
  </si>
  <si>
    <t>ADX6000 컬리메이터 내부하우징 사출</t>
  </si>
  <si>
    <t>6-AR-0105</t>
  </si>
  <si>
    <t>ADX6000 컬리메이터 내부브릿지 사출</t>
  </si>
  <si>
    <t>6-AR-0106</t>
  </si>
  <si>
    <t>ADX6000 컬리메이터 Mirror 거치대 사출</t>
  </si>
  <si>
    <t>6-AR-0107</t>
  </si>
  <si>
    <t>ADX6000 Micro USB 사출 가이드</t>
  </si>
  <si>
    <t>6-AR-0129</t>
  </si>
  <si>
    <t>ADX6000 아크릴 은경 [32x32x1.5 mm]</t>
  </si>
  <si>
    <t>6-AR-0108</t>
  </si>
  <si>
    <t>스킨가드 부속품</t>
  </si>
  <si>
    <t>스킨가드 부속품 (바-부쉬)</t>
  </si>
  <si>
    <t>스킨가드 부속품 (바-부쉬링)</t>
  </si>
  <si>
    <t>ADX6000 알루미늄 브라켓 4 HOLE</t>
  </si>
  <si>
    <t>6-AR-0348</t>
  </si>
  <si>
    <t>ADX6000 컬리메이터 LED 알루미늄 가이드</t>
  </si>
  <si>
    <t>6-AR-0109</t>
  </si>
  <si>
    <t>ADX6000 외부단자 연결 DC잭 고무링</t>
  </si>
  <si>
    <t>6-AR-0349</t>
  </si>
  <si>
    <t>ADX6000 외부단자 연결 DC잭 너트</t>
  </si>
  <si>
    <t>6-AR-0350</t>
  </si>
  <si>
    <t>ADX6000 Front Port Sticker (전면 포트 스티커)</t>
  </si>
  <si>
    <t>6-AR-0132</t>
  </si>
  <si>
    <t>ADX6000FB Front Port Sticker (수정전 리모콘 위치 상단)</t>
  </si>
  <si>
    <t>6-AR-0351</t>
  </si>
  <si>
    <t>ADX6000FB Front Port Sticker (USB 포트 제거형)</t>
  </si>
  <si>
    <t>6-AR-0136</t>
  </si>
  <si>
    <t>ADX6000 가죽 손잡이 탈착배터리용 터치펜 O</t>
  </si>
  <si>
    <t>6-AR-0147</t>
  </si>
  <si>
    <t>ADX6000 가죽 손잡이 (외부배터리용) AS용</t>
  </si>
  <si>
    <t>6-AR-0352</t>
  </si>
  <si>
    <t>ADX6000 BODY LEFT 사출(외부배터리용 단자대 사출커팅) AS용</t>
  </si>
  <si>
    <t>6-AR-0353</t>
  </si>
  <si>
    <t xml:space="preserve">BODY LEFT 사출
(리모컨 포트 가이드+FRONT PORT 스티커) </t>
  </si>
  <si>
    <t>ADX6000 BODY RIGHT 사출(외부배터리용) AS용</t>
  </si>
  <si>
    <t>6-AR-0354</t>
  </si>
  <si>
    <t>ADX6000s RIGHT ASS'Y</t>
  </si>
  <si>
    <t>6-AA-0075</t>
  </si>
  <si>
    <t>ADX6000 컬리메이터 내부하우징 사출 + 납</t>
  </si>
  <si>
    <t>6-AA-0076</t>
  </si>
  <si>
    <t>ADX6000 BOTTOM BLOCK</t>
  </si>
  <si>
    <t>DX3000 FRONT COVER (듀얼 슬라이드 (외부배터리용 홀)) AS용</t>
  </si>
  <si>
    <t>DX3000 X-CAP 체결형 (구형 폭 좁음) AS용</t>
  </si>
  <si>
    <t>DX3000 X-CAP 체결형 (구형 폭 좁음) AS용 - 스프레이 X</t>
  </si>
  <si>
    <t>DX3000 메디컬용 콘 가이드</t>
  </si>
  <si>
    <t>DX3000 메디컬용 FRONT</t>
  </si>
  <si>
    <t>DX3000 배터리커버 (G)</t>
    <phoneticPr fontId="130" type="noConversion"/>
  </si>
  <si>
    <t>3-AR-0025</t>
    <phoneticPr fontId="130" type="noConversion"/>
  </si>
  <si>
    <t>DX3000 메디컬용 콘 가이드</t>
    <phoneticPr fontId="130" type="noConversion"/>
  </si>
  <si>
    <t>DX3000 메디컬용 FRONT</t>
    <phoneticPr fontId="130" type="noConversion"/>
  </si>
  <si>
    <t>3-AR-0039</t>
    <phoneticPr fontId="130" type="noConversion"/>
  </si>
  <si>
    <t>3-AR-0040</t>
    <phoneticPr fontId="130" type="noConversion"/>
  </si>
  <si>
    <t>COCOON TOP BODY (W) [Carestream 로고]</t>
    <phoneticPr fontId="130" type="noConversion"/>
  </si>
  <si>
    <t>COCOON BOTTOM BODY (W)</t>
    <phoneticPr fontId="130" type="noConversion"/>
  </si>
  <si>
    <t>7-AR-0214</t>
    <phoneticPr fontId="130" type="noConversion"/>
  </si>
  <si>
    <t>7-AR-0216</t>
    <phoneticPr fontId="130" type="noConversion"/>
  </si>
  <si>
    <t>스프레이 하기 전엔 사용 불가능한 원재료 -&gt; 스프레이 후 DX3000 배터리커버 (G)가 됨</t>
    <phoneticPr fontId="130" type="noConversion"/>
  </si>
  <si>
    <t>COCOON CRADLE BODY (W)</t>
    <phoneticPr fontId="130" type="noConversion"/>
  </si>
  <si>
    <t>7-AR-0358</t>
    <phoneticPr fontId="130" type="noConversion"/>
  </si>
  <si>
    <t>COCOON CRADLE FRAME (W)</t>
    <phoneticPr fontId="130" type="noConversion"/>
  </si>
  <si>
    <t>7-AR-0221</t>
    <phoneticPr fontId="130" type="noConversion"/>
  </si>
  <si>
    <t>COCOON HAND BODY (W)</t>
    <phoneticPr fontId="130" type="noConversion"/>
  </si>
  <si>
    <t>7-AR-0219</t>
    <phoneticPr fontId="130" type="noConversion"/>
  </si>
  <si>
    <t>COCOON HAND TOP COVER (W)</t>
    <phoneticPr fontId="130" type="noConversion"/>
  </si>
  <si>
    <t>7-AR-0220</t>
    <phoneticPr fontId="130" type="noConversion"/>
  </si>
  <si>
    <t>SOLO BATCON to EXP 4핀 (YH396-04V) 150mm [하네스 4-2번]</t>
    <phoneticPr fontId="130" type="noConversion"/>
  </si>
  <si>
    <t>8-AR-0304</t>
    <phoneticPr fontId="130" type="noConversion"/>
  </si>
  <si>
    <t>SOLO BATCON to EXP 3핀 (12505HS-03) 190mm [하네스 4-1번]</t>
    <phoneticPr fontId="130" type="noConversion"/>
  </si>
  <si>
    <t>8-AR-0305</t>
    <phoneticPr fontId="130" type="noConversion"/>
  </si>
  <si>
    <t>SOLO OP to CTR 40핀 FFC CABLE 100mm [하네스 3번]</t>
    <phoneticPr fontId="130" type="noConversion"/>
  </si>
  <si>
    <t>8-AR-0307</t>
    <phoneticPr fontId="130" type="noConversion"/>
  </si>
  <si>
    <t>SOLO MAIN to REMOTE 3핀 (12505HS-03) 60mm [하네스 1번]</t>
    <phoneticPr fontId="130" type="noConversion"/>
  </si>
  <si>
    <t>8-AR-0308</t>
    <phoneticPr fontId="130" type="noConversion"/>
  </si>
  <si>
    <t>SOLO OP to POWER SWITCH 12핀 (12505HS-12) 100mm [하네스 2번]</t>
    <phoneticPr fontId="130" type="noConversion"/>
  </si>
  <si>
    <t>8-AR-0306</t>
    <phoneticPr fontId="130" type="noConversion"/>
  </si>
  <si>
    <t>DX3000, SOLO</t>
    <phoneticPr fontId="130" type="noConversion"/>
  </si>
  <si>
    <t>SOLO PCB 방열 가이드 (B)</t>
    <phoneticPr fontId="130" type="noConversion"/>
  </si>
  <si>
    <t>ADX4000W FRONT CONE 일체형</t>
    <phoneticPr fontId="130" type="noConversion"/>
  </si>
  <si>
    <t>스프레이 하기 전엔 사용 불가능한 원재료 -&gt; 스프레이 후 ADX4000W FRONT CONE 일체형이 됨</t>
    <phoneticPr fontId="130" type="noConversion"/>
  </si>
  <si>
    <t>ADX4000W 20cm CONE</t>
    <phoneticPr fontId="130" type="noConversion"/>
  </si>
  <si>
    <t>ADX4000W 20cm CONE과 동일</t>
    <phoneticPr fontId="130" type="noConversion"/>
  </si>
  <si>
    <t>MES 항목에 '히팅 싱크 + 방열팬 (구형)' 항목 추가</t>
    <phoneticPr fontId="130" type="noConversion"/>
  </si>
  <si>
    <t>MES 항목에 '히팅 싱크 + 방열팬 (신형)' 항목 추가</t>
    <phoneticPr fontId="130" type="noConversion"/>
  </si>
  <si>
    <t>ADX4000W BUFFALO WIFI 동글 [WLI-UC-GNM2]</t>
    <phoneticPr fontId="130" type="noConversion"/>
  </si>
  <si>
    <t>46-AR-0079</t>
    <phoneticPr fontId="130" type="noConversion"/>
  </si>
  <si>
    <t>ADX6000s CTR BD (Ver 1.1.1) - 8핀용</t>
    <phoneticPr fontId="130" type="noConversion"/>
  </si>
  <si>
    <t>6-NR-0003</t>
    <phoneticPr fontId="130" type="noConversion"/>
  </si>
  <si>
    <t>ADX6000FB CTR to GEN BD (Ver 2.0.1) - 10핀용</t>
    <phoneticPr fontId="130" type="noConversion"/>
  </si>
  <si>
    <t>6-NR-0009</t>
    <phoneticPr fontId="130" type="noConversion"/>
  </si>
  <si>
    <t>6-AR-0339</t>
    <phoneticPr fontId="130" type="noConversion"/>
  </si>
  <si>
    <t>12505HS-06, 12505HS-04, 12505HS-03, 5264-02 (250mm, 140mm, 300mm)</t>
    <phoneticPr fontId="130" type="noConversion"/>
  </si>
  <si>
    <t>12505HS-06, 12505HS-04, 12505HS-03, 12505HS-02 CTR, CURRENT, FRONT, PC BD연결 / 180mm, 140mm, 200mm</t>
    <phoneticPr fontId="130" type="noConversion"/>
  </si>
  <si>
    <t>ADX6000FB CTR, CURRENT, FRONT, PC BD연결 (12505HS-06, 12505HS-04, 12505HS-03, 12505HS-02) 250mm, 140mm, 200mm [하네스 1번]</t>
    <phoneticPr fontId="130" type="noConversion"/>
  </si>
  <si>
    <t>ADX6000FB CTR, CURRENT, FRONT, PC BD연결 (12505HS-06, 12505HS-04, 12505HS-03, 5264-02) 250mm, 140mm, 300mm [하네스 1-1번]</t>
    <phoneticPr fontId="130" type="noConversion"/>
  </si>
  <si>
    <t>6-AR-0169</t>
    <phoneticPr fontId="130" type="noConversion"/>
  </si>
  <si>
    <t>ADX6000 탈착 BAT BD (Ver 4.0) 연결 6핀 (12505HS-06) 80mm [하네스 11-1번]</t>
    <phoneticPr fontId="130" type="noConversion"/>
  </si>
  <si>
    <t>6-AR-0179</t>
    <phoneticPr fontId="130" type="noConversion"/>
  </si>
  <si>
    <t>ADX6000 컬리메이터 콘 가이드</t>
    <phoneticPr fontId="130" type="noConversion"/>
  </si>
  <si>
    <t>6-AR-0104</t>
    <phoneticPr fontId="130" type="noConversion"/>
  </si>
  <si>
    <t>DX3000 사각 컬리메이터 FRONT (B)</t>
    <phoneticPr fontId="130" type="noConversion"/>
  </si>
  <si>
    <t>3-AA-0019</t>
    <phoneticPr fontId="130" type="noConversion"/>
  </si>
  <si>
    <t>COCOON, ADX6000 자석 (네오디움 마그넷)</t>
    <phoneticPr fontId="130" type="noConversion"/>
  </si>
  <si>
    <t>67-AR-0231</t>
    <phoneticPr fontId="130" type="noConversion"/>
  </si>
  <si>
    <t>MES 항목에 'DX3000V 기본 배터리 [PF435060 60C 950mA]' 항목 추가</t>
    <phoneticPr fontId="130" type="noConversion"/>
  </si>
  <si>
    <t>뱅가드 53F [FDXD-810]</t>
    <phoneticPr fontId="130" type="noConversion"/>
  </si>
  <si>
    <t>34678-PR-0138</t>
    <phoneticPr fontId="130" type="noConversion"/>
  </si>
  <si>
    <t>MES 항목에서 'DX3000, ADX4000W 가방 [로고 O] &amp; DX3000 20cm 내부폼 &amp; DX3000, ADX4000W 계란판' 항목으로 나누었음</t>
    <phoneticPr fontId="130" type="noConversion"/>
  </si>
  <si>
    <t>DX3000, ADX4000W 가방 [로고 O]</t>
    <phoneticPr fontId="130" type="noConversion"/>
  </si>
  <si>
    <t>34-PR-0091</t>
    <phoneticPr fontId="130" type="noConversion"/>
  </si>
  <si>
    <t>MES 항목에서 'DX3000, ADX4000W 가방 [로고 X] &amp; DX3000 20cm 내부폼 &amp; DX3000, ADX4000W 계란판' 항목으로 나누었음</t>
    <phoneticPr fontId="130" type="noConversion"/>
  </si>
  <si>
    <t>DX3000, ADX4000W 가방 [로고 X]</t>
    <phoneticPr fontId="130" type="noConversion"/>
  </si>
  <si>
    <t>MES 항목에서 'COCOON, ADX6000FB 가방 [로고 O] &amp; COCOON 18cm 내부폼 상판 &amp; COCOON 18cm 내부폼 하판 &amp; COCOON, ADX6000 계란판' 항목으로 나누었음</t>
    <phoneticPr fontId="130" type="noConversion"/>
  </si>
  <si>
    <t>MES 항목에서 'COCOON, ADX6000FB 가방 [로고 X] &amp; COCOON 20cm 내부폼 상판 &amp; COCOON 20cm 내부폼 하판 &amp; COCOON, ADX6000 계란판' 항목으로 나누었음</t>
    <phoneticPr fontId="130" type="noConversion"/>
  </si>
  <si>
    <t>COCOON, ADX6000FB 가방 [로고 X]</t>
    <phoneticPr fontId="130" type="noConversion"/>
  </si>
  <si>
    <t>34-PR-0092</t>
    <phoneticPr fontId="130" type="noConversion"/>
  </si>
  <si>
    <t>67-PR-0094</t>
    <phoneticPr fontId="130" type="noConversion"/>
  </si>
  <si>
    <t>34-PR-0091 &amp; 3-PR-0098 &amp; 34-PR-0139</t>
    <phoneticPr fontId="130" type="noConversion"/>
  </si>
  <si>
    <t>34-PR-0092 &amp; 3-PR-0098 &amp; 34-PR-0139</t>
    <phoneticPr fontId="130" type="noConversion"/>
  </si>
  <si>
    <t>MES 항목에서 'COCOON, ADX6000FB 가방 [로고 O] &amp; ADX6000 내부폼 상판 &amp; ADX6000 내부폼 중간판 &amp; ADX6000 내부폼 하판 &amp; COCOON, ADX6000 계란판' 항목으로 나누었음</t>
    <phoneticPr fontId="130" type="noConversion"/>
  </si>
  <si>
    <t>67-PR-0093 &amp; 6-PR-0105 &amp; 6-PR-0106 &amp; 6-PR-0107 &amp; 67-PR-0140</t>
    <phoneticPr fontId="130" type="noConversion"/>
  </si>
  <si>
    <t>67-PR-0093 &amp; 7-PR-0101 &amp; 7-PR-0102 &amp; 67-PR-0140</t>
    <phoneticPr fontId="130" type="noConversion"/>
  </si>
  <si>
    <t>67-PR-0094 &amp; 7-PR-0103 &amp; 7-PR-0104 &amp; 67-PR-0140</t>
    <phoneticPr fontId="130" type="noConversion"/>
  </si>
  <si>
    <t>MES 항목에 'ADX6000 내부폼 상판 [47x36.5x2.5 mm] (뱅가드 46F용)' 항목 추가</t>
    <phoneticPr fontId="130" type="noConversion"/>
  </si>
  <si>
    <t>MES 항목에 'ADX6000 내부폼 중판 [47x36.5x5.5 mm] (뱅가드 46F용)' 항목 추가</t>
    <phoneticPr fontId="130" type="noConversion"/>
  </si>
  <si>
    <t>MES 항목에 'ADX6000 내부폼 하판 [47x36.5x7.5 mm] (뱅가드 46F용)' 항목 추가</t>
    <phoneticPr fontId="130" type="noConversion"/>
  </si>
  <si>
    <t>6-PR-0144</t>
    <phoneticPr fontId="130" type="noConversion"/>
  </si>
  <si>
    <t>6-PR-0116</t>
    <phoneticPr fontId="130" type="noConversion"/>
  </si>
  <si>
    <t>34678-PR-0149</t>
    <phoneticPr fontId="130" type="noConversion"/>
  </si>
  <si>
    <t>DX3000, ADX4000W 에어셀 [Top 얇은 것]</t>
    <phoneticPr fontId="130" type="noConversion"/>
  </si>
  <si>
    <t>34-PR-0123</t>
    <phoneticPr fontId="130" type="noConversion"/>
  </si>
  <si>
    <t>DX3000, ADX4000W 에어셀 [Bottom 두꺼운 것]</t>
    <phoneticPr fontId="130" type="noConversion"/>
  </si>
  <si>
    <t>34-PR-0124</t>
    <phoneticPr fontId="130" type="noConversion"/>
  </si>
  <si>
    <t>COCOON, ADX6000FB 에어셀 [Top+Bottom 긴 것]</t>
    <phoneticPr fontId="130" type="noConversion"/>
  </si>
  <si>
    <t>67-PR-0125</t>
    <phoneticPr fontId="130" type="noConversion"/>
  </si>
  <si>
    <t>COCOON, ADX6000FB 에어셀 [Side 짧은 것]</t>
    <phoneticPr fontId="130" type="noConversion"/>
  </si>
  <si>
    <t>67-PR-0126</t>
    <phoneticPr fontId="130" type="noConversion"/>
  </si>
  <si>
    <t>DX3000 저가 박스 에어셀 [Accessories]</t>
    <phoneticPr fontId="130" type="noConversion"/>
  </si>
  <si>
    <t>3-PR-0122</t>
    <phoneticPr fontId="130" type="noConversion"/>
  </si>
  <si>
    <r>
      <t>연아크릴 [65</t>
    </r>
    <r>
      <rPr>
        <sz val="9"/>
        <color rgb="FF000000"/>
        <rFont val="Times New Roman"/>
        <family val="1"/>
      </rPr>
      <t>ɸ</t>
    </r>
    <r>
      <rPr>
        <sz val="9"/>
        <color rgb="FF000000"/>
        <rFont val="맑은 고딕"/>
        <family val="3"/>
        <charset val="129"/>
      </rPr>
      <t xml:space="preserve"> 8T] (선일쉴드텍)</t>
    </r>
    <phoneticPr fontId="130" type="noConversion"/>
  </si>
  <si>
    <t>78-PR-0038</t>
    <phoneticPr fontId="130" type="noConversion"/>
  </si>
  <si>
    <r>
      <t>연아크릴 [65</t>
    </r>
    <r>
      <rPr>
        <sz val="9"/>
        <color rgb="FF000000"/>
        <rFont val="Times New Roman"/>
        <family val="1"/>
      </rPr>
      <t>ɸ</t>
    </r>
    <r>
      <rPr>
        <sz val="9"/>
        <color rgb="FF000000"/>
        <rFont val="맑은 고딕"/>
        <family val="3"/>
        <charset val="129"/>
      </rPr>
      <t xml:space="preserve"> 8T] (중국)</t>
    </r>
    <phoneticPr fontId="130" type="noConversion"/>
  </si>
  <si>
    <t>78-PR-0156</t>
    <phoneticPr fontId="130" type="noConversion"/>
  </si>
  <si>
    <r>
      <t>연아크릴 [65</t>
    </r>
    <r>
      <rPr>
        <sz val="9"/>
        <color rgb="FF000000"/>
        <rFont val="Times New Roman"/>
        <family val="1"/>
      </rPr>
      <t>ɸ</t>
    </r>
    <r>
      <rPr>
        <sz val="9"/>
        <color rgb="FF000000"/>
        <rFont val="맑은 고딕"/>
        <family val="3"/>
        <charset val="129"/>
      </rPr>
      <t xml:space="preserve"> 12T] (선일쉴드텍)</t>
    </r>
    <phoneticPr fontId="130" type="noConversion"/>
  </si>
  <si>
    <t>3478-PR-0041</t>
    <phoneticPr fontId="130" type="noConversion"/>
  </si>
  <si>
    <r>
      <t>연아크릴 [65</t>
    </r>
    <r>
      <rPr>
        <sz val="9"/>
        <color rgb="FF000000"/>
        <rFont val="Times New Roman"/>
        <family val="1"/>
      </rPr>
      <t>ɸ</t>
    </r>
    <r>
      <rPr>
        <sz val="9"/>
        <color rgb="FF000000"/>
        <rFont val="맑은 고딕"/>
        <family val="3"/>
        <charset val="129"/>
      </rPr>
      <t xml:space="preserve"> 12T] (중국)</t>
    </r>
    <phoneticPr fontId="130" type="noConversion"/>
  </si>
  <si>
    <t>3478-PR-0040</t>
    <phoneticPr fontId="130" type="noConversion"/>
  </si>
  <si>
    <r>
      <t>연아크릴 [60</t>
    </r>
    <r>
      <rPr>
        <sz val="9"/>
        <color rgb="FF000000"/>
        <rFont val="Times New Roman"/>
        <family val="1"/>
      </rPr>
      <t>ɸ</t>
    </r>
    <r>
      <rPr>
        <sz val="9"/>
        <color rgb="FF000000"/>
        <rFont val="맑은 고딕"/>
        <family val="3"/>
        <charset val="129"/>
      </rPr>
      <t xml:space="preserve"> 12T] (선일쉴드텍)</t>
    </r>
    <phoneticPr fontId="130" type="noConversion"/>
  </si>
  <si>
    <t>34-PR-0039</t>
    <phoneticPr fontId="130" type="noConversion"/>
  </si>
  <si>
    <r>
      <t>연아크릴 [60</t>
    </r>
    <r>
      <rPr>
        <sz val="9"/>
        <color rgb="FF000000"/>
        <rFont val="Times New Roman"/>
        <family val="1"/>
      </rPr>
      <t>ɸ</t>
    </r>
    <r>
      <rPr>
        <sz val="9"/>
        <color rgb="FF000000"/>
        <rFont val="맑은 고딕"/>
        <family val="3"/>
        <charset val="129"/>
      </rPr>
      <t xml:space="preserve"> 12T] (중국)</t>
    </r>
    <phoneticPr fontId="130" type="noConversion"/>
  </si>
  <si>
    <t>347-PR-0157</t>
    <phoneticPr fontId="130" type="noConversion"/>
  </si>
  <si>
    <t>ADX6000 연아크릴 [215x195x8mm] 하단 가공된 것</t>
    <phoneticPr fontId="130" type="noConversion"/>
  </si>
  <si>
    <t>6-PR-0043</t>
    <phoneticPr fontId="130" type="noConversion"/>
  </si>
  <si>
    <t>ADX6000 연아크릴 [215x195x8mm]</t>
    <phoneticPr fontId="130" type="noConversion"/>
  </si>
  <si>
    <t>6-PR-0044</t>
    <phoneticPr fontId="130" type="noConversion"/>
  </si>
  <si>
    <t>뱅가드 53F NAME PLATE [DEXCOWIN]</t>
    <phoneticPr fontId="130" type="noConversion"/>
  </si>
  <si>
    <t>34678-PR-0161</t>
    <phoneticPr fontId="130" type="noConversion"/>
  </si>
  <si>
    <t>뱅가드 46F NAME PLATE [DEXCOWIN]</t>
    <phoneticPr fontId="130" type="noConversion"/>
  </si>
  <si>
    <t>6-PR-0162</t>
    <phoneticPr fontId="130" type="noConversion"/>
  </si>
  <si>
    <t>ADX6000 CRADLE FOOT RUBBER</t>
    <phoneticPr fontId="130" type="noConversion"/>
  </si>
  <si>
    <t>6-AR-0329</t>
    <phoneticPr fontId="130" type="noConversion"/>
  </si>
  <si>
    <t>MES 항목에 'D-910 크래들 TOP 사출, D-910 크래들 BOTTOM 사출' 항목 추가</t>
    <phoneticPr fontId="130" type="noConversion"/>
  </si>
  <si>
    <t>ADX6000 스탠드 브라켓 조인트 ASS'Y</t>
    <phoneticPr fontId="130" type="noConversion"/>
  </si>
  <si>
    <t>6-PA-0001</t>
    <phoneticPr fontId="130" type="noConversion"/>
  </si>
  <si>
    <t>4-VR-0015</t>
    <phoneticPr fontId="130" type="noConversion"/>
  </si>
  <si>
    <t>CTR B/D [DX4000]</t>
    <phoneticPr fontId="130" type="noConversion"/>
  </si>
  <si>
    <t>ADX6000 CTR BD (Ver 1.5)</t>
    <phoneticPr fontId="130" type="noConversion"/>
  </si>
  <si>
    <t>6-NR-0004</t>
    <phoneticPr fontId="130" type="noConversion"/>
  </si>
  <si>
    <t>ADX6000 INNER USB BD (Ver 2.1)</t>
    <phoneticPr fontId="130" type="noConversion"/>
  </si>
  <si>
    <t>6-NR-0006</t>
    <phoneticPr fontId="130" type="noConversion"/>
  </si>
  <si>
    <t>확인 필요</t>
    <phoneticPr fontId="130" type="noConversion"/>
  </si>
  <si>
    <t>DX3000 기본 Battery Pack (사급자재)</t>
    <phoneticPr fontId="130" type="noConversion"/>
  </si>
  <si>
    <t>348-PR-0174</t>
    <phoneticPr fontId="130" type="noConversion"/>
  </si>
  <si>
    <t>MES 항목에 'ADX6000 Battery Pack (사급자재)' 항목  추가</t>
    <phoneticPr fontId="130" type="noConversion"/>
  </si>
  <si>
    <t>ADX6000 크래들 ASS'Y [CR-ADX]</t>
    <phoneticPr fontId="130" type="noConversion"/>
  </si>
  <si>
    <t>6-AA-0036</t>
    <phoneticPr fontId="130" type="noConversion"/>
  </si>
  <si>
    <t>ADX6000 FRONT CONNECTOR BD</t>
    <phoneticPr fontId="130" type="noConversion"/>
  </si>
  <si>
    <t>6-AR-0160</t>
    <phoneticPr fontId="130" type="noConversion"/>
  </si>
  <si>
    <t>7-AR-0336</t>
    <phoneticPr fontId="130" type="noConversion"/>
  </si>
  <si>
    <t>ADX6000 컬리메이터 LED BD (LED 작고 밝은 것 적용)</t>
    <phoneticPr fontId="130" type="noConversion"/>
  </si>
  <si>
    <t>6-AR-0167</t>
    <phoneticPr fontId="130" type="noConversion"/>
  </si>
  <si>
    <t>ADX6000s AIM LIGHT DRIVER BD (Ver 1.0.0) - 9핀용</t>
    <phoneticPr fontId="130" type="noConversion"/>
  </si>
  <si>
    <t>6-NR-0008</t>
    <phoneticPr fontId="130" type="noConversion"/>
  </si>
  <si>
    <t>ADX6000FB 4.3" LCD 판넬 (IEC-266 &amp; IEC-1000 공용)</t>
    <phoneticPr fontId="130" type="noConversion"/>
  </si>
  <si>
    <t>6-AR-0149</t>
    <phoneticPr fontId="130" type="noConversion"/>
  </si>
  <si>
    <t>ADX6000 Skin Guard Frame</t>
    <phoneticPr fontId="130" type="noConversion"/>
  </si>
  <si>
    <t>6-AR-0114</t>
    <phoneticPr fontId="130" type="noConversion"/>
  </si>
  <si>
    <t>MES 항목에 'CD 케이스' 항목 추가</t>
    <phoneticPr fontId="130" type="noConversion"/>
  </si>
  <si>
    <t>MES 항목에 '공 CD' 항목 추가</t>
    <phoneticPr fontId="130" type="noConversion"/>
  </si>
  <si>
    <t>MES 항목에서 'ADX6000 BODY LEFT 사출 &amp; ADX6000FB 리모콘 포트 가이드 &amp; ADX6000FB Front Port Sticker' 항목으로 나누었음</t>
    <phoneticPr fontId="130" type="noConversion"/>
  </si>
  <si>
    <t>6-AR-0125 &amp; 6-AR-0134 &amp; 6-AR-0135</t>
    <phoneticPr fontId="130" type="noConversion"/>
  </si>
  <si>
    <t>MES 항목에 'PLATTZ 330N 센서 하네스 1번 (배터리팩 4핀)' 항목 추가</t>
    <phoneticPr fontId="130" type="noConversion"/>
  </si>
  <si>
    <t>MES 항목에 'PLATTZ 330N 센서 하네스 2번 (전원 스위치 2핀)' 항목 추가</t>
    <phoneticPr fontId="130" type="noConversion"/>
  </si>
  <si>
    <t>MES 항목에 'PLATTZ 330N 센서 하네스 3번 (FLAT 24핀)' 항목 추가</t>
    <phoneticPr fontId="130" type="noConversion"/>
  </si>
  <si>
    <t>MES 항목에 'PLATTZ 330N 센서 하네스 4번 (8핀)' 항목 추가</t>
    <phoneticPr fontId="130" type="noConversion"/>
  </si>
  <si>
    <t>MES 항목에 'PLATTZ 330N 센서 하네스 5번 (인터페이스 케이블)' 항목 추가</t>
    <phoneticPr fontId="130" type="noConversion"/>
  </si>
  <si>
    <t>MES 항목에 'PLATTZ 330N 센서 고무 RUBBER' 항목 추가</t>
    <phoneticPr fontId="130" type="noConversion"/>
  </si>
  <si>
    <t>MES 항목에 '17.0V 5A SMPS (85W) [DEX-A085-M]' 항목 추가</t>
    <phoneticPr fontId="130" type="noConversion"/>
  </si>
  <si>
    <t>MES 항목에 '스킨가드 구형 (납작)' 항목 추가</t>
    <phoneticPr fontId="130" type="noConversion"/>
  </si>
  <si>
    <t>AS 자재로 이관</t>
    <phoneticPr fontId="130" type="noConversion"/>
  </si>
  <si>
    <t>MES 항목에 '마그네틱 젠더' 항목 추가</t>
    <phoneticPr fontId="130" type="noConversion"/>
  </si>
  <si>
    <t>MES 항목에 '와이어 몰드' 항목 추가</t>
    <phoneticPr fontId="130" type="noConversion"/>
  </si>
  <si>
    <t>ADX6000FB ETC FRONT BD (리모콘 포트 수정 전)</t>
    <phoneticPr fontId="130" type="noConversion"/>
  </si>
  <si>
    <t>ADX6000 제품 박스</t>
    <phoneticPr fontId="130" type="noConversion"/>
  </si>
  <si>
    <t>ADX6000FB 제품 박스 [450x240x490 mm]</t>
    <phoneticPr fontId="130" type="noConversion"/>
  </si>
  <si>
    <t>뱅가드 46F 포장용 무지 박스</t>
    <phoneticPr fontId="130" type="noConversion"/>
  </si>
  <si>
    <t>(매칭작업에서 삭제됨)</t>
    <phoneticPr fontId="130" type="noConversion"/>
  </si>
  <si>
    <t>COCOON FFC CABLE (1mm*30P*A) 200mm [하네스 3-1번] (같은 방향)</t>
    <phoneticPr fontId="1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</si>
</sst>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3" formatCode="0&quot; &quot;"/>
    <numFmt numFmtId="184" formatCode="General_)"/>
    <numFmt numFmtId="185" formatCode="&quot;$&quot;\ #,##0;&quot;$&quot;\ \-#,##0"/>
    <numFmt numFmtId="186" formatCode="0.000"/>
    <numFmt numFmtId="187" formatCode="_ * #,##0.00_)&quot;£&quot;_ ;_ * \(#,##0.00\)&quot;£&quot;_ ;_ * &quot;-&quot;??_)&quot;£&quot;_ ;_ @_ "/>
    <numFmt numFmtId="188" formatCode="_ * #,##0.00_)_£_ ;_ * \(#,##0.00\)_£_ ;_ * &quot;-&quot;??_)_£_ ;_ @_ "/>
    <numFmt numFmtId="189" formatCode="0.000%"/>
    <numFmt numFmtId="190" formatCode="0.0000%"/>
    <numFmt numFmtId="191" formatCode="0.00_)"/>
    <numFmt numFmtId="192" formatCode="_-* #,##0\ _F_-;\-* #,##0\ _F_-;_-* &quot;-&quot;\ _F_-;_-@_-"/>
    <numFmt numFmtId="193" formatCode="#,##0\ &quot;F&quot;;[Red]\-#,##0\ &quot;F&quot;"/>
    <numFmt numFmtId="194" formatCode="#,##0.00\ &quot;F&quot;;\-#,##0.00\ &quot;F&quot;"/>
    <numFmt numFmtId="195" formatCode="_(* #,##0.0000_);_(* \(#,##0.0000\);_(* &quot;-&quot;??_);_(@_)"/>
    <numFmt numFmtId="196" formatCode="_ * #,##0_ ;_ * \-#,##0_ ;_ * &quot;-&quot;_ ;_ @_ "/>
    <numFmt numFmtId="197" formatCode="_ * #,##0_ ;_ * &quot;₩&quot;\-#,##0_ ;_ * &quot;-&quot;_ ;_ @_ "/>
    <numFmt numFmtId="198" formatCode="_ * #,##0.00_ ;_ * &quot;₩&quot;\-#,##0.00_ ;_ * &quot;-&quot;??_ ;_ @_ "/>
    <numFmt numFmtId="199" formatCode="_(* #,##0.0_);_(* \(#,##0.0\);_(* &quot;-&quot;_);_(@_)"/>
    <numFmt numFmtId="200" formatCode="_ * #,##0.00_ ;_ * \-#,##0.00_ ;_ * &quot;-&quot;??_ ;_ @_ "/>
    <numFmt numFmtId="201" formatCode="_-&quot;₩&quot;* #,##0_-;&quot;₩&quot;\!\-&quot;₩&quot;* #,##0_-;_-&quot;₩&quot;* &quot;-&quot;_-;_-@_-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_(* #,##0_);_(* \(#,##0\);_(* &quot;-&quot;??_);_(@_)"/>
    <numFmt numFmtId="205" formatCode="_-&quot;$&quot;* #,##0_-;\-&quot;$&quot;* #,##0_-;_-&quot;$&quot;* &quot;-&quot;_-;_-@_-"/>
    <numFmt numFmtId="206" formatCode="_-&quot;$&quot;* #,##0.00_-;\-&quot;$&quot;* #,##0.00_-;_-&quot;$&quot;* &quot;-&quot;??_-;_-@_-"/>
    <numFmt numFmtId="207" formatCode="_(* #,##0.0_);_(* \(#,##0.0\);_(* &quot;-&quot;??_);_(@_)"/>
    <numFmt numFmtId="208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77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F2F2F2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CCE5FF"/>
        <bgColor rgb="FFCCE5FF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3" fontId="23" fillId="0" borderId="0">
      <alignment vertical="center"/>
    </xf>
    <xf numFmtId="0" fontId="24" fillId="24" borderId="0">
      <alignment vertical="center"/>
    </xf>
    <xf numFmtId="183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4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6" fontId="32" fillId="0" borderId="0">
      <alignment vertical="center"/>
    </xf>
    <xf numFmtId="0" fontId="33" fillId="0" borderId="0">
      <alignment vertical="center"/>
    </xf>
    <xf numFmtId="187" fontId="33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5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4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89" fontId="34" fillId="0" borderId="0">
      <alignment vertical="center"/>
    </xf>
    <xf numFmtId="190" fontId="34" fillId="0" borderId="0">
      <alignment vertical="center"/>
    </xf>
    <xf numFmtId="0" fontId="53" fillId="22" borderId="0">
      <alignment vertical="center"/>
    </xf>
    <xf numFmtId="191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7" fontId="33" fillId="0" borderId="0">
      <alignment vertical="center"/>
    </xf>
    <xf numFmtId="192" fontId="33" fillId="0" borderId="0">
      <alignment vertical="center"/>
    </xf>
    <xf numFmtId="10" fontId="33" fillId="0" borderId="0">
      <alignment vertical="center"/>
    </xf>
    <xf numFmtId="193" fontId="33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3" fontId="33" fillId="0" borderId="0">
      <alignment vertical="center"/>
    </xf>
    <xf numFmtId="194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5" fontId="33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7" fontId="70" fillId="0" borderId="0">
      <alignment vertical="center"/>
    </xf>
    <xf numFmtId="198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199" fontId="33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6" fontId="72" fillId="0" borderId="0">
      <alignment vertical="center"/>
    </xf>
    <xf numFmtId="0" fontId="70" fillId="0" borderId="0">
      <alignment vertical="center"/>
    </xf>
    <xf numFmtId="196" fontId="72" fillId="0" borderId="0">
      <alignment vertical="center"/>
    </xf>
    <xf numFmtId="200" fontId="72" fillId="0" borderId="0">
      <alignment vertical="center"/>
    </xf>
    <xf numFmtId="196" fontId="60" fillId="0" borderId="0">
      <alignment vertical="center"/>
    </xf>
    <xf numFmtId="200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2" fontId="70" fillId="0" borderId="0">
      <alignment vertical="center"/>
    </xf>
    <xf numFmtId="203" fontId="70" fillId="0" borderId="0">
      <alignment vertical="center"/>
    </xf>
    <xf numFmtId="0" fontId="33" fillId="0" borderId="0">
      <alignment vertical="center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5" fontId="63" fillId="0" borderId="0">
      <alignment vertical="center"/>
    </xf>
    <xf numFmtId="205" fontId="33" fillId="0" borderId="0">
      <alignment vertical="center"/>
    </xf>
    <xf numFmtId="206" fontId="63" fillId="0" borderId="0">
      <alignment vertical="center"/>
    </xf>
    <xf numFmtId="0" fontId="33" fillId="0" borderId="0">
      <alignment vertical="center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64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123" fillId="70" borderId="26" xfId="0" applyFont="1" applyFill="1" applyBorder="1" applyAlignment="1">
      <alignment horizontal="left" vertical="center"/>
    </xf>
    <xf numFmtId="0" fontId="123" fillId="70" borderId="26" xfId="0" applyFont="1" applyFill="1" applyBorder="1">
      <alignment vertical="center"/>
    </xf>
    <xf numFmtId="0" fontId="123" fillId="71" borderId="26" xfId="0" applyFont="1" applyFill="1" applyBorder="1" applyAlignment="1">
      <alignment horizontal="left" vertical="center"/>
    </xf>
    <xf numFmtId="0" fontId="123" fillId="68" borderId="26" xfId="0" applyFont="1" applyFill="1" applyBorder="1" applyAlignment="1">
      <alignment horizontal="left" vertical="center"/>
    </xf>
    <xf numFmtId="0" fontId="123" fillId="68" borderId="26" xfId="0" applyFont="1" applyFill="1" applyBorder="1">
      <alignment vertical="center"/>
    </xf>
    <xf numFmtId="0" fontId="123" fillId="69" borderId="26" xfId="3384" applyFont="1" applyFill="1" applyBorder="1" applyAlignment="1">
      <alignment horizontal="left" vertical="center"/>
    </xf>
    <xf numFmtId="0" fontId="5" fillId="64" borderId="10" xfId="232" applyFont="1" applyFill="1" applyBorder="1" applyAlignment="1">
      <alignment horizontal="left" vertical="center"/>
    </xf>
    <xf numFmtId="0" fontId="123" fillId="72" borderId="26" xfId="0" applyFont="1" applyFill="1" applyBorder="1" applyAlignment="1">
      <alignment horizontal="left" vertical="center"/>
    </xf>
    <xf numFmtId="0" fontId="123" fillId="70" borderId="0" xfId="0" applyFont="1" applyFill="1" applyAlignment="1">
      <alignment horizontal="left" vertical="center"/>
    </xf>
    <xf numFmtId="0" fontId="0" fillId="72" borderId="0" xfId="0" applyFill="1">
      <alignment vertical="center"/>
    </xf>
    <xf numFmtId="178" fontId="132" fillId="64" borderId="25" xfId="215" applyNumberFormat="1" applyFont="1" applyFill="1" applyBorder="1" applyAlignment="1">
      <alignment horizontal="right" vertical="center" wrapText="1"/>
    </xf>
    <xf numFmtId="0" fontId="5" fillId="74" borderId="10" xfId="0" applyFont="1" applyFill="1" applyBorder="1" applyAlignment="1">
      <alignment horizontal="left" vertical="center"/>
    </xf>
    <xf numFmtId="0" fontId="123" fillId="75" borderId="26" xfId="0" applyFont="1" applyFill="1" applyBorder="1" applyAlignment="1">
      <alignment horizontal="left" vertical="center"/>
    </xf>
    <xf numFmtId="178" fontId="132" fillId="64" borderId="25" xfId="0" applyNumberFormat="1" applyFont="1" applyFill="1" applyBorder="1" applyAlignment="1">
      <alignment horizontal="right" vertical="center" wrapText="1"/>
    </xf>
    <xf numFmtId="178" fontId="132" fillId="76" borderId="25" xfId="215" applyNumberFormat="1" applyFont="1" applyFill="1" applyBorder="1" applyAlignment="1">
      <alignment horizontal="right" vertical="center" wrapText="1"/>
    </xf>
    <xf numFmtId="177" fontId="132" fillId="64" borderId="0" xfId="215" applyNumberFormat="1" applyFont="1" applyFill="1" applyAlignment="1">
      <alignment horizontal="right" vertical="center" wrapText="1"/>
    </xf>
    <xf numFmtId="0" fontId="127" fillId="73" borderId="26" xfId="0" applyFont="1" applyFill="1" applyBorder="1" applyAlignment="1"/>
    <xf numFmtId="0" fontId="0" fillId="73" borderId="26" xfId="0" applyFill="1" applyBorder="1" applyAlignment="1"/>
    <xf numFmtId="0" fontId="34" fillId="0" borderId="26" xfId="215" applyFont="1" applyBorder="1" applyAlignment="1">
      <alignment horizontal="center" vertical="center"/>
    </xf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6" xfId="0" applyBorder="1" applyAlignment="1"/>
    <xf numFmtId="0" fontId="5" fillId="59" borderId="10" xfId="0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  <xf numFmtId="0" fontId="123" fillId="72" borderId="0" xfId="0" applyFont="1" applyFill="1" applyBorder="1" applyAlignment="1">
      <alignment horizontal="left" vertical="center"/>
    </xf>
    <xf numFmtId="0" fontId="123" fillId="70" borderId="0" xfId="0" applyFont="1" applyFill="1" applyBorder="1" applyAlignment="1">
      <alignment horizontal="left" vertical="center"/>
    </xf>
    <xf numFmtId="0" fontId="123" fillId="71" borderId="0" xfId="0" applyFont="1" applyFill="1" applyBorder="1" applyAlignment="1">
      <alignment horizontal="left" vertical="center"/>
    </xf>
    <xf numFmtId="0" fontId="123" fillId="68" borderId="0" xfId="0" applyFont="1" applyFill="1" applyBorder="1" applyAlignment="1">
      <alignment horizontal="left" vertical="center"/>
    </xf>
    <xf numFmtId="0" fontId="0" fillId="72" borderId="26" xfId="0" applyFill="1" applyBorder="1">
      <alignment vertical="center"/>
    </xf>
    <xf numFmtId="0" fontId="0" fillId="72" borderId="26" xfId="0" applyFill="1" applyBorder="1" applyAlignment="1"/>
    <xf numFmtId="0" fontId="34" fillId="0" borderId="10" xfId="215" applyFont="1" applyBorder="1" applyAlignment="1">
      <alignment horizontal="center" vertical="center"/>
    </xf>
    <xf numFmtId="0" fontId="34" fillId="0" borderId="0" xfId="215" applyFont="1" applyBorder="1">
      <alignment vertical="center"/>
    </xf>
    <xf numFmtId="179" fontId="5" fillId="0" borderId="0" xfId="215" applyNumberFormat="1" applyFont="1" applyBorder="1">
      <alignment vertical="center"/>
    </xf>
    <xf numFmtId="179" fontId="34" fillId="0" borderId="0" xfId="215" applyNumberFormat="1" applyFont="1" applyBorder="1">
      <alignment vertical="center"/>
    </xf>
    <xf numFmtId="49" fontId="123" fillId="69" borderId="26" xfId="0" applyNumberFormat="1" applyFont="1" applyFill="1" applyBorder="1" applyAlignment="1">
      <alignment horizontal="left" vertical="center"/>
    </xf>
    <xf numFmtId="0" fontId="5" fillId="64" borderId="10" xfId="0" applyFont="1" applyFill="1" applyBorder="1" applyAlignment="1">
      <alignment horizontal="left" vertical="center"/>
    </xf>
    <xf numFmtId="0" fontId="123" fillId="69" borderId="10" xfId="3384" applyFont="1" applyFill="1" applyBorder="1" applyAlignment="1">
      <alignment horizontal="left" vertical="center"/>
    </xf>
    <xf numFmtId="0" fontId="123" fillId="72" borderId="10" xfId="0" applyFont="1" applyFill="1" applyBorder="1" applyAlignment="1">
      <alignment horizontal="left" vertical="center"/>
    </xf>
    <xf numFmtId="0" fontId="5" fillId="0" borderId="0" xfId="215" applyFont="1" applyBorder="1" applyAlignment="1">
      <alignment horizontal="center" vertical="center"/>
    </xf>
    <xf numFmtId="177" fontId="34" fillId="0" borderId="10" xfId="215" applyNumberFormat="1" applyFont="1" applyBorder="1" applyAlignment="1">
      <alignment horizontal="left" vertical="center"/>
    </xf>
    <xf numFmtId="178" fontId="5" fillId="0" borderId="0" xfId="215" applyNumberFormat="1" applyFont="1" applyBorder="1" applyAlignment="1">
      <alignment horizontal="center" vertical="center"/>
    </xf>
    <xf numFmtId="177" fontId="132" fillId="64" borderId="25" xfId="215" applyNumberFormat="1" applyFont="1" applyFill="1" applyBorder="1" applyAlignment="1">
      <alignment horizontal="right" vertical="center" wrapText="1"/>
    </xf>
    <xf numFmtId="178" fontId="132" fillId="76" borderId="0" xfId="215" applyNumberFormat="1" applyFont="1" applyFill="1" applyBorder="1" applyAlignment="1">
      <alignment horizontal="right" vertical="center" wrapText="1"/>
    </xf>
    <xf numFmtId="0" fontId="5" fillId="0" borderId="26" xfId="215" applyFont="1" applyBorder="1" applyAlignment="1">
      <alignment horizontal="center" vertical="center"/>
    </xf>
    <xf numFmtId="0" fontId="5" fillId="25" borderId="26" xfId="232" applyFont="1" applyFill="1" applyBorder="1" applyAlignment="1">
      <alignment horizontal="left" vertical="center"/>
    </xf>
    <xf numFmtId="49" fontId="123" fillId="0" borderId="10" xfId="3384" applyNumberFormat="1" applyFont="1" applyBorder="1" applyAlignment="1">
      <alignment horizontal="left" vertical="center"/>
    </xf>
    <xf numFmtId="0" fontId="34" fillId="0" borderId="10" xfId="215" applyFont="1" applyBorder="1" applyAlignment="1">
      <alignment horizontal="left" vertical="center" wrapText="1"/>
    </xf>
    <xf numFmtId="0" fontId="5" fillId="25" borderId="0" xfId="232" applyFont="1" applyFill="1" applyBorder="1" applyAlignment="1">
      <alignment horizontal="left" vertical="center"/>
    </xf>
    <xf numFmtId="0" fontId="0" fillId="73" borderId="10" xfId="0" applyFill="1" applyBorder="1" applyAlignment="1"/>
    <xf numFmtId="0" fontId="133" fillId="0" borderId="0" xfId="215" applyFont="1" applyBorder="1">
      <alignment vertical="center"/>
    </xf>
    <xf numFmtId="14" fontId="5" fillId="0" borderId="0" xfId="215" applyNumberFormat="1" applyFont="1" applyBorder="1">
      <alignment vertical="center"/>
    </xf>
    <xf numFmtId="0" fontId="5" fillId="0" borderId="0" xfId="215" applyFont="1" applyBorder="1">
      <alignment vertical="center"/>
    </xf>
    <xf numFmtId="0" fontId="5" fillId="61" borderId="0" xfId="215" applyFont="1" applyFill="1" applyBorder="1">
      <alignment vertical="center"/>
    </xf>
    <xf numFmtId="0" fontId="123" fillId="64" borderId="26" xfId="3384" applyFont="1" applyFill="1" applyBorder="1" applyAlignment="1">
      <alignment horizontal="left" vertical="center"/>
    </xf>
    <xf numFmtId="0" fontId="5" fillId="64" borderId="26" xfId="215" applyFont="1" applyFill="1" applyBorder="1" applyAlignment="1">
      <alignment horizontal="center" vertical="center"/>
    </xf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1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0.625" style="1" hidden="1" customWidth="1" outlineLevel="1"/>
    <col min="7" max="7" width="17.375" style="8" customWidth="1" collapsed="1"/>
    <col min="8" max="8" width="15.625" style="8" customWidth="1"/>
    <col min="9" max="10" width="11.25" style="1" hidden="1" customWidth="1" outlineLevel="1"/>
    <col min="11" max="11" width="7.5" style="1" customWidth="1" collapsed="1"/>
    <col min="12" max="14" width="8.5" style="8" hidden="1" customWidth="1" outlineLevel="1"/>
    <col min="15" max="15" width="7.5" style="1" customWidth="1" collapsed="1"/>
    <col min="16" max="16" width="5" style="1" hidden="1" customWidth="1" outlineLevel="1"/>
    <col min="17" max="17" width="5" style="43" hidden="1" customWidth="1" outlineLevel="1"/>
    <col min="18" max="18" width="5" style="1" hidden="1" customWidth="1" outlineLevel="1"/>
    <col min="19" max="19" width="5" style="43" hidden="1" customWidth="1" outlineLevel="1"/>
    <col min="20" max="20" width="5" style="1" hidden="1" customWidth="1" outlineLevel="1"/>
    <col min="21" max="21" width="5" style="43" hidden="1" customWidth="1" outlineLevel="1"/>
    <col min="22" max="22" width="5.625" style="1" customWidth="1" collapsed="1"/>
    <col min="23" max="23" width="5" style="1" hidden="1" customWidth="1" outlineLevel="1"/>
    <col min="24" max="24" width="5" style="43" hidden="1" customWidth="1" outlineLevel="1"/>
    <col min="25" max="25" width="5" style="1" hidden="1" customWidth="1" outlineLevel="1"/>
    <col min="26" max="26" width="5" style="43" hidden="1" customWidth="1" outlineLevel="1"/>
    <col min="27" max="27" width="5" style="1" hidden="1" customWidth="1" outlineLevel="1"/>
    <col min="28" max="28" width="5" style="43" hidden="1" customWidth="1" outlineLevel="1"/>
    <col min="29" max="29" width="5" style="1" hidden="1" customWidth="1" outlineLevel="1"/>
    <col min="30" max="30" width="5" style="43" hidden="1" customWidth="1" outlineLevel="1"/>
    <col min="31" max="31" width="5.625" style="1" customWidth="1" collapsed="1"/>
    <col min="32" max="32" width="5.625" style="100" customWidth="1" outlineLevel="1"/>
    <col min="33" max="33" width="5.625" style="45" customWidth="1" outlineLevel="1"/>
    <col min="34" max="34" width="5.625" style="1" customWidth="1" outlineLevel="1"/>
    <col min="35" max="35" width="5.625" style="45" customWidth="1" outlineLevel="1"/>
    <col min="36" max="36" width="5.625" style="1" customWidth="1" outlineLevel="1"/>
    <col min="37" max="37" width="5.625" style="45" customWidth="1" outlineLevel="1"/>
    <col min="38" max="38" width="5.625" style="1" customWidth="1" outlineLevel="1"/>
    <col min="39" max="39" width="5.625" style="45" customWidth="1" outlineLevel="1"/>
    <col min="40" max="40" width="5.625" style="1" customWidth="1" outlineLevel="1"/>
    <col min="41" max="41" width="5.625" style="45" customWidth="1" outlineLevel="1"/>
    <col min="42" max="42" width="5.625" style="1" customWidth="1" outlineLevel="1"/>
    <col min="43" max="43" width="5.625" style="45" customWidth="1" outlineLevel="1"/>
    <col min="44" max="44" width="5.625" style="1" customWidth="1" outlineLevel="1"/>
    <col min="45" max="45" width="5.625" style="45" customWidth="1" outlineLevel="1"/>
    <col min="46" max="46" width="5.625" style="1" customWidth="1" outlineLevel="1"/>
    <col min="47" max="47" width="5.625" style="45" customWidth="1" outlineLevel="1"/>
    <col min="48" max="48" width="5.625" style="1" customWidth="1" outlineLevel="1"/>
    <col min="49" max="49" width="5.625" style="45" customWidth="1" outlineLevel="1"/>
    <col min="50" max="50" width="5.625" style="1" customWidth="1" outlineLevel="1"/>
    <col min="51" max="51" width="5.625" style="45" customWidth="1" outlineLevel="1"/>
    <col min="52" max="52" width="5.625" style="1" customWidth="1"/>
    <col min="53" max="53" width="5" style="1" hidden="1" customWidth="1" outlineLevel="1"/>
    <col min="54" max="54" width="5" style="43" hidden="1" customWidth="1" outlineLevel="1"/>
    <col min="55" max="55" width="5" style="1" hidden="1" customWidth="1" outlineLevel="1"/>
    <col min="56" max="56" width="5" style="43" hidden="1" customWidth="1" outlineLevel="1"/>
    <col min="57" max="57" width="5.625" style="1" customWidth="1" collapsed="1"/>
    <col min="58" max="58" width="9" style="8" customWidth="1"/>
    <col min="59" max="62" width="9" style="1" customWidth="1"/>
    <col min="63" max="16384" width="9" style="1"/>
  </cols>
  <sheetData>
    <row r="1" spans="1:58" ht="27" customHeight="1">
      <c r="B1" s="2"/>
      <c r="C1" s="123" t="s">
        <v>0</v>
      </c>
      <c r="D1" s="124"/>
      <c r="E1" s="2"/>
      <c r="F1" s="2"/>
      <c r="G1" s="2"/>
      <c r="H1" s="2"/>
      <c r="I1" s="2"/>
      <c r="J1" s="2"/>
      <c r="K1" s="2"/>
      <c r="L1" s="2"/>
      <c r="M1" s="2"/>
      <c r="N1" s="2"/>
      <c r="O1" s="37"/>
      <c r="P1" s="2"/>
      <c r="Q1" s="40"/>
    </row>
    <row r="2" spans="1:58">
      <c r="A2" s="3"/>
      <c r="B2" s="3"/>
      <c r="C2" s="9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1"/>
    </row>
    <row r="3" spans="1:58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28" t="s">
        <v>5</v>
      </c>
      <c r="G3" s="29" t="s">
        <v>6</v>
      </c>
      <c r="H3" s="29" t="s">
        <v>7</v>
      </c>
      <c r="I3" s="30" t="s">
        <v>8</v>
      </c>
      <c r="J3" s="28" t="s">
        <v>9</v>
      </c>
      <c r="K3" s="31" t="s">
        <v>10</v>
      </c>
      <c r="L3" s="32" t="s">
        <v>11</v>
      </c>
      <c r="M3" s="32" t="s">
        <v>12</v>
      </c>
      <c r="N3" s="32" t="s">
        <v>13</v>
      </c>
      <c r="O3" s="31" t="s">
        <v>14</v>
      </c>
      <c r="P3" s="129" t="s">
        <v>15</v>
      </c>
      <c r="Q3" s="126"/>
      <c r="R3" s="126"/>
      <c r="S3" s="126"/>
      <c r="T3" s="126"/>
      <c r="U3" s="127"/>
      <c r="V3" s="34" t="s">
        <v>16</v>
      </c>
      <c r="W3" s="130" t="s">
        <v>17</v>
      </c>
      <c r="X3" s="131"/>
      <c r="Y3" s="131"/>
      <c r="Z3" s="131"/>
      <c r="AA3" s="131"/>
      <c r="AB3" s="131"/>
      <c r="AC3" s="131"/>
      <c r="AD3" s="132"/>
      <c r="AE3" s="34" t="s">
        <v>18</v>
      </c>
      <c r="AF3" s="125" t="s">
        <v>19</v>
      </c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7"/>
      <c r="AZ3" s="33" t="s">
        <v>20</v>
      </c>
      <c r="BA3" s="128" t="s">
        <v>21</v>
      </c>
      <c r="BB3" s="126"/>
      <c r="BC3" s="126"/>
      <c r="BD3" s="127"/>
      <c r="BE3" s="33" t="s">
        <v>22</v>
      </c>
      <c r="BF3" s="39"/>
    </row>
    <row r="4" spans="1:58" ht="22.5" customHeight="1">
      <c r="A4" s="9"/>
      <c r="B4" s="16" t="s">
        <v>23</v>
      </c>
      <c r="C4" s="89" t="s">
        <v>24</v>
      </c>
      <c r="D4" s="56" t="s">
        <v>25</v>
      </c>
      <c r="E4" s="11" t="s">
        <v>26</v>
      </c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ref="O4:O67" si="0">K4+V4-AE4-AZ4</f>
        <v>0</v>
      </c>
      <c r="P4" s="12"/>
      <c r="Q4" s="42"/>
      <c r="R4" s="15"/>
      <c r="S4" s="44"/>
      <c r="T4" s="15"/>
      <c r="U4" s="44"/>
      <c r="V4" s="15">
        <f t="shared" ref="V4:V67" si="1">P4+R4+T4</f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ref="AE4:AE67" si="2">(W4+Y4+AA4+AC4)</f>
        <v>0</v>
      </c>
      <c r="AF4" s="101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15"/>
      <c r="BB4" s="44"/>
      <c r="BC4" s="15"/>
      <c r="BD4" s="44"/>
      <c r="BE4" s="15"/>
    </row>
    <row r="5" spans="1:58" ht="22.5" customHeight="1">
      <c r="A5" s="9"/>
      <c r="B5" s="16" t="s">
        <v>27</v>
      </c>
      <c r="C5" s="89" t="s">
        <v>24</v>
      </c>
      <c r="D5" s="56" t="s">
        <v>28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01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ref="AZ5:AZ35" si="3">AF5+AH5+AJ5+AL5+AN5+AP5+AR5+AT5+AV5+AX5</f>
        <v>0</v>
      </c>
      <c r="BA5" s="15"/>
      <c r="BB5" s="44"/>
      <c r="BC5" s="15"/>
      <c r="BD5" s="44"/>
      <c r="BE5" s="15">
        <f t="shared" ref="BE5:BE35" si="4">(BA5+BC5)</f>
        <v>0</v>
      </c>
    </row>
    <row r="6" spans="1:58" ht="22.5" customHeight="1">
      <c r="A6" s="9"/>
      <c r="B6" s="16" t="s">
        <v>27</v>
      </c>
      <c r="C6" s="89" t="s">
        <v>24</v>
      </c>
      <c r="D6" s="56" t="s">
        <v>28</v>
      </c>
      <c r="E6" s="11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01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8" ht="22.5" customHeight="1">
      <c r="A7" s="9"/>
      <c r="B7" s="16" t="s">
        <v>29</v>
      </c>
      <c r="C7" s="89" t="s">
        <v>30</v>
      </c>
      <c r="D7" s="56" t="s">
        <v>29</v>
      </c>
      <c r="E7" s="11"/>
      <c r="F7" s="95"/>
      <c r="G7" s="9"/>
      <c r="H7" s="9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01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8" ht="22.5" customHeight="1">
      <c r="A8" s="9"/>
      <c r="B8" s="16" t="s">
        <v>31</v>
      </c>
      <c r="C8" s="89" t="s">
        <v>24</v>
      </c>
      <c r="D8" s="56" t="s">
        <v>32</v>
      </c>
      <c r="E8" s="35"/>
      <c r="F8" s="95"/>
      <c r="G8" s="9"/>
      <c r="H8" s="9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01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8" ht="22.5" customHeight="1">
      <c r="A9" s="9"/>
      <c r="B9" s="16" t="s">
        <v>31</v>
      </c>
      <c r="C9" s="89" t="s">
        <v>24</v>
      </c>
      <c r="D9" s="58" t="s">
        <v>33</v>
      </c>
      <c r="E9" s="11"/>
      <c r="F9" s="95"/>
      <c r="G9" s="21"/>
      <c r="H9" s="21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01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8" ht="22.5" customHeight="1">
      <c r="A10" s="9"/>
      <c r="B10" s="18" t="s">
        <v>34</v>
      </c>
      <c r="C10" s="89" t="s">
        <v>24</v>
      </c>
      <c r="D10" s="56" t="s">
        <v>35</v>
      </c>
      <c r="E10" s="35"/>
      <c r="F10" s="95"/>
      <c r="G10" s="21"/>
      <c r="H10" s="21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01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8" ht="22.5" customHeight="1">
      <c r="A11" s="9"/>
      <c r="B11" s="18" t="s">
        <v>34</v>
      </c>
      <c r="C11" s="89" t="s">
        <v>24</v>
      </c>
      <c r="D11" s="56" t="s">
        <v>36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01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8" ht="22.5" customHeight="1">
      <c r="A12" s="9"/>
      <c r="B12" s="16" t="s">
        <v>37</v>
      </c>
      <c r="C12" s="89" t="s">
        <v>24</v>
      </c>
      <c r="D12" s="58" t="s">
        <v>37</v>
      </c>
      <c r="E12" s="11"/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01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8" ht="22.5" customHeight="1">
      <c r="A13" s="9"/>
      <c r="B13" s="16" t="s">
        <v>37</v>
      </c>
      <c r="C13" s="89" t="s">
        <v>24</v>
      </c>
      <c r="D13" s="58" t="s">
        <v>38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01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8" ht="22.5" customHeight="1">
      <c r="A14" s="9"/>
      <c r="B14" s="16" t="s">
        <v>23</v>
      </c>
      <c r="C14" s="89" t="s">
        <v>39</v>
      </c>
      <c r="D14" s="56" t="s">
        <v>40</v>
      </c>
      <c r="E14" s="11" t="s">
        <v>26</v>
      </c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01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8" ht="22.5" customHeight="1">
      <c r="A15" s="9"/>
      <c r="B15" s="16" t="s">
        <v>27</v>
      </c>
      <c r="C15" s="89" t="s">
        <v>39</v>
      </c>
      <c r="D15" s="56" t="s">
        <v>28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01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8" ht="22.5" customHeight="1">
      <c r="A16" s="9"/>
      <c r="B16" s="16" t="s">
        <v>31</v>
      </c>
      <c r="C16" s="89" t="s">
        <v>39</v>
      </c>
      <c r="D16" s="56" t="s">
        <v>32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01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 s="8" customFormat="1" ht="22.5" customHeight="1">
      <c r="A17" s="9"/>
      <c r="B17" s="16" t="s">
        <v>31</v>
      </c>
      <c r="C17" s="89" t="s">
        <v>39</v>
      </c>
      <c r="D17" s="56" t="s">
        <v>41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01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 ht="22.5" customHeight="1">
      <c r="A18" s="9"/>
      <c r="B18" s="16" t="s">
        <v>31</v>
      </c>
      <c r="C18" s="89" t="s">
        <v>39</v>
      </c>
      <c r="D18" s="58" t="s">
        <v>33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01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 ht="22.5" customHeight="1">
      <c r="A19" s="9"/>
      <c r="B19" s="18" t="s">
        <v>34</v>
      </c>
      <c r="C19" s="89" t="s">
        <v>39</v>
      </c>
      <c r="D19" s="56" t="s">
        <v>35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01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 ht="22.5" customHeight="1">
      <c r="A20" s="9"/>
      <c r="B20" s="18" t="s">
        <v>34</v>
      </c>
      <c r="C20" s="89" t="s">
        <v>39</v>
      </c>
      <c r="D20" s="56" t="s">
        <v>42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01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2.5" customHeight="1">
      <c r="A21" s="9"/>
      <c r="B21" s="16" t="s">
        <v>37</v>
      </c>
      <c r="C21" s="89" t="s">
        <v>39</v>
      </c>
      <c r="D21" s="58" t="s">
        <v>37</v>
      </c>
      <c r="E21" s="11"/>
      <c r="F21" s="95"/>
      <c r="G21" s="9"/>
      <c r="H21" s="9"/>
      <c r="I21" s="14"/>
      <c r="J21" s="14"/>
      <c r="K21" s="12">
        <v>0</v>
      </c>
      <c r="L21" s="9"/>
      <c r="M21" s="9"/>
      <c r="N21" s="9"/>
      <c r="O21" s="38">
        <f t="shared" si="0"/>
        <v>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01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 ht="22.5" customHeight="1">
      <c r="A22" s="9"/>
      <c r="B22" s="16" t="s">
        <v>37</v>
      </c>
      <c r="C22" s="89" t="s">
        <v>39</v>
      </c>
      <c r="D22" s="58" t="s">
        <v>38</v>
      </c>
      <c r="E22" s="11"/>
      <c r="F22" s="95"/>
      <c r="G22" s="9"/>
      <c r="H22" s="9"/>
      <c r="I22" s="14"/>
      <c r="J22" s="14"/>
      <c r="K22" s="12">
        <v>0</v>
      </c>
      <c r="L22" s="9"/>
      <c r="M22" s="9"/>
      <c r="N22" s="9"/>
      <c r="O22" s="38">
        <f t="shared" si="0"/>
        <v>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01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 ht="22.5" customHeight="1">
      <c r="A23" s="9"/>
      <c r="B23" s="16" t="s">
        <v>43</v>
      </c>
      <c r="C23" s="89" t="s">
        <v>44</v>
      </c>
      <c r="D23" s="56" t="s">
        <v>45</v>
      </c>
      <c r="E23" s="11" t="s">
        <v>46</v>
      </c>
      <c r="F23" s="95"/>
      <c r="G23" s="9"/>
      <c r="H23" s="9" t="s">
        <v>47</v>
      </c>
      <c r="I23" s="14"/>
      <c r="J23" s="14"/>
      <c r="K23" s="12">
        <v>1000</v>
      </c>
      <c r="L23" s="9"/>
      <c r="M23" s="9"/>
      <c r="N23" s="9"/>
      <c r="O23" s="38">
        <f t="shared" si="0"/>
        <v>1000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01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 ht="22.5" customHeight="1">
      <c r="A24" s="9"/>
      <c r="B24" s="16" t="s">
        <v>43</v>
      </c>
      <c r="C24" s="89" t="s">
        <v>48</v>
      </c>
      <c r="D24" s="56" t="s">
        <v>45</v>
      </c>
      <c r="E24" s="11" t="s">
        <v>49</v>
      </c>
      <c r="F24" s="95"/>
      <c r="G24" s="9"/>
      <c r="H24" s="9" t="s">
        <v>47</v>
      </c>
      <c r="I24" s="14"/>
      <c r="J24" s="14"/>
      <c r="K24" s="12">
        <v>400</v>
      </c>
      <c r="L24" s="9"/>
      <c r="M24" s="9"/>
      <c r="N24" s="9"/>
      <c r="O24" s="38">
        <f t="shared" si="0"/>
        <v>400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01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 ht="22.5" customHeight="1">
      <c r="A25" s="9"/>
      <c r="B25" s="16" t="s">
        <v>43</v>
      </c>
      <c r="C25" s="89" t="s">
        <v>50</v>
      </c>
      <c r="D25" s="56" t="s">
        <v>45</v>
      </c>
      <c r="E25" s="11" t="s">
        <v>51</v>
      </c>
      <c r="F25" s="95"/>
      <c r="G25" s="9"/>
      <c r="H25" s="9"/>
      <c r="I25" s="14"/>
      <c r="J25" s="14"/>
      <c r="K25" s="12">
        <v>0</v>
      </c>
      <c r="L25" s="9"/>
      <c r="M25" s="9"/>
      <c r="N25" s="9"/>
      <c r="O25" s="38">
        <f t="shared" si="0"/>
        <v>0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01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 ht="22.5" customHeight="1">
      <c r="A26" s="9"/>
      <c r="B26" s="16" t="s">
        <v>43</v>
      </c>
      <c r="C26" s="89" t="s">
        <v>52</v>
      </c>
      <c r="D26" s="56" t="s">
        <v>45</v>
      </c>
      <c r="E26" s="11" t="s">
        <v>53</v>
      </c>
      <c r="F26" s="95"/>
      <c r="G26" s="9"/>
      <c r="H26" s="9" t="s">
        <v>47</v>
      </c>
      <c r="I26" s="14"/>
      <c r="J26" s="14"/>
      <c r="K26" s="12">
        <v>500</v>
      </c>
      <c r="L26" s="9"/>
      <c r="M26" s="9"/>
      <c r="N26" s="9"/>
      <c r="O26" s="38">
        <f t="shared" si="0"/>
        <v>500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01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22.5" customHeight="1">
      <c r="A27" s="9"/>
      <c r="B27" s="16" t="s">
        <v>43</v>
      </c>
      <c r="C27" s="89" t="s">
        <v>52</v>
      </c>
      <c r="D27" s="56" t="s">
        <v>45</v>
      </c>
      <c r="E27" s="11" t="s">
        <v>54</v>
      </c>
      <c r="F27" s="95"/>
      <c r="G27" s="9"/>
      <c r="H27" s="9" t="s">
        <v>55</v>
      </c>
      <c r="I27" s="14"/>
      <c r="J27" s="14"/>
      <c r="K27" s="12">
        <v>622</v>
      </c>
      <c r="L27" s="9"/>
      <c r="M27" s="9"/>
      <c r="N27" s="9"/>
      <c r="O27" s="38">
        <f t="shared" si="0"/>
        <v>622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01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 ht="22.5" customHeight="1">
      <c r="A28" s="9"/>
      <c r="B28" s="16" t="s">
        <v>43</v>
      </c>
      <c r="C28" s="89" t="s">
        <v>56</v>
      </c>
      <c r="D28" s="56" t="s">
        <v>45</v>
      </c>
      <c r="E28" s="11" t="s">
        <v>57</v>
      </c>
      <c r="F28" s="95"/>
      <c r="G28" s="9"/>
      <c r="H28" s="9"/>
      <c r="I28" s="14"/>
      <c r="J28" s="14"/>
      <c r="K28" s="12">
        <v>0</v>
      </c>
      <c r="L28" s="9"/>
      <c r="M28" s="9"/>
      <c r="N28" s="9"/>
      <c r="O28" s="38">
        <f t="shared" si="0"/>
        <v>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01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 ht="22.5" customHeight="1">
      <c r="A29" s="9"/>
      <c r="B29" s="16" t="s">
        <v>58</v>
      </c>
      <c r="C29" s="89" t="s">
        <v>59</v>
      </c>
      <c r="D29" s="57" t="s">
        <v>60</v>
      </c>
      <c r="E29" s="11" t="s">
        <v>58</v>
      </c>
      <c r="F29" s="95"/>
      <c r="G29" s="9"/>
      <c r="H29" s="9" t="s">
        <v>61</v>
      </c>
      <c r="I29" s="14"/>
      <c r="J29" s="14"/>
      <c r="K29" s="12">
        <v>800</v>
      </c>
      <c r="L29" s="9"/>
      <c r="M29" s="9"/>
      <c r="N29" s="9"/>
      <c r="O29" s="38">
        <f t="shared" si="0"/>
        <v>800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01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22.5" customHeight="1">
      <c r="A30" s="9"/>
      <c r="B30" s="18" t="s">
        <v>62</v>
      </c>
      <c r="C30" s="89" t="s">
        <v>48</v>
      </c>
      <c r="D30" s="58" t="s">
        <v>60</v>
      </c>
      <c r="E30" s="35" t="s">
        <v>62</v>
      </c>
      <c r="F30" s="95"/>
      <c r="G30" s="21"/>
      <c r="H30" s="21" t="s">
        <v>61</v>
      </c>
      <c r="I30" s="14"/>
      <c r="J30" s="14"/>
      <c r="K30" s="12">
        <v>360</v>
      </c>
      <c r="L30" s="9"/>
      <c r="M30" s="9"/>
      <c r="N30" s="9"/>
      <c r="O30" s="38">
        <f t="shared" si="0"/>
        <v>360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01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2.5" customHeight="1">
      <c r="A31" s="9"/>
      <c r="B31" s="18" t="s">
        <v>62</v>
      </c>
      <c r="C31" s="89" t="s">
        <v>50</v>
      </c>
      <c r="D31" s="58" t="s">
        <v>60</v>
      </c>
      <c r="E31" s="35" t="s">
        <v>62</v>
      </c>
      <c r="F31" s="95"/>
      <c r="G31" s="21"/>
      <c r="H31" s="21" t="s">
        <v>61</v>
      </c>
      <c r="I31" s="14"/>
      <c r="J31" s="14"/>
      <c r="K31" s="12">
        <v>100</v>
      </c>
      <c r="L31" s="9"/>
      <c r="M31" s="9"/>
      <c r="N31" s="9"/>
      <c r="O31" s="38">
        <f t="shared" si="0"/>
        <v>100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01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22.5" customHeight="1">
      <c r="A32" s="9"/>
      <c r="B32" s="16" t="s">
        <v>63</v>
      </c>
      <c r="C32" s="89" t="s">
        <v>64</v>
      </c>
      <c r="D32" s="59" t="s">
        <v>65</v>
      </c>
      <c r="E32" s="11" t="s">
        <v>66</v>
      </c>
      <c r="F32" s="95"/>
      <c r="G32" s="9"/>
      <c r="H32" s="9" t="s">
        <v>67</v>
      </c>
      <c r="I32" s="14"/>
      <c r="J32" s="14"/>
      <c r="K32" s="12">
        <v>1000</v>
      </c>
      <c r="L32" s="9"/>
      <c r="M32" s="9"/>
      <c r="N32" s="9"/>
      <c r="O32" s="38">
        <f t="shared" si="0"/>
        <v>1000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01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 ht="22.5" customHeight="1">
      <c r="A33" s="9"/>
      <c r="B33" s="16" t="s">
        <v>68</v>
      </c>
      <c r="C33" s="89" t="s">
        <v>44</v>
      </c>
      <c r="D33" s="56" t="s">
        <v>69</v>
      </c>
      <c r="E33" s="11" t="s">
        <v>70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01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2.5" customHeight="1">
      <c r="A34" s="9"/>
      <c r="B34" s="16" t="s">
        <v>68</v>
      </c>
      <c r="C34" s="89" t="s">
        <v>59</v>
      </c>
      <c r="D34" s="56" t="s">
        <v>69</v>
      </c>
      <c r="E34" s="11" t="s">
        <v>72</v>
      </c>
      <c r="F34" s="95"/>
      <c r="G34" s="9"/>
      <c r="H34" s="9" t="s">
        <v>71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01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22.5" customHeight="1">
      <c r="A35" s="9"/>
      <c r="B35" s="16" t="s">
        <v>68</v>
      </c>
      <c r="C35" s="89" t="s">
        <v>48</v>
      </c>
      <c r="D35" s="56" t="s">
        <v>69</v>
      </c>
      <c r="E35" s="11" t="s">
        <v>73</v>
      </c>
      <c r="F35" s="95"/>
      <c r="G35" s="9"/>
      <c r="H35" s="9" t="s">
        <v>71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01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si="4"/>
        <v>0</v>
      </c>
    </row>
    <row r="36" spans="1:57" ht="22.5" customHeight="1">
      <c r="A36" s="9"/>
      <c r="B36" s="16" t="s">
        <v>68</v>
      </c>
      <c r="C36" s="89" t="s">
        <v>48</v>
      </c>
      <c r="D36" s="56" t="s">
        <v>74</v>
      </c>
      <c r="E36" s="11" t="s">
        <v>75</v>
      </c>
      <c r="F36" s="95"/>
      <c r="G36" s="9"/>
      <c r="H36" s="9" t="s">
        <v>67</v>
      </c>
      <c r="I36" s="14"/>
      <c r="J36" s="14"/>
      <c r="K36" s="12">
        <v>1000</v>
      </c>
      <c r="L36" s="9"/>
      <c r="M36" s="9"/>
      <c r="N36" s="9"/>
      <c r="O36" s="38">
        <f t="shared" si="0"/>
        <v>1000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01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15"/>
      <c r="BB36" s="44"/>
      <c r="BC36" s="15"/>
      <c r="BD36" s="44"/>
      <c r="BE36" s="15"/>
    </row>
    <row r="37" spans="1:57" ht="22.5" customHeight="1">
      <c r="A37" s="9"/>
      <c r="B37" s="16" t="s">
        <v>76</v>
      </c>
      <c r="C37" s="89" t="s">
        <v>44</v>
      </c>
      <c r="D37" s="60" t="s">
        <v>77</v>
      </c>
      <c r="E37" s="11" t="s">
        <v>78</v>
      </c>
      <c r="F37" s="95"/>
      <c r="G37" s="9"/>
      <c r="H37" s="9" t="s">
        <v>67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01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ref="AZ37:AZ100" si="5">AF37+AH37+AJ37+AL37+AN37+AP37+AR37+AT37+AV37+AX37</f>
        <v>0</v>
      </c>
      <c r="BA37" s="15"/>
      <c r="BB37" s="44"/>
      <c r="BC37" s="15"/>
      <c r="BD37" s="44"/>
      <c r="BE37" s="15">
        <f t="shared" ref="BE37:BE68" si="6">(BA37+BC37)</f>
        <v>0</v>
      </c>
    </row>
    <row r="38" spans="1:57" ht="22.5" customHeight="1">
      <c r="A38" s="9"/>
      <c r="B38" s="16" t="s">
        <v>76</v>
      </c>
      <c r="C38" s="89" t="s">
        <v>59</v>
      </c>
      <c r="D38" s="60" t="s">
        <v>79</v>
      </c>
      <c r="E38" s="11" t="s">
        <v>80</v>
      </c>
      <c r="F38" s="95"/>
      <c r="G38" s="9"/>
      <c r="H38" s="9" t="s">
        <v>67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01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5"/>
        <v>0</v>
      </c>
      <c r="BA38" s="15"/>
      <c r="BB38" s="44"/>
      <c r="BC38" s="15"/>
      <c r="BD38" s="44"/>
      <c r="BE38" s="15">
        <f t="shared" si="6"/>
        <v>0</v>
      </c>
    </row>
    <row r="39" spans="1:57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95"/>
      <c r="G39" s="9"/>
      <c r="H39" s="9" t="s">
        <v>67</v>
      </c>
      <c r="I39" s="14"/>
      <c r="J39" s="14"/>
      <c r="K39" s="12">
        <v>5000</v>
      </c>
      <c r="L39" s="9"/>
      <c r="M39" s="9"/>
      <c r="N39" s="9"/>
      <c r="O39" s="38">
        <f t="shared" si="0"/>
        <v>5000</v>
      </c>
      <c r="P39" s="12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01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5"/>
        <v>0</v>
      </c>
      <c r="BA39" s="15"/>
      <c r="BB39" s="44"/>
      <c r="BC39" s="15"/>
      <c r="BD39" s="44"/>
      <c r="BE39" s="15">
        <f t="shared" si="6"/>
        <v>0</v>
      </c>
    </row>
    <row r="40" spans="1:57" s="8" customFormat="1" ht="22.5" customHeight="1">
      <c r="A40" s="9"/>
      <c r="B40" s="16" t="s">
        <v>76</v>
      </c>
      <c r="C40" s="89" t="s">
        <v>44</v>
      </c>
      <c r="D40" s="59" t="s">
        <v>83</v>
      </c>
      <c r="E40" s="11" t="s">
        <v>84</v>
      </c>
      <c r="F40" s="95"/>
      <c r="G40" s="9"/>
      <c r="H40" s="9" t="s">
        <v>71</v>
      </c>
      <c r="I40" s="14"/>
      <c r="J40" s="14"/>
      <c r="K40" s="12">
        <v>0</v>
      </c>
      <c r="L40" s="9"/>
      <c r="M40" s="9"/>
      <c r="N40" s="9"/>
      <c r="O40" s="38">
        <f t="shared" si="0"/>
        <v>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01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5"/>
        <v>0</v>
      </c>
      <c r="BA40" s="15"/>
      <c r="BB40" s="44"/>
      <c r="BC40" s="15"/>
      <c r="BD40" s="44"/>
      <c r="BE40" s="15">
        <f t="shared" si="6"/>
        <v>0</v>
      </c>
    </row>
    <row r="41" spans="1:57" s="8" customFormat="1" ht="22.5" customHeight="1">
      <c r="A41" s="9"/>
      <c r="B41" s="16" t="s">
        <v>76</v>
      </c>
      <c r="C41" s="89" t="s">
        <v>48</v>
      </c>
      <c r="D41" s="56" t="s">
        <v>85</v>
      </c>
      <c r="E41" s="11" t="s">
        <v>86</v>
      </c>
      <c r="F41" s="95"/>
      <c r="G41" s="9"/>
      <c r="H41" s="9" t="s">
        <v>71</v>
      </c>
      <c r="I41" s="14"/>
      <c r="J41" s="14"/>
      <c r="K41" s="12">
        <v>0</v>
      </c>
      <c r="L41" s="9"/>
      <c r="M41" s="9"/>
      <c r="N41" s="9"/>
      <c r="O41" s="38">
        <f t="shared" si="0"/>
        <v>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01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5"/>
        <v>0</v>
      </c>
      <c r="BA41" s="15"/>
      <c r="BB41" s="44"/>
      <c r="BC41" s="15"/>
      <c r="BD41" s="44"/>
      <c r="BE41" s="15">
        <f t="shared" si="6"/>
        <v>0</v>
      </c>
    </row>
    <row r="42" spans="1:57" s="8" customFormat="1" ht="22.5" customHeight="1">
      <c r="A42" s="9"/>
      <c r="B42" s="16" t="s">
        <v>76</v>
      </c>
      <c r="C42" s="89" t="s">
        <v>59</v>
      </c>
      <c r="D42" s="56" t="s">
        <v>87</v>
      </c>
      <c r="E42" s="11" t="s">
        <v>88</v>
      </c>
      <c r="F42" s="95"/>
      <c r="G42" s="9"/>
      <c r="H42" s="9" t="s">
        <v>71</v>
      </c>
      <c r="I42" s="14"/>
      <c r="J42" s="14"/>
      <c r="K42" s="12">
        <v>0</v>
      </c>
      <c r="L42" s="9"/>
      <c r="M42" s="9"/>
      <c r="N42" s="9"/>
      <c r="O42" s="38">
        <f t="shared" si="0"/>
        <v>0</v>
      </c>
      <c r="P42" s="15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01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5"/>
        <v>0</v>
      </c>
      <c r="BA42" s="15"/>
      <c r="BB42" s="44"/>
      <c r="BC42" s="15"/>
      <c r="BD42" s="44"/>
      <c r="BE42" s="15">
        <f t="shared" si="6"/>
        <v>0</v>
      </c>
    </row>
    <row r="43" spans="1:57" s="8" customFormat="1" ht="22.5" customHeight="1">
      <c r="A43" s="9"/>
      <c r="B43" s="16" t="s">
        <v>34</v>
      </c>
      <c r="C43" s="89" t="s">
        <v>59</v>
      </c>
      <c r="D43" s="60" t="s">
        <v>89</v>
      </c>
      <c r="E43" s="11" t="s">
        <v>90</v>
      </c>
      <c r="F43" s="95"/>
      <c r="G43" s="9"/>
      <c r="H43" s="9" t="s">
        <v>67</v>
      </c>
      <c r="I43" s="14"/>
      <c r="J43" s="14"/>
      <c r="K43" s="12">
        <v>4000</v>
      </c>
      <c r="L43" s="9"/>
      <c r="M43" s="9"/>
      <c r="N43" s="9"/>
      <c r="O43" s="38">
        <f t="shared" si="0"/>
        <v>4000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01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5"/>
        <v>0</v>
      </c>
      <c r="BA43" s="15"/>
      <c r="BB43" s="44"/>
      <c r="BC43" s="15"/>
      <c r="BD43" s="44"/>
      <c r="BE43" s="15">
        <f t="shared" si="6"/>
        <v>0</v>
      </c>
    </row>
    <row r="44" spans="1:57" s="8" customFormat="1" ht="22.5" customHeight="1">
      <c r="A44" s="9"/>
      <c r="B44" s="16" t="s">
        <v>34</v>
      </c>
      <c r="C44" s="89" t="s">
        <v>59</v>
      </c>
      <c r="D44" s="60" t="s">
        <v>91</v>
      </c>
      <c r="E44" s="11" t="s">
        <v>92</v>
      </c>
      <c r="F44" s="95"/>
      <c r="G44" s="9"/>
      <c r="H44" s="9" t="s">
        <v>67</v>
      </c>
      <c r="I44" s="14"/>
      <c r="J44" s="14"/>
      <c r="K44" s="12">
        <v>5000</v>
      </c>
      <c r="L44" s="9"/>
      <c r="M44" s="9"/>
      <c r="N44" s="9"/>
      <c r="O44" s="38">
        <f t="shared" si="0"/>
        <v>5000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01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5"/>
        <v>0</v>
      </c>
      <c r="BA44" s="15"/>
      <c r="BB44" s="44"/>
      <c r="BC44" s="15"/>
      <c r="BD44" s="44"/>
      <c r="BE44" s="15">
        <f t="shared" si="6"/>
        <v>0</v>
      </c>
    </row>
    <row r="45" spans="1:57" s="8" customFormat="1" ht="22.5" customHeight="1">
      <c r="A45" s="9"/>
      <c r="B45" s="16" t="s">
        <v>34</v>
      </c>
      <c r="C45" s="89" t="s">
        <v>44</v>
      </c>
      <c r="D45" s="60" t="s">
        <v>93</v>
      </c>
      <c r="E45" s="11" t="s">
        <v>94</v>
      </c>
      <c r="F45" s="95"/>
      <c r="G45" s="9"/>
      <c r="H45" s="9" t="s">
        <v>95</v>
      </c>
      <c r="I45" s="14"/>
      <c r="J45" s="14"/>
      <c r="K45" s="12">
        <v>2050</v>
      </c>
      <c r="L45" s="9"/>
      <c r="M45" s="9"/>
      <c r="N45" s="9"/>
      <c r="O45" s="38">
        <f t="shared" si="0"/>
        <v>2050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01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5"/>
        <v>0</v>
      </c>
      <c r="BA45" s="15"/>
      <c r="BB45" s="44"/>
      <c r="BC45" s="15"/>
      <c r="BD45" s="44"/>
      <c r="BE45" s="15">
        <f t="shared" si="6"/>
        <v>0</v>
      </c>
    </row>
    <row r="46" spans="1:57" s="8" customFormat="1" ht="22.5" customHeight="1">
      <c r="A46" s="9"/>
      <c r="B46" s="16" t="s">
        <v>34</v>
      </c>
      <c r="C46" s="89" t="s">
        <v>96</v>
      </c>
      <c r="D46" s="60" t="s">
        <v>97</v>
      </c>
      <c r="E46" s="11" t="s">
        <v>98</v>
      </c>
      <c r="F46" s="95"/>
      <c r="G46" s="9"/>
      <c r="H46" s="9" t="s">
        <v>95</v>
      </c>
      <c r="I46" s="14"/>
      <c r="J46" s="14"/>
      <c r="K46" s="12">
        <v>0</v>
      </c>
      <c r="L46" s="9"/>
      <c r="M46" s="9"/>
      <c r="N46" s="9"/>
      <c r="O46" s="38">
        <f t="shared" si="0"/>
        <v>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01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5"/>
        <v>0</v>
      </c>
      <c r="BA46" s="15"/>
      <c r="BB46" s="44"/>
      <c r="BC46" s="15"/>
      <c r="BD46" s="44"/>
      <c r="BE46" s="15">
        <f t="shared" si="6"/>
        <v>0</v>
      </c>
    </row>
    <row r="47" spans="1:57" s="8" customFormat="1" ht="22.5" customHeight="1">
      <c r="A47" s="9"/>
      <c r="B47" s="16" t="s">
        <v>34</v>
      </c>
      <c r="C47" s="89" t="s">
        <v>96</v>
      </c>
      <c r="D47" s="60" t="s">
        <v>99</v>
      </c>
      <c r="E47" s="11" t="s">
        <v>100</v>
      </c>
      <c r="F47" s="95"/>
      <c r="G47" s="9"/>
      <c r="H47" s="9" t="s">
        <v>67</v>
      </c>
      <c r="I47" s="14"/>
      <c r="J47" s="14"/>
      <c r="K47" s="12">
        <v>30000</v>
      </c>
      <c r="L47" s="9"/>
      <c r="M47" s="9"/>
      <c r="N47" s="9"/>
      <c r="O47" s="38">
        <f t="shared" si="0"/>
        <v>28000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01">
        <v>2000</v>
      </c>
      <c r="AG47" s="42">
        <v>46029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5"/>
        <v>2000</v>
      </c>
      <c r="BA47" s="15"/>
      <c r="BB47" s="44"/>
      <c r="BC47" s="15"/>
      <c r="BD47" s="44"/>
      <c r="BE47" s="15">
        <f t="shared" si="6"/>
        <v>0</v>
      </c>
    </row>
    <row r="48" spans="1:57" s="8" customFormat="1" ht="22.5" customHeight="1">
      <c r="A48" s="9"/>
      <c r="B48" s="16" t="s">
        <v>101</v>
      </c>
      <c r="C48" s="89" t="s">
        <v>48</v>
      </c>
      <c r="D48" s="56" t="s">
        <v>102</v>
      </c>
      <c r="E48" s="11" t="s">
        <v>103</v>
      </c>
      <c r="F48" s="95"/>
      <c r="G48" s="9"/>
      <c r="H48" s="9" t="s">
        <v>67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01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5"/>
        <v>0</v>
      </c>
      <c r="BA48" s="15"/>
      <c r="BB48" s="44"/>
      <c r="BC48" s="15"/>
      <c r="BD48" s="44"/>
      <c r="BE48" s="15">
        <f t="shared" si="6"/>
        <v>0</v>
      </c>
    </row>
    <row r="49" spans="1:57" s="8" customFormat="1" ht="22.5" customHeight="1">
      <c r="A49" s="9"/>
      <c r="B49" s="16" t="s">
        <v>104</v>
      </c>
      <c r="C49" s="89" t="s">
        <v>44</v>
      </c>
      <c r="D49" s="59" t="s">
        <v>105</v>
      </c>
      <c r="E49" s="11" t="s">
        <v>106</v>
      </c>
      <c r="F49" s="95"/>
      <c r="G49" s="9"/>
      <c r="H49" s="9" t="s">
        <v>107</v>
      </c>
      <c r="I49" s="14"/>
      <c r="J49" s="14"/>
      <c r="K49" s="12">
        <v>500</v>
      </c>
      <c r="L49" s="9"/>
      <c r="M49" s="9"/>
      <c r="N49" s="9"/>
      <c r="O49" s="38">
        <f t="shared" si="0"/>
        <v>500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01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5"/>
        <v>0</v>
      </c>
      <c r="BA49" s="15"/>
      <c r="BB49" s="44"/>
      <c r="BC49" s="15"/>
      <c r="BD49" s="44"/>
      <c r="BE49" s="15">
        <f t="shared" si="6"/>
        <v>0</v>
      </c>
    </row>
    <row r="50" spans="1:57" s="8" customFormat="1" ht="22.5" customHeight="1">
      <c r="A50" s="9"/>
      <c r="B50" s="16" t="s">
        <v>104</v>
      </c>
      <c r="C50" s="89" t="s">
        <v>48</v>
      </c>
      <c r="D50" s="62" t="s">
        <v>105</v>
      </c>
      <c r="E50" s="11" t="s">
        <v>108</v>
      </c>
      <c r="F50" s="95"/>
      <c r="G50" s="9"/>
      <c r="H50" s="9" t="s">
        <v>107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01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5"/>
        <v>0</v>
      </c>
      <c r="BA50" s="15"/>
      <c r="BB50" s="44"/>
      <c r="BC50" s="15"/>
      <c r="BD50" s="44"/>
      <c r="BE50" s="15">
        <f t="shared" si="6"/>
        <v>0</v>
      </c>
    </row>
    <row r="51" spans="1:57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95"/>
      <c r="G51" s="9"/>
      <c r="H51" s="9" t="s">
        <v>107</v>
      </c>
      <c r="I51" s="14"/>
      <c r="J51" s="14"/>
      <c r="K51" s="12">
        <v>0</v>
      </c>
      <c r="L51" s="9"/>
      <c r="M51" s="9"/>
      <c r="N51" s="9"/>
      <c r="O51" s="38">
        <f t="shared" si="0"/>
        <v>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01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5"/>
        <v>0</v>
      </c>
      <c r="BA51" s="15"/>
      <c r="BB51" s="44"/>
      <c r="BC51" s="15"/>
      <c r="BD51" s="44"/>
      <c r="BE51" s="15">
        <f t="shared" si="6"/>
        <v>0</v>
      </c>
    </row>
    <row r="52" spans="1:57" s="8" customFormat="1" ht="22.5" customHeight="1">
      <c r="A52" s="9"/>
      <c r="B52" s="16" t="s">
        <v>111</v>
      </c>
      <c r="C52" s="89" t="s">
        <v>59</v>
      </c>
      <c r="D52" s="61" t="s">
        <v>112</v>
      </c>
      <c r="E52" s="11" t="s">
        <v>113</v>
      </c>
      <c r="F52" s="95"/>
      <c r="G52" s="9"/>
      <c r="H52" s="9" t="s">
        <v>114</v>
      </c>
      <c r="I52" s="14"/>
      <c r="J52" s="14"/>
      <c r="K52" s="12">
        <v>880</v>
      </c>
      <c r="L52" s="9"/>
      <c r="M52" s="9"/>
      <c r="N52" s="9"/>
      <c r="O52" s="38">
        <f t="shared" si="0"/>
        <v>880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01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5"/>
        <v>0</v>
      </c>
      <c r="BA52" s="15"/>
      <c r="BB52" s="44"/>
      <c r="BC52" s="15"/>
      <c r="BD52" s="44"/>
      <c r="BE52" s="15">
        <f t="shared" si="6"/>
        <v>0</v>
      </c>
    </row>
    <row r="53" spans="1:57" s="8" customFormat="1" ht="22.5" customHeight="1">
      <c r="A53" s="9"/>
      <c r="B53" s="16" t="s">
        <v>111</v>
      </c>
      <c r="C53" s="89" t="s">
        <v>50</v>
      </c>
      <c r="D53" s="61" t="s">
        <v>112</v>
      </c>
      <c r="E53" s="11" t="s">
        <v>115</v>
      </c>
      <c r="F53" s="95"/>
      <c r="G53" s="9"/>
      <c r="H53" s="9" t="s">
        <v>116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01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5"/>
        <v>0</v>
      </c>
      <c r="BA53" s="15"/>
      <c r="BB53" s="44"/>
      <c r="BC53" s="15"/>
      <c r="BD53" s="44"/>
      <c r="BE53" s="15">
        <f t="shared" si="6"/>
        <v>0</v>
      </c>
    </row>
    <row r="54" spans="1:57" s="8" customFormat="1" ht="22.5" customHeight="1">
      <c r="A54" s="9"/>
      <c r="B54" s="16" t="s">
        <v>111</v>
      </c>
      <c r="C54" s="89" t="s">
        <v>52</v>
      </c>
      <c r="D54" s="61" t="s">
        <v>117</v>
      </c>
      <c r="E54" s="11" t="s">
        <v>118</v>
      </c>
      <c r="F54" s="95"/>
      <c r="G54" s="9"/>
      <c r="H54" s="9" t="s">
        <v>119</v>
      </c>
      <c r="I54" s="14"/>
      <c r="J54" s="14"/>
      <c r="K54" s="12">
        <v>250</v>
      </c>
      <c r="L54" s="9"/>
      <c r="M54" s="9"/>
      <c r="N54" s="9"/>
      <c r="O54" s="38">
        <f t="shared" si="0"/>
        <v>250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01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5"/>
        <v>0</v>
      </c>
      <c r="BA54" s="15"/>
      <c r="BB54" s="44"/>
      <c r="BC54" s="15"/>
      <c r="BD54" s="44"/>
      <c r="BE54" s="15">
        <f t="shared" si="6"/>
        <v>0</v>
      </c>
    </row>
    <row r="55" spans="1:57" s="8" customFormat="1" ht="22.5" customHeight="1">
      <c r="A55" s="9"/>
      <c r="B55" s="16" t="s">
        <v>120</v>
      </c>
      <c r="C55" s="89" t="s">
        <v>59</v>
      </c>
      <c r="D55" s="61" t="s">
        <v>121</v>
      </c>
      <c r="E55" s="11" t="s">
        <v>122</v>
      </c>
      <c r="F55" s="95"/>
      <c r="G55" s="9"/>
      <c r="H55" s="9" t="s">
        <v>123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01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5"/>
        <v>0</v>
      </c>
      <c r="BA55" s="15"/>
      <c r="BB55" s="44"/>
      <c r="BC55" s="15"/>
      <c r="BD55" s="44"/>
      <c r="BE55" s="15">
        <f t="shared" si="6"/>
        <v>0</v>
      </c>
    </row>
    <row r="56" spans="1:57" s="8" customFormat="1" ht="22.5" customHeight="1">
      <c r="A56" s="9"/>
      <c r="B56" s="16" t="s">
        <v>120</v>
      </c>
      <c r="C56" s="89" t="s">
        <v>59</v>
      </c>
      <c r="D56" s="61" t="s">
        <v>124</v>
      </c>
      <c r="E56" s="11" t="s">
        <v>125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01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5"/>
        <v>0</v>
      </c>
      <c r="BA56" s="15"/>
      <c r="BB56" s="44"/>
      <c r="BC56" s="15"/>
      <c r="BD56" s="44"/>
      <c r="BE56" s="15">
        <f t="shared" si="6"/>
        <v>0</v>
      </c>
    </row>
    <row r="57" spans="1:57" s="8" customFormat="1" ht="22.5" customHeight="1">
      <c r="A57" s="9"/>
      <c r="B57" s="16" t="s">
        <v>120</v>
      </c>
      <c r="C57" s="89" t="s">
        <v>50</v>
      </c>
      <c r="D57" s="61" t="s">
        <v>126</v>
      </c>
      <c r="E57" s="11" t="s">
        <v>127</v>
      </c>
      <c r="F57" s="95"/>
      <c r="G57" s="9"/>
      <c r="H57" s="9" t="s">
        <v>128</v>
      </c>
      <c r="I57" s="14"/>
      <c r="J57" s="14"/>
      <c r="K57" s="12">
        <v>0</v>
      </c>
      <c r="L57" s="9"/>
      <c r="M57" s="9"/>
      <c r="N57" s="9"/>
      <c r="O57" s="38">
        <f t="shared" si="0"/>
        <v>0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01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5"/>
        <v>0</v>
      </c>
      <c r="BA57" s="15"/>
      <c r="BB57" s="44"/>
      <c r="BC57" s="15"/>
      <c r="BD57" s="44"/>
      <c r="BE57" s="15">
        <f t="shared" si="6"/>
        <v>0</v>
      </c>
    </row>
    <row r="58" spans="1:57" s="8" customFormat="1" ht="22.5" customHeight="1">
      <c r="A58" s="9"/>
      <c r="B58" s="16" t="s">
        <v>129</v>
      </c>
      <c r="C58" s="89" t="s">
        <v>44</v>
      </c>
      <c r="D58" s="60" t="s">
        <v>130</v>
      </c>
      <c r="E58" s="11"/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01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5"/>
        <v>0</v>
      </c>
      <c r="BA58" s="15"/>
      <c r="BB58" s="44"/>
      <c r="BC58" s="15"/>
      <c r="BD58" s="44"/>
      <c r="BE58" s="15">
        <f t="shared" si="6"/>
        <v>0</v>
      </c>
    </row>
    <row r="59" spans="1:57" s="8" customFormat="1" ht="22.5" customHeight="1">
      <c r="A59" s="9"/>
      <c r="B59" s="16" t="s">
        <v>129</v>
      </c>
      <c r="C59" s="89" t="s">
        <v>132</v>
      </c>
      <c r="D59" s="63" t="s">
        <v>133</v>
      </c>
      <c r="E59" s="11" t="s">
        <v>134</v>
      </c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01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5"/>
        <v>0</v>
      </c>
      <c r="BA59" s="15"/>
      <c r="BB59" s="44"/>
      <c r="BC59" s="15"/>
      <c r="BD59" s="44"/>
      <c r="BE59" s="15">
        <f t="shared" si="6"/>
        <v>0</v>
      </c>
    </row>
    <row r="60" spans="1:57" s="8" customFormat="1" ht="22.5" customHeight="1">
      <c r="A60" s="9"/>
      <c r="B60" s="16" t="s">
        <v>129</v>
      </c>
      <c r="C60" s="89" t="s">
        <v>48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1192</v>
      </c>
      <c r="L60" s="9"/>
      <c r="M60" s="9"/>
      <c r="N60" s="9"/>
      <c r="O60" s="38">
        <f t="shared" si="0"/>
        <v>1192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01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5"/>
        <v>0</v>
      </c>
      <c r="BA60" s="15"/>
      <c r="BB60" s="44"/>
      <c r="BC60" s="15"/>
      <c r="BD60" s="44"/>
      <c r="BE60" s="15">
        <f t="shared" si="6"/>
        <v>0</v>
      </c>
    </row>
    <row r="61" spans="1:57" s="8" customFormat="1" ht="22.5" customHeight="1">
      <c r="A61" s="9"/>
      <c r="B61" s="16" t="s">
        <v>129</v>
      </c>
      <c r="C61" s="89" t="s">
        <v>48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01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5"/>
        <v>0</v>
      </c>
      <c r="BA61" s="15"/>
      <c r="BB61" s="44"/>
      <c r="BC61" s="15"/>
      <c r="BD61" s="44"/>
      <c r="BE61" s="15">
        <f t="shared" si="6"/>
        <v>0</v>
      </c>
    </row>
    <row r="62" spans="1:57" s="8" customFormat="1" ht="22.5" customHeight="1">
      <c r="A62" s="9"/>
      <c r="B62" s="16" t="s">
        <v>129</v>
      </c>
      <c r="C62" s="89" t="s">
        <v>50</v>
      </c>
      <c r="D62" s="60" t="s">
        <v>130</v>
      </c>
      <c r="E62" s="11"/>
      <c r="F62" s="95"/>
      <c r="G62" s="9"/>
      <c r="H62" s="9" t="s">
        <v>67</v>
      </c>
      <c r="I62" s="14"/>
      <c r="J62" s="14"/>
      <c r="K62" s="12">
        <v>0</v>
      </c>
      <c r="L62" s="9"/>
      <c r="M62" s="9"/>
      <c r="N62" s="9"/>
      <c r="O62" s="38">
        <f t="shared" si="0"/>
        <v>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01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5"/>
        <v>0</v>
      </c>
      <c r="BA62" s="15"/>
      <c r="BB62" s="44"/>
      <c r="BC62" s="15"/>
      <c r="BD62" s="44"/>
      <c r="BE62" s="15">
        <f t="shared" si="6"/>
        <v>0</v>
      </c>
    </row>
    <row r="63" spans="1:57" s="8" customFormat="1" ht="22.5" customHeight="1">
      <c r="A63" s="9"/>
      <c r="B63" s="16" t="s">
        <v>129</v>
      </c>
      <c r="C63" s="89" t="s">
        <v>52</v>
      </c>
      <c r="D63" s="60" t="s">
        <v>130</v>
      </c>
      <c r="E63" s="11" t="s">
        <v>135</v>
      </c>
      <c r="F63" s="95"/>
      <c r="G63" s="9"/>
      <c r="H63" s="9" t="s">
        <v>131</v>
      </c>
      <c r="I63" s="14"/>
      <c r="J63" s="14"/>
      <c r="K63" s="12">
        <v>176</v>
      </c>
      <c r="L63" s="9"/>
      <c r="M63" s="9"/>
      <c r="N63" s="9"/>
      <c r="O63" s="38">
        <f t="shared" si="0"/>
        <v>176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01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5"/>
        <v>0</v>
      </c>
      <c r="BA63" s="15"/>
      <c r="BB63" s="44"/>
      <c r="BC63" s="15"/>
      <c r="BD63" s="44"/>
      <c r="BE63" s="15">
        <f t="shared" si="6"/>
        <v>0</v>
      </c>
    </row>
    <row r="64" spans="1:57" s="8" customFormat="1" ht="22.5" customHeight="1">
      <c r="A64" s="9"/>
      <c r="B64" s="16" t="s">
        <v>129</v>
      </c>
      <c r="C64" s="89" t="s">
        <v>52</v>
      </c>
      <c r="D64" s="60" t="s">
        <v>130</v>
      </c>
      <c r="E64" s="11" t="s">
        <v>136</v>
      </c>
      <c r="F64" s="95"/>
      <c r="G64" s="9"/>
      <c r="H64" s="9" t="s">
        <v>131</v>
      </c>
      <c r="I64" s="14"/>
      <c r="J64" s="14"/>
      <c r="K64" s="12">
        <v>0</v>
      </c>
      <c r="L64" s="9"/>
      <c r="M64" s="9"/>
      <c r="N64" s="9"/>
      <c r="O64" s="38">
        <f t="shared" si="0"/>
        <v>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01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5"/>
        <v>0</v>
      </c>
      <c r="BA64" s="15"/>
      <c r="BB64" s="44"/>
      <c r="BC64" s="15"/>
      <c r="BD64" s="44"/>
      <c r="BE64" s="15">
        <f t="shared" si="6"/>
        <v>0</v>
      </c>
    </row>
    <row r="65" spans="1:57" s="8" customFormat="1" ht="22.5" customHeight="1">
      <c r="A65" s="9"/>
      <c r="B65" s="16" t="s">
        <v>129</v>
      </c>
      <c r="C65" s="89" t="s">
        <v>44</v>
      </c>
      <c r="D65" s="57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1000</v>
      </c>
      <c r="L65" s="9"/>
      <c r="M65" s="9"/>
      <c r="N65" s="9"/>
      <c r="O65" s="38">
        <f t="shared" si="0"/>
        <v>1000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01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5"/>
        <v>0</v>
      </c>
      <c r="BA65" s="15"/>
      <c r="BB65" s="44"/>
      <c r="BC65" s="15"/>
      <c r="BD65" s="44"/>
      <c r="BE65" s="15">
        <f t="shared" si="6"/>
        <v>0</v>
      </c>
    </row>
    <row r="66" spans="1:57" s="8" customFormat="1" ht="22.5" customHeight="1">
      <c r="A66" s="9"/>
      <c r="B66" s="16" t="s">
        <v>129</v>
      </c>
      <c r="C66" s="89" t="s">
        <v>132</v>
      </c>
      <c r="D66" s="56" t="s">
        <v>139</v>
      </c>
      <c r="E66" s="11" t="s">
        <v>27</v>
      </c>
      <c r="F66" s="95"/>
      <c r="G66" s="9"/>
      <c r="H66" s="9" t="s">
        <v>131</v>
      </c>
      <c r="I66" s="14"/>
      <c r="J66" s="14"/>
      <c r="K66" s="12">
        <v>1800</v>
      </c>
      <c r="L66" s="9"/>
      <c r="M66" s="9"/>
      <c r="N66" s="9"/>
      <c r="O66" s="38">
        <f t="shared" si="0"/>
        <v>1800</v>
      </c>
      <c r="P66" s="12"/>
      <c r="Q66" s="42"/>
      <c r="R66" s="15"/>
      <c r="S66" s="44"/>
      <c r="T66" s="15"/>
      <c r="U66" s="44"/>
      <c r="V66" s="15">
        <f t="shared" si="1"/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si="2"/>
        <v>0</v>
      </c>
      <c r="AF66" s="101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5"/>
        <v>0</v>
      </c>
      <c r="BA66" s="15"/>
      <c r="BB66" s="44"/>
      <c r="BC66" s="15"/>
      <c r="BD66" s="44"/>
      <c r="BE66" s="15">
        <f t="shared" si="6"/>
        <v>0</v>
      </c>
    </row>
    <row r="67" spans="1:57" s="8" customFormat="1" ht="22.5" customHeight="1">
      <c r="A67" s="9"/>
      <c r="B67" s="16" t="s">
        <v>129</v>
      </c>
      <c r="C67" s="89" t="s">
        <v>140</v>
      </c>
      <c r="D67" s="64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2040</v>
      </c>
      <c r="L67" s="9"/>
      <c r="M67" s="9"/>
      <c r="N67" s="9"/>
      <c r="O67" s="38">
        <f t="shared" si="0"/>
        <v>2040</v>
      </c>
      <c r="P67" s="12"/>
      <c r="Q67" s="42"/>
      <c r="R67" s="15"/>
      <c r="S67" s="44"/>
      <c r="T67" s="15"/>
      <c r="U67" s="44"/>
      <c r="V67" s="15">
        <f t="shared" si="1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2"/>
        <v>0</v>
      </c>
      <c r="AF67" s="101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si="5"/>
        <v>0</v>
      </c>
      <c r="BA67" s="15"/>
      <c r="BB67" s="44"/>
      <c r="BC67" s="15"/>
      <c r="BD67" s="44"/>
      <c r="BE67" s="15">
        <f t="shared" si="6"/>
        <v>0</v>
      </c>
    </row>
    <row r="68" spans="1:57" s="8" customFormat="1" ht="22.5" customHeight="1">
      <c r="A68" s="9"/>
      <c r="B68" s="16" t="s">
        <v>129</v>
      </c>
      <c r="C68" s="89" t="s">
        <v>48</v>
      </c>
      <c r="D68" s="61" t="s">
        <v>137</v>
      </c>
      <c r="E68" s="11" t="s">
        <v>138</v>
      </c>
      <c r="F68" s="95"/>
      <c r="G68" s="9"/>
      <c r="H68" s="9" t="s">
        <v>131</v>
      </c>
      <c r="I68" s="14"/>
      <c r="J68" s="14"/>
      <c r="K68" s="12">
        <v>1202</v>
      </c>
      <c r="L68" s="9"/>
      <c r="M68" s="9"/>
      <c r="N68" s="9"/>
      <c r="O68" s="38">
        <f t="shared" ref="O68:O131" si="7">K68+V68-AE68-AZ68</f>
        <v>1202</v>
      </c>
      <c r="P68" s="12"/>
      <c r="Q68" s="42"/>
      <c r="R68" s="15"/>
      <c r="S68" s="44"/>
      <c r="T68" s="15"/>
      <c r="U68" s="44"/>
      <c r="V68" s="15">
        <f t="shared" ref="V68:V131" si="8">P68+R68+T68</f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ref="AE68:AE131" si="9">(W68+Y68+AA68+AC68)</f>
        <v>0</v>
      </c>
      <c r="AF68" s="101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5"/>
        <v>0</v>
      </c>
      <c r="BA68" s="15"/>
      <c r="BB68" s="44"/>
      <c r="BC68" s="15"/>
      <c r="BD68" s="44"/>
      <c r="BE68" s="15">
        <f t="shared" si="6"/>
        <v>0</v>
      </c>
    </row>
    <row r="69" spans="1:57" s="8" customFormat="1" ht="22.5" customHeight="1">
      <c r="A69" s="9"/>
      <c r="B69" s="16" t="s">
        <v>129</v>
      </c>
      <c r="C69" s="89" t="s">
        <v>52</v>
      </c>
      <c r="D69" s="61" t="s">
        <v>137</v>
      </c>
      <c r="E69" s="11" t="s">
        <v>138</v>
      </c>
      <c r="F69" s="95"/>
      <c r="G69" s="9"/>
      <c r="H69" s="9" t="s">
        <v>131</v>
      </c>
      <c r="I69" s="14"/>
      <c r="J69" s="14"/>
      <c r="K69" s="12">
        <v>0</v>
      </c>
      <c r="L69" s="9"/>
      <c r="M69" s="9"/>
      <c r="N69" s="9"/>
      <c r="O69" s="38">
        <f t="shared" si="7"/>
        <v>0</v>
      </c>
      <c r="P69" s="12"/>
      <c r="Q69" s="42"/>
      <c r="R69" s="15"/>
      <c r="S69" s="44"/>
      <c r="T69" s="15"/>
      <c r="U69" s="44"/>
      <c r="V69" s="15">
        <f t="shared" si="8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9"/>
        <v>0</v>
      </c>
      <c r="AF69" s="101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5"/>
        <v>0</v>
      </c>
      <c r="BA69" s="15"/>
      <c r="BB69" s="44"/>
      <c r="BC69" s="15"/>
      <c r="BD69" s="44"/>
      <c r="BE69" s="15">
        <f t="shared" ref="BE69:BE96" si="10">(BA69+BC69)</f>
        <v>0</v>
      </c>
    </row>
    <row r="70" spans="1:57" s="8" customFormat="1" ht="22.5" customHeight="1">
      <c r="A70" s="9"/>
      <c r="B70" s="16" t="s">
        <v>129</v>
      </c>
      <c r="C70" s="89" t="s">
        <v>52</v>
      </c>
      <c r="D70" s="56" t="s">
        <v>139</v>
      </c>
      <c r="E70" s="11" t="s">
        <v>27</v>
      </c>
      <c r="F70" s="95"/>
      <c r="G70" s="9"/>
      <c r="H70" s="9" t="s">
        <v>131</v>
      </c>
      <c r="I70" s="14"/>
      <c r="J70" s="14"/>
      <c r="K70" s="12">
        <v>0</v>
      </c>
      <c r="L70" s="9"/>
      <c r="M70" s="9"/>
      <c r="N70" s="9"/>
      <c r="O70" s="38">
        <f t="shared" si="7"/>
        <v>0</v>
      </c>
      <c r="P70" s="12"/>
      <c r="Q70" s="42"/>
      <c r="R70" s="15"/>
      <c r="S70" s="44"/>
      <c r="T70" s="15"/>
      <c r="U70" s="44"/>
      <c r="V70" s="15">
        <f t="shared" si="8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9"/>
        <v>0</v>
      </c>
      <c r="AF70" s="101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5"/>
        <v>0</v>
      </c>
      <c r="BA70" s="15"/>
      <c r="BB70" s="44"/>
      <c r="BC70" s="15"/>
      <c r="BD70" s="44"/>
      <c r="BE70" s="15">
        <f t="shared" si="10"/>
        <v>0</v>
      </c>
    </row>
    <row r="71" spans="1:57" s="8" customFormat="1" ht="22.5" customHeight="1">
      <c r="A71" s="9"/>
      <c r="B71" s="18" t="s">
        <v>58</v>
      </c>
      <c r="C71" s="89" t="s">
        <v>59</v>
      </c>
      <c r="D71" s="58" t="s">
        <v>141</v>
      </c>
      <c r="E71" s="35" t="s">
        <v>58</v>
      </c>
      <c r="F71" s="95"/>
      <c r="G71" s="21"/>
      <c r="H71" s="21" t="s">
        <v>61</v>
      </c>
      <c r="I71" s="14"/>
      <c r="J71" s="14"/>
      <c r="K71" s="12">
        <v>733</v>
      </c>
      <c r="L71" s="9"/>
      <c r="M71" s="9"/>
      <c r="N71" s="9"/>
      <c r="O71" s="38">
        <f t="shared" si="7"/>
        <v>733</v>
      </c>
      <c r="P71" s="12"/>
      <c r="Q71" s="42"/>
      <c r="R71" s="15"/>
      <c r="S71" s="44"/>
      <c r="T71" s="15"/>
      <c r="U71" s="44"/>
      <c r="V71" s="15">
        <f t="shared" si="8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9"/>
        <v>0</v>
      </c>
      <c r="AF71" s="101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5"/>
        <v>0</v>
      </c>
      <c r="BA71" s="15"/>
      <c r="BB71" s="44"/>
      <c r="BC71" s="15"/>
      <c r="BD71" s="44"/>
      <c r="BE71" s="15">
        <f t="shared" si="10"/>
        <v>0</v>
      </c>
    </row>
    <row r="72" spans="1:57" s="8" customFormat="1" ht="22.5" customHeight="1">
      <c r="A72" s="9"/>
      <c r="B72" s="18" t="s">
        <v>62</v>
      </c>
      <c r="C72" s="89" t="s">
        <v>48</v>
      </c>
      <c r="D72" s="58" t="s">
        <v>142</v>
      </c>
      <c r="E72" s="35" t="s">
        <v>62</v>
      </c>
      <c r="F72" s="95"/>
      <c r="G72" s="21"/>
      <c r="H72" s="21" t="s">
        <v>61</v>
      </c>
      <c r="I72" s="14"/>
      <c r="J72" s="14"/>
      <c r="K72" s="12">
        <v>112</v>
      </c>
      <c r="L72" s="9"/>
      <c r="M72" s="9"/>
      <c r="N72" s="9"/>
      <c r="O72" s="38">
        <f t="shared" si="7"/>
        <v>112</v>
      </c>
      <c r="P72" s="12"/>
      <c r="Q72" s="42"/>
      <c r="R72" s="15"/>
      <c r="S72" s="44"/>
      <c r="T72" s="15"/>
      <c r="U72" s="44"/>
      <c r="V72" s="15">
        <f t="shared" si="8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9"/>
        <v>0</v>
      </c>
      <c r="AF72" s="101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5"/>
        <v>0</v>
      </c>
      <c r="BA72" s="15"/>
      <c r="BB72" s="44"/>
      <c r="BC72" s="15"/>
      <c r="BD72" s="44"/>
      <c r="BE72" s="15">
        <f t="shared" si="10"/>
        <v>0</v>
      </c>
    </row>
    <row r="73" spans="1:57" s="8" customFormat="1" ht="22.5" customHeight="1">
      <c r="A73" s="9"/>
      <c r="B73" s="18" t="s">
        <v>62</v>
      </c>
      <c r="C73" s="89" t="s">
        <v>50</v>
      </c>
      <c r="D73" s="58" t="s">
        <v>142</v>
      </c>
      <c r="E73" s="35" t="s">
        <v>62</v>
      </c>
      <c r="F73" s="95"/>
      <c r="G73" s="21"/>
      <c r="H73" s="21" t="s">
        <v>61</v>
      </c>
      <c r="I73" s="14"/>
      <c r="J73" s="14"/>
      <c r="K73" s="12">
        <v>40</v>
      </c>
      <c r="L73" s="9"/>
      <c r="M73" s="9"/>
      <c r="N73" s="9"/>
      <c r="O73" s="38">
        <f t="shared" si="7"/>
        <v>40</v>
      </c>
      <c r="P73" s="12"/>
      <c r="Q73" s="42"/>
      <c r="R73" s="15"/>
      <c r="S73" s="44"/>
      <c r="T73" s="15"/>
      <c r="U73" s="44"/>
      <c r="V73" s="15">
        <f t="shared" si="8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9"/>
        <v>0</v>
      </c>
      <c r="AF73" s="101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5"/>
        <v>0</v>
      </c>
      <c r="BA73" s="15"/>
      <c r="BB73" s="44"/>
      <c r="BC73" s="15"/>
      <c r="BD73" s="44"/>
      <c r="BE73" s="15">
        <f t="shared" si="10"/>
        <v>0</v>
      </c>
    </row>
    <row r="74" spans="1:57" s="8" customFormat="1" ht="22.5" customHeight="1">
      <c r="A74" s="9"/>
      <c r="B74" s="18" t="s">
        <v>62</v>
      </c>
      <c r="C74" s="89" t="s">
        <v>48</v>
      </c>
      <c r="D74" s="58" t="s">
        <v>143</v>
      </c>
      <c r="E74" s="35" t="s">
        <v>62</v>
      </c>
      <c r="F74" s="95"/>
      <c r="G74" s="21"/>
      <c r="H74" s="21" t="s">
        <v>61</v>
      </c>
      <c r="I74" s="14"/>
      <c r="J74" s="14"/>
      <c r="K74" s="12">
        <v>200</v>
      </c>
      <c r="L74" s="9"/>
      <c r="M74" s="9"/>
      <c r="N74" s="9"/>
      <c r="O74" s="38">
        <f t="shared" si="7"/>
        <v>200</v>
      </c>
      <c r="P74" s="12"/>
      <c r="Q74" s="42"/>
      <c r="R74" s="15"/>
      <c r="S74" s="44"/>
      <c r="T74" s="15"/>
      <c r="U74" s="44"/>
      <c r="V74" s="15">
        <f t="shared" si="8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9"/>
        <v>0</v>
      </c>
      <c r="AF74" s="101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5"/>
        <v>0</v>
      </c>
      <c r="BA74" s="15"/>
      <c r="BB74" s="44"/>
      <c r="BC74" s="15"/>
      <c r="BD74" s="44"/>
      <c r="BE74" s="15">
        <f t="shared" si="10"/>
        <v>0</v>
      </c>
    </row>
    <row r="75" spans="1:57" s="8" customFormat="1" ht="22.5" customHeight="1">
      <c r="A75" s="9"/>
      <c r="B75" s="18" t="s">
        <v>144</v>
      </c>
      <c r="C75" s="89" t="s">
        <v>132</v>
      </c>
      <c r="D75" s="65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893</v>
      </c>
      <c r="L75" s="9"/>
      <c r="M75" s="9"/>
      <c r="N75" s="9"/>
      <c r="O75" s="38">
        <f t="shared" si="7"/>
        <v>893</v>
      </c>
      <c r="P75" s="12"/>
      <c r="Q75" s="42"/>
      <c r="R75" s="15"/>
      <c r="S75" s="44"/>
      <c r="T75" s="15"/>
      <c r="U75" s="44"/>
      <c r="V75" s="15">
        <f t="shared" si="8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9"/>
        <v>0</v>
      </c>
      <c r="AF75" s="101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5"/>
        <v>0</v>
      </c>
      <c r="BA75" s="15"/>
      <c r="BB75" s="44"/>
      <c r="BC75" s="15"/>
      <c r="BD75" s="44"/>
      <c r="BE75" s="15">
        <f t="shared" si="10"/>
        <v>0</v>
      </c>
    </row>
    <row r="76" spans="1:57" s="8" customFormat="1" ht="22.5" customHeight="1">
      <c r="A76" s="9"/>
      <c r="B76" s="18" t="s">
        <v>144</v>
      </c>
      <c r="C76" s="89" t="s">
        <v>48</v>
      </c>
      <c r="D76" s="58" t="s">
        <v>145</v>
      </c>
      <c r="E76" s="35" t="s">
        <v>146</v>
      </c>
      <c r="F76" s="95"/>
      <c r="G76" s="21"/>
      <c r="H76" s="21" t="s">
        <v>148</v>
      </c>
      <c r="I76" s="14"/>
      <c r="J76" s="14"/>
      <c r="K76" s="12">
        <v>654</v>
      </c>
      <c r="L76" s="9"/>
      <c r="M76" s="9"/>
      <c r="N76" s="9"/>
      <c r="O76" s="38">
        <f t="shared" si="7"/>
        <v>654</v>
      </c>
      <c r="P76" s="12"/>
      <c r="Q76" s="42"/>
      <c r="R76" s="15"/>
      <c r="S76" s="44"/>
      <c r="T76" s="15"/>
      <c r="U76" s="44"/>
      <c r="V76" s="15">
        <f t="shared" si="8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9"/>
        <v>0</v>
      </c>
      <c r="AF76" s="101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5"/>
        <v>0</v>
      </c>
      <c r="BA76" s="15"/>
      <c r="BB76" s="44"/>
      <c r="BC76" s="15"/>
      <c r="BD76" s="44"/>
      <c r="BE76" s="15">
        <f t="shared" si="10"/>
        <v>0</v>
      </c>
    </row>
    <row r="77" spans="1:57" s="8" customFormat="1" ht="22.5" customHeight="1">
      <c r="A77" s="9"/>
      <c r="B77" s="18" t="s">
        <v>144</v>
      </c>
      <c r="C77" s="89" t="s">
        <v>50</v>
      </c>
      <c r="D77" s="58" t="s">
        <v>145</v>
      </c>
      <c r="E77" s="35" t="s">
        <v>146</v>
      </c>
      <c r="F77" s="95"/>
      <c r="G77" s="21"/>
      <c r="H77" s="21" t="s">
        <v>148</v>
      </c>
      <c r="I77" s="14"/>
      <c r="J77" s="14"/>
      <c r="K77" s="12">
        <v>0</v>
      </c>
      <c r="L77" s="9"/>
      <c r="M77" s="9"/>
      <c r="N77" s="9"/>
      <c r="O77" s="38">
        <f t="shared" si="7"/>
        <v>0</v>
      </c>
      <c r="P77" s="12"/>
      <c r="Q77" s="42"/>
      <c r="R77" s="15"/>
      <c r="S77" s="44"/>
      <c r="T77" s="15"/>
      <c r="U77" s="44"/>
      <c r="V77" s="15">
        <f t="shared" si="8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9"/>
        <v>0</v>
      </c>
      <c r="AF77" s="101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5"/>
        <v>0</v>
      </c>
      <c r="BA77" s="15"/>
      <c r="BB77" s="44"/>
      <c r="BC77" s="15"/>
      <c r="BD77" s="44"/>
      <c r="BE77" s="15">
        <f t="shared" si="10"/>
        <v>0</v>
      </c>
    </row>
    <row r="78" spans="1:57" s="8" customFormat="1" ht="22.5" customHeight="1">
      <c r="A78" s="9"/>
      <c r="B78" s="18" t="s">
        <v>144</v>
      </c>
      <c r="C78" s="89" t="s">
        <v>140</v>
      </c>
      <c r="D78" s="58" t="s">
        <v>145</v>
      </c>
      <c r="E78" s="35" t="s">
        <v>146</v>
      </c>
      <c r="F78" s="95"/>
      <c r="G78" s="21"/>
      <c r="H78" s="21" t="s">
        <v>147</v>
      </c>
      <c r="I78" s="14"/>
      <c r="J78" s="14"/>
      <c r="K78" s="12">
        <v>273</v>
      </c>
      <c r="L78" s="9"/>
      <c r="M78" s="9"/>
      <c r="N78" s="9"/>
      <c r="O78" s="38">
        <f t="shared" si="7"/>
        <v>273</v>
      </c>
      <c r="P78" s="12"/>
      <c r="Q78" s="42"/>
      <c r="R78" s="15"/>
      <c r="S78" s="44"/>
      <c r="T78" s="15"/>
      <c r="U78" s="44"/>
      <c r="V78" s="15">
        <f t="shared" si="8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9"/>
        <v>0</v>
      </c>
      <c r="AF78" s="101"/>
      <c r="AG78" s="42"/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5"/>
        <v>0</v>
      </c>
      <c r="BA78" s="15"/>
      <c r="BB78" s="44"/>
      <c r="BC78" s="15"/>
      <c r="BD78" s="44"/>
      <c r="BE78" s="15">
        <f t="shared" si="10"/>
        <v>0</v>
      </c>
    </row>
    <row r="79" spans="1:57" s="8" customFormat="1" ht="22.5" customHeight="1">
      <c r="A79" s="9"/>
      <c r="B79" s="18" t="s">
        <v>144</v>
      </c>
      <c r="C79" s="89" t="s">
        <v>52</v>
      </c>
      <c r="D79" s="58" t="s">
        <v>145</v>
      </c>
      <c r="E79" s="35" t="s">
        <v>149</v>
      </c>
      <c r="F79" s="95"/>
      <c r="G79" s="21"/>
      <c r="H79" s="21" t="s">
        <v>147</v>
      </c>
      <c r="I79" s="14"/>
      <c r="J79" s="14"/>
      <c r="K79" s="12">
        <v>200</v>
      </c>
      <c r="L79" s="9"/>
      <c r="M79" s="9"/>
      <c r="N79" s="9"/>
      <c r="O79" s="38">
        <f t="shared" si="7"/>
        <v>200</v>
      </c>
      <c r="P79" s="12"/>
      <c r="Q79" s="42"/>
      <c r="R79" s="15"/>
      <c r="S79" s="44"/>
      <c r="T79" s="15"/>
      <c r="U79" s="44"/>
      <c r="V79" s="15">
        <f t="shared" si="8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9"/>
        <v>0</v>
      </c>
      <c r="AF79" s="101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5"/>
        <v>0</v>
      </c>
      <c r="BA79" s="15"/>
      <c r="BB79" s="44"/>
      <c r="BC79" s="15"/>
      <c r="BD79" s="44"/>
      <c r="BE79" s="15">
        <f t="shared" si="10"/>
        <v>0</v>
      </c>
    </row>
    <row r="80" spans="1:57" s="8" customFormat="1" ht="22.5" customHeight="1">
      <c r="A80" s="9"/>
      <c r="B80" s="18" t="s">
        <v>144</v>
      </c>
      <c r="C80" s="89" t="s">
        <v>59</v>
      </c>
      <c r="D80" s="58" t="s">
        <v>150</v>
      </c>
      <c r="E80" s="35" t="s">
        <v>146</v>
      </c>
      <c r="F80" s="95"/>
      <c r="G80" s="21"/>
      <c r="H80" s="21" t="s">
        <v>147</v>
      </c>
      <c r="I80" s="14"/>
      <c r="J80" s="14"/>
      <c r="K80" s="12">
        <v>737</v>
      </c>
      <c r="L80" s="9"/>
      <c r="M80" s="9"/>
      <c r="N80" s="9"/>
      <c r="O80" s="38">
        <f t="shared" si="7"/>
        <v>737</v>
      </c>
      <c r="P80" s="12"/>
      <c r="Q80" s="42"/>
      <c r="R80" s="15"/>
      <c r="S80" s="44"/>
      <c r="T80" s="15"/>
      <c r="U80" s="44"/>
      <c r="V80" s="15">
        <f t="shared" si="8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9"/>
        <v>0</v>
      </c>
      <c r="AF80" s="101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5"/>
        <v>0</v>
      </c>
      <c r="BA80" s="15"/>
      <c r="BB80" s="44"/>
      <c r="BC80" s="15"/>
      <c r="BD80" s="44"/>
      <c r="BE80" s="15">
        <f t="shared" si="10"/>
        <v>0</v>
      </c>
    </row>
    <row r="81" spans="1:57" s="8" customFormat="1" ht="22.5" customHeight="1">
      <c r="A81" s="9"/>
      <c r="B81" s="18" t="s">
        <v>144</v>
      </c>
      <c r="C81" s="89" t="s">
        <v>48</v>
      </c>
      <c r="D81" s="65" t="s">
        <v>150</v>
      </c>
      <c r="E81" s="35" t="s">
        <v>146</v>
      </c>
      <c r="F81" s="95"/>
      <c r="G81" s="21"/>
      <c r="H81" s="21" t="s">
        <v>148</v>
      </c>
      <c r="I81" s="14"/>
      <c r="J81" s="14"/>
      <c r="K81" s="12">
        <v>232</v>
      </c>
      <c r="L81" s="9"/>
      <c r="M81" s="9"/>
      <c r="N81" s="9"/>
      <c r="O81" s="38">
        <f t="shared" si="7"/>
        <v>232</v>
      </c>
      <c r="P81" s="12"/>
      <c r="Q81" s="42"/>
      <c r="R81" s="15"/>
      <c r="S81" s="44"/>
      <c r="T81" s="15"/>
      <c r="U81" s="44"/>
      <c r="V81" s="15">
        <f t="shared" si="8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9"/>
        <v>0</v>
      </c>
      <c r="AF81" s="101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5"/>
        <v>0</v>
      </c>
      <c r="BA81" s="15"/>
      <c r="BB81" s="44"/>
      <c r="BC81" s="15"/>
      <c r="BD81" s="44"/>
      <c r="BE81" s="15">
        <f t="shared" si="10"/>
        <v>0</v>
      </c>
    </row>
    <row r="82" spans="1:57" s="8" customFormat="1" ht="22.5" customHeight="1">
      <c r="A82" s="9"/>
      <c r="B82" s="18" t="s">
        <v>144</v>
      </c>
      <c r="C82" s="89" t="s">
        <v>50</v>
      </c>
      <c r="D82" s="65" t="s">
        <v>150</v>
      </c>
      <c r="E82" s="35" t="s">
        <v>146</v>
      </c>
      <c r="F82" s="95"/>
      <c r="G82" s="21"/>
      <c r="H82" s="21" t="s">
        <v>148</v>
      </c>
      <c r="I82" s="14"/>
      <c r="J82" s="14"/>
      <c r="K82" s="12">
        <v>50</v>
      </c>
      <c r="L82" s="9"/>
      <c r="M82" s="9"/>
      <c r="N82" s="9"/>
      <c r="O82" s="38">
        <f t="shared" si="7"/>
        <v>50</v>
      </c>
      <c r="P82" s="12"/>
      <c r="Q82" s="42"/>
      <c r="R82" s="15"/>
      <c r="S82" s="44"/>
      <c r="T82" s="15"/>
      <c r="U82" s="44"/>
      <c r="V82" s="15">
        <f t="shared" si="8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9"/>
        <v>0</v>
      </c>
      <c r="AF82" s="101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5"/>
        <v>0</v>
      </c>
      <c r="BA82" s="15"/>
      <c r="BB82" s="44"/>
      <c r="BC82" s="15"/>
      <c r="BD82" s="44"/>
      <c r="BE82" s="15">
        <f t="shared" si="10"/>
        <v>0</v>
      </c>
    </row>
    <row r="83" spans="1:57" s="8" customFormat="1" ht="22.5" customHeight="1">
      <c r="A83" s="9"/>
      <c r="B83" s="18" t="s">
        <v>144</v>
      </c>
      <c r="C83" s="92" t="s">
        <v>151</v>
      </c>
      <c r="D83" s="58" t="s">
        <v>152</v>
      </c>
      <c r="E83" s="35"/>
      <c r="F83" s="95"/>
      <c r="G83" s="21"/>
      <c r="H83" s="21" t="s">
        <v>147</v>
      </c>
      <c r="I83" s="14"/>
      <c r="J83" s="14"/>
      <c r="K83" s="12">
        <v>0</v>
      </c>
      <c r="L83" s="9"/>
      <c r="M83" s="9"/>
      <c r="N83" s="9"/>
      <c r="O83" s="38">
        <f t="shared" si="7"/>
        <v>0</v>
      </c>
      <c r="P83" s="12"/>
      <c r="Q83" s="42"/>
      <c r="R83" s="15"/>
      <c r="S83" s="44"/>
      <c r="T83" s="15"/>
      <c r="U83" s="44"/>
      <c r="V83" s="15">
        <f t="shared" si="8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9"/>
        <v>0</v>
      </c>
      <c r="AF83" s="101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5"/>
        <v>0</v>
      </c>
      <c r="BA83" s="15"/>
      <c r="BB83" s="44"/>
      <c r="BC83" s="15"/>
      <c r="BD83" s="44"/>
      <c r="BE83" s="15">
        <f t="shared" si="10"/>
        <v>0</v>
      </c>
    </row>
    <row r="84" spans="1:57" s="8" customFormat="1" ht="22.5" customHeight="1">
      <c r="A84" s="9"/>
      <c r="B84" s="18" t="s">
        <v>144</v>
      </c>
      <c r="C84" s="92" t="s">
        <v>151</v>
      </c>
      <c r="D84" s="58" t="s">
        <v>152</v>
      </c>
      <c r="E84" s="35" t="s">
        <v>153</v>
      </c>
      <c r="F84" s="95"/>
      <c r="G84" s="21"/>
      <c r="H84" s="21" t="s">
        <v>147</v>
      </c>
      <c r="I84" s="14"/>
      <c r="J84" s="14"/>
      <c r="K84" s="12">
        <v>100</v>
      </c>
      <c r="L84" s="9"/>
      <c r="M84" s="9"/>
      <c r="N84" s="9"/>
      <c r="O84" s="38">
        <f t="shared" si="7"/>
        <v>100</v>
      </c>
      <c r="P84" s="12"/>
      <c r="Q84" s="42"/>
      <c r="R84" s="15"/>
      <c r="S84" s="44"/>
      <c r="T84" s="15"/>
      <c r="U84" s="44"/>
      <c r="V84" s="15">
        <f t="shared" si="8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9"/>
        <v>0</v>
      </c>
      <c r="AF84" s="101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5"/>
        <v>0</v>
      </c>
      <c r="BA84" s="15"/>
      <c r="BB84" s="44"/>
      <c r="BC84" s="15"/>
      <c r="BD84" s="44"/>
      <c r="BE84" s="15">
        <f t="shared" si="10"/>
        <v>0</v>
      </c>
    </row>
    <row r="85" spans="1:57" s="8" customFormat="1" ht="22.5" customHeight="1">
      <c r="A85" s="9"/>
      <c r="B85" s="18" t="s">
        <v>144</v>
      </c>
      <c r="C85" s="92" t="s">
        <v>151</v>
      </c>
      <c r="D85" s="65" t="s">
        <v>154</v>
      </c>
      <c r="E85" s="35"/>
      <c r="F85" s="95"/>
      <c r="G85" s="21"/>
      <c r="H85" s="21" t="s">
        <v>147</v>
      </c>
      <c r="I85" s="14"/>
      <c r="J85" s="14"/>
      <c r="K85" s="12">
        <v>1188</v>
      </c>
      <c r="L85" s="9"/>
      <c r="M85" s="9"/>
      <c r="N85" s="9"/>
      <c r="O85" s="38">
        <f t="shared" si="7"/>
        <v>1188</v>
      </c>
      <c r="P85" s="12"/>
      <c r="Q85" s="42"/>
      <c r="R85" s="15"/>
      <c r="S85" s="44"/>
      <c r="T85" s="15"/>
      <c r="U85" s="44"/>
      <c r="V85" s="15">
        <f t="shared" si="8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9"/>
        <v>0</v>
      </c>
      <c r="AF85" s="101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5"/>
        <v>0</v>
      </c>
      <c r="BA85" s="15"/>
      <c r="BB85" s="44"/>
      <c r="BC85" s="15"/>
      <c r="BD85" s="44"/>
      <c r="BE85" s="15">
        <f t="shared" si="10"/>
        <v>0</v>
      </c>
    </row>
    <row r="86" spans="1:57" s="8" customFormat="1" ht="22.5" customHeight="1">
      <c r="A86" s="9"/>
      <c r="B86" s="18" t="s">
        <v>155</v>
      </c>
      <c r="C86" s="89" t="s">
        <v>59</v>
      </c>
      <c r="D86" s="58" t="s">
        <v>156</v>
      </c>
      <c r="E86" s="35" t="s">
        <v>157</v>
      </c>
      <c r="F86" s="95"/>
      <c r="G86" s="21"/>
      <c r="H86" s="21" t="s">
        <v>158</v>
      </c>
      <c r="I86" s="14"/>
      <c r="J86" s="14"/>
      <c r="K86" s="12">
        <v>1543</v>
      </c>
      <c r="L86" s="9"/>
      <c r="M86" s="9"/>
      <c r="N86" s="9"/>
      <c r="O86" s="38">
        <f t="shared" si="7"/>
        <v>1543</v>
      </c>
      <c r="P86" s="12"/>
      <c r="Q86" s="42"/>
      <c r="R86" s="15"/>
      <c r="S86" s="44"/>
      <c r="T86" s="15"/>
      <c r="U86" s="44"/>
      <c r="V86" s="15">
        <f t="shared" si="8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9"/>
        <v>0</v>
      </c>
      <c r="AF86" s="101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5"/>
        <v>0</v>
      </c>
      <c r="BA86" s="15"/>
      <c r="BB86" s="44"/>
      <c r="BC86" s="15"/>
      <c r="BD86" s="44"/>
      <c r="BE86" s="15">
        <f t="shared" si="10"/>
        <v>0</v>
      </c>
    </row>
    <row r="87" spans="1:57" s="8" customFormat="1" ht="22.5" customHeight="1">
      <c r="A87" s="9"/>
      <c r="B87" s="18" t="s">
        <v>155</v>
      </c>
      <c r="C87" s="89" t="s">
        <v>48</v>
      </c>
      <c r="D87" s="58" t="s">
        <v>156</v>
      </c>
      <c r="E87" s="35" t="s">
        <v>159</v>
      </c>
      <c r="F87" s="95"/>
      <c r="G87" s="21"/>
      <c r="H87" s="21" t="s">
        <v>158</v>
      </c>
      <c r="I87" s="14"/>
      <c r="J87" s="14"/>
      <c r="K87" s="12">
        <v>0</v>
      </c>
      <c r="L87" s="9"/>
      <c r="M87" s="9"/>
      <c r="N87" s="9"/>
      <c r="O87" s="38">
        <f t="shared" si="7"/>
        <v>0</v>
      </c>
      <c r="P87" s="12"/>
      <c r="Q87" s="42"/>
      <c r="R87" s="15"/>
      <c r="S87" s="44"/>
      <c r="T87" s="15"/>
      <c r="U87" s="44"/>
      <c r="V87" s="15">
        <f t="shared" si="8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9"/>
        <v>0</v>
      </c>
      <c r="AF87" s="101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5"/>
        <v>0</v>
      </c>
      <c r="BA87" s="15"/>
      <c r="BB87" s="44"/>
      <c r="BC87" s="15"/>
      <c r="BD87" s="44"/>
      <c r="BE87" s="15">
        <f t="shared" si="10"/>
        <v>0</v>
      </c>
    </row>
    <row r="88" spans="1:57" s="8" customFormat="1" ht="22.5" customHeight="1">
      <c r="A88" s="9"/>
      <c r="B88" s="18" t="s">
        <v>155</v>
      </c>
      <c r="C88" s="89" t="s">
        <v>52</v>
      </c>
      <c r="D88" s="58" t="s">
        <v>156</v>
      </c>
      <c r="E88" s="35" t="s">
        <v>160</v>
      </c>
      <c r="F88" s="95"/>
      <c r="G88" s="21"/>
      <c r="H88" s="21" t="s">
        <v>158</v>
      </c>
      <c r="I88" s="14"/>
      <c r="J88" s="14"/>
      <c r="K88" s="12">
        <v>0</v>
      </c>
      <c r="L88" s="9"/>
      <c r="M88" s="9"/>
      <c r="N88" s="9"/>
      <c r="O88" s="38">
        <f t="shared" si="7"/>
        <v>0</v>
      </c>
      <c r="P88" s="12"/>
      <c r="Q88" s="42"/>
      <c r="R88" s="15"/>
      <c r="S88" s="44"/>
      <c r="T88" s="15"/>
      <c r="U88" s="44"/>
      <c r="V88" s="15">
        <f t="shared" si="8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9"/>
        <v>0</v>
      </c>
      <c r="AF88" s="101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5"/>
        <v>0</v>
      </c>
      <c r="BA88" s="15"/>
      <c r="BB88" s="44"/>
      <c r="BC88" s="15"/>
      <c r="BD88" s="44"/>
      <c r="BE88" s="15">
        <f t="shared" si="10"/>
        <v>0</v>
      </c>
    </row>
    <row r="89" spans="1:57" s="8" customFormat="1" ht="22.5" customHeight="1">
      <c r="A89" s="9"/>
      <c r="B89" s="18" t="s">
        <v>161</v>
      </c>
      <c r="C89" s="92" t="s">
        <v>151</v>
      </c>
      <c r="D89" s="58" t="s">
        <v>162</v>
      </c>
      <c r="E89" s="35" t="s">
        <v>163</v>
      </c>
      <c r="F89" s="95"/>
      <c r="G89" s="21"/>
      <c r="H89" s="21"/>
      <c r="I89" s="14"/>
      <c r="J89" s="14"/>
      <c r="K89" s="12">
        <v>0</v>
      </c>
      <c r="L89" s="9"/>
      <c r="M89" s="9"/>
      <c r="N89" s="9"/>
      <c r="O89" s="38">
        <f t="shared" si="7"/>
        <v>0</v>
      </c>
      <c r="P89" s="12"/>
      <c r="Q89" s="42"/>
      <c r="R89" s="15"/>
      <c r="S89" s="44"/>
      <c r="T89" s="15"/>
      <c r="U89" s="44"/>
      <c r="V89" s="15">
        <f t="shared" si="8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9"/>
        <v>0</v>
      </c>
      <c r="AF89" s="101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5"/>
        <v>0</v>
      </c>
      <c r="BA89" s="15"/>
      <c r="BB89" s="44"/>
      <c r="BC89" s="15"/>
      <c r="BD89" s="44"/>
      <c r="BE89" s="15">
        <f t="shared" si="10"/>
        <v>0</v>
      </c>
    </row>
    <row r="90" spans="1:57" s="8" customFormat="1" ht="22.5" customHeight="1">
      <c r="A90" s="9"/>
      <c r="B90" s="18" t="s">
        <v>129</v>
      </c>
      <c r="C90" s="89" t="s">
        <v>44</v>
      </c>
      <c r="D90" s="66" t="s">
        <v>164</v>
      </c>
      <c r="E90" s="35"/>
      <c r="F90" s="95"/>
      <c r="G90" s="21"/>
      <c r="H90" s="21"/>
      <c r="I90" s="14"/>
      <c r="J90" s="14"/>
      <c r="K90" s="12">
        <v>0</v>
      </c>
      <c r="L90" s="9"/>
      <c r="M90" s="9"/>
      <c r="N90" s="9"/>
      <c r="O90" s="38">
        <f t="shared" si="7"/>
        <v>0</v>
      </c>
      <c r="P90" s="12"/>
      <c r="Q90" s="42"/>
      <c r="R90" s="15"/>
      <c r="S90" s="44"/>
      <c r="T90" s="15"/>
      <c r="U90" s="44"/>
      <c r="V90" s="15">
        <f t="shared" si="8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9"/>
        <v>0</v>
      </c>
      <c r="AF90" s="101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5"/>
        <v>0</v>
      </c>
      <c r="BA90" s="15"/>
      <c r="BB90" s="44"/>
      <c r="BC90" s="15"/>
      <c r="BD90" s="44"/>
      <c r="BE90" s="15">
        <f t="shared" si="10"/>
        <v>0</v>
      </c>
    </row>
    <row r="91" spans="1:57" s="8" customFormat="1" ht="22.5" customHeight="1">
      <c r="A91" s="9"/>
      <c r="B91" s="18" t="s">
        <v>129</v>
      </c>
      <c r="C91" s="89" t="s">
        <v>165</v>
      </c>
      <c r="D91" s="66" t="s">
        <v>166</v>
      </c>
      <c r="E91" s="35"/>
      <c r="F91" s="95"/>
      <c r="G91" s="21"/>
      <c r="H91" s="21"/>
      <c r="I91" s="14"/>
      <c r="J91" s="14"/>
      <c r="K91" s="12">
        <v>0</v>
      </c>
      <c r="L91" s="9"/>
      <c r="M91" s="9"/>
      <c r="N91" s="9"/>
      <c r="O91" s="38">
        <f t="shared" si="7"/>
        <v>0</v>
      </c>
      <c r="P91" s="12"/>
      <c r="Q91" s="42"/>
      <c r="R91" s="15"/>
      <c r="S91" s="44"/>
      <c r="T91" s="15"/>
      <c r="U91" s="44"/>
      <c r="V91" s="15">
        <f t="shared" si="8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9"/>
        <v>0</v>
      </c>
      <c r="AF91" s="101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5"/>
        <v>0</v>
      </c>
      <c r="BA91" s="15"/>
      <c r="BB91" s="44"/>
      <c r="BC91" s="15"/>
      <c r="BD91" s="44"/>
      <c r="BE91" s="15">
        <f t="shared" si="10"/>
        <v>0</v>
      </c>
    </row>
    <row r="92" spans="1:57" s="8" customFormat="1" ht="22.5" customHeight="1">
      <c r="A92" s="9"/>
      <c r="B92" s="18" t="s">
        <v>129</v>
      </c>
      <c r="C92" s="89" t="s">
        <v>44</v>
      </c>
      <c r="D92" s="66" t="s">
        <v>167</v>
      </c>
      <c r="E92" s="35"/>
      <c r="F92" s="95"/>
      <c r="G92" s="21"/>
      <c r="H92" s="21" t="s">
        <v>131</v>
      </c>
      <c r="I92" s="14"/>
      <c r="J92" s="14"/>
      <c r="K92" s="12">
        <v>574</v>
      </c>
      <c r="L92" s="9"/>
      <c r="M92" s="9"/>
      <c r="N92" s="9"/>
      <c r="O92" s="38">
        <f t="shared" si="7"/>
        <v>574</v>
      </c>
      <c r="P92" s="12"/>
      <c r="Q92" s="42"/>
      <c r="R92" s="15"/>
      <c r="S92" s="44"/>
      <c r="T92" s="15"/>
      <c r="U92" s="44"/>
      <c r="V92" s="15">
        <f t="shared" si="8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9"/>
        <v>0</v>
      </c>
      <c r="AF92" s="101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5"/>
        <v>0</v>
      </c>
      <c r="BA92" s="15"/>
      <c r="BB92" s="44"/>
      <c r="BC92" s="15"/>
      <c r="BD92" s="44"/>
      <c r="BE92" s="15">
        <f t="shared" si="10"/>
        <v>0</v>
      </c>
    </row>
    <row r="93" spans="1:57" s="8" customFormat="1" ht="22.5" customHeight="1">
      <c r="A93" s="9"/>
      <c r="B93" s="18" t="s">
        <v>129</v>
      </c>
      <c r="C93" s="89" t="s">
        <v>132</v>
      </c>
      <c r="D93" s="66" t="s">
        <v>168</v>
      </c>
      <c r="E93" s="35"/>
      <c r="F93" s="95"/>
      <c r="G93" s="21"/>
      <c r="H93" s="21" t="s">
        <v>67</v>
      </c>
      <c r="I93" s="14"/>
      <c r="J93" s="14"/>
      <c r="K93" s="12">
        <v>604</v>
      </c>
      <c r="L93" s="9"/>
      <c r="M93" s="9"/>
      <c r="N93" s="9"/>
      <c r="O93" s="38">
        <f t="shared" si="7"/>
        <v>604</v>
      </c>
      <c r="P93" s="12"/>
      <c r="Q93" s="42"/>
      <c r="R93" s="15"/>
      <c r="S93" s="44"/>
      <c r="T93" s="15"/>
      <c r="U93" s="44"/>
      <c r="V93" s="15">
        <f t="shared" si="8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9"/>
        <v>0</v>
      </c>
      <c r="AF93" s="101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5"/>
        <v>0</v>
      </c>
      <c r="BA93" s="15"/>
      <c r="BB93" s="44"/>
      <c r="BC93" s="15"/>
      <c r="BD93" s="44"/>
      <c r="BE93" s="15">
        <f t="shared" si="10"/>
        <v>0</v>
      </c>
    </row>
    <row r="94" spans="1:57" s="8" customFormat="1" ht="22.5" customHeight="1">
      <c r="A94" s="9"/>
      <c r="B94" s="18" t="s">
        <v>129</v>
      </c>
      <c r="C94" s="89" t="s">
        <v>48</v>
      </c>
      <c r="D94" s="58" t="s">
        <v>169</v>
      </c>
      <c r="E94" s="35"/>
      <c r="F94" s="95"/>
      <c r="G94" s="21"/>
      <c r="H94" s="21" t="s">
        <v>131</v>
      </c>
      <c r="I94" s="14"/>
      <c r="J94" s="14"/>
      <c r="K94" s="12">
        <v>400</v>
      </c>
      <c r="L94" s="9"/>
      <c r="M94" s="9"/>
      <c r="N94" s="9"/>
      <c r="O94" s="38">
        <f t="shared" si="7"/>
        <v>400</v>
      </c>
      <c r="P94" s="12"/>
      <c r="Q94" s="42"/>
      <c r="R94" s="15"/>
      <c r="S94" s="44"/>
      <c r="T94" s="15"/>
      <c r="U94" s="44"/>
      <c r="V94" s="15">
        <f t="shared" si="8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9"/>
        <v>0</v>
      </c>
      <c r="AF94" s="101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5"/>
        <v>0</v>
      </c>
      <c r="BA94" s="15"/>
      <c r="BB94" s="44"/>
      <c r="BC94" s="15"/>
      <c r="BD94" s="44"/>
      <c r="BE94" s="15">
        <f t="shared" si="10"/>
        <v>0</v>
      </c>
    </row>
    <row r="95" spans="1:57" s="8" customFormat="1" ht="22.5" customHeight="1">
      <c r="A95" s="9"/>
      <c r="B95" s="18" t="s">
        <v>129</v>
      </c>
      <c r="C95" s="89" t="s">
        <v>50</v>
      </c>
      <c r="D95" s="58" t="s">
        <v>170</v>
      </c>
      <c r="E95" s="35"/>
      <c r="F95" s="95"/>
      <c r="G95" s="21"/>
      <c r="H95" s="21" t="s">
        <v>131</v>
      </c>
      <c r="I95" s="14"/>
      <c r="J95" s="14"/>
      <c r="K95" s="12">
        <v>260</v>
      </c>
      <c r="L95" s="9"/>
      <c r="M95" s="9"/>
      <c r="N95" s="9"/>
      <c r="O95" s="38">
        <f t="shared" si="7"/>
        <v>260</v>
      </c>
      <c r="P95" s="12"/>
      <c r="Q95" s="42"/>
      <c r="R95" s="15"/>
      <c r="S95" s="44"/>
      <c r="T95" s="15"/>
      <c r="U95" s="44"/>
      <c r="V95" s="15">
        <f t="shared" si="8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9"/>
        <v>0</v>
      </c>
      <c r="AF95" s="101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5"/>
        <v>0</v>
      </c>
      <c r="BA95" s="15"/>
      <c r="BB95" s="44"/>
      <c r="BC95" s="15"/>
      <c r="BD95" s="44"/>
      <c r="BE95" s="15">
        <f t="shared" si="10"/>
        <v>0</v>
      </c>
    </row>
    <row r="96" spans="1:57" s="8" customFormat="1" ht="22.5" customHeight="1">
      <c r="A96" s="9"/>
      <c r="B96" s="18" t="s">
        <v>129</v>
      </c>
      <c r="C96" s="89" t="s">
        <v>52</v>
      </c>
      <c r="D96" s="58" t="s">
        <v>171</v>
      </c>
      <c r="E96" s="35"/>
      <c r="F96" s="95"/>
      <c r="G96" s="21"/>
      <c r="H96" s="21" t="s">
        <v>131</v>
      </c>
      <c r="I96" s="14"/>
      <c r="J96" s="14"/>
      <c r="K96" s="12">
        <v>0</v>
      </c>
      <c r="L96" s="9"/>
      <c r="M96" s="9"/>
      <c r="N96" s="9"/>
      <c r="O96" s="38">
        <f t="shared" si="7"/>
        <v>0</v>
      </c>
      <c r="P96" s="12"/>
      <c r="Q96" s="42"/>
      <c r="R96" s="15"/>
      <c r="S96" s="44"/>
      <c r="T96" s="15"/>
      <c r="U96" s="44"/>
      <c r="V96" s="15">
        <f t="shared" si="8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9"/>
        <v>0</v>
      </c>
      <c r="AF96" s="101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5"/>
        <v>0</v>
      </c>
      <c r="BA96" s="15"/>
      <c r="BB96" s="44"/>
      <c r="BC96" s="15"/>
      <c r="BD96" s="44"/>
      <c r="BE96" s="15">
        <f t="shared" si="10"/>
        <v>0</v>
      </c>
    </row>
    <row r="97" spans="1:57" s="8" customFormat="1" ht="22.5" customHeight="1">
      <c r="A97" s="9"/>
      <c r="B97" s="18" t="s">
        <v>172</v>
      </c>
      <c r="C97" s="89" t="s">
        <v>132</v>
      </c>
      <c r="D97" s="58" t="s">
        <v>173</v>
      </c>
      <c r="E97" s="35"/>
      <c r="F97" s="96"/>
      <c r="G97" s="21"/>
      <c r="H97" s="21" t="s">
        <v>67</v>
      </c>
      <c r="I97" s="14"/>
      <c r="J97" s="14"/>
      <c r="K97" s="12">
        <v>249</v>
      </c>
      <c r="L97" s="9"/>
      <c r="M97" s="9"/>
      <c r="N97" s="9"/>
      <c r="O97" s="38">
        <f t="shared" si="7"/>
        <v>249</v>
      </c>
      <c r="P97" s="12"/>
      <c r="Q97" s="42"/>
      <c r="R97" s="15"/>
      <c r="S97" s="44"/>
      <c r="T97" s="15"/>
      <c r="U97" s="44"/>
      <c r="V97" s="15">
        <f t="shared" si="8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9"/>
        <v>0</v>
      </c>
      <c r="AF97" s="101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5"/>
        <v>0</v>
      </c>
      <c r="BA97" s="15"/>
      <c r="BB97" s="44"/>
      <c r="BC97" s="15"/>
      <c r="BD97" s="44"/>
      <c r="BE97" s="15">
        <v>0</v>
      </c>
    </row>
    <row r="98" spans="1:57" s="8" customFormat="1" ht="22.5" customHeight="1">
      <c r="A98" s="9"/>
      <c r="B98" s="18" t="s">
        <v>172</v>
      </c>
      <c r="C98" s="89" t="s">
        <v>132</v>
      </c>
      <c r="D98" s="66" t="s">
        <v>174</v>
      </c>
      <c r="E98" s="35"/>
      <c r="F98" s="96"/>
      <c r="G98" s="21"/>
      <c r="H98" s="21" t="s">
        <v>67</v>
      </c>
      <c r="I98" s="14"/>
      <c r="J98" s="14"/>
      <c r="K98" s="12">
        <v>100</v>
      </c>
      <c r="L98" s="9"/>
      <c r="M98" s="9"/>
      <c r="N98" s="9"/>
      <c r="O98" s="38">
        <f t="shared" si="7"/>
        <v>100</v>
      </c>
      <c r="P98" s="12"/>
      <c r="Q98" s="42"/>
      <c r="R98" s="15"/>
      <c r="S98" s="44"/>
      <c r="T98" s="15"/>
      <c r="U98" s="44"/>
      <c r="V98" s="15">
        <f t="shared" si="8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9"/>
        <v>0</v>
      </c>
      <c r="AF98" s="101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5"/>
        <v>0</v>
      </c>
      <c r="BA98" s="15"/>
      <c r="BB98" s="44"/>
      <c r="BC98" s="15"/>
      <c r="BD98" s="44"/>
      <c r="BE98" s="15">
        <f t="shared" ref="BE98:BE161" si="11">(BA98+BC98)</f>
        <v>0</v>
      </c>
    </row>
    <row r="99" spans="1:57" s="8" customFormat="1" ht="22.5" customHeight="1">
      <c r="A99" s="9"/>
      <c r="B99" s="18" t="s">
        <v>172</v>
      </c>
      <c r="C99" s="89" t="s">
        <v>132</v>
      </c>
      <c r="D99" s="66" t="s">
        <v>175</v>
      </c>
      <c r="E99" s="35" t="s">
        <v>176</v>
      </c>
      <c r="F99" s="96"/>
      <c r="G99" s="21"/>
      <c r="H99" s="21" t="s">
        <v>67</v>
      </c>
      <c r="I99" s="14"/>
      <c r="J99" s="14"/>
      <c r="K99" s="12">
        <v>164</v>
      </c>
      <c r="L99" s="9"/>
      <c r="M99" s="9"/>
      <c r="N99" s="9"/>
      <c r="O99" s="38">
        <f t="shared" si="7"/>
        <v>164</v>
      </c>
      <c r="P99" s="12"/>
      <c r="Q99" s="42"/>
      <c r="R99" s="15"/>
      <c r="S99" s="44"/>
      <c r="T99" s="15"/>
      <c r="U99" s="44"/>
      <c r="V99" s="15">
        <f t="shared" si="8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9"/>
        <v>0</v>
      </c>
      <c r="AF99" s="101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5"/>
        <v>0</v>
      </c>
      <c r="BA99" s="15"/>
      <c r="BB99" s="44"/>
      <c r="BC99" s="15"/>
      <c r="BD99" s="44"/>
      <c r="BE99" s="15">
        <f t="shared" si="11"/>
        <v>0</v>
      </c>
    </row>
    <row r="100" spans="1:57" s="8" customFormat="1" ht="22.5" customHeight="1">
      <c r="A100" s="9"/>
      <c r="B100" s="18" t="s">
        <v>172</v>
      </c>
      <c r="C100" s="89" t="s">
        <v>132</v>
      </c>
      <c r="D100" s="58" t="s">
        <v>177</v>
      </c>
      <c r="E100" s="19"/>
      <c r="F100" s="96"/>
      <c r="G100" s="21"/>
      <c r="H100" s="21" t="s">
        <v>67</v>
      </c>
      <c r="I100" s="14"/>
      <c r="J100" s="14"/>
      <c r="K100" s="12">
        <v>300</v>
      </c>
      <c r="L100" s="9"/>
      <c r="M100" s="9"/>
      <c r="N100" s="9"/>
      <c r="O100" s="38">
        <f t="shared" si="7"/>
        <v>300</v>
      </c>
      <c r="P100" s="12"/>
      <c r="Q100" s="42"/>
      <c r="R100" s="15"/>
      <c r="S100" s="44"/>
      <c r="T100" s="15"/>
      <c r="U100" s="44"/>
      <c r="V100" s="15">
        <f t="shared" si="8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9"/>
        <v>0</v>
      </c>
      <c r="AF100" s="101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5"/>
        <v>0</v>
      </c>
      <c r="BA100" s="15"/>
      <c r="BB100" s="44"/>
      <c r="BC100" s="15"/>
      <c r="BD100" s="44"/>
      <c r="BE100" s="15">
        <f t="shared" si="11"/>
        <v>0</v>
      </c>
    </row>
    <row r="101" spans="1:57" s="8" customFormat="1" ht="22.5" customHeight="1">
      <c r="A101" s="9"/>
      <c r="B101" s="18" t="s">
        <v>172</v>
      </c>
      <c r="C101" s="89" t="s">
        <v>132</v>
      </c>
      <c r="D101" s="58" t="s">
        <v>178</v>
      </c>
      <c r="E101" s="19" t="s">
        <v>179</v>
      </c>
      <c r="F101" s="96"/>
      <c r="G101" s="21"/>
      <c r="H101" s="21" t="s">
        <v>67</v>
      </c>
      <c r="I101" s="14"/>
      <c r="J101" s="14"/>
      <c r="K101" s="12">
        <v>102</v>
      </c>
      <c r="L101" s="9"/>
      <c r="M101" s="9"/>
      <c r="N101" s="9"/>
      <c r="O101" s="38">
        <f t="shared" si="7"/>
        <v>102</v>
      </c>
      <c r="P101" s="12"/>
      <c r="Q101" s="42"/>
      <c r="R101" s="15"/>
      <c r="S101" s="44"/>
      <c r="T101" s="15"/>
      <c r="U101" s="44"/>
      <c r="V101" s="15">
        <f t="shared" si="8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9"/>
        <v>0</v>
      </c>
      <c r="AF101" s="101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ref="AZ101:AZ164" si="12">AF101+AH101+AJ101+AL101+AN101+AP101+AR101+AT101+AV101+AX101</f>
        <v>0</v>
      </c>
      <c r="BA101" s="15"/>
      <c r="BB101" s="44"/>
      <c r="BC101" s="15"/>
      <c r="BD101" s="44"/>
      <c r="BE101" s="15">
        <f t="shared" si="11"/>
        <v>0</v>
      </c>
    </row>
    <row r="102" spans="1:57" s="8" customFormat="1" ht="22.5" customHeight="1">
      <c r="A102" s="9"/>
      <c r="B102" s="18" t="s">
        <v>172</v>
      </c>
      <c r="C102" s="89" t="s">
        <v>132</v>
      </c>
      <c r="D102" s="58" t="s">
        <v>180</v>
      </c>
      <c r="E102" s="19"/>
      <c r="F102" s="96"/>
      <c r="G102" s="21"/>
      <c r="H102" s="21" t="s">
        <v>67</v>
      </c>
      <c r="I102" s="14"/>
      <c r="J102" s="14"/>
      <c r="K102" s="12">
        <v>0</v>
      </c>
      <c r="L102" s="9"/>
      <c r="M102" s="9"/>
      <c r="N102" s="9"/>
      <c r="O102" s="38">
        <f t="shared" si="7"/>
        <v>0</v>
      </c>
      <c r="P102" s="12"/>
      <c r="Q102" s="42"/>
      <c r="R102" s="15"/>
      <c r="S102" s="44"/>
      <c r="T102" s="15"/>
      <c r="U102" s="44"/>
      <c r="V102" s="15">
        <f t="shared" si="8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9"/>
        <v>0</v>
      </c>
      <c r="AF102" s="101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12"/>
        <v>0</v>
      </c>
      <c r="BA102" s="15"/>
      <c r="BB102" s="44"/>
      <c r="BC102" s="15"/>
      <c r="BD102" s="44"/>
      <c r="BE102" s="15">
        <f t="shared" si="11"/>
        <v>0</v>
      </c>
    </row>
    <row r="103" spans="1:57" s="8" customFormat="1" ht="22.5" customHeight="1">
      <c r="A103" s="9"/>
      <c r="B103" s="18" t="s">
        <v>172</v>
      </c>
      <c r="C103" s="89" t="s">
        <v>132</v>
      </c>
      <c r="D103" s="58" t="s">
        <v>181</v>
      </c>
      <c r="E103" s="19"/>
      <c r="F103" s="96"/>
      <c r="G103" s="21"/>
      <c r="H103" s="21" t="s">
        <v>67</v>
      </c>
      <c r="I103" s="14"/>
      <c r="J103" s="14"/>
      <c r="K103" s="12">
        <v>0</v>
      </c>
      <c r="L103" s="9"/>
      <c r="M103" s="9"/>
      <c r="N103" s="9"/>
      <c r="O103" s="38">
        <f t="shared" si="7"/>
        <v>0</v>
      </c>
      <c r="P103" s="12"/>
      <c r="Q103" s="42"/>
      <c r="R103" s="15"/>
      <c r="S103" s="44"/>
      <c r="T103" s="15"/>
      <c r="U103" s="44"/>
      <c r="V103" s="15">
        <f t="shared" si="8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9"/>
        <v>0</v>
      </c>
      <c r="AF103" s="101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12"/>
        <v>0</v>
      </c>
      <c r="BA103" s="15"/>
      <c r="BB103" s="44"/>
      <c r="BC103" s="15"/>
      <c r="BD103" s="44"/>
      <c r="BE103" s="15">
        <f t="shared" si="11"/>
        <v>0</v>
      </c>
    </row>
    <row r="104" spans="1:57" s="8" customFormat="1" ht="22.5" customHeight="1">
      <c r="A104" s="9"/>
      <c r="B104" s="18" t="s">
        <v>172</v>
      </c>
      <c r="C104" s="89" t="s">
        <v>132</v>
      </c>
      <c r="D104" s="58" t="s">
        <v>182</v>
      </c>
      <c r="E104" s="19"/>
      <c r="F104" s="96"/>
      <c r="G104" s="21"/>
      <c r="H104" s="21" t="s">
        <v>67</v>
      </c>
      <c r="I104" s="14"/>
      <c r="J104" s="14"/>
      <c r="K104" s="12">
        <v>240</v>
      </c>
      <c r="L104" s="9"/>
      <c r="M104" s="9"/>
      <c r="N104" s="9"/>
      <c r="O104" s="38">
        <f t="shared" si="7"/>
        <v>240</v>
      </c>
      <c r="P104" s="12"/>
      <c r="Q104" s="42"/>
      <c r="R104" s="15"/>
      <c r="S104" s="44"/>
      <c r="T104" s="15"/>
      <c r="U104" s="44"/>
      <c r="V104" s="15">
        <f t="shared" si="8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9"/>
        <v>0</v>
      </c>
      <c r="AF104" s="101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12"/>
        <v>0</v>
      </c>
      <c r="BA104" s="15"/>
      <c r="BB104" s="44"/>
      <c r="BC104" s="15"/>
      <c r="BD104" s="44"/>
      <c r="BE104" s="15">
        <f t="shared" si="11"/>
        <v>0</v>
      </c>
    </row>
    <row r="105" spans="1:57" s="8" customFormat="1" ht="22.5" customHeight="1">
      <c r="A105" s="9"/>
      <c r="B105" s="18" t="s">
        <v>172</v>
      </c>
      <c r="C105" s="89" t="s">
        <v>132</v>
      </c>
      <c r="D105" s="58" t="s">
        <v>183</v>
      </c>
      <c r="E105" s="19"/>
      <c r="F105" s="96"/>
      <c r="G105" s="21"/>
      <c r="H105" s="21" t="s">
        <v>67</v>
      </c>
      <c r="I105" s="14"/>
      <c r="J105" s="14"/>
      <c r="K105" s="12">
        <v>240</v>
      </c>
      <c r="L105" s="9"/>
      <c r="M105" s="9"/>
      <c r="N105" s="9"/>
      <c r="O105" s="38">
        <f t="shared" si="7"/>
        <v>240</v>
      </c>
      <c r="P105" s="12"/>
      <c r="Q105" s="42"/>
      <c r="R105" s="15"/>
      <c r="S105" s="44"/>
      <c r="T105" s="15"/>
      <c r="U105" s="44"/>
      <c r="V105" s="15">
        <f t="shared" si="8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9"/>
        <v>0</v>
      </c>
      <c r="AF105" s="101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12"/>
        <v>0</v>
      </c>
      <c r="BA105" s="15"/>
      <c r="BB105" s="44"/>
      <c r="BC105" s="15"/>
      <c r="BD105" s="44"/>
      <c r="BE105" s="15">
        <f t="shared" si="11"/>
        <v>0</v>
      </c>
    </row>
    <row r="106" spans="1:57" s="8" customFormat="1" ht="22.5" customHeight="1">
      <c r="A106" s="9"/>
      <c r="B106" s="18" t="s">
        <v>172</v>
      </c>
      <c r="C106" s="89" t="s">
        <v>132</v>
      </c>
      <c r="D106" s="58" t="s">
        <v>184</v>
      </c>
      <c r="E106" s="19"/>
      <c r="F106" s="96"/>
      <c r="G106" s="21"/>
      <c r="H106" s="21" t="s">
        <v>67</v>
      </c>
      <c r="I106" s="14"/>
      <c r="J106" s="14"/>
      <c r="K106" s="12">
        <v>88</v>
      </c>
      <c r="L106" s="9"/>
      <c r="M106" s="9"/>
      <c r="N106" s="9"/>
      <c r="O106" s="38">
        <f t="shared" si="7"/>
        <v>88</v>
      </c>
      <c r="P106" s="12"/>
      <c r="Q106" s="42"/>
      <c r="R106" s="15"/>
      <c r="S106" s="44"/>
      <c r="T106" s="15"/>
      <c r="U106" s="44"/>
      <c r="V106" s="15">
        <f t="shared" si="8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9"/>
        <v>0</v>
      </c>
      <c r="AF106" s="101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12"/>
        <v>0</v>
      </c>
      <c r="BA106" s="15"/>
      <c r="BB106" s="44"/>
      <c r="BC106" s="15"/>
      <c r="BD106" s="44"/>
      <c r="BE106" s="15">
        <f t="shared" si="11"/>
        <v>0</v>
      </c>
    </row>
    <row r="107" spans="1:57" s="8" customFormat="1" ht="22.5" customHeight="1">
      <c r="A107" s="9"/>
      <c r="B107" s="16" t="s">
        <v>172</v>
      </c>
      <c r="C107" s="89" t="s">
        <v>132</v>
      </c>
      <c r="D107" s="68" t="s">
        <v>185</v>
      </c>
      <c r="E107" s="13"/>
      <c r="F107" s="96"/>
      <c r="G107" s="9"/>
      <c r="H107" s="9" t="s">
        <v>67</v>
      </c>
      <c r="I107" s="14"/>
      <c r="J107" s="14"/>
      <c r="K107" s="12">
        <v>0</v>
      </c>
      <c r="L107" s="9"/>
      <c r="M107" s="9"/>
      <c r="N107" s="9"/>
      <c r="O107" s="38">
        <f t="shared" si="7"/>
        <v>0</v>
      </c>
      <c r="P107" s="12"/>
      <c r="Q107" s="42"/>
      <c r="R107" s="15"/>
      <c r="S107" s="44"/>
      <c r="T107" s="15"/>
      <c r="U107" s="44"/>
      <c r="V107" s="15">
        <f t="shared" si="8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9"/>
        <v>0</v>
      </c>
      <c r="AF107" s="101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12"/>
        <v>0</v>
      </c>
      <c r="BA107" s="15"/>
      <c r="BB107" s="44"/>
      <c r="BC107" s="15"/>
      <c r="BD107" s="44"/>
      <c r="BE107" s="15">
        <f t="shared" si="11"/>
        <v>0</v>
      </c>
    </row>
    <row r="108" spans="1:57" s="8" customFormat="1" ht="22.5" customHeight="1">
      <c r="A108" s="9"/>
      <c r="B108" s="16" t="s">
        <v>172</v>
      </c>
      <c r="C108" s="89" t="s">
        <v>132</v>
      </c>
      <c r="D108" s="69" t="s">
        <v>186</v>
      </c>
      <c r="E108" s="13" t="s">
        <v>179</v>
      </c>
      <c r="F108" s="96"/>
      <c r="G108" s="9"/>
      <c r="H108" s="9" t="s">
        <v>67</v>
      </c>
      <c r="I108" s="14"/>
      <c r="J108" s="14"/>
      <c r="K108" s="12">
        <v>378</v>
      </c>
      <c r="L108" s="9"/>
      <c r="M108" s="9"/>
      <c r="N108" s="9"/>
      <c r="O108" s="38">
        <f t="shared" si="7"/>
        <v>378</v>
      </c>
      <c r="P108" s="12"/>
      <c r="Q108" s="42"/>
      <c r="R108" s="15"/>
      <c r="S108" s="44"/>
      <c r="T108" s="15"/>
      <c r="U108" s="44"/>
      <c r="V108" s="15">
        <f t="shared" si="8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9"/>
        <v>0</v>
      </c>
      <c r="AF108" s="101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12"/>
        <v>0</v>
      </c>
      <c r="BA108" s="15"/>
      <c r="BB108" s="44"/>
      <c r="BC108" s="15"/>
      <c r="BD108" s="44"/>
      <c r="BE108" s="15">
        <f t="shared" si="11"/>
        <v>0</v>
      </c>
    </row>
    <row r="109" spans="1:57" s="8" customFormat="1" ht="22.5" customHeight="1">
      <c r="A109" s="9"/>
      <c r="B109" s="18" t="s">
        <v>187</v>
      </c>
      <c r="C109" s="89" t="s">
        <v>132</v>
      </c>
      <c r="D109" s="58" t="s">
        <v>188</v>
      </c>
      <c r="E109" s="35" t="s">
        <v>189</v>
      </c>
      <c r="F109" s="96"/>
      <c r="G109" s="21"/>
      <c r="H109" s="21" t="s">
        <v>67</v>
      </c>
      <c r="I109" s="14"/>
      <c r="J109" s="14"/>
      <c r="K109" s="12">
        <v>855</v>
      </c>
      <c r="L109" s="36"/>
      <c r="M109" s="36"/>
      <c r="N109" s="36"/>
      <c r="O109" s="38">
        <f t="shared" si="7"/>
        <v>855</v>
      </c>
      <c r="P109" s="12"/>
      <c r="Q109" s="42"/>
      <c r="R109" s="15"/>
      <c r="S109" s="44"/>
      <c r="T109" s="15"/>
      <c r="U109" s="44"/>
      <c r="V109" s="15">
        <f t="shared" si="8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9"/>
        <v>0</v>
      </c>
      <c r="AF109" s="101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12"/>
        <v>0</v>
      </c>
      <c r="BA109" s="15"/>
      <c r="BB109" s="44"/>
      <c r="BC109" s="15"/>
      <c r="BD109" s="44"/>
      <c r="BE109" s="15">
        <f t="shared" si="11"/>
        <v>0</v>
      </c>
    </row>
    <row r="110" spans="1:57" s="8" customFormat="1" ht="22.5" customHeight="1">
      <c r="A110" s="9"/>
      <c r="B110" s="18" t="s">
        <v>187</v>
      </c>
      <c r="C110" s="89" t="s">
        <v>190</v>
      </c>
      <c r="D110" s="58" t="s">
        <v>191</v>
      </c>
      <c r="E110" s="35" t="s">
        <v>192</v>
      </c>
      <c r="F110" s="96"/>
      <c r="G110" s="21"/>
      <c r="H110" s="21" t="s">
        <v>193</v>
      </c>
      <c r="I110" s="14"/>
      <c r="J110" s="14"/>
      <c r="K110" s="12">
        <v>823</v>
      </c>
      <c r="L110" s="9"/>
      <c r="M110" s="9"/>
      <c r="N110" s="9"/>
      <c r="O110" s="38">
        <f t="shared" si="7"/>
        <v>823</v>
      </c>
      <c r="P110" s="12"/>
      <c r="Q110" s="42"/>
      <c r="R110" s="15"/>
      <c r="S110" s="44"/>
      <c r="T110" s="15"/>
      <c r="U110" s="44"/>
      <c r="V110" s="15">
        <f t="shared" si="8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9"/>
        <v>0</v>
      </c>
      <c r="AF110" s="101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12"/>
        <v>0</v>
      </c>
      <c r="BA110" s="15"/>
      <c r="BB110" s="44"/>
      <c r="BC110" s="15"/>
      <c r="BD110" s="44"/>
      <c r="BE110" s="15">
        <f t="shared" si="11"/>
        <v>0</v>
      </c>
    </row>
    <row r="111" spans="1:57" s="8" customFormat="1" ht="22.5" customHeight="1">
      <c r="A111" s="9"/>
      <c r="B111" s="18" t="s">
        <v>120</v>
      </c>
      <c r="C111" s="89" t="s">
        <v>132</v>
      </c>
      <c r="D111" s="58" t="s">
        <v>194</v>
      </c>
      <c r="E111" s="35" t="s">
        <v>195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7"/>
        <v>0</v>
      </c>
      <c r="P111" s="12"/>
      <c r="Q111" s="42"/>
      <c r="R111" s="15"/>
      <c r="S111" s="44"/>
      <c r="T111" s="15"/>
      <c r="U111" s="44"/>
      <c r="V111" s="15">
        <f t="shared" si="8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9"/>
        <v>0</v>
      </c>
      <c r="AF111" s="101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12"/>
        <v>0</v>
      </c>
      <c r="BA111" s="15"/>
      <c r="BB111" s="44"/>
      <c r="BC111" s="15"/>
      <c r="BD111" s="44"/>
      <c r="BE111" s="15">
        <f t="shared" si="11"/>
        <v>0</v>
      </c>
    </row>
    <row r="112" spans="1:57" s="8" customFormat="1" ht="22.5" customHeight="1">
      <c r="A112" s="9"/>
      <c r="B112" s="18" t="s">
        <v>120</v>
      </c>
      <c r="C112" s="89" t="s">
        <v>132</v>
      </c>
      <c r="D112" s="58" t="s">
        <v>196</v>
      </c>
      <c r="E112" s="35" t="s">
        <v>197</v>
      </c>
      <c r="F112" s="96"/>
      <c r="G112" s="21"/>
      <c r="H112" s="21" t="s">
        <v>67</v>
      </c>
      <c r="I112" s="14"/>
      <c r="J112" s="14"/>
      <c r="K112" s="12">
        <v>0</v>
      </c>
      <c r="L112" s="9"/>
      <c r="M112" s="9"/>
      <c r="N112" s="9"/>
      <c r="O112" s="38">
        <f t="shared" si="7"/>
        <v>0</v>
      </c>
      <c r="P112" s="12"/>
      <c r="Q112" s="42"/>
      <c r="R112" s="15"/>
      <c r="S112" s="44"/>
      <c r="T112" s="15"/>
      <c r="U112" s="44"/>
      <c r="V112" s="15">
        <f t="shared" si="8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9"/>
        <v>0</v>
      </c>
      <c r="AF112" s="101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12"/>
        <v>0</v>
      </c>
      <c r="BA112" s="15"/>
      <c r="BB112" s="44"/>
      <c r="BC112" s="15"/>
      <c r="BD112" s="44"/>
      <c r="BE112" s="15">
        <f t="shared" si="11"/>
        <v>0</v>
      </c>
    </row>
    <row r="113" spans="1:57" s="8" customFormat="1" ht="22.5" customHeight="1">
      <c r="A113" s="9"/>
      <c r="B113" s="18" t="s">
        <v>120</v>
      </c>
      <c r="C113" s="89" t="s">
        <v>132</v>
      </c>
      <c r="D113" s="58" t="s">
        <v>198</v>
      </c>
      <c r="E113" s="19" t="s">
        <v>199</v>
      </c>
      <c r="F113" s="96"/>
      <c r="G113" s="21"/>
      <c r="H113" s="21" t="s">
        <v>67</v>
      </c>
      <c r="I113" s="14"/>
      <c r="J113" s="14"/>
      <c r="K113" s="12">
        <v>0</v>
      </c>
      <c r="L113" s="9"/>
      <c r="M113" s="9"/>
      <c r="N113" s="9"/>
      <c r="O113" s="38">
        <f t="shared" si="7"/>
        <v>0</v>
      </c>
      <c r="P113" s="12"/>
      <c r="Q113" s="42"/>
      <c r="R113" s="15"/>
      <c r="S113" s="44"/>
      <c r="T113" s="15"/>
      <c r="U113" s="44"/>
      <c r="V113" s="15">
        <f t="shared" si="8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9"/>
        <v>0</v>
      </c>
      <c r="AF113" s="101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12"/>
        <v>0</v>
      </c>
      <c r="BA113" s="15"/>
      <c r="BB113" s="44"/>
      <c r="BC113" s="15"/>
      <c r="BD113" s="44"/>
      <c r="BE113" s="15">
        <f t="shared" si="11"/>
        <v>0</v>
      </c>
    </row>
    <row r="114" spans="1:57" s="8" customFormat="1" ht="22.5" customHeight="1">
      <c r="A114" s="9"/>
      <c r="B114" s="18" t="s">
        <v>120</v>
      </c>
      <c r="C114" s="89" t="s">
        <v>132</v>
      </c>
      <c r="D114" s="58" t="s">
        <v>200</v>
      </c>
      <c r="E114" s="19" t="s">
        <v>201</v>
      </c>
      <c r="F114" s="96"/>
      <c r="G114" s="21"/>
      <c r="H114" s="21" t="s">
        <v>67</v>
      </c>
      <c r="I114" s="14"/>
      <c r="J114" s="14"/>
      <c r="K114" s="12">
        <v>0</v>
      </c>
      <c r="L114" s="9"/>
      <c r="M114" s="9"/>
      <c r="N114" s="9"/>
      <c r="O114" s="38">
        <f t="shared" si="7"/>
        <v>0</v>
      </c>
      <c r="P114" s="12"/>
      <c r="Q114" s="42"/>
      <c r="R114" s="15"/>
      <c r="S114" s="44"/>
      <c r="T114" s="15"/>
      <c r="U114" s="44"/>
      <c r="V114" s="15">
        <f t="shared" si="8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9"/>
        <v>0</v>
      </c>
      <c r="AF114" s="101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12"/>
        <v>0</v>
      </c>
      <c r="BA114" s="15"/>
      <c r="BB114" s="44"/>
      <c r="BC114" s="15"/>
      <c r="BD114" s="44"/>
      <c r="BE114" s="15">
        <f t="shared" si="11"/>
        <v>0</v>
      </c>
    </row>
    <row r="115" spans="1:57" s="8" customFormat="1" ht="22.5" customHeight="1">
      <c r="A115" s="9"/>
      <c r="B115" s="18" t="s">
        <v>120</v>
      </c>
      <c r="C115" s="89" t="s">
        <v>132</v>
      </c>
      <c r="D115" s="58" t="s">
        <v>202</v>
      </c>
      <c r="E115" s="19" t="s">
        <v>203</v>
      </c>
      <c r="F115" s="96"/>
      <c r="G115" s="21"/>
      <c r="H115" s="21" t="s">
        <v>67</v>
      </c>
      <c r="I115" s="14"/>
      <c r="J115" s="14"/>
      <c r="K115" s="12">
        <v>98</v>
      </c>
      <c r="L115" s="9"/>
      <c r="M115" s="9"/>
      <c r="N115" s="9"/>
      <c r="O115" s="38">
        <f t="shared" si="7"/>
        <v>98</v>
      </c>
      <c r="P115" s="12"/>
      <c r="Q115" s="42"/>
      <c r="R115" s="15"/>
      <c r="S115" s="44"/>
      <c r="T115" s="15"/>
      <c r="U115" s="44"/>
      <c r="V115" s="15">
        <f t="shared" si="8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9"/>
        <v>0</v>
      </c>
      <c r="AF115" s="101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12"/>
        <v>0</v>
      </c>
      <c r="BA115" s="15"/>
      <c r="BB115" s="44"/>
      <c r="BC115" s="15"/>
      <c r="BD115" s="44"/>
      <c r="BE115" s="15">
        <f t="shared" si="11"/>
        <v>0</v>
      </c>
    </row>
    <row r="116" spans="1:57" s="8" customFormat="1" ht="22.5" customHeight="1">
      <c r="A116" s="9"/>
      <c r="B116" s="18" t="s">
        <v>204</v>
      </c>
      <c r="C116" s="89" t="s">
        <v>132</v>
      </c>
      <c r="D116" s="58" t="s">
        <v>205</v>
      </c>
      <c r="E116" s="35" t="s">
        <v>206</v>
      </c>
      <c r="F116" s="96"/>
      <c r="G116" s="21"/>
      <c r="H116" s="21" t="s">
        <v>207</v>
      </c>
      <c r="I116" s="14"/>
      <c r="J116" s="14"/>
      <c r="K116" s="12">
        <v>340</v>
      </c>
      <c r="L116" s="9"/>
      <c r="M116" s="9"/>
      <c r="N116" s="9"/>
      <c r="O116" s="38">
        <f t="shared" si="7"/>
        <v>340</v>
      </c>
      <c r="P116" s="12"/>
      <c r="Q116" s="42"/>
      <c r="R116" s="15"/>
      <c r="S116" s="44"/>
      <c r="T116" s="15"/>
      <c r="U116" s="44"/>
      <c r="V116" s="15">
        <f t="shared" si="8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9"/>
        <v>0</v>
      </c>
      <c r="AF116" s="101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12"/>
        <v>0</v>
      </c>
      <c r="BA116" s="15"/>
      <c r="BB116" s="44"/>
      <c r="BC116" s="15"/>
      <c r="BD116" s="44"/>
      <c r="BE116" s="15">
        <f t="shared" si="11"/>
        <v>0</v>
      </c>
    </row>
    <row r="117" spans="1:57" s="8" customFormat="1" ht="22.5" customHeight="1">
      <c r="A117" s="9"/>
      <c r="B117" s="18" t="s">
        <v>204</v>
      </c>
      <c r="C117" s="89" t="s">
        <v>132</v>
      </c>
      <c r="D117" s="99" t="s">
        <v>208</v>
      </c>
      <c r="E117" s="35"/>
      <c r="F117" s="96"/>
      <c r="G117" s="21"/>
      <c r="H117" s="21" t="s">
        <v>67</v>
      </c>
      <c r="I117" s="14"/>
      <c r="J117" s="14"/>
      <c r="K117" s="12">
        <v>247</v>
      </c>
      <c r="L117" s="9"/>
      <c r="M117" s="9"/>
      <c r="N117" s="9"/>
      <c r="O117" s="38">
        <f t="shared" si="7"/>
        <v>247</v>
      </c>
      <c r="P117" s="12"/>
      <c r="Q117" s="42"/>
      <c r="R117" s="15"/>
      <c r="S117" s="44"/>
      <c r="T117" s="15"/>
      <c r="U117" s="44"/>
      <c r="V117" s="15">
        <f t="shared" si="8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9"/>
        <v>0</v>
      </c>
      <c r="AF117" s="101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12"/>
        <v>0</v>
      </c>
      <c r="BA117" s="15"/>
      <c r="BB117" s="44"/>
      <c r="BC117" s="15"/>
      <c r="BD117" s="44"/>
      <c r="BE117" s="15">
        <f t="shared" si="11"/>
        <v>0</v>
      </c>
    </row>
    <row r="118" spans="1:57" s="8" customFormat="1" ht="22.5" customHeight="1">
      <c r="A118" s="9"/>
      <c r="B118" s="18" t="s">
        <v>204</v>
      </c>
      <c r="C118" s="89" t="s">
        <v>132</v>
      </c>
      <c r="D118" s="58" t="s">
        <v>209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302</v>
      </c>
      <c r="L118" s="9"/>
      <c r="M118" s="9"/>
      <c r="N118" s="9"/>
      <c r="O118" s="38">
        <f t="shared" si="7"/>
        <v>302</v>
      </c>
      <c r="P118" s="12"/>
      <c r="Q118" s="42"/>
      <c r="R118" s="15"/>
      <c r="S118" s="44"/>
      <c r="T118" s="15"/>
      <c r="U118" s="44"/>
      <c r="V118" s="15">
        <f t="shared" si="8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9"/>
        <v>0</v>
      </c>
      <c r="AF118" s="101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12"/>
        <v>0</v>
      </c>
      <c r="BA118" s="15"/>
      <c r="BB118" s="44"/>
      <c r="BC118" s="15"/>
      <c r="BD118" s="44"/>
      <c r="BE118" s="15">
        <f t="shared" si="11"/>
        <v>0</v>
      </c>
    </row>
    <row r="119" spans="1:57" s="8" customFormat="1" ht="22.5" customHeight="1">
      <c r="A119" s="9"/>
      <c r="B119" s="18" t="s">
        <v>204</v>
      </c>
      <c r="C119" s="89" t="s">
        <v>132</v>
      </c>
      <c r="D119" s="58" t="s">
        <v>209</v>
      </c>
      <c r="E119" s="35" t="s">
        <v>211</v>
      </c>
      <c r="F119" s="96"/>
      <c r="G119" s="21"/>
      <c r="H119" s="21" t="s">
        <v>207</v>
      </c>
      <c r="I119" s="14"/>
      <c r="J119" s="14"/>
      <c r="K119" s="12">
        <v>0</v>
      </c>
      <c r="L119" s="9"/>
      <c r="M119" s="9"/>
      <c r="N119" s="9"/>
      <c r="O119" s="38">
        <f t="shared" si="7"/>
        <v>0</v>
      </c>
      <c r="P119" s="12"/>
      <c r="Q119" s="42"/>
      <c r="R119" s="15"/>
      <c r="S119" s="44"/>
      <c r="T119" s="15"/>
      <c r="U119" s="44"/>
      <c r="V119" s="15">
        <f t="shared" si="8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9"/>
        <v>0</v>
      </c>
      <c r="AF119" s="101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12"/>
        <v>0</v>
      </c>
      <c r="BA119" s="15"/>
      <c r="BB119" s="44"/>
      <c r="BC119" s="15"/>
      <c r="BD119" s="44"/>
      <c r="BE119" s="15">
        <f t="shared" si="11"/>
        <v>0</v>
      </c>
    </row>
    <row r="120" spans="1:57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s="35" t="s">
        <v>206</v>
      </c>
      <c r="F120" s="96"/>
      <c r="G120" s="21"/>
      <c r="H120" s="21" t="s">
        <v>207</v>
      </c>
      <c r="I120" s="14"/>
      <c r="J120" s="14"/>
      <c r="K120" s="12">
        <v>306</v>
      </c>
      <c r="L120" s="9"/>
      <c r="M120" s="9"/>
      <c r="N120" s="9"/>
      <c r="O120" s="38">
        <f t="shared" si="7"/>
        <v>306</v>
      </c>
      <c r="P120" s="12"/>
      <c r="Q120" s="42"/>
      <c r="R120" s="15"/>
      <c r="S120" s="44"/>
      <c r="T120" s="15"/>
      <c r="U120" s="44"/>
      <c r="V120" s="15">
        <f t="shared" si="8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9"/>
        <v>0</v>
      </c>
      <c r="AF120" s="101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12"/>
        <v>0</v>
      </c>
      <c r="BA120" s="15"/>
      <c r="BB120" s="44"/>
      <c r="BC120" s="15"/>
      <c r="BD120" s="44"/>
      <c r="BE120" s="15">
        <f t="shared" si="11"/>
        <v>0</v>
      </c>
    </row>
    <row r="121" spans="1:57" s="8" customFormat="1" ht="22.5" customHeight="1">
      <c r="A121" s="9"/>
      <c r="B121" s="18" t="s">
        <v>204</v>
      </c>
      <c r="C121" s="89" t="s">
        <v>132</v>
      </c>
      <c r="D121" s="58" t="s">
        <v>212</v>
      </c>
      <c r="E121" s="35" t="s">
        <v>210</v>
      </c>
      <c r="F121" s="96"/>
      <c r="G121" s="21"/>
      <c r="H121" s="21" t="s">
        <v>207</v>
      </c>
      <c r="I121" s="14"/>
      <c r="J121" s="14"/>
      <c r="K121" s="12">
        <v>40</v>
      </c>
      <c r="L121" s="9"/>
      <c r="M121" s="9"/>
      <c r="N121" s="9"/>
      <c r="O121" s="38">
        <f t="shared" si="7"/>
        <v>40</v>
      </c>
      <c r="P121" s="12"/>
      <c r="Q121" s="42"/>
      <c r="R121" s="15"/>
      <c r="S121" s="44"/>
      <c r="T121" s="15"/>
      <c r="U121" s="44"/>
      <c r="V121" s="15">
        <f t="shared" si="8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9"/>
        <v>0</v>
      </c>
      <c r="AF121" s="101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12"/>
        <v>0</v>
      </c>
      <c r="BA121" s="15"/>
      <c r="BB121" s="44"/>
      <c r="BC121" s="15"/>
      <c r="BD121" s="44"/>
      <c r="BE121" s="15">
        <f t="shared" si="11"/>
        <v>0</v>
      </c>
    </row>
    <row r="122" spans="1:57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s="35" t="s">
        <v>206</v>
      </c>
      <c r="F122" s="96"/>
      <c r="G122" s="21"/>
      <c r="H122" s="21" t="s">
        <v>207</v>
      </c>
      <c r="I122" s="14"/>
      <c r="J122" s="14"/>
      <c r="K122" s="12">
        <v>372</v>
      </c>
      <c r="L122" s="9"/>
      <c r="M122" s="9"/>
      <c r="N122" s="9"/>
      <c r="O122" s="38">
        <f t="shared" si="7"/>
        <v>372</v>
      </c>
      <c r="P122" s="12"/>
      <c r="Q122" s="42"/>
      <c r="R122" s="15"/>
      <c r="S122" s="44"/>
      <c r="T122" s="15"/>
      <c r="U122" s="44"/>
      <c r="V122" s="15">
        <f t="shared" si="8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9"/>
        <v>0</v>
      </c>
      <c r="AF122" s="101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12"/>
        <v>0</v>
      </c>
      <c r="BA122" s="15"/>
      <c r="BB122" s="44"/>
      <c r="BC122" s="15"/>
      <c r="BD122" s="44"/>
      <c r="BE122" s="15">
        <f t="shared" si="11"/>
        <v>0</v>
      </c>
    </row>
    <row r="123" spans="1:57" s="8" customFormat="1" ht="22.5" customHeight="1">
      <c r="A123" s="9"/>
      <c r="B123" s="18" t="s">
        <v>204</v>
      </c>
      <c r="C123" s="89" t="s">
        <v>132</v>
      </c>
      <c r="D123" s="58" t="s">
        <v>213</v>
      </c>
      <c r="E123" s="35" t="s">
        <v>214</v>
      </c>
      <c r="F123" s="96"/>
      <c r="G123" s="21"/>
      <c r="H123" s="21" t="s">
        <v>207</v>
      </c>
      <c r="I123" s="14"/>
      <c r="J123" s="14"/>
      <c r="K123" s="12">
        <v>525</v>
      </c>
      <c r="L123" s="9"/>
      <c r="M123" s="9"/>
      <c r="N123" s="9"/>
      <c r="O123" s="38">
        <f t="shared" si="7"/>
        <v>525</v>
      </c>
      <c r="P123" s="12"/>
      <c r="Q123" s="42"/>
      <c r="R123" s="15"/>
      <c r="S123" s="44"/>
      <c r="T123" s="15"/>
      <c r="U123" s="44"/>
      <c r="V123" s="15">
        <f t="shared" si="8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9"/>
        <v>0</v>
      </c>
      <c r="AF123" s="101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12"/>
        <v>0</v>
      </c>
      <c r="BA123" s="15"/>
      <c r="BB123" s="44"/>
      <c r="BC123" s="15"/>
      <c r="BD123" s="44"/>
      <c r="BE123" s="15">
        <f t="shared" si="11"/>
        <v>0</v>
      </c>
    </row>
    <row r="124" spans="1:57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s="35" t="s">
        <v>206</v>
      </c>
      <c r="F124" s="96"/>
      <c r="G124" s="21"/>
      <c r="H124" s="21" t="s">
        <v>207</v>
      </c>
      <c r="I124" s="14"/>
      <c r="J124" s="14"/>
      <c r="K124" s="12">
        <v>0</v>
      </c>
      <c r="L124" s="9"/>
      <c r="M124" s="9"/>
      <c r="N124" s="9"/>
      <c r="O124" s="38">
        <f t="shared" si="7"/>
        <v>0</v>
      </c>
      <c r="P124" s="12"/>
      <c r="Q124" s="42"/>
      <c r="R124" s="15"/>
      <c r="S124" s="44"/>
      <c r="T124" s="15"/>
      <c r="U124" s="44"/>
      <c r="V124" s="15">
        <f t="shared" si="8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9"/>
        <v>0</v>
      </c>
      <c r="AF124" s="101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12"/>
        <v>0</v>
      </c>
      <c r="BA124" s="15"/>
      <c r="BB124" s="44"/>
      <c r="BC124" s="15"/>
      <c r="BD124" s="44"/>
      <c r="BE124" s="15">
        <f t="shared" si="11"/>
        <v>0</v>
      </c>
    </row>
    <row r="125" spans="1:57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215</v>
      </c>
      <c r="F125" s="96"/>
      <c r="G125" s="21"/>
      <c r="H125" s="21" t="s">
        <v>207</v>
      </c>
      <c r="I125" s="14"/>
      <c r="J125" s="14"/>
      <c r="K125" s="12">
        <v>2109</v>
      </c>
      <c r="L125" s="9"/>
      <c r="M125" s="9"/>
      <c r="N125" s="9"/>
      <c r="O125" s="38">
        <f t="shared" si="7"/>
        <v>2109</v>
      </c>
      <c r="P125" s="12"/>
      <c r="Q125" s="42"/>
      <c r="R125" s="15"/>
      <c r="S125" s="44"/>
      <c r="T125" s="15"/>
      <c r="U125" s="44"/>
      <c r="V125" s="15">
        <f t="shared" si="8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9"/>
        <v>0</v>
      </c>
      <c r="AF125" s="101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12"/>
        <v>0</v>
      </c>
      <c r="BA125" s="15"/>
      <c r="BB125" s="44"/>
      <c r="BC125" s="15"/>
      <c r="BD125" s="44"/>
      <c r="BE125" s="15">
        <f t="shared" si="11"/>
        <v>0</v>
      </c>
    </row>
    <row r="126" spans="1:57" s="8" customFormat="1" ht="22.5" customHeight="1">
      <c r="A126" s="9"/>
      <c r="B126" s="18" t="s">
        <v>204</v>
      </c>
      <c r="C126" s="89" t="s">
        <v>132</v>
      </c>
      <c r="D126" s="58" t="s">
        <v>216</v>
      </c>
      <c r="E126" s="35" t="s">
        <v>217</v>
      </c>
      <c r="F126" s="96"/>
      <c r="G126" s="21"/>
      <c r="H126" s="21" t="s">
        <v>207</v>
      </c>
      <c r="I126" s="14"/>
      <c r="J126" s="14"/>
      <c r="K126" s="12">
        <v>60</v>
      </c>
      <c r="L126" s="9"/>
      <c r="M126" s="9"/>
      <c r="N126" s="9"/>
      <c r="O126" s="38">
        <f t="shared" si="7"/>
        <v>60</v>
      </c>
      <c r="P126" s="12"/>
      <c r="Q126" s="42"/>
      <c r="R126" s="15"/>
      <c r="S126" s="44"/>
      <c r="T126" s="15"/>
      <c r="U126" s="44"/>
      <c r="V126" s="15">
        <f t="shared" si="8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9"/>
        <v>0</v>
      </c>
      <c r="AF126" s="101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12"/>
        <v>0</v>
      </c>
      <c r="BA126" s="15"/>
      <c r="BB126" s="44"/>
      <c r="BC126" s="15"/>
      <c r="BD126" s="44"/>
      <c r="BE126" s="15">
        <f t="shared" si="11"/>
        <v>0</v>
      </c>
    </row>
    <row r="127" spans="1:57" s="8" customFormat="1" ht="22.5" customHeight="1">
      <c r="A127" s="9"/>
      <c r="B127" s="18" t="s">
        <v>204</v>
      </c>
      <c r="C127" s="89" t="s">
        <v>132</v>
      </c>
      <c r="D127" s="58" t="s">
        <v>218</v>
      </c>
      <c r="E127" s="35" t="s">
        <v>217</v>
      </c>
      <c r="F127" s="96"/>
      <c r="G127" s="21"/>
      <c r="H127" s="21" t="s">
        <v>207</v>
      </c>
      <c r="I127" s="14"/>
      <c r="J127" s="14"/>
      <c r="K127" s="12">
        <v>540</v>
      </c>
      <c r="L127" s="9"/>
      <c r="M127" s="9"/>
      <c r="N127" s="9"/>
      <c r="O127" s="38">
        <f t="shared" si="7"/>
        <v>540</v>
      </c>
      <c r="P127" s="12"/>
      <c r="Q127" s="42"/>
      <c r="R127" s="15"/>
      <c r="S127" s="44"/>
      <c r="T127" s="15"/>
      <c r="U127" s="44"/>
      <c r="V127" s="15">
        <f t="shared" si="8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9"/>
        <v>0</v>
      </c>
      <c r="AF127" s="101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12"/>
        <v>0</v>
      </c>
      <c r="BA127" s="15"/>
      <c r="BB127" s="44"/>
      <c r="BC127" s="15"/>
      <c r="BD127" s="44"/>
      <c r="BE127" s="15">
        <f t="shared" si="11"/>
        <v>0</v>
      </c>
    </row>
    <row r="128" spans="1:57" s="8" customFormat="1" ht="22.5" customHeight="1">
      <c r="A128" s="9"/>
      <c r="B128" s="18" t="s">
        <v>204</v>
      </c>
      <c r="C128" s="89" t="s">
        <v>132</v>
      </c>
      <c r="D128" s="58" t="s">
        <v>219</v>
      </c>
      <c r="E128" s="35" t="s">
        <v>217</v>
      </c>
      <c r="F128" s="96"/>
      <c r="G128" s="21"/>
      <c r="H128" s="21" t="s">
        <v>207</v>
      </c>
      <c r="I128" s="14"/>
      <c r="J128" s="14"/>
      <c r="K128" s="12">
        <v>94</v>
      </c>
      <c r="L128" s="9"/>
      <c r="M128" s="9"/>
      <c r="N128" s="9"/>
      <c r="O128" s="38">
        <f t="shared" si="7"/>
        <v>94</v>
      </c>
      <c r="P128" s="12"/>
      <c r="Q128" s="42"/>
      <c r="R128" s="15"/>
      <c r="S128" s="44"/>
      <c r="T128" s="15"/>
      <c r="U128" s="44"/>
      <c r="V128" s="15">
        <f t="shared" si="8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9"/>
        <v>0</v>
      </c>
      <c r="AF128" s="101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12"/>
        <v>0</v>
      </c>
      <c r="BA128" s="15"/>
      <c r="BB128" s="44"/>
      <c r="BC128" s="15"/>
      <c r="BD128" s="44"/>
      <c r="BE128" s="15">
        <f t="shared" si="11"/>
        <v>0</v>
      </c>
    </row>
    <row r="129" spans="1:57" s="8" customFormat="1" ht="22.5" customHeight="1">
      <c r="A129" s="9"/>
      <c r="B129" s="18" t="s">
        <v>204</v>
      </c>
      <c r="C129" s="89" t="s">
        <v>132</v>
      </c>
      <c r="D129" s="58" t="s">
        <v>220</v>
      </c>
      <c r="E129" s="35" t="s">
        <v>215</v>
      </c>
      <c r="F129" s="96"/>
      <c r="G129" s="21"/>
      <c r="H129" s="21" t="s">
        <v>207</v>
      </c>
      <c r="I129" s="14"/>
      <c r="J129" s="14"/>
      <c r="K129" s="12">
        <v>759</v>
      </c>
      <c r="L129" s="9"/>
      <c r="M129" s="9"/>
      <c r="N129" s="9"/>
      <c r="O129" s="38">
        <f t="shared" si="7"/>
        <v>759</v>
      </c>
      <c r="P129" s="12"/>
      <c r="Q129" s="42"/>
      <c r="R129" s="15"/>
      <c r="S129" s="44"/>
      <c r="T129" s="15"/>
      <c r="U129" s="44"/>
      <c r="V129" s="15">
        <f t="shared" si="8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9"/>
        <v>0</v>
      </c>
      <c r="AF129" s="101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12"/>
        <v>0</v>
      </c>
      <c r="BA129" s="15"/>
      <c r="BB129" s="44"/>
      <c r="BC129" s="15"/>
      <c r="BD129" s="44"/>
      <c r="BE129" s="15">
        <f t="shared" si="11"/>
        <v>0</v>
      </c>
    </row>
    <row r="130" spans="1:57" s="8" customFormat="1" ht="22.5" customHeight="1">
      <c r="A130" s="9"/>
      <c r="B130" s="18" t="s">
        <v>204</v>
      </c>
      <c r="C130" s="89" t="s">
        <v>132</v>
      </c>
      <c r="D130" s="58" t="s">
        <v>221</v>
      </c>
      <c r="E130" s="35" t="s">
        <v>222</v>
      </c>
      <c r="F130" s="96"/>
      <c r="G130" s="21"/>
      <c r="H130" s="21" t="s">
        <v>207</v>
      </c>
      <c r="I130" s="14"/>
      <c r="J130" s="14"/>
      <c r="K130" s="12">
        <v>0</v>
      </c>
      <c r="L130" s="9"/>
      <c r="M130" s="9"/>
      <c r="N130" s="9"/>
      <c r="O130" s="38">
        <f t="shared" si="7"/>
        <v>0</v>
      </c>
      <c r="P130" s="12"/>
      <c r="Q130" s="42"/>
      <c r="R130" s="15"/>
      <c r="S130" s="44"/>
      <c r="T130" s="15"/>
      <c r="U130" s="44"/>
      <c r="V130" s="15">
        <f t="shared" si="8"/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si="9"/>
        <v>0</v>
      </c>
      <c r="AF130" s="101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12"/>
        <v>0</v>
      </c>
      <c r="BA130" s="15"/>
      <c r="BB130" s="44"/>
      <c r="BC130" s="15"/>
      <c r="BD130" s="44"/>
      <c r="BE130" s="15">
        <f t="shared" si="11"/>
        <v>0</v>
      </c>
    </row>
    <row r="131" spans="1:57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s="35" t="s">
        <v>206</v>
      </c>
      <c r="F131" s="96"/>
      <c r="G131" s="21"/>
      <c r="H131" s="21" t="s">
        <v>207</v>
      </c>
      <c r="I131" s="14"/>
      <c r="J131" s="14"/>
      <c r="K131" s="12">
        <v>592</v>
      </c>
      <c r="L131" s="9"/>
      <c r="M131" s="9"/>
      <c r="N131" s="9"/>
      <c r="O131" s="38">
        <f t="shared" si="7"/>
        <v>592</v>
      </c>
      <c r="P131" s="12"/>
      <c r="Q131" s="42"/>
      <c r="R131" s="15"/>
      <c r="S131" s="44"/>
      <c r="T131" s="15"/>
      <c r="U131" s="44"/>
      <c r="V131" s="15">
        <f t="shared" si="8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9"/>
        <v>0</v>
      </c>
      <c r="AF131" s="101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si="12"/>
        <v>0</v>
      </c>
      <c r="BA131" s="15"/>
      <c r="BB131" s="44"/>
      <c r="BC131" s="15"/>
      <c r="BD131" s="44"/>
      <c r="BE131" s="15">
        <f t="shared" si="11"/>
        <v>0</v>
      </c>
    </row>
    <row r="132" spans="1:57" s="8" customFormat="1" ht="22.5" customHeight="1">
      <c r="A132" s="9"/>
      <c r="B132" s="18" t="s">
        <v>204</v>
      </c>
      <c r="C132" s="89" t="s">
        <v>132</v>
      </c>
      <c r="D132" s="58" t="s">
        <v>223</v>
      </c>
      <c r="E132" s="35" t="s">
        <v>206</v>
      </c>
      <c r="F132" s="96"/>
      <c r="G132" s="21"/>
      <c r="H132" s="21" t="s">
        <v>207</v>
      </c>
      <c r="I132" s="14"/>
      <c r="J132" s="14"/>
      <c r="K132" s="12">
        <v>129</v>
      </c>
      <c r="L132" s="9"/>
      <c r="M132" s="9"/>
      <c r="N132" s="9"/>
      <c r="O132" s="38">
        <f t="shared" ref="O132:O195" si="13">K132+V132-AE132-AZ132</f>
        <v>129</v>
      </c>
      <c r="P132" s="12"/>
      <c r="Q132" s="42"/>
      <c r="R132" s="15"/>
      <c r="S132" s="44"/>
      <c r="T132" s="15"/>
      <c r="U132" s="44"/>
      <c r="V132" s="15">
        <f t="shared" ref="V132:V195" si="14">P132+R132+T132</f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ref="AE132:AE195" si="15">(W132+Y132+AA132+AC132)</f>
        <v>0</v>
      </c>
      <c r="AF132" s="101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2"/>
        <v>0</v>
      </c>
      <c r="BA132" s="15"/>
      <c r="BB132" s="44"/>
      <c r="BC132" s="15"/>
      <c r="BD132" s="44"/>
      <c r="BE132" s="15">
        <f t="shared" si="11"/>
        <v>0</v>
      </c>
    </row>
    <row r="133" spans="1:57" s="8" customFormat="1" ht="22.5" customHeight="1">
      <c r="A133" s="9"/>
      <c r="B133" s="18" t="s">
        <v>204</v>
      </c>
      <c r="C133" s="89" t="s">
        <v>132</v>
      </c>
      <c r="D133" s="58" t="s">
        <v>224</v>
      </c>
      <c r="E133" s="35" t="s">
        <v>225</v>
      </c>
      <c r="F133" s="96"/>
      <c r="G133" s="21"/>
      <c r="H133" s="21" t="s">
        <v>207</v>
      </c>
      <c r="I133" s="14"/>
      <c r="J133" s="14"/>
      <c r="K133" s="12">
        <v>214</v>
      </c>
      <c r="L133" s="9"/>
      <c r="M133" s="9"/>
      <c r="N133" s="9"/>
      <c r="O133" s="38">
        <f t="shared" si="13"/>
        <v>214</v>
      </c>
      <c r="P133" s="12"/>
      <c r="Q133" s="42"/>
      <c r="R133" s="15"/>
      <c r="S133" s="44"/>
      <c r="T133" s="15"/>
      <c r="U133" s="44"/>
      <c r="V133" s="15">
        <f t="shared" si="14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5"/>
        <v>0</v>
      </c>
      <c r="AF133" s="101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2"/>
        <v>0</v>
      </c>
      <c r="BA133" s="15"/>
      <c r="BB133" s="44"/>
      <c r="BC133" s="15"/>
      <c r="BD133" s="44"/>
      <c r="BE133" s="15">
        <f t="shared" si="11"/>
        <v>0</v>
      </c>
    </row>
    <row r="134" spans="1:57" s="8" customFormat="1" ht="22.5" customHeight="1">
      <c r="A134" s="9"/>
      <c r="B134" s="18" t="s">
        <v>204</v>
      </c>
      <c r="C134" s="89" t="s">
        <v>132</v>
      </c>
      <c r="D134" s="58" t="s">
        <v>226</v>
      </c>
      <c r="E134" s="35" t="s">
        <v>215</v>
      </c>
      <c r="F134" s="96"/>
      <c r="G134" s="21"/>
      <c r="H134" s="21" t="s">
        <v>207</v>
      </c>
      <c r="I134" s="14"/>
      <c r="J134" s="14"/>
      <c r="K134" s="12">
        <v>484</v>
      </c>
      <c r="L134" s="9"/>
      <c r="M134" s="9"/>
      <c r="N134" s="9"/>
      <c r="O134" s="38">
        <f t="shared" si="13"/>
        <v>484</v>
      </c>
      <c r="P134" s="12"/>
      <c r="Q134" s="42"/>
      <c r="R134" s="15"/>
      <c r="S134" s="44"/>
      <c r="T134" s="15"/>
      <c r="U134" s="44"/>
      <c r="V134" s="15">
        <f t="shared" si="14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5"/>
        <v>0</v>
      </c>
      <c r="AF134" s="101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2"/>
        <v>0</v>
      </c>
      <c r="BA134" s="15"/>
      <c r="BB134" s="44"/>
      <c r="BC134" s="15"/>
      <c r="BD134" s="44"/>
      <c r="BE134" s="15">
        <f t="shared" si="11"/>
        <v>0</v>
      </c>
    </row>
    <row r="135" spans="1:57" s="8" customFormat="1" ht="22.5" customHeight="1">
      <c r="A135" s="9"/>
      <c r="B135" s="18" t="s">
        <v>204</v>
      </c>
      <c r="C135" s="89" t="s">
        <v>132</v>
      </c>
      <c r="D135" s="58" t="s">
        <v>227</v>
      </c>
      <c r="E135" s="35" t="s">
        <v>215</v>
      </c>
      <c r="F135" s="96"/>
      <c r="G135" s="21"/>
      <c r="H135" s="21" t="s">
        <v>207</v>
      </c>
      <c r="I135" s="14"/>
      <c r="J135" s="14"/>
      <c r="K135" s="12">
        <v>0</v>
      </c>
      <c r="L135" s="9"/>
      <c r="M135" s="9"/>
      <c r="N135" s="9"/>
      <c r="O135" s="38">
        <f t="shared" si="13"/>
        <v>0</v>
      </c>
      <c r="P135" s="12"/>
      <c r="Q135" s="42"/>
      <c r="R135" s="15"/>
      <c r="S135" s="44"/>
      <c r="T135" s="15"/>
      <c r="U135" s="44"/>
      <c r="V135" s="15">
        <f t="shared" si="14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5"/>
        <v>0</v>
      </c>
      <c r="AF135" s="101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2"/>
        <v>0</v>
      </c>
      <c r="BA135" s="15"/>
      <c r="BB135" s="44"/>
      <c r="BC135" s="15"/>
      <c r="BD135" s="44"/>
      <c r="BE135" s="15">
        <f t="shared" si="11"/>
        <v>0</v>
      </c>
    </row>
    <row r="136" spans="1:57" s="8" customFormat="1" ht="22.5" customHeight="1">
      <c r="A136" s="9"/>
      <c r="B136" s="18" t="s">
        <v>204</v>
      </c>
      <c r="C136" s="89" t="s">
        <v>132</v>
      </c>
      <c r="D136" s="58" t="s">
        <v>228</v>
      </c>
      <c r="E136" s="35" t="s">
        <v>206</v>
      </c>
      <c r="F136" s="96"/>
      <c r="G136" s="21"/>
      <c r="H136" s="21" t="s">
        <v>207</v>
      </c>
      <c r="I136" s="14"/>
      <c r="J136" s="14"/>
      <c r="K136" s="12">
        <v>0</v>
      </c>
      <c r="L136" s="9"/>
      <c r="M136" s="9"/>
      <c r="N136" s="9"/>
      <c r="O136" s="38">
        <f t="shared" si="13"/>
        <v>0</v>
      </c>
      <c r="P136" s="12"/>
      <c r="Q136" s="42"/>
      <c r="R136" s="15"/>
      <c r="S136" s="44"/>
      <c r="T136" s="15"/>
      <c r="U136" s="44"/>
      <c r="V136" s="15">
        <f t="shared" si="14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5"/>
        <v>0</v>
      </c>
      <c r="AF136" s="101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2"/>
        <v>0</v>
      </c>
      <c r="BA136" s="15"/>
      <c r="BB136" s="44"/>
      <c r="BC136" s="15"/>
      <c r="BD136" s="44"/>
      <c r="BE136" s="15">
        <f t="shared" si="11"/>
        <v>0</v>
      </c>
    </row>
    <row r="137" spans="1:57" s="8" customFormat="1" ht="22.5" customHeight="1">
      <c r="A137" s="9"/>
      <c r="B137" s="18" t="s">
        <v>204</v>
      </c>
      <c r="C137" s="89" t="s">
        <v>132</v>
      </c>
      <c r="D137" s="58" t="s">
        <v>229</v>
      </c>
      <c r="E137" s="35" t="s">
        <v>222</v>
      </c>
      <c r="F137" s="96"/>
      <c r="G137" s="21"/>
      <c r="H137" s="21" t="s">
        <v>207</v>
      </c>
      <c r="I137" s="14"/>
      <c r="J137" s="14"/>
      <c r="K137" s="12">
        <v>0</v>
      </c>
      <c r="L137" s="9"/>
      <c r="M137" s="9"/>
      <c r="N137" s="9"/>
      <c r="O137" s="38">
        <f t="shared" si="13"/>
        <v>0</v>
      </c>
      <c r="P137" s="12"/>
      <c r="Q137" s="42"/>
      <c r="R137" s="15"/>
      <c r="S137" s="44"/>
      <c r="T137" s="15"/>
      <c r="U137" s="44"/>
      <c r="V137" s="15">
        <f t="shared" si="14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5"/>
        <v>0</v>
      </c>
      <c r="AF137" s="101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2"/>
        <v>0</v>
      </c>
      <c r="BA137" s="15"/>
      <c r="BB137" s="44"/>
      <c r="BC137" s="15"/>
      <c r="BD137" s="44"/>
      <c r="BE137" s="15">
        <f t="shared" si="11"/>
        <v>0</v>
      </c>
    </row>
    <row r="138" spans="1:57" s="8" customFormat="1" ht="22.5" customHeight="1">
      <c r="A138" s="9"/>
      <c r="B138" s="18" t="s">
        <v>204</v>
      </c>
      <c r="C138" s="89" t="s">
        <v>132</v>
      </c>
      <c r="D138" s="58" t="s">
        <v>230</v>
      </c>
      <c r="E138" s="35" t="s">
        <v>210</v>
      </c>
      <c r="F138" s="96"/>
      <c r="G138" s="21"/>
      <c r="H138" s="21" t="s">
        <v>231</v>
      </c>
      <c r="I138" s="14"/>
      <c r="J138" s="14"/>
      <c r="K138" s="12">
        <v>61</v>
      </c>
      <c r="L138" s="9"/>
      <c r="M138" s="9"/>
      <c r="N138" s="9"/>
      <c r="O138" s="38">
        <f t="shared" si="13"/>
        <v>61</v>
      </c>
      <c r="P138" s="12"/>
      <c r="Q138" s="42"/>
      <c r="R138" s="15"/>
      <c r="S138" s="44"/>
      <c r="T138" s="15"/>
      <c r="U138" s="44"/>
      <c r="V138" s="15">
        <f t="shared" si="14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5"/>
        <v>0</v>
      </c>
      <c r="AF138" s="101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2"/>
        <v>0</v>
      </c>
      <c r="BA138" s="15"/>
      <c r="BB138" s="44"/>
      <c r="BC138" s="15"/>
      <c r="BD138" s="44"/>
      <c r="BE138" s="15">
        <f t="shared" si="11"/>
        <v>0</v>
      </c>
    </row>
    <row r="139" spans="1:57" s="8" customFormat="1" ht="22.5" customHeight="1">
      <c r="A139" s="9"/>
      <c r="B139" s="18" t="s">
        <v>204</v>
      </c>
      <c r="C139" s="89" t="s">
        <v>132</v>
      </c>
      <c r="D139" s="58" t="s">
        <v>232</v>
      </c>
      <c r="E139" s="35" t="s">
        <v>222</v>
      </c>
      <c r="F139" s="96"/>
      <c r="G139" s="21"/>
      <c r="H139" s="21" t="s">
        <v>231</v>
      </c>
      <c r="I139" s="14"/>
      <c r="J139" s="14"/>
      <c r="K139" s="12">
        <v>106</v>
      </c>
      <c r="L139" s="9"/>
      <c r="M139" s="9"/>
      <c r="N139" s="9"/>
      <c r="O139" s="38">
        <f t="shared" si="13"/>
        <v>106</v>
      </c>
      <c r="P139" s="12"/>
      <c r="Q139" s="42"/>
      <c r="R139" s="15"/>
      <c r="S139" s="44"/>
      <c r="T139" s="15"/>
      <c r="U139" s="44"/>
      <c r="V139" s="15">
        <f t="shared" si="14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5"/>
        <v>0</v>
      </c>
      <c r="AF139" s="101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2"/>
        <v>0</v>
      </c>
      <c r="BA139" s="15"/>
      <c r="BB139" s="44"/>
      <c r="BC139" s="15"/>
      <c r="BD139" s="44"/>
      <c r="BE139" s="15">
        <f t="shared" si="11"/>
        <v>0</v>
      </c>
    </row>
    <row r="140" spans="1:57" s="8" customFormat="1" ht="22.5" customHeight="1">
      <c r="A140" s="9"/>
      <c r="B140" s="18" t="s">
        <v>233</v>
      </c>
      <c r="C140" s="89" t="s">
        <v>132</v>
      </c>
      <c r="D140" s="58" t="s">
        <v>234</v>
      </c>
      <c r="E140" s="35" t="s">
        <v>235</v>
      </c>
      <c r="F140" s="96"/>
      <c r="G140" s="21"/>
      <c r="H140" s="21" t="s">
        <v>207</v>
      </c>
      <c r="I140" s="14"/>
      <c r="J140" s="14"/>
      <c r="K140" s="12">
        <v>280</v>
      </c>
      <c r="L140" s="9"/>
      <c r="M140" s="9"/>
      <c r="N140" s="9"/>
      <c r="O140" s="38">
        <f t="shared" si="13"/>
        <v>280</v>
      </c>
      <c r="P140" s="12"/>
      <c r="Q140" s="42"/>
      <c r="R140" s="15"/>
      <c r="S140" s="44"/>
      <c r="T140" s="15"/>
      <c r="U140" s="44"/>
      <c r="V140" s="15">
        <f t="shared" si="14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5"/>
        <v>0</v>
      </c>
      <c r="AF140" s="101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2"/>
        <v>0</v>
      </c>
      <c r="BA140" s="15"/>
      <c r="BB140" s="44"/>
      <c r="BC140" s="15"/>
      <c r="BD140" s="44"/>
      <c r="BE140" s="15">
        <f t="shared" si="11"/>
        <v>0</v>
      </c>
    </row>
    <row r="141" spans="1:57" s="8" customFormat="1" ht="22.5" customHeight="1">
      <c r="A141" s="9"/>
      <c r="B141" s="18" t="s">
        <v>233</v>
      </c>
      <c r="C141" s="89" t="s">
        <v>132</v>
      </c>
      <c r="D141" s="58" t="s">
        <v>236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100</v>
      </c>
      <c r="L141" s="9"/>
      <c r="M141" s="9"/>
      <c r="N141" s="9"/>
      <c r="O141" s="38">
        <f t="shared" si="13"/>
        <v>100</v>
      </c>
      <c r="P141" s="12"/>
      <c r="Q141" s="42"/>
      <c r="R141" s="15"/>
      <c r="S141" s="44"/>
      <c r="T141" s="15"/>
      <c r="U141" s="44"/>
      <c r="V141" s="15">
        <f t="shared" si="14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5"/>
        <v>0</v>
      </c>
      <c r="AF141" s="101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2"/>
        <v>0</v>
      </c>
      <c r="BA141" s="15"/>
      <c r="BB141" s="44"/>
      <c r="BC141" s="15"/>
      <c r="BD141" s="44"/>
      <c r="BE141" s="15">
        <f t="shared" si="11"/>
        <v>0</v>
      </c>
    </row>
    <row r="142" spans="1:57" s="8" customFormat="1" ht="22.5" customHeight="1">
      <c r="A142" s="9"/>
      <c r="B142" s="18" t="s">
        <v>233</v>
      </c>
      <c r="C142" s="89" t="s">
        <v>132</v>
      </c>
      <c r="D142" s="58" t="s">
        <v>238</v>
      </c>
      <c r="E142" s="35" t="s">
        <v>237</v>
      </c>
      <c r="F142" s="96"/>
      <c r="G142" s="21"/>
      <c r="H142" s="21" t="s">
        <v>207</v>
      </c>
      <c r="I142" s="14"/>
      <c r="J142" s="14"/>
      <c r="K142" s="12">
        <v>612</v>
      </c>
      <c r="L142" s="9"/>
      <c r="M142" s="9"/>
      <c r="N142" s="9"/>
      <c r="O142" s="38">
        <f t="shared" si="13"/>
        <v>612</v>
      </c>
      <c r="P142" s="12"/>
      <c r="Q142" s="42"/>
      <c r="R142" s="15"/>
      <c r="S142" s="44"/>
      <c r="T142" s="15"/>
      <c r="U142" s="44"/>
      <c r="V142" s="15">
        <f t="shared" si="14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5"/>
        <v>0</v>
      </c>
      <c r="AF142" s="101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2"/>
        <v>0</v>
      </c>
      <c r="BA142" s="15"/>
      <c r="BB142" s="44"/>
      <c r="BC142" s="15"/>
      <c r="BD142" s="44"/>
      <c r="BE142" s="15">
        <f t="shared" si="11"/>
        <v>0</v>
      </c>
    </row>
    <row r="143" spans="1:57" s="8" customFormat="1" ht="22.5" customHeight="1">
      <c r="A143" s="9"/>
      <c r="B143" s="18" t="s">
        <v>233</v>
      </c>
      <c r="C143" s="89" t="s">
        <v>132</v>
      </c>
      <c r="D143" s="58" t="s">
        <v>239</v>
      </c>
      <c r="E143" s="35" t="s">
        <v>237</v>
      </c>
      <c r="F143" s="96"/>
      <c r="G143" s="21"/>
      <c r="H143" s="21" t="s">
        <v>207</v>
      </c>
      <c r="I143" s="14"/>
      <c r="J143" s="14"/>
      <c r="K143" s="12">
        <v>300</v>
      </c>
      <c r="L143" s="9"/>
      <c r="M143" s="9"/>
      <c r="N143" s="9"/>
      <c r="O143" s="38">
        <f t="shared" si="13"/>
        <v>300</v>
      </c>
      <c r="P143" s="12"/>
      <c r="Q143" s="42"/>
      <c r="R143" s="15"/>
      <c r="S143" s="44"/>
      <c r="T143" s="15"/>
      <c r="U143" s="44"/>
      <c r="V143" s="15">
        <f t="shared" si="14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5"/>
        <v>0</v>
      </c>
      <c r="AF143" s="101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2"/>
        <v>0</v>
      </c>
      <c r="BA143" s="15"/>
      <c r="BB143" s="44"/>
      <c r="BC143" s="15"/>
      <c r="BD143" s="44"/>
      <c r="BE143" s="15">
        <f t="shared" si="11"/>
        <v>0</v>
      </c>
    </row>
    <row r="144" spans="1:57" s="8" customFormat="1" ht="22.5" customHeight="1">
      <c r="A144" s="9"/>
      <c r="B144" s="18" t="s">
        <v>233</v>
      </c>
      <c r="C144" s="89" t="s">
        <v>132</v>
      </c>
      <c r="D144" s="58" t="s">
        <v>240</v>
      </c>
      <c r="E144" s="35" t="s">
        <v>237</v>
      </c>
      <c r="F144" s="96"/>
      <c r="G144" s="21"/>
      <c r="H144" s="21" t="s">
        <v>207</v>
      </c>
      <c r="I144" s="14"/>
      <c r="J144" s="14"/>
      <c r="K144" s="12">
        <v>300</v>
      </c>
      <c r="L144" s="9"/>
      <c r="M144" s="9"/>
      <c r="N144" s="9"/>
      <c r="O144" s="38">
        <f t="shared" si="13"/>
        <v>300</v>
      </c>
      <c r="P144" s="12"/>
      <c r="Q144" s="42"/>
      <c r="R144" s="15"/>
      <c r="S144" s="44"/>
      <c r="T144" s="15"/>
      <c r="U144" s="44"/>
      <c r="V144" s="15">
        <f t="shared" si="14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5"/>
        <v>0</v>
      </c>
      <c r="AF144" s="101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2"/>
        <v>0</v>
      </c>
      <c r="BA144" s="15"/>
      <c r="BB144" s="44"/>
      <c r="BC144" s="15"/>
      <c r="BD144" s="44"/>
      <c r="BE144" s="15">
        <f t="shared" si="11"/>
        <v>0</v>
      </c>
    </row>
    <row r="145" spans="1:57" s="8" customFormat="1" ht="22.5" customHeight="1">
      <c r="A145" s="9"/>
      <c r="B145" s="16" t="s">
        <v>233</v>
      </c>
      <c r="C145" s="89" t="s">
        <v>132</v>
      </c>
      <c r="D145" s="70" t="s">
        <v>241</v>
      </c>
      <c r="E145" s="13"/>
      <c r="F145" s="96"/>
      <c r="G145" s="9"/>
      <c r="H145" s="9"/>
      <c r="I145" s="14"/>
      <c r="J145" s="14"/>
      <c r="K145" s="12">
        <v>124</v>
      </c>
      <c r="L145" s="9"/>
      <c r="M145" s="9"/>
      <c r="N145" s="9"/>
      <c r="O145" s="38">
        <f t="shared" si="13"/>
        <v>124</v>
      </c>
      <c r="P145" s="12"/>
      <c r="Q145" s="42"/>
      <c r="R145" s="15"/>
      <c r="S145" s="44"/>
      <c r="T145" s="15"/>
      <c r="U145" s="44"/>
      <c r="V145" s="15">
        <f t="shared" si="14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5"/>
        <v>0</v>
      </c>
      <c r="AF145" s="101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2"/>
        <v>0</v>
      </c>
      <c r="BA145" s="15"/>
      <c r="BB145" s="44"/>
      <c r="BC145" s="15"/>
      <c r="BD145" s="44"/>
      <c r="BE145" s="15">
        <f t="shared" si="11"/>
        <v>0</v>
      </c>
    </row>
    <row r="146" spans="1:57" s="8" customFormat="1" ht="22.5" customHeight="1">
      <c r="A146" s="9"/>
      <c r="B146" s="16" t="s">
        <v>155</v>
      </c>
      <c r="C146" s="89" t="s">
        <v>132</v>
      </c>
      <c r="D146" s="70" t="s">
        <v>156</v>
      </c>
      <c r="E146" s="13" t="s">
        <v>242</v>
      </c>
      <c r="F146" s="96"/>
      <c r="G146" s="9"/>
      <c r="H146" s="9" t="s">
        <v>158</v>
      </c>
      <c r="I146" s="14"/>
      <c r="J146" s="14"/>
      <c r="K146" s="12">
        <v>652</v>
      </c>
      <c r="L146" s="9"/>
      <c r="M146" s="9"/>
      <c r="N146" s="9"/>
      <c r="O146" s="38">
        <f t="shared" si="13"/>
        <v>652</v>
      </c>
      <c r="P146" s="12"/>
      <c r="Q146" s="42"/>
      <c r="R146" s="15"/>
      <c r="S146" s="44"/>
      <c r="T146" s="15"/>
      <c r="U146" s="44"/>
      <c r="V146" s="15">
        <f t="shared" si="14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5"/>
        <v>0</v>
      </c>
      <c r="AF146" s="101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2"/>
        <v>0</v>
      </c>
      <c r="BA146" s="15"/>
      <c r="BB146" s="44"/>
      <c r="BC146" s="15"/>
      <c r="BD146" s="44"/>
      <c r="BE146" s="15">
        <f t="shared" si="11"/>
        <v>0</v>
      </c>
    </row>
    <row r="147" spans="1:57" s="8" customFormat="1" ht="22.5" customHeight="1">
      <c r="A147" s="9"/>
      <c r="B147" s="16" t="s">
        <v>155</v>
      </c>
      <c r="C147" s="89" t="s">
        <v>132</v>
      </c>
      <c r="D147" s="69" t="s">
        <v>156</v>
      </c>
      <c r="E147" s="13" t="s">
        <v>243</v>
      </c>
      <c r="F147" s="96"/>
      <c r="G147" s="9"/>
      <c r="H147" s="9" t="s">
        <v>158</v>
      </c>
      <c r="I147" s="14"/>
      <c r="J147" s="14"/>
      <c r="K147" s="12">
        <v>34</v>
      </c>
      <c r="L147" s="9"/>
      <c r="M147" s="9"/>
      <c r="N147" s="9"/>
      <c r="O147" s="38">
        <f t="shared" si="13"/>
        <v>34</v>
      </c>
      <c r="P147" s="12"/>
      <c r="Q147" s="42"/>
      <c r="R147" s="15"/>
      <c r="S147" s="44"/>
      <c r="T147" s="15"/>
      <c r="U147" s="44"/>
      <c r="V147" s="15">
        <f t="shared" si="14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5"/>
        <v>0</v>
      </c>
      <c r="AF147" s="101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2"/>
        <v>0</v>
      </c>
      <c r="BA147" s="15"/>
      <c r="BB147" s="44"/>
      <c r="BC147" s="15"/>
      <c r="BD147" s="44"/>
      <c r="BE147" s="15">
        <f t="shared" si="11"/>
        <v>0</v>
      </c>
    </row>
    <row r="148" spans="1:57" s="8" customFormat="1" ht="22.5" customHeight="1">
      <c r="A148" s="9"/>
      <c r="B148" s="16" t="s">
        <v>244</v>
      </c>
      <c r="C148" s="89" t="s">
        <v>132</v>
      </c>
      <c r="D148" s="69" t="s">
        <v>245</v>
      </c>
      <c r="E148" s="13" t="s">
        <v>246</v>
      </c>
      <c r="F148" s="96"/>
      <c r="G148" s="9"/>
      <c r="H148" s="9" t="s">
        <v>247</v>
      </c>
      <c r="I148" s="14"/>
      <c r="J148" s="14"/>
      <c r="K148" s="12">
        <v>0</v>
      </c>
      <c r="L148" s="9"/>
      <c r="M148" s="9"/>
      <c r="N148" s="9"/>
      <c r="O148" s="38">
        <f t="shared" si="13"/>
        <v>0</v>
      </c>
      <c r="P148" s="12"/>
      <c r="Q148" s="42"/>
      <c r="R148" s="15"/>
      <c r="S148" s="44"/>
      <c r="T148" s="15"/>
      <c r="U148" s="44"/>
      <c r="V148" s="15">
        <f t="shared" si="14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5"/>
        <v>0</v>
      </c>
      <c r="AF148" s="101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2"/>
        <v>0</v>
      </c>
      <c r="BA148" s="15"/>
      <c r="BB148" s="44"/>
      <c r="BC148" s="15"/>
      <c r="BD148" s="44"/>
      <c r="BE148" s="15">
        <f t="shared" si="11"/>
        <v>0</v>
      </c>
    </row>
    <row r="149" spans="1:57" s="8" customFormat="1" ht="22.5" customHeight="1">
      <c r="A149" s="9"/>
      <c r="B149" s="16" t="s">
        <v>244</v>
      </c>
      <c r="C149" s="89" t="s">
        <v>132</v>
      </c>
      <c r="D149" s="69" t="s">
        <v>248</v>
      </c>
      <c r="E149" s="13" t="s">
        <v>246</v>
      </c>
      <c r="F149" s="96"/>
      <c r="G149" s="9"/>
      <c r="H149" s="9" t="s">
        <v>247</v>
      </c>
      <c r="I149" s="14"/>
      <c r="J149" s="14"/>
      <c r="K149" s="12">
        <v>240</v>
      </c>
      <c r="L149" s="9"/>
      <c r="M149" s="9"/>
      <c r="N149" s="9"/>
      <c r="O149" s="38">
        <f t="shared" si="13"/>
        <v>240</v>
      </c>
      <c r="P149" s="12"/>
      <c r="Q149" s="42"/>
      <c r="R149" s="15"/>
      <c r="S149" s="44"/>
      <c r="T149" s="15"/>
      <c r="U149" s="44"/>
      <c r="V149" s="15">
        <f t="shared" si="14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5"/>
        <v>0</v>
      </c>
      <c r="AF149" s="101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2"/>
        <v>0</v>
      </c>
      <c r="BA149" s="15"/>
      <c r="BB149" s="44"/>
      <c r="BC149" s="15"/>
      <c r="BD149" s="44"/>
      <c r="BE149" s="15">
        <f t="shared" si="11"/>
        <v>0</v>
      </c>
    </row>
    <row r="150" spans="1:57" s="8" customFormat="1" ht="22.5" customHeight="1">
      <c r="A150" s="9"/>
      <c r="B150" s="16" t="s">
        <v>249</v>
      </c>
      <c r="C150" s="89" t="s">
        <v>44</v>
      </c>
      <c r="D150" s="69" t="s">
        <v>250</v>
      </c>
      <c r="E150" s="13" t="s">
        <v>251</v>
      </c>
      <c r="F150" s="96"/>
      <c r="G150" s="9"/>
      <c r="H150" s="9" t="s">
        <v>247</v>
      </c>
      <c r="I150" s="14"/>
      <c r="J150" s="14"/>
      <c r="K150" s="12">
        <v>407</v>
      </c>
      <c r="L150" s="9"/>
      <c r="M150" s="9"/>
      <c r="N150" s="9"/>
      <c r="O150" s="38">
        <f t="shared" si="13"/>
        <v>407</v>
      </c>
      <c r="P150" s="12"/>
      <c r="Q150" s="42"/>
      <c r="R150" s="15"/>
      <c r="S150" s="44"/>
      <c r="T150" s="15"/>
      <c r="U150" s="44"/>
      <c r="V150" s="15">
        <f t="shared" si="14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5"/>
        <v>0</v>
      </c>
      <c r="AF150" s="101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2"/>
        <v>0</v>
      </c>
      <c r="BA150" s="15"/>
      <c r="BB150" s="44"/>
      <c r="BC150" s="15"/>
      <c r="BD150" s="44"/>
      <c r="BE150" s="15">
        <f t="shared" si="11"/>
        <v>0</v>
      </c>
    </row>
    <row r="151" spans="1:57" s="8" customFormat="1" ht="22.5" customHeight="1">
      <c r="A151" s="9"/>
      <c r="B151" s="16" t="s">
        <v>249</v>
      </c>
      <c r="C151" s="89" t="s">
        <v>132</v>
      </c>
      <c r="D151" s="69" t="s">
        <v>252</v>
      </c>
      <c r="E151" s="13" t="s">
        <v>251</v>
      </c>
      <c r="F151" s="96"/>
      <c r="G151" s="9"/>
      <c r="H151" s="9" t="s">
        <v>247</v>
      </c>
      <c r="I151" s="14"/>
      <c r="J151" s="14"/>
      <c r="K151" s="12">
        <v>409</v>
      </c>
      <c r="L151" s="9"/>
      <c r="M151" s="9"/>
      <c r="N151" s="9"/>
      <c r="O151" s="38">
        <f t="shared" si="13"/>
        <v>409</v>
      </c>
      <c r="P151" s="12"/>
      <c r="Q151" s="42"/>
      <c r="R151" s="15"/>
      <c r="S151" s="44"/>
      <c r="T151" s="15"/>
      <c r="U151" s="44"/>
      <c r="V151" s="15">
        <f t="shared" si="14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5"/>
        <v>0</v>
      </c>
      <c r="AF151" s="101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2"/>
        <v>0</v>
      </c>
      <c r="BA151" s="15"/>
      <c r="BB151" s="44"/>
      <c r="BC151" s="15"/>
      <c r="BD151" s="44"/>
      <c r="BE151" s="15">
        <f t="shared" si="11"/>
        <v>0</v>
      </c>
    </row>
    <row r="152" spans="1:57" s="8" customFormat="1" ht="22.5" customHeight="1">
      <c r="A152" s="9"/>
      <c r="B152" s="18" t="s">
        <v>172</v>
      </c>
      <c r="C152" s="89" t="s">
        <v>48</v>
      </c>
      <c r="D152" s="66" t="s">
        <v>253</v>
      </c>
      <c r="E152" s="35"/>
      <c r="F152" s="96"/>
      <c r="G152" s="21"/>
      <c r="H152" s="21" t="s">
        <v>67</v>
      </c>
      <c r="I152" s="14"/>
      <c r="J152" s="14"/>
      <c r="K152" s="12">
        <v>0</v>
      </c>
      <c r="L152" s="9"/>
      <c r="M152" s="9"/>
      <c r="N152" s="9"/>
      <c r="O152" s="38">
        <f t="shared" si="13"/>
        <v>0</v>
      </c>
      <c r="P152" s="12"/>
      <c r="Q152" s="42"/>
      <c r="R152" s="15"/>
      <c r="S152" s="44"/>
      <c r="T152" s="15"/>
      <c r="U152" s="44"/>
      <c r="V152" s="15">
        <f t="shared" si="14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5"/>
        <v>0</v>
      </c>
      <c r="AF152" s="101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2"/>
        <v>0</v>
      </c>
      <c r="BA152" s="15"/>
      <c r="BB152" s="44"/>
      <c r="BC152" s="15"/>
      <c r="BD152" s="44"/>
      <c r="BE152" s="15">
        <f t="shared" si="11"/>
        <v>0</v>
      </c>
    </row>
    <row r="153" spans="1:57" s="8" customFormat="1" ht="22.5" customHeight="1">
      <c r="A153" s="9"/>
      <c r="B153" s="18" t="s">
        <v>172</v>
      </c>
      <c r="C153" s="89" t="s">
        <v>48</v>
      </c>
      <c r="D153" s="58" t="s">
        <v>254</v>
      </c>
      <c r="E153" s="35" t="s">
        <v>255</v>
      </c>
      <c r="F153" s="96"/>
      <c r="G153" s="21"/>
      <c r="H153" s="21" t="s">
        <v>67</v>
      </c>
      <c r="I153" s="14"/>
      <c r="J153" s="14"/>
      <c r="K153" s="12">
        <v>93</v>
      </c>
      <c r="L153" s="9"/>
      <c r="M153" s="9"/>
      <c r="N153" s="9"/>
      <c r="O153" s="38">
        <f t="shared" si="13"/>
        <v>93</v>
      </c>
      <c r="P153" s="12"/>
      <c r="Q153" s="42"/>
      <c r="R153" s="15"/>
      <c r="S153" s="44"/>
      <c r="T153" s="15"/>
      <c r="U153" s="44"/>
      <c r="V153" s="15">
        <f t="shared" si="14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5"/>
        <v>0</v>
      </c>
      <c r="AF153" s="101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2"/>
        <v>0</v>
      </c>
      <c r="BA153" s="15"/>
      <c r="BB153" s="44"/>
      <c r="BC153" s="15"/>
      <c r="BD153" s="44"/>
      <c r="BE153" s="15">
        <f t="shared" si="11"/>
        <v>0</v>
      </c>
    </row>
    <row r="154" spans="1:57" s="8" customFormat="1" ht="22.5" customHeight="1">
      <c r="A154" s="9"/>
      <c r="B154" s="16" t="s">
        <v>172</v>
      </c>
      <c r="C154" s="89" t="s">
        <v>48</v>
      </c>
      <c r="D154" s="72" t="s">
        <v>256</v>
      </c>
      <c r="E154" s="13"/>
      <c r="F154" s="96"/>
      <c r="G154" s="9"/>
      <c r="H154" s="9" t="s">
        <v>67</v>
      </c>
      <c r="I154" s="14"/>
      <c r="J154" s="14"/>
      <c r="K154" s="12">
        <v>755</v>
      </c>
      <c r="L154" s="9"/>
      <c r="M154" s="9"/>
      <c r="N154" s="9"/>
      <c r="O154" s="38">
        <f t="shared" si="13"/>
        <v>755</v>
      </c>
      <c r="P154" s="12"/>
      <c r="Q154" s="42"/>
      <c r="R154" s="15"/>
      <c r="S154" s="44"/>
      <c r="T154" s="15"/>
      <c r="U154" s="44"/>
      <c r="V154" s="15">
        <f t="shared" si="14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5"/>
        <v>0</v>
      </c>
      <c r="AF154" s="101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2"/>
        <v>0</v>
      </c>
      <c r="BA154" s="15"/>
      <c r="BB154" s="44"/>
      <c r="BC154" s="15"/>
      <c r="BD154" s="44"/>
      <c r="BE154" s="15">
        <f t="shared" si="11"/>
        <v>0</v>
      </c>
    </row>
    <row r="155" spans="1:57" s="8" customFormat="1" ht="22.5" customHeight="1">
      <c r="A155" s="9"/>
      <c r="B155" s="16" t="s">
        <v>172</v>
      </c>
      <c r="C155" s="89" t="s">
        <v>48</v>
      </c>
      <c r="D155" s="78" t="s">
        <v>257</v>
      </c>
      <c r="E155" s="13"/>
      <c r="F155" s="96"/>
      <c r="G155" s="9"/>
      <c r="H155" s="9" t="s">
        <v>67</v>
      </c>
      <c r="I155" s="14"/>
      <c r="J155" s="14"/>
      <c r="K155" s="12">
        <v>98</v>
      </c>
      <c r="L155" s="9"/>
      <c r="M155" s="9"/>
      <c r="N155" s="9"/>
      <c r="O155" s="38">
        <f t="shared" si="13"/>
        <v>98</v>
      </c>
      <c r="P155" s="12"/>
      <c r="Q155" s="42"/>
      <c r="R155" s="15"/>
      <c r="S155" s="44"/>
      <c r="T155" s="15"/>
      <c r="U155" s="44"/>
      <c r="V155" s="15">
        <f t="shared" si="14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5"/>
        <v>0</v>
      </c>
      <c r="AF155" s="101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2"/>
        <v>0</v>
      </c>
      <c r="BA155" s="15"/>
      <c r="BB155" s="44"/>
      <c r="BC155" s="15"/>
      <c r="BD155" s="44"/>
      <c r="BE155" s="15">
        <f t="shared" si="11"/>
        <v>0</v>
      </c>
    </row>
    <row r="156" spans="1:57" s="8" customFormat="1" ht="22.5" customHeight="1">
      <c r="A156" s="9"/>
      <c r="B156" s="16" t="s">
        <v>172</v>
      </c>
      <c r="C156" s="89" t="s">
        <v>48</v>
      </c>
      <c r="D156" s="78" t="s">
        <v>258</v>
      </c>
      <c r="E156" s="13"/>
      <c r="F156" s="96"/>
      <c r="G156" s="9"/>
      <c r="H156" s="9" t="s">
        <v>67</v>
      </c>
      <c r="I156" s="14"/>
      <c r="J156" s="14"/>
      <c r="K156" s="12">
        <v>200</v>
      </c>
      <c r="L156" s="9"/>
      <c r="M156" s="9"/>
      <c r="N156" s="9"/>
      <c r="O156" s="38">
        <f t="shared" si="13"/>
        <v>200</v>
      </c>
      <c r="P156" s="12"/>
      <c r="Q156" s="42"/>
      <c r="R156" s="15"/>
      <c r="S156" s="44"/>
      <c r="T156" s="15"/>
      <c r="U156" s="44"/>
      <c r="V156" s="15">
        <f t="shared" si="14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5"/>
        <v>0</v>
      </c>
      <c r="AF156" s="101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2"/>
        <v>0</v>
      </c>
      <c r="BA156" s="15"/>
      <c r="BB156" s="44"/>
      <c r="BC156" s="15"/>
      <c r="BD156" s="44"/>
      <c r="BE156" s="15">
        <f t="shared" si="11"/>
        <v>0</v>
      </c>
    </row>
    <row r="157" spans="1:57" s="8" customFormat="1" ht="22.5" customHeight="1">
      <c r="A157" s="9"/>
      <c r="B157" s="16" t="s">
        <v>172</v>
      </c>
      <c r="C157" s="89" t="s">
        <v>48</v>
      </c>
      <c r="D157" s="78" t="s">
        <v>259</v>
      </c>
      <c r="E157" s="13"/>
      <c r="F157" s="96"/>
      <c r="G157" s="9"/>
      <c r="H157" s="9" t="s">
        <v>67</v>
      </c>
      <c r="I157" s="14"/>
      <c r="J157" s="14"/>
      <c r="K157" s="12">
        <v>189</v>
      </c>
      <c r="L157" s="9"/>
      <c r="M157" s="9"/>
      <c r="N157" s="9"/>
      <c r="O157" s="38">
        <f t="shared" si="13"/>
        <v>189</v>
      </c>
      <c r="P157" s="12"/>
      <c r="Q157" s="42"/>
      <c r="R157" s="15"/>
      <c r="S157" s="44"/>
      <c r="T157" s="15"/>
      <c r="U157" s="44"/>
      <c r="V157" s="15">
        <f t="shared" si="14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5"/>
        <v>0</v>
      </c>
      <c r="AF157" s="101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2"/>
        <v>0</v>
      </c>
      <c r="BA157" s="15"/>
      <c r="BB157" s="44"/>
      <c r="BC157" s="15"/>
      <c r="BD157" s="44"/>
      <c r="BE157" s="15">
        <f t="shared" si="11"/>
        <v>0</v>
      </c>
    </row>
    <row r="158" spans="1:57" s="8" customFormat="1" ht="22.5" customHeight="1">
      <c r="A158" s="9"/>
      <c r="B158" s="16" t="s">
        <v>172</v>
      </c>
      <c r="C158" s="89" t="s">
        <v>48</v>
      </c>
      <c r="D158" s="78" t="s">
        <v>260</v>
      </c>
      <c r="E158" s="13"/>
      <c r="F158" s="96"/>
      <c r="G158" s="9"/>
      <c r="H158" s="9" t="s">
        <v>67</v>
      </c>
      <c r="I158" s="14"/>
      <c r="J158" s="14"/>
      <c r="K158" s="12">
        <v>656</v>
      </c>
      <c r="L158" s="9"/>
      <c r="M158" s="9"/>
      <c r="N158" s="9"/>
      <c r="O158" s="38">
        <f t="shared" si="13"/>
        <v>656</v>
      </c>
      <c r="P158" s="12"/>
      <c r="Q158" s="42"/>
      <c r="R158" s="15"/>
      <c r="S158" s="44"/>
      <c r="T158" s="15"/>
      <c r="U158" s="44"/>
      <c r="V158" s="15">
        <f t="shared" si="14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5"/>
        <v>0</v>
      </c>
      <c r="AF158" s="101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2"/>
        <v>0</v>
      </c>
      <c r="BA158" s="15"/>
      <c r="BB158" s="44"/>
      <c r="BC158" s="15"/>
      <c r="BD158" s="44"/>
      <c r="BE158" s="15">
        <f t="shared" si="11"/>
        <v>0</v>
      </c>
    </row>
    <row r="159" spans="1:57" s="8" customFormat="1" ht="22.5" customHeight="1">
      <c r="A159" s="9"/>
      <c r="B159" s="16" t="s">
        <v>172</v>
      </c>
      <c r="C159" s="89" t="s">
        <v>48</v>
      </c>
      <c r="D159" s="78" t="s">
        <v>261</v>
      </c>
      <c r="E159" s="13"/>
      <c r="F159" s="96"/>
      <c r="G159" s="9"/>
      <c r="H159" s="9" t="s">
        <v>67</v>
      </c>
      <c r="I159" s="14"/>
      <c r="J159" s="14"/>
      <c r="K159" s="12">
        <v>0</v>
      </c>
      <c r="L159" s="9"/>
      <c r="M159" s="9"/>
      <c r="N159" s="9"/>
      <c r="O159" s="38">
        <f t="shared" si="13"/>
        <v>0</v>
      </c>
      <c r="P159" s="12"/>
      <c r="Q159" s="42"/>
      <c r="R159" s="15"/>
      <c r="S159" s="44"/>
      <c r="T159" s="15"/>
      <c r="U159" s="44"/>
      <c r="V159" s="15">
        <f t="shared" si="14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5"/>
        <v>0</v>
      </c>
      <c r="AF159" s="101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2"/>
        <v>0</v>
      </c>
      <c r="BA159" s="15"/>
      <c r="BB159" s="44"/>
      <c r="BC159" s="15"/>
      <c r="BD159" s="44"/>
      <c r="BE159" s="15">
        <f t="shared" si="11"/>
        <v>0</v>
      </c>
    </row>
    <row r="160" spans="1:57" s="8" customFormat="1" ht="22.5" customHeight="1">
      <c r="A160" s="9"/>
      <c r="B160" s="16" t="s">
        <v>120</v>
      </c>
      <c r="C160" s="89" t="s">
        <v>48</v>
      </c>
      <c r="D160" s="68" t="s">
        <v>194</v>
      </c>
      <c r="E160" s="13" t="s">
        <v>262</v>
      </c>
      <c r="F160" s="96"/>
      <c r="G160" s="9"/>
      <c r="H160" s="9" t="s">
        <v>67</v>
      </c>
      <c r="I160" s="14"/>
      <c r="J160" s="14"/>
      <c r="K160" s="12">
        <v>215</v>
      </c>
      <c r="L160" s="9"/>
      <c r="M160" s="9"/>
      <c r="N160" s="9"/>
      <c r="O160" s="38">
        <f t="shared" si="13"/>
        <v>215</v>
      </c>
      <c r="P160" s="12"/>
      <c r="Q160" s="42"/>
      <c r="R160" s="15"/>
      <c r="S160" s="44"/>
      <c r="T160" s="15"/>
      <c r="U160" s="44"/>
      <c r="V160" s="15">
        <f t="shared" si="14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5"/>
        <v>0</v>
      </c>
      <c r="AF160" s="101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2"/>
        <v>0</v>
      </c>
      <c r="BA160" s="15"/>
      <c r="BB160" s="44"/>
      <c r="BC160" s="15"/>
      <c r="BD160" s="44"/>
      <c r="BE160" s="15">
        <f t="shared" si="11"/>
        <v>0</v>
      </c>
    </row>
    <row r="161" spans="1:57" s="8" customFormat="1" ht="22.5" customHeight="1">
      <c r="A161" s="9"/>
      <c r="B161" s="16" t="s">
        <v>120</v>
      </c>
      <c r="C161" s="89" t="s">
        <v>48</v>
      </c>
      <c r="D161" s="74" t="s">
        <v>263</v>
      </c>
      <c r="E161" s="13" t="s">
        <v>264</v>
      </c>
      <c r="F161" s="96"/>
      <c r="G161" s="9"/>
      <c r="H161" s="9" t="s">
        <v>67</v>
      </c>
      <c r="I161" s="14"/>
      <c r="J161" s="14"/>
      <c r="K161" s="12">
        <v>424</v>
      </c>
      <c r="L161" s="9"/>
      <c r="M161" s="9"/>
      <c r="N161" s="9"/>
      <c r="O161" s="38">
        <f t="shared" si="13"/>
        <v>424</v>
      </c>
      <c r="P161" s="12"/>
      <c r="Q161" s="42"/>
      <c r="R161" s="15"/>
      <c r="S161" s="44"/>
      <c r="T161" s="15"/>
      <c r="U161" s="44"/>
      <c r="V161" s="15">
        <f t="shared" si="14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5"/>
        <v>0</v>
      </c>
      <c r="AF161" s="101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2"/>
        <v>0</v>
      </c>
      <c r="BA161" s="15"/>
      <c r="BB161" s="44"/>
      <c r="BC161" s="15"/>
      <c r="BD161" s="44"/>
      <c r="BE161" s="15">
        <f t="shared" si="11"/>
        <v>0</v>
      </c>
    </row>
    <row r="162" spans="1:57" s="8" customFormat="1" ht="22.5" customHeight="1">
      <c r="A162" s="9"/>
      <c r="B162" s="16" t="s">
        <v>120</v>
      </c>
      <c r="C162" s="89" t="s">
        <v>48</v>
      </c>
      <c r="D162" s="74" t="s">
        <v>265</v>
      </c>
      <c r="E162" s="13" t="s">
        <v>266</v>
      </c>
      <c r="F162" s="96"/>
      <c r="G162" s="9"/>
      <c r="H162" s="9" t="s">
        <v>67</v>
      </c>
      <c r="I162" s="14"/>
      <c r="J162" s="14"/>
      <c r="K162" s="12">
        <v>374</v>
      </c>
      <c r="L162" s="9"/>
      <c r="M162" s="9"/>
      <c r="N162" s="9"/>
      <c r="O162" s="38">
        <f t="shared" si="13"/>
        <v>374</v>
      </c>
      <c r="P162" s="12"/>
      <c r="Q162" s="42"/>
      <c r="R162" s="15"/>
      <c r="S162" s="44"/>
      <c r="T162" s="15"/>
      <c r="U162" s="44"/>
      <c r="V162" s="15">
        <f t="shared" si="14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5"/>
        <v>0</v>
      </c>
      <c r="AF162" s="101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2"/>
        <v>0</v>
      </c>
      <c r="BA162" s="15"/>
      <c r="BB162" s="44"/>
      <c r="BC162" s="15"/>
      <c r="BD162" s="44"/>
      <c r="BE162" s="15">
        <f t="shared" ref="BE162:BE225" si="16">(BA162+BC162)</f>
        <v>0</v>
      </c>
    </row>
    <row r="163" spans="1:57" s="8" customFormat="1" ht="22.5" customHeight="1">
      <c r="A163" s="9"/>
      <c r="B163" s="16" t="s">
        <v>120</v>
      </c>
      <c r="C163" s="89" t="s">
        <v>48</v>
      </c>
      <c r="D163" s="74" t="s">
        <v>196</v>
      </c>
      <c r="E163" s="13" t="s">
        <v>267</v>
      </c>
      <c r="F163" s="96"/>
      <c r="G163" s="9"/>
      <c r="H163" s="9" t="s">
        <v>67</v>
      </c>
      <c r="I163" s="14"/>
      <c r="J163" s="14"/>
      <c r="K163" s="12">
        <v>0</v>
      </c>
      <c r="L163" s="9"/>
      <c r="M163" s="9"/>
      <c r="N163" s="9"/>
      <c r="O163" s="38">
        <f t="shared" si="13"/>
        <v>0</v>
      </c>
      <c r="P163" s="12"/>
      <c r="Q163" s="42"/>
      <c r="R163" s="15"/>
      <c r="S163" s="44"/>
      <c r="T163" s="15"/>
      <c r="U163" s="44"/>
      <c r="V163" s="15">
        <f t="shared" si="14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5"/>
        <v>0</v>
      </c>
      <c r="AF163" s="101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2"/>
        <v>0</v>
      </c>
      <c r="BA163" s="15"/>
      <c r="BB163" s="44"/>
      <c r="BC163" s="15"/>
      <c r="BD163" s="44"/>
      <c r="BE163" s="15">
        <f t="shared" si="16"/>
        <v>0</v>
      </c>
    </row>
    <row r="164" spans="1:57" s="8" customFormat="1" ht="22.5" customHeight="1">
      <c r="A164" s="9"/>
      <c r="B164" s="16" t="s">
        <v>120</v>
      </c>
      <c r="C164" s="89" t="s">
        <v>48</v>
      </c>
      <c r="D164" s="75" t="s">
        <v>198</v>
      </c>
      <c r="E164" s="10" t="s">
        <v>268</v>
      </c>
      <c r="F164" s="96"/>
      <c r="G164" s="9"/>
      <c r="H164" s="9" t="s">
        <v>67</v>
      </c>
      <c r="I164" s="14"/>
      <c r="J164" s="14"/>
      <c r="K164" s="12">
        <v>492</v>
      </c>
      <c r="L164" s="9"/>
      <c r="M164" s="9"/>
      <c r="N164" s="9"/>
      <c r="O164" s="38">
        <f t="shared" si="13"/>
        <v>492</v>
      </c>
      <c r="P164" s="12"/>
      <c r="Q164" s="42"/>
      <c r="R164" s="15"/>
      <c r="S164" s="44"/>
      <c r="T164" s="15"/>
      <c r="U164" s="44"/>
      <c r="V164" s="15">
        <f t="shared" si="14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5"/>
        <v>0</v>
      </c>
      <c r="AF164" s="101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2"/>
        <v>0</v>
      </c>
      <c r="BA164" s="15"/>
      <c r="BB164" s="44"/>
      <c r="BC164" s="15"/>
      <c r="BD164" s="44"/>
      <c r="BE164" s="15">
        <f t="shared" si="16"/>
        <v>0</v>
      </c>
    </row>
    <row r="165" spans="1:57" s="8" customFormat="1" ht="22.5" customHeight="1">
      <c r="A165" s="9"/>
      <c r="B165" s="16" t="s">
        <v>120</v>
      </c>
      <c r="C165" s="89" t="s">
        <v>48</v>
      </c>
      <c r="D165" s="76" t="s">
        <v>200</v>
      </c>
      <c r="E165" s="13" t="s">
        <v>269</v>
      </c>
      <c r="F165" s="96"/>
      <c r="G165" s="9"/>
      <c r="H165" s="9" t="s">
        <v>67</v>
      </c>
      <c r="I165" s="14"/>
      <c r="J165" s="14"/>
      <c r="K165" s="12">
        <v>300</v>
      </c>
      <c r="L165" s="9"/>
      <c r="M165" s="9"/>
      <c r="N165" s="9"/>
      <c r="O165" s="38">
        <f t="shared" si="13"/>
        <v>300</v>
      </c>
      <c r="P165" s="12"/>
      <c r="Q165" s="42"/>
      <c r="R165" s="15"/>
      <c r="S165" s="44"/>
      <c r="T165" s="15"/>
      <c r="U165" s="44"/>
      <c r="V165" s="15">
        <f t="shared" si="14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5"/>
        <v>0</v>
      </c>
      <c r="AF165" s="101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ref="AZ165:AZ228" si="17">AF165+AH165+AJ165+AL165+AN165+AP165+AR165+AT165+AV165+AX165</f>
        <v>0</v>
      </c>
      <c r="BA165" s="15"/>
      <c r="BB165" s="44"/>
      <c r="BC165" s="15"/>
      <c r="BD165" s="44"/>
      <c r="BE165" s="15">
        <f t="shared" si="16"/>
        <v>0</v>
      </c>
    </row>
    <row r="166" spans="1:57" s="8" customFormat="1" ht="22.5" customHeight="1">
      <c r="A166" s="9"/>
      <c r="B166" s="16" t="s">
        <v>120</v>
      </c>
      <c r="C166" s="89" t="s">
        <v>48</v>
      </c>
      <c r="D166" s="77" t="s">
        <v>270</v>
      </c>
      <c r="E166" s="13" t="s">
        <v>271</v>
      </c>
      <c r="F166" s="96"/>
      <c r="G166" s="9"/>
      <c r="H166" s="9" t="s">
        <v>67</v>
      </c>
      <c r="I166" s="14"/>
      <c r="J166" s="14"/>
      <c r="K166" s="12">
        <v>356</v>
      </c>
      <c r="L166" s="9"/>
      <c r="M166" s="9"/>
      <c r="N166" s="9"/>
      <c r="O166" s="38">
        <f t="shared" si="13"/>
        <v>356</v>
      </c>
      <c r="P166" s="12"/>
      <c r="Q166" s="42"/>
      <c r="R166" s="15"/>
      <c r="S166" s="44"/>
      <c r="T166" s="15"/>
      <c r="U166" s="44"/>
      <c r="V166" s="15">
        <f t="shared" si="14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5"/>
        <v>0</v>
      </c>
      <c r="AF166" s="101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7"/>
        <v>0</v>
      </c>
      <c r="BA166" s="15"/>
      <c r="BB166" s="44"/>
      <c r="BC166" s="15"/>
      <c r="BD166" s="44"/>
      <c r="BE166" s="15">
        <f t="shared" si="16"/>
        <v>0</v>
      </c>
    </row>
    <row r="167" spans="1:57" s="8" customFormat="1" ht="22.5" customHeight="1">
      <c r="A167" s="9"/>
      <c r="B167" s="16" t="s">
        <v>120</v>
      </c>
      <c r="C167" s="89" t="s">
        <v>48</v>
      </c>
      <c r="D167" s="72" t="s">
        <v>272</v>
      </c>
      <c r="E167" s="13" t="s">
        <v>273</v>
      </c>
      <c r="F167" s="96"/>
      <c r="G167" s="9"/>
      <c r="H167" s="9" t="s">
        <v>67</v>
      </c>
      <c r="I167" s="14"/>
      <c r="J167" s="14"/>
      <c r="K167" s="12">
        <v>431</v>
      </c>
      <c r="L167" s="9"/>
      <c r="M167" s="9"/>
      <c r="N167" s="9"/>
      <c r="O167" s="38">
        <f t="shared" si="13"/>
        <v>431</v>
      </c>
      <c r="P167" s="12"/>
      <c r="Q167" s="42"/>
      <c r="R167" s="15"/>
      <c r="S167" s="44"/>
      <c r="T167" s="15"/>
      <c r="U167" s="44"/>
      <c r="V167" s="15">
        <f t="shared" si="14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5"/>
        <v>0</v>
      </c>
      <c r="AF167" s="101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7"/>
        <v>0</v>
      </c>
      <c r="BA167" s="15"/>
      <c r="BB167" s="44"/>
      <c r="BC167" s="15"/>
      <c r="BD167" s="44"/>
      <c r="BE167" s="15">
        <f t="shared" si="16"/>
        <v>0</v>
      </c>
    </row>
    <row r="168" spans="1:57" s="8" customFormat="1" ht="22.5" customHeight="1">
      <c r="A168" s="9"/>
      <c r="B168" s="16" t="s">
        <v>120</v>
      </c>
      <c r="C168" s="89" t="s">
        <v>48</v>
      </c>
      <c r="D168" s="72" t="s">
        <v>274</v>
      </c>
      <c r="E168" s="13" t="s">
        <v>275</v>
      </c>
      <c r="F168" s="96"/>
      <c r="G168" s="9"/>
      <c r="H168" s="9" t="s">
        <v>67</v>
      </c>
      <c r="I168" s="14"/>
      <c r="J168" s="14"/>
      <c r="K168" s="12">
        <v>277</v>
      </c>
      <c r="L168" s="9"/>
      <c r="M168" s="9"/>
      <c r="N168" s="9"/>
      <c r="O168" s="38">
        <f t="shared" si="13"/>
        <v>277</v>
      </c>
      <c r="P168" s="12"/>
      <c r="Q168" s="42"/>
      <c r="R168" s="15"/>
      <c r="S168" s="44"/>
      <c r="T168" s="15"/>
      <c r="U168" s="44"/>
      <c r="V168" s="15">
        <f t="shared" si="14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5"/>
        <v>0</v>
      </c>
      <c r="AF168" s="101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7"/>
        <v>0</v>
      </c>
      <c r="BA168" s="15"/>
      <c r="BB168" s="44"/>
      <c r="BC168" s="15"/>
      <c r="BD168" s="44"/>
      <c r="BE168" s="15">
        <f t="shared" si="16"/>
        <v>0</v>
      </c>
    </row>
    <row r="169" spans="1:57" s="8" customFormat="1" ht="22.5" customHeight="1">
      <c r="A169" s="9"/>
      <c r="B169" s="16" t="s">
        <v>187</v>
      </c>
      <c r="C169" s="89" t="s">
        <v>48</v>
      </c>
      <c r="D169" s="69" t="s">
        <v>276</v>
      </c>
      <c r="E169" s="13" t="s">
        <v>277</v>
      </c>
      <c r="F169" s="96"/>
      <c r="G169" s="9"/>
      <c r="H169" s="9" t="s">
        <v>67</v>
      </c>
      <c r="I169" s="14"/>
      <c r="J169" s="14"/>
      <c r="K169" s="12">
        <v>0</v>
      </c>
      <c r="L169" s="9"/>
      <c r="M169" s="9"/>
      <c r="N169" s="9"/>
      <c r="O169" s="38">
        <f t="shared" si="13"/>
        <v>0</v>
      </c>
      <c r="P169" s="12"/>
      <c r="Q169" s="42"/>
      <c r="R169" s="15"/>
      <c r="S169" s="44"/>
      <c r="T169" s="15"/>
      <c r="U169" s="44"/>
      <c r="V169" s="15">
        <f t="shared" si="14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5"/>
        <v>0</v>
      </c>
      <c r="AF169" s="101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7"/>
        <v>0</v>
      </c>
      <c r="BA169" s="15"/>
      <c r="BB169" s="44"/>
      <c r="BC169" s="15"/>
      <c r="BD169" s="44"/>
      <c r="BE169" s="15">
        <f t="shared" si="16"/>
        <v>0</v>
      </c>
    </row>
    <row r="170" spans="1:57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303</v>
      </c>
      <c r="L170" s="9"/>
      <c r="M170" s="9"/>
      <c r="N170" s="9"/>
      <c r="O170" s="38">
        <f t="shared" si="13"/>
        <v>303</v>
      </c>
      <c r="P170" s="12"/>
      <c r="Q170" s="42"/>
      <c r="R170" s="15"/>
      <c r="S170" s="44"/>
      <c r="T170" s="15"/>
      <c r="U170" s="44"/>
      <c r="V170" s="15">
        <f t="shared" si="14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5"/>
        <v>0</v>
      </c>
      <c r="AF170" s="101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7"/>
        <v>0</v>
      </c>
      <c r="BA170" s="15"/>
      <c r="BB170" s="44"/>
      <c r="BC170" s="15"/>
      <c r="BD170" s="44"/>
      <c r="BE170" s="15">
        <f t="shared" si="16"/>
        <v>0</v>
      </c>
    </row>
    <row r="171" spans="1:57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s="13" t="s">
        <v>281</v>
      </c>
      <c r="F171" s="96"/>
      <c r="G171" s="9"/>
      <c r="H171" s="9" t="s">
        <v>207</v>
      </c>
      <c r="I171" s="14"/>
      <c r="J171" s="14"/>
      <c r="K171" s="12">
        <v>0</v>
      </c>
      <c r="L171" s="9"/>
      <c r="M171" s="9"/>
      <c r="N171" s="9"/>
      <c r="O171" s="38">
        <f t="shared" si="13"/>
        <v>0</v>
      </c>
      <c r="P171" s="12"/>
      <c r="Q171" s="42"/>
      <c r="R171" s="15"/>
      <c r="S171" s="44"/>
      <c r="T171" s="15"/>
      <c r="U171" s="44"/>
      <c r="V171" s="15">
        <f t="shared" si="14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5"/>
        <v>0</v>
      </c>
      <c r="AF171" s="101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7"/>
        <v>0</v>
      </c>
      <c r="BA171" s="15"/>
      <c r="BB171" s="44"/>
      <c r="BC171" s="15"/>
      <c r="BD171" s="44"/>
      <c r="BE171" s="15">
        <f t="shared" si="16"/>
        <v>0</v>
      </c>
    </row>
    <row r="172" spans="1:57" s="8" customFormat="1" ht="22.5" customHeight="1">
      <c r="A172" s="9"/>
      <c r="B172" s="16" t="s">
        <v>204</v>
      </c>
      <c r="C172" s="89" t="s">
        <v>48</v>
      </c>
      <c r="D172" s="70" t="s">
        <v>282</v>
      </c>
      <c r="E172" s="13" t="s">
        <v>206</v>
      </c>
      <c r="F172" s="96"/>
      <c r="G172" s="9"/>
      <c r="H172" s="9" t="s">
        <v>207</v>
      </c>
      <c r="I172" s="14"/>
      <c r="J172" s="14"/>
      <c r="K172" s="12">
        <v>0</v>
      </c>
      <c r="L172" s="9"/>
      <c r="M172" s="9"/>
      <c r="N172" s="9"/>
      <c r="O172" s="38">
        <f t="shared" si="13"/>
        <v>0</v>
      </c>
      <c r="P172" s="12"/>
      <c r="Q172" s="42"/>
      <c r="R172" s="15"/>
      <c r="S172" s="44"/>
      <c r="T172" s="15"/>
      <c r="U172" s="44"/>
      <c r="V172" s="15">
        <f t="shared" si="14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5"/>
        <v>0</v>
      </c>
      <c r="AF172" s="101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7"/>
        <v>0</v>
      </c>
      <c r="BA172" s="15"/>
      <c r="BB172" s="44"/>
      <c r="BC172" s="15"/>
      <c r="BD172" s="44"/>
      <c r="BE172" s="15">
        <f t="shared" si="16"/>
        <v>0</v>
      </c>
    </row>
    <row r="173" spans="1:57" s="8" customFormat="1" ht="22.5" customHeight="1">
      <c r="A173" s="9"/>
      <c r="B173" s="16" t="s">
        <v>204</v>
      </c>
      <c r="C173" s="89" t="s">
        <v>48</v>
      </c>
      <c r="D173" s="69" t="s">
        <v>216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324</v>
      </c>
      <c r="L173" s="9"/>
      <c r="M173" s="9"/>
      <c r="N173" s="9"/>
      <c r="O173" s="38">
        <f t="shared" si="13"/>
        <v>324</v>
      </c>
      <c r="P173" s="12"/>
      <c r="Q173" s="42"/>
      <c r="R173" s="15"/>
      <c r="S173" s="44"/>
      <c r="T173" s="15"/>
      <c r="U173" s="44"/>
      <c r="V173" s="15">
        <f t="shared" si="14"/>
        <v>0</v>
      </c>
      <c r="W173" s="15"/>
      <c r="X173" s="44"/>
      <c r="Y173" s="15"/>
      <c r="Z173" s="44"/>
      <c r="AA173" s="15"/>
      <c r="AB173" s="44"/>
      <c r="AC173" s="15"/>
      <c r="AD173" s="44"/>
      <c r="AE173" s="15">
        <f t="shared" si="15"/>
        <v>0</v>
      </c>
      <c r="AF173" s="101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7"/>
        <v>0</v>
      </c>
      <c r="BA173" s="15"/>
      <c r="BB173" s="44"/>
      <c r="BC173" s="15"/>
      <c r="BD173" s="44"/>
      <c r="BE173" s="15">
        <f t="shared" si="16"/>
        <v>0</v>
      </c>
    </row>
    <row r="174" spans="1:57" s="8" customFormat="1" ht="22.5" customHeight="1">
      <c r="A174" s="9"/>
      <c r="B174" s="16" t="s">
        <v>204</v>
      </c>
      <c r="C174" s="89" t="s">
        <v>48</v>
      </c>
      <c r="D174" s="70" t="s">
        <v>283</v>
      </c>
      <c r="E174" s="13" t="s">
        <v>206</v>
      </c>
      <c r="F174" s="96"/>
      <c r="G174" s="9"/>
      <c r="H174" s="9" t="s">
        <v>207</v>
      </c>
      <c r="I174" s="14"/>
      <c r="J174" s="14"/>
      <c r="K174" s="12">
        <v>259</v>
      </c>
      <c r="L174" s="9"/>
      <c r="M174" s="9"/>
      <c r="N174" s="9"/>
      <c r="O174" s="38">
        <f t="shared" si="13"/>
        <v>259</v>
      </c>
      <c r="P174" s="12"/>
      <c r="Q174" s="42"/>
      <c r="R174" s="15"/>
      <c r="S174" s="44"/>
      <c r="T174" s="15"/>
      <c r="U174" s="44"/>
      <c r="V174" s="15">
        <f t="shared" si="14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5"/>
        <v>0</v>
      </c>
      <c r="AF174" s="101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7"/>
        <v>0</v>
      </c>
      <c r="BA174" s="15"/>
      <c r="BB174" s="44"/>
      <c r="BC174" s="15"/>
      <c r="BD174" s="44"/>
      <c r="BE174" s="15">
        <f t="shared" si="16"/>
        <v>0</v>
      </c>
    </row>
    <row r="175" spans="1:57" s="8" customFormat="1" ht="22.5" customHeight="1">
      <c r="A175" s="9"/>
      <c r="B175" s="16" t="s">
        <v>204</v>
      </c>
      <c r="C175" s="89" t="s">
        <v>48</v>
      </c>
      <c r="D175" s="69" t="s">
        <v>284</v>
      </c>
      <c r="E175" s="13" t="s">
        <v>237</v>
      </c>
      <c r="F175" s="96"/>
      <c r="G175" s="9"/>
      <c r="H175" s="9" t="s">
        <v>207</v>
      </c>
      <c r="I175" s="14"/>
      <c r="J175" s="14"/>
      <c r="K175" s="12">
        <v>156</v>
      </c>
      <c r="L175" s="9"/>
      <c r="M175" s="9"/>
      <c r="N175" s="9"/>
      <c r="O175" s="38">
        <f t="shared" si="13"/>
        <v>156</v>
      </c>
      <c r="P175" s="12"/>
      <c r="Q175" s="42"/>
      <c r="R175" s="15"/>
      <c r="S175" s="44"/>
      <c r="T175" s="15"/>
      <c r="U175" s="44"/>
      <c r="V175" s="15">
        <f t="shared" si="14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5"/>
        <v>0</v>
      </c>
      <c r="AF175" s="101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7"/>
        <v>0</v>
      </c>
      <c r="BA175" s="15"/>
      <c r="BB175" s="44"/>
      <c r="BC175" s="15"/>
      <c r="BD175" s="44"/>
      <c r="BE175" s="15">
        <f t="shared" si="16"/>
        <v>0</v>
      </c>
    </row>
    <row r="176" spans="1:57" s="8" customFormat="1" ht="22.5" customHeight="1">
      <c r="A176" s="9"/>
      <c r="B176" s="16" t="s">
        <v>204</v>
      </c>
      <c r="C176" s="89" t="s">
        <v>48</v>
      </c>
      <c r="D176" s="70" t="s">
        <v>285</v>
      </c>
      <c r="E176" s="13" t="s">
        <v>279</v>
      </c>
      <c r="F176" s="96"/>
      <c r="G176" s="9"/>
      <c r="H176" s="9" t="s">
        <v>207</v>
      </c>
      <c r="I176" s="14"/>
      <c r="J176" s="14"/>
      <c r="K176" s="12">
        <v>69</v>
      </c>
      <c r="L176" s="9"/>
      <c r="M176" s="9"/>
      <c r="N176" s="9"/>
      <c r="O176" s="38">
        <f t="shared" si="13"/>
        <v>69</v>
      </c>
      <c r="P176" s="12"/>
      <c r="Q176" s="42"/>
      <c r="R176" s="15"/>
      <c r="S176" s="44"/>
      <c r="T176" s="15"/>
      <c r="U176" s="44"/>
      <c r="V176" s="15">
        <f t="shared" si="14"/>
        <v>0</v>
      </c>
      <c r="W176" s="15"/>
      <c r="X176" s="44"/>
      <c r="Y176" s="15"/>
      <c r="Z176" s="44"/>
      <c r="AA176" s="24"/>
      <c r="AB176" s="44"/>
      <c r="AC176" s="24"/>
      <c r="AD176" s="44"/>
      <c r="AE176" s="15">
        <f t="shared" si="15"/>
        <v>0</v>
      </c>
      <c r="AF176" s="101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7"/>
        <v>0</v>
      </c>
      <c r="BA176" s="15"/>
      <c r="BB176" s="44"/>
      <c r="BC176" s="15"/>
      <c r="BD176" s="44"/>
      <c r="BE176" s="15">
        <f t="shared" si="16"/>
        <v>0</v>
      </c>
    </row>
    <row r="177" spans="1:57" s="8" customFormat="1" ht="22.5" customHeight="1">
      <c r="A177" s="9"/>
      <c r="B177" s="16" t="s">
        <v>204</v>
      </c>
      <c r="C177" s="89" t="s">
        <v>48</v>
      </c>
      <c r="D177" s="69" t="s">
        <v>286</v>
      </c>
      <c r="E177" s="13" t="s">
        <v>287</v>
      </c>
      <c r="F177" s="96"/>
      <c r="G177" s="9"/>
      <c r="H177" s="9" t="s">
        <v>207</v>
      </c>
      <c r="I177" s="14"/>
      <c r="J177" s="14"/>
      <c r="K177" s="12">
        <v>29</v>
      </c>
      <c r="L177" s="9"/>
      <c r="M177" s="9"/>
      <c r="N177" s="9"/>
      <c r="O177" s="38">
        <f t="shared" si="13"/>
        <v>29</v>
      </c>
      <c r="P177" s="12"/>
      <c r="Q177" s="42"/>
      <c r="R177" s="15"/>
      <c r="S177" s="44"/>
      <c r="T177" s="15"/>
      <c r="U177" s="44"/>
      <c r="V177" s="15">
        <f t="shared" si="14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5"/>
        <v>0</v>
      </c>
      <c r="AF177" s="101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7"/>
        <v>0</v>
      </c>
      <c r="BA177" s="15"/>
      <c r="BB177" s="44"/>
      <c r="BC177" s="15"/>
      <c r="BD177" s="44"/>
      <c r="BE177" s="15">
        <f t="shared" si="16"/>
        <v>0</v>
      </c>
    </row>
    <row r="178" spans="1:57" s="8" customFormat="1" ht="22.5" customHeight="1">
      <c r="A178" s="9"/>
      <c r="B178" s="16" t="s">
        <v>204</v>
      </c>
      <c r="C178" s="89" t="s">
        <v>48</v>
      </c>
      <c r="D178" s="70" t="s">
        <v>288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207</v>
      </c>
      <c r="L178" s="9"/>
      <c r="M178" s="9"/>
      <c r="N178" s="9"/>
      <c r="O178" s="38">
        <f t="shared" si="13"/>
        <v>207</v>
      </c>
      <c r="P178" s="12"/>
      <c r="Q178" s="42"/>
      <c r="R178" s="12"/>
      <c r="S178" s="42"/>
      <c r="T178" s="15"/>
      <c r="U178" s="44"/>
      <c r="V178" s="15">
        <f t="shared" si="14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5"/>
        <v>0</v>
      </c>
      <c r="AF178" s="101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7"/>
        <v>0</v>
      </c>
      <c r="BA178" s="15"/>
      <c r="BB178" s="44"/>
      <c r="BC178" s="15"/>
      <c r="BD178" s="44"/>
      <c r="BE178" s="15">
        <f t="shared" si="16"/>
        <v>0</v>
      </c>
    </row>
    <row r="179" spans="1:57" s="8" customFormat="1" ht="22.5" customHeight="1">
      <c r="A179" s="9"/>
      <c r="B179" s="16" t="s">
        <v>204</v>
      </c>
      <c r="C179" s="89" t="s">
        <v>48</v>
      </c>
      <c r="D179" s="71" t="s">
        <v>289</v>
      </c>
      <c r="E179" s="13" t="s">
        <v>290</v>
      </c>
      <c r="F179" s="96"/>
      <c r="G179" s="9"/>
      <c r="H179" s="9" t="s">
        <v>207</v>
      </c>
      <c r="I179" s="14"/>
      <c r="J179" s="14"/>
      <c r="K179" s="12">
        <v>165</v>
      </c>
      <c r="L179" s="9"/>
      <c r="M179" s="9"/>
      <c r="N179" s="9"/>
      <c r="O179" s="38">
        <f t="shared" si="13"/>
        <v>165</v>
      </c>
      <c r="P179" s="12"/>
      <c r="Q179" s="42"/>
      <c r="R179" s="15"/>
      <c r="S179" s="44"/>
      <c r="T179" s="15"/>
      <c r="U179" s="44"/>
      <c r="V179" s="15">
        <f t="shared" si="14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5"/>
        <v>0</v>
      </c>
      <c r="AF179" s="101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7"/>
        <v>0</v>
      </c>
      <c r="BA179" s="15"/>
      <c r="BB179" s="44"/>
      <c r="BC179" s="15"/>
      <c r="BD179" s="44"/>
      <c r="BE179" s="15">
        <f t="shared" si="16"/>
        <v>0</v>
      </c>
    </row>
    <row r="180" spans="1:57" s="8" customFormat="1" ht="22.5" customHeight="1">
      <c r="A180" s="9"/>
      <c r="B180" s="16" t="s">
        <v>204</v>
      </c>
      <c r="C180" s="89" t="s">
        <v>48</v>
      </c>
      <c r="D180" s="71" t="s">
        <v>291</v>
      </c>
      <c r="E180" s="13" t="s">
        <v>281</v>
      </c>
      <c r="F180" s="96"/>
      <c r="G180" s="9"/>
      <c r="H180" s="9" t="s">
        <v>207</v>
      </c>
      <c r="I180" s="14"/>
      <c r="J180" s="14"/>
      <c r="K180" s="12">
        <v>248</v>
      </c>
      <c r="L180" s="9"/>
      <c r="M180" s="9"/>
      <c r="N180" s="9"/>
      <c r="O180" s="38">
        <f t="shared" si="13"/>
        <v>248</v>
      </c>
      <c r="P180" s="12"/>
      <c r="Q180" s="42"/>
      <c r="R180" s="15"/>
      <c r="S180" s="44"/>
      <c r="T180" s="15"/>
      <c r="U180" s="44"/>
      <c r="V180" s="15">
        <f t="shared" si="14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5"/>
        <v>0</v>
      </c>
      <c r="AF180" s="101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7"/>
        <v>0</v>
      </c>
      <c r="BA180" s="15"/>
      <c r="BB180" s="44"/>
      <c r="BC180" s="15"/>
      <c r="BD180" s="44"/>
      <c r="BE180" s="15">
        <f t="shared" si="16"/>
        <v>0</v>
      </c>
    </row>
    <row r="181" spans="1:57" s="8" customFormat="1" ht="22.5" customHeight="1">
      <c r="A181" s="9"/>
      <c r="B181" s="16" t="s">
        <v>204</v>
      </c>
      <c r="C181" s="89" t="s">
        <v>48</v>
      </c>
      <c r="D181" s="71" t="s">
        <v>292</v>
      </c>
      <c r="E181" s="13" t="s">
        <v>281</v>
      </c>
      <c r="F181" s="96"/>
      <c r="G181" s="9"/>
      <c r="H181" s="9" t="s">
        <v>207</v>
      </c>
      <c r="I181" s="14"/>
      <c r="J181" s="14"/>
      <c r="K181" s="12">
        <v>295</v>
      </c>
      <c r="L181" s="9"/>
      <c r="M181" s="9"/>
      <c r="N181" s="9"/>
      <c r="O181" s="38">
        <f t="shared" si="13"/>
        <v>295</v>
      </c>
      <c r="P181" s="12"/>
      <c r="Q181" s="42"/>
      <c r="R181" s="15"/>
      <c r="S181" s="44"/>
      <c r="T181" s="15"/>
      <c r="U181" s="44"/>
      <c r="V181" s="15">
        <f t="shared" si="14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5"/>
        <v>0</v>
      </c>
      <c r="AF181" s="101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7"/>
        <v>0</v>
      </c>
      <c r="BA181" s="15"/>
      <c r="BB181" s="44"/>
      <c r="BC181" s="15"/>
      <c r="BD181" s="44"/>
      <c r="BE181" s="15">
        <f t="shared" si="16"/>
        <v>0</v>
      </c>
    </row>
    <row r="182" spans="1:57" s="8" customFormat="1" ht="22.5" customHeight="1">
      <c r="A182" s="9"/>
      <c r="B182" s="16" t="s">
        <v>204</v>
      </c>
      <c r="C182" s="89" t="s">
        <v>48</v>
      </c>
      <c r="D182" s="71" t="s">
        <v>293</v>
      </c>
      <c r="E182" s="13" t="s">
        <v>206</v>
      </c>
      <c r="F182" s="96"/>
      <c r="G182" s="9"/>
      <c r="H182" s="9" t="s">
        <v>207</v>
      </c>
      <c r="I182" s="14"/>
      <c r="J182" s="14"/>
      <c r="K182" s="12">
        <v>260</v>
      </c>
      <c r="L182" s="9"/>
      <c r="M182" s="9"/>
      <c r="N182" s="9"/>
      <c r="O182" s="38">
        <f t="shared" si="13"/>
        <v>260</v>
      </c>
      <c r="P182" s="12"/>
      <c r="Q182" s="42"/>
      <c r="R182" s="15"/>
      <c r="S182" s="44"/>
      <c r="T182" s="15"/>
      <c r="U182" s="44"/>
      <c r="V182" s="15">
        <f t="shared" si="14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5"/>
        <v>0</v>
      </c>
      <c r="AF182" s="101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7"/>
        <v>0</v>
      </c>
      <c r="BA182" s="15"/>
      <c r="BB182" s="44"/>
      <c r="BC182" s="15"/>
      <c r="BD182" s="44"/>
      <c r="BE182" s="15">
        <f t="shared" si="16"/>
        <v>0</v>
      </c>
    </row>
    <row r="183" spans="1:57" s="8" customFormat="1" ht="22.5" customHeight="1">
      <c r="A183" s="9"/>
      <c r="B183" s="16" t="s">
        <v>204</v>
      </c>
      <c r="C183" s="89" t="s">
        <v>48</v>
      </c>
      <c r="D183" s="69" t="s">
        <v>294</v>
      </c>
      <c r="E183" s="13" t="s">
        <v>206</v>
      </c>
      <c r="F183" s="96"/>
      <c r="G183" s="9"/>
      <c r="H183" s="9" t="s">
        <v>207</v>
      </c>
      <c r="I183" s="14"/>
      <c r="J183" s="14"/>
      <c r="K183" s="12">
        <v>420</v>
      </c>
      <c r="L183" s="9"/>
      <c r="M183" s="9"/>
      <c r="N183" s="9"/>
      <c r="O183" s="38">
        <f t="shared" si="13"/>
        <v>420</v>
      </c>
      <c r="P183" s="12"/>
      <c r="Q183" s="42"/>
      <c r="R183" s="15"/>
      <c r="S183" s="44"/>
      <c r="T183" s="15"/>
      <c r="U183" s="44"/>
      <c r="V183" s="15">
        <f t="shared" si="14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5"/>
        <v>0</v>
      </c>
      <c r="AF183" s="101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7"/>
        <v>0</v>
      </c>
      <c r="BA183" s="15"/>
      <c r="BB183" s="44"/>
      <c r="BC183" s="15"/>
      <c r="BD183" s="44"/>
      <c r="BE183" s="15">
        <f t="shared" si="16"/>
        <v>0</v>
      </c>
    </row>
    <row r="184" spans="1:57" s="8" customFormat="1" ht="22.5" customHeight="1">
      <c r="A184" s="9"/>
      <c r="B184" s="16" t="s">
        <v>204</v>
      </c>
      <c r="C184" s="89" t="s">
        <v>48</v>
      </c>
      <c r="D184" s="72" t="s">
        <v>295</v>
      </c>
      <c r="E184" s="13" t="s">
        <v>279</v>
      </c>
      <c r="F184" s="96"/>
      <c r="G184" s="9"/>
      <c r="H184" s="9" t="s">
        <v>207</v>
      </c>
      <c r="I184" s="14"/>
      <c r="J184" s="14"/>
      <c r="K184" s="12">
        <v>80</v>
      </c>
      <c r="L184" s="9"/>
      <c r="M184" s="9"/>
      <c r="N184" s="9"/>
      <c r="O184" s="38">
        <f t="shared" si="13"/>
        <v>80</v>
      </c>
      <c r="P184" s="12"/>
      <c r="Q184" s="42"/>
      <c r="R184" s="15"/>
      <c r="S184" s="44"/>
      <c r="T184" s="15"/>
      <c r="U184" s="44"/>
      <c r="V184" s="15">
        <f t="shared" si="14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5"/>
        <v>0</v>
      </c>
      <c r="AF184" s="101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7"/>
        <v>0</v>
      </c>
      <c r="BA184" s="15"/>
      <c r="BB184" s="44"/>
      <c r="BC184" s="15"/>
      <c r="BD184" s="44"/>
      <c r="BE184" s="15">
        <f t="shared" si="16"/>
        <v>0</v>
      </c>
    </row>
    <row r="185" spans="1:57" s="8" customFormat="1" ht="22.5" customHeight="1">
      <c r="A185" s="9"/>
      <c r="B185" s="16" t="s">
        <v>204</v>
      </c>
      <c r="C185" s="89" t="s">
        <v>48</v>
      </c>
      <c r="D185" s="69" t="s">
        <v>296</v>
      </c>
      <c r="E185" s="13" t="s">
        <v>287</v>
      </c>
      <c r="F185" s="96"/>
      <c r="G185" s="9"/>
      <c r="H185" s="9" t="s">
        <v>207</v>
      </c>
      <c r="I185" s="14"/>
      <c r="J185" s="14"/>
      <c r="K185" s="12">
        <v>490</v>
      </c>
      <c r="L185" s="9"/>
      <c r="M185" s="9"/>
      <c r="N185" s="9"/>
      <c r="O185" s="38">
        <f t="shared" si="13"/>
        <v>490</v>
      </c>
      <c r="P185" s="12"/>
      <c r="Q185" s="42"/>
      <c r="R185" s="15"/>
      <c r="S185" s="44"/>
      <c r="T185" s="15"/>
      <c r="U185" s="44"/>
      <c r="V185" s="15">
        <f t="shared" si="14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5"/>
        <v>0</v>
      </c>
      <c r="AF185" s="101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7"/>
        <v>0</v>
      </c>
      <c r="BA185" s="15"/>
      <c r="BB185" s="44"/>
      <c r="BC185" s="15"/>
      <c r="BD185" s="44"/>
      <c r="BE185" s="15">
        <f t="shared" si="16"/>
        <v>0</v>
      </c>
    </row>
    <row r="186" spans="1:57" s="8" customFormat="1" ht="22.5" customHeight="1">
      <c r="A186" s="9"/>
      <c r="B186" s="16" t="s">
        <v>204</v>
      </c>
      <c r="C186" s="89" t="s">
        <v>48</v>
      </c>
      <c r="D186" s="69" t="s">
        <v>297</v>
      </c>
      <c r="E186" s="13" t="s">
        <v>281</v>
      </c>
      <c r="F186" s="96"/>
      <c r="G186" s="9"/>
      <c r="H186" s="9" t="s">
        <v>207</v>
      </c>
      <c r="I186" s="14"/>
      <c r="J186" s="14"/>
      <c r="K186" s="12">
        <v>433</v>
      </c>
      <c r="L186" s="9"/>
      <c r="M186" s="9"/>
      <c r="N186" s="9"/>
      <c r="O186" s="38">
        <f t="shared" si="13"/>
        <v>433</v>
      </c>
      <c r="P186" s="12"/>
      <c r="Q186" s="42"/>
      <c r="R186" s="12"/>
      <c r="S186" s="42"/>
      <c r="T186" s="15"/>
      <c r="U186" s="44"/>
      <c r="V186" s="15">
        <f t="shared" si="14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5"/>
        <v>0</v>
      </c>
      <c r="AF186" s="101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7"/>
        <v>0</v>
      </c>
      <c r="BA186" s="15"/>
      <c r="BB186" s="44"/>
      <c r="BC186" s="15"/>
      <c r="BD186" s="44"/>
      <c r="BE186" s="15">
        <f t="shared" si="16"/>
        <v>0</v>
      </c>
    </row>
    <row r="187" spans="1:57" s="8" customFormat="1" ht="22.5" customHeight="1">
      <c r="A187" s="9"/>
      <c r="B187" s="16" t="s">
        <v>204</v>
      </c>
      <c r="C187" s="89" t="s">
        <v>48</v>
      </c>
      <c r="D187" s="69" t="s">
        <v>298</v>
      </c>
      <c r="E187" s="13" t="s">
        <v>290</v>
      </c>
      <c r="F187" s="96"/>
      <c r="G187" s="9"/>
      <c r="H187" s="9" t="s">
        <v>207</v>
      </c>
      <c r="I187" s="14"/>
      <c r="J187" s="14"/>
      <c r="K187" s="12">
        <v>48</v>
      </c>
      <c r="L187" s="9"/>
      <c r="M187" s="9"/>
      <c r="N187" s="9"/>
      <c r="O187" s="38">
        <f t="shared" si="13"/>
        <v>48</v>
      </c>
      <c r="P187" s="12"/>
      <c r="Q187" s="42"/>
      <c r="R187" s="15"/>
      <c r="S187" s="44"/>
      <c r="T187" s="15"/>
      <c r="U187" s="44"/>
      <c r="V187" s="15">
        <f t="shared" si="14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5"/>
        <v>0</v>
      </c>
      <c r="AF187" s="101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7"/>
        <v>0</v>
      </c>
      <c r="BA187" s="15"/>
      <c r="BB187" s="44"/>
      <c r="BC187" s="15"/>
      <c r="BD187" s="44"/>
      <c r="BE187" s="15">
        <f t="shared" si="16"/>
        <v>0</v>
      </c>
    </row>
    <row r="188" spans="1:57" s="8" customFormat="1" ht="22.5" customHeight="1">
      <c r="A188" s="9"/>
      <c r="B188" s="16" t="s">
        <v>204</v>
      </c>
      <c r="C188" s="89" t="s">
        <v>48</v>
      </c>
      <c r="D188" s="73" t="s">
        <v>299</v>
      </c>
      <c r="E188" s="13" t="s">
        <v>281</v>
      </c>
      <c r="F188" s="96"/>
      <c r="G188" s="9"/>
      <c r="H188" s="9" t="s">
        <v>207</v>
      </c>
      <c r="I188" s="14"/>
      <c r="J188" s="14"/>
      <c r="K188" s="12">
        <v>90</v>
      </c>
      <c r="L188" s="9"/>
      <c r="M188" s="9"/>
      <c r="N188" s="9"/>
      <c r="O188" s="38">
        <f t="shared" si="13"/>
        <v>90</v>
      </c>
      <c r="P188" s="12"/>
      <c r="Q188" s="42"/>
      <c r="R188" s="15"/>
      <c r="S188" s="44"/>
      <c r="T188" s="15"/>
      <c r="U188" s="44"/>
      <c r="V188" s="15">
        <f t="shared" si="14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5"/>
        <v>0</v>
      </c>
      <c r="AF188" s="101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7"/>
        <v>0</v>
      </c>
      <c r="BA188" s="15"/>
      <c r="BB188" s="44"/>
      <c r="BC188" s="15"/>
      <c r="BD188" s="44"/>
      <c r="BE188" s="15">
        <f t="shared" si="16"/>
        <v>0</v>
      </c>
    </row>
    <row r="189" spans="1:57" s="8" customFormat="1" ht="22.5" customHeight="1">
      <c r="A189" s="9"/>
      <c r="B189" s="16" t="s">
        <v>300</v>
      </c>
      <c r="C189" s="89" t="s">
        <v>48</v>
      </c>
      <c r="D189" s="69" t="s">
        <v>301</v>
      </c>
      <c r="E189" s="13" t="s">
        <v>302</v>
      </c>
      <c r="F189" s="96"/>
      <c r="G189" s="9"/>
      <c r="H189" s="9" t="s">
        <v>207</v>
      </c>
      <c r="I189" s="14"/>
      <c r="J189" s="14"/>
      <c r="K189" s="12">
        <v>103</v>
      </c>
      <c r="L189" s="9"/>
      <c r="M189" s="9"/>
      <c r="N189" s="9"/>
      <c r="O189" s="38">
        <f t="shared" si="13"/>
        <v>103</v>
      </c>
      <c r="P189" s="12"/>
      <c r="Q189" s="42"/>
      <c r="R189" s="15"/>
      <c r="S189" s="44"/>
      <c r="T189" s="15"/>
      <c r="U189" s="44"/>
      <c r="V189" s="15">
        <f t="shared" si="14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5"/>
        <v>0</v>
      </c>
      <c r="AF189" s="101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7"/>
        <v>0</v>
      </c>
      <c r="BA189" s="15"/>
      <c r="BB189" s="44"/>
      <c r="BC189" s="15"/>
      <c r="BD189" s="44"/>
      <c r="BE189" s="15">
        <f t="shared" si="16"/>
        <v>0</v>
      </c>
    </row>
    <row r="190" spans="1:57" s="8" customFormat="1" ht="22.5" customHeight="1">
      <c r="A190" s="9"/>
      <c r="B190" s="16" t="s">
        <v>204</v>
      </c>
      <c r="C190" s="89" t="s">
        <v>48</v>
      </c>
      <c r="D190" s="69" t="s">
        <v>303</v>
      </c>
      <c r="E190" s="13" t="s">
        <v>304</v>
      </c>
      <c r="F190" s="96"/>
      <c r="G190" s="9"/>
      <c r="H190" s="9" t="s">
        <v>207</v>
      </c>
      <c r="I190" s="14"/>
      <c r="J190" s="14"/>
      <c r="K190" s="12">
        <v>165</v>
      </c>
      <c r="L190" s="9"/>
      <c r="M190" s="9"/>
      <c r="N190" s="9"/>
      <c r="O190" s="38">
        <f t="shared" si="13"/>
        <v>165</v>
      </c>
      <c r="P190" s="12"/>
      <c r="Q190" s="42"/>
      <c r="R190" s="15"/>
      <c r="S190" s="44"/>
      <c r="T190" s="15"/>
      <c r="U190" s="44"/>
      <c r="V190" s="15">
        <f t="shared" si="14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5"/>
        <v>0</v>
      </c>
      <c r="AF190" s="101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7"/>
        <v>0</v>
      </c>
      <c r="BA190" s="15"/>
      <c r="BB190" s="44"/>
      <c r="BC190" s="15"/>
      <c r="BD190" s="44"/>
      <c r="BE190" s="15">
        <f t="shared" si="16"/>
        <v>0</v>
      </c>
    </row>
    <row r="191" spans="1:57" s="8" customFormat="1" ht="22.5" customHeight="1">
      <c r="A191" s="9"/>
      <c r="B191" s="16" t="s">
        <v>204</v>
      </c>
      <c r="C191" s="89" t="s">
        <v>48</v>
      </c>
      <c r="D191" s="70" t="s">
        <v>305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0</v>
      </c>
      <c r="L191" s="9"/>
      <c r="M191" s="9"/>
      <c r="N191" s="9"/>
      <c r="O191" s="38">
        <f t="shared" si="13"/>
        <v>0</v>
      </c>
      <c r="P191" s="12"/>
      <c r="Q191" s="42"/>
      <c r="R191" s="15"/>
      <c r="S191" s="44"/>
      <c r="T191" s="15"/>
      <c r="U191" s="44"/>
      <c r="V191" s="15">
        <f t="shared" si="14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5"/>
        <v>0</v>
      </c>
      <c r="AF191" s="101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7"/>
        <v>0</v>
      </c>
      <c r="BA191" s="15"/>
      <c r="BB191" s="44"/>
      <c r="BC191" s="15"/>
      <c r="BD191" s="44"/>
      <c r="BE191" s="15">
        <f t="shared" si="16"/>
        <v>0</v>
      </c>
    </row>
    <row r="192" spans="1:57" s="8" customFormat="1" ht="22.5" customHeight="1">
      <c r="A192" s="9"/>
      <c r="B192" s="16" t="s">
        <v>204</v>
      </c>
      <c r="C192" s="89" t="s">
        <v>48</v>
      </c>
      <c r="D192" s="69" t="s">
        <v>306</v>
      </c>
      <c r="E192" s="13" t="s">
        <v>307</v>
      </c>
      <c r="F192" s="96"/>
      <c r="G192" s="9"/>
      <c r="H192" s="9" t="s">
        <v>207</v>
      </c>
      <c r="I192" s="14"/>
      <c r="J192" s="14"/>
      <c r="K192" s="12">
        <v>332</v>
      </c>
      <c r="L192" s="9"/>
      <c r="M192" s="9"/>
      <c r="N192" s="9"/>
      <c r="O192" s="38">
        <f t="shared" si="13"/>
        <v>332</v>
      </c>
      <c r="P192" s="12"/>
      <c r="Q192" s="42"/>
      <c r="R192" s="15"/>
      <c r="S192" s="44"/>
      <c r="T192" s="15"/>
      <c r="U192" s="44"/>
      <c r="V192" s="15">
        <f t="shared" si="14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5"/>
        <v>0</v>
      </c>
      <c r="AF192" s="101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7"/>
        <v>0</v>
      </c>
      <c r="BA192" s="15"/>
      <c r="BB192" s="44"/>
      <c r="BC192" s="15"/>
      <c r="BD192" s="44"/>
      <c r="BE192" s="15">
        <f t="shared" si="16"/>
        <v>0</v>
      </c>
    </row>
    <row r="193" spans="1:57" s="8" customFormat="1" ht="22.5" customHeight="1">
      <c r="A193" s="9"/>
      <c r="B193" s="16" t="s">
        <v>204</v>
      </c>
      <c r="C193" s="89" t="s">
        <v>48</v>
      </c>
      <c r="D193" s="70" t="s">
        <v>308</v>
      </c>
      <c r="E193" s="13" t="s">
        <v>307</v>
      </c>
      <c r="F193" s="96"/>
      <c r="G193" s="9"/>
      <c r="H193" s="9" t="s">
        <v>207</v>
      </c>
      <c r="I193" s="14"/>
      <c r="J193" s="14"/>
      <c r="K193" s="12">
        <v>400</v>
      </c>
      <c r="L193" s="9"/>
      <c r="M193" s="9"/>
      <c r="N193" s="9"/>
      <c r="O193" s="38">
        <f t="shared" si="13"/>
        <v>400</v>
      </c>
      <c r="P193" s="12"/>
      <c r="Q193" s="42"/>
      <c r="R193" s="15"/>
      <c r="S193" s="44"/>
      <c r="T193" s="15"/>
      <c r="U193" s="44"/>
      <c r="V193" s="15">
        <f t="shared" si="14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5"/>
        <v>0</v>
      </c>
      <c r="AF193" s="101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7"/>
        <v>0</v>
      </c>
      <c r="BA193" s="15"/>
      <c r="BB193" s="44"/>
      <c r="BC193" s="15"/>
      <c r="BD193" s="44"/>
      <c r="BE193" s="15">
        <f t="shared" si="16"/>
        <v>0</v>
      </c>
    </row>
    <row r="194" spans="1:57" s="8" customFormat="1" ht="22.5" customHeight="1">
      <c r="A194" s="9"/>
      <c r="B194" s="16" t="s">
        <v>204</v>
      </c>
      <c r="C194" s="89" t="s">
        <v>48</v>
      </c>
      <c r="D194" s="69" t="s">
        <v>309</v>
      </c>
      <c r="E194" s="13" t="s">
        <v>206</v>
      </c>
      <c r="F194" s="96"/>
      <c r="G194" s="9"/>
      <c r="H194" s="9" t="s">
        <v>207</v>
      </c>
      <c r="I194" s="14"/>
      <c r="J194" s="14"/>
      <c r="K194" s="12">
        <v>471</v>
      </c>
      <c r="L194" s="9"/>
      <c r="M194" s="9"/>
      <c r="N194" s="9"/>
      <c r="O194" s="38">
        <f t="shared" si="13"/>
        <v>471</v>
      </c>
      <c r="P194" s="12"/>
      <c r="Q194" s="42"/>
      <c r="R194" s="15"/>
      <c r="S194" s="44"/>
      <c r="T194" s="15"/>
      <c r="U194" s="44"/>
      <c r="V194" s="15">
        <f t="shared" si="14"/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si="15"/>
        <v>0</v>
      </c>
      <c r="AF194" s="101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7"/>
        <v>0</v>
      </c>
      <c r="BA194" s="15"/>
      <c r="BB194" s="44"/>
      <c r="BC194" s="15"/>
      <c r="BD194" s="44"/>
      <c r="BE194" s="15">
        <f t="shared" si="16"/>
        <v>0</v>
      </c>
    </row>
    <row r="195" spans="1:57" s="8" customFormat="1" ht="22.5" customHeight="1">
      <c r="A195" s="9"/>
      <c r="B195" s="16" t="s">
        <v>204</v>
      </c>
      <c r="C195" s="89" t="s">
        <v>48</v>
      </c>
      <c r="D195" s="73" t="s">
        <v>310</v>
      </c>
      <c r="E195" s="13"/>
      <c r="F195" s="96"/>
      <c r="G195" s="9"/>
      <c r="H195" s="9" t="s">
        <v>311</v>
      </c>
      <c r="I195" s="14"/>
      <c r="J195" s="14"/>
      <c r="K195" s="12">
        <v>658</v>
      </c>
      <c r="L195" s="9"/>
      <c r="M195" s="9"/>
      <c r="N195" s="9"/>
      <c r="O195" s="38">
        <f t="shared" si="13"/>
        <v>658</v>
      </c>
      <c r="P195" s="12"/>
      <c r="Q195" s="42"/>
      <c r="R195" s="15"/>
      <c r="S195" s="44"/>
      <c r="T195" s="15"/>
      <c r="U195" s="44"/>
      <c r="V195" s="15">
        <f t="shared" si="14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5"/>
        <v>0</v>
      </c>
      <c r="AF195" s="101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si="17"/>
        <v>0</v>
      </c>
      <c r="BA195" s="15"/>
      <c r="BB195" s="44"/>
      <c r="BC195" s="15"/>
      <c r="BD195" s="44"/>
      <c r="BE195" s="15">
        <f t="shared" si="16"/>
        <v>0</v>
      </c>
    </row>
    <row r="196" spans="1:57" s="8" customFormat="1" ht="22.5" customHeight="1">
      <c r="A196" s="9"/>
      <c r="B196" s="16" t="s">
        <v>204</v>
      </c>
      <c r="C196" s="89" t="s">
        <v>48</v>
      </c>
      <c r="D196" s="73" t="s">
        <v>312</v>
      </c>
      <c r="E196" s="13"/>
      <c r="F196" s="96"/>
      <c r="G196" s="9"/>
      <c r="H196" s="9" t="s">
        <v>311</v>
      </c>
      <c r="I196" s="14"/>
      <c r="J196" s="14"/>
      <c r="K196" s="12">
        <v>257</v>
      </c>
      <c r="L196" s="9"/>
      <c r="M196" s="9"/>
      <c r="N196" s="9"/>
      <c r="O196" s="38">
        <f t="shared" ref="O196:O259" si="18">K196+V196-AE196-AZ196</f>
        <v>257</v>
      </c>
      <c r="P196" s="12"/>
      <c r="Q196" s="42"/>
      <c r="R196" s="15"/>
      <c r="S196" s="44"/>
      <c r="T196" s="15"/>
      <c r="U196" s="44"/>
      <c r="V196" s="15">
        <f t="shared" ref="V196:V259" si="19">P196+R196+T196</f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ref="AE196:AE259" si="20">(W196+Y196+AA196+AC196)</f>
        <v>0</v>
      </c>
      <c r="AF196" s="101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17"/>
        <v>0</v>
      </c>
      <c r="BA196" s="15"/>
      <c r="BB196" s="44"/>
      <c r="BC196" s="15"/>
      <c r="BD196" s="44"/>
      <c r="BE196" s="15">
        <f t="shared" si="16"/>
        <v>0</v>
      </c>
    </row>
    <row r="197" spans="1:57" s="8" customFormat="1" ht="22.5" customHeight="1">
      <c r="A197" s="9"/>
      <c r="B197" s="16" t="s">
        <v>204</v>
      </c>
      <c r="C197" s="89" t="s">
        <v>48</v>
      </c>
      <c r="D197" s="73" t="s">
        <v>313</v>
      </c>
      <c r="E197" s="13"/>
      <c r="F197" s="96"/>
      <c r="G197" s="9"/>
      <c r="H197" s="9" t="s">
        <v>314</v>
      </c>
      <c r="I197" s="14"/>
      <c r="J197" s="14"/>
      <c r="K197" s="12">
        <v>0</v>
      </c>
      <c r="L197" s="9"/>
      <c r="M197" s="9"/>
      <c r="N197" s="9"/>
      <c r="O197" s="38">
        <f t="shared" si="18"/>
        <v>0</v>
      </c>
      <c r="P197" s="12"/>
      <c r="Q197" s="42"/>
      <c r="R197" s="15"/>
      <c r="S197" s="44"/>
      <c r="T197" s="15"/>
      <c r="U197" s="44"/>
      <c r="V197" s="15">
        <f t="shared" si="19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20"/>
        <v>0</v>
      </c>
      <c r="AF197" s="101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17"/>
        <v>0</v>
      </c>
      <c r="BA197" s="15"/>
      <c r="BB197" s="44"/>
      <c r="BC197" s="15"/>
      <c r="BD197" s="44"/>
      <c r="BE197" s="15">
        <f t="shared" si="16"/>
        <v>0</v>
      </c>
    </row>
    <row r="198" spans="1:57" s="8" customFormat="1" ht="22.5" customHeight="1">
      <c r="A198" s="9"/>
      <c r="B198" s="16" t="s">
        <v>233</v>
      </c>
      <c r="C198" s="89" t="s">
        <v>48</v>
      </c>
      <c r="D198" s="79" t="s">
        <v>315</v>
      </c>
      <c r="E198" s="13" t="s">
        <v>316</v>
      </c>
      <c r="F198" s="96"/>
      <c r="G198" s="9"/>
      <c r="H198" s="9" t="s">
        <v>317</v>
      </c>
      <c r="I198" s="14"/>
      <c r="J198" s="14"/>
      <c r="K198" s="12">
        <v>270</v>
      </c>
      <c r="L198" s="9"/>
      <c r="M198" s="9"/>
      <c r="N198" s="9"/>
      <c r="O198" s="38">
        <f t="shared" si="18"/>
        <v>270</v>
      </c>
      <c r="P198" s="12"/>
      <c r="Q198" s="42"/>
      <c r="R198" s="15"/>
      <c r="S198" s="44"/>
      <c r="T198" s="15"/>
      <c r="U198" s="44"/>
      <c r="V198" s="15">
        <f t="shared" si="19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20"/>
        <v>0</v>
      </c>
      <c r="AF198" s="101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17"/>
        <v>0</v>
      </c>
      <c r="BA198" s="15"/>
      <c r="BB198" s="44"/>
      <c r="BC198" s="15"/>
      <c r="BD198" s="44"/>
      <c r="BE198" s="15">
        <f t="shared" si="16"/>
        <v>0</v>
      </c>
    </row>
    <row r="199" spans="1:57" s="8" customFormat="1" ht="22.5" customHeight="1">
      <c r="A199" s="9"/>
      <c r="B199" s="16" t="s">
        <v>233</v>
      </c>
      <c r="C199" s="89" t="s">
        <v>48</v>
      </c>
      <c r="D199" s="79" t="s">
        <v>315</v>
      </c>
      <c r="E199" s="13" t="s">
        <v>318</v>
      </c>
      <c r="F199" s="96"/>
      <c r="G199" s="9"/>
      <c r="H199" s="9" t="s">
        <v>317</v>
      </c>
      <c r="I199" s="14"/>
      <c r="J199" s="14"/>
      <c r="K199" s="12">
        <v>500</v>
      </c>
      <c r="L199" s="9"/>
      <c r="M199" s="9"/>
      <c r="N199" s="9"/>
      <c r="O199" s="38">
        <f t="shared" si="18"/>
        <v>500</v>
      </c>
      <c r="P199" s="12"/>
      <c r="Q199" s="42"/>
      <c r="R199" s="15"/>
      <c r="S199" s="44"/>
      <c r="T199" s="15"/>
      <c r="U199" s="44"/>
      <c r="V199" s="15">
        <f t="shared" si="19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20"/>
        <v>0</v>
      </c>
      <c r="AF199" s="101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17"/>
        <v>0</v>
      </c>
      <c r="BA199" s="15"/>
      <c r="BB199" s="44"/>
      <c r="BC199" s="15"/>
      <c r="BD199" s="44"/>
      <c r="BE199" s="15">
        <f t="shared" si="16"/>
        <v>0</v>
      </c>
    </row>
    <row r="200" spans="1:57" s="8" customFormat="1" ht="22.5" customHeight="1">
      <c r="A200" s="9"/>
      <c r="B200" s="16" t="s">
        <v>233</v>
      </c>
      <c r="C200" s="89" t="s">
        <v>48</v>
      </c>
      <c r="D200" s="79" t="s">
        <v>319</v>
      </c>
      <c r="E200" s="13" t="s">
        <v>233</v>
      </c>
      <c r="F200" s="96"/>
      <c r="G200" s="9"/>
      <c r="H200" s="9"/>
      <c r="I200" s="14"/>
      <c r="J200" s="14"/>
      <c r="K200" s="12">
        <v>0</v>
      </c>
      <c r="L200" s="9"/>
      <c r="M200" s="9"/>
      <c r="N200" s="9"/>
      <c r="O200" s="38">
        <f t="shared" si="18"/>
        <v>0</v>
      </c>
      <c r="P200" s="12"/>
      <c r="Q200" s="42"/>
      <c r="R200" s="15"/>
      <c r="S200" s="44"/>
      <c r="T200" s="15"/>
      <c r="U200" s="44"/>
      <c r="V200" s="15">
        <f t="shared" si="19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20"/>
        <v>0</v>
      </c>
      <c r="AF200" s="101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17"/>
        <v>0</v>
      </c>
      <c r="BA200" s="15"/>
      <c r="BB200" s="44"/>
      <c r="BC200" s="15"/>
      <c r="BD200" s="44"/>
      <c r="BE200" s="15">
        <f t="shared" si="16"/>
        <v>0</v>
      </c>
    </row>
    <row r="201" spans="1:57" s="8" customFormat="1" ht="22.5" customHeight="1">
      <c r="A201" s="9"/>
      <c r="B201" s="16" t="s">
        <v>233</v>
      </c>
      <c r="C201" s="89" t="s">
        <v>48</v>
      </c>
      <c r="D201" s="79" t="s">
        <v>320</v>
      </c>
      <c r="E201" s="13" t="s">
        <v>321</v>
      </c>
      <c r="F201" s="96"/>
      <c r="G201" s="9"/>
      <c r="H201" s="9"/>
      <c r="I201" s="14"/>
      <c r="J201" s="14"/>
      <c r="K201" s="12">
        <v>0</v>
      </c>
      <c r="L201" s="9"/>
      <c r="M201" s="9"/>
      <c r="N201" s="9"/>
      <c r="O201" s="38">
        <f t="shared" si="18"/>
        <v>0</v>
      </c>
      <c r="P201" s="12"/>
      <c r="Q201" s="42"/>
      <c r="R201" s="15"/>
      <c r="S201" s="44"/>
      <c r="T201" s="15"/>
      <c r="U201" s="44"/>
      <c r="V201" s="15">
        <f t="shared" si="19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20"/>
        <v>0</v>
      </c>
      <c r="AF201" s="101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17"/>
        <v>0</v>
      </c>
      <c r="BA201" s="15"/>
      <c r="BB201" s="44"/>
      <c r="BC201" s="15"/>
      <c r="BD201" s="44"/>
      <c r="BE201" s="15">
        <f t="shared" si="16"/>
        <v>0</v>
      </c>
    </row>
    <row r="202" spans="1:57" s="8" customFormat="1" ht="22.5" customHeight="1">
      <c r="A202" s="9"/>
      <c r="B202" s="16" t="s">
        <v>233</v>
      </c>
      <c r="C202" s="89" t="s">
        <v>48</v>
      </c>
      <c r="D202" s="79" t="s">
        <v>322</v>
      </c>
      <c r="E202" s="13" t="s">
        <v>323</v>
      </c>
      <c r="F202" s="96"/>
      <c r="G202" s="9"/>
      <c r="H202" s="9"/>
      <c r="I202" s="14"/>
      <c r="J202" s="14"/>
      <c r="K202" s="12">
        <v>0</v>
      </c>
      <c r="L202" s="9"/>
      <c r="M202" s="9"/>
      <c r="N202" s="9"/>
      <c r="O202" s="38">
        <f t="shared" si="18"/>
        <v>0</v>
      </c>
      <c r="P202" s="12"/>
      <c r="Q202" s="42"/>
      <c r="R202" s="15"/>
      <c r="S202" s="44"/>
      <c r="T202" s="15"/>
      <c r="U202" s="44"/>
      <c r="V202" s="15">
        <f t="shared" si="19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20"/>
        <v>0</v>
      </c>
      <c r="AF202" s="101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17"/>
        <v>0</v>
      </c>
      <c r="BA202" s="15"/>
      <c r="BB202" s="44"/>
      <c r="BC202" s="15"/>
      <c r="BD202" s="44"/>
      <c r="BE202" s="15">
        <f t="shared" si="16"/>
        <v>0</v>
      </c>
    </row>
    <row r="203" spans="1:57" s="8" customFormat="1" ht="22.5" customHeight="1">
      <c r="A203" s="9"/>
      <c r="B203" s="16" t="s">
        <v>233</v>
      </c>
      <c r="C203" s="89" t="s">
        <v>48</v>
      </c>
      <c r="D203" s="79" t="s">
        <v>324</v>
      </c>
      <c r="E203" s="13" t="s">
        <v>325</v>
      </c>
      <c r="F203" s="96"/>
      <c r="G203" s="9"/>
      <c r="H203" s="9"/>
      <c r="I203" s="14"/>
      <c r="J203" s="14"/>
      <c r="K203" s="12">
        <v>208</v>
      </c>
      <c r="L203" s="9"/>
      <c r="M203" s="9"/>
      <c r="N203" s="9"/>
      <c r="O203" s="38">
        <f t="shared" si="18"/>
        <v>208</v>
      </c>
      <c r="P203" s="12"/>
      <c r="Q203" s="42"/>
      <c r="R203" s="15"/>
      <c r="S203" s="44"/>
      <c r="T203" s="15"/>
      <c r="U203" s="44"/>
      <c r="V203" s="15">
        <f t="shared" si="19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20"/>
        <v>0</v>
      </c>
      <c r="AF203" s="101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17"/>
        <v>0</v>
      </c>
      <c r="BA203" s="15"/>
      <c r="BB203" s="44"/>
      <c r="BC203" s="15"/>
      <c r="BD203" s="44"/>
      <c r="BE203" s="15">
        <f t="shared" si="16"/>
        <v>0</v>
      </c>
    </row>
    <row r="204" spans="1:57" s="8" customFormat="1" ht="22.5" customHeight="1">
      <c r="A204" s="9"/>
      <c r="B204" s="16" t="s">
        <v>233</v>
      </c>
      <c r="C204" s="89" t="s">
        <v>48</v>
      </c>
      <c r="D204" s="79" t="s">
        <v>326</v>
      </c>
      <c r="E204" s="13" t="s">
        <v>327</v>
      </c>
      <c r="F204" s="96"/>
      <c r="G204" s="9"/>
      <c r="H204" s="9"/>
      <c r="I204" s="14"/>
      <c r="J204" s="14"/>
      <c r="K204" s="12">
        <v>108</v>
      </c>
      <c r="L204" s="9"/>
      <c r="M204" s="9"/>
      <c r="N204" s="9"/>
      <c r="O204" s="38">
        <f t="shared" si="18"/>
        <v>108</v>
      </c>
      <c r="P204" s="12"/>
      <c r="Q204" s="42"/>
      <c r="R204" s="15"/>
      <c r="S204" s="44"/>
      <c r="T204" s="15"/>
      <c r="U204" s="44"/>
      <c r="V204" s="15">
        <f t="shared" si="19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20"/>
        <v>0</v>
      </c>
      <c r="AF204" s="101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17"/>
        <v>0</v>
      </c>
      <c r="BA204" s="15"/>
      <c r="BB204" s="44"/>
      <c r="BC204" s="15"/>
      <c r="BD204" s="44"/>
      <c r="BE204" s="15">
        <f t="shared" si="16"/>
        <v>0</v>
      </c>
    </row>
    <row r="205" spans="1:57" s="8" customFormat="1" ht="22.5" customHeight="1">
      <c r="A205" s="9"/>
      <c r="B205" s="16" t="s">
        <v>155</v>
      </c>
      <c r="C205" s="89" t="s">
        <v>48</v>
      </c>
      <c r="D205" s="70" t="s">
        <v>328</v>
      </c>
      <c r="E205" s="13" t="s">
        <v>329</v>
      </c>
      <c r="F205" s="96"/>
      <c r="G205" s="9"/>
      <c r="H205" s="9" t="s">
        <v>158</v>
      </c>
      <c r="I205" s="14"/>
      <c r="J205" s="14"/>
      <c r="K205" s="12">
        <v>596</v>
      </c>
      <c r="L205" s="9"/>
      <c r="M205" s="9"/>
      <c r="N205" s="9"/>
      <c r="O205" s="38">
        <f t="shared" si="18"/>
        <v>596</v>
      </c>
      <c r="P205" s="12"/>
      <c r="Q205" s="42"/>
      <c r="R205" s="15"/>
      <c r="S205" s="44"/>
      <c r="T205" s="15"/>
      <c r="U205" s="44"/>
      <c r="V205" s="15">
        <f t="shared" si="19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20"/>
        <v>0</v>
      </c>
      <c r="AF205" s="101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17"/>
        <v>0</v>
      </c>
      <c r="BA205" s="15"/>
      <c r="BB205" s="44"/>
      <c r="BC205" s="15"/>
      <c r="BD205" s="44"/>
      <c r="BE205" s="15">
        <f t="shared" si="16"/>
        <v>0</v>
      </c>
    </row>
    <row r="206" spans="1:57" s="8" customFormat="1" ht="22.5" customHeight="1">
      <c r="A206" s="9"/>
      <c r="B206" s="16" t="s">
        <v>330</v>
      </c>
      <c r="C206" s="89" t="s">
        <v>48</v>
      </c>
      <c r="D206" s="69" t="s">
        <v>331</v>
      </c>
      <c r="E206" s="13" t="s">
        <v>330</v>
      </c>
      <c r="F206" s="96"/>
      <c r="G206" s="9"/>
      <c r="H206" s="9" t="s">
        <v>332</v>
      </c>
      <c r="I206" s="14"/>
      <c r="J206" s="14"/>
      <c r="K206" s="12">
        <v>364</v>
      </c>
      <c r="L206" s="9"/>
      <c r="M206" s="9"/>
      <c r="N206" s="9"/>
      <c r="O206" s="38">
        <f t="shared" si="18"/>
        <v>364</v>
      </c>
      <c r="P206" s="12"/>
      <c r="Q206" s="42"/>
      <c r="R206" s="15"/>
      <c r="S206" s="44"/>
      <c r="T206" s="15"/>
      <c r="U206" s="44"/>
      <c r="V206" s="15">
        <f t="shared" si="19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20"/>
        <v>0</v>
      </c>
      <c r="AF206" s="101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17"/>
        <v>0</v>
      </c>
      <c r="BA206" s="15"/>
      <c r="BB206" s="44"/>
      <c r="BC206" s="15"/>
      <c r="BD206" s="44"/>
      <c r="BE206" s="15">
        <f t="shared" si="16"/>
        <v>0</v>
      </c>
    </row>
    <row r="207" spans="1:57" s="8" customFormat="1" ht="22.5" customHeight="1">
      <c r="A207" s="9"/>
      <c r="B207" s="16" t="s">
        <v>330</v>
      </c>
      <c r="C207" s="89" t="s">
        <v>48</v>
      </c>
      <c r="D207" s="70" t="s">
        <v>333</v>
      </c>
      <c r="E207" s="13" t="s">
        <v>330</v>
      </c>
      <c r="F207" s="96"/>
      <c r="G207" s="9"/>
      <c r="H207" s="9" t="s">
        <v>332</v>
      </c>
      <c r="I207" s="14"/>
      <c r="J207" s="14"/>
      <c r="K207" s="12">
        <v>0</v>
      </c>
      <c r="L207" s="9"/>
      <c r="M207" s="9"/>
      <c r="N207" s="9"/>
      <c r="O207" s="38">
        <f t="shared" si="18"/>
        <v>0</v>
      </c>
      <c r="P207" s="12"/>
      <c r="Q207" s="42"/>
      <c r="R207" s="15"/>
      <c r="S207" s="44"/>
      <c r="T207" s="15"/>
      <c r="U207" s="44"/>
      <c r="V207" s="15">
        <f t="shared" si="19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20"/>
        <v>0</v>
      </c>
      <c r="AF207" s="101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17"/>
        <v>0</v>
      </c>
      <c r="BA207" s="15"/>
      <c r="BB207" s="44"/>
      <c r="BC207" s="15"/>
      <c r="BD207" s="44"/>
      <c r="BE207" s="15">
        <f t="shared" si="16"/>
        <v>0</v>
      </c>
    </row>
    <row r="208" spans="1:57" s="8" customFormat="1" ht="22.5" customHeight="1">
      <c r="A208" s="9"/>
      <c r="B208" s="16" t="s">
        <v>334</v>
      </c>
      <c r="C208" s="89" t="s">
        <v>48</v>
      </c>
      <c r="D208" s="79" t="s">
        <v>335</v>
      </c>
      <c r="E208" s="13" t="s">
        <v>336</v>
      </c>
      <c r="F208" s="96"/>
      <c r="G208" s="9"/>
      <c r="H208" s="9" t="s">
        <v>314</v>
      </c>
      <c r="I208" s="14"/>
      <c r="J208" s="14"/>
      <c r="K208" s="12">
        <v>0</v>
      </c>
      <c r="L208" s="9"/>
      <c r="M208" s="9"/>
      <c r="N208" s="9"/>
      <c r="O208" s="38">
        <f t="shared" si="18"/>
        <v>0</v>
      </c>
      <c r="P208" s="12"/>
      <c r="Q208" s="42"/>
      <c r="R208" s="15"/>
      <c r="S208" s="44"/>
      <c r="T208" s="15"/>
      <c r="U208" s="44"/>
      <c r="V208" s="15">
        <f t="shared" si="19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20"/>
        <v>0</v>
      </c>
      <c r="AF208" s="101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17"/>
        <v>0</v>
      </c>
      <c r="BA208" s="15"/>
      <c r="BB208" s="44"/>
      <c r="BC208" s="15"/>
      <c r="BD208" s="44"/>
      <c r="BE208" s="15">
        <f t="shared" si="16"/>
        <v>0</v>
      </c>
    </row>
    <row r="209" spans="1:57" s="8" customFormat="1" ht="22.5" customHeight="1">
      <c r="A209" s="9"/>
      <c r="B209" s="16" t="s">
        <v>337</v>
      </c>
      <c r="C209" s="89" t="s">
        <v>48</v>
      </c>
      <c r="D209" s="79" t="s">
        <v>338</v>
      </c>
      <c r="E209" s="13" t="s">
        <v>337</v>
      </c>
      <c r="F209" s="96"/>
      <c r="G209" s="9"/>
      <c r="H209" s="9" t="s">
        <v>339</v>
      </c>
      <c r="I209" s="14"/>
      <c r="J209" s="14"/>
      <c r="K209" s="12">
        <v>0</v>
      </c>
      <c r="L209" s="9"/>
      <c r="M209" s="9"/>
      <c r="N209" s="9"/>
      <c r="O209" s="38">
        <f t="shared" si="18"/>
        <v>0</v>
      </c>
      <c r="P209" s="12"/>
      <c r="Q209" s="42"/>
      <c r="R209" s="15"/>
      <c r="S209" s="44"/>
      <c r="T209" s="15"/>
      <c r="U209" s="44"/>
      <c r="V209" s="15">
        <f t="shared" si="19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20"/>
        <v>0</v>
      </c>
      <c r="AF209" s="101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17"/>
        <v>0</v>
      </c>
      <c r="BA209" s="15"/>
      <c r="BB209" s="44"/>
      <c r="BC209" s="15"/>
      <c r="BD209" s="44"/>
      <c r="BE209" s="15">
        <f t="shared" si="16"/>
        <v>0</v>
      </c>
    </row>
    <row r="210" spans="1:57" s="8" customFormat="1" ht="22.5" customHeight="1">
      <c r="A210" s="9"/>
      <c r="B210" s="16" t="s">
        <v>337</v>
      </c>
      <c r="C210" s="89" t="s">
        <v>48</v>
      </c>
      <c r="D210" s="79" t="s">
        <v>340</v>
      </c>
      <c r="E210" s="13" t="s">
        <v>337</v>
      </c>
      <c r="F210" s="96"/>
      <c r="G210" s="9"/>
      <c r="H210" s="9" t="s">
        <v>339</v>
      </c>
      <c r="I210" s="14"/>
      <c r="J210" s="14"/>
      <c r="K210" s="12">
        <v>0</v>
      </c>
      <c r="L210" s="9"/>
      <c r="M210" s="9"/>
      <c r="N210" s="9"/>
      <c r="O210" s="38">
        <f t="shared" si="18"/>
        <v>0</v>
      </c>
      <c r="P210" s="12"/>
      <c r="Q210" s="42"/>
      <c r="R210" s="15"/>
      <c r="S210" s="44"/>
      <c r="T210" s="15"/>
      <c r="U210" s="44"/>
      <c r="V210" s="15">
        <f t="shared" si="19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20"/>
        <v>0</v>
      </c>
      <c r="AF210" s="101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17"/>
        <v>0</v>
      </c>
      <c r="BA210" s="15"/>
      <c r="BB210" s="44"/>
      <c r="BC210" s="15"/>
      <c r="BD210" s="44"/>
      <c r="BE210" s="15">
        <f t="shared" si="16"/>
        <v>0</v>
      </c>
    </row>
    <row r="211" spans="1:57" s="8" customFormat="1" ht="22.5" customHeight="1">
      <c r="A211" s="9"/>
      <c r="B211" s="16" t="s">
        <v>249</v>
      </c>
      <c r="C211" s="89" t="s">
        <v>48</v>
      </c>
      <c r="D211" s="79" t="s">
        <v>341</v>
      </c>
      <c r="E211" s="13" t="s">
        <v>342</v>
      </c>
      <c r="F211" s="96"/>
      <c r="G211" s="9"/>
      <c r="H211" s="9" t="s">
        <v>247</v>
      </c>
      <c r="I211" s="14"/>
      <c r="J211" s="14"/>
      <c r="K211" s="12">
        <v>351</v>
      </c>
      <c r="L211" s="9"/>
      <c r="M211" s="9"/>
      <c r="N211" s="9"/>
      <c r="O211" s="38">
        <f t="shared" si="18"/>
        <v>351</v>
      </c>
      <c r="P211" s="12"/>
      <c r="Q211" s="42"/>
      <c r="R211" s="15"/>
      <c r="S211" s="44"/>
      <c r="T211" s="15"/>
      <c r="U211" s="44"/>
      <c r="V211" s="15">
        <f t="shared" si="19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20"/>
        <v>0</v>
      </c>
      <c r="AF211" s="101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17"/>
        <v>0</v>
      </c>
      <c r="BA211" s="15"/>
      <c r="BB211" s="44"/>
      <c r="BC211" s="15"/>
      <c r="BD211" s="44"/>
      <c r="BE211" s="15">
        <f t="shared" si="16"/>
        <v>0</v>
      </c>
    </row>
    <row r="212" spans="1:57" s="8" customFormat="1" ht="22.5" customHeight="1">
      <c r="A212" s="9"/>
      <c r="B212" s="16" t="s">
        <v>343</v>
      </c>
      <c r="C212" s="89" t="s">
        <v>48</v>
      </c>
      <c r="D212" s="79" t="s">
        <v>343</v>
      </c>
      <c r="E212" s="13" t="s">
        <v>344</v>
      </c>
      <c r="F212" s="96"/>
      <c r="G212" s="9"/>
      <c r="H212" s="9" t="s">
        <v>345</v>
      </c>
      <c r="I212" s="14"/>
      <c r="J212" s="14"/>
      <c r="K212" s="12">
        <v>0</v>
      </c>
      <c r="L212" s="9"/>
      <c r="M212" s="9"/>
      <c r="N212" s="9"/>
      <c r="O212" s="38">
        <f t="shared" si="18"/>
        <v>0</v>
      </c>
      <c r="P212" s="12"/>
      <c r="Q212" s="42"/>
      <c r="R212" s="15"/>
      <c r="S212" s="44"/>
      <c r="T212" s="15"/>
      <c r="U212" s="44"/>
      <c r="V212" s="15">
        <f t="shared" si="19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20"/>
        <v>0</v>
      </c>
      <c r="AF212" s="101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17"/>
        <v>0</v>
      </c>
      <c r="BA212" s="15"/>
      <c r="BB212" s="44"/>
      <c r="BC212" s="15"/>
      <c r="BD212" s="44"/>
      <c r="BE212" s="15">
        <f t="shared" si="16"/>
        <v>0</v>
      </c>
    </row>
    <row r="213" spans="1:57" s="8" customFormat="1" ht="22.5" customHeight="1">
      <c r="A213" s="9"/>
      <c r="B213" s="16" t="s">
        <v>204</v>
      </c>
      <c r="C213" s="89" t="s">
        <v>48</v>
      </c>
      <c r="D213" s="70" t="s">
        <v>288</v>
      </c>
      <c r="E213" s="13" t="s">
        <v>222</v>
      </c>
      <c r="F213" s="96"/>
      <c r="G213" s="9"/>
      <c r="H213" s="9" t="s">
        <v>207</v>
      </c>
      <c r="I213" s="14"/>
      <c r="J213" s="14"/>
      <c r="K213" s="12">
        <v>34</v>
      </c>
      <c r="L213" s="9"/>
      <c r="M213" s="9"/>
      <c r="N213" s="9"/>
      <c r="O213" s="38">
        <f t="shared" si="18"/>
        <v>34</v>
      </c>
      <c r="P213" s="12"/>
      <c r="Q213" s="42"/>
      <c r="R213" s="15"/>
      <c r="S213" s="44"/>
      <c r="T213" s="15"/>
      <c r="U213" s="44"/>
      <c r="V213" s="15">
        <f t="shared" si="19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20"/>
        <v>0</v>
      </c>
      <c r="AF213" s="101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17"/>
        <v>0</v>
      </c>
      <c r="BA213" s="15"/>
      <c r="BB213" s="44"/>
      <c r="BC213" s="15"/>
      <c r="BD213" s="44"/>
      <c r="BE213" s="15">
        <f t="shared" si="16"/>
        <v>0</v>
      </c>
    </row>
    <row r="214" spans="1:57" s="8" customFormat="1" ht="22.5" customHeight="1">
      <c r="A214" s="9"/>
      <c r="B214" s="16" t="s">
        <v>204</v>
      </c>
      <c r="C214" s="89" t="s">
        <v>48</v>
      </c>
      <c r="D214" s="71" t="s">
        <v>289</v>
      </c>
      <c r="E214" s="13" t="s">
        <v>222</v>
      </c>
      <c r="F214" s="96"/>
      <c r="G214" s="9"/>
      <c r="H214" s="9" t="s">
        <v>207</v>
      </c>
      <c r="I214" s="14"/>
      <c r="J214" s="14"/>
      <c r="K214" s="12">
        <v>239</v>
      </c>
      <c r="L214" s="9"/>
      <c r="M214" s="9"/>
      <c r="N214" s="9"/>
      <c r="O214" s="38">
        <f t="shared" si="18"/>
        <v>239</v>
      </c>
      <c r="P214" s="12"/>
      <c r="Q214" s="42"/>
      <c r="R214" s="15"/>
      <c r="S214" s="44"/>
      <c r="T214" s="15"/>
      <c r="U214" s="44"/>
      <c r="V214" s="15">
        <f t="shared" si="19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20"/>
        <v>0</v>
      </c>
      <c r="AF214" s="101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17"/>
        <v>0</v>
      </c>
      <c r="BA214" s="15"/>
      <c r="BB214" s="44"/>
      <c r="BC214" s="15"/>
      <c r="BD214" s="44"/>
      <c r="BE214" s="15">
        <f t="shared" si="16"/>
        <v>0</v>
      </c>
    </row>
    <row r="215" spans="1:57" s="8" customFormat="1" ht="22.5" customHeight="1">
      <c r="A215" s="9"/>
      <c r="B215" s="16" t="s">
        <v>204</v>
      </c>
      <c r="C215" s="89" t="s">
        <v>48</v>
      </c>
      <c r="D215" s="71" t="s">
        <v>291</v>
      </c>
      <c r="E215" s="13" t="s">
        <v>222</v>
      </c>
      <c r="F215" s="96"/>
      <c r="G215" s="9"/>
      <c r="H215" s="9" t="s">
        <v>207</v>
      </c>
      <c r="I215" s="14"/>
      <c r="J215" s="14"/>
      <c r="K215" s="12">
        <v>145</v>
      </c>
      <c r="L215" s="9"/>
      <c r="M215" s="9"/>
      <c r="N215" s="9"/>
      <c r="O215" s="38">
        <f t="shared" si="18"/>
        <v>145</v>
      </c>
      <c r="P215" s="12"/>
      <c r="Q215" s="42"/>
      <c r="R215" s="15"/>
      <c r="S215" s="44"/>
      <c r="T215" s="15"/>
      <c r="U215" s="44"/>
      <c r="V215" s="15">
        <f t="shared" si="19"/>
        <v>0</v>
      </c>
      <c r="W215" s="15"/>
      <c r="X215" s="44"/>
      <c r="Y215" s="15"/>
      <c r="Z215" s="44"/>
      <c r="AA215" s="15"/>
      <c r="AB215" s="44"/>
      <c r="AC215" s="15"/>
      <c r="AD215" s="44"/>
      <c r="AE215" s="15">
        <f t="shared" si="20"/>
        <v>0</v>
      </c>
      <c r="AF215" s="101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17"/>
        <v>0</v>
      </c>
      <c r="BA215" s="15"/>
      <c r="BB215" s="44"/>
      <c r="BC215" s="15"/>
      <c r="BD215" s="44"/>
      <c r="BE215" s="15">
        <f t="shared" si="16"/>
        <v>0</v>
      </c>
    </row>
    <row r="216" spans="1:57" s="8" customFormat="1" ht="22.5" customHeight="1">
      <c r="A216" s="9"/>
      <c r="B216" s="16" t="s">
        <v>204</v>
      </c>
      <c r="C216" s="89" t="s">
        <v>48</v>
      </c>
      <c r="D216" s="71" t="s">
        <v>292</v>
      </c>
      <c r="E216" s="13" t="s">
        <v>346</v>
      </c>
      <c r="F216" s="96"/>
      <c r="G216" s="9"/>
      <c r="H216" s="9" t="s">
        <v>207</v>
      </c>
      <c r="I216" s="14"/>
      <c r="J216" s="14"/>
      <c r="K216" s="12">
        <v>488</v>
      </c>
      <c r="L216" s="9"/>
      <c r="M216" s="9"/>
      <c r="N216" s="9"/>
      <c r="O216" s="38">
        <f t="shared" si="18"/>
        <v>488</v>
      </c>
      <c r="P216" s="12"/>
      <c r="Q216" s="42"/>
      <c r="R216" s="15"/>
      <c r="S216" s="44"/>
      <c r="T216" s="15"/>
      <c r="U216" s="44"/>
      <c r="V216" s="15">
        <f t="shared" si="19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20"/>
        <v>0</v>
      </c>
      <c r="AF216" s="101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17"/>
        <v>0</v>
      </c>
      <c r="BA216" s="15"/>
      <c r="BB216" s="44"/>
      <c r="BC216" s="15"/>
      <c r="BD216" s="44"/>
      <c r="BE216" s="15">
        <f t="shared" si="16"/>
        <v>0</v>
      </c>
    </row>
    <row r="217" spans="1:57" s="8" customFormat="1" ht="22.5" customHeight="1">
      <c r="A217" s="9"/>
      <c r="B217" s="16" t="s">
        <v>204</v>
      </c>
      <c r="C217" s="89" t="s">
        <v>48</v>
      </c>
      <c r="D217" s="69" t="s">
        <v>216</v>
      </c>
      <c r="E217" s="13" t="s">
        <v>347</v>
      </c>
      <c r="F217" s="96"/>
      <c r="G217" s="9"/>
      <c r="H217" s="9" t="s">
        <v>207</v>
      </c>
      <c r="I217" s="14"/>
      <c r="J217" s="14"/>
      <c r="K217" s="12">
        <v>465</v>
      </c>
      <c r="L217" s="9"/>
      <c r="M217" s="9"/>
      <c r="N217" s="9"/>
      <c r="O217" s="38">
        <f t="shared" si="18"/>
        <v>465</v>
      </c>
      <c r="P217" s="12"/>
      <c r="Q217" s="42"/>
      <c r="R217" s="15"/>
      <c r="S217" s="44"/>
      <c r="T217" s="15"/>
      <c r="U217" s="44"/>
      <c r="V217" s="15">
        <f t="shared" si="19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20"/>
        <v>0</v>
      </c>
      <c r="AF217" s="101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17"/>
        <v>0</v>
      </c>
      <c r="BA217" s="15"/>
      <c r="BB217" s="44"/>
      <c r="BC217" s="15"/>
      <c r="BD217" s="44"/>
      <c r="BE217" s="15">
        <f t="shared" si="16"/>
        <v>0</v>
      </c>
    </row>
    <row r="218" spans="1:57" s="8" customFormat="1" ht="22.5" customHeight="1">
      <c r="A218" s="9"/>
      <c r="B218" s="16" t="s">
        <v>204</v>
      </c>
      <c r="C218" s="89" t="s">
        <v>48</v>
      </c>
      <c r="D218" s="70" t="s">
        <v>285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171</v>
      </c>
      <c r="L218" s="9"/>
      <c r="M218" s="9"/>
      <c r="N218" s="9"/>
      <c r="O218" s="38">
        <f t="shared" si="18"/>
        <v>171</v>
      </c>
      <c r="P218" s="12"/>
      <c r="Q218" s="42"/>
      <c r="R218" s="15"/>
      <c r="S218" s="44"/>
      <c r="T218" s="15"/>
      <c r="U218" s="44"/>
      <c r="V218" s="15">
        <f t="shared" si="19"/>
        <v>0</v>
      </c>
      <c r="W218" s="15"/>
      <c r="X218" s="44"/>
      <c r="Y218" s="15"/>
      <c r="Z218" s="44"/>
      <c r="AA218" s="24"/>
      <c r="AB218" s="44"/>
      <c r="AC218" s="24"/>
      <c r="AD218" s="44"/>
      <c r="AE218" s="15">
        <f t="shared" si="20"/>
        <v>0</v>
      </c>
      <c r="AF218" s="101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17"/>
        <v>0</v>
      </c>
      <c r="BA218" s="15"/>
      <c r="BB218" s="44"/>
      <c r="BC218" s="15"/>
      <c r="BD218" s="44"/>
      <c r="BE218" s="15">
        <f t="shared" si="16"/>
        <v>0</v>
      </c>
    </row>
    <row r="219" spans="1:57" s="8" customFormat="1" ht="22.5" customHeight="1">
      <c r="A219" s="9"/>
      <c r="B219" s="16" t="s">
        <v>204</v>
      </c>
      <c r="C219" s="89" t="s">
        <v>48</v>
      </c>
      <c r="D219" s="69" t="s">
        <v>286</v>
      </c>
      <c r="E219" s="13" t="s">
        <v>206</v>
      </c>
      <c r="F219" s="96"/>
      <c r="G219" s="9"/>
      <c r="H219" s="9" t="s">
        <v>207</v>
      </c>
      <c r="I219" s="14"/>
      <c r="J219" s="14"/>
      <c r="K219" s="12">
        <v>279</v>
      </c>
      <c r="L219" s="9"/>
      <c r="M219" s="9"/>
      <c r="N219" s="9"/>
      <c r="O219" s="38">
        <f t="shared" si="18"/>
        <v>279</v>
      </c>
      <c r="P219" s="12"/>
      <c r="Q219" s="42"/>
      <c r="R219" s="15"/>
      <c r="S219" s="44"/>
      <c r="T219" s="15"/>
      <c r="U219" s="44"/>
      <c r="V219" s="15">
        <f t="shared" si="19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20"/>
        <v>0</v>
      </c>
      <c r="AF219" s="101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17"/>
        <v>0</v>
      </c>
      <c r="BA219" s="15"/>
      <c r="BB219" s="44"/>
      <c r="BC219" s="15"/>
      <c r="BD219" s="44"/>
      <c r="BE219" s="15">
        <f t="shared" si="16"/>
        <v>0</v>
      </c>
    </row>
    <row r="220" spans="1:57" s="8" customFormat="1" ht="22.5" customHeight="1">
      <c r="A220" s="9"/>
      <c r="B220" s="16" t="s">
        <v>204</v>
      </c>
      <c r="C220" s="89" t="s">
        <v>48</v>
      </c>
      <c r="D220" s="72" t="s">
        <v>295</v>
      </c>
      <c r="E220" s="13" t="s">
        <v>348</v>
      </c>
      <c r="F220" s="96"/>
      <c r="G220" s="9"/>
      <c r="H220" s="9" t="s">
        <v>207</v>
      </c>
      <c r="I220" s="14"/>
      <c r="J220" s="14"/>
      <c r="K220" s="12">
        <v>0</v>
      </c>
      <c r="L220" s="9"/>
      <c r="M220" s="9"/>
      <c r="N220" s="9"/>
      <c r="O220" s="38">
        <f t="shared" si="18"/>
        <v>0</v>
      </c>
      <c r="P220" s="12"/>
      <c r="Q220" s="42"/>
      <c r="R220" s="15"/>
      <c r="S220" s="44"/>
      <c r="T220" s="15"/>
      <c r="U220" s="44"/>
      <c r="V220" s="15">
        <f t="shared" si="19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20"/>
        <v>0</v>
      </c>
      <c r="AF220" s="101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17"/>
        <v>0</v>
      </c>
      <c r="BA220" s="15"/>
      <c r="BB220" s="44"/>
      <c r="BC220" s="15"/>
      <c r="BD220" s="44"/>
      <c r="BE220" s="15">
        <f t="shared" si="16"/>
        <v>0</v>
      </c>
    </row>
    <row r="221" spans="1:57" s="8" customFormat="1" ht="22.5" customHeight="1">
      <c r="A221" s="9"/>
      <c r="B221" s="16" t="s">
        <v>204</v>
      </c>
      <c r="C221" s="89" t="s">
        <v>48</v>
      </c>
      <c r="D221" s="69" t="s">
        <v>296</v>
      </c>
      <c r="E221" s="13" t="s">
        <v>347</v>
      </c>
      <c r="F221" s="96"/>
      <c r="G221" s="9"/>
      <c r="H221" s="9" t="s">
        <v>207</v>
      </c>
      <c r="I221" s="14"/>
      <c r="J221" s="14"/>
      <c r="K221" s="12">
        <v>0</v>
      </c>
      <c r="L221" s="9"/>
      <c r="M221" s="9"/>
      <c r="N221" s="9"/>
      <c r="O221" s="38">
        <f t="shared" si="18"/>
        <v>0</v>
      </c>
      <c r="P221" s="12"/>
      <c r="Q221" s="42"/>
      <c r="R221" s="15"/>
      <c r="S221" s="44"/>
      <c r="T221" s="15"/>
      <c r="U221" s="44"/>
      <c r="V221" s="15">
        <f t="shared" si="19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20"/>
        <v>0</v>
      </c>
      <c r="AF221" s="101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17"/>
        <v>0</v>
      </c>
      <c r="BA221" s="15"/>
      <c r="BB221" s="44"/>
      <c r="BC221" s="15"/>
      <c r="BD221" s="44"/>
      <c r="BE221" s="15">
        <f t="shared" si="16"/>
        <v>0</v>
      </c>
    </row>
    <row r="222" spans="1:57" s="8" customFormat="1" ht="22.5" customHeight="1">
      <c r="A222" s="9"/>
      <c r="B222" s="16" t="s">
        <v>204</v>
      </c>
      <c r="C222" s="89" t="s">
        <v>48</v>
      </c>
      <c r="D222" s="69" t="s">
        <v>297</v>
      </c>
      <c r="E222" s="13" t="s">
        <v>222</v>
      </c>
      <c r="F222" s="96"/>
      <c r="G222" s="9"/>
      <c r="H222" s="9" t="s">
        <v>207</v>
      </c>
      <c r="I222" s="14"/>
      <c r="J222" s="14"/>
      <c r="K222" s="12">
        <v>49</v>
      </c>
      <c r="L222" s="9"/>
      <c r="M222" s="9"/>
      <c r="N222" s="9"/>
      <c r="O222" s="38">
        <f t="shared" si="18"/>
        <v>49</v>
      </c>
      <c r="P222" s="12"/>
      <c r="Q222" s="42"/>
      <c r="R222" s="15"/>
      <c r="S222" s="44"/>
      <c r="T222" s="15"/>
      <c r="U222" s="44"/>
      <c r="V222" s="15">
        <f t="shared" si="19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20"/>
        <v>0</v>
      </c>
      <c r="AF222" s="101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17"/>
        <v>0</v>
      </c>
      <c r="BA222" s="15"/>
      <c r="BB222" s="44"/>
      <c r="BC222" s="15"/>
      <c r="BD222" s="44"/>
      <c r="BE222" s="15">
        <f t="shared" si="16"/>
        <v>0</v>
      </c>
    </row>
    <row r="223" spans="1:57" s="8" customFormat="1" ht="22.5" customHeight="1">
      <c r="A223" s="9"/>
      <c r="B223" s="18" t="s">
        <v>172</v>
      </c>
      <c r="C223" s="89" t="s">
        <v>50</v>
      </c>
      <c r="D223" s="66" t="s">
        <v>349</v>
      </c>
      <c r="E223" s="35"/>
      <c r="F223" s="96"/>
      <c r="G223" s="21"/>
      <c r="H223" s="21" t="s">
        <v>67</v>
      </c>
      <c r="I223" s="14"/>
      <c r="J223" s="14"/>
      <c r="K223" s="12">
        <v>0</v>
      </c>
      <c r="L223" s="9"/>
      <c r="M223" s="9"/>
      <c r="N223" s="9"/>
      <c r="O223" s="38">
        <f t="shared" si="18"/>
        <v>0</v>
      </c>
      <c r="P223" s="12"/>
      <c r="Q223" s="42"/>
      <c r="R223" s="15"/>
      <c r="S223" s="44"/>
      <c r="T223" s="15"/>
      <c r="U223" s="44"/>
      <c r="V223" s="15">
        <f t="shared" si="19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20"/>
        <v>0</v>
      </c>
      <c r="AF223" s="101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17"/>
        <v>0</v>
      </c>
      <c r="BA223" s="15"/>
      <c r="BB223" s="44"/>
      <c r="BC223" s="15"/>
      <c r="BD223" s="44"/>
      <c r="BE223" s="15">
        <f t="shared" si="16"/>
        <v>0</v>
      </c>
    </row>
    <row r="224" spans="1:57" s="8" customFormat="1" ht="22.5" customHeight="1">
      <c r="A224" s="9"/>
      <c r="B224" s="18" t="s">
        <v>172</v>
      </c>
      <c r="C224" s="89" t="s">
        <v>50</v>
      </c>
      <c r="D224" s="58" t="s">
        <v>350</v>
      </c>
      <c r="E224" s="35"/>
      <c r="F224" s="96"/>
      <c r="G224" s="21"/>
      <c r="H224" s="21" t="s">
        <v>67</v>
      </c>
      <c r="I224" s="14"/>
      <c r="J224" s="14"/>
      <c r="K224" s="12">
        <v>0</v>
      </c>
      <c r="L224" s="9"/>
      <c r="M224" s="9"/>
      <c r="N224" s="9"/>
      <c r="O224" s="38">
        <f t="shared" si="18"/>
        <v>0</v>
      </c>
      <c r="P224" s="12"/>
      <c r="Q224" s="42"/>
      <c r="R224" s="15"/>
      <c r="S224" s="44"/>
      <c r="T224" s="15"/>
      <c r="U224" s="44"/>
      <c r="V224" s="15">
        <f t="shared" si="19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20"/>
        <v>0</v>
      </c>
      <c r="AF224" s="101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17"/>
        <v>0</v>
      </c>
      <c r="BA224" s="15"/>
      <c r="BB224" s="44"/>
      <c r="BC224" s="15"/>
      <c r="BD224" s="44"/>
      <c r="BE224" s="15">
        <f t="shared" si="16"/>
        <v>0</v>
      </c>
    </row>
    <row r="225" spans="1:57" s="8" customFormat="1" ht="22.5" customHeight="1">
      <c r="A225" s="9"/>
      <c r="B225" s="16" t="s">
        <v>172</v>
      </c>
      <c r="C225" s="89" t="s">
        <v>50</v>
      </c>
      <c r="D225" s="72" t="s">
        <v>351</v>
      </c>
      <c r="E225" s="13"/>
      <c r="F225" s="96"/>
      <c r="G225" s="9"/>
      <c r="H225" s="9" t="s">
        <v>67</v>
      </c>
      <c r="I225" s="14"/>
      <c r="J225" s="14"/>
      <c r="K225" s="12">
        <v>62</v>
      </c>
      <c r="L225" s="9"/>
      <c r="M225" s="9"/>
      <c r="N225" s="9"/>
      <c r="O225" s="38">
        <f t="shared" si="18"/>
        <v>62</v>
      </c>
      <c r="P225" s="12"/>
      <c r="Q225" s="42"/>
      <c r="R225" s="15"/>
      <c r="S225" s="44"/>
      <c r="T225" s="15"/>
      <c r="U225" s="44"/>
      <c r="V225" s="15">
        <f t="shared" si="19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20"/>
        <v>0</v>
      </c>
      <c r="AF225" s="101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17"/>
        <v>0</v>
      </c>
      <c r="BA225" s="15"/>
      <c r="BB225" s="44"/>
      <c r="BC225" s="15"/>
      <c r="BD225" s="44"/>
      <c r="BE225" s="15">
        <f t="shared" si="16"/>
        <v>0</v>
      </c>
    </row>
    <row r="226" spans="1:57" s="8" customFormat="1" ht="22.5" customHeight="1">
      <c r="A226" s="9"/>
      <c r="B226" s="16" t="s">
        <v>172</v>
      </c>
      <c r="C226" s="89" t="s">
        <v>50</v>
      </c>
      <c r="D226" s="78" t="s">
        <v>352</v>
      </c>
      <c r="E226" s="13"/>
      <c r="F226" s="96"/>
      <c r="G226" s="9"/>
      <c r="H226" s="9" t="s">
        <v>67</v>
      </c>
      <c r="I226" s="14"/>
      <c r="J226" s="14"/>
      <c r="K226" s="12">
        <v>0</v>
      </c>
      <c r="L226" s="9"/>
      <c r="M226" s="9"/>
      <c r="N226" s="9"/>
      <c r="O226" s="38">
        <f t="shared" si="18"/>
        <v>0</v>
      </c>
      <c r="P226" s="12"/>
      <c r="Q226" s="42"/>
      <c r="R226" s="15"/>
      <c r="S226" s="44"/>
      <c r="T226" s="15"/>
      <c r="U226" s="44"/>
      <c r="V226" s="15">
        <f t="shared" si="19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20"/>
        <v>0</v>
      </c>
      <c r="AF226" s="101"/>
      <c r="AG226" s="42"/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17"/>
        <v>0</v>
      </c>
      <c r="BA226" s="15"/>
      <c r="BB226" s="44"/>
      <c r="BC226" s="15"/>
      <c r="BD226" s="44"/>
      <c r="BE226" s="15">
        <f t="shared" ref="BE226:BE289" si="21">(BA226+BC226)</f>
        <v>0</v>
      </c>
    </row>
    <row r="227" spans="1:57" s="8" customFormat="1" ht="22.5" customHeight="1">
      <c r="A227" s="9"/>
      <c r="B227" s="16" t="s">
        <v>172</v>
      </c>
      <c r="C227" s="89" t="s">
        <v>50</v>
      </c>
      <c r="D227" s="78" t="s">
        <v>353</v>
      </c>
      <c r="E227" s="13"/>
      <c r="F227" s="96"/>
      <c r="G227" s="9"/>
      <c r="H227" s="9" t="s">
        <v>67</v>
      </c>
      <c r="I227" s="14"/>
      <c r="J227" s="14"/>
      <c r="K227" s="12">
        <v>68</v>
      </c>
      <c r="L227" s="9"/>
      <c r="M227" s="9"/>
      <c r="N227" s="9"/>
      <c r="O227" s="38">
        <f t="shared" si="18"/>
        <v>68</v>
      </c>
      <c r="P227" s="12"/>
      <c r="Q227" s="42"/>
      <c r="R227" s="15"/>
      <c r="S227" s="44"/>
      <c r="T227" s="15"/>
      <c r="U227" s="44"/>
      <c r="V227" s="15">
        <f t="shared" si="19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20"/>
        <v>0</v>
      </c>
      <c r="AF227" s="101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17"/>
        <v>0</v>
      </c>
      <c r="BA227" s="15"/>
      <c r="BB227" s="44"/>
      <c r="BC227" s="15"/>
      <c r="BD227" s="44"/>
      <c r="BE227" s="15">
        <f t="shared" si="21"/>
        <v>0</v>
      </c>
    </row>
    <row r="228" spans="1:57" s="8" customFormat="1" ht="22.5" customHeight="1">
      <c r="A228" s="9"/>
      <c r="B228" s="16" t="s">
        <v>172</v>
      </c>
      <c r="C228" s="89" t="s">
        <v>50</v>
      </c>
      <c r="D228" s="78" t="s">
        <v>354</v>
      </c>
      <c r="E228" s="13"/>
      <c r="F228" s="96"/>
      <c r="G228" s="9"/>
      <c r="H228" s="9" t="s">
        <v>67</v>
      </c>
      <c r="I228" s="14"/>
      <c r="J228" s="14"/>
      <c r="K228" s="12">
        <v>0</v>
      </c>
      <c r="L228" s="9"/>
      <c r="M228" s="9"/>
      <c r="N228" s="9"/>
      <c r="O228" s="38">
        <f t="shared" si="18"/>
        <v>0</v>
      </c>
      <c r="P228" s="12"/>
      <c r="Q228" s="42"/>
      <c r="R228" s="15"/>
      <c r="S228" s="44"/>
      <c r="T228" s="15"/>
      <c r="U228" s="44"/>
      <c r="V228" s="15">
        <f t="shared" si="19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20"/>
        <v>0</v>
      </c>
      <c r="AF228" s="101"/>
      <c r="AG228" s="42"/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17"/>
        <v>0</v>
      </c>
      <c r="BA228" s="15"/>
      <c r="BB228" s="44"/>
      <c r="BC228" s="15"/>
      <c r="BD228" s="44"/>
      <c r="BE228" s="15">
        <f t="shared" si="21"/>
        <v>0</v>
      </c>
    </row>
    <row r="229" spans="1:57" s="8" customFormat="1" ht="22.5" customHeight="1">
      <c r="A229" s="9"/>
      <c r="B229" s="16" t="s">
        <v>172</v>
      </c>
      <c r="C229" s="89" t="s">
        <v>50</v>
      </c>
      <c r="D229" s="78" t="s">
        <v>355</v>
      </c>
      <c r="E229" s="13"/>
      <c r="F229" s="96"/>
      <c r="G229" s="9"/>
      <c r="H229" s="9" t="s">
        <v>67</v>
      </c>
      <c r="I229" s="14"/>
      <c r="J229" s="14"/>
      <c r="K229" s="12">
        <v>31</v>
      </c>
      <c r="L229" s="9"/>
      <c r="M229" s="9"/>
      <c r="N229" s="9"/>
      <c r="O229" s="38">
        <f t="shared" si="18"/>
        <v>31</v>
      </c>
      <c r="P229" s="12"/>
      <c r="Q229" s="42"/>
      <c r="R229" s="15"/>
      <c r="S229" s="44"/>
      <c r="T229" s="15"/>
      <c r="U229" s="44"/>
      <c r="V229" s="15">
        <f t="shared" si="19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20"/>
        <v>0</v>
      </c>
      <c r="AF229" s="101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ref="AZ229:AZ292" si="22">AF229+AH229+AJ229+AL229+AN229+AP229+AR229+AT229+AV229+AX229</f>
        <v>0</v>
      </c>
      <c r="BA229" s="15"/>
      <c r="BB229" s="44"/>
      <c r="BC229" s="15"/>
      <c r="BD229" s="44"/>
      <c r="BE229" s="15">
        <f t="shared" si="21"/>
        <v>0</v>
      </c>
    </row>
    <row r="230" spans="1:57" s="8" customFormat="1" ht="22.5" customHeight="1">
      <c r="A230" s="9"/>
      <c r="B230" s="16" t="s">
        <v>120</v>
      </c>
      <c r="C230" s="92" t="s">
        <v>50</v>
      </c>
      <c r="D230" s="79" t="s">
        <v>356</v>
      </c>
      <c r="E230" s="13" t="s">
        <v>357</v>
      </c>
      <c r="F230" s="12"/>
      <c r="G230" s="9"/>
      <c r="H230" s="9" t="s">
        <v>67</v>
      </c>
      <c r="I230" s="14"/>
      <c r="J230" s="14"/>
      <c r="K230" s="12">
        <v>616</v>
      </c>
      <c r="L230" s="9"/>
      <c r="M230" s="9"/>
      <c r="N230" s="9"/>
      <c r="O230" s="38">
        <f t="shared" si="18"/>
        <v>616</v>
      </c>
      <c r="P230" s="12"/>
      <c r="Q230" s="42"/>
      <c r="R230" s="15"/>
      <c r="S230" s="44"/>
      <c r="T230" s="15"/>
      <c r="U230" s="44"/>
      <c r="V230" s="15">
        <f t="shared" si="19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20"/>
        <v>0</v>
      </c>
      <c r="AF230" s="101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2"/>
        <v>0</v>
      </c>
      <c r="BA230" s="15"/>
      <c r="BB230" s="44"/>
      <c r="BC230" s="15"/>
      <c r="BD230" s="44"/>
      <c r="BE230" s="15">
        <f t="shared" si="21"/>
        <v>0</v>
      </c>
    </row>
    <row r="231" spans="1:57" s="8" customFormat="1" ht="22.5" customHeight="1">
      <c r="A231" s="9"/>
      <c r="B231" s="16" t="s">
        <v>120</v>
      </c>
      <c r="C231" s="92" t="s">
        <v>50</v>
      </c>
      <c r="D231" s="79" t="s">
        <v>358</v>
      </c>
      <c r="E231" s="13" t="s">
        <v>359</v>
      </c>
      <c r="F231" s="12"/>
      <c r="G231" s="9"/>
      <c r="H231" s="9" t="s">
        <v>67</v>
      </c>
      <c r="I231" s="14"/>
      <c r="J231" s="14"/>
      <c r="K231" s="12">
        <v>73</v>
      </c>
      <c r="L231" s="9"/>
      <c r="M231" s="9"/>
      <c r="N231" s="9"/>
      <c r="O231" s="38">
        <f t="shared" si="18"/>
        <v>73</v>
      </c>
      <c r="P231" s="12"/>
      <c r="Q231" s="42"/>
      <c r="R231" s="15"/>
      <c r="S231" s="44"/>
      <c r="T231" s="15"/>
      <c r="U231" s="44"/>
      <c r="V231" s="15">
        <f t="shared" si="19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20"/>
        <v>0</v>
      </c>
      <c r="AF231" s="101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2"/>
        <v>0</v>
      </c>
      <c r="BA231" s="15"/>
      <c r="BB231" s="44"/>
      <c r="BC231" s="15"/>
      <c r="BD231" s="44"/>
      <c r="BE231" s="15">
        <f t="shared" si="21"/>
        <v>0</v>
      </c>
    </row>
    <row r="232" spans="1:57" s="8" customFormat="1" ht="22.5" customHeight="1">
      <c r="A232" s="9"/>
      <c r="B232" s="16" t="s">
        <v>120</v>
      </c>
      <c r="C232" s="92" t="s">
        <v>50</v>
      </c>
      <c r="D232" s="79" t="s">
        <v>360</v>
      </c>
      <c r="E232" s="13" t="s">
        <v>361</v>
      </c>
      <c r="F232" s="12"/>
      <c r="G232" s="9"/>
      <c r="H232" s="9" t="s">
        <v>67</v>
      </c>
      <c r="I232" s="14"/>
      <c r="J232" s="14"/>
      <c r="K232" s="12">
        <v>227</v>
      </c>
      <c r="L232" s="9"/>
      <c r="M232" s="9"/>
      <c r="N232" s="9"/>
      <c r="O232" s="38">
        <f t="shared" si="18"/>
        <v>227</v>
      </c>
      <c r="P232" s="12"/>
      <c r="Q232" s="42"/>
      <c r="R232" s="15"/>
      <c r="S232" s="44"/>
      <c r="T232" s="15"/>
      <c r="U232" s="44"/>
      <c r="V232" s="15">
        <f t="shared" si="19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20"/>
        <v>0</v>
      </c>
      <c r="AF232" s="101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2"/>
        <v>0</v>
      </c>
      <c r="BA232" s="15"/>
      <c r="BB232" s="44"/>
      <c r="BC232" s="15"/>
      <c r="BD232" s="44"/>
      <c r="BE232" s="15">
        <f t="shared" si="21"/>
        <v>0</v>
      </c>
    </row>
    <row r="233" spans="1:57" s="8" customFormat="1" ht="22.5" customHeight="1">
      <c r="A233" s="9"/>
      <c r="B233" s="16" t="s">
        <v>120</v>
      </c>
      <c r="C233" s="92" t="s">
        <v>50</v>
      </c>
      <c r="D233" s="79" t="s">
        <v>362</v>
      </c>
      <c r="E233" s="13" t="s">
        <v>363</v>
      </c>
      <c r="F233" s="12"/>
      <c r="G233" s="9"/>
      <c r="H233" s="9" t="s">
        <v>67</v>
      </c>
      <c r="I233" s="14"/>
      <c r="J233" s="14"/>
      <c r="K233" s="12">
        <v>250</v>
      </c>
      <c r="L233" s="9"/>
      <c r="M233" s="9"/>
      <c r="N233" s="9"/>
      <c r="O233" s="38">
        <f t="shared" si="18"/>
        <v>250</v>
      </c>
      <c r="P233" s="12"/>
      <c r="Q233" s="42"/>
      <c r="R233" s="15"/>
      <c r="S233" s="44"/>
      <c r="T233" s="15"/>
      <c r="U233" s="44"/>
      <c r="V233" s="15">
        <f t="shared" si="19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20"/>
        <v>0</v>
      </c>
      <c r="AF233" s="101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2"/>
        <v>0</v>
      </c>
      <c r="BA233" s="15"/>
      <c r="BB233" s="44"/>
      <c r="BC233" s="15"/>
      <c r="BD233" s="44"/>
      <c r="BE233" s="15">
        <f t="shared" si="21"/>
        <v>0</v>
      </c>
    </row>
    <row r="234" spans="1:57" s="8" customFormat="1" ht="21.95" customHeight="1">
      <c r="A234" s="9"/>
      <c r="B234" s="16" t="s">
        <v>204</v>
      </c>
      <c r="C234" s="92" t="s">
        <v>50</v>
      </c>
      <c r="D234" s="58" t="s">
        <v>364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164</v>
      </c>
      <c r="L234" s="9"/>
      <c r="M234" s="9"/>
      <c r="N234" s="9"/>
      <c r="O234" s="38">
        <f t="shared" si="18"/>
        <v>164</v>
      </c>
      <c r="P234" s="12"/>
      <c r="Q234" s="42"/>
      <c r="R234" s="15"/>
      <c r="S234" s="44"/>
      <c r="T234" s="15"/>
      <c r="U234" s="44"/>
      <c r="V234" s="15">
        <f t="shared" si="19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20"/>
        <v>0</v>
      </c>
      <c r="AF234" s="101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2"/>
        <v>0</v>
      </c>
      <c r="BA234" s="15"/>
      <c r="BB234" s="44"/>
      <c r="BC234" s="15"/>
      <c r="BD234" s="44"/>
      <c r="BE234" s="15">
        <f t="shared" si="21"/>
        <v>0</v>
      </c>
    </row>
    <row r="235" spans="1:57" s="8" customFormat="1" ht="21.95" customHeight="1">
      <c r="A235" s="9"/>
      <c r="B235" s="16" t="s">
        <v>204</v>
      </c>
      <c r="C235" s="92" t="s">
        <v>50</v>
      </c>
      <c r="D235" s="58" t="s">
        <v>366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178</v>
      </c>
      <c r="L235" s="9"/>
      <c r="M235" s="9"/>
      <c r="N235" s="9"/>
      <c r="O235" s="38">
        <f t="shared" si="18"/>
        <v>178</v>
      </c>
      <c r="P235" s="12"/>
      <c r="Q235" s="42"/>
      <c r="R235" s="15"/>
      <c r="S235" s="44"/>
      <c r="T235" s="15"/>
      <c r="U235" s="44"/>
      <c r="V235" s="15">
        <f t="shared" si="19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20"/>
        <v>0</v>
      </c>
      <c r="AF235" s="101"/>
      <c r="AG235" s="42"/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2"/>
        <v>0</v>
      </c>
      <c r="BA235" s="15"/>
      <c r="BB235" s="44"/>
      <c r="BC235" s="15"/>
      <c r="BD235" s="44"/>
      <c r="BE235" s="15">
        <f t="shared" si="21"/>
        <v>0</v>
      </c>
    </row>
    <row r="236" spans="1:57" s="8" customFormat="1" ht="21.95" customHeight="1">
      <c r="A236" s="9"/>
      <c r="B236" s="16" t="s">
        <v>204</v>
      </c>
      <c r="C236" s="92" t="s">
        <v>50</v>
      </c>
      <c r="D236" s="58" t="s">
        <v>367</v>
      </c>
      <c r="E236" s="35" t="s">
        <v>368</v>
      </c>
      <c r="F236" s="20"/>
      <c r="G236" s="21"/>
      <c r="H236" s="21" t="s">
        <v>207</v>
      </c>
      <c r="I236" s="14"/>
      <c r="J236" s="14"/>
      <c r="K236" s="12">
        <v>205</v>
      </c>
      <c r="L236" s="9"/>
      <c r="M236" s="9"/>
      <c r="N236" s="9"/>
      <c r="O236" s="38">
        <f t="shared" si="18"/>
        <v>205</v>
      </c>
      <c r="P236" s="12"/>
      <c r="Q236" s="42"/>
      <c r="R236" s="15"/>
      <c r="S236" s="44"/>
      <c r="T236" s="15"/>
      <c r="U236" s="44"/>
      <c r="V236" s="15">
        <f t="shared" si="19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20"/>
        <v>0</v>
      </c>
      <c r="AF236" s="101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2"/>
        <v>0</v>
      </c>
      <c r="BA236" s="15"/>
      <c r="BB236" s="44"/>
      <c r="BC236" s="15"/>
      <c r="BD236" s="44"/>
      <c r="BE236" s="15">
        <f t="shared" si="21"/>
        <v>0</v>
      </c>
    </row>
    <row r="237" spans="1:57" s="8" customFormat="1" ht="21.95" customHeight="1">
      <c r="A237" s="9"/>
      <c r="B237" s="16" t="s">
        <v>204</v>
      </c>
      <c r="C237" s="92" t="s">
        <v>50</v>
      </c>
      <c r="D237" s="58" t="s">
        <v>369</v>
      </c>
      <c r="E237" s="35" t="s">
        <v>365</v>
      </c>
      <c r="F237" s="20"/>
      <c r="G237" s="21"/>
      <c r="H237" s="21" t="s">
        <v>207</v>
      </c>
      <c r="I237" s="14"/>
      <c r="J237" s="14"/>
      <c r="K237" s="12">
        <v>36</v>
      </c>
      <c r="L237" s="9"/>
      <c r="M237" s="9"/>
      <c r="N237" s="9"/>
      <c r="O237" s="38">
        <f t="shared" si="18"/>
        <v>36</v>
      </c>
      <c r="P237" s="12"/>
      <c r="Q237" s="42"/>
      <c r="R237" s="15"/>
      <c r="S237" s="44"/>
      <c r="T237" s="15"/>
      <c r="U237" s="44"/>
      <c r="V237" s="15">
        <f t="shared" si="19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20"/>
        <v>0</v>
      </c>
      <c r="AF237" s="101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2"/>
        <v>0</v>
      </c>
      <c r="BA237" s="15"/>
      <c r="BB237" s="44"/>
      <c r="BC237" s="15"/>
      <c r="BD237" s="44"/>
      <c r="BE237" s="15">
        <f t="shared" si="21"/>
        <v>0</v>
      </c>
    </row>
    <row r="238" spans="1:57" s="8" customFormat="1" ht="21.95" customHeight="1">
      <c r="A238" s="9"/>
      <c r="B238" s="16" t="s">
        <v>204</v>
      </c>
      <c r="C238" s="92" t="s">
        <v>50</v>
      </c>
      <c r="D238" s="58" t="s">
        <v>370</v>
      </c>
      <c r="E238" s="35" t="s">
        <v>365</v>
      </c>
      <c r="F238" s="20"/>
      <c r="G238" s="21"/>
      <c r="H238" s="21" t="s">
        <v>207</v>
      </c>
      <c r="I238" s="14"/>
      <c r="J238" s="14"/>
      <c r="K238" s="12">
        <v>544</v>
      </c>
      <c r="L238" s="9"/>
      <c r="M238" s="9"/>
      <c r="N238" s="9"/>
      <c r="O238" s="38">
        <f t="shared" si="18"/>
        <v>544</v>
      </c>
      <c r="P238" s="12"/>
      <c r="Q238" s="42"/>
      <c r="R238" s="15"/>
      <c r="S238" s="44"/>
      <c r="T238" s="15"/>
      <c r="U238" s="44"/>
      <c r="V238" s="15">
        <f t="shared" si="19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20"/>
        <v>0</v>
      </c>
      <c r="AF238" s="101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2"/>
        <v>0</v>
      </c>
      <c r="BA238" s="15"/>
      <c r="BB238" s="44"/>
      <c r="BC238" s="15"/>
      <c r="BD238" s="44"/>
      <c r="BE238" s="15">
        <f t="shared" si="21"/>
        <v>0</v>
      </c>
    </row>
    <row r="239" spans="1:57" s="8" customFormat="1" ht="21.95" customHeight="1">
      <c r="A239" s="9"/>
      <c r="B239" s="16" t="s">
        <v>204</v>
      </c>
      <c r="C239" s="92" t="s">
        <v>50</v>
      </c>
      <c r="D239" s="58" t="s">
        <v>371</v>
      </c>
      <c r="E239" s="35" t="s">
        <v>365</v>
      </c>
      <c r="F239" s="20"/>
      <c r="G239" s="21"/>
      <c r="H239" s="21" t="s">
        <v>207</v>
      </c>
      <c r="I239" s="14"/>
      <c r="J239" s="14"/>
      <c r="K239" s="12">
        <v>537</v>
      </c>
      <c r="L239" s="9"/>
      <c r="M239" s="9"/>
      <c r="N239" s="9"/>
      <c r="O239" s="38">
        <f t="shared" si="18"/>
        <v>537</v>
      </c>
      <c r="P239" s="12"/>
      <c r="Q239" s="42"/>
      <c r="R239" s="15"/>
      <c r="S239" s="44"/>
      <c r="T239" s="15"/>
      <c r="U239" s="44"/>
      <c r="V239" s="15">
        <f t="shared" si="19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20"/>
        <v>0</v>
      </c>
      <c r="AF239" s="101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2"/>
        <v>0</v>
      </c>
      <c r="BA239" s="15"/>
      <c r="BB239" s="44"/>
      <c r="BC239" s="15"/>
      <c r="BD239" s="44"/>
      <c r="BE239" s="15">
        <f t="shared" si="21"/>
        <v>0</v>
      </c>
    </row>
    <row r="240" spans="1:57" s="8" customFormat="1" ht="21.95" customHeight="1">
      <c r="A240" s="9"/>
      <c r="B240" s="16" t="s">
        <v>204</v>
      </c>
      <c r="C240" s="92" t="s">
        <v>50</v>
      </c>
      <c r="D240" s="58" t="s">
        <v>372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0</v>
      </c>
      <c r="L240" s="9"/>
      <c r="M240" s="9"/>
      <c r="N240" s="9"/>
      <c r="O240" s="38">
        <f t="shared" si="18"/>
        <v>0</v>
      </c>
      <c r="P240" s="12"/>
      <c r="Q240" s="42"/>
      <c r="R240" s="15"/>
      <c r="S240" s="44"/>
      <c r="T240" s="15"/>
      <c r="U240" s="44"/>
      <c r="V240" s="15">
        <f t="shared" si="19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20"/>
        <v>0</v>
      </c>
      <c r="AF240" s="101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2"/>
        <v>0</v>
      </c>
      <c r="BA240" s="15"/>
      <c r="BB240" s="44"/>
      <c r="BC240" s="15"/>
      <c r="BD240" s="44"/>
      <c r="BE240" s="15">
        <f t="shared" si="21"/>
        <v>0</v>
      </c>
    </row>
    <row r="241" spans="1:57" s="8" customFormat="1" ht="21.95" customHeight="1">
      <c r="A241" s="9"/>
      <c r="B241" s="16" t="s">
        <v>204</v>
      </c>
      <c r="C241" s="92" t="s">
        <v>50</v>
      </c>
      <c r="D241" s="58" t="s">
        <v>205</v>
      </c>
      <c r="E241" s="35" t="s">
        <v>373</v>
      </c>
      <c r="F241" s="20"/>
      <c r="G241" s="21"/>
      <c r="H241" s="21" t="s">
        <v>374</v>
      </c>
      <c r="I241" s="14"/>
      <c r="J241" s="14"/>
      <c r="K241" s="12">
        <v>71</v>
      </c>
      <c r="L241" s="9"/>
      <c r="M241" s="9"/>
      <c r="N241" s="9"/>
      <c r="O241" s="38">
        <f t="shared" si="18"/>
        <v>71</v>
      </c>
      <c r="P241" s="12"/>
      <c r="Q241" s="42"/>
      <c r="R241" s="15"/>
      <c r="S241" s="44"/>
      <c r="T241" s="15"/>
      <c r="U241" s="44"/>
      <c r="V241" s="15">
        <f t="shared" si="19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20"/>
        <v>0</v>
      </c>
      <c r="AF241" s="101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2"/>
        <v>0</v>
      </c>
      <c r="BA241" s="15"/>
      <c r="BB241" s="44"/>
      <c r="BC241" s="15"/>
      <c r="BD241" s="44"/>
      <c r="BE241" s="15">
        <f t="shared" si="21"/>
        <v>0</v>
      </c>
    </row>
    <row r="242" spans="1:57" s="8" customFormat="1" ht="21.95" customHeight="1">
      <c r="A242" s="9"/>
      <c r="B242" s="16" t="s">
        <v>204</v>
      </c>
      <c r="C242" s="92" t="s">
        <v>50</v>
      </c>
      <c r="D242" s="58" t="s">
        <v>375</v>
      </c>
      <c r="E242" s="35" t="s">
        <v>373</v>
      </c>
      <c r="F242" s="20"/>
      <c r="G242" s="21"/>
      <c r="H242" s="21" t="s">
        <v>207</v>
      </c>
      <c r="I242" s="14"/>
      <c r="J242" s="14"/>
      <c r="K242" s="12">
        <v>553</v>
      </c>
      <c r="L242" s="9"/>
      <c r="M242" s="9"/>
      <c r="N242" s="9"/>
      <c r="O242" s="38">
        <f t="shared" si="18"/>
        <v>553</v>
      </c>
      <c r="P242" s="12"/>
      <c r="Q242" s="42"/>
      <c r="R242" s="15"/>
      <c r="S242" s="44"/>
      <c r="T242" s="15"/>
      <c r="U242" s="44"/>
      <c r="V242" s="15">
        <f t="shared" si="19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20"/>
        <v>0</v>
      </c>
      <c r="AF242" s="101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2"/>
        <v>0</v>
      </c>
      <c r="BA242" s="15"/>
      <c r="BB242" s="44"/>
      <c r="BC242" s="15"/>
      <c r="BD242" s="44"/>
      <c r="BE242" s="15">
        <f t="shared" si="21"/>
        <v>0</v>
      </c>
    </row>
    <row r="243" spans="1:57" s="8" customFormat="1" ht="21.95" customHeight="1">
      <c r="A243" s="9"/>
      <c r="B243" s="16" t="s">
        <v>204</v>
      </c>
      <c r="C243" s="92" t="s">
        <v>50</v>
      </c>
      <c r="D243" s="58" t="s">
        <v>376</v>
      </c>
      <c r="E243" s="35" t="s">
        <v>373</v>
      </c>
      <c r="F243" s="20"/>
      <c r="G243" s="21"/>
      <c r="H243" s="21" t="s">
        <v>207</v>
      </c>
      <c r="I243" s="14"/>
      <c r="J243" s="14"/>
      <c r="K243" s="12">
        <v>529</v>
      </c>
      <c r="L243" s="9"/>
      <c r="M243" s="9"/>
      <c r="N243" s="9"/>
      <c r="O243" s="38">
        <f t="shared" si="18"/>
        <v>529</v>
      </c>
      <c r="P243" s="12"/>
      <c r="Q243" s="42"/>
      <c r="R243" s="15"/>
      <c r="S243" s="44"/>
      <c r="T243" s="15"/>
      <c r="U243" s="44"/>
      <c r="V243" s="15">
        <f t="shared" si="19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20"/>
        <v>0</v>
      </c>
      <c r="AF243" s="101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2"/>
        <v>0</v>
      </c>
      <c r="BA243" s="15"/>
      <c r="BB243" s="44"/>
      <c r="BC243" s="15"/>
      <c r="BD243" s="44"/>
      <c r="BE243" s="15">
        <f t="shared" si="21"/>
        <v>0</v>
      </c>
    </row>
    <row r="244" spans="1:57" s="8" customFormat="1" ht="21.95" customHeight="1">
      <c r="A244" s="9"/>
      <c r="B244" s="16" t="s">
        <v>204</v>
      </c>
      <c r="C244" s="92" t="s">
        <v>50</v>
      </c>
      <c r="D244" s="58" t="s">
        <v>377</v>
      </c>
      <c r="E244" s="35" t="s">
        <v>365</v>
      </c>
      <c r="F244" s="20"/>
      <c r="G244" s="21"/>
      <c r="H244" s="21" t="s">
        <v>207</v>
      </c>
      <c r="I244" s="14"/>
      <c r="J244" s="14"/>
      <c r="K244" s="12">
        <v>554</v>
      </c>
      <c r="L244" s="9"/>
      <c r="M244" s="9"/>
      <c r="N244" s="9"/>
      <c r="O244" s="38">
        <f t="shared" si="18"/>
        <v>554</v>
      </c>
      <c r="P244" s="12"/>
      <c r="Q244" s="42"/>
      <c r="R244" s="15"/>
      <c r="S244" s="44"/>
      <c r="T244" s="15"/>
      <c r="U244" s="44"/>
      <c r="V244" s="15">
        <f t="shared" si="19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20"/>
        <v>0</v>
      </c>
      <c r="AF244" s="101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2"/>
        <v>0</v>
      </c>
      <c r="BA244" s="15"/>
      <c r="BB244" s="44"/>
      <c r="BC244" s="15"/>
      <c r="BD244" s="44"/>
      <c r="BE244" s="15">
        <f t="shared" si="21"/>
        <v>0</v>
      </c>
    </row>
    <row r="245" spans="1:57" s="8" customFormat="1" ht="21.95" customHeight="1">
      <c r="A245" s="9"/>
      <c r="B245" s="16" t="s">
        <v>204</v>
      </c>
      <c r="C245" s="92" t="s">
        <v>50</v>
      </c>
      <c r="D245" s="58" t="s">
        <v>378</v>
      </c>
      <c r="E245" s="35" t="s">
        <v>368</v>
      </c>
      <c r="F245" s="20"/>
      <c r="G245" s="21"/>
      <c r="H245" s="21" t="s">
        <v>207</v>
      </c>
      <c r="I245" s="14"/>
      <c r="J245" s="14"/>
      <c r="K245" s="12">
        <v>500</v>
      </c>
      <c r="L245" s="9"/>
      <c r="M245" s="9"/>
      <c r="N245" s="9"/>
      <c r="O245" s="38">
        <f t="shared" si="18"/>
        <v>500</v>
      </c>
      <c r="P245" s="12"/>
      <c r="Q245" s="42"/>
      <c r="R245" s="15"/>
      <c r="S245" s="44"/>
      <c r="T245" s="15"/>
      <c r="U245" s="44"/>
      <c r="V245" s="15">
        <f t="shared" si="19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20"/>
        <v>0</v>
      </c>
      <c r="AF245" s="101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2"/>
        <v>0</v>
      </c>
      <c r="BA245" s="15"/>
      <c r="BB245" s="44"/>
      <c r="BC245" s="15"/>
      <c r="BD245" s="44"/>
      <c r="BE245" s="15">
        <f t="shared" si="21"/>
        <v>0</v>
      </c>
    </row>
    <row r="246" spans="1:57" s="8" customFormat="1" ht="21.95" customHeight="1">
      <c r="A246" s="9"/>
      <c r="B246" s="16" t="s">
        <v>204</v>
      </c>
      <c r="C246" s="92" t="s">
        <v>50</v>
      </c>
      <c r="D246" s="58" t="s">
        <v>379</v>
      </c>
      <c r="E246" s="35" t="s">
        <v>368</v>
      </c>
      <c r="F246" s="20"/>
      <c r="G246" s="21"/>
      <c r="H246" s="21" t="s">
        <v>207</v>
      </c>
      <c r="I246" s="14"/>
      <c r="J246" s="14"/>
      <c r="K246" s="12">
        <v>139</v>
      </c>
      <c r="L246" s="9"/>
      <c r="M246" s="9"/>
      <c r="N246" s="9"/>
      <c r="O246" s="38">
        <f t="shared" si="18"/>
        <v>139</v>
      </c>
      <c r="P246" s="12"/>
      <c r="Q246" s="42"/>
      <c r="R246" s="15"/>
      <c r="S246" s="44"/>
      <c r="T246" s="15"/>
      <c r="U246" s="44"/>
      <c r="V246" s="15">
        <f t="shared" si="19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20"/>
        <v>0</v>
      </c>
      <c r="AF246" s="101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2"/>
        <v>0</v>
      </c>
      <c r="BA246" s="15"/>
      <c r="BB246" s="44"/>
      <c r="BC246" s="15"/>
      <c r="BD246" s="44"/>
      <c r="BE246" s="15">
        <f t="shared" si="21"/>
        <v>0</v>
      </c>
    </row>
    <row r="247" spans="1:57" s="8" customFormat="1" ht="21.95" customHeight="1">
      <c r="A247" s="9"/>
      <c r="B247" s="16" t="s">
        <v>204</v>
      </c>
      <c r="C247" s="92" t="s">
        <v>50</v>
      </c>
      <c r="D247" s="58" t="s">
        <v>380</v>
      </c>
      <c r="E247" s="35" t="s">
        <v>373</v>
      </c>
      <c r="F247" s="20"/>
      <c r="G247" s="21"/>
      <c r="H247" s="21" t="s">
        <v>207</v>
      </c>
      <c r="I247" s="14"/>
      <c r="J247" s="14"/>
      <c r="K247" s="12">
        <v>550</v>
      </c>
      <c r="L247" s="9"/>
      <c r="M247" s="9"/>
      <c r="N247" s="9"/>
      <c r="O247" s="38">
        <f t="shared" si="18"/>
        <v>550</v>
      </c>
      <c r="P247" s="12"/>
      <c r="Q247" s="42"/>
      <c r="R247" s="15"/>
      <c r="S247" s="44"/>
      <c r="T247" s="15"/>
      <c r="U247" s="44"/>
      <c r="V247" s="15">
        <f t="shared" si="19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20"/>
        <v>0</v>
      </c>
      <c r="AF247" s="101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2"/>
        <v>0</v>
      </c>
      <c r="BA247" s="15"/>
      <c r="BB247" s="44"/>
      <c r="BC247" s="15"/>
      <c r="BD247" s="44"/>
      <c r="BE247" s="15">
        <f t="shared" si="21"/>
        <v>0</v>
      </c>
    </row>
    <row r="248" spans="1:57" s="8" customFormat="1" ht="21.95" customHeight="1">
      <c r="A248" s="9"/>
      <c r="B248" s="16" t="s">
        <v>204</v>
      </c>
      <c r="C248" s="92" t="s">
        <v>50</v>
      </c>
      <c r="D248" s="58" t="s">
        <v>381</v>
      </c>
      <c r="E248" s="35" t="s">
        <v>382</v>
      </c>
      <c r="F248" s="20"/>
      <c r="G248" s="21"/>
      <c r="H248" s="21" t="s">
        <v>207</v>
      </c>
      <c r="I248" s="14"/>
      <c r="J248" s="14"/>
      <c r="K248" s="12">
        <v>551</v>
      </c>
      <c r="L248" s="9"/>
      <c r="M248" s="9"/>
      <c r="N248" s="9"/>
      <c r="O248" s="38">
        <f t="shared" si="18"/>
        <v>551</v>
      </c>
      <c r="P248" s="12"/>
      <c r="Q248" s="42"/>
      <c r="R248" s="15"/>
      <c r="S248" s="44"/>
      <c r="T248" s="15"/>
      <c r="U248" s="44"/>
      <c r="V248" s="15">
        <f t="shared" si="19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20"/>
        <v>0</v>
      </c>
      <c r="AF248" s="101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2"/>
        <v>0</v>
      </c>
      <c r="BA248" s="15"/>
      <c r="BB248" s="44"/>
      <c r="BC248" s="15"/>
      <c r="BD248" s="44"/>
      <c r="BE248" s="15">
        <f t="shared" si="21"/>
        <v>0</v>
      </c>
    </row>
    <row r="249" spans="1:57" s="8" customFormat="1" ht="21.95" customHeight="1">
      <c r="A249" s="9"/>
      <c r="B249" s="16" t="s">
        <v>204</v>
      </c>
      <c r="C249" s="92" t="s">
        <v>50</v>
      </c>
      <c r="D249" s="58" t="s">
        <v>383</v>
      </c>
      <c r="E249" s="35" t="s">
        <v>384</v>
      </c>
      <c r="F249" s="20"/>
      <c r="G249" s="21"/>
      <c r="H249" s="21" t="s">
        <v>207</v>
      </c>
      <c r="I249" s="14"/>
      <c r="J249" s="14"/>
      <c r="K249" s="12">
        <v>552</v>
      </c>
      <c r="L249" s="9"/>
      <c r="M249" s="9"/>
      <c r="N249" s="9"/>
      <c r="O249" s="38">
        <f t="shared" si="18"/>
        <v>552</v>
      </c>
      <c r="P249" s="12"/>
      <c r="Q249" s="42"/>
      <c r="R249" s="15"/>
      <c r="S249" s="44"/>
      <c r="T249" s="15"/>
      <c r="U249" s="44"/>
      <c r="V249" s="15">
        <f t="shared" si="19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20"/>
        <v>0</v>
      </c>
      <c r="AF249" s="101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2"/>
        <v>0</v>
      </c>
      <c r="BA249" s="15"/>
      <c r="BB249" s="44"/>
      <c r="BC249" s="15"/>
      <c r="BD249" s="44"/>
      <c r="BE249" s="15">
        <f t="shared" si="21"/>
        <v>0</v>
      </c>
    </row>
    <row r="250" spans="1:57" s="8" customFormat="1" ht="21.95" customHeight="1">
      <c r="A250" s="9"/>
      <c r="B250" s="16" t="s">
        <v>204</v>
      </c>
      <c r="C250" s="92" t="s">
        <v>50</v>
      </c>
      <c r="D250" s="58" t="s">
        <v>385</v>
      </c>
      <c r="E250" s="35" t="s">
        <v>368</v>
      </c>
      <c r="F250" s="20"/>
      <c r="G250" s="21"/>
      <c r="H250" s="21" t="s">
        <v>207</v>
      </c>
      <c r="I250" s="14"/>
      <c r="J250" s="14"/>
      <c r="K250" s="12">
        <v>53</v>
      </c>
      <c r="L250" s="9"/>
      <c r="M250" s="9"/>
      <c r="N250" s="9"/>
      <c r="O250" s="38">
        <f t="shared" si="18"/>
        <v>53</v>
      </c>
      <c r="P250" s="12"/>
      <c r="Q250" s="42"/>
      <c r="R250" s="15"/>
      <c r="S250" s="44"/>
      <c r="T250" s="15"/>
      <c r="U250" s="44"/>
      <c r="V250" s="15">
        <f t="shared" si="19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20"/>
        <v>0</v>
      </c>
      <c r="AF250" s="101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2"/>
        <v>0</v>
      </c>
      <c r="BA250" s="15"/>
      <c r="BB250" s="44"/>
      <c r="BC250" s="15"/>
      <c r="BD250" s="44"/>
      <c r="BE250" s="15">
        <f t="shared" si="21"/>
        <v>0</v>
      </c>
    </row>
    <row r="251" spans="1:57" s="8" customFormat="1" ht="21.95" customHeight="1">
      <c r="A251" s="9"/>
      <c r="B251" s="16" t="s">
        <v>204</v>
      </c>
      <c r="C251" s="92" t="s">
        <v>50</v>
      </c>
      <c r="D251" s="58" t="s">
        <v>386</v>
      </c>
      <c r="E251" s="35"/>
      <c r="F251" s="20"/>
      <c r="G251" s="21"/>
      <c r="H251" s="21" t="s">
        <v>207</v>
      </c>
      <c r="I251" s="14"/>
      <c r="J251" s="14"/>
      <c r="K251" s="12">
        <v>552</v>
      </c>
      <c r="L251" s="9"/>
      <c r="M251" s="9"/>
      <c r="N251" s="9"/>
      <c r="O251" s="38">
        <f t="shared" si="18"/>
        <v>552</v>
      </c>
      <c r="P251" s="12"/>
      <c r="Q251" s="42"/>
      <c r="R251" s="15"/>
      <c r="S251" s="44"/>
      <c r="T251" s="15"/>
      <c r="U251" s="44"/>
      <c r="V251" s="15">
        <f t="shared" si="19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20"/>
        <v>0</v>
      </c>
      <c r="AF251" s="101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2"/>
        <v>0</v>
      </c>
      <c r="BA251" s="15"/>
      <c r="BB251" s="44"/>
      <c r="BC251" s="15"/>
      <c r="BD251" s="44"/>
      <c r="BE251" s="15">
        <f t="shared" si="21"/>
        <v>0</v>
      </c>
    </row>
    <row r="252" spans="1:57" s="8" customFormat="1" ht="21.95" customHeight="1">
      <c r="A252" s="9"/>
      <c r="B252" s="16" t="s">
        <v>204</v>
      </c>
      <c r="C252" s="92" t="s">
        <v>50</v>
      </c>
      <c r="D252" s="58" t="s">
        <v>387</v>
      </c>
      <c r="E252" s="35" t="s">
        <v>365</v>
      </c>
      <c r="F252" s="20"/>
      <c r="G252" s="21"/>
      <c r="H252" s="21" t="s">
        <v>207</v>
      </c>
      <c r="I252" s="14"/>
      <c r="J252" s="14"/>
      <c r="K252" s="12">
        <v>0</v>
      </c>
      <c r="L252" s="9"/>
      <c r="M252" s="9"/>
      <c r="N252" s="9"/>
      <c r="O252" s="38">
        <f t="shared" si="18"/>
        <v>0</v>
      </c>
      <c r="P252" s="12"/>
      <c r="Q252" s="42"/>
      <c r="R252" s="15"/>
      <c r="S252" s="44"/>
      <c r="T252" s="15"/>
      <c r="U252" s="44"/>
      <c r="V252" s="15">
        <f t="shared" si="19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20"/>
        <v>0</v>
      </c>
      <c r="AF252" s="101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2"/>
        <v>0</v>
      </c>
      <c r="BA252" s="15"/>
      <c r="BB252" s="44"/>
      <c r="BC252" s="15"/>
      <c r="BD252" s="44"/>
      <c r="BE252" s="15">
        <f t="shared" si="21"/>
        <v>0</v>
      </c>
    </row>
    <row r="253" spans="1:57" s="8" customFormat="1" ht="21.95" customHeight="1">
      <c r="A253" s="9"/>
      <c r="B253" s="16" t="s">
        <v>233</v>
      </c>
      <c r="C253" s="92" t="s">
        <v>50</v>
      </c>
      <c r="D253" s="58" t="s">
        <v>388</v>
      </c>
      <c r="E253" s="98" t="s">
        <v>389</v>
      </c>
      <c r="F253" s="20"/>
      <c r="G253" s="21"/>
      <c r="H253" s="21" t="s">
        <v>207</v>
      </c>
      <c r="I253" s="14"/>
      <c r="J253" s="14"/>
      <c r="K253" s="12">
        <v>527</v>
      </c>
      <c r="L253" s="9"/>
      <c r="M253" s="9"/>
      <c r="N253" s="9"/>
      <c r="O253" s="38">
        <f t="shared" si="18"/>
        <v>527</v>
      </c>
      <c r="P253" s="12"/>
      <c r="Q253" s="42"/>
      <c r="R253" s="15"/>
      <c r="S253" s="44"/>
      <c r="T253" s="15"/>
      <c r="U253" s="44"/>
      <c r="V253" s="15">
        <f t="shared" si="19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20"/>
        <v>0</v>
      </c>
      <c r="AF253" s="101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2"/>
        <v>0</v>
      </c>
      <c r="BA253" s="15"/>
      <c r="BB253" s="44"/>
      <c r="BC253" s="15"/>
      <c r="BD253" s="44"/>
      <c r="BE253" s="15">
        <f t="shared" si="21"/>
        <v>0</v>
      </c>
    </row>
    <row r="254" spans="1:57" s="8" customFormat="1" ht="21.95" customHeight="1">
      <c r="A254" s="9"/>
      <c r="B254" s="16" t="s">
        <v>233</v>
      </c>
      <c r="C254" s="92" t="s">
        <v>50</v>
      </c>
      <c r="D254" s="58" t="s">
        <v>390</v>
      </c>
      <c r="E254" s="35" t="s">
        <v>391</v>
      </c>
      <c r="F254" s="20"/>
      <c r="G254" s="21"/>
      <c r="H254" s="21" t="s">
        <v>207</v>
      </c>
      <c r="I254" s="14"/>
      <c r="J254" s="14"/>
      <c r="K254" s="12">
        <v>493</v>
      </c>
      <c r="L254" s="9"/>
      <c r="M254" s="9"/>
      <c r="N254" s="9"/>
      <c r="O254" s="38">
        <f t="shared" si="18"/>
        <v>493</v>
      </c>
      <c r="P254" s="12"/>
      <c r="Q254" s="42"/>
      <c r="R254" s="15"/>
      <c r="S254" s="44"/>
      <c r="T254" s="15"/>
      <c r="U254" s="44"/>
      <c r="V254" s="15">
        <f t="shared" si="19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20"/>
        <v>0</v>
      </c>
      <c r="AF254" s="101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2"/>
        <v>0</v>
      </c>
      <c r="BA254" s="15"/>
      <c r="BB254" s="44"/>
      <c r="BC254" s="15"/>
      <c r="BD254" s="44"/>
      <c r="BE254" s="15">
        <f t="shared" si="21"/>
        <v>0</v>
      </c>
    </row>
    <row r="255" spans="1:57" s="8" customFormat="1" ht="21.95" customHeight="1">
      <c r="A255" s="9"/>
      <c r="B255" s="16" t="s">
        <v>233</v>
      </c>
      <c r="C255" s="92" t="s">
        <v>50</v>
      </c>
      <c r="D255" s="58" t="s">
        <v>392</v>
      </c>
      <c r="E255" s="98" t="s">
        <v>389</v>
      </c>
      <c r="F255" s="20"/>
      <c r="G255" s="21"/>
      <c r="H255" s="21" t="s">
        <v>207</v>
      </c>
      <c r="I255" s="14"/>
      <c r="J255" s="14"/>
      <c r="K255" s="12">
        <v>554</v>
      </c>
      <c r="L255" s="9"/>
      <c r="M255" s="9"/>
      <c r="N255" s="9"/>
      <c r="O255" s="38">
        <f t="shared" si="18"/>
        <v>554</v>
      </c>
      <c r="P255" s="12"/>
      <c r="Q255" s="42"/>
      <c r="R255" s="15"/>
      <c r="S255" s="44"/>
      <c r="T255" s="15"/>
      <c r="U255" s="44"/>
      <c r="V255" s="15">
        <f t="shared" si="19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20"/>
        <v>0</v>
      </c>
      <c r="AF255" s="101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2"/>
        <v>0</v>
      </c>
      <c r="BA255" s="15"/>
      <c r="BB255" s="44"/>
      <c r="BC255" s="15"/>
      <c r="BD255" s="44"/>
      <c r="BE255" s="15">
        <f t="shared" si="21"/>
        <v>0</v>
      </c>
    </row>
    <row r="256" spans="1:57" s="8" customFormat="1" ht="21.95" customHeight="1">
      <c r="A256" s="9"/>
      <c r="B256" s="16" t="s">
        <v>233</v>
      </c>
      <c r="C256" s="92" t="s">
        <v>50</v>
      </c>
      <c r="D256" s="58" t="s">
        <v>393</v>
      </c>
      <c r="E256" s="35" t="s">
        <v>394</v>
      </c>
      <c r="F256" s="20"/>
      <c r="G256" s="21"/>
      <c r="H256" s="21" t="s">
        <v>207</v>
      </c>
      <c r="I256" s="14"/>
      <c r="J256" s="14"/>
      <c r="K256" s="12">
        <v>476</v>
      </c>
      <c r="L256" s="9"/>
      <c r="M256" s="9"/>
      <c r="N256" s="9"/>
      <c r="O256" s="38">
        <f t="shared" si="18"/>
        <v>476</v>
      </c>
      <c r="P256" s="12"/>
      <c r="Q256" s="42"/>
      <c r="R256" s="15"/>
      <c r="S256" s="44"/>
      <c r="T256" s="15"/>
      <c r="U256" s="44"/>
      <c r="V256" s="15">
        <f t="shared" si="19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20"/>
        <v>0</v>
      </c>
      <c r="AF256" s="101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2"/>
        <v>0</v>
      </c>
      <c r="BA256" s="15"/>
      <c r="BB256" s="44"/>
      <c r="BC256" s="15"/>
      <c r="BD256" s="44"/>
      <c r="BE256" s="15">
        <f t="shared" si="21"/>
        <v>0</v>
      </c>
    </row>
    <row r="257" spans="1:57" s="8" customFormat="1" ht="21.95" customHeight="1">
      <c r="A257" s="9"/>
      <c r="B257" s="16" t="s">
        <v>233</v>
      </c>
      <c r="C257" s="92" t="s">
        <v>50</v>
      </c>
      <c r="D257" s="58" t="s">
        <v>395</v>
      </c>
      <c r="E257" s="98" t="s">
        <v>389</v>
      </c>
      <c r="F257" s="20"/>
      <c r="G257" s="21"/>
      <c r="H257" s="21" t="s">
        <v>207</v>
      </c>
      <c r="I257" s="14"/>
      <c r="J257" s="14"/>
      <c r="K257" s="12">
        <v>548</v>
      </c>
      <c r="L257" s="9"/>
      <c r="M257" s="9"/>
      <c r="N257" s="9"/>
      <c r="O257" s="38">
        <f t="shared" si="18"/>
        <v>548</v>
      </c>
      <c r="P257" s="12"/>
      <c r="Q257" s="42"/>
      <c r="R257" s="15"/>
      <c r="S257" s="44"/>
      <c r="T257" s="15"/>
      <c r="U257" s="44"/>
      <c r="V257" s="15">
        <f t="shared" si="19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20"/>
        <v>0</v>
      </c>
      <c r="AF257" s="101"/>
      <c r="AG257" s="42"/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2"/>
        <v>0</v>
      </c>
      <c r="BA257" s="15"/>
      <c r="BB257" s="44"/>
      <c r="BC257" s="15"/>
      <c r="BD257" s="44"/>
      <c r="BE257" s="15">
        <f t="shared" si="21"/>
        <v>0</v>
      </c>
    </row>
    <row r="258" spans="1:57" s="8" customFormat="1" ht="21.95" customHeight="1">
      <c r="A258" s="9"/>
      <c r="B258" s="16" t="s">
        <v>396</v>
      </c>
      <c r="C258" s="92" t="s">
        <v>50</v>
      </c>
      <c r="D258" s="58" t="s">
        <v>397</v>
      </c>
      <c r="E258" s="35" t="s">
        <v>398</v>
      </c>
      <c r="F258" s="20"/>
      <c r="G258" s="21"/>
      <c r="H258" s="21"/>
      <c r="I258" s="14"/>
      <c r="J258" s="14"/>
      <c r="K258" s="12">
        <v>1499</v>
      </c>
      <c r="L258" s="9"/>
      <c r="M258" s="9"/>
      <c r="N258" s="9"/>
      <c r="O258" s="38">
        <f t="shared" si="18"/>
        <v>1499</v>
      </c>
      <c r="P258" s="12"/>
      <c r="Q258" s="42"/>
      <c r="R258" s="15"/>
      <c r="S258" s="44"/>
      <c r="T258" s="15"/>
      <c r="U258" s="44"/>
      <c r="V258" s="15">
        <f t="shared" si="19"/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si="20"/>
        <v>0</v>
      </c>
      <c r="AF258" s="101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2"/>
        <v>0</v>
      </c>
      <c r="BA258" s="15"/>
      <c r="BB258" s="44"/>
      <c r="BC258" s="15"/>
      <c r="BD258" s="44"/>
      <c r="BE258" s="15">
        <f t="shared" si="21"/>
        <v>0</v>
      </c>
    </row>
    <row r="259" spans="1:57" s="8" customFormat="1" ht="22.5" customHeight="1">
      <c r="A259" s="9"/>
      <c r="B259" s="16" t="s">
        <v>155</v>
      </c>
      <c r="C259" s="89" t="s">
        <v>50</v>
      </c>
      <c r="D259" s="79" t="s">
        <v>399</v>
      </c>
      <c r="E259" s="13" t="s">
        <v>400</v>
      </c>
      <c r="F259" s="96"/>
      <c r="G259" s="9"/>
      <c r="H259" s="9"/>
      <c r="I259" s="14"/>
      <c r="J259" s="14"/>
      <c r="K259" s="12">
        <v>248</v>
      </c>
      <c r="L259" s="9"/>
      <c r="M259" s="9"/>
      <c r="N259" s="9"/>
      <c r="O259" s="38">
        <f t="shared" si="18"/>
        <v>248</v>
      </c>
      <c r="P259" s="12"/>
      <c r="Q259" s="42"/>
      <c r="R259" s="15"/>
      <c r="S259" s="44"/>
      <c r="T259" s="15"/>
      <c r="U259" s="44"/>
      <c r="V259" s="15">
        <f t="shared" si="19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0"/>
        <v>0</v>
      </c>
      <c r="AF259" s="101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si="22"/>
        <v>0</v>
      </c>
      <c r="BA259" s="15"/>
      <c r="BB259" s="44"/>
      <c r="BC259" s="15"/>
      <c r="BD259" s="44"/>
      <c r="BE259" s="15">
        <f t="shared" si="21"/>
        <v>0</v>
      </c>
    </row>
    <row r="260" spans="1:57" s="8" customFormat="1" ht="22.5" customHeight="1">
      <c r="A260" s="9"/>
      <c r="B260" s="16" t="s">
        <v>330</v>
      </c>
      <c r="C260" s="89" t="s">
        <v>50</v>
      </c>
      <c r="D260" s="69" t="s">
        <v>331</v>
      </c>
      <c r="E260" s="13" t="s">
        <v>401</v>
      </c>
      <c r="F260" s="96"/>
      <c r="G260" s="9"/>
      <c r="H260" s="9" t="s">
        <v>332</v>
      </c>
      <c r="I260" s="14"/>
      <c r="J260" s="14"/>
      <c r="K260" s="12">
        <v>467</v>
      </c>
      <c r="L260" s="9"/>
      <c r="M260" s="9"/>
      <c r="N260" s="9"/>
      <c r="O260" s="38">
        <f t="shared" ref="O260:O323" si="23">K260+V260-AE260-AZ260</f>
        <v>467</v>
      </c>
      <c r="P260" s="12"/>
      <c r="Q260" s="42"/>
      <c r="R260" s="15"/>
      <c r="S260" s="44"/>
      <c r="T260" s="15"/>
      <c r="U260" s="44"/>
      <c r="V260" s="15">
        <f t="shared" ref="V260:V323" si="24">P260+R260+T260</f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ref="AE260:AE323" si="25">(W260+Y260+AA260+AC260)</f>
        <v>0</v>
      </c>
      <c r="AF260" s="101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2"/>
        <v>0</v>
      </c>
      <c r="BA260" s="15"/>
      <c r="BB260" s="44"/>
      <c r="BC260" s="15"/>
      <c r="BD260" s="44"/>
      <c r="BE260" s="15">
        <f t="shared" si="21"/>
        <v>0</v>
      </c>
    </row>
    <row r="261" spans="1:57" s="8" customFormat="1" ht="22.5" customHeight="1">
      <c r="A261" s="9"/>
      <c r="B261" s="16" t="s">
        <v>204</v>
      </c>
      <c r="C261" s="89" t="s">
        <v>402</v>
      </c>
      <c r="D261" s="73" t="s">
        <v>403</v>
      </c>
      <c r="E261" s="13" t="s">
        <v>404</v>
      </c>
      <c r="F261" s="96"/>
      <c r="G261" s="9"/>
      <c r="H261" s="9" t="s">
        <v>311</v>
      </c>
      <c r="I261" s="14"/>
      <c r="J261" s="14"/>
      <c r="K261" s="12">
        <v>0</v>
      </c>
      <c r="L261" s="9"/>
      <c r="M261" s="9"/>
      <c r="N261" s="9"/>
      <c r="O261" s="38">
        <f t="shared" si="23"/>
        <v>0</v>
      </c>
      <c r="P261" s="12"/>
      <c r="Q261" s="42"/>
      <c r="R261" s="15"/>
      <c r="S261" s="44"/>
      <c r="T261" s="15"/>
      <c r="U261" s="44"/>
      <c r="V261" s="15">
        <f t="shared" si="24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5"/>
        <v>0</v>
      </c>
      <c r="AF261" s="101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2"/>
        <v>0</v>
      </c>
      <c r="BA261" s="15"/>
      <c r="BB261" s="44"/>
      <c r="BC261" s="15"/>
      <c r="BD261" s="44"/>
      <c r="BE261" s="15">
        <f t="shared" si="21"/>
        <v>0</v>
      </c>
    </row>
    <row r="262" spans="1:57" s="8" customFormat="1" ht="22.5" customHeight="1">
      <c r="A262" s="9"/>
      <c r="B262" s="16" t="s">
        <v>233</v>
      </c>
      <c r="C262" s="89" t="s">
        <v>402</v>
      </c>
      <c r="D262" s="82" t="s">
        <v>405</v>
      </c>
      <c r="E262" s="22" t="s">
        <v>406</v>
      </c>
      <c r="F262" s="95"/>
      <c r="G262" s="9"/>
      <c r="H262" s="9" t="s">
        <v>407</v>
      </c>
      <c r="I262" s="14"/>
      <c r="J262" s="14"/>
      <c r="K262" s="12">
        <v>0</v>
      </c>
      <c r="L262" s="9"/>
      <c r="M262" s="9"/>
      <c r="N262" s="9"/>
      <c r="O262" s="38">
        <f t="shared" si="23"/>
        <v>0</v>
      </c>
      <c r="P262" s="12"/>
      <c r="Q262" s="42"/>
      <c r="R262" s="15"/>
      <c r="S262" s="44"/>
      <c r="T262" s="15"/>
      <c r="U262" s="44"/>
      <c r="V262" s="15">
        <f t="shared" si="24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5"/>
        <v>0</v>
      </c>
      <c r="AF262" s="101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2"/>
        <v>0</v>
      </c>
      <c r="BA262" s="15"/>
      <c r="BB262" s="44"/>
      <c r="BC262" s="15"/>
      <c r="BD262" s="44"/>
      <c r="BE262" s="15">
        <f t="shared" si="21"/>
        <v>0</v>
      </c>
    </row>
    <row r="263" spans="1:57" s="8" customFormat="1" ht="22.5" customHeight="1">
      <c r="A263" s="9"/>
      <c r="B263" s="16" t="s">
        <v>172</v>
      </c>
      <c r="C263" s="89" t="s">
        <v>402</v>
      </c>
      <c r="D263" s="82" t="s">
        <v>408</v>
      </c>
      <c r="E263" s="22" t="s">
        <v>409</v>
      </c>
      <c r="F263" s="95"/>
      <c r="G263" s="9"/>
      <c r="H263" s="9" t="s">
        <v>67</v>
      </c>
      <c r="I263" s="14"/>
      <c r="J263" s="14"/>
      <c r="K263" s="12">
        <v>0</v>
      </c>
      <c r="L263" s="9"/>
      <c r="M263" s="9"/>
      <c r="N263" s="9"/>
      <c r="O263" s="38">
        <f t="shared" si="23"/>
        <v>0</v>
      </c>
      <c r="P263" s="12"/>
      <c r="Q263" s="42"/>
      <c r="R263" s="15"/>
      <c r="S263" s="44"/>
      <c r="T263" s="15"/>
      <c r="U263" s="44"/>
      <c r="V263" s="15">
        <f t="shared" si="24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5"/>
        <v>0</v>
      </c>
      <c r="AF263" s="101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2"/>
        <v>0</v>
      </c>
      <c r="BA263" s="15"/>
      <c r="BB263" s="44"/>
      <c r="BC263" s="15"/>
      <c r="BD263" s="44"/>
      <c r="BE263" s="15">
        <f t="shared" si="21"/>
        <v>0</v>
      </c>
    </row>
    <row r="264" spans="1:57" s="8" customFormat="1" ht="22.5" customHeight="1">
      <c r="A264" s="9"/>
      <c r="B264" s="16" t="s">
        <v>155</v>
      </c>
      <c r="C264" s="89" t="s">
        <v>402</v>
      </c>
      <c r="D264" s="82" t="s">
        <v>410</v>
      </c>
      <c r="E264" s="22" t="s">
        <v>411</v>
      </c>
      <c r="F264" s="95"/>
      <c r="G264" s="9"/>
      <c r="H264" s="9" t="s">
        <v>412</v>
      </c>
      <c r="I264" s="14"/>
      <c r="J264" s="14"/>
      <c r="K264" s="12">
        <v>824</v>
      </c>
      <c r="L264" s="9"/>
      <c r="M264" s="9"/>
      <c r="N264" s="9"/>
      <c r="O264" s="38">
        <f t="shared" si="23"/>
        <v>824</v>
      </c>
      <c r="P264" s="12"/>
      <c r="Q264" s="42"/>
      <c r="R264" s="15"/>
      <c r="S264" s="44"/>
      <c r="T264" s="15"/>
      <c r="U264" s="44"/>
      <c r="V264" s="15">
        <f t="shared" si="24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5"/>
        <v>0</v>
      </c>
      <c r="AF264" s="101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2"/>
        <v>0</v>
      </c>
      <c r="BA264" s="15"/>
      <c r="BB264" s="44"/>
      <c r="BC264" s="15"/>
      <c r="BD264" s="44"/>
      <c r="BE264" s="15">
        <f t="shared" si="21"/>
        <v>0</v>
      </c>
    </row>
    <row r="265" spans="1:57" s="8" customFormat="1" ht="22.5" customHeight="1">
      <c r="A265" s="9"/>
      <c r="B265" s="18" t="s">
        <v>172</v>
      </c>
      <c r="C265" s="89" t="s">
        <v>140</v>
      </c>
      <c r="D265" s="58" t="s">
        <v>253</v>
      </c>
      <c r="E265" s="35" t="s">
        <v>413</v>
      </c>
      <c r="F265" s="96"/>
      <c r="G265" s="21"/>
      <c r="H265" s="21" t="s">
        <v>67</v>
      </c>
      <c r="I265" s="14"/>
      <c r="J265" s="14"/>
      <c r="K265" s="12">
        <v>87</v>
      </c>
      <c r="L265" s="9"/>
      <c r="M265" s="9"/>
      <c r="N265" s="9"/>
      <c r="O265" s="38">
        <f t="shared" si="23"/>
        <v>87</v>
      </c>
      <c r="P265" s="12"/>
      <c r="Q265" s="42"/>
      <c r="R265" s="15"/>
      <c r="S265" s="44"/>
      <c r="T265" s="15"/>
      <c r="U265" s="44"/>
      <c r="V265" s="15">
        <f t="shared" si="24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5"/>
        <v>0</v>
      </c>
      <c r="AF265" s="101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2"/>
        <v>0</v>
      </c>
      <c r="BA265" s="15"/>
      <c r="BB265" s="44"/>
      <c r="BC265" s="15"/>
      <c r="BD265" s="44"/>
      <c r="BE265" s="15">
        <f t="shared" si="21"/>
        <v>0</v>
      </c>
    </row>
    <row r="266" spans="1:57" s="8" customFormat="1" ht="22.5" customHeight="1">
      <c r="A266" s="9"/>
      <c r="B266" s="16" t="s">
        <v>172</v>
      </c>
      <c r="C266" s="89" t="s">
        <v>140</v>
      </c>
      <c r="D266" s="61" t="s">
        <v>414</v>
      </c>
      <c r="E266" s="13"/>
      <c r="F266" s="96"/>
      <c r="G266" s="9"/>
      <c r="H266" s="9" t="s">
        <v>67</v>
      </c>
      <c r="I266" s="14"/>
      <c r="J266" s="14"/>
      <c r="K266" s="12">
        <v>224</v>
      </c>
      <c r="L266" s="9"/>
      <c r="M266" s="9"/>
      <c r="N266" s="9"/>
      <c r="O266" s="38">
        <f t="shared" si="23"/>
        <v>224</v>
      </c>
      <c r="P266" s="12"/>
      <c r="Q266" s="42"/>
      <c r="R266" s="15"/>
      <c r="S266" s="44"/>
      <c r="T266" s="15"/>
      <c r="U266" s="44"/>
      <c r="V266" s="15">
        <f t="shared" si="24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5"/>
        <v>0</v>
      </c>
      <c r="AF266" s="101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2"/>
        <v>0</v>
      </c>
      <c r="BA266" s="15"/>
      <c r="BB266" s="44"/>
      <c r="BC266" s="15"/>
      <c r="BD266" s="44"/>
      <c r="BE266" s="15">
        <f t="shared" si="21"/>
        <v>0</v>
      </c>
    </row>
    <row r="267" spans="1:57" s="8" customFormat="1" ht="22.5" customHeight="1">
      <c r="A267" s="9"/>
      <c r="B267" s="16" t="s">
        <v>172</v>
      </c>
      <c r="C267" s="89" t="s">
        <v>140</v>
      </c>
      <c r="D267" s="61" t="s">
        <v>415</v>
      </c>
      <c r="E267" s="13"/>
      <c r="F267" s="96"/>
      <c r="G267" s="9"/>
      <c r="H267" s="9" t="s">
        <v>67</v>
      </c>
      <c r="I267" s="14"/>
      <c r="J267" s="14"/>
      <c r="K267" s="12">
        <v>138</v>
      </c>
      <c r="L267" s="9"/>
      <c r="M267" s="9"/>
      <c r="N267" s="9"/>
      <c r="O267" s="38">
        <f t="shared" si="23"/>
        <v>138</v>
      </c>
      <c r="P267" s="12"/>
      <c r="Q267" s="42"/>
      <c r="R267" s="15"/>
      <c r="S267" s="44"/>
      <c r="T267" s="15"/>
      <c r="U267" s="44"/>
      <c r="V267" s="15">
        <f t="shared" si="24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5"/>
        <v>0</v>
      </c>
      <c r="AF267" s="101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2"/>
        <v>0</v>
      </c>
      <c r="BA267" s="15"/>
      <c r="BB267" s="44"/>
      <c r="BC267" s="15"/>
      <c r="BD267" s="44"/>
      <c r="BE267" s="15">
        <f t="shared" si="21"/>
        <v>0</v>
      </c>
    </row>
    <row r="268" spans="1:57" s="8" customFormat="1" ht="22.5" customHeight="1">
      <c r="A268" s="9"/>
      <c r="B268" s="16" t="s">
        <v>172</v>
      </c>
      <c r="C268" s="89" t="s">
        <v>140</v>
      </c>
      <c r="D268" s="79" t="s">
        <v>416</v>
      </c>
      <c r="E268" s="13"/>
      <c r="F268" s="96"/>
      <c r="G268" s="9"/>
      <c r="H268" s="9" t="s">
        <v>67</v>
      </c>
      <c r="I268" s="14"/>
      <c r="J268" s="14"/>
      <c r="K268" s="12">
        <v>116</v>
      </c>
      <c r="L268" s="9"/>
      <c r="M268" s="9"/>
      <c r="N268" s="9"/>
      <c r="O268" s="38">
        <f t="shared" si="23"/>
        <v>116</v>
      </c>
      <c r="P268" s="12"/>
      <c r="Q268" s="42"/>
      <c r="R268" s="15"/>
      <c r="S268" s="44"/>
      <c r="T268" s="15"/>
      <c r="U268" s="44"/>
      <c r="V268" s="15">
        <f t="shared" si="24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5"/>
        <v>0</v>
      </c>
      <c r="AF268" s="101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2"/>
        <v>0</v>
      </c>
      <c r="BA268" s="15"/>
      <c r="BB268" s="44"/>
      <c r="BC268" s="15"/>
      <c r="BD268" s="44"/>
      <c r="BE268" s="15">
        <f t="shared" si="21"/>
        <v>0</v>
      </c>
    </row>
    <row r="269" spans="1:57" s="8" customFormat="1" ht="22.5" customHeight="1">
      <c r="A269" s="9"/>
      <c r="B269" s="16" t="s">
        <v>172</v>
      </c>
      <c r="C269" s="89" t="s">
        <v>140</v>
      </c>
      <c r="D269" s="78" t="s">
        <v>417</v>
      </c>
      <c r="E269" s="13"/>
      <c r="F269" s="96"/>
      <c r="G269" s="9"/>
      <c r="H269" s="9" t="s">
        <v>67</v>
      </c>
      <c r="I269" s="14"/>
      <c r="J269" s="14"/>
      <c r="K269" s="12">
        <v>170</v>
      </c>
      <c r="L269" s="9"/>
      <c r="M269" s="9"/>
      <c r="N269" s="9"/>
      <c r="O269" s="38">
        <f t="shared" si="23"/>
        <v>170</v>
      </c>
      <c r="P269" s="12"/>
      <c r="Q269" s="42"/>
      <c r="R269" s="15"/>
      <c r="S269" s="44"/>
      <c r="T269" s="15"/>
      <c r="U269" s="44"/>
      <c r="V269" s="15">
        <f t="shared" si="24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5"/>
        <v>0</v>
      </c>
      <c r="AF269" s="101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2"/>
        <v>0</v>
      </c>
      <c r="BA269" s="15"/>
      <c r="BB269" s="44"/>
      <c r="BC269" s="15"/>
      <c r="BD269" s="44"/>
      <c r="BE269" s="15">
        <f t="shared" si="21"/>
        <v>0</v>
      </c>
    </row>
    <row r="270" spans="1:57" s="8" customFormat="1" ht="22.5" customHeight="1">
      <c r="A270" s="9"/>
      <c r="B270" s="16" t="s">
        <v>172</v>
      </c>
      <c r="C270" s="89" t="s">
        <v>140</v>
      </c>
      <c r="D270" s="78" t="s">
        <v>418</v>
      </c>
      <c r="E270" s="13"/>
      <c r="F270" s="96"/>
      <c r="G270" s="9"/>
      <c r="H270" s="9" t="s">
        <v>67</v>
      </c>
      <c r="I270" s="14"/>
      <c r="J270" s="14"/>
      <c r="K270" s="12">
        <v>6</v>
      </c>
      <c r="L270" s="9"/>
      <c r="M270" s="9"/>
      <c r="N270" s="9"/>
      <c r="O270" s="38">
        <f t="shared" si="23"/>
        <v>6</v>
      </c>
      <c r="P270" s="12"/>
      <c r="Q270" s="42"/>
      <c r="R270" s="15"/>
      <c r="S270" s="44"/>
      <c r="T270" s="15"/>
      <c r="U270" s="44"/>
      <c r="V270" s="15">
        <f t="shared" si="24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5"/>
        <v>0</v>
      </c>
      <c r="AF270" s="101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2"/>
        <v>0</v>
      </c>
      <c r="BA270" s="15"/>
      <c r="BB270" s="44"/>
      <c r="BC270" s="15"/>
      <c r="BD270" s="44"/>
      <c r="BE270" s="15">
        <f t="shared" si="21"/>
        <v>0</v>
      </c>
    </row>
    <row r="271" spans="1:57" s="8" customFormat="1" ht="22.5" customHeight="1">
      <c r="A271" s="9"/>
      <c r="B271" s="16" t="s">
        <v>172</v>
      </c>
      <c r="C271" s="89" t="s">
        <v>140</v>
      </c>
      <c r="D271" s="78" t="s">
        <v>419</v>
      </c>
      <c r="E271" s="13"/>
      <c r="F271" s="96"/>
      <c r="G271" s="9"/>
      <c r="H271" s="9" t="s">
        <v>420</v>
      </c>
      <c r="I271" s="14"/>
      <c r="J271" s="14"/>
      <c r="K271" s="12">
        <v>0</v>
      </c>
      <c r="L271" s="9"/>
      <c r="M271" s="9"/>
      <c r="N271" s="9"/>
      <c r="O271" s="38">
        <f t="shared" si="23"/>
        <v>0</v>
      </c>
      <c r="P271" s="12"/>
      <c r="Q271" s="42"/>
      <c r="R271" s="15"/>
      <c r="S271" s="44"/>
      <c r="T271" s="15"/>
      <c r="U271" s="44"/>
      <c r="V271" s="15">
        <f t="shared" si="24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5"/>
        <v>0</v>
      </c>
      <c r="AF271" s="101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2"/>
        <v>0</v>
      </c>
      <c r="BA271" s="15"/>
      <c r="BB271" s="44"/>
      <c r="BC271" s="15"/>
      <c r="BD271" s="44"/>
      <c r="BE271" s="15">
        <f t="shared" si="21"/>
        <v>0</v>
      </c>
    </row>
    <row r="272" spans="1:57" s="8" customFormat="1" ht="22.5" customHeight="1">
      <c r="A272" s="9"/>
      <c r="B272" s="16" t="s">
        <v>172</v>
      </c>
      <c r="C272" s="89" t="s">
        <v>140</v>
      </c>
      <c r="D272" s="61" t="s">
        <v>421</v>
      </c>
      <c r="E272" s="13"/>
      <c r="F272" s="96"/>
      <c r="G272" s="9"/>
      <c r="H272" s="9" t="s">
        <v>422</v>
      </c>
      <c r="I272" s="14"/>
      <c r="J272" s="14"/>
      <c r="K272" s="12">
        <v>126</v>
      </c>
      <c r="L272" s="9"/>
      <c r="M272" s="9"/>
      <c r="N272" s="9"/>
      <c r="O272" s="38">
        <f t="shared" si="23"/>
        <v>126</v>
      </c>
      <c r="P272" s="12"/>
      <c r="Q272" s="42"/>
      <c r="R272" s="15"/>
      <c r="S272" s="44"/>
      <c r="T272" s="15"/>
      <c r="U272" s="44"/>
      <c r="V272" s="15">
        <f t="shared" si="24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5"/>
        <v>0</v>
      </c>
      <c r="AF272" s="101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2"/>
        <v>0</v>
      </c>
      <c r="BA272" s="15"/>
      <c r="BB272" s="44"/>
      <c r="BC272" s="15"/>
      <c r="BD272" s="44"/>
      <c r="BE272" s="15">
        <f t="shared" si="21"/>
        <v>0</v>
      </c>
    </row>
    <row r="273" spans="1:57" s="8" customFormat="1" ht="22.5" customHeight="1">
      <c r="A273" s="9"/>
      <c r="B273" s="16" t="s">
        <v>172</v>
      </c>
      <c r="C273" s="89" t="s">
        <v>140</v>
      </c>
      <c r="D273" s="61" t="s">
        <v>423</v>
      </c>
      <c r="E273" s="13"/>
      <c r="F273" s="96"/>
      <c r="G273" s="9"/>
      <c r="H273" s="9" t="s">
        <v>424</v>
      </c>
      <c r="I273" s="14"/>
      <c r="J273" s="14"/>
      <c r="K273" s="12">
        <v>37</v>
      </c>
      <c r="L273" s="9"/>
      <c r="M273" s="9"/>
      <c r="N273" s="9"/>
      <c r="O273" s="38">
        <f t="shared" si="23"/>
        <v>37</v>
      </c>
      <c r="P273" s="12"/>
      <c r="Q273" s="42"/>
      <c r="R273" s="15"/>
      <c r="S273" s="44"/>
      <c r="T273" s="15"/>
      <c r="U273" s="44"/>
      <c r="V273" s="15">
        <f t="shared" si="24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5"/>
        <v>0</v>
      </c>
      <c r="AF273" s="101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2"/>
        <v>0</v>
      </c>
      <c r="BA273" s="15"/>
      <c r="BB273" s="44"/>
      <c r="BC273" s="15"/>
      <c r="BD273" s="44"/>
      <c r="BE273" s="15">
        <f t="shared" si="21"/>
        <v>0</v>
      </c>
    </row>
    <row r="274" spans="1:57" s="8" customFormat="1" ht="22.5" customHeight="1">
      <c r="A274" s="9"/>
      <c r="B274" s="16" t="s">
        <v>172</v>
      </c>
      <c r="C274" s="89" t="s">
        <v>140</v>
      </c>
      <c r="D274" s="61" t="s">
        <v>425</v>
      </c>
      <c r="E274" s="13"/>
      <c r="F274" s="96"/>
      <c r="G274" s="9"/>
      <c r="H274" s="9" t="s">
        <v>422</v>
      </c>
      <c r="I274" s="14"/>
      <c r="J274" s="14"/>
      <c r="K274" s="12">
        <v>12</v>
      </c>
      <c r="L274" s="9"/>
      <c r="M274" s="9"/>
      <c r="N274" s="9"/>
      <c r="O274" s="38">
        <f t="shared" si="23"/>
        <v>12</v>
      </c>
      <c r="P274" s="12"/>
      <c r="Q274" s="42"/>
      <c r="R274" s="15"/>
      <c r="S274" s="44"/>
      <c r="T274" s="15"/>
      <c r="U274" s="44"/>
      <c r="V274" s="15">
        <f t="shared" si="24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5"/>
        <v>0</v>
      </c>
      <c r="AF274" s="101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2"/>
        <v>0</v>
      </c>
      <c r="BA274" s="15"/>
      <c r="BB274" s="44"/>
      <c r="BC274" s="15"/>
      <c r="BD274" s="44"/>
      <c r="BE274" s="15">
        <f t="shared" si="21"/>
        <v>0</v>
      </c>
    </row>
    <row r="275" spans="1:57" s="8" customFormat="1" ht="22.5" customHeight="1">
      <c r="A275" s="9"/>
      <c r="B275" s="16" t="s">
        <v>172</v>
      </c>
      <c r="C275" s="89" t="s">
        <v>140</v>
      </c>
      <c r="D275" s="61" t="s">
        <v>426</v>
      </c>
      <c r="E275" s="13"/>
      <c r="F275" s="96"/>
      <c r="G275" s="9"/>
      <c r="H275" s="9" t="s">
        <v>67</v>
      </c>
      <c r="I275" s="14"/>
      <c r="J275" s="14"/>
      <c r="K275" s="12">
        <v>0</v>
      </c>
      <c r="L275" s="9"/>
      <c r="M275" s="9"/>
      <c r="N275" s="9"/>
      <c r="O275" s="38">
        <f t="shared" si="23"/>
        <v>0</v>
      </c>
      <c r="P275" s="12"/>
      <c r="Q275" s="42"/>
      <c r="R275" s="15"/>
      <c r="S275" s="44"/>
      <c r="T275" s="15"/>
      <c r="U275" s="44"/>
      <c r="V275" s="15">
        <f t="shared" si="24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5"/>
        <v>0</v>
      </c>
      <c r="AF275" s="101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2"/>
        <v>0</v>
      </c>
      <c r="BA275" s="15"/>
      <c r="BB275" s="44"/>
      <c r="BC275" s="15"/>
      <c r="BD275" s="44"/>
      <c r="BE275" s="15">
        <f t="shared" si="21"/>
        <v>0</v>
      </c>
    </row>
    <row r="276" spans="1:57" s="8" customFormat="1" ht="22.5" customHeight="1">
      <c r="A276" s="9"/>
      <c r="B276" s="16" t="s">
        <v>172</v>
      </c>
      <c r="C276" s="89" t="s">
        <v>140</v>
      </c>
      <c r="D276" s="61" t="s">
        <v>427</v>
      </c>
      <c r="E276" s="13"/>
      <c r="F276" s="96"/>
      <c r="G276" s="9"/>
      <c r="H276" s="9" t="s">
        <v>67</v>
      </c>
      <c r="I276" s="14"/>
      <c r="J276" s="14"/>
      <c r="K276" s="12">
        <v>48</v>
      </c>
      <c r="L276" s="9"/>
      <c r="M276" s="9"/>
      <c r="N276" s="9"/>
      <c r="O276" s="38">
        <f t="shared" si="23"/>
        <v>48</v>
      </c>
      <c r="P276" s="12"/>
      <c r="Q276" s="42"/>
      <c r="R276" s="15"/>
      <c r="S276" s="44"/>
      <c r="T276" s="15"/>
      <c r="U276" s="44"/>
      <c r="V276" s="15">
        <f t="shared" si="24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5"/>
        <v>0</v>
      </c>
      <c r="AF276" s="101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2"/>
        <v>0</v>
      </c>
      <c r="BA276" s="15"/>
      <c r="BB276" s="44"/>
      <c r="BC276" s="15"/>
      <c r="BD276" s="44"/>
      <c r="BE276" s="15">
        <f t="shared" si="21"/>
        <v>0</v>
      </c>
    </row>
    <row r="277" spans="1:57" s="8" customFormat="1" ht="22.5" customHeight="1">
      <c r="A277" s="9"/>
      <c r="B277" s="16" t="s">
        <v>187</v>
      </c>
      <c r="C277" s="89" t="s">
        <v>140</v>
      </c>
      <c r="D277" s="79" t="s">
        <v>428</v>
      </c>
      <c r="E277" s="13" t="s">
        <v>429</v>
      </c>
      <c r="F277" s="96"/>
      <c r="G277" s="9"/>
      <c r="H277" s="9" t="s">
        <v>430</v>
      </c>
      <c r="I277" s="14"/>
      <c r="J277" s="14"/>
      <c r="K277" s="12"/>
      <c r="L277" s="9"/>
      <c r="M277" s="9"/>
      <c r="N277" s="9"/>
      <c r="O277" s="38">
        <f t="shared" si="23"/>
        <v>0</v>
      </c>
      <c r="P277" s="12"/>
      <c r="Q277" s="42"/>
      <c r="R277" s="15"/>
      <c r="S277" s="44"/>
      <c r="T277" s="15"/>
      <c r="U277" s="44"/>
      <c r="V277" s="15">
        <f t="shared" si="24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5"/>
        <v>0</v>
      </c>
      <c r="AF277" s="101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2"/>
        <v>0</v>
      </c>
      <c r="BA277" s="15"/>
      <c r="BB277" s="44"/>
      <c r="BC277" s="15"/>
      <c r="BD277" s="44"/>
      <c r="BE277" s="15">
        <f t="shared" si="21"/>
        <v>0</v>
      </c>
    </row>
    <row r="278" spans="1:57" s="8" customFormat="1" ht="22.5" customHeight="1">
      <c r="A278" s="9"/>
      <c r="B278" s="16" t="s">
        <v>187</v>
      </c>
      <c r="C278" s="89" t="s">
        <v>140</v>
      </c>
      <c r="D278" s="79" t="s">
        <v>431</v>
      </c>
      <c r="E278" s="13" t="s">
        <v>432</v>
      </c>
      <c r="F278" s="96"/>
      <c r="G278" s="9"/>
      <c r="H278" s="9" t="s">
        <v>67</v>
      </c>
      <c r="I278" s="14"/>
      <c r="J278" s="14"/>
      <c r="K278" s="12">
        <v>15</v>
      </c>
      <c r="L278" s="9"/>
      <c r="M278" s="9"/>
      <c r="N278" s="9"/>
      <c r="O278" s="38">
        <f t="shared" si="23"/>
        <v>15</v>
      </c>
      <c r="P278" s="12"/>
      <c r="Q278" s="42"/>
      <c r="R278" s="15"/>
      <c r="S278" s="44"/>
      <c r="T278" s="15"/>
      <c r="U278" s="44"/>
      <c r="V278" s="15">
        <f t="shared" si="24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5"/>
        <v>0</v>
      </c>
      <c r="AF278" s="101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2"/>
        <v>0</v>
      </c>
      <c r="BA278" s="15"/>
      <c r="BB278" s="44"/>
      <c r="BC278" s="15"/>
      <c r="BD278" s="44"/>
      <c r="BE278" s="15">
        <f t="shared" si="21"/>
        <v>0</v>
      </c>
    </row>
    <row r="279" spans="1:57" s="8" customFormat="1" ht="22.5" customHeight="1">
      <c r="A279" s="9"/>
      <c r="B279" s="16" t="s">
        <v>120</v>
      </c>
      <c r="C279" s="89" t="s">
        <v>140</v>
      </c>
      <c r="D279" s="61" t="s">
        <v>433</v>
      </c>
      <c r="E279" s="13" t="s">
        <v>434</v>
      </c>
      <c r="F279" s="96"/>
      <c r="G279" s="9"/>
      <c r="H279" s="9" t="s">
        <v>67</v>
      </c>
      <c r="I279" s="14"/>
      <c r="J279" s="14"/>
      <c r="K279" s="12">
        <v>104</v>
      </c>
      <c r="L279" s="9"/>
      <c r="M279" s="9"/>
      <c r="N279" s="9"/>
      <c r="O279" s="38">
        <f t="shared" si="23"/>
        <v>104</v>
      </c>
      <c r="P279" s="12"/>
      <c r="Q279" s="42"/>
      <c r="R279" s="15"/>
      <c r="S279" s="44"/>
      <c r="T279" s="15"/>
      <c r="U279" s="44"/>
      <c r="V279" s="15">
        <f t="shared" si="24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5"/>
        <v>0</v>
      </c>
      <c r="AF279" s="101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2"/>
        <v>0</v>
      </c>
      <c r="BA279" s="15"/>
      <c r="BB279" s="44"/>
      <c r="BC279" s="15"/>
      <c r="BD279" s="44"/>
      <c r="BE279" s="15">
        <f t="shared" si="21"/>
        <v>0</v>
      </c>
    </row>
    <row r="280" spans="1:57" s="8" customFormat="1" ht="22.5" customHeight="1">
      <c r="A280" s="9"/>
      <c r="B280" s="16" t="s">
        <v>120</v>
      </c>
      <c r="C280" s="89" t="s">
        <v>140</v>
      </c>
      <c r="D280" s="78" t="s">
        <v>435</v>
      </c>
      <c r="E280" s="13"/>
      <c r="F280" s="96"/>
      <c r="G280" s="9"/>
      <c r="H280" s="9" t="s">
        <v>67</v>
      </c>
      <c r="I280" s="14"/>
      <c r="J280" s="14"/>
      <c r="K280" s="12">
        <v>87</v>
      </c>
      <c r="L280" s="9"/>
      <c r="M280" s="9"/>
      <c r="N280" s="9"/>
      <c r="O280" s="38">
        <f t="shared" si="23"/>
        <v>87</v>
      </c>
      <c r="P280" s="12"/>
      <c r="Q280" s="42"/>
      <c r="R280" s="15"/>
      <c r="S280" s="44"/>
      <c r="T280" s="15"/>
      <c r="U280" s="44"/>
      <c r="V280" s="15">
        <f t="shared" si="24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5"/>
        <v>0</v>
      </c>
      <c r="AF280" s="101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2"/>
        <v>0</v>
      </c>
      <c r="BA280" s="15"/>
      <c r="BB280" s="44"/>
      <c r="BC280" s="15"/>
      <c r="BD280" s="44"/>
      <c r="BE280" s="15">
        <f t="shared" si="21"/>
        <v>0</v>
      </c>
    </row>
    <row r="281" spans="1:57" s="8" customFormat="1" ht="22.5" customHeight="1">
      <c r="A281" s="9"/>
      <c r="B281" s="16" t="s">
        <v>120</v>
      </c>
      <c r="C281" s="89" t="s">
        <v>140</v>
      </c>
      <c r="D281" s="78" t="s">
        <v>436</v>
      </c>
      <c r="E281" s="13"/>
      <c r="F281" s="96"/>
      <c r="G281" s="9"/>
      <c r="H281" s="9" t="s">
        <v>67</v>
      </c>
      <c r="I281" s="14"/>
      <c r="J281" s="14"/>
      <c r="K281" s="12">
        <v>90</v>
      </c>
      <c r="L281" s="9"/>
      <c r="M281" s="9"/>
      <c r="N281" s="9"/>
      <c r="O281" s="38">
        <f t="shared" si="23"/>
        <v>90</v>
      </c>
      <c r="P281" s="12"/>
      <c r="Q281" s="42"/>
      <c r="R281" s="15"/>
      <c r="S281" s="44"/>
      <c r="T281" s="15"/>
      <c r="U281" s="44"/>
      <c r="V281" s="15">
        <f t="shared" si="24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5"/>
        <v>0</v>
      </c>
      <c r="AF281" s="101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2"/>
        <v>0</v>
      </c>
      <c r="BA281" s="15"/>
      <c r="BB281" s="44"/>
      <c r="BC281" s="15"/>
      <c r="BD281" s="44"/>
      <c r="BE281" s="15">
        <f t="shared" si="21"/>
        <v>0</v>
      </c>
    </row>
    <row r="282" spans="1:57" s="8" customFormat="1" ht="22.5" customHeight="1">
      <c r="A282" s="9"/>
      <c r="B282" s="16" t="s">
        <v>120</v>
      </c>
      <c r="C282" s="89" t="s">
        <v>140</v>
      </c>
      <c r="D282" s="78" t="s">
        <v>437</v>
      </c>
      <c r="E282" s="13"/>
      <c r="F282" s="96"/>
      <c r="G282" s="9"/>
      <c r="H282" s="9" t="s">
        <v>67</v>
      </c>
      <c r="I282" s="14"/>
      <c r="J282" s="14"/>
      <c r="K282" s="12">
        <v>72</v>
      </c>
      <c r="L282" s="9"/>
      <c r="M282" s="9"/>
      <c r="N282" s="9"/>
      <c r="O282" s="38">
        <f t="shared" si="23"/>
        <v>72</v>
      </c>
      <c r="P282" s="12"/>
      <c r="Q282" s="42"/>
      <c r="R282" s="15"/>
      <c r="S282" s="44"/>
      <c r="T282" s="15"/>
      <c r="U282" s="44"/>
      <c r="V282" s="15">
        <f t="shared" si="24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5"/>
        <v>0</v>
      </c>
      <c r="AF282" s="101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2"/>
        <v>0</v>
      </c>
      <c r="BA282" s="15"/>
      <c r="BB282" s="44"/>
      <c r="BC282" s="15"/>
      <c r="BD282" s="44"/>
      <c r="BE282" s="15">
        <f t="shared" si="21"/>
        <v>0</v>
      </c>
    </row>
    <row r="283" spans="1:57" s="8" customFormat="1" ht="22.5" customHeight="1">
      <c r="A283" s="9"/>
      <c r="B283" s="16" t="s">
        <v>120</v>
      </c>
      <c r="C283" s="89" t="s">
        <v>140</v>
      </c>
      <c r="D283" s="78" t="s">
        <v>438</v>
      </c>
      <c r="E283" s="13"/>
      <c r="F283" s="96"/>
      <c r="G283" s="9"/>
      <c r="H283" s="9" t="s">
        <v>67</v>
      </c>
      <c r="I283" s="14"/>
      <c r="J283" s="14"/>
      <c r="K283" s="12">
        <v>38</v>
      </c>
      <c r="L283" s="9"/>
      <c r="M283" s="9"/>
      <c r="N283" s="9"/>
      <c r="O283" s="38">
        <f t="shared" si="23"/>
        <v>38</v>
      </c>
      <c r="P283" s="12"/>
      <c r="Q283" s="42"/>
      <c r="R283" s="15"/>
      <c r="S283" s="44"/>
      <c r="T283" s="15"/>
      <c r="U283" s="44"/>
      <c r="V283" s="15">
        <f t="shared" si="24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5"/>
        <v>0</v>
      </c>
      <c r="AF283" s="101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2"/>
        <v>0</v>
      </c>
      <c r="BA283" s="15"/>
      <c r="BB283" s="44"/>
      <c r="BC283" s="15"/>
      <c r="BD283" s="44"/>
      <c r="BE283" s="15">
        <f t="shared" si="21"/>
        <v>0</v>
      </c>
    </row>
    <row r="284" spans="1:57" s="8" customFormat="1" ht="22.5" customHeight="1">
      <c r="A284" s="9"/>
      <c r="B284" s="16" t="s">
        <v>120</v>
      </c>
      <c r="C284" s="89" t="s">
        <v>140</v>
      </c>
      <c r="D284" s="78" t="s">
        <v>439</v>
      </c>
      <c r="E284" s="13"/>
      <c r="F284" s="96"/>
      <c r="G284" s="9"/>
      <c r="H284" s="9" t="s">
        <v>67</v>
      </c>
      <c r="I284" s="14"/>
      <c r="J284" s="14"/>
      <c r="K284" s="12">
        <v>146</v>
      </c>
      <c r="L284" s="9"/>
      <c r="M284" s="9"/>
      <c r="N284" s="9"/>
      <c r="O284" s="38">
        <f t="shared" si="23"/>
        <v>146</v>
      </c>
      <c r="P284" s="12"/>
      <c r="Q284" s="42"/>
      <c r="R284" s="15"/>
      <c r="S284" s="44"/>
      <c r="T284" s="15"/>
      <c r="U284" s="44"/>
      <c r="V284" s="15">
        <f t="shared" si="24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5"/>
        <v>0</v>
      </c>
      <c r="AF284" s="101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2"/>
        <v>0</v>
      </c>
      <c r="BA284" s="15"/>
      <c r="BB284" s="44"/>
      <c r="BC284" s="15"/>
      <c r="BD284" s="44"/>
      <c r="BE284" s="15">
        <f t="shared" si="21"/>
        <v>0</v>
      </c>
    </row>
    <row r="285" spans="1:57" s="8" customFormat="1" ht="22.5" customHeight="1">
      <c r="A285" s="9"/>
      <c r="B285" s="16" t="s">
        <v>120</v>
      </c>
      <c r="C285" s="89" t="s">
        <v>140</v>
      </c>
      <c r="D285" s="78" t="s">
        <v>440</v>
      </c>
      <c r="E285" s="13"/>
      <c r="F285" s="96"/>
      <c r="G285" s="9"/>
      <c r="H285" s="9" t="s">
        <v>67</v>
      </c>
      <c r="I285" s="14"/>
      <c r="J285" s="14"/>
      <c r="K285" s="12">
        <v>512</v>
      </c>
      <c r="L285" s="9"/>
      <c r="M285" s="9"/>
      <c r="N285" s="9"/>
      <c r="O285" s="38">
        <f t="shared" si="23"/>
        <v>512</v>
      </c>
      <c r="P285" s="12"/>
      <c r="Q285" s="42"/>
      <c r="R285" s="15"/>
      <c r="S285" s="44"/>
      <c r="T285" s="15"/>
      <c r="U285" s="44"/>
      <c r="V285" s="15">
        <f t="shared" si="24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5"/>
        <v>0</v>
      </c>
      <c r="AF285" s="101"/>
      <c r="AG285" s="42"/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2"/>
        <v>0</v>
      </c>
      <c r="BA285" s="15"/>
      <c r="BB285" s="44"/>
      <c r="BC285" s="15"/>
      <c r="BD285" s="44"/>
      <c r="BE285" s="15">
        <f t="shared" si="21"/>
        <v>0</v>
      </c>
    </row>
    <row r="286" spans="1:57" s="8" customFormat="1" ht="22.5" customHeight="1">
      <c r="A286" s="9"/>
      <c r="B286" s="16" t="s">
        <v>204</v>
      </c>
      <c r="C286" s="89" t="s">
        <v>140</v>
      </c>
      <c r="D286" s="79" t="s">
        <v>441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101</v>
      </c>
      <c r="L286" s="9"/>
      <c r="M286" s="9"/>
      <c r="N286" s="9"/>
      <c r="O286" s="38">
        <f t="shared" si="23"/>
        <v>101</v>
      </c>
      <c r="P286" s="12"/>
      <c r="Q286" s="42"/>
      <c r="R286" s="15"/>
      <c r="S286" s="44"/>
      <c r="T286" s="15"/>
      <c r="U286" s="44"/>
      <c r="V286" s="15">
        <f t="shared" si="24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5"/>
        <v>0</v>
      </c>
      <c r="AF286" s="101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2"/>
        <v>0</v>
      </c>
      <c r="BA286" s="15"/>
      <c r="BB286" s="44"/>
      <c r="BC286" s="15"/>
      <c r="BD286" s="44"/>
      <c r="BE286" s="15">
        <f t="shared" si="21"/>
        <v>0</v>
      </c>
    </row>
    <row r="287" spans="1:57" s="8" customFormat="1" ht="22.5" customHeight="1">
      <c r="A287" s="9"/>
      <c r="B287" s="16" t="s">
        <v>204</v>
      </c>
      <c r="C287" s="89" t="s">
        <v>140</v>
      </c>
      <c r="D287" s="79" t="s">
        <v>442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101</v>
      </c>
      <c r="L287" s="9"/>
      <c r="M287" s="9"/>
      <c r="N287" s="9"/>
      <c r="O287" s="38">
        <f t="shared" si="23"/>
        <v>101</v>
      </c>
      <c r="P287" s="12"/>
      <c r="Q287" s="42"/>
      <c r="R287" s="15"/>
      <c r="S287" s="44"/>
      <c r="T287" s="15"/>
      <c r="U287" s="44"/>
      <c r="V287" s="15">
        <f t="shared" si="24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5"/>
        <v>0</v>
      </c>
      <c r="AF287" s="101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2"/>
        <v>0</v>
      </c>
      <c r="BA287" s="15"/>
      <c r="BB287" s="44"/>
      <c r="BC287" s="15"/>
      <c r="BD287" s="44"/>
      <c r="BE287" s="15">
        <f t="shared" si="21"/>
        <v>0</v>
      </c>
    </row>
    <row r="288" spans="1:57" s="8" customFormat="1" ht="22.5" customHeight="1">
      <c r="A288" s="9"/>
      <c r="B288" s="16" t="s">
        <v>204</v>
      </c>
      <c r="C288" s="89" t="s">
        <v>140</v>
      </c>
      <c r="D288" s="79" t="s">
        <v>205</v>
      </c>
      <c r="E288" s="13" t="s">
        <v>206</v>
      </c>
      <c r="F288" s="96"/>
      <c r="G288" s="9"/>
      <c r="H288" s="9" t="s">
        <v>207</v>
      </c>
      <c r="I288" s="14"/>
      <c r="J288" s="14"/>
      <c r="K288" s="12">
        <v>2058</v>
      </c>
      <c r="L288" s="9"/>
      <c r="M288" s="9"/>
      <c r="N288" s="9"/>
      <c r="O288" s="38">
        <f t="shared" si="23"/>
        <v>2058</v>
      </c>
      <c r="P288" s="12"/>
      <c r="Q288" s="42"/>
      <c r="R288" s="15"/>
      <c r="S288" s="44"/>
      <c r="T288" s="15"/>
      <c r="U288" s="44"/>
      <c r="V288" s="15">
        <f t="shared" si="24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5"/>
        <v>0</v>
      </c>
      <c r="AF288" s="101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2"/>
        <v>0</v>
      </c>
      <c r="BA288" s="15"/>
      <c r="BB288" s="44"/>
      <c r="BC288" s="15"/>
      <c r="BD288" s="44"/>
      <c r="BE288" s="15">
        <f t="shared" si="21"/>
        <v>0</v>
      </c>
    </row>
    <row r="289" spans="1:57" s="8" customFormat="1" ht="22.5" customHeight="1">
      <c r="A289" s="9"/>
      <c r="B289" s="16" t="s">
        <v>204</v>
      </c>
      <c r="C289" s="89" t="s">
        <v>140</v>
      </c>
      <c r="D289" s="79" t="s">
        <v>443</v>
      </c>
      <c r="E289" s="13" t="s">
        <v>206</v>
      </c>
      <c r="F289" s="96"/>
      <c r="G289" s="9"/>
      <c r="H289" s="9" t="s">
        <v>207</v>
      </c>
      <c r="I289" s="14"/>
      <c r="J289" s="14"/>
      <c r="K289" s="12">
        <v>0</v>
      </c>
      <c r="L289" s="9"/>
      <c r="M289" s="9"/>
      <c r="N289" s="9"/>
      <c r="O289" s="38">
        <f t="shared" si="23"/>
        <v>0</v>
      </c>
      <c r="P289" s="12"/>
      <c r="Q289" s="42"/>
      <c r="R289" s="15"/>
      <c r="S289" s="44"/>
      <c r="T289" s="15"/>
      <c r="U289" s="44"/>
      <c r="V289" s="15">
        <f t="shared" si="24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5"/>
        <v>0</v>
      </c>
      <c r="AF289" s="101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2"/>
        <v>0</v>
      </c>
      <c r="BA289" s="15"/>
      <c r="BB289" s="44"/>
      <c r="BC289" s="15"/>
      <c r="BD289" s="44"/>
      <c r="BE289" s="15">
        <f t="shared" si="21"/>
        <v>0</v>
      </c>
    </row>
    <row r="290" spans="1:57" s="8" customFormat="1" ht="22.5" customHeight="1">
      <c r="A290" s="9"/>
      <c r="B290" s="16" t="s">
        <v>204</v>
      </c>
      <c r="C290" s="89" t="s">
        <v>140</v>
      </c>
      <c r="D290" s="79" t="s">
        <v>444</v>
      </c>
      <c r="E290" s="13" t="s">
        <v>206</v>
      </c>
      <c r="F290" s="96"/>
      <c r="G290" s="9"/>
      <c r="H290" s="9" t="s">
        <v>207</v>
      </c>
      <c r="I290" s="14"/>
      <c r="J290" s="14"/>
      <c r="K290" s="12">
        <v>0</v>
      </c>
      <c r="L290" s="9"/>
      <c r="M290" s="9"/>
      <c r="N290" s="9"/>
      <c r="O290" s="38">
        <f t="shared" si="23"/>
        <v>0</v>
      </c>
      <c r="P290" s="12"/>
      <c r="Q290" s="42"/>
      <c r="R290" s="15"/>
      <c r="S290" s="44"/>
      <c r="T290" s="15"/>
      <c r="U290" s="44"/>
      <c r="V290" s="15">
        <f t="shared" si="24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5"/>
        <v>0</v>
      </c>
      <c r="AF290" s="101"/>
      <c r="AG290" s="42"/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2"/>
        <v>0</v>
      </c>
      <c r="BA290" s="15"/>
      <c r="BB290" s="44"/>
      <c r="BC290" s="15"/>
      <c r="BD290" s="44"/>
      <c r="BE290" s="15">
        <f t="shared" ref="BE290:BE353" si="26">(BA290+BC290)</f>
        <v>0</v>
      </c>
    </row>
    <row r="291" spans="1:57" s="8" customFormat="1" ht="22.5" customHeight="1">
      <c r="A291" s="9"/>
      <c r="B291" s="16" t="s">
        <v>204</v>
      </c>
      <c r="C291" s="89" t="s">
        <v>140</v>
      </c>
      <c r="D291" s="79" t="s">
        <v>213</v>
      </c>
      <c r="E291" s="13" t="s">
        <v>215</v>
      </c>
      <c r="F291" s="96"/>
      <c r="G291" s="9"/>
      <c r="H291" s="9" t="s">
        <v>207</v>
      </c>
      <c r="I291" s="14"/>
      <c r="J291" s="14"/>
      <c r="K291" s="12">
        <v>56</v>
      </c>
      <c r="L291" s="9"/>
      <c r="M291" s="9"/>
      <c r="N291" s="9"/>
      <c r="O291" s="38">
        <f t="shared" si="23"/>
        <v>56</v>
      </c>
      <c r="P291" s="12"/>
      <c r="Q291" s="42"/>
      <c r="R291" s="15"/>
      <c r="S291" s="44"/>
      <c r="T291" s="15"/>
      <c r="U291" s="44"/>
      <c r="V291" s="15">
        <f t="shared" si="24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5"/>
        <v>0</v>
      </c>
      <c r="AF291" s="101"/>
      <c r="AG291" s="42"/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2"/>
        <v>0</v>
      </c>
      <c r="BA291" s="15"/>
      <c r="BB291" s="44"/>
      <c r="BC291" s="15"/>
      <c r="BD291" s="44"/>
      <c r="BE291" s="15">
        <f t="shared" si="26"/>
        <v>0</v>
      </c>
    </row>
    <row r="292" spans="1:57" s="8" customFormat="1" ht="22.5" customHeight="1">
      <c r="A292" s="9"/>
      <c r="B292" s="16" t="s">
        <v>204</v>
      </c>
      <c r="C292" s="89" t="s">
        <v>140</v>
      </c>
      <c r="D292" s="79" t="s">
        <v>445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32</v>
      </c>
      <c r="L292" s="9"/>
      <c r="M292" s="9"/>
      <c r="N292" s="9"/>
      <c r="O292" s="38">
        <f t="shared" si="23"/>
        <v>32</v>
      </c>
      <c r="P292" s="12"/>
      <c r="Q292" s="42"/>
      <c r="R292" s="15"/>
      <c r="S292" s="44"/>
      <c r="T292" s="15"/>
      <c r="U292" s="44"/>
      <c r="V292" s="15">
        <f t="shared" si="24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5"/>
        <v>0</v>
      </c>
      <c r="AF292" s="101"/>
      <c r="AG292" s="42"/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2"/>
        <v>0</v>
      </c>
      <c r="BA292" s="15"/>
      <c r="BB292" s="44"/>
      <c r="BC292" s="15"/>
      <c r="BD292" s="44"/>
      <c r="BE292" s="15">
        <f t="shared" si="26"/>
        <v>0</v>
      </c>
    </row>
    <row r="293" spans="1:57" s="8" customFormat="1" ht="22.5" customHeight="1">
      <c r="A293" s="9"/>
      <c r="B293" s="16" t="s">
        <v>204</v>
      </c>
      <c r="C293" s="89" t="s">
        <v>140</v>
      </c>
      <c r="D293" s="79" t="s">
        <v>446</v>
      </c>
      <c r="E293" s="13" t="s">
        <v>237</v>
      </c>
      <c r="F293" s="96"/>
      <c r="G293" s="9"/>
      <c r="H293" s="9" t="s">
        <v>207</v>
      </c>
      <c r="I293" s="14"/>
      <c r="J293" s="14"/>
      <c r="K293" s="12">
        <v>2263</v>
      </c>
      <c r="L293" s="9"/>
      <c r="M293" s="9"/>
      <c r="N293" s="9"/>
      <c r="O293" s="38">
        <f t="shared" si="23"/>
        <v>2263</v>
      </c>
      <c r="P293" s="12"/>
      <c r="Q293" s="42"/>
      <c r="R293" s="15"/>
      <c r="S293" s="44"/>
      <c r="T293" s="15"/>
      <c r="U293" s="44"/>
      <c r="V293" s="15">
        <f t="shared" si="24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5"/>
        <v>0</v>
      </c>
      <c r="AF293" s="101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ref="AZ293:AZ356" si="27">AF293+AH293+AJ293+AL293+AN293+AP293+AR293+AT293+AV293+AX293</f>
        <v>0</v>
      </c>
      <c r="BA293" s="15"/>
      <c r="BB293" s="44"/>
      <c r="BC293" s="15"/>
      <c r="BD293" s="44"/>
      <c r="BE293" s="15">
        <f t="shared" si="26"/>
        <v>0</v>
      </c>
    </row>
    <row r="294" spans="1:57" s="8" customFormat="1" ht="22.5" customHeight="1">
      <c r="A294" s="9"/>
      <c r="B294" s="16" t="s">
        <v>204</v>
      </c>
      <c r="C294" s="89" t="s">
        <v>140</v>
      </c>
      <c r="D294" s="79" t="s">
        <v>447</v>
      </c>
      <c r="E294" s="13" t="s">
        <v>237</v>
      </c>
      <c r="F294" s="96"/>
      <c r="G294" s="9"/>
      <c r="H294" s="9" t="s">
        <v>207</v>
      </c>
      <c r="I294" s="14"/>
      <c r="J294" s="14"/>
      <c r="K294" s="12">
        <v>3652</v>
      </c>
      <c r="L294" s="9"/>
      <c r="M294" s="9"/>
      <c r="N294" s="9"/>
      <c r="O294" s="38">
        <f t="shared" si="23"/>
        <v>3652</v>
      </c>
      <c r="P294" s="12"/>
      <c r="Q294" s="42"/>
      <c r="R294" s="15"/>
      <c r="S294" s="44"/>
      <c r="T294" s="15"/>
      <c r="U294" s="44"/>
      <c r="V294" s="15">
        <f t="shared" si="24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5"/>
        <v>0</v>
      </c>
      <c r="AF294" s="101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7"/>
        <v>0</v>
      </c>
      <c r="BA294" s="15"/>
      <c r="BB294" s="44"/>
      <c r="BC294" s="15"/>
      <c r="BD294" s="44"/>
      <c r="BE294" s="15">
        <f t="shared" si="26"/>
        <v>0</v>
      </c>
    </row>
    <row r="295" spans="1:57" s="8" customFormat="1" ht="22.5" customHeight="1">
      <c r="A295" s="9"/>
      <c r="B295" s="16" t="s">
        <v>204</v>
      </c>
      <c r="C295" s="89" t="s">
        <v>140</v>
      </c>
      <c r="D295" s="61" t="s">
        <v>448</v>
      </c>
      <c r="E295" s="13" t="s">
        <v>215</v>
      </c>
      <c r="F295" s="96"/>
      <c r="G295" s="9"/>
      <c r="H295" s="9" t="s">
        <v>207</v>
      </c>
      <c r="I295" s="14"/>
      <c r="J295" s="14"/>
      <c r="K295" s="12">
        <v>185</v>
      </c>
      <c r="L295" s="9"/>
      <c r="M295" s="9"/>
      <c r="N295" s="9"/>
      <c r="O295" s="38">
        <f t="shared" si="23"/>
        <v>185</v>
      </c>
      <c r="P295" s="12"/>
      <c r="Q295" s="42"/>
      <c r="R295" s="15"/>
      <c r="S295" s="44"/>
      <c r="T295" s="15"/>
      <c r="U295" s="44"/>
      <c r="V295" s="15">
        <f t="shared" si="24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5"/>
        <v>0</v>
      </c>
      <c r="AF295" s="101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7"/>
        <v>0</v>
      </c>
      <c r="BA295" s="15"/>
      <c r="BB295" s="44"/>
      <c r="BC295" s="15"/>
      <c r="BD295" s="44"/>
      <c r="BE295" s="15">
        <f t="shared" si="26"/>
        <v>0</v>
      </c>
    </row>
    <row r="296" spans="1:57" s="8" customFormat="1" ht="22.5" customHeight="1">
      <c r="A296" s="9"/>
      <c r="B296" s="16" t="s">
        <v>204</v>
      </c>
      <c r="C296" s="89" t="s">
        <v>140</v>
      </c>
      <c r="D296" s="61" t="s">
        <v>449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4840</v>
      </c>
      <c r="L296" s="9"/>
      <c r="M296" s="9"/>
      <c r="N296" s="9"/>
      <c r="O296" s="38">
        <f t="shared" si="23"/>
        <v>4840</v>
      </c>
      <c r="P296" s="12"/>
      <c r="Q296" s="42"/>
      <c r="R296" s="15"/>
      <c r="S296" s="44"/>
      <c r="T296" s="15"/>
      <c r="U296" s="44"/>
      <c r="V296" s="15">
        <f t="shared" si="24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5"/>
        <v>0</v>
      </c>
      <c r="AF296" s="101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7"/>
        <v>0</v>
      </c>
      <c r="BA296" s="15"/>
      <c r="BB296" s="44"/>
      <c r="BC296" s="15"/>
      <c r="BD296" s="44"/>
      <c r="BE296" s="15">
        <f t="shared" si="26"/>
        <v>0</v>
      </c>
    </row>
    <row r="297" spans="1:57" s="8" customFormat="1" ht="22.5" customHeight="1">
      <c r="A297" s="9"/>
      <c r="B297" s="16" t="s">
        <v>204</v>
      </c>
      <c r="C297" s="89" t="s">
        <v>140</v>
      </c>
      <c r="D297" s="61" t="s">
        <v>450</v>
      </c>
      <c r="E297" s="13" t="s">
        <v>206</v>
      </c>
      <c r="F297" s="96"/>
      <c r="G297" s="9"/>
      <c r="H297" s="9" t="s">
        <v>207</v>
      </c>
      <c r="I297" s="14"/>
      <c r="J297" s="14"/>
      <c r="K297" s="12">
        <v>225</v>
      </c>
      <c r="L297" s="9"/>
      <c r="M297" s="9"/>
      <c r="N297" s="9"/>
      <c r="O297" s="38">
        <f t="shared" si="23"/>
        <v>225</v>
      </c>
      <c r="P297" s="12"/>
      <c r="Q297" s="42"/>
      <c r="R297" s="15"/>
      <c r="S297" s="44"/>
      <c r="T297" s="15"/>
      <c r="U297" s="44"/>
      <c r="V297" s="15">
        <f t="shared" si="24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5"/>
        <v>0</v>
      </c>
      <c r="AF297" s="101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7"/>
        <v>0</v>
      </c>
      <c r="BA297" s="15"/>
      <c r="BB297" s="44"/>
      <c r="BC297" s="15"/>
      <c r="BD297" s="44"/>
      <c r="BE297" s="15">
        <f t="shared" si="26"/>
        <v>0</v>
      </c>
    </row>
    <row r="298" spans="1:57" s="8" customFormat="1" ht="22.5" customHeight="1">
      <c r="A298" s="9"/>
      <c r="B298" s="16" t="s">
        <v>204</v>
      </c>
      <c r="C298" s="89" t="s">
        <v>140</v>
      </c>
      <c r="D298" s="79" t="s">
        <v>216</v>
      </c>
      <c r="E298" s="13" t="s">
        <v>217</v>
      </c>
      <c r="F298" s="96"/>
      <c r="G298" s="9"/>
      <c r="H298" s="9" t="s">
        <v>207</v>
      </c>
      <c r="I298" s="14"/>
      <c r="J298" s="14"/>
      <c r="K298" s="12">
        <v>93</v>
      </c>
      <c r="L298" s="9"/>
      <c r="M298" s="9"/>
      <c r="N298" s="9"/>
      <c r="O298" s="38">
        <f t="shared" si="23"/>
        <v>93</v>
      </c>
      <c r="P298" s="12"/>
      <c r="Q298" s="42"/>
      <c r="R298" s="15"/>
      <c r="S298" s="44"/>
      <c r="T298" s="15"/>
      <c r="U298" s="44"/>
      <c r="V298" s="15">
        <f t="shared" si="24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5"/>
        <v>0</v>
      </c>
      <c r="AF298" s="101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7"/>
        <v>0</v>
      </c>
      <c r="BA298" s="15"/>
      <c r="BB298" s="44"/>
      <c r="BC298" s="15"/>
      <c r="BD298" s="44"/>
      <c r="BE298" s="15">
        <f t="shared" si="26"/>
        <v>0</v>
      </c>
    </row>
    <row r="299" spans="1:57" s="8" customFormat="1" ht="22.5" customHeight="1">
      <c r="A299" s="9"/>
      <c r="B299" s="16" t="s">
        <v>204</v>
      </c>
      <c r="C299" s="89" t="s">
        <v>140</v>
      </c>
      <c r="D299" s="61" t="s">
        <v>451</v>
      </c>
      <c r="E299" s="13" t="s">
        <v>206</v>
      </c>
      <c r="F299" s="96"/>
      <c r="G299" s="9"/>
      <c r="H299" s="9" t="s">
        <v>207</v>
      </c>
      <c r="I299" s="14"/>
      <c r="J299" s="14"/>
      <c r="K299" s="12">
        <v>3331</v>
      </c>
      <c r="L299" s="9"/>
      <c r="M299" s="9"/>
      <c r="N299" s="9"/>
      <c r="O299" s="38">
        <f t="shared" si="23"/>
        <v>3331</v>
      </c>
      <c r="P299" s="12"/>
      <c r="Q299" s="42"/>
      <c r="R299" s="15"/>
      <c r="S299" s="44"/>
      <c r="T299" s="15"/>
      <c r="U299" s="44"/>
      <c r="V299" s="15">
        <f t="shared" si="24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5"/>
        <v>0</v>
      </c>
      <c r="AF299" s="101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7"/>
        <v>0</v>
      </c>
      <c r="BA299" s="15"/>
      <c r="BB299" s="44"/>
      <c r="BC299" s="15"/>
      <c r="BD299" s="44"/>
      <c r="BE299" s="15">
        <f t="shared" si="26"/>
        <v>0</v>
      </c>
    </row>
    <row r="300" spans="1:57" s="8" customFormat="1" ht="22.5" customHeight="1">
      <c r="A300" s="9"/>
      <c r="B300" s="16" t="s">
        <v>204</v>
      </c>
      <c r="C300" s="89" t="s">
        <v>140</v>
      </c>
      <c r="D300" s="79" t="s">
        <v>452</v>
      </c>
      <c r="E300" s="13" t="s">
        <v>217</v>
      </c>
      <c r="F300" s="96"/>
      <c r="G300" s="9"/>
      <c r="H300" s="9" t="s">
        <v>207</v>
      </c>
      <c r="I300" s="14"/>
      <c r="J300" s="14"/>
      <c r="K300" s="12">
        <v>6</v>
      </c>
      <c r="L300" s="9"/>
      <c r="M300" s="9"/>
      <c r="N300" s="9"/>
      <c r="O300" s="38">
        <f t="shared" si="23"/>
        <v>6</v>
      </c>
      <c r="P300" s="12"/>
      <c r="Q300" s="42"/>
      <c r="R300" s="15"/>
      <c r="S300" s="44"/>
      <c r="T300" s="15"/>
      <c r="U300" s="44"/>
      <c r="V300" s="15">
        <f t="shared" si="24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5"/>
        <v>0</v>
      </c>
      <c r="AF300" s="101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7"/>
        <v>0</v>
      </c>
      <c r="BA300" s="15"/>
      <c r="BB300" s="44"/>
      <c r="BC300" s="15"/>
      <c r="BD300" s="44"/>
      <c r="BE300" s="15">
        <f t="shared" si="26"/>
        <v>0</v>
      </c>
    </row>
    <row r="301" spans="1:57" s="8" customFormat="1" ht="22.5" customHeight="1">
      <c r="A301" s="9"/>
      <c r="B301" s="16" t="s">
        <v>204</v>
      </c>
      <c r="C301" s="89" t="s">
        <v>140</v>
      </c>
      <c r="D301" s="78" t="s">
        <v>453</v>
      </c>
      <c r="E301" s="13" t="s">
        <v>206</v>
      </c>
      <c r="F301" s="96"/>
      <c r="G301" s="9"/>
      <c r="H301" s="9" t="s">
        <v>207</v>
      </c>
      <c r="I301" s="14"/>
      <c r="J301" s="14"/>
      <c r="K301" s="12">
        <v>3432</v>
      </c>
      <c r="L301" s="9"/>
      <c r="M301" s="9"/>
      <c r="N301" s="9"/>
      <c r="O301" s="38">
        <f t="shared" si="23"/>
        <v>3432</v>
      </c>
      <c r="P301" s="12"/>
      <c r="Q301" s="42"/>
      <c r="R301" s="15"/>
      <c r="S301" s="44"/>
      <c r="T301" s="15"/>
      <c r="U301" s="44"/>
      <c r="V301" s="15">
        <f t="shared" si="24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5"/>
        <v>0</v>
      </c>
      <c r="AF301" s="101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7"/>
        <v>0</v>
      </c>
      <c r="BA301" s="15"/>
      <c r="BB301" s="44"/>
      <c r="BC301" s="15"/>
      <c r="BD301" s="44"/>
      <c r="BE301" s="15">
        <f t="shared" si="26"/>
        <v>0</v>
      </c>
    </row>
    <row r="302" spans="1:57" s="8" customFormat="1" ht="22.5" customHeight="1">
      <c r="A302" s="9"/>
      <c r="B302" s="16" t="s">
        <v>204</v>
      </c>
      <c r="C302" s="89" t="s">
        <v>140</v>
      </c>
      <c r="D302" s="78" t="s">
        <v>454</v>
      </c>
      <c r="E302" s="13" t="s">
        <v>217</v>
      </c>
      <c r="F302" s="96"/>
      <c r="G302" s="9"/>
      <c r="H302" s="9" t="s">
        <v>207</v>
      </c>
      <c r="I302" s="14"/>
      <c r="J302" s="14"/>
      <c r="K302" s="12">
        <v>35</v>
      </c>
      <c r="L302" s="9"/>
      <c r="M302" s="9"/>
      <c r="N302" s="9"/>
      <c r="O302" s="38">
        <f t="shared" si="23"/>
        <v>35</v>
      </c>
      <c r="P302" s="12"/>
      <c r="Q302" s="42"/>
      <c r="R302" s="15"/>
      <c r="S302" s="44"/>
      <c r="T302" s="15"/>
      <c r="U302" s="44"/>
      <c r="V302" s="15">
        <f t="shared" si="24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5"/>
        <v>0</v>
      </c>
      <c r="AF302" s="101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7"/>
        <v>0</v>
      </c>
      <c r="BA302" s="15"/>
      <c r="BB302" s="44"/>
      <c r="BC302" s="15"/>
      <c r="BD302" s="44"/>
      <c r="BE302" s="15">
        <f t="shared" si="26"/>
        <v>0</v>
      </c>
    </row>
    <row r="303" spans="1:57" s="8" customFormat="1" ht="22.5" customHeight="1">
      <c r="A303" s="9"/>
      <c r="B303" s="16" t="s">
        <v>204</v>
      </c>
      <c r="C303" s="89" t="s">
        <v>140</v>
      </c>
      <c r="D303" s="78" t="s">
        <v>455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2756</v>
      </c>
      <c r="L303" s="9"/>
      <c r="M303" s="9"/>
      <c r="N303" s="9"/>
      <c r="O303" s="38">
        <f t="shared" si="23"/>
        <v>2756</v>
      </c>
      <c r="P303" s="12"/>
      <c r="Q303" s="42"/>
      <c r="R303" s="15"/>
      <c r="S303" s="44"/>
      <c r="T303" s="15"/>
      <c r="U303" s="44"/>
      <c r="V303" s="15">
        <f t="shared" si="24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5"/>
        <v>0</v>
      </c>
      <c r="AF303" s="101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7"/>
        <v>0</v>
      </c>
      <c r="BA303" s="15"/>
      <c r="BB303" s="44"/>
      <c r="BC303" s="15"/>
      <c r="BD303" s="44"/>
      <c r="BE303" s="15">
        <f t="shared" si="26"/>
        <v>0</v>
      </c>
    </row>
    <row r="304" spans="1:57" s="8" customFormat="1" ht="22.5" customHeight="1">
      <c r="A304" s="9"/>
      <c r="B304" s="16" t="s">
        <v>204</v>
      </c>
      <c r="C304" s="89" t="s">
        <v>140</v>
      </c>
      <c r="D304" s="78" t="s">
        <v>456</v>
      </c>
      <c r="E304" s="13" t="s">
        <v>217</v>
      </c>
      <c r="F304" s="96"/>
      <c r="G304" s="9"/>
      <c r="H304" s="9" t="s">
        <v>207</v>
      </c>
      <c r="I304" s="14"/>
      <c r="J304" s="14"/>
      <c r="K304" s="12">
        <v>74</v>
      </c>
      <c r="L304" s="9"/>
      <c r="M304" s="9"/>
      <c r="N304" s="9"/>
      <c r="O304" s="38">
        <f t="shared" si="23"/>
        <v>74</v>
      </c>
      <c r="P304" s="12"/>
      <c r="Q304" s="42"/>
      <c r="R304" s="15"/>
      <c r="S304" s="44"/>
      <c r="T304" s="15"/>
      <c r="U304" s="44"/>
      <c r="V304" s="15">
        <f t="shared" si="24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5"/>
        <v>0</v>
      </c>
      <c r="AF304" s="101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7"/>
        <v>0</v>
      </c>
      <c r="BA304" s="15"/>
      <c r="BB304" s="44"/>
      <c r="BC304" s="15"/>
      <c r="BD304" s="44"/>
      <c r="BE304" s="15">
        <f t="shared" si="26"/>
        <v>0</v>
      </c>
    </row>
    <row r="305" spans="1:57" s="8" customFormat="1" ht="22.5" customHeight="1">
      <c r="A305" s="9"/>
      <c r="B305" s="16" t="s">
        <v>204</v>
      </c>
      <c r="C305" s="89" t="s">
        <v>140</v>
      </c>
      <c r="D305" s="78" t="s">
        <v>457</v>
      </c>
      <c r="E305" s="13" t="s">
        <v>458</v>
      </c>
      <c r="F305" s="96"/>
      <c r="G305" s="9"/>
      <c r="H305" s="9" t="s">
        <v>207</v>
      </c>
      <c r="I305" s="14"/>
      <c r="J305" s="14"/>
      <c r="K305" s="12">
        <v>78</v>
      </c>
      <c r="L305" s="9"/>
      <c r="M305" s="9"/>
      <c r="N305" s="9"/>
      <c r="O305" s="38">
        <f t="shared" si="23"/>
        <v>78</v>
      </c>
      <c r="P305" s="12"/>
      <c r="Q305" s="42"/>
      <c r="R305" s="15"/>
      <c r="S305" s="44"/>
      <c r="T305" s="15"/>
      <c r="U305" s="44"/>
      <c r="V305" s="15">
        <f t="shared" si="24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5"/>
        <v>0</v>
      </c>
      <c r="AF305" s="101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7"/>
        <v>0</v>
      </c>
      <c r="BA305" s="15"/>
      <c r="BB305" s="44"/>
      <c r="BC305" s="15"/>
      <c r="BD305" s="44"/>
      <c r="BE305" s="15">
        <f t="shared" si="26"/>
        <v>0</v>
      </c>
    </row>
    <row r="306" spans="1:57" s="8" customFormat="1" ht="22.5" customHeight="1">
      <c r="A306" s="9"/>
      <c r="B306" s="16" t="s">
        <v>204</v>
      </c>
      <c r="C306" s="89" t="s">
        <v>140</v>
      </c>
      <c r="D306" s="78" t="s">
        <v>459</v>
      </c>
      <c r="E306" s="13" t="s">
        <v>206</v>
      </c>
      <c r="F306" s="96"/>
      <c r="G306" s="9"/>
      <c r="H306" s="9" t="s">
        <v>207</v>
      </c>
      <c r="I306" s="14"/>
      <c r="J306" s="14"/>
      <c r="K306" s="12">
        <v>3340</v>
      </c>
      <c r="L306" s="9"/>
      <c r="M306" s="9"/>
      <c r="N306" s="9"/>
      <c r="O306" s="38">
        <f t="shared" si="23"/>
        <v>3340</v>
      </c>
      <c r="P306" s="12"/>
      <c r="Q306" s="42"/>
      <c r="R306" s="15"/>
      <c r="S306" s="44"/>
      <c r="T306" s="15"/>
      <c r="U306" s="44"/>
      <c r="V306" s="15">
        <f t="shared" si="24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5"/>
        <v>0</v>
      </c>
      <c r="AF306" s="101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7"/>
        <v>0</v>
      </c>
      <c r="BA306" s="15"/>
      <c r="BB306" s="44"/>
      <c r="BC306" s="15"/>
      <c r="BD306" s="44"/>
      <c r="BE306" s="15">
        <f t="shared" si="26"/>
        <v>0</v>
      </c>
    </row>
    <row r="307" spans="1:57" s="8" customFormat="1" ht="22.5" customHeight="1">
      <c r="A307" s="9"/>
      <c r="B307" s="16" t="s">
        <v>204</v>
      </c>
      <c r="C307" s="89" t="s">
        <v>140</v>
      </c>
      <c r="D307" s="61" t="s">
        <v>460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133</v>
      </c>
      <c r="L307" s="9"/>
      <c r="M307" s="9"/>
      <c r="N307" s="9"/>
      <c r="O307" s="38">
        <f t="shared" si="23"/>
        <v>133</v>
      </c>
      <c r="P307" s="12"/>
      <c r="Q307" s="42"/>
      <c r="R307" s="15"/>
      <c r="S307" s="44"/>
      <c r="T307" s="15"/>
      <c r="U307" s="44"/>
      <c r="V307" s="15">
        <f t="shared" si="24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5"/>
        <v>0</v>
      </c>
      <c r="AF307" s="101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7"/>
        <v>0</v>
      </c>
      <c r="BA307" s="15"/>
      <c r="BB307" s="44"/>
      <c r="BC307" s="15"/>
      <c r="BD307" s="44"/>
      <c r="BE307" s="15">
        <f t="shared" si="26"/>
        <v>0</v>
      </c>
    </row>
    <row r="308" spans="1:57" s="8" customFormat="1" ht="22.5" customHeight="1">
      <c r="A308" s="9"/>
      <c r="B308" s="16" t="s">
        <v>204</v>
      </c>
      <c r="C308" s="89" t="s">
        <v>140</v>
      </c>
      <c r="D308" s="61" t="s">
        <v>461</v>
      </c>
      <c r="E308" s="13" t="s">
        <v>215</v>
      </c>
      <c r="F308" s="96"/>
      <c r="G308" s="9"/>
      <c r="H308" s="9" t="s">
        <v>207</v>
      </c>
      <c r="I308" s="14"/>
      <c r="J308" s="14"/>
      <c r="K308" s="12">
        <v>123</v>
      </c>
      <c r="L308" s="9"/>
      <c r="M308" s="9"/>
      <c r="N308" s="9"/>
      <c r="O308" s="38">
        <f t="shared" si="23"/>
        <v>123</v>
      </c>
      <c r="P308" s="12"/>
      <c r="Q308" s="42"/>
      <c r="R308" s="15"/>
      <c r="S308" s="44"/>
      <c r="T308" s="15"/>
      <c r="U308" s="44"/>
      <c r="V308" s="15">
        <f t="shared" si="24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5"/>
        <v>0</v>
      </c>
      <c r="AF308" s="101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7"/>
        <v>0</v>
      </c>
      <c r="BA308" s="15"/>
      <c r="BB308" s="44"/>
      <c r="BC308" s="15"/>
      <c r="BD308" s="44"/>
      <c r="BE308" s="15">
        <f t="shared" si="26"/>
        <v>0</v>
      </c>
    </row>
    <row r="309" spans="1:57" s="8" customFormat="1" ht="22.5" customHeight="1">
      <c r="A309" s="9"/>
      <c r="B309" s="16" t="s">
        <v>204</v>
      </c>
      <c r="C309" s="89" t="s">
        <v>140</v>
      </c>
      <c r="D309" s="79" t="s">
        <v>221</v>
      </c>
      <c r="E309" s="13" t="s">
        <v>215</v>
      </c>
      <c r="F309" s="96"/>
      <c r="G309" s="9"/>
      <c r="H309" s="9" t="s">
        <v>207</v>
      </c>
      <c r="I309" s="14"/>
      <c r="J309" s="14"/>
      <c r="K309" s="12">
        <v>134</v>
      </c>
      <c r="L309" s="9"/>
      <c r="M309" s="9"/>
      <c r="N309" s="9"/>
      <c r="O309" s="38">
        <f t="shared" si="23"/>
        <v>134</v>
      </c>
      <c r="P309" s="12"/>
      <c r="Q309" s="42"/>
      <c r="R309" s="15"/>
      <c r="S309" s="44"/>
      <c r="T309" s="15"/>
      <c r="U309" s="44"/>
      <c r="V309" s="15">
        <f t="shared" si="24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5"/>
        <v>0</v>
      </c>
      <c r="AF309" s="101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7"/>
        <v>0</v>
      </c>
      <c r="BA309" s="15"/>
      <c r="BB309" s="44"/>
      <c r="BC309" s="15"/>
      <c r="BD309" s="44"/>
      <c r="BE309" s="15">
        <f t="shared" si="26"/>
        <v>0</v>
      </c>
    </row>
    <row r="310" spans="1:57" s="8" customFormat="1" ht="22.5" customHeight="1">
      <c r="A310" s="9"/>
      <c r="B310" s="16" t="s">
        <v>204</v>
      </c>
      <c r="C310" s="89" t="s">
        <v>140</v>
      </c>
      <c r="D310" s="79" t="s">
        <v>223</v>
      </c>
      <c r="E310" s="13" t="s">
        <v>215</v>
      </c>
      <c r="F310" s="96"/>
      <c r="G310" s="9"/>
      <c r="H310" s="9" t="s">
        <v>207</v>
      </c>
      <c r="I310" s="14"/>
      <c r="J310" s="14"/>
      <c r="K310" s="12">
        <v>113</v>
      </c>
      <c r="L310" s="9"/>
      <c r="M310" s="9"/>
      <c r="N310" s="9"/>
      <c r="O310" s="38">
        <f t="shared" si="23"/>
        <v>113</v>
      </c>
      <c r="P310" s="12"/>
      <c r="Q310" s="42"/>
      <c r="R310" s="15"/>
      <c r="S310" s="44"/>
      <c r="T310" s="15"/>
      <c r="U310" s="44"/>
      <c r="V310" s="15">
        <f t="shared" si="24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5"/>
        <v>0</v>
      </c>
      <c r="AF310" s="101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7"/>
        <v>0</v>
      </c>
      <c r="BA310" s="15"/>
      <c r="BB310" s="44"/>
      <c r="BC310" s="15"/>
      <c r="BD310" s="44"/>
      <c r="BE310" s="15">
        <f t="shared" si="26"/>
        <v>0</v>
      </c>
    </row>
    <row r="311" spans="1:57" s="8" customFormat="1" ht="22.5" customHeight="1">
      <c r="A311" s="9"/>
      <c r="B311" s="16" t="s">
        <v>155</v>
      </c>
      <c r="C311" s="89" t="s">
        <v>140</v>
      </c>
      <c r="D311" s="80" t="s">
        <v>462</v>
      </c>
      <c r="E311" s="13"/>
      <c r="F311" s="96"/>
      <c r="G311" s="9"/>
      <c r="H311" s="9" t="s">
        <v>314</v>
      </c>
      <c r="I311" s="14"/>
      <c r="J311" s="14"/>
      <c r="K311" s="12">
        <v>59</v>
      </c>
      <c r="L311" s="9"/>
      <c r="M311" s="9"/>
      <c r="N311" s="9"/>
      <c r="O311" s="38">
        <f t="shared" si="23"/>
        <v>59</v>
      </c>
      <c r="P311" s="12"/>
      <c r="Q311" s="42"/>
      <c r="R311" s="15"/>
      <c r="S311" s="44"/>
      <c r="T311" s="15"/>
      <c r="U311" s="44"/>
      <c r="V311" s="15">
        <f t="shared" si="24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5"/>
        <v>0</v>
      </c>
      <c r="AF311" s="101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7"/>
        <v>0</v>
      </c>
      <c r="BA311" s="15"/>
      <c r="BB311" s="44"/>
      <c r="BC311" s="15"/>
      <c r="BD311" s="44"/>
      <c r="BE311" s="15">
        <f t="shared" si="26"/>
        <v>0</v>
      </c>
    </row>
    <row r="312" spans="1:57" s="8" customFormat="1" ht="22.5" customHeight="1">
      <c r="A312" s="9"/>
      <c r="B312" s="16" t="s">
        <v>155</v>
      </c>
      <c r="C312" s="89" t="s">
        <v>140</v>
      </c>
      <c r="D312" s="80" t="s">
        <v>463</v>
      </c>
      <c r="E312" s="13"/>
      <c r="F312" s="96"/>
      <c r="G312" s="9"/>
      <c r="H312" s="9" t="s">
        <v>314</v>
      </c>
      <c r="I312" s="14"/>
      <c r="J312" s="14"/>
      <c r="K312" s="12">
        <v>0</v>
      </c>
      <c r="L312" s="9"/>
      <c r="M312" s="9"/>
      <c r="N312" s="9"/>
      <c r="O312" s="38">
        <f t="shared" si="23"/>
        <v>0</v>
      </c>
      <c r="P312" s="12"/>
      <c r="Q312" s="42"/>
      <c r="R312" s="15"/>
      <c r="S312" s="44"/>
      <c r="T312" s="15"/>
      <c r="U312" s="44"/>
      <c r="V312" s="15">
        <f t="shared" si="24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5"/>
        <v>0</v>
      </c>
      <c r="AF312" s="101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7"/>
        <v>0</v>
      </c>
      <c r="BA312" s="15"/>
      <c r="BB312" s="44"/>
      <c r="BC312" s="15"/>
      <c r="BD312" s="44"/>
      <c r="BE312" s="15">
        <f t="shared" si="26"/>
        <v>0</v>
      </c>
    </row>
    <row r="313" spans="1:57" s="8" customFormat="1" ht="22.5" customHeight="1">
      <c r="A313" s="9"/>
      <c r="B313" s="16" t="s">
        <v>464</v>
      </c>
      <c r="C313" s="89" t="s">
        <v>140</v>
      </c>
      <c r="D313" s="80" t="s">
        <v>465</v>
      </c>
      <c r="E313" s="13" t="s">
        <v>466</v>
      </c>
      <c r="F313" s="96"/>
      <c r="G313" s="9"/>
      <c r="H313" s="9" t="s">
        <v>467</v>
      </c>
      <c r="I313" s="14"/>
      <c r="J313" s="14"/>
      <c r="K313" s="12">
        <v>54</v>
      </c>
      <c r="L313" s="9"/>
      <c r="M313" s="9"/>
      <c r="N313" s="9"/>
      <c r="O313" s="38">
        <f t="shared" si="23"/>
        <v>54</v>
      </c>
      <c r="P313" s="12"/>
      <c r="Q313" s="42"/>
      <c r="R313" s="15"/>
      <c r="S313" s="44"/>
      <c r="T313" s="15"/>
      <c r="U313" s="44"/>
      <c r="V313" s="15">
        <f t="shared" si="24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5"/>
        <v>0</v>
      </c>
      <c r="AF313" s="101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7"/>
        <v>0</v>
      </c>
      <c r="BA313" s="15"/>
      <c r="BB313" s="44"/>
      <c r="BC313" s="15"/>
      <c r="BD313" s="44"/>
      <c r="BE313" s="15">
        <f t="shared" si="26"/>
        <v>0</v>
      </c>
    </row>
    <row r="314" spans="1:57" s="8" customFormat="1" ht="22.5" customHeight="1">
      <c r="A314" s="9"/>
      <c r="B314" s="16" t="s">
        <v>464</v>
      </c>
      <c r="C314" s="89" t="s">
        <v>140</v>
      </c>
      <c r="D314" s="80" t="s">
        <v>468</v>
      </c>
      <c r="E314" s="13" t="s">
        <v>469</v>
      </c>
      <c r="F314" s="96"/>
      <c r="G314" s="9"/>
      <c r="H314" s="9" t="s">
        <v>467</v>
      </c>
      <c r="I314" s="14"/>
      <c r="J314" s="14"/>
      <c r="K314" s="12">
        <v>0</v>
      </c>
      <c r="L314" s="9"/>
      <c r="M314" s="9"/>
      <c r="N314" s="9"/>
      <c r="O314" s="38">
        <f t="shared" si="23"/>
        <v>0</v>
      </c>
      <c r="P314" s="12"/>
      <c r="Q314" s="42"/>
      <c r="R314" s="15"/>
      <c r="S314" s="44"/>
      <c r="T314" s="15"/>
      <c r="U314" s="44"/>
      <c r="V314" s="15">
        <f t="shared" si="24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5"/>
        <v>0</v>
      </c>
      <c r="AF314" s="101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7"/>
        <v>0</v>
      </c>
      <c r="BA314" s="15"/>
      <c r="BB314" s="44"/>
      <c r="BC314" s="15"/>
      <c r="BD314" s="44"/>
      <c r="BE314" s="15">
        <f t="shared" si="26"/>
        <v>0</v>
      </c>
    </row>
    <row r="315" spans="1:57" s="8" customFormat="1" ht="22.5" customHeight="1">
      <c r="A315" s="9"/>
      <c r="B315" s="16" t="s">
        <v>470</v>
      </c>
      <c r="C315" s="89" t="s">
        <v>140</v>
      </c>
      <c r="D315" s="80" t="s">
        <v>471</v>
      </c>
      <c r="E315" s="13"/>
      <c r="F315" s="96"/>
      <c r="G315" s="9"/>
      <c r="H315" s="9" t="s">
        <v>467</v>
      </c>
      <c r="I315" s="14"/>
      <c r="J315" s="14"/>
      <c r="K315" s="12">
        <v>71</v>
      </c>
      <c r="L315" s="9"/>
      <c r="M315" s="9"/>
      <c r="N315" s="9"/>
      <c r="O315" s="38">
        <f t="shared" si="23"/>
        <v>71</v>
      </c>
      <c r="P315" s="12"/>
      <c r="Q315" s="42"/>
      <c r="R315" s="15"/>
      <c r="S315" s="44"/>
      <c r="T315" s="15"/>
      <c r="U315" s="44"/>
      <c r="V315" s="15">
        <f t="shared" si="24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5"/>
        <v>0</v>
      </c>
      <c r="AF315" s="101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7"/>
        <v>0</v>
      </c>
      <c r="BA315" s="15"/>
      <c r="BB315" s="44"/>
      <c r="BC315" s="15"/>
      <c r="BD315" s="44"/>
      <c r="BE315" s="15">
        <f t="shared" si="26"/>
        <v>0</v>
      </c>
    </row>
    <row r="316" spans="1:57" s="8" customFormat="1" ht="22.5" customHeight="1">
      <c r="A316" s="9"/>
      <c r="B316" s="16" t="s">
        <v>472</v>
      </c>
      <c r="C316" s="89" t="s">
        <v>140</v>
      </c>
      <c r="D316" s="80" t="s">
        <v>473</v>
      </c>
      <c r="E316" s="13" t="s">
        <v>474</v>
      </c>
      <c r="F316" s="96"/>
      <c r="G316" s="9"/>
      <c r="H316" s="9" t="s">
        <v>67</v>
      </c>
      <c r="I316" s="14"/>
      <c r="J316" s="14"/>
      <c r="K316" s="12">
        <v>301</v>
      </c>
      <c r="L316" s="9"/>
      <c r="M316" s="9"/>
      <c r="N316" s="9"/>
      <c r="O316" s="38">
        <f t="shared" si="23"/>
        <v>301</v>
      </c>
      <c r="P316" s="12"/>
      <c r="Q316" s="42"/>
      <c r="R316" s="15"/>
      <c r="S316" s="44"/>
      <c r="T316" s="15"/>
      <c r="U316" s="44"/>
      <c r="V316" s="15">
        <f t="shared" si="24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5"/>
        <v>0</v>
      </c>
      <c r="AF316" s="101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7"/>
        <v>0</v>
      </c>
      <c r="BA316" s="15"/>
      <c r="BB316" s="44"/>
      <c r="BC316" s="15"/>
      <c r="BD316" s="44"/>
      <c r="BE316" s="15">
        <f t="shared" si="26"/>
        <v>0</v>
      </c>
    </row>
    <row r="317" spans="1:57" s="8" customFormat="1" ht="22.5" customHeight="1">
      <c r="A317" s="9"/>
      <c r="B317" s="16" t="s">
        <v>472</v>
      </c>
      <c r="C317" s="89" t="s">
        <v>140</v>
      </c>
      <c r="D317" s="80" t="s">
        <v>475</v>
      </c>
      <c r="E317" s="13" t="s">
        <v>476</v>
      </c>
      <c r="F317" s="96"/>
      <c r="G317" s="9"/>
      <c r="H317" s="9" t="s">
        <v>67</v>
      </c>
      <c r="I317" s="14"/>
      <c r="J317" s="14"/>
      <c r="K317" s="12">
        <v>352</v>
      </c>
      <c r="L317" s="9"/>
      <c r="M317" s="9"/>
      <c r="N317" s="9"/>
      <c r="O317" s="38">
        <f t="shared" si="23"/>
        <v>352</v>
      </c>
      <c r="P317" s="12"/>
      <c r="Q317" s="42"/>
      <c r="R317" s="15"/>
      <c r="S317" s="44"/>
      <c r="T317" s="15"/>
      <c r="U317" s="44"/>
      <c r="V317" s="15">
        <f t="shared" si="24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5"/>
        <v>0</v>
      </c>
      <c r="AF317" s="101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7"/>
        <v>0</v>
      </c>
      <c r="BA317" s="15"/>
      <c r="BB317" s="44"/>
      <c r="BC317" s="15"/>
      <c r="BD317" s="44"/>
      <c r="BE317" s="15">
        <f t="shared" si="26"/>
        <v>0</v>
      </c>
    </row>
    <row r="318" spans="1:57" s="8" customFormat="1" ht="22.5" customHeight="1">
      <c r="A318" s="9"/>
      <c r="B318" s="16" t="s">
        <v>477</v>
      </c>
      <c r="C318" s="89" t="s">
        <v>140</v>
      </c>
      <c r="D318" s="80" t="s">
        <v>478</v>
      </c>
      <c r="E318" s="13"/>
      <c r="F318" s="96"/>
      <c r="G318" s="9"/>
      <c r="H318" s="9" t="s">
        <v>467</v>
      </c>
      <c r="I318" s="14"/>
      <c r="J318" s="14"/>
      <c r="K318" s="12">
        <v>200</v>
      </c>
      <c r="L318" s="9"/>
      <c r="M318" s="9"/>
      <c r="N318" s="9"/>
      <c r="O318" s="38">
        <f t="shared" si="23"/>
        <v>200</v>
      </c>
      <c r="P318" s="12"/>
      <c r="Q318" s="42"/>
      <c r="R318" s="15"/>
      <c r="S318" s="44"/>
      <c r="T318" s="15"/>
      <c r="U318" s="44"/>
      <c r="V318" s="15">
        <f t="shared" si="24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5"/>
        <v>0</v>
      </c>
      <c r="AF318" s="101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7"/>
        <v>0</v>
      </c>
      <c r="BA318" s="15"/>
      <c r="BB318" s="44"/>
      <c r="BC318" s="15"/>
      <c r="BD318" s="44"/>
      <c r="BE318" s="15">
        <f t="shared" si="26"/>
        <v>0</v>
      </c>
    </row>
    <row r="319" spans="1:57" s="8" customFormat="1" ht="22.5" customHeight="1">
      <c r="A319" s="9"/>
      <c r="B319" s="16" t="s">
        <v>477</v>
      </c>
      <c r="C319" s="89" t="s">
        <v>140</v>
      </c>
      <c r="D319" s="80" t="s">
        <v>479</v>
      </c>
      <c r="E319" s="13"/>
      <c r="F319" s="96"/>
      <c r="G319" s="9"/>
      <c r="H319" s="9" t="s">
        <v>467</v>
      </c>
      <c r="I319" s="14"/>
      <c r="J319" s="14"/>
      <c r="K319" s="12">
        <v>35</v>
      </c>
      <c r="L319" s="9"/>
      <c r="M319" s="9"/>
      <c r="N319" s="9"/>
      <c r="O319" s="38">
        <f t="shared" si="23"/>
        <v>35</v>
      </c>
      <c r="P319" s="12"/>
      <c r="Q319" s="42"/>
      <c r="R319" s="15"/>
      <c r="S319" s="44"/>
      <c r="T319" s="15"/>
      <c r="U319" s="44"/>
      <c r="V319" s="15">
        <f t="shared" si="24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5"/>
        <v>0</v>
      </c>
      <c r="AF319" s="101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7"/>
        <v>0</v>
      </c>
      <c r="BA319" s="15"/>
      <c r="BB319" s="44"/>
      <c r="BC319" s="15"/>
      <c r="BD319" s="44"/>
      <c r="BE319" s="15">
        <f t="shared" si="26"/>
        <v>0</v>
      </c>
    </row>
    <row r="320" spans="1:57" s="8" customFormat="1" ht="22.5" customHeight="1">
      <c r="A320" s="9"/>
      <c r="B320" s="16" t="s">
        <v>477</v>
      </c>
      <c r="C320" s="89" t="s">
        <v>140</v>
      </c>
      <c r="D320" s="80" t="s">
        <v>480</v>
      </c>
      <c r="E320" s="13" t="s">
        <v>481</v>
      </c>
      <c r="F320" s="96"/>
      <c r="G320" s="9"/>
      <c r="H320" s="9" t="s">
        <v>482</v>
      </c>
      <c r="I320" s="14"/>
      <c r="J320" s="14"/>
      <c r="K320" s="12">
        <v>0</v>
      </c>
      <c r="L320" s="9"/>
      <c r="M320" s="9"/>
      <c r="N320" s="9"/>
      <c r="O320" s="38">
        <f t="shared" si="23"/>
        <v>0</v>
      </c>
      <c r="P320" s="12"/>
      <c r="Q320" s="42"/>
      <c r="R320" s="15"/>
      <c r="S320" s="44"/>
      <c r="T320" s="15"/>
      <c r="U320" s="44"/>
      <c r="V320" s="15">
        <f t="shared" si="24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5"/>
        <v>0</v>
      </c>
      <c r="AF320" s="101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7"/>
        <v>0</v>
      </c>
      <c r="BA320" s="15"/>
      <c r="BB320" s="44"/>
      <c r="BC320" s="15"/>
      <c r="BD320" s="44"/>
      <c r="BE320" s="15">
        <f t="shared" si="26"/>
        <v>0</v>
      </c>
    </row>
    <row r="321" spans="1:57" s="8" customFormat="1" ht="22.5" customHeight="1">
      <c r="A321" s="9"/>
      <c r="B321" s="16" t="s">
        <v>483</v>
      </c>
      <c r="C321" s="89" t="s">
        <v>140</v>
      </c>
      <c r="D321" s="80" t="s">
        <v>484</v>
      </c>
      <c r="E321" s="13" t="s">
        <v>485</v>
      </c>
      <c r="F321" s="96"/>
      <c r="G321" s="9"/>
      <c r="H321" s="9" t="s">
        <v>467</v>
      </c>
      <c r="I321" s="14"/>
      <c r="J321" s="14"/>
      <c r="K321" s="12">
        <v>20</v>
      </c>
      <c r="L321" s="9"/>
      <c r="M321" s="9"/>
      <c r="N321" s="9"/>
      <c r="O321" s="38">
        <f t="shared" si="23"/>
        <v>20</v>
      </c>
      <c r="P321" s="12"/>
      <c r="Q321" s="42"/>
      <c r="R321" s="15"/>
      <c r="S321" s="44"/>
      <c r="T321" s="15"/>
      <c r="U321" s="44"/>
      <c r="V321" s="15">
        <f t="shared" si="24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5"/>
        <v>0</v>
      </c>
      <c r="AF321" s="101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7"/>
        <v>0</v>
      </c>
      <c r="BA321" s="15"/>
      <c r="BB321" s="44"/>
      <c r="BC321" s="15"/>
      <c r="BD321" s="44"/>
      <c r="BE321" s="15">
        <f t="shared" si="26"/>
        <v>0</v>
      </c>
    </row>
    <row r="322" spans="1:57" s="8" customFormat="1" ht="22.5" customHeight="1">
      <c r="A322" s="9"/>
      <c r="B322" s="16" t="s">
        <v>486</v>
      </c>
      <c r="C322" s="89" t="s">
        <v>140</v>
      </c>
      <c r="D322" s="80" t="s">
        <v>487</v>
      </c>
      <c r="E322" s="13"/>
      <c r="F322" s="96"/>
      <c r="G322" s="9"/>
      <c r="H322" s="9" t="s">
        <v>467</v>
      </c>
      <c r="I322" s="14"/>
      <c r="J322" s="14"/>
      <c r="K322" s="12">
        <v>0</v>
      </c>
      <c r="L322" s="9"/>
      <c r="M322" s="9"/>
      <c r="N322" s="9"/>
      <c r="O322" s="38">
        <f t="shared" si="23"/>
        <v>0</v>
      </c>
      <c r="P322" s="12"/>
      <c r="Q322" s="42"/>
      <c r="R322" s="15"/>
      <c r="S322" s="44"/>
      <c r="T322" s="15"/>
      <c r="U322" s="44"/>
      <c r="V322" s="15">
        <f t="shared" si="24"/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si="25"/>
        <v>0</v>
      </c>
      <c r="AF322" s="101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7"/>
        <v>0</v>
      </c>
      <c r="BA322" s="15"/>
      <c r="BB322" s="44"/>
      <c r="BC322" s="15"/>
      <c r="BD322" s="44"/>
      <c r="BE322" s="15">
        <f t="shared" si="26"/>
        <v>0</v>
      </c>
    </row>
    <row r="323" spans="1:57" s="8" customFormat="1" ht="22.5" customHeight="1">
      <c r="A323" s="9"/>
      <c r="B323" s="16" t="s">
        <v>486</v>
      </c>
      <c r="C323" s="89" t="s">
        <v>140</v>
      </c>
      <c r="D323" s="80" t="s">
        <v>488</v>
      </c>
      <c r="E323" s="13"/>
      <c r="F323" s="96"/>
      <c r="G323" s="9"/>
      <c r="H323" s="9" t="s">
        <v>467</v>
      </c>
      <c r="I323" s="14"/>
      <c r="J323" s="14"/>
      <c r="K323" s="12">
        <v>0</v>
      </c>
      <c r="L323" s="9"/>
      <c r="M323" s="9"/>
      <c r="N323" s="9"/>
      <c r="O323" s="38">
        <f t="shared" si="23"/>
        <v>0</v>
      </c>
      <c r="P323" s="12"/>
      <c r="Q323" s="42"/>
      <c r="R323" s="15"/>
      <c r="S323" s="44"/>
      <c r="T323" s="15"/>
      <c r="U323" s="44"/>
      <c r="V323" s="15">
        <f t="shared" si="24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5"/>
        <v>0</v>
      </c>
      <c r="AF323" s="101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si="27"/>
        <v>0</v>
      </c>
      <c r="BA323" s="15"/>
      <c r="BB323" s="44"/>
      <c r="BC323" s="15"/>
      <c r="BD323" s="44"/>
      <c r="BE323" s="15">
        <f t="shared" si="26"/>
        <v>0</v>
      </c>
    </row>
    <row r="324" spans="1:57" s="8" customFormat="1" ht="22.5" customHeight="1">
      <c r="A324" s="9"/>
      <c r="B324" s="16" t="s">
        <v>489</v>
      </c>
      <c r="C324" s="89" t="s">
        <v>140</v>
      </c>
      <c r="D324" s="80" t="s">
        <v>490</v>
      </c>
      <c r="E324" s="13" t="s">
        <v>206</v>
      </c>
      <c r="F324" s="96"/>
      <c r="G324" s="9"/>
      <c r="H324" s="9" t="s">
        <v>207</v>
      </c>
      <c r="I324" s="14"/>
      <c r="J324" s="14"/>
      <c r="K324" s="12">
        <v>490</v>
      </c>
      <c r="L324" s="9"/>
      <c r="M324" s="9"/>
      <c r="N324" s="9"/>
      <c r="O324" s="38">
        <f t="shared" ref="O324:O387" si="28">K324+V324-AE324-AZ324</f>
        <v>490</v>
      </c>
      <c r="P324" s="12"/>
      <c r="Q324" s="42"/>
      <c r="R324" s="15"/>
      <c r="S324" s="44"/>
      <c r="T324" s="15"/>
      <c r="U324" s="44"/>
      <c r="V324" s="15">
        <f t="shared" ref="V324:V387" si="29">P324+R324+T324</f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ref="AE324:AE387" si="30">(W324+Y324+AA324+AC324)</f>
        <v>0</v>
      </c>
      <c r="AF324" s="101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27"/>
        <v>0</v>
      </c>
      <c r="BA324" s="15"/>
      <c r="BB324" s="44"/>
      <c r="BC324" s="15"/>
      <c r="BD324" s="44"/>
      <c r="BE324" s="15">
        <f t="shared" si="26"/>
        <v>0</v>
      </c>
    </row>
    <row r="325" spans="1:57" s="8" customFormat="1" ht="22.5" customHeight="1">
      <c r="A325" s="9"/>
      <c r="B325" s="16" t="s">
        <v>244</v>
      </c>
      <c r="C325" s="89" t="s">
        <v>140</v>
      </c>
      <c r="D325" s="80" t="s">
        <v>491</v>
      </c>
      <c r="E325" s="13" t="s">
        <v>492</v>
      </c>
      <c r="F325" s="96"/>
      <c r="G325" s="9"/>
      <c r="H325" s="9" t="s">
        <v>247</v>
      </c>
      <c r="I325" s="14"/>
      <c r="J325" s="14"/>
      <c r="K325" s="12">
        <v>71</v>
      </c>
      <c r="L325" s="9"/>
      <c r="M325" s="9"/>
      <c r="N325" s="9"/>
      <c r="O325" s="38">
        <f t="shared" si="28"/>
        <v>71</v>
      </c>
      <c r="P325" s="12"/>
      <c r="Q325" s="42"/>
      <c r="R325" s="15"/>
      <c r="S325" s="44"/>
      <c r="T325" s="15"/>
      <c r="U325" s="44"/>
      <c r="V325" s="15">
        <f t="shared" si="29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30"/>
        <v>0</v>
      </c>
      <c r="AF325" s="101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27"/>
        <v>0</v>
      </c>
      <c r="BA325" s="15"/>
      <c r="BB325" s="44"/>
      <c r="BC325" s="15"/>
      <c r="BD325" s="44"/>
      <c r="BE325" s="15">
        <f t="shared" si="26"/>
        <v>0</v>
      </c>
    </row>
    <row r="326" spans="1:57" s="8" customFormat="1" ht="22.5" customHeight="1">
      <c r="A326" s="9"/>
      <c r="B326" s="16" t="s">
        <v>244</v>
      </c>
      <c r="C326" s="89" t="s">
        <v>140</v>
      </c>
      <c r="D326" s="80" t="s">
        <v>493</v>
      </c>
      <c r="E326" s="13" t="s">
        <v>492</v>
      </c>
      <c r="F326" s="96"/>
      <c r="G326" s="9"/>
      <c r="H326" s="9" t="s">
        <v>247</v>
      </c>
      <c r="I326" s="14"/>
      <c r="J326" s="14"/>
      <c r="K326" s="12">
        <v>144</v>
      </c>
      <c r="L326" s="9"/>
      <c r="M326" s="9"/>
      <c r="N326" s="9"/>
      <c r="O326" s="38">
        <f t="shared" si="28"/>
        <v>144</v>
      </c>
      <c r="P326" s="12"/>
      <c r="Q326" s="42"/>
      <c r="R326" s="15"/>
      <c r="S326" s="44"/>
      <c r="T326" s="15"/>
      <c r="U326" s="44"/>
      <c r="V326" s="15">
        <f t="shared" si="29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30"/>
        <v>0</v>
      </c>
      <c r="AF326" s="101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27"/>
        <v>0</v>
      </c>
      <c r="BA326" s="15"/>
      <c r="BB326" s="44"/>
      <c r="BC326" s="15"/>
      <c r="BD326" s="44"/>
      <c r="BE326" s="15">
        <f t="shared" si="26"/>
        <v>0</v>
      </c>
    </row>
    <row r="327" spans="1:57" s="8" customFormat="1" ht="22.5" customHeight="1">
      <c r="A327" s="9"/>
      <c r="B327" s="18" t="s">
        <v>172</v>
      </c>
      <c r="C327" s="89" t="s">
        <v>494</v>
      </c>
      <c r="D327" s="58" t="s">
        <v>253</v>
      </c>
      <c r="E327" s="35"/>
      <c r="F327" s="96"/>
      <c r="G327" s="21"/>
      <c r="H327" s="21" t="s">
        <v>67</v>
      </c>
      <c r="I327" s="14"/>
      <c r="J327" s="14"/>
      <c r="K327" s="12">
        <v>235</v>
      </c>
      <c r="L327" s="9"/>
      <c r="M327" s="9"/>
      <c r="N327" s="9"/>
      <c r="O327" s="38">
        <f t="shared" si="28"/>
        <v>235</v>
      </c>
      <c r="P327" s="12"/>
      <c r="Q327" s="42"/>
      <c r="R327" s="15"/>
      <c r="S327" s="44"/>
      <c r="T327" s="15"/>
      <c r="U327" s="44"/>
      <c r="V327" s="15">
        <f t="shared" si="29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30"/>
        <v>0</v>
      </c>
      <c r="AF327" s="101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27"/>
        <v>0</v>
      </c>
      <c r="BA327" s="15"/>
      <c r="BB327" s="44"/>
      <c r="BC327" s="15"/>
      <c r="BD327" s="44"/>
      <c r="BE327" s="15">
        <f t="shared" si="26"/>
        <v>0</v>
      </c>
    </row>
    <row r="328" spans="1:57" s="8" customFormat="1" ht="22.5" customHeight="1">
      <c r="A328" s="9"/>
      <c r="B328" s="18" t="s">
        <v>172</v>
      </c>
      <c r="C328" s="89" t="s">
        <v>52</v>
      </c>
      <c r="D328" s="58" t="s">
        <v>495</v>
      </c>
      <c r="E328" s="35" t="s">
        <v>496</v>
      </c>
      <c r="F328" s="96"/>
      <c r="G328" s="21"/>
      <c r="H328" s="21" t="s">
        <v>67</v>
      </c>
      <c r="I328" s="14"/>
      <c r="J328" s="14"/>
      <c r="K328" s="12">
        <v>500</v>
      </c>
      <c r="L328" s="9"/>
      <c r="M328" s="9"/>
      <c r="N328" s="9"/>
      <c r="O328" s="38">
        <f t="shared" si="28"/>
        <v>500</v>
      </c>
      <c r="P328" s="12"/>
      <c r="Q328" s="42"/>
      <c r="R328" s="15"/>
      <c r="S328" s="44"/>
      <c r="T328" s="15"/>
      <c r="U328" s="44"/>
      <c r="V328" s="15">
        <f t="shared" si="29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30"/>
        <v>0</v>
      </c>
      <c r="AF328" s="101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27"/>
        <v>0</v>
      </c>
      <c r="BA328" s="15"/>
      <c r="BB328" s="44"/>
      <c r="BC328" s="15"/>
      <c r="BD328" s="44"/>
      <c r="BE328" s="15">
        <f t="shared" si="26"/>
        <v>0</v>
      </c>
    </row>
    <row r="329" spans="1:57" s="8" customFormat="1" ht="22.5" customHeight="1">
      <c r="A329" s="9"/>
      <c r="B329" s="16" t="s">
        <v>172</v>
      </c>
      <c r="C329" s="89" t="s">
        <v>494</v>
      </c>
      <c r="D329" s="61" t="s">
        <v>497</v>
      </c>
      <c r="E329" s="13"/>
      <c r="F329" s="96"/>
      <c r="G329" s="9"/>
      <c r="H329" s="9" t="s">
        <v>67</v>
      </c>
      <c r="I329" s="14"/>
      <c r="J329" s="14"/>
      <c r="K329" s="12">
        <v>205</v>
      </c>
      <c r="L329" s="9"/>
      <c r="M329" s="9"/>
      <c r="N329" s="9"/>
      <c r="O329" s="38">
        <f t="shared" si="28"/>
        <v>205</v>
      </c>
      <c r="P329" s="12"/>
      <c r="Q329" s="42"/>
      <c r="R329" s="15"/>
      <c r="S329" s="44"/>
      <c r="T329" s="15"/>
      <c r="U329" s="44"/>
      <c r="V329" s="15">
        <f t="shared" si="29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30"/>
        <v>0</v>
      </c>
      <c r="AF329" s="101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27"/>
        <v>0</v>
      </c>
      <c r="BA329" s="15"/>
      <c r="BB329" s="44"/>
      <c r="BC329" s="15"/>
      <c r="BD329" s="44"/>
      <c r="BE329" s="15">
        <f t="shared" si="26"/>
        <v>0</v>
      </c>
    </row>
    <row r="330" spans="1:57" s="8" customFormat="1" ht="22.5" customHeight="1">
      <c r="A330" s="9"/>
      <c r="B330" s="16" t="s">
        <v>172</v>
      </c>
      <c r="C330" s="89" t="s">
        <v>494</v>
      </c>
      <c r="D330" s="84" t="s">
        <v>498</v>
      </c>
      <c r="E330" s="13" t="s">
        <v>499</v>
      </c>
      <c r="F330" s="96"/>
      <c r="G330" s="9"/>
      <c r="H330" s="9" t="s">
        <v>67</v>
      </c>
      <c r="I330" s="14"/>
      <c r="J330" s="14"/>
      <c r="K330" s="12">
        <v>90</v>
      </c>
      <c r="L330" s="9"/>
      <c r="M330" s="9"/>
      <c r="N330" s="9"/>
      <c r="O330" s="38">
        <f t="shared" si="28"/>
        <v>90</v>
      </c>
      <c r="P330" s="12"/>
      <c r="Q330" s="42"/>
      <c r="R330" s="15"/>
      <c r="S330" s="44"/>
      <c r="T330" s="15"/>
      <c r="U330" s="44"/>
      <c r="V330" s="15">
        <f t="shared" si="29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30"/>
        <v>0</v>
      </c>
      <c r="AF330" s="101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27"/>
        <v>0</v>
      </c>
      <c r="BA330" s="15"/>
      <c r="BB330" s="44"/>
      <c r="BC330" s="15"/>
      <c r="BD330" s="44"/>
      <c r="BE330" s="15">
        <f t="shared" si="26"/>
        <v>0</v>
      </c>
    </row>
    <row r="331" spans="1:57" s="8" customFormat="1" ht="22.5" customHeight="1">
      <c r="A331" s="9"/>
      <c r="B331" s="16" t="s">
        <v>172</v>
      </c>
      <c r="C331" s="89" t="s">
        <v>494</v>
      </c>
      <c r="D331" s="80" t="s">
        <v>500</v>
      </c>
      <c r="E331" s="13" t="s">
        <v>501</v>
      </c>
      <c r="F331" s="96"/>
      <c r="G331" s="9"/>
      <c r="H331" s="9" t="s">
        <v>67</v>
      </c>
      <c r="I331" s="14"/>
      <c r="J331" s="14"/>
      <c r="K331" s="12">
        <v>109</v>
      </c>
      <c r="L331" s="9"/>
      <c r="M331" s="9"/>
      <c r="N331" s="9"/>
      <c r="O331" s="38">
        <f t="shared" si="28"/>
        <v>109</v>
      </c>
      <c r="P331" s="12"/>
      <c r="Q331" s="42"/>
      <c r="R331" s="15"/>
      <c r="S331" s="44"/>
      <c r="T331" s="15"/>
      <c r="U331" s="44"/>
      <c r="V331" s="15">
        <f t="shared" si="29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30"/>
        <v>0</v>
      </c>
      <c r="AF331" s="101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27"/>
        <v>0</v>
      </c>
      <c r="BA331" s="15"/>
      <c r="BB331" s="44"/>
      <c r="BC331" s="15"/>
      <c r="BD331" s="44"/>
      <c r="BE331" s="15">
        <f t="shared" si="26"/>
        <v>0</v>
      </c>
    </row>
    <row r="332" spans="1:57" s="8" customFormat="1" ht="22.5" customHeight="1">
      <c r="A332" s="9"/>
      <c r="B332" s="16" t="s">
        <v>172</v>
      </c>
      <c r="C332" s="89" t="s">
        <v>52</v>
      </c>
      <c r="D332" s="80" t="s">
        <v>502</v>
      </c>
      <c r="E332" s="13"/>
      <c r="F332" s="96"/>
      <c r="G332" s="9"/>
      <c r="H332" s="9" t="s">
        <v>67</v>
      </c>
      <c r="I332" s="14"/>
      <c r="J332" s="14"/>
      <c r="K332" s="12">
        <v>106</v>
      </c>
      <c r="L332" s="9"/>
      <c r="M332" s="9"/>
      <c r="N332" s="9"/>
      <c r="O332" s="38">
        <f t="shared" si="28"/>
        <v>106</v>
      </c>
      <c r="P332" s="12"/>
      <c r="Q332" s="42"/>
      <c r="R332" s="15"/>
      <c r="S332" s="44"/>
      <c r="T332" s="15"/>
      <c r="U332" s="44"/>
      <c r="V332" s="15">
        <f t="shared" si="29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30"/>
        <v>0</v>
      </c>
      <c r="AF332" s="101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27"/>
        <v>0</v>
      </c>
      <c r="BA332" s="15"/>
      <c r="BB332" s="44"/>
      <c r="BC332" s="15"/>
      <c r="BD332" s="44"/>
      <c r="BE332" s="15">
        <f t="shared" si="26"/>
        <v>0</v>
      </c>
    </row>
    <row r="333" spans="1:57" s="8" customFormat="1" ht="22.5" customHeight="1">
      <c r="A333" s="9"/>
      <c r="B333" s="16" t="s">
        <v>172</v>
      </c>
      <c r="C333" s="89" t="s">
        <v>52</v>
      </c>
      <c r="D333" s="80" t="s">
        <v>416</v>
      </c>
      <c r="E333" s="13"/>
      <c r="F333" s="96"/>
      <c r="G333" s="9"/>
      <c r="H333" s="9" t="s">
        <v>67</v>
      </c>
      <c r="I333" s="14"/>
      <c r="J333" s="14"/>
      <c r="K333" s="12">
        <v>108</v>
      </c>
      <c r="L333" s="9"/>
      <c r="M333" s="9"/>
      <c r="N333" s="9"/>
      <c r="O333" s="38">
        <f t="shared" si="28"/>
        <v>108</v>
      </c>
      <c r="P333" s="12"/>
      <c r="Q333" s="42"/>
      <c r="R333" s="15"/>
      <c r="S333" s="44"/>
      <c r="T333" s="15"/>
      <c r="U333" s="44"/>
      <c r="V333" s="15">
        <f t="shared" si="29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30"/>
        <v>0</v>
      </c>
      <c r="AF333" s="101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27"/>
        <v>0</v>
      </c>
      <c r="BA333" s="15"/>
      <c r="BB333" s="44"/>
      <c r="BC333" s="15"/>
      <c r="BD333" s="44"/>
      <c r="BE333" s="15">
        <f t="shared" si="26"/>
        <v>0</v>
      </c>
    </row>
    <row r="334" spans="1:57" s="8" customFormat="1" ht="22.5" customHeight="1">
      <c r="A334" s="9"/>
      <c r="B334" s="16" t="s">
        <v>172</v>
      </c>
      <c r="C334" s="89" t="s">
        <v>52</v>
      </c>
      <c r="D334" s="80" t="s">
        <v>503</v>
      </c>
      <c r="E334" s="13"/>
      <c r="F334" s="96"/>
      <c r="G334" s="9"/>
      <c r="H334" s="9" t="s">
        <v>67</v>
      </c>
      <c r="I334" s="14"/>
      <c r="J334" s="14"/>
      <c r="K334" s="12">
        <v>280</v>
      </c>
      <c r="L334" s="9"/>
      <c r="M334" s="9"/>
      <c r="N334" s="9"/>
      <c r="O334" s="38">
        <f t="shared" si="28"/>
        <v>280</v>
      </c>
      <c r="P334" s="12"/>
      <c r="Q334" s="42"/>
      <c r="R334" s="15"/>
      <c r="S334" s="44"/>
      <c r="T334" s="15"/>
      <c r="U334" s="44"/>
      <c r="V334" s="15">
        <f t="shared" si="29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30"/>
        <v>0</v>
      </c>
      <c r="AF334" s="101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27"/>
        <v>0</v>
      </c>
      <c r="BA334" s="15"/>
      <c r="BB334" s="44"/>
      <c r="BC334" s="15"/>
      <c r="BD334" s="44"/>
      <c r="BE334" s="15">
        <f t="shared" si="26"/>
        <v>0</v>
      </c>
    </row>
    <row r="335" spans="1:57" s="8" customFormat="1" ht="22.5" customHeight="1">
      <c r="A335" s="9"/>
      <c r="B335" s="16" t="s">
        <v>172</v>
      </c>
      <c r="C335" s="89" t="s">
        <v>52</v>
      </c>
      <c r="D335" s="80" t="s">
        <v>504</v>
      </c>
      <c r="E335" s="13"/>
      <c r="F335" s="96"/>
      <c r="G335" s="9"/>
      <c r="H335" s="9" t="s">
        <v>67</v>
      </c>
      <c r="I335" s="14"/>
      <c r="J335" s="14"/>
      <c r="K335" s="12">
        <v>192</v>
      </c>
      <c r="L335" s="9"/>
      <c r="M335" s="9"/>
      <c r="N335" s="9"/>
      <c r="O335" s="38">
        <f t="shared" si="28"/>
        <v>192</v>
      </c>
      <c r="P335" s="12"/>
      <c r="Q335" s="42"/>
      <c r="R335" s="15"/>
      <c r="S335" s="44"/>
      <c r="T335" s="15"/>
      <c r="U335" s="44"/>
      <c r="V335" s="15">
        <f t="shared" si="29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30"/>
        <v>0</v>
      </c>
      <c r="AF335" s="101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27"/>
        <v>0</v>
      </c>
      <c r="BA335" s="15"/>
      <c r="BB335" s="44"/>
      <c r="BC335" s="15"/>
      <c r="BD335" s="44"/>
      <c r="BE335" s="15">
        <f t="shared" si="26"/>
        <v>0</v>
      </c>
    </row>
    <row r="336" spans="1:57" s="8" customFormat="1" ht="22.5" customHeight="1">
      <c r="A336" s="9"/>
      <c r="B336" s="16" t="s">
        <v>172</v>
      </c>
      <c r="C336" s="89" t="s">
        <v>52</v>
      </c>
      <c r="D336" s="80" t="s">
        <v>505</v>
      </c>
      <c r="E336" s="13"/>
      <c r="F336" s="96"/>
      <c r="G336" s="9"/>
      <c r="H336" s="9" t="s">
        <v>67</v>
      </c>
      <c r="I336" s="14"/>
      <c r="J336" s="14"/>
      <c r="K336" s="12">
        <v>194</v>
      </c>
      <c r="L336" s="9"/>
      <c r="M336" s="9"/>
      <c r="N336" s="9"/>
      <c r="O336" s="38">
        <f t="shared" si="28"/>
        <v>194</v>
      </c>
      <c r="P336" s="12"/>
      <c r="Q336" s="42"/>
      <c r="R336" s="15"/>
      <c r="S336" s="44"/>
      <c r="T336" s="15"/>
      <c r="U336" s="44"/>
      <c r="V336" s="15">
        <f t="shared" si="29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30"/>
        <v>0</v>
      </c>
      <c r="AF336" s="101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27"/>
        <v>0</v>
      </c>
      <c r="BA336" s="15"/>
      <c r="BB336" s="44"/>
      <c r="BC336" s="15"/>
      <c r="BD336" s="44"/>
      <c r="BE336" s="15">
        <f t="shared" si="26"/>
        <v>0</v>
      </c>
    </row>
    <row r="337" spans="1:57" s="8" customFormat="1" ht="22.5" customHeight="1">
      <c r="A337" s="9"/>
      <c r="B337" s="16" t="s">
        <v>172</v>
      </c>
      <c r="C337" s="89" t="s">
        <v>52</v>
      </c>
      <c r="D337" s="80" t="s">
        <v>506</v>
      </c>
      <c r="E337" s="13"/>
      <c r="F337" s="96"/>
      <c r="G337" s="9"/>
      <c r="H337" s="9" t="s">
        <v>67</v>
      </c>
      <c r="I337" s="14"/>
      <c r="J337" s="14"/>
      <c r="K337" s="12">
        <v>0</v>
      </c>
      <c r="L337" s="9"/>
      <c r="M337" s="9"/>
      <c r="N337" s="9"/>
      <c r="O337" s="38">
        <f t="shared" si="28"/>
        <v>0</v>
      </c>
      <c r="P337" s="12"/>
      <c r="Q337" s="42"/>
      <c r="R337" s="15"/>
      <c r="S337" s="44"/>
      <c r="T337" s="15"/>
      <c r="U337" s="44"/>
      <c r="V337" s="15">
        <f t="shared" si="29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30"/>
        <v>0</v>
      </c>
      <c r="AF337" s="101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27"/>
        <v>0</v>
      </c>
      <c r="BA337" s="15"/>
      <c r="BB337" s="44"/>
      <c r="BC337" s="15"/>
      <c r="BD337" s="44"/>
      <c r="BE337" s="15">
        <f t="shared" si="26"/>
        <v>0</v>
      </c>
    </row>
    <row r="338" spans="1:57" s="8" customFormat="1" ht="22.5" customHeight="1">
      <c r="A338" s="9"/>
      <c r="B338" s="16" t="s">
        <v>120</v>
      </c>
      <c r="C338" s="89" t="s">
        <v>507</v>
      </c>
      <c r="D338" s="72" t="s">
        <v>508</v>
      </c>
      <c r="E338" s="13" t="s">
        <v>509</v>
      </c>
      <c r="F338" s="96"/>
      <c r="G338" s="9"/>
      <c r="H338" s="9" t="s">
        <v>67</v>
      </c>
      <c r="I338" s="14"/>
      <c r="J338" s="14"/>
      <c r="K338" s="12">
        <v>157</v>
      </c>
      <c r="L338" s="9"/>
      <c r="M338" s="9"/>
      <c r="N338" s="9"/>
      <c r="O338" s="38">
        <f t="shared" si="28"/>
        <v>157</v>
      </c>
      <c r="P338" s="12"/>
      <c r="Q338" s="42"/>
      <c r="R338" s="15"/>
      <c r="S338" s="44"/>
      <c r="T338" s="15"/>
      <c r="U338" s="44"/>
      <c r="V338" s="15">
        <f t="shared" si="29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30"/>
        <v>0</v>
      </c>
      <c r="AF338" s="101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27"/>
        <v>0</v>
      </c>
      <c r="BA338" s="15"/>
      <c r="BB338" s="44"/>
      <c r="BC338" s="15"/>
      <c r="BD338" s="44"/>
      <c r="BE338" s="15">
        <f t="shared" si="26"/>
        <v>0</v>
      </c>
    </row>
    <row r="339" spans="1:57" s="8" customFormat="1" ht="22.5" customHeight="1">
      <c r="A339" s="9"/>
      <c r="B339" s="16" t="s">
        <v>120</v>
      </c>
      <c r="C339" s="89" t="s">
        <v>494</v>
      </c>
      <c r="D339" s="56" t="s">
        <v>194</v>
      </c>
      <c r="E339" s="13" t="s">
        <v>510</v>
      </c>
      <c r="F339" s="96"/>
      <c r="G339" s="9"/>
      <c r="H339" s="9" t="s">
        <v>67</v>
      </c>
      <c r="I339" s="14"/>
      <c r="J339" s="14"/>
      <c r="K339" s="12">
        <v>123</v>
      </c>
      <c r="L339" s="9"/>
      <c r="M339" s="9"/>
      <c r="N339" s="9"/>
      <c r="O339" s="38">
        <f t="shared" si="28"/>
        <v>123</v>
      </c>
      <c r="P339" s="12"/>
      <c r="Q339" s="42"/>
      <c r="R339" s="15"/>
      <c r="S339" s="44"/>
      <c r="T339" s="15"/>
      <c r="U339" s="44"/>
      <c r="V339" s="15">
        <f t="shared" si="29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30"/>
        <v>0</v>
      </c>
      <c r="AF339" s="101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27"/>
        <v>0</v>
      </c>
      <c r="BA339" s="15"/>
      <c r="BB339" s="44"/>
      <c r="BC339" s="15"/>
      <c r="BD339" s="44"/>
      <c r="BE339" s="15">
        <f t="shared" si="26"/>
        <v>0</v>
      </c>
    </row>
    <row r="340" spans="1:57" s="8" customFormat="1" ht="22.5" customHeight="1">
      <c r="A340" s="9"/>
      <c r="B340" s="16" t="s">
        <v>120</v>
      </c>
      <c r="C340" s="89" t="s">
        <v>494</v>
      </c>
      <c r="D340" s="80" t="s">
        <v>263</v>
      </c>
      <c r="E340" s="13" t="s">
        <v>511</v>
      </c>
      <c r="F340" s="96"/>
      <c r="G340" s="9"/>
      <c r="H340" s="9" t="s">
        <v>67</v>
      </c>
      <c r="I340" s="14"/>
      <c r="J340" s="14"/>
      <c r="K340" s="12">
        <v>240</v>
      </c>
      <c r="L340" s="9"/>
      <c r="M340" s="9"/>
      <c r="N340" s="9"/>
      <c r="O340" s="38">
        <f t="shared" si="28"/>
        <v>240</v>
      </c>
      <c r="P340" s="12"/>
      <c r="Q340" s="42"/>
      <c r="R340" s="15"/>
      <c r="S340" s="44"/>
      <c r="T340" s="15"/>
      <c r="U340" s="44"/>
      <c r="V340" s="15">
        <f t="shared" si="29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30"/>
        <v>0</v>
      </c>
      <c r="AF340" s="101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27"/>
        <v>0</v>
      </c>
      <c r="BA340" s="15"/>
      <c r="BB340" s="44"/>
      <c r="BC340" s="15"/>
      <c r="BD340" s="44"/>
      <c r="BE340" s="15">
        <f t="shared" si="26"/>
        <v>0</v>
      </c>
    </row>
    <row r="341" spans="1:57" s="8" customFormat="1" ht="22.5" customHeight="1">
      <c r="A341" s="9"/>
      <c r="B341" s="16" t="s">
        <v>120</v>
      </c>
      <c r="C341" s="89" t="s">
        <v>52</v>
      </c>
      <c r="D341" s="80" t="s">
        <v>265</v>
      </c>
      <c r="E341" s="13" t="s">
        <v>512</v>
      </c>
      <c r="F341" s="96"/>
      <c r="G341" s="9"/>
      <c r="H341" s="9" t="s">
        <v>67</v>
      </c>
      <c r="I341" s="14"/>
      <c r="J341" s="14"/>
      <c r="K341" s="12">
        <v>203</v>
      </c>
      <c r="L341" s="9"/>
      <c r="M341" s="9"/>
      <c r="N341" s="9"/>
      <c r="O341" s="38">
        <f t="shared" si="28"/>
        <v>203</v>
      </c>
      <c r="P341" s="12"/>
      <c r="Q341" s="42"/>
      <c r="R341" s="15"/>
      <c r="S341" s="44"/>
      <c r="T341" s="15"/>
      <c r="U341" s="44"/>
      <c r="V341" s="15">
        <f t="shared" si="29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30"/>
        <v>0</v>
      </c>
      <c r="AF341" s="101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27"/>
        <v>0</v>
      </c>
      <c r="BA341" s="15"/>
      <c r="BB341" s="44"/>
      <c r="BC341" s="15"/>
      <c r="BD341" s="44"/>
      <c r="BE341" s="15">
        <f t="shared" si="26"/>
        <v>0</v>
      </c>
    </row>
    <row r="342" spans="1:57" s="8" customFormat="1" ht="22.5" customHeight="1">
      <c r="A342" s="9"/>
      <c r="B342" s="16" t="s">
        <v>120</v>
      </c>
      <c r="C342" s="89" t="s">
        <v>52</v>
      </c>
      <c r="D342" s="80" t="s">
        <v>198</v>
      </c>
      <c r="E342" s="13" t="s">
        <v>513</v>
      </c>
      <c r="F342" s="96"/>
      <c r="G342" s="9"/>
      <c r="H342" s="9" t="s">
        <v>67</v>
      </c>
      <c r="I342" s="14"/>
      <c r="J342" s="14"/>
      <c r="K342" s="12">
        <v>0</v>
      </c>
      <c r="L342" s="9"/>
      <c r="M342" s="9"/>
      <c r="N342" s="9"/>
      <c r="O342" s="38">
        <f t="shared" si="28"/>
        <v>0</v>
      </c>
      <c r="P342" s="12"/>
      <c r="Q342" s="42"/>
      <c r="R342" s="15"/>
      <c r="S342" s="44"/>
      <c r="T342" s="15"/>
      <c r="U342" s="44"/>
      <c r="V342" s="15">
        <f t="shared" si="29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30"/>
        <v>0</v>
      </c>
      <c r="AF342" s="101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27"/>
        <v>0</v>
      </c>
      <c r="BA342" s="15"/>
      <c r="BB342" s="44"/>
      <c r="BC342" s="15"/>
      <c r="BD342" s="44"/>
      <c r="BE342" s="15">
        <f t="shared" si="26"/>
        <v>0</v>
      </c>
    </row>
    <row r="343" spans="1:57" s="8" customFormat="1" ht="22.5" customHeight="1">
      <c r="A343" s="9"/>
      <c r="B343" s="16" t="s">
        <v>120</v>
      </c>
      <c r="C343" s="89" t="s">
        <v>494</v>
      </c>
      <c r="D343" s="80" t="s">
        <v>514</v>
      </c>
      <c r="E343" s="13" t="s">
        <v>515</v>
      </c>
      <c r="F343" s="96"/>
      <c r="G343" s="9"/>
      <c r="H343" s="9" t="s">
        <v>67</v>
      </c>
      <c r="I343" s="14"/>
      <c r="J343" s="14"/>
      <c r="K343" s="12">
        <v>234</v>
      </c>
      <c r="L343" s="9"/>
      <c r="M343" s="9"/>
      <c r="N343" s="9"/>
      <c r="O343" s="38">
        <f t="shared" si="28"/>
        <v>234</v>
      </c>
      <c r="P343" s="12"/>
      <c r="Q343" s="42"/>
      <c r="R343" s="15"/>
      <c r="S343" s="44"/>
      <c r="T343" s="15"/>
      <c r="U343" s="44"/>
      <c r="V343" s="15">
        <f t="shared" si="29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30"/>
        <v>0</v>
      </c>
      <c r="AF343" s="101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27"/>
        <v>0</v>
      </c>
      <c r="BA343" s="15"/>
      <c r="BB343" s="44"/>
      <c r="BC343" s="15"/>
      <c r="BD343" s="44"/>
      <c r="BE343" s="15">
        <f t="shared" si="26"/>
        <v>0</v>
      </c>
    </row>
    <row r="344" spans="1:57" s="8" customFormat="1" ht="22.5" customHeight="1">
      <c r="A344" s="9"/>
      <c r="B344" s="16" t="s">
        <v>120</v>
      </c>
      <c r="C344" s="89" t="s">
        <v>494</v>
      </c>
      <c r="D344" s="80" t="s">
        <v>200</v>
      </c>
      <c r="E344" s="13" t="s">
        <v>516</v>
      </c>
      <c r="F344" s="96"/>
      <c r="G344" s="9"/>
      <c r="H344" s="9" t="s">
        <v>67</v>
      </c>
      <c r="I344" s="14"/>
      <c r="J344" s="14"/>
      <c r="K344" s="12">
        <v>512</v>
      </c>
      <c r="L344" s="9"/>
      <c r="M344" s="9"/>
      <c r="N344" s="9"/>
      <c r="O344" s="38">
        <f t="shared" si="28"/>
        <v>512</v>
      </c>
      <c r="P344" s="12"/>
      <c r="Q344" s="42"/>
      <c r="R344" s="15"/>
      <c r="S344" s="44"/>
      <c r="T344" s="15"/>
      <c r="U344" s="44"/>
      <c r="V344" s="15">
        <f t="shared" si="29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30"/>
        <v>0</v>
      </c>
      <c r="AF344" s="101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27"/>
        <v>0</v>
      </c>
      <c r="BA344" s="15"/>
      <c r="BB344" s="44"/>
      <c r="BC344" s="15"/>
      <c r="BD344" s="44"/>
      <c r="BE344" s="15">
        <f t="shared" si="26"/>
        <v>0</v>
      </c>
    </row>
    <row r="345" spans="1:57" s="8" customFormat="1" ht="22.5" customHeight="1">
      <c r="A345" s="9"/>
      <c r="B345" s="16" t="s">
        <v>120</v>
      </c>
      <c r="C345" s="89" t="s">
        <v>494</v>
      </c>
      <c r="D345" s="80" t="s">
        <v>517</v>
      </c>
      <c r="E345" s="13" t="s">
        <v>518</v>
      </c>
      <c r="F345" s="96"/>
      <c r="G345" s="9"/>
      <c r="H345" s="9" t="s">
        <v>67</v>
      </c>
      <c r="I345" s="14"/>
      <c r="J345" s="14"/>
      <c r="K345" s="12">
        <v>501</v>
      </c>
      <c r="L345" s="9"/>
      <c r="M345" s="9"/>
      <c r="N345" s="9"/>
      <c r="O345" s="38">
        <f t="shared" si="28"/>
        <v>501</v>
      </c>
      <c r="P345" s="12"/>
      <c r="Q345" s="42"/>
      <c r="R345" s="15"/>
      <c r="S345" s="44"/>
      <c r="T345" s="15"/>
      <c r="U345" s="44"/>
      <c r="V345" s="15">
        <f t="shared" si="29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30"/>
        <v>0</v>
      </c>
      <c r="AF345" s="101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27"/>
        <v>0</v>
      </c>
      <c r="BA345" s="15"/>
      <c r="BB345" s="44"/>
      <c r="BC345" s="15"/>
      <c r="BD345" s="44"/>
      <c r="BE345" s="15">
        <f t="shared" si="26"/>
        <v>0</v>
      </c>
    </row>
    <row r="346" spans="1:57" s="8" customFormat="1" ht="22.5" customHeight="1">
      <c r="A346" s="9"/>
      <c r="B346" s="16" t="s">
        <v>120</v>
      </c>
      <c r="C346" s="89" t="s">
        <v>494</v>
      </c>
      <c r="D346" s="80" t="s">
        <v>519</v>
      </c>
      <c r="E346" s="13" t="s">
        <v>520</v>
      </c>
      <c r="F346" s="96"/>
      <c r="G346" s="9"/>
      <c r="H346" s="9" t="s">
        <v>67</v>
      </c>
      <c r="I346" s="14"/>
      <c r="J346" s="14"/>
      <c r="K346" s="12">
        <v>210</v>
      </c>
      <c r="L346" s="9"/>
      <c r="M346" s="9"/>
      <c r="N346" s="9"/>
      <c r="O346" s="38">
        <f t="shared" si="28"/>
        <v>210</v>
      </c>
      <c r="P346" s="12"/>
      <c r="Q346" s="42"/>
      <c r="R346" s="15"/>
      <c r="S346" s="44"/>
      <c r="T346" s="15"/>
      <c r="U346" s="44"/>
      <c r="V346" s="15">
        <f t="shared" si="29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30"/>
        <v>0</v>
      </c>
      <c r="AF346" s="101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27"/>
        <v>0</v>
      </c>
      <c r="BA346" s="15"/>
      <c r="BB346" s="44"/>
      <c r="BC346" s="15"/>
      <c r="BD346" s="44"/>
      <c r="BE346" s="15">
        <f t="shared" si="26"/>
        <v>0</v>
      </c>
    </row>
    <row r="347" spans="1:57" s="8" customFormat="1" ht="22.5" customHeight="1">
      <c r="A347" s="9"/>
      <c r="B347" s="16" t="s">
        <v>120</v>
      </c>
      <c r="C347" s="89" t="s">
        <v>52</v>
      </c>
      <c r="D347" s="80" t="s">
        <v>270</v>
      </c>
      <c r="E347" s="13" t="s">
        <v>521</v>
      </c>
      <c r="F347" s="96"/>
      <c r="G347" s="9"/>
      <c r="H347" s="9" t="s">
        <v>67</v>
      </c>
      <c r="I347" s="14"/>
      <c r="J347" s="14"/>
      <c r="K347" s="12">
        <v>354</v>
      </c>
      <c r="L347" s="9"/>
      <c r="M347" s="9"/>
      <c r="N347" s="9"/>
      <c r="O347" s="38">
        <f t="shared" si="28"/>
        <v>354</v>
      </c>
      <c r="P347" s="12"/>
      <c r="Q347" s="42"/>
      <c r="R347" s="15"/>
      <c r="S347" s="44"/>
      <c r="T347" s="15"/>
      <c r="U347" s="44"/>
      <c r="V347" s="15">
        <f t="shared" si="29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30"/>
        <v>0</v>
      </c>
      <c r="AF347" s="101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27"/>
        <v>0</v>
      </c>
      <c r="BA347" s="15"/>
      <c r="BB347" s="44"/>
      <c r="BC347" s="15"/>
      <c r="BD347" s="44"/>
      <c r="BE347" s="15">
        <f t="shared" si="26"/>
        <v>0</v>
      </c>
    </row>
    <row r="348" spans="1:57" s="8" customFormat="1" ht="22.5" customHeight="1">
      <c r="A348" s="9"/>
      <c r="B348" s="16" t="s">
        <v>120</v>
      </c>
      <c r="C348" s="89" t="s">
        <v>494</v>
      </c>
      <c r="D348" s="80" t="s">
        <v>522</v>
      </c>
      <c r="E348" s="13" t="s">
        <v>523</v>
      </c>
      <c r="F348" s="96"/>
      <c r="G348" s="9"/>
      <c r="H348" s="9" t="s">
        <v>67</v>
      </c>
      <c r="I348" s="14"/>
      <c r="J348" s="14"/>
      <c r="K348" s="12">
        <v>0</v>
      </c>
      <c r="L348" s="9"/>
      <c r="M348" s="9"/>
      <c r="N348" s="9"/>
      <c r="O348" s="38">
        <f t="shared" si="28"/>
        <v>0</v>
      </c>
      <c r="P348" s="12"/>
      <c r="Q348" s="42"/>
      <c r="R348" s="15"/>
      <c r="S348" s="44"/>
      <c r="T348" s="15"/>
      <c r="U348" s="44"/>
      <c r="V348" s="15">
        <f t="shared" si="29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30"/>
        <v>0</v>
      </c>
      <c r="AF348" s="101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27"/>
        <v>0</v>
      </c>
      <c r="BA348" s="15"/>
      <c r="BB348" s="44"/>
      <c r="BC348" s="15"/>
      <c r="BD348" s="44"/>
      <c r="BE348" s="15">
        <f t="shared" si="26"/>
        <v>0</v>
      </c>
    </row>
    <row r="349" spans="1:57" s="8" customFormat="1" ht="22.5" customHeight="1">
      <c r="A349" s="9"/>
      <c r="B349" s="16" t="s">
        <v>120</v>
      </c>
      <c r="C349" s="89" t="s">
        <v>52</v>
      </c>
      <c r="D349" s="81" t="s">
        <v>524</v>
      </c>
      <c r="E349" s="22" t="s">
        <v>525</v>
      </c>
      <c r="F349" s="96"/>
      <c r="G349" s="9"/>
      <c r="H349" s="9" t="s">
        <v>67</v>
      </c>
      <c r="I349" s="14"/>
      <c r="J349" s="14"/>
      <c r="K349" s="12">
        <v>712</v>
      </c>
      <c r="L349" s="9"/>
      <c r="M349" s="9"/>
      <c r="N349" s="9"/>
      <c r="O349" s="38">
        <f t="shared" si="28"/>
        <v>712</v>
      </c>
      <c r="P349" s="12"/>
      <c r="Q349" s="42"/>
      <c r="R349" s="15"/>
      <c r="S349" s="44"/>
      <c r="T349" s="15"/>
      <c r="U349" s="44"/>
      <c r="V349" s="15">
        <f t="shared" si="29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30"/>
        <v>0</v>
      </c>
      <c r="AF349" s="101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27"/>
        <v>0</v>
      </c>
      <c r="BA349" s="15"/>
      <c r="BB349" s="44"/>
      <c r="BC349" s="15"/>
      <c r="BD349" s="44"/>
      <c r="BE349" s="15">
        <f t="shared" si="26"/>
        <v>0</v>
      </c>
    </row>
    <row r="350" spans="1:57" s="8" customFormat="1" ht="22.5" customHeight="1">
      <c r="A350" s="9"/>
      <c r="B350" s="16" t="s">
        <v>187</v>
      </c>
      <c r="C350" s="89" t="s">
        <v>494</v>
      </c>
      <c r="D350" s="61" t="s">
        <v>526</v>
      </c>
      <c r="E350" s="13" t="s">
        <v>499</v>
      </c>
      <c r="F350" s="96"/>
      <c r="G350" s="9"/>
      <c r="H350" s="9" t="s">
        <v>527</v>
      </c>
      <c r="I350" s="14"/>
      <c r="J350" s="14"/>
      <c r="K350" s="12">
        <v>0</v>
      </c>
      <c r="L350" s="9"/>
      <c r="M350" s="9"/>
      <c r="N350" s="9"/>
      <c r="O350" s="38">
        <f t="shared" si="28"/>
        <v>0</v>
      </c>
      <c r="P350" s="12"/>
      <c r="Q350" s="42"/>
      <c r="R350" s="15"/>
      <c r="S350" s="44"/>
      <c r="T350" s="15"/>
      <c r="U350" s="44"/>
      <c r="V350" s="15">
        <f t="shared" si="29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30"/>
        <v>0</v>
      </c>
      <c r="AF350" s="101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27"/>
        <v>0</v>
      </c>
      <c r="BA350" s="15"/>
      <c r="BB350" s="44"/>
      <c r="BC350" s="15"/>
      <c r="BD350" s="44"/>
      <c r="BE350" s="15">
        <f t="shared" si="26"/>
        <v>0</v>
      </c>
    </row>
    <row r="351" spans="1:57" s="8" customFormat="1" ht="22.5" customHeight="1">
      <c r="A351" s="9"/>
      <c r="B351" s="16" t="s">
        <v>528</v>
      </c>
      <c r="C351" s="89" t="s">
        <v>494</v>
      </c>
      <c r="D351" s="80" t="s">
        <v>529</v>
      </c>
      <c r="E351" s="13" t="s">
        <v>499</v>
      </c>
      <c r="F351" s="96"/>
      <c r="G351" s="9"/>
      <c r="H351" s="9" t="s">
        <v>527</v>
      </c>
      <c r="I351" s="14"/>
      <c r="J351" s="14"/>
      <c r="K351" s="12">
        <v>0</v>
      </c>
      <c r="L351" s="9"/>
      <c r="M351" s="9"/>
      <c r="N351" s="9"/>
      <c r="O351" s="38">
        <f t="shared" si="28"/>
        <v>0</v>
      </c>
      <c r="P351" s="12"/>
      <c r="Q351" s="42"/>
      <c r="R351" s="15"/>
      <c r="S351" s="44"/>
      <c r="T351" s="15"/>
      <c r="U351" s="44"/>
      <c r="V351" s="15">
        <f t="shared" si="29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30"/>
        <v>0</v>
      </c>
      <c r="AF351" s="101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27"/>
        <v>0</v>
      </c>
      <c r="BA351" s="15"/>
      <c r="BB351" s="44"/>
      <c r="BC351" s="15"/>
      <c r="BD351" s="44"/>
      <c r="BE351" s="15">
        <f t="shared" si="26"/>
        <v>0</v>
      </c>
    </row>
    <row r="352" spans="1:57" s="8" customFormat="1" ht="22.5" customHeight="1">
      <c r="A352" s="9"/>
      <c r="B352" s="16" t="s">
        <v>204</v>
      </c>
      <c r="C352" s="89" t="s">
        <v>52</v>
      </c>
      <c r="D352" s="80" t="s">
        <v>530</v>
      </c>
      <c r="E352" s="13" t="s">
        <v>531</v>
      </c>
      <c r="F352" s="96"/>
      <c r="G352" s="9"/>
      <c r="H352" s="9" t="s">
        <v>207</v>
      </c>
      <c r="I352" s="14"/>
      <c r="J352" s="14"/>
      <c r="K352" s="12">
        <v>348</v>
      </c>
      <c r="L352" s="9"/>
      <c r="M352" s="9"/>
      <c r="N352" s="9"/>
      <c r="O352" s="38">
        <f t="shared" si="28"/>
        <v>348</v>
      </c>
      <c r="P352" s="12"/>
      <c r="Q352" s="42"/>
      <c r="R352" s="15"/>
      <c r="S352" s="44"/>
      <c r="T352" s="15"/>
      <c r="U352" s="44"/>
      <c r="V352" s="15">
        <f t="shared" si="29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30"/>
        <v>0</v>
      </c>
      <c r="AF352" s="101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27"/>
        <v>0</v>
      </c>
      <c r="BA352" s="15"/>
      <c r="BB352" s="44"/>
      <c r="BC352" s="15"/>
      <c r="BD352" s="44"/>
      <c r="BE352" s="15">
        <f t="shared" si="26"/>
        <v>0</v>
      </c>
    </row>
    <row r="353" spans="1:57" s="8" customFormat="1" ht="22.5" customHeight="1">
      <c r="A353" s="9"/>
      <c r="B353" s="16" t="s">
        <v>204</v>
      </c>
      <c r="C353" s="89" t="s">
        <v>52</v>
      </c>
      <c r="D353" s="80" t="s">
        <v>532</v>
      </c>
      <c r="E353" s="13" t="s">
        <v>531</v>
      </c>
      <c r="F353" s="96"/>
      <c r="G353" s="9"/>
      <c r="H353" s="9" t="s">
        <v>207</v>
      </c>
      <c r="I353" s="14"/>
      <c r="J353" s="14"/>
      <c r="K353" s="12">
        <v>326</v>
      </c>
      <c r="L353" s="9"/>
      <c r="M353" s="9"/>
      <c r="N353" s="9"/>
      <c r="O353" s="38">
        <f t="shared" si="28"/>
        <v>326</v>
      </c>
      <c r="P353" s="12"/>
      <c r="Q353" s="42"/>
      <c r="R353" s="15"/>
      <c r="S353" s="44"/>
      <c r="T353" s="15"/>
      <c r="U353" s="44"/>
      <c r="V353" s="15">
        <f t="shared" si="29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30"/>
        <v>0</v>
      </c>
      <c r="AF353" s="101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27"/>
        <v>0</v>
      </c>
      <c r="BA353" s="15"/>
      <c r="BB353" s="44"/>
      <c r="BC353" s="15"/>
      <c r="BD353" s="44"/>
      <c r="BE353" s="15">
        <f t="shared" si="26"/>
        <v>0</v>
      </c>
    </row>
    <row r="354" spans="1:57" s="8" customFormat="1" ht="22.5" customHeight="1">
      <c r="A354" s="9"/>
      <c r="B354" s="16" t="s">
        <v>204</v>
      </c>
      <c r="C354" s="89" t="s">
        <v>52</v>
      </c>
      <c r="D354" s="80" t="s">
        <v>533</v>
      </c>
      <c r="E354" s="13" t="s">
        <v>531</v>
      </c>
      <c r="F354" s="96"/>
      <c r="G354" s="9"/>
      <c r="H354" s="9" t="s">
        <v>207</v>
      </c>
      <c r="I354" s="14"/>
      <c r="J354" s="14"/>
      <c r="K354" s="12">
        <v>306</v>
      </c>
      <c r="L354" s="9"/>
      <c r="M354" s="9"/>
      <c r="N354" s="9"/>
      <c r="O354" s="38">
        <f t="shared" si="28"/>
        <v>306</v>
      </c>
      <c r="P354" s="12"/>
      <c r="Q354" s="42"/>
      <c r="R354" s="15"/>
      <c r="S354" s="44"/>
      <c r="T354" s="15"/>
      <c r="U354" s="44"/>
      <c r="V354" s="15">
        <f t="shared" si="29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30"/>
        <v>0</v>
      </c>
      <c r="AF354" s="101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27"/>
        <v>0</v>
      </c>
      <c r="BA354" s="15"/>
      <c r="BB354" s="44"/>
      <c r="BC354" s="15"/>
      <c r="BD354" s="44"/>
      <c r="BE354" s="15">
        <f t="shared" ref="BE354:BE417" si="31">(BA354+BC354)</f>
        <v>0</v>
      </c>
    </row>
    <row r="355" spans="1:57" s="8" customFormat="1" ht="22.5" customHeight="1">
      <c r="A355" s="9"/>
      <c r="B355" s="16" t="s">
        <v>204</v>
      </c>
      <c r="C355" s="89" t="s">
        <v>52</v>
      </c>
      <c r="D355" s="80" t="s">
        <v>533</v>
      </c>
      <c r="E355" s="13" t="s">
        <v>534</v>
      </c>
      <c r="F355" s="96"/>
      <c r="G355" s="9"/>
      <c r="H355" s="9" t="s">
        <v>207</v>
      </c>
      <c r="I355" s="14"/>
      <c r="J355" s="14"/>
      <c r="K355" s="12">
        <v>0</v>
      </c>
      <c r="L355" s="9"/>
      <c r="M355" s="9"/>
      <c r="N355" s="9"/>
      <c r="O355" s="38">
        <f t="shared" si="28"/>
        <v>0</v>
      </c>
      <c r="P355" s="12"/>
      <c r="Q355" s="42"/>
      <c r="R355" s="15"/>
      <c r="S355" s="44"/>
      <c r="T355" s="15"/>
      <c r="U355" s="44"/>
      <c r="V355" s="15">
        <f t="shared" si="29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30"/>
        <v>0</v>
      </c>
      <c r="AF355" s="101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27"/>
        <v>0</v>
      </c>
      <c r="BA355" s="15"/>
      <c r="BB355" s="44"/>
      <c r="BC355" s="15"/>
      <c r="BD355" s="44"/>
      <c r="BE355" s="15">
        <f t="shared" si="31"/>
        <v>0</v>
      </c>
    </row>
    <row r="356" spans="1:57" s="8" customFormat="1" ht="22.5" customHeight="1">
      <c r="A356" s="9"/>
      <c r="B356" s="16" t="s">
        <v>204</v>
      </c>
      <c r="C356" s="89" t="s">
        <v>52</v>
      </c>
      <c r="D356" s="80" t="s">
        <v>535</v>
      </c>
      <c r="E356" s="13" t="s">
        <v>210</v>
      </c>
      <c r="F356" s="96"/>
      <c r="G356" s="9"/>
      <c r="H356" s="9" t="s">
        <v>231</v>
      </c>
      <c r="I356" s="14"/>
      <c r="J356" s="14"/>
      <c r="K356" s="12">
        <v>0</v>
      </c>
      <c r="L356" s="9"/>
      <c r="M356" s="9"/>
      <c r="N356" s="9"/>
      <c r="O356" s="38">
        <f t="shared" si="28"/>
        <v>0</v>
      </c>
      <c r="P356" s="12"/>
      <c r="Q356" s="42"/>
      <c r="R356" s="15"/>
      <c r="S356" s="44"/>
      <c r="T356" s="15"/>
      <c r="U356" s="44"/>
      <c r="V356" s="15">
        <f t="shared" si="29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30"/>
        <v>0</v>
      </c>
      <c r="AF356" s="101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27"/>
        <v>0</v>
      </c>
      <c r="BA356" s="15"/>
      <c r="BB356" s="44"/>
      <c r="BC356" s="15"/>
      <c r="BD356" s="44"/>
      <c r="BE356" s="15">
        <f t="shared" si="31"/>
        <v>0</v>
      </c>
    </row>
    <row r="357" spans="1:57" s="8" customFormat="1" ht="22.5" customHeight="1">
      <c r="A357" s="9"/>
      <c r="B357" s="16" t="s">
        <v>204</v>
      </c>
      <c r="C357" s="89" t="s">
        <v>52</v>
      </c>
      <c r="D357" s="80" t="s">
        <v>536</v>
      </c>
      <c r="E357" s="13" t="s">
        <v>537</v>
      </c>
      <c r="F357" s="96"/>
      <c r="G357" s="9"/>
      <c r="H357" s="9" t="s">
        <v>207</v>
      </c>
      <c r="I357" s="14"/>
      <c r="J357" s="14"/>
      <c r="K357" s="12">
        <v>327</v>
      </c>
      <c r="L357" s="9"/>
      <c r="M357" s="9"/>
      <c r="N357" s="9"/>
      <c r="O357" s="38">
        <f t="shared" si="28"/>
        <v>327</v>
      </c>
      <c r="P357" s="12"/>
      <c r="Q357" s="42"/>
      <c r="R357" s="15"/>
      <c r="S357" s="44"/>
      <c r="T357" s="15"/>
      <c r="U357" s="44"/>
      <c r="V357" s="15">
        <f t="shared" si="29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30"/>
        <v>0</v>
      </c>
      <c r="AF357" s="101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ref="AZ357:AZ420" si="32">AF357+AH357+AJ357+AL357+AN357+AP357+AR357+AT357+AV357+AX357</f>
        <v>0</v>
      </c>
      <c r="BA357" s="15"/>
      <c r="BB357" s="44"/>
      <c r="BC357" s="15"/>
      <c r="BD357" s="44"/>
      <c r="BE357" s="15">
        <f t="shared" si="31"/>
        <v>0</v>
      </c>
    </row>
    <row r="358" spans="1:57" s="8" customFormat="1" ht="22.5" customHeight="1">
      <c r="A358" s="9"/>
      <c r="B358" s="16" t="s">
        <v>204</v>
      </c>
      <c r="C358" s="89" t="s">
        <v>52</v>
      </c>
      <c r="D358" s="80" t="s">
        <v>538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355</v>
      </c>
      <c r="L358" s="9"/>
      <c r="M358" s="9"/>
      <c r="N358" s="9"/>
      <c r="O358" s="38">
        <f t="shared" si="28"/>
        <v>355</v>
      </c>
      <c r="P358" s="12"/>
      <c r="Q358" s="42"/>
      <c r="R358" s="15"/>
      <c r="S358" s="44"/>
      <c r="T358" s="15"/>
      <c r="U358" s="44"/>
      <c r="V358" s="15">
        <f t="shared" si="29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30"/>
        <v>0</v>
      </c>
      <c r="AF358" s="101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2"/>
        <v>0</v>
      </c>
      <c r="BA358" s="15"/>
      <c r="BB358" s="44"/>
      <c r="BC358" s="15"/>
      <c r="BD358" s="44"/>
      <c r="BE358" s="15">
        <f t="shared" si="31"/>
        <v>0</v>
      </c>
    </row>
    <row r="359" spans="1:57" s="8" customFormat="1" ht="22.5" customHeight="1">
      <c r="A359" s="9"/>
      <c r="B359" s="16" t="s">
        <v>204</v>
      </c>
      <c r="C359" s="89" t="s">
        <v>52</v>
      </c>
      <c r="D359" s="80" t="s">
        <v>539</v>
      </c>
      <c r="E359" s="13" t="s">
        <v>531</v>
      </c>
      <c r="F359" s="96"/>
      <c r="G359" s="9"/>
      <c r="H359" s="9" t="s">
        <v>207</v>
      </c>
      <c r="I359" s="14"/>
      <c r="J359" s="14"/>
      <c r="K359" s="12">
        <v>0</v>
      </c>
      <c r="L359" s="9"/>
      <c r="M359" s="9"/>
      <c r="N359" s="9"/>
      <c r="O359" s="38">
        <f t="shared" si="28"/>
        <v>0</v>
      </c>
      <c r="P359" s="12"/>
      <c r="Q359" s="42"/>
      <c r="R359" s="15"/>
      <c r="S359" s="44"/>
      <c r="T359" s="15"/>
      <c r="U359" s="44"/>
      <c r="V359" s="15">
        <f t="shared" si="29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30"/>
        <v>0</v>
      </c>
      <c r="AF359" s="101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2"/>
        <v>0</v>
      </c>
      <c r="BA359" s="15"/>
      <c r="BB359" s="44"/>
      <c r="BC359" s="15"/>
      <c r="BD359" s="44"/>
      <c r="BE359" s="15">
        <f t="shared" si="31"/>
        <v>0</v>
      </c>
    </row>
    <row r="360" spans="1:57" s="8" customFormat="1" ht="22.5" customHeight="1">
      <c r="A360" s="9"/>
      <c r="B360" s="16" t="s">
        <v>204</v>
      </c>
      <c r="C360" s="89" t="s">
        <v>52</v>
      </c>
      <c r="D360" s="80" t="s">
        <v>540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26</v>
      </c>
      <c r="L360" s="9"/>
      <c r="M360" s="9"/>
      <c r="N360" s="9"/>
      <c r="O360" s="38">
        <f t="shared" si="28"/>
        <v>26</v>
      </c>
      <c r="P360" s="12"/>
      <c r="Q360" s="42"/>
      <c r="R360" s="15"/>
      <c r="S360" s="44"/>
      <c r="T360" s="15"/>
      <c r="U360" s="44"/>
      <c r="V360" s="15">
        <f t="shared" si="29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30"/>
        <v>0</v>
      </c>
      <c r="AF360" s="101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2"/>
        <v>0</v>
      </c>
      <c r="BA360" s="15"/>
      <c r="BB360" s="44"/>
      <c r="BC360" s="15"/>
      <c r="BD360" s="44"/>
      <c r="BE360" s="15">
        <f t="shared" si="31"/>
        <v>0</v>
      </c>
    </row>
    <row r="361" spans="1:57" s="8" customFormat="1" ht="22.5" customHeight="1">
      <c r="A361" s="9"/>
      <c r="B361" s="16" t="s">
        <v>204</v>
      </c>
      <c r="C361" s="89" t="s">
        <v>52</v>
      </c>
      <c r="D361" s="80" t="s">
        <v>541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1009</v>
      </c>
      <c r="L361" s="9"/>
      <c r="M361" s="9"/>
      <c r="N361" s="9"/>
      <c r="O361" s="38">
        <f t="shared" si="28"/>
        <v>1009</v>
      </c>
      <c r="P361" s="12"/>
      <c r="Q361" s="42"/>
      <c r="R361" s="15"/>
      <c r="S361" s="44"/>
      <c r="T361" s="15"/>
      <c r="U361" s="44"/>
      <c r="V361" s="15">
        <f t="shared" si="29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30"/>
        <v>0</v>
      </c>
      <c r="AF361" s="101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2"/>
        <v>0</v>
      </c>
      <c r="BA361" s="15"/>
      <c r="BB361" s="44"/>
      <c r="BC361" s="15"/>
      <c r="BD361" s="44"/>
      <c r="BE361" s="15">
        <f t="shared" si="31"/>
        <v>0</v>
      </c>
    </row>
    <row r="362" spans="1:57" s="8" customFormat="1" ht="22.5" customHeight="1">
      <c r="A362" s="9"/>
      <c r="B362" s="16" t="s">
        <v>204</v>
      </c>
      <c r="C362" s="89" t="s">
        <v>52</v>
      </c>
      <c r="D362" s="81" t="s">
        <v>542</v>
      </c>
      <c r="E362" s="13" t="s">
        <v>206</v>
      </c>
      <c r="F362" s="96"/>
      <c r="G362" s="9"/>
      <c r="H362" s="9" t="s">
        <v>207</v>
      </c>
      <c r="I362" s="14"/>
      <c r="J362" s="14"/>
      <c r="K362" s="12">
        <v>335</v>
      </c>
      <c r="L362" s="9"/>
      <c r="M362" s="9"/>
      <c r="N362" s="9"/>
      <c r="O362" s="38">
        <f t="shared" si="28"/>
        <v>335</v>
      </c>
      <c r="P362" s="12"/>
      <c r="Q362" s="42"/>
      <c r="R362" s="15"/>
      <c r="S362" s="44"/>
      <c r="T362" s="15"/>
      <c r="U362" s="44"/>
      <c r="V362" s="15">
        <f t="shared" si="29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30"/>
        <v>0</v>
      </c>
      <c r="AF362" s="101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2"/>
        <v>0</v>
      </c>
      <c r="BA362" s="15"/>
      <c r="BB362" s="44"/>
      <c r="BC362" s="15"/>
      <c r="BD362" s="44"/>
      <c r="BE362" s="15">
        <f t="shared" si="31"/>
        <v>0</v>
      </c>
    </row>
    <row r="363" spans="1:57" s="8" customFormat="1" ht="22.5" customHeight="1">
      <c r="A363" s="9"/>
      <c r="B363" s="16" t="s">
        <v>204</v>
      </c>
      <c r="C363" s="89" t="s">
        <v>52</v>
      </c>
      <c r="D363" s="56" t="s">
        <v>543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0</v>
      </c>
      <c r="L363" s="9"/>
      <c r="M363" s="9"/>
      <c r="N363" s="9"/>
      <c r="O363" s="38">
        <f t="shared" si="28"/>
        <v>0</v>
      </c>
      <c r="P363" s="12"/>
      <c r="Q363" s="42"/>
      <c r="R363" s="15"/>
      <c r="S363" s="44"/>
      <c r="T363" s="15"/>
      <c r="U363" s="44"/>
      <c r="V363" s="15">
        <f t="shared" si="29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30"/>
        <v>0</v>
      </c>
      <c r="AF363" s="101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2"/>
        <v>0</v>
      </c>
      <c r="BA363" s="15"/>
      <c r="BB363" s="44"/>
      <c r="BC363" s="15"/>
      <c r="BD363" s="44"/>
      <c r="BE363" s="15">
        <f t="shared" si="31"/>
        <v>0</v>
      </c>
    </row>
    <row r="364" spans="1:57" s="8" customFormat="1" ht="22.5" customHeight="1">
      <c r="A364" s="9"/>
      <c r="B364" s="16" t="s">
        <v>204</v>
      </c>
      <c r="C364" s="89" t="s">
        <v>52</v>
      </c>
      <c r="D364" s="81" t="s">
        <v>544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536</v>
      </c>
      <c r="L364" s="9"/>
      <c r="M364" s="9"/>
      <c r="N364" s="9"/>
      <c r="O364" s="38">
        <f t="shared" si="28"/>
        <v>536</v>
      </c>
      <c r="P364" s="12"/>
      <c r="Q364" s="42"/>
      <c r="R364" s="15"/>
      <c r="S364" s="44"/>
      <c r="T364" s="15"/>
      <c r="U364" s="44"/>
      <c r="V364" s="15">
        <f t="shared" si="29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30"/>
        <v>0</v>
      </c>
      <c r="AF364" s="101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2"/>
        <v>0</v>
      </c>
      <c r="BA364" s="15"/>
      <c r="BB364" s="44"/>
      <c r="BC364" s="15"/>
      <c r="BD364" s="44"/>
      <c r="BE364" s="15">
        <f t="shared" si="31"/>
        <v>0</v>
      </c>
    </row>
    <row r="365" spans="1:57" s="8" customFormat="1" ht="22.5" customHeight="1">
      <c r="A365" s="9"/>
      <c r="B365" s="16" t="s">
        <v>204</v>
      </c>
      <c r="C365" s="89" t="s">
        <v>52</v>
      </c>
      <c r="D365" s="97" t="s">
        <v>545</v>
      </c>
      <c r="E365" s="13" t="s">
        <v>531</v>
      </c>
      <c r="F365" s="96"/>
      <c r="G365" s="9"/>
      <c r="H365" s="9" t="s">
        <v>207</v>
      </c>
      <c r="I365" s="14"/>
      <c r="J365" s="14"/>
      <c r="K365" s="12">
        <v>8</v>
      </c>
      <c r="L365" s="9"/>
      <c r="M365" s="9"/>
      <c r="N365" s="9"/>
      <c r="O365" s="38">
        <f t="shared" si="28"/>
        <v>8</v>
      </c>
      <c r="P365" s="12"/>
      <c r="Q365" s="42"/>
      <c r="R365" s="15"/>
      <c r="S365" s="44"/>
      <c r="T365" s="15"/>
      <c r="U365" s="44"/>
      <c r="V365" s="15">
        <f t="shared" si="29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30"/>
        <v>0</v>
      </c>
      <c r="AF365" s="101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2"/>
        <v>0</v>
      </c>
      <c r="BA365" s="15"/>
      <c r="BB365" s="44"/>
      <c r="BC365" s="15"/>
      <c r="BD365" s="44"/>
      <c r="BE365" s="15">
        <f t="shared" si="31"/>
        <v>0</v>
      </c>
    </row>
    <row r="366" spans="1:57" s="8" customFormat="1" ht="22.5" customHeight="1">
      <c r="A366" s="9"/>
      <c r="B366" s="16" t="s">
        <v>204</v>
      </c>
      <c r="C366" s="89" t="s">
        <v>52</v>
      </c>
      <c r="D366" s="80" t="s">
        <v>546</v>
      </c>
      <c r="E366" s="13" t="s">
        <v>531</v>
      </c>
      <c r="F366" s="96"/>
      <c r="G366" s="9"/>
      <c r="H366" s="9" t="s">
        <v>207</v>
      </c>
      <c r="I366" s="14"/>
      <c r="J366" s="14"/>
      <c r="K366" s="12">
        <v>586</v>
      </c>
      <c r="L366" s="9"/>
      <c r="M366" s="9"/>
      <c r="N366" s="9"/>
      <c r="O366" s="38">
        <f t="shared" si="28"/>
        <v>586</v>
      </c>
      <c r="P366" s="12"/>
      <c r="Q366" s="42"/>
      <c r="R366" s="15"/>
      <c r="S366" s="44"/>
      <c r="T366" s="15"/>
      <c r="U366" s="44"/>
      <c r="V366" s="15">
        <f t="shared" si="29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30"/>
        <v>0</v>
      </c>
      <c r="AF366" s="101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2"/>
        <v>0</v>
      </c>
      <c r="BA366" s="15"/>
      <c r="BB366" s="44"/>
      <c r="BC366" s="15"/>
      <c r="BD366" s="44"/>
      <c r="BE366" s="15">
        <f t="shared" si="31"/>
        <v>0</v>
      </c>
    </row>
    <row r="367" spans="1:57" s="8" customFormat="1" ht="22.5" customHeight="1">
      <c r="A367" s="9"/>
      <c r="B367" s="16" t="s">
        <v>204</v>
      </c>
      <c r="C367" s="89" t="s">
        <v>52</v>
      </c>
      <c r="D367" s="81" t="s">
        <v>547</v>
      </c>
      <c r="E367" s="13" t="s">
        <v>531</v>
      </c>
      <c r="F367" s="96"/>
      <c r="G367" s="9"/>
      <c r="H367" s="9" t="s">
        <v>207</v>
      </c>
      <c r="I367" s="14"/>
      <c r="J367" s="14"/>
      <c r="K367" s="12">
        <v>309</v>
      </c>
      <c r="L367" s="9"/>
      <c r="M367" s="9"/>
      <c r="N367" s="9"/>
      <c r="O367" s="38">
        <f t="shared" si="28"/>
        <v>309</v>
      </c>
      <c r="P367" s="12"/>
      <c r="Q367" s="42"/>
      <c r="R367" s="15"/>
      <c r="S367" s="44"/>
      <c r="T367" s="15"/>
      <c r="U367" s="44"/>
      <c r="V367" s="15">
        <f t="shared" si="29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30"/>
        <v>0</v>
      </c>
      <c r="AF367" s="101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2"/>
        <v>0</v>
      </c>
      <c r="BA367" s="15"/>
      <c r="BB367" s="44"/>
      <c r="BC367" s="15"/>
      <c r="BD367" s="44"/>
      <c r="BE367" s="15">
        <f t="shared" si="31"/>
        <v>0</v>
      </c>
    </row>
    <row r="368" spans="1:57" s="8" customFormat="1" ht="22.5" customHeight="1">
      <c r="A368" s="9"/>
      <c r="B368" s="16" t="s">
        <v>204</v>
      </c>
      <c r="C368" s="89" t="s">
        <v>52</v>
      </c>
      <c r="D368" s="82" t="s">
        <v>548</v>
      </c>
      <c r="E368" s="22" t="s">
        <v>531</v>
      </c>
      <c r="F368" s="96"/>
      <c r="G368" s="9"/>
      <c r="H368" s="9" t="s">
        <v>207</v>
      </c>
      <c r="I368" s="14"/>
      <c r="J368" s="14"/>
      <c r="K368" s="12">
        <v>109</v>
      </c>
      <c r="L368" s="9"/>
      <c r="M368" s="9"/>
      <c r="N368" s="9"/>
      <c r="O368" s="38">
        <f t="shared" si="28"/>
        <v>109</v>
      </c>
      <c r="P368" s="12"/>
      <c r="Q368" s="42"/>
      <c r="R368" s="15"/>
      <c r="S368" s="44"/>
      <c r="T368" s="15"/>
      <c r="U368" s="44"/>
      <c r="V368" s="15">
        <f t="shared" si="29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30"/>
        <v>0</v>
      </c>
      <c r="AF368" s="101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2"/>
        <v>0</v>
      </c>
      <c r="BA368" s="15"/>
      <c r="BB368" s="44"/>
      <c r="BC368" s="15"/>
      <c r="BD368" s="44"/>
      <c r="BE368" s="15">
        <f t="shared" si="31"/>
        <v>0</v>
      </c>
    </row>
    <row r="369" spans="1:57" s="8" customFormat="1" ht="22.5" customHeight="1">
      <c r="A369" s="9"/>
      <c r="B369" s="16" t="s">
        <v>204</v>
      </c>
      <c r="C369" s="89" t="s">
        <v>52</v>
      </c>
      <c r="D369" s="81" t="s">
        <v>549</v>
      </c>
      <c r="E369" s="22" t="s">
        <v>550</v>
      </c>
      <c r="F369" s="96"/>
      <c r="G369" s="9"/>
      <c r="H369" s="9" t="s">
        <v>207</v>
      </c>
      <c r="I369" s="14"/>
      <c r="J369" s="14"/>
      <c r="K369" s="12">
        <v>21</v>
      </c>
      <c r="L369" s="9"/>
      <c r="M369" s="9"/>
      <c r="N369" s="9"/>
      <c r="O369" s="38">
        <f t="shared" si="28"/>
        <v>21</v>
      </c>
      <c r="P369" s="12"/>
      <c r="Q369" s="42"/>
      <c r="R369" s="15"/>
      <c r="S369" s="44"/>
      <c r="T369" s="15"/>
      <c r="U369" s="44"/>
      <c r="V369" s="15">
        <f t="shared" si="29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30"/>
        <v>0</v>
      </c>
      <c r="AF369" s="101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2"/>
        <v>0</v>
      </c>
      <c r="BA369" s="15"/>
      <c r="BB369" s="44"/>
      <c r="BC369" s="15"/>
      <c r="BD369" s="44"/>
      <c r="BE369" s="15">
        <f t="shared" si="31"/>
        <v>0</v>
      </c>
    </row>
    <row r="370" spans="1:57" s="8" customFormat="1" ht="22.5" customHeight="1">
      <c r="A370" s="9"/>
      <c r="B370" s="16" t="s">
        <v>204</v>
      </c>
      <c r="C370" s="89" t="s">
        <v>52</v>
      </c>
      <c r="D370" s="59" t="s">
        <v>551</v>
      </c>
      <c r="E370" s="22" t="s">
        <v>531</v>
      </c>
      <c r="F370" s="96"/>
      <c r="G370" s="9"/>
      <c r="H370" s="9" t="s">
        <v>207</v>
      </c>
      <c r="I370" s="14"/>
      <c r="J370" s="14"/>
      <c r="K370" s="12">
        <v>193</v>
      </c>
      <c r="L370" s="9"/>
      <c r="M370" s="9"/>
      <c r="N370" s="9"/>
      <c r="O370" s="38">
        <f t="shared" si="28"/>
        <v>193</v>
      </c>
      <c r="P370" s="12"/>
      <c r="Q370" s="42"/>
      <c r="R370" s="15"/>
      <c r="S370" s="44"/>
      <c r="T370" s="15"/>
      <c r="U370" s="44"/>
      <c r="V370" s="15">
        <f t="shared" si="29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30"/>
        <v>0</v>
      </c>
      <c r="AF370" s="101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2"/>
        <v>0</v>
      </c>
      <c r="BA370" s="15"/>
      <c r="BB370" s="44"/>
      <c r="BC370" s="15"/>
      <c r="BD370" s="44"/>
      <c r="BE370" s="15">
        <f t="shared" si="31"/>
        <v>0</v>
      </c>
    </row>
    <row r="371" spans="1:57" s="8" customFormat="1" ht="22.5" customHeight="1">
      <c r="A371" s="9"/>
      <c r="B371" s="16" t="s">
        <v>204</v>
      </c>
      <c r="C371" s="89" t="s">
        <v>52</v>
      </c>
      <c r="D371" s="59" t="s">
        <v>552</v>
      </c>
      <c r="E371" s="13" t="s">
        <v>206</v>
      </c>
      <c r="F371" s="96"/>
      <c r="G371" s="9"/>
      <c r="H371" s="9" t="s">
        <v>374</v>
      </c>
      <c r="I371" s="14"/>
      <c r="J371" s="14"/>
      <c r="K371" s="12">
        <v>352</v>
      </c>
      <c r="L371" s="9"/>
      <c r="M371" s="9"/>
      <c r="N371" s="9"/>
      <c r="O371" s="38">
        <f t="shared" si="28"/>
        <v>352</v>
      </c>
      <c r="P371" s="12"/>
      <c r="Q371" s="42"/>
      <c r="R371" s="15"/>
      <c r="S371" s="44"/>
      <c r="T371" s="15"/>
      <c r="U371" s="44"/>
      <c r="V371" s="15">
        <f t="shared" si="29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30"/>
        <v>0</v>
      </c>
      <c r="AF371" s="101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2"/>
        <v>0</v>
      </c>
      <c r="BA371" s="15"/>
      <c r="BB371" s="44"/>
      <c r="BC371" s="15"/>
      <c r="BD371" s="44"/>
      <c r="BE371" s="15">
        <f t="shared" si="31"/>
        <v>0</v>
      </c>
    </row>
    <row r="372" spans="1:57" s="8" customFormat="1" ht="22.5" customHeight="1">
      <c r="A372" s="9"/>
      <c r="B372" s="16" t="s">
        <v>233</v>
      </c>
      <c r="C372" s="89" t="s">
        <v>52</v>
      </c>
      <c r="D372" s="56" t="s">
        <v>553</v>
      </c>
      <c r="E372" s="22" t="s">
        <v>554</v>
      </c>
      <c r="F372" s="96"/>
      <c r="G372" s="9"/>
      <c r="H372" s="9" t="s">
        <v>207</v>
      </c>
      <c r="I372" s="14"/>
      <c r="J372" s="14"/>
      <c r="K372" s="12">
        <v>379</v>
      </c>
      <c r="L372" s="9"/>
      <c r="M372" s="9"/>
      <c r="N372" s="9"/>
      <c r="O372" s="38">
        <f t="shared" si="28"/>
        <v>379</v>
      </c>
      <c r="P372" s="12"/>
      <c r="Q372" s="42"/>
      <c r="R372" s="15"/>
      <c r="S372" s="44"/>
      <c r="T372" s="15"/>
      <c r="U372" s="44"/>
      <c r="V372" s="15">
        <f t="shared" si="29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30"/>
        <v>0</v>
      </c>
      <c r="AF372" s="101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2"/>
        <v>0</v>
      </c>
      <c r="BA372" s="15"/>
      <c r="BB372" s="44"/>
      <c r="BC372" s="15"/>
      <c r="BD372" s="44"/>
      <c r="BE372" s="15">
        <f t="shared" si="31"/>
        <v>0</v>
      </c>
    </row>
    <row r="373" spans="1:57" s="8" customFormat="1" ht="22.5" customHeight="1">
      <c r="A373" s="9"/>
      <c r="B373" s="16" t="s">
        <v>233</v>
      </c>
      <c r="C373" s="89" t="s">
        <v>52</v>
      </c>
      <c r="D373" s="81" t="s">
        <v>555</v>
      </c>
      <c r="E373" s="22" t="s">
        <v>554</v>
      </c>
      <c r="F373" s="96"/>
      <c r="G373" s="9"/>
      <c r="H373" s="9" t="s">
        <v>207</v>
      </c>
      <c r="I373" s="14"/>
      <c r="J373" s="14"/>
      <c r="K373" s="12">
        <v>4</v>
      </c>
      <c r="L373" s="9"/>
      <c r="M373" s="9"/>
      <c r="N373" s="9"/>
      <c r="O373" s="38">
        <f t="shared" si="28"/>
        <v>4</v>
      </c>
      <c r="P373" s="12"/>
      <c r="Q373" s="42"/>
      <c r="R373" s="15"/>
      <c r="S373" s="44"/>
      <c r="T373" s="15"/>
      <c r="U373" s="44"/>
      <c r="V373" s="15">
        <f t="shared" si="29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30"/>
        <v>0</v>
      </c>
      <c r="AF373" s="101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2"/>
        <v>0</v>
      </c>
      <c r="BA373" s="15"/>
      <c r="BB373" s="44"/>
      <c r="BC373" s="15"/>
      <c r="BD373" s="44"/>
      <c r="BE373" s="15">
        <f t="shared" si="31"/>
        <v>0</v>
      </c>
    </row>
    <row r="374" spans="1:57" s="8" customFormat="1" ht="22.5" customHeight="1">
      <c r="A374" s="9"/>
      <c r="B374" s="16" t="s">
        <v>233</v>
      </c>
      <c r="C374" s="89" t="s">
        <v>52</v>
      </c>
      <c r="D374" s="80" t="s">
        <v>556</v>
      </c>
      <c r="E374" s="22" t="s">
        <v>554</v>
      </c>
      <c r="F374" s="96"/>
      <c r="G374" s="9"/>
      <c r="H374" s="9" t="s">
        <v>207</v>
      </c>
      <c r="I374" s="14"/>
      <c r="J374" s="14"/>
      <c r="K374" s="12">
        <v>575</v>
      </c>
      <c r="L374" s="9"/>
      <c r="M374" s="9"/>
      <c r="N374" s="9"/>
      <c r="O374" s="38">
        <f t="shared" si="28"/>
        <v>575</v>
      </c>
      <c r="P374" s="12"/>
      <c r="Q374" s="42"/>
      <c r="R374" s="15"/>
      <c r="S374" s="44"/>
      <c r="T374" s="15"/>
      <c r="U374" s="44"/>
      <c r="V374" s="15">
        <f t="shared" si="29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30"/>
        <v>0</v>
      </c>
      <c r="AF374" s="101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2"/>
        <v>0</v>
      </c>
      <c r="BA374" s="15"/>
      <c r="BB374" s="44"/>
      <c r="BC374" s="15"/>
      <c r="BD374" s="44"/>
      <c r="BE374" s="15">
        <f t="shared" si="31"/>
        <v>0</v>
      </c>
    </row>
    <row r="375" spans="1:57" s="8" customFormat="1" ht="22.5" customHeight="1">
      <c r="A375" s="9"/>
      <c r="B375" s="16" t="s">
        <v>233</v>
      </c>
      <c r="C375" s="89" t="s">
        <v>52</v>
      </c>
      <c r="D375" s="80" t="s">
        <v>557</v>
      </c>
      <c r="E375" s="22" t="s">
        <v>235</v>
      </c>
      <c r="F375" s="96"/>
      <c r="G375" s="9"/>
      <c r="H375" s="9" t="s">
        <v>558</v>
      </c>
      <c r="I375" s="14"/>
      <c r="J375" s="14"/>
      <c r="K375" s="12">
        <v>56</v>
      </c>
      <c r="L375" s="9"/>
      <c r="M375" s="9"/>
      <c r="N375" s="9"/>
      <c r="O375" s="38">
        <f t="shared" si="28"/>
        <v>56</v>
      </c>
      <c r="P375" s="12"/>
      <c r="Q375" s="42"/>
      <c r="R375" s="15"/>
      <c r="S375" s="44"/>
      <c r="T375" s="15"/>
      <c r="U375" s="44"/>
      <c r="V375" s="15">
        <f t="shared" si="29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30"/>
        <v>0</v>
      </c>
      <c r="AF375" s="101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2"/>
        <v>0</v>
      </c>
      <c r="BA375" s="15"/>
      <c r="BB375" s="44"/>
      <c r="BC375" s="15"/>
      <c r="BD375" s="44"/>
      <c r="BE375" s="15">
        <f t="shared" si="31"/>
        <v>0</v>
      </c>
    </row>
    <row r="376" spans="1:57" s="8" customFormat="1" ht="22.5" customHeight="1">
      <c r="A376" s="9"/>
      <c r="B376" s="16" t="s">
        <v>233</v>
      </c>
      <c r="C376" s="89" t="s">
        <v>52</v>
      </c>
      <c r="D376" s="80" t="s">
        <v>559</v>
      </c>
      <c r="E376" s="22" t="s">
        <v>560</v>
      </c>
      <c r="F376" s="96"/>
      <c r="G376" s="9"/>
      <c r="H376" s="9" t="s">
        <v>558</v>
      </c>
      <c r="I376" s="14"/>
      <c r="J376" s="14"/>
      <c r="K376" s="12">
        <v>0</v>
      </c>
      <c r="L376" s="9"/>
      <c r="M376" s="9"/>
      <c r="N376" s="9"/>
      <c r="O376" s="38">
        <f t="shared" si="28"/>
        <v>0</v>
      </c>
      <c r="P376" s="12"/>
      <c r="Q376" s="42"/>
      <c r="R376" s="15"/>
      <c r="S376" s="44"/>
      <c r="T376" s="15"/>
      <c r="U376" s="44"/>
      <c r="V376" s="15">
        <f t="shared" si="29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30"/>
        <v>0</v>
      </c>
      <c r="AF376" s="101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2"/>
        <v>0</v>
      </c>
      <c r="BA376" s="15"/>
      <c r="BB376" s="44"/>
      <c r="BC376" s="15"/>
      <c r="BD376" s="44"/>
      <c r="BE376" s="15">
        <f t="shared" si="31"/>
        <v>0</v>
      </c>
    </row>
    <row r="377" spans="1:57" s="8" customFormat="1" ht="22.5" customHeight="1">
      <c r="A377" s="9"/>
      <c r="B377" s="16" t="s">
        <v>249</v>
      </c>
      <c r="C377" s="89" t="s">
        <v>52</v>
      </c>
      <c r="D377" s="80" t="s">
        <v>561</v>
      </c>
      <c r="E377" s="13" t="s">
        <v>562</v>
      </c>
      <c r="F377" s="96"/>
      <c r="G377" s="9"/>
      <c r="H377" s="9" t="s">
        <v>563</v>
      </c>
      <c r="I377" s="14"/>
      <c r="J377" s="14"/>
      <c r="K377" s="12">
        <v>12</v>
      </c>
      <c r="L377" s="9"/>
      <c r="M377" s="9"/>
      <c r="N377" s="9"/>
      <c r="O377" s="38">
        <f t="shared" si="28"/>
        <v>12</v>
      </c>
      <c r="P377" s="12"/>
      <c r="Q377" s="42"/>
      <c r="R377" s="15"/>
      <c r="S377" s="44"/>
      <c r="T377" s="15"/>
      <c r="U377" s="44"/>
      <c r="V377" s="15">
        <f t="shared" si="29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30"/>
        <v>0</v>
      </c>
      <c r="AF377" s="101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2"/>
        <v>0</v>
      </c>
      <c r="BA377" s="15"/>
      <c r="BB377" s="44"/>
      <c r="BC377" s="15"/>
      <c r="BD377" s="44"/>
      <c r="BE377" s="15">
        <f t="shared" si="31"/>
        <v>0</v>
      </c>
    </row>
    <row r="378" spans="1:57" s="8" customFormat="1" ht="22.5" customHeight="1">
      <c r="A378" s="9"/>
      <c r="B378" s="16" t="s">
        <v>155</v>
      </c>
      <c r="C378" s="89" t="s">
        <v>52</v>
      </c>
      <c r="D378" s="80" t="s">
        <v>564</v>
      </c>
      <c r="E378" s="13" t="s">
        <v>565</v>
      </c>
      <c r="F378" s="96"/>
      <c r="G378" s="9"/>
      <c r="H378" s="9" t="s">
        <v>566</v>
      </c>
      <c r="I378" s="14"/>
      <c r="J378" s="14"/>
      <c r="K378" s="12">
        <v>0</v>
      </c>
      <c r="L378" s="9"/>
      <c r="M378" s="9"/>
      <c r="N378" s="9"/>
      <c r="O378" s="38">
        <f t="shared" si="28"/>
        <v>0</v>
      </c>
      <c r="P378" s="12"/>
      <c r="Q378" s="42"/>
      <c r="R378" s="15"/>
      <c r="S378" s="44"/>
      <c r="T378" s="15"/>
      <c r="U378" s="44"/>
      <c r="V378" s="15">
        <f t="shared" si="29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30"/>
        <v>0</v>
      </c>
      <c r="AF378" s="101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2"/>
        <v>0</v>
      </c>
      <c r="BA378" s="15"/>
      <c r="BB378" s="44"/>
      <c r="BC378" s="15"/>
      <c r="BD378" s="44"/>
      <c r="BE378" s="15">
        <f t="shared" si="31"/>
        <v>0</v>
      </c>
    </row>
    <row r="379" spans="1:57" s="8" customFormat="1" ht="22.5" customHeight="1">
      <c r="A379" s="9"/>
      <c r="B379" s="16" t="s">
        <v>155</v>
      </c>
      <c r="C379" s="89" t="s">
        <v>52</v>
      </c>
      <c r="D379" s="59" t="s">
        <v>567</v>
      </c>
      <c r="E379" s="13" t="s">
        <v>565</v>
      </c>
      <c r="F379" s="96"/>
      <c r="G379" s="9"/>
      <c r="H379" s="9" t="s">
        <v>566</v>
      </c>
      <c r="I379" s="14"/>
      <c r="J379" s="14"/>
      <c r="K379" s="12">
        <v>27</v>
      </c>
      <c r="L379" s="9"/>
      <c r="M379" s="9"/>
      <c r="N379" s="9"/>
      <c r="O379" s="38">
        <f t="shared" si="28"/>
        <v>27</v>
      </c>
      <c r="P379" s="12"/>
      <c r="Q379" s="42"/>
      <c r="R379" s="15"/>
      <c r="S379" s="44"/>
      <c r="T379" s="15"/>
      <c r="U379" s="44"/>
      <c r="V379" s="15">
        <f t="shared" si="29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30"/>
        <v>0</v>
      </c>
      <c r="AF379" s="101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2"/>
        <v>0</v>
      </c>
      <c r="BA379" s="15"/>
      <c r="BB379" s="44"/>
      <c r="BC379" s="15"/>
      <c r="BD379" s="44"/>
      <c r="BE379" s="15">
        <f t="shared" si="31"/>
        <v>0</v>
      </c>
    </row>
    <row r="380" spans="1:57" s="8" customFormat="1" ht="22.5" customHeight="1">
      <c r="A380" s="9"/>
      <c r="B380" s="16" t="s">
        <v>155</v>
      </c>
      <c r="C380" s="89" t="s">
        <v>52</v>
      </c>
      <c r="D380" s="59" t="s">
        <v>568</v>
      </c>
      <c r="E380" s="13" t="s">
        <v>569</v>
      </c>
      <c r="F380" s="96"/>
      <c r="G380" s="9"/>
      <c r="H380" s="9" t="s">
        <v>566</v>
      </c>
      <c r="I380" s="14"/>
      <c r="J380" s="14"/>
      <c r="K380" s="12">
        <v>0</v>
      </c>
      <c r="L380" s="9"/>
      <c r="M380" s="9"/>
      <c r="N380" s="9"/>
      <c r="O380" s="38">
        <f t="shared" si="28"/>
        <v>0</v>
      </c>
      <c r="P380" s="12"/>
      <c r="Q380" s="42"/>
      <c r="R380" s="15"/>
      <c r="S380" s="44"/>
      <c r="T380" s="15"/>
      <c r="U380" s="44"/>
      <c r="V380" s="15">
        <f t="shared" si="29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30"/>
        <v>0</v>
      </c>
      <c r="AF380" s="101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2"/>
        <v>0</v>
      </c>
      <c r="BA380" s="15"/>
      <c r="BB380" s="44"/>
      <c r="BC380" s="15"/>
      <c r="BD380" s="44"/>
      <c r="BE380" s="15">
        <f t="shared" si="31"/>
        <v>0</v>
      </c>
    </row>
    <row r="381" spans="1:57" s="8" customFormat="1" ht="22.5" customHeight="1">
      <c r="A381" s="9"/>
      <c r="B381" s="16" t="s">
        <v>330</v>
      </c>
      <c r="C381" s="89" t="s">
        <v>52</v>
      </c>
      <c r="D381" s="70" t="s">
        <v>333</v>
      </c>
      <c r="E381" s="13" t="s">
        <v>330</v>
      </c>
      <c r="F381" s="96"/>
      <c r="G381" s="9"/>
      <c r="H381" s="9" t="s">
        <v>332</v>
      </c>
      <c r="I381" s="14"/>
      <c r="J381" s="14"/>
      <c r="K381" s="12">
        <v>3600</v>
      </c>
      <c r="L381" s="9"/>
      <c r="M381" s="9"/>
      <c r="N381" s="9"/>
      <c r="O381" s="38">
        <f t="shared" si="28"/>
        <v>3600</v>
      </c>
      <c r="P381" s="12"/>
      <c r="Q381" s="42"/>
      <c r="R381" s="15"/>
      <c r="S381" s="44"/>
      <c r="T381" s="15"/>
      <c r="U381" s="44"/>
      <c r="V381" s="15">
        <f t="shared" si="29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30"/>
        <v>0</v>
      </c>
      <c r="AF381" s="101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2"/>
        <v>0</v>
      </c>
      <c r="BA381" s="15"/>
      <c r="BB381" s="44"/>
      <c r="BC381" s="15"/>
      <c r="BD381" s="44"/>
      <c r="BE381" s="15">
        <f t="shared" si="31"/>
        <v>0</v>
      </c>
    </row>
    <row r="382" spans="1:57" s="8" customFormat="1" ht="22.5" customHeight="1">
      <c r="A382" s="9"/>
      <c r="B382" s="16" t="s">
        <v>570</v>
      </c>
      <c r="C382" s="89" t="s">
        <v>52</v>
      </c>
      <c r="D382" s="59" t="s">
        <v>571</v>
      </c>
      <c r="E382" s="13" t="s">
        <v>562</v>
      </c>
      <c r="F382" s="96"/>
      <c r="G382" s="9"/>
      <c r="H382" s="9" t="s">
        <v>314</v>
      </c>
      <c r="I382" s="14"/>
      <c r="J382" s="14"/>
      <c r="K382" s="12">
        <v>0</v>
      </c>
      <c r="L382" s="9"/>
      <c r="M382" s="9"/>
      <c r="N382" s="9"/>
      <c r="O382" s="38">
        <f t="shared" si="28"/>
        <v>0</v>
      </c>
      <c r="P382" s="12"/>
      <c r="Q382" s="42"/>
      <c r="R382" s="15"/>
      <c r="S382" s="44"/>
      <c r="T382" s="15"/>
      <c r="U382" s="44"/>
      <c r="V382" s="15">
        <f t="shared" si="29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30"/>
        <v>0</v>
      </c>
      <c r="AF382" s="101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2"/>
        <v>0</v>
      </c>
      <c r="BA382" s="15"/>
      <c r="BB382" s="44"/>
      <c r="BC382" s="15"/>
      <c r="BD382" s="44"/>
      <c r="BE382" s="15">
        <f t="shared" si="31"/>
        <v>0</v>
      </c>
    </row>
    <row r="383" spans="1:57" s="8" customFormat="1" ht="22.5" customHeight="1">
      <c r="A383" s="9"/>
      <c r="B383" s="16" t="s">
        <v>472</v>
      </c>
      <c r="C383" s="89" t="s">
        <v>52</v>
      </c>
      <c r="D383" s="59" t="s">
        <v>572</v>
      </c>
      <c r="E383" s="13" t="s">
        <v>573</v>
      </c>
      <c r="F383" s="96"/>
      <c r="G383" s="9"/>
      <c r="H383" s="9" t="s">
        <v>67</v>
      </c>
      <c r="I383" s="14"/>
      <c r="J383" s="14"/>
      <c r="K383" s="12">
        <v>384</v>
      </c>
      <c r="L383" s="9"/>
      <c r="M383" s="9"/>
      <c r="N383" s="9"/>
      <c r="O383" s="38">
        <f t="shared" si="28"/>
        <v>384</v>
      </c>
      <c r="P383" s="12"/>
      <c r="Q383" s="42"/>
      <c r="R383" s="15"/>
      <c r="S383" s="44"/>
      <c r="T383" s="15"/>
      <c r="U383" s="44"/>
      <c r="V383" s="15">
        <f t="shared" si="29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30"/>
        <v>0</v>
      </c>
      <c r="AF383" s="101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2"/>
        <v>0</v>
      </c>
      <c r="BA383" s="15"/>
      <c r="BB383" s="44"/>
      <c r="BC383" s="15"/>
      <c r="BD383" s="44"/>
      <c r="BE383" s="15">
        <f t="shared" si="31"/>
        <v>0</v>
      </c>
    </row>
    <row r="384" spans="1:57" s="8" customFormat="1" ht="22.5" customHeight="1">
      <c r="A384" s="9"/>
      <c r="B384" s="16" t="s">
        <v>574</v>
      </c>
      <c r="C384" s="89" t="s">
        <v>494</v>
      </c>
      <c r="D384" s="59" t="s">
        <v>575</v>
      </c>
      <c r="E384" s="13"/>
      <c r="F384" s="96"/>
      <c r="G384" s="9"/>
      <c r="H384" s="9" t="s">
        <v>576</v>
      </c>
      <c r="I384" s="14"/>
      <c r="J384" s="14"/>
      <c r="K384" s="12">
        <v>0</v>
      </c>
      <c r="L384" s="9"/>
      <c r="M384" s="9"/>
      <c r="N384" s="9"/>
      <c r="O384" s="38">
        <f t="shared" si="28"/>
        <v>0</v>
      </c>
      <c r="P384" s="12"/>
      <c r="Q384" s="42"/>
      <c r="R384" s="15"/>
      <c r="S384" s="44"/>
      <c r="T384" s="15"/>
      <c r="U384" s="44"/>
      <c r="V384" s="15">
        <f t="shared" si="29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30"/>
        <v>0</v>
      </c>
      <c r="AF384" s="101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2"/>
        <v>0</v>
      </c>
      <c r="BA384" s="15"/>
      <c r="BB384" s="44"/>
      <c r="BC384" s="15"/>
      <c r="BD384" s="44"/>
      <c r="BE384" s="15">
        <f t="shared" si="31"/>
        <v>0</v>
      </c>
    </row>
    <row r="385" spans="1:57" s="8" customFormat="1" ht="22.5" customHeight="1">
      <c r="A385" s="9"/>
      <c r="B385" s="16" t="s">
        <v>574</v>
      </c>
      <c r="C385" s="89" t="s">
        <v>494</v>
      </c>
      <c r="D385" s="59" t="s">
        <v>577</v>
      </c>
      <c r="E385" s="13" t="s">
        <v>578</v>
      </c>
      <c r="F385" s="96"/>
      <c r="G385" s="9"/>
      <c r="H385" s="9" t="s">
        <v>576</v>
      </c>
      <c r="I385" s="14"/>
      <c r="J385" s="14"/>
      <c r="K385" s="12">
        <v>0</v>
      </c>
      <c r="L385" s="9"/>
      <c r="M385" s="9"/>
      <c r="N385" s="9"/>
      <c r="O385" s="38">
        <f t="shared" si="28"/>
        <v>0</v>
      </c>
      <c r="P385" s="12"/>
      <c r="Q385" s="42"/>
      <c r="R385" s="15"/>
      <c r="S385" s="44"/>
      <c r="T385" s="15"/>
      <c r="U385" s="44"/>
      <c r="V385" s="15">
        <f t="shared" si="29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30"/>
        <v>0</v>
      </c>
      <c r="AF385" s="101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2"/>
        <v>0</v>
      </c>
      <c r="BA385" s="15"/>
      <c r="BB385" s="44"/>
      <c r="BC385" s="15"/>
      <c r="BD385" s="44"/>
      <c r="BE385" s="15">
        <f t="shared" si="31"/>
        <v>0</v>
      </c>
    </row>
    <row r="386" spans="1:57" s="8" customFormat="1" ht="22.5" customHeight="1">
      <c r="A386" s="9"/>
      <c r="B386" s="16" t="s">
        <v>244</v>
      </c>
      <c r="C386" s="89" t="s">
        <v>52</v>
      </c>
      <c r="D386" s="59" t="s">
        <v>579</v>
      </c>
      <c r="E386" s="13" t="s">
        <v>246</v>
      </c>
      <c r="F386" s="96"/>
      <c r="G386" s="9"/>
      <c r="H386" s="9" t="s">
        <v>247</v>
      </c>
      <c r="I386" s="14"/>
      <c r="J386" s="14"/>
      <c r="K386" s="12">
        <v>0</v>
      </c>
      <c r="L386" s="9"/>
      <c r="M386" s="9"/>
      <c r="N386" s="9"/>
      <c r="O386" s="38">
        <f t="shared" si="28"/>
        <v>0</v>
      </c>
      <c r="P386" s="12"/>
      <c r="Q386" s="42"/>
      <c r="R386" s="15"/>
      <c r="S386" s="44"/>
      <c r="T386" s="15"/>
      <c r="U386" s="44"/>
      <c r="V386" s="15">
        <f t="shared" si="29"/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si="30"/>
        <v>0</v>
      </c>
      <c r="AF386" s="101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2"/>
        <v>0</v>
      </c>
      <c r="BA386" s="15"/>
      <c r="BB386" s="44"/>
      <c r="BC386" s="15"/>
      <c r="BD386" s="44"/>
      <c r="BE386" s="15">
        <f t="shared" si="31"/>
        <v>0</v>
      </c>
    </row>
    <row r="387" spans="1:57" s="8" customFormat="1" ht="22.5" customHeight="1">
      <c r="A387" s="9"/>
      <c r="B387" s="16" t="s">
        <v>244</v>
      </c>
      <c r="C387" s="89" t="s">
        <v>52</v>
      </c>
      <c r="D387" s="56" t="s">
        <v>580</v>
      </c>
      <c r="E387" s="13" t="s">
        <v>246</v>
      </c>
      <c r="F387" s="96"/>
      <c r="G387" s="9"/>
      <c r="H387" s="9" t="s">
        <v>247</v>
      </c>
      <c r="I387" s="14"/>
      <c r="J387" s="14"/>
      <c r="K387" s="12">
        <v>192</v>
      </c>
      <c r="L387" s="9"/>
      <c r="M387" s="9"/>
      <c r="N387" s="9"/>
      <c r="O387" s="38">
        <f t="shared" si="28"/>
        <v>192</v>
      </c>
      <c r="P387" s="12"/>
      <c r="Q387" s="42"/>
      <c r="R387" s="15"/>
      <c r="S387" s="44"/>
      <c r="T387" s="15"/>
      <c r="U387" s="44"/>
      <c r="V387" s="15">
        <f t="shared" si="29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0"/>
        <v>0</v>
      </c>
      <c r="AF387" s="101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si="32"/>
        <v>0</v>
      </c>
      <c r="BA387" s="15"/>
      <c r="BB387" s="44"/>
      <c r="BC387" s="15"/>
      <c r="BD387" s="44"/>
      <c r="BE387" s="15">
        <f t="shared" si="31"/>
        <v>0</v>
      </c>
    </row>
    <row r="388" spans="1:57" s="8" customFormat="1" ht="22.5" customHeight="1">
      <c r="A388" s="9"/>
      <c r="B388" s="16" t="s">
        <v>343</v>
      </c>
      <c r="C388" s="89" t="s">
        <v>52</v>
      </c>
      <c r="D388" s="56" t="s">
        <v>343</v>
      </c>
      <c r="E388" s="13"/>
      <c r="F388" s="96"/>
      <c r="G388" s="9"/>
      <c r="H388" s="9" t="s">
        <v>345</v>
      </c>
      <c r="I388" s="14"/>
      <c r="J388" s="14"/>
      <c r="K388" s="12">
        <v>0</v>
      </c>
      <c r="L388" s="9"/>
      <c r="M388" s="9"/>
      <c r="N388" s="9"/>
      <c r="O388" s="38">
        <f t="shared" ref="O388:O451" si="33">K388+V388-AE388-AZ388</f>
        <v>0</v>
      </c>
      <c r="P388" s="12"/>
      <c r="Q388" s="42"/>
      <c r="R388" s="15"/>
      <c r="S388" s="44"/>
      <c r="T388" s="15"/>
      <c r="U388" s="44"/>
      <c r="V388" s="15">
        <f t="shared" ref="V388:V451" si="34">P388+R388+T388</f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ref="AE388:AE451" si="35">(W388+Y388+AA388+AC388)</f>
        <v>0</v>
      </c>
      <c r="AF388" s="101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2"/>
        <v>0</v>
      </c>
      <c r="BA388" s="15"/>
      <c r="BB388" s="44"/>
      <c r="BC388" s="15"/>
      <c r="BD388" s="44"/>
      <c r="BE388" s="15">
        <f t="shared" si="31"/>
        <v>0</v>
      </c>
    </row>
    <row r="389" spans="1:57" s="8" customFormat="1" ht="22.5" customHeight="1">
      <c r="A389" s="9"/>
      <c r="B389" s="16" t="s">
        <v>581</v>
      </c>
      <c r="C389" s="89" t="s">
        <v>44</v>
      </c>
      <c r="D389" s="59" t="s">
        <v>582</v>
      </c>
      <c r="E389" s="13" t="s">
        <v>583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3"/>
        <v>0</v>
      </c>
      <c r="P389" s="12"/>
      <c r="Q389" s="42"/>
      <c r="R389" s="15"/>
      <c r="S389" s="44"/>
      <c r="T389" s="15"/>
      <c r="U389" s="44"/>
      <c r="V389" s="15">
        <f t="shared" si="34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5"/>
        <v>0</v>
      </c>
      <c r="AF389" s="101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2"/>
        <v>0</v>
      </c>
      <c r="BA389" s="15"/>
      <c r="BB389" s="44"/>
      <c r="BC389" s="15"/>
      <c r="BD389" s="44"/>
      <c r="BE389" s="15">
        <f t="shared" si="31"/>
        <v>0</v>
      </c>
    </row>
    <row r="390" spans="1:57" s="8" customFormat="1" ht="22.5" customHeight="1">
      <c r="A390" s="9"/>
      <c r="B390" s="16" t="s">
        <v>581</v>
      </c>
      <c r="C390" s="89" t="s">
        <v>132</v>
      </c>
      <c r="D390" s="59" t="s">
        <v>585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3"/>
        <v>0</v>
      </c>
      <c r="P390" s="12"/>
      <c r="Q390" s="42"/>
      <c r="R390" s="15"/>
      <c r="S390" s="44"/>
      <c r="T390" s="15"/>
      <c r="U390" s="44"/>
      <c r="V390" s="15">
        <f t="shared" si="34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5"/>
        <v>0</v>
      </c>
      <c r="AF390" s="101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2"/>
        <v>0</v>
      </c>
      <c r="BA390" s="15"/>
      <c r="BB390" s="44"/>
      <c r="BC390" s="15"/>
      <c r="BD390" s="44"/>
      <c r="BE390" s="15">
        <f t="shared" si="31"/>
        <v>0</v>
      </c>
    </row>
    <row r="391" spans="1:57" s="8" customFormat="1" ht="22.5" customHeight="1">
      <c r="A391" s="9"/>
      <c r="B391" s="16" t="s">
        <v>581</v>
      </c>
      <c r="C391" s="89" t="s">
        <v>48</v>
      </c>
      <c r="D391" s="59" t="s">
        <v>585</v>
      </c>
      <c r="E391" s="13" t="s">
        <v>586</v>
      </c>
      <c r="F391" s="95"/>
      <c r="G391" s="9"/>
      <c r="H391" s="9" t="s">
        <v>584</v>
      </c>
      <c r="I391" s="14"/>
      <c r="J391" s="14"/>
      <c r="K391" s="12">
        <v>0</v>
      </c>
      <c r="L391" s="9"/>
      <c r="M391" s="9"/>
      <c r="N391" s="9"/>
      <c r="O391" s="38">
        <f t="shared" si="33"/>
        <v>0</v>
      </c>
      <c r="P391" s="12"/>
      <c r="Q391" s="42"/>
      <c r="R391" s="15"/>
      <c r="S391" s="44"/>
      <c r="T391" s="15"/>
      <c r="U391" s="44"/>
      <c r="V391" s="15">
        <f t="shared" si="34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5"/>
        <v>0</v>
      </c>
      <c r="AF391" s="101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2"/>
        <v>0</v>
      </c>
      <c r="BA391" s="15"/>
      <c r="BB391" s="44"/>
      <c r="BC391" s="15"/>
      <c r="BD391" s="44"/>
      <c r="BE391" s="15">
        <f t="shared" si="31"/>
        <v>0</v>
      </c>
    </row>
    <row r="392" spans="1:57" s="8" customFormat="1" ht="22.5" customHeight="1">
      <c r="A392" s="9"/>
      <c r="B392" s="16" t="s">
        <v>581</v>
      </c>
      <c r="C392" s="89" t="s">
        <v>48</v>
      </c>
      <c r="D392" s="59" t="s">
        <v>587</v>
      </c>
      <c r="E392" s="13" t="s">
        <v>586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3"/>
        <v>0</v>
      </c>
      <c r="P392" s="12"/>
      <c r="Q392" s="42"/>
      <c r="R392" s="15"/>
      <c r="S392" s="44"/>
      <c r="T392" s="15"/>
      <c r="U392" s="44"/>
      <c r="V392" s="15">
        <f t="shared" si="34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5"/>
        <v>0</v>
      </c>
      <c r="AF392" s="101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2"/>
        <v>0</v>
      </c>
      <c r="BA392" s="15"/>
      <c r="BB392" s="44"/>
      <c r="BC392" s="15"/>
      <c r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</c>
      <c r="C393" s="89" t="s">
        <v>132</v>
      </c>
      <c r="D393" s="59" t="s">
        <v>588</v>
      </c>
      <c r="E393" s="13" t="s">
        <v>583</v>
      </c>
      <c r="F393" s="95"/>
      <c r="G393" s="9"/>
      <c r="H393" s="9" t="s">
        <v>584</v>
      </c>
      <c r="I393" s="14"/>
      <c r="J393" s="14"/>
      <c r="K393" s="12">
        <v>0</v>
      </c>
      <c r="L393" s="9"/>
      <c r="M393" s="9"/>
      <c r="N393" s="9"/>
      <c r="O393" s="38">
        <f t="shared" si="33"/>
        <v>0</v>
      </c>
      <c r="P393" s="12"/>
      <c r="Q393" s="42"/>
      <c r="R393" s="15"/>
      <c r="S393" s="44"/>
      <c r="T393" s="15"/>
      <c r="U393" s="44"/>
      <c r="V393" s="15">
        <f t="shared" si="34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5"/>
        <v>0</v>
      </c>
      <c r="AF393" s="101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2"/>
        <v>0</v>
      </c>
      <c r="BA393" s="15"/>
      <c r="BB393" s="44"/>
      <c r="BC393" s="15"/>
      <c r="BD393" s="44"/>
      <c r="BE393" s="15">
        <f t="shared" si="31"/>
        <v>0</v>
      </c>
    </row>
    <row r="394" spans="1:57" s="8" customFormat="1" ht="22.5" customHeight="1">
      <c r="A394" s="9"/>
      <c r="B394" s="16" t="s">
        <v>581</v>
      </c>
      <c r="C394" s="89" t="s">
        <v>52</v>
      </c>
      <c r="D394" s="56" t="s">
        <v>582</v>
      </c>
      <c r="E394" s="13" t="s">
        <v>589</v>
      </c>
      <c r="F394" s="95"/>
      <c r="G394" s="9"/>
      <c r="H394" s="9" t="s">
        <v>584</v>
      </c>
      <c r="I394" s="14"/>
      <c r="J394" s="14"/>
      <c r="K394" s="12">
        <v>190</v>
      </c>
      <c r="L394" s="9"/>
      <c r="M394" s="9"/>
      <c r="N394" s="9"/>
      <c r="O394" s="38">
        <f t="shared" si="33"/>
        <v>190</v>
      </c>
      <c r="P394" s="12"/>
      <c r="Q394" s="42"/>
      <c r="R394" s="15"/>
      <c r="S394" s="44"/>
      <c r="T394" s="15"/>
      <c r="U394" s="44"/>
      <c r="V394" s="15">
        <f t="shared" si="34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5"/>
        <v>0</v>
      </c>
      <c r="AF394" s="101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2"/>
        <v>0</v>
      </c>
      <c r="BA394" s="15"/>
      <c r="BB394" s="44"/>
      <c r="BC394" s="15"/>
      <c r="BD394" s="44"/>
      <c r="BE394" s="15">
        <f t="shared" si="31"/>
        <v>0</v>
      </c>
    </row>
    <row r="395" spans="1:57" s="8" customFormat="1" ht="22.5" customHeight="1">
      <c r="A395" s="9"/>
      <c r="B395" s="16" t="s">
        <v>581</v>
      </c>
      <c r="C395" s="89" t="s">
        <v>52</v>
      </c>
      <c r="D395" s="59" t="s">
        <v>587</v>
      </c>
      <c r="E395" s="13" t="s">
        <v>590</v>
      </c>
      <c r="F395" s="95"/>
      <c r="G395" s="9"/>
      <c r="H395" s="9" t="s">
        <v>584</v>
      </c>
      <c r="I395" s="14"/>
      <c r="J395" s="14"/>
      <c r="K395" s="12">
        <v>0</v>
      </c>
      <c r="L395" s="9"/>
      <c r="M395" s="9"/>
      <c r="N395" s="9"/>
      <c r="O395" s="38">
        <f t="shared" si="33"/>
        <v>0</v>
      </c>
      <c r="P395" s="12"/>
      <c r="Q395" s="42"/>
      <c r="R395" s="15"/>
      <c r="S395" s="44"/>
      <c r="T395" s="15"/>
      <c r="U395" s="44"/>
      <c r="V395" s="15">
        <f t="shared" si="34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5"/>
        <v>0</v>
      </c>
      <c r="AF395" s="101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2"/>
        <v>0</v>
      </c>
      <c r="BA395" s="15"/>
      <c r="BB395" s="44"/>
      <c r="BC395" s="15"/>
      <c r="BD395" s="44"/>
      <c r="BE395" s="15">
        <f t="shared" si="31"/>
        <v>0</v>
      </c>
    </row>
    <row r="396" spans="1:57" s="8" customFormat="1" ht="22.5" customHeight="1">
      <c r="A396" s="9"/>
      <c r="B396" s="16" t="s">
        <v>591</v>
      </c>
      <c r="C396" s="92" t="s">
        <v>151</v>
      </c>
      <c r="D396" s="85" t="s">
        <v>592</v>
      </c>
      <c r="E396" s="13" t="s">
        <v>593</v>
      </c>
      <c r="F396" s="95"/>
      <c r="G396" s="9"/>
      <c r="H396" s="9" t="s">
        <v>594</v>
      </c>
      <c r="I396" s="14"/>
      <c r="J396" s="14"/>
      <c r="K396" s="12">
        <v>1300</v>
      </c>
      <c r="L396" s="9"/>
      <c r="M396" s="9"/>
      <c r="N396" s="9"/>
      <c r="O396" s="38">
        <f t="shared" si="33"/>
        <v>1300</v>
      </c>
      <c r="P396" s="12"/>
      <c r="Q396" s="42"/>
      <c r="R396" s="15"/>
      <c r="S396" s="44"/>
      <c r="T396" s="15"/>
      <c r="U396" s="44"/>
      <c r="V396" s="15">
        <f t="shared" si="34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5"/>
        <v>0</v>
      </c>
      <c r="AF396" s="101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2"/>
        <v>0</v>
      </c>
      <c r="BA396" s="15"/>
      <c r="BB396" s="44"/>
      <c r="BC396" s="15"/>
      <c r="BD396" s="44"/>
      <c r="BE396" s="15">
        <f t="shared" si="31"/>
        <v>0</v>
      </c>
    </row>
    <row r="397" spans="1:57" s="8" customFormat="1" ht="22.5" customHeight="1">
      <c r="A397" s="9"/>
      <c r="B397" s="16" t="s">
        <v>591</v>
      </c>
      <c r="C397" s="92" t="s">
        <v>151</v>
      </c>
      <c r="D397" s="59" t="s">
        <v>595</v>
      </c>
      <c r="E397" s="13" t="s">
        <v>596</v>
      </c>
      <c r="F397" s="95"/>
      <c r="G397" s="9"/>
      <c r="H397" s="9" t="s">
        <v>594</v>
      </c>
      <c r="I397" s="14"/>
      <c r="J397" s="14"/>
      <c r="K397" s="12">
        <v>0</v>
      </c>
      <c r="L397" s="9"/>
      <c r="M397" s="9"/>
      <c r="N397" s="9"/>
      <c r="O397" s="38">
        <f t="shared" si="33"/>
        <v>0</v>
      </c>
      <c r="P397" s="12"/>
      <c r="Q397" s="42"/>
      <c r="R397" s="15"/>
      <c r="S397" s="44"/>
      <c r="T397" s="15"/>
      <c r="U397" s="44"/>
      <c r="V397" s="15">
        <f t="shared" si="34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5"/>
        <v>0</v>
      </c>
      <c r="AF397" s="101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2"/>
        <v>0</v>
      </c>
      <c r="BA397" s="15"/>
      <c r="BB397" s="44"/>
      <c r="BC397" s="15"/>
      <c r="BD397" s="44"/>
      <c r="BE397" s="15">
        <f t="shared" si="31"/>
        <v>0</v>
      </c>
    </row>
    <row r="398" spans="1:57" s="8" customFormat="1" ht="22.5" customHeight="1">
      <c r="A398" s="9"/>
      <c r="B398" s="16" t="s">
        <v>591</v>
      </c>
      <c r="C398" s="92" t="s">
        <v>151</v>
      </c>
      <c r="D398" s="59" t="s">
        <v>597</v>
      </c>
      <c r="E398" s="13" t="s">
        <v>598</v>
      </c>
      <c r="F398" s="95"/>
      <c r="G398" s="9"/>
      <c r="H398" s="9" t="s">
        <v>594</v>
      </c>
      <c r="I398" s="14"/>
      <c r="J398" s="14"/>
      <c r="K398" s="12">
        <v>208</v>
      </c>
      <c r="L398" s="9"/>
      <c r="M398" s="9"/>
      <c r="N398" s="9"/>
      <c r="O398" s="38">
        <f t="shared" si="33"/>
        <v>208</v>
      </c>
      <c r="P398" s="12"/>
      <c r="Q398" s="42"/>
      <c r="R398" s="15"/>
      <c r="S398" s="44"/>
      <c r="T398" s="15"/>
      <c r="U398" s="44"/>
      <c r="V398" s="15">
        <f t="shared" si="34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5"/>
        <v>0</v>
      </c>
      <c r="AF398" s="101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2"/>
        <v>0</v>
      </c>
      <c r="BA398" s="15"/>
      <c r="BB398" s="44"/>
      <c r="BC398" s="15"/>
      <c r="BD398" s="44"/>
      <c r="BE398" s="15">
        <f t="shared" si="31"/>
        <v>0</v>
      </c>
    </row>
    <row r="399" spans="1:57" s="8" customFormat="1" ht="22.5" customHeight="1">
      <c r="A399" s="9"/>
      <c r="B399" s="16" t="s">
        <v>591</v>
      </c>
      <c r="C399" s="92" t="s">
        <v>151</v>
      </c>
      <c r="D399" s="59" t="s">
        <v>599</v>
      </c>
      <c r="E399" s="13" t="s">
        <v>596</v>
      </c>
      <c r="F399" s="95"/>
      <c r="G399" s="9"/>
      <c r="H399" s="9" t="s">
        <v>594</v>
      </c>
      <c r="I399" s="14"/>
      <c r="J399" s="14"/>
      <c r="K399" s="12">
        <v>96</v>
      </c>
      <c r="L399" s="9"/>
      <c r="M399" s="9"/>
      <c r="N399" s="9"/>
      <c r="O399" s="38">
        <f t="shared" si="33"/>
        <v>96</v>
      </c>
      <c r="P399" s="12"/>
      <c r="Q399" s="42"/>
      <c r="R399" s="15"/>
      <c r="S399" s="44"/>
      <c r="T399" s="15"/>
      <c r="U399" s="44"/>
      <c r="V399" s="15">
        <f t="shared" si="34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5"/>
        <v>0</v>
      </c>
      <c r="AF399" s="101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2"/>
        <v>0</v>
      </c>
      <c r="BA399" s="15"/>
      <c r="BB399" s="44"/>
      <c r="BC399" s="15"/>
      <c r="BD399" s="44"/>
      <c r="BE399" s="15">
        <f t="shared" si="31"/>
        <v>0</v>
      </c>
    </row>
    <row r="400" spans="1:57" s="8" customFormat="1" ht="22.5" customHeight="1">
      <c r="A400" s="9"/>
      <c r="B400" s="16" t="s">
        <v>591</v>
      </c>
      <c r="C400" s="92" t="s">
        <v>151</v>
      </c>
      <c r="D400" s="59" t="s">
        <v>600</v>
      </c>
      <c r="E400" s="13" t="s">
        <v>601</v>
      </c>
      <c r="F400" s="95"/>
      <c r="G400" s="9"/>
      <c r="H400" s="9" t="s">
        <v>594</v>
      </c>
      <c r="I400" s="14"/>
      <c r="J400" s="14"/>
      <c r="K400" s="12">
        <v>600</v>
      </c>
      <c r="L400" s="9"/>
      <c r="M400" s="9"/>
      <c r="N400" s="9"/>
      <c r="O400" s="38">
        <f t="shared" si="33"/>
        <v>600</v>
      </c>
      <c r="P400" s="12"/>
      <c r="Q400" s="42"/>
      <c r="R400" s="15"/>
      <c r="S400" s="44"/>
      <c r="T400" s="15"/>
      <c r="U400" s="44"/>
      <c r="V400" s="15">
        <f t="shared" si="34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5"/>
        <v>0</v>
      </c>
      <c r="AF400" s="101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2"/>
        <v>0</v>
      </c>
      <c r="BA400" s="15"/>
      <c r="BB400" s="44"/>
      <c r="BC400" s="15"/>
      <c r="BD400" s="44"/>
      <c r="BE400" s="15">
        <f t="shared" si="31"/>
        <v>0</v>
      </c>
    </row>
    <row r="401" spans="1:57" s="8" customFormat="1" ht="22.5" customHeight="1">
      <c r="A401" s="9"/>
      <c r="B401" s="16" t="s">
        <v>591</v>
      </c>
      <c r="C401" s="92" t="s">
        <v>151</v>
      </c>
      <c r="D401" s="59" t="s">
        <v>602</v>
      </c>
      <c r="E401" s="13" t="s">
        <v>603</v>
      </c>
      <c r="F401" s="95"/>
      <c r="G401" s="9"/>
      <c r="H401" s="9" t="s">
        <v>594</v>
      </c>
      <c r="I401" s="14"/>
      <c r="J401" s="14"/>
      <c r="K401" s="12">
        <v>190</v>
      </c>
      <c r="L401" s="9"/>
      <c r="M401" s="9"/>
      <c r="N401" s="9"/>
      <c r="O401" s="38">
        <f t="shared" si="33"/>
        <v>190</v>
      </c>
      <c r="P401" s="12"/>
      <c r="Q401" s="42"/>
      <c r="R401" s="15"/>
      <c r="S401" s="44"/>
      <c r="T401" s="15"/>
      <c r="U401" s="44"/>
      <c r="V401" s="15">
        <f t="shared" si="34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5"/>
        <v>0</v>
      </c>
      <c r="AF401" s="101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2"/>
        <v>0</v>
      </c>
      <c r="BA401" s="15"/>
      <c r="BB401" s="44"/>
      <c r="BC401" s="15"/>
      <c r="BD401" s="44"/>
      <c r="BE401" s="15">
        <f t="shared" si="31"/>
        <v>0</v>
      </c>
    </row>
    <row r="402" spans="1:57" s="8" customFormat="1" ht="22.5" customHeight="1">
      <c r="A402" s="9"/>
      <c r="B402" s="16" t="s">
        <v>591</v>
      </c>
      <c r="C402" s="92" t="s">
        <v>151</v>
      </c>
      <c r="D402" s="56" t="s">
        <v>604</v>
      </c>
      <c r="E402" s="13" t="s">
        <v>605</v>
      </c>
      <c r="F402" s="95"/>
      <c r="G402" s="9"/>
      <c r="H402" s="9" t="s">
        <v>594</v>
      </c>
      <c r="I402" s="14"/>
      <c r="J402" s="14"/>
      <c r="K402" s="12">
        <v>300</v>
      </c>
      <c r="L402" s="9"/>
      <c r="M402" s="9"/>
      <c r="N402" s="9"/>
      <c r="O402" s="38">
        <f t="shared" si="33"/>
        <v>300</v>
      </c>
      <c r="P402" s="12"/>
      <c r="Q402" s="42"/>
      <c r="R402" s="15"/>
      <c r="S402" s="44"/>
      <c r="T402" s="15"/>
      <c r="U402" s="44"/>
      <c r="V402" s="15">
        <f t="shared" si="34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5"/>
        <v>0</v>
      </c>
      <c r="AF402" s="101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2"/>
        <v>0</v>
      </c>
      <c r="BA402" s="15"/>
      <c r="BB402" s="44"/>
      <c r="BC402" s="15"/>
      <c r="BD402" s="44"/>
      <c r="BE402" s="15">
        <f t="shared" si="31"/>
        <v>0</v>
      </c>
    </row>
    <row r="403" spans="1:57" s="8" customFormat="1" ht="22.5" customHeight="1">
      <c r="A403" s="9"/>
      <c r="B403" s="16" t="s">
        <v>606</v>
      </c>
      <c r="C403" s="92" t="s">
        <v>151</v>
      </c>
      <c r="D403" s="56" t="s">
        <v>607</v>
      </c>
      <c r="E403" s="13" t="s">
        <v>608</v>
      </c>
      <c r="F403" s="95"/>
      <c r="G403" s="9"/>
      <c r="H403" s="9" t="s">
        <v>594</v>
      </c>
      <c r="I403" s="14"/>
      <c r="J403" s="14"/>
      <c r="K403" s="12">
        <v>560</v>
      </c>
      <c r="L403" s="9"/>
      <c r="M403" s="9"/>
      <c r="N403" s="9"/>
      <c r="O403" s="38">
        <f t="shared" si="33"/>
        <v>560</v>
      </c>
      <c r="P403" s="12"/>
      <c r="Q403" s="42"/>
      <c r="R403" s="15"/>
      <c r="S403" s="44"/>
      <c r="T403" s="15"/>
      <c r="U403" s="44"/>
      <c r="V403" s="15">
        <f t="shared" si="34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5"/>
        <v>0</v>
      </c>
      <c r="AF403" s="101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2"/>
        <v>0</v>
      </c>
      <c r="BA403" s="15"/>
      <c r="BB403" s="44"/>
      <c r="BC403" s="15"/>
      <c r="BD403" s="44"/>
      <c r="BE403" s="15">
        <f t="shared" si="31"/>
        <v>0</v>
      </c>
    </row>
    <row r="404" spans="1:57" s="8" customFormat="1" ht="22.5" customHeight="1">
      <c r="A404" s="9"/>
      <c r="B404" s="16" t="s">
        <v>606</v>
      </c>
      <c r="C404" s="92" t="s">
        <v>151</v>
      </c>
      <c r="D404" s="56" t="s">
        <v>609</v>
      </c>
      <c r="E404" s="13" t="s">
        <v>610</v>
      </c>
      <c r="F404" s="95"/>
      <c r="G404" s="9"/>
      <c r="H404" s="9" t="s">
        <v>594</v>
      </c>
      <c r="I404" s="14"/>
      <c r="J404" s="14"/>
      <c r="K404" s="12">
        <v>560</v>
      </c>
      <c r="L404" s="9"/>
      <c r="M404" s="9"/>
      <c r="N404" s="9"/>
      <c r="O404" s="38">
        <f t="shared" si="33"/>
        <v>560</v>
      </c>
      <c r="P404" s="12"/>
      <c r="Q404" s="42"/>
      <c r="R404" s="15"/>
      <c r="S404" s="44"/>
      <c r="T404" s="15"/>
      <c r="U404" s="44"/>
      <c r="V404" s="15">
        <f t="shared" si="34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5"/>
        <v>0</v>
      </c>
      <c r="AF404" s="101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2"/>
        <v>0</v>
      </c>
      <c r="BA404" s="15"/>
      <c r="BB404" s="44"/>
      <c r="BC404" s="15"/>
      <c r="BD404" s="44"/>
      <c r="BE404" s="15">
        <f t="shared" si="31"/>
        <v>0</v>
      </c>
    </row>
    <row r="405" spans="1:57" s="8" customFormat="1" ht="22.5" customHeight="1">
      <c r="A405" s="9"/>
      <c r="B405" s="16" t="s">
        <v>606</v>
      </c>
      <c r="C405" s="89" t="s">
        <v>52</v>
      </c>
      <c r="D405" s="61" t="s">
        <v>611</v>
      </c>
      <c r="E405" s="13" t="s">
        <v>612</v>
      </c>
      <c r="F405" s="95"/>
      <c r="G405" s="9"/>
      <c r="H405" s="9" t="s">
        <v>594</v>
      </c>
      <c r="I405" s="14"/>
      <c r="J405" s="14"/>
      <c r="K405" s="12">
        <v>1040</v>
      </c>
      <c r="L405" s="9"/>
      <c r="M405" s="9"/>
      <c r="N405" s="9"/>
      <c r="O405" s="38">
        <f t="shared" si="33"/>
        <v>1020</v>
      </c>
      <c r="P405" s="12"/>
      <c r="Q405" s="42"/>
      <c r="R405" s="15"/>
      <c r="S405" s="44"/>
      <c r="T405" s="15"/>
      <c r="U405" s="44"/>
      <c r="V405" s="15">
        <f t="shared" si="34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5"/>
        <v>0</v>
      </c>
      <c r="AF405" s="101">
        <v>20</v>
      </c>
      <c r="AG405" s="42">
        <v>46029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2"/>
        <v>20</v>
      </c>
      <c r="BA405" s="15"/>
      <c r="BB405" s="44"/>
      <c r="BC405" s="15"/>
      <c r="BD405" s="44"/>
      <c r="BE405" s="15">
        <f t="shared" si="31"/>
        <v>0</v>
      </c>
    </row>
    <row r="406" spans="1:57" s="8" customFormat="1" ht="22.5" customHeight="1">
      <c r="A406" s="9"/>
      <c r="B406" s="16" t="s">
        <v>606</v>
      </c>
      <c r="C406" s="89" t="s">
        <v>52</v>
      </c>
      <c r="D406" s="56" t="s">
        <v>613</v>
      </c>
      <c r="E406" s="13" t="s">
        <v>614</v>
      </c>
      <c r="F406" s="95"/>
      <c r="G406" s="9"/>
      <c r="H406" s="9" t="s">
        <v>594</v>
      </c>
      <c r="I406" s="14"/>
      <c r="J406" s="14"/>
      <c r="K406" s="12">
        <v>7</v>
      </c>
      <c r="L406" s="9"/>
      <c r="M406" s="9"/>
      <c r="N406" s="9"/>
      <c r="O406" s="38">
        <f t="shared" si="33"/>
        <v>7</v>
      </c>
      <c r="P406" s="12"/>
      <c r="Q406" s="42"/>
      <c r="R406" s="15"/>
      <c r="S406" s="44"/>
      <c r="T406" s="15"/>
      <c r="U406" s="44"/>
      <c r="V406" s="15">
        <f t="shared" si="34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5"/>
        <v>0</v>
      </c>
      <c r="AF406" s="101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2"/>
        <v>0</v>
      </c>
      <c r="BA406" s="15"/>
      <c r="BB406" s="44"/>
      <c r="BC406" s="15"/>
      <c r="BD406" s="44"/>
      <c r="BE406" s="15">
        <f t="shared" si="31"/>
        <v>0</v>
      </c>
    </row>
    <row r="407" spans="1:57" s="8" customFormat="1" ht="22.5" customHeight="1">
      <c r="A407" s="9"/>
      <c r="B407" s="16" t="s">
        <v>606</v>
      </c>
      <c r="C407" s="92" t="s">
        <v>151</v>
      </c>
      <c r="D407" s="56" t="s">
        <v>615</v>
      </c>
      <c r="E407" s="13" t="s">
        <v>593</v>
      </c>
      <c r="F407" s="95"/>
      <c r="G407" s="9"/>
      <c r="H407" s="9" t="s">
        <v>594</v>
      </c>
      <c r="I407" s="14"/>
      <c r="J407" s="14"/>
      <c r="K407" s="12">
        <v>0</v>
      </c>
      <c r="L407" s="9"/>
      <c r="M407" s="9"/>
      <c r="N407" s="9"/>
      <c r="O407" s="38">
        <f t="shared" si="33"/>
        <v>0</v>
      </c>
      <c r="P407" s="12"/>
      <c r="Q407" s="42"/>
      <c r="R407" s="15"/>
      <c r="S407" s="44"/>
      <c r="T407" s="15"/>
      <c r="U407" s="44"/>
      <c r="V407" s="15">
        <f t="shared" si="34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5"/>
        <v>0</v>
      </c>
      <c r="AF407" s="101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2"/>
        <v>0</v>
      </c>
      <c r="BA407" s="15"/>
      <c r="BB407" s="44"/>
      <c r="BC407" s="15"/>
      <c r="BD407" s="44"/>
      <c r="BE407" s="15">
        <f t="shared" si="31"/>
        <v>0</v>
      </c>
    </row>
    <row r="408" spans="1:57" s="8" customFormat="1" ht="22.5" customHeight="1">
      <c r="A408" s="9"/>
      <c r="B408" s="16" t="s">
        <v>606</v>
      </c>
      <c r="C408" s="92" t="s">
        <v>151</v>
      </c>
      <c r="D408" s="59" t="s">
        <v>615</v>
      </c>
      <c r="E408" s="13" t="s">
        <v>616</v>
      </c>
      <c r="F408" s="95"/>
      <c r="G408" s="9"/>
      <c r="H408" s="9" t="s">
        <v>594</v>
      </c>
      <c r="I408" s="14"/>
      <c r="J408" s="14"/>
      <c r="K408" s="12">
        <v>0</v>
      </c>
      <c r="L408" s="9"/>
      <c r="M408" s="9"/>
      <c r="N408" s="9"/>
      <c r="O408" s="38">
        <f t="shared" si="33"/>
        <v>0</v>
      </c>
      <c r="P408" s="12"/>
      <c r="Q408" s="42"/>
      <c r="R408" s="15"/>
      <c r="S408" s="44"/>
      <c r="T408" s="15"/>
      <c r="U408" s="44"/>
      <c r="V408" s="15">
        <f t="shared" si="34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5"/>
        <v>0</v>
      </c>
      <c r="AF408" s="101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2"/>
        <v>0</v>
      </c>
      <c r="BA408" s="15"/>
      <c r="BB408" s="44"/>
      <c r="BC408" s="15"/>
      <c r="BD408" s="44"/>
      <c r="BE408" s="15">
        <f t="shared" si="31"/>
        <v>0</v>
      </c>
    </row>
    <row r="409" spans="1:57" s="8" customFormat="1" ht="22.5" customHeight="1">
      <c r="A409" s="9"/>
      <c r="B409" s="16" t="s">
        <v>617</v>
      </c>
      <c r="C409" s="92" t="s">
        <v>151</v>
      </c>
      <c r="D409" s="59" t="s">
        <v>618</v>
      </c>
      <c r="E409" s="13"/>
      <c r="F409" s="95"/>
      <c r="G409" s="9"/>
      <c r="H409" s="9" t="s">
        <v>467</v>
      </c>
      <c r="I409" s="14"/>
      <c r="J409" s="14"/>
      <c r="K409" s="12">
        <v>0</v>
      </c>
      <c r="L409" s="9"/>
      <c r="M409" s="9"/>
      <c r="N409" s="9"/>
      <c r="O409" s="38">
        <f t="shared" si="33"/>
        <v>0</v>
      </c>
      <c r="P409" s="12"/>
      <c r="Q409" s="42"/>
      <c r="R409" s="15"/>
      <c r="S409" s="44"/>
      <c r="T409" s="15"/>
      <c r="U409" s="44"/>
      <c r="V409" s="15">
        <f t="shared" si="34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5"/>
        <v>0</v>
      </c>
      <c r="AF409" s="101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2"/>
        <v>0</v>
      </c>
      <c r="BA409" s="15"/>
      <c r="BB409" s="44"/>
      <c r="BC409" s="15"/>
      <c r="BD409" s="44"/>
      <c r="BE409" s="15">
        <f t="shared" si="31"/>
        <v>0</v>
      </c>
    </row>
    <row r="410" spans="1:57" s="8" customFormat="1" ht="22.5" customHeight="1">
      <c r="A410" s="9"/>
      <c r="B410" s="16" t="s">
        <v>619</v>
      </c>
      <c r="C410" s="89" t="s">
        <v>44</v>
      </c>
      <c r="D410" s="56" t="s">
        <v>620</v>
      </c>
      <c r="E410" s="13" t="s">
        <v>621</v>
      </c>
      <c r="F410" s="95"/>
      <c r="G410" s="9"/>
      <c r="H410" s="9" t="s">
        <v>67</v>
      </c>
      <c r="I410" s="14"/>
      <c r="J410" s="14"/>
      <c r="K410" s="12">
        <v>0</v>
      </c>
      <c r="L410" s="9"/>
      <c r="M410" s="9"/>
      <c r="N410" s="9"/>
      <c r="O410" s="38">
        <f t="shared" si="33"/>
        <v>0</v>
      </c>
      <c r="P410" s="12"/>
      <c r="Q410" s="42"/>
      <c r="R410" s="15"/>
      <c r="S410" s="44"/>
      <c r="T410" s="15"/>
      <c r="U410" s="44"/>
      <c r="V410" s="15">
        <f t="shared" si="34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5"/>
        <v>0</v>
      </c>
      <c r="AF410" s="101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2"/>
        <v>0</v>
      </c>
      <c r="BA410" s="15"/>
      <c r="BB410" s="44"/>
      <c r="BC410" s="15"/>
      <c r="BD410" s="44"/>
      <c r="BE410" s="15">
        <f t="shared" si="31"/>
        <v>0</v>
      </c>
    </row>
    <row r="411" spans="1:57" s="8" customFormat="1" ht="22.5" customHeight="1">
      <c r="A411" s="9"/>
      <c r="B411" s="16" t="s">
        <v>120</v>
      </c>
      <c r="C411" s="92" t="s">
        <v>151</v>
      </c>
      <c r="D411" s="59" t="s">
        <v>622</v>
      </c>
      <c r="E411" s="13"/>
      <c r="F411" s="95"/>
      <c r="G411" s="9"/>
      <c r="H411" s="9" t="s">
        <v>67</v>
      </c>
      <c r="I411" s="14"/>
      <c r="J411" s="14"/>
      <c r="K411" s="12">
        <v>0</v>
      </c>
      <c r="L411" s="9"/>
      <c r="M411" s="9"/>
      <c r="N411" s="9"/>
      <c r="O411" s="38">
        <f t="shared" si="33"/>
        <v>0</v>
      </c>
      <c r="P411" s="12"/>
      <c r="Q411" s="42"/>
      <c r="R411" s="15"/>
      <c r="S411" s="44"/>
      <c r="T411" s="15"/>
      <c r="U411" s="44"/>
      <c r="V411" s="15">
        <f t="shared" si="34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5"/>
        <v>0</v>
      </c>
      <c r="AF411" s="101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2"/>
        <v>0</v>
      </c>
      <c r="BA411" s="15"/>
      <c r="BB411" s="44"/>
      <c r="BC411" s="15"/>
      <c r="BD411" s="44"/>
      <c r="BE411" s="15">
        <f t="shared" si="31"/>
        <v>0</v>
      </c>
    </row>
    <row r="412" spans="1:57" s="8" customFormat="1" ht="22.5" customHeight="1">
      <c r="A412" s="9"/>
      <c r="B412" s="16" t="s">
        <v>120</v>
      </c>
      <c r="C412" s="89" t="s">
        <v>140</v>
      </c>
      <c r="D412" s="59" t="s">
        <v>623</v>
      </c>
      <c r="E412" s="13" t="s">
        <v>624</v>
      </c>
      <c r="F412" s="95"/>
      <c r="G412" s="9"/>
      <c r="H412" s="9" t="s">
        <v>625</v>
      </c>
      <c r="I412" s="14"/>
      <c r="J412" s="14"/>
      <c r="K412" s="12">
        <v>0</v>
      </c>
      <c r="L412" s="9"/>
      <c r="M412" s="9"/>
      <c r="N412" s="9"/>
      <c r="O412" s="38">
        <f t="shared" si="33"/>
        <v>0</v>
      </c>
      <c r="P412" s="12"/>
      <c r="Q412" s="42"/>
      <c r="R412" s="15"/>
      <c r="S412" s="44"/>
      <c r="T412" s="15"/>
      <c r="U412" s="44"/>
      <c r="V412" s="15">
        <f t="shared" si="34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5"/>
        <v>0</v>
      </c>
      <c r="AF412" s="101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2"/>
        <v>0</v>
      </c>
      <c r="BA412" s="15"/>
      <c r="BB412" s="44"/>
      <c r="BC412" s="15"/>
      <c r="BD412" s="44"/>
      <c r="BE412" s="15">
        <f t="shared" si="31"/>
        <v>0</v>
      </c>
    </row>
    <row r="413" spans="1:57" s="8" customFormat="1" ht="22.5" customHeight="1">
      <c r="A413" s="9"/>
      <c r="B413" s="16" t="s">
        <v>120</v>
      </c>
      <c r="C413" s="89" t="s">
        <v>140</v>
      </c>
      <c r="D413" s="56" t="s">
        <v>623</v>
      </c>
      <c r="E413" s="13" t="s">
        <v>626</v>
      </c>
      <c r="F413" s="95"/>
      <c r="G413" s="9"/>
      <c r="H413" s="9" t="s">
        <v>627</v>
      </c>
      <c r="I413" s="14"/>
      <c r="J413" s="14"/>
      <c r="K413" s="12">
        <v>0</v>
      </c>
      <c r="L413" s="9"/>
      <c r="M413" s="9"/>
      <c r="N413" s="9"/>
      <c r="O413" s="38">
        <f t="shared" si="33"/>
        <v>0</v>
      </c>
      <c r="P413" s="12"/>
      <c r="Q413" s="42"/>
      <c r="R413" s="15"/>
      <c r="S413" s="44"/>
      <c r="T413" s="15"/>
      <c r="U413" s="44"/>
      <c r="V413" s="15">
        <f t="shared" si="34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5"/>
        <v>0</v>
      </c>
      <c r="AF413" s="101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2"/>
        <v>0</v>
      </c>
      <c r="BA413" s="15"/>
      <c r="BB413" s="44"/>
      <c r="BC413" s="15"/>
      <c r="BD413" s="44"/>
      <c r="BE413" s="15">
        <f t="shared" si="31"/>
        <v>0</v>
      </c>
    </row>
    <row r="414" spans="1:57" s="8" customFormat="1" ht="22.5" customHeight="1">
      <c r="A414" s="9"/>
      <c r="B414" s="16" t="s">
        <v>120</v>
      </c>
      <c r="C414" s="89" t="s">
        <v>140</v>
      </c>
      <c r="D414" s="56" t="s">
        <v>623</v>
      </c>
      <c r="E414" s="13" t="s">
        <v>628</v>
      </c>
      <c r="F414" s="95"/>
      <c r="G414" s="9"/>
      <c r="H414" s="9" t="s">
        <v>627</v>
      </c>
      <c r="I414" s="14"/>
      <c r="J414" s="14"/>
      <c r="K414" s="12">
        <v>0</v>
      </c>
      <c r="L414" s="9"/>
      <c r="M414" s="9"/>
      <c r="N414" s="9"/>
      <c r="O414" s="38">
        <f t="shared" si="33"/>
        <v>0</v>
      </c>
      <c r="P414" s="12"/>
      <c r="Q414" s="42"/>
      <c r="R414" s="15"/>
      <c r="S414" s="44"/>
      <c r="T414" s="15"/>
      <c r="U414" s="44"/>
      <c r="V414" s="15">
        <f t="shared" si="34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5"/>
        <v>0</v>
      </c>
      <c r="AF414" s="101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2"/>
        <v>0</v>
      </c>
      <c r="BA414" s="15"/>
      <c r="BB414" s="44"/>
      <c r="BC414" s="15"/>
      <c r="BD414" s="44"/>
      <c r="BE414" s="15">
        <f t="shared" si="31"/>
        <v>0</v>
      </c>
    </row>
    <row r="415" spans="1:57" s="8" customFormat="1" ht="22.5" customHeight="1">
      <c r="A415" s="9"/>
      <c r="B415" s="16" t="s">
        <v>120</v>
      </c>
      <c r="C415" s="89" t="s">
        <v>52</v>
      </c>
      <c r="D415" s="56" t="s">
        <v>629</v>
      </c>
      <c r="E415" s="13"/>
      <c r="F415" s="95"/>
      <c r="G415" s="9"/>
      <c r="H415" s="9" t="s">
        <v>467</v>
      </c>
      <c r="I415" s="14"/>
      <c r="J415" s="14"/>
      <c r="K415" s="12">
        <v>27</v>
      </c>
      <c r="L415" s="9"/>
      <c r="M415" s="9"/>
      <c r="N415" s="9"/>
      <c r="O415" s="38">
        <f t="shared" si="33"/>
        <v>27</v>
      </c>
      <c r="P415" s="12"/>
      <c r="Q415" s="42"/>
      <c r="R415" s="15"/>
      <c r="S415" s="44"/>
      <c r="T415" s="15"/>
      <c r="U415" s="44"/>
      <c r="V415" s="15">
        <f t="shared" si="34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5"/>
        <v>0</v>
      </c>
      <c r="AF415" s="101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2"/>
        <v>0</v>
      </c>
      <c r="BA415" s="15"/>
      <c r="BB415" s="44"/>
      <c r="BC415" s="15"/>
      <c r="BD415" s="44"/>
      <c r="BE415" s="15">
        <f t="shared" si="31"/>
        <v>0</v>
      </c>
    </row>
    <row r="416" spans="1:57" s="8" customFormat="1" ht="22.5" customHeight="1">
      <c r="A416" s="9"/>
      <c r="B416" s="16" t="s">
        <v>172</v>
      </c>
      <c r="C416" s="92" t="s">
        <v>151</v>
      </c>
      <c r="D416" s="59" t="s">
        <v>630</v>
      </c>
      <c r="E416" s="13" t="s">
        <v>631</v>
      </c>
      <c r="F416" s="95"/>
      <c r="G416" s="9"/>
      <c r="H416" s="9" t="s">
        <v>67</v>
      </c>
      <c r="I416" s="14"/>
      <c r="J416" s="14"/>
      <c r="K416" s="12">
        <v>0</v>
      </c>
      <c r="L416" s="9"/>
      <c r="M416" s="9"/>
      <c r="N416" s="9"/>
      <c r="O416" s="38">
        <f t="shared" si="33"/>
        <v>0</v>
      </c>
      <c r="P416" s="12"/>
      <c r="Q416" s="42"/>
      <c r="R416" s="15"/>
      <c r="S416" s="44"/>
      <c r="T416" s="15"/>
      <c r="U416" s="44"/>
      <c r="V416" s="15">
        <f t="shared" si="34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5"/>
        <v>0</v>
      </c>
      <c r="AF416" s="101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2"/>
        <v>0</v>
      </c>
      <c r="BA416" s="15"/>
      <c r="BB416" s="44"/>
      <c r="BC416" s="15"/>
      <c r="BD416" s="44"/>
      <c r="BE416" s="15">
        <f t="shared" si="31"/>
        <v>0</v>
      </c>
    </row>
    <row r="417" spans="1:57" s="8" customFormat="1" ht="22.5" customHeight="1">
      <c r="A417" s="9"/>
      <c r="B417" s="16" t="s">
        <v>632</v>
      </c>
      <c r="C417" s="89" t="s">
        <v>132</v>
      </c>
      <c r="D417" s="59" t="s">
        <v>633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3"/>
        <v>0</v>
      </c>
      <c r="P417" s="12"/>
      <c r="Q417" s="42"/>
      <c r="R417" s="15"/>
      <c r="S417" s="44"/>
      <c r="T417" s="15"/>
      <c r="U417" s="44"/>
      <c r="V417" s="15">
        <f t="shared" si="34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5"/>
        <v>0</v>
      </c>
      <c r="AF417" s="101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2"/>
        <v>0</v>
      </c>
      <c r="BA417" s="15"/>
      <c r="BB417" s="44"/>
      <c r="BC417" s="15"/>
      <c r="BD417" s="44"/>
      <c r="BE417" s="15">
        <f t="shared" si="31"/>
        <v>0</v>
      </c>
    </row>
    <row r="418" spans="1:57" s="8" customFormat="1" ht="22.5" customHeight="1">
      <c r="A418" s="9"/>
      <c r="B418" s="16" t="s">
        <v>632</v>
      </c>
      <c r="C418" s="89" t="s">
        <v>132</v>
      </c>
      <c r="D418" s="61" t="s">
        <v>634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3"/>
        <v>0</v>
      </c>
      <c r="P418" s="12"/>
      <c r="Q418" s="42"/>
      <c r="R418" s="15"/>
      <c r="S418" s="44"/>
      <c r="T418" s="15"/>
      <c r="U418" s="44"/>
      <c r="V418" s="15">
        <f t="shared" si="34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5"/>
        <v>0</v>
      </c>
      <c r="AF418" s="101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2"/>
        <v>0</v>
      </c>
      <c r="BA418" s="15"/>
      <c r="BB418" s="44"/>
      <c r="BC418" s="15"/>
      <c r="BD418" s="44"/>
      <c r="BE418" s="15">
        <f t="shared" ref="BE418:BE481" si="36">(BA418+BC418)</f>
        <v>0</v>
      </c>
    </row>
    <row r="419" spans="1:57" s="8" customFormat="1" ht="22.5" customHeight="1">
      <c r="A419" s="9"/>
      <c r="B419" s="16" t="s">
        <v>632</v>
      </c>
      <c r="C419" s="89" t="s">
        <v>132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3"/>
        <v>0</v>
      </c>
      <c r="P419" s="12"/>
      <c r="Q419" s="42"/>
      <c r="R419" s="15"/>
      <c r="S419" s="44"/>
      <c r="T419" s="15"/>
      <c r="U419" s="44"/>
      <c r="V419" s="15">
        <f t="shared" si="34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5"/>
        <v>0</v>
      </c>
      <c r="AF419" s="101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2"/>
        <v>0</v>
      </c>
      <c r="BA419" s="15"/>
      <c r="BB419" s="44"/>
      <c r="BC419" s="15"/>
      <c r="BD419" s="44"/>
      <c r="BE419" s="15">
        <f t="shared" si="36"/>
        <v>0</v>
      </c>
    </row>
    <row r="420" spans="1:57" s="8" customFormat="1" ht="22.5" customHeight="1">
      <c r="A420" s="9"/>
      <c r="B420" s="16" t="s">
        <v>632</v>
      </c>
      <c r="C420" s="89" t="s">
        <v>132</v>
      </c>
      <c r="D420" s="61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3"/>
        <v>0</v>
      </c>
      <c r="P420" s="12"/>
      <c r="Q420" s="42"/>
      <c r="R420" s="15"/>
      <c r="S420" s="44"/>
      <c r="T420" s="15"/>
      <c r="U420" s="44"/>
      <c r="V420" s="15">
        <f t="shared" si="34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5"/>
        <v>0</v>
      </c>
      <c r="AF420" s="101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2"/>
        <v>0</v>
      </c>
      <c r="BA420" s="15"/>
      <c r="BB420" s="44"/>
      <c r="BC420" s="15"/>
      <c r="BD420" s="44"/>
      <c r="BE420" s="15">
        <f t="shared" si="36"/>
        <v>0</v>
      </c>
    </row>
    <row r="421" spans="1:57" s="8" customFormat="1" ht="22.5" customHeight="1">
      <c r="A421" s="9"/>
      <c r="B421" s="16" t="s">
        <v>632</v>
      </c>
      <c r="C421" s="89" t="s">
        <v>48</v>
      </c>
      <c r="D421" s="61" t="s">
        <v>637</v>
      </c>
      <c r="E421" s="13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3"/>
        <v>0</v>
      </c>
      <c r="P421" s="12"/>
      <c r="Q421" s="42"/>
      <c r="R421" s="15"/>
      <c r="S421" s="44"/>
      <c r="T421" s="15"/>
      <c r="U421" s="44"/>
      <c r="V421" s="15">
        <f t="shared" si="34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5"/>
        <v>0</v>
      </c>
      <c r="AF421" s="101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ref="AZ421:AZ484" si="37">AF421+AH421+AJ421+AL421+AN421+AP421+AR421+AT421+AV421+AX421</f>
        <v>0</v>
      </c>
      <c r="BA421" s="15"/>
      <c r="BB421" s="44"/>
      <c r="BC421" s="15"/>
      <c r="BD421" s="44"/>
      <c r="BE421" s="15">
        <f t="shared" si="36"/>
        <v>0</v>
      </c>
    </row>
    <row r="422" spans="1:57" s="8" customFormat="1" ht="22.5" customHeight="1">
      <c r="A422" s="9"/>
      <c r="B422" s="16" t="s">
        <v>632</v>
      </c>
      <c r="C422" s="89" t="s">
        <v>48</v>
      </c>
      <c r="D422" s="61" t="s">
        <v>635</v>
      </c>
      <c r="E422" s="13"/>
      <c r="F422" s="95"/>
      <c r="G422" s="9"/>
      <c r="H422" s="9" t="s">
        <v>247</v>
      </c>
      <c r="I422" s="14"/>
      <c r="J422" s="14"/>
      <c r="K422" s="12">
        <v>0</v>
      </c>
      <c r="L422" s="9"/>
      <c r="M422" s="9"/>
      <c r="N422" s="9"/>
      <c r="O422" s="38">
        <f t="shared" si="33"/>
        <v>0</v>
      </c>
      <c r="P422" s="12"/>
      <c r="Q422" s="42"/>
      <c r="R422" s="15"/>
      <c r="S422" s="44"/>
      <c r="T422" s="15"/>
      <c r="U422" s="44"/>
      <c r="V422" s="15">
        <f t="shared" si="34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5"/>
        <v>0</v>
      </c>
      <c r="AF422" s="101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7"/>
        <v>0</v>
      </c>
      <c r="BA422" s="15"/>
      <c r="BB422" s="44"/>
      <c r="BC422" s="15"/>
      <c r="BD422" s="44"/>
      <c r="BE422" s="15">
        <f t="shared" si="36"/>
        <v>0</v>
      </c>
    </row>
    <row r="423" spans="1:57" s="8" customFormat="1" ht="22.5" customHeight="1">
      <c r="A423" s="9"/>
      <c r="B423" s="16" t="s">
        <v>632</v>
      </c>
      <c r="C423" s="89" t="s">
        <v>48</v>
      </c>
      <c r="D423" s="59" t="s">
        <v>636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3"/>
        <v>0</v>
      </c>
      <c r="P423" s="12"/>
      <c r="Q423" s="42"/>
      <c r="R423" s="15"/>
      <c r="S423" s="44"/>
      <c r="T423" s="15"/>
      <c r="U423" s="44"/>
      <c r="V423" s="15">
        <f t="shared" si="34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5"/>
        <v>0</v>
      </c>
      <c r="AF423" s="101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7"/>
        <v>0</v>
      </c>
      <c r="BA423" s="15"/>
      <c r="BB423" s="44"/>
      <c r="BC423" s="15"/>
      <c r="BD423" s="44"/>
      <c r="BE423" s="15">
        <f t="shared" si="36"/>
        <v>0</v>
      </c>
    </row>
    <row r="424" spans="1:57" s="8" customFormat="1" ht="22.5" customHeight="1">
      <c r="A424" s="9"/>
      <c r="B424" s="16" t="s">
        <v>632</v>
      </c>
      <c r="C424" s="89" t="s">
        <v>52</v>
      </c>
      <c r="D424" s="59" t="s">
        <v>637</v>
      </c>
      <c r="E424" s="17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3"/>
        <v>0</v>
      </c>
      <c r="P424" s="12"/>
      <c r="Q424" s="42"/>
      <c r="R424" s="15"/>
      <c r="S424" s="44"/>
      <c r="T424" s="15"/>
      <c r="U424" s="44"/>
      <c r="V424" s="15">
        <f t="shared" si="34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5"/>
        <v>0</v>
      </c>
      <c r="AF424" s="101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7"/>
        <v>0</v>
      </c>
      <c r="BA424" s="15"/>
      <c r="BB424" s="44"/>
      <c r="BC424" s="15"/>
      <c r="BD424" s="44"/>
      <c r="BE424" s="15">
        <f t="shared" si="36"/>
        <v>0</v>
      </c>
    </row>
    <row r="425" spans="1:57" s="8" customFormat="1" ht="22.5" customHeight="1">
      <c r="A425" s="9"/>
      <c r="B425" s="16" t="s">
        <v>632</v>
      </c>
      <c r="C425" s="89" t="s">
        <v>52</v>
      </c>
      <c r="D425" s="59" t="s">
        <v>638</v>
      </c>
      <c r="E425" s="13"/>
      <c r="F425" s="95"/>
      <c r="G425" s="9"/>
      <c r="H425" s="9" t="s">
        <v>639</v>
      </c>
      <c r="I425" s="14"/>
      <c r="J425" s="14"/>
      <c r="K425" s="12">
        <v>0</v>
      </c>
      <c r="L425" s="9"/>
      <c r="M425" s="9"/>
      <c r="N425" s="9"/>
      <c r="O425" s="38">
        <f t="shared" si="33"/>
        <v>0</v>
      </c>
      <c r="P425" s="12"/>
      <c r="Q425" s="42"/>
      <c r="R425" s="15"/>
      <c r="S425" s="44"/>
      <c r="T425" s="15"/>
      <c r="U425" s="44"/>
      <c r="V425" s="15">
        <f t="shared" si="34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5"/>
        <v>0</v>
      </c>
      <c r="AF425" s="101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7"/>
        <v>0</v>
      </c>
      <c r="BA425" s="15"/>
      <c r="BB425" s="44"/>
      <c r="BC425" s="15"/>
      <c r="BD425" s="44"/>
      <c r="BE425" s="15">
        <f t="shared" si="36"/>
        <v>0</v>
      </c>
    </row>
    <row r="426" spans="1:57" s="8" customFormat="1" ht="22.5" customHeight="1">
      <c r="A426" s="9"/>
      <c r="B426" s="16" t="s">
        <v>632</v>
      </c>
      <c r="C426" s="89" t="s">
        <v>52</v>
      </c>
      <c r="D426" s="59" t="s">
        <v>640</v>
      </c>
      <c r="E426" s="13"/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3"/>
        <v>0</v>
      </c>
      <c r="P426" s="12"/>
      <c r="Q426" s="42"/>
      <c r="R426" s="15"/>
      <c r="S426" s="44"/>
      <c r="T426" s="15"/>
      <c r="U426" s="44"/>
      <c r="V426" s="15">
        <f t="shared" si="34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5"/>
        <v>0</v>
      </c>
      <c r="AF426" s="101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7"/>
        <v>0</v>
      </c>
      <c r="BA426" s="15"/>
      <c r="BB426" s="44"/>
      <c r="BC426" s="15"/>
      <c r="BD426" s="44"/>
      <c r="BE426" s="15">
        <f t="shared" si="36"/>
        <v>0</v>
      </c>
    </row>
    <row r="427" spans="1:57" s="8" customFormat="1" ht="22.5" customHeight="1">
      <c r="A427" s="9"/>
      <c r="B427" s="16" t="s">
        <v>641</v>
      </c>
      <c r="C427" s="89" t="s">
        <v>44</v>
      </c>
      <c r="D427" s="61" t="s">
        <v>642</v>
      </c>
      <c r="E427" s="13"/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3"/>
        <v>0</v>
      </c>
      <c r="P427" s="12"/>
      <c r="Q427" s="42"/>
      <c r="R427" s="15"/>
      <c r="S427" s="44"/>
      <c r="T427" s="15"/>
      <c r="U427" s="44"/>
      <c r="V427" s="15">
        <f t="shared" si="34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5"/>
        <v>0</v>
      </c>
      <c r="AF427" s="101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7"/>
        <v>0</v>
      </c>
      <c r="BA427" s="15"/>
      <c r="BB427" s="44"/>
      <c r="BC427" s="15"/>
      <c r="BD427" s="44"/>
      <c r="BE427" s="15">
        <f t="shared" si="36"/>
        <v>0</v>
      </c>
    </row>
    <row r="428" spans="1:57" s="8" customFormat="1" ht="22.5" customHeight="1">
      <c r="A428" s="9"/>
      <c r="B428" s="16" t="s">
        <v>641</v>
      </c>
      <c r="C428" s="89" t="s">
        <v>643</v>
      </c>
      <c r="D428" s="59" t="s">
        <v>642</v>
      </c>
      <c r="E428" s="13"/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3"/>
        <v>0</v>
      </c>
      <c r="P428" s="12"/>
      <c r="Q428" s="42"/>
      <c r="R428" s="15"/>
      <c r="S428" s="44"/>
      <c r="T428" s="15"/>
      <c r="U428" s="44"/>
      <c r="V428" s="15">
        <f t="shared" si="34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5"/>
        <v>0</v>
      </c>
      <c r="AF428" s="101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7"/>
        <v>0</v>
      </c>
      <c r="BA428" s="15"/>
      <c r="BB428" s="44"/>
      <c r="BC428" s="15"/>
      <c r="BD428" s="44"/>
      <c r="BE428" s="15">
        <f t="shared" si="36"/>
        <v>0</v>
      </c>
    </row>
    <row r="429" spans="1:57" s="8" customFormat="1" ht="22.5" customHeight="1">
      <c r="A429" s="9"/>
      <c r="B429" s="16" t="s">
        <v>641</v>
      </c>
      <c r="C429" s="89" t="s">
        <v>132</v>
      </c>
      <c r="D429" s="59" t="s">
        <v>644</v>
      </c>
      <c r="E429" s="13" t="s">
        <v>645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3"/>
        <v>0</v>
      </c>
      <c r="P429" s="12"/>
      <c r="Q429" s="42"/>
      <c r="R429" s="15"/>
      <c r="S429" s="44"/>
      <c r="T429" s="15"/>
      <c r="U429" s="44"/>
      <c r="V429" s="15">
        <f t="shared" si="34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5"/>
        <v>0</v>
      </c>
      <c r="AF429" s="101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7"/>
        <v>0</v>
      </c>
      <c r="BA429" s="15"/>
      <c r="BB429" s="44"/>
      <c r="BC429" s="15"/>
      <c r="BD429" s="44"/>
      <c r="BE429" s="15">
        <f t="shared" si="36"/>
        <v>0</v>
      </c>
    </row>
    <row r="430" spans="1:57" s="8" customFormat="1" ht="22.5" customHeight="1">
      <c r="A430" s="9"/>
      <c r="B430" s="16" t="s">
        <v>641</v>
      </c>
      <c r="C430" s="89" t="s">
        <v>132</v>
      </c>
      <c r="D430" s="86" t="s">
        <v>644</v>
      </c>
      <c r="E430" s="13" t="s">
        <v>646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3"/>
        <v>0</v>
      </c>
      <c r="P430" s="12"/>
      <c r="Q430" s="42"/>
      <c r="R430" s="15"/>
      <c r="S430" s="44"/>
      <c r="T430" s="15"/>
      <c r="U430" s="44"/>
      <c r="V430" s="15">
        <f t="shared" si="34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5"/>
        <v>0</v>
      </c>
      <c r="AF430" s="101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7"/>
        <v>0</v>
      </c>
      <c r="BA430" s="15"/>
      <c r="BB430" s="44"/>
      <c r="BC430" s="15"/>
      <c r="BD430" s="44"/>
      <c r="BE430" s="15">
        <f t="shared" si="36"/>
        <v>0</v>
      </c>
    </row>
    <row r="431" spans="1:57" s="8" customFormat="1" ht="22.5" customHeight="1">
      <c r="A431" s="9"/>
      <c r="B431" s="16" t="s">
        <v>641</v>
      </c>
      <c r="C431" s="89" t="s">
        <v>140</v>
      </c>
      <c r="D431" s="59" t="s">
        <v>644</v>
      </c>
      <c r="E431" s="13" t="s">
        <v>645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3"/>
        <v>0</v>
      </c>
      <c r="P431" s="12"/>
      <c r="Q431" s="42"/>
      <c r="R431" s="15"/>
      <c r="S431" s="44"/>
      <c r="T431" s="15"/>
      <c r="U431" s="44"/>
      <c r="V431" s="15">
        <f t="shared" si="34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5"/>
        <v>0</v>
      </c>
      <c r="AF431" s="101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7"/>
        <v>0</v>
      </c>
      <c r="BA431" s="15"/>
      <c r="BB431" s="44"/>
      <c r="BC431" s="15"/>
      <c r="BD431" s="44"/>
      <c r="BE431" s="15">
        <f t="shared" si="36"/>
        <v>0</v>
      </c>
    </row>
    <row r="432" spans="1:57" s="8" customFormat="1" ht="22.5" customHeight="1">
      <c r="A432" s="9"/>
      <c r="B432" s="16" t="s">
        <v>641</v>
      </c>
      <c r="C432" s="89" t="s">
        <v>140</v>
      </c>
      <c r="D432" s="59" t="s">
        <v>644</v>
      </c>
      <c r="E432" s="13" t="s">
        <v>647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3"/>
        <v>0</v>
      </c>
      <c r="P432" s="12"/>
      <c r="Q432" s="42"/>
      <c r="R432" s="15"/>
      <c r="S432" s="44"/>
      <c r="T432" s="15"/>
      <c r="U432" s="44"/>
      <c r="V432" s="15">
        <f t="shared" si="34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5"/>
        <v>0</v>
      </c>
      <c r="AF432" s="101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7"/>
        <v>0</v>
      </c>
      <c r="BA432" s="15"/>
      <c r="BB432" s="44"/>
      <c r="BC432" s="15"/>
      <c r="BD432" s="44"/>
      <c r="BE432" s="15">
        <f t="shared" si="36"/>
        <v>0</v>
      </c>
    </row>
    <row r="433" spans="1:57" s="8" customFormat="1" ht="22.5" customHeight="1">
      <c r="A433" s="9"/>
      <c r="B433" s="16" t="s">
        <v>641</v>
      </c>
      <c r="C433" s="89" t="s">
        <v>48</v>
      </c>
      <c r="D433" s="56" t="s">
        <v>648</v>
      </c>
      <c r="E433" s="13" t="s">
        <v>649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3"/>
        <v>0</v>
      </c>
      <c r="P433" s="12"/>
      <c r="Q433" s="42"/>
      <c r="R433" s="15"/>
      <c r="S433" s="44"/>
      <c r="T433" s="15"/>
      <c r="U433" s="44"/>
      <c r="V433" s="15">
        <f t="shared" si="34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5"/>
        <v>0</v>
      </c>
      <c r="AF433" s="101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7"/>
        <v>0</v>
      </c>
      <c r="BA433" s="15"/>
      <c r="BB433" s="44"/>
      <c r="BC433" s="15"/>
      <c r="BD433" s="44"/>
      <c r="BE433" s="15">
        <f t="shared" si="36"/>
        <v>0</v>
      </c>
    </row>
    <row r="434" spans="1:57" s="8" customFormat="1" ht="22.5" customHeight="1">
      <c r="A434" s="9"/>
      <c r="B434" s="16" t="s">
        <v>641</v>
      </c>
      <c r="C434" s="89" t="s">
        <v>48</v>
      </c>
      <c r="D434" s="56" t="s">
        <v>650</v>
      </c>
      <c r="E434" s="13" t="s">
        <v>649</v>
      </c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3"/>
        <v>0</v>
      </c>
      <c r="P434" s="12"/>
      <c r="Q434" s="42"/>
      <c r="R434" s="15"/>
      <c r="S434" s="44"/>
      <c r="T434" s="15"/>
      <c r="U434" s="44"/>
      <c r="V434" s="15">
        <f t="shared" si="34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5"/>
        <v>0</v>
      </c>
      <c r="AF434" s="101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7"/>
        <v>0</v>
      </c>
      <c r="BA434" s="15"/>
      <c r="BB434" s="44"/>
      <c r="BC434" s="15"/>
      <c r="BD434" s="44"/>
      <c r="BE434" s="15">
        <f t="shared" si="36"/>
        <v>0</v>
      </c>
    </row>
    <row r="435" spans="1:57" s="8" customFormat="1" ht="22.5" customHeight="1">
      <c r="A435" s="9"/>
      <c r="B435" s="16" t="s">
        <v>641</v>
      </c>
      <c r="C435" s="89" t="s">
        <v>48</v>
      </c>
      <c r="D435" s="56" t="s">
        <v>648</v>
      </c>
      <c r="E435" s="13" t="s">
        <v>651</v>
      </c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3"/>
        <v>0</v>
      </c>
      <c r="P435" s="12"/>
      <c r="Q435" s="42"/>
      <c r="R435" s="15"/>
      <c r="S435" s="44"/>
      <c r="T435" s="15"/>
      <c r="U435" s="44"/>
      <c r="V435" s="15">
        <f t="shared" si="34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5"/>
        <v>0</v>
      </c>
      <c r="AF435" s="101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7"/>
        <v>0</v>
      </c>
      <c r="BA435" s="15"/>
      <c r="BB435" s="44"/>
      <c r="BC435" s="15"/>
      <c r="BD435" s="44"/>
      <c r="BE435" s="15">
        <f t="shared" si="36"/>
        <v>0</v>
      </c>
    </row>
    <row r="436" spans="1:57" s="8" customFormat="1" ht="22.5" customHeight="1">
      <c r="A436" s="9"/>
      <c r="B436" s="16" t="s">
        <v>641</v>
      </c>
      <c r="C436" s="89" t="s">
        <v>48</v>
      </c>
      <c r="D436" s="56" t="s">
        <v>650</v>
      </c>
      <c r="E436" s="13" t="s">
        <v>651</v>
      </c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3"/>
        <v>0</v>
      </c>
      <c r="P436" s="12"/>
      <c r="Q436" s="42"/>
      <c r="R436" s="15"/>
      <c r="S436" s="44"/>
      <c r="T436" s="15"/>
      <c r="U436" s="44"/>
      <c r="V436" s="15">
        <f t="shared" si="34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5"/>
        <v>0</v>
      </c>
      <c r="AF436" s="101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7"/>
        <v>0</v>
      </c>
      <c r="BA436" s="15"/>
      <c r="BB436" s="44"/>
      <c r="BC436" s="15"/>
      <c r="BD436" s="44"/>
      <c r="BE436" s="15">
        <f t="shared" si="36"/>
        <v>0</v>
      </c>
    </row>
    <row r="437" spans="1:57" s="8" customFormat="1" ht="22.5" customHeight="1">
      <c r="A437" s="9"/>
      <c r="B437" s="16" t="s">
        <v>641</v>
      </c>
      <c r="C437" s="89" t="s">
        <v>652</v>
      </c>
      <c r="D437" s="61" t="s">
        <v>653</v>
      </c>
      <c r="E437" s="13"/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3"/>
        <v>0</v>
      </c>
      <c r="P437" s="12"/>
      <c r="Q437" s="42"/>
      <c r="R437" s="15"/>
      <c r="S437" s="44"/>
      <c r="T437" s="15"/>
      <c r="U437" s="44"/>
      <c r="V437" s="15">
        <f t="shared" si="34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5"/>
        <v>0</v>
      </c>
      <c r="AF437" s="101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7"/>
        <v>0</v>
      </c>
      <c r="BA437" s="15"/>
      <c r="BB437" s="44"/>
      <c r="BC437" s="15"/>
      <c r="BD437" s="44"/>
      <c r="BE437" s="15">
        <f t="shared" si="36"/>
        <v>0</v>
      </c>
    </row>
    <row r="438" spans="1:57" s="8" customFormat="1" ht="22.5" customHeight="1">
      <c r="A438" s="9"/>
      <c r="B438" s="16" t="s">
        <v>641</v>
      </c>
      <c r="C438" s="89" t="s">
        <v>652</v>
      </c>
      <c r="D438" s="61" t="s">
        <v>654</v>
      </c>
      <c r="E438" s="13"/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3"/>
        <v>0</v>
      </c>
      <c r="P438" s="12"/>
      <c r="Q438" s="42"/>
      <c r="R438" s="15"/>
      <c r="S438" s="44"/>
      <c r="T438" s="15"/>
      <c r="U438" s="44"/>
      <c r="V438" s="15">
        <f t="shared" si="34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5"/>
        <v>0</v>
      </c>
      <c r="AF438" s="101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7"/>
        <v>0</v>
      </c>
      <c r="BA438" s="15"/>
      <c r="BB438" s="44"/>
      <c r="BC438" s="15"/>
      <c r="BD438" s="44"/>
      <c r="BE438" s="15">
        <f t="shared" si="36"/>
        <v>0</v>
      </c>
    </row>
    <row r="439" spans="1:57" s="8" customFormat="1" ht="22.5" customHeight="1">
      <c r="A439" s="9"/>
      <c r="B439" s="16" t="s">
        <v>641</v>
      </c>
      <c r="C439" s="89" t="s">
        <v>652</v>
      </c>
      <c r="D439" s="61" t="s">
        <v>655</v>
      </c>
      <c r="E439" s="13"/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3"/>
        <v>0</v>
      </c>
      <c r="P439" s="12"/>
      <c r="Q439" s="42"/>
      <c r="R439" s="15"/>
      <c r="S439" s="44"/>
      <c r="T439" s="15"/>
      <c r="U439" s="44"/>
      <c r="V439" s="15">
        <f t="shared" si="34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5"/>
        <v>0</v>
      </c>
      <c r="AF439" s="101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7"/>
        <v>0</v>
      </c>
      <c r="BA439" s="15"/>
      <c r="BB439" s="44"/>
      <c r="BC439" s="15"/>
      <c r="BD439" s="44"/>
      <c r="BE439" s="15">
        <f t="shared" si="36"/>
        <v>0</v>
      </c>
    </row>
    <row r="440" spans="1:57" s="8" customFormat="1" ht="22.5" customHeight="1">
      <c r="A440" s="9"/>
      <c r="B440" s="16" t="s">
        <v>641</v>
      </c>
      <c r="C440" s="89" t="s">
        <v>52</v>
      </c>
      <c r="D440" s="61" t="s">
        <v>656</v>
      </c>
      <c r="E440" s="13" t="s">
        <v>657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3"/>
        <v>0</v>
      </c>
      <c r="P440" s="12"/>
      <c r="Q440" s="42"/>
      <c r="R440" s="15"/>
      <c r="S440" s="44"/>
      <c r="T440" s="15"/>
      <c r="U440" s="44"/>
      <c r="V440" s="15">
        <f t="shared" si="34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5"/>
        <v>0</v>
      </c>
      <c r="AF440" s="101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7"/>
        <v>0</v>
      </c>
      <c r="BA440" s="15"/>
      <c r="BB440" s="44"/>
      <c r="BC440" s="15"/>
      <c r="BD440" s="44"/>
      <c r="BE440" s="15">
        <f t="shared" si="36"/>
        <v>0</v>
      </c>
    </row>
    <row r="441" spans="1:57" s="8" customFormat="1" ht="22.5" customHeight="1">
      <c r="A441" s="9"/>
      <c r="B441" s="16" t="s">
        <v>641</v>
      </c>
      <c r="C441" s="89" t="s">
        <v>52</v>
      </c>
      <c r="D441" s="61" t="s">
        <v>656</v>
      </c>
      <c r="E441" s="13" t="s">
        <v>658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3"/>
        <v>0</v>
      </c>
      <c r="P441" s="12"/>
      <c r="Q441" s="42"/>
      <c r="R441" s="15"/>
      <c r="S441" s="44"/>
      <c r="T441" s="15"/>
      <c r="U441" s="44"/>
      <c r="V441" s="15">
        <f t="shared" si="34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5"/>
        <v>0</v>
      </c>
      <c r="AF441" s="101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7"/>
        <v>0</v>
      </c>
      <c r="BA441" s="15"/>
      <c r="BB441" s="44"/>
      <c r="BC441" s="15"/>
      <c r="BD441" s="44"/>
      <c r="BE441" s="15">
        <f t="shared" si="36"/>
        <v>0</v>
      </c>
    </row>
    <row r="442" spans="1:57" s="8" customFormat="1" ht="22.5" customHeight="1">
      <c r="A442" s="9"/>
      <c r="B442" s="16" t="s">
        <v>641</v>
      </c>
      <c r="C442" s="89" t="s">
        <v>52</v>
      </c>
      <c r="D442" s="61" t="s">
        <v>656</v>
      </c>
      <c r="E442" s="13" t="s">
        <v>659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3"/>
        <v>0</v>
      </c>
      <c r="P442" s="12"/>
      <c r="Q442" s="42"/>
      <c r="R442" s="15"/>
      <c r="S442" s="44"/>
      <c r="T442" s="15"/>
      <c r="U442" s="44"/>
      <c r="V442" s="15">
        <f t="shared" si="34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5"/>
        <v>0</v>
      </c>
      <c r="AF442" s="101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7"/>
        <v>0</v>
      </c>
      <c r="BA442" s="15"/>
      <c r="BB442" s="44"/>
      <c r="BC442" s="15"/>
      <c r="BD442" s="44"/>
      <c r="BE442" s="15">
        <f t="shared" si="36"/>
        <v>0</v>
      </c>
    </row>
    <row r="443" spans="1:57" s="8" customFormat="1" ht="22.5" customHeight="1">
      <c r="A443" s="9"/>
      <c r="B443" s="16" t="s">
        <v>641</v>
      </c>
      <c r="C443" s="89" t="s">
        <v>151</v>
      </c>
      <c r="D443" s="61" t="s">
        <v>660</v>
      </c>
      <c r="E443" s="13" t="s">
        <v>661</v>
      </c>
      <c r="F443" s="95"/>
      <c r="G443" s="9"/>
      <c r="H443" s="9" t="s">
        <v>247</v>
      </c>
      <c r="I443" s="14"/>
      <c r="J443" s="14"/>
      <c r="K443" s="12">
        <v>0</v>
      </c>
      <c r="L443" s="9"/>
      <c r="M443" s="9"/>
      <c r="N443" s="9"/>
      <c r="O443" s="38">
        <f t="shared" si="33"/>
        <v>0</v>
      </c>
      <c r="P443" s="12"/>
      <c r="Q443" s="42"/>
      <c r="R443" s="15"/>
      <c r="S443" s="44"/>
      <c r="T443" s="15"/>
      <c r="U443" s="44"/>
      <c r="V443" s="15">
        <f t="shared" si="34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5"/>
        <v>0</v>
      </c>
      <c r="AF443" s="101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7"/>
        <v>0</v>
      </c>
      <c r="BA443" s="15"/>
      <c r="BB443" s="44"/>
      <c r="BC443" s="15"/>
      <c r="BD443" s="44"/>
      <c r="BE443" s="15">
        <f t="shared" si="36"/>
        <v>0</v>
      </c>
    </row>
    <row r="444" spans="1:57" s="8" customFormat="1" ht="22.5" customHeight="1">
      <c r="A444" s="9"/>
      <c r="B444" s="16" t="s">
        <v>641</v>
      </c>
      <c r="C444" s="89" t="s">
        <v>151</v>
      </c>
      <c r="D444" s="56" t="s">
        <v>662</v>
      </c>
      <c r="E444" s="13" t="s">
        <v>663</v>
      </c>
      <c r="F444" s="95"/>
      <c r="G444" s="9"/>
      <c r="H444" s="9" t="s">
        <v>247</v>
      </c>
      <c r="I444" s="14"/>
      <c r="J444" s="14"/>
      <c r="K444" s="12">
        <v>0</v>
      </c>
      <c r="L444" s="9"/>
      <c r="M444" s="9"/>
      <c r="N444" s="9"/>
      <c r="O444" s="38">
        <f t="shared" si="33"/>
        <v>0</v>
      </c>
      <c r="P444" s="12"/>
      <c r="Q444" s="42"/>
      <c r="R444" s="15"/>
      <c r="S444" s="44"/>
      <c r="T444" s="15"/>
      <c r="U444" s="44"/>
      <c r="V444" s="15">
        <f t="shared" si="34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5"/>
        <v>0</v>
      </c>
      <c r="AF444" s="101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7"/>
        <v>0</v>
      </c>
      <c r="BA444" s="15"/>
      <c r="BB444" s="44"/>
      <c r="BC444" s="15"/>
      <c r="BD444" s="44"/>
      <c r="BE444" s="15">
        <f t="shared" si="36"/>
        <v>0</v>
      </c>
    </row>
    <row r="445" spans="1:57" s="8" customFormat="1" ht="22.5" customHeight="1">
      <c r="A445" s="9"/>
      <c r="B445" s="16" t="s">
        <v>641</v>
      </c>
      <c r="C445" s="89" t="s">
        <v>151</v>
      </c>
      <c r="D445" s="56" t="s">
        <v>664</v>
      </c>
      <c r="E445" s="13" t="s">
        <v>665</v>
      </c>
      <c r="F445" s="95"/>
      <c r="G445" s="9"/>
      <c r="H445" s="9" t="s">
        <v>247</v>
      </c>
      <c r="I445" s="14"/>
      <c r="J445" s="14"/>
      <c r="K445" s="12">
        <v>0</v>
      </c>
      <c r="L445" s="9"/>
      <c r="M445" s="9"/>
      <c r="N445" s="9"/>
      <c r="O445" s="38">
        <f t="shared" si="33"/>
        <v>0</v>
      </c>
      <c r="P445" s="12"/>
      <c r="Q445" s="42"/>
      <c r="R445" s="15"/>
      <c r="S445" s="44"/>
      <c r="T445" s="15"/>
      <c r="U445" s="44"/>
      <c r="V445" s="15">
        <f t="shared" si="34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5"/>
        <v>0</v>
      </c>
      <c r="AF445" s="101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7"/>
        <v>0</v>
      </c>
      <c r="BA445" s="15"/>
      <c r="BB445" s="44"/>
      <c r="BC445" s="15"/>
      <c r="BD445" s="44"/>
      <c r="BE445" s="15">
        <f t="shared" si="36"/>
        <v>0</v>
      </c>
    </row>
    <row r="446" spans="1:57" s="8" customFormat="1" ht="22.5" customHeight="1">
      <c r="A446" s="9"/>
      <c r="B446" s="16" t="s">
        <v>666</v>
      </c>
      <c r="C446" s="89" t="s">
        <v>151</v>
      </c>
      <c r="D446" s="56" t="s">
        <v>667</v>
      </c>
      <c r="E446" s="13" t="s">
        <v>668</v>
      </c>
      <c r="F446" s="95"/>
      <c r="G446" s="9"/>
      <c r="H446" s="9" t="s">
        <v>669</v>
      </c>
      <c r="I446" s="14"/>
      <c r="J446" s="14"/>
      <c r="K446" s="12">
        <v>0</v>
      </c>
      <c r="L446" s="9"/>
      <c r="M446" s="9"/>
      <c r="N446" s="9"/>
      <c r="O446" s="38">
        <f t="shared" si="33"/>
        <v>0</v>
      </c>
      <c r="P446" s="12"/>
      <c r="Q446" s="42"/>
      <c r="R446" s="15"/>
      <c r="S446" s="44"/>
      <c r="T446" s="15"/>
      <c r="U446" s="44"/>
      <c r="V446" s="15">
        <f t="shared" si="34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5"/>
        <v>0</v>
      </c>
      <c r="AF446" s="101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7"/>
        <v>0</v>
      </c>
      <c r="BA446" s="15"/>
      <c r="BB446" s="44"/>
      <c r="BC446" s="15"/>
      <c r="BD446" s="44"/>
      <c r="BE446" s="15">
        <f t="shared" si="36"/>
        <v>0</v>
      </c>
    </row>
    <row r="447" spans="1:57" s="8" customFormat="1" ht="22.5" customHeight="1">
      <c r="A447" s="9"/>
      <c r="B447" s="16" t="s">
        <v>666</v>
      </c>
      <c r="C447" s="89" t="s">
        <v>151</v>
      </c>
      <c r="D447" s="56" t="s">
        <v>670</v>
      </c>
      <c r="E447" s="13" t="s">
        <v>671</v>
      </c>
      <c r="F447" s="95"/>
      <c r="G447" s="9"/>
      <c r="H447" s="9" t="s">
        <v>669</v>
      </c>
      <c r="I447" s="14"/>
      <c r="J447" s="14"/>
      <c r="K447" s="12">
        <v>0</v>
      </c>
      <c r="L447" s="9"/>
      <c r="M447" s="9"/>
      <c r="N447" s="9"/>
      <c r="O447" s="38">
        <f t="shared" si="33"/>
        <v>0</v>
      </c>
      <c r="P447" s="12"/>
      <c r="Q447" s="42"/>
      <c r="R447" s="15"/>
      <c r="S447" s="44"/>
      <c r="T447" s="15"/>
      <c r="U447" s="44"/>
      <c r="V447" s="15">
        <f t="shared" si="34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5"/>
        <v>0</v>
      </c>
      <c r="AF447" s="101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7"/>
        <v>0</v>
      </c>
      <c r="BA447" s="15"/>
      <c r="BB447" s="44"/>
      <c r="BC447" s="15"/>
      <c r="BD447" s="44"/>
      <c r="BE447" s="15">
        <f t="shared" si="36"/>
        <v>0</v>
      </c>
    </row>
    <row r="448" spans="1:57" s="8" customFormat="1" ht="22.5" customHeight="1">
      <c r="A448" s="9"/>
      <c r="B448" s="16" t="s">
        <v>666</v>
      </c>
      <c r="C448" s="89" t="s">
        <v>151</v>
      </c>
      <c r="D448" s="56" t="s">
        <v>672</v>
      </c>
      <c r="E448" s="13" t="s">
        <v>673</v>
      </c>
      <c r="F448" s="95"/>
      <c r="G448" s="9"/>
      <c r="H448" s="9" t="s">
        <v>669</v>
      </c>
      <c r="I448" s="14"/>
      <c r="J448" s="14"/>
      <c r="K448" s="12">
        <v>0</v>
      </c>
      <c r="L448" s="9"/>
      <c r="M448" s="9"/>
      <c r="N448" s="9"/>
      <c r="O448" s="38">
        <f t="shared" si="33"/>
        <v>0</v>
      </c>
      <c r="P448" s="12"/>
      <c r="Q448" s="42"/>
      <c r="R448" s="15"/>
      <c r="S448" s="44"/>
      <c r="T448" s="15"/>
      <c r="U448" s="44"/>
      <c r="V448" s="15">
        <f t="shared" si="34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5"/>
        <v>0</v>
      </c>
      <c r="AF448" s="101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7"/>
        <v>0</v>
      </c>
      <c r="BA448" s="15"/>
      <c r="BB448" s="44"/>
      <c r="BC448" s="15"/>
      <c r="BD448" s="44"/>
      <c r="BE448" s="15">
        <f t="shared" si="36"/>
        <v>0</v>
      </c>
    </row>
    <row r="449" spans="1:57" s="8" customFormat="1" ht="22.5" customHeight="1">
      <c r="A449" s="9"/>
      <c r="B449" s="16" t="s">
        <v>674</v>
      </c>
      <c r="C449" s="89" t="s">
        <v>44</v>
      </c>
      <c r="D449" s="56" t="s">
        <v>675</v>
      </c>
      <c r="E449" s="13" t="s">
        <v>676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3"/>
        <v>0</v>
      </c>
      <c r="P449" s="12"/>
      <c r="Q449" s="42"/>
      <c r="R449" s="15"/>
      <c r="S449" s="44"/>
      <c r="T449" s="15"/>
      <c r="U449" s="44"/>
      <c r="V449" s="15">
        <f t="shared" si="34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5"/>
        <v>0</v>
      </c>
      <c r="AF449" s="101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7"/>
        <v>0</v>
      </c>
      <c r="BA449" s="15"/>
      <c r="BB449" s="44"/>
      <c r="BC449" s="15"/>
      <c r="BD449" s="44"/>
      <c r="BE449" s="15">
        <f t="shared" si="36"/>
        <v>0</v>
      </c>
    </row>
    <row r="450" spans="1:57" s="8" customFormat="1" ht="22.5" customHeight="1">
      <c r="A450" s="9"/>
      <c r="B450" s="16" t="s">
        <v>674</v>
      </c>
      <c r="C450" s="89" t="s">
        <v>44</v>
      </c>
      <c r="D450" s="59" t="s">
        <v>678</v>
      </c>
      <c r="E450" s="13" t="s">
        <v>679</v>
      </c>
      <c r="F450" s="95"/>
      <c r="G450" s="9"/>
      <c r="H450" s="9" t="s">
        <v>677</v>
      </c>
      <c r="I450" s="14"/>
      <c r="J450" s="14"/>
      <c r="K450" s="12">
        <v>0</v>
      </c>
      <c r="L450" s="9"/>
      <c r="M450" s="9"/>
      <c r="N450" s="9"/>
      <c r="O450" s="38">
        <f t="shared" si="33"/>
        <v>0</v>
      </c>
      <c r="P450" s="12"/>
      <c r="Q450" s="42"/>
      <c r="R450" s="15"/>
      <c r="S450" s="44"/>
      <c r="T450" s="15"/>
      <c r="U450" s="44"/>
      <c r="V450" s="15">
        <f t="shared" si="34"/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si="35"/>
        <v>0</v>
      </c>
      <c r="AF450" s="101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7"/>
        <v>0</v>
      </c>
      <c r="BA450" s="15"/>
      <c r="BB450" s="44"/>
      <c r="BC450" s="15"/>
      <c r="BD450" s="44"/>
      <c r="BE450" s="15">
        <f t="shared" si="36"/>
        <v>0</v>
      </c>
    </row>
    <row r="451" spans="1:57" s="8" customFormat="1" ht="22.5" customHeight="1">
      <c r="A451" s="9"/>
      <c r="B451" s="16" t="s">
        <v>674</v>
      </c>
      <c r="C451" s="89" t="s">
        <v>48</v>
      </c>
      <c r="D451" s="56" t="s">
        <v>675</v>
      </c>
      <c r="E451" s="13" t="s">
        <v>680</v>
      </c>
      <c r="F451" s="95"/>
      <c r="G451" s="9"/>
      <c r="H451" s="9" t="s">
        <v>677</v>
      </c>
      <c r="I451" s="14"/>
      <c r="J451" s="14"/>
      <c r="K451" s="12">
        <v>0</v>
      </c>
      <c r="L451" s="9"/>
      <c r="M451" s="9"/>
      <c r="N451" s="9"/>
      <c r="O451" s="38">
        <f t="shared" si="33"/>
        <v>0</v>
      </c>
      <c r="P451" s="12"/>
      <c r="Q451" s="42"/>
      <c r="R451" s="15"/>
      <c r="S451" s="44"/>
      <c r="T451" s="15"/>
      <c r="U451" s="44"/>
      <c r="V451" s="15">
        <f t="shared" si="34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5"/>
        <v>0</v>
      </c>
      <c r="AF451" s="101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si="37"/>
        <v>0</v>
      </c>
      <c r="BA451" s="15"/>
      <c r="BB451" s="44"/>
      <c r="BC451" s="15"/>
      <c r="BD451" s="44"/>
      <c r="BE451" s="15">
        <f t="shared" si="36"/>
        <v>0</v>
      </c>
    </row>
    <row r="452" spans="1:57" s="8" customFormat="1" ht="22.5" customHeight="1">
      <c r="A452" s="9"/>
      <c r="B452" s="16" t="s">
        <v>674</v>
      </c>
      <c r="C452" s="89" t="s">
        <v>48</v>
      </c>
      <c r="D452" s="59" t="s">
        <v>678</v>
      </c>
      <c r="E452" s="13" t="s">
        <v>681</v>
      </c>
      <c r="F452" s="95"/>
      <c r="G452" s="9"/>
      <c r="H452" s="9" t="s">
        <v>677</v>
      </c>
      <c r="I452" s="14"/>
      <c r="J452" s="14"/>
      <c r="K452" s="12">
        <v>0</v>
      </c>
      <c r="L452" s="9"/>
      <c r="M452" s="9"/>
      <c r="N452" s="9"/>
      <c r="O452" s="38">
        <f t="shared" ref="O452:O515" si="38">K452+V452-AE452-AZ452</f>
        <v>0</v>
      </c>
      <c r="P452" s="12"/>
      <c r="Q452" s="42"/>
      <c r="R452" s="15"/>
      <c r="S452" s="44"/>
      <c r="T452" s="15"/>
      <c r="U452" s="44"/>
      <c r="V452" s="15">
        <f t="shared" ref="V452:V515" si="39">P452+R452+T452</f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ref="AE452:AE515" si="40">(W452+Y452+AA452+AC452)</f>
        <v>0</v>
      </c>
      <c r="AF452" s="101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37"/>
        <v>0</v>
      </c>
      <c r="BA452" s="15"/>
      <c r="BB452" s="44"/>
      <c r="BC452" s="15"/>
      <c r="BD452" s="44"/>
      <c r="BE452" s="15">
        <f t="shared" si="36"/>
        <v>0</v>
      </c>
    </row>
    <row r="453" spans="1:57" s="8" customFormat="1" ht="22.5" customHeight="1">
      <c r="A453" s="9"/>
      <c r="B453" s="16" t="s">
        <v>674</v>
      </c>
      <c r="C453" s="89" t="s">
        <v>50</v>
      </c>
      <c r="D453" s="59" t="s">
        <v>682</v>
      </c>
      <c r="E453" s="13" t="s">
        <v>683</v>
      </c>
      <c r="F453" s="95"/>
      <c r="G453" s="9"/>
      <c r="H453" s="9" t="s">
        <v>684</v>
      </c>
      <c r="I453" s="14"/>
      <c r="J453" s="14"/>
      <c r="K453" s="12">
        <v>0</v>
      </c>
      <c r="L453" s="9"/>
      <c r="M453" s="9"/>
      <c r="N453" s="9"/>
      <c r="O453" s="38">
        <f t="shared" si="38"/>
        <v>0</v>
      </c>
      <c r="P453" s="12"/>
      <c r="Q453" s="42"/>
      <c r="R453" s="15"/>
      <c r="S453" s="44"/>
      <c r="T453" s="15"/>
      <c r="U453" s="44"/>
      <c r="V453" s="15">
        <f t="shared" si="39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40"/>
        <v>0</v>
      </c>
      <c r="AF453" s="101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37"/>
        <v>0</v>
      </c>
      <c r="BA453" s="15"/>
      <c r="BB453" s="44"/>
      <c r="BC453" s="15"/>
      <c r="BD453" s="44"/>
      <c r="BE453" s="15">
        <f t="shared" si="36"/>
        <v>0</v>
      </c>
    </row>
    <row r="454" spans="1:57" s="8" customFormat="1" ht="22.5" customHeight="1">
      <c r="A454" s="9"/>
      <c r="B454" s="16" t="s">
        <v>674</v>
      </c>
      <c r="C454" s="89" t="s">
        <v>50</v>
      </c>
      <c r="D454" s="56" t="s">
        <v>685</v>
      </c>
      <c r="E454" s="13" t="s">
        <v>686</v>
      </c>
      <c r="F454" s="95"/>
      <c r="G454" s="9"/>
      <c r="H454" s="9" t="s">
        <v>684</v>
      </c>
      <c r="I454" s="14"/>
      <c r="J454" s="14"/>
      <c r="K454" s="12">
        <v>0</v>
      </c>
      <c r="L454" s="9"/>
      <c r="M454" s="9"/>
      <c r="N454" s="9"/>
      <c r="O454" s="38">
        <f t="shared" si="38"/>
        <v>0</v>
      </c>
      <c r="P454" s="12"/>
      <c r="Q454" s="42"/>
      <c r="R454" s="15"/>
      <c r="S454" s="44"/>
      <c r="T454" s="15"/>
      <c r="U454" s="44"/>
      <c r="V454" s="15">
        <f t="shared" si="39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40"/>
        <v>0</v>
      </c>
      <c r="AF454" s="101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37"/>
        <v>0</v>
      </c>
      <c r="BA454" s="15"/>
      <c r="BB454" s="44"/>
      <c r="BC454" s="15"/>
      <c r="BD454" s="44"/>
      <c r="BE454" s="15">
        <f t="shared" si="36"/>
        <v>0</v>
      </c>
    </row>
    <row r="455" spans="1:57" s="8" customFormat="1" ht="22.5" customHeight="1">
      <c r="A455" s="9"/>
      <c r="B455" s="16" t="s">
        <v>674</v>
      </c>
      <c r="C455" s="89" t="s">
        <v>52</v>
      </c>
      <c r="D455" s="56" t="s">
        <v>675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8"/>
        <v>0</v>
      </c>
      <c r="P455" s="12"/>
      <c r="Q455" s="42"/>
      <c r="R455" s="15"/>
      <c r="S455" s="44"/>
      <c r="T455" s="15"/>
      <c r="U455" s="44"/>
      <c r="V455" s="15">
        <f t="shared" si="39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40"/>
        <v>0</v>
      </c>
      <c r="AF455" s="101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37"/>
        <v>0</v>
      </c>
      <c r="BA455" s="15"/>
      <c r="BB455" s="44"/>
      <c r="BC455" s="15"/>
      <c r="BD455" s="44"/>
      <c r="BE455" s="15">
        <f t="shared" si="36"/>
        <v>0</v>
      </c>
    </row>
    <row r="456" spans="1:57" s="8" customFormat="1" ht="22.5" customHeight="1">
      <c r="A456" s="9"/>
      <c r="B456" s="16" t="s">
        <v>674</v>
      </c>
      <c r="C456" s="89" t="s">
        <v>494</v>
      </c>
      <c r="D456" s="56" t="s">
        <v>675</v>
      </c>
      <c r="E456" s="13"/>
      <c r="F456" s="95"/>
      <c r="G456" s="9"/>
      <c r="H456" s="9" t="s">
        <v>687</v>
      </c>
      <c r="I456" s="14"/>
      <c r="J456" s="14"/>
      <c r="K456" s="12">
        <v>0</v>
      </c>
      <c r="L456" s="9"/>
      <c r="M456" s="9"/>
      <c r="N456" s="9"/>
      <c r="O456" s="38">
        <f t="shared" si="38"/>
        <v>0</v>
      </c>
      <c r="P456" s="12"/>
      <c r="Q456" s="42"/>
      <c r="R456" s="15"/>
      <c r="S456" s="44"/>
      <c r="T456" s="15"/>
      <c r="U456" s="44"/>
      <c r="V456" s="15">
        <f t="shared" si="39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40"/>
        <v>0</v>
      </c>
      <c r="AF456" s="101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37"/>
        <v>0</v>
      </c>
      <c r="BA456" s="15"/>
      <c r="BB456" s="44"/>
      <c r="BC456" s="15"/>
      <c r="BD456" s="44"/>
      <c r="BE456" s="15">
        <f t="shared" si="36"/>
        <v>0</v>
      </c>
    </row>
    <row r="457" spans="1:57" s="8" customFormat="1" ht="22.5" customHeight="1">
      <c r="A457" s="9"/>
      <c r="B457" s="16" t="s">
        <v>674</v>
      </c>
      <c r="C457" s="89" t="s">
        <v>494</v>
      </c>
      <c r="D457" s="59" t="s">
        <v>688</v>
      </c>
      <c r="E457" s="13"/>
      <c r="F457" s="95"/>
      <c r="G457" s="9"/>
      <c r="H457" s="9" t="s">
        <v>687</v>
      </c>
      <c r="I457" s="14"/>
      <c r="J457" s="14"/>
      <c r="K457" s="12">
        <v>0</v>
      </c>
      <c r="L457" s="9"/>
      <c r="M457" s="9"/>
      <c r="N457" s="9"/>
      <c r="O457" s="38">
        <f t="shared" si="38"/>
        <v>0</v>
      </c>
      <c r="P457" s="12"/>
      <c r="Q457" s="42"/>
      <c r="R457" s="15"/>
      <c r="S457" s="44"/>
      <c r="T457" s="15"/>
      <c r="U457" s="44"/>
      <c r="V457" s="15">
        <f t="shared" si="39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40"/>
        <v>0</v>
      </c>
      <c r="AF457" s="101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37"/>
        <v>0</v>
      </c>
      <c r="BA457" s="15"/>
      <c r="BB457" s="44"/>
      <c r="BC457" s="15"/>
      <c r="BD457" s="44"/>
      <c r="BE457" s="15">
        <f t="shared" si="36"/>
        <v>0</v>
      </c>
    </row>
    <row r="458" spans="1:57" s="8" customFormat="1" ht="22.5" customHeight="1">
      <c r="A458" s="9"/>
      <c r="B458" s="16" t="s">
        <v>674</v>
      </c>
      <c r="C458" s="89" t="s">
        <v>151</v>
      </c>
      <c r="D458" s="59" t="s">
        <v>689</v>
      </c>
      <c r="E458" s="13"/>
      <c r="F458" s="95"/>
      <c r="G458" s="9"/>
      <c r="H458" s="9" t="s">
        <v>687</v>
      </c>
      <c r="I458" s="14"/>
      <c r="J458" s="14"/>
      <c r="K458" s="12">
        <v>0</v>
      </c>
      <c r="L458" s="9"/>
      <c r="M458" s="9"/>
      <c r="N458" s="9"/>
      <c r="O458" s="38">
        <f t="shared" si="38"/>
        <v>0</v>
      </c>
      <c r="P458" s="12"/>
      <c r="Q458" s="42"/>
      <c r="R458" s="15"/>
      <c r="S458" s="44"/>
      <c r="T458" s="15"/>
      <c r="U458" s="44"/>
      <c r="V458" s="15">
        <f t="shared" si="39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40"/>
        <v>0</v>
      </c>
      <c r="AF458" s="101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37"/>
        <v>0</v>
      </c>
      <c r="BA458" s="15"/>
      <c r="BB458" s="44"/>
      <c r="BC458" s="15"/>
      <c r="BD458" s="44"/>
      <c r="BE458" s="15">
        <f t="shared" si="36"/>
        <v>0</v>
      </c>
    </row>
    <row r="459" spans="1:57" s="8" customFormat="1" ht="22.5" customHeight="1">
      <c r="A459" s="9"/>
      <c r="B459" s="16" t="s">
        <v>674</v>
      </c>
      <c r="C459" s="89" t="s">
        <v>151</v>
      </c>
      <c r="D459" s="59" t="s">
        <v>690</v>
      </c>
      <c r="E459" s="13" t="s">
        <v>691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8"/>
        <v>0</v>
      </c>
      <c r="P459" s="12"/>
      <c r="Q459" s="42"/>
      <c r="R459" s="15"/>
      <c r="S459" s="44"/>
      <c r="T459" s="15"/>
      <c r="U459" s="44"/>
      <c r="V459" s="15">
        <f t="shared" si="39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40"/>
        <v>0</v>
      </c>
      <c r="AF459" s="101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37"/>
        <v>0</v>
      </c>
      <c r="BA459" s="15"/>
      <c r="BB459" s="44"/>
      <c r="BC459" s="15"/>
      <c r="BD459" s="44"/>
      <c r="BE459" s="15">
        <f t="shared" si="36"/>
        <v>0</v>
      </c>
    </row>
    <row r="460" spans="1:57" s="8" customFormat="1" ht="22.5" customHeight="1">
      <c r="A460" s="9"/>
      <c r="B460" s="16" t="s">
        <v>674</v>
      </c>
      <c r="C460" s="89" t="s">
        <v>151</v>
      </c>
      <c r="D460" s="59" t="s">
        <v>693</v>
      </c>
      <c r="E460" s="13" t="s">
        <v>694</v>
      </c>
      <c r="F460" s="95"/>
      <c r="G460" s="9"/>
      <c r="H460" s="9" t="s">
        <v>692</v>
      </c>
      <c r="I460" s="14"/>
      <c r="J460" s="14"/>
      <c r="K460" s="12">
        <v>0</v>
      </c>
      <c r="L460" s="9"/>
      <c r="M460" s="9"/>
      <c r="N460" s="9"/>
      <c r="O460" s="38">
        <f t="shared" si="38"/>
        <v>0</v>
      </c>
      <c r="P460" s="12"/>
      <c r="Q460" s="42"/>
      <c r="R460" s="15"/>
      <c r="S460" s="44"/>
      <c r="T460" s="15"/>
      <c r="U460" s="44"/>
      <c r="V460" s="15">
        <f t="shared" si="39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40"/>
        <v>0</v>
      </c>
      <c r="AF460" s="101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37"/>
        <v>0</v>
      </c>
      <c r="BA460" s="15"/>
      <c r="BB460" s="44"/>
      <c r="BC460" s="15"/>
      <c r="BD460" s="44"/>
      <c r="BE460" s="15">
        <f t="shared" si="36"/>
        <v>0</v>
      </c>
    </row>
    <row r="461" spans="1:57" s="8" customFormat="1" ht="22.5" customHeight="1">
      <c r="A461" s="9"/>
      <c r="B461" s="16" t="s">
        <v>674</v>
      </c>
      <c r="C461" s="89" t="s">
        <v>151</v>
      </c>
      <c r="D461" s="59" t="s">
        <v>695</v>
      </c>
      <c r="E461" s="13" t="s">
        <v>696</v>
      </c>
      <c r="F461" s="95"/>
      <c r="G461" s="9"/>
      <c r="H461" s="9" t="s">
        <v>692</v>
      </c>
      <c r="I461" s="14"/>
      <c r="J461" s="14"/>
      <c r="K461" s="12">
        <v>0</v>
      </c>
      <c r="L461" s="9"/>
      <c r="M461" s="9"/>
      <c r="N461" s="9"/>
      <c r="O461" s="38">
        <f t="shared" si="38"/>
        <v>0</v>
      </c>
      <c r="P461" s="12"/>
      <c r="Q461" s="42"/>
      <c r="R461" s="15"/>
      <c r="S461" s="44"/>
      <c r="T461" s="15"/>
      <c r="U461" s="44"/>
      <c r="V461" s="15">
        <f t="shared" si="39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40"/>
        <v>0</v>
      </c>
      <c r="AF461" s="101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37"/>
        <v>0</v>
      </c>
      <c r="BA461" s="15"/>
      <c r="BB461" s="44"/>
      <c r="BC461" s="15"/>
      <c r="BD461" s="44"/>
      <c r="BE461" s="15">
        <f t="shared" si="36"/>
        <v>0</v>
      </c>
    </row>
    <row r="462" spans="1:57" s="8" customFormat="1" ht="22.5" customHeight="1">
      <c r="A462" s="9"/>
      <c r="B462" s="16" t="s">
        <v>674</v>
      </c>
      <c r="C462" s="89" t="s">
        <v>151</v>
      </c>
      <c r="D462" s="59" t="s">
        <v>697</v>
      </c>
      <c r="E462" s="13" t="s">
        <v>698</v>
      </c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8"/>
        <v>0</v>
      </c>
      <c r="P462" s="12"/>
      <c r="Q462" s="42"/>
      <c r="R462" s="15"/>
      <c r="S462" s="44"/>
      <c r="T462" s="15"/>
      <c r="U462" s="44"/>
      <c r="V462" s="15">
        <f t="shared" si="39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40"/>
        <v>0</v>
      </c>
      <c r="AF462" s="101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37"/>
        <v>0</v>
      </c>
      <c r="BA462" s="15"/>
      <c r="BB462" s="44"/>
      <c r="BC462" s="15"/>
      <c r="BD462" s="44"/>
      <c r="BE462" s="15">
        <f t="shared" si="36"/>
        <v>0</v>
      </c>
    </row>
    <row r="463" spans="1:57" s="8" customFormat="1" ht="22.5" customHeight="1">
      <c r="A463" s="9"/>
      <c r="B463" s="16" t="s">
        <v>674</v>
      </c>
      <c r="C463" s="89" t="s">
        <v>151</v>
      </c>
      <c r="D463" s="59" t="s">
        <v>699</v>
      </c>
      <c r="E463" s="13"/>
      <c r="F463" s="95"/>
      <c r="G463" s="9"/>
      <c r="H463" s="9" t="s">
        <v>687</v>
      </c>
      <c r="I463" s="14"/>
      <c r="J463" s="14"/>
      <c r="K463" s="12">
        <v>0</v>
      </c>
      <c r="L463" s="9"/>
      <c r="M463" s="9"/>
      <c r="N463" s="9"/>
      <c r="O463" s="38">
        <f t="shared" si="38"/>
        <v>0</v>
      </c>
      <c r="P463" s="12"/>
      <c r="Q463" s="42"/>
      <c r="R463" s="15"/>
      <c r="S463" s="44"/>
      <c r="T463" s="15"/>
      <c r="U463" s="44"/>
      <c r="V463" s="15">
        <f t="shared" si="39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40"/>
        <v>0</v>
      </c>
      <c r="AF463" s="101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37"/>
        <v>0</v>
      </c>
      <c r="BA463" s="15"/>
      <c r="BB463" s="44"/>
      <c r="BC463" s="15"/>
      <c r="BD463" s="44"/>
      <c r="BE463" s="15">
        <f t="shared" si="36"/>
        <v>0</v>
      </c>
    </row>
    <row r="464" spans="1:57" s="8" customFormat="1" ht="22.5" customHeight="1">
      <c r="A464" s="9"/>
      <c r="B464" s="16" t="s">
        <v>674</v>
      </c>
      <c r="C464" s="89" t="s">
        <v>151</v>
      </c>
      <c r="D464" s="59" t="s">
        <v>700</v>
      </c>
      <c r="E464" s="13"/>
      <c r="F464" s="95"/>
      <c r="G464" s="9"/>
      <c r="H464" s="9" t="s">
        <v>687</v>
      </c>
      <c r="I464" s="14"/>
      <c r="J464" s="14"/>
      <c r="K464" s="12">
        <v>0</v>
      </c>
      <c r="L464" s="9"/>
      <c r="M464" s="9"/>
      <c r="N464" s="9"/>
      <c r="O464" s="38">
        <f t="shared" si="38"/>
        <v>0</v>
      </c>
      <c r="P464" s="12"/>
      <c r="Q464" s="42"/>
      <c r="R464" s="15"/>
      <c r="S464" s="44"/>
      <c r="T464" s="15"/>
      <c r="U464" s="44"/>
      <c r="V464" s="15">
        <f t="shared" si="39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40"/>
        <v>0</v>
      </c>
      <c r="AF464" s="101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37"/>
        <v>0</v>
      </c>
      <c r="BA464" s="15"/>
      <c r="BB464" s="44"/>
      <c r="BC464" s="15"/>
      <c r="BD464" s="44"/>
      <c r="BE464" s="15">
        <f t="shared" si="36"/>
        <v>0</v>
      </c>
    </row>
    <row r="465" spans="1:57" s="8" customFormat="1" ht="22.5" customHeight="1">
      <c r="A465" s="9"/>
      <c r="B465" s="16" t="s">
        <v>674</v>
      </c>
      <c r="C465" s="89" t="s">
        <v>151</v>
      </c>
      <c r="D465" s="59" t="s">
        <v>701</v>
      </c>
      <c r="E465" s="13"/>
      <c r="F465" s="95"/>
      <c r="G465" s="9"/>
      <c r="H465" s="9" t="s">
        <v>692</v>
      </c>
      <c r="I465" s="14"/>
      <c r="J465" s="14"/>
      <c r="K465" s="12">
        <v>0</v>
      </c>
      <c r="L465" s="9"/>
      <c r="M465" s="9"/>
      <c r="N465" s="9"/>
      <c r="O465" s="38">
        <f t="shared" si="38"/>
        <v>0</v>
      </c>
      <c r="P465" s="12"/>
      <c r="Q465" s="42"/>
      <c r="R465" s="15"/>
      <c r="S465" s="44"/>
      <c r="T465" s="15"/>
      <c r="U465" s="44"/>
      <c r="V465" s="15">
        <f t="shared" si="39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40"/>
        <v>0</v>
      </c>
      <c r="AF465" s="101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37"/>
        <v>0</v>
      </c>
      <c r="BA465" s="15"/>
      <c r="BB465" s="44"/>
      <c r="BC465" s="15"/>
      <c r="BD465" s="44"/>
      <c r="BE465" s="15">
        <f t="shared" si="36"/>
        <v>0</v>
      </c>
    </row>
    <row r="466" spans="1:57" s="8" customFormat="1" ht="22.5" customHeight="1">
      <c r="A466" s="9"/>
      <c r="B466" s="16" t="s">
        <v>674</v>
      </c>
      <c r="C466" s="89" t="s">
        <v>151</v>
      </c>
      <c r="D466" s="59" t="s">
        <v>702</v>
      </c>
      <c r="E466" s="13" t="s">
        <v>703</v>
      </c>
      <c r="F466" s="95"/>
      <c r="G466" s="9"/>
      <c r="H466" s="9" t="s">
        <v>684</v>
      </c>
      <c r="I466" s="14"/>
      <c r="J466" s="14"/>
      <c r="K466" s="12">
        <v>0</v>
      </c>
      <c r="L466" s="9"/>
      <c r="M466" s="9"/>
      <c r="N466" s="9"/>
      <c r="O466" s="38">
        <f t="shared" si="38"/>
        <v>0</v>
      </c>
      <c r="P466" s="12"/>
      <c r="Q466" s="42"/>
      <c r="R466" s="15"/>
      <c r="S466" s="44"/>
      <c r="T466" s="15"/>
      <c r="U466" s="44"/>
      <c r="V466" s="15">
        <f t="shared" si="39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40"/>
        <v>0</v>
      </c>
      <c r="AF466" s="101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37"/>
        <v>0</v>
      </c>
      <c r="BA466" s="15"/>
      <c r="BB466" s="44"/>
      <c r="BC466" s="15"/>
      <c r="BD466" s="44"/>
      <c r="BE466" s="15">
        <f t="shared" si="36"/>
        <v>0</v>
      </c>
    </row>
    <row r="467" spans="1:57" s="8" customFormat="1" ht="22.5" customHeight="1">
      <c r="A467" s="9"/>
      <c r="B467" s="16" t="s">
        <v>704</v>
      </c>
      <c r="C467" s="89" t="s">
        <v>52</v>
      </c>
      <c r="D467" s="56" t="s">
        <v>705</v>
      </c>
      <c r="E467" s="13" t="s">
        <v>706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8"/>
        <v>0</v>
      </c>
      <c r="P467" s="12"/>
      <c r="Q467" s="42"/>
      <c r="R467" s="15"/>
      <c r="S467" s="44"/>
      <c r="T467" s="15"/>
      <c r="U467" s="44"/>
      <c r="V467" s="15">
        <f t="shared" si="39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40"/>
        <v>0</v>
      </c>
      <c r="AF467" s="101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37"/>
        <v>0</v>
      </c>
      <c r="BA467" s="15"/>
      <c r="BB467" s="44"/>
      <c r="BC467" s="15"/>
      <c r="BD467" s="44"/>
      <c r="BE467" s="15">
        <f t="shared" si="36"/>
        <v>0</v>
      </c>
    </row>
    <row r="468" spans="1:57" s="8" customFormat="1" ht="22.5" customHeight="1">
      <c r="A468" s="9"/>
      <c r="B468" s="16" t="s">
        <v>704</v>
      </c>
      <c r="C468" s="89" t="s">
        <v>52</v>
      </c>
      <c r="D468" s="59" t="s">
        <v>707</v>
      </c>
      <c r="E468" s="13" t="s">
        <v>708</v>
      </c>
      <c r="F468" s="95"/>
      <c r="G468" s="9"/>
      <c r="H468" s="9" t="s">
        <v>247</v>
      </c>
      <c r="I468" s="14"/>
      <c r="J468" s="14"/>
      <c r="K468" s="12">
        <v>0</v>
      </c>
      <c r="L468" s="9"/>
      <c r="M468" s="9"/>
      <c r="N468" s="9"/>
      <c r="O468" s="38">
        <f t="shared" si="38"/>
        <v>0</v>
      </c>
      <c r="P468" s="12"/>
      <c r="Q468" s="42"/>
      <c r="R468" s="15"/>
      <c r="S468" s="44"/>
      <c r="T468" s="15"/>
      <c r="U468" s="44"/>
      <c r="V468" s="15">
        <f t="shared" si="39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40"/>
        <v>0</v>
      </c>
      <c r="AF468" s="101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37"/>
        <v>0</v>
      </c>
      <c r="BA468" s="15"/>
      <c r="BB468" s="44"/>
      <c r="BC468" s="15"/>
      <c r="BD468" s="44"/>
      <c r="BE468" s="15">
        <f t="shared" si="36"/>
        <v>0</v>
      </c>
    </row>
    <row r="469" spans="1:57" s="8" customFormat="1" ht="22.5" customHeight="1">
      <c r="A469" s="9"/>
      <c r="B469" s="16" t="s">
        <v>704</v>
      </c>
      <c r="C469" s="89" t="s">
        <v>52</v>
      </c>
      <c r="D469" s="61" t="s">
        <v>709</v>
      </c>
      <c r="E469" s="13" t="s">
        <v>710</v>
      </c>
      <c r="F469" s="95"/>
      <c r="G469" s="9"/>
      <c r="H469" s="9" t="s">
        <v>247</v>
      </c>
      <c r="I469" s="14"/>
      <c r="J469" s="14"/>
      <c r="K469" s="12">
        <v>0</v>
      </c>
      <c r="L469" s="9"/>
      <c r="M469" s="9"/>
      <c r="N469" s="9"/>
      <c r="O469" s="38">
        <f t="shared" si="38"/>
        <v>0</v>
      </c>
      <c r="P469" s="12"/>
      <c r="Q469" s="42"/>
      <c r="R469" s="15"/>
      <c r="S469" s="44"/>
      <c r="T469" s="15"/>
      <c r="U469" s="44"/>
      <c r="V469" s="15">
        <f t="shared" si="39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40"/>
        <v>0</v>
      </c>
      <c r="AF469" s="101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37"/>
        <v>0</v>
      </c>
      <c r="BA469" s="15"/>
      <c r="BB469" s="44"/>
      <c r="BC469" s="15"/>
      <c r="BD469" s="44"/>
      <c r="BE469" s="15">
        <f t="shared" si="36"/>
        <v>0</v>
      </c>
    </row>
    <row r="470" spans="1:57" s="8" customFormat="1" ht="22.5" customHeight="1">
      <c r="A470" s="9"/>
      <c r="B470" s="16" t="s">
        <v>704</v>
      </c>
      <c r="C470" s="89" t="s">
        <v>151</v>
      </c>
      <c r="D470" s="61" t="s">
        <v>711</v>
      </c>
      <c r="E470" s="13" t="s">
        <v>712</v>
      </c>
      <c r="F470" s="95"/>
      <c r="G470" s="9"/>
      <c r="H470" s="9" t="s">
        <v>247</v>
      </c>
      <c r="I470" s="14"/>
      <c r="J470" s="14"/>
      <c r="K470" s="12">
        <v>0</v>
      </c>
      <c r="L470" s="9"/>
      <c r="M470" s="9"/>
      <c r="N470" s="9"/>
      <c r="O470" s="38">
        <f t="shared" si="38"/>
        <v>0</v>
      </c>
      <c r="P470" s="12"/>
      <c r="Q470" s="42"/>
      <c r="R470" s="15"/>
      <c r="S470" s="44"/>
      <c r="T470" s="15"/>
      <c r="U470" s="44"/>
      <c r="V470" s="15">
        <f t="shared" si="39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40"/>
        <v>0</v>
      </c>
      <c r="AF470" s="101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37"/>
        <v>0</v>
      </c>
      <c r="BA470" s="15"/>
      <c r="BB470" s="44"/>
      <c r="BC470" s="15"/>
      <c r="BD470" s="44"/>
      <c r="BE470" s="15">
        <f t="shared" si="36"/>
        <v>0</v>
      </c>
    </row>
    <row r="471" spans="1:57" s="8" customFormat="1" ht="22.5" customHeight="1">
      <c r="A471" s="9"/>
      <c r="B471" s="16" t="s">
        <v>713</v>
      </c>
      <c r="C471" s="89" t="s">
        <v>50</v>
      </c>
      <c r="D471" s="61" t="s">
        <v>714</v>
      </c>
      <c r="E471" s="13"/>
      <c r="F471" s="95"/>
      <c r="G471" s="9"/>
      <c r="H471" s="9" t="s">
        <v>669</v>
      </c>
      <c r="I471" s="14"/>
      <c r="J471" s="14"/>
      <c r="K471" s="12">
        <v>0</v>
      </c>
      <c r="L471" s="9"/>
      <c r="M471" s="9"/>
      <c r="N471" s="9"/>
      <c r="O471" s="38">
        <f t="shared" si="38"/>
        <v>0</v>
      </c>
      <c r="P471" s="12"/>
      <c r="Q471" s="42"/>
      <c r="R471" s="15"/>
      <c r="S471" s="44"/>
      <c r="T471" s="15"/>
      <c r="U471" s="44"/>
      <c r="V471" s="15">
        <f t="shared" si="39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40"/>
        <v>0</v>
      </c>
      <c r="AF471" s="101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37"/>
        <v>0</v>
      </c>
      <c r="BA471" s="15"/>
      <c r="BB471" s="44"/>
      <c r="BC471" s="15"/>
      <c r="BD471" s="44"/>
      <c r="BE471" s="15">
        <f t="shared" si="36"/>
        <v>0</v>
      </c>
    </row>
    <row r="472" spans="1:57" s="8" customFormat="1" ht="22.5" customHeight="1">
      <c r="A472" s="9"/>
      <c r="B472" s="16" t="s">
        <v>715</v>
      </c>
      <c r="C472" s="89" t="s">
        <v>132</v>
      </c>
      <c r="D472" s="61" t="s">
        <v>716</v>
      </c>
      <c r="E472" s="13" t="s">
        <v>717</v>
      </c>
      <c r="F472" s="95"/>
      <c r="G472" s="9"/>
      <c r="H472" s="9" t="s">
        <v>718</v>
      </c>
      <c r="I472" s="14"/>
      <c r="J472" s="14"/>
      <c r="K472" s="12">
        <v>0</v>
      </c>
      <c r="L472" s="9"/>
      <c r="M472" s="9"/>
      <c r="N472" s="9"/>
      <c r="O472" s="38">
        <f t="shared" si="38"/>
        <v>0</v>
      </c>
      <c r="P472" s="12"/>
      <c r="Q472" s="42"/>
      <c r="R472" s="15"/>
      <c r="S472" s="44"/>
      <c r="T472" s="15"/>
      <c r="U472" s="44"/>
      <c r="V472" s="15">
        <f t="shared" si="39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40"/>
        <v>0</v>
      </c>
      <c r="AF472" s="101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37"/>
        <v>0</v>
      </c>
      <c r="BA472" s="15"/>
      <c r="BB472" s="44"/>
      <c r="BC472" s="15"/>
      <c r="BD472" s="44"/>
      <c r="BE472" s="15">
        <f t="shared" si="36"/>
        <v>0</v>
      </c>
    </row>
    <row r="473" spans="1:57" s="8" customFormat="1" ht="22.5" customHeight="1">
      <c r="A473" s="9"/>
      <c r="B473" s="16" t="s">
        <v>715</v>
      </c>
      <c r="C473" s="89" t="s">
        <v>132</v>
      </c>
      <c r="D473" s="61" t="s">
        <v>719</v>
      </c>
      <c r="E473" s="13" t="s">
        <v>720</v>
      </c>
      <c r="F473" s="95"/>
      <c r="G473" s="9"/>
      <c r="H473" s="9" t="s">
        <v>718</v>
      </c>
      <c r="I473" s="14"/>
      <c r="J473" s="14"/>
      <c r="K473" s="12">
        <v>0</v>
      </c>
      <c r="L473" s="9"/>
      <c r="M473" s="9"/>
      <c r="N473" s="9"/>
      <c r="O473" s="38">
        <f t="shared" si="38"/>
        <v>0</v>
      </c>
      <c r="P473" s="12"/>
      <c r="Q473" s="42"/>
      <c r="R473" s="15"/>
      <c r="S473" s="44"/>
      <c r="T473" s="15"/>
      <c r="U473" s="44"/>
      <c r="V473" s="15">
        <f t="shared" si="39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40"/>
        <v>0</v>
      </c>
      <c r="AF473" s="101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37"/>
        <v>0</v>
      </c>
      <c r="BA473" s="15"/>
      <c r="BB473" s="44"/>
      <c r="BC473" s="15"/>
      <c r="BD473" s="44"/>
      <c r="BE473" s="15">
        <f t="shared" si="36"/>
        <v>0</v>
      </c>
    </row>
    <row r="474" spans="1:57" s="8" customFormat="1" ht="22.5" customHeight="1">
      <c r="A474" s="9"/>
      <c r="B474" s="16" t="s">
        <v>715</v>
      </c>
      <c r="C474" s="89" t="s">
        <v>48</v>
      </c>
      <c r="D474" s="61" t="s">
        <v>716</v>
      </c>
      <c r="E474" s="13" t="s">
        <v>721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8"/>
        <v>0</v>
      </c>
      <c r="P474" s="12"/>
      <c r="Q474" s="42"/>
      <c r="R474" s="15"/>
      <c r="S474" s="44"/>
      <c r="T474" s="15"/>
      <c r="U474" s="44"/>
      <c r="V474" s="15">
        <f t="shared" si="39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40"/>
        <v>0</v>
      </c>
      <c r="AF474" s="101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37"/>
        <v>0</v>
      </c>
      <c r="BA474" s="15"/>
      <c r="BB474" s="44"/>
      <c r="BC474" s="15"/>
      <c r="BD474" s="44"/>
      <c r="BE474" s="15">
        <f t="shared" si="36"/>
        <v>0</v>
      </c>
    </row>
    <row r="475" spans="1:57" s="8" customFormat="1" ht="22.5" customHeight="1">
      <c r="A475" s="9"/>
      <c r="B475" s="16" t="s">
        <v>715</v>
      </c>
      <c r="C475" s="89" t="s">
        <v>48</v>
      </c>
      <c r="D475" s="61" t="s">
        <v>719</v>
      </c>
      <c r="E475" s="13" t="s">
        <v>723</v>
      </c>
      <c r="F475" s="95"/>
      <c r="G475" s="9"/>
      <c r="H475" s="9" t="s">
        <v>722</v>
      </c>
      <c r="I475" s="14"/>
      <c r="J475" s="14"/>
      <c r="K475" s="12">
        <v>0</v>
      </c>
      <c r="L475" s="9"/>
      <c r="M475" s="9"/>
      <c r="N475" s="9"/>
      <c r="O475" s="38">
        <f t="shared" si="38"/>
        <v>0</v>
      </c>
      <c r="P475" s="12"/>
      <c r="Q475" s="42"/>
      <c r="R475" s="15"/>
      <c r="S475" s="44"/>
      <c r="T475" s="15"/>
      <c r="U475" s="44"/>
      <c r="V475" s="15">
        <f t="shared" si="39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40"/>
        <v>0</v>
      </c>
      <c r="AF475" s="101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37"/>
        <v>0</v>
      </c>
      <c r="BA475" s="15"/>
      <c r="BB475" s="44"/>
      <c r="BC475" s="15"/>
      <c r="BD475" s="44"/>
      <c r="BE475" s="15">
        <f t="shared" si="36"/>
        <v>0</v>
      </c>
    </row>
    <row r="476" spans="1:57" s="8" customFormat="1" ht="22.5" customHeight="1">
      <c r="A476" s="9"/>
      <c r="B476" s="16" t="s">
        <v>715</v>
      </c>
      <c r="C476" s="89" t="s">
        <v>151</v>
      </c>
      <c r="D476" s="61" t="s">
        <v>724</v>
      </c>
      <c r="E476" s="13" t="s">
        <v>725</v>
      </c>
      <c r="F476" s="95"/>
      <c r="G476" s="9"/>
      <c r="H476" s="9" t="s">
        <v>722</v>
      </c>
      <c r="I476" s="14"/>
      <c r="J476" s="14"/>
      <c r="K476" s="12">
        <v>0</v>
      </c>
      <c r="L476" s="9"/>
      <c r="M476" s="9"/>
      <c r="N476" s="9"/>
      <c r="O476" s="38">
        <f t="shared" si="38"/>
        <v>0</v>
      </c>
      <c r="P476" s="12"/>
      <c r="Q476" s="42"/>
      <c r="R476" s="15"/>
      <c r="S476" s="44"/>
      <c r="T476" s="15"/>
      <c r="U476" s="44"/>
      <c r="V476" s="15">
        <f t="shared" si="39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40"/>
        <v>0</v>
      </c>
      <c r="AF476" s="101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37"/>
        <v>0</v>
      </c>
      <c r="BA476" s="15"/>
      <c r="BB476" s="44"/>
      <c r="BC476" s="15"/>
      <c r="BD476" s="44"/>
      <c r="BE476" s="15">
        <f t="shared" si="36"/>
        <v>0</v>
      </c>
    </row>
    <row r="477" spans="1:57" s="8" customFormat="1" ht="22.5" customHeight="1">
      <c r="A477" s="9"/>
      <c r="B477" s="16" t="s">
        <v>715</v>
      </c>
      <c r="C477" s="89" t="s">
        <v>151</v>
      </c>
      <c r="D477" s="56" t="s">
        <v>726</v>
      </c>
      <c r="E477" s="13" t="s">
        <v>727</v>
      </c>
      <c r="F477" s="95"/>
      <c r="G477" s="9"/>
      <c r="H477" s="9" t="s">
        <v>722</v>
      </c>
      <c r="I477" s="14"/>
      <c r="J477" s="14"/>
      <c r="K477" s="12">
        <v>0</v>
      </c>
      <c r="L477" s="9"/>
      <c r="M477" s="9"/>
      <c r="N477" s="9"/>
      <c r="O477" s="38">
        <f t="shared" si="38"/>
        <v>0</v>
      </c>
      <c r="P477" s="12"/>
      <c r="Q477" s="42"/>
      <c r="R477" s="15"/>
      <c r="S477" s="44"/>
      <c r="T477" s="15"/>
      <c r="U477" s="44"/>
      <c r="V477" s="15">
        <f t="shared" si="39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40"/>
        <v>0</v>
      </c>
      <c r="AF477" s="101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37"/>
        <v>0</v>
      </c>
      <c r="BA477" s="15"/>
      <c r="BB477" s="44"/>
      <c r="BC477" s="15"/>
      <c r="BD477" s="44"/>
      <c r="BE477" s="15">
        <f t="shared" si="36"/>
        <v>0</v>
      </c>
    </row>
    <row r="478" spans="1:57" s="8" customFormat="1" ht="22.5" customHeight="1">
      <c r="A478" s="9"/>
      <c r="B478" s="16" t="s">
        <v>728</v>
      </c>
      <c r="C478" s="89" t="s">
        <v>151</v>
      </c>
      <c r="D478" s="59" t="s">
        <v>729</v>
      </c>
      <c r="E478" s="13" t="s">
        <v>730</v>
      </c>
      <c r="F478" s="95"/>
      <c r="G478" s="9"/>
      <c r="H478" s="9" t="s">
        <v>731</v>
      </c>
      <c r="I478" s="14"/>
      <c r="J478" s="14"/>
      <c r="K478" s="12">
        <v>0</v>
      </c>
      <c r="L478" s="9"/>
      <c r="M478" s="9"/>
      <c r="N478" s="9"/>
      <c r="O478" s="38">
        <f t="shared" si="38"/>
        <v>0</v>
      </c>
      <c r="P478" s="12"/>
      <c r="Q478" s="42"/>
      <c r="R478" s="15"/>
      <c r="S478" s="44"/>
      <c r="T478" s="15"/>
      <c r="U478" s="44"/>
      <c r="V478" s="15">
        <f t="shared" si="39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40"/>
        <v>0</v>
      </c>
      <c r="AF478" s="101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37"/>
        <v>0</v>
      </c>
      <c r="BA478" s="15"/>
      <c r="BB478" s="44"/>
      <c r="BC478" s="15"/>
      <c r="BD478" s="44"/>
      <c r="BE478" s="15">
        <f t="shared" si="36"/>
        <v>0</v>
      </c>
    </row>
    <row r="479" spans="1:57" s="8" customFormat="1" ht="22.5" customHeight="1">
      <c r="A479" s="9"/>
      <c r="B479" s="16" t="s">
        <v>728</v>
      </c>
      <c r="C479" s="89" t="s">
        <v>151</v>
      </c>
      <c r="D479" s="59" t="s">
        <v>729</v>
      </c>
      <c r="E479" s="13" t="s">
        <v>732</v>
      </c>
      <c r="F479" s="95"/>
      <c r="G479" s="9"/>
      <c r="H479" s="9" t="s">
        <v>733</v>
      </c>
      <c r="I479" s="14"/>
      <c r="J479" s="14"/>
      <c r="K479" s="12">
        <v>0</v>
      </c>
      <c r="L479" s="9"/>
      <c r="M479" s="9"/>
      <c r="N479" s="9"/>
      <c r="O479" s="38">
        <f t="shared" si="38"/>
        <v>0</v>
      </c>
      <c r="P479" s="12"/>
      <c r="Q479" s="42"/>
      <c r="R479" s="15"/>
      <c r="S479" s="44"/>
      <c r="T479" s="15"/>
      <c r="U479" s="44"/>
      <c r="V479" s="15">
        <f t="shared" si="39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40"/>
        <v>0</v>
      </c>
      <c r="AF479" s="101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37"/>
        <v>0</v>
      </c>
      <c r="BA479" s="15"/>
      <c r="BB479" s="44"/>
      <c r="BC479" s="15"/>
      <c r="BD479" s="44"/>
      <c r="BE479" s="15">
        <f t="shared" si="36"/>
        <v>0</v>
      </c>
    </row>
    <row r="480" spans="1:57" s="8" customFormat="1" ht="22.5" customHeight="1">
      <c r="A480" s="9"/>
      <c r="B480" s="16" t="s">
        <v>728</v>
      </c>
      <c r="C480" s="89" t="s">
        <v>151</v>
      </c>
      <c r="D480" s="61" t="s">
        <v>729</v>
      </c>
      <c r="E480" s="13" t="s">
        <v>734</v>
      </c>
      <c r="F480" s="95"/>
      <c r="G480" s="9"/>
      <c r="H480" s="9" t="s">
        <v>733</v>
      </c>
      <c r="I480" s="14"/>
      <c r="J480" s="14"/>
      <c r="K480" s="12">
        <v>24</v>
      </c>
      <c r="L480" s="9"/>
      <c r="M480" s="9"/>
      <c r="N480" s="9"/>
      <c r="O480" s="38">
        <f t="shared" si="38"/>
        <v>24</v>
      </c>
      <c r="P480" s="12"/>
      <c r="Q480" s="42"/>
      <c r="R480" s="15"/>
      <c r="S480" s="44"/>
      <c r="T480" s="15"/>
      <c r="U480" s="44"/>
      <c r="V480" s="15">
        <f t="shared" si="39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40"/>
        <v>0</v>
      </c>
      <c r="AF480" s="101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37"/>
        <v>0</v>
      </c>
      <c r="BA480" s="15"/>
      <c r="BB480" s="44"/>
      <c r="BC480" s="15"/>
      <c r="BD480" s="44"/>
      <c r="BE480" s="15">
        <f t="shared" si="36"/>
        <v>0</v>
      </c>
    </row>
    <row r="481" spans="1:57" s="8" customFormat="1" ht="22.5" customHeight="1">
      <c r="A481" s="9"/>
      <c r="B481" s="16" t="s">
        <v>735</v>
      </c>
      <c r="C481" s="89" t="s">
        <v>132</v>
      </c>
      <c r="D481" s="59" t="s">
        <v>736</v>
      </c>
      <c r="E481" s="13" t="s">
        <v>737</v>
      </c>
      <c r="F481" s="95"/>
      <c r="G481" s="9"/>
      <c r="H481" s="9" t="s">
        <v>247</v>
      </c>
      <c r="I481" s="14"/>
      <c r="J481" s="14"/>
      <c r="K481" s="12">
        <v>77</v>
      </c>
      <c r="L481" s="9"/>
      <c r="M481" s="9"/>
      <c r="N481" s="9"/>
      <c r="O481" s="38">
        <f t="shared" si="38"/>
        <v>77</v>
      </c>
      <c r="P481" s="12"/>
      <c r="Q481" s="42"/>
      <c r="R481" s="15"/>
      <c r="S481" s="44"/>
      <c r="T481" s="15"/>
      <c r="U481" s="44"/>
      <c r="V481" s="15">
        <f t="shared" si="39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40"/>
        <v>0</v>
      </c>
      <c r="AF481" s="101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37"/>
        <v>0</v>
      </c>
      <c r="BA481" s="15"/>
      <c r="BB481" s="44"/>
      <c r="BC481" s="15"/>
      <c r="BD481" s="44"/>
      <c r="BE481" s="15">
        <f t="shared" si="36"/>
        <v>0</v>
      </c>
    </row>
    <row r="482" spans="1:57" s="8" customFormat="1" ht="22.5" customHeight="1">
      <c r="A482" s="9"/>
      <c r="B482" s="16" t="s">
        <v>735</v>
      </c>
      <c r="C482" s="89" t="s">
        <v>132</v>
      </c>
      <c r="D482" s="56" t="s">
        <v>738</v>
      </c>
      <c r="E482" s="13" t="s">
        <v>739</v>
      </c>
      <c r="F482" s="95"/>
      <c r="G482" s="9"/>
      <c r="H482" s="9" t="s">
        <v>247</v>
      </c>
      <c r="I482" s="14"/>
      <c r="J482" s="14"/>
      <c r="K482" s="12">
        <v>20</v>
      </c>
      <c r="L482" s="9"/>
      <c r="M482" s="9"/>
      <c r="N482" s="9"/>
      <c r="O482" s="38">
        <f t="shared" si="38"/>
        <v>20</v>
      </c>
      <c r="P482" s="12"/>
      <c r="Q482" s="42"/>
      <c r="R482" s="15"/>
      <c r="S482" s="44"/>
      <c r="T482" s="15"/>
      <c r="U482" s="44"/>
      <c r="V482" s="15">
        <f t="shared" si="39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40"/>
        <v>0</v>
      </c>
      <c r="AF482" s="101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37"/>
        <v>0</v>
      </c>
      <c r="BA482" s="15"/>
      <c r="BB482" s="44"/>
      <c r="BC482" s="15"/>
      <c r="BD482" s="44"/>
      <c r="BE482" s="15">
        <f t="shared" ref="BE482:BE545" si="41">(BA482+BC482)</f>
        <v>0</v>
      </c>
    </row>
    <row r="483" spans="1:57" s="8" customFormat="1" ht="22.5" customHeight="1">
      <c r="A483" s="9"/>
      <c r="B483" s="16" t="s">
        <v>740</v>
      </c>
      <c r="C483" s="89" t="s">
        <v>132</v>
      </c>
      <c r="D483" s="59" t="s">
        <v>741</v>
      </c>
      <c r="E483" s="13"/>
      <c r="F483" s="95"/>
      <c r="G483" s="9"/>
      <c r="H483" s="9" t="s">
        <v>247</v>
      </c>
      <c r="I483" s="14"/>
      <c r="J483" s="14"/>
      <c r="K483" s="12">
        <v>0</v>
      </c>
      <c r="L483" s="9"/>
      <c r="M483" s="9"/>
      <c r="N483" s="9"/>
      <c r="O483" s="38">
        <f t="shared" si="38"/>
        <v>0</v>
      </c>
      <c r="P483" s="12"/>
      <c r="Q483" s="42"/>
      <c r="R483" s="15"/>
      <c r="S483" s="44"/>
      <c r="T483" s="15"/>
      <c r="U483" s="44"/>
      <c r="V483" s="15">
        <f t="shared" si="39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40"/>
        <v>0</v>
      </c>
      <c r="AF483" s="101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37"/>
        <v>0</v>
      </c>
      <c r="BA483" s="15"/>
      <c r="BB483" s="44"/>
      <c r="BC483" s="15"/>
      <c r="BD483" s="44"/>
      <c r="BE483" s="15">
        <f t="shared" si="41"/>
        <v>0</v>
      </c>
    </row>
    <row r="484" spans="1:57" s="8" customFormat="1" ht="22.5" customHeight="1">
      <c r="A484" s="9"/>
      <c r="B484" s="16" t="s">
        <v>742</v>
      </c>
      <c r="C484" s="89" t="s">
        <v>151</v>
      </c>
      <c r="D484" s="59" t="s">
        <v>743</v>
      </c>
      <c r="E484" s="13" t="s">
        <v>744</v>
      </c>
      <c r="F484" s="95"/>
      <c r="G484" s="9"/>
      <c r="H484" s="9" t="s">
        <v>745</v>
      </c>
      <c r="I484" s="14"/>
      <c r="J484" s="14"/>
      <c r="K484" s="12">
        <v>194</v>
      </c>
      <c r="L484" s="9"/>
      <c r="M484" s="9"/>
      <c r="N484" s="9"/>
      <c r="O484" s="38">
        <f t="shared" si="38"/>
        <v>194</v>
      </c>
      <c r="P484" s="12"/>
      <c r="Q484" s="42"/>
      <c r="R484" s="15"/>
      <c r="S484" s="44"/>
      <c r="T484" s="15"/>
      <c r="U484" s="44"/>
      <c r="V484" s="15">
        <f t="shared" si="39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40"/>
        <v>0</v>
      </c>
      <c r="AF484" s="101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37"/>
        <v>0</v>
      </c>
      <c r="BA484" s="15"/>
      <c r="BB484" s="44"/>
      <c r="BC484" s="15"/>
      <c r="BD484" s="44"/>
      <c r="BE484" s="15">
        <f t="shared" si="41"/>
        <v>0</v>
      </c>
    </row>
    <row r="485" spans="1:57" s="8" customFormat="1" ht="22.5" customHeight="1">
      <c r="A485" s="9"/>
      <c r="B485" s="16" t="s">
        <v>742</v>
      </c>
      <c r="C485" s="89" t="s">
        <v>151</v>
      </c>
      <c r="D485" s="59" t="s">
        <v>743</v>
      </c>
      <c r="E485" s="13" t="s">
        <v>744</v>
      </c>
      <c r="F485" s="95"/>
      <c r="G485" s="9"/>
      <c r="H485" s="9" t="s">
        <v>746</v>
      </c>
      <c r="I485" s="14"/>
      <c r="J485" s="14"/>
      <c r="K485" s="12">
        <v>442</v>
      </c>
      <c r="L485" s="9"/>
      <c r="M485" s="9"/>
      <c r="N485" s="9"/>
      <c r="O485" s="38">
        <f t="shared" si="38"/>
        <v>442</v>
      </c>
      <c r="P485" s="12"/>
      <c r="Q485" s="42"/>
      <c r="R485" s="15"/>
      <c r="S485" s="44"/>
      <c r="T485" s="15"/>
      <c r="U485" s="44"/>
      <c r="V485" s="15">
        <f t="shared" si="39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40"/>
        <v>0</v>
      </c>
      <c r="AF485" s="101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ref="AZ485:AZ548" si="42">AF485+AH485+AJ485+AL485+AN485+AP485+AR485+AT485+AV485+AX485</f>
        <v>0</v>
      </c>
      <c r="BA485" s="15"/>
      <c r="BB485" s="44"/>
      <c r="BC485" s="15"/>
      <c r="BD485" s="44"/>
      <c r="BE485" s="15">
        <f t="shared" si="41"/>
        <v>0</v>
      </c>
    </row>
    <row r="486" spans="1:57" s="8" customFormat="1" ht="22.5" customHeight="1">
      <c r="A486" s="9"/>
      <c r="B486" s="16" t="s">
        <v>742</v>
      </c>
      <c r="C486" s="89" t="s">
        <v>151</v>
      </c>
      <c r="D486" s="59" t="s">
        <v>747</v>
      </c>
      <c r="E486" s="13" t="s">
        <v>748</v>
      </c>
      <c r="F486" s="95"/>
      <c r="G486" s="9"/>
      <c r="H486" s="9" t="s">
        <v>745</v>
      </c>
      <c r="I486" s="14"/>
      <c r="J486" s="14"/>
      <c r="K486" s="12">
        <v>24</v>
      </c>
      <c r="L486" s="9"/>
      <c r="M486" s="9"/>
      <c r="N486" s="9"/>
      <c r="O486" s="38">
        <f t="shared" si="38"/>
        <v>24</v>
      </c>
      <c r="P486" s="12"/>
      <c r="Q486" s="42"/>
      <c r="R486" s="15"/>
      <c r="S486" s="44"/>
      <c r="T486" s="15"/>
      <c r="U486" s="44"/>
      <c r="V486" s="15">
        <f t="shared" si="39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40"/>
        <v>0</v>
      </c>
      <c r="AF486" s="101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2"/>
        <v>0</v>
      </c>
      <c r="BA486" s="15"/>
      <c r="BB486" s="44"/>
      <c r="BC486" s="15"/>
      <c r="BD486" s="44"/>
      <c r="BE486" s="15">
        <f t="shared" si="41"/>
        <v>0</v>
      </c>
    </row>
    <row r="487" spans="1:57" s="8" customFormat="1" ht="22.5" customHeight="1">
      <c r="A487" s="9"/>
      <c r="B487" s="16" t="s">
        <v>742</v>
      </c>
      <c r="C487" s="89" t="s">
        <v>151</v>
      </c>
      <c r="D487" s="59" t="s">
        <v>747</v>
      </c>
      <c r="E487" s="13" t="s">
        <v>748</v>
      </c>
      <c r="F487" s="95"/>
      <c r="G487" s="9"/>
      <c r="H487" s="9" t="s">
        <v>746</v>
      </c>
      <c r="I487" s="14"/>
      <c r="J487" s="14"/>
      <c r="K487" s="12">
        <v>274</v>
      </c>
      <c r="L487" s="9"/>
      <c r="M487" s="9"/>
      <c r="N487" s="9"/>
      <c r="O487" s="38">
        <f t="shared" si="38"/>
        <v>274</v>
      </c>
      <c r="P487" s="12"/>
      <c r="Q487" s="42"/>
      <c r="R487" s="15"/>
      <c r="S487" s="44"/>
      <c r="T487" s="15"/>
      <c r="U487" s="44"/>
      <c r="V487" s="15">
        <f t="shared" si="39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40"/>
        <v>0</v>
      </c>
      <c r="AF487" s="101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2"/>
        <v>0</v>
      </c>
      <c r="BA487" s="15"/>
      <c r="BB487" s="44"/>
      <c r="BC487" s="15"/>
      <c r="BD487" s="44"/>
      <c r="BE487" s="15">
        <f t="shared" si="41"/>
        <v>0</v>
      </c>
    </row>
    <row r="488" spans="1:57" s="8" customFormat="1" ht="22.5" customHeight="1">
      <c r="A488" s="9"/>
      <c r="B488" s="16" t="s">
        <v>742</v>
      </c>
      <c r="C488" s="89" t="s">
        <v>151</v>
      </c>
      <c r="D488" s="56" t="s">
        <v>747</v>
      </c>
      <c r="E488" s="13" t="s">
        <v>749</v>
      </c>
      <c r="F488" s="95"/>
      <c r="G488" s="9"/>
      <c r="H488" s="9" t="s">
        <v>745</v>
      </c>
      <c r="I488" s="14"/>
      <c r="J488" s="14"/>
      <c r="K488" s="12">
        <v>0</v>
      </c>
      <c r="L488" s="9"/>
      <c r="M488" s="9"/>
      <c r="N488" s="9"/>
      <c r="O488" s="38">
        <f t="shared" si="38"/>
        <v>0</v>
      </c>
      <c r="P488" s="12"/>
      <c r="Q488" s="42"/>
      <c r="R488" s="15"/>
      <c r="S488" s="44"/>
      <c r="T488" s="15"/>
      <c r="U488" s="44"/>
      <c r="V488" s="15">
        <f t="shared" si="39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40"/>
        <v>0</v>
      </c>
      <c r="AF488" s="101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2"/>
        <v>0</v>
      </c>
      <c r="BA488" s="15"/>
      <c r="BB488" s="44"/>
      <c r="BC488" s="15"/>
      <c r="BD488" s="44"/>
      <c r="BE488" s="15">
        <f t="shared" si="41"/>
        <v>0</v>
      </c>
    </row>
    <row r="489" spans="1:57" s="8" customFormat="1" ht="22.5" customHeight="1">
      <c r="A489" s="9"/>
      <c r="B489" s="16" t="s">
        <v>742</v>
      </c>
      <c r="C489" s="89" t="s">
        <v>151</v>
      </c>
      <c r="D489" s="56" t="s">
        <v>747</v>
      </c>
      <c r="E489" s="13" t="s">
        <v>749</v>
      </c>
      <c r="F489" s="95"/>
      <c r="G489" s="9"/>
      <c r="H489" s="9" t="s">
        <v>746</v>
      </c>
      <c r="I489" s="14"/>
      <c r="J489" s="14"/>
      <c r="K489" s="12">
        <v>80</v>
      </c>
      <c r="L489" s="9"/>
      <c r="M489" s="9"/>
      <c r="N489" s="9"/>
      <c r="O489" s="38">
        <f t="shared" si="38"/>
        <v>80</v>
      </c>
      <c r="P489" s="12"/>
      <c r="Q489" s="42"/>
      <c r="R489" s="15"/>
      <c r="S489" s="44"/>
      <c r="T489" s="15"/>
      <c r="U489" s="44"/>
      <c r="V489" s="15">
        <f t="shared" si="39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40"/>
        <v>0</v>
      </c>
      <c r="AF489" s="101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2"/>
        <v>0</v>
      </c>
      <c r="BA489" s="15"/>
      <c r="BB489" s="44"/>
      <c r="BC489" s="15"/>
      <c r="BD489" s="44"/>
      <c r="BE489" s="15">
        <f t="shared" si="41"/>
        <v>0</v>
      </c>
    </row>
    <row r="490" spans="1:57" s="8" customFormat="1" ht="22.5" customHeight="1">
      <c r="A490" s="9"/>
      <c r="B490" s="16" t="s">
        <v>742</v>
      </c>
      <c r="C490" s="89" t="s">
        <v>52</v>
      </c>
      <c r="D490" s="56" t="s">
        <v>750</v>
      </c>
      <c r="E490" s="13" t="s">
        <v>751</v>
      </c>
      <c r="F490" s="95"/>
      <c r="G490" s="9"/>
      <c r="H490" s="9" t="s">
        <v>745</v>
      </c>
      <c r="I490" s="14"/>
      <c r="J490" s="14"/>
      <c r="K490" s="12">
        <v>0</v>
      </c>
      <c r="L490" s="9"/>
      <c r="M490" s="9"/>
      <c r="N490" s="9"/>
      <c r="O490" s="38">
        <f t="shared" si="38"/>
        <v>0</v>
      </c>
      <c r="P490" s="12"/>
      <c r="Q490" s="42"/>
      <c r="R490" s="15"/>
      <c r="S490" s="44"/>
      <c r="T490" s="15"/>
      <c r="U490" s="44"/>
      <c r="V490" s="15">
        <f t="shared" si="39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40"/>
        <v>0</v>
      </c>
      <c r="AF490" s="101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2"/>
        <v>0</v>
      </c>
      <c r="BA490" s="15"/>
      <c r="BB490" s="44"/>
      <c r="BC490" s="15"/>
      <c r="BD490" s="44"/>
      <c r="BE490" s="15">
        <f t="shared" si="41"/>
        <v>0</v>
      </c>
    </row>
    <row r="491" spans="1:57" s="8" customFormat="1" ht="22.5" customHeight="1">
      <c r="A491" s="9"/>
      <c r="B491" s="16" t="s">
        <v>742</v>
      </c>
      <c r="C491" s="89" t="s">
        <v>52</v>
      </c>
      <c r="D491" s="56" t="s">
        <v>750</v>
      </c>
      <c r="E491" s="13" t="s">
        <v>751</v>
      </c>
      <c r="F491" s="95"/>
      <c r="G491" s="9"/>
      <c r="H491" s="9" t="s">
        <v>746</v>
      </c>
      <c r="I491" s="14"/>
      <c r="J491" s="14"/>
      <c r="K491" s="12">
        <v>59</v>
      </c>
      <c r="L491" s="9"/>
      <c r="M491" s="9"/>
      <c r="N491" s="9"/>
      <c r="O491" s="38">
        <f t="shared" si="38"/>
        <v>59</v>
      </c>
      <c r="P491" s="12"/>
      <c r="Q491" s="42"/>
      <c r="R491" s="15"/>
      <c r="S491" s="44"/>
      <c r="T491" s="15"/>
      <c r="U491" s="44"/>
      <c r="V491" s="15">
        <f t="shared" si="39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40"/>
        <v>0</v>
      </c>
      <c r="AF491" s="101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2"/>
        <v>0</v>
      </c>
      <c r="BA491" s="15"/>
      <c r="BB491" s="44"/>
      <c r="BC491" s="15"/>
      <c r="BD491" s="44"/>
      <c r="BE491" s="15">
        <f t="shared" si="41"/>
        <v>0</v>
      </c>
    </row>
    <row r="492" spans="1:57" s="8" customFormat="1" ht="22.5" customHeight="1">
      <c r="A492" s="9"/>
      <c r="B492" s="16" t="s">
        <v>742</v>
      </c>
      <c r="C492" s="89" t="s">
        <v>52</v>
      </c>
      <c r="D492" s="56" t="s">
        <v>750</v>
      </c>
      <c r="E492" s="13" t="s">
        <v>752</v>
      </c>
      <c r="F492" s="95"/>
      <c r="G492" s="9"/>
      <c r="H492" s="9" t="s">
        <v>745</v>
      </c>
      <c r="I492" s="14"/>
      <c r="J492" s="14"/>
      <c r="K492" s="12">
        <v>0</v>
      </c>
      <c r="L492" s="9"/>
      <c r="M492" s="9"/>
      <c r="N492" s="9"/>
      <c r="O492" s="38">
        <f t="shared" si="38"/>
        <v>0</v>
      </c>
      <c r="P492" s="12"/>
      <c r="Q492" s="42"/>
      <c r="R492" s="15"/>
      <c r="S492" s="44"/>
      <c r="T492" s="15"/>
      <c r="U492" s="44"/>
      <c r="V492" s="15">
        <f t="shared" si="39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40"/>
        <v>0</v>
      </c>
      <c r="AF492" s="101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2"/>
        <v>0</v>
      </c>
      <c r="BA492" s="15"/>
      <c r="BB492" s="44"/>
      <c r="BC492" s="15"/>
      <c r="BD492" s="44"/>
      <c r="BE492" s="15">
        <f t="shared" si="41"/>
        <v>0</v>
      </c>
    </row>
    <row r="493" spans="1:57" s="8" customFormat="1" ht="22.5" customHeight="1">
      <c r="A493" s="9"/>
      <c r="B493" s="16" t="s">
        <v>161</v>
      </c>
      <c r="C493" s="89" t="s">
        <v>52</v>
      </c>
      <c r="D493" s="56" t="s">
        <v>753</v>
      </c>
      <c r="E493" s="13"/>
      <c r="F493" s="95"/>
      <c r="G493" s="9"/>
      <c r="H493" s="9" t="s">
        <v>467</v>
      </c>
      <c r="I493" s="14"/>
      <c r="J493" s="14"/>
      <c r="K493" s="12">
        <v>50</v>
      </c>
      <c r="L493" s="9"/>
      <c r="M493" s="9"/>
      <c r="N493" s="9"/>
      <c r="O493" s="38">
        <f t="shared" si="38"/>
        <v>50</v>
      </c>
      <c r="P493" s="12"/>
      <c r="Q493" s="42"/>
      <c r="R493" s="15"/>
      <c r="S493" s="44"/>
      <c r="T493" s="15"/>
      <c r="U493" s="44"/>
      <c r="V493" s="15">
        <f t="shared" si="39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40"/>
        <v>0</v>
      </c>
      <c r="AF493" s="101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2"/>
        <v>0</v>
      </c>
      <c r="BA493" s="15"/>
      <c r="BB493" s="44"/>
      <c r="BC493" s="15"/>
      <c r="BD493" s="44"/>
      <c r="BE493" s="15">
        <f t="shared" si="41"/>
        <v>0</v>
      </c>
    </row>
    <row r="494" spans="1:57" s="8" customFormat="1" ht="22.5" customHeight="1">
      <c r="A494" s="9"/>
      <c r="B494" s="16" t="s">
        <v>161</v>
      </c>
      <c r="C494" s="89" t="s">
        <v>754</v>
      </c>
      <c r="D494" s="56" t="s">
        <v>753</v>
      </c>
      <c r="E494" s="13"/>
      <c r="F494" s="95"/>
      <c r="G494" s="9"/>
      <c r="H494" s="9" t="s">
        <v>467</v>
      </c>
      <c r="I494" s="14"/>
      <c r="J494" s="14"/>
      <c r="K494" s="12">
        <v>100</v>
      </c>
      <c r="L494" s="9"/>
      <c r="M494" s="9"/>
      <c r="N494" s="9"/>
      <c r="O494" s="38">
        <f t="shared" si="38"/>
        <v>100</v>
      </c>
      <c r="P494" s="12"/>
      <c r="Q494" s="42"/>
      <c r="R494" s="15"/>
      <c r="S494" s="44"/>
      <c r="T494" s="15"/>
      <c r="U494" s="44"/>
      <c r="V494" s="15">
        <f t="shared" si="39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40"/>
        <v>0</v>
      </c>
      <c r="AF494" s="101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2"/>
        <v>0</v>
      </c>
      <c r="BA494" s="15"/>
      <c r="BB494" s="44"/>
      <c r="BC494" s="15"/>
      <c r="BD494" s="44"/>
      <c r="BE494" s="15">
        <f t="shared" si="41"/>
        <v>0</v>
      </c>
    </row>
    <row r="495" spans="1:57" s="8" customFormat="1" ht="22.5" customHeight="1">
      <c r="A495" s="9"/>
      <c r="B495" s="16" t="s">
        <v>161</v>
      </c>
      <c r="C495" s="89" t="s">
        <v>140</v>
      </c>
      <c r="D495" s="59" t="s">
        <v>753</v>
      </c>
      <c r="E495" s="13"/>
      <c r="F495" s="95"/>
      <c r="G495" s="9"/>
      <c r="H495" s="9" t="s">
        <v>467</v>
      </c>
      <c r="I495" s="14"/>
      <c r="J495" s="14"/>
      <c r="K495" s="12">
        <v>0</v>
      </c>
      <c r="L495" s="9"/>
      <c r="M495" s="9"/>
      <c r="N495" s="9"/>
      <c r="O495" s="38">
        <f t="shared" si="38"/>
        <v>0</v>
      </c>
      <c r="P495" s="12"/>
      <c r="Q495" s="42"/>
      <c r="R495" s="15"/>
      <c r="S495" s="44"/>
      <c r="T495" s="15"/>
      <c r="U495" s="44"/>
      <c r="V495" s="15">
        <f t="shared" si="39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40"/>
        <v>0</v>
      </c>
      <c r="AF495" s="101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2"/>
        <v>0</v>
      </c>
      <c r="BA495" s="15"/>
      <c r="BB495" s="44"/>
      <c r="BC495" s="15"/>
      <c r="BD495" s="44"/>
      <c r="BE495" s="15">
        <f t="shared" si="41"/>
        <v>0</v>
      </c>
    </row>
    <row r="496" spans="1:57" s="8" customFormat="1" ht="22.5" customHeight="1">
      <c r="A496" s="9"/>
      <c r="B496" s="16" t="s">
        <v>755</v>
      </c>
      <c r="C496" s="89" t="s">
        <v>754</v>
      </c>
      <c r="D496" s="59" t="s">
        <v>756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8"/>
        <v>0</v>
      </c>
      <c r="P496" s="12"/>
      <c r="Q496" s="42"/>
      <c r="R496" s="15"/>
      <c r="S496" s="44"/>
      <c r="T496" s="15"/>
      <c r="U496" s="44"/>
      <c r="V496" s="15">
        <f t="shared" si="39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40"/>
        <v>0</v>
      </c>
      <c r="AF496" s="101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2"/>
        <v>0</v>
      </c>
      <c r="BA496" s="15"/>
      <c r="BB496" s="44"/>
      <c r="BC496" s="15"/>
      <c r="BD496" s="44"/>
      <c r="BE496" s="15">
        <f t="shared" si="41"/>
        <v>0</v>
      </c>
    </row>
    <row r="497" spans="1:57" s="8" customFormat="1" ht="22.5" customHeight="1">
      <c r="A497" s="9"/>
      <c r="B497" s="16" t="s">
        <v>755</v>
      </c>
      <c r="C497" s="89" t="s">
        <v>132</v>
      </c>
      <c r="D497" s="61" t="s">
        <v>758</v>
      </c>
      <c r="E497" s="13"/>
      <c r="F497" s="95"/>
      <c r="G497" s="9"/>
      <c r="H497" s="9" t="s">
        <v>757</v>
      </c>
      <c r="I497" s="14"/>
      <c r="J497" s="14"/>
      <c r="K497" s="12">
        <v>0</v>
      </c>
      <c r="L497" s="9"/>
      <c r="M497" s="9"/>
      <c r="N497" s="9"/>
      <c r="O497" s="38">
        <f t="shared" si="38"/>
        <v>0</v>
      </c>
      <c r="P497" s="12"/>
      <c r="Q497" s="42"/>
      <c r="R497" s="15"/>
      <c r="S497" s="44"/>
      <c r="T497" s="15"/>
      <c r="U497" s="44"/>
      <c r="V497" s="15">
        <f t="shared" si="39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40"/>
        <v>0</v>
      </c>
      <c r="AF497" s="101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2"/>
        <v>0</v>
      </c>
      <c r="BA497" s="15"/>
      <c r="BB497" s="44"/>
      <c r="BC497" s="15"/>
      <c r="BD497" s="44"/>
      <c r="BE497" s="15">
        <f t="shared" si="41"/>
        <v>0</v>
      </c>
    </row>
    <row r="498" spans="1:57" s="8" customFormat="1" ht="22.5" customHeight="1">
      <c r="A498" s="9"/>
      <c r="B498" s="16" t="s">
        <v>755</v>
      </c>
      <c r="C498" s="89" t="s">
        <v>132</v>
      </c>
      <c r="D498" s="59" t="s">
        <v>759</v>
      </c>
      <c r="E498" s="13"/>
      <c r="F498" s="95"/>
      <c r="G498" s="9"/>
      <c r="H498" s="9" t="s">
        <v>757</v>
      </c>
      <c r="I498" s="14"/>
      <c r="J498" s="14"/>
      <c r="K498" s="12">
        <v>0</v>
      </c>
      <c r="L498" s="9"/>
      <c r="M498" s="9"/>
      <c r="N498" s="9"/>
      <c r="O498" s="38">
        <f t="shared" si="38"/>
        <v>0</v>
      </c>
      <c r="P498" s="12"/>
      <c r="Q498" s="42"/>
      <c r="R498" s="15"/>
      <c r="S498" s="44"/>
      <c r="T498" s="15"/>
      <c r="U498" s="44"/>
      <c r="V498" s="15">
        <f t="shared" si="39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40"/>
        <v>0</v>
      </c>
      <c r="AF498" s="101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2"/>
        <v>0</v>
      </c>
      <c r="BA498" s="15"/>
      <c r="BB498" s="44"/>
      <c r="BC498" s="15"/>
      <c r="BD498" s="44"/>
      <c r="BE498" s="15">
        <f t="shared" si="41"/>
        <v>0</v>
      </c>
    </row>
    <row r="499" spans="1:57" s="8" customFormat="1" ht="22.5" customHeight="1">
      <c r="A499" s="9"/>
      <c r="B499" s="16" t="s">
        <v>755</v>
      </c>
      <c r="C499" s="89" t="s">
        <v>140</v>
      </c>
      <c r="D499" s="59" t="s">
        <v>758</v>
      </c>
      <c r="E499" s="13"/>
      <c r="F499" s="95"/>
      <c r="G499" s="9"/>
      <c r="H499" s="9" t="s">
        <v>757</v>
      </c>
      <c r="I499" s="14"/>
      <c r="J499" s="14"/>
      <c r="K499" s="12">
        <v>0</v>
      </c>
      <c r="L499" s="9"/>
      <c r="M499" s="9"/>
      <c r="N499" s="9"/>
      <c r="O499" s="38">
        <f t="shared" si="38"/>
        <v>0</v>
      </c>
      <c r="P499" s="12"/>
      <c r="Q499" s="42"/>
      <c r="R499" s="15"/>
      <c r="S499" s="44"/>
      <c r="T499" s="15"/>
      <c r="U499" s="44"/>
      <c r="V499" s="15">
        <f t="shared" si="39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40"/>
        <v>0</v>
      </c>
      <c r="AF499" s="101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2"/>
        <v>0</v>
      </c>
      <c r="BA499" s="15"/>
      <c r="BB499" s="44"/>
      <c r="BC499" s="15"/>
      <c r="BD499" s="44"/>
      <c r="BE499" s="15">
        <f t="shared" si="41"/>
        <v>0</v>
      </c>
    </row>
    <row r="500" spans="1:57" s="8" customFormat="1" ht="22.5" customHeight="1">
      <c r="A500" s="9"/>
      <c r="B500" s="16" t="s">
        <v>755</v>
      </c>
      <c r="C500" s="89" t="s">
        <v>52</v>
      </c>
      <c r="D500" s="59" t="s">
        <v>760</v>
      </c>
      <c r="E500" s="13"/>
      <c r="F500" s="95"/>
      <c r="G500" s="9"/>
      <c r="H500" s="9" t="s">
        <v>757</v>
      </c>
      <c r="I500" s="14"/>
      <c r="J500" s="14"/>
      <c r="K500" s="12">
        <v>993</v>
      </c>
      <c r="L500" s="9"/>
      <c r="M500" s="9"/>
      <c r="N500" s="9"/>
      <c r="O500" s="38">
        <f t="shared" si="38"/>
        <v>993</v>
      </c>
      <c r="P500" s="12"/>
      <c r="Q500" s="42"/>
      <c r="R500" s="15"/>
      <c r="S500" s="44"/>
      <c r="T500" s="15"/>
      <c r="U500" s="44"/>
      <c r="V500" s="15">
        <f t="shared" si="39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40"/>
        <v>0</v>
      </c>
      <c r="AF500" s="101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2"/>
        <v>0</v>
      </c>
      <c r="BA500" s="15"/>
      <c r="BB500" s="44"/>
      <c r="BC500" s="15"/>
      <c r="BD500" s="44"/>
      <c r="BE500" s="15">
        <f t="shared" si="41"/>
        <v>0</v>
      </c>
    </row>
    <row r="501" spans="1:57" s="8" customFormat="1" ht="22.5" customHeight="1">
      <c r="A501" s="9"/>
      <c r="B501" s="16" t="s">
        <v>755</v>
      </c>
      <c r="C501" s="89" t="s">
        <v>52</v>
      </c>
      <c r="D501" s="75" t="s">
        <v>761</v>
      </c>
      <c r="E501" s="13"/>
      <c r="F501" s="95"/>
      <c r="G501" s="9"/>
      <c r="H501" s="9" t="s">
        <v>757</v>
      </c>
      <c r="I501" s="14"/>
      <c r="J501" s="14"/>
      <c r="K501" s="12">
        <v>789</v>
      </c>
      <c r="L501" s="9"/>
      <c r="M501" s="9"/>
      <c r="N501" s="9"/>
      <c r="O501" s="38">
        <f t="shared" si="38"/>
        <v>789</v>
      </c>
      <c r="P501" s="12"/>
      <c r="Q501" s="42"/>
      <c r="R501" s="15"/>
      <c r="S501" s="44"/>
      <c r="T501" s="15"/>
      <c r="U501" s="44"/>
      <c r="V501" s="15">
        <f t="shared" si="39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40"/>
        <v>0</v>
      </c>
      <c r="AF501" s="101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2"/>
        <v>0</v>
      </c>
      <c r="BA501" s="15"/>
      <c r="BB501" s="44"/>
      <c r="BC501" s="15"/>
      <c r="BD501" s="44"/>
      <c r="BE501" s="15">
        <f t="shared" si="41"/>
        <v>0</v>
      </c>
    </row>
    <row r="502" spans="1:57" s="8" customFormat="1" ht="22.5" customHeight="1">
      <c r="A502" s="9"/>
      <c r="B502" s="16" t="s">
        <v>755</v>
      </c>
      <c r="C502" s="89" t="s">
        <v>52</v>
      </c>
      <c r="D502" s="87" t="s">
        <v>762</v>
      </c>
      <c r="E502" s="13"/>
      <c r="F502" s="95"/>
      <c r="G502" s="9"/>
      <c r="H502" s="9" t="s">
        <v>757</v>
      </c>
      <c r="I502" s="14"/>
      <c r="J502" s="14"/>
      <c r="K502" s="12">
        <v>893</v>
      </c>
      <c r="L502" s="9"/>
      <c r="M502" s="9"/>
      <c r="N502" s="9"/>
      <c r="O502" s="38">
        <f t="shared" si="38"/>
        <v>893</v>
      </c>
      <c r="P502" s="12"/>
      <c r="Q502" s="42"/>
      <c r="R502" s="15"/>
      <c r="S502" s="44"/>
      <c r="T502" s="15"/>
      <c r="U502" s="44"/>
      <c r="V502" s="15">
        <f t="shared" si="39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40"/>
        <v>0</v>
      </c>
      <c r="AF502" s="101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2"/>
        <v>0</v>
      </c>
      <c r="BA502" s="15"/>
      <c r="BB502" s="44"/>
      <c r="BC502" s="15"/>
      <c r="BD502" s="44"/>
      <c r="BE502" s="15">
        <f t="shared" si="41"/>
        <v>0</v>
      </c>
    </row>
    <row r="503" spans="1:57" s="8" customFormat="1" ht="22.5" customHeight="1">
      <c r="A503" s="9"/>
      <c r="B503" s="16" t="s">
        <v>755</v>
      </c>
      <c r="C503" s="89" t="s">
        <v>52</v>
      </c>
      <c r="D503" s="75" t="s">
        <v>763</v>
      </c>
      <c r="E503" s="13" t="s">
        <v>764</v>
      </c>
      <c r="F503" s="95"/>
      <c r="G503" s="9"/>
      <c r="H503" s="9" t="s">
        <v>757</v>
      </c>
      <c r="I503" s="14"/>
      <c r="J503" s="14"/>
      <c r="K503" s="12">
        <v>216</v>
      </c>
      <c r="L503" s="9"/>
      <c r="M503" s="9"/>
      <c r="N503" s="9"/>
      <c r="O503" s="38">
        <f t="shared" si="38"/>
        <v>216</v>
      </c>
      <c r="P503" s="12"/>
      <c r="Q503" s="42"/>
      <c r="R503" s="15"/>
      <c r="S503" s="44"/>
      <c r="T503" s="15"/>
      <c r="U503" s="44"/>
      <c r="V503" s="15">
        <f t="shared" si="39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40"/>
        <v>0</v>
      </c>
      <c r="AF503" s="101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2"/>
        <v>0</v>
      </c>
      <c r="BA503" s="15"/>
      <c r="BB503" s="44"/>
      <c r="BC503" s="15"/>
      <c r="BD503" s="44"/>
      <c r="BE503" s="15">
        <f t="shared" si="41"/>
        <v>0</v>
      </c>
    </row>
    <row r="504" spans="1:57" s="8" customFormat="1" ht="22.5" customHeight="1">
      <c r="A504" s="9"/>
      <c r="B504" s="16" t="s">
        <v>755</v>
      </c>
      <c r="C504" s="89" t="s">
        <v>52</v>
      </c>
      <c r="D504" s="75" t="s">
        <v>763</v>
      </c>
      <c r="E504" s="13" t="s">
        <v>765</v>
      </c>
      <c r="F504" s="95"/>
      <c r="G504" s="9"/>
      <c r="H504" s="9" t="s">
        <v>757</v>
      </c>
      <c r="I504" s="14"/>
      <c r="J504" s="14"/>
      <c r="K504" s="12">
        <v>57</v>
      </c>
      <c r="L504" s="9"/>
      <c r="M504" s="9"/>
      <c r="N504" s="9"/>
      <c r="O504" s="38">
        <f t="shared" si="38"/>
        <v>57</v>
      </c>
      <c r="P504" s="12"/>
      <c r="Q504" s="42"/>
      <c r="R504" s="15"/>
      <c r="S504" s="44"/>
      <c r="T504" s="15"/>
      <c r="U504" s="44"/>
      <c r="V504" s="15">
        <f t="shared" si="39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40"/>
        <v>0</v>
      </c>
      <c r="AF504" s="101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2"/>
        <v>0</v>
      </c>
      <c r="BA504" s="15"/>
      <c r="BB504" s="44"/>
      <c r="BC504" s="15"/>
      <c r="BD504" s="44"/>
      <c r="BE504" s="15">
        <f t="shared" si="41"/>
        <v>0</v>
      </c>
    </row>
    <row r="505" spans="1:57" s="8" customFormat="1" ht="22.5" customHeight="1">
      <c r="A505" s="9"/>
      <c r="B505" s="16" t="s">
        <v>755</v>
      </c>
      <c r="C505" s="89" t="s">
        <v>151</v>
      </c>
      <c r="D505" s="75" t="s">
        <v>766</v>
      </c>
      <c r="E505" s="13"/>
      <c r="F505" s="95"/>
      <c r="G505" s="9"/>
      <c r="H505" s="9" t="s">
        <v>757</v>
      </c>
      <c r="I505" s="14"/>
      <c r="J505" s="14"/>
      <c r="K505" s="12">
        <v>0</v>
      </c>
      <c r="L505" s="9"/>
      <c r="M505" s="9"/>
      <c r="N505" s="9"/>
      <c r="O505" s="38">
        <f t="shared" si="38"/>
        <v>0</v>
      </c>
      <c r="P505" s="12"/>
      <c r="Q505" s="42"/>
      <c r="R505" s="15"/>
      <c r="S505" s="44"/>
      <c r="T505" s="15"/>
      <c r="U505" s="44"/>
      <c r="V505" s="15">
        <f t="shared" si="39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40"/>
        <v>0</v>
      </c>
      <c r="AF505" s="101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2"/>
        <v>0</v>
      </c>
      <c r="BA505" s="15"/>
      <c r="BB505" s="44"/>
      <c r="BC505" s="15"/>
      <c r="BD505" s="44"/>
      <c r="BE505" s="15">
        <f t="shared" si="41"/>
        <v>0</v>
      </c>
    </row>
    <row r="506" spans="1:57" s="8" customFormat="1" ht="22.5" customHeight="1">
      <c r="A506" s="9"/>
      <c r="B506" s="16" t="s">
        <v>755</v>
      </c>
      <c r="C506" s="89" t="s">
        <v>151</v>
      </c>
      <c r="D506" s="75" t="s">
        <v>763</v>
      </c>
      <c r="E506" s="13" t="s">
        <v>767</v>
      </c>
      <c r="F506" s="95"/>
      <c r="G506" s="9"/>
      <c r="H506" s="9" t="s">
        <v>757</v>
      </c>
      <c r="I506" s="14"/>
      <c r="J506" s="14"/>
      <c r="K506" s="12">
        <v>0</v>
      </c>
      <c r="L506" s="9"/>
      <c r="M506" s="9"/>
      <c r="N506" s="9"/>
      <c r="O506" s="38">
        <f t="shared" si="38"/>
        <v>0</v>
      </c>
      <c r="P506" s="12"/>
      <c r="Q506" s="42"/>
      <c r="R506" s="15"/>
      <c r="S506" s="44"/>
      <c r="T506" s="15"/>
      <c r="U506" s="44"/>
      <c r="V506" s="15">
        <f t="shared" si="39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40"/>
        <v>0</v>
      </c>
      <c r="AF506" s="101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2"/>
        <v>0</v>
      </c>
      <c r="BA506" s="15"/>
      <c r="BB506" s="44"/>
      <c r="BC506" s="15"/>
      <c r="BD506" s="44"/>
      <c r="BE506" s="15">
        <f t="shared" si="41"/>
        <v>0</v>
      </c>
    </row>
    <row r="507" spans="1:57" s="8" customFormat="1" ht="22.5" customHeight="1">
      <c r="A507" s="9"/>
      <c r="B507" s="16" t="s">
        <v>755</v>
      </c>
      <c r="C507" s="89" t="s">
        <v>151</v>
      </c>
      <c r="D507" s="75" t="s">
        <v>763</v>
      </c>
      <c r="E507" s="13" t="s">
        <v>768</v>
      </c>
      <c r="F507" s="95"/>
      <c r="G507" s="9"/>
      <c r="H507" s="9" t="s">
        <v>757</v>
      </c>
      <c r="I507" s="14"/>
      <c r="J507" s="14"/>
      <c r="K507" s="12">
        <v>0</v>
      </c>
      <c r="L507" s="9"/>
      <c r="M507" s="9"/>
      <c r="N507" s="9"/>
      <c r="O507" s="38">
        <f t="shared" si="38"/>
        <v>0</v>
      </c>
      <c r="P507" s="12"/>
      <c r="Q507" s="42"/>
      <c r="R507" s="15"/>
      <c r="S507" s="44"/>
      <c r="T507" s="15"/>
      <c r="U507" s="44"/>
      <c r="V507" s="15">
        <f t="shared" si="39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40"/>
        <v>0</v>
      </c>
      <c r="AF507" s="101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2"/>
        <v>0</v>
      </c>
      <c r="BA507" s="15"/>
      <c r="BB507" s="44"/>
      <c r="BC507" s="15"/>
      <c r="BD507" s="44"/>
      <c r="BE507" s="15">
        <f t="shared" si="41"/>
        <v>0</v>
      </c>
    </row>
    <row r="508" spans="1:57" s="8" customFormat="1" ht="22.5" customHeight="1">
      <c r="A508" s="9"/>
      <c r="B508" s="16" t="s">
        <v>769</v>
      </c>
      <c r="C508" s="89" t="s">
        <v>494</v>
      </c>
      <c r="D508" s="61" t="s">
        <v>770</v>
      </c>
      <c r="E508" s="13"/>
      <c r="F508" s="95"/>
      <c r="G508" s="9"/>
      <c r="H508" s="23" t="s">
        <v>771</v>
      </c>
      <c r="I508" s="14"/>
      <c r="J508" s="14"/>
      <c r="K508" s="12">
        <v>0</v>
      </c>
      <c r="L508" s="9"/>
      <c r="M508" s="9"/>
      <c r="N508" s="9"/>
      <c r="O508" s="38">
        <f t="shared" si="38"/>
        <v>0</v>
      </c>
      <c r="P508" s="12"/>
      <c r="Q508" s="42"/>
      <c r="R508" s="15"/>
      <c r="S508" s="44"/>
      <c r="T508" s="15"/>
      <c r="U508" s="44"/>
      <c r="V508" s="15">
        <f t="shared" si="39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40"/>
        <v>0</v>
      </c>
      <c r="AF508" s="101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2"/>
        <v>0</v>
      </c>
      <c r="BA508" s="15"/>
      <c r="BB508" s="44"/>
      <c r="BC508" s="15"/>
      <c r="BD508" s="44"/>
      <c r="BE508" s="15">
        <f t="shared" si="41"/>
        <v>0</v>
      </c>
    </row>
    <row r="509" spans="1:57" s="8" customFormat="1" ht="22.5" customHeight="1">
      <c r="A509" s="9"/>
      <c r="B509" s="16" t="s">
        <v>772</v>
      </c>
      <c r="C509" s="89" t="s">
        <v>151</v>
      </c>
      <c r="D509" s="61" t="s">
        <v>772</v>
      </c>
      <c r="E509" s="13"/>
      <c r="F509" s="95"/>
      <c r="G509" s="9"/>
      <c r="H509" s="9" t="s">
        <v>773</v>
      </c>
      <c r="I509" s="14"/>
      <c r="J509" s="14"/>
      <c r="K509" s="12">
        <v>0</v>
      </c>
      <c r="L509" s="9"/>
      <c r="M509" s="9"/>
      <c r="N509" s="9"/>
      <c r="O509" s="38">
        <f t="shared" si="38"/>
        <v>0</v>
      </c>
      <c r="P509" s="12"/>
      <c r="Q509" s="42"/>
      <c r="R509" s="15"/>
      <c r="S509" s="44"/>
      <c r="T509" s="15"/>
      <c r="U509" s="44"/>
      <c r="V509" s="15">
        <f t="shared" si="39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40"/>
        <v>0</v>
      </c>
      <c r="AF509" s="101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2"/>
        <v>0</v>
      </c>
      <c r="BA509" s="15"/>
      <c r="BB509" s="44"/>
      <c r="BC509" s="15"/>
      <c r="BD509" s="44"/>
      <c r="BE509" s="15">
        <f t="shared" si="41"/>
        <v>0</v>
      </c>
    </row>
    <row r="510" spans="1:57" s="8" customFormat="1" ht="22.5" customHeight="1">
      <c r="A510" s="9"/>
      <c r="B510" s="16" t="s">
        <v>774</v>
      </c>
      <c r="C510" s="89" t="s">
        <v>151</v>
      </c>
      <c r="D510" s="59" t="s">
        <v>775</v>
      </c>
      <c r="E510" s="13"/>
      <c r="F510" s="95"/>
      <c r="G510" s="9"/>
      <c r="H510" s="9"/>
      <c r="I510" s="14"/>
      <c r="J510" s="14"/>
      <c r="K510" s="12">
        <v>0</v>
      </c>
      <c r="L510" s="9"/>
      <c r="M510" s="9"/>
      <c r="N510" s="9"/>
      <c r="O510" s="38">
        <f t="shared" si="38"/>
        <v>0</v>
      </c>
      <c r="P510" s="12"/>
      <c r="Q510" s="42"/>
      <c r="R510" s="15"/>
      <c r="S510" s="44"/>
      <c r="T510" s="15"/>
      <c r="U510" s="44"/>
      <c r="V510" s="15">
        <f t="shared" si="39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40"/>
        <v>0</v>
      </c>
      <c r="AF510" s="101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2"/>
        <v>0</v>
      </c>
      <c r="BA510" s="15"/>
      <c r="BB510" s="44"/>
      <c r="BC510" s="15"/>
      <c r="BD510" s="44"/>
      <c r="BE510" s="15">
        <f t="shared" si="41"/>
        <v>0</v>
      </c>
    </row>
    <row r="511" spans="1:57" s="8" customFormat="1" ht="22.5" customHeight="1">
      <c r="A511" s="9"/>
      <c r="B511" s="16" t="s">
        <v>776</v>
      </c>
      <c r="C511" s="89" t="s">
        <v>151</v>
      </c>
      <c r="D511" s="56" t="s">
        <v>777</v>
      </c>
      <c r="E511" s="13"/>
      <c r="F511" s="95"/>
      <c r="G511" s="9"/>
      <c r="H511" s="9" t="s">
        <v>314</v>
      </c>
      <c r="I511" s="14"/>
      <c r="J511" s="14"/>
      <c r="K511" s="12">
        <v>0</v>
      </c>
      <c r="L511" s="9"/>
      <c r="M511" s="9"/>
      <c r="N511" s="9"/>
      <c r="O511" s="38">
        <f t="shared" si="38"/>
        <v>0</v>
      </c>
      <c r="P511" s="12"/>
      <c r="Q511" s="42"/>
      <c r="R511" s="15"/>
      <c r="S511" s="44"/>
      <c r="T511" s="15"/>
      <c r="U511" s="44"/>
      <c r="V511" s="15">
        <f t="shared" si="39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40"/>
        <v>0</v>
      </c>
      <c r="AF511" s="101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2"/>
        <v>0</v>
      </c>
      <c r="BA511" s="15"/>
      <c r="BB511" s="44"/>
      <c r="BC511" s="15"/>
      <c r="BD511" s="44"/>
      <c r="BE511" s="15">
        <f t="shared" si="41"/>
        <v>0</v>
      </c>
    </row>
    <row r="512" spans="1:57" s="8" customFormat="1" ht="22.5" customHeight="1">
      <c r="A512" s="9"/>
      <c r="B512" s="16" t="s">
        <v>101</v>
      </c>
      <c r="C512" s="89" t="s">
        <v>151</v>
      </c>
      <c r="D512" s="56" t="s">
        <v>778</v>
      </c>
      <c r="E512" s="13"/>
      <c r="F512" s="95"/>
      <c r="G512" s="9"/>
      <c r="H512" s="9" t="s">
        <v>779</v>
      </c>
      <c r="I512" s="14"/>
      <c r="J512" s="14"/>
      <c r="K512" s="12">
        <v>0</v>
      </c>
      <c r="L512" s="9"/>
      <c r="M512" s="9"/>
      <c r="N512" s="9"/>
      <c r="O512" s="38">
        <f t="shared" si="38"/>
        <v>0</v>
      </c>
      <c r="P512" s="12"/>
      <c r="Q512" s="42"/>
      <c r="R512" s="15"/>
      <c r="S512" s="44"/>
      <c r="T512" s="15"/>
      <c r="U512" s="44"/>
      <c r="V512" s="15">
        <f t="shared" si="39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40"/>
        <v>0</v>
      </c>
      <c r="AF512" s="101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2"/>
        <v>0</v>
      </c>
      <c r="BA512" s="15"/>
      <c r="BB512" s="44"/>
      <c r="BC512" s="15"/>
      <c r="BD512" s="44"/>
      <c r="BE512" s="15">
        <f t="shared" si="41"/>
        <v>0</v>
      </c>
    </row>
    <row r="513" spans="1:57" s="8" customFormat="1" ht="22.5" customHeight="1">
      <c r="A513" s="9"/>
      <c r="B513" s="16" t="s">
        <v>101</v>
      </c>
      <c r="C513" s="89" t="s">
        <v>151</v>
      </c>
      <c r="D513" s="56" t="s">
        <v>780</v>
      </c>
      <c r="E513" s="13"/>
      <c r="F513" s="95"/>
      <c r="G513" s="9"/>
      <c r="H513" s="9" t="s">
        <v>779</v>
      </c>
      <c r="I513" s="14"/>
      <c r="J513" s="14"/>
      <c r="K513" s="12">
        <v>0</v>
      </c>
      <c r="L513" s="9"/>
      <c r="M513" s="9"/>
      <c r="N513" s="9"/>
      <c r="O513" s="38">
        <f t="shared" si="38"/>
        <v>0</v>
      </c>
      <c r="P513" s="12"/>
      <c r="Q513" s="42"/>
      <c r="R513" s="15"/>
      <c r="S513" s="44"/>
      <c r="T513" s="15"/>
      <c r="U513" s="44"/>
      <c r="V513" s="15">
        <f t="shared" si="39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40"/>
        <v>0</v>
      </c>
      <c r="AF513" s="101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2"/>
        <v>0</v>
      </c>
      <c r="BA513" s="15"/>
      <c r="BB513" s="44"/>
      <c r="BC513" s="15"/>
      <c r="BD513" s="44"/>
      <c r="BE513" s="15">
        <f t="shared" si="41"/>
        <v>0</v>
      </c>
    </row>
    <row r="514" spans="1:57" s="8" customFormat="1" ht="22.5" customHeight="1">
      <c r="A514" s="9"/>
      <c r="B514" s="16" t="s">
        <v>101</v>
      </c>
      <c r="C514" s="89" t="s">
        <v>151</v>
      </c>
      <c r="D514" s="56" t="s">
        <v>781</v>
      </c>
      <c r="E514" s="13"/>
      <c r="F514" s="95"/>
      <c r="G514" s="9"/>
      <c r="H514" s="9" t="s">
        <v>779</v>
      </c>
      <c r="I514" s="14"/>
      <c r="J514" s="14"/>
      <c r="K514" s="12">
        <v>0</v>
      </c>
      <c r="L514" s="9"/>
      <c r="M514" s="9"/>
      <c r="N514" s="9"/>
      <c r="O514" s="38">
        <f t="shared" si="38"/>
        <v>0</v>
      </c>
      <c r="P514" s="12"/>
      <c r="Q514" s="42"/>
      <c r="R514" s="15"/>
      <c r="S514" s="44"/>
      <c r="T514" s="15"/>
      <c r="U514" s="44"/>
      <c r="V514" s="15">
        <f t="shared" si="39"/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si="40"/>
        <v>0</v>
      </c>
      <c r="AF514" s="101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2"/>
        <v>0</v>
      </c>
      <c r="BA514" s="15"/>
      <c r="BB514" s="44"/>
      <c r="BC514" s="15"/>
      <c r="BD514" s="44"/>
      <c r="BE514" s="15">
        <f t="shared" si="41"/>
        <v>0</v>
      </c>
    </row>
    <row r="515" spans="1:57" s="8" customFormat="1" ht="22.5" customHeight="1">
      <c r="A515" s="9"/>
      <c r="B515" s="16" t="s">
        <v>101</v>
      </c>
      <c r="C515" s="89" t="s">
        <v>151</v>
      </c>
      <c r="D515" s="56" t="s">
        <v>782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38"/>
        <v>0</v>
      </c>
      <c r="P515" s="12"/>
      <c r="Q515" s="42"/>
      <c r="R515" s="15"/>
      <c r="S515" s="44"/>
      <c r="T515" s="15"/>
      <c r="U515" s="44"/>
      <c r="V515" s="15">
        <f t="shared" si="39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0"/>
        <v>0</v>
      </c>
      <c r="AF515" s="101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si="42"/>
        <v>0</v>
      </c>
      <c r="BA515" s="15"/>
      <c r="BB515" s="44"/>
      <c r="BC515" s="15"/>
      <c r="BD515" s="44"/>
      <c r="BE515" s="15">
        <f t="shared" si="41"/>
        <v>0</v>
      </c>
    </row>
    <row r="516" spans="1:57" s="8" customFormat="1" ht="22.5" customHeight="1">
      <c r="A516" s="9"/>
      <c r="B516" s="16" t="s">
        <v>101</v>
      </c>
      <c r="C516" s="89" t="s">
        <v>151</v>
      </c>
      <c r="D516" s="56" t="s">
        <v>784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ref="O516:O567" si="43">K516+V516-AE516-AZ516</f>
        <v>0</v>
      </c>
      <c r="P516" s="12"/>
      <c r="Q516" s="42"/>
      <c r="R516" s="15"/>
      <c r="S516" s="44"/>
      <c r="T516" s="15"/>
      <c r="U516" s="44"/>
      <c r="V516" s="15">
        <f t="shared" ref="V516:V567" si="44">P516+R516+T516</f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ref="AE516:AE567" si="45">(W516+Y516+AA516+AC516)</f>
        <v>0</v>
      </c>
      <c r="AF516" s="101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2"/>
        <v>0</v>
      </c>
      <c r="BA516" s="15"/>
      <c r="BB516" s="44"/>
      <c r="BC516" s="15"/>
      <c r="BD516" s="44"/>
      <c r="BE516" s="15">
        <f t="shared" si="41"/>
        <v>0</v>
      </c>
    </row>
    <row r="517" spans="1:57" s="8" customFormat="1" ht="22.5" customHeight="1">
      <c r="A517" s="9"/>
      <c r="B517" s="16" t="s">
        <v>101</v>
      </c>
      <c r="C517" s="89" t="s">
        <v>151</v>
      </c>
      <c r="D517" s="56" t="s">
        <v>785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3"/>
        <v>0</v>
      </c>
      <c r="P517" s="12"/>
      <c r="Q517" s="42"/>
      <c r="R517" s="15"/>
      <c r="S517" s="44"/>
      <c r="T517" s="15"/>
      <c r="U517" s="44"/>
      <c r="V517" s="15">
        <f t="shared" si="44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5"/>
        <v>0</v>
      </c>
      <c r="AF517" s="101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2"/>
        <v>0</v>
      </c>
      <c r="BA517" s="15"/>
      <c r="BB517" s="44"/>
      <c r="BC517" s="15"/>
      <c r="BD517" s="44"/>
      <c r="BE517" s="15">
        <f t="shared" si="41"/>
        <v>0</v>
      </c>
    </row>
    <row r="518" spans="1:57" s="8" customFormat="1" ht="22.5" customHeight="1">
      <c r="A518" s="9"/>
      <c r="B518" s="16" t="s">
        <v>101</v>
      </c>
      <c r="C518" s="89" t="s">
        <v>151</v>
      </c>
      <c r="D518" s="56" t="s">
        <v>786</v>
      </c>
      <c r="E518" s="13"/>
      <c r="F518" s="95"/>
      <c r="G518" s="9"/>
      <c r="H518" s="9" t="s">
        <v>783</v>
      </c>
      <c r="I518" s="14"/>
      <c r="J518" s="14"/>
      <c r="K518" s="12">
        <v>0</v>
      </c>
      <c r="L518" s="9"/>
      <c r="M518" s="9"/>
      <c r="N518" s="9"/>
      <c r="O518" s="38">
        <f t="shared" si="43"/>
        <v>0</v>
      </c>
      <c r="P518" s="12"/>
      <c r="Q518" s="42"/>
      <c r="R518" s="15"/>
      <c r="S518" s="44"/>
      <c r="T518" s="15"/>
      <c r="U518" s="44"/>
      <c r="V518" s="15">
        <f t="shared" si="44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5"/>
        <v>0</v>
      </c>
      <c r="AF518" s="101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2"/>
        <v>0</v>
      </c>
      <c r="BA518" s="15"/>
      <c r="BB518" s="44"/>
      <c r="BC518" s="15"/>
      <c r="BD518" s="44"/>
      <c r="BE518" s="15">
        <f t="shared" si="41"/>
        <v>0</v>
      </c>
    </row>
    <row r="519" spans="1:57" s="8" customFormat="1" ht="22.5" customHeight="1">
      <c r="A519" s="9"/>
      <c r="B519" s="16" t="s">
        <v>101</v>
      </c>
      <c r="C519" s="89" t="s">
        <v>151</v>
      </c>
      <c r="D519" s="56" t="s">
        <v>787</v>
      </c>
      <c r="E519" s="13"/>
      <c r="F519" s="95"/>
      <c r="G519" s="9"/>
      <c r="H519" s="9" t="s">
        <v>783</v>
      </c>
      <c r="I519" s="14"/>
      <c r="J519" s="14"/>
      <c r="K519" s="12">
        <v>0</v>
      </c>
      <c r="L519" s="9"/>
      <c r="M519" s="9"/>
      <c r="N519" s="9"/>
      <c r="O519" s="38">
        <f t="shared" si="43"/>
        <v>0</v>
      </c>
      <c r="P519" s="12"/>
      <c r="Q519" s="42"/>
      <c r="R519" s="15"/>
      <c r="S519" s="44"/>
      <c r="T519" s="15"/>
      <c r="U519" s="44"/>
      <c r="V519" s="15">
        <f t="shared" si="44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5"/>
        <v>0</v>
      </c>
      <c r="AF519" s="101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2"/>
        <v>0</v>
      </c>
      <c r="BA519" s="15"/>
      <c r="BB519" s="44"/>
      <c r="BC519" s="15"/>
      <c r="BD519" s="44"/>
      <c r="BE519" s="15">
        <f t="shared" si="41"/>
        <v>0</v>
      </c>
    </row>
    <row r="520" spans="1:57" s="8" customFormat="1" ht="22.5" customHeight="1">
      <c r="A520" s="9"/>
      <c r="B520" s="16" t="s">
        <v>101</v>
      </c>
      <c r="C520" s="89" t="s">
        <v>151</v>
      </c>
      <c r="D520" s="56" t="s">
        <v>788</v>
      </c>
      <c r="E520" s="13"/>
      <c r="F520" s="95"/>
      <c r="G520" s="9"/>
      <c r="H520" s="9" t="s">
        <v>783</v>
      </c>
      <c r="I520" s="14"/>
      <c r="J520" s="14"/>
      <c r="K520" s="12">
        <v>0</v>
      </c>
      <c r="L520" s="9"/>
      <c r="M520" s="9"/>
      <c r="N520" s="9"/>
      <c r="O520" s="38">
        <f t="shared" si="43"/>
        <v>0</v>
      </c>
      <c r="P520" s="12"/>
      <c r="Q520" s="42"/>
      <c r="R520" s="15"/>
      <c r="S520" s="44"/>
      <c r="T520" s="15"/>
      <c r="U520" s="44"/>
      <c r="V520" s="15">
        <f t="shared" si="44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5"/>
        <v>0</v>
      </c>
      <c r="AF520" s="101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2"/>
        <v>0</v>
      </c>
      <c r="BA520" s="15"/>
      <c r="BB520" s="44"/>
      <c r="BC520" s="15"/>
      <c r="BD520" s="44"/>
      <c r="BE520" s="15">
        <f t="shared" si="41"/>
        <v>0</v>
      </c>
    </row>
    <row r="521" spans="1:57" s="8" customFormat="1" ht="22.5" customHeight="1">
      <c r="A521" s="9"/>
      <c r="B521" s="16" t="s">
        <v>101</v>
      </c>
      <c r="C521" s="89" t="s">
        <v>151</v>
      </c>
      <c r="D521" s="56" t="s">
        <v>789</v>
      </c>
      <c r="E521" s="13" t="s">
        <v>790</v>
      </c>
      <c r="F521" s="95"/>
      <c r="G521" s="9"/>
      <c r="H521" s="9" t="s">
        <v>791</v>
      </c>
      <c r="I521" s="14"/>
      <c r="J521" s="14"/>
      <c r="K521" s="12">
        <v>0</v>
      </c>
      <c r="L521" s="9"/>
      <c r="M521" s="9"/>
      <c r="N521" s="9"/>
      <c r="O521" s="38">
        <f t="shared" si="43"/>
        <v>0</v>
      </c>
      <c r="P521" s="12"/>
      <c r="Q521" s="42"/>
      <c r="R521" s="15"/>
      <c r="S521" s="44"/>
      <c r="T521" s="15"/>
      <c r="U521" s="44"/>
      <c r="V521" s="15">
        <f t="shared" si="44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5"/>
        <v>0</v>
      </c>
      <c r="AF521" s="101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2"/>
        <v>0</v>
      </c>
      <c r="BA521" s="15"/>
      <c r="BB521" s="44"/>
      <c r="BC521" s="15"/>
      <c r="BD521" s="44"/>
      <c r="BE521" s="15">
        <f t="shared" si="41"/>
        <v>0</v>
      </c>
    </row>
    <row r="522" spans="1:57" s="8" customFormat="1" ht="22.5" customHeight="1">
      <c r="A522" s="9"/>
      <c r="B522" s="16" t="s">
        <v>101</v>
      </c>
      <c r="C522" s="89" t="s">
        <v>151</v>
      </c>
      <c r="D522" s="56" t="s">
        <v>792</v>
      </c>
      <c r="E522" s="13" t="s">
        <v>793</v>
      </c>
      <c r="F522" s="95"/>
      <c r="G522" s="9"/>
      <c r="H522" s="9" t="s">
        <v>791</v>
      </c>
      <c r="I522" s="14"/>
      <c r="J522" s="14"/>
      <c r="K522" s="12">
        <v>0</v>
      </c>
      <c r="L522" s="9"/>
      <c r="M522" s="9"/>
      <c r="N522" s="9"/>
      <c r="O522" s="38">
        <f t="shared" si="43"/>
        <v>0</v>
      </c>
      <c r="P522" s="12"/>
      <c r="Q522" s="42"/>
      <c r="R522" s="15"/>
      <c r="S522" s="44"/>
      <c r="T522" s="15"/>
      <c r="U522" s="44"/>
      <c r="V522" s="15">
        <f t="shared" si="44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5"/>
        <v>0</v>
      </c>
      <c r="AF522" s="101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2"/>
        <v>0</v>
      </c>
      <c r="BA522" s="15"/>
      <c r="BB522" s="44"/>
      <c r="BC522" s="15"/>
      <c r="BD522" s="44"/>
      <c r="BE522" s="15">
        <f t="shared" si="41"/>
        <v>0</v>
      </c>
    </row>
    <row r="523" spans="1:57" s="8" customFormat="1" ht="22.5" customHeight="1">
      <c r="A523" s="9"/>
      <c r="B523" s="16" t="s">
        <v>330</v>
      </c>
      <c r="C523" s="89" t="s">
        <v>151</v>
      </c>
      <c r="D523" s="56" t="s">
        <v>794</v>
      </c>
      <c r="E523" s="13" t="s">
        <v>330</v>
      </c>
      <c r="F523" s="95"/>
      <c r="G523" s="9"/>
      <c r="H523" s="9" t="s">
        <v>332</v>
      </c>
      <c r="I523" s="14"/>
      <c r="J523" s="14"/>
      <c r="K523" s="12">
        <v>0</v>
      </c>
      <c r="L523" s="9"/>
      <c r="M523" s="9"/>
      <c r="N523" s="9"/>
      <c r="O523" s="38">
        <f t="shared" si="43"/>
        <v>0</v>
      </c>
      <c r="P523" s="12"/>
      <c r="Q523" s="42"/>
      <c r="R523" s="15"/>
      <c r="S523" s="44"/>
      <c r="T523" s="15"/>
      <c r="U523" s="44"/>
      <c r="V523" s="15">
        <f t="shared" si="44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5"/>
        <v>0</v>
      </c>
      <c r="AF523" s="101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2"/>
        <v>0</v>
      </c>
      <c r="BA523" s="15"/>
      <c r="BB523" s="44"/>
      <c r="BC523" s="15"/>
      <c r="BD523" s="44"/>
      <c r="BE523" s="15">
        <f t="shared" si="41"/>
        <v>0</v>
      </c>
    </row>
    <row r="524" spans="1:57" s="8" customFormat="1" ht="22.5" customHeight="1">
      <c r="A524" s="9"/>
      <c r="B524" s="16" t="s">
        <v>330</v>
      </c>
      <c r="C524" s="89" t="s">
        <v>52</v>
      </c>
      <c r="D524" s="56" t="s">
        <v>795</v>
      </c>
      <c r="E524" s="13" t="s">
        <v>796</v>
      </c>
      <c r="F524" s="95"/>
      <c r="G524" s="9"/>
      <c r="H524" s="9" t="s">
        <v>332</v>
      </c>
      <c r="I524" s="14"/>
      <c r="J524" s="14"/>
      <c r="K524" s="12">
        <v>0</v>
      </c>
      <c r="L524" s="9"/>
      <c r="M524" s="9"/>
      <c r="N524" s="9"/>
      <c r="O524" s="38">
        <f t="shared" si="43"/>
        <v>0</v>
      </c>
      <c r="P524" s="12"/>
      <c r="Q524" s="42"/>
      <c r="R524" s="15"/>
      <c r="S524" s="44"/>
      <c r="T524" s="15"/>
      <c r="U524" s="44"/>
      <c r="V524" s="15">
        <f t="shared" si="44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5"/>
        <v>0</v>
      </c>
      <c r="AF524" s="101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2"/>
        <v>0</v>
      </c>
      <c r="BA524" s="15"/>
      <c r="BB524" s="44"/>
      <c r="BC524" s="15"/>
      <c r="BD524" s="44"/>
      <c r="BE524" s="15">
        <f t="shared" si="41"/>
        <v>0</v>
      </c>
    </row>
    <row r="525" spans="1:57" s="8" customFormat="1" ht="22.5" customHeight="1">
      <c r="A525" s="9"/>
      <c r="B525" s="16" t="s">
        <v>797</v>
      </c>
      <c r="C525" s="89" t="s">
        <v>151</v>
      </c>
      <c r="D525" s="56" t="s">
        <v>798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3"/>
        <v>0</v>
      </c>
      <c r="P525" s="12"/>
      <c r="Q525" s="42"/>
      <c r="R525" s="15"/>
      <c r="S525" s="44"/>
      <c r="T525" s="15"/>
      <c r="U525" s="44"/>
      <c r="V525" s="15">
        <f t="shared" si="44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5"/>
        <v>0</v>
      </c>
      <c r="AF525" s="101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2"/>
        <v>0</v>
      </c>
      <c r="BA525" s="15"/>
      <c r="BB525" s="44"/>
      <c r="BC525" s="15"/>
      <c r="BD525" s="44"/>
      <c r="BE525" s="15">
        <f t="shared" si="41"/>
        <v>0</v>
      </c>
    </row>
    <row r="526" spans="1:57" s="8" customFormat="1" ht="22.5" customHeight="1">
      <c r="A526" s="9"/>
      <c r="B526" s="16" t="s">
        <v>799</v>
      </c>
      <c r="C526" s="89"/>
      <c r="D526" s="56" t="s">
        <v>800</v>
      </c>
      <c r="E526" s="13" t="s">
        <v>48</v>
      </c>
      <c r="F526" s="95"/>
      <c r="G526" s="9"/>
      <c r="H526" s="9" t="s">
        <v>687</v>
      </c>
      <c r="I526" s="14"/>
      <c r="J526" s="14"/>
      <c r="K526" s="12">
        <v>236</v>
      </c>
      <c r="L526" s="9"/>
      <c r="M526" s="9"/>
      <c r="N526" s="9"/>
      <c r="O526" s="38">
        <f t="shared" si="43"/>
        <v>236</v>
      </c>
      <c r="P526" s="12"/>
      <c r="Q526" s="42"/>
      <c r="R526" s="15"/>
      <c r="S526" s="44"/>
      <c r="T526" s="15"/>
      <c r="U526" s="44"/>
      <c r="V526" s="15">
        <f t="shared" si="44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5"/>
        <v>0</v>
      </c>
      <c r="AF526" s="101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2"/>
        <v>0</v>
      </c>
      <c r="BA526" s="15"/>
      <c r="BB526" s="44"/>
      <c r="BC526" s="15"/>
      <c r="BD526" s="44"/>
      <c r="BE526" s="15">
        <f t="shared" si="41"/>
        <v>0</v>
      </c>
    </row>
    <row r="527" spans="1:57" s="8" customFormat="1" ht="22.5" customHeight="1">
      <c r="A527" s="9"/>
      <c r="B527" s="16" t="s">
        <v>801</v>
      </c>
      <c r="C527" s="89"/>
      <c r="D527" s="56" t="s">
        <v>802</v>
      </c>
      <c r="E527" s="13"/>
      <c r="F527" s="95"/>
      <c r="G527" s="9"/>
      <c r="H527" s="9" t="s">
        <v>687</v>
      </c>
      <c r="I527" s="14"/>
      <c r="J527" s="14"/>
      <c r="K527" s="12">
        <v>0</v>
      </c>
      <c r="L527" s="9"/>
      <c r="M527" s="9"/>
      <c r="N527" s="9"/>
      <c r="O527" s="38">
        <f t="shared" si="43"/>
        <v>0</v>
      </c>
      <c r="P527" s="12"/>
      <c r="Q527" s="42"/>
      <c r="R527" s="15"/>
      <c r="S527" s="44"/>
      <c r="T527" s="15"/>
      <c r="U527" s="44"/>
      <c r="V527" s="15">
        <f t="shared" si="44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5"/>
        <v>0</v>
      </c>
      <c r="AF527" s="101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2"/>
        <v>0</v>
      </c>
      <c r="BA527" s="15"/>
      <c r="BB527" s="44"/>
      <c r="BC527" s="15"/>
      <c r="BD527" s="44"/>
      <c r="BE527" s="15">
        <f t="shared" si="41"/>
        <v>0</v>
      </c>
    </row>
    <row r="528" spans="1:57" s="8" customFormat="1" ht="22.5" customHeight="1">
      <c r="A528" s="9"/>
      <c r="B528" s="16" t="s">
        <v>801</v>
      </c>
      <c r="C528" s="89"/>
      <c r="D528" s="59" t="s">
        <v>803</v>
      </c>
      <c r="E528" s="13"/>
      <c r="F528" s="95"/>
      <c r="G528" s="9"/>
      <c r="H528" s="9" t="s">
        <v>467</v>
      </c>
      <c r="I528" s="14"/>
      <c r="J528" s="14"/>
      <c r="K528" s="12">
        <v>0</v>
      </c>
      <c r="L528" s="9"/>
      <c r="M528" s="9"/>
      <c r="N528" s="9"/>
      <c r="O528" s="38">
        <f t="shared" si="43"/>
        <v>0</v>
      </c>
      <c r="P528" s="12"/>
      <c r="Q528" s="42"/>
      <c r="R528" s="15"/>
      <c r="S528" s="44"/>
      <c r="T528" s="15"/>
      <c r="U528" s="44"/>
      <c r="V528" s="15">
        <f t="shared" si="44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5"/>
        <v>0</v>
      </c>
      <c r="AF528" s="101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2"/>
        <v>0</v>
      </c>
      <c r="BA528" s="15"/>
      <c r="BB528" s="44"/>
      <c r="BC528" s="15"/>
      <c r="BD528" s="44"/>
      <c r="BE528" s="15">
        <f t="shared" si="41"/>
        <v>0</v>
      </c>
    </row>
    <row r="529" spans="1:57" s="8" customFormat="1" ht="22.5" customHeight="1">
      <c r="A529" s="9"/>
      <c r="B529" s="16" t="s">
        <v>801</v>
      </c>
      <c r="C529" s="89"/>
      <c r="D529" s="87" t="s">
        <v>804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3"/>
        <v>0</v>
      </c>
      <c r="P529" s="12"/>
      <c r="Q529" s="42"/>
      <c r="R529" s="15"/>
      <c r="S529" s="44"/>
      <c r="T529" s="15"/>
      <c r="U529" s="44"/>
      <c r="V529" s="15">
        <f t="shared" si="44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5"/>
        <v>0</v>
      </c>
      <c r="AF529" s="101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2"/>
        <v>0</v>
      </c>
      <c r="BA529" s="15"/>
      <c r="BB529" s="44"/>
      <c r="BC529" s="15"/>
      <c r="BD529" s="44"/>
      <c r="BE529" s="15">
        <f t="shared" si="41"/>
        <v>0</v>
      </c>
    </row>
    <row r="530" spans="1:57" s="8" customFormat="1" ht="22.5" customHeight="1">
      <c r="A530" s="9"/>
      <c r="B530" s="16" t="s">
        <v>801</v>
      </c>
      <c r="C530" s="89" t="s">
        <v>52</v>
      </c>
      <c r="D530" s="56" t="s">
        <v>806</v>
      </c>
      <c r="E530" s="13"/>
      <c r="F530" s="95"/>
      <c r="G530" s="9"/>
      <c r="H530" s="9" t="s">
        <v>805</v>
      </c>
      <c r="I530" s="14"/>
      <c r="J530" s="14"/>
      <c r="K530" s="12">
        <v>7</v>
      </c>
      <c r="L530" s="9"/>
      <c r="M530" s="9"/>
      <c r="N530" s="9"/>
      <c r="O530" s="38">
        <f t="shared" si="43"/>
        <v>7</v>
      </c>
      <c r="P530" s="12"/>
      <c r="Q530" s="42"/>
      <c r="R530" s="15"/>
      <c r="S530" s="44"/>
      <c r="T530" s="15"/>
      <c r="U530" s="44"/>
      <c r="V530" s="15">
        <f t="shared" si="44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5"/>
        <v>0</v>
      </c>
      <c r="AF530" s="101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2"/>
        <v>0</v>
      </c>
      <c r="BA530" s="15"/>
      <c r="BB530" s="44"/>
      <c r="BC530" s="15"/>
      <c r="BD530" s="44"/>
      <c r="BE530" s="15">
        <f t="shared" si="41"/>
        <v>0</v>
      </c>
    </row>
    <row r="531" spans="1:57" s="8" customFormat="1" ht="22.5" customHeight="1">
      <c r="A531" s="9"/>
      <c r="B531" s="16" t="s">
        <v>570</v>
      </c>
      <c r="C531" s="89" t="s">
        <v>52</v>
      </c>
      <c r="D531" s="56" t="s">
        <v>807</v>
      </c>
      <c r="E531" s="13"/>
      <c r="F531" s="95"/>
      <c r="G531" s="9"/>
      <c r="H531" s="9" t="s">
        <v>805</v>
      </c>
      <c r="I531" s="14"/>
      <c r="J531" s="14"/>
      <c r="K531" s="12">
        <v>10</v>
      </c>
      <c r="L531" s="9"/>
      <c r="M531" s="9"/>
      <c r="N531" s="9"/>
      <c r="O531" s="38">
        <f t="shared" si="43"/>
        <v>10</v>
      </c>
      <c r="P531" s="12"/>
      <c r="Q531" s="42"/>
      <c r="R531" s="15"/>
      <c r="S531" s="44"/>
      <c r="T531" s="15"/>
      <c r="U531" s="44"/>
      <c r="V531" s="15">
        <f t="shared" si="44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5"/>
        <v>0</v>
      </c>
      <c r="AF531" s="101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2"/>
        <v>0</v>
      </c>
      <c r="BA531" s="15"/>
      <c r="BB531" s="44"/>
      <c r="BC531" s="15"/>
      <c r="BD531" s="44"/>
      <c r="BE531" s="15">
        <f t="shared" si="41"/>
        <v>0</v>
      </c>
    </row>
    <row r="532" spans="1:57" s="8" customFormat="1" ht="22.5" customHeight="1">
      <c r="A532" s="9"/>
      <c r="B532" s="16" t="s">
        <v>808</v>
      </c>
      <c r="C532" s="89" t="s">
        <v>52</v>
      </c>
      <c r="D532" s="59" t="s">
        <v>809</v>
      </c>
      <c r="E532" s="13"/>
      <c r="F532" s="95"/>
      <c r="G532" s="9"/>
      <c r="H532" s="9" t="s">
        <v>805</v>
      </c>
      <c r="I532" s="14"/>
      <c r="J532" s="14"/>
      <c r="K532" s="12">
        <v>0</v>
      </c>
      <c r="L532" s="9"/>
      <c r="M532" s="9"/>
      <c r="N532" s="9"/>
      <c r="O532" s="38">
        <f t="shared" si="43"/>
        <v>0</v>
      </c>
      <c r="P532" s="12"/>
      <c r="Q532" s="42"/>
      <c r="R532" s="15"/>
      <c r="S532" s="44"/>
      <c r="T532" s="15"/>
      <c r="U532" s="44"/>
      <c r="V532" s="15">
        <f t="shared" si="44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5"/>
        <v>0</v>
      </c>
      <c r="AF532" s="101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2"/>
        <v>0</v>
      </c>
      <c r="BA532" s="15"/>
      <c r="BB532" s="44"/>
      <c r="BC532" s="15"/>
      <c r="BD532" s="44"/>
      <c r="BE532" s="15">
        <f t="shared" si="41"/>
        <v>0</v>
      </c>
    </row>
    <row r="533" spans="1:57" s="8" customFormat="1" ht="22.5" customHeight="1">
      <c r="A533" s="9"/>
      <c r="B533" s="16" t="s">
        <v>808</v>
      </c>
      <c r="C533" s="89" t="s">
        <v>52</v>
      </c>
      <c r="D533" s="59" t="s">
        <v>810</v>
      </c>
      <c r="E533" s="13"/>
      <c r="F533" s="95"/>
      <c r="G533" s="9"/>
      <c r="H533" s="9" t="s">
        <v>314</v>
      </c>
      <c r="I533" s="14"/>
      <c r="J533" s="14"/>
      <c r="K533" s="12">
        <v>0</v>
      </c>
      <c r="L533" s="9"/>
      <c r="M533" s="9"/>
      <c r="N533" s="9"/>
      <c r="O533" s="38">
        <f t="shared" si="43"/>
        <v>0</v>
      </c>
      <c r="P533" s="12"/>
      <c r="Q533" s="42"/>
      <c r="R533" s="15"/>
      <c r="S533" s="44"/>
      <c r="T533" s="15"/>
      <c r="U533" s="44"/>
      <c r="V533" s="15">
        <f t="shared" si="44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5"/>
        <v>0</v>
      </c>
      <c r="AF533" s="101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2"/>
        <v>0</v>
      </c>
      <c r="BA533" s="15"/>
      <c r="BB533" s="44"/>
      <c r="BC533" s="15"/>
      <c r="BD533" s="44"/>
      <c r="BE533" s="15">
        <f t="shared" si="41"/>
        <v>0</v>
      </c>
    </row>
    <row r="534" spans="1:57" s="8" customFormat="1" ht="22.5" customHeight="1">
      <c r="A534" s="9"/>
      <c r="B534" s="16" t="s">
        <v>811</v>
      </c>
      <c r="C534" s="89" t="s">
        <v>140</v>
      </c>
      <c r="D534" s="59" t="s">
        <v>812</v>
      </c>
      <c r="E534" s="13" t="s">
        <v>813</v>
      </c>
      <c r="F534" s="95"/>
      <c r="G534" s="9"/>
      <c r="H534" s="9" t="s">
        <v>566</v>
      </c>
      <c r="I534" s="14"/>
      <c r="J534" s="14"/>
      <c r="K534" s="12">
        <v>0</v>
      </c>
      <c r="L534" s="9"/>
      <c r="M534" s="9"/>
      <c r="N534" s="9"/>
      <c r="O534" s="38">
        <f t="shared" si="43"/>
        <v>0</v>
      </c>
      <c r="P534" s="12"/>
      <c r="Q534" s="42"/>
      <c r="R534" s="15"/>
      <c r="S534" s="44"/>
      <c r="T534" s="15"/>
      <c r="U534" s="44"/>
      <c r="V534" s="15">
        <f t="shared" si="44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5"/>
        <v>0</v>
      </c>
      <c r="AF534" s="101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2"/>
        <v>0</v>
      </c>
      <c r="BA534" s="15"/>
      <c r="BB534" s="44"/>
      <c r="BC534" s="15"/>
      <c r="BD534" s="44"/>
      <c r="BE534" s="15">
        <f t="shared" si="41"/>
        <v>0</v>
      </c>
    </row>
    <row r="535" spans="1:57" s="8" customFormat="1" ht="22.5" customHeight="1">
      <c r="A535" s="9"/>
      <c r="B535" s="16" t="s">
        <v>811</v>
      </c>
      <c r="C535" s="89" t="s">
        <v>132</v>
      </c>
      <c r="D535" s="59" t="s">
        <v>812</v>
      </c>
      <c r="E535" s="13"/>
      <c r="F535" s="95"/>
      <c r="G535" s="9"/>
      <c r="H535" s="9" t="s">
        <v>566</v>
      </c>
      <c r="I535" s="14"/>
      <c r="J535" s="14"/>
      <c r="K535" s="12">
        <v>0</v>
      </c>
      <c r="L535" s="9"/>
      <c r="M535" s="9"/>
      <c r="N535" s="9"/>
      <c r="O535" s="38">
        <f t="shared" si="43"/>
        <v>0</v>
      </c>
      <c r="P535" s="12"/>
      <c r="Q535" s="42"/>
      <c r="R535" s="15"/>
      <c r="S535" s="44"/>
      <c r="T535" s="15"/>
      <c r="U535" s="44"/>
      <c r="V535" s="15">
        <f t="shared" si="44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5"/>
        <v>0</v>
      </c>
      <c r="AF535" s="101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2"/>
        <v>0</v>
      </c>
      <c r="BA535" s="15"/>
      <c r="BB535" s="44"/>
      <c r="BC535" s="15"/>
      <c r="BD535" s="44"/>
      <c r="BE535" s="15">
        <f t="shared" si="41"/>
        <v>0</v>
      </c>
    </row>
    <row r="536" spans="1:57" s="8" customFormat="1" ht="22.5" customHeight="1">
      <c r="A536" s="9"/>
      <c r="B536" s="16" t="s">
        <v>811</v>
      </c>
      <c r="C536" s="89" t="s">
        <v>140</v>
      </c>
      <c r="D536" s="56" t="s">
        <v>814</v>
      </c>
      <c r="E536" s="13" t="s">
        <v>815</v>
      </c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3"/>
        <v>0</v>
      </c>
      <c r="P536" s="12"/>
      <c r="Q536" s="42"/>
      <c r="R536" s="15"/>
      <c r="S536" s="44"/>
      <c r="T536" s="15"/>
      <c r="U536" s="44"/>
      <c r="V536" s="15">
        <f t="shared" si="44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5"/>
        <v>0</v>
      </c>
      <c r="AF536" s="101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2"/>
        <v>0</v>
      </c>
      <c r="BA536" s="15"/>
      <c r="BB536" s="44"/>
      <c r="BC536" s="15"/>
      <c r="BD536" s="44"/>
      <c r="BE536" s="15">
        <f t="shared" si="41"/>
        <v>0</v>
      </c>
    </row>
    <row r="537" spans="1:57" s="8" customFormat="1" ht="22.5" customHeight="1">
      <c r="A537" s="9"/>
      <c r="B537" s="16" t="s">
        <v>204</v>
      </c>
      <c r="C537" s="89" t="s">
        <v>44</v>
      </c>
      <c r="D537" s="56" t="s">
        <v>816</v>
      </c>
      <c r="E537" s="13"/>
      <c r="F537" s="95"/>
      <c r="G537" s="9"/>
      <c r="H537" s="9" t="s">
        <v>817</v>
      </c>
      <c r="I537" s="14"/>
      <c r="J537" s="14"/>
      <c r="K537" s="12">
        <v>0</v>
      </c>
      <c r="L537" s="9"/>
      <c r="M537" s="9"/>
      <c r="N537" s="9"/>
      <c r="O537" s="38">
        <f t="shared" si="43"/>
        <v>0</v>
      </c>
      <c r="P537" s="12"/>
      <c r="Q537" s="42"/>
      <c r="R537" s="15"/>
      <c r="S537" s="44"/>
      <c r="T537" s="15"/>
      <c r="U537" s="44"/>
      <c r="V537" s="15">
        <f t="shared" si="44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5"/>
        <v>0</v>
      </c>
      <c r="AF537" s="101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2"/>
        <v>0</v>
      </c>
      <c r="BA537" s="15"/>
      <c r="BB537" s="44"/>
      <c r="BC537" s="15"/>
      <c r="BD537" s="44"/>
      <c r="BE537" s="15">
        <f t="shared" si="41"/>
        <v>0</v>
      </c>
    </row>
    <row r="538" spans="1:57" s="8" customFormat="1" ht="22.5" customHeight="1">
      <c r="A538" s="9"/>
      <c r="B538" s="16" t="s">
        <v>334</v>
      </c>
      <c r="C538" s="89" t="s">
        <v>44</v>
      </c>
      <c r="D538" s="59" t="s">
        <v>818</v>
      </c>
      <c r="E538" s="13"/>
      <c r="F538" s="95"/>
      <c r="G538" s="9"/>
      <c r="H538" s="9" t="s">
        <v>314</v>
      </c>
      <c r="I538" s="14"/>
      <c r="J538" s="14"/>
      <c r="K538" s="12">
        <v>0</v>
      </c>
      <c r="L538" s="9"/>
      <c r="M538" s="9"/>
      <c r="N538" s="9"/>
      <c r="O538" s="38">
        <f t="shared" si="43"/>
        <v>0</v>
      </c>
      <c r="P538" s="12"/>
      <c r="Q538" s="42"/>
      <c r="R538" s="15"/>
      <c r="S538" s="44"/>
      <c r="T538" s="15"/>
      <c r="U538" s="44"/>
      <c r="V538" s="15">
        <f t="shared" si="44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5"/>
        <v>0</v>
      </c>
      <c r="AF538" s="101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2"/>
        <v>0</v>
      </c>
      <c r="BA538" s="15"/>
      <c r="BB538" s="44"/>
      <c r="BC538" s="15"/>
      <c r="BD538" s="44"/>
      <c r="BE538" s="15">
        <f t="shared" si="41"/>
        <v>0</v>
      </c>
    </row>
    <row r="539" spans="1:57" s="8" customFormat="1" ht="22.5" customHeight="1">
      <c r="A539" s="9"/>
      <c r="B539" s="16" t="s">
        <v>808</v>
      </c>
      <c r="C539" s="89" t="s">
        <v>151</v>
      </c>
      <c r="D539" s="59" t="s">
        <v>819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3"/>
        <v>0</v>
      </c>
      <c r="P539" s="12"/>
      <c r="Q539" s="42"/>
      <c r="R539" s="15"/>
      <c r="S539" s="44"/>
      <c r="T539" s="15"/>
      <c r="U539" s="44"/>
      <c r="V539" s="15">
        <f t="shared" si="44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5"/>
        <v>0</v>
      </c>
      <c r="AF539" s="101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2"/>
        <v>0</v>
      </c>
      <c r="BA539" s="15"/>
      <c r="BB539" s="44"/>
      <c r="BC539" s="15"/>
      <c r="BD539" s="44"/>
      <c r="BE539" s="15">
        <f t="shared" si="41"/>
        <v>0</v>
      </c>
    </row>
    <row r="540" spans="1:57" s="8" customFormat="1" ht="22.5" customHeight="1">
      <c r="A540" s="9"/>
      <c r="B540" s="16" t="s">
        <v>808</v>
      </c>
      <c r="C540" s="89" t="s">
        <v>151</v>
      </c>
      <c r="D540" s="59" t="s">
        <v>820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3"/>
        <v>0</v>
      </c>
      <c r="P540" s="12"/>
      <c r="Q540" s="42"/>
      <c r="R540" s="15"/>
      <c r="S540" s="44"/>
      <c r="T540" s="15"/>
      <c r="U540" s="44"/>
      <c r="V540" s="15">
        <f t="shared" si="44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5"/>
        <v>0</v>
      </c>
      <c r="AF540" s="101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2"/>
        <v>0</v>
      </c>
      <c r="BA540" s="15"/>
      <c r="BB540" s="44"/>
      <c r="BC540" s="15"/>
      <c r="BD540" s="44"/>
      <c r="BE540" s="15">
        <f t="shared" si="41"/>
        <v>0</v>
      </c>
    </row>
    <row r="541" spans="1:57" s="8" customFormat="1" ht="22.5" customHeight="1">
      <c r="A541" s="9"/>
      <c r="B541" s="16" t="s">
        <v>808</v>
      </c>
      <c r="C541" s="89" t="s">
        <v>52</v>
      </c>
      <c r="D541" s="59" t="s">
        <v>821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3"/>
        <v>0</v>
      </c>
      <c r="P541" s="12"/>
      <c r="Q541" s="42"/>
      <c r="R541" s="15"/>
      <c r="S541" s="44"/>
      <c r="T541" s="15"/>
      <c r="U541" s="44"/>
      <c r="V541" s="15">
        <f t="shared" si="44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5"/>
        <v>0</v>
      </c>
      <c r="AF541" s="101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2"/>
        <v>0</v>
      </c>
      <c r="BA541" s="15"/>
      <c r="BB541" s="44"/>
      <c r="BC541" s="15"/>
      <c r="BD541" s="44"/>
      <c r="BE541" s="15">
        <f t="shared" si="41"/>
        <v>0</v>
      </c>
    </row>
    <row r="542" spans="1:57" s="8" customFormat="1" ht="22.5" customHeight="1">
      <c r="A542" s="9"/>
      <c r="B542" s="16" t="s">
        <v>808</v>
      </c>
      <c r="C542" s="89" t="s">
        <v>52</v>
      </c>
      <c r="D542" s="56" t="s">
        <v>822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3"/>
        <v>0</v>
      </c>
      <c r="P542" s="12"/>
      <c r="Q542" s="42"/>
      <c r="R542" s="15"/>
      <c r="S542" s="44"/>
      <c r="T542" s="15"/>
      <c r="U542" s="44"/>
      <c r="V542" s="15">
        <f t="shared" si="44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5"/>
        <v>0</v>
      </c>
      <c r="AF542" s="101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2"/>
        <v>0</v>
      </c>
      <c r="BA542" s="15"/>
      <c r="BB542" s="44"/>
      <c r="BC542" s="15"/>
      <c r="BD542" s="44"/>
      <c r="BE542" s="15">
        <f t="shared" si="41"/>
        <v>0</v>
      </c>
    </row>
    <row r="543" spans="1:57" s="8" customFormat="1" ht="22.5" customHeight="1">
      <c r="A543" s="9"/>
      <c r="B543" s="16" t="s">
        <v>808</v>
      </c>
      <c r="C543" s="89" t="s">
        <v>52</v>
      </c>
      <c r="D543" s="56" t="s">
        <v>823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3"/>
        <v>0</v>
      </c>
      <c r="P543" s="12"/>
      <c r="Q543" s="42"/>
      <c r="R543" s="15"/>
      <c r="S543" s="44"/>
      <c r="T543" s="15"/>
      <c r="U543" s="44"/>
      <c r="V543" s="15">
        <f t="shared" si="44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5"/>
        <v>0</v>
      </c>
      <c r="AF543" s="101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2"/>
        <v>0</v>
      </c>
      <c r="BA543" s="15"/>
      <c r="BB543" s="44"/>
      <c r="BC543" s="15"/>
      <c r="BD543" s="44"/>
      <c r="BE543" s="15">
        <f t="shared" si="41"/>
        <v>0</v>
      </c>
    </row>
    <row r="544" spans="1:57" s="8" customFormat="1" ht="22.5" customHeight="1">
      <c r="A544" s="9"/>
      <c r="B544" s="16" t="s">
        <v>808</v>
      </c>
      <c r="C544" s="89" t="s">
        <v>52</v>
      </c>
      <c r="D544" s="56" t="s">
        <v>824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3"/>
        <v>0</v>
      </c>
      <c r="P544" s="12"/>
      <c r="Q544" s="42"/>
      <c r="R544" s="15"/>
      <c r="S544" s="44"/>
      <c r="T544" s="15"/>
      <c r="U544" s="44"/>
      <c r="V544" s="15">
        <f t="shared" si="44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5"/>
        <v>0</v>
      </c>
      <c r="AF544" s="101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2"/>
        <v>0</v>
      </c>
      <c r="BA544" s="15"/>
      <c r="BB544" s="44"/>
      <c r="BC544" s="15"/>
      <c r="BD544" s="44"/>
      <c r="BE544" s="15">
        <f t="shared" si="41"/>
        <v>0</v>
      </c>
    </row>
    <row r="545" spans="1:57" s="8" customFormat="1" ht="22.5" customHeight="1">
      <c r="A545" s="9"/>
      <c r="B545" s="16" t="s">
        <v>808</v>
      </c>
      <c r="C545" s="89" t="s">
        <v>52</v>
      </c>
      <c r="D545" s="56" t="s">
        <v>825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3"/>
        <v>0</v>
      </c>
      <c r="P545" s="12"/>
      <c r="Q545" s="42"/>
      <c r="R545" s="15"/>
      <c r="S545" s="44"/>
      <c r="T545" s="15"/>
      <c r="U545" s="44"/>
      <c r="V545" s="15">
        <f t="shared" si="44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5"/>
        <v>0</v>
      </c>
      <c r="AF545" s="101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2"/>
        <v>0</v>
      </c>
      <c r="BA545" s="15"/>
      <c r="BB545" s="44"/>
      <c r="BC545" s="15"/>
      <c r="BD545" s="44"/>
      <c r="BE545" s="15">
        <f t="shared" si="41"/>
        <v>0</v>
      </c>
    </row>
    <row r="546" spans="1:57" s="8" customFormat="1" ht="22.5" customHeight="1">
      <c r="A546" s="9"/>
      <c r="B546" s="16" t="s">
        <v>808</v>
      </c>
      <c r="C546" s="89" t="s">
        <v>52</v>
      </c>
      <c r="D546" s="59" t="s">
        <v>826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3"/>
        <v>0</v>
      </c>
      <c r="P546" s="12"/>
      <c r="Q546" s="42"/>
      <c r="R546" s="15"/>
      <c r="S546" s="44"/>
      <c r="T546" s="15"/>
      <c r="U546" s="44"/>
      <c r="V546" s="15">
        <f t="shared" si="44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5"/>
        <v>0</v>
      </c>
      <c r="AF546" s="101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2"/>
        <v>0</v>
      </c>
      <c r="BA546" s="15"/>
      <c r="BB546" s="44"/>
      <c r="BC546" s="15"/>
      <c r="BD546" s="44"/>
      <c r="BE546" s="15">
        <f t="shared" ref="BE546:BE567" si="46">(BA546+BC546)</f>
        <v>0</v>
      </c>
    </row>
    <row r="547" spans="1:57" s="8" customFormat="1" ht="22.5" customHeight="1">
      <c r="A547" s="9"/>
      <c r="B547" s="16" t="s">
        <v>808</v>
      </c>
      <c r="C547" s="89" t="s">
        <v>52</v>
      </c>
      <c r="D547" s="59" t="s">
        <v>827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3"/>
        <v>0</v>
      </c>
      <c r="P547" s="12"/>
      <c r="Q547" s="42"/>
      <c r="R547" s="15"/>
      <c r="S547" s="44"/>
      <c r="T547" s="15"/>
      <c r="U547" s="44"/>
      <c r="V547" s="15">
        <f t="shared" si="44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5"/>
        <v>0</v>
      </c>
      <c r="AF547" s="101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2"/>
        <v>0</v>
      </c>
      <c r="BA547" s="15"/>
      <c r="BB547" s="44"/>
      <c r="BC547" s="15"/>
      <c r="BD547" s="44"/>
      <c r="BE547" s="15">
        <f t="shared" si="46"/>
        <v>0</v>
      </c>
    </row>
    <row r="548" spans="1:57" s="8" customFormat="1" ht="22.5" customHeight="1">
      <c r="A548" s="9"/>
      <c r="B548" s="16" t="s">
        <v>808</v>
      </c>
      <c r="C548" s="89" t="s">
        <v>52</v>
      </c>
      <c r="D548" s="75" t="s">
        <v>828</v>
      </c>
      <c r="E548" s="13"/>
      <c r="F548" s="95"/>
      <c r="G548" s="9"/>
      <c r="H548" s="9" t="s">
        <v>566</v>
      </c>
      <c r="I548" s="14"/>
      <c r="J548" s="14"/>
      <c r="K548" s="12">
        <v>0</v>
      </c>
      <c r="L548" s="9"/>
      <c r="M548" s="9"/>
      <c r="N548" s="9"/>
      <c r="O548" s="38">
        <f t="shared" si="43"/>
        <v>0</v>
      </c>
      <c r="P548" s="12"/>
      <c r="Q548" s="42"/>
      <c r="R548" s="15"/>
      <c r="S548" s="44"/>
      <c r="T548" s="15"/>
      <c r="U548" s="44"/>
      <c r="V548" s="15">
        <f t="shared" si="44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5"/>
        <v>0</v>
      </c>
      <c r="AF548" s="101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2"/>
        <v>0</v>
      </c>
      <c r="BA548" s="15"/>
      <c r="BB548" s="44"/>
      <c r="BC548" s="15"/>
      <c r="BD548" s="44"/>
      <c r="BE548" s="15">
        <f t="shared" si="46"/>
        <v>0</v>
      </c>
    </row>
    <row r="549" spans="1:57" s="8" customFormat="1" ht="22.5" customHeight="1">
      <c r="A549" s="9"/>
      <c r="B549" s="16" t="s">
        <v>808</v>
      </c>
      <c r="C549" s="89" t="s">
        <v>52</v>
      </c>
      <c r="D549" s="87" t="s">
        <v>829</v>
      </c>
      <c r="E549" s="13"/>
      <c r="F549" s="95"/>
      <c r="G549" s="9"/>
      <c r="H549" s="9" t="s">
        <v>566</v>
      </c>
      <c r="I549" s="14"/>
      <c r="J549" s="14"/>
      <c r="K549" s="12">
        <v>0</v>
      </c>
      <c r="L549" s="9"/>
      <c r="M549" s="9"/>
      <c r="N549" s="9"/>
      <c r="O549" s="38">
        <f t="shared" si="43"/>
        <v>0</v>
      </c>
      <c r="P549" s="12"/>
      <c r="Q549" s="42"/>
      <c r="R549" s="15"/>
      <c r="S549" s="44"/>
      <c r="T549" s="15"/>
      <c r="U549" s="44"/>
      <c r="V549" s="15">
        <f t="shared" si="44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5"/>
        <v>0</v>
      </c>
      <c r="AF549" s="101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ref="AZ549:AZ567" si="47">AF549+AH549+AJ549+AL549+AN549+AP549+AR549+AT549+AV549+AX549</f>
        <v>0</v>
      </c>
      <c r="BA549" s="15"/>
      <c r="BB549" s="44"/>
      <c r="BC549" s="15"/>
      <c r="BD549" s="44"/>
      <c r="BE549" s="15">
        <f t="shared" si="46"/>
        <v>0</v>
      </c>
    </row>
    <row r="550" spans="1:57" s="8" customFormat="1" ht="22.5" customHeight="1">
      <c r="A550" s="9"/>
      <c r="B550" s="16" t="s">
        <v>830</v>
      </c>
      <c r="C550" s="89" t="s">
        <v>494</v>
      </c>
      <c r="D550" s="75" t="s">
        <v>830</v>
      </c>
      <c r="E550" s="13"/>
      <c r="F550" s="95"/>
      <c r="G550" s="9"/>
      <c r="H550" s="9" t="s">
        <v>566</v>
      </c>
      <c r="I550" s="14"/>
      <c r="J550" s="14"/>
      <c r="K550" s="12">
        <v>0</v>
      </c>
      <c r="L550" s="9"/>
      <c r="M550" s="9"/>
      <c r="N550" s="9"/>
      <c r="O550" s="38">
        <f t="shared" si="43"/>
        <v>0</v>
      </c>
      <c r="P550" s="12"/>
      <c r="Q550" s="42"/>
      <c r="R550" s="15"/>
      <c r="S550" s="44"/>
      <c r="T550" s="15"/>
      <c r="U550" s="44"/>
      <c r="V550" s="15">
        <f t="shared" si="44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5"/>
        <v>0</v>
      </c>
      <c r="AF550" s="101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7"/>
        <v>0</v>
      </c>
      <c r="BA550" s="15"/>
      <c r="BB550" s="44"/>
      <c r="BC550" s="15"/>
      <c r="BD550" s="44"/>
      <c r="BE550" s="15">
        <f t="shared" si="46"/>
        <v>0</v>
      </c>
    </row>
    <row r="551" spans="1:57" s="8" customFormat="1" ht="22.5" customHeight="1">
      <c r="A551" s="9"/>
      <c r="B551" s="16" t="s">
        <v>831</v>
      </c>
      <c r="C551" s="89" t="s">
        <v>52</v>
      </c>
      <c r="D551" s="75" t="s">
        <v>832</v>
      </c>
      <c r="E551" s="13"/>
      <c r="F551" s="95"/>
      <c r="G551" s="9"/>
      <c r="H551" s="9" t="s">
        <v>314</v>
      </c>
      <c r="I551" s="14"/>
      <c r="J551" s="14"/>
      <c r="K551" s="12">
        <v>37</v>
      </c>
      <c r="L551" s="9"/>
      <c r="M551" s="9"/>
      <c r="N551" s="9"/>
      <c r="O551" s="38">
        <f t="shared" si="43"/>
        <v>37</v>
      </c>
      <c r="P551" s="12"/>
      <c r="Q551" s="42"/>
      <c r="R551" s="15"/>
      <c r="S551" s="44"/>
      <c r="T551" s="15"/>
      <c r="U551" s="44"/>
      <c r="V551" s="15">
        <f t="shared" si="44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5"/>
        <v>0</v>
      </c>
      <c r="AF551" s="101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7"/>
        <v>0</v>
      </c>
      <c r="BA551" s="15"/>
      <c r="BB551" s="44"/>
      <c r="BC551" s="15"/>
      <c r="BD551" s="44"/>
      <c r="BE551" s="15">
        <f t="shared" si="46"/>
        <v>0</v>
      </c>
    </row>
    <row r="552" spans="1:57" s="8" customFormat="1" ht="22.5" customHeight="1">
      <c r="A552" s="9"/>
      <c r="B552" s="16" t="s">
        <v>570</v>
      </c>
      <c r="C552" s="89" t="s">
        <v>52</v>
      </c>
      <c r="D552" s="75" t="s">
        <v>833</v>
      </c>
      <c r="E552" s="13"/>
      <c r="F552" s="95"/>
      <c r="G552" s="9"/>
      <c r="H552" s="9" t="s">
        <v>314</v>
      </c>
      <c r="I552" s="14"/>
      <c r="J552" s="14"/>
      <c r="K552" s="12">
        <v>91</v>
      </c>
      <c r="L552" s="9"/>
      <c r="M552" s="9"/>
      <c r="N552" s="9"/>
      <c r="O552" s="38">
        <f t="shared" si="43"/>
        <v>91</v>
      </c>
      <c r="P552" s="12"/>
      <c r="Q552" s="42"/>
      <c r="R552" s="15"/>
      <c r="S552" s="44"/>
      <c r="T552" s="15"/>
      <c r="U552" s="44"/>
      <c r="V552" s="15">
        <f t="shared" si="44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5"/>
        <v>0</v>
      </c>
      <c r="AF552" s="101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7"/>
        <v>0</v>
      </c>
      <c r="BA552" s="15"/>
      <c r="BB552" s="44"/>
      <c r="BC552" s="15"/>
      <c r="BD552" s="44"/>
      <c r="BE552" s="15">
        <f t="shared" si="46"/>
        <v>0</v>
      </c>
    </row>
    <row r="553" spans="1:57" s="8" customFormat="1" ht="22.5" customHeight="1">
      <c r="A553" s="9"/>
      <c r="B553" s="16" t="s">
        <v>204</v>
      </c>
      <c r="C553" s="89" t="s">
        <v>52</v>
      </c>
      <c r="D553" s="61" t="s">
        <v>834</v>
      </c>
      <c r="E553" s="13"/>
      <c r="F553" s="95"/>
      <c r="G553" s="9"/>
      <c r="H553" s="23" t="s">
        <v>566</v>
      </c>
      <c r="I553" s="14"/>
      <c r="J553" s="14"/>
      <c r="K553" s="12">
        <v>0</v>
      </c>
      <c r="L553" s="9"/>
      <c r="M553" s="9"/>
      <c r="N553" s="9"/>
      <c r="O553" s="38">
        <f t="shared" si="43"/>
        <v>0</v>
      </c>
      <c r="P553" s="12"/>
      <c r="Q553" s="42"/>
      <c r="R553" s="15"/>
      <c r="S553" s="44"/>
      <c r="T553" s="15"/>
      <c r="U553" s="44"/>
      <c r="V553" s="15">
        <f t="shared" si="44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5"/>
        <v>0</v>
      </c>
      <c r="AF553" s="101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7"/>
        <v>0</v>
      </c>
      <c r="BA553" s="15"/>
      <c r="BB553" s="44"/>
      <c r="BC553" s="15"/>
      <c r="BD553" s="44"/>
      <c r="BE553" s="15">
        <f t="shared" si="46"/>
        <v>0</v>
      </c>
    </row>
    <row r="554" spans="1:57" s="8" customFormat="1" ht="22.5" customHeight="1">
      <c r="A554" s="9"/>
      <c r="B554" s="16" t="s">
        <v>233</v>
      </c>
      <c r="C554" s="89" t="s">
        <v>494</v>
      </c>
      <c r="D554" s="61" t="s">
        <v>835</v>
      </c>
      <c r="E554" s="13"/>
      <c r="F554" s="95"/>
      <c r="G554" s="9"/>
      <c r="H554" s="9" t="s">
        <v>558</v>
      </c>
      <c r="I554" s="14"/>
      <c r="J554" s="14"/>
      <c r="K554" s="12">
        <v>53</v>
      </c>
      <c r="L554" s="9"/>
      <c r="M554" s="9"/>
      <c r="N554" s="9"/>
      <c r="O554" s="38">
        <f t="shared" si="43"/>
        <v>53</v>
      </c>
      <c r="P554" s="12"/>
      <c r="Q554" s="42"/>
      <c r="R554" s="15"/>
      <c r="S554" s="44"/>
      <c r="T554" s="15"/>
      <c r="U554" s="44"/>
      <c r="V554" s="15">
        <f t="shared" si="44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5"/>
        <v>0</v>
      </c>
      <c r="AF554" s="101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7"/>
        <v>0</v>
      </c>
      <c r="BA554" s="15"/>
      <c r="BB554" s="44"/>
      <c r="BC554" s="15"/>
      <c r="BD554" s="44"/>
      <c r="BE554" s="15">
        <f t="shared" si="46"/>
        <v>0</v>
      </c>
    </row>
    <row r="555" spans="1:57" s="8" customFormat="1" ht="21.95" customHeight="1">
      <c r="A555" s="9"/>
      <c r="B555" s="16" t="s">
        <v>836</v>
      </c>
      <c r="C555" s="89" t="s">
        <v>151</v>
      </c>
      <c r="D555" s="59" t="s">
        <v>837</v>
      </c>
      <c r="E555" s="13"/>
      <c r="F555" s="95"/>
      <c r="G555" s="9"/>
      <c r="H555" s="9" t="s">
        <v>805</v>
      </c>
      <c r="I555" s="14"/>
      <c r="J555" s="14"/>
      <c r="K555" s="12">
        <v>0</v>
      </c>
      <c r="L555" s="9"/>
      <c r="M555" s="9"/>
      <c r="N555" s="9"/>
      <c r="O555" s="38">
        <f t="shared" si="43"/>
        <v>0</v>
      </c>
      <c r="P555" s="12"/>
      <c r="Q555" s="42"/>
      <c r="R555" s="15"/>
      <c r="S555" s="44"/>
      <c r="T555" s="15"/>
      <c r="U555" s="44"/>
      <c r="V555" s="15">
        <f t="shared" si="44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5"/>
        <v>0</v>
      </c>
      <c r="AF555" s="101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7"/>
        <v>0</v>
      </c>
      <c r="BA555" s="15"/>
      <c r="BB555" s="44"/>
      <c r="BC555" s="15"/>
      <c r="BD555" s="44"/>
      <c r="BE555" s="15">
        <f t="shared" si="46"/>
        <v>0</v>
      </c>
    </row>
    <row r="556" spans="1:57" s="8" customFormat="1" ht="21.95" customHeight="1">
      <c r="A556" s="9"/>
      <c r="B556" s="16" t="s">
        <v>836</v>
      </c>
      <c r="C556" s="89" t="s">
        <v>151</v>
      </c>
      <c r="D556" s="56" t="s">
        <v>838</v>
      </c>
      <c r="E556" s="13"/>
      <c r="F556" s="95"/>
      <c r="G556" s="9"/>
      <c r="H556" s="9" t="s">
        <v>805</v>
      </c>
      <c r="I556" s="14"/>
      <c r="J556" s="14"/>
      <c r="K556" s="12">
        <v>0</v>
      </c>
      <c r="L556" s="9"/>
      <c r="M556" s="9"/>
      <c r="N556" s="9"/>
      <c r="O556" s="38">
        <f t="shared" si="43"/>
        <v>0</v>
      </c>
      <c r="P556" s="12"/>
      <c r="Q556" s="42"/>
      <c r="R556" s="15"/>
      <c r="S556" s="44"/>
      <c r="T556" s="15"/>
      <c r="U556" s="44"/>
      <c r="V556" s="15">
        <f t="shared" si="44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5"/>
        <v>0</v>
      </c>
      <c r="AF556" s="101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7"/>
        <v>0</v>
      </c>
      <c r="BA556" s="15"/>
      <c r="BB556" s="44"/>
      <c r="BC556" s="15"/>
      <c r="BD556" s="44"/>
      <c r="BE556" s="15">
        <f t="shared" si="46"/>
        <v>0</v>
      </c>
    </row>
    <row r="557" spans="1:57" s="8" customFormat="1" ht="21.95" customHeight="1">
      <c r="A557" s="9"/>
      <c r="B557" s="16" t="s">
        <v>836</v>
      </c>
      <c r="C557" s="89" t="s">
        <v>151</v>
      </c>
      <c r="D557" s="59" t="s">
        <v>839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3"/>
        <v>0</v>
      </c>
      <c r="P557" s="12"/>
      <c r="Q557" s="42"/>
      <c r="R557" s="15"/>
      <c r="S557" s="44"/>
      <c r="T557" s="15"/>
      <c r="U557" s="44"/>
      <c r="V557" s="15">
        <f t="shared" si="44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5"/>
        <v>0</v>
      </c>
      <c r="AF557" s="101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7"/>
        <v>0</v>
      </c>
      <c r="BA557" s="15"/>
      <c r="BB557" s="44"/>
      <c r="BC557" s="15"/>
      <c r="BD557" s="44"/>
      <c r="BE557" s="15">
        <f t="shared" si="46"/>
        <v>0</v>
      </c>
    </row>
    <row r="558" spans="1:57" s="8" customFormat="1" ht="21.95" customHeight="1">
      <c r="A558" s="9"/>
      <c r="B558" s="16" t="s">
        <v>836</v>
      </c>
      <c r="C558" s="89" t="s">
        <v>151</v>
      </c>
      <c r="D558" s="59" t="s">
        <v>841</v>
      </c>
      <c r="E558" s="13"/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3"/>
        <v>0</v>
      </c>
      <c r="P558" s="12"/>
      <c r="Q558" s="42"/>
      <c r="R558" s="15"/>
      <c r="S558" s="44"/>
      <c r="T558" s="15"/>
      <c r="U558" s="44"/>
      <c r="V558" s="15">
        <f t="shared" si="44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5"/>
        <v>0</v>
      </c>
      <c r="AF558" s="101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7"/>
        <v>0</v>
      </c>
      <c r="BA558" s="15"/>
      <c r="BB558" s="44"/>
      <c r="BC558" s="15"/>
      <c r="BD558" s="44"/>
      <c r="BE558" s="15">
        <f t="shared" si="46"/>
        <v>0</v>
      </c>
    </row>
    <row r="559" spans="1:57" s="8" customFormat="1" ht="22.5" customHeight="1">
      <c r="A559" s="9"/>
      <c r="B559" s="16" t="s">
        <v>836</v>
      </c>
      <c r="C559" s="89" t="s">
        <v>151</v>
      </c>
      <c r="D559" s="59" t="s">
        <v>842</v>
      </c>
      <c r="E559" s="13"/>
      <c r="F559" s="95"/>
      <c r="G559" s="9"/>
      <c r="H559" s="9" t="s">
        <v>840</v>
      </c>
      <c r="I559" s="14"/>
      <c r="J559" s="14"/>
      <c r="K559" s="12">
        <v>0</v>
      </c>
      <c r="L559" s="9"/>
      <c r="M559" s="9"/>
      <c r="N559" s="9"/>
      <c r="O559" s="38">
        <f t="shared" si="43"/>
        <v>0</v>
      </c>
      <c r="P559" s="12"/>
      <c r="Q559" s="42"/>
      <c r="R559" s="15"/>
      <c r="S559" s="44"/>
      <c r="T559" s="15"/>
      <c r="U559" s="44"/>
      <c r="V559" s="15">
        <f t="shared" si="44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5"/>
        <v>0</v>
      </c>
      <c r="AF559" s="101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7"/>
        <v>0</v>
      </c>
      <c r="BA559" s="15"/>
      <c r="BB559" s="44"/>
      <c r="BC559" s="15"/>
      <c r="BD559" s="44"/>
      <c r="BE559" s="15">
        <f t="shared" si="46"/>
        <v>0</v>
      </c>
    </row>
    <row r="560" spans="1:57" s="8" customFormat="1" ht="22.5" customHeight="1">
      <c r="A560" s="9"/>
      <c r="B560" s="16" t="s">
        <v>836</v>
      </c>
      <c r="C560" s="89" t="s">
        <v>151</v>
      </c>
      <c r="D560" s="59" t="s">
        <v>843</v>
      </c>
      <c r="E560" s="13"/>
      <c r="F560" s="95"/>
      <c r="G560" s="9"/>
      <c r="H560" s="9" t="s">
        <v>840</v>
      </c>
      <c r="I560" s="14"/>
      <c r="J560" s="14"/>
      <c r="K560" s="12">
        <v>0</v>
      </c>
      <c r="L560" s="9"/>
      <c r="M560" s="9"/>
      <c r="N560" s="9"/>
      <c r="O560" s="38">
        <f t="shared" si="43"/>
        <v>0</v>
      </c>
      <c r="P560" s="12"/>
      <c r="Q560" s="42"/>
      <c r="R560" s="15"/>
      <c r="S560" s="44"/>
      <c r="T560" s="15"/>
      <c r="U560" s="44"/>
      <c r="V560" s="15">
        <f t="shared" si="44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5"/>
        <v>0</v>
      </c>
      <c r="AF560" s="101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7"/>
        <v>0</v>
      </c>
      <c r="BA560" s="15"/>
      <c r="BB560" s="44"/>
      <c r="BC560" s="15"/>
      <c r="BD560" s="44"/>
      <c r="BE560" s="15">
        <f t="shared" si="46"/>
        <v>0</v>
      </c>
    </row>
    <row r="561" spans="1:57" s="8" customFormat="1" ht="22.5" customHeight="1">
      <c r="A561" s="9"/>
      <c r="B561" s="16" t="s">
        <v>836</v>
      </c>
      <c r="C561" s="89" t="s">
        <v>151</v>
      </c>
      <c r="D561" s="56" t="s">
        <v>844</v>
      </c>
      <c r="E561" s="13" t="s">
        <v>845</v>
      </c>
      <c r="F561" s="95"/>
      <c r="G561" s="9"/>
      <c r="H561" s="9" t="s">
        <v>840</v>
      </c>
      <c r="I561" s="14"/>
      <c r="J561" s="14"/>
      <c r="K561" s="12">
        <v>0</v>
      </c>
      <c r="L561" s="9"/>
      <c r="M561" s="9"/>
      <c r="N561" s="9"/>
      <c r="O561" s="38">
        <f t="shared" si="43"/>
        <v>0</v>
      </c>
      <c r="P561" s="12"/>
      <c r="Q561" s="42"/>
      <c r="R561" s="15"/>
      <c r="S561" s="44"/>
      <c r="T561" s="15"/>
      <c r="U561" s="44"/>
      <c r="V561" s="15">
        <f t="shared" si="44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5"/>
        <v>0</v>
      </c>
      <c r="AF561" s="101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7"/>
        <v>0</v>
      </c>
      <c r="BA561" s="15"/>
      <c r="BB561" s="44"/>
      <c r="BC561" s="15"/>
      <c r="BD561" s="44"/>
      <c r="BE561" s="15">
        <f t="shared" si="46"/>
        <v>0</v>
      </c>
    </row>
    <row r="562" spans="1:57" s="8" customFormat="1" ht="22.5" customHeight="1">
      <c r="A562" s="9"/>
      <c r="B562" s="16" t="s">
        <v>846</v>
      </c>
      <c r="C562" s="89" t="s">
        <v>151</v>
      </c>
      <c r="D562" s="56" t="s">
        <v>847</v>
      </c>
      <c r="E562" s="13" t="s">
        <v>848</v>
      </c>
      <c r="F562" s="95"/>
      <c r="G562" s="9"/>
      <c r="H562" s="9" t="s">
        <v>746</v>
      </c>
      <c r="I562" s="14"/>
      <c r="J562" s="14"/>
      <c r="K562" s="12">
        <v>0</v>
      </c>
      <c r="L562" s="9"/>
      <c r="M562" s="9"/>
      <c r="N562" s="9"/>
      <c r="O562" s="38">
        <f t="shared" si="43"/>
        <v>0</v>
      </c>
      <c r="P562" s="12"/>
      <c r="Q562" s="42"/>
      <c r="R562" s="15"/>
      <c r="S562" s="44"/>
      <c r="T562" s="15"/>
      <c r="U562" s="44"/>
      <c r="V562" s="15">
        <f t="shared" si="44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5"/>
        <v>0</v>
      </c>
      <c r="AF562" s="101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7"/>
        <v>0</v>
      </c>
      <c r="BA562" s="15"/>
      <c r="BB562" s="44"/>
      <c r="BC562" s="15"/>
      <c r="BD562" s="44"/>
      <c r="BE562" s="15">
        <f t="shared" si="46"/>
        <v>0</v>
      </c>
    </row>
    <row r="563" spans="1:57" s="8" customFormat="1" ht="22.5" customHeight="1">
      <c r="A563" s="9"/>
      <c r="B563" s="16" t="s">
        <v>846</v>
      </c>
      <c r="C563" s="89" t="s">
        <v>151</v>
      </c>
      <c r="D563" s="56" t="s">
        <v>849</v>
      </c>
      <c r="E563" s="13"/>
      <c r="F563" s="95"/>
      <c r="G563" s="9"/>
      <c r="H563" s="9" t="s">
        <v>467</v>
      </c>
      <c r="I563" s="14"/>
      <c r="J563" s="14"/>
      <c r="K563" s="12">
        <v>0</v>
      </c>
      <c r="L563" s="9"/>
      <c r="M563" s="9"/>
      <c r="N563" s="9"/>
      <c r="O563" s="38">
        <f t="shared" si="43"/>
        <v>0</v>
      </c>
      <c r="P563" s="12"/>
      <c r="Q563" s="42"/>
      <c r="R563" s="15"/>
      <c r="S563" s="44"/>
      <c r="T563" s="15"/>
      <c r="U563" s="44"/>
      <c r="V563" s="15">
        <f t="shared" si="44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5"/>
        <v>0</v>
      </c>
      <c r="AF563" s="101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7"/>
        <v>0</v>
      </c>
      <c r="BA563" s="15"/>
      <c r="BB563" s="44"/>
      <c r="BC563" s="15"/>
      <c r="BD563" s="44"/>
      <c r="BE563" s="15">
        <f t="shared" si="46"/>
        <v>0</v>
      </c>
    </row>
    <row r="564" spans="1:57" s="8" customFormat="1" ht="22.5" customHeight="1">
      <c r="A564" s="9"/>
      <c r="B564" s="16" t="s">
        <v>850</v>
      </c>
      <c r="C564" s="89" t="s">
        <v>151</v>
      </c>
      <c r="D564" s="56" t="s">
        <v>851</v>
      </c>
      <c r="E564" s="13"/>
      <c r="F564" s="95"/>
      <c r="G564" s="9"/>
      <c r="H564" s="9" t="s">
        <v>67</v>
      </c>
      <c r="I564" s="14"/>
      <c r="J564" s="14"/>
      <c r="K564" s="12">
        <v>0</v>
      </c>
      <c r="L564" s="9"/>
      <c r="M564" s="9"/>
      <c r="N564" s="9"/>
      <c r="O564" s="38">
        <f t="shared" si="43"/>
        <v>0</v>
      </c>
      <c r="P564" s="12"/>
      <c r="Q564" s="42"/>
      <c r="R564" s="15"/>
      <c r="S564" s="44"/>
      <c r="T564" s="15"/>
      <c r="U564" s="44"/>
      <c r="V564" s="15">
        <f t="shared" si="44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5"/>
        <v>0</v>
      </c>
      <c r="AF564" s="101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7"/>
        <v>0</v>
      </c>
      <c r="BA564" s="15"/>
      <c r="BB564" s="44"/>
      <c r="BC564" s="15"/>
      <c r="BD564" s="44"/>
      <c r="BE564" s="15">
        <f t="shared" si="46"/>
        <v>0</v>
      </c>
    </row>
    <row r="565" spans="1:57" s="8" customFormat="1" ht="22.5" customHeight="1">
      <c r="A565" s="9"/>
      <c r="B565" s="16" t="s">
        <v>161</v>
      </c>
      <c r="C565" s="89" t="s">
        <v>151</v>
      </c>
      <c r="D565" s="59" t="s">
        <v>852</v>
      </c>
      <c r="E565" s="13" t="s">
        <v>853</v>
      </c>
      <c r="F565" s="95"/>
      <c r="G565" s="9"/>
      <c r="H565" s="9" t="s">
        <v>467</v>
      </c>
      <c r="I565" s="14"/>
      <c r="J565" s="14"/>
      <c r="K565" s="12">
        <v>0</v>
      </c>
      <c r="L565" s="9"/>
      <c r="M565" s="9"/>
      <c r="N565" s="9"/>
      <c r="O565" s="38">
        <f t="shared" si="43"/>
        <v>0</v>
      </c>
      <c r="P565" s="12"/>
      <c r="Q565" s="42"/>
      <c r="R565" s="15"/>
      <c r="S565" s="44"/>
      <c r="T565" s="15"/>
      <c r="U565" s="44"/>
      <c r="V565" s="15">
        <f t="shared" si="44"/>
        <v>0</v>
      </c>
      <c r="W565" s="15"/>
      <c r="X565" s="44"/>
      <c r="Y565" s="15"/>
      <c r="Z565" s="44"/>
      <c r="AA565" s="15"/>
      <c r="AB565" s="44"/>
      <c r="AC565" s="15"/>
      <c r="AD565" s="44"/>
      <c r="AE565" s="15">
        <f t="shared" si="45"/>
        <v>0</v>
      </c>
      <c r="AF565" s="101"/>
      <c r="AG565" s="42"/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>
        <f t="shared" si="47"/>
        <v>0</v>
      </c>
      <c r="BA565" s="15"/>
      <c r="BB565" s="44"/>
      <c r="BC565" s="15"/>
      <c r="BD565" s="44"/>
      <c r="BE565" s="15">
        <f t="shared" si="46"/>
        <v>0</v>
      </c>
    </row>
    <row r="566" spans="1:57" s="8" customFormat="1" ht="22.5" customHeight="1">
      <c r="A566" s="9"/>
      <c r="B566" s="16" t="s">
        <v>854</v>
      </c>
      <c r="C566" s="89" t="s">
        <v>140</v>
      </c>
      <c r="D566" s="86" t="s">
        <v>855</v>
      </c>
      <c r="E566" s="13" t="s">
        <v>856</v>
      </c>
      <c r="F566" s="95"/>
      <c r="G566" s="9"/>
      <c r="H566" s="9" t="s">
        <v>422</v>
      </c>
      <c r="I566" s="14"/>
      <c r="J566" s="14"/>
      <c r="K566" s="12">
        <v>0</v>
      </c>
      <c r="L566" s="9"/>
      <c r="M566" s="9"/>
      <c r="N566" s="9"/>
      <c r="O566" s="38">
        <f t="shared" si="43"/>
        <v>0</v>
      </c>
      <c r="P566" s="12"/>
      <c r="Q566" s="42"/>
      <c r="R566" s="15"/>
      <c r="S566" s="44"/>
      <c r="T566" s="15"/>
      <c r="U566" s="44"/>
      <c r="V566" s="15">
        <f t="shared" si="44"/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si="45"/>
        <v>0</v>
      </c>
      <c r="AF566" s="101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si="47"/>
        <v>0</v>
      </c>
      <c r="BA566" s="15"/>
      <c r="BB566" s="44"/>
      <c r="BC566" s="15"/>
      <c r="BD566" s="44"/>
      <c r="BE566" s="15">
        <f t="shared" si="46"/>
        <v>0</v>
      </c>
    </row>
    <row r="567" spans="1:57" s="8" customFormat="1" ht="22.5" customHeight="1">
      <c r="A567" s="9"/>
      <c r="B567" s="16" t="s">
        <v>489</v>
      </c>
      <c r="C567" s="89" t="s">
        <v>132</v>
      </c>
      <c r="D567" s="56" t="s">
        <v>857</v>
      </c>
      <c r="E567" s="13" t="s">
        <v>858</v>
      </c>
      <c r="F567" s="95"/>
      <c r="G567" s="9"/>
      <c r="H567" s="9" t="s">
        <v>859</v>
      </c>
      <c r="I567" s="14"/>
      <c r="J567" s="14"/>
      <c r="K567" s="12">
        <v>1200</v>
      </c>
      <c r="L567" s="9"/>
      <c r="M567" s="9"/>
      <c r="N567" s="9"/>
      <c r="O567" s="38">
        <f t="shared" si="43"/>
        <v>1200</v>
      </c>
      <c r="P567" s="12"/>
      <c r="Q567" s="42"/>
      <c r="R567" s="15"/>
      <c r="S567" s="44"/>
      <c r="T567" s="15"/>
      <c r="U567" s="44"/>
      <c r="V567" s="15">
        <f t="shared" si="44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5"/>
        <v>0</v>
      </c>
      <c r="AF567" s="101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47"/>
        <v>0</v>
      </c>
      <c r="BA567" s="15"/>
      <c r="BB567" s="44"/>
      <c r="BC567" s="15"/>
      <c r="BD567" s="44"/>
      <c r="BE567" s="15">
        <f t="shared" si="46"/>
        <v>0</v>
      </c>
    </row>
    <row r="568" spans="1:57" s="8" customFormat="1" ht="22.5" customHeight="1">
      <c r="A568" s="9"/>
      <c r="B568" s="47"/>
      <c r="C568" s="93"/>
      <c r="D568" s="88"/>
      <c r="E568" s="48"/>
      <c r="F568" s="49"/>
      <c r="G568" s="46"/>
      <c r="H568" s="46"/>
      <c r="I568" s="50"/>
      <c r="J568" s="50"/>
      <c r="K568" s="12">
        <v>0</v>
      </c>
      <c r="L568" s="46"/>
      <c r="M568" s="46"/>
      <c r="N568" s="46"/>
      <c r="O568" s="51"/>
      <c r="P568" s="49"/>
      <c r="Q568" s="52"/>
      <c r="R568" s="53"/>
      <c r="S568" s="54"/>
      <c r="T568" s="53"/>
      <c r="U568" s="54"/>
      <c r="V568" s="53"/>
      <c r="W568" s="53"/>
      <c r="X568" s="54"/>
      <c r="Y568" s="53"/>
      <c r="Z568" s="54"/>
      <c r="AA568" s="53"/>
      <c r="AB568" s="54"/>
      <c r="AC568" s="53"/>
      <c r="AD568" s="54"/>
      <c r="AE568" s="53"/>
      <c r="AF568" s="102"/>
      <c r="AG568" s="52"/>
      <c r="AH568" s="53"/>
      <c r="AI568" s="52"/>
      <c r="AJ568" s="53"/>
      <c r="AK568" s="52"/>
      <c r="AL568" s="53"/>
      <c r="AM568" s="52"/>
      <c r="AN568" s="53"/>
      <c r="AO568" s="52"/>
      <c r="AP568" s="53"/>
      <c r="AQ568" s="52"/>
      <c r="AR568" s="53"/>
      <c r="AS568" s="52"/>
      <c r="AT568" s="53"/>
      <c r="AU568" s="52"/>
      <c r="AV568" s="53"/>
      <c r="AW568" s="52"/>
      <c r="AX568" s="53"/>
      <c r="AY568" s="52"/>
      <c r="AZ568" s="53"/>
      <c r="BA568" s="53"/>
      <c r="BB568" s="54"/>
      <c r="BC568" s="53"/>
      <c r="BD568" s="54"/>
      <c r="BE568" s="53"/>
    </row>
    <row r="569" spans="1:57" s="8" customFormat="1" ht="21.95" customHeight="1">
      <c r="A569" s="9">
        <v>999</v>
      </c>
      <c r="B569" s="16" t="s">
        <v>204</v>
      </c>
      <c r="C569" s="89" t="s">
        <v>132</v>
      </c>
      <c r="D569" s="56" t="s">
        <v>860</v>
      </c>
      <c r="E569" s="11" t="s">
        <v>861</v>
      </c>
      <c r="F569" s="12"/>
      <c r="G569" s="9"/>
      <c r="H569" s="9" t="s">
        <v>207</v>
      </c>
      <c r="I569" s="14"/>
      <c r="J569" s="14"/>
      <c r="K569" s="12">
        <v>0</v>
      </c>
      <c r="L569" s="9"/>
      <c r="M569" s="9"/>
      <c r="N569" s="9"/>
      <c r="O569" s="38">
        <f t="shared" ref="O569:O600" si="48">K569+V569-AE569-AZ569</f>
        <v>0</v>
      </c>
      <c r="P569" s="12"/>
      <c r="Q569" s="42"/>
      <c r="R569" s="15"/>
      <c r="S569" s="44"/>
      <c r="T569" s="15"/>
      <c r="U569" s="44"/>
      <c r="V569" s="15">
        <f t="shared" ref="V569:V580" si="49">P569+R569+T569</f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ref="AE569:AE580" si="50">(W569+Y569+AA569+AC569)</f>
        <v>0</v>
      </c>
      <c r="AF569" s="101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ref="AZ569:AZ580" si="51">AF569+AH569+AJ569+AL569+AN569+AP569+AR569+AT569+AV569+AX569</f>
        <v>0</v>
      </c>
      <c r="BA569" s="15"/>
      <c r="BB569" s="44"/>
      <c r="BC569" s="15"/>
      <c r="BD569" s="44"/>
      <c r="BE569" s="15">
        <f t="shared" ref="BE569:BE580" si="52">(BA569+BC569)</f>
        <v>0</v>
      </c>
    </row>
    <row r="570" spans="1:57" s="8" customFormat="1" ht="21.95" customHeight="1">
      <c r="A570" s="9">
        <v>999</v>
      </c>
      <c r="B570" s="16" t="s">
        <v>204</v>
      </c>
      <c r="C570" s="89" t="s">
        <v>132</v>
      </c>
      <c r="D570" s="56" t="s">
        <v>862</v>
      </c>
      <c r="E570" s="11" t="s">
        <v>861</v>
      </c>
      <c r="F570" s="12"/>
      <c r="G570" s="9"/>
      <c r="H570" s="9" t="s">
        <v>207</v>
      </c>
      <c r="I570" s="14"/>
      <c r="J570" s="14"/>
      <c r="K570" s="12">
        <v>0</v>
      </c>
      <c r="L570" s="9"/>
      <c r="M570" s="9"/>
      <c r="N570" s="9"/>
      <c r="O570" s="38">
        <f t="shared" si="48"/>
        <v>0</v>
      </c>
      <c r="P570" s="12"/>
      <c r="Q570" s="42"/>
      <c r="R570" s="15"/>
      <c r="S570" s="44"/>
      <c r="T570" s="15"/>
      <c r="U570" s="44"/>
      <c r="V570" s="15">
        <f t="shared" si="49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50"/>
        <v>0</v>
      </c>
      <c r="AF570" s="101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1"/>
        <v>0</v>
      </c>
      <c r="BA570" s="15"/>
      <c r="BB570" s="44"/>
      <c r="BC570" s="15"/>
      <c r="BD570" s="44"/>
      <c r="BE570" s="15">
        <f t="shared" si="52"/>
        <v>0</v>
      </c>
    </row>
    <row r="571" spans="1:57" s="8" customFormat="1" ht="21.95" customHeight="1">
      <c r="A571" s="9">
        <v>999</v>
      </c>
      <c r="B571" s="16" t="s">
        <v>334</v>
      </c>
      <c r="C571" s="89" t="s">
        <v>151</v>
      </c>
      <c r="D571" s="56" t="s">
        <v>863</v>
      </c>
      <c r="E571" s="11" t="s">
        <v>861</v>
      </c>
      <c r="F571" s="12"/>
      <c r="G571" s="9"/>
      <c r="H571" s="9" t="s">
        <v>147</v>
      </c>
      <c r="I571" s="14"/>
      <c r="J571" s="14"/>
      <c r="K571" s="12">
        <v>0</v>
      </c>
      <c r="L571" s="9"/>
      <c r="M571" s="9"/>
      <c r="N571" s="9"/>
      <c r="O571" s="38">
        <f t="shared" si="48"/>
        <v>0</v>
      </c>
      <c r="P571" s="12"/>
      <c r="Q571" s="42"/>
      <c r="R571" s="15"/>
      <c r="S571" s="44"/>
      <c r="T571" s="15"/>
      <c r="U571" s="44"/>
      <c r="V571" s="15">
        <f t="shared" si="49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50"/>
        <v>0</v>
      </c>
      <c r="AF571" s="101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1"/>
        <v>0</v>
      </c>
      <c r="BA571" s="15"/>
      <c r="BB571" s="44"/>
      <c r="BC571" s="15"/>
      <c r="BD571" s="44"/>
      <c r="BE571" s="15">
        <f t="shared" si="52"/>
        <v>0</v>
      </c>
    </row>
    <row r="572" spans="1:57" s="8" customFormat="1" ht="22.5" customHeight="1">
      <c r="A572" s="9">
        <v>32</v>
      </c>
      <c r="B572" s="16" t="s">
        <v>129</v>
      </c>
      <c r="C572" s="89" t="s">
        <v>52</v>
      </c>
      <c r="D572" s="60" t="s">
        <v>130</v>
      </c>
      <c r="E572" s="11" t="s">
        <v>864</v>
      </c>
      <c r="F572" s="95"/>
      <c r="G572" s="9"/>
      <c r="H572" s="9" t="s">
        <v>131</v>
      </c>
      <c r="I572" s="14"/>
      <c r="J572" s="14"/>
      <c r="K572" s="12">
        <v>0</v>
      </c>
      <c r="L572" s="9"/>
      <c r="M572" s="9"/>
      <c r="N572" s="9"/>
      <c r="O572" s="38">
        <f t="shared" si="48"/>
        <v>0</v>
      </c>
      <c r="P572" s="12"/>
      <c r="Q572" s="42"/>
      <c r="R572" s="15"/>
      <c r="S572" s="44"/>
      <c r="T572" s="15"/>
      <c r="U572" s="44"/>
      <c r="V572" s="15">
        <f t="shared" si="49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50"/>
        <v>0</v>
      </c>
      <c r="AF572" s="101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1"/>
        <v>0</v>
      </c>
      <c r="BA572" s="15"/>
      <c r="BB572" s="44"/>
      <c r="BC572" s="15"/>
      <c r="BD572" s="44"/>
      <c r="BE572" s="15">
        <f t="shared" si="52"/>
        <v>0</v>
      </c>
    </row>
    <row r="573" spans="1:57" s="8" customFormat="1" ht="22.5" customHeight="1">
      <c r="A573" s="9">
        <v>60</v>
      </c>
      <c r="B573" s="18" t="s">
        <v>129</v>
      </c>
      <c r="C573" s="89" t="s">
        <v>52</v>
      </c>
      <c r="D573" s="58" t="s">
        <v>169</v>
      </c>
      <c r="E573" s="35" t="s">
        <v>865</v>
      </c>
      <c r="F573" s="95"/>
      <c r="G573" s="21"/>
      <c r="H573" s="21" t="s">
        <v>131</v>
      </c>
      <c r="I573" s="14"/>
      <c r="J573" s="14"/>
      <c r="K573" s="12">
        <v>0</v>
      </c>
      <c r="L573" s="9"/>
      <c r="M573" s="9"/>
      <c r="N573" s="9"/>
      <c r="O573" s="38">
        <f t="shared" si="48"/>
        <v>0</v>
      </c>
      <c r="P573" s="12"/>
      <c r="Q573" s="42"/>
      <c r="R573" s="15"/>
      <c r="S573" s="44"/>
      <c r="T573" s="15"/>
      <c r="U573" s="44"/>
      <c r="V573" s="15">
        <f t="shared" si="49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50"/>
        <v>0</v>
      </c>
      <c r="AF573" s="101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1"/>
        <v>0</v>
      </c>
      <c r="BA573" s="15"/>
      <c r="BB573" s="44"/>
      <c r="BC573" s="15"/>
      <c r="BD573" s="44"/>
      <c r="BE573" s="15">
        <f t="shared" si="52"/>
        <v>0</v>
      </c>
    </row>
    <row r="574" spans="1:57" s="8" customFormat="1" ht="21.95" customHeight="1">
      <c r="A574" s="9">
        <v>999</v>
      </c>
      <c r="B574" s="16" t="s">
        <v>68</v>
      </c>
      <c r="C574" s="89" t="s">
        <v>50</v>
      </c>
      <c r="D574" s="56" t="s">
        <v>69</v>
      </c>
      <c r="E574" s="11" t="s">
        <v>866</v>
      </c>
      <c r="F574" s="12"/>
      <c r="G574" s="9"/>
      <c r="H574" s="9" t="s">
        <v>71</v>
      </c>
      <c r="I574" s="14"/>
      <c r="J574" s="14"/>
      <c r="K574" s="12">
        <v>0</v>
      </c>
      <c r="L574" s="9"/>
      <c r="M574" s="9"/>
      <c r="N574" s="9"/>
      <c r="O574" s="38">
        <f t="shared" si="48"/>
        <v>0</v>
      </c>
      <c r="P574" s="12"/>
      <c r="Q574" s="42"/>
      <c r="R574" s="15"/>
      <c r="S574" s="44"/>
      <c r="T574" s="15"/>
      <c r="U574" s="44"/>
      <c r="V574" s="15">
        <f t="shared" si="49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50"/>
        <v>0</v>
      </c>
      <c r="AF574" s="101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1"/>
        <v>0</v>
      </c>
      <c r="BA574" s="15"/>
      <c r="BB574" s="44"/>
      <c r="BC574" s="15"/>
      <c r="BD574" s="44"/>
      <c r="BE574" s="15">
        <f t="shared" si="52"/>
        <v>0</v>
      </c>
    </row>
    <row r="575" spans="1:57" s="8" customFormat="1" ht="21.95" customHeight="1">
      <c r="A575" s="9">
        <v>999</v>
      </c>
      <c r="B575" s="16" t="s">
        <v>34</v>
      </c>
      <c r="C575" s="89" t="s">
        <v>50</v>
      </c>
      <c r="D575" s="56" t="s">
        <v>867</v>
      </c>
      <c r="E575" s="11" t="s">
        <v>868</v>
      </c>
      <c r="F575" s="12"/>
      <c r="G575" s="9"/>
      <c r="H575" s="9" t="s">
        <v>71</v>
      </c>
      <c r="I575" s="14"/>
      <c r="J575" s="14"/>
      <c r="K575" s="12">
        <v>0</v>
      </c>
      <c r="L575" s="9"/>
      <c r="M575" s="9"/>
      <c r="N575" s="9"/>
      <c r="O575" s="38">
        <f t="shared" si="48"/>
        <v>0</v>
      </c>
      <c r="P575" s="12"/>
      <c r="Q575" s="42"/>
      <c r="R575" s="15"/>
      <c r="S575" s="44"/>
      <c r="T575" s="15"/>
      <c r="U575" s="44"/>
      <c r="V575" s="15">
        <f t="shared" si="49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50"/>
        <v>0</v>
      </c>
      <c r="AF575" s="101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1"/>
        <v>0</v>
      </c>
      <c r="BA575" s="15"/>
      <c r="BB575" s="44"/>
      <c r="BC575" s="15"/>
      <c r="BD575" s="44"/>
      <c r="BE575" s="15">
        <f t="shared" si="52"/>
        <v>0</v>
      </c>
    </row>
    <row r="576" spans="1:57" s="8" customFormat="1" ht="21.95" customHeight="1">
      <c r="A576" s="9">
        <v>999</v>
      </c>
      <c r="B576" s="18" t="s">
        <v>62</v>
      </c>
      <c r="C576" s="92" t="s">
        <v>50</v>
      </c>
      <c r="D576" s="58" t="s">
        <v>869</v>
      </c>
      <c r="E576" s="35" t="s">
        <v>62</v>
      </c>
      <c r="F576" s="20"/>
      <c r="G576" s="21"/>
      <c r="H576" s="21" t="s">
        <v>61</v>
      </c>
      <c r="I576" s="14"/>
      <c r="J576" s="14"/>
      <c r="K576" s="12">
        <v>0</v>
      </c>
      <c r="L576" s="9"/>
      <c r="M576" s="9"/>
      <c r="N576" s="9"/>
      <c r="O576" s="38">
        <f t="shared" si="48"/>
        <v>0</v>
      </c>
      <c r="P576" s="12"/>
      <c r="Q576" s="42"/>
      <c r="R576" s="15"/>
      <c r="S576" s="44"/>
      <c r="T576" s="15"/>
      <c r="U576" s="44"/>
      <c r="V576" s="15">
        <f t="shared" si="49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50"/>
        <v>0</v>
      </c>
      <c r="AF576" s="101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1"/>
        <v>0</v>
      </c>
      <c r="BA576" s="15"/>
      <c r="BB576" s="44"/>
      <c r="BC576" s="15"/>
      <c r="BD576" s="44"/>
      <c r="BE576" s="15">
        <f t="shared" si="52"/>
        <v>0</v>
      </c>
    </row>
    <row r="577" spans="1:57" s="8" customFormat="1" ht="21.95" customHeight="1">
      <c r="A577" s="9">
        <v>999</v>
      </c>
      <c r="B577" s="18" t="s">
        <v>62</v>
      </c>
      <c r="C577" s="92" t="s">
        <v>50</v>
      </c>
      <c r="D577" s="58" t="s">
        <v>870</v>
      </c>
      <c r="E577" s="35" t="s">
        <v>62</v>
      </c>
      <c r="F577" s="20"/>
      <c r="G577" s="21"/>
      <c r="H577" s="21" t="s">
        <v>61</v>
      </c>
      <c r="I577" s="14"/>
      <c r="J577" s="14"/>
      <c r="K577" s="12">
        <v>0</v>
      </c>
      <c r="L577" s="9"/>
      <c r="M577" s="9"/>
      <c r="N577" s="9"/>
      <c r="O577" s="38">
        <f t="shared" si="48"/>
        <v>0</v>
      </c>
      <c r="P577" s="12"/>
      <c r="Q577" s="42"/>
      <c r="R577" s="15"/>
      <c r="S577" s="44"/>
      <c r="T577" s="15"/>
      <c r="U577" s="44"/>
      <c r="V577" s="15">
        <f t="shared" si="49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50"/>
        <v>0</v>
      </c>
      <c r="AF577" s="101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1"/>
        <v>0</v>
      </c>
      <c r="BA577" s="15"/>
      <c r="BB577" s="44"/>
      <c r="BC577" s="15"/>
      <c r="BD577" s="44"/>
      <c r="BE577" s="15">
        <f t="shared" si="52"/>
        <v>0</v>
      </c>
    </row>
    <row r="578" spans="1:57" s="8" customFormat="1" ht="21.95" customHeight="1">
      <c r="A578" s="9">
        <v>999</v>
      </c>
      <c r="B578" s="18" t="s">
        <v>62</v>
      </c>
      <c r="C578" s="92" t="s">
        <v>50</v>
      </c>
      <c r="D578" s="58" t="s">
        <v>871</v>
      </c>
      <c r="E578" s="35" t="s">
        <v>62</v>
      </c>
      <c r="F578" s="20"/>
      <c r="G578" s="21"/>
      <c r="H578" s="21" t="s">
        <v>61</v>
      </c>
      <c r="I578" s="14"/>
      <c r="J578" s="14"/>
      <c r="K578" s="12">
        <v>0</v>
      </c>
      <c r="L578" s="9"/>
      <c r="M578" s="9"/>
      <c r="N578" s="9"/>
      <c r="O578" s="38">
        <f t="shared" si="48"/>
        <v>0</v>
      </c>
      <c r="P578" s="12"/>
      <c r="Q578" s="42"/>
      <c r="R578" s="15"/>
      <c r="S578" s="44"/>
      <c r="T578" s="15"/>
      <c r="U578" s="44"/>
      <c r="V578" s="15">
        <f t="shared" si="49"/>
        <v>0</v>
      </c>
      <c r="W578" s="15"/>
      <c r="X578" s="44"/>
      <c r="Y578" s="15"/>
      <c r="Z578" s="44"/>
      <c r="AA578" s="15"/>
      <c r="AB578" s="44"/>
      <c r="AC578" s="15"/>
      <c r="AD578" s="44"/>
      <c r="AE578" s="15">
        <f t="shared" si="50"/>
        <v>0</v>
      </c>
      <c r="AF578" s="101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>
        <f t="shared" si="51"/>
        <v>0</v>
      </c>
      <c r="BA578" s="15"/>
      <c r="BB578" s="44"/>
      <c r="BC578" s="15"/>
      <c r="BD578" s="44"/>
      <c r="BE578" s="15">
        <f t="shared" si="52"/>
        <v>0</v>
      </c>
    </row>
    <row r="579" spans="1:57" s="8" customFormat="1" ht="22.5" customHeight="1">
      <c r="A579" s="9">
        <v>999</v>
      </c>
      <c r="B579" s="16" t="s">
        <v>155</v>
      </c>
      <c r="C579" s="89" t="s">
        <v>50</v>
      </c>
      <c r="D579" s="79" t="s">
        <v>872</v>
      </c>
      <c r="E579" s="13" t="s">
        <v>873</v>
      </c>
      <c r="F579" s="96"/>
      <c r="G579" s="9"/>
      <c r="H579" s="9"/>
      <c r="I579" s="14"/>
      <c r="J579" s="14"/>
      <c r="K579" s="12">
        <v>0</v>
      </c>
      <c r="L579" s="9"/>
      <c r="M579" s="9"/>
      <c r="N579" s="9"/>
      <c r="O579" s="38">
        <f t="shared" si="48"/>
        <v>0</v>
      </c>
      <c r="P579" s="12"/>
      <c r="Q579" s="42"/>
      <c r="R579" s="15"/>
      <c r="S579" s="44"/>
      <c r="T579" s="15"/>
      <c r="U579" s="44"/>
      <c r="V579" s="15">
        <f t="shared" si="49"/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si="50"/>
        <v>0</v>
      </c>
      <c r="AF579" s="101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si="51"/>
        <v>0</v>
      </c>
      <c r="BA579" s="15"/>
      <c r="BB579" s="44"/>
      <c r="BC579" s="15"/>
      <c r="BD579" s="44"/>
      <c r="BE579" s="15">
        <f t="shared" si="52"/>
        <v>0</v>
      </c>
    </row>
    <row r="580" spans="1:57" s="8" customFormat="1" ht="22.5" customHeight="1">
      <c r="A580" s="9">
        <v>999</v>
      </c>
      <c r="B580" s="18" t="s">
        <v>172</v>
      </c>
      <c r="C580" s="89" t="s">
        <v>48</v>
      </c>
      <c r="D580" s="66" t="s">
        <v>874</v>
      </c>
      <c r="E580" s="35"/>
      <c r="F580" s="20"/>
      <c r="G580" s="21"/>
      <c r="H580" s="21" t="s">
        <v>67</v>
      </c>
      <c r="I580" s="14"/>
      <c r="J580" s="14"/>
      <c r="K580" s="12">
        <v>0</v>
      </c>
      <c r="L580" s="9"/>
      <c r="M580" s="9"/>
      <c r="N580" s="9"/>
      <c r="O580" s="38">
        <f t="shared" si="48"/>
        <v>0</v>
      </c>
      <c r="P580" s="12"/>
      <c r="Q580" s="42"/>
      <c r="R580" s="15"/>
      <c r="S580" s="44"/>
      <c r="T580" s="15"/>
      <c r="U580" s="44"/>
      <c r="V580" s="15">
        <f t="shared" si="49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0"/>
        <v>0</v>
      </c>
      <c r="AF580" s="101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1"/>
        <v>0</v>
      </c>
      <c r="BA580" s="15"/>
      <c r="BB580" s="44"/>
      <c r="BC580" s="15"/>
      <c r="BD580" s="44"/>
      <c r="BE580" s="15">
        <f t="shared" si="52"/>
        <v>0</v>
      </c>
    </row>
    <row r="581" spans="1:57" s="8" customFormat="1" ht="22.5" customHeight="1">
      <c r="A581" s="9">
        <v>999</v>
      </c>
      <c r="B581" s="18" t="s">
        <v>172</v>
      </c>
      <c r="C581" s="89" t="s">
        <v>140</v>
      </c>
      <c r="D581" s="58" t="s">
        <v>875</v>
      </c>
      <c r="E581" s="35"/>
      <c r="F581" s="20"/>
      <c r="G581" s="21"/>
      <c r="H581" s="21"/>
      <c r="I581" s="14"/>
      <c r="J581" s="14"/>
      <c r="K581" s="12">
        <v>0</v>
      </c>
      <c r="L581" s="9"/>
      <c r="M581" s="9"/>
      <c r="N581" s="9"/>
      <c r="O581" s="38">
        <f t="shared" si="48"/>
        <v>0</v>
      </c>
      <c r="P581" s="12"/>
      <c r="Q581" s="42"/>
      <c r="R581" s="15"/>
      <c r="S581" s="44"/>
      <c r="T581" s="15"/>
      <c r="U581" s="44"/>
      <c r="V581" s="15"/>
      <c r="W581" s="15"/>
      <c r="X581" s="44"/>
      <c r="Y581" s="15"/>
      <c r="Z581" s="44"/>
      <c r="AA581" s="15"/>
      <c r="AB581" s="44"/>
      <c r="AC581" s="15"/>
      <c r="AD581" s="44"/>
      <c r="AE581" s="15"/>
      <c r="AF581" s="101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15"/>
      <c r="BB581" s="44"/>
      <c r="BC581" s="15"/>
      <c r="BD581" s="44"/>
      <c r="BE581" s="15"/>
    </row>
    <row r="582" spans="1:57" s="8" customFormat="1" ht="22.5" customHeight="1">
      <c r="A582" s="9">
        <v>999</v>
      </c>
      <c r="B582" s="18" t="s">
        <v>187</v>
      </c>
      <c r="C582" s="89" t="s">
        <v>132</v>
      </c>
      <c r="D582" s="58" t="s">
        <v>276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8"/>
        <v>0</v>
      </c>
      <c r="P582" s="12"/>
      <c r="Q582" s="42"/>
      <c r="R582" s="15"/>
      <c r="S582" s="44"/>
      <c r="T582" s="15"/>
      <c r="U582" s="44"/>
      <c r="V582" s="15">
        <f t="shared" ref="V582:V613" si="53">P582+R582+T582</f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ref="AE582:AE613" si="54">(W582+Y582+AA582+AC582)</f>
        <v>0</v>
      </c>
      <c r="AF582" s="101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ref="AZ582:AZ613" si="55">AF582+AH582+AJ582+AL582+AN582+AP582+AR582+AT582+AV582+AX582</f>
        <v>0</v>
      </c>
      <c r="BA582" s="15"/>
      <c r="BB582" s="44"/>
      <c r="BC582" s="15"/>
      <c r="BD582" s="44"/>
      <c r="BE582" s="15">
        <f t="shared" ref="BE582:BE613" si="56">(BA582+BC582)</f>
        <v>0</v>
      </c>
    </row>
    <row r="583" spans="1:57" s="8" customFormat="1" ht="22.5" customHeight="1">
      <c r="A583" s="9">
        <v>999</v>
      </c>
      <c r="B583" s="18" t="s">
        <v>204</v>
      </c>
      <c r="C583" s="89" t="s">
        <v>132</v>
      </c>
      <c r="D583" s="58" t="s">
        <v>282</v>
      </c>
      <c r="E583" s="35" t="s">
        <v>210</v>
      </c>
      <c r="F583" s="20"/>
      <c r="G583" s="21"/>
      <c r="H583" s="21" t="s">
        <v>876</v>
      </c>
      <c r="I583" s="14"/>
      <c r="J583" s="14"/>
      <c r="K583" s="12">
        <v>0</v>
      </c>
      <c r="L583" s="9"/>
      <c r="M583" s="9"/>
      <c r="N583" s="9"/>
      <c r="O583" s="38">
        <f t="shared" si="48"/>
        <v>0</v>
      </c>
      <c r="P583" s="12"/>
      <c r="Q583" s="42"/>
      <c r="R583" s="15"/>
      <c r="S583" s="44"/>
      <c r="T583" s="15"/>
      <c r="U583" s="44"/>
      <c r="V583" s="15">
        <f t="shared" si="53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4"/>
        <v>0</v>
      </c>
      <c r="AF583" s="101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5"/>
        <v>0</v>
      </c>
      <c r="BA583" s="15"/>
      <c r="BB583" s="44"/>
      <c r="BC583" s="15"/>
      <c r="BD583" s="44"/>
      <c r="BE583" s="15">
        <f t="shared" si="56"/>
        <v>0</v>
      </c>
    </row>
    <row r="584" spans="1:57" s="8" customFormat="1" ht="22.5" customHeight="1">
      <c r="A584" s="9">
        <v>999</v>
      </c>
      <c r="B584" s="18" t="s">
        <v>172</v>
      </c>
      <c r="C584" s="89" t="s">
        <v>132</v>
      </c>
      <c r="D584" s="58" t="s">
        <v>877</v>
      </c>
      <c r="E584" s="19"/>
      <c r="F584" s="20"/>
      <c r="G584" s="21"/>
      <c r="H584" s="21" t="s">
        <v>67</v>
      </c>
      <c r="I584" s="14"/>
      <c r="J584" s="14"/>
      <c r="K584" s="12">
        <v>0</v>
      </c>
      <c r="L584" s="9"/>
      <c r="M584" s="9"/>
      <c r="N584" s="9"/>
      <c r="O584" s="38">
        <f t="shared" si="48"/>
        <v>0</v>
      </c>
      <c r="P584" s="12"/>
      <c r="Q584" s="42"/>
      <c r="R584" s="15"/>
      <c r="S584" s="44"/>
      <c r="T584" s="15"/>
      <c r="U584" s="44"/>
      <c r="V584" s="15">
        <f t="shared" si="53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4"/>
        <v>0</v>
      </c>
      <c r="AF584" s="101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5"/>
        <v>0</v>
      </c>
      <c r="BA584" s="15"/>
      <c r="BB584" s="44"/>
      <c r="BC584" s="15"/>
      <c r="BD584" s="44"/>
      <c r="BE584" s="15">
        <f t="shared" si="56"/>
        <v>0</v>
      </c>
    </row>
    <row r="585" spans="1:57" s="8" customFormat="1" ht="22.5" customHeight="1">
      <c r="A585" s="9">
        <v>999</v>
      </c>
      <c r="B585" s="18" t="s">
        <v>120</v>
      </c>
      <c r="C585" s="89" t="s">
        <v>132</v>
      </c>
      <c r="D585" s="58" t="s">
        <v>878</v>
      </c>
      <c r="E585" s="35"/>
      <c r="F585" s="20"/>
      <c r="G585" s="21"/>
      <c r="H585" s="21" t="s">
        <v>67</v>
      </c>
      <c r="I585" s="14"/>
      <c r="J585" s="14"/>
      <c r="K585" s="12">
        <v>0</v>
      </c>
      <c r="L585" s="9"/>
      <c r="M585" s="9"/>
      <c r="N585" s="9"/>
      <c r="O585" s="38">
        <f t="shared" si="48"/>
        <v>0</v>
      </c>
      <c r="P585" s="12"/>
      <c r="Q585" s="42"/>
      <c r="R585" s="15"/>
      <c r="S585" s="44"/>
      <c r="T585" s="15"/>
      <c r="U585" s="44"/>
      <c r="V585" s="15">
        <f t="shared" si="53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4"/>
        <v>0</v>
      </c>
      <c r="AF585" s="101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5"/>
        <v>0</v>
      </c>
      <c r="BA585" s="15"/>
      <c r="BB585" s="44"/>
      <c r="BC585" s="15"/>
      <c r="BD585" s="44"/>
      <c r="BE585" s="15">
        <f t="shared" si="56"/>
        <v>0</v>
      </c>
    </row>
    <row r="586" spans="1:57" s="8" customFormat="1" ht="22.5" customHeight="1">
      <c r="A586" s="9">
        <v>999</v>
      </c>
      <c r="B586" s="16" t="s">
        <v>120</v>
      </c>
      <c r="C586" s="89" t="s">
        <v>48</v>
      </c>
      <c r="D586" s="74" t="s">
        <v>879</v>
      </c>
      <c r="E586" s="13" t="s">
        <v>880</v>
      </c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8"/>
        <v>0</v>
      </c>
      <c r="P586" s="12"/>
      <c r="Q586" s="42"/>
      <c r="R586" s="15"/>
      <c r="S586" s="44"/>
      <c r="T586" s="15"/>
      <c r="U586" s="44"/>
      <c r="V586" s="15">
        <f t="shared" si="53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4"/>
        <v>0</v>
      </c>
      <c r="AF586" s="101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5"/>
        <v>0</v>
      </c>
      <c r="BA586" s="15"/>
      <c r="BB586" s="44"/>
      <c r="BC586" s="15"/>
      <c r="BD586" s="44"/>
      <c r="BE586" s="15">
        <f t="shared" si="56"/>
        <v>0</v>
      </c>
    </row>
    <row r="587" spans="1:57" s="8" customFormat="1" ht="22.5" customHeight="1">
      <c r="A587" s="9">
        <v>999</v>
      </c>
      <c r="B587" s="16" t="s">
        <v>120</v>
      </c>
      <c r="C587" s="89" t="s">
        <v>48</v>
      </c>
      <c r="D587" s="72" t="s">
        <v>881</v>
      </c>
      <c r="E587" s="13" t="s">
        <v>882</v>
      </c>
      <c r="F587" s="12"/>
      <c r="G587" s="9"/>
      <c r="H587" s="9" t="s">
        <v>67</v>
      </c>
      <c r="I587" s="14"/>
      <c r="J587" s="14"/>
      <c r="K587" s="12">
        <v>0</v>
      </c>
      <c r="L587" s="9"/>
      <c r="M587" s="9"/>
      <c r="N587" s="9"/>
      <c r="O587" s="38">
        <f t="shared" si="48"/>
        <v>0</v>
      </c>
      <c r="P587" s="12"/>
      <c r="Q587" s="42"/>
      <c r="R587" s="15"/>
      <c r="S587" s="44"/>
      <c r="T587" s="15"/>
      <c r="U587" s="44"/>
      <c r="V587" s="15">
        <f t="shared" si="53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4"/>
        <v>0</v>
      </c>
      <c r="AF587" s="101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5"/>
        <v>0</v>
      </c>
      <c r="BA587" s="15"/>
      <c r="BB587" s="44"/>
      <c r="BC587" s="15"/>
      <c r="BD587" s="44"/>
      <c r="BE587" s="15">
        <f t="shared" si="56"/>
        <v>0</v>
      </c>
    </row>
    <row r="588" spans="1:57" s="8" customFormat="1" ht="22.5" customHeight="1">
      <c r="A588" s="9">
        <v>999</v>
      </c>
      <c r="B588" s="16" t="s">
        <v>120</v>
      </c>
      <c r="C588" s="89" t="s">
        <v>48</v>
      </c>
      <c r="D588" s="72" t="s">
        <v>883</v>
      </c>
      <c r="E588" s="13" t="s">
        <v>884</v>
      </c>
      <c r="F588" s="12"/>
      <c r="G588" s="9"/>
      <c r="H588" s="9" t="s">
        <v>67</v>
      </c>
      <c r="I588" s="14"/>
      <c r="J588" s="14"/>
      <c r="K588" s="12">
        <v>0</v>
      </c>
      <c r="L588" s="9"/>
      <c r="M588" s="9"/>
      <c r="N588" s="9"/>
      <c r="O588" s="38">
        <f t="shared" si="48"/>
        <v>0</v>
      </c>
      <c r="P588" s="12"/>
      <c r="Q588" s="42"/>
      <c r="R588" s="15"/>
      <c r="S588" s="44"/>
      <c r="T588" s="15"/>
      <c r="U588" s="44"/>
      <c r="V588" s="15">
        <f t="shared" si="53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4"/>
        <v>0</v>
      </c>
      <c r="AF588" s="101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5"/>
        <v>0</v>
      </c>
      <c r="BA588" s="15"/>
      <c r="BB588" s="44"/>
      <c r="BC588" s="15"/>
      <c r="BD588" s="44"/>
      <c r="BE588" s="15">
        <f t="shared" si="56"/>
        <v>0</v>
      </c>
    </row>
    <row r="589" spans="1:57" s="8" customFormat="1" ht="22.5" customHeight="1">
      <c r="A589" s="9">
        <v>999</v>
      </c>
      <c r="B589" s="16" t="s">
        <v>172</v>
      </c>
      <c r="C589" s="89" t="s">
        <v>48</v>
      </c>
      <c r="D589" s="72" t="s">
        <v>415</v>
      </c>
      <c r="E589" s="13"/>
      <c r="F589" s="12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8"/>
        <v>0</v>
      </c>
      <c r="P589" s="12"/>
      <c r="Q589" s="42"/>
      <c r="R589" s="15"/>
      <c r="S589" s="44"/>
      <c r="T589" s="15"/>
      <c r="U589" s="44"/>
      <c r="V589" s="15">
        <f t="shared" si="53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4"/>
        <v>0</v>
      </c>
      <c r="AF589" s="101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5"/>
        <v>0</v>
      </c>
      <c r="BA589" s="15"/>
      <c r="BB589" s="44"/>
      <c r="BC589" s="15"/>
      <c r="BD589" s="44"/>
      <c r="BE589" s="15">
        <f t="shared" si="56"/>
        <v>0</v>
      </c>
    </row>
    <row r="590" spans="1:57" s="8" customFormat="1" ht="22.5" customHeight="1">
      <c r="A590" s="9"/>
      <c r="B590" s="18" t="s">
        <v>172</v>
      </c>
      <c r="C590" s="89" t="s">
        <v>52</v>
      </c>
      <c r="D590" s="58" t="s">
        <v>253</v>
      </c>
      <c r="E590" s="35"/>
      <c r="F590" s="96"/>
      <c r="G590" s="21"/>
      <c r="H590" s="21" t="s">
        <v>67</v>
      </c>
      <c r="I590" s="14"/>
      <c r="J590" s="14"/>
      <c r="K590" s="12">
        <v>0</v>
      </c>
      <c r="L590" s="9"/>
      <c r="M590" s="9"/>
      <c r="N590" s="9"/>
      <c r="O590" s="38">
        <f t="shared" si="48"/>
        <v>0</v>
      </c>
      <c r="P590" s="12"/>
      <c r="Q590" s="42"/>
      <c r="R590" s="15"/>
      <c r="S590" s="44"/>
      <c r="T590" s="15"/>
      <c r="U590" s="44"/>
      <c r="V590" s="15">
        <f t="shared" si="53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4"/>
        <v>0</v>
      </c>
      <c r="AF590" s="101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5"/>
        <v>0</v>
      </c>
      <c r="BA590" s="15"/>
      <c r="BB590" s="44"/>
      <c r="BC590" s="15"/>
      <c r="BD590" s="44"/>
      <c r="BE590" s="15">
        <f t="shared" si="56"/>
        <v>0</v>
      </c>
    </row>
    <row r="591" spans="1:57" s="8" customFormat="1" ht="22.5" customHeight="1">
      <c r="A591" s="9"/>
      <c r="B591" s="18" t="s">
        <v>172</v>
      </c>
      <c r="C591" s="89" t="s">
        <v>52</v>
      </c>
      <c r="D591" s="67" t="s">
        <v>885</v>
      </c>
      <c r="E591" s="35"/>
      <c r="F591" s="96"/>
      <c r="G591" s="21"/>
      <c r="H591" s="21" t="s">
        <v>67</v>
      </c>
      <c r="I591" s="14"/>
      <c r="J591" s="14"/>
      <c r="K591" s="12">
        <v>0</v>
      </c>
      <c r="L591" s="9"/>
      <c r="M591" s="9"/>
      <c r="N591" s="9"/>
      <c r="O591" s="38">
        <f t="shared" si="48"/>
        <v>0</v>
      </c>
      <c r="P591" s="12"/>
      <c r="Q591" s="42"/>
      <c r="R591" s="15"/>
      <c r="S591" s="44"/>
      <c r="T591" s="15"/>
      <c r="U591" s="44"/>
      <c r="V591" s="15">
        <f t="shared" si="53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4"/>
        <v>0</v>
      </c>
      <c r="AF591" s="101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5"/>
        <v>0</v>
      </c>
      <c r="BA591" s="15"/>
      <c r="BB591" s="44"/>
      <c r="BC591" s="15"/>
      <c r="BD591" s="44"/>
      <c r="BE591" s="15">
        <f t="shared" si="56"/>
        <v>0</v>
      </c>
    </row>
    <row r="592" spans="1:57" s="8" customFormat="1" ht="22.5" customHeight="1">
      <c r="A592" s="9"/>
      <c r="B592" s="16" t="s">
        <v>172</v>
      </c>
      <c r="C592" s="89" t="s">
        <v>52</v>
      </c>
      <c r="D592" s="80" t="s">
        <v>497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8"/>
        <v>0</v>
      </c>
      <c r="P592" s="12"/>
      <c r="Q592" s="42"/>
      <c r="R592" s="15"/>
      <c r="S592" s="44"/>
      <c r="T592" s="15"/>
      <c r="U592" s="44"/>
      <c r="V592" s="15">
        <f t="shared" si="53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4"/>
        <v>0</v>
      </c>
      <c r="AF592" s="101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5"/>
        <v>0</v>
      </c>
      <c r="BA592" s="15"/>
      <c r="BB592" s="44"/>
      <c r="BC592" s="15"/>
      <c r="BD592" s="44"/>
      <c r="BE592" s="15">
        <f t="shared" si="56"/>
        <v>0</v>
      </c>
    </row>
    <row r="593" spans="1:57" s="8" customFormat="1" ht="22.5" customHeight="1">
      <c r="A593" s="9"/>
      <c r="B593" s="16" t="s">
        <v>172</v>
      </c>
      <c r="C593" s="89" t="s">
        <v>52</v>
      </c>
      <c r="D593" s="61" t="s">
        <v>886</v>
      </c>
      <c r="E593" s="13"/>
      <c r="F593" s="96"/>
      <c r="G593" s="9"/>
      <c r="H593" s="9" t="s">
        <v>420</v>
      </c>
      <c r="I593" s="14"/>
      <c r="J593" s="14"/>
      <c r="K593" s="12">
        <v>0</v>
      </c>
      <c r="L593" s="9"/>
      <c r="M593" s="9"/>
      <c r="N593" s="9"/>
      <c r="O593" s="38">
        <f t="shared" si="48"/>
        <v>0</v>
      </c>
      <c r="P593" s="12"/>
      <c r="Q593" s="42"/>
      <c r="R593" s="15"/>
      <c r="S593" s="44"/>
      <c r="T593" s="15"/>
      <c r="U593" s="44"/>
      <c r="V593" s="15">
        <f t="shared" si="53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4"/>
        <v>0</v>
      </c>
      <c r="AF593" s="101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5"/>
        <v>0</v>
      </c>
      <c r="BA593" s="15"/>
      <c r="BB593" s="44"/>
      <c r="BC593" s="15"/>
      <c r="BD593" s="44"/>
      <c r="BE593" s="15">
        <f t="shared" si="56"/>
        <v>0</v>
      </c>
    </row>
    <row r="594" spans="1:57" s="8" customFormat="1" ht="22.5" customHeight="1">
      <c r="A594" s="9"/>
      <c r="B594" s="16" t="s">
        <v>172</v>
      </c>
      <c r="C594" s="89" t="s">
        <v>52</v>
      </c>
      <c r="D594" s="80" t="s">
        <v>887</v>
      </c>
      <c r="E594" s="13"/>
      <c r="F594" s="96"/>
      <c r="G594" s="9"/>
      <c r="H594" s="9" t="s">
        <v>420</v>
      </c>
      <c r="I594" s="14"/>
      <c r="J594" s="14"/>
      <c r="K594" s="12">
        <v>0</v>
      </c>
      <c r="L594" s="9"/>
      <c r="M594" s="9"/>
      <c r="N594" s="9"/>
      <c r="O594" s="38">
        <f t="shared" si="48"/>
        <v>0</v>
      </c>
      <c r="P594" s="12"/>
      <c r="Q594" s="42"/>
      <c r="R594" s="15"/>
      <c r="S594" s="44"/>
      <c r="T594" s="15"/>
      <c r="U594" s="44"/>
      <c r="V594" s="15">
        <f t="shared" si="53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4"/>
        <v>0</v>
      </c>
      <c r="AF594" s="101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5"/>
        <v>0</v>
      </c>
      <c r="BA594" s="15"/>
      <c r="BB594" s="44"/>
      <c r="BC594" s="15"/>
      <c r="BD594" s="44"/>
      <c r="BE594" s="15">
        <f t="shared" si="56"/>
        <v>0</v>
      </c>
    </row>
    <row r="595" spans="1:57" s="8" customFormat="1" ht="22.5" customHeight="1">
      <c r="A595" s="9"/>
      <c r="B595" s="16" t="s">
        <v>172</v>
      </c>
      <c r="C595" s="89" t="s">
        <v>494</v>
      </c>
      <c r="D595" s="84" t="s">
        <v>498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8"/>
        <v>0</v>
      </c>
      <c r="P595" s="12"/>
      <c r="Q595" s="42"/>
      <c r="R595" s="15"/>
      <c r="S595" s="44"/>
      <c r="T595" s="15"/>
      <c r="U595" s="44"/>
      <c r="V595" s="15">
        <f t="shared" si="53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4"/>
        <v>0</v>
      </c>
      <c r="AF595" s="101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5"/>
        <v>0</v>
      </c>
      <c r="BA595" s="15"/>
      <c r="BB595" s="44"/>
      <c r="BC595" s="15"/>
      <c r="BD595" s="44"/>
      <c r="BE595" s="15">
        <f t="shared" si="56"/>
        <v>0</v>
      </c>
    </row>
    <row r="596" spans="1:57" s="8" customFormat="1" ht="22.5" customHeight="1">
      <c r="A596" s="9"/>
      <c r="B596" s="16" t="s">
        <v>172</v>
      </c>
      <c r="C596" s="89" t="s">
        <v>494</v>
      </c>
      <c r="D596" s="84" t="s">
        <v>888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8"/>
        <v>0</v>
      </c>
      <c r="P596" s="12"/>
      <c r="Q596" s="42"/>
      <c r="R596" s="15"/>
      <c r="S596" s="44"/>
      <c r="T596" s="15"/>
      <c r="U596" s="44"/>
      <c r="V596" s="15">
        <f t="shared" si="53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4"/>
        <v>0</v>
      </c>
      <c r="AF596" s="101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5"/>
        <v>0</v>
      </c>
      <c r="BA596" s="15"/>
      <c r="BB596" s="44"/>
      <c r="BC596" s="15"/>
      <c r="BD596" s="44"/>
      <c r="BE596" s="15">
        <f t="shared" si="56"/>
        <v>0</v>
      </c>
    </row>
    <row r="597" spans="1:57" s="8" customFormat="1" ht="22.5" customHeight="1">
      <c r="A597" s="9"/>
      <c r="B597" s="16" t="s">
        <v>172</v>
      </c>
      <c r="C597" s="89" t="s">
        <v>52</v>
      </c>
      <c r="D597" s="84" t="s">
        <v>889</v>
      </c>
      <c r="E597" s="13"/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8"/>
        <v>0</v>
      </c>
      <c r="P597" s="12"/>
      <c r="Q597" s="42"/>
      <c r="R597" s="15"/>
      <c r="S597" s="44"/>
      <c r="T597" s="15"/>
      <c r="U597" s="44"/>
      <c r="V597" s="15">
        <f t="shared" si="53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4"/>
        <v>0</v>
      </c>
      <c r="AF597" s="101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5"/>
        <v>0</v>
      </c>
      <c r="BA597" s="15"/>
      <c r="BB597" s="44"/>
      <c r="BC597" s="15"/>
      <c r="BD597" s="44"/>
      <c r="BE597" s="15">
        <f t="shared" si="56"/>
        <v>0</v>
      </c>
    </row>
    <row r="598" spans="1:57" s="8" customFormat="1" ht="22.5" customHeight="1">
      <c r="A598" s="9"/>
      <c r="B598" s="16" t="s">
        <v>172</v>
      </c>
      <c r="C598" s="89" t="s">
        <v>52</v>
      </c>
      <c r="D598" s="84" t="s">
        <v>890</v>
      </c>
      <c r="E598" s="13"/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si="48"/>
        <v>0</v>
      </c>
      <c r="P598" s="12"/>
      <c r="Q598" s="42"/>
      <c r="R598" s="15"/>
      <c r="S598" s="44"/>
      <c r="T598" s="15"/>
      <c r="U598" s="44"/>
      <c r="V598" s="15">
        <f t="shared" si="53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4"/>
        <v>0</v>
      </c>
      <c r="AF598" s="101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5"/>
        <v>0</v>
      </c>
      <c r="BA598" s="15"/>
      <c r="BB598" s="44"/>
      <c r="BC598" s="15"/>
      <c r="BD598" s="44"/>
      <c r="BE598" s="15">
        <f t="shared" si="56"/>
        <v>0</v>
      </c>
    </row>
    <row r="599" spans="1:57" s="8" customFormat="1" ht="22.5" customHeight="1">
      <c r="A599" s="9"/>
      <c r="B599" s="16" t="s">
        <v>172</v>
      </c>
      <c r="C599" s="89" t="s">
        <v>494</v>
      </c>
      <c r="D599" s="84" t="s">
        <v>891</v>
      </c>
      <c r="E599" s="13"/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48"/>
        <v>0</v>
      </c>
      <c r="P599" s="12"/>
      <c r="Q599" s="42"/>
      <c r="R599" s="15"/>
      <c r="S599" s="44"/>
      <c r="T599" s="15"/>
      <c r="U599" s="44"/>
      <c r="V599" s="15">
        <f t="shared" si="53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4"/>
        <v>0</v>
      </c>
      <c r="AF599" s="101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5"/>
        <v>0</v>
      </c>
      <c r="BA599" s="15"/>
      <c r="BB599" s="44"/>
      <c r="BC599" s="15"/>
      <c r="BD599" s="44"/>
      <c r="BE599" s="15">
        <f t="shared" si="56"/>
        <v>0</v>
      </c>
    </row>
    <row r="600" spans="1:57" s="8" customFormat="1" ht="22.5" customHeight="1">
      <c r="A600" s="9"/>
      <c r="B600" s="16" t="s">
        <v>172</v>
      </c>
      <c r="C600" s="89" t="s">
        <v>494</v>
      </c>
      <c r="D600" s="80" t="s">
        <v>500</v>
      </c>
      <c r="E600" s="13" t="s">
        <v>578</v>
      </c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48"/>
        <v>0</v>
      </c>
      <c r="P600" s="12"/>
      <c r="Q600" s="42"/>
      <c r="R600" s="15"/>
      <c r="S600" s="44"/>
      <c r="T600" s="15"/>
      <c r="U600" s="44"/>
      <c r="V600" s="15">
        <f t="shared" si="53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4"/>
        <v>0</v>
      </c>
      <c r="AF600" s="101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5"/>
        <v>0</v>
      </c>
      <c r="BA600" s="15"/>
      <c r="BB600" s="44"/>
      <c r="BC600" s="15"/>
      <c r="BD600" s="44"/>
      <c r="BE600" s="15">
        <f t="shared" si="56"/>
        <v>0</v>
      </c>
    </row>
    <row r="601" spans="1:57" s="8" customFormat="1" ht="22.5" customHeight="1">
      <c r="A601" s="9"/>
      <c r="B601" s="16" t="s">
        <v>172</v>
      </c>
      <c r="C601" s="89" t="s">
        <v>52</v>
      </c>
      <c r="D601" s="61" t="s">
        <v>892</v>
      </c>
      <c r="E601" s="13" t="s">
        <v>893</v>
      </c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ref="O601:O632" si="57">K601+V601-AE601-AZ601</f>
        <v>0</v>
      </c>
      <c r="P601" s="12"/>
      <c r="Q601" s="42"/>
      <c r="R601" s="15"/>
      <c r="S601" s="44"/>
      <c r="T601" s="15"/>
      <c r="U601" s="44"/>
      <c r="V601" s="15">
        <f t="shared" si="53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4"/>
        <v>0</v>
      </c>
      <c r="AF601" s="101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5"/>
        <v>0</v>
      </c>
      <c r="BA601" s="15"/>
      <c r="BB601" s="44"/>
      <c r="BC601" s="15"/>
      <c r="BD601" s="44"/>
      <c r="BE601" s="15">
        <f t="shared" si="56"/>
        <v>0</v>
      </c>
    </row>
    <row r="602" spans="1:57" s="8" customFormat="1" ht="22.5" customHeight="1">
      <c r="A602" s="9"/>
      <c r="B602" s="16" t="s">
        <v>172</v>
      </c>
      <c r="C602" s="89" t="s">
        <v>52</v>
      </c>
      <c r="D602" s="61" t="s">
        <v>892</v>
      </c>
      <c r="E602" s="13" t="s">
        <v>894</v>
      </c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7"/>
        <v>0</v>
      </c>
      <c r="P602" s="12"/>
      <c r="Q602" s="42"/>
      <c r="R602" s="15"/>
      <c r="S602" s="44"/>
      <c r="T602" s="15"/>
      <c r="U602" s="44"/>
      <c r="V602" s="15">
        <f t="shared" si="53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4"/>
        <v>0</v>
      </c>
      <c r="AF602" s="101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5"/>
        <v>0</v>
      </c>
      <c r="BA602" s="15"/>
      <c r="BB602" s="44"/>
      <c r="BC602" s="15"/>
      <c r="BD602" s="44"/>
      <c r="BE602" s="15">
        <f t="shared" si="56"/>
        <v>0</v>
      </c>
    </row>
    <row r="603" spans="1:57" s="8" customFormat="1" ht="22.5" customHeight="1">
      <c r="A603" s="9"/>
      <c r="B603" s="16" t="s">
        <v>172</v>
      </c>
      <c r="C603" s="89" t="s">
        <v>52</v>
      </c>
      <c r="D603" s="80" t="s">
        <v>895</v>
      </c>
      <c r="E603" s="13"/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7"/>
        <v>0</v>
      </c>
      <c r="P603" s="12"/>
      <c r="Q603" s="42"/>
      <c r="R603" s="15"/>
      <c r="S603" s="44"/>
      <c r="T603" s="15"/>
      <c r="U603" s="44"/>
      <c r="V603" s="15">
        <f t="shared" si="53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4"/>
        <v>0</v>
      </c>
      <c r="AF603" s="101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5"/>
        <v>0</v>
      </c>
      <c r="BA603" s="15"/>
      <c r="BB603" s="44"/>
      <c r="BC603" s="15"/>
      <c r="BD603" s="44"/>
      <c r="BE603" s="15">
        <f t="shared" si="56"/>
        <v>0</v>
      </c>
    </row>
    <row r="604" spans="1:57" s="8" customFormat="1" ht="22.5" customHeight="1">
      <c r="A604" s="9"/>
      <c r="B604" s="16" t="s">
        <v>172</v>
      </c>
      <c r="C604" s="89" t="s">
        <v>52</v>
      </c>
      <c r="D604" s="80" t="s">
        <v>896</v>
      </c>
      <c r="E604" s="13"/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7"/>
        <v>0</v>
      </c>
      <c r="P604" s="12"/>
      <c r="Q604" s="42"/>
      <c r="R604" s="15"/>
      <c r="S604" s="44"/>
      <c r="T604" s="15"/>
      <c r="U604" s="44"/>
      <c r="V604" s="15">
        <f t="shared" si="53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4"/>
        <v>0</v>
      </c>
      <c r="AF604" s="101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5"/>
        <v>0</v>
      </c>
      <c r="BA604" s="15"/>
      <c r="BB604" s="44"/>
      <c r="BC604" s="15"/>
      <c r="BD604" s="44"/>
      <c r="BE604" s="15">
        <f t="shared" si="56"/>
        <v>0</v>
      </c>
    </row>
    <row r="605" spans="1:57" s="8" customFormat="1" ht="22.5" customHeight="1">
      <c r="A605" s="9"/>
      <c r="B605" s="16" t="s">
        <v>172</v>
      </c>
      <c r="C605" s="89" t="s">
        <v>52</v>
      </c>
      <c r="D605" s="80" t="s">
        <v>897</v>
      </c>
      <c r="E605" s="13"/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7"/>
        <v>0</v>
      </c>
      <c r="P605" s="12"/>
      <c r="Q605" s="42"/>
      <c r="R605" s="15"/>
      <c r="S605" s="44"/>
      <c r="T605" s="15"/>
      <c r="U605" s="44"/>
      <c r="V605" s="15">
        <f t="shared" si="53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4"/>
        <v>0</v>
      </c>
      <c r="AF605" s="101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5"/>
        <v>0</v>
      </c>
      <c r="BA605" s="15"/>
      <c r="BB605" s="44"/>
      <c r="BC605" s="15"/>
      <c r="BD605" s="44"/>
      <c r="BE605" s="15">
        <f t="shared" si="56"/>
        <v>0</v>
      </c>
    </row>
    <row r="606" spans="1:57" s="8" customFormat="1" ht="22.5" customHeight="1">
      <c r="A606" s="9"/>
      <c r="B606" s="16" t="s">
        <v>172</v>
      </c>
      <c r="C606" s="89" t="s">
        <v>52</v>
      </c>
      <c r="D606" s="80" t="s">
        <v>898</v>
      </c>
      <c r="E606" s="13" t="s">
        <v>899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7"/>
        <v>0</v>
      </c>
      <c r="P606" s="12"/>
      <c r="Q606" s="42"/>
      <c r="R606" s="15"/>
      <c r="S606" s="44"/>
      <c r="T606" s="15"/>
      <c r="U606" s="44"/>
      <c r="V606" s="15">
        <f t="shared" si="53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4"/>
        <v>0</v>
      </c>
      <c r="AF606" s="101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5"/>
        <v>0</v>
      </c>
      <c r="BA606" s="15"/>
      <c r="BB606" s="44"/>
      <c r="BC606" s="15"/>
      <c r="BD606" s="44"/>
      <c r="BE606" s="15">
        <f t="shared" si="56"/>
        <v>0</v>
      </c>
    </row>
    <row r="607" spans="1:57" s="8" customFormat="1" ht="22.5" customHeight="1">
      <c r="A607" s="9"/>
      <c r="B607" s="16" t="s">
        <v>172</v>
      </c>
      <c r="C607" s="89" t="s">
        <v>52</v>
      </c>
      <c r="D607" s="80" t="s">
        <v>900</v>
      </c>
      <c r="E607" s="13" t="s">
        <v>737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7"/>
        <v>0</v>
      </c>
      <c r="P607" s="12"/>
      <c r="Q607" s="42"/>
      <c r="R607" s="15"/>
      <c r="S607" s="44"/>
      <c r="T607" s="15"/>
      <c r="U607" s="44"/>
      <c r="V607" s="15">
        <f t="shared" si="53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4"/>
        <v>0</v>
      </c>
      <c r="AF607" s="101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5"/>
        <v>0</v>
      </c>
      <c r="BA607" s="15"/>
      <c r="BB607" s="44"/>
      <c r="BC607" s="15"/>
      <c r="BD607" s="44"/>
      <c r="BE607" s="15">
        <f t="shared" si="56"/>
        <v>0</v>
      </c>
    </row>
    <row r="608" spans="1:57" s="8" customFormat="1" ht="22.5" customHeight="1">
      <c r="A608" s="9"/>
      <c r="B608" s="16" t="s">
        <v>172</v>
      </c>
      <c r="C608" s="89" t="s">
        <v>52</v>
      </c>
      <c r="D608" s="80" t="s">
        <v>900</v>
      </c>
      <c r="E608" s="13" t="s">
        <v>136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7"/>
        <v>0</v>
      </c>
      <c r="P608" s="12"/>
      <c r="Q608" s="42"/>
      <c r="R608" s="15"/>
      <c r="S608" s="44"/>
      <c r="T608" s="15"/>
      <c r="U608" s="44"/>
      <c r="V608" s="15">
        <f t="shared" si="53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4"/>
        <v>0</v>
      </c>
      <c r="AF608" s="101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5"/>
        <v>0</v>
      </c>
      <c r="BA608" s="15"/>
      <c r="BB608" s="44"/>
      <c r="BC608" s="15"/>
      <c r="BD608" s="44"/>
      <c r="BE608" s="15">
        <f t="shared" si="56"/>
        <v>0</v>
      </c>
    </row>
    <row r="609" spans="1:57" s="8" customFormat="1" ht="22.5" customHeight="1">
      <c r="A609" s="9"/>
      <c r="B609" s="16" t="s">
        <v>120</v>
      </c>
      <c r="C609" s="89" t="s">
        <v>52</v>
      </c>
      <c r="D609" s="56" t="s">
        <v>901</v>
      </c>
      <c r="E609" s="13" t="s">
        <v>902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7"/>
        <v>0</v>
      </c>
      <c r="P609" s="12"/>
      <c r="Q609" s="42"/>
      <c r="R609" s="15"/>
      <c r="S609" s="44"/>
      <c r="T609" s="15"/>
      <c r="U609" s="44"/>
      <c r="V609" s="15">
        <f t="shared" si="53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4"/>
        <v>0</v>
      </c>
      <c r="AF609" s="101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5"/>
        <v>0</v>
      </c>
      <c r="BA609" s="15"/>
      <c r="BB609" s="44"/>
      <c r="BC609" s="15"/>
      <c r="BD609" s="44"/>
      <c r="BE609" s="15">
        <f t="shared" si="56"/>
        <v>0</v>
      </c>
    </row>
    <row r="610" spans="1:57" s="8" customFormat="1" ht="22.5" customHeight="1">
      <c r="A610" s="9"/>
      <c r="B610" s="16" t="s">
        <v>120</v>
      </c>
      <c r="C610" s="89" t="s">
        <v>52</v>
      </c>
      <c r="D610" s="80" t="s">
        <v>202</v>
      </c>
      <c r="E610" s="13" t="s">
        <v>903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7"/>
        <v>0</v>
      </c>
      <c r="P610" s="12"/>
      <c r="Q610" s="42"/>
      <c r="R610" s="15"/>
      <c r="S610" s="44"/>
      <c r="T610" s="15"/>
      <c r="U610" s="44"/>
      <c r="V610" s="15">
        <f t="shared" si="53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4"/>
        <v>0</v>
      </c>
      <c r="AF610" s="101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5"/>
        <v>0</v>
      </c>
      <c r="BA610" s="15"/>
      <c r="BB610" s="44"/>
      <c r="BC610" s="15"/>
      <c r="BD610" s="44"/>
      <c r="BE610" s="15">
        <f t="shared" si="56"/>
        <v>0</v>
      </c>
    </row>
    <row r="611" spans="1:57" s="8" customFormat="1" ht="22.5" customHeight="1">
      <c r="A611" s="9"/>
      <c r="B611" s="16" t="s">
        <v>120</v>
      </c>
      <c r="C611" s="89" t="s">
        <v>494</v>
      </c>
      <c r="D611" s="80" t="s">
        <v>904</v>
      </c>
      <c r="E611" s="13" t="s">
        <v>905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7"/>
        <v>0</v>
      </c>
      <c r="P611" s="12"/>
      <c r="Q611" s="42"/>
      <c r="R611" s="15"/>
      <c r="S611" s="44"/>
      <c r="T611" s="15"/>
      <c r="U611" s="44"/>
      <c r="V611" s="15">
        <f t="shared" si="53"/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si="54"/>
        <v>0</v>
      </c>
      <c r="AF611" s="101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si="55"/>
        <v>0</v>
      </c>
      <c r="BA611" s="15"/>
      <c r="BB611" s="44"/>
      <c r="BC611" s="15"/>
      <c r="BD611" s="44"/>
      <c r="BE611" s="15">
        <f t="shared" si="56"/>
        <v>0</v>
      </c>
    </row>
    <row r="612" spans="1:57" s="8" customFormat="1" ht="22.5" customHeight="1">
      <c r="A612" s="9"/>
      <c r="B612" s="16" t="s">
        <v>120</v>
      </c>
      <c r="C612" s="89" t="s">
        <v>52</v>
      </c>
      <c r="D612" s="80" t="s">
        <v>881</v>
      </c>
      <c r="E612" s="13" t="s">
        <v>906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7"/>
        <v>0</v>
      </c>
      <c r="P612" s="12"/>
      <c r="Q612" s="42"/>
      <c r="R612" s="15"/>
      <c r="S612" s="44"/>
      <c r="T612" s="15"/>
      <c r="U612" s="44"/>
      <c r="V612" s="15">
        <f t="shared" si="53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4"/>
        <v>0</v>
      </c>
      <c r="AF612" s="101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5"/>
        <v>0</v>
      </c>
      <c r="BA612" s="15"/>
      <c r="BB612" s="44"/>
      <c r="BC612" s="15"/>
      <c r="BD612" s="44"/>
      <c r="BE612" s="15">
        <f t="shared" si="56"/>
        <v>0</v>
      </c>
    </row>
    <row r="613" spans="1:57" s="8" customFormat="1" ht="22.5" customHeight="1">
      <c r="A613" s="9"/>
      <c r="B613" s="16" t="s">
        <v>120</v>
      </c>
      <c r="C613" s="89" t="s">
        <v>52</v>
      </c>
      <c r="D613" s="80" t="s">
        <v>907</v>
      </c>
      <c r="E613" s="13" t="s">
        <v>908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7"/>
        <v>0</v>
      </c>
      <c r="P613" s="12"/>
      <c r="Q613" s="42"/>
      <c r="R613" s="15"/>
      <c r="S613" s="44"/>
      <c r="T613" s="15"/>
      <c r="U613" s="44"/>
      <c r="V613" s="15">
        <f t="shared" si="53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4"/>
        <v>0</v>
      </c>
      <c r="AF613" s="101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5"/>
        <v>0</v>
      </c>
      <c r="BA613" s="15"/>
      <c r="BB613" s="44"/>
      <c r="BC613" s="15"/>
      <c r="BD613" s="44"/>
      <c r="BE613" s="15">
        <f t="shared" si="56"/>
        <v>0</v>
      </c>
    </row>
    <row r="614" spans="1:57" s="8" customFormat="1" ht="22.5" customHeight="1">
      <c r="A614" s="9"/>
      <c r="B614" s="16" t="s">
        <v>120</v>
      </c>
      <c r="C614" s="89" t="s">
        <v>52</v>
      </c>
      <c r="D614" s="83" t="s">
        <v>909</v>
      </c>
      <c r="E614" s="13" t="s">
        <v>910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7"/>
        <v>0</v>
      </c>
      <c r="P614" s="12"/>
      <c r="Q614" s="42"/>
      <c r="R614" s="15"/>
      <c r="S614" s="44"/>
      <c r="T614" s="15"/>
      <c r="U614" s="44"/>
      <c r="V614" s="15">
        <f t="shared" ref="V614:V645" si="58">P614+R614+T614</f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ref="AE614:AE645" si="59">(W614+Y614+AA614+AC614)</f>
        <v>0</v>
      </c>
      <c r="AF614" s="101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ref="AZ614:AZ645" si="60">AF614+AH614+AJ614+AL614+AN614+AP614+AR614+AT614+AV614+AX614</f>
        <v>0</v>
      </c>
      <c r="BA614" s="15"/>
      <c r="BB614" s="44"/>
      <c r="BC614" s="15"/>
      <c r="BD614" s="44"/>
      <c r="BE614" s="15">
        <f t="shared" ref="BE614:BE645" si="61">(BA614+BC614)</f>
        <v>0</v>
      </c>
    </row>
    <row r="615" spans="1:57" s="8" customFormat="1" ht="22.5" customHeight="1">
      <c r="A615" s="9"/>
      <c r="B615" s="16" t="s">
        <v>120</v>
      </c>
      <c r="C615" s="89" t="s">
        <v>52</v>
      </c>
      <c r="D615" s="56" t="s">
        <v>911</v>
      </c>
      <c r="E615" s="13" t="s">
        <v>525</v>
      </c>
      <c r="F615" s="96"/>
      <c r="G615" s="9"/>
      <c r="H615" s="9" t="s">
        <v>67</v>
      </c>
      <c r="I615" s="14"/>
      <c r="J615" s="14"/>
      <c r="K615" s="12">
        <v>0</v>
      </c>
      <c r="L615" s="9"/>
      <c r="M615" s="9"/>
      <c r="N615" s="9"/>
      <c r="O615" s="38">
        <f t="shared" si="57"/>
        <v>0</v>
      </c>
      <c r="P615" s="12"/>
      <c r="Q615" s="42"/>
      <c r="R615" s="15"/>
      <c r="S615" s="44"/>
      <c r="T615" s="15"/>
      <c r="U615" s="44"/>
      <c r="V615" s="15">
        <f t="shared" si="58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9"/>
        <v>0</v>
      </c>
      <c r="AF615" s="101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60"/>
        <v>0</v>
      </c>
      <c r="BA615" s="15"/>
      <c r="BB615" s="44"/>
      <c r="BC615" s="15"/>
      <c r="BD615" s="44"/>
      <c r="BE615" s="15">
        <f t="shared" si="61"/>
        <v>0</v>
      </c>
    </row>
    <row r="616" spans="1:57" s="8" customFormat="1" ht="22.5" customHeight="1">
      <c r="A616" s="9"/>
      <c r="B616" s="16" t="s">
        <v>120</v>
      </c>
      <c r="C616" s="89" t="s">
        <v>52</v>
      </c>
      <c r="D616" s="56" t="s">
        <v>912</v>
      </c>
      <c r="E616" s="13" t="s">
        <v>913</v>
      </c>
      <c r="F616" s="96"/>
      <c r="G616" s="9"/>
      <c r="H616" s="9" t="s">
        <v>67</v>
      </c>
      <c r="I616" s="14"/>
      <c r="J616" s="14"/>
      <c r="K616" s="12">
        <v>0</v>
      </c>
      <c r="L616" s="9"/>
      <c r="M616" s="9"/>
      <c r="N616" s="9"/>
      <c r="O616" s="38">
        <f t="shared" si="57"/>
        <v>0</v>
      </c>
      <c r="P616" s="12"/>
      <c r="Q616" s="42"/>
      <c r="R616" s="15"/>
      <c r="S616" s="44"/>
      <c r="T616" s="15"/>
      <c r="U616" s="44"/>
      <c r="V616" s="15">
        <f t="shared" si="58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9"/>
        <v>0</v>
      </c>
      <c r="AF616" s="101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60"/>
        <v>0</v>
      </c>
      <c r="BA616" s="15"/>
      <c r="BB616" s="44"/>
      <c r="BC616" s="15"/>
      <c r="BD616" s="44"/>
      <c r="BE616" s="15">
        <f t="shared" si="61"/>
        <v>0</v>
      </c>
    </row>
    <row r="617" spans="1:57" s="8" customFormat="1" ht="22.5" customHeight="1">
      <c r="A617" s="9"/>
      <c r="B617" s="16" t="s">
        <v>120</v>
      </c>
      <c r="C617" s="89" t="s">
        <v>52</v>
      </c>
      <c r="D617" s="56" t="s">
        <v>914</v>
      </c>
      <c r="E617" s="13" t="s">
        <v>915</v>
      </c>
      <c r="F617" s="96"/>
      <c r="G617" s="9"/>
      <c r="H617" s="9" t="s">
        <v>67</v>
      </c>
      <c r="I617" s="14"/>
      <c r="J617" s="14"/>
      <c r="K617" s="12">
        <v>0</v>
      </c>
      <c r="L617" s="9"/>
      <c r="M617" s="9"/>
      <c r="N617" s="9"/>
      <c r="O617" s="38">
        <f t="shared" si="57"/>
        <v>0</v>
      </c>
      <c r="P617" s="12"/>
      <c r="Q617" s="42"/>
      <c r="R617" s="15"/>
      <c r="S617" s="44"/>
      <c r="T617" s="15"/>
      <c r="U617" s="44"/>
      <c r="V617" s="15">
        <f t="shared" si="58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9"/>
        <v>0</v>
      </c>
      <c r="AF617" s="101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60"/>
        <v>0</v>
      </c>
      <c r="BA617" s="15"/>
      <c r="BB617" s="44"/>
      <c r="BC617" s="15"/>
      <c r="BD617" s="44"/>
      <c r="BE617" s="15">
        <f t="shared" si="61"/>
        <v>0</v>
      </c>
    </row>
    <row r="618" spans="1:57" s="8" customFormat="1" ht="22.5" customHeight="1">
      <c r="A618" s="9"/>
      <c r="B618" s="16" t="s">
        <v>187</v>
      </c>
      <c r="C618" s="89" t="s">
        <v>494</v>
      </c>
      <c r="D618" s="80" t="s">
        <v>916</v>
      </c>
      <c r="E618" s="13" t="s">
        <v>917</v>
      </c>
      <c r="F618" s="96"/>
      <c r="G618" s="9"/>
      <c r="H618" s="9" t="s">
        <v>527</v>
      </c>
      <c r="I618" s="14"/>
      <c r="J618" s="14"/>
      <c r="K618" s="12">
        <v>0</v>
      </c>
      <c r="L618" s="9"/>
      <c r="M618" s="9"/>
      <c r="N618" s="9"/>
      <c r="O618" s="38">
        <f t="shared" si="57"/>
        <v>0</v>
      </c>
      <c r="P618" s="12"/>
      <c r="Q618" s="42"/>
      <c r="R618" s="15"/>
      <c r="S618" s="44"/>
      <c r="T618" s="15"/>
      <c r="U618" s="44"/>
      <c r="V618" s="15">
        <f t="shared" si="58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9"/>
        <v>0</v>
      </c>
      <c r="AF618" s="101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60"/>
        <v>0</v>
      </c>
      <c r="BA618" s="15"/>
      <c r="BB618" s="44"/>
      <c r="BC618" s="15"/>
      <c r="BD618" s="44"/>
      <c r="BE618" s="15">
        <f t="shared" si="61"/>
        <v>0</v>
      </c>
    </row>
    <row r="619" spans="1:57" s="8" customFormat="1" ht="22.5" customHeight="1">
      <c r="A619" s="9"/>
      <c r="B619" s="16" t="s">
        <v>528</v>
      </c>
      <c r="C619" s="89" t="s">
        <v>494</v>
      </c>
      <c r="D619" s="80" t="s">
        <v>918</v>
      </c>
      <c r="E619" s="13" t="s">
        <v>917</v>
      </c>
      <c r="F619" s="96"/>
      <c r="G619" s="9"/>
      <c r="H619" s="9" t="s">
        <v>527</v>
      </c>
      <c r="I619" s="14"/>
      <c r="J619" s="14"/>
      <c r="K619" s="12">
        <v>0</v>
      </c>
      <c r="L619" s="9"/>
      <c r="M619" s="9"/>
      <c r="N619" s="9"/>
      <c r="O619" s="38">
        <f t="shared" si="57"/>
        <v>0</v>
      </c>
      <c r="P619" s="12"/>
      <c r="Q619" s="42"/>
      <c r="R619" s="15"/>
      <c r="S619" s="44"/>
      <c r="T619" s="15"/>
      <c r="U619" s="44"/>
      <c r="V619" s="15">
        <f t="shared" si="58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9"/>
        <v>0</v>
      </c>
      <c r="AF619" s="101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60"/>
        <v>0</v>
      </c>
      <c r="BA619" s="15"/>
      <c r="BB619" s="44"/>
      <c r="BC619" s="15"/>
      <c r="BD619" s="44"/>
      <c r="BE619" s="15">
        <f t="shared" si="61"/>
        <v>0</v>
      </c>
    </row>
    <row r="620" spans="1:57" s="8" customFormat="1" ht="22.5" customHeight="1">
      <c r="A620" s="9"/>
      <c r="B620" s="16" t="s">
        <v>204</v>
      </c>
      <c r="C620" s="89" t="s">
        <v>52</v>
      </c>
      <c r="D620" s="80" t="s">
        <v>919</v>
      </c>
      <c r="E620" s="13" t="s">
        <v>531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7"/>
        <v>0</v>
      </c>
      <c r="P620" s="12"/>
      <c r="Q620" s="42"/>
      <c r="R620" s="15"/>
      <c r="S620" s="44"/>
      <c r="T620" s="15"/>
      <c r="U620" s="44"/>
      <c r="V620" s="15">
        <f t="shared" si="58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9"/>
        <v>0</v>
      </c>
      <c r="AF620" s="101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60"/>
        <v>0</v>
      </c>
      <c r="BA620" s="15"/>
      <c r="BB620" s="44"/>
      <c r="BC620" s="15"/>
      <c r="BD620" s="44"/>
      <c r="BE620" s="15">
        <f t="shared" si="61"/>
        <v>0</v>
      </c>
    </row>
    <row r="621" spans="1:57" s="8" customFormat="1" ht="22.5" customHeight="1">
      <c r="A621" s="9"/>
      <c r="B621" s="16" t="s">
        <v>204</v>
      </c>
      <c r="C621" s="89" t="s">
        <v>52</v>
      </c>
      <c r="D621" s="80" t="s">
        <v>920</v>
      </c>
      <c r="E621" s="13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7"/>
        <v>0</v>
      </c>
      <c r="P621" s="12"/>
      <c r="Q621" s="42"/>
      <c r="R621" s="15"/>
      <c r="S621" s="44"/>
      <c r="T621" s="15"/>
      <c r="U621" s="44"/>
      <c r="V621" s="15">
        <f t="shared" si="58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9"/>
        <v>0</v>
      </c>
      <c r="AF621" s="101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60"/>
        <v>0</v>
      </c>
      <c r="BA621" s="15"/>
      <c r="BB621" s="44"/>
      <c r="BC621" s="15"/>
      <c r="BD621" s="44"/>
      <c r="BE621" s="15">
        <f t="shared" si="61"/>
        <v>0</v>
      </c>
    </row>
    <row r="622" spans="1:57" s="8" customFormat="1" ht="22.5" customHeight="1">
      <c r="A622" s="9"/>
      <c r="B622" s="16" t="s">
        <v>204</v>
      </c>
      <c r="C622" s="89" t="s">
        <v>52</v>
      </c>
      <c r="D622" s="80" t="s">
        <v>921</v>
      </c>
      <c r="E622" s="13" t="s">
        <v>531</v>
      </c>
      <c r="F622" s="96"/>
      <c r="G622" s="9"/>
      <c r="H622" s="9" t="s">
        <v>207</v>
      </c>
      <c r="I622" s="14"/>
      <c r="J622" s="14"/>
      <c r="K622" s="12">
        <v>0</v>
      </c>
      <c r="L622" s="9"/>
      <c r="M622" s="9"/>
      <c r="N622" s="9"/>
      <c r="O622" s="38">
        <f t="shared" si="57"/>
        <v>0</v>
      </c>
      <c r="P622" s="12"/>
      <c r="Q622" s="42"/>
      <c r="R622" s="15"/>
      <c r="S622" s="44"/>
      <c r="T622" s="15"/>
      <c r="U622" s="44"/>
      <c r="V622" s="15">
        <f t="shared" si="58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9"/>
        <v>0</v>
      </c>
      <c r="AF622" s="101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60"/>
        <v>0</v>
      </c>
      <c r="BA622" s="15"/>
      <c r="BB622" s="44"/>
      <c r="BC622" s="15"/>
      <c r="BD622" s="44"/>
      <c r="BE622" s="15">
        <f t="shared" si="61"/>
        <v>0</v>
      </c>
    </row>
    <row r="623" spans="1:57" s="8" customFormat="1" ht="22.5" customHeight="1">
      <c r="A623" s="9"/>
      <c r="B623" s="16" t="s">
        <v>204</v>
      </c>
      <c r="C623" s="89" t="s">
        <v>52</v>
      </c>
      <c r="D623" s="80" t="s">
        <v>922</v>
      </c>
      <c r="E623" s="13" t="s">
        <v>923</v>
      </c>
      <c r="F623" s="96"/>
      <c r="G623" s="9"/>
      <c r="H623" s="9" t="s">
        <v>207</v>
      </c>
      <c r="I623" s="14"/>
      <c r="J623" s="14"/>
      <c r="K623" s="12">
        <v>0</v>
      </c>
      <c r="L623" s="9"/>
      <c r="M623" s="9"/>
      <c r="N623" s="9"/>
      <c r="O623" s="38">
        <f t="shared" si="57"/>
        <v>0</v>
      </c>
      <c r="P623" s="12"/>
      <c r="Q623" s="42"/>
      <c r="R623" s="15"/>
      <c r="S623" s="44"/>
      <c r="T623" s="15"/>
      <c r="U623" s="44"/>
      <c r="V623" s="15">
        <f t="shared" si="58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9"/>
        <v>0</v>
      </c>
      <c r="AF623" s="101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60"/>
        <v>0</v>
      </c>
      <c r="BA623" s="15"/>
      <c r="BB623" s="44"/>
      <c r="BC623" s="15"/>
      <c r="BD623" s="44"/>
      <c r="BE623" s="15">
        <f t="shared" si="61"/>
        <v>0</v>
      </c>
    </row>
    <row r="624" spans="1:57" s="8" customFormat="1" ht="22.5" customHeight="1">
      <c r="A624" s="9"/>
      <c r="B624" s="16" t="s">
        <v>204</v>
      </c>
      <c r="C624" s="89" t="s">
        <v>52</v>
      </c>
      <c r="D624" s="82" t="s">
        <v>924</v>
      </c>
      <c r="E624" s="22" t="s">
        <v>531</v>
      </c>
      <c r="F624" s="96"/>
      <c r="G624" s="9"/>
      <c r="H624" s="9" t="s">
        <v>207</v>
      </c>
      <c r="I624" s="14"/>
      <c r="J624" s="14"/>
      <c r="K624" s="12">
        <v>0</v>
      </c>
      <c r="L624" s="9"/>
      <c r="M624" s="9"/>
      <c r="N624" s="9"/>
      <c r="O624" s="38">
        <f t="shared" si="57"/>
        <v>0</v>
      </c>
      <c r="P624" s="12"/>
      <c r="Q624" s="42"/>
      <c r="R624" s="15"/>
      <c r="S624" s="44"/>
      <c r="T624" s="15"/>
      <c r="U624" s="44"/>
      <c r="V624" s="15">
        <f t="shared" si="58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9"/>
        <v>0</v>
      </c>
      <c r="AF624" s="101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60"/>
        <v>0</v>
      </c>
      <c r="BA624" s="15"/>
      <c r="BB624" s="44"/>
      <c r="BC624" s="15"/>
      <c r="BD624" s="44"/>
      <c r="BE624" s="15">
        <f t="shared" si="61"/>
        <v>0</v>
      </c>
    </row>
    <row r="625" spans="1:57" s="8" customFormat="1" ht="22.5" customHeight="1">
      <c r="A625" s="9"/>
      <c r="B625" s="16" t="s">
        <v>233</v>
      </c>
      <c r="C625" s="89" t="s">
        <v>52</v>
      </c>
      <c r="D625" s="82" t="s">
        <v>405</v>
      </c>
      <c r="E625" s="22" t="s">
        <v>925</v>
      </c>
      <c r="F625" s="96"/>
      <c r="G625" s="9"/>
      <c r="H625" s="9" t="s">
        <v>558</v>
      </c>
      <c r="I625" s="14"/>
      <c r="J625" s="14"/>
      <c r="K625" s="12">
        <v>0</v>
      </c>
      <c r="L625" s="9"/>
      <c r="M625" s="9"/>
      <c r="N625" s="9"/>
      <c r="O625" s="38">
        <f t="shared" si="57"/>
        <v>0</v>
      </c>
      <c r="P625" s="12"/>
      <c r="Q625" s="42"/>
      <c r="R625" s="15"/>
      <c r="S625" s="44"/>
      <c r="T625" s="15"/>
      <c r="U625" s="44"/>
      <c r="V625" s="15">
        <f t="shared" si="58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9"/>
        <v>0</v>
      </c>
      <c r="AF625" s="101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60"/>
        <v>0</v>
      </c>
      <c r="BA625" s="15"/>
      <c r="BB625" s="44"/>
      <c r="BC625" s="15"/>
      <c r="BD625" s="44"/>
      <c r="BE625" s="15">
        <f t="shared" si="61"/>
        <v>0</v>
      </c>
    </row>
    <row r="626" spans="1:57" s="8" customFormat="1" ht="22.5" customHeight="1">
      <c r="A626" s="9"/>
      <c r="B626" s="16" t="s">
        <v>926</v>
      </c>
      <c r="C626" s="89" t="s">
        <v>52</v>
      </c>
      <c r="D626" s="80" t="s">
        <v>927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7"/>
        <v>0</v>
      </c>
      <c r="P626" s="12"/>
      <c r="Q626" s="42"/>
      <c r="R626" s="15"/>
      <c r="S626" s="44"/>
      <c r="T626" s="15"/>
      <c r="U626" s="44"/>
      <c r="V626" s="15">
        <f t="shared" si="58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9"/>
        <v>0</v>
      </c>
      <c r="AF626" s="101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60"/>
        <v>0</v>
      </c>
      <c r="BA626" s="15"/>
      <c r="BB626" s="44"/>
      <c r="BC626" s="15"/>
      <c r="BD626" s="44"/>
      <c r="BE626" s="15">
        <f t="shared" si="61"/>
        <v>0</v>
      </c>
    </row>
    <row r="627" spans="1:57" s="8" customFormat="1" ht="22.5" customHeight="1">
      <c r="A627" s="9"/>
      <c r="B627" s="16" t="s">
        <v>926</v>
      </c>
      <c r="C627" s="89" t="s">
        <v>52</v>
      </c>
      <c r="D627" s="56" t="s">
        <v>928</v>
      </c>
      <c r="E627" s="13" t="s">
        <v>929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7"/>
        <v>0</v>
      </c>
      <c r="P627" s="12"/>
      <c r="Q627" s="42"/>
      <c r="R627" s="15"/>
      <c r="S627" s="44"/>
      <c r="T627" s="15"/>
      <c r="U627" s="44"/>
      <c r="V627" s="15">
        <f t="shared" si="58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9"/>
        <v>0</v>
      </c>
      <c r="AF627" s="101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60"/>
        <v>0</v>
      </c>
      <c r="BA627" s="15"/>
      <c r="BB627" s="44"/>
      <c r="BC627" s="15"/>
      <c r="BD627" s="44"/>
      <c r="BE627" s="15">
        <f t="shared" si="61"/>
        <v>0</v>
      </c>
    </row>
    <row r="628" spans="1:57" s="8" customFormat="1" ht="22.5" customHeight="1">
      <c r="A628" s="9"/>
      <c r="B628" s="16" t="s">
        <v>926</v>
      </c>
      <c r="C628" s="89" t="s">
        <v>52</v>
      </c>
      <c r="D628" s="56" t="s">
        <v>930</v>
      </c>
      <c r="E628" s="13"/>
      <c r="F628" s="96"/>
      <c r="G628" s="9"/>
      <c r="H628" s="9" t="s">
        <v>566</v>
      </c>
      <c r="I628" s="14"/>
      <c r="J628" s="14"/>
      <c r="K628" s="12">
        <v>23</v>
      </c>
      <c r="L628" s="9"/>
      <c r="M628" s="9"/>
      <c r="N628" s="9"/>
      <c r="O628" s="38">
        <f t="shared" si="57"/>
        <v>23</v>
      </c>
      <c r="P628" s="12"/>
      <c r="Q628" s="42"/>
      <c r="R628" s="15"/>
      <c r="S628" s="44"/>
      <c r="T628" s="15"/>
      <c r="U628" s="44"/>
      <c r="V628" s="15">
        <f t="shared" si="58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9"/>
        <v>0</v>
      </c>
      <c r="AF628" s="101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60"/>
        <v>0</v>
      </c>
      <c r="BA628" s="15"/>
      <c r="BB628" s="44"/>
      <c r="BC628" s="15"/>
      <c r="BD628" s="44"/>
      <c r="BE628" s="15">
        <f t="shared" si="61"/>
        <v>0</v>
      </c>
    </row>
    <row r="629" spans="1:57" s="8" customFormat="1" ht="22.5" customHeight="1">
      <c r="A629" s="9"/>
      <c r="B629" s="16" t="s">
        <v>155</v>
      </c>
      <c r="C629" s="89" t="s">
        <v>52</v>
      </c>
      <c r="D629" s="56" t="s">
        <v>931</v>
      </c>
      <c r="E629" s="13" t="s">
        <v>565</v>
      </c>
      <c r="F629" s="96"/>
      <c r="G629" s="9"/>
      <c r="H629" s="9" t="s">
        <v>566</v>
      </c>
      <c r="I629" s="14"/>
      <c r="J629" s="14"/>
      <c r="K629" s="12">
        <v>0</v>
      </c>
      <c r="L629" s="9"/>
      <c r="M629" s="9"/>
      <c r="N629" s="9"/>
      <c r="O629" s="38">
        <f t="shared" si="57"/>
        <v>0</v>
      </c>
      <c r="P629" s="12"/>
      <c r="Q629" s="42"/>
      <c r="R629" s="15"/>
      <c r="S629" s="44"/>
      <c r="T629" s="15"/>
      <c r="U629" s="44"/>
      <c r="V629" s="15">
        <f t="shared" si="58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9"/>
        <v>0</v>
      </c>
      <c r="AF629" s="101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60"/>
        <v>0</v>
      </c>
      <c r="BA629" s="15"/>
      <c r="BB629" s="44"/>
      <c r="BC629" s="15"/>
      <c r="BD629" s="44"/>
      <c r="BE629" s="15">
        <f t="shared" si="61"/>
        <v>0</v>
      </c>
    </row>
    <row r="630" spans="1:57" s="8" customFormat="1" ht="22.5" customHeight="1">
      <c r="A630" s="9"/>
      <c r="B630" s="16" t="s">
        <v>155</v>
      </c>
      <c r="C630" s="89" t="s">
        <v>52</v>
      </c>
      <c r="D630" s="59" t="s">
        <v>932</v>
      </c>
      <c r="E630" s="13" t="s">
        <v>569</v>
      </c>
      <c r="F630" s="96"/>
      <c r="G630" s="9"/>
      <c r="H630" s="9" t="s">
        <v>566</v>
      </c>
      <c r="I630" s="14"/>
      <c r="J630" s="14"/>
      <c r="K630" s="12">
        <v>0</v>
      </c>
      <c r="L630" s="9"/>
      <c r="M630" s="9"/>
      <c r="N630" s="9"/>
      <c r="O630" s="38">
        <f t="shared" si="57"/>
        <v>0</v>
      </c>
      <c r="P630" s="12"/>
      <c r="Q630" s="42"/>
      <c r="R630" s="15"/>
      <c r="S630" s="44"/>
      <c r="T630" s="15"/>
      <c r="U630" s="44"/>
      <c r="V630" s="15">
        <f t="shared" si="58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9"/>
        <v>0</v>
      </c>
      <c r="AF630" s="101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60"/>
        <v>0</v>
      </c>
      <c r="BA630" s="15"/>
      <c r="BB630" s="44"/>
      <c r="BC630" s="15"/>
      <c r="BD630" s="44"/>
      <c r="BE630" s="15">
        <f t="shared" si="61"/>
        <v>0</v>
      </c>
    </row>
    <row r="631" spans="1:57" s="8" customFormat="1" ht="22.5" customHeight="1">
      <c r="A631" s="9"/>
      <c r="B631" s="16" t="s">
        <v>155</v>
      </c>
      <c r="C631" s="89" t="s">
        <v>52</v>
      </c>
      <c r="D631" s="59" t="s">
        <v>933</v>
      </c>
      <c r="E631" s="13" t="s">
        <v>565</v>
      </c>
      <c r="F631" s="96"/>
      <c r="G631" s="9"/>
      <c r="H631" s="9" t="s">
        <v>314</v>
      </c>
      <c r="I631" s="14"/>
      <c r="J631" s="14"/>
      <c r="K631" s="12">
        <v>0</v>
      </c>
      <c r="L631" s="9"/>
      <c r="M631" s="9"/>
      <c r="N631" s="9"/>
      <c r="O631" s="38">
        <f t="shared" si="57"/>
        <v>0</v>
      </c>
      <c r="P631" s="12"/>
      <c r="Q631" s="42"/>
      <c r="R631" s="15"/>
      <c r="S631" s="44"/>
      <c r="T631" s="15"/>
      <c r="U631" s="44"/>
      <c r="V631" s="15">
        <f t="shared" si="58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9"/>
        <v>0</v>
      </c>
      <c r="AF631" s="101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60"/>
        <v>0</v>
      </c>
      <c r="BA631" s="15"/>
      <c r="BB631" s="44"/>
      <c r="BC631" s="15"/>
      <c r="BD631" s="44"/>
      <c r="BE631" s="15">
        <f t="shared" si="61"/>
        <v>0</v>
      </c>
    </row>
    <row r="632" spans="1:57" s="8" customFormat="1" ht="22.5" customHeight="1">
      <c r="A632" s="9"/>
      <c r="B632" s="16" t="s">
        <v>330</v>
      </c>
      <c r="C632" s="89" t="s">
        <v>52</v>
      </c>
      <c r="D632" s="56" t="s">
        <v>934</v>
      </c>
      <c r="E632" s="13" t="s">
        <v>330</v>
      </c>
      <c r="F632" s="96"/>
      <c r="G632" s="9"/>
      <c r="H632" s="9" t="s">
        <v>467</v>
      </c>
      <c r="I632" s="14"/>
      <c r="J632" s="14"/>
      <c r="K632" s="12">
        <v>0</v>
      </c>
      <c r="L632" s="9"/>
      <c r="M632" s="9"/>
      <c r="N632" s="9"/>
      <c r="O632" s="38">
        <f t="shared" si="57"/>
        <v>0</v>
      </c>
      <c r="P632" s="12"/>
      <c r="Q632" s="42"/>
      <c r="R632" s="15"/>
      <c r="S632" s="44"/>
      <c r="T632" s="15"/>
      <c r="U632" s="44"/>
      <c r="V632" s="15">
        <f t="shared" si="58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9"/>
        <v>0</v>
      </c>
      <c r="AF632" s="101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60"/>
        <v>0</v>
      </c>
      <c r="BA632" s="15"/>
      <c r="BB632" s="44"/>
      <c r="BC632" s="15"/>
      <c r="BD632" s="44"/>
      <c r="BE632" s="15">
        <f t="shared" si="61"/>
        <v>0</v>
      </c>
    </row>
    <row r="633" spans="1:57" s="8" customFormat="1" ht="22.5" customHeight="1">
      <c r="A633" s="9"/>
      <c r="B633" s="16" t="s">
        <v>330</v>
      </c>
      <c r="C633" s="89" t="s">
        <v>52</v>
      </c>
      <c r="D633" s="56" t="s">
        <v>935</v>
      </c>
      <c r="E633" s="13"/>
      <c r="F633" s="96"/>
      <c r="G633" s="9"/>
      <c r="H633" s="9" t="s">
        <v>467</v>
      </c>
      <c r="I633" s="14"/>
      <c r="J633" s="14"/>
      <c r="K633" s="12">
        <v>0</v>
      </c>
      <c r="L633" s="9"/>
      <c r="M633" s="9"/>
      <c r="N633" s="9"/>
      <c r="O633" s="38">
        <f t="shared" ref="O633:O654" si="62">K633+V633-AE633-AZ633</f>
        <v>0</v>
      </c>
      <c r="P633" s="12"/>
      <c r="Q633" s="42"/>
      <c r="R633" s="15"/>
      <c r="S633" s="44"/>
      <c r="T633" s="15"/>
      <c r="U633" s="44"/>
      <c r="V633" s="15">
        <f t="shared" si="58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9"/>
        <v>0</v>
      </c>
      <c r="AF633" s="101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60"/>
        <v>0</v>
      </c>
      <c r="BA633" s="15"/>
      <c r="BB633" s="44"/>
      <c r="BC633" s="15"/>
      <c r="BD633" s="44"/>
      <c r="BE633" s="15">
        <f t="shared" si="61"/>
        <v>0</v>
      </c>
    </row>
    <row r="634" spans="1:57" s="8" customFormat="1" ht="22.5" customHeight="1">
      <c r="A634" s="9"/>
      <c r="B634" s="16" t="s">
        <v>574</v>
      </c>
      <c r="C634" s="89" t="s">
        <v>52</v>
      </c>
      <c r="D634" s="59" t="s">
        <v>577</v>
      </c>
      <c r="E634" s="13"/>
      <c r="F634" s="96"/>
      <c r="G634" s="9"/>
      <c r="H634" s="9" t="s">
        <v>576</v>
      </c>
      <c r="I634" s="14"/>
      <c r="J634" s="14"/>
      <c r="K634" s="12">
        <v>0</v>
      </c>
      <c r="L634" s="9"/>
      <c r="M634" s="9"/>
      <c r="N634" s="9"/>
      <c r="O634" s="38">
        <f t="shared" si="62"/>
        <v>0</v>
      </c>
      <c r="P634" s="12"/>
      <c r="Q634" s="42"/>
      <c r="R634" s="15"/>
      <c r="S634" s="44"/>
      <c r="T634" s="15"/>
      <c r="U634" s="44"/>
      <c r="V634" s="15">
        <f t="shared" si="58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9"/>
        <v>0</v>
      </c>
      <c r="AF634" s="101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60"/>
        <v>0</v>
      </c>
      <c r="BA634" s="15"/>
      <c r="BB634" s="44"/>
      <c r="BC634" s="15"/>
      <c r="BD634" s="44"/>
      <c r="BE634" s="15">
        <f t="shared" si="61"/>
        <v>0</v>
      </c>
    </row>
    <row r="635" spans="1:57" s="8" customFormat="1" ht="22.5" customHeight="1">
      <c r="A635" s="9"/>
      <c r="B635" s="16" t="s">
        <v>574</v>
      </c>
      <c r="C635" s="89" t="s">
        <v>494</v>
      </c>
      <c r="D635" s="56" t="s">
        <v>577</v>
      </c>
      <c r="E635" s="13"/>
      <c r="F635" s="96"/>
      <c r="G635" s="9"/>
      <c r="H635" s="9" t="s">
        <v>576</v>
      </c>
      <c r="I635" s="14"/>
      <c r="J635" s="14"/>
      <c r="K635" s="12">
        <v>0</v>
      </c>
      <c r="L635" s="9"/>
      <c r="M635" s="9"/>
      <c r="N635" s="9"/>
      <c r="O635" s="38">
        <f t="shared" si="62"/>
        <v>0</v>
      </c>
      <c r="P635" s="12"/>
      <c r="Q635" s="42"/>
      <c r="R635" s="15"/>
      <c r="S635" s="44"/>
      <c r="T635" s="15"/>
      <c r="U635" s="44"/>
      <c r="V635" s="15">
        <f t="shared" si="58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9"/>
        <v>0</v>
      </c>
      <c r="AF635" s="101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60"/>
        <v>0</v>
      </c>
      <c r="BA635" s="15"/>
      <c r="BB635" s="44"/>
      <c r="BC635" s="15"/>
      <c r="BD635" s="44"/>
      <c r="BE635" s="15">
        <f t="shared" si="61"/>
        <v>0</v>
      </c>
    </row>
    <row r="636" spans="1:57" s="8" customFormat="1" ht="22.5" customHeight="1">
      <c r="A636" s="9"/>
      <c r="B636" s="16" t="s">
        <v>574</v>
      </c>
      <c r="C636" s="89" t="s">
        <v>494</v>
      </c>
      <c r="D636" s="59" t="s">
        <v>577</v>
      </c>
      <c r="E636" s="13" t="s">
        <v>936</v>
      </c>
      <c r="F636" s="96"/>
      <c r="G636" s="9"/>
      <c r="H636" s="9" t="s">
        <v>576</v>
      </c>
      <c r="I636" s="14"/>
      <c r="J636" s="14"/>
      <c r="K636" s="12">
        <v>0</v>
      </c>
      <c r="L636" s="9"/>
      <c r="M636" s="9"/>
      <c r="N636" s="9"/>
      <c r="O636" s="38">
        <f t="shared" si="62"/>
        <v>0</v>
      </c>
      <c r="P636" s="12"/>
      <c r="Q636" s="42"/>
      <c r="R636" s="15"/>
      <c r="S636" s="44"/>
      <c r="T636" s="15"/>
      <c r="U636" s="44"/>
      <c r="V636" s="15">
        <f t="shared" si="58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9"/>
        <v>0</v>
      </c>
      <c r="AF636" s="101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60"/>
        <v>0</v>
      </c>
      <c r="BA636" s="15"/>
      <c r="BB636" s="44"/>
      <c r="BC636" s="15"/>
      <c r="BD636" s="44"/>
      <c r="BE636" s="15">
        <f t="shared" si="61"/>
        <v>0</v>
      </c>
    </row>
    <row r="637" spans="1:57" s="8" customFormat="1" ht="22.5" customHeight="1">
      <c r="A637" s="9"/>
      <c r="B637" s="16" t="s">
        <v>244</v>
      </c>
      <c r="C637" s="89" t="s">
        <v>52</v>
      </c>
      <c r="D637" s="59" t="s">
        <v>937</v>
      </c>
      <c r="E637" s="13" t="s">
        <v>246</v>
      </c>
      <c r="F637" s="96"/>
      <c r="G637" s="9"/>
      <c r="H637" s="9" t="s">
        <v>247</v>
      </c>
      <c r="I637" s="14"/>
      <c r="J637" s="14"/>
      <c r="K637" s="12">
        <v>0</v>
      </c>
      <c r="L637" s="9"/>
      <c r="M637" s="9"/>
      <c r="N637" s="9"/>
      <c r="O637" s="38">
        <f t="shared" si="62"/>
        <v>0</v>
      </c>
      <c r="P637" s="12"/>
      <c r="Q637" s="42"/>
      <c r="R637" s="15"/>
      <c r="S637" s="44"/>
      <c r="T637" s="15"/>
      <c r="U637" s="44"/>
      <c r="V637" s="15">
        <f t="shared" si="58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9"/>
        <v>0</v>
      </c>
      <c r="AF637" s="101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60"/>
        <v>0</v>
      </c>
      <c r="BA637" s="15"/>
      <c r="BB637" s="44"/>
      <c r="BC637" s="15"/>
      <c r="BD637" s="44"/>
      <c r="BE637" s="15">
        <f t="shared" si="61"/>
        <v>0</v>
      </c>
    </row>
    <row r="638" spans="1:57" s="8" customFormat="1" ht="22.5" customHeight="1">
      <c r="A638" s="9"/>
      <c r="B638" s="16" t="s">
        <v>244</v>
      </c>
      <c r="C638" s="89" t="s">
        <v>52</v>
      </c>
      <c r="D638" s="56" t="s">
        <v>938</v>
      </c>
      <c r="E638" s="13" t="s">
        <v>246</v>
      </c>
      <c r="F638" s="96"/>
      <c r="G638" s="9"/>
      <c r="H638" s="9" t="s">
        <v>247</v>
      </c>
      <c r="I638" s="14"/>
      <c r="J638" s="14"/>
      <c r="K638" s="12">
        <v>0</v>
      </c>
      <c r="L638" s="9"/>
      <c r="M638" s="9"/>
      <c r="N638" s="9"/>
      <c r="O638" s="38">
        <f t="shared" si="62"/>
        <v>0</v>
      </c>
      <c r="P638" s="12"/>
      <c r="Q638" s="42"/>
      <c r="R638" s="15"/>
      <c r="S638" s="44"/>
      <c r="T638" s="15"/>
      <c r="U638" s="44"/>
      <c r="V638" s="15">
        <f t="shared" si="58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9"/>
        <v>0</v>
      </c>
      <c r="AF638" s="101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60"/>
        <v>0</v>
      </c>
      <c r="BA638" s="15"/>
      <c r="BB638" s="44"/>
      <c r="BC638" s="15"/>
      <c r="BD638" s="44"/>
      <c r="BE638" s="15">
        <f t="shared" si="61"/>
        <v>0</v>
      </c>
    </row>
    <row r="639" spans="1:57" s="8" customFormat="1" ht="22.5" customHeight="1">
      <c r="A639" s="9">
        <v>999</v>
      </c>
      <c r="B639" s="16" t="s">
        <v>204</v>
      </c>
      <c r="C639" s="89" t="s">
        <v>52</v>
      </c>
      <c r="D639" s="56" t="s">
        <v>939</v>
      </c>
      <c r="E639" s="13" t="s">
        <v>940</v>
      </c>
      <c r="F639" s="96"/>
      <c r="G639" s="9"/>
      <c r="H639" s="9" t="s">
        <v>207</v>
      </c>
      <c r="I639" s="14"/>
      <c r="J639" s="14"/>
      <c r="K639" s="12">
        <v>0</v>
      </c>
      <c r="L639" s="9"/>
      <c r="M639" s="9"/>
      <c r="N639" s="9"/>
      <c r="O639" s="38">
        <f t="shared" si="62"/>
        <v>0</v>
      </c>
      <c r="P639" s="12"/>
      <c r="Q639" s="42"/>
      <c r="R639" s="15"/>
      <c r="S639" s="44"/>
      <c r="T639" s="15"/>
      <c r="U639" s="44"/>
      <c r="V639" s="15">
        <f t="shared" si="58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9"/>
        <v>0</v>
      </c>
      <c r="AF639" s="101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60"/>
        <v>0</v>
      </c>
      <c r="BA639" s="15"/>
      <c r="BB639" s="44"/>
      <c r="BC639" s="15"/>
      <c r="BD639" s="44"/>
      <c r="BE639" s="15">
        <f t="shared" si="61"/>
        <v>0</v>
      </c>
    </row>
    <row r="640" spans="1:57" s="8" customFormat="1" ht="22.5" customHeight="1">
      <c r="A640" s="9">
        <v>999</v>
      </c>
      <c r="B640" s="16" t="s">
        <v>204</v>
      </c>
      <c r="C640" s="89" t="s">
        <v>52</v>
      </c>
      <c r="D640" s="56" t="s">
        <v>941</v>
      </c>
      <c r="E640" s="13" t="s">
        <v>940</v>
      </c>
      <c r="F640" s="96"/>
      <c r="G640" s="9"/>
      <c r="H640" s="9" t="s">
        <v>207</v>
      </c>
      <c r="I640" s="14"/>
      <c r="J640" s="14"/>
      <c r="K640" s="12">
        <v>0</v>
      </c>
      <c r="L640" s="9"/>
      <c r="M640" s="9"/>
      <c r="N640" s="9"/>
      <c r="O640" s="38">
        <f t="shared" si="62"/>
        <v>0</v>
      </c>
      <c r="P640" s="12"/>
      <c r="Q640" s="42"/>
      <c r="R640" s="15"/>
      <c r="S640" s="44"/>
      <c r="T640" s="15"/>
      <c r="U640" s="44"/>
      <c r="V640" s="15">
        <f t="shared" si="58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9"/>
        <v>0</v>
      </c>
      <c r="AF640" s="101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60"/>
        <v>0</v>
      </c>
      <c r="BA640" s="15"/>
      <c r="BB640" s="44"/>
      <c r="BC640" s="15"/>
      <c r="BD640" s="44"/>
      <c r="BE640" s="15">
        <f t="shared" si="61"/>
        <v>0</v>
      </c>
    </row>
    <row r="641" spans="1:57" s="8" customFormat="1" ht="22.5" customHeight="1">
      <c r="A641" s="9">
        <v>999</v>
      </c>
      <c r="B641" s="16" t="s">
        <v>942</v>
      </c>
      <c r="C641" s="89" t="s">
        <v>494</v>
      </c>
      <c r="D641" s="56" t="s">
        <v>943</v>
      </c>
      <c r="E641" s="13" t="s">
        <v>944</v>
      </c>
      <c r="F641" s="12"/>
      <c r="G641" s="9"/>
      <c r="H641" s="9" t="s">
        <v>945</v>
      </c>
      <c r="I641" s="14"/>
      <c r="J641" s="14"/>
      <c r="K641" s="12">
        <v>0</v>
      </c>
      <c r="L641" s="9"/>
      <c r="M641" s="9"/>
      <c r="N641" s="9"/>
      <c r="O641" s="38">
        <f t="shared" si="62"/>
        <v>0</v>
      </c>
      <c r="P641" s="12"/>
      <c r="Q641" s="42"/>
      <c r="R641" s="15"/>
      <c r="S641" s="44"/>
      <c r="T641" s="15"/>
      <c r="U641" s="44"/>
      <c r="V641" s="15">
        <f t="shared" si="58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9"/>
        <v>0</v>
      </c>
      <c r="AF641" s="101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60"/>
        <v>0</v>
      </c>
      <c r="BA641" s="15"/>
      <c r="BB641" s="44"/>
      <c r="BC641" s="15"/>
      <c r="BD641" s="44"/>
      <c r="BE641" s="15">
        <f t="shared" si="61"/>
        <v>0</v>
      </c>
    </row>
    <row r="642" spans="1:57" s="8" customFormat="1" ht="22.5" customHeight="1">
      <c r="A642" s="9">
        <v>999</v>
      </c>
      <c r="B642" s="16" t="s">
        <v>942</v>
      </c>
      <c r="C642" s="89" t="s">
        <v>494</v>
      </c>
      <c r="D642" s="56" t="s">
        <v>946</v>
      </c>
      <c r="E642" s="13"/>
      <c r="F642" s="12"/>
      <c r="G642" s="9"/>
      <c r="H642" s="9" t="s">
        <v>945</v>
      </c>
      <c r="I642" s="14"/>
      <c r="J642" s="14"/>
      <c r="K642" s="12">
        <v>0</v>
      </c>
      <c r="L642" s="9"/>
      <c r="M642" s="9"/>
      <c r="N642" s="9"/>
      <c r="O642" s="38">
        <f t="shared" si="62"/>
        <v>0</v>
      </c>
      <c r="P642" s="12"/>
      <c r="Q642" s="42"/>
      <c r="R642" s="15"/>
      <c r="S642" s="44"/>
      <c r="T642" s="15"/>
      <c r="U642" s="44"/>
      <c r="V642" s="15">
        <f t="shared" si="58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9"/>
        <v>0</v>
      </c>
      <c r="AF642" s="101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60"/>
        <v>0</v>
      </c>
      <c r="BA642" s="15"/>
      <c r="BB642" s="44"/>
      <c r="BC642" s="15"/>
      <c r="BD642" s="44"/>
      <c r="BE642" s="15">
        <f t="shared" si="61"/>
        <v>0</v>
      </c>
    </row>
    <row r="643" spans="1:57" s="8" customFormat="1" ht="22.5" customHeight="1">
      <c r="A643" s="9">
        <v>999</v>
      </c>
      <c r="B643" s="16" t="s">
        <v>120</v>
      </c>
      <c r="C643" s="89"/>
      <c r="D643" s="80" t="s">
        <v>947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2"/>
        <v>0</v>
      </c>
      <c r="P643" s="12"/>
      <c r="Q643" s="42"/>
      <c r="R643" s="15"/>
      <c r="S643" s="44"/>
      <c r="T643" s="15"/>
      <c r="U643" s="44"/>
      <c r="V643" s="15">
        <f t="shared" si="58"/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si="59"/>
        <v>0</v>
      </c>
      <c r="AF643" s="101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si="60"/>
        <v>0</v>
      </c>
      <c r="BA643" s="15"/>
      <c r="BB643" s="44"/>
      <c r="BC643" s="15"/>
      <c r="BD643" s="44"/>
      <c r="BE643" s="15">
        <f t="shared" si="61"/>
        <v>0</v>
      </c>
    </row>
    <row r="644" spans="1:57" s="8" customFormat="1" ht="22.5" customHeight="1">
      <c r="A644" s="9">
        <v>999</v>
      </c>
      <c r="B644" s="16" t="s">
        <v>120</v>
      </c>
      <c r="C644" s="89"/>
      <c r="D644" s="80" t="s">
        <v>948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2"/>
        <v>0</v>
      </c>
      <c r="P644" s="12"/>
      <c r="Q644" s="42"/>
      <c r="R644" s="15"/>
      <c r="S644" s="44"/>
      <c r="T644" s="15"/>
      <c r="U644" s="44"/>
      <c r="V644" s="15">
        <f t="shared" si="58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59"/>
        <v>0</v>
      </c>
      <c r="AF644" s="101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0"/>
        <v>0</v>
      </c>
      <c r="BA644" s="15"/>
      <c r="BB644" s="44"/>
      <c r="BC644" s="15"/>
      <c r="BD644" s="44"/>
      <c r="BE644" s="15">
        <f t="shared" si="61"/>
        <v>0</v>
      </c>
    </row>
    <row r="645" spans="1:57" s="8" customFormat="1" ht="22.5" customHeight="1">
      <c r="A645" s="9">
        <v>999</v>
      </c>
      <c r="B645" s="16" t="s">
        <v>120</v>
      </c>
      <c r="C645" s="89"/>
      <c r="D645" s="80" t="s">
        <v>949</v>
      </c>
      <c r="E645" s="13"/>
      <c r="F645" s="12"/>
      <c r="G645" s="9"/>
      <c r="H645" s="9" t="s">
        <v>67</v>
      </c>
      <c r="I645" s="14"/>
      <c r="J645" s="14"/>
      <c r="K645" s="12">
        <v>0</v>
      </c>
      <c r="L645" s="9"/>
      <c r="M645" s="9"/>
      <c r="N645" s="9"/>
      <c r="O645" s="38">
        <f t="shared" si="62"/>
        <v>0</v>
      </c>
      <c r="P645" s="12"/>
      <c r="Q645" s="42"/>
      <c r="R645" s="15"/>
      <c r="S645" s="44"/>
      <c r="T645" s="15"/>
      <c r="U645" s="44"/>
      <c r="V645" s="15">
        <f t="shared" si="58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59"/>
        <v>0</v>
      </c>
      <c r="AF645" s="101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0"/>
        <v>0</v>
      </c>
      <c r="BA645" s="15"/>
      <c r="BB645" s="44"/>
      <c r="BC645" s="15"/>
      <c r="BD645" s="44"/>
      <c r="BE645" s="15">
        <f t="shared" si="61"/>
        <v>0</v>
      </c>
    </row>
    <row r="646" spans="1:57" s="8" customFormat="1" ht="22.5" customHeight="1">
      <c r="A646" s="9">
        <v>999</v>
      </c>
      <c r="B646" s="16" t="s">
        <v>120</v>
      </c>
      <c r="C646" s="89"/>
      <c r="D646" s="80" t="s">
        <v>950</v>
      </c>
      <c r="E646" s="13"/>
      <c r="F646" s="12"/>
      <c r="G646" s="9"/>
      <c r="H646" s="9" t="s">
        <v>67</v>
      </c>
      <c r="I646" s="14"/>
      <c r="J646" s="14"/>
      <c r="K646" s="12">
        <v>0</v>
      </c>
      <c r="L646" s="9"/>
      <c r="M646" s="9"/>
      <c r="N646" s="9"/>
      <c r="O646" s="38">
        <f t="shared" si="62"/>
        <v>0</v>
      </c>
      <c r="P646" s="12"/>
      <c r="Q646" s="42"/>
      <c r="R646" s="15"/>
      <c r="S646" s="44"/>
      <c r="T646" s="15"/>
      <c r="U646" s="44"/>
      <c r="V646" s="15">
        <f t="shared" ref="V646:V654" si="63">P646+R646+T646</f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ref="AE646:AE654" si="64">(W646+Y646+AA646+AC646)</f>
        <v>0</v>
      </c>
      <c r="AF646" s="101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ref="AZ646:AZ654" si="65">AF646+AH646+AJ646+AL646+AN646+AP646+AR646+AT646+AV646+AX646</f>
        <v>0</v>
      </c>
      <c r="BA646" s="15"/>
      <c r="BB646" s="44"/>
      <c r="BC646" s="15"/>
      <c r="BD646" s="44"/>
      <c r="BE646" s="15">
        <f t="shared" ref="BE646:BE654" si="66">(BA646+BC646)</f>
        <v>0</v>
      </c>
    </row>
    <row r="647" spans="1:57" s="8" customFormat="1" ht="22.5" customHeight="1">
      <c r="A647" s="9">
        <v>999</v>
      </c>
      <c r="B647" s="16" t="s">
        <v>120</v>
      </c>
      <c r="C647" s="89"/>
      <c r="D647" s="80" t="s">
        <v>951</v>
      </c>
      <c r="E647" s="13"/>
      <c r="F647" s="12"/>
      <c r="G647" s="9"/>
      <c r="H647" s="9" t="s">
        <v>67</v>
      </c>
      <c r="I647" s="14"/>
      <c r="J647" s="14"/>
      <c r="K647" s="12">
        <v>0</v>
      </c>
      <c r="L647" s="9"/>
      <c r="M647" s="9"/>
      <c r="N647" s="9"/>
      <c r="O647" s="38">
        <f t="shared" si="62"/>
        <v>0</v>
      </c>
      <c r="P647" s="12"/>
      <c r="Q647" s="42"/>
      <c r="R647" s="15"/>
      <c r="S647" s="44"/>
      <c r="T647" s="15"/>
      <c r="U647" s="44"/>
      <c r="V647" s="15">
        <f t="shared" si="63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4"/>
        <v>0</v>
      </c>
      <c r="AF647" s="101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5"/>
        <v>0</v>
      </c>
      <c r="BA647" s="15"/>
      <c r="BB647" s="44"/>
      <c r="BC647" s="15"/>
      <c r="BD647" s="44"/>
      <c r="BE647" s="15">
        <f t="shared" si="66"/>
        <v>0</v>
      </c>
    </row>
    <row r="648" spans="1:57" s="8" customFormat="1" ht="22.5" customHeight="1">
      <c r="A648" s="9">
        <v>999</v>
      </c>
      <c r="B648" s="16" t="s">
        <v>330</v>
      </c>
      <c r="C648" s="89"/>
      <c r="D648" s="56" t="s">
        <v>952</v>
      </c>
      <c r="E648" s="13"/>
      <c r="F648" s="12"/>
      <c r="G648" s="9"/>
      <c r="H648" s="9" t="s">
        <v>467</v>
      </c>
      <c r="I648" s="14"/>
      <c r="J648" s="14"/>
      <c r="K648" s="12">
        <v>0</v>
      </c>
      <c r="L648" s="9"/>
      <c r="M648" s="9"/>
      <c r="N648" s="9"/>
      <c r="O648" s="38">
        <f t="shared" si="62"/>
        <v>0</v>
      </c>
      <c r="P648" s="12"/>
      <c r="Q648" s="42"/>
      <c r="R648" s="15"/>
      <c r="S648" s="44"/>
      <c r="T648" s="15"/>
      <c r="U648" s="44"/>
      <c r="V648" s="15">
        <f t="shared" si="63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4"/>
        <v>0</v>
      </c>
      <c r="AF648" s="101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5"/>
        <v>0</v>
      </c>
      <c r="BA648" s="15"/>
      <c r="BB648" s="44"/>
      <c r="BC648" s="15"/>
      <c r="BD648" s="44"/>
      <c r="BE648" s="15">
        <f t="shared" si="66"/>
        <v>0</v>
      </c>
    </row>
    <row r="649" spans="1:57" s="8" customFormat="1" ht="22.5" customHeight="1">
      <c r="A649" s="9">
        <v>999</v>
      </c>
      <c r="B649" s="16" t="s">
        <v>926</v>
      </c>
      <c r="C649" s="89" t="s">
        <v>132</v>
      </c>
      <c r="D649" s="69" t="s">
        <v>953</v>
      </c>
      <c r="E649" s="13"/>
      <c r="F649" s="12"/>
      <c r="G649" s="9"/>
      <c r="H649" s="9" t="s">
        <v>566</v>
      </c>
      <c r="I649" s="14"/>
      <c r="J649" s="14"/>
      <c r="K649" s="12">
        <v>0</v>
      </c>
      <c r="L649" s="9"/>
      <c r="M649" s="9"/>
      <c r="N649" s="9"/>
      <c r="O649" s="38">
        <f t="shared" si="62"/>
        <v>0</v>
      </c>
      <c r="P649" s="12"/>
      <c r="Q649" s="42"/>
      <c r="R649" s="15"/>
      <c r="S649" s="44"/>
      <c r="T649" s="15"/>
      <c r="U649" s="44"/>
      <c r="V649" s="15">
        <f t="shared" si="63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4"/>
        <v>0</v>
      </c>
      <c r="AF649" s="101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5"/>
        <v>0</v>
      </c>
      <c r="BA649" s="15"/>
      <c r="BB649" s="44"/>
      <c r="BC649" s="15"/>
      <c r="BD649" s="44"/>
      <c r="BE649" s="15">
        <f t="shared" si="66"/>
        <v>0</v>
      </c>
    </row>
    <row r="650" spans="1:57" s="8" customFormat="1" ht="22.5" customHeight="1">
      <c r="A650" s="9">
        <v>999</v>
      </c>
      <c r="B650" s="16" t="s">
        <v>926</v>
      </c>
      <c r="C650" s="89" t="s">
        <v>132</v>
      </c>
      <c r="D650" s="69" t="s">
        <v>954</v>
      </c>
      <c r="E650" s="13"/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2"/>
        <v>0</v>
      </c>
      <c r="P650" s="12"/>
      <c r="Q650" s="42"/>
      <c r="R650" s="15"/>
      <c r="S650" s="44"/>
      <c r="T650" s="15"/>
      <c r="U650" s="44"/>
      <c r="V650" s="15">
        <f t="shared" si="63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4"/>
        <v>0</v>
      </c>
      <c r="AF650" s="101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5"/>
        <v>0</v>
      </c>
      <c r="BA650" s="15"/>
      <c r="BB650" s="44"/>
      <c r="BC650" s="15"/>
      <c r="BD650" s="44"/>
      <c r="BE650" s="15">
        <f t="shared" si="66"/>
        <v>0</v>
      </c>
    </row>
    <row r="651" spans="1:57" s="8" customFormat="1" ht="22.5" customHeight="1">
      <c r="A651" s="9">
        <v>999</v>
      </c>
      <c r="B651" s="16" t="s">
        <v>606</v>
      </c>
      <c r="C651" s="89"/>
      <c r="D651" s="56" t="s">
        <v>955</v>
      </c>
      <c r="E651" s="13" t="s">
        <v>956</v>
      </c>
      <c r="F651" s="12"/>
      <c r="G651" s="9"/>
      <c r="H651" s="9" t="s">
        <v>957</v>
      </c>
      <c r="I651" s="14"/>
      <c r="J651" s="14"/>
      <c r="K651" s="12">
        <v>0</v>
      </c>
      <c r="L651" s="9"/>
      <c r="M651" s="9"/>
      <c r="N651" s="9"/>
      <c r="O651" s="38">
        <f t="shared" si="62"/>
        <v>0</v>
      </c>
      <c r="P651" s="12"/>
      <c r="Q651" s="42"/>
      <c r="R651" s="15"/>
      <c r="S651" s="44"/>
      <c r="T651" s="15"/>
      <c r="U651" s="44"/>
      <c r="V651" s="15">
        <f t="shared" si="63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4"/>
        <v>0</v>
      </c>
      <c r="AF651" s="101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5"/>
        <v>0</v>
      </c>
      <c r="BA651" s="15"/>
      <c r="BB651" s="44"/>
      <c r="BC651" s="15"/>
      <c r="BD651" s="44"/>
      <c r="BE651" s="15">
        <f t="shared" si="66"/>
        <v>0</v>
      </c>
    </row>
    <row r="652" spans="1:57" s="8" customFormat="1" ht="22.5" customHeight="1">
      <c r="A652" s="9">
        <v>999</v>
      </c>
      <c r="B652" s="16" t="s">
        <v>120</v>
      </c>
      <c r="C652" s="89"/>
      <c r="D652" s="56" t="s">
        <v>958</v>
      </c>
      <c r="E652" s="13"/>
      <c r="F652" s="12"/>
      <c r="G652" s="9"/>
      <c r="H652" s="9" t="s">
        <v>67</v>
      </c>
      <c r="I652" s="14"/>
      <c r="J652" s="14"/>
      <c r="K652" s="12">
        <v>0</v>
      </c>
      <c r="L652" s="9"/>
      <c r="M652" s="9"/>
      <c r="N652" s="9"/>
      <c r="O652" s="38">
        <f t="shared" si="62"/>
        <v>0</v>
      </c>
      <c r="P652" s="12"/>
      <c r="Q652" s="42"/>
      <c r="R652" s="15"/>
      <c r="S652" s="44"/>
      <c r="T652" s="15"/>
      <c r="U652" s="44"/>
      <c r="V652" s="15">
        <f t="shared" si="63"/>
        <v>0</v>
      </c>
      <c r="W652" s="15"/>
      <c r="X652" s="44"/>
      <c r="Y652" s="15"/>
      <c r="Z652" s="44"/>
      <c r="AA652" s="15"/>
      <c r="AB652" s="44"/>
      <c r="AC652" s="15"/>
      <c r="AD652" s="44"/>
      <c r="AE652" s="15">
        <f t="shared" si="64"/>
        <v>0</v>
      </c>
      <c r="AF652" s="101"/>
      <c r="AG652" s="42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>
        <f t="shared" si="65"/>
        <v>0</v>
      </c>
      <c r="BA652" s="15"/>
      <c r="BB652" s="44"/>
      <c r="BC652" s="15"/>
      <c r="BD652" s="44"/>
      <c r="BE652" s="15">
        <f t="shared" si="66"/>
        <v>0</v>
      </c>
    </row>
    <row r="653" spans="1:57" s="8" customFormat="1" ht="22.5" customHeight="1">
      <c r="A653" s="9">
        <v>999</v>
      </c>
      <c r="B653" s="16" t="s">
        <v>959</v>
      </c>
      <c r="C653" s="89"/>
      <c r="D653" s="56" t="s">
        <v>960</v>
      </c>
      <c r="E653" s="13" t="s">
        <v>961</v>
      </c>
      <c r="F653" s="12"/>
      <c r="G653" s="9"/>
      <c r="H653" s="9" t="s">
        <v>566</v>
      </c>
      <c r="I653" s="14"/>
      <c r="J653" s="14"/>
      <c r="K653" s="12">
        <v>0</v>
      </c>
      <c r="L653" s="9"/>
      <c r="M653" s="9"/>
      <c r="N653" s="9"/>
      <c r="O653" s="38">
        <f t="shared" si="62"/>
        <v>0</v>
      </c>
      <c r="P653" s="12"/>
      <c r="Q653" s="42"/>
      <c r="R653" s="15"/>
      <c r="S653" s="44"/>
      <c r="T653" s="15"/>
      <c r="U653" s="44"/>
      <c r="V653" s="15">
        <f t="shared" si="63"/>
        <v>0</v>
      </c>
      <c r="W653" s="15"/>
      <c r="X653" s="44"/>
      <c r="Y653" s="15"/>
      <c r="Z653" s="44"/>
      <c r="AA653" s="15"/>
      <c r="AB653" s="44"/>
      <c r="AC653" s="15"/>
      <c r="AD653" s="44"/>
      <c r="AE653" s="15">
        <f t="shared" si="64"/>
        <v>0</v>
      </c>
      <c r="AF653" s="101"/>
      <c r="AG653" s="42"/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>
        <f t="shared" si="65"/>
        <v>0</v>
      </c>
      <c r="BA653" s="15"/>
      <c r="BB653" s="44"/>
      <c r="BC653" s="15"/>
      <c r="BD653" s="44"/>
      <c r="BE653" s="15">
        <f t="shared" si="66"/>
        <v>0</v>
      </c>
    </row>
    <row r="654" spans="1:57" s="8" customFormat="1" ht="22.5" customHeight="1">
      <c r="A654" s="9">
        <v>999</v>
      </c>
      <c r="B654" s="16" t="s">
        <v>962</v>
      </c>
      <c r="C654" s="89"/>
      <c r="D654" s="56" t="s">
        <v>963</v>
      </c>
      <c r="E654" s="13"/>
      <c r="F654" s="12"/>
      <c r="G654" s="9"/>
      <c r="H654" s="9" t="s">
        <v>964</v>
      </c>
      <c r="I654" s="14"/>
      <c r="J654" s="14"/>
      <c r="K654" s="12">
        <v>0</v>
      </c>
      <c r="L654" s="9"/>
      <c r="M654" s="9"/>
      <c r="N654" s="9"/>
      <c r="O654" s="38">
        <f t="shared" si="62"/>
        <v>0</v>
      </c>
      <c r="P654" s="12"/>
      <c r="Q654" s="42"/>
      <c r="R654" s="15"/>
      <c r="S654" s="44"/>
      <c r="T654" s="15"/>
      <c r="U654" s="44"/>
      <c r="V654" s="15">
        <f t="shared" si="63"/>
        <v>0</v>
      </c>
      <c r="W654" s="15"/>
      <c r="X654" s="44"/>
      <c r="Y654" s="15"/>
      <c r="Z654" s="44"/>
      <c r="AA654" s="15"/>
      <c r="AB654" s="44"/>
      <c r="AC654" s="15"/>
      <c r="AD654" s="44"/>
      <c r="AE654" s="15">
        <f t="shared" si="64"/>
        <v>0</v>
      </c>
      <c r="AF654" s="101"/>
      <c r="AG654" s="42"/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>
        <f t="shared" si="65"/>
        <v>0</v>
      </c>
      <c r="BA654" s="15"/>
      <c r="BB654" s="44"/>
      <c r="BC654" s="15"/>
      <c r="BD654" s="44"/>
      <c r="BE654" s="15">
        <f t="shared" si="6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4">
    <cfRule type="cellIs" dxfId="12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8" fitToHeight="0" orientation="portrait" r:id="rId1"/>
  <headerFooter>
    <oddFooter>&amp;LF704-03 (R00)&amp;C(주) 덱스코윈&amp;R&amp;P/&amp;N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  <pageSetUpPr fitToPage="1"/>
  </sheetPr>
  <dimension ref="A1:BH683"/>
  <sheetViews>
    <sheetView showGridLines="0" tabSelected="1" zoomScale="70" zoomScaleNormal="70" workbookViewId="0">
      <pane xSplit="4" ySplit="3" topLeftCell="E4" activePane="bottomRight" state="frozen"/>
      <selection pane="topRight" activeCell="E1" sqref="E1"/>
      <selection pane="bottomLeft" activeCell="A5" sqref="A5"/>
      <selection pane="bottomRight" activeCell="F652" sqref="F6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8.125" style="7" customWidth="1"/>
    <col min="6" max="6" width="110" style="7" bestFit="1" customWidth="1"/>
    <col min="7" max="7" width="25.25" style="7" customWidth="1"/>
    <col min="8" max="8" width="10.625" style="1" hidden="1" customWidth="1" outlineLevel="1"/>
    <col min="9" max="9" width="17.375" style="8" customWidth="1" collapsed="1"/>
    <col min="10" max="10" width="15.625" style="8" customWidth="1"/>
    <col min="11" max="12" width="11.25" style="1" hidden="1" customWidth="1" outlineLevel="1"/>
    <col min="13" max="13" width="7.5" style="1" customWidth="1" collapsed="1"/>
    <col min="14" max="16" width="8.5" style="8" hidden="1" customWidth="1" outlineLevel="1"/>
    <col min="17" max="17" width="7.5" style="1" customWidth="1" collapsed="1"/>
    <col min="18" max="18" width="5" style="1" hidden="1" customWidth="1" outlineLevel="1"/>
    <col min="19" max="19" width="5" style="43" hidden="1" customWidth="1" outlineLevel="1"/>
    <col min="20" max="20" width="5" style="1" hidden="1" customWidth="1" outlineLevel="1"/>
    <col min="21" max="21" width="5" style="43" hidden="1" customWidth="1" outlineLevel="1"/>
    <col min="22" max="22" width="5" style="1" hidden="1" customWidth="1" outlineLevel="1"/>
    <col min="23" max="23" width="5" style="43" hidden="1" customWidth="1" outlineLevel="1"/>
    <col min="24" max="24" width="5.625" style="1" customWidth="1" collapsed="1"/>
    <col min="25" max="25" width="5" style="1" hidden="1" customWidth="1" outlineLevel="1"/>
    <col min="26" max="26" width="5" style="43" hidden="1" customWidth="1" outlineLevel="1"/>
    <col min="27" max="27" width="5" style="1" hidden="1" customWidth="1" outlineLevel="1"/>
    <col min="28" max="28" width="5" style="43" hidden="1" customWidth="1" outlineLevel="1"/>
    <col min="29" max="29" width="5" style="1" hidden="1" customWidth="1" outlineLevel="1"/>
    <col min="30" max="30" width="5" style="43" hidden="1" customWidth="1" outlineLevel="1"/>
    <col min="31" max="31" width="5" style="1" hidden="1" customWidth="1" outlineLevel="1"/>
    <col min="32" max="32" width="5" style="43" hidden="1" customWidth="1" outlineLevel="1"/>
    <col min="33" max="33" width="5.625" style="1" customWidth="1" collapsed="1"/>
    <col min="34" max="34" width="5" style="1" customWidth="1" outlineLevel="1"/>
    <col min="35" max="35" width="5" style="45" customWidth="1" outlineLevel="1"/>
    <col min="36" max="36" width="5" style="1" customWidth="1" outlineLevel="1"/>
    <col min="37" max="37" width="5" style="45" customWidth="1" outlineLevel="1"/>
    <col min="38" max="38" width="5" style="1" customWidth="1" outlineLevel="1"/>
    <col min="39" max="39" width="5" style="45" customWidth="1" outlineLevel="1"/>
    <col min="40" max="40" width="5" style="1" customWidth="1" outlineLevel="1"/>
    <col min="41" max="41" width="5" style="45" customWidth="1" outlineLevel="1"/>
    <col min="42" max="42" width="5" style="1" customWidth="1" outlineLevel="1"/>
    <col min="43" max="43" width="5" style="45" customWidth="1" outlineLevel="1"/>
    <col min="44" max="44" width="5" style="1" customWidth="1" outlineLevel="1"/>
    <col min="45" max="45" width="5" style="45" customWidth="1" outlineLevel="1"/>
    <col min="46" max="46" width="5" style="1" customWidth="1" outlineLevel="1"/>
    <col min="47" max="47" width="5" style="45" customWidth="1" outlineLevel="1"/>
    <col min="48" max="48" width="5" style="1" customWidth="1" outlineLevel="1"/>
    <col min="49" max="49" width="5" style="45" customWidth="1" outlineLevel="1"/>
    <col min="50" max="50" width="5" style="1" customWidth="1" outlineLevel="1"/>
    <col min="51" max="51" width="5" style="45" customWidth="1" outlineLevel="1"/>
    <col min="52" max="52" width="5" style="1" customWidth="1" outlineLevel="1"/>
    <col min="53" max="53" width="5" style="45" customWidth="1" outlineLevel="1"/>
    <col min="54" max="54" width="5.625" style="1" customWidth="1"/>
    <col min="55" max="55" width="5" style="1" hidden="1" customWidth="1" outlineLevel="1"/>
    <col min="56" max="56" width="5" style="43" hidden="1" customWidth="1" outlineLevel="1"/>
    <col min="57" max="57" width="5" style="1" hidden="1" customWidth="1" outlineLevel="1"/>
    <col min="58" max="58" width="5" style="43" hidden="1" customWidth="1" outlineLevel="1"/>
    <col min="59" max="59" width="5.625" style="1" customWidth="1" collapsed="1"/>
    <col min="60" max="60" width="9" style="8" customWidth="1"/>
    <col min="61" max="64" width="9" style="1" customWidth="1"/>
    <col min="65" max="16384" width="9" style="1"/>
  </cols>
  <sheetData>
    <row r="1" spans="1:60" ht="27" customHeight="1">
      <c r="B1" s="2"/>
      <c r="C1" s="123" t="s">
        <v>965</v>
      </c>
      <c r="D1" s="124"/>
      <c r="E1" s="2"/>
      <c r="H1" s="2"/>
      <c r="I1" s="2"/>
      <c r="J1" s="2"/>
      <c r="K1" s="2"/>
      <c r="L1" s="2"/>
      <c r="M1" s="2"/>
      <c r="N1" s="2"/>
      <c r="O1" s="2"/>
      <c r="P1" s="2"/>
      <c r="Q1" s="37"/>
      <c r="R1" s="2"/>
      <c r="S1" s="40"/>
    </row>
    <row r="2" spans="1:60">
      <c r="A2" s="3"/>
      <c r="B2" s="3"/>
      <c r="C2" s="90"/>
      <c r="D2" s="3"/>
      <c r="E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1"/>
    </row>
    <row r="3" spans="1:60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103" t="s">
        <v>966</v>
      </c>
      <c r="G3" s="103" t="s">
        <v>967</v>
      </c>
      <c r="H3" s="28" t="s">
        <v>5</v>
      </c>
      <c r="I3" s="29" t="s">
        <v>6</v>
      </c>
      <c r="J3" s="29" t="s">
        <v>7</v>
      </c>
      <c r="K3" s="30" t="s">
        <v>8</v>
      </c>
      <c r="L3" s="28" t="s">
        <v>9</v>
      </c>
      <c r="M3" s="31" t="s">
        <v>10</v>
      </c>
      <c r="N3" s="32" t="s">
        <v>11</v>
      </c>
      <c r="O3" s="32" t="s">
        <v>12</v>
      </c>
      <c r="P3" s="32" t="s">
        <v>13</v>
      </c>
      <c r="Q3" s="31" t="s">
        <v>14</v>
      </c>
      <c r="R3" s="129" t="s">
        <v>15</v>
      </c>
      <c r="S3" s="126"/>
      <c r="T3" s="126"/>
      <c r="U3" s="126"/>
      <c r="V3" s="126"/>
      <c r="W3" s="127"/>
      <c r="X3" s="34" t="s">
        <v>16</v>
      </c>
      <c r="Y3" s="130" t="s">
        <v>17</v>
      </c>
      <c r="Z3" s="131"/>
      <c r="AA3" s="131"/>
      <c r="AB3" s="131"/>
      <c r="AC3" s="131"/>
      <c r="AD3" s="131"/>
      <c r="AE3" s="131"/>
      <c r="AF3" s="132"/>
      <c r="AG3" s="34" t="s">
        <v>18</v>
      </c>
      <c r="AH3" s="125" t="s">
        <v>19</v>
      </c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7"/>
      <c r="BB3" s="33" t="s">
        <v>20</v>
      </c>
      <c r="BC3" s="128" t="s">
        <v>21</v>
      </c>
      <c r="BD3" s="126"/>
      <c r="BE3" s="126"/>
      <c r="BF3" s="127"/>
      <c r="BG3" s="33" t="s">
        <v>22</v>
      </c>
      <c r="BH3" s="39"/>
    </row>
    <row r="4" spans="1:60" ht="22.5" hidden="1" customHeight="1">
      <c r="A4" s="9"/>
      <c r="B4" s="16" t="s">
        <v>23</v>
      </c>
      <c r="C4" s="89" t="s">
        <v>24</v>
      </c>
      <c r="D4" s="109" t="s">
        <v>25</v>
      </c>
      <c r="E4" s="110" t="s">
        <v>26</v>
      </c>
      <c r="F4" s="111" t="s">
        <v>25</v>
      </c>
      <c r="G4" s="111" t="s">
        <v>968</v>
      </c>
      <c r="H4" s="95"/>
      <c r="I4" s="9"/>
      <c r="J4" s="9"/>
      <c r="K4" s="14"/>
      <c r="L4" s="14"/>
      <c r="M4" s="12"/>
      <c r="N4" s="9"/>
      <c r="O4" s="9"/>
      <c r="P4" s="9"/>
      <c r="Q4" s="38">
        <f>M4+X4-AG4-BB4</f>
        <v>0</v>
      </c>
      <c r="R4" s="12"/>
      <c r="S4" s="42"/>
      <c r="T4" s="15"/>
      <c r="U4" s="44"/>
      <c r="V4" s="15"/>
      <c r="W4" s="44"/>
      <c r="X4" s="15">
        <f>R4+T4+V4</f>
        <v>0</v>
      </c>
      <c r="Y4" s="15"/>
      <c r="Z4" s="44"/>
      <c r="AA4" s="15"/>
      <c r="AB4" s="44"/>
      <c r="AC4" s="15"/>
      <c r="AD4" s="44"/>
      <c r="AE4" s="15"/>
      <c r="AF4" s="44"/>
      <c r="AG4" s="15">
        <f>(Y4+AA4+AC4+AE4)</f>
        <v>0</v>
      </c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42"/>
      <c r="BB4" s="15"/>
      <c r="BC4" s="15"/>
      <c r="BD4" s="44"/>
      <c r="BE4" s="15"/>
      <c r="BF4" s="44"/>
      <c r="BG4" s="15"/>
    </row>
    <row r="5" spans="1:60" ht="22.5" hidden="1" customHeight="1">
      <c r="A5" s="9"/>
      <c r="B5" s="16" t="s">
        <v>27</v>
      </c>
      <c r="C5" s="89" t="s">
        <v>24</v>
      </c>
      <c r="D5" s="109" t="s">
        <v>28</v>
      </c>
      <c r="E5" s="110"/>
      <c r="F5" s="111" t="s">
        <v>28</v>
      </c>
      <c r="G5" s="111" t="s">
        <v>969</v>
      </c>
      <c r="H5" s="95"/>
      <c r="I5" s="9"/>
      <c r="J5" s="9"/>
      <c r="K5" s="14"/>
      <c r="L5" s="14"/>
      <c r="M5" s="12"/>
      <c r="N5" s="9"/>
      <c r="O5" s="9"/>
      <c r="P5" s="9"/>
      <c r="Q5" s="38">
        <f>M5+X5-AG5-BB5</f>
        <v>0</v>
      </c>
      <c r="R5" s="12"/>
      <c r="S5" s="42"/>
      <c r="T5" s="15"/>
      <c r="U5" s="44"/>
      <c r="V5" s="15"/>
      <c r="W5" s="44"/>
      <c r="X5" s="15">
        <f>R5+T5+V5</f>
        <v>0</v>
      </c>
      <c r="Y5" s="15"/>
      <c r="Z5" s="44"/>
      <c r="AA5" s="15"/>
      <c r="AB5" s="44"/>
      <c r="AC5" s="15"/>
      <c r="AD5" s="44"/>
      <c r="AE5" s="15"/>
      <c r="AF5" s="44"/>
      <c r="AG5" s="15">
        <f>(Y5+AA5+AC5+AE5)</f>
        <v>0</v>
      </c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/>
      <c r="BA5" s="42"/>
      <c r="BB5" s="15">
        <f>AH5+AJ5+AL5+AN5+AP5+AR5+AT5+AV5+AX5+AZ5</f>
        <v>0</v>
      </c>
      <c r="BC5" s="15"/>
      <c r="BD5" s="44"/>
      <c r="BE5" s="15"/>
      <c r="BF5" s="44"/>
      <c r="BG5" s="15">
        <f>(BC5+BE5)</f>
        <v>0</v>
      </c>
    </row>
    <row r="6" spans="1:60" ht="22.5" hidden="1" customHeight="1">
      <c r="A6" s="9"/>
      <c r="B6" s="16" t="s">
        <v>27</v>
      </c>
      <c r="C6" s="89" t="s">
        <v>24</v>
      </c>
      <c r="D6" s="109" t="s">
        <v>28</v>
      </c>
      <c r="E6" s="110"/>
      <c r="F6" s="111" t="s">
        <v>28</v>
      </c>
      <c r="G6" s="111" t="s">
        <v>969</v>
      </c>
      <c r="H6" s="95"/>
      <c r="I6" s="9"/>
      <c r="J6" s="9"/>
      <c r="K6" s="14"/>
      <c r="L6" s="14"/>
      <c r="M6" s="12"/>
      <c r="N6" s="9"/>
      <c r="O6" s="9"/>
      <c r="P6" s="9"/>
      <c r="Q6" s="38">
        <f>M6+X6-AG6-BB6</f>
        <v>0</v>
      </c>
      <c r="R6" s="12"/>
      <c r="S6" s="42"/>
      <c r="T6" s="15"/>
      <c r="U6" s="44"/>
      <c r="V6" s="15"/>
      <c r="W6" s="44"/>
      <c r="X6" s="15">
        <f>R6+T6+V6</f>
        <v>0</v>
      </c>
      <c r="Y6" s="15"/>
      <c r="Z6" s="44"/>
      <c r="AA6" s="15"/>
      <c r="AB6" s="44"/>
      <c r="AC6" s="15"/>
      <c r="AD6" s="44"/>
      <c r="AE6" s="15"/>
      <c r="AF6" s="44"/>
      <c r="AG6" s="15">
        <f>(Y6+AA6+AC6+AE6)</f>
        <v>0</v>
      </c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/>
      <c r="BA6" s="42"/>
      <c r="BB6" s="15">
        <f>AH6+AJ6+AL6+AN6+AP6+AR6+AT6+AV6+AX6+AZ6</f>
        <v>0</v>
      </c>
      <c r="BC6" s="15"/>
      <c r="BD6" s="44"/>
      <c r="BE6" s="15"/>
      <c r="BF6" s="44"/>
      <c r="BG6" s="15">
        <f>(BC6+BE6)</f>
        <v>0</v>
      </c>
    </row>
    <row r="7" spans="1:60" ht="22.5" hidden="1" customHeight="1">
      <c r="A7" s="9"/>
      <c r="B7" s="16" t="s">
        <v>29</v>
      </c>
      <c r="C7" s="89" t="s">
        <v>30</v>
      </c>
      <c r="D7" s="109" t="s">
        <v>29</v>
      </c>
      <c r="E7" s="110"/>
      <c r="F7" s="111" t="s">
        <v>29</v>
      </c>
      <c r="G7" s="111" t="s">
        <v>970</v>
      </c>
      <c r="H7" s="95"/>
      <c r="I7" s="9"/>
      <c r="J7" s="9"/>
      <c r="K7" s="14"/>
      <c r="L7" s="14"/>
      <c r="M7" s="12"/>
      <c r="N7" s="9"/>
      <c r="O7" s="9"/>
      <c r="P7" s="9"/>
      <c r="Q7" s="38">
        <f>M7+X7-AG7-BB7</f>
        <v>0</v>
      </c>
      <c r="R7" s="12"/>
      <c r="S7" s="42"/>
      <c r="T7" s="15"/>
      <c r="U7" s="44"/>
      <c r="V7" s="15"/>
      <c r="W7" s="44"/>
      <c r="X7" s="15">
        <f>R7+T7+V7</f>
        <v>0</v>
      </c>
      <c r="Y7" s="15"/>
      <c r="Z7" s="44"/>
      <c r="AA7" s="15"/>
      <c r="AB7" s="44"/>
      <c r="AC7" s="15"/>
      <c r="AD7" s="44"/>
      <c r="AE7" s="15"/>
      <c r="AF7" s="44"/>
      <c r="AG7" s="15">
        <f>(Y7+AA7+AC7+AE7)</f>
        <v>0</v>
      </c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/>
      <c r="BA7" s="42"/>
      <c r="BB7" s="15">
        <f>AH7+AJ7+AL7+AN7+AP7+AR7+AT7+AV7+AX7+AZ7</f>
        <v>0</v>
      </c>
      <c r="BC7" s="15"/>
      <c r="BD7" s="44"/>
      <c r="BE7" s="15"/>
      <c r="BF7" s="44"/>
      <c r="BG7" s="15">
        <f>(BC7+BE7)</f>
        <v>0</v>
      </c>
    </row>
    <row r="8" spans="1:60" ht="22.5" hidden="1" customHeight="1">
      <c r="A8" s="9"/>
      <c r="B8" s="16" t="s">
        <v>31</v>
      </c>
      <c r="C8" s="89" t="s">
        <v>24</v>
      </c>
      <c r="D8" s="109" t="s">
        <v>32</v>
      </c>
      <c r="E8" s="110"/>
      <c r="F8" s="111" t="s">
        <v>971</v>
      </c>
      <c r="G8" s="111" t="s">
        <v>972</v>
      </c>
      <c r="H8" s="95"/>
      <c r="I8" s="9"/>
      <c r="J8" s="9"/>
      <c r="K8" s="14"/>
      <c r="L8" s="14"/>
      <c r="M8" s="12"/>
      <c r="N8" s="9"/>
      <c r="O8" s="9"/>
      <c r="P8" s="9"/>
      <c r="Q8" s="38">
        <f>M8+X8-AG8-BB8</f>
        <v>0</v>
      </c>
      <c r="R8" s="12"/>
      <c r="S8" s="42"/>
      <c r="T8" s="15"/>
      <c r="U8" s="44"/>
      <c r="V8" s="15"/>
      <c r="W8" s="44"/>
      <c r="X8" s="15">
        <f>R8+T8+V8</f>
        <v>0</v>
      </c>
      <c r="Y8" s="15"/>
      <c r="Z8" s="44"/>
      <c r="AA8" s="15"/>
      <c r="AB8" s="44"/>
      <c r="AC8" s="15"/>
      <c r="AD8" s="44"/>
      <c r="AE8" s="15"/>
      <c r="AF8" s="44"/>
      <c r="AG8" s="15">
        <f>(Y8+AA8+AC8+AE8)</f>
        <v>0</v>
      </c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/>
      <c r="BA8" s="42"/>
      <c r="BB8" s="15">
        <f>AH8+AJ8+AL8+AN8+AP8+AR8+AT8+AV8+AX8+AZ8</f>
        <v>0</v>
      </c>
      <c r="BC8" s="15"/>
      <c r="BD8" s="44"/>
      <c r="BE8" s="15"/>
      <c r="BF8" s="44"/>
      <c r="BG8" s="15">
        <f>(BC8+BE8)</f>
        <v>0</v>
      </c>
    </row>
    <row r="9" spans="1:60" ht="22.5" hidden="1" customHeight="1">
      <c r="A9" s="9"/>
      <c r="B9" s="16" t="s">
        <v>31</v>
      </c>
      <c r="C9" s="89" t="s">
        <v>24</v>
      </c>
      <c r="D9" s="109" t="s">
        <v>33</v>
      </c>
      <c r="E9" s="110"/>
      <c r="F9" s="111" t="s">
        <v>973</v>
      </c>
      <c r="G9" s="111" t="s">
        <v>974</v>
      </c>
      <c r="H9" s="95"/>
      <c r="I9" s="21"/>
      <c r="J9" s="21"/>
      <c r="K9" s="14"/>
      <c r="L9" s="14"/>
      <c r="M9" s="12"/>
      <c r="N9" s="9"/>
      <c r="O9" s="9"/>
      <c r="P9" s="9"/>
      <c r="Q9" s="38">
        <f>M9+X9-AG9-BB9</f>
        <v>0</v>
      </c>
      <c r="R9" s="12"/>
      <c r="S9" s="42"/>
      <c r="T9" s="15"/>
      <c r="U9" s="44"/>
      <c r="V9" s="15"/>
      <c r="W9" s="44"/>
      <c r="X9" s="15">
        <f>R9+T9+V9</f>
        <v>0</v>
      </c>
      <c r="Y9" s="15"/>
      <c r="Z9" s="44"/>
      <c r="AA9" s="15"/>
      <c r="AB9" s="44"/>
      <c r="AC9" s="15"/>
      <c r="AD9" s="44"/>
      <c r="AE9" s="15"/>
      <c r="AF9" s="44"/>
      <c r="AG9" s="15">
        <f>(Y9+AA9+AC9+AE9)</f>
        <v>0</v>
      </c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/>
      <c r="BA9" s="42"/>
      <c r="BB9" s="15">
        <f>AH9+AJ9+AL9+AN9+AP9+AR9+AT9+AV9+AX9+AZ9</f>
        <v>0</v>
      </c>
      <c r="BC9" s="15"/>
      <c r="BD9" s="44"/>
      <c r="BE9" s="15"/>
      <c r="BF9" s="44"/>
      <c r="BG9" s="15">
        <f>(BC9+BE9)</f>
        <v>0</v>
      </c>
    </row>
    <row r="10" spans="1:60" ht="22.5" hidden="1" customHeight="1">
      <c r="A10" s="9"/>
      <c r="B10" s="18" t="s">
        <v>34</v>
      </c>
      <c r="C10" s="89" t="s">
        <v>24</v>
      </c>
      <c r="D10" s="109" t="s">
        <v>35</v>
      </c>
      <c r="E10" s="110"/>
      <c r="F10" s="111" t="s">
        <v>975</v>
      </c>
      <c r="G10" s="111" t="s">
        <v>976</v>
      </c>
      <c r="H10" s="95"/>
      <c r="I10" s="21"/>
      <c r="J10" s="21"/>
      <c r="K10" s="14"/>
      <c r="L10" s="14"/>
      <c r="M10" s="12"/>
      <c r="N10" s="9"/>
      <c r="O10" s="9"/>
      <c r="P10" s="9"/>
      <c r="Q10" s="38">
        <f>M10+X10-AG10-BB10</f>
        <v>0</v>
      </c>
      <c r="R10" s="12"/>
      <c r="S10" s="42"/>
      <c r="T10" s="15"/>
      <c r="U10" s="44"/>
      <c r="V10" s="15"/>
      <c r="W10" s="44"/>
      <c r="X10" s="15">
        <f>R10+T10+V10</f>
        <v>0</v>
      </c>
      <c r="Y10" s="15"/>
      <c r="Z10" s="44"/>
      <c r="AA10" s="15"/>
      <c r="AB10" s="44"/>
      <c r="AC10" s="15"/>
      <c r="AD10" s="44"/>
      <c r="AE10" s="15"/>
      <c r="AF10" s="44"/>
      <c r="AG10" s="15">
        <f>(Y10+AA10+AC10+AE10)</f>
        <v>0</v>
      </c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/>
      <c r="BA10" s="42"/>
      <c r="BB10" s="15">
        <f>AH10+AJ10+AL10+AN10+AP10+AR10+AT10+AV10+AX10+AZ10</f>
        <v>0</v>
      </c>
      <c r="BC10" s="15"/>
      <c r="BD10" s="44"/>
      <c r="BE10" s="15"/>
      <c r="BF10" s="44"/>
      <c r="BG10" s="15">
        <f>(BC10+BE10)</f>
        <v>0</v>
      </c>
    </row>
    <row r="11" spans="1:60" ht="22.5" hidden="1" customHeight="1">
      <c r="A11" s="9"/>
      <c r="B11" s="18" t="s">
        <v>34</v>
      </c>
      <c r="C11" s="89" t="s">
        <v>24</v>
      </c>
      <c r="D11" s="109" t="s">
        <v>36</v>
      </c>
      <c r="E11" s="110"/>
      <c r="F11" s="111" t="s">
        <v>977</v>
      </c>
      <c r="G11" s="111" t="s">
        <v>978</v>
      </c>
      <c r="H11" s="95"/>
      <c r="I11" s="9"/>
      <c r="J11" s="9"/>
      <c r="K11" s="14"/>
      <c r="L11" s="14"/>
      <c r="M11" s="12"/>
      <c r="N11" s="9"/>
      <c r="O11" s="9"/>
      <c r="P11" s="9"/>
      <c r="Q11" s="38">
        <f>M11+X11-AG11-BB11</f>
        <v>0</v>
      </c>
      <c r="R11" s="12"/>
      <c r="S11" s="42"/>
      <c r="T11" s="15"/>
      <c r="U11" s="44"/>
      <c r="V11" s="15"/>
      <c r="W11" s="44"/>
      <c r="X11" s="15">
        <f>R11+T11+V11</f>
        <v>0</v>
      </c>
      <c r="Y11" s="15"/>
      <c r="Z11" s="44"/>
      <c r="AA11" s="15"/>
      <c r="AB11" s="44"/>
      <c r="AC11" s="15"/>
      <c r="AD11" s="44"/>
      <c r="AE11" s="15"/>
      <c r="AF11" s="44"/>
      <c r="AG11" s="15">
        <f>(Y11+AA11+AC11+AE11)</f>
        <v>0</v>
      </c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/>
      <c r="BA11" s="42"/>
      <c r="BB11" s="15">
        <f>AH11+AJ11+AL11+AN11+AP11+AR11+AT11+AV11+AX11+AZ11</f>
        <v>0</v>
      </c>
      <c r="BC11" s="15"/>
      <c r="BD11" s="44"/>
      <c r="BE11" s="15"/>
      <c r="BF11" s="44"/>
      <c r="BG11" s="15">
        <f>(BC11+BE11)</f>
        <v>0</v>
      </c>
    </row>
    <row r="12" spans="1:60" ht="22.5" hidden="1" customHeight="1">
      <c r="A12" s="9"/>
      <c r="B12" s="16" t="s">
        <v>37</v>
      </c>
      <c r="C12" s="89" t="s">
        <v>24</v>
      </c>
      <c r="D12" s="109" t="s">
        <v>37</v>
      </c>
      <c r="E12" s="110"/>
      <c r="F12" s="111" t="s">
        <v>979</v>
      </c>
      <c r="G12" s="111" t="s">
        <v>980</v>
      </c>
      <c r="H12" s="95"/>
      <c r="I12" s="9"/>
      <c r="J12" s="9"/>
      <c r="K12" s="14"/>
      <c r="L12" s="14"/>
      <c r="M12" s="12"/>
      <c r="N12" s="9"/>
      <c r="O12" s="9"/>
      <c r="P12" s="9"/>
      <c r="Q12" s="38">
        <f>M12+X12-AG12-BB12</f>
        <v>0</v>
      </c>
      <c r="R12" s="12"/>
      <c r="S12" s="42"/>
      <c r="T12" s="15"/>
      <c r="U12" s="44"/>
      <c r="V12" s="15"/>
      <c r="W12" s="44"/>
      <c r="X12" s="15">
        <f>R12+T12+V12</f>
        <v>0</v>
      </c>
      <c r="Y12" s="15"/>
      <c r="Z12" s="44"/>
      <c r="AA12" s="15"/>
      <c r="AB12" s="44"/>
      <c r="AC12" s="15"/>
      <c r="AD12" s="44"/>
      <c r="AE12" s="15"/>
      <c r="AF12" s="44"/>
      <c r="AG12" s="15">
        <f>(Y12+AA12+AC12+AE12)</f>
        <v>0</v>
      </c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/>
      <c r="BA12" s="42"/>
      <c r="BB12" s="15">
        <f>AH12+AJ12+AL12+AN12+AP12+AR12+AT12+AV12+AX12+AZ12</f>
        <v>0</v>
      </c>
      <c r="BC12" s="15"/>
      <c r="BD12" s="44"/>
      <c r="BE12" s="15"/>
      <c r="BF12" s="44"/>
      <c r="BG12" s="15">
        <f>(BC12+BE12)</f>
        <v>0</v>
      </c>
    </row>
    <row r="13" spans="1:60" ht="22.5" hidden="1" customHeight="1">
      <c r="A13" s="9"/>
      <c r="B13" s="16" t="s">
        <v>37</v>
      </c>
      <c r="C13" s="89" t="s">
        <v>24</v>
      </c>
      <c r="D13" s="109" t="s">
        <v>38</v>
      </c>
      <c r="E13" s="110"/>
      <c r="F13" s="111" t="s">
        <v>981</v>
      </c>
      <c r="G13" s="111" t="s">
        <v>982</v>
      </c>
      <c r="H13" s="95"/>
      <c r="I13" s="9"/>
      <c r="J13" s="9"/>
      <c r="K13" s="14"/>
      <c r="L13" s="14"/>
      <c r="M13" s="12"/>
      <c r="N13" s="9"/>
      <c r="O13" s="9"/>
      <c r="P13" s="9"/>
      <c r="Q13" s="38">
        <f>M13+X13-AG13-BB13</f>
        <v>0</v>
      </c>
      <c r="R13" s="12"/>
      <c r="S13" s="42"/>
      <c r="T13" s="15"/>
      <c r="U13" s="44"/>
      <c r="V13" s="15"/>
      <c r="W13" s="44"/>
      <c r="X13" s="15">
        <f>R13+T13+V13</f>
        <v>0</v>
      </c>
      <c r="Y13" s="15"/>
      <c r="Z13" s="44"/>
      <c r="AA13" s="15"/>
      <c r="AB13" s="44"/>
      <c r="AC13" s="15"/>
      <c r="AD13" s="44"/>
      <c r="AE13" s="15"/>
      <c r="AF13" s="44"/>
      <c r="AG13" s="15">
        <f>(Y13+AA13+AC13+AE13)</f>
        <v>0</v>
      </c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/>
      <c r="BA13" s="42"/>
      <c r="BB13" s="15">
        <f>AH13+AJ13+AL13+AN13+AP13+AR13+AT13+AV13+AX13+AZ13</f>
        <v>0</v>
      </c>
      <c r="BC13" s="15"/>
      <c r="BD13" s="44"/>
      <c r="BE13" s="15"/>
      <c r="BF13" s="44"/>
      <c r="BG13" s="15">
        <f>(BC13+BE13)</f>
        <v>0</v>
      </c>
    </row>
    <row r="14" spans="1:60" ht="22.5" hidden="1" customHeight="1">
      <c r="A14" s="9"/>
      <c r="B14" s="16" t="s">
        <v>23</v>
      </c>
      <c r="C14" s="89" t="s">
        <v>39</v>
      </c>
      <c r="D14" s="109" t="s">
        <v>40</v>
      </c>
      <c r="E14" s="110" t="s">
        <v>26</v>
      </c>
      <c r="F14" s="111" t="s">
        <v>40</v>
      </c>
      <c r="G14" s="111" t="s">
        <v>983</v>
      </c>
      <c r="H14" s="95"/>
      <c r="I14" s="9"/>
      <c r="J14" s="9"/>
      <c r="K14" s="14"/>
      <c r="L14" s="14"/>
      <c r="M14" s="12"/>
      <c r="N14" s="9"/>
      <c r="O14" s="9"/>
      <c r="P14" s="9"/>
      <c r="Q14" s="38">
        <f>M14+X14-AG14-BB14</f>
        <v>0</v>
      </c>
      <c r="R14" s="12"/>
      <c r="S14" s="42"/>
      <c r="T14" s="15"/>
      <c r="U14" s="44"/>
      <c r="V14" s="15"/>
      <c r="W14" s="44"/>
      <c r="X14" s="15">
        <f>R14+T14+V14</f>
        <v>0</v>
      </c>
      <c r="Y14" s="15"/>
      <c r="Z14" s="44"/>
      <c r="AA14" s="15"/>
      <c r="AB14" s="44"/>
      <c r="AC14" s="15"/>
      <c r="AD14" s="44"/>
      <c r="AE14" s="15"/>
      <c r="AF14" s="44"/>
      <c r="AG14" s="15">
        <f>(Y14+AA14+AC14+AE14)</f>
        <v>0</v>
      </c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/>
      <c r="BA14" s="42"/>
      <c r="BB14" s="15">
        <f>AH14+AJ14+AL14+AN14+AP14+AR14+AT14+AV14+AX14+AZ14</f>
        <v>0</v>
      </c>
      <c r="BC14" s="15"/>
      <c r="BD14" s="44"/>
      <c r="BE14" s="15"/>
      <c r="BF14" s="44"/>
      <c r="BG14" s="15">
        <f>(BC14+BE14)</f>
        <v>0</v>
      </c>
    </row>
    <row r="15" spans="1:60" ht="22.5" hidden="1" customHeight="1">
      <c r="A15" s="9"/>
      <c r="B15" s="16" t="s">
        <v>27</v>
      </c>
      <c r="C15" s="89" t="s">
        <v>39</v>
      </c>
      <c r="D15" s="109" t="s">
        <v>28</v>
      </c>
      <c r="E15" s="110"/>
      <c r="F15" s="111" t="s">
        <v>984</v>
      </c>
      <c r="G15" s="111" t="s">
        <v>985</v>
      </c>
      <c r="H15" s="95"/>
      <c r="I15" s="9"/>
      <c r="J15" s="9"/>
      <c r="K15" s="14"/>
      <c r="L15" s="14"/>
      <c r="M15" s="12"/>
      <c r="N15" s="9"/>
      <c r="O15" s="9"/>
      <c r="P15" s="9"/>
      <c r="Q15" s="38">
        <f>M15+X15-AG15-BB15</f>
        <v>0</v>
      </c>
      <c r="R15" s="12"/>
      <c r="S15" s="42"/>
      <c r="T15" s="15"/>
      <c r="U15" s="44"/>
      <c r="V15" s="15"/>
      <c r="W15" s="44"/>
      <c r="X15" s="15">
        <f>R15+T15+V15</f>
        <v>0</v>
      </c>
      <c r="Y15" s="15"/>
      <c r="Z15" s="44"/>
      <c r="AA15" s="15"/>
      <c r="AB15" s="44"/>
      <c r="AC15" s="15"/>
      <c r="AD15" s="44"/>
      <c r="AE15" s="15"/>
      <c r="AF15" s="44"/>
      <c r="AG15" s="15">
        <f>(Y15+AA15+AC15+AE15)</f>
        <v>0</v>
      </c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/>
      <c r="BA15" s="42"/>
      <c r="BB15" s="15">
        <f>AH15+AJ15+AL15+AN15+AP15+AR15+AT15+AV15+AX15+AZ15</f>
        <v>0</v>
      </c>
      <c r="BC15" s="15"/>
      <c r="BD15" s="44"/>
      <c r="BE15" s="15"/>
      <c r="BF15" s="44"/>
      <c r="BG15" s="15">
        <f>(BC15+BE15)</f>
        <v>0</v>
      </c>
    </row>
    <row r="16" spans="1:60" ht="22.5" hidden="1" customHeight="1">
      <c r="A16" s="9"/>
      <c r="B16" s="16" t="s">
        <v>31</v>
      </c>
      <c r="C16" s="89" t="s">
        <v>39</v>
      </c>
      <c r="D16" s="109" t="s">
        <v>32</v>
      </c>
      <c r="E16" s="110"/>
      <c r="F16" s="111" t="s">
        <v>986</v>
      </c>
      <c r="G16" s="111" t="s">
        <v>987</v>
      </c>
      <c r="H16" s="95"/>
      <c r="I16" s="9"/>
      <c r="J16" s="9"/>
      <c r="K16" s="14"/>
      <c r="L16" s="14"/>
      <c r="M16" s="12"/>
      <c r="N16" s="9"/>
      <c r="O16" s="9"/>
      <c r="P16" s="9"/>
      <c r="Q16" s="38">
        <f>M16+X16-AG16-BB16</f>
        <v>0</v>
      </c>
      <c r="R16" s="12"/>
      <c r="S16" s="42"/>
      <c r="T16" s="15"/>
      <c r="U16" s="44"/>
      <c r="V16" s="15"/>
      <c r="W16" s="44"/>
      <c r="X16" s="15">
        <f>R16+T16+V16</f>
        <v>0</v>
      </c>
      <c r="Y16" s="15"/>
      <c r="Z16" s="44"/>
      <c r="AA16" s="15"/>
      <c r="AB16" s="44"/>
      <c r="AC16" s="15"/>
      <c r="AD16" s="44"/>
      <c r="AE16" s="15"/>
      <c r="AF16" s="44"/>
      <c r="AG16" s="15">
        <f>(Y16+AA16+AC16+AE16)</f>
        <v>0</v>
      </c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/>
      <c r="BA16" s="42"/>
      <c r="BB16" s="15">
        <f>AH16+AJ16+AL16+AN16+AP16+AR16+AT16+AV16+AX16+AZ16</f>
        <v>0</v>
      </c>
      <c r="BC16" s="15"/>
      <c r="BD16" s="44"/>
      <c r="BE16" s="15"/>
      <c r="BF16" s="44"/>
      <c r="BG16" s="15">
        <f>(BC16+BE16)</f>
        <v>0</v>
      </c>
    </row>
    <row r="17" spans="1:59" s="8" customFormat="1" ht="22.5" hidden="1" customHeight="1">
      <c r="A17" s="9"/>
      <c r="B17" s="16" t="s">
        <v>31</v>
      </c>
      <c r="C17" s="89" t="s">
        <v>39</v>
      </c>
      <c r="D17" s="109" t="s">
        <v>41</v>
      </c>
      <c r="E17" s="110"/>
      <c r="F17" s="111" t="s">
        <v>41</v>
      </c>
      <c r="G17" s="111" t="s">
        <v>988</v>
      </c>
      <c r="H17" s="95"/>
      <c r="I17" s="9"/>
      <c r="J17" s="9"/>
      <c r="K17" s="14"/>
      <c r="L17" s="14"/>
      <c r="M17" s="12"/>
      <c r="N17" s="9"/>
      <c r="O17" s="9"/>
      <c r="P17" s="9"/>
      <c r="Q17" s="38">
        <f>M17+X17-AG17-BB17</f>
        <v>0</v>
      </c>
      <c r="R17" s="12"/>
      <c r="S17" s="42"/>
      <c r="T17" s="15"/>
      <c r="U17" s="44"/>
      <c r="V17" s="15"/>
      <c r="W17" s="44"/>
      <c r="X17" s="15">
        <f>R17+T17+V17</f>
        <v>0</v>
      </c>
      <c r="Y17" s="15"/>
      <c r="Z17" s="44"/>
      <c r="AA17" s="15"/>
      <c r="AB17" s="44"/>
      <c r="AC17" s="15"/>
      <c r="AD17" s="44"/>
      <c r="AE17" s="15"/>
      <c r="AF17" s="44"/>
      <c r="AG17" s="15">
        <f>(Y17+AA17+AC17+AE17)</f>
        <v>0</v>
      </c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/>
      <c r="BA17" s="42"/>
      <c r="BB17" s="15">
        <f>AH17+AJ17+AL17+AN17+AP17+AR17+AT17+AV17+AX17+AZ17</f>
        <v>0</v>
      </c>
      <c r="BC17" s="15"/>
      <c r="BD17" s="44"/>
      <c r="BE17" s="15"/>
      <c r="BF17" s="44"/>
      <c r="BG17" s="15">
        <f>(BC17+BE17)</f>
        <v>0</v>
      </c>
    </row>
    <row r="18" spans="1:59" ht="22.5" hidden="1" customHeight="1">
      <c r="A18" s="9"/>
      <c r="B18" s="16" t="s">
        <v>31</v>
      </c>
      <c r="C18" s="89" t="s">
        <v>39</v>
      </c>
      <c r="D18" s="109" t="s">
        <v>33</v>
      </c>
      <c r="E18" s="110"/>
      <c r="F18" s="111" t="s">
        <v>989</v>
      </c>
      <c r="G18" s="111" t="s">
        <v>990</v>
      </c>
      <c r="H18" s="95"/>
      <c r="I18" s="9"/>
      <c r="J18" s="9"/>
      <c r="K18" s="14"/>
      <c r="L18" s="14"/>
      <c r="M18" s="12"/>
      <c r="N18" s="9"/>
      <c r="O18" s="9"/>
      <c r="P18" s="9"/>
      <c r="Q18" s="38">
        <f>M18+X18-AG18-BB18</f>
        <v>0</v>
      </c>
      <c r="R18" s="12"/>
      <c r="S18" s="42"/>
      <c r="T18" s="15"/>
      <c r="U18" s="44"/>
      <c r="V18" s="15"/>
      <c r="W18" s="44"/>
      <c r="X18" s="15">
        <f>R18+T18+V18</f>
        <v>0</v>
      </c>
      <c r="Y18" s="15"/>
      <c r="Z18" s="44"/>
      <c r="AA18" s="15"/>
      <c r="AB18" s="44"/>
      <c r="AC18" s="15"/>
      <c r="AD18" s="44"/>
      <c r="AE18" s="15"/>
      <c r="AF18" s="44"/>
      <c r="AG18" s="15">
        <f>(Y18+AA18+AC18+AE18)</f>
        <v>0</v>
      </c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/>
      <c r="BA18" s="42"/>
      <c r="BB18" s="15">
        <f>AH18+AJ18+AL18+AN18+AP18+AR18+AT18+AV18+AX18+AZ18</f>
        <v>0</v>
      </c>
      <c r="BC18" s="15"/>
      <c r="BD18" s="44"/>
      <c r="BE18" s="15"/>
      <c r="BF18" s="44"/>
      <c r="BG18" s="15">
        <f>(BC18+BE18)</f>
        <v>0</v>
      </c>
    </row>
    <row r="19" spans="1:59" ht="22.5" hidden="1" customHeight="1">
      <c r="A19" s="9"/>
      <c r="B19" s="18" t="s">
        <v>34</v>
      </c>
      <c r="C19" s="89" t="s">
        <v>39</v>
      </c>
      <c r="D19" s="109" t="s">
        <v>35</v>
      </c>
      <c r="E19" s="110"/>
      <c r="F19" s="111" t="s">
        <v>991</v>
      </c>
      <c r="G19" s="111" t="s">
        <v>992</v>
      </c>
      <c r="H19" s="95"/>
      <c r="I19" s="9"/>
      <c r="J19" s="9"/>
      <c r="K19" s="14"/>
      <c r="L19" s="14"/>
      <c r="M19" s="12"/>
      <c r="N19" s="9"/>
      <c r="O19" s="9"/>
      <c r="P19" s="9"/>
      <c r="Q19" s="38">
        <f>M19+X19-AG19-BB19</f>
        <v>0</v>
      </c>
      <c r="R19" s="12"/>
      <c r="S19" s="42"/>
      <c r="T19" s="15"/>
      <c r="U19" s="44"/>
      <c r="V19" s="15"/>
      <c r="W19" s="44"/>
      <c r="X19" s="15">
        <f>R19+T19+V19</f>
        <v>0</v>
      </c>
      <c r="Y19" s="15"/>
      <c r="Z19" s="44"/>
      <c r="AA19" s="15"/>
      <c r="AB19" s="44"/>
      <c r="AC19" s="15"/>
      <c r="AD19" s="44"/>
      <c r="AE19" s="15"/>
      <c r="AF19" s="44"/>
      <c r="AG19" s="15">
        <f>(Y19+AA19+AC19+AE19)</f>
        <v>0</v>
      </c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/>
      <c r="BA19" s="42"/>
      <c r="BB19" s="15">
        <f>AH19+AJ19+AL19+AN19+AP19+AR19+AT19+AV19+AX19+AZ19</f>
        <v>0</v>
      </c>
      <c r="BC19" s="15"/>
      <c r="BD19" s="44"/>
      <c r="BE19" s="15"/>
      <c r="BF19" s="44"/>
      <c r="BG19" s="15">
        <f>(BC19+BE19)</f>
        <v>0</v>
      </c>
    </row>
    <row r="20" spans="1:59" ht="22.5" hidden="1" customHeight="1">
      <c r="A20" s="9"/>
      <c r="B20" s="18" t="s">
        <v>34</v>
      </c>
      <c r="C20" s="89" t="s">
        <v>39</v>
      </c>
      <c r="D20" s="109" t="s">
        <v>42</v>
      </c>
      <c r="E20" s="110"/>
      <c r="F20" s="111" t="s">
        <v>42</v>
      </c>
      <c r="G20" s="111" t="s">
        <v>993</v>
      </c>
      <c r="H20" s="95"/>
      <c r="I20" s="9"/>
      <c r="J20" s="9"/>
      <c r="K20" s="14"/>
      <c r="L20" s="14"/>
      <c r="M20" s="12"/>
      <c r="N20" s="9"/>
      <c r="O20" s="9"/>
      <c r="P20" s="9"/>
      <c r="Q20" s="38">
        <f>M20+X20-AG20-BB20</f>
        <v>0</v>
      </c>
      <c r="R20" s="12"/>
      <c r="S20" s="42"/>
      <c r="T20" s="15"/>
      <c r="U20" s="44"/>
      <c r="V20" s="15"/>
      <c r="W20" s="44"/>
      <c r="X20" s="15">
        <f>R20+T20+V20</f>
        <v>0</v>
      </c>
      <c r="Y20" s="15"/>
      <c r="Z20" s="44"/>
      <c r="AA20" s="15"/>
      <c r="AB20" s="44"/>
      <c r="AC20" s="15"/>
      <c r="AD20" s="44"/>
      <c r="AE20" s="15"/>
      <c r="AF20" s="44"/>
      <c r="AG20" s="15">
        <f>(Y20+AA20+AC20+AE20)</f>
        <v>0</v>
      </c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/>
      <c r="BA20" s="42"/>
      <c r="BB20" s="15">
        <f>AH20+AJ20+AL20+AN20+AP20+AR20+AT20+AV20+AX20+AZ20</f>
        <v>0</v>
      </c>
      <c r="BC20" s="15"/>
      <c r="BD20" s="44"/>
      <c r="BE20" s="15"/>
      <c r="BF20" s="44"/>
      <c r="BG20" s="15">
        <f>(BC20+BE20)</f>
        <v>0</v>
      </c>
    </row>
    <row r="21" spans="1:59" ht="22.5" hidden="1" customHeight="1">
      <c r="A21" s="9"/>
      <c r="B21" s="16" t="s">
        <v>37</v>
      </c>
      <c r="C21" s="89" t="s">
        <v>39</v>
      </c>
      <c r="D21" s="109" t="s">
        <v>37</v>
      </c>
      <c r="E21" s="110"/>
      <c r="F21" s="111" t="s">
        <v>994</v>
      </c>
      <c r="G21" s="111" t="s">
        <v>995</v>
      </c>
      <c r="H21" s="95"/>
      <c r="I21" s="9"/>
      <c r="J21" s="9"/>
      <c r="K21" s="14"/>
      <c r="L21" s="14"/>
      <c r="M21" s="12"/>
      <c r="N21" s="9"/>
      <c r="O21" s="9"/>
      <c r="P21" s="9"/>
      <c r="Q21" s="38">
        <f>M21+X21-AG21-BB21</f>
        <v>0</v>
      </c>
      <c r="R21" s="12"/>
      <c r="S21" s="42"/>
      <c r="T21" s="15"/>
      <c r="U21" s="44"/>
      <c r="V21" s="15"/>
      <c r="W21" s="44"/>
      <c r="X21" s="15">
        <f>R21+T21+V21</f>
        <v>0</v>
      </c>
      <c r="Y21" s="15"/>
      <c r="Z21" s="44"/>
      <c r="AA21" s="15"/>
      <c r="AB21" s="44"/>
      <c r="AC21" s="15"/>
      <c r="AD21" s="44"/>
      <c r="AE21" s="15"/>
      <c r="AF21" s="44"/>
      <c r="AG21" s="15">
        <f>(Y21+AA21+AC21+AE21)</f>
        <v>0</v>
      </c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/>
      <c r="BA21" s="42"/>
      <c r="BB21" s="15">
        <f>AH21+AJ21+AL21+AN21+AP21+AR21+AT21+AV21+AX21+AZ21</f>
        <v>0</v>
      </c>
      <c r="BC21" s="15"/>
      <c r="BD21" s="44"/>
      <c r="BE21" s="15"/>
      <c r="BF21" s="44"/>
      <c r="BG21" s="15">
        <f>(BC21+BE21)</f>
        <v>0</v>
      </c>
    </row>
    <row r="22" spans="1:59" ht="22.5" hidden="1" customHeight="1">
      <c r="A22" s="9"/>
      <c r="B22" s="16" t="s">
        <v>37</v>
      </c>
      <c r="C22" s="89" t="s">
        <v>39</v>
      </c>
      <c r="D22" s="109" t="s">
        <v>38</v>
      </c>
      <c r="E22" s="110"/>
      <c r="F22" s="111" t="s">
        <v>996</v>
      </c>
      <c r="G22" s="111" t="s">
        <v>997</v>
      </c>
      <c r="H22" s="95"/>
      <c r="I22" s="9"/>
      <c r="J22" s="9"/>
      <c r="K22" s="14"/>
      <c r="L22" s="14"/>
      <c r="M22" s="12"/>
      <c r="N22" s="9"/>
      <c r="O22" s="9"/>
      <c r="P22" s="9"/>
      <c r="Q22" s="38">
        <f>M22+X22-AG22-BB22</f>
        <v>0</v>
      </c>
      <c r="R22" s="12"/>
      <c r="S22" s="42"/>
      <c r="T22" s="15"/>
      <c r="U22" s="44"/>
      <c r="V22" s="15"/>
      <c r="W22" s="44"/>
      <c r="X22" s="15">
        <f>R22+T22+V22</f>
        <v>0</v>
      </c>
      <c r="Y22" s="15"/>
      <c r="Z22" s="44"/>
      <c r="AA22" s="15"/>
      <c r="AB22" s="44"/>
      <c r="AC22" s="15"/>
      <c r="AD22" s="44"/>
      <c r="AE22" s="15"/>
      <c r="AF22" s="44"/>
      <c r="AG22" s="15">
        <f>(Y22+AA22+AC22+AE22)</f>
        <v>0</v>
      </c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/>
      <c r="BA22" s="42"/>
      <c r="BB22" s="15">
        <f>AH22+AJ22+AL22+AN22+AP22+AR22+AT22+AV22+AX22+AZ22</f>
        <v>0</v>
      </c>
      <c r="BC22" s="15"/>
      <c r="BD22" s="44"/>
      <c r="BE22" s="15"/>
      <c r="BF22" s="44"/>
      <c r="BG22" s="15">
        <f>(BC22+BE22)</f>
        <v>0</v>
      </c>
    </row>
    <row r="23" spans="1:59" ht="22.5" hidden="1" customHeight="1">
      <c r="A23" s="9"/>
      <c r="B23" s="16" t="s">
        <v>43</v>
      </c>
      <c r="C23" s="89" t="s">
        <v>44</v>
      </c>
      <c r="D23" s="109" t="s">
        <v>45</v>
      </c>
      <c r="E23" s="110" t="s">
        <v>46</v>
      </c>
      <c r="F23" s="111" t="s">
        <v>998</v>
      </c>
      <c r="G23" s="111" t="s">
        <v>999</v>
      </c>
      <c r="H23" s="95"/>
      <c r="I23" s="9"/>
      <c r="J23" s="9" t="s">
        <v>47</v>
      </c>
      <c r="K23" s="14"/>
      <c r="L23" s="14"/>
      <c r="M23" s="12"/>
      <c r="N23" s="9"/>
      <c r="O23" s="9"/>
      <c r="P23" s="9"/>
      <c r="Q23" s="38">
        <f>M23+X23-AG23-BB23</f>
        <v>0</v>
      </c>
      <c r="R23" s="12"/>
      <c r="S23" s="42"/>
      <c r="T23" s="15"/>
      <c r="U23" s="44"/>
      <c r="V23" s="15"/>
      <c r="W23" s="44"/>
      <c r="X23" s="15">
        <f>R23+T23+V23</f>
        <v>0</v>
      </c>
      <c r="Y23" s="15"/>
      <c r="Z23" s="44"/>
      <c r="AA23" s="15"/>
      <c r="AB23" s="44"/>
      <c r="AC23" s="15"/>
      <c r="AD23" s="44"/>
      <c r="AE23" s="15"/>
      <c r="AF23" s="44"/>
      <c r="AG23" s="15">
        <f>(Y23+AA23+AC23+AE23)</f>
        <v>0</v>
      </c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/>
      <c r="BA23" s="42"/>
      <c r="BB23" s="15">
        <f>AH23+AJ23+AL23+AN23+AP23+AR23+AT23+AV23+AX23+AZ23</f>
        <v>0</v>
      </c>
      <c r="BC23" s="15"/>
      <c r="BD23" s="44"/>
      <c r="BE23" s="15"/>
      <c r="BF23" s="44"/>
      <c r="BG23" s="15">
        <f>(BC23+BE23)</f>
        <v>0</v>
      </c>
    </row>
    <row r="24" spans="1:59" ht="22.5" hidden="1" customHeight="1">
      <c r="A24" s="9"/>
      <c r="B24" s="16" t="s">
        <v>43</v>
      </c>
      <c r="C24" s="89" t="s">
        <v>48</v>
      </c>
      <c r="D24" s="109" t="s">
        <v>45</v>
      </c>
      <c r="E24" s="110" t="s">
        <v>49</v>
      </c>
      <c r="F24" s="111" t="s">
        <v>1000</v>
      </c>
      <c r="G24" s="111" t="s">
        <v>1001</v>
      </c>
      <c r="H24" s="95"/>
      <c r="I24" s="9"/>
      <c r="J24" s="9" t="s">
        <v>47</v>
      </c>
      <c r="K24" s="14"/>
      <c r="L24" s="14"/>
      <c r="M24" s="12"/>
      <c r="N24" s="9"/>
      <c r="O24" s="9"/>
      <c r="P24" s="9"/>
      <c r="Q24" s="38">
        <f>M24+X24-AG24-BB24</f>
        <v>0</v>
      </c>
      <c r="R24" s="12"/>
      <c r="S24" s="42"/>
      <c r="T24" s="15"/>
      <c r="U24" s="44"/>
      <c r="V24" s="15"/>
      <c r="W24" s="44"/>
      <c r="X24" s="15">
        <f>R24+T24+V24</f>
        <v>0</v>
      </c>
      <c r="Y24" s="15"/>
      <c r="Z24" s="44"/>
      <c r="AA24" s="15"/>
      <c r="AB24" s="44"/>
      <c r="AC24" s="15"/>
      <c r="AD24" s="44"/>
      <c r="AE24" s="15"/>
      <c r="AF24" s="44"/>
      <c r="AG24" s="15">
        <f>(Y24+AA24+AC24+AE24)</f>
        <v>0</v>
      </c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/>
      <c r="BA24" s="42"/>
      <c r="BB24" s="15">
        <f>AH24+AJ24+AL24+AN24+AP24+AR24+AT24+AV24+AX24+AZ24</f>
        <v>0</v>
      </c>
      <c r="BC24" s="15"/>
      <c r="BD24" s="44"/>
      <c r="BE24" s="15"/>
      <c r="BF24" s="44"/>
      <c r="BG24" s="15">
        <f>(BC24+BE24)</f>
        <v>0</v>
      </c>
    </row>
    <row r="25" spans="1:59" ht="22.5" hidden="1" customHeight="1">
      <c r="A25" s="9"/>
      <c r="B25" s="16" t="s">
        <v>43</v>
      </c>
      <c r="C25" s="89" t="s">
        <v>50</v>
      </c>
      <c r="D25" s="109" t="s">
        <v>45</v>
      </c>
      <c r="E25" s="110" t="s">
        <v>51</v>
      </c>
      <c r="F25" s="111" t="s">
        <v>1002</v>
      </c>
      <c r="G25" s="111" t="s">
        <v>1003</v>
      </c>
      <c r="H25" s="95"/>
      <c r="I25" s="9"/>
      <c r="J25" s="9"/>
      <c r="K25" s="14"/>
      <c r="L25" s="14"/>
      <c r="M25" s="12"/>
      <c r="N25" s="9"/>
      <c r="O25" s="9"/>
      <c r="P25" s="9"/>
      <c r="Q25" s="38">
        <f>M25+X25-AG25-BB25</f>
        <v>0</v>
      </c>
      <c r="R25" s="12"/>
      <c r="S25" s="42"/>
      <c r="T25" s="15"/>
      <c r="U25" s="44"/>
      <c r="V25" s="15"/>
      <c r="W25" s="44"/>
      <c r="X25" s="15">
        <f>R25+T25+V25</f>
        <v>0</v>
      </c>
      <c r="Y25" s="15"/>
      <c r="Z25" s="44"/>
      <c r="AA25" s="15"/>
      <c r="AB25" s="44"/>
      <c r="AC25" s="15"/>
      <c r="AD25" s="44"/>
      <c r="AE25" s="15"/>
      <c r="AF25" s="44"/>
      <c r="AG25" s="15">
        <f>(Y25+AA25+AC25+AE25)</f>
        <v>0</v>
      </c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/>
      <c r="BA25" s="42"/>
      <c r="BB25" s="15">
        <f>AH25+AJ25+AL25+AN25+AP25+AR25+AT25+AV25+AX25+AZ25</f>
        <v>0</v>
      </c>
      <c r="BC25" s="15"/>
      <c r="BD25" s="44"/>
      <c r="BE25" s="15"/>
      <c r="BF25" s="44"/>
      <c r="BG25" s="15">
        <f>(BC25+BE25)</f>
        <v>0</v>
      </c>
    </row>
    <row r="26" spans="1:59" ht="22.5" hidden="1" customHeight="1">
      <c r="A26" s="9"/>
      <c r="B26" s="16" t="s">
        <v>43</v>
      </c>
      <c r="C26" s="89" t="s">
        <v>52</v>
      </c>
      <c r="D26" s="109" t="s">
        <v>45</v>
      </c>
      <c r="E26" s="110" t="s">
        <v>53</v>
      </c>
      <c r="F26" s="111" t="s">
        <v>1004</v>
      </c>
      <c r="G26" s="111" t="s">
        <v>1005</v>
      </c>
      <c r="H26" s="95"/>
      <c r="I26" s="9"/>
      <c r="J26" s="9" t="s">
        <v>47</v>
      </c>
      <c r="K26" s="14"/>
      <c r="L26" s="14"/>
      <c r="M26" s="12"/>
      <c r="N26" s="9"/>
      <c r="O26" s="9"/>
      <c r="P26" s="9"/>
      <c r="Q26" s="38">
        <f>M26+X26-AG26-BB26</f>
        <v>0</v>
      </c>
      <c r="R26" s="12"/>
      <c r="S26" s="42"/>
      <c r="T26" s="15"/>
      <c r="U26" s="44"/>
      <c r="V26" s="15"/>
      <c r="W26" s="44"/>
      <c r="X26" s="15">
        <f>R26+T26+V26</f>
        <v>0</v>
      </c>
      <c r="Y26" s="15"/>
      <c r="Z26" s="44"/>
      <c r="AA26" s="15"/>
      <c r="AB26" s="44"/>
      <c r="AC26" s="15"/>
      <c r="AD26" s="44"/>
      <c r="AE26" s="15"/>
      <c r="AF26" s="44"/>
      <c r="AG26" s="15">
        <f>(Y26+AA26+AC26+AE26)</f>
        <v>0</v>
      </c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/>
      <c r="BA26" s="42"/>
      <c r="BB26" s="15">
        <f>AH26+AJ26+AL26+AN26+AP26+AR26+AT26+AV26+AX26+AZ26</f>
        <v>0</v>
      </c>
      <c r="BC26" s="15"/>
      <c r="BD26" s="44"/>
      <c r="BE26" s="15"/>
      <c r="BF26" s="44"/>
      <c r="BG26" s="15">
        <f>(BC26+BE26)</f>
        <v>0</v>
      </c>
    </row>
    <row r="27" spans="1:59" ht="22.5" hidden="1" customHeight="1">
      <c r="A27" s="9"/>
      <c r="B27" s="16" t="s">
        <v>43</v>
      </c>
      <c r="C27" s="89" t="s">
        <v>52</v>
      </c>
      <c r="D27" s="109" t="s">
        <v>45</v>
      </c>
      <c r="E27" s="110" t="s">
        <v>54</v>
      </c>
      <c r="F27" s="111" t="s">
        <v>1006</v>
      </c>
      <c r="G27" s="111" t="s">
        <v>1007</v>
      </c>
      <c r="H27" s="95"/>
      <c r="I27" s="9"/>
      <c r="J27" s="9" t="s">
        <v>55</v>
      </c>
      <c r="K27" s="14"/>
      <c r="L27" s="14"/>
      <c r="M27" s="12"/>
      <c r="N27" s="9"/>
      <c r="O27" s="9"/>
      <c r="P27" s="9"/>
      <c r="Q27" s="38">
        <f>M27+X27-AG27-BB27</f>
        <v>0</v>
      </c>
      <c r="R27" s="12"/>
      <c r="S27" s="42"/>
      <c r="T27" s="15"/>
      <c r="U27" s="44"/>
      <c r="V27" s="15"/>
      <c r="W27" s="44"/>
      <c r="X27" s="15">
        <f>R27+T27+V27</f>
        <v>0</v>
      </c>
      <c r="Y27" s="15"/>
      <c r="Z27" s="44"/>
      <c r="AA27" s="15"/>
      <c r="AB27" s="44"/>
      <c r="AC27" s="15"/>
      <c r="AD27" s="44"/>
      <c r="AE27" s="15"/>
      <c r="AF27" s="44"/>
      <c r="AG27" s="15">
        <f>(Y27+AA27+AC27+AE27)</f>
        <v>0</v>
      </c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/>
      <c r="BA27" s="42"/>
      <c r="BB27" s="15">
        <f>AH27+AJ27+AL27+AN27+AP27+AR27+AT27+AV27+AX27+AZ27</f>
        <v>0</v>
      </c>
      <c r="BC27" s="15"/>
      <c r="BD27" s="44"/>
      <c r="BE27" s="15"/>
      <c r="BF27" s="44"/>
      <c r="BG27" s="15">
        <f>(BC27+BE27)</f>
        <v>0</v>
      </c>
    </row>
    <row r="28" spans="1:59" ht="22.5" hidden="1" customHeight="1">
      <c r="A28" s="9"/>
      <c r="B28" s="16" t="s">
        <v>43</v>
      </c>
      <c r="C28" s="89" t="s">
        <v>56</v>
      </c>
      <c r="D28" s="109" t="s">
        <v>45</v>
      </c>
      <c r="E28" s="110" t="s">
        <v>57</v>
      </c>
      <c r="F28" s="111" t="s">
        <v>1008</v>
      </c>
      <c r="G28" s="111" t="s">
        <v>1009</v>
      </c>
      <c r="H28" s="95"/>
      <c r="I28" s="9"/>
      <c r="J28" s="9"/>
      <c r="K28" s="14"/>
      <c r="L28" s="14"/>
      <c r="M28" s="12"/>
      <c r="N28" s="9"/>
      <c r="O28" s="9"/>
      <c r="P28" s="9"/>
      <c r="Q28" s="38">
        <f>M28+X28-AG28-BB28</f>
        <v>0</v>
      </c>
      <c r="R28" s="12"/>
      <c r="S28" s="42"/>
      <c r="T28" s="15"/>
      <c r="U28" s="44"/>
      <c r="V28" s="15"/>
      <c r="W28" s="44"/>
      <c r="X28" s="15">
        <f>R28+T28+V28</f>
        <v>0</v>
      </c>
      <c r="Y28" s="15"/>
      <c r="Z28" s="44"/>
      <c r="AA28" s="15"/>
      <c r="AB28" s="44"/>
      <c r="AC28" s="15"/>
      <c r="AD28" s="44"/>
      <c r="AE28" s="15"/>
      <c r="AF28" s="44"/>
      <c r="AG28" s="15">
        <f>(Y28+AA28+AC28+AE28)</f>
        <v>0</v>
      </c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/>
      <c r="BA28" s="42"/>
      <c r="BB28" s="15">
        <f>AH28+AJ28+AL28+AN28+AP28+AR28+AT28+AV28+AX28+AZ28</f>
        <v>0</v>
      </c>
      <c r="BC28" s="15"/>
      <c r="BD28" s="44"/>
      <c r="BE28" s="15"/>
      <c r="BF28" s="44"/>
      <c r="BG28" s="15">
        <f>(BC28+BE28)</f>
        <v>0</v>
      </c>
    </row>
    <row r="29" spans="1:59" ht="22.5" hidden="1" customHeight="1">
      <c r="A29" s="9"/>
      <c r="B29" s="16" t="s">
        <v>58</v>
      </c>
      <c r="C29" s="89" t="s">
        <v>59</v>
      </c>
      <c r="D29" s="109" t="s">
        <v>60</v>
      </c>
      <c r="E29" s="110" t="s">
        <v>58</v>
      </c>
      <c r="F29" s="111" t="s">
        <v>1010</v>
      </c>
      <c r="G29" s="111" t="s">
        <v>1011</v>
      </c>
      <c r="H29" s="95"/>
      <c r="I29" s="9"/>
      <c r="J29" s="9" t="s">
        <v>61</v>
      </c>
      <c r="K29" s="14"/>
      <c r="L29" s="14"/>
      <c r="M29" s="12">
        <v>1300</v>
      </c>
      <c r="N29" s="9"/>
      <c r="O29" s="9"/>
      <c r="P29" s="9"/>
      <c r="Q29" s="38">
        <f>M29+X29-AG29-BB29</f>
        <v>1300</v>
      </c>
      <c r="R29" s="12"/>
      <c r="S29" s="42"/>
      <c r="T29" s="15"/>
      <c r="U29" s="44"/>
      <c r="V29" s="15"/>
      <c r="W29" s="44"/>
      <c r="X29" s="15">
        <f>R29+T29+V29</f>
        <v>0</v>
      </c>
      <c r="Y29" s="15"/>
      <c r="Z29" s="44"/>
      <c r="AA29" s="15"/>
      <c r="AB29" s="44"/>
      <c r="AC29" s="15"/>
      <c r="AD29" s="44"/>
      <c r="AE29" s="15"/>
      <c r="AF29" s="44"/>
      <c r="AG29" s="15">
        <f>(Y29+AA29+AC29+AE29)</f>
        <v>0</v>
      </c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/>
      <c r="BA29" s="42"/>
      <c r="BB29" s="15">
        <f>AH29+AJ29+AL29+AN29+AP29+AR29+AT29+AV29+AX29+AZ29</f>
        <v>0</v>
      </c>
      <c r="BC29" s="15"/>
      <c r="BD29" s="44"/>
      <c r="BE29" s="15"/>
      <c r="BF29" s="44"/>
      <c r="BG29" s="15">
        <f>(BC29+BE29)</f>
        <v>0</v>
      </c>
    </row>
    <row r="30" spans="1:59" ht="22.5" hidden="1" customHeight="1">
      <c r="A30" s="9"/>
      <c r="B30" s="18" t="s">
        <v>62</v>
      </c>
      <c r="C30" s="89" t="s">
        <v>48</v>
      </c>
      <c r="D30" s="109" t="s">
        <v>60</v>
      </c>
      <c r="E30" s="110" t="s">
        <v>62</v>
      </c>
      <c r="F30" s="111" t="s">
        <v>1012</v>
      </c>
      <c r="G30" s="111" t="s">
        <v>1013</v>
      </c>
      <c r="H30" s="95"/>
      <c r="I30" s="21"/>
      <c r="J30" s="21" t="s">
        <v>61</v>
      </c>
      <c r="K30" s="14"/>
      <c r="L30" s="14"/>
      <c r="M30" s="12"/>
      <c r="N30" s="9"/>
      <c r="O30" s="9"/>
      <c r="P30" s="9"/>
      <c r="Q30" s="38">
        <f>M30+X30-AG30-BB30</f>
        <v>0</v>
      </c>
      <c r="R30" s="12"/>
      <c r="S30" s="42"/>
      <c r="T30" s="15"/>
      <c r="U30" s="44"/>
      <c r="V30" s="15"/>
      <c r="W30" s="44"/>
      <c r="X30" s="15">
        <f>R30+T30+V30</f>
        <v>0</v>
      </c>
      <c r="Y30" s="15"/>
      <c r="Z30" s="44"/>
      <c r="AA30" s="15"/>
      <c r="AB30" s="44"/>
      <c r="AC30" s="15"/>
      <c r="AD30" s="44"/>
      <c r="AE30" s="15"/>
      <c r="AF30" s="44"/>
      <c r="AG30" s="15">
        <f>(Y30+AA30+AC30+AE30)</f>
        <v>0</v>
      </c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/>
      <c r="BA30" s="42"/>
      <c r="BB30" s="15">
        <f>AH30+AJ30+AL30+AN30+AP30+AR30+AT30+AV30+AX30+AZ30</f>
        <v>0</v>
      </c>
      <c r="BC30" s="15"/>
      <c r="BD30" s="44"/>
      <c r="BE30" s="15"/>
      <c r="BF30" s="44"/>
      <c r="BG30" s="15">
        <f>(BC30+BE30)</f>
        <v>0</v>
      </c>
    </row>
    <row r="31" spans="1:59" ht="22.5" hidden="1" customHeight="1">
      <c r="A31" s="9"/>
      <c r="B31" s="18" t="s">
        <v>62</v>
      </c>
      <c r="C31" s="89" t="s">
        <v>50</v>
      </c>
      <c r="D31" s="109" t="s">
        <v>60</v>
      </c>
      <c r="E31" s="110" t="s">
        <v>62</v>
      </c>
      <c r="F31" s="111" t="s">
        <v>1014</v>
      </c>
      <c r="G31" s="111" t="s">
        <v>1015</v>
      </c>
      <c r="H31" s="95"/>
      <c r="I31" s="21"/>
      <c r="J31" s="21" t="s">
        <v>61</v>
      </c>
      <c r="K31" s="14"/>
      <c r="L31" s="14"/>
      <c r="M31" s="12">
        <v>500</v>
      </c>
      <c r="N31" s="9"/>
      <c r="O31" s="9"/>
      <c r="P31" s="9"/>
      <c r="Q31" s="38">
        <f>M31+X31-AG31-BB31</f>
        <v>500</v>
      </c>
      <c r="R31" s="12"/>
      <c r="S31" s="42"/>
      <c r="T31" s="15"/>
      <c r="U31" s="44"/>
      <c r="V31" s="15"/>
      <c r="W31" s="44"/>
      <c r="X31" s="15">
        <f>R31+T31+V31</f>
        <v>0</v>
      </c>
      <c r="Y31" s="15"/>
      <c r="Z31" s="44"/>
      <c r="AA31" s="15"/>
      <c r="AB31" s="44"/>
      <c r="AC31" s="15"/>
      <c r="AD31" s="44"/>
      <c r="AE31" s="15"/>
      <c r="AF31" s="44"/>
      <c r="AG31" s="15">
        <f>(Y31+AA31+AC31+AE31)</f>
        <v>0</v>
      </c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/>
      <c r="BA31" s="42"/>
      <c r="BB31" s="15">
        <f>AH31+AJ31+AL31+AN31+AP31+AR31+AT31+AV31+AX31+AZ31</f>
        <v>0</v>
      </c>
      <c r="BC31" s="15"/>
      <c r="BD31" s="44"/>
      <c r="BE31" s="15"/>
      <c r="BF31" s="44"/>
      <c r="BG31" s="15">
        <f>(BC31+BE31)</f>
        <v>0</v>
      </c>
    </row>
    <row r="32" spans="1:59" ht="22.5" hidden="1" customHeight="1">
      <c r="A32" s="9"/>
      <c r="B32" s="18" t="s">
        <v>62</v>
      </c>
      <c r="C32" s="89" t="s">
        <v>1016</v>
      </c>
      <c r="D32" s="109" t="s">
        <v>1017</v>
      </c>
      <c r="E32" s="110" t="s">
        <v>62</v>
      </c>
      <c r="F32" s="111" t="s">
        <v>1012</v>
      </c>
      <c r="G32" s="113" t="s">
        <v>1013</v>
      </c>
      <c r="H32" s="95"/>
      <c r="I32" s="21"/>
      <c r="J32" s="21" t="s">
        <v>61</v>
      </c>
      <c r="K32" s="14"/>
      <c r="L32" s="14"/>
      <c r="M32" s="12">
        <v>0</v>
      </c>
      <c r="N32" s="9"/>
      <c r="O32" s="9"/>
      <c r="P32" s="9"/>
      <c r="Q32" s="38">
        <f>M32+X32-AG32-BB32</f>
        <v>0</v>
      </c>
      <c r="R32" s="12"/>
      <c r="S32" s="42"/>
      <c r="T32" s="15"/>
      <c r="U32" s="44"/>
      <c r="V32" s="15"/>
      <c r="W32" s="44"/>
      <c r="X32" s="15">
        <f>R32+T32+V32</f>
        <v>0</v>
      </c>
      <c r="Y32" s="15"/>
      <c r="Z32" s="44"/>
      <c r="AA32" s="15"/>
      <c r="AB32" s="44"/>
      <c r="AC32" s="15"/>
      <c r="AD32" s="44"/>
      <c r="AE32" s="15"/>
      <c r="AF32" s="44"/>
      <c r="AG32" s="15">
        <f>(Y32+AA32+AC32+AE32)</f>
        <v>0</v>
      </c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/>
      <c r="BA32" s="42"/>
      <c r="BB32" s="15"/>
      <c r="BC32" s="15"/>
      <c r="BD32" s="44"/>
      <c r="BE32" s="15"/>
      <c r="BF32" s="44"/>
      <c r="BG32" s="15"/>
    </row>
    <row r="33" spans="1:59" ht="22.5" hidden="1" customHeight="1">
      <c r="A33" s="9"/>
      <c r="B33" s="16" t="s">
        <v>63</v>
      </c>
      <c r="C33" s="89" t="s">
        <v>64</v>
      </c>
      <c r="D33" s="109" t="s">
        <v>65</v>
      </c>
      <c r="E33" s="110" t="s">
        <v>66</v>
      </c>
      <c r="F33" s="111" t="s">
        <v>1018</v>
      </c>
      <c r="G33" s="111" t="s">
        <v>1019</v>
      </c>
      <c r="H33" s="95"/>
      <c r="I33" s="9"/>
      <c r="J33" s="9" t="s">
        <v>67</v>
      </c>
      <c r="K33" s="14"/>
      <c r="L33" s="14"/>
      <c r="M33" s="12">
        <v>400</v>
      </c>
      <c r="N33" s="9"/>
      <c r="O33" s="9"/>
      <c r="P33" s="9"/>
      <c r="Q33" s="38">
        <f>M33+X33-AG33-BB33</f>
        <v>400</v>
      </c>
      <c r="R33" s="12"/>
      <c r="S33" s="42"/>
      <c r="T33" s="15"/>
      <c r="U33" s="44"/>
      <c r="V33" s="15"/>
      <c r="W33" s="44"/>
      <c r="X33" s="15">
        <f>R33+T33+V33</f>
        <v>0</v>
      </c>
      <c r="Y33" s="15"/>
      <c r="Z33" s="44"/>
      <c r="AA33" s="15"/>
      <c r="AB33" s="44"/>
      <c r="AC33" s="15"/>
      <c r="AD33" s="44"/>
      <c r="AE33" s="15"/>
      <c r="AF33" s="44"/>
      <c r="AG33" s="15">
        <f>(Y33+AA33+AC33+AE33)</f>
        <v>0</v>
      </c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/>
      <c r="BA33" s="42"/>
      <c r="BB33" s="15">
        <f>AH33+AJ33+AL33+AN33+AP33+AR33+AT33+AV33+AX33+AZ33</f>
        <v>0</v>
      </c>
      <c r="BC33" s="15"/>
      <c r="BD33" s="44"/>
      <c r="BE33" s="15"/>
      <c r="BF33" s="44"/>
      <c r="BG33" s="15">
        <f>(BC33+BE33)</f>
        <v>0</v>
      </c>
    </row>
    <row r="34" spans="1:59" ht="22.5" hidden="1" customHeight="1">
      <c r="A34" s="9"/>
      <c r="B34" s="16" t="s">
        <v>68</v>
      </c>
      <c r="C34" s="89" t="s">
        <v>44</v>
      </c>
      <c r="D34" s="109" t="s">
        <v>69</v>
      </c>
      <c r="E34" s="110" t="s">
        <v>70</v>
      </c>
      <c r="F34" s="111" t="s">
        <v>1020</v>
      </c>
      <c r="G34" s="111" t="s">
        <v>1021</v>
      </c>
      <c r="H34" s="95"/>
      <c r="I34" s="9"/>
      <c r="J34" s="9" t="s">
        <v>71</v>
      </c>
      <c r="K34" s="14"/>
      <c r="L34" s="14"/>
      <c r="M34" s="12"/>
      <c r="N34" s="9"/>
      <c r="O34" s="9"/>
      <c r="P34" s="9"/>
      <c r="Q34" s="38">
        <f>M34+X34-AG34-BB34</f>
        <v>0</v>
      </c>
      <c r="R34" s="12"/>
      <c r="S34" s="42"/>
      <c r="T34" s="15"/>
      <c r="U34" s="44"/>
      <c r="V34" s="15"/>
      <c r="W34" s="44"/>
      <c r="X34" s="15">
        <f>R34+T34+V34</f>
        <v>0</v>
      </c>
      <c r="Y34" s="15"/>
      <c r="Z34" s="44"/>
      <c r="AA34" s="15"/>
      <c r="AB34" s="44"/>
      <c r="AC34" s="15"/>
      <c r="AD34" s="44"/>
      <c r="AE34" s="15"/>
      <c r="AF34" s="44"/>
      <c r="AG34" s="15">
        <f>(Y34+AA34+AC34+AE34)</f>
        <v>0</v>
      </c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/>
      <c r="BA34" s="42"/>
      <c r="BB34" s="15">
        <f>AH34+AJ34+AL34+AN34+AP34+AR34+AT34+AV34+AX34+AZ34</f>
        <v>0</v>
      </c>
      <c r="BC34" s="15"/>
      <c r="BD34" s="44"/>
      <c r="BE34" s="15"/>
      <c r="BF34" s="44"/>
      <c r="BG34" s="15">
        <f>(BC34+BE34)</f>
        <v>0</v>
      </c>
    </row>
    <row r="35" spans="1:59" ht="22.5" hidden="1" customHeight="1">
      <c r="A35" s="9"/>
      <c r="B35" s="16" t="s">
        <v>68</v>
      </c>
      <c r="C35" s="89" t="s">
        <v>59</v>
      </c>
      <c r="D35" s="109" t="s">
        <v>69</v>
      </c>
      <c r="E35" s="110" t="s">
        <v>72</v>
      </c>
      <c r="F35" s="111" t="s">
        <v>1022</v>
      </c>
      <c r="G35" s="111" t="s">
        <v>1023</v>
      </c>
      <c r="H35" s="95"/>
      <c r="I35" s="9"/>
      <c r="J35" s="9" t="s">
        <v>71</v>
      </c>
      <c r="K35" s="14"/>
      <c r="L35" s="14"/>
      <c r="M35" s="12"/>
      <c r="N35" s="9"/>
      <c r="O35" s="9"/>
      <c r="P35" s="9"/>
      <c r="Q35" s="38">
        <f>M35+X35-AG35-BB35</f>
        <v>0</v>
      </c>
      <c r="R35" s="12"/>
      <c r="S35" s="42"/>
      <c r="T35" s="15"/>
      <c r="U35" s="44"/>
      <c r="V35" s="15"/>
      <c r="W35" s="44"/>
      <c r="X35" s="15">
        <f>R35+T35+V35</f>
        <v>0</v>
      </c>
      <c r="Y35" s="15"/>
      <c r="Z35" s="44"/>
      <c r="AA35" s="15"/>
      <c r="AB35" s="44"/>
      <c r="AC35" s="15"/>
      <c r="AD35" s="44"/>
      <c r="AE35" s="15"/>
      <c r="AF35" s="44"/>
      <c r="AG35" s="15">
        <f>(Y35+AA35+AC35+AE35)</f>
        <v>0</v>
      </c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/>
      <c r="BA35" s="42"/>
      <c r="BB35" s="15">
        <f>AH35+AJ35+AL35+AN35+AP35+AR35+AT35+AV35+AX35+AZ35</f>
        <v>0</v>
      </c>
      <c r="BC35" s="15"/>
      <c r="BD35" s="44"/>
      <c r="BE35" s="15"/>
      <c r="BF35" s="44"/>
      <c r="BG35" s="15">
        <f>(BC35+BE35)</f>
        <v>0</v>
      </c>
    </row>
    <row r="36" spans="1:59" ht="22.5" hidden="1" customHeight="1">
      <c r="A36" s="9"/>
      <c r="B36" s="16" t="s">
        <v>68</v>
      </c>
      <c r="C36" s="89" t="s">
        <v>48</v>
      </c>
      <c r="D36" s="109" t="s">
        <v>69</v>
      </c>
      <c r="E36" s="110" t="s">
        <v>73</v>
      </c>
      <c r="F36" s="111" t="s">
        <v>1024</v>
      </c>
      <c r="G36" s="111" t="s">
        <v>1025</v>
      </c>
      <c r="H36" s="95"/>
      <c r="I36" s="9"/>
      <c r="J36" s="9" t="s">
        <v>71</v>
      </c>
      <c r="K36" s="14"/>
      <c r="L36" s="14"/>
      <c r="M36" s="12"/>
      <c r="N36" s="9"/>
      <c r="O36" s="9"/>
      <c r="P36" s="9"/>
      <c r="Q36" s="38">
        <f>M36+X36-AG36-BB36</f>
        <v>0</v>
      </c>
      <c r="R36" s="12"/>
      <c r="S36" s="42"/>
      <c r="T36" s="15"/>
      <c r="U36" s="44"/>
      <c r="V36" s="15"/>
      <c r="W36" s="44"/>
      <c r="X36" s="15">
        <f>R36+T36+V36</f>
        <v>0</v>
      </c>
      <c r="Y36" s="15"/>
      <c r="Z36" s="44"/>
      <c r="AA36" s="15"/>
      <c r="AB36" s="44"/>
      <c r="AC36" s="15"/>
      <c r="AD36" s="44"/>
      <c r="AE36" s="15"/>
      <c r="AF36" s="44"/>
      <c r="AG36" s="15">
        <f>(Y36+AA36+AC36+AE36)</f>
        <v>0</v>
      </c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42"/>
      <c r="BB36" s="15">
        <f>AH36+AJ36+AL36+AN36+AP36+AR36+AT36+AV36+AX36+AZ36</f>
        <v>0</v>
      </c>
      <c r="BC36" s="15"/>
      <c r="BD36" s="44"/>
      <c r="BE36" s="15"/>
      <c r="BF36" s="44"/>
      <c r="BG36" s="15">
        <f>(BC36+BE36)</f>
        <v>0</v>
      </c>
    </row>
    <row r="37" spans="1:59" ht="22.5" hidden="1" customHeight="1">
      <c r="A37" s="9"/>
      <c r="B37" s="16" t="s">
        <v>76</v>
      </c>
      <c r="C37" s="89" t="s">
        <v>44</v>
      </c>
      <c r="D37" s="109" t="s">
        <v>77</v>
      </c>
      <c r="E37" s="110" t="s">
        <v>78</v>
      </c>
      <c r="F37" s="111" t="s">
        <v>1026</v>
      </c>
      <c r="G37" s="111" t="s">
        <v>1027</v>
      </c>
      <c r="H37" s="95"/>
      <c r="I37" s="9"/>
      <c r="J37" s="9" t="s">
        <v>67</v>
      </c>
      <c r="K37" s="14"/>
      <c r="L37" s="14"/>
      <c r="M37" s="12"/>
      <c r="N37" s="9"/>
      <c r="O37" s="9"/>
      <c r="P37" s="9"/>
      <c r="Q37" s="38">
        <f>M37+X37-AG37-BB37</f>
        <v>0</v>
      </c>
      <c r="R37" s="12"/>
      <c r="S37" s="42"/>
      <c r="T37" s="15"/>
      <c r="U37" s="44"/>
      <c r="V37" s="15"/>
      <c r="W37" s="44"/>
      <c r="X37" s="15">
        <f>R37+T37+V37</f>
        <v>0</v>
      </c>
      <c r="Y37" s="15"/>
      <c r="Z37" s="44"/>
      <c r="AA37" s="15"/>
      <c r="AB37" s="44"/>
      <c r="AC37" s="15"/>
      <c r="AD37" s="44"/>
      <c r="AE37" s="15"/>
      <c r="AF37" s="44"/>
      <c r="AG37" s="15">
        <f>(Y37+AA37+AC37+AE37)</f>
        <v>0</v>
      </c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/>
      <c r="BA37" s="42"/>
      <c r="BB37" s="15">
        <f>AH37+AJ37+AL37+AN37+AP37+AR37+AT37+AV37+AX37+AZ37</f>
        <v>0</v>
      </c>
      <c r="BC37" s="15"/>
      <c r="BD37" s="44"/>
      <c r="BE37" s="15"/>
      <c r="BF37" s="44"/>
      <c r="BG37" s="15">
        <f>(BC37+BE37)</f>
        <v>0</v>
      </c>
    </row>
    <row r="38" spans="1:59" ht="22.5" hidden="1" customHeight="1">
      <c r="A38" s="9"/>
      <c r="B38" s="16" t="s">
        <v>76</v>
      </c>
      <c r="C38" s="89" t="s">
        <v>59</v>
      </c>
      <c r="D38" s="109" t="s">
        <v>79</v>
      </c>
      <c r="E38" s="110" t="s">
        <v>80</v>
      </c>
      <c r="F38" s="111" t="s">
        <v>1028</v>
      </c>
      <c r="G38" s="111" t="s">
        <v>1029</v>
      </c>
      <c r="H38" s="95"/>
      <c r="I38" s="9"/>
      <c r="J38" s="9" t="s">
        <v>67</v>
      </c>
      <c r="K38" s="14"/>
      <c r="L38" s="14"/>
      <c r="M38" s="12">
        <v>5000</v>
      </c>
      <c r="N38" s="9"/>
      <c r="O38" s="9"/>
      <c r="P38" s="9"/>
      <c r="Q38" s="38">
        <f>M38+X38-AG38-BB38</f>
        <v>5000</v>
      </c>
      <c r="R38" s="12"/>
      <c r="S38" s="42"/>
      <c r="T38" s="15"/>
      <c r="U38" s="44"/>
      <c r="V38" s="15"/>
      <c r="W38" s="44"/>
      <c r="X38" s="15">
        <f>R38+T38+V38</f>
        <v>0</v>
      </c>
      <c r="Y38" s="15"/>
      <c r="Z38" s="44"/>
      <c r="AA38" s="15"/>
      <c r="AB38" s="44"/>
      <c r="AC38" s="15"/>
      <c r="AD38" s="44"/>
      <c r="AE38" s="15"/>
      <c r="AF38" s="44"/>
      <c r="AG38" s="15">
        <f>(Y38+AA38+AC38+AE38)</f>
        <v>0</v>
      </c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/>
      <c r="BA38" s="42"/>
      <c r="BB38" s="15">
        <f>AH38+AJ38+AL38+AN38+AP38+AR38+AT38+AV38+AX38+AZ38</f>
        <v>0</v>
      </c>
      <c r="BC38" s="15"/>
      <c r="BD38" s="44"/>
      <c r="BE38" s="15"/>
      <c r="BF38" s="44"/>
      <c r="BG38" s="15">
        <f>(BC38+BE38)</f>
        <v>0</v>
      </c>
    </row>
    <row r="39" spans="1:59" ht="22.5" hidden="1" customHeight="1">
      <c r="A39" s="9"/>
      <c r="B39" s="16" t="s">
        <v>76</v>
      </c>
      <c r="C39" s="89" t="s">
        <v>52</v>
      </c>
      <c r="D39" s="109" t="s">
        <v>81</v>
      </c>
      <c r="E39" s="110" t="s">
        <v>82</v>
      </c>
      <c r="F39" s="111" t="s">
        <v>1030</v>
      </c>
      <c r="G39" s="111" t="s">
        <v>1031</v>
      </c>
      <c r="H39" s="95"/>
      <c r="I39" s="9"/>
      <c r="J39" s="9" t="s">
        <v>67</v>
      </c>
      <c r="K39" s="14"/>
      <c r="L39" s="14"/>
      <c r="M39" s="12">
        <v>5000</v>
      </c>
      <c r="N39" s="9"/>
      <c r="O39" s="9"/>
      <c r="P39" s="9"/>
      <c r="Q39" s="38">
        <f>M39+X39-AG39-BB39</f>
        <v>5000</v>
      </c>
      <c r="R39" s="12"/>
      <c r="S39" s="42"/>
      <c r="T39" s="15"/>
      <c r="U39" s="44"/>
      <c r="V39" s="15"/>
      <c r="W39" s="44"/>
      <c r="X39" s="15">
        <f>R39+T39+V39</f>
        <v>0</v>
      </c>
      <c r="Y39" s="15"/>
      <c r="Z39" s="44"/>
      <c r="AA39" s="15"/>
      <c r="AB39" s="44"/>
      <c r="AC39" s="15"/>
      <c r="AD39" s="44"/>
      <c r="AE39" s="15"/>
      <c r="AF39" s="44"/>
      <c r="AG39" s="15">
        <f>(Y39+AA39+AC39+AE39)</f>
        <v>0</v>
      </c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/>
      <c r="BA39" s="42"/>
      <c r="BB39" s="15">
        <f>AH39+AJ39+AL39+AN39+AP39+AR39+AT39+AV39+AX39+AZ39</f>
        <v>0</v>
      </c>
      <c r="BC39" s="15"/>
      <c r="BD39" s="44"/>
      <c r="BE39" s="15"/>
      <c r="BF39" s="44"/>
      <c r="BG39" s="15">
        <f>(BC39+BE39)</f>
        <v>0</v>
      </c>
    </row>
    <row r="40" spans="1:59" s="8" customFormat="1" ht="22.5" hidden="1" customHeight="1">
      <c r="A40" s="9"/>
      <c r="B40" s="16" t="s">
        <v>76</v>
      </c>
      <c r="C40" s="89" t="s">
        <v>44</v>
      </c>
      <c r="D40" s="109" t="s">
        <v>83</v>
      </c>
      <c r="E40" s="110" t="s">
        <v>84</v>
      </c>
      <c r="F40" s="111" t="s">
        <v>1032</v>
      </c>
      <c r="G40" s="111" t="s">
        <v>1033</v>
      </c>
      <c r="H40" s="95"/>
      <c r="I40" s="9"/>
      <c r="J40" s="9" t="s">
        <v>71</v>
      </c>
      <c r="K40" s="14"/>
      <c r="L40" s="14"/>
      <c r="M40" s="12"/>
      <c r="N40" s="9"/>
      <c r="O40" s="9"/>
      <c r="P40" s="9"/>
      <c r="Q40" s="38">
        <f>M40+X40-AG40-BB40</f>
        <v>0</v>
      </c>
      <c r="R40" s="12"/>
      <c r="S40" s="42"/>
      <c r="T40" s="15"/>
      <c r="U40" s="44"/>
      <c r="V40" s="15"/>
      <c r="W40" s="44"/>
      <c r="X40" s="15">
        <f>R40+T40+V40</f>
        <v>0</v>
      </c>
      <c r="Y40" s="15"/>
      <c r="Z40" s="44"/>
      <c r="AA40" s="15"/>
      <c r="AB40" s="44"/>
      <c r="AC40" s="15"/>
      <c r="AD40" s="44"/>
      <c r="AE40" s="15"/>
      <c r="AF40" s="44"/>
      <c r="AG40" s="15">
        <f>(Y40+AA40+AC40+AE40)</f>
        <v>0</v>
      </c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/>
      <c r="BA40" s="42"/>
      <c r="BB40" s="15">
        <f>AH40+AJ40+AL40+AN40+AP40+AR40+AT40+AV40+AX40+AZ40</f>
        <v>0</v>
      </c>
      <c r="BC40" s="15"/>
      <c r="BD40" s="44"/>
      <c r="BE40" s="15"/>
      <c r="BF40" s="44"/>
      <c r="BG40" s="15">
        <f>(BC40+BE40)</f>
        <v>0</v>
      </c>
    </row>
    <row r="41" spans="1:59" s="8" customFormat="1" ht="22.5" hidden="1" customHeight="1">
      <c r="A41" s="9"/>
      <c r="B41" s="16" t="s">
        <v>76</v>
      </c>
      <c r="C41" s="89" t="s">
        <v>48</v>
      </c>
      <c r="D41" s="109" t="s">
        <v>85</v>
      </c>
      <c r="E41" s="110" t="s">
        <v>86</v>
      </c>
      <c r="F41" s="111" t="s">
        <v>1034</v>
      </c>
      <c r="G41" s="111" t="s">
        <v>1035</v>
      </c>
      <c r="H41" s="95"/>
      <c r="I41" s="9"/>
      <c r="J41" s="9" t="s">
        <v>71</v>
      </c>
      <c r="K41" s="14"/>
      <c r="L41" s="14"/>
      <c r="M41" s="12"/>
      <c r="N41" s="9"/>
      <c r="O41" s="9"/>
      <c r="P41" s="9"/>
      <c r="Q41" s="38">
        <f>M41+X41-AG41-BB41</f>
        <v>0</v>
      </c>
      <c r="R41" s="12"/>
      <c r="S41" s="42"/>
      <c r="T41" s="15"/>
      <c r="U41" s="44"/>
      <c r="V41" s="15"/>
      <c r="W41" s="44"/>
      <c r="X41" s="15">
        <f>R41+T41+V41</f>
        <v>0</v>
      </c>
      <c r="Y41" s="15"/>
      <c r="Z41" s="44"/>
      <c r="AA41" s="15"/>
      <c r="AB41" s="44"/>
      <c r="AC41" s="15"/>
      <c r="AD41" s="44"/>
      <c r="AE41" s="15"/>
      <c r="AF41" s="44"/>
      <c r="AG41" s="15">
        <f>(Y41+AA41+AC41+AE41)</f>
        <v>0</v>
      </c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/>
      <c r="BA41" s="42"/>
      <c r="BB41" s="15">
        <f>AH41+AJ41+AL41+AN41+AP41+AR41+AT41+AV41+AX41+AZ41</f>
        <v>0</v>
      </c>
      <c r="BC41" s="15"/>
      <c r="BD41" s="44"/>
      <c r="BE41" s="15"/>
      <c r="BF41" s="44"/>
      <c r="BG41" s="15">
        <f>(BC41+BE41)</f>
        <v>0</v>
      </c>
    </row>
    <row r="42" spans="1:59" s="8" customFormat="1" ht="22.5" hidden="1" customHeight="1">
      <c r="A42" s="9"/>
      <c r="B42" s="16" t="s">
        <v>76</v>
      </c>
      <c r="C42" s="89" t="s">
        <v>59</v>
      </c>
      <c r="D42" s="109" t="s">
        <v>87</v>
      </c>
      <c r="E42" s="110" t="s">
        <v>88</v>
      </c>
      <c r="F42" s="111" t="s">
        <v>88</v>
      </c>
      <c r="G42" s="111" t="s">
        <v>1036</v>
      </c>
      <c r="H42" s="95"/>
      <c r="I42" s="9"/>
      <c r="J42" s="9" t="s">
        <v>71</v>
      </c>
      <c r="K42" s="14"/>
      <c r="L42" s="14"/>
      <c r="M42" s="12"/>
      <c r="N42" s="9"/>
      <c r="O42" s="9"/>
      <c r="P42" s="9"/>
      <c r="Q42" s="38">
        <f>M42+X42-AG42-BB42</f>
        <v>0</v>
      </c>
      <c r="R42" s="15"/>
      <c r="S42" s="42"/>
      <c r="T42" s="15"/>
      <c r="U42" s="44"/>
      <c r="V42" s="15"/>
      <c r="W42" s="44"/>
      <c r="X42" s="15">
        <f>R42+T42+V42</f>
        <v>0</v>
      </c>
      <c r="Y42" s="15"/>
      <c r="Z42" s="44"/>
      <c r="AA42" s="15"/>
      <c r="AB42" s="44"/>
      <c r="AC42" s="15"/>
      <c r="AD42" s="44"/>
      <c r="AE42" s="15"/>
      <c r="AF42" s="44"/>
      <c r="AG42" s="15">
        <f>(Y42+AA42+AC42+AE42)</f>
        <v>0</v>
      </c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42"/>
      <c r="BB42" s="15">
        <f>AH42+AJ42+AL42+AN42+AP42+AR42+AT42+AV42+AX42+AZ42</f>
        <v>0</v>
      </c>
      <c r="BC42" s="15"/>
      <c r="BD42" s="44"/>
      <c r="BE42" s="15"/>
      <c r="BF42" s="44"/>
      <c r="BG42" s="15">
        <f>(BC42+BE42)</f>
        <v>0</v>
      </c>
    </row>
    <row r="43" spans="1:59" s="8" customFormat="1" ht="22.5" hidden="1" customHeight="1">
      <c r="A43" s="9"/>
      <c r="B43" s="16" t="s">
        <v>34</v>
      </c>
      <c r="C43" s="89" t="s">
        <v>59</v>
      </c>
      <c r="D43" s="109" t="s">
        <v>89</v>
      </c>
      <c r="E43" s="110" t="s">
        <v>1037</v>
      </c>
      <c r="F43" s="111" t="s">
        <v>1038</v>
      </c>
      <c r="G43" s="111" t="s">
        <v>1039</v>
      </c>
      <c r="H43" s="95"/>
      <c r="I43" s="9"/>
      <c r="J43" s="9" t="s">
        <v>67</v>
      </c>
      <c r="K43" s="14"/>
      <c r="L43" s="14"/>
      <c r="M43" s="12">
        <v>1</v>
      </c>
      <c r="N43" s="9"/>
      <c r="O43" s="9"/>
      <c r="P43" s="9"/>
      <c r="Q43" s="38">
        <f>M43+X43-AG43-BB43</f>
        <v>1</v>
      </c>
      <c r="R43" s="12"/>
      <c r="S43" s="42"/>
      <c r="T43" s="15"/>
      <c r="U43" s="44"/>
      <c r="V43" s="15"/>
      <c r="W43" s="44"/>
      <c r="X43" s="15">
        <f>R43+T43+V43</f>
        <v>0</v>
      </c>
      <c r="Y43" s="15"/>
      <c r="Z43" s="44"/>
      <c r="AA43" s="15"/>
      <c r="AB43" s="44"/>
      <c r="AC43" s="15"/>
      <c r="AD43" s="44"/>
      <c r="AE43" s="15"/>
      <c r="AF43" s="44"/>
      <c r="AG43" s="15">
        <f>(Y43+AA43+AC43+AE43)</f>
        <v>0</v>
      </c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/>
      <c r="BA43" s="42"/>
      <c r="BB43" s="15">
        <f>AH43+AJ43+AL43+AN43+AP43+AR43+AT43+AV43+AX43+AZ43</f>
        <v>0</v>
      </c>
      <c r="BC43" s="15"/>
      <c r="BD43" s="44"/>
      <c r="BE43" s="15"/>
      <c r="BF43" s="44"/>
      <c r="BG43" s="15">
        <f>(BC43+BE43)</f>
        <v>0</v>
      </c>
    </row>
    <row r="44" spans="1:59" s="8" customFormat="1" ht="22.5" hidden="1" customHeight="1">
      <c r="A44" s="9"/>
      <c r="B44" s="16" t="s">
        <v>34</v>
      </c>
      <c r="C44" s="89" t="s">
        <v>59</v>
      </c>
      <c r="D44" s="109" t="s">
        <v>1040</v>
      </c>
      <c r="E44" s="110" t="s">
        <v>92</v>
      </c>
      <c r="F44" s="111" t="s">
        <v>1041</v>
      </c>
      <c r="G44" s="111" t="s">
        <v>1042</v>
      </c>
      <c r="H44" s="95"/>
      <c r="I44" s="9"/>
      <c r="J44" s="9" t="s">
        <v>67</v>
      </c>
      <c r="K44" s="14"/>
      <c r="L44" s="14"/>
      <c r="M44" s="12">
        <v>5000</v>
      </c>
      <c r="N44" s="9"/>
      <c r="O44" s="9"/>
      <c r="P44" s="9"/>
      <c r="Q44" s="38">
        <f>M44+X44-AG44-BB44</f>
        <v>5000</v>
      </c>
      <c r="R44" s="12"/>
      <c r="S44" s="42"/>
      <c r="T44" s="15"/>
      <c r="U44" s="44"/>
      <c r="V44" s="15"/>
      <c r="W44" s="44"/>
      <c r="X44" s="15">
        <f>R44+T44+V44</f>
        <v>0</v>
      </c>
      <c r="Y44" s="15"/>
      <c r="Z44" s="44"/>
      <c r="AA44" s="15"/>
      <c r="AB44" s="44"/>
      <c r="AC44" s="15"/>
      <c r="AD44" s="44"/>
      <c r="AE44" s="15"/>
      <c r="AF44" s="44"/>
      <c r="AG44" s="15">
        <f>(Y44+AA44+AC44+AE44)</f>
        <v>0</v>
      </c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42"/>
      <c r="BB44" s="15">
        <f>AH44+AJ44+AL44+AN44+AP44+AR44+AT44+AV44+AX44+AZ44</f>
        <v>0</v>
      </c>
      <c r="BC44" s="15"/>
      <c r="BD44" s="44"/>
      <c r="BE44" s="15"/>
      <c r="BF44" s="44"/>
      <c r="BG44" s="15">
        <f>(BC44+BE44)</f>
        <v>0</v>
      </c>
    </row>
    <row r="45" spans="1:59" s="8" customFormat="1" ht="22.5" hidden="1" customHeight="1">
      <c r="A45" s="9"/>
      <c r="B45" s="16" t="s">
        <v>34</v>
      </c>
      <c r="C45" s="89" t="s">
        <v>44</v>
      </c>
      <c r="D45" s="109" t="s">
        <v>93</v>
      </c>
      <c r="E45" s="110" t="s">
        <v>94</v>
      </c>
      <c r="F45" s="111" t="s">
        <v>1043</v>
      </c>
      <c r="G45" s="111" t="s">
        <v>1044</v>
      </c>
      <c r="H45" s="95"/>
      <c r="I45" s="9"/>
      <c r="J45" s="9" t="s">
        <v>95</v>
      </c>
      <c r="K45" s="14"/>
      <c r="L45" s="14"/>
      <c r="M45" s="12">
        <v>4050</v>
      </c>
      <c r="N45" s="9"/>
      <c r="O45" s="9"/>
      <c r="P45" s="9"/>
      <c r="Q45" s="38">
        <f>M45+X45-AG45-BB45</f>
        <v>4050</v>
      </c>
      <c r="R45" s="12"/>
      <c r="S45" s="42"/>
      <c r="T45" s="15"/>
      <c r="U45" s="44"/>
      <c r="V45" s="15"/>
      <c r="W45" s="44"/>
      <c r="X45" s="15">
        <f>R45+T45+V45</f>
        <v>0</v>
      </c>
      <c r="Y45" s="15"/>
      <c r="Z45" s="44"/>
      <c r="AA45" s="15"/>
      <c r="AB45" s="44"/>
      <c r="AC45" s="15"/>
      <c r="AD45" s="44"/>
      <c r="AE45" s="15"/>
      <c r="AF45" s="44"/>
      <c r="AG45" s="15">
        <f>(Y45+AA45+AC45+AE45)</f>
        <v>0</v>
      </c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/>
      <c r="BA45" s="42"/>
      <c r="BB45" s="15">
        <f>AH45+AJ45+AL45+AN45+AP45+AR45+AT45+AV45+AX45+AZ45</f>
        <v>0</v>
      </c>
      <c r="BC45" s="15"/>
      <c r="BD45" s="44"/>
      <c r="BE45" s="15"/>
      <c r="BF45" s="44"/>
      <c r="BG45" s="15">
        <f>(BC45+BE45)</f>
        <v>0</v>
      </c>
    </row>
    <row r="46" spans="1:59" s="8" customFormat="1" ht="22.5" hidden="1" customHeight="1">
      <c r="A46" s="9"/>
      <c r="B46" s="16" t="s">
        <v>34</v>
      </c>
      <c r="C46" s="89" t="s">
        <v>96</v>
      </c>
      <c r="D46" s="109" t="s">
        <v>97</v>
      </c>
      <c r="E46" s="110" t="s">
        <v>98</v>
      </c>
      <c r="F46" s="111" t="s">
        <v>1045</v>
      </c>
      <c r="G46" s="111" t="s">
        <v>1046</v>
      </c>
      <c r="H46" s="95"/>
      <c r="I46" s="9"/>
      <c r="J46" s="9" t="s">
        <v>95</v>
      </c>
      <c r="K46" s="14"/>
      <c r="L46" s="14"/>
      <c r="M46" s="12">
        <v>602</v>
      </c>
      <c r="N46" s="9"/>
      <c r="O46" s="9"/>
      <c r="P46" s="9"/>
      <c r="Q46" s="38">
        <f>M46+X46-AG46-BB46</f>
        <v>602</v>
      </c>
      <c r="R46" s="12"/>
      <c r="S46" s="42"/>
      <c r="T46" s="15"/>
      <c r="U46" s="44"/>
      <c r="V46" s="15"/>
      <c r="W46" s="44"/>
      <c r="X46" s="15">
        <f>R46+T46+V46</f>
        <v>0</v>
      </c>
      <c r="Y46" s="15"/>
      <c r="Z46" s="44"/>
      <c r="AA46" s="15"/>
      <c r="AB46" s="44"/>
      <c r="AC46" s="15"/>
      <c r="AD46" s="44"/>
      <c r="AE46" s="15"/>
      <c r="AF46" s="44"/>
      <c r="AG46" s="15">
        <f>(Y46+AA46+AC46+AE46)</f>
        <v>0</v>
      </c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/>
      <c r="BA46" s="42"/>
      <c r="BB46" s="15">
        <f>AH46+AJ46+AL46+AN46+AP46+AR46+AT46+AV46+AX46+AZ46</f>
        <v>0</v>
      </c>
      <c r="BC46" s="15"/>
      <c r="BD46" s="44"/>
      <c r="BE46" s="15"/>
      <c r="BF46" s="44"/>
      <c r="BG46" s="15">
        <f>(BC46+BE46)</f>
        <v>0</v>
      </c>
    </row>
    <row r="47" spans="1:59" s="8" customFormat="1" ht="22.5" hidden="1" customHeight="1">
      <c r="A47" s="9"/>
      <c r="B47" s="16" t="s">
        <v>34</v>
      </c>
      <c r="C47" s="89" t="s">
        <v>96</v>
      </c>
      <c r="D47" s="109" t="s">
        <v>99</v>
      </c>
      <c r="E47" s="110" t="s">
        <v>100</v>
      </c>
      <c r="F47" s="111" t="s">
        <v>1047</v>
      </c>
      <c r="G47" s="111" t="s">
        <v>1048</v>
      </c>
      <c r="H47" s="95"/>
      <c r="I47" s="9"/>
      <c r="J47" s="9" t="s">
        <v>67</v>
      </c>
      <c r="K47" s="14"/>
      <c r="L47" s="14"/>
      <c r="M47" s="12">
        <v>21150</v>
      </c>
      <c r="N47" s="9"/>
      <c r="O47" s="9"/>
      <c r="P47" s="9"/>
      <c r="Q47" s="38">
        <f>M47+X47-AG47-BB47</f>
        <v>21150</v>
      </c>
      <c r="R47" s="12"/>
      <c r="S47" s="42"/>
      <c r="T47" s="15"/>
      <c r="U47" s="44"/>
      <c r="V47" s="15"/>
      <c r="W47" s="44"/>
      <c r="X47" s="15">
        <f>R47+T47+V47</f>
        <v>0</v>
      </c>
      <c r="Y47" s="15"/>
      <c r="Z47" s="44"/>
      <c r="AA47" s="15"/>
      <c r="AB47" s="44"/>
      <c r="AC47" s="15"/>
      <c r="AD47" s="44"/>
      <c r="AE47" s="15"/>
      <c r="AF47" s="44"/>
      <c r="AG47" s="15">
        <f>(Y47+AA47+AC47+AE47)</f>
        <v>0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/>
      <c r="BA47" s="42"/>
      <c r="BB47" s="15">
        <f>AH47+AJ47+AL47+AN47+AP47+AR47+AT47+AV47+AX47+AZ47</f>
        <v>0</v>
      </c>
      <c r="BC47" s="15"/>
      <c r="BD47" s="44"/>
      <c r="BE47" s="15"/>
      <c r="BF47" s="44"/>
      <c r="BG47" s="15">
        <f>(BC47+BE47)</f>
        <v>0</v>
      </c>
    </row>
    <row r="48" spans="1:59" s="8" customFormat="1" ht="22.5" hidden="1" customHeight="1">
      <c r="A48" s="9"/>
      <c r="B48" s="16" t="s">
        <v>101</v>
      </c>
      <c r="C48" s="89" t="s">
        <v>48</v>
      </c>
      <c r="D48" s="109" t="s">
        <v>102</v>
      </c>
      <c r="E48" s="110" t="s">
        <v>103</v>
      </c>
      <c r="F48" s="111" t="s">
        <v>1049</v>
      </c>
      <c r="G48" s="111" t="s">
        <v>1050</v>
      </c>
      <c r="H48" s="95"/>
      <c r="I48" s="9"/>
      <c r="J48" s="9" t="s">
        <v>67</v>
      </c>
      <c r="K48" s="14"/>
      <c r="L48" s="14"/>
      <c r="M48" s="12">
        <v>1000</v>
      </c>
      <c r="N48" s="9"/>
      <c r="O48" s="9"/>
      <c r="P48" s="9"/>
      <c r="Q48" s="38">
        <f>M48+X48-AG48-BB48</f>
        <v>1000</v>
      </c>
      <c r="R48" s="12"/>
      <c r="S48" s="42"/>
      <c r="T48" s="15"/>
      <c r="U48" s="44"/>
      <c r="V48" s="15"/>
      <c r="W48" s="44"/>
      <c r="X48" s="15">
        <f>R48+T48+V48</f>
        <v>0</v>
      </c>
      <c r="Y48" s="15"/>
      <c r="Z48" s="44"/>
      <c r="AA48" s="15"/>
      <c r="AB48" s="44"/>
      <c r="AC48" s="15"/>
      <c r="AD48" s="44"/>
      <c r="AE48" s="15"/>
      <c r="AF48" s="44"/>
      <c r="AG48" s="15">
        <f>(Y48+AA48+AC48+AE48)</f>
        <v>0</v>
      </c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/>
      <c r="BA48" s="42"/>
      <c r="BB48" s="15">
        <f>AH48+AJ48+AL48+AN48+AP48+AR48+AT48+AV48+AX48+AZ48</f>
        <v>0</v>
      </c>
      <c r="BC48" s="15"/>
      <c r="BD48" s="44"/>
      <c r="BE48" s="15"/>
      <c r="BF48" s="44"/>
      <c r="BG48" s="15">
        <f>(BC48+BE48)</f>
        <v>0</v>
      </c>
    </row>
    <row r="49" spans="1:59" s="8" customFormat="1" ht="22.5" hidden="1" customHeight="1">
      <c r="A49" s="9"/>
      <c r="B49" s="16" t="s">
        <v>104</v>
      </c>
      <c r="C49" s="89" t="s">
        <v>44</v>
      </c>
      <c r="D49" s="109" t="s">
        <v>105</v>
      </c>
      <c r="E49" s="110" t="s">
        <v>106</v>
      </c>
      <c r="F49" s="111" t="s">
        <v>1051</v>
      </c>
      <c r="G49" s="111" t="s">
        <v>1052</v>
      </c>
      <c r="H49" s="95"/>
      <c r="I49" s="9"/>
      <c r="J49" s="9" t="s">
        <v>107</v>
      </c>
      <c r="K49" s="14"/>
      <c r="L49" s="14"/>
      <c r="M49" s="12"/>
      <c r="N49" s="9"/>
      <c r="O49" s="9"/>
      <c r="P49" s="9"/>
      <c r="Q49" s="38">
        <f>M49+X49-AG49-BB49</f>
        <v>0</v>
      </c>
      <c r="R49" s="12"/>
      <c r="S49" s="42"/>
      <c r="T49" s="15"/>
      <c r="U49" s="44"/>
      <c r="V49" s="15"/>
      <c r="W49" s="44"/>
      <c r="X49" s="15">
        <f>R49+T49+V49</f>
        <v>0</v>
      </c>
      <c r="Y49" s="15"/>
      <c r="Z49" s="44"/>
      <c r="AA49" s="15"/>
      <c r="AB49" s="44"/>
      <c r="AC49" s="15"/>
      <c r="AD49" s="44"/>
      <c r="AE49" s="15"/>
      <c r="AF49" s="44"/>
      <c r="AG49" s="15">
        <f>(Y49+AA49+AC49+AE49)</f>
        <v>0</v>
      </c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/>
      <c r="BA49" s="42"/>
      <c r="BB49" s="15">
        <f>AH49+AJ49+AL49+AN49+AP49+AR49+AT49+AV49+AX49+AZ49</f>
        <v>0</v>
      </c>
      <c r="BC49" s="15"/>
      <c r="BD49" s="44"/>
      <c r="BE49" s="15"/>
      <c r="BF49" s="44"/>
      <c r="BG49" s="15">
        <f>(BC49+BE49)</f>
        <v>0</v>
      </c>
    </row>
    <row r="50" spans="1:59" s="8" customFormat="1" ht="22.5" hidden="1" customHeight="1">
      <c r="A50" s="9"/>
      <c r="B50" s="16" t="s">
        <v>104</v>
      </c>
      <c r="C50" s="89" t="s">
        <v>48</v>
      </c>
      <c r="D50" s="109" t="s">
        <v>105</v>
      </c>
      <c r="E50" s="110" t="s">
        <v>108</v>
      </c>
      <c r="F50" s="111" t="s">
        <v>1053</v>
      </c>
      <c r="G50" s="111" t="s">
        <v>1054</v>
      </c>
      <c r="H50" s="95"/>
      <c r="I50" s="9"/>
      <c r="J50" s="9" t="s">
        <v>107</v>
      </c>
      <c r="K50" s="14"/>
      <c r="L50" s="14"/>
      <c r="M50" s="12"/>
      <c r="N50" s="9"/>
      <c r="O50" s="9"/>
      <c r="P50" s="9"/>
      <c r="Q50" s="38">
        <f>M50+X50-AG50-BB50</f>
        <v>0</v>
      </c>
      <c r="R50" s="12"/>
      <c r="S50" s="42"/>
      <c r="T50" s="15"/>
      <c r="U50" s="44"/>
      <c r="V50" s="15"/>
      <c r="W50" s="44"/>
      <c r="X50" s="15">
        <f>R50+T50+V50</f>
        <v>0</v>
      </c>
      <c r="Y50" s="15"/>
      <c r="Z50" s="44"/>
      <c r="AA50" s="15"/>
      <c r="AB50" s="44"/>
      <c r="AC50" s="15"/>
      <c r="AD50" s="44"/>
      <c r="AE50" s="15"/>
      <c r="AF50" s="44"/>
      <c r="AG50" s="15">
        <f>(Y50+AA50+AC50+AE50)</f>
        <v>0</v>
      </c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/>
      <c r="BA50" s="42"/>
      <c r="BB50" s="15">
        <f>AH50+AJ50+AL50+AN50+AP50+AR50+AT50+AV50+AX50+AZ50</f>
        <v>0</v>
      </c>
      <c r="BC50" s="15"/>
      <c r="BD50" s="44"/>
      <c r="BE50" s="15"/>
      <c r="BF50" s="44"/>
      <c r="BG50" s="15">
        <f>(BC50+BE50)</f>
        <v>0</v>
      </c>
    </row>
    <row r="51" spans="1:59" s="8" customFormat="1" ht="22.5" hidden="1" customHeight="1">
      <c r="A51" s="9"/>
      <c r="B51" s="16" t="s">
        <v>104</v>
      </c>
      <c r="C51" s="89" t="s">
        <v>52</v>
      </c>
      <c r="D51" s="109" t="s">
        <v>109</v>
      </c>
      <c r="E51" s="110" t="s">
        <v>110</v>
      </c>
      <c r="F51" s="111" t="s">
        <v>1055</v>
      </c>
      <c r="G51" s="111" t="s">
        <v>1056</v>
      </c>
      <c r="H51" s="95"/>
      <c r="I51" s="9"/>
      <c r="J51" s="9" t="s">
        <v>107</v>
      </c>
      <c r="K51" s="14"/>
      <c r="L51" s="14"/>
      <c r="M51" s="12">
        <v>100</v>
      </c>
      <c r="N51" s="9"/>
      <c r="O51" s="9"/>
      <c r="P51" s="9"/>
      <c r="Q51" s="38">
        <f>M51+X51-AG51-BB51</f>
        <v>100</v>
      </c>
      <c r="R51" s="12"/>
      <c r="S51" s="42"/>
      <c r="T51" s="15"/>
      <c r="U51" s="44"/>
      <c r="V51" s="15"/>
      <c r="W51" s="44"/>
      <c r="X51" s="15">
        <f>R51+T51+V51</f>
        <v>0</v>
      </c>
      <c r="Y51" s="15"/>
      <c r="Z51" s="44"/>
      <c r="AA51" s="15"/>
      <c r="AB51" s="44"/>
      <c r="AC51" s="15"/>
      <c r="AD51" s="44"/>
      <c r="AE51" s="15"/>
      <c r="AF51" s="44"/>
      <c r="AG51" s="15">
        <f>(Y51+AA51+AC51+AE51)</f>
        <v>0</v>
      </c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/>
      <c r="BA51" s="42"/>
      <c r="BB51" s="15">
        <f>AH51+AJ51+AL51+AN51+AP51+AR51+AT51+AV51+AX51+AZ51</f>
        <v>0</v>
      </c>
      <c r="BC51" s="15"/>
      <c r="BD51" s="44"/>
      <c r="BE51" s="15"/>
      <c r="BF51" s="44"/>
      <c r="BG51" s="15">
        <f>(BC51+BE51)</f>
        <v>0</v>
      </c>
    </row>
    <row r="52" spans="1:59" s="8" customFormat="1" ht="22.5" hidden="1" customHeight="1">
      <c r="A52" s="9"/>
      <c r="B52" s="16" t="s">
        <v>104</v>
      </c>
      <c r="C52" s="89" t="s">
        <v>50</v>
      </c>
      <c r="D52" s="109" t="s">
        <v>105</v>
      </c>
      <c r="E52" s="110" t="s">
        <v>108</v>
      </c>
      <c r="F52" s="111" t="s">
        <v>1057</v>
      </c>
      <c r="G52" s="111" t="s">
        <v>1058</v>
      </c>
      <c r="H52" s="95"/>
      <c r="I52" s="9"/>
      <c r="J52" s="9" t="s">
        <v>107</v>
      </c>
      <c r="K52" s="14"/>
      <c r="L52" s="14"/>
      <c r="M52" s="12">
        <v>100</v>
      </c>
      <c r="N52" s="9"/>
      <c r="O52" s="9"/>
      <c r="P52" s="9"/>
      <c r="Q52" s="38">
        <f>M52+X52-AG52-BB52</f>
        <v>100</v>
      </c>
      <c r="R52" s="12"/>
      <c r="S52" s="42"/>
      <c r="T52" s="15"/>
      <c r="U52" s="44"/>
      <c r="V52" s="15"/>
      <c r="W52" s="44"/>
      <c r="X52" s="15">
        <f>R52+T52+V52</f>
        <v>0</v>
      </c>
      <c r="Y52" s="15"/>
      <c r="Z52" s="44"/>
      <c r="AA52" s="15"/>
      <c r="AB52" s="44"/>
      <c r="AC52" s="15"/>
      <c r="AD52" s="44"/>
      <c r="AE52" s="15"/>
      <c r="AF52" s="44"/>
      <c r="AG52" s="15">
        <f>(Y52+AA52+AC52+AE52)</f>
        <v>0</v>
      </c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/>
      <c r="BA52" s="42"/>
      <c r="BB52" s="15"/>
      <c r="BC52" s="15"/>
      <c r="BD52" s="44"/>
      <c r="BE52" s="15"/>
      <c r="BF52" s="44"/>
      <c r="BG52" s="15"/>
    </row>
    <row r="53" spans="1:59" s="8" customFormat="1" ht="22.5" hidden="1" customHeight="1">
      <c r="A53" s="9"/>
      <c r="B53" s="16" t="s">
        <v>111</v>
      </c>
      <c r="C53" s="89" t="s">
        <v>59</v>
      </c>
      <c r="D53" s="109" t="s">
        <v>112</v>
      </c>
      <c r="E53" s="110" t="s">
        <v>113</v>
      </c>
      <c r="F53" s="111" t="s">
        <v>1059</v>
      </c>
      <c r="G53" s="111" t="s">
        <v>1060</v>
      </c>
      <c r="H53" s="95"/>
      <c r="I53" s="9"/>
      <c r="J53" s="9" t="s">
        <v>114</v>
      </c>
      <c r="K53" s="14"/>
      <c r="L53" s="14"/>
      <c r="M53" s="12"/>
      <c r="N53" s="9"/>
      <c r="O53" s="9"/>
      <c r="P53" s="9"/>
      <c r="Q53" s="38">
        <f>M53+X53-AG53-BB53</f>
        <v>0</v>
      </c>
      <c r="R53" s="12"/>
      <c r="S53" s="42"/>
      <c r="T53" s="15"/>
      <c r="U53" s="44"/>
      <c r="V53" s="15"/>
      <c r="W53" s="44"/>
      <c r="X53" s="15">
        <f>R53+T53+V53</f>
        <v>0</v>
      </c>
      <c r="Y53" s="15"/>
      <c r="Z53" s="44"/>
      <c r="AA53" s="15"/>
      <c r="AB53" s="44"/>
      <c r="AC53" s="15"/>
      <c r="AD53" s="44"/>
      <c r="AE53" s="15"/>
      <c r="AF53" s="44"/>
      <c r="AG53" s="15">
        <f>(Y53+AA53+AC53+AE53)</f>
        <v>0</v>
      </c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/>
      <c r="BA53" s="42"/>
      <c r="BB53" s="15">
        <f>AH53+AJ53+AL53+AN53+AP53+AR53+AT53+AV53+AX53+AZ53</f>
        <v>0</v>
      </c>
      <c r="BC53" s="15"/>
      <c r="BD53" s="44"/>
      <c r="BE53" s="15"/>
      <c r="BF53" s="44"/>
      <c r="BG53" s="15">
        <f>(BC53+BE53)</f>
        <v>0</v>
      </c>
    </row>
    <row r="54" spans="1:59" s="8" customFormat="1" ht="22.5" hidden="1" customHeight="1">
      <c r="A54" s="9"/>
      <c r="B54" s="16" t="s">
        <v>111</v>
      </c>
      <c r="C54" s="89" t="s">
        <v>50</v>
      </c>
      <c r="D54" s="109" t="s">
        <v>112</v>
      </c>
      <c r="E54" s="110" t="s">
        <v>115</v>
      </c>
      <c r="F54" s="111" t="s">
        <v>1061</v>
      </c>
      <c r="G54" s="111" t="s">
        <v>1062</v>
      </c>
      <c r="H54" s="95"/>
      <c r="I54" s="9"/>
      <c r="J54" s="9" t="s">
        <v>116</v>
      </c>
      <c r="K54" s="14"/>
      <c r="L54" s="14"/>
      <c r="M54" s="12"/>
      <c r="N54" s="9"/>
      <c r="O54" s="9"/>
      <c r="P54" s="9"/>
      <c r="Q54" s="38">
        <f>M54+X54-AG54-BB54</f>
        <v>0</v>
      </c>
      <c r="R54" s="12"/>
      <c r="S54" s="42"/>
      <c r="T54" s="15"/>
      <c r="U54" s="44"/>
      <c r="V54" s="15"/>
      <c r="W54" s="44"/>
      <c r="X54" s="15">
        <f>R54+T54+V54</f>
        <v>0</v>
      </c>
      <c r="Y54" s="15"/>
      <c r="Z54" s="44"/>
      <c r="AA54" s="15"/>
      <c r="AB54" s="44"/>
      <c r="AC54" s="15"/>
      <c r="AD54" s="44"/>
      <c r="AE54" s="15"/>
      <c r="AF54" s="44"/>
      <c r="AG54" s="15">
        <f>(Y54+AA54+AC54+AE54)</f>
        <v>0</v>
      </c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/>
      <c r="BA54" s="42"/>
      <c r="BB54" s="15">
        <f>AH54+AJ54+AL54+AN54+AP54+AR54+AT54+AV54+AX54+AZ54</f>
        <v>0</v>
      </c>
      <c r="BC54" s="15"/>
      <c r="BD54" s="44"/>
      <c r="BE54" s="15"/>
      <c r="BF54" s="44"/>
      <c r="BG54" s="15">
        <f>(BC54+BE54)</f>
        <v>0</v>
      </c>
    </row>
    <row r="55" spans="1:59" s="8" customFormat="1" ht="22.5" hidden="1" customHeight="1">
      <c r="A55" s="9"/>
      <c r="B55" s="16" t="s">
        <v>111</v>
      </c>
      <c r="C55" s="89" t="s">
        <v>52</v>
      </c>
      <c r="D55" s="109" t="s">
        <v>117</v>
      </c>
      <c r="E55" s="110" t="s">
        <v>118</v>
      </c>
      <c r="F55" s="111" t="s">
        <v>1063</v>
      </c>
      <c r="G55" s="111" t="s">
        <v>1064</v>
      </c>
      <c r="H55" s="95"/>
      <c r="I55" s="9"/>
      <c r="J55" s="9" t="s">
        <v>119</v>
      </c>
      <c r="K55" s="14"/>
      <c r="L55" s="14"/>
      <c r="M55" s="12">
        <v>248</v>
      </c>
      <c r="N55" s="9"/>
      <c r="O55" s="9"/>
      <c r="P55" s="9"/>
      <c r="Q55" s="38">
        <f>M55+X55-AG55-BB55</f>
        <v>248</v>
      </c>
      <c r="R55" s="12"/>
      <c r="S55" s="42"/>
      <c r="T55" s="15"/>
      <c r="U55" s="44"/>
      <c r="V55" s="15"/>
      <c r="W55" s="44"/>
      <c r="X55" s="15">
        <f>R55+T55+V55</f>
        <v>0</v>
      </c>
      <c r="Y55" s="15"/>
      <c r="Z55" s="44"/>
      <c r="AA55" s="15"/>
      <c r="AB55" s="44"/>
      <c r="AC55" s="15"/>
      <c r="AD55" s="44"/>
      <c r="AE55" s="15"/>
      <c r="AF55" s="44"/>
      <c r="AG55" s="15">
        <f>(Y55+AA55+AC55+AE55)</f>
        <v>0</v>
      </c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/>
      <c r="BA55" s="42"/>
      <c r="BB55" s="15">
        <f>AH55+AJ55+AL55+AN55+AP55+AR55+AT55+AV55+AX55+AZ55</f>
        <v>0</v>
      </c>
      <c r="BC55" s="15"/>
      <c r="BD55" s="44"/>
      <c r="BE55" s="15"/>
      <c r="BF55" s="44"/>
      <c r="BG55" s="15">
        <f>(BC55+BE55)</f>
        <v>0</v>
      </c>
    </row>
    <row r="56" spans="1:59" s="8" customFormat="1" ht="22.5" hidden="1" customHeight="1">
      <c r="A56" s="9"/>
      <c r="B56" s="16" t="s">
        <v>120</v>
      </c>
      <c r="C56" s="89" t="s">
        <v>59</v>
      </c>
      <c r="D56" s="109" t="s">
        <v>121</v>
      </c>
      <c r="E56" s="110" t="s">
        <v>122</v>
      </c>
      <c r="F56" s="111" t="s">
        <v>1065</v>
      </c>
      <c r="G56" s="111" t="s">
        <v>1066</v>
      </c>
      <c r="H56" s="95"/>
      <c r="I56" s="9"/>
      <c r="J56" s="9" t="s">
        <v>123</v>
      </c>
      <c r="K56" s="14"/>
      <c r="L56" s="14"/>
      <c r="M56" s="12">
        <v>1</v>
      </c>
      <c r="N56" s="9"/>
      <c r="O56" s="9"/>
      <c r="P56" s="9"/>
      <c r="Q56" s="38">
        <f>M56+X56-AG56-BB56</f>
        <v>1</v>
      </c>
      <c r="R56" s="12"/>
      <c r="S56" s="42"/>
      <c r="T56" s="15"/>
      <c r="U56" s="44"/>
      <c r="V56" s="15"/>
      <c r="W56" s="44"/>
      <c r="X56" s="15">
        <f>R56+T56+V56</f>
        <v>0</v>
      </c>
      <c r="Y56" s="15"/>
      <c r="Z56" s="44"/>
      <c r="AA56" s="15"/>
      <c r="AB56" s="44"/>
      <c r="AC56" s="15"/>
      <c r="AD56" s="44"/>
      <c r="AE56" s="15"/>
      <c r="AF56" s="44"/>
      <c r="AG56" s="15">
        <f>(Y56+AA56+AC56+AE56)</f>
        <v>0</v>
      </c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/>
      <c r="BA56" s="42"/>
      <c r="BB56" s="15">
        <f>AH56+AJ56+AL56+AN56+AP56+AR56+AT56+AV56+AX56+AZ56</f>
        <v>0</v>
      </c>
      <c r="BC56" s="15"/>
      <c r="BD56" s="44"/>
      <c r="BE56" s="15"/>
      <c r="BF56" s="44"/>
      <c r="BG56" s="15">
        <f>(BC56+BE56)</f>
        <v>0</v>
      </c>
    </row>
    <row r="57" spans="1:59" s="8" customFormat="1" ht="22.5" hidden="1" customHeight="1">
      <c r="A57" s="9"/>
      <c r="B57" s="16" t="s">
        <v>120</v>
      </c>
      <c r="C57" s="89" t="s">
        <v>59</v>
      </c>
      <c r="D57" s="109" t="s">
        <v>124</v>
      </c>
      <c r="E57" s="110" t="s">
        <v>125</v>
      </c>
      <c r="F57" s="111" t="s">
        <v>1067</v>
      </c>
      <c r="G57" s="111" t="s">
        <v>1068</v>
      </c>
      <c r="H57" s="95"/>
      <c r="I57" s="9"/>
      <c r="J57" s="9" t="s">
        <v>67</v>
      </c>
      <c r="K57" s="14"/>
      <c r="L57" s="14"/>
      <c r="M57" s="12">
        <v>1</v>
      </c>
      <c r="N57" s="9"/>
      <c r="O57" s="9"/>
      <c r="P57" s="9"/>
      <c r="Q57" s="38">
        <f>M57+X57-AG57-BB57</f>
        <v>1</v>
      </c>
      <c r="R57" s="12"/>
      <c r="S57" s="42"/>
      <c r="T57" s="15"/>
      <c r="U57" s="44"/>
      <c r="V57" s="15"/>
      <c r="W57" s="44"/>
      <c r="X57" s="15">
        <f>R57+T57+V57</f>
        <v>0</v>
      </c>
      <c r="Y57" s="15"/>
      <c r="Z57" s="44"/>
      <c r="AA57" s="15"/>
      <c r="AB57" s="44"/>
      <c r="AC57" s="15"/>
      <c r="AD57" s="44"/>
      <c r="AE57" s="15"/>
      <c r="AF57" s="44"/>
      <c r="AG57" s="15">
        <f>(Y57+AA57+AC57+AE57)</f>
        <v>0</v>
      </c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/>
      <c r="BA57" s="42"/>
      <c r="BB57" s="15">
        <f>AH57+AJ57+AL57+AN57+AP57+AR57+AT57+AV57+AX57+AZ57</f>
        <v>0</v>
      </c>
      <c r="BC57" s="15"/>
      <c r="BD57" s="44"/>
      <c r="BE57" s="15"/>
      <c r="BF57" s="44"/>
      <c r="BG57" s="15">
        <f>(BC57+BE57)</f>
        <v>0</v>
      </c>
    </row>
    <row r="58" spans="1:59" s="8" customFormat="1" ht="22.5" hidden="1" customHeight="1">
      <c r="A58" s="9"/>
      <c r="B58" s="16" t="s">
        <v>120</v>
      </c>
      <c r="C58" s="89" t="s">
        <v>50</v>
      </c>
      <c r="D58" s="109" t="s">
        <v>126</v>
      </c>
      <c r="E58" s="110" t="s">
        <v>127</v>
      </c>
      <c r="F58" s="111" t="s">
        <v>1069</v>
      </c>
      <c r="G58" s="111" t="s">
        <v>1070</v>
      </c>
      <c r="H58" s="95"/>
      <c r="I58" s="9"/>
      <c r="J58" s="9" t="s">
        <v>128</v>
      </c>
      <c r="K58" s="14"/>
      <c r="L58" s="14"/>
      <c r="M58" s="12"/>
      <c r="N58" s="9"/>
      <c r="O58" s="9"/>
      <c r="P58" s="9"/>
      <c r="Q58" s="38">
        <f>M58+X58-AG58-BB58</f>
        <v>0</v>
      </c>
      <c r="R58" s="12"/>
      <c r="S58" s="42"/>
      <c r="T58" s="15"/>
      <c r="U58" s="44"/>
      <c r="V58" s="15"/>
      <c r="W58" s="44"/>
      <c r="X58" s="15">
        <f>R58+T58+V58</f>
        <v>0</v>
      </c>
      <c r="Y58" s="15"/>
      <c r="Z58" s="44"/>
      <c r="AA58" s="15"/>
      <c r="AB58" s="44"/>
      <c r="AC58" s="15"/>
      <c r="AD58" s="44"/>
      <c r="AE58" s="15"/>
      <c r="AF58" s="44"/>
      <c r="AG58" s="15">
        <f>(Y58+AA58+AC58+AE58)</f>
        <v>0</v>
      </c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/>
      <c r="BA58" s="42"/>
      <c r="BB58" s="15">
        <f>AH58+AJ58+AL58+AN58+AP58+AR58+AT58+AV58+AX58+AZ58</f>
        <v>0</v>
      </c>
      <c r="BC58" s="15"/>
      <c r="BD58" s="44"/>
      <c r="BE58" s="15"/>
      <c r="BF58" s="44"/>
      <c r="BG58" s="15">
        <f>(BC58+BE58)</f>
        <v>0</v>
      </c>
    </row>
    <row r="59" spans="1:59" s="8" customFormat="1" ht="22.5" hidden="1" customHeight="1">
      <c r="A59" s="9"/>
      <c r="B59" s="16" t="s">
        <v>129</v>
      </c>
      <c r="C59" s="89" t="s">
        <v>44</v>
      </c>
      <c r="D59" s="109" t="s">
        <v>130</v>
      </c>
      <c r="E59" s="110"/>
      <c r="F59" s="111" t="s">
        <v>1071</v>
      </c>
      <c r="G59" s="111" t="s">
        <v>1072</v>
      </c>
      <c r="H59" s="95"/>
      <c r="I59" s="9"/>
      <c r="J59" s="9" t="s">
        <v>131</v>
      </c>
      <c r="K59" s="14"/>
      <c r="L59" s="14"/>
      <c r="M59" s="12"/>
      <c r="N59" s="9"/>
      <c r="O59" s="9"/>
      <c r="P59" s="9"/>
      <c r="Q59" s="38">
        <f>M59+X59-AG59-BB59</f>
        <v>0</v>
      </c>
      <c r="R59" s="12"/>
      <c r="S59" s="42"/>
      <c r="T59" s="15"/>
      <c r="U59" s="44"/>
      <c r="V59" s="15"/>
      <c r="W59" s="44"/>
      <c r="X59" s="15">
        <f>R59+T59+V59</f>
        <v>0</v>
      </c>
      <c r="Y59" s="15"/>
      <c r="Z59" s="44"/>
      <c r="AA59" s="15"/>
      <c r="AB59" s="44"/>
      <c r="AC59" s="15"/>
      <c r="AD59" s="44"/>
      <c r="AE59" s="15"/>
      <c r="AF59" s="44"/>
      <c r="AG59" s="15">
        <f>(Y59+AA59+AC59+AE59)</f>
        <v>0</v>
      </c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/>
      <c r="BA59" s="42"/>
      <c r="BB59" s="15">
        <f>AH59+AJ59+AL59+AN59+AP59+AR59+AT59+AV59+AX59+AZ59</f>
        <v>0</v>
      </c>
      <c r="BC59" s="15"/>
      <c r="BD59" s="44"/>
      <c r="BE59" s="15"/>
      <c r="BF59" s="44"/>
      <c r="BG59" s="15">
        <f>(BC59+BE59)</f>
        <v>0</v>
      </c>
    </row>
    <row r="60" spans="1:59" s="8" customFormat="1" ht="22.5" hidden="1" customHeight="1">
      <c r="A60" s="9"/>
      <c r="B60" s="16" t="s">
        <v>129</v>
      </c>
      <c r="C60" s="89" t="s">
        <v>132</v>
      </c>
      <c r="D60" s="109" t="s">
        <v>133</v>
      </c>
      <c r="E60" s="110" t="s">
        <v>1073</v>
      </c>
      <c r="F60" s="111" t="s">
        <v>1074</v>
      </c>
      <c r="G60" s="111" t="s">
        <v>1075</v>
      </c>
      <c r="H60" s="95"/>
      <c r="I60" s="9"/>
      <c r="J60" s="9" t="s">
        <v>67</v>
      </c>
      <c r="K60" s="14"/>
      <c r="L60" s="14"/>
      <c r="M60" s="12">
        <v>176</v>
      </c>
      <c r="N60" s="9"/>
      <c r="O60" s="9"/>
      <c r="P60" s="9"/>
      <c r="Q60" s="38">
        <f>M60+X60-AG60-BB60</f>
        <v>176</v>
      </c>
      <c r="R60" s="12"/>
      <c r="S60" s="42"/>
      <c r="T60" s="15"/>
      <c r="U60" s="44"/>
      <c r="V60" s="15"/>
      <c r="W60" s="44"/>
      <c r="X60" s="15">
        <f>R60+T60+V60</f>
        <v>0</v>
      </c>
      <c r="Y60" s="15"/>
      <c r="Z60" s="44"/>
      <c r="AA60" s="15"/>
      <c r="AB60" s="44"/>
      <c r="AC60" s="15"/>
      <c r="AD60" s="44"/>
      <c r="AE60" s="15"/>
      <c r="AF60" s="44"/>
      <c r="AG60" s="15">
        <f>(Y60+AA60+AC60+AE60)</f>
        <v>0</v>
      </c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/>
      <c r="BA60" s="42"/>
      <c r="BB60" s="15">
        <f>AH60+AJ60+AL60+AN60+AP60+AR60+AT60+AV60+AX60+AZ60</f>
        <v>0</v>
      </c>
      <c r="BC60" s="15"/>
      <c r="BD60" s="44"/>
      <c r="BE60" s="15"/>
      <c r="BF60" s="44"/>
      <c r="BG60" s="15">
        <f>(BC60+BE60)</f>
        <v>0</v>
      </c>
    </row>
    <row r="61" spans="1:59" s="8" customFormat="1" ht="22.5" hidden="1" customHeight="1">
      <c r="A61" s="9"/>
      <c r="B61" s="16" t="s">
        <v>129</v>
      </c>
      <c r="C61" s="89" t="s">
        <v>48</v>
      </c>
      <c r="D61" s="109" t="s">
        <v>130</v>
      </c>
      <c r="E61" s="110" t="s">
        <v>135</v>
      </c>
      <c r="F61" s="111" t="s">
        <v>1076</v>
      </c>
      <c r="G61" s="111" t="s">
        <v>1077</v>
      </c>
      <c r="H61" s="95"/>
      <c r="I61" s="9"/>
      <c r="J61" s="9" t="s">
        <v>131</v>
      </c>
      <c r="K61" s="14"/>
      <c r="L61" s="14"/>
      <c r="M61" s="12"/>
      <c r="N61" s="9"/>
      <c r="O61" s="9"/>
      <c r="P61" s="9"/>
      <c r="Q61" s="38">
        <f>M61+X61-AG61-BB61</f>
        <v>0</v>
      </c>
      <c r="R61" s="12"/>
      <c r="S61" s="42"/>
      <c r="T61" s="15"/>
      <c r="U61" s="44"/>
      <c r="V61" s="15"/>
      <c r="W61" s="44"/>
      <c r="X61" s="15">
        <f>R61+T61+V61</f>
        <v>0</v>
      </c>
      <c r="Y61" s="15"/>
      <c r="Z61" s="44"/>
      <c r="AA61" s="15"/>
      <c r="AB61" s="44"/>
      <c r="AC61" s="15"/>
      <c r="AD61" s="44"/>
      <c r="AE61" s="15"/>
      <c r="AF61" s="44"/>
      <c r="AG61" s="15">
        <f>(Y61+AA61+AC61+AE61)</f>
        <v>0</v>
      </c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/>
      <c r="BA61" s="42"/>
      <c r="BB61" s="15">
        <f>AH61+AJ61+AL61+AN61+AP61+AR61+AT61+AV61+AX61+AZ61</f>
        <v>0</v>
      </c>
      <c r="BC61" s="15"/>
      <c r="BD61" s="44"/>
      <c r="BE61" s="15"/>
      <c r="BF61" s="44"/>
      <c r="BG61" s="15">
        <f>(BC61+BE61)</f>
        <v>0</v>
      </c>
    </row>
    <row r="62" spans="1:59" s="8" customFormat="1" ht="22.5" hidden="1" customHeight="1">
      <c r="A62" s="9"/>
      <c r="B62" s="16" t="s">
        <v>129</v>
      </c>
      <c r="C62" s="89" t="s">
        <v>48</v>
      </c>
      <c r="D62" s="109" t="s">
        <v>130</v>
      </c>
      <c r="E62" s="110" t="s">
        <v>1078</v>
      </c>
      <c r="F62" s="111" t="s">
        <v>1079</v>
      </c>
      <c r="G62" s="111" t="s">
        <v>1080</v>
      </c>
      <c r="H62" s="95"/>
      <c r="I62" s="9"/>
      <c r="J62" s="9" t="s">
        <v>131</v>
      </c>
      <c r="K62" s="14"/>
      <c r="L62" s="14"/>
      <c r="M62" s="12">
        <v>1300</v>
      </c>
      <c r="N62" s="9"/>
      <c r="O62" s="9"/>
      <c r="P62" s="9"/>
      <c r="Q62" s="38">
        <f>M62+X62-AG62-BB62</f>
        <v>1300</v>
      </c>
      <c r="R62" s="12"/>
      <c r="S62" s="42"/>
      <c r="T62" s="15"/>
      <c r="U62" s="44"/>
      <c r="V62" s="15"/>
      <c r="W62" s="44"/>
      <c r="X62" s="15">
        <f>R62+T62+V62</f>
        <v>0</v>
      </c>
      <c r="Y62" s="15"/>
      <c r="Z62" s="44"/>
      <c r="AA62" s="15"/>
      <c r="AB62" s="44"/>
      <c r="AC62" s="15"/>
      <c r="AD62" s="44"/>
      <c r="AE62" s="15"/>
      <c r="AF62" s="44"/>
      <c r="AG62" s="15">
        <f>(Y62+AA62+AC62+AE62)</f>
        <v>0</v>
      </c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/>
      <c r="BA62" s="42"/>
      <c r="BB62" s="15">
        <f>AH62+AJ62+AL62+AN62+AP62+AR62+AT62+AV62+AX62+AZ62</f>
        <v>0</v>
      </c>
      <c r="BC62" s="15"/>
      <c r="BD62" s="44"/>
      <c r="BE62" s="15"/>
      <c r="BF62" s="44"/>
      <c r="BG62" s="15">
        <f>(BC62+BE62)</f>
        <v>0</v>
      </c>
    </row>
    <row r="63" spans="1:59" s="8" customFormat="1" ht="22.5" hidden="1" customHeight="1">
      <c r="A63" s="9"/>
      <c r="B63" s="16" t="s">
        <v>129</v>
      </c>
      <c r="C63" s="89" t="s">
        <v>50</v>
      </c>
      <c r="D63" s="109" t="s">
        <v>130</v>
      </c>
      <c r="E63" s="110"/>
      <c r="F63" s="111" t="s">
        <v>1081</v>
      </c>
      <c r="G63" s="111" t="s">
        <v>1082</v>
      </c>
      <c r="H63" s="95"/>
      <c r="I63" s="9"/>
      <c r="J63" s="9" t="s">
        <v>67</v>
      </c>
      <c r="K63" s="14"/>
      <c r="L63" s="14"/>
      <c r="M63" s="12"/>
      <c r="N63" s="9"/>
      <c r="O63" s="9"/>
      <c r="P63" s="9"/>
      <c r="Q63" s="38">
        <f>M63+X63-AG63-BB63</f>
        <v>0</v>
      </c>
      <c r="R63" s="12"/>
      <c r="S63" s="42"/>
      <c r="T63" s="15"/>
      <c r="U63" s="44"/>
      <c r="V63" s="15"/>
      <c r="W63" s="44"/>
      <c r="X63" s="15">
        <f>R63+T63+V63</f>
        <v>0</v>
      </c>
      <c r="Y63" s="15"/>
      <c r="Z63" s="44"/>
      <c r="AA63" s="15"/>
      <c r="AB63" s="44"/>
      <c r="AC63" s="15"/>
      <c r="AD63" s="44"/>
      <c r="AE63" s="15"/>
      <c r="AF63" s="44"/>
      <c r="AG63" s="15">
        <f>(Y63+AA63+AC63+AE63)</f>
        <v>0</v>
      </c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/>
      <c r="BA63" s="42"/>
      <c r="BB63" s="15">
        <f>AH63+AJ63+AL63+AN63+AP63+AR63+AT63+AV63+AX63+AZ63</f>
        <v>0</v>
      </c>
      <c r="BC63" s="15"/>
      <c r="BD63" s="44"/>
      <c r="BE63" s="15"/>
      <c r="BF63" s="44"/>
      <c r="BG63" s="15">
        <f>(BC63+BE63)</f>
        <v>0</v>
      </c>
    </row>
    <row r="64" spans="1:59" s="8" customFormat="1" ht="22.5" hidden="1" customHeight="1">
      <c r="A64" s="9"/>
      <c r="B64" s="16" t="s">
        <v>129</v>
      </c>
      <c r="C64" s="89" t="s">
        <v>52</v>
      </c>
      <c r="D64" s="109" t="s">
        <v>130</v>
      </c>
      <c r="E64" s="110" t="s">
        <v>135</v>
      </c>
      <c r="F64" s="111" t="s">
        <v>1083</v>
      </c>
      <c r="G64" s="111" t="s">
        <v>1084</v>
      </c>
      <c r="H64" s="95"/>
      <c r="I64" s="9"/>
      <c r="J64" s="9" t="s">
        <v>131</v>
      </c>
      <c r="K64" s="14"/>
      <c r="L64" s="14"/>
      <c r="M64" s="12">
        <v>0</v>
      </c>
      <c r="N64" s="9"/>
      <c r="O64" s="9"/>
      <c r="P64" s="9"/>
      <c r="Q64" s="38">
        <f>M64+X64-AG64-BB64</f>
        <v>0</v>
      </c>
      <c r="R64" s="12"/>
      <c r="S64" s="42"/>
      <c r="T64" s="15"/>
      <c r="U64" s="44"/>
      <c r="V64" s="15"/>
      <c r="W64" s="44"/>
      <c r="X64" s="15">
        <f>R64+T64+V64</f>
        <v>0</v>
      </c>
      <c r="Y64" s="15"/>
      <c r="Z64" s="44"/>
      <c r="AA64" s="15"/>
      <c r="AB64" s="44"/>
      <c r="AC64" s="15"/>
      <c r="AD64" s="44"/>
      <c r="AE64" s="15"/>
      <c r="AF64" s="44"/>
      <c r="AG64" s="15">
        <f>(Y64+AA64+AC64+AE64)</f>
        <v>0</v>
      </c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/>
      <c r="BA64" s="42"/>
      <c r="BB64" s="15">
        <f>AH64+AJ64+AL64+AN64+AP64+AR64+AT64+AV64+AX64+AZ64</f>
        <v>0</v>
      </c>
      <c r="BC64" s="15"/>
      <c r="BD64" s="44"/>
      <c r="BE64" s="15"/>
      <c r="BF64" s="44"/>
      <c r="BG64" s="15">
        <f>(BC64+BE64)</f>
        <v>0</v>
      </c>
    </row>
    <row r="65" spans="1:59" s="8" customFormat="1" ht="22.5" hidden="1" customHeight="1">
      <c r="A65" s="9"/>
      <c r="B65" s="16" t="s">
        <v>129</v>
      </c>
      <c r="C65" s="89" t="s">
        <v>52</v>
      </c>
      <c r="D65" s="109" t="s">
        <v>130</v>
      </c>
      <c r="E65" s="110" t="s">
        <v>136</v>
      </c>
      <c r="F65" s="111" t="s">
        <v>1085</v>
      </c>
      <c r="G65" s="111" t="s">
        <v>1086</v>
      </c>
      <c r="H65" s="95"/>
      <c r="I65" s="9"/>
      <c r="J65" s="9" t="s">
        <v>131</v>
      </c>
      <c r="K65" s="14"/>
      <c r="L65" s="14"/>
      <c r="M65" s="12">
        <v>0</v>
      </c>
      <c r="N65" s="9"/>
      <c r="O65" s="9"/>
      <c r="P65" s="9"/>
      <c r="Q65" s="38">
        <f>M65+X65-AG65-BB65</f>
        <v>0</v>
      </c>
      <c r="R65" s="12"/>
      <c r="S65" s="42"/>
      <c r="T65" s="15"/>
      <c r="U65" s="44"/>
      <c r="V65" s="15"/>
      <c r="W65" s="44"/>
      <c r="X65" s="15">
        <f>R65+T65+V65</f>
        <v>0</v>
      </c>
      <c r="Y65" s="15"/>
      <c r="Z65" s="44"/>
      <c r="AA65" s="15"/>
      <c r="AB65" s="44"/>
      <c r="AC65" s="15"/>
      <c r="AD65" s="44"/>
      <c r="AE65" s="15"/>
      <c r="AF65" s="44"/>
      <c r="AG65" s="15">
        <f>(Y65+AA65+AC65+AE65)</f>
        <v>0</v>
      </c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/>
      <c r="BA65" s="42"/>
      <c r="BB65" s="15">
        <f>AH65+AJ65+AL65+AN65+AP65+AR65+AT65+AV65+AX65+AZ65</f>
        <v>0</v>
      </c>
      <c r="BC65" s="15"/>
      <c r="BD65" s="44"/>
      <c r="BE65" s="15"/>
      <c r="BF65" s="44"/>
      <c r="BG65" s="15">
        <f>(BC65+BE65)</f>
        <v>0</v>
      </c>
    </row>
    <row r="66" spans="1:59" s="8" customFormat="1" ht="22.5" hidden="1" customHeight="1">
      <c r="A66" s="9"/>
      <c r="B66" s="16" t="s">
        <v>129</v>
      </c>
      <c r="C66" s="89" t="s">
        <v>44</v>
      </c>
      <c r="D66" s="109" t="s">
        <v>137</v>
      </c>
      <c r="E66" s="110" t="s">
        <v>138</v>
      </c>
      <c r="F66" s="111" t="s">
        <v>1087</v>
      </c>
      <c r="G66" s="111" t="s">
        <v>1088</v>
      </c>
      <c r="H66" s="95"/>
      <c r="I66" s="9"/>
      <c r="J66" s="9" t="s">
        <v>131</v>
      </c>
      <c r="K66" s="14"/>
      <c r="L66" s="14"/>
      <c r="M66" s="12">
        <v>400</v>
      </c>
      <c r="N66" s="9"/>
      <c r="O66" s="9"/>
      <c r="P66" s="9"/>
      <c r="Q66" s="38">
        <f>M66+X66-AG66-BB66</f>
        <v>400</v>
      </c>
      <c r="R66" s="12"/>
      <c r="S66" s="42"/>
      <c r="T66" s="15"/>
      <c r="U66" s="44"/>
      <c r="V66" s="15"/>
      <c r="W66" s="44"/>
      <c r="X66" s="15">
        <f>R66+T66+V66</f>
        <v>0</v>
      </c>
      <c r="Y66" s="15"/>
      <c r="Z66" s="44"/>
      <c r="AA66" s="15"/>
      <c r="AB66" s="44"/>
      <c r="AC66" s="15"/>
      <c r="AD66" s="44"/>
      <c r="AE66" s="15"/>
      <c r="AF66" s="44"/>
      <c r="AG66" s="15">
        <f>(Y66+AA66+AC66+AE66)</f>
        <v>0</v>
      </c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/>
      <c r="BA66" s="42"/>
      <c r="BB66" s="15">
        <f>AH66+AJ66+AL66+AN66+AP66+AR66+AT66+AV66+AX66+AZ66</f>
        <v>0</v>
      </c>
      <c r="BC66" s="15"/>
      <c r="BD66" s="44"/>
      <c r="BE66" s="15"/>
      <c r="BF66" s="44"/>
      <c r="BG66" s="15">
        <f>(BC66+BE66)</f>
        <v>0</v>
      </c>
    </row>
    <row r="67" spans="1:59" s="8" customFormat="1" ht="22.5" hidden="1" customHeight="1">
      <c r="A67" s="9"/>
      <c r="B67" s="16" t="s">
        <v>129</v>
      </c>
      <c r="C67" s="89" t="s">
        <v>132</v>
      </c>
      <c r="D67" s="109" t="s">
        <v>139</v>
      </c>
      <c r="E67" s="110" t="s">
        <v>27</v>
      </c>
      <c r="F67" s="111" t="s">
        <v>1089</v>
      </c>
      <c r="G67" s="111" t="s">
        <v>1090</v>
      </c>
      <c r="H67" s="95"/>
      <c r="I67" s="9"/>
      <c r="J67" s="9" t="s">
        <v>131</v>
      </c>
      <c r="K67" s="14"/>
      <c r="L67" s="14"/>
      <c r="M67" s="12">
        <v>1000</v>
      </c>
      <c r="N67" s="9"/>
      <c r="O67" s="9"/>
      <c r="P67" s="9"/>
      <c r="Q67" s="38">
        <f>M67+X67-AG67-BB67</f>
        <v>1000</v>
      </c>
      <c r="R67" s="12"/>
      <c r="S67" s="42"/>
      <c r="T67" s="15"/>
      <c r="U67" s="44"/>
      <c r="V67" s="15"/>
      <c r="W67" s="44"/>
      <c r="X67" s="15">
        <f>R67+T67+V67</f>
        <v>0</v>
      </c>
      <c r="Y67" s="15"/>
      <c r="Z67" s="44"/>
      <c r="AA67" s="15"/>
      <c r="AB67" s="44"/>
      <c r="AC67" s="15"/>
      <c r="AD67" s="44"/>
      <c r="AE67" s="15"/>
      <c r="AF67" s="44"/>
      <c r="AG67" s="15">
        <f>(Y67+AA67+AC67+AE67)</f>
        <v>0</v>
      </c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/>
      <c r="BA67" s="42"/>
      <c r="BB67" s="15">
        <f>AH67+AJ67+AL67+AN67+AP67+AR67+AT67+AV67+AX67+AZ67</f>
        <v>0</v>
      </c>
      <c r="BC67" s="15"/>
      <c r="BD67" s="44"/>
      <c r="BE67" s="15"/>
      <c r="BF67" s="44"/>
      <c r="BG67" s="15">
        <f>(BC67+BE67)</f>
        <v>0</v>
      </c>
    </row>
    <row r="68" spans="1:59" s="8" customFormat="1" ht="22.5" hidden="1" customHeight="1">
      <c r="A68" s="9"/>
      <c r="B68" s="16" t="s">
        <v>129</v>
      </c>
      <c r="C68" s="89" t="s">
        <v>140</v>
      </c>
      <c r="D68" s="109" t="s">
        <v>139</v>
      </c>
      <c r="E68" s="110" t="s">
        <v>27</v>
      </c>
      <c r="F68" s="111" t="s">
        <v>1091</v>
      </c>
      <c r="G68" s="111" t="s">
        <v>1092</v>
      </c>
      <c r="H68" s="95"/>
      <c r="I68" s="9"/>
      <c r="J68" s="9" t="s">
        <v>131</v>
      </c>
      <c r="K68" s="14"/>
      <c r="L68" s="14"/>
      <c r="M68" s="12">
        <v>960</v>
      </c>
      <c r="N68" s="9"/>
      <c r="O68" s="9"/>
      <c r="P68" s="9"/>
      <c r="Q68" s="38">
        <f>M68+X68-AG68-BB68</f>
        <v>960</v>
      </c>
      <c r="R68" s="12"/>
      <c r="S68" s="42"/>
      <c r="T68" s="15"/>
      <c r="U68" s="44"/>
      <c r="V68" s="15"/>
      <c r="W68" s="44"/>
      <c r="X68" s="15">
        <f>R68+T68+V68</f>
        <v>0</v>
      </c>
      <c r="Y68" s="15"/>
      <c r="Z68" s="44"/>
      <c r="AA68" s="15"/>
      <c r="AB68" s="44"/>
      <c r="AC68" s="15"/>
      <c r="AD68" s="44"/>
      <c r="AE68" s="15"/>
      <c r="AF68" s="44"/>
      <c r="AG68" s="15">
        <f>(Y68+AA68+AC68+AE68)</f>
        <v>0</v>
      </c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/>
      <c r="BA68" s="42"/>
      <c r="BB68" s="15">
        <f>AH68+AJ68+AL68+AN68+AP68+AR68+AT68+AV68+AX68+AZ68</f>
        <v>0</v>
      </c>
      <c r="BC68" s="15"/>
      <c r="BD68" s="44"/>
      <c r="BE68" s="15"/>
      <c r="BF68" s="44"/>
      <c r="BG68" s="15">
        <f>(BC68+BE68)</f>
        <v>0</v>
      </c>
    </row>
    <row r="69" spans="1:59" s="8" customFormat="1" ht="22.5" hidden="1" customHeight="1">
      <c r="A69" s="9"/>
      <c r="B69" s="16" t="s">
        <v>129</v>
      </c>
      <c r="C69" s="89" t="s">
        <v>48</v>
      </c>
      <c r="D69" s="109" t="s">
        <v>137</v>
      </c>
      <c r="E69" s="110" t="s">
        <v>1093</v>
      </c>
      <c r="F69" s="111" t="s">
        <v>1094</v>
      </c>
      <c r="G69" s="111" t="s">
        <v>1095</v>
      </c>
      <c r="H69" s="95"/>
      <c r="I69" s="9"/>
      <c r="J69" s="9" t="s">
        <v>131</v>
      </c>
      <c r="K69" s="14"/>
      <c r="L69" s="14"/>
      <c r="M69" s="12">
        <v>1314</v>
      </c>
      <c r="N69" s="9"/>
      <c r="O69" s="9"/>
      <c r="P69" s="9"/>
      <c r="Q69" s="38">
        <f>M69+X69-AG69-BB69</f>
        <v>1314</v>
      </c>
      <c r="R69" s="12"/>
      <c r="S69" s="42"/>
      <c r="T69" s="15"/>
      <c r="U69" s="44"/>
      <c r="V69" s="15"/>
      <c r="W69" s="44"/>
      <c r="X69" s="15">
        <f>R69+T69+V69</f>
        <v>0</v>
      </c>
      <c r="Y69" s="15"/>
      <c r="Z69" s="44"/>
      <c r="AA69" s="15"/>
      <c r="AB69" s="44"/>
      <c r="AC69" s="15"/>
      <c r="AD69" s="44"/>
      <c r="AE69" s="15"/>
      <c r="AF69" s="44"/>
      <c r="AG69" s="15">
        <f>(Y69+AA69+AC69+AE69)</f>
        <v>0</v>
      </c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/>
      <c r="BA69" s="42"/>
      <c r="BB69" s="15">
        <f>AH69+AJ69+AL69+AN69+AP69+AR69+AT69+AV69+AX69+AZ69</f>
        <v>0</v>
      </c>
      <c r="BC69" s="15"/>
      <c r="BD69" s="44"/>
      <c r="BE69" s="15"/>
      <c r="BF69" s="44"/>
      <c r="BG69" s="15">
        <f>(BC69+BE69)</f>
        <v>0</v>
      </c>
    </row>
    <row r="70" spans="1:59" s="8" customFormat="1" ht="22.5" hidden="1" customHeight="1">
      <c r="A70" s="9"/>
      <c r="B70" s="16" t="s">
        <v>129</v>
      </c>
      <c r="C70" s="89" t="s">
        <v>52</v>
      </c>
      <c r="D70" s="109" t="s">
        <v>137</v>
      </c>
      <c r="E70" s="110" t="s">
        <v>138</v>
      </c>
      <c r="F70" s="111" t="s">
        <v>1096</v>
      </c>
      <c r="G70" s="111" t="s">
        <v>1097</v>
      </c>
      <c r="H70" s="95"/>
      <c r="I70" s="9"/>
      <c r="J70" s="9" t="s">
        <v>131</v>
      </c>
      <c r="K70" s="14"/>
      <c r="L70" s="14"/>
      <c r="M70" s="12"/>
      <c r="N70" s="9"/>
      <c r="O70" s="9"/>
      <c r="P70" s="9"/>
      <c r="Q70" s="38">
        <f>M70+X70-AG70-BB70</f>
        <v>0</v>
      </c>
      <c r="R70" s="12"/>
      <c r="S70" s="42"/>
      <c r="T70" s="15"/>
      <c r="U70" s="44"/>
      <c r="V70" s="15"/>
      <c r="W70" s="44"/>
      <c r="X70" s="15">
        <f>R70+T70+V70</f>
        <v>0</v>
      </c>
      <c r="Y70" s="15"/>
      <c r="Z70" s="44"/>
      <c r="AA70" s="15"/>
      <c r="AB70" s="44"/>
      <c r="AC70" s="15"/>
      <c r="AD70" s="44"/>
      <c r="AE70" s="15"/>
      <c r="AF70" s="44"/>
      <c r="AG70" s="15">
        <f>(Y70+AA70+AC70+AE70)</f>
        <v>0</v>
      </c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/>
      <c r="BA70" s="42"/>
      <c r="BB70" s="15">
        <f>AH70+AJ70+AL70+AN70+AP70+AR70+AT70+AV70+AX70+AZ70</f>
        <v>0</v>
      </c>
      <c r="BC70" s="15"/>
      <c r="BD70" s="44"/>
      <c r="BE70" s="15"/>
      <c r="BF70" s="44"/>
      <c r="BG70" s="15">
        <f>(BC70+BE70)</f>
        <v>0</v>
      </c>
    </row>
    <row r="71" spans="1:59" s="8" customFormat="1" ht="22.5" hidden="1" customHeight="1">
      <c r="A71" s="9"/>
      <c r="B71" s="16" t="s">
        <v>129</v>
      </c>
      <c r="C71" s="89" t="s">
        <v>52</v>
      </c>
      <c r="D71" s="109" t="s">
        <v>139</v>
      </c>
      <c r="E71" s="110" t="s">
        <v>27</v>
      </c>
      <c r="F71" s="111" t="s">
        <v>1098</v>
      </c>
      <c r="G71" s="111" t="s">
        <v>1099</v>
      </c>
      <c r="H71" s="95"/>
      <c r="I71" s="9"/>
      <c r="J71" s="9" t="s">
        <v>131</v>
      </c>
      <c r="K71" s="14"/>
      <c r="L71" s="14"/>
      <c r="M71" s="12"/>
      <c r="N71" s="9"/>
      <c r="O71" s="9"/>
      <c r="P71" s="9"/>
      <c r="Q71" s="38">
        <f>M71+X71-AG71-BB71</f>
        <v>0</v>
      </c>
      <c r="R71" s="12"/>
      <c r="S71" s="42"/>
      <c r="T71" s="15"/>
      <c r="U71" s="44"/>
      <c r="V71" s="15"/>
      <c r="W71" s="44"/>
      <c r="X71" s="15">
        <f>R71+T71+V71</f>
        <v>0</v>
      </c>
      <c r="Y71" s="15"/>
      <c r="Z71" s="44"/>
      <c r="AA71" s="15"/>
      <c r="AB71" s="44"/>
      <c r="AC71" s="15"/>
      <c r="AD71" s="44"/>
      <c r="AE71" s="15"/>
      <c r="AF71" s="44"/>
      <c r="AG71" s="15">
        <f>(Y71+AA71+AC71+AE71)</f>
        <v>0</v>
      </c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/>
      <c r="BA71" s="42"/>
      <c r="BB71" s="15">
        <f>AH71+AJ71+AL71+AN71+AP71+AR71+AT71+AV71+AX71+AZ71</f>
        <v>0</v>
      </c>
      <c r="BC71" s="15"/>
      <c r="BD71" s="44"/>
      <c r="BE71" s="15"/>
      <c r="BF71" s="44"/>
      <c r="BG71" s="15">
        <f>(BC71+BE71)</f>
        <v>0</v>
      </c>
    </row>
    <row r="72" spans="1:59" s="8" customFormat="1" ht="22.5" hidden="1" customHeight="1">
      <c r="A72" s="9"/>
      <c r="B72" s="18" t="s">
        <v>58</v>
      </c>
      <c r="C72" s="89" t="s">
        <v>59</v>
      </c>
      <c r="D72" s="109" t="s">
        <v>141</v>
      </c>
      <c r="E72" s="110" t="s">
        <v>58</v>
      </c>
      <c r="F72" s="111" t="s">
        <v>141</v>
      </c>
      <c r="G72" s="111" t="s">
        <v>1100</v>
      </c>
      <c r="H72" s="95"/>
      <c r="I72" s="21"/>
      <c r="J72" s="21" t="s">
        <v>61</v>
      </c>
      <c r="K72" s="14"/>
      <c r="L72" s="14"/>
      <c r="M72" s="12">
        <v>930</v>
      </c>
      <c r="N72" s="9"/>
      <c r="O72" s="9"/>
      <c r="P72" s="9"/>
      <c r="Q72" s="38">
        <f>M72+X72-AG72-BB72</f>
        <v>930</v>
      </c>
      <c r="R72" s="12"/>
      <c r="S72" s="42"/>
      <c r="T72" s="15"/>
      <c r="U72" s="44"/>
      <c r="V72" s="15"/>
      <c r="W72" s="44"/>
      <c r="X72" s="15">
        <f>R72+T72+V72</f>
        <v>0</v>
      </c>
      <c r="Y72" s="15"/>
      <c r="Z72" s="44"/>
      <c r="AA72" s="15"/>
      <c r="AB72" s="44"/>
      <c r="AC72" s="15"/>
      <c r="AD72" s="44"/>
      <c r="AE72" s="15"/>
      <c r="AF72" s="44"/>
      <c r="AG72" s="15">
        <f>(Y72+AA72+AC72+AE72)</f>
        <v>0</v>
      </c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/>
      <c r="BA72" s="42"/>
      <c r="BB72" s="15">
        <f>AH72+AJ72+AL72+AN72+AP72+AR72+AT72+AV72+AX72+AZ72</f>
        <v>0</v>
      </c>
      <c r="BC72" s="15"/>
      <c r="BD72" s="44"/>
      <c r="BE72" s="15"/>
      <c r="BF72" s="44"/>
      <c r="BG72" s="15">
        <f>(BC72+BE72)</f>
        <v>0</v>
      </c>
    </row>
    <row r="73" spans="1:59" s="8" customFormat="1" ht="22.5" hidden="1" customHeight="1">
      <c r="A73" s="9"/>
      <c r="B73" s="18" t="s">
        <v>62</v>
      </c>
      <c r="C73" s="89" t="s">
        <v>52</v>
      </c>
      <c r="D73" s="109" t="s">
        <v>142</v>
      </c>
      <c r="E73" s="110" t="s">
        <v>62</v>
      </c>
      <c r="F73" s="111" t="s">
        <v>1101</v>
      </c>
      <c r="G73" s="113" t="s">
        <v>1102</v>
      </c>
      <c r="H73" s="95"/>
      <c r="I73" s="21"/>
      <c r="J73" s="21" t="s">
        <v>61</v>
      </c>
      <c r="K73" s="14"/>
      <c r="L73" s="14"/>
      <c r="M73" s="12">
        <v>109</v>
      </c>
      <c r="N73" s="9"/>
      <c r="O73" s="9"/>
      <c r="P73" s="9"/>
      <c r="Q73" s="38">
        <f>M73+X73-AG73-BB73</f>
        <v>109</v>
      </c>
      <c r="R73" s="12"/>
      <c r="S73" s="42"/>
      <c r="T73" s="15"/>
      <c r="U73" s="44"/>
      <c r="V73" s="15"/>
      <c r="W73" s="44"/>
      <c r="X73" s="15">
        <f>R73+T73+V73</f>
        <v>0</v>
      </c>
      <c r="Y73" s="15"/>
      <c r="Z73" s="44"/>
      <c r="AA73" s="15"/>
      <c r="AB73" s="44"/>
      <c r="AC73" s="15"/>
      <c r="AD73" s="44"/>
      <c r="AE73" s="15"/>
      <c r="AF73" s="44"/>
      <c r="AG73" s="15">
        <f>(Y73+AA73+AC73+AE73)</f>
        <v>0</v>
      </c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/>
      <c r="BA73" s="42"/>
      <c r="BB73" s="15"/>
      <c r="BC73" s="15"/>
      <c r="BD73" s="44"/>
      <c r="BE73" s="15"/>
      <c r="BF73" s="44"/>
      <c r="BG73" s="15"/>
    </row>
    <row r="74" spans="1:59" s="8" customFormat="1" ht="22.5" hidden="1" customHeight="1">
      <c r="A74" s="9"/>
      <c r="B74" s="18" t="s">
        <v>62</v>
      </c>
      <c r="C74" s="89" t="s">
        <v>48</v>
      </c>
      <c r="D74" s="109" t="s">
        <v>142</v>
      </c>
      <c r="E74" s="110" t="s">
        <v>62</v>
      </c>
      <c r="F74" s="111" t="s">
        <v>1103</v>
      </c>
      <c r="G74" s="111" t="s">
        <v>1104</v>
      </c>
      <c r="H74" s="95"/>
      <c r="I74" s="21"/>
      <c r="J74" s="21" t="s">
        <v>61</v>
      </c>
      <c r="K74" s="14"/>
      <c r="L74" s="14"/>
      <c r="M74" s="12">
        <v>400</v>
      </c>
      <c r="N74" s="9"/>
      <c r="O74" s="9"/>
      <c r="P74" s="9"/>
      <c r="Q74" s="38">
        <f>M74+X74-AG74-BB74</f>
        <v>400</v>
      </c>
      <c r="R74" s="12"/>
      <c r="S74" s="42"/>
      <c r="T74" s="15"/>
      <c r="U74" s="44"/>
      <c r="V74" s="15"/>
      <c r="W74" s="44"/>
      <c r="X74" s="15">
        <f>R74+T74+V74</f>
        <v>0</v>
      </c>
      <c r="Y74" s="15"/>
      <c r="Z74" s="44"/>
      <c r="AA74" s="15"/>
      <c r="AB74" s="44"/>
      <c r="AC74" s="15"/>
      <c r="AD74" s="44"/>
      <c r="AE74" s="15"/>
      <c r="AF74" s="44"/>
      <c r="AG74" s="15">
        <f>(Y74+AA74+AC74+AE74)</f>
        <v>0</v>
      </c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/>
      <c r="BA74" s="42"/>
      <c r="BB74" s="15">
        <f>AH74+AJ74+AL74+AN74+AP74+AR74+AT74+AV74+AX74+AZ74</f>
        <v>0</v>
      </c>
      <c r="BC74" s="15"/>
      <c r="BD74" s="44"/>
      <c r="BE74" s="15"/>
      <c r="BF74" s="44"/>
      <c r="BG74" s="15">
        <f>(BC74+BE74)</f>
        <v>0</v>
      </c>
    </row>
    <row r="75" spans="1:59" s="8" customFormat="1" ht="22.5" hidden="1" customHeight="1">
      <c r="A75" s="9"/>
      <c r="B75" s="18" t="s">
        <v>62</v>
      </c>
      <c r="C75" s="89" t="s">
        <v>50</v>
      </c>
      <c r="D75" s="109" t="s">
        <v>142</v>
      </c>
      <c r="E75" s="110" t="s">
        <v>62</v>
      </c>
      <c r="F75" s="111" t="s">
        <v>1105</v>
      </c>
      <c r="G75" s="111" t="s">
        <v>1106</v>
      </c>
      <c r="H75" s="95"/>
      <c r="I75" s="21"/>
      <c r="J75" s="21" t="s">
        <v>61</v>
      </c>
      <c r="K75" s="14"/>
      <c r="L75" s="14"/>
      <c r="M75" s="12">
        <v>499</v>
      </c>
      <c r="N75" s="9"/>
      <c r="O75" s="9"/>
      <c r="P75" s="9"/>
      <c r="Q75" s="38">
        <f>M75+X75-AG75-BB75</f>
        <v>499</v>
      </c>
      <c r="R75" s="12"/>
      <c r="S75" s="42"/>
      <c r="T75" s="15"/>
      <c r="U75" s="44"/>
      <c r="V75" s="15"/>
      <c r="W75" s="44"/>
      <c r="X75" s="15">
        <f>R75+T75+V75</f>
        <v>0</v>
      </c>
      <c r="Y75" s="15"/>
      <c r="Z75" s="44"/>
      <c r="AA75" s="15"/>
      <c r="AB75" s="44"/>
      <c r="AC75" s="15"/>
      <c r="AD75" s="44"/>
      <c r="AE75" s="15"/>
      <c r="AF75" s="44"/>
      <c r="AG75" s="15">
        <f>(Y75+AA75+AC75+AE75)</f>
        <v>0</v>
      </c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/>
      <c r="BA75" s="42"/>
      <c r="BB75" s="15">
        <f>AH75+AJ75+AL75+AN75+AP75+AR75+AT75+AV75+AX75+AZ75</f>
        <v>0</v>
      </c>
      <c r="BC75" s="15"/>
      <c r="BD75" s="44"/>
      <c r="BE75" s="15"/>
      <c r="BF75" s="44"/>
      <c r="BG75" s="15">
        <f>(BC75+BE75)</f>
        <v>0</v>
      </c>
    </row>
    <row r="76" spans="1:59" s="8" customFormat="1" ht="22.5" hidden="1" customHeight="1">
      <c r="A76" s="9"/>
      <c r="B76" s="18" t="s">
        <v>62</v>
      </c>
      <c r="C76" s="89" t="s">
        <v>48</v>
      </c>
      <c r="D76" s="109" t="s">
        <v>143</v>
      </c>
      <c r="E76" s="110" t="s">
        <v>62</v>
      </c>
      <c r="F76" s="111" t="s">
        <v>1107</v>
      </c>
      <c r="G76" s="111" t="s">
        <v>1108</v>
      </c>
      <c r="H76" s="95"/>
      <c r="I76" s="21"/>
      <c r="J76" s="21" t="s">
        <v>61</v>
      </c>
      <c r="K76" s="14"/>
      <c r="L76" s="14"/>
      <c r="M76" s="12">
        <v>750</v>
      </c>
      <c r="N76" s="9"/>
      <c r="O76" s="9"/>
      <c r="P76" s="9"/>
      <c r="Q76" s="38">
        <f>M76+X76-AG76-BB76</f>
        <v>750</v>
      </c>
      <c r="R76" s="12"/>
      <c r="S76" s="42"/>
      <c r="T76" s="15"/>
      <c r="U76" s="44"/>
      <c r="V76" s="15"/>
      <c r="W76" s="44"/>
      <c r="X76" s="15">
        <f>R76+T76+V76</f>
        <v>0</v>
      </c>
      <c r="Y76" s="15"/>
      <c r="Z76" s="44"/>
      <c r="AA76" s="15"/>
      <c r="AB76" s="44"/>
      <c r="AC76" s="15"/>
      <c r="AD76" s="44"/>
      <c r="AE76" s="15"/>
      <c r="AF76" s="44"/>
      <c r="AG76" s="15">
        <f>(Y76+AA76+AC76+AE76)</f>
        <v>0</v>
      </c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/>
      <c r="BA76" s="42"/>
      <c r="BB76" s="15">
        <f>AH76+AJ76+AL76+AN76+AP76+AR76+AT76+AV76+AX76+AZ76</f>
        <v>0</v>
      </c>
      <c r="BC76" s="15"/>
      <c r="BD76" s="44"/>
      <c r="BE76" s="15"/>
      <c r="BF76" s="44"/>
      <c r="BG76" s="15">
        <f>(BC76+BE76)</f>
        <v>0</v>
      </c>
    </row>
    <row r="77" spans="1:59" s="8" customFormat="1" ht="22.5" hidden="1" customHeight="1">
      <c r="A77" s="9"/>
      <c r="B77" s="18" t="s">
        <v>144</v>
      </c>
      <c r="C77" s="89" t="s">
        <v>132</v>
      </c>
      <c r="D77" s="109" t="s">
        <v>145</v>
      </c>
      <c r="E77" s="110" t="s">
        <v>146</v>
      </c>
      <c r="F77" s="111" t="s">
        <v>1109</v>
      </c>
      <c r="G77" s="111" t="s">
        <v>1110</v>
      </c>
      <c r="H77" s="95"/>
      <c r="I77" s="21"/>
      <c r="J77" s="21" t="s">
        <v>147</v>
      </c>
      <c r="K77" s="14"/>
      <c r="L77" s="14"/>
      <c r="M77" s="12"/>
      <c r="N77" s="9"/>
      <c r="O77" s="9"/>
      <c r="P77" s="9"/>
      <c r="Q77" s="38">
        <f>M77+X77-AG77-BB77</f>
        <v>0</v>
      </c>
      <c r="R77" s="12"/>
      <c r="S77" s="42"/>
      <c r="T77" s="15"/>
      <c r="U77" s="44"/>
      <c r="V77" s="15"/>
      <c r="W77" s="44"/>
      <c r="X77" s="15">
        <f>R77+T77+V77</f>
        <v>0</v>
      </c>
      <c r="Y77" s="15"/>
      <c r="Z77" s="44"/>
      <c r="AA77" s="15"/>
      <c r="AB77" s="44"/>
      <c r="AC77" s="15"/>
      <c r="AD77" s="44"/>
      <c r="AE77" s="15"/>
      <c r="AF77" s="44"/>
      <c r="AG77" s="15">
        <f>(Y77+AA77+AC77+AE77)</f>
        <v>0</v>
      </c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/>
      <c r="BA77" s="42"/>
      <c r="BB77" s="15">
        <f>AH77+AJ77+AL77+AN77+AP77+AR77+AT77+AV77+AX77+AZ77</f>
        <v>0</v>
      </c>
      <c r="BC77" s="15"/>
      <c r="BD77" s="44"/>
      <c r="BE77" s="15"/>
      <c r="BF77" s="44"/>
      <c r="BG77" s="15">
        <f>(BC77+BE77)</f>
        <v>0</v>
      </c>
    </row>
    <row r="78" spans="1:59" s="8" customFormat="1" ht="22.5" hidden="1" customHeight="1">
      <c r="A78" s="9"/>
      <c r="B78" s="18" t="s">
        <v>144</v>
      </c>
      <c r="C78" s="89" t="s">
        <v>48</v>
      </c>
      <c r="D78" s="109" t="s">
        <v>145</v>
      </c>
      <c r="E78" s="110" t="s">
        <v>146</v>
      </c>
      <c r="F78" s="111" t="s">
        <v>1111</v>
      </c>
      <c r="G78" s="111" t="s">
        <v>1112</v>
      </c>
      <c r="H78" s="95"/>
      <c r="I78" s="21"/>
      <c r="J78" s="21" t="s">
        <v>148</v>
      </c>
      <c r="K78" s="14"/>
      <c r="L78" s="14"/>
      <c r="M78" s="12">
        <v>143</v>
      </c>
      <c r="N78" s="9"/>
      <c r="O78" s="9"/>
      <c r="P78" s="9"/>
      <c r="Q78" s="38">
        <f>M78+X78-AG78-BB78</f>
        <v>143</v>
      </c>
      <c r="R78" s="12"/>
      <c r="S78" s="42"/>
      <c r="T78" s="15"/>
      <c r="U78" s="44"/>
      <c r="V78" s="15"/>
      <c r="W78" s="44"/>
      <c r="X78" s="15">
        <f>R78+T78+V78</f>
        <v>0</v>
      </c>
      <c r="Y78" s="15"/>
      <c r="Z78" s="44"/>
      <c r="AA78" s="15"/>
      <c r="AB78" s="44"/>
      <c r="AC78" s="15"/>
      <c r="AD78" s="44"/>
      <c r="AE78" s="15"/>
      <c r="AF78" s="44"/>
      <c r="AG78" s="15">
        <f>(Y78+AA78+AC78+AE78)</f>
        <v>0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/>
      <c r="BA78" s="42"/>
      <c r="BB78" s="15">
        <f>AH78+AJ78+AL78+AN78+AP78+AR78+AT78+AV78+AX78+AZ78</f>
        <v>0</v>
      </c>
      <c r="BC78" s="15"/>
      <c r="BD78" s="44"/>
      <c r="BE78" s="15"/>
      <c r="BF78" s="44"/>
      <c r="BG78" s="15">
        <f>(BC78+BE78)</f>
        <v>0</v>
      </c>
    </row>
    <row r="79" spans="1:59" s="8" customFormat="1" ht="22.5" hidden="1" customHeight="1">
      <c r="A79" s="9"/>
      <c r="B79" s="18" t="s">
        <v>144</v>
      </c>
      <c r="C79" s="89" t="s">
        <v>50</v>
      </c>
      <c r="D79" s="109" t="s">
        <v>145</v>
      </c>
      <c r="E79" s="110" t="s">
        <v>146</v>
      </c>
      <c r="F79" s="111" t="s">
        <v>1113</v>
      </c>
      <c r="G79" s="111" t="s">
        <v>1114</v>
      </c>
      <c r="H79" s="95"/>
      <c r="I79" s="21"/>
      <c r="J79" s="21" t="s">
        <v>148</v>
      </c>
      <c r="K79" s="14"/>
      <c r="L79" s="14"/>
      <c r="M79" s="12"/>
      <c r="N79" s="9"/>
      <c r="O79" s="9"/>
      <c r="P79" s="9"/>
      <c r="Q79" s="38">
        <f>M79+X79-AG79-BB79</f>
        <v>0</v>
      </c>
      <c r="R79" s="12"/>
      <c r="S79" s="42"/>
      <c r="T79" s="15"/>
      <c r="U79" s="44"/>
      <c r="V79" s="15"/>
      <c r="W79" s="44"/>
      <c r="X79" s="15">
        <f>R79+T79+V79</f>
        <v>0</v>
      </c>
      <c r="Y79" s="15"/>
      <c r="Z79" s="44"/>
      <c r="AA79" s="15"/>
      <c r="AB79" s="44"/>
      <c r="AC79" s="15"/>
      <c r="AD79" s="44"/>
      <c r="AE79" s="15"/>
      <c r="AF79" s="44"/>
      <c r="AG79" s="15">
        <f>(Y79+AA79+AC79+AE79)</f>
        <v>0</v>
      </c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/>
      <c r="BA79" s="42"/>
      <c r="BB79" s="15">
        <f>AH79+AJ79+AL79+AN79+AP79+AR79+AT79+AV79+AX79+AZ79</f>
        <v>0</v>
      </c>
      <c r="BC79" s="15"/>
      <c r="BD79" s="44"/>
      <c r="BE79" s="15"/>
      <c r="BF79" s="44"/>
      <c r="BG79" s="15">
        <f>(BC79+BE79)</f>
        <v>0</v>
      </c>
    </row>
    <row r="80" spans="1:59" s="8" customFormat="1" ht="22.5" hidden="1" customHeight="1">
      <c r="A80" s="9"/>
      <c r="B80" s="18" t="s">
        <v>144</v>
      </c>
      <c r="C80" s="89" t="s">
        <v>140</v>
      </c>
      <c r="D80" s="109" t="s">
        <v>145</v>
      </c>
      <c r="E80" s="110" t="s">
        <v>146</v>
      </c>
      <c r="F80" s="111" t="s">
        <v>1115</v>
      </c>
      <c r="G80" s="111" t="s">
        <v>1116</v>
      </c>
      <c r="H80" s="95"/>
      <c r="I80" s="21"/>
      <c r="J80" s="21" t="s">
        <v>147</v>
      </c>
      <c r="K80" s="14"/>
      <c r="L80" s="14"/>
      <c r="M80" s="12"/>
      <c r="N80" s="9"/>
      <c r="O80" s="9"/>
      <c r="P80" s="9"/>
      <c r="Q80" s="38">
        <f>M80+X80-AG80-BB80</f>
        <v>0</v>
      </c>
      <c r="R80" s="12"/>
      <c r="S80" s="42"/>
      <c r="T80" s="15"/>
      <c r="U80" s="44"/>
      <c r="V80" s="15"/>
      <c r="W80" s="44"/>
      <c r="X80" s="15">
        <f>R80+T80+V80</f>
        <v>0</v>
      </c>
      <c r="Y80" s="15"/>
      <c r="Z80" s="44"/>
      <c r="AA80" s="15"/>
      <c r="AB80" s="44"/>
      <c r="AC80" s="15"/>
      <c r="AD80" s="44"/>
      <c r="AE80" s="15"/>
      <c r="AF80" s="44"/>
      <c r="AG80" s="15">
        <f>(Y80+AA80+AC80+AE80)</f>
        <v>0</v>
      </c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/>
      <c r="BA80" s="42"/>
      <c r="BB80" s="15">
        <f>AH80+AJ80+AL80+AN80+AP80+AR80+AT80+AV80+AX80+AZ80</f>
        <v>0</v>
      </c>
      <c r="BC80" s="15"/>
      <c r="BD80" s="44"/>
      <c r="BE80" s="15"/>
      <c r="BF80" s="44"/>
      <c r="BG80" s="15">
        <f>(BC80+BE80)</f>
        <v>0</v>
      </c>
    </row>
    <row r="81" spans="1:59" s="8" customFormat="1" ht="22.5" hidden="1" customHeight="1">
      <c r="A81" s="9"/>
      <c r="B81" s="18" t="s">
        <v>144</v>
      </c>
      <c r="C81" s="89" t="s">
        <v>52</v>
      </c>
      <c r="D81" s="109" t="s">
        <v>1117</v>
      </c>
      <c r="E81" s="110" t="s">
        <v>149</v>
      </c>
      <c r="F81" s="111" t="s">
        <v>1118</v>
      </c>
      <c r="G81" s="111" t="s">
        <v>1119</v>
      </c>
      <c r="H81" s="95"/>
      <c r="I81" s="21"/>
      <c r="J81" s="21" t="s">
        <v>147</v>
      </c>
      <c r="K81" s="14"/>
      <c r="L81" s="14"/>
      <c r="M81" s="12">
        <v>123</v>
      </c>
      <c r="N81" s="9"/>
      <c r="O81" s="9"/>
      <c r="P81" s="9"/>
      <c r="Q81" s="38">
        <f>M81+X81-AG81-BB81</f>
        <v>123</v>
      </c>
      <c r="R81" s="12"/>
      <c r="S81" s="42"/>
      <c r="T81" s="15"/>
      <c r="U81" s="44"/>
      <c r="V81" s="15"/>
      <c r="W81" s="44"/>
      <c r="X81" s="15">
        <f>R81+T81+V81</f>
        <v>0</v>
      </c>
      <c r="Y81" s="15"/>
      <c r="Z81" s="44"/>
      <c r="AA81" s="15"/>
      <c r="AB81" s="44"/>
      <c r="AC81" s="15"/>
      <c r="AD81" s="44"/>
      <c r="AE81" s="15"/>
      <c r="AF81" s="44"/>
      <c r="AG81" s="15">
        <f>(Y81+AA81+AC81+AE81)</f>
        <v>0</v>
      </c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/>
      <c r="BA81" s="42"/>
      <c r="BB81" s="15">
        <f>AH81+AJ81+AL81+AN81+AP81+AR81+AT81+AV81+AX81+AZ81</f>
        <v>0</v>
      </c>
      <c r="BC81" s="15"/>
      <c r="BD81" s="44"/>
      <c r="BE81" s="15"/>
      <c r="BF81" s="44"/>
      <c r="BG81" s="15">
        <f>(BC81+BE81)</f>
        <v>0</v>
      </c>
    </row>
    <row r="82" spans="1:59" s="8" customFormat="1" ht="22.5" hidden="1" customHeight="1">
      <c r="A82" s="9"/>
      <c r="B82" s="18" t="s">
        <v>144</v>
      </c>
      <c r="C82" s="89" t="s">
        <v>59</v>
      </c>
      <c r="D82" s="109" t="s">
        <v>150</v>
      </c>
      <c r="E82" s="110" t="s">
        <v>146</v>
      </c>
      <c r="F82" s="111" t="s">
        <v>1120</v>
      </c>
      <c r="G82" s="111" t="s">
        <v>1121</v>
      </c>
      <c r="H82" s="95"/>
      <c r="I82" s="21"/>
      <c r="J82" s="21" t="s">
        <v>147</v>
      </c>
      <c r="K82" s="14"/>
      <c r="L82" s="14"/>
      <c r="M82" s="12">
        <v>367</v>
      </c>
      <c r="N82" s="9"/>
      <c r="O82" s="9"/>
      <c r="P82" s="9"/>
      <c r="Q82" s="38">
        <f>M82+X82-AG82-BB82</f>
        <v>367</v>
      </c>
      <c r="R82" s="12"/>
      <c r="S82" s="42"/>
      <c r="T82" s="15"/>
      <c r="U82" s="44"/>
      <c r="V82" s="15"/>
      <c r="W82" s="44"/>
      <c r="X82" s="15">
        <f>R82+T82+V82</f>
        <v>0</v>
      </c>
      <c r="Y82" s="15"/>
      <c r="Z82" s="44"/>
      <c r="AA82" s="15"/>
      <c r="AB82" s="44"/>
      <c r="AC82" s="15"/>
      <c r="AD82" s="44"/>
      <c r="AE82" s="15"/>
      <c r="AF82" s="44"/>
      <c r="AG82" s="15">
        <f>(Y82+AA82+AC82+AE82)</f>
        <v>0</v>
      </c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/>
      <c r="BA82" s="42"/>
      <c r="BB82" s="15">
        <f>AH82+AJ82+AL82+AN82+AP82+AR82+AT82+AV82+AX82+AZ82</f>
        <v>0</v>
      </c>
      <c r="BC82" s="15"/>
      <c r="BD82" s="44"/>
      <c r="BE82" s="15"/>
      <c r="BF82" s="44"/>
      <c r="BG82" s="15">
        <f>(BC82+BE82)</f>
        <v>0</v>
      </c>
    </row>
    <row r="83" spans="1:59" s="8" customFormat="1" ht="22.5" hidden="1" customHeight="1">
      <c r="A83" s="9"/>
      <c r="B83" s="18" t="s">
        <v>144</v>
      </c>
      <c r="C83" s="89" t="s">
        <v>48</v>
      </c>
      <c r="D83" s="109" t="s">
        <v>150</v>
      </c>
      <c r="E83" s="110" t="s">
        <v>146</v>
      </c>
      <c r="F83" s="111" t="s">
        <v>1122</v>
      </c>
      <c r="G83" s="111" t="s">
        <v>1123</v>
      </c>
      <c r="H83" s="95"/>
      <c r="I83" s="21"/>
      <c r="J83" s="21" t="s">
        <v>148</v>
      </c>
      <c r="K83" s="14"/>
      <c r="L83" s="14"/>
      <c r="M83" s="12">
        <v>588</v>
      </c>
      <c r="N83" s="9"/>
      <c r="O83" s="9"/>
      <c r="P83" s="9"/>
      <c r="Q83" s="38">
        <f>M83+X83-AG83-BB83</f>
        <v>588</v>
      </c>
      <c r="R83" s="12"/>
      <c r="S83" s="42"/>
      <c r="T83" s="15"/>
      <c r="U83" s="44"/>
      <c r="V83" s="15"/>
      <c r="W83" s="44"/>
      <c r="X83" s="15">
        <f>R83+T83+V83</f>
        <v>0</v>
      </c>
      <c r="Y83" s="15"/>
      <c r="Z83" s="44"/>
      <c r="AA83" s="15"/>
      <c r="AB83" s="44"/>
      <c r="AC83" s="15"/>
      <c r="AD83" s="44"/>
      <c r="AE83" s="15"/>
      <c r="AF83" s="44"/>
      <c r="AG83" s="15">
        <f>(Y83+AA83+AC83+AE83)</f>
        <v>0</v>
      </c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/>
      <c r="BA83" s="42"/>
      <c r="BB83" s="15">
        <f>AH83+AJ83+AL83+AN83+AP83+AR83+AT83+AV83+AX83+AZ83</f>
        <v>0</v>
      </c>
      <c r="BC83" s="15"/>
      <c r="BD83" s="44"/>
      <c r="BE83" s="15"/>
      <c r="BF83" s="44"/>
      <c r="BG83" s="15">
        <f>(BC83+BE83)</f>
        <v>0</v>
      </c>
    </row>
    <row r="84" spans="1:59" s="8" customFormat="1" ht="22.5" hidden="1" customHeight="1">
      <c r="A84" s="9"/>
      <c r="B84" s="18" t="s">
        <v>144</v>
      </c>
      <c r="C84" s="89" t="s">
        <v>50</v>
      </c>
      <c r="D84" s="109" t="s">
        <v>150</v>
      </c>
      <c r="E84" s="110" t="s">
        <v>146</v>
      </c>
      <c r="F84" s="111" t="s">
        <v>1124</v>
      </c>
      <c r="G84" s="111" t="s">
        <v>1125</v>
      </c>
      <c r="H84" s="95"/>
      <c r="I84" s="21"/>
      <c r="J84" s="21" t="s">
        <v>148</v>
      </c>
      <c r="K84" s="14"/>
      <c r="L84" s="14"/>
      <c r="M84" s="12">
        <v>545</v>
      </c>
      <c r="N84" s="9"/>
      <c r="O84" s="9"/>
      <c r="P84" s="9"/>
      <c r="Q84" s="38">
        <f>M84+X84-AG84-BB84</f>
        <v>545</v>
      </c>
      <c r="R84" s="12"/>
      <c r="S84" s="42"/>
      <c r="T84" s="15"/>
      <c r="U84" s="44"/>
      <c r="V84" s="15"/>
      <c r="W84" s="44"/>
      <c r="X84" s="15">
        <f>R84+T84+V84</f>
        <v>0</v>
      </c>
      <c r="Y84" s="15"/>
      <c r="Z84" s="44"/>
      <c r="AA84" s="15"/>
      <c r="AB84" s="44"/>
      <c r="AC84" s="15"/>
      <c r="AD84" s="44"/>
      <c r="AE84" s="15"/>
      <c r="AF84" s="44"/>
      <c r="AG84" s="15">
        <f>(Y84+AA84+AC84+AE84)</f>
        <v>0</v>
      </c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/>
      <c r="BA84" s="42"/>
      <c r="BB84" s="15">
        <f>AH84+AJ84+AL84+AN84+AP84+AR84+AT84+AV84+AX84+AZ84</f>
        <v>0</v>
      </c>
      <c r="BC84" s="15"/>
      <c r="BD84" s="44"/>
      <c r="BE84" s="15"/>
      <c r="BF84" s="44"/>
      <c r="BG84" s="15">
        <f>(BC84+BE84)</f>
        <v>0</v>
      </c>
    </row>
    <row r="85" spans="1:59" s="8" customFormat="1" ht="22.5" hidden="1" customHeight="1">
      <c r="A85" s="9"/>
      <c r="B85" s="18" t="s">
        <v>144</v>
      </c>
      <c r="C85" s="92" t="s">
        <v>151</v>
      </c>
      <c r="D85" s="109" t="s">
        <v>152</v>
      </c>
      <c r="E85" s="110"/>
      <c r="F85" s="111" t="s">
        <v>1126</v>
      </c>
      <c r="G85" s="111" t="s">
        <v>1127</v>
      </c>
      <c r="H85" s="95"/>
      <c r="I85" s="21"/>
      <c r="J85" s="21" t="s">
        <v>147</v>
      </c>
      <c r="K85" s="14"/>
      <c r="L85" s="14"/>
      <c r="M85" s="12">
        <v>800</v>
      </c>
      <c r="N85" s="9"/>
      <c r="O85" s="9"/>
      <c r="P85" s="9"/>
      <c r="Q85" s="38">
        <f>M85+X85-AG85-BB85</f>
        <v>800</v>
      </c>
      <c r="R85" s="12"/>
      <c r="S85" s="42"/>
      <c r="T85" s="15"/>
      <c r="U85" s="44"/>
      <c r="V85" s="15"/>
      <c r="W85" s="44"/>
      <c r="X85" s="15">
        <f>R85+T85+V85</f>
        <v>0</v>
      </c>
      <c r="Y85" s="15"/>
      <c r="Z85" s="44"/>
      <c r="AA85" s="15"/>
      <c r="AB85" s="44"/>
      <c r="AC85" s="15"/>
      <c r="AD85" s="44"/>
      <c r="AE85" s="15"/>
      <c r="AF85" s="44"/>
      <c r="AG85" s="15">
        <f>(Y85+AA85+AC85+AE85)</f>
        <v>0</v>
      </c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/>
      <c r="BA85" s="42"/>
      <c r="BB85" s="15">
        <f>AH85+AJ85+AL85+AN85+AP85+AR85+AT85+AV85+AX85+AZ85</f>
        <v>0</v>
      </c>
      <c r="BC85" s="15"/>
      <c r="BD85" s="44"/>
      <c r="BE85" s="15"/>
      <c r="BF85" s="44"/>
      <c r="BG85" s="15">
        <f>(BC85+BE85)</f>
        <v>0</v>
      </c>
    </row>
    <row r="86" spans="1:59" s="8" customFormat="1" ht="22.5" hidden="1" customHeight="1">
      <c r="A86" s="9"/>
      <c r="B86" s="18" t="s">
        <v>144</v>
      </c>
      <c r="C86" s="92" t="s">
        <v>151</v>
      </c>
      <c r="D86" s="109" t="s">
        <v>152</v>
      </c>
      <c r="E86" s="110" t="s">
        <v>153</v>
      </c>
      <c r="F86" s="111" t="s">
        <v>1128</v>
      </c>
      <c r="G86" s="111" t="s">
        <v>1129</v>
      </c>
      <c r="H86" s="95"/>
      <c r="I86" s="21"/>
      <c r="J86" s="21" t="s">
        <v>147</v>
      </c>
      <c r="K86" s="14"/>
      <c r="L86" s="14"/>
      <c r="M86" s="12"/>
      <c r="N86" s="9"/>
      <c r="O86" s="9"/>
      <c r="P86" s="9"/>
      <c r="Q86" s="38">
        <f>M86+X86-AG86-BB86</f>
        <v>0</v>
      </c>
      <c r="R86" s="12"/>
      <c r="S86" s="42"/>
      <c r="T86" s="15"/>
      <c r="U86" s="44"/>
      <c r="V86" s="15"/>
      <c r="W86" s="44"/>
      <c r="X86" s="15">
        <f>R86+T86+V86</f>
        <v>0</v>
      </c>
      <c r="Y86" s="15"/>
      <c r="Z86" s="44"/>
      <c r="AA86" s="15"/>
      <c r="AB86" s="44"/>
      <c r="AC86" s="15"/>
      <c r="AD86" s="44"/>
      <c r="AE86" s="15"/>
      <c r="AF86" s="44"/>
      <c r="AG86" s="15">
        <f>(Y86+AA86+AC86+AE86)</f>
        <v>0</v>
      </c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/>
      <c r="BA86" s="42"/>
      <c r="BB86" s="15">
        <f>AH86+AJ86+AL86+AN86+AP86+AR86+AT86+AV86+AX86+AZ86</f>
        <v>0</v>
      </c>
      <c r="BC86" s="15"/>
      <c r="BD86" s="44"/>
      <c r="BE86" s="15"/>
      <c r="BF86" s="44"/>
      <c r="BG86" s="15">
        <f>(BC86+BE86)</f>
        <v>0</v>
      </c>
    </row>
    <row r="87" spans="1:59" s="8" customFormat="1" ht="22.5" hidden="1" customHeight="1">
      <c r="A87" s="9"/>
      <c r="B87" s="18" t="s">
        <v>144</v>
      </c>
      <c r="C87" s="92" t="s">
        <v>151</v>
      </c>
      <c r="D87" s="109" t="s">
        <v>154</v>
      </c>
      <c r="E87" s="110"/>
      <c r="F87" s="111" t="s">
        <v>1130</v>
      </c>
      <c r="G87" s="111" t="s">
        <v>1131</v>
      </c>
      <c r="H87" s="95"/>
      <c r="I87" s="21"/>
      <c r="J87" s="21" t="s">
        <v>147</v>
      </c>
      <c r="K87" s="14"/>
      <c r="L87" s="14"/>
      <c r="M87" s="12">
        <v>3473</v>
      </c>
      <c r="N87" s="9"/>
      <c r="O87" s="9"/>
      <c r="P87" s="9"/>
      <c r="Q87" s="38">
        <f>M87+X87-AG87-BB87</f>
        <v>3473</v>
      </c>
      <c r="R87" s="12"/>
      <c r="S87" s="42"/>
      <c r="T87" s="15"/>
      <c r="U87" s="44"/>
      <c r="V87" s="15"/>
      <c r="W87" s="44"/>
      <c r="X87" s="15">
        <f>R87+T87+V87</f>
        <v>0</v>
      </c>
      <c r="Y87" s="15"/>
      <c r="Z87" s="44"/>
      <c r="AA87" s="15"/>
      <c r="AB87" s="44"/>
      <c r="AC87" s="15"/>
      <c r="AD87" s="44"/>
      <c r="AE87" s="15"/>
      <c r="AF87" s="44"/>
      <c r="AG87" s="15">
        <f>(Y87+AA87+AC87+AE87)</f>
        <v>0</v>
      </c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/>
      <c r="BA87" s="42"/>
      <c r="BB87" s="15">
        <f>AH87+AJ87+AL87+AN87+AP87+AR87+AT87+AV87+AX87+AZ87</f>
        <v>0</v>
      </c>
      <c r="BC87" s="15"/>
      <c r="BD87" s="44"/>
      <c r="BE87" s="15"/>
      <c r="BF87" s="44"/>
      <c r="BG87" s="15">
        <f>(BC87+BE87)</f>
        <v>0</v>
      </c>
    </row>
    <row r="88" spans="1:59" s="8" customFormat="1" ht="22.5" hidden="1" customHeight="1">
      <c r="A88" s="9"/>
      <c r="B88" s="18" t="s">
        <v>155</v>
      </c>
      <c r="C88" s="89" t="s">
        <v>59</v>
      </c>
      <c r="D88" s="109" t="s">
        <v>156</v>
      </c>
      <c r="E88" s="110" t="s">
        <v>157</v>
      </c>
      <c r="F88" s="111" t="s">
        <v>1132</v>
      </c>
      <c r="G88" s="111" t="s">
        <v>1133</v>
      </c>
      <c r="H88" s="95"/>
      <c r="I88" s="21"/>
      <c r="J88" s="21" t="s">
        <v>158</v>
      </c>
      <c r="K88" s="14"/>
      <c r="L88" s="14"/>
      <c r="M88" s="12">
        <v>1516</v>
      </c>
      <c r="N88" s="9"/>
      <c r="O88" s="9"/>
      <c r="P88" s="9"/>
      <c r="Q88" s="38">
        <f>M88+X88-AG88-BB88</f>
        <v>1516</v>
      </c>
      <c r="R88" s="12"/>
      <c r="S88" s="42"/>
      <c r="T88" s="15"/>
      <c r="U88" s="44"/>
      <c r="V88" s="15"/>
      <c r="W88" s="44"/>
      <c r="X88" s="15">
        <f>R88+T88+V88</f>
        <v>0</v>
      </c>
      <c r="Y88" s="15"/>
      <c r="Z88" s="44"/>
      <c r="AA88" s="15"/>
      <c r="AB88" s="44"/>
      <c r="AC88" s="15"/>
      <c r="AD88" s="44"/>
      <c r="AE88" s="15"/>
      <c r="AF88" s="44"/>
      <c r="AG88" s="15">
        <f>(Y88+AA88+AC88+AE88)</f>
        <v>0</v>
      </c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/>
      <c r="BA88" s="42"/>
      <c r="BB88" s="15">
        <f>AH88+AJ88+AL88+AN88+AP88+AR88+AT88+AV88+AX88+AZ88</f>
        <v>0</v>
      </c>
      <c r="BC88" s="15"/>
      <c r="BD88" s="44"/>
      <c r="BE88" s="15"/>
      <c r="BF88" s="44"/>
      <c r="BG88" s="15">
        <f>(BC88+BE88)</f>
        <v>0</v>
      </c>
    </row>
    <row r="89" spans="1:59" s="8" customFormat="1" ht="22.5" hidden="1" customHeight="1">
      <c r="A89" s="9"/>
      <c r="B89" s="18" t="s">
        <v>155</v>
      </c>
      <c r="C89" s="89" t="s">
        <v>48</v>
      </c>
      <c r="D89" s="109" t="s">
        <v>156</v>
      </c>
      <c r="E89" s="110" t="s">
        <v>159</v>
      </c>
      <c r="F89" s="111" t="s">
        <v>1134</v>
      </c>
      <c r="G89" s="111" t="s">
        <v>1135</v>
      </c>
      <c r="H89" s="95"/>
      <c r="I89" s="21"/>
      <c r="J89" s="21" t="s">
        <v>158</v>
      </c>
      <c r="K89" s="14"/>
      <c r="L89" s="14"/>
      <c r="M89" s="12"/>
      <c r="N89" s="9"/>
      <c r="O89" s="9"/>
      <c r="P89" s="9"/>
      <c r="Q89" s="38">
        <f>M89+X89-AG89-BB89</f>
        <v>0</v>
      </c>
      <c r="R89" s="12"/>
      <c r="S89" s="42"/>
      <c r="T89" s="15"/>
      <c r="U89" s="44"/>
      <c r="V89" s="15"/>
      <c r="W89" s="44"/>
      <c r="X89" s="15">
        <f>R89+T89+V89</f>
        <v>0</v>
      </c>
      <c r="Y89" s="15"/>
      <c r="Z89" s="44"/>
      <c r="AA89" s="15"/>
      <c r="AB89" s="44"/>
      <c r="AC89" s="15"/>
      <c r="AD89" s="44"/>
      <c r="AE89" s="15"/>
      <c r="AF89" s="44"/>
      <c r="AG89" s="15">
        <f>(Y89+AA89+AC89+AE89)</f>
        <v>0</v>
      </c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/>
      <c r="BA89" s="42"/>
      <c r="BB89" s="15">
        <f>AH89+AJ89+AL89+AN89+AP89+AR89+AT89+AV89+AX89+AZ89</f>
        <v>0</v>
      </c>
      <c r="BC89" s="15"/>
      <c r="BD89" s="44"/>
      <c r="BE89" s="15"/>
      <c r="BF89" s="44"/>
      <c r="BG89" s="15">
        <f>(BC89+BE89)</f>
        <v>0</v>
      </c>
    </row>
    <row r="90" spans="1:59" s="8" customFormat="1" ht="22.5" hidden="1" customHeight="1">
      <c r="A90" s="9"/>
      <c r="B90" s="18" t="s">
        <v>155</v>
      </c>
      <c r="C90" s="89" t="s">
        <v>52</v>
      </c>
      <c r="D90" s="109" t="s">
        <v>156</v>
      </c>
      <c r="E90" s="110" t="s">
        <v>160</v>
      </c>
      <c r="F90" s="111" t="s">
        <v>1136</v>
      </c>
      <c r="G90" s="111" t="s">
        <v>1137</v>
      </c>
      <c r="H90" s="95"/>
      <c r="I90" s="21"/>
      <c r="J90" s="21" t="s">
        <v>158</v>
      </c>
      <c r="K90" s="14"/>
      <c r="L90" s="14"/>
      <c r="M90" s="12"/>
      <c r="N90" s="9"/>
      <c r="O90" s="9"/>
      <c r="P90" s="9"/>
      <c r="Q90" s="38">
        <f>M90+X90-AG90-BB90</f>
        <v>0</v>
      </c>
      <c r="R90" s="12"/>
      <c r="S90" s="42"/>
      <c r="T90" s="15"/>
      <c r="U90" s="44"/>
      <c r="V90" s="15"/>
      <c r="W90" s="44"/>
      <c r="X90" s="15">
        <f>R90+T90+V90</f>
        <v>0</v>
      </c>
      <c r="Y90" s="15"/>
      <c r="Z90" s="44"/>
      <c r="AA90" s="15"/>
      <c r="AB90" s="44"/>
      <c r="AC90" s="15"/>
      <c r="AD90" s="44"/>
      <c r="AE90" s="15"/>
      <c r="AF90" s="44"/>
      <c r="AG90" s="15">
        <f>(Y90+AA90+AC90+AE90)</f>
        <v>0</v>
      </c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/>
      <c r="BA90" s="42"/>
      <c r="BB90" s="15">
        <f>AH90+AJ90+AL90+AN90+AP90+AR90+AT90+AV90+AX90+AZ90</f>
        <v>0</v>
      </c>
      <c r="BC90" s="15"/>
      <c r="BD90" s="44"/>
      <c r="BE90" s="15"/>
      <c r="BF90" s="44"/>
      <c r="BG90" s="15">
        <f>(BC90+BE90)</f>
        <v>0</v>
      </c>
    </row>
    <row r="91" spans="1:59" s="8" customFormat="1" ht="22.5" hidden="1" customHeight="1">
      <c r="A91" s="9"/>
      <c r="B91" s="18" t="s">
        <v>161</v>
      </c>
      <c r="C91" s="92" t="s">
        <v>151</v>
      </c>
      <c r="D91" s="109" t="s">
        <v>162</v>
      </c>
      <c r="E91" s="110" t="s">
        <v>163</v>
      </c>
      <c r="F91" s="111" t="s">
        <v>1138</v>
      </c>
      <c r="G91" s="111" t="s">
        <v>1139</v>
      </c>
      <c r="H91" s="95"/>
      <c r="I91" s="21"/>
      <c r="J91" s="21"/>
      <c r="K91" s="14"/>
      <c r="L91" s="14"/>
      <c r="M91" s="12"/>
      <c r="N91" s="9"/>
      <c r="O91" s="9"/>
      <c r="P91" s="9"/>
      <c r="Q91" s="38">
        <f>M91+X91-AG91-BB91</f>
        <v>0</v>
      </c>
      <c r="R91" s="12"/>
      <c r="S91" s="42"/>
      <c r="T91" s="15"/>
      <c r="U91" s="44"/>
      <c r="V91" s="15"/>
      <c r="W91" s="44"/>
      <c r="X91" s="15">
        <f>R91+T91+V91</f>
        <v>0</v>
      </c>
      <c r="Y91" s="15"/>
      <c r="Z91" s="44"/>
      <c r="AA91" s="15"/>
      <c r="AB91" s="44"/>
      <c r="AC91" s="15"/>
      <c r="AD91" s="44"/>
      <c r="AE91" s="15"/>
      <c r="AF91" s="44"/>
      <c r="AG91" s="15">
        <f>(Y91+AA91+AC91+AE91)</f>
        <v>0</v>
      </c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/>
      <c r="BA91" s="42"/>
      <c r="BB91" s="15">
        <f>AH91+AJ91+AL91+AN91+AP91+AR91+AT91+AV91+AX91+AZ91</f>
        <v>0</v>
      </c>
      <c r="BC91" s="15"/>
      <c r="BD91" s="44"/>
      <c r="BE91" s="15"/>
      <c r="BF91" s="44"/>
      <c r="BG91" s="15">
        <f>(BC91+BE91)</f>
        <v>0</v>
      </c>
    </row>
    <row r="92" spans="1:59" s="8" customFormat="1" ht="22.5" hidden="1" customHeight="1">
      <c r="A92" s="9"/>
      <c r="B92" s="18" t="s">
        <v>129</v>
      </c>
      <c r="C92" s="89" t="s">
        <v>44</v>
      </c>
      <c r="D92" s="109" t="s">
        <v>164</v>
      </c>
      <c r="E92" s="110"/>
      <c r="F92" s="111" t="s">
        <v>1140</v>
      </c>
      <c r="G92" s="111" t="s">
        <v>1141</v>
      </c>
      <c r="H92" s="95"/>
      <c r="I92" s="21"/>
      <c r="J92" s="21"/>
      <c r="K92" s="14"/>
      <c r="L92" s="14"/>
      <c r="M92" s="12"/>
      <c r="N92" s="9"/>
      <c r="O92" s="9"/>
      <c r="P92" s="9"/>
      <c r="Q92" s="38">
        <f>M92+X92-AG92-BB92</f>
        <v>0</v>
      </c>
      <c r="R92" s="12"/>
      <c r="S92" s="42"/>
      <c r="T92" s="15"/>
      <c r="U92" s="44"/>
      <c r="V92" s="15"/>
      <c r="W92" s="44"/>
      <c r="X92" s="15">
        <f>R92+T92+V92</f>
        <v>0</v>
      </c>
      <c r="Y92" s="15"/>
      <c r="Z92" s="44"/>
      <c r="AA92" s="15"/>
      <c r="AB92" s="44"/>
      <c r="AC92" s="15"/>
      <c r="AD92" s="44"/>
      <c r="AE92" s="15"/>
      <c r="AF92" s="44"/>
      <c r="AG92" s="15">
        <f>(Y92+AA92+AC92+AE92)</f>
        <v>0</v>
      </c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/>
      <c r="BA92" s="42"/>
      <c r="BB92" s="15">
        <f>AH92+AJ92+AL92+AN92+AP92+AR92+AT92+AV92+AX92+AZ92</f>
        <v>0</v>
      </c>
      <c r="BC92" s="15"/>
      <c r="BD92" s="44"/>
      <c r="BE92" s="15"/>
      <c r="BF92" s="44"/>
      <c r="BG92" s="15">
        <f>(BC92+BE92)</f>
        <v>0</v>
      </c>
    </row>
    <row r="93" spans="1:59" s="8" customFormat="1" ht="22.5" hidden="1" customHeight="1">
      <c r="A93" s="9"/>
      <c r="B93" s="18" t="s">
        <v>129</v>
      </c>
      <c r="C93" s="89" t="s">
        <v>165</v>
      </c>
      <c r="D93" s="109" t="s">
        <v>166</v>
      </c>
      <c r="E93" s="110"/>
      <c r="F93" s="111" t="s">
        <v>1142</v>
      </c>
      <c r="G93" s="111" t="s">
        <v>1143</v>
      </c>
      <c r="H93" s="95"/>
      <c r="I93" s="21"/>
      <c r="J93" s="21"/>
      <c r="K93" s="14"/>
      <c r="L93" s="14"/>
      <c r="M93" s="12"/>
      <c r="N93" s="9"/>
      <c r="O93" s="9"/>
      <c r="P93" s="9"/>
      <c r="Q93" s="38">
        <f>M93+X93-AG93-BB93</f>
        <v>0</v>
      </c>
      <c r="R93" s="12"/>
      <c r="S93" s="42"/>
      <c r="T93" s="15"/>
      <c r="U93" s="44"/>
      <c r="V93" s="15"/>
      <c r="W93" s="44"/>
      <c r="X93" s="15">
        <f>R93+T93+V93</f>
        <v>0</v>
      </c>
      <c r="Y93" s="15"/>
      <c r="Z93" s="44"/>
      <c r="AA93" s="15"/>
      <c r="AB93" s="44"/>
      <c r="AC93" s="15"/>
      <c r="AD93" s="44"/>
      <c r="AE93" s="15"/>
      <c r="AF93" s="44"/>
      <c r="AG93" s="15">
        <f>(Y93+AA93+AC93+AE93)</f>
        <v>0</v>
      </c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/>
      <c r="BA93" s="42"/>
      <c r="BB93" s="15">
        <f>AH93+AJ93+AL93+AN93+AP93+AR93+AT93+AV93+AX93+AZ93</f>
        <v>0</v>
      </c>
      <c r="BC93" s="15"/>
      <c r="BD93" s="44"/>
      <c r="BE93" s="15"/>
      <c r="BF93" s="44"/>
      <c r="BG93" s="15">
        <f>(BC93+BE93)</f>
        <v>0</v>
      </c>
    </row>
    <row r="94" spans="1:59" s="8" customFormat="1" ht="22.5" hidden="1" customHeight="1">
      <c r="A94" s="9"/>
      <c r="B94" s="18" t="s">
        <v>129</v>
      </c>
      <c r="C94" s="89" t="s">
        <v>44</v>
      </c>
      <c r="D94" s="109" t="s">
        <v>167</v>
      </c>
      <c r="E94" s="110" t="s">
        <v>1144</v>
      </c>
      <c r="F94" s="111" t="s">
        <v>1145</v>
      </c>
      <c r="G94" s="111" t="s">
        <v>1146</v>
      </c>
      <c r="H94" s="95"/>
      <c r="I94" s="21"/>
      <c r="J94" s="21" t="s">
        <v>131</v>
      </c>
      <c r="K94" s="14"/>
      <c r="L94" s="14"/>
      <c r="M94" s="12">
        <v>124</v>
      </c>
      <c r="N94" s="9"/>
      <c r="O94" s="9"/>
      <c r="P94" s="9"/>
      <c r="Q94" s="38">
        <f>M94+X94-AG94-BB94</f>
        <v>124</v>
      </c>
      <c r="R94" s="12"/>
      <c r="S94" s="42"/>
      <c r="T94" s="15"/>
      <c r="U94" s="44"/>
      <c r="V94" s="15"/>
      <c r="W94" s="44"/>
      <c r="X94" s="15">
        <f>R94+T94+V94</f>
        <v>0</v>
      </c>
      <c r="Y94" s="15"/>
      <c r="Z94" s="44"/>
      <c r="AA94" s="15"/>
      <c r="AB94" s="44"/>
      <c r="AC94" s="15"/>
      <c r="AD94" s="44"/>
      <c r="AE94" s="15"/>
      <c r="AF94" s="44"/>
      <c r="AG94" s="15">
        <f>(Y94+AA94+AC94+AE94)</f>
        <v>0</v>
      </c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/>
      <c r="BA94" s="42"/>
      <c r="BB94" s="15">
        <f>AH94+AJ94+AL94+AN94+AP94+AR94+AT94+AV94+AX94+AZ94</f>
        <v>0</v>
      </c>
      <c r="BC94" s="15"/>
      <c r="BD94" s="44"/>
      <c r="BE94" s="15"/>
      <c r="BF94" s="44"/>
      <c r="BG94" s="15">
        <f>(BC94+BE94)</f>
        <v>0</v>
      </c>
    </row>
    <row r="95" spans="1:59" s="8" customFormat="1" ht="22.5" hidden="1" customHeight="1">
      <c r="A95" s="9"/>
      <c r="B95" s="18" t="s">
        <v>129</v>
      </c>
      <c r="C95" s="89" t="s">
        <v>132</v>
      </c>
      <c r="D95" s="109" t="s">
        <v>170</v>
      </c>
      <c r="E95" s="110"/>
      <c r="F95" s="111" t="s">
        <v>1147</v>
      </c>
      <c r="G95" s="111" t="s">
        <v>1148</v>
      </c>
      <c r="H95" s="95"/>
      <c r="I95" s="21"/>
      <c r="J95" s="21" t="s">
        <v>67</v>
      </c>
      <c r="K95" s="14"/>
      <c r="L95" s="14"/>
      <c r="M95" s="12">
        <v>1053</v>
      </c>
      <c r="N95" s="9"/>
      <c r="O95" s="9"/>
      <c r="P95" s="9"/>
      <c r="Q95" s="38">
        <f>M95+X95-AG95-BB95</f>
        <v>1053</v>
      </c>
      <c r="R95" s="12"/>
      <c r="S95" s="42"/>
      <c r="T95" s="15"/>
      <c r="U95" s="44"/>
      <c r="V95" s="15"/>
      <c r="W95" s="44"/>
      <c r="X95" s="15">
        <f>R95+T95+V95</f>
        <v>0</v>
      </c>
      <c r="Y95" s="15"/>
      <c r="Z95" s="44"/>
      <c r="AA95" s="15"/>
      <c r="AB95" s="44"/>
      <c r="AC95" s="15"/>
      <c r="AD95" s="44"/>
      <c r="AE95" s="15"/>
      <c r="AF95" s="44"/>
      <c r="AG95" s="15">
        <f>(Y95+AA95+AC95+AE95)</f>
        <v>0</v>
      </c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/>
      <c r="BA95" s="42"/>
      <c r="BB95" s="15">
        <f>AH95+AJ95+AL95+AN95+AP95+AR95+AT95+AV95+AX95+AZ95</f>
        <v>0</v>
      </c>
      <c r="BC95" s="15"/>
      <c r="BD95" s="44"/>
      <c r="BE95" s="15"/>
      <c r="BF95" s="44"/>
      <c r="BG95" s="15">
        <f>(BC95+BE95)</f>
        <v>0</v>
      </c>
    </row>
    <row r="96" spans="1:59" s="8" customFormat="1" ht="22.5" hidden="1" customHeight="1">
      <c r="A96" s="9"/>
      <c r="B96" s="18" t="s">
        <v>129</v>
      </c>
      <c r="C96" s="89" t="s">
        <v>48</v>
      </c>
      <c r="D96" s="109" t="s">
        <v>169</v>
      </c>
      <c r="E96" s="110"/>
      <c r="F96" s="111" t="s">
        <v>1149</v>
      </c>
      <c r="G96" s="111" t="s">
        <v>1150</v>
      </c>
      <c r="H96" s="95"/>
      <c r="I96" s="21"/>
      <c r="J96" s="21" t="s">
        <v>131</v>
      </c>
      <c r="K96" s="14"/>
      <c r="L96" s="14"/>
      <c r="M96" s="12">
        <v>0</v>
      </c>
      <c r="N96" s="9"/>
      <c r="O96" s="9"/>
      <c r="P96" s="9"/>
      <c r="Q96" s="38">
        <f>M96+X96-AG96-BB96</f>
        <v>0</v>
      </c>
      <c r="R96" s="12"/>
      <c r="S96" s="42"/>
      <c r="T96" s="15"/>
      <c r="U96" s="44"/>
      <c r="V96" s="15"/>
      <c r="W96" s="44"/>
      <c r="X96" s="15">
        <f>R96+T96+V96</f>
        <v>0</v>
      </c>
      <c r="Y96" s="15"/>
      <c r="Z96" s="44"/>
      <c r="AA96" s="15"/>
      <c r="AB96" s="44"/>
      <c r="AC96" s="15"/>
      <c r="AD96" s="44"/>
      <c r="AE96" s="15"/>
      <c r="AF96" s="44"/>
      <c r="AG96" s="15">
        <f>(Y96+AA96+AC96+AE96)</f>
        <v>0</v>
      </c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/>
      <c r="BA96" s="42"/>
      <c r="BB96" s="15">
        <f>AH96+AJ96+AL96+AN96+AP96+AR96+AT96+AV96+AX96+AZ96</f>
        <v>0</v>
      </c>
      <c r="BC96" s="15"/>
      <c r="BD96" s="44"/>
      <c r="BE96" s="15"/>
      <c r="BF96" s="44"/>
      <c r="BG96" s="15">
        <f>(BC96+BE96)</f>
        <v>0</v>
      </c>
    </row>
    <row r="97" spans="1:59" s="8" customFormat="1" ht="22.5" hidden="1" customHeight="1">
      <c r="A97" s="9"/>
      <c r="B97" s="18" t="s">
        <v>129</v>
      </c>
      <c r="C97" s="89" t="s">
        <v>50</v>
      </c>
      <c r="D97" s="109" t="s">
        <v>170</v>
      </c>
      <c r="E97" s="110" t="s">
        <v>1151</v>
      </c>
      <c r="F97" s="111" t="s">
        <v>1152</v>
      </c>
      <c r="G97" s="111" t="s">
        <v>1153</v>
      </c>
      <c r="H97" s="95"/>
      <c r="I97" s="21"/>
      <c r="J97" s="21" t="s">
        <v>131</v>
      </c>
      <c r="K97" s="14"/>
      <c r="L97" s="14"/>
      <c r="M97" s="12">
        <v>80</v>
      </c>
      <c r="N97" s="9"/>
      <c r="O97" s="9"/>
      <c r="P97" s="9"/>
      <c r="Q97" s="38">
        <f>M97+X97-AG97-BB97</f>
        <v>80</v>
      </c>
      <c r="R97" s="12"/>
      <c r="S97" s="42"/>
      <c r="T97" s="15"/>
      <c r="U97" s="44"/>
      <c r="V97" s="15"/>
      <c r="W97" s="44"/>
      <c r="X97" s="15">
        <f>R97+T97+V97</f>
        <v>0</v>
      </c>
      <c r="Y97" s="15"/>
      <c r="Z97" s="44"/>
      <c r="AA97" s="15"/>
      <c r="AB97" s="44"/>
      <c r="AC97" s="15"/>
      <c r="AD97" s="44"/>
      <c r="AE97" s="15"/>
      <c r="AF97" s="44"/>
      <c r="AG97" s="15">
        <f>(Y97+AA97+AC97+AE97)</f>
        <v>0</v>
      </c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/>
      <c r="BA97" s="42"/>
      <c r="BB97" s="15">
        <f>AH97+AJ97+AL97+AN97+AP97+AR97+AT97+AV97+AX97+AZ97</f>
        <v>0</v>
      </c>
      <c r="BC97" s="15"/>
      <c r="BD97" s="44"/>
      <c r="BE97" s="15"/>
      <c r="BF97" s="44"/>
      <c r="BG97" s="15">
        <f>(BC97+BE97)</f>
        <v>0</v>
      </c>
    </row>
    <row r="98" spans="1:59" s="8" customFormat="1" ht="22.5" hidden="1" customHeight="1">
      <c r="A98" s="9"/>
      <c r="B98" s="18" t="s">
        <v>129</v>
      </c>
      <c r="C98" s="89" t="s">
        <v>52</v>
      </c>
      <c r="D98" s="109" t="s">
        <v>171</v>
      </c>
      <c r="E98" s="110"/>
      <c r="F98" s="111" t="s">
        <v>1154</v>
      </c>
      <c r="G98" s="111" t="s">
        <v>1155</v>
      </c>
      <c r="H98" s="95"/>
      <c r="I98" s="21"/>
      <c r="J98" s="21" t="s">
        <v>131</v>
      </c>
      <c r="K98" s="14"/>
      <c r="L98" s="14"/>
      <c r="M98" s="12"/>
      <c r="N98" s="9"/>
      <c r="O98" s="9"/>
      <c r="P98" s="9"/>
      <c r="Q98" s="38">
        <f>M98+X98-AG98-BB98</f>
        <v>0</v>
      </c>
      <c r="R98" s="12"/>
      <c r="S98" s="42"/>
      <c r="T98" s="15"/>
      <c r="U98" s="44"/>
      <c r="V98" s="15"/>
      <c r="W98" s="44"/>
      <c r="X98" s="15">
        <f>R98+T98+V98</f>
        <v>0</v>
      </c>
      <c r="Y98" s="15"/>
      <c r="Z98" s="44"/>
      <c r="AA98" s="15"/>
      <c r="AB98" s="44"/>
      <c r="AC98" s="15"/>
      <c r="AD98" s="44"/>
      <c r="AE98" s="15"/>
      <c r="AF98" s="44"/>
      <c r="AG98" s="15">
        <f>(Y98+AA98+AC98+AE98)</f>
        <v>0</v>
      </c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/>
      <c r="BA98" s="42"/>
      <c r="BB98" s="15">
        <f>AH98+AJ98+AL98+AN98+AP98+AR98+AT98+AV98+AX98+AZ98</f>
        <v>0</v>
      </c>
      <c r="BC98" s="15"/>
      <c r="BD98" s="44"/>
      <c r="BE98" s="15"/>
      <c r="BF98" s="44"/>
      <c r="BG98" s="15">
        <f>(BC98+BE98)</f>
        <v>0</v>
      </c>
    </row>
    <row r="99" spans="1:59" s="8" customFormat="1" ht="22.5" hidden="1" customHeight="1">
      <c r="A99" s="9"/>
      <c r="B99" s="18" t="s">
        <v>172</v>
      </c>
      <c r="C99" s="89" t="s">
        <v>132</v>
      </c>
      <c r="D99" s="109" t="s">
        <v>1156</v>
      </c>
      <c r="E99" s="110"/>
      <c r="F99" s="111" t="s">
        <v>1157</v>
      </c>
      <c r="G99" s="111" t="s">
        <v>1158</v>
      </c>
      <c r="H99" s="96"/>
      <c r="I99" s="21"/>
      <c r="J99" s="21" t="s">
        <v>67</v>
      </c>
      <c r="K99" s="14"/>
      <c r="L99" s="14"/>
      <c r="M99" s="12">
        <v>161</v>
      </c>
      <c r="N99" s="9"/>
      <c r="O99" s="9"/>
      <c r="P99" s="9"/>
      <c r="Q99" s="38">
        <f>M99+X99-AG99-BB99</f>
        <v>161</v>
      </c>
      <c r="R99" s="12"/>
      <c r="S99" s="42"/>
      <c r="T99" s="15"/>
      <c r="U99" s="44"/>
      <c r="V99" s="15"/>
      <c r="W99" s="44"/>
      <c r="X99" s="15">
        <f>R99+T99+V99</f>
        <v>0</v>
      </c>
      <c r="Y99" s="15"/>
      <c r="Z99" s="44"/>
      <c r="AA99" s="15"/>
      <c r="AB99" s="44"/>
      <c r="AC99" s="15"/>
      <c r="AD99" s="44"/>
      <c r="AE99" s="15"/>
      <c r="AF99" s="44"/>
      <c r="AG99" s="15">
        <f>(Y99+AA99+AC99+AE99)</f>
        <v>0</v>
      </c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/>
      <c r="BA99" s="42"/>
      <c r="BB99" s="15">
        <f>AH99+AJ99+AL99+AN99+AP99+AR99+AT99+AV99+AX99+AZ99</f>
        <v>0</v>
      </c>
      <c r="BC99" s="15"/>
      <c r="BD99" s="44"/>
      <c r="BE99" s="15"/>
      <c r="BF99" s="44"/>
      <c r="BG99" s="15">
        <v>0</v>
      </c>
    </row>
    <row r="100" spans="1:59" s="8" customFormat="1" ht="22.5" hidden="1" customHeight="1">
      <c r="A100" s="9"/>
      <c r="B100" s="18" t="s">
        <v>172</v>
      </c>
      <c r="C100" s="89" t="s">
        <v>132</v>
      </c>
      <c r="D100" s="109" t="s">
        <v>1159</v>
      </c>
      <c r="E100" s="110"/>
      <c r="F100" s="111" t="s">
        <v>1160</v>
      </c>
      <c r="G100" s="111" t="s">
        <v>1161</v>
      </c>
      <c r="H100" s="96"/>
      <c r="I100" s="21"/>
      <c r="J100" s="21" t="s">
        <v>67</v>
      </c>
      <c r="K100" s="14"/>
      <c r="L100" s="14"/>
      <c r="M100" s="12">
        <v>98</v>
      </c>
      <c r="N100" s="9"/>
      <c r="O100" s="9"/>
      <c r="P100" s="9"/>
      <c r="Q100" s="38">
        <f>M100+X100-AG100-BB100</f>
        <v>98</v>
      </c>
      <c r="R100" s="12"/>
      <c r="S100" s="42"/>
      <c r="T100" s="15"/>
      <c r="U100" s="44"/>
      <c r="V100" s="15"/>
      <c r="W100" s="44"/>
      <c r="X100" s="15">
        <f>R100+T100+V100</f>
        <v>0</v>
      </c>
      <c r="Y100" s="15"/>
      <c r="Z100" s="44"/>
      <c r="AA100" s="15"/>
      <c r="AB100" s="44"/>
      <c r="AC100" s="15"/>
      <c r="AD100" s="44"/>
      <c r="AE100" s="15"/>
      <c r="AF100" s="44"/>
      <c r="AG100" s="15">
        <f>(Y100+AA100+AC100+AE100)</f>
        <v>0</v>
      </c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/>
      <c r="BA100" s="42"/>
      <c r="BB100" s="15">
        <f>AH100+AJ100+AL100+AN100+AP100+AR100+AT100+AV100+AX100+AZ100</f>
        <v>0</v>
      </c>
      <c r="BC100" s="15"/>
      <c r="BD100" s="44"/>
      <c r="BE100" s="15"/>
      <c r="BF100" s="44"/>
      <c r="BG100" s="15">
        <f>(BC100+BE100)</f>
        <v>0</v>
      </c>
    </row>
    <row r="101" spans="1:59" s="8" customFormat="1" ht="22.5" hidden="1" customHeight="1">
      <c r="A101" s="9"/>
      <c r="B101" s="18" t="s">
        <v>172</v>
      </c>
      <c r="C101" s="89" t="s">
        <v>132</v>
      </c>
      <c r="D101" s="109" t="s">
        <v>1162</v>
      </c>
      <c r="E101" s="110" t="s">
        <v>176</v>
      </c>
      <c r="F101" s="111" t="s">
        <v>1163</v>
      </c>
      <c r="G101" s="111" t="s">
        <v>1164</v>
      </c>
      <c r="H101" s="96"/>
      <c r="I101" s="21"/>
      <c r="J101" s="21" t="s">
        <v>67</v>
      </c>
      <c r="K101" s="14"/>
      <c r="L101" s="14"/>
      <c r="M101" s="12">
        <v>164</v>
      </c>
      <c r="N101" s="9"/>
      <c r="O101" s="9"/>
      <c r="P101" s="9"/>
      <c r="Q101" s="38">
        <f>M101+X101-AG101-BB101</f>
        <v>164</v>
      </c>
      <c r="R101" s="12"/>
      <c r="S101" s="42"/>
      <c r="T101" s="15"/>
      <c r="U101" s="44"/>
      <c r="V101" s="15"/>
      <c r="W101" s="44"/>
      <c r="X101" s="15">
        <f>R101+T101+V101</f>
        <v>0</v>
      </c>
      <c r="Y101" s="15"/>
      <c r="Z101" s="44"/>
      <c r="AA101" s="15"/>
      <c r="AB101" s="44"/>
      <c r="AC101" s="15"/>
      <c r="AD101" s="44"/>
      <c r="AE101" s="15"/>
      <c r="AF101" s="44"/>
      <c r="AG101" s="15">
        <f>(Y101+AA101+AC101+AE101)</f>
        <v>0</v>
      </c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/>
      <c r="BA101" s="42"/>
      <c r="BB101" s="15">
        <f>AH101+AJ101+AL101+AN101+AP101+AR101+AT101+AV101+AX101+AZ101</f>
        <v>0</v>
      </c>
      <c r="BC101" s="15"/>
      <c r="BD101" s="44"/>
      <c r="BE101" s="15"/>
      <c r="BF101" s="44"/>
      <c r="BG101" s="15">
        <f>(BC101+BE101)</f>
        <v>0</v>
      </c>
    </row>
    <row r="102" spans="1:59" s="8" customFormat="1" ht="22.5" hidden="1" customHeight="1">
      <c r="A102" s="9"/>
      <c r="B102" s="18" t="s">
        <v>172</v>
      </c>
      <c r="C102" s="89" t="s">
        <v>132</v>
      </c>
      <c r="D102" s="109" t="s">
        <v>177</v>
      </c>
      <c r="E102" s="110"/>
      <c r="F102" s="111" t="s">
        <v>1165</v>
      </c>
      <c r="G102" s="111" t="s">
        <v>1166</v>
      </c>
      <c r="H102" s="96"/>
      <c r="I102" s="21"/>
      <c r="J102" s="21" t="s">
        <v>67</v>
      </c>
      <c r="K102" s="14"/>
      <c r="L102" s="14"/>
      <c r="M102" s="12">
        <v>300</v>
      </c>
      <c r="N102" s="9"/>
      <c r="O102" s="9"/>
      <c r="P102" s="9"/>
      <c r="Q102" s="38">
        <f>M102+X102-AG102-BB102</f>
        <v>300</v>
      </c>
      <c r="R102" s="12"/>
      <c r="S102" s="42"/>
      <c r="T102" s="15"/>
      <c r="U102" s="44"/>
      <c r="V102" s="15"/>
      <c r="W102" s="44"/>
      <c r="X102" s="15">
        <f>R102+T102+V102</f>
        <v>0</v>
      </c>
      <c r="Y102" s="15"/>
      <c r="Z102" s="44"/>
      <c r="AA102" s="15"/>
      <c r="AB102" s="44"/>
      <c r="AC102" s="15"/>
      <c r="AD102" s="44"/>
      <c r="AE102" s="15"/>
      <c r="AF102" s="44"/>
      <c r="AG102" s="15">
        <f>(Y102+AA102+AC102+AE102)</f>
        <v>0</v>
      </c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/>
      <c r="BA102" s="42"/>
      <c r="BB102" s="15">
        <f>AH102+AJ102+AL102+AN102+AP102+AR102+AT102+AV102+AX102+AZ102</f>
        <v>0</v>
      </c>
      <c r="BC102" s="15"/>
      <c r="BD102" s="44"/>
      <c r="BE102" s="15"/>
      <c r="BF102" s="44"/>
      <c r="BG102" s="15">
        <f>(BC102+BE102)</f>
        <v>0</v>
      </c>
    </row>
    <row r="103" spans="1:59" s="8" customFormat="1" ht="22.5" hidden="1" customHeight="1">
      <c r="A103" s="9"/>
      <c r="B103" s="18" t="s">
        <v>172</v>
      </c>
      <c r="C103" s="89" t="s">
        <v>132</v>
      </c>
      <c r="D103" s="109" t="s">
        <v>178</v>
      </c>
      <c r="E103" s="110" t="s">
        <v>179</v>
      </c>
      <c r="F103" s="111" t="s">
        <v>1167</v>
      </c>
      <c r="G103" s="111" t="s">
        <v>1168</v>
      </c>
      <c r="H103" s="96"/>
      <c r="I103" s="21"/>
      <c r="J103" s="21" t="s">
        <v>67</v>
      </c>
      <c r="K103" s="14"/>
      <c r="L103" s="14"/>
      <c r="M103" s="12">
        <v>101</v>
      </c>
      <c r="N103" s="9"/>
      <c r="O103" s="9"/>
      <c r="P103" s="9"/>
      <c r="Q103" s="38">
        <f>M103+X103-AG103-BB103</f>
        <v>101</v>
      </c>
      <c r="R103" s="12"/>
      <c r="S103" s="42"/>
      <c r="T103" s="15"/>
      <c r="U103" s="44"/>
      <c r="V103" s="15"/>
      <c r="W103" s="44"/>
      <c r="X103" s="15">
        <f>R103+T103+V103</f>
        <v>0</v>
      </c>
      <c r="Y103" s="15"/>
      <c r="Z103" s="44"/>
      <c r="AA103" s="15"/>
      <c r="AB103" s="44"/>
      <c r="AC103" s="15"/>
      <c r="AD103" s="44"/>
      <c r="AE103" s="15"/>
      <c r="AF103" s="44"/>
      <c r="AG103" s="15">
        <f>(Y103+AA103+AC103+AE103)</f>
        <v>0</v>
      </c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/>
      <c r="BA103" s="42"/>
      <c r="BB103" s="15">
        <f>AH103+AJ103+AL103+AN103+AP103+AR103+AT103+AV103+AX103+AZ103</f>
        <v>0</v>
      </c>
      <c r="BC103" s="15"/>
      <c r="BD103" s="44"/>
      <c r="BE103" s="15"/>
      <c r="BF103" s="44"/>
      <c r="BG103" s="15">
        <f>(BC103+BE103)</f>
        <v>0</v>
      </c>
    </row>
    <row r="104" spans="1:59" s="8" customFormat="1" ht="22.5" hidden="1" customHeight="1">
      <c r="A104" s="9"/>
      <c r="B104" s="18" t="s">
        <v>172</v>
      </c>
      <c r="C104" s="89" t="s">
        <v>132</v>
      </c>
      <c r="D104" s="109" t="s">
        <v>180</v>
      </c>
      <c r="E104" s="110"/>
      <c r="F104" s="111" t="s">
        <v>1169</v>
      </c>
      <c r="G104" s="111" t="s">
        <v>1170</v>
      </c>
      <c r="H104" s="96"/>
      <c r="I104" s="21"/>
      <c r="J104" s="21" t="s">
        <v>67</v>
      </c>
      <c r="K104" s="14"/>
      <c r="L104" s="14"/>
      <c r="M104" s="12"/>
      <c r="N104" s="9"/>
      <c r="O104" s="9"/>
      <c r="P104" s="9"/>
      <c r="Q104" s="38">
        <f>M104+X104-AG104-BB104</f>
        <v>0</v>
      </c>
      <c r="R104" s="12"/>
      <c r="S104" s="42"/>
      <c r="T104" s="15"/>
      <c r="U104" s="44"/>
      <c r="V104" s="15"/>
      <c r="W104" s="44"/>
      <c r="X104" s="15">
        <f>R104+T104+V104</f>
        <v>0</v>
      </c>
      <c r="Y104" s="15"/>
      <c r="Z104" s="44"/>
      <c r="AA104" s="15"/>
      <c r="AB104" s="44"/>
      <c r="AC104" s="15"/>
      <c r="AD104" s="44"/>
      <c r="AE104" s="15"/>
      <c r="AF104" s="44"/>
      <c r="AG104" s="15">
        <f>(Y104+AA104+AC104+AE104)</f>
        <v>0</v>
      </c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/>
      <c r="BA104" s="42"/>
      <c r="BB104" s="15">
        <f>AH104+AJ104+AL104+AN104+AP104+AR104+AT104+AV104+AX104+AZ104</f>
        <v>0</v>
      </c>
      <c r="BC104" s="15"/>
      <c r="BD104" s="44"/>
      <c r="BE104" s="15"/>
      <c r="BF104" s="44"/>
      <c r="BG104" s="15">
        <f>(BC104+BE104)</f>
        <v>0</v>
      </c>
    </row>
    <row r="105" spans="1:59" s="8" customFormat="1" ht="22.5" hidden="1" customHeight="1">
      <c r="A105" s="9"/>
      <c r="B105" s="18" t="s">
        <v>172</v>
      </c>
      <c r="C105" s="89" t="s">
        <v>132</v>
      </c>
      <c r="D105" s="109" t="s">
        <v>181</v>
      </c>
      <c r="E105" s="110"/>
      <c r="F105" s="111" t="s">
        <v>1171</v>
      </c>
      <c r="G105" s="111" t="s">
        <v>1172</v>
      </c>
      <c r="H105" s="96"/>
      <c r="I105" s="21"/>
      <c r="J105" s="21" t="s">
        <v>67</v>
      </c>
      <c r="K105" s="14"/>
      <c r="L105" s="14"/>
      <c r="M105" s="12"/>
      <c r="N105" s="9"/>
      <c r="O105" s="9"/>
      <c r="P105" s="9"/>
      <c r="Q105" s="38">
        <f>M105+X105-AG105-BB105</f>
        <v>0</v>
      </c>
      <c r="R105" s="12"/>
      <c r="S105" s="42"/>
      <c r="T105" s="15"/>
      <c r="U105" s="44"/>
      <c r="V105" s="15"/>
      <c r="W105" s="44"/>
      <c r="X105" s="15">
        <f>R105+T105+V105</f>
        <v>0</v>
      </c>
      <c r="Y105" s="15"/>
      <c r="Z105" s="44"/>
      <c r="AA105" s="15"/>
      <c r="AB105" s="44"/>
      <c r="AC105" s="15"/>
      <c r="AD105" s="44"/>
      <c r="AE105" s="15"/>
      <c r="AF105" s="44"/>
      <c r="AG105" s="15">
        <f>(Y105+AA105+AC105+AE105)</f>
        <v>0</v>
      </c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/>
      <c r="BA105" s="42"/>
      <c r="BB105" s="15">
        <f>AH105+AJ105+AL105+AN105+AP105+AR105+AT105+AV105+AX105+AZ105</f>
        <v>0</v>
      </c>
      <c r="BC105" s="15"/>
      <c r="BD105" s="44"/>
      <c r="BE105" s="15"/>
      <c r="BF105" s="44"/>
      <c r="BG105" s="15">
        <f>(BC105+BE105)</f>
        <v>0</v>
      </c>
    </row>
    <row r="106" spans="1:59" s="8" customFormat="1" ht="22.5" hidden="1" customHeight="1">
      <c r="A106" s="9"/>
      <c r="B106" s="18" t="s">
        <v>172</v>
      </c>
      <c r="C106" s="89" t="s">
        <v>132</v>
      </c>
      <c r="D106" s="109" t="s">
        <v>182</v>
      </c>
      <c r="E106" s="110"/>
      <c r="F106" s="111" t="s">
        <v>1173</v>
      </c>
      <c r="G106" s="111" t="s">
        <v>1174</v>
      </c>
      <c r="H106" s="96"/>
      <c r="I106" s="21"/>
      <c r="J106" s="21" t="s">
        <v>67</v>
      </c>
      <c r="K106" s="14"/>
      <c r="L106" s="14"/>
      <c r="M106" s="12">
        <v>335</v>
      </c>
      <c r="N106" s="9"/>
      <c r="O106" s="9"/>
      <c r="P106" s="9"/>
      <c r="Q106" s="38">
        <f>M106+X106-AG106-BB106</f>
        <v>335</v>
      </c>
      <c r="R106" s="12"/>
      <c r="S106" s="42"/>
      <c r="T106" s="15"/>
      <c r="U106" s="44"/>
      <c r="V106" s="15"/>
      <c r="W106" s="44"/>
      <c r="X106" s="15">
        <f>R106+T106+V106</f>
        <v>0</v>
      </c>
      <c r="Y106" s="15"/>
      <c r="Z106" s="44"/>
      <c r="AA106" s="15"/>
      <c r="AB106" s="44"/>
      <c r="AC106" s="15"/>
      <c r="AD106" s="44"/>
      <c r="AE106" s="15"/>
      <c r="AF106" s="44"/>
      <c r="AG106" s="15">
        <f>(Y106+AA106+AC106+AE106)</f>
        <v>0</v>
      </c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/>
      <c r="BA106" s="42"/>
      <c r="BB106" s="15">
        <f>AH106+AJ106+AL106+AN106+AP106+AR106+AT106+AV106+AX106+AZ106</f>
        <v>0</v>
      </c>
      <c r="BC106" s="15"/>
      <c r="BD106" s="44"/>
      <c r="BE106" s="15"/>
      <c r="BF106" s="44"/>
      <c r="BG106" s="15">
        <f>(BC106+BE106)</f>
        <v>0</v>
      </c>
    </row>
    <row r="107" spans="1:59" s="8" customFormat="1" ht="22.5" hidden="1" customHeight="1">
      <c r="A107" s="9"/>
      <c r="B107" s="18" t="s">
        <v>172</v>
      </c>
      <c r="C107" s="89" t="s">
        <v>132</v>
      </c>
      <c r="D107" s="109" t="s">
        <v>183</v>
      </c>
      <c r="E107" s="110"/>
      <c r="F107" s="111" t="s">
        <v>1175</v>
      </c>
      <c r="G107" s="111" t="s">
        <v>1176</v>
      </c>
      <c r="H107" s="96"/>
      <c r="I107" s="21"/>
      <c r="J107" s="21" t="s">
        <v>67</v>
      </c>
      <c r="K107" s="14"/>
      <c r="L107" s="14"/>
      <c r="M107" s="12">
        <v>335</v>
      </c>
      <c r="N107" s="9"/>
      <c r="O107" s="9"/>
      <c r="P107" s="9"/>
      <c r="Q107" s="38">
        <f>M107+X107-AG107-BB107</f>
        <v>335</v>
      </c>
      <c r="R107" s="12"/>
      <c r="S107" s="42"/>
      <c r="T107" s="15"/>
      <c r="U107" s="44"/>
      <c r="V107" s="15"/>
      <c r="W107" s="44"/>
      <c r="X107" s="15">
        <f>R107+T107+V107</f>
        <v>0</v>
      </c>
      <c r="Y107" s="15"/>
      <c r="Z107" s="44"/>
      <c r="AA107" s="15"/>
      <c r="AB107" s="44"/>
      <c r="AC107" s="15"/>
      <c r="AD107" s="44"/>
      <c r="AE107" s="15"/>
      <c r="AF107" s="44"/>
      <c r="AG107" s="15">
        <f>(Y107+AA107+AC107+AE107)</f>
        <v>0</v>
      </c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/>
      <c r="BA107" s="42"/>
      <c r="BB107" s="15">
        <f>AH107+AJ107+AL107+AN107+AP107+AR107+AT107+AV107+AX107+AZ107</f>
        <v>0</v>
      </c>
      <c r="BC107" s="15"/>
      <c r="BD107" s="44"/>
      <c r="BE107" s="15"/>
      <c r="BF107" s="44"/>
      <c r="BG107" s="15">
        <f>(BC107+BE107)</f>
        <v>0</v>
      </c>
    </row>
    <row r="108" spans="1:59" s="8" customFormat="1" ht="22.5" hidden="1" customHeight="1">
      <c r="A108" s="9"/>
      <c r="B108" s="18" t="s">
        <v>172</v>
      </c>
      <c r="C108" s="89" t="s">
        <v>132</v>
      </c>
      <c r="D108" s="109" t="s">
        <v>184</v>
      </c>
      <c r="E108" s="110"/>
      <c r="F108" s="111" t="s">
        <v>1177</v>
      </c>
      <c r="G108" s="111" t="s">
        <v>1178</v>
      </c>
      <c r="H108" s="96"/>
      <c r="I108" s="21"/>
      <c r="J108" s="21" t="s">
        <v>67</v>
      </c>
      <c r="K108" s="14"/>
      <c r="L108" s="14"/>
      <c r="M108" s="12">
        <v>58</v>
      </c>
      <c r="N108" s="9"/>
      <c r="O108" s="9"/>
      <c r="P108" s="9"/>
      <c r="Q108" s="38">
        <f>M108+X108-AG108-BB108</f>
        <v>58</v>
      </c>
      <c r="R108" s="12"/>
      <c r="S108" s="42"/>
      <c r="T108" s="15"/>
      <c r="U108" s="44"/>
      <c r="V108" s="15"/>
      <c r="W108" s="44"/>
      <c r="X108" s="15">
        <f>R108+T108+V108</f>
        <v>0</v>
      </c>
      <c r="Y108" s="15"/>
      <c r="Z108" s="44"/>
      <c r="AA108" s="15"/>
      <c r="AB108" s="44"/>
      <c r="AC108" s="15"/>
      <c r="AD108" s="44"/>
      <c r="AE108" s="15"/>
      <c r="AF108" s="44"/>
      <c r="AG108" s="15">
        <f>(Y108+AA108+AC108+AE108)</f>
        <v>0</v>
      </c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/>
      <c r="BA108" s="42"/>
      <c r="BB108" s="15">
        <f>AH108+AJ108+AL108+AN108+AP108+AR108+AT108+AV108+AX108+AZ108</f>
        <v>0</v>
      </c>
      <c r="BC108" s="15"/>
      <c r="BD108" s="44"/>
      <c r="BE108" s="15"/>
      <c r="BF108" s="44"/>
      <c r="BG108" s="15">
        <f>(BC108+BE108)</f>
        <v>0</v>
      </c>
    </row>
    <row r="109" spans="1:59" s="8" customFormat="1" ht="22.5" hidden="1" customHeight="1">
      <c r="A109" s="9"/>
      <c r="B109" s="16" t="s">
        <v>172</v>
      </c>
      <c r="C109" s="89" t="s">
        <v>132</v>
      </c>
      <c r="D109" s="109" t="s">
        <v>185</v>
      </c>
      <c r="E109" s="110"/>
      <c r="F109" s="111" t="s">
        <v>1179</v>
      </c>
      <c r="G109" s="111" t="s">
        <v>1180</v>
      </c>
      <c r="H109" s="96"/>
      <c r="I109" s="9"/>
      <c r="J109" s="9" t="s">
        <v>67</v>
      </c>
      <c r="K109" s="14"/>
      <c r="L109" s="14"/>
      <c r="M109" s="12"/>
      <c r="N109" s="9"/>
      <c r="O109" s="9"/>
      <c r="P109" s="9"/>
      <c r="Q109" s="38">
        <f>M109+X109-AG109-BB109</f>
        <v>0</v>
      </c>
      <c r="R109" s="12"/>
      <c r="S109" s="42"/>
      <c r="T109" s="15"/>
      <c r="U109" s="44"/>
      <c r="V109" s="15"/>
      <c r="W109" s="44"/>
      <c r="X109" s="15">
        <f>R109+T109+V109</f>
        <v>0</v>
      </c>
      <c r="Y109" s="15"/>
      <c r="Z109" s="44"/>
      <c r="AA109" s="15"/>
      <c r="AB109" s="44"/>
      <c r="AC109" s="15"/>
      <c r="AD109" s="44"/>
      <c r="AE109" s="15"/>
      <c r="AF109" s="44"/>
      <c r="AG109" s="15">
        <f>(Y109+AA109+AC109+AE109)</f>
        <v>0</v>
      </c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/>
      <c r="BA109" s="42"/>
      <c r="BB109" s="15">
        <f>AH109+AJ109+AL109+AN109+AP109+AR109+AT109+AV109+AX109+AZ109</f>
        <v>0</v>
      </c>
      <c r="BC109" s="15"/>
      <c r="BD109" s="44"/>
      <c r="BE109" s="15"/>
      <c r="BF109" s="44"/>
      <c r="BG109" s="15">
        <f>(BC109+BE109)</f>
        <v>0</v>
      </c>
    </row>
    <row r="110" spans="1:59" s="8" customFormat="1" ht="22.5" hidden="1" customHeight="1">
      <c r="A110" s="9"/>
      <c r="B110" s="16" t="s">
        <v>172</v>
      </c>
      <c r="C110" s="89" t="s">
        <v>132</v>
      </c>
      <c r="D110" s="109" t="s">
        <v>186</v>
      </c>
      <c r="E110" s="110" t="s">
        <v>179</v>
      </c>
      <c r="F110" s="111" t="s">
        <v>1181</v>
      </c>
      <c r="G110" s="111" t="s">
        <v>1182</v>
      </c>
      <c r="H110" s="96"/>
      <c r="I110" s="9"/>
      <c r="J110" s="9" t="s">
        <v>67</v>
      </c>
      <c r="K110" s="14"/>
      <c r="L110" s="14"/>
      <c r="M110" s="12">
        <v>340</v>
      </c>
      <c r="N110" s="9"/>
      <c r="O110" s="9"/>
      <c r="P110" s="9"/>
      <c r="Q110" s="38">
        <f>M110+X110-AG110-BB110</f>
        <v>340</v>
      </c>
      <c r="R110" s="12"/>
      <c r="S110" s="42"/>
      <c r="T110" s="15"/>
      <c r="U110" s="44"/>
      <c r="V110" s="15"/>
      <c r="W110" s="44"/>
      <c r="X110" s="15">
        <f>R110+T110+V110</f>
        <v>0</v>
      </c>
      <c r="Y110" s="15"/>
      <c r="Z110" s="44"/>
      <c r="AA110" s="15"/>
      <c r="AB110" s="44"/>
      <c r="AC110" s="15"/>
      <c r="AD110" s="44"/>
      <c r="AE110" s="15"/>
      <c r="AF110" s="44"/>
      <c r="AG110" s="15">
        <f>(Y110+AA110+AC110+AE110)</f>
        <v>0</v>
      </c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/>
      <c r="BA110" s="42"/>
      <c r="BB110" s="15">
        <f>AH110+AJ110+AL110+AN110+AP110+AR110+AT110+AV110+AX110+AZ110</f>
        <v>0</v>
      </c>
      <c r="BC110" s="15"/>
      <c r="BD110" s="44"/>
      <c r="BE110" s="15"/>
      <c r="BF110" s="44"/>
      <c r="BG110" s="15">
        <f>(BC110+BE110)</f>
        <v>0</v>
      </c>
    </row>
    <row r="111" spans="1:59" s="8" customFormat="1" ht="22.5" hidden="1" customHeight="1">
      <c r="A111" s="9"/>
      <c r="B111" s="18" t="s">
        <v>187</v>
      </c>
      <c r="C111" s="89" t="s">
        <v>132</v>
      </c>
      <c r="D111" s="109" t="s">
        <v>188</v>
      </c>
      <c r="E111" s="110" t="s">
        <v>189</v>
      </c>
      <c r="F111" s="111" t="s">
        <v>1183</v>
      </c>
      <c r="G111" s="111" t="s">
        <v>1184</v>
      </c>
      <c r="H111" s="96"/>
      <c r="I111" s="21"/>
      <c r="J111" s="21" t="s">
        <v>67</v>
      </c>
      <c r="K111" s="14"/>
      <c r="L111" s="14"/>
      <c r="M111" s="12">
        <v>325</v>
      </c>
      <c r="N111" s="36"/>
      <c r="O111" s="36"/>
      <c r="P111" s="36"/>
      <c r="Q111" s="38">
        <f>M111+X111-AG111-BB111</f>
        <v>325</v>
      </c>
      <c r="R111" s="12"/>
      <c r="S111" s="42"/>
      <c r="T111" s="15"/>
      <c r="U111" s="44"/>
      <c r="V111" s="15"/>
      <c r="W111" s="44"/>
      <c r="X111" s="15">
        <f>R111+T111+V111</f>
        <v>0</v>
      </c>
      <c r="Y111" s="15"/>
      <c r="Z111" s="44"/>
      <c r="AA111" s="15"/>
      <c r="AB111" s="44"/>
      <c r="AC111" s="15"/>
      <c r="AD111" s="44"/>
      <c r="AE111" s="15"/>
      <c r="AF111" s="44"/>
      <c r="AG111" s="15">
        <f>(Y111+AA111+AC111+AE111)</f>
        <v>0</v>
      </c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/>
      <c r="BA111" s="42"/>
      <c r="BB111" s="15">
        <f>AH111+AJ111+AL111+AN111+AP111+AR111+AT111+AV111+AX111+AZ111</f>
        <v>0</v>
      </c>
      <c r="BC111" s="15"/>
      <c r="BD111" s="44"/>
      <c r="BE111" s="15"/>
      <c r="BF111" s="44"/>
      <c r="BG111" s="15">
        <f>(BC111+BE111)</f>
        <v>0</v>
      </c>
    </row>
    <row r="112" spans="1:59" s="8" customFormat="1" ht="22.5" hidden="1" customHeight="1">
      <c r="A112" s="9"/>
      <c r="B112" s="18" t="s">
        <v>187</v>
      </c>
      <c r="C112" s="89" t="s">
        <v>190</v>
      </c>
      <c r="D112" s="109" t="s">
        <v>191</v>
      </c>
      <c r="E112" s="110" t="s">
        <v>192</v>
      </c>
      <c r="F112" s="111" t="s">
        <v>1185</v>
      </c>
      <c r="G112" s="111" t="s">
        <v>1186</v>
      </c>
      <c r="H112" s="96"/>
      <c r="I112" s="21"/>
      <c r="J112" s="21" t="s">
        <v>193</v>
      </c>
      <c r="K112" s="14"/>
      <c r="L112" s="14"/>
      <c r="M112" s="12">
        <v>440</v>
      </c>
      <c r="N112" s="9"/>
      <c r="O112" s="9"/>
      <c r="P112" s="9"/>
      <c r="Q112" s="38">
        <f>M112+X112-AG112-BB112</f>
        <v>440</v>
      </c>
      <c r="R112" s="12"/>
      <c r="S112" s="42"/>
      <c r="T112" s="15"/>
      <c r="U112" s="44"/>
      <c r="V112" s="15"/>
      <c r="W112" s="44"/>
      <c r="X112" s="15">
        <f>R112+T112+V112</f>
        <v>0</v>
      </c>
      <c r="Y112" s="15"/>
      <c r="Z112" s="44"/>
      <c r="AA112" s="15"/>
      <c r="AB112" s="44"/>
      <c r="AC112" s="15"/>
      <c r="AD112" s="44"/>
      <c r="AE112" s="15"/>
      <c r="AF112" s="44"/>
      <c r="AG112" s="15">
        <f>(Y112+AA112+AC112+AE112)</f>
        <v>0</v>
      </c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/>
      <c r="BA112" s="42"/>
      <c r="BB112" s="15">
        <f>AH112+AJ112+AL112+AN112+AP112+AR112+AT112+AV112+AX112+AZ112</f>
        <v>0</v>
      </c>
      <c r="BC112" s="15"/>
      <c r="BD112" s="44"/>
      <c r="BE112" s="15"/>
      <c r="BF112" s="44"/>
      <c r="BG112" s="15">
        <f>(BC112+BE112)</f>
        <v>0</v>
      </c>
    </row>
    <row r="113" spans="1:59" s="8" customFormat="1" ht="22.5" hidden="1" customHeight="1">
      <c r="A113" s="9"/>
      <c r="B113" s="18" t="s">
        <v>120</v>
      </c>
      <c r="C113" s="89" t="s">
        <v>132</v>
      </c>
      <c r="D113" s="109" t="s">
        <v>194</v>
      </c>
      <c r="E113" s="110" t="s">
        <v>195</v>
      </c>
      <c r="F113" s="111" t="s">
        <v>1187</v>
      </c>
      <c r="G113" s="111" t="s">
        <v>1188</v>
      </c>
      <c r="H113" s="96"/>
      <c r="I113" s="21"/>
      <c r="J113" s="21" t="s">
        <v>67</v>
      </c>
      <c r="K113" s="14"/>
      <c r="L113" s="14"/>
      <c r="M113" s="12"/>
      <c r="N113" s="9"/>
      <c r="O113" s="9"/>
      <c r="P113" s="9"/>
      <c r="Q113" s="38">
        <f>M113+X113-AG113-BB113</f>
        <v>0</v>
      </c>
      <c r="R113" s="12"/>
      <c r="S113" s="42"/>
      <c r="T113" s="15"/>
      <c r="U113" s="44"/>
      <c r="V113" s="15"/>
      <c r="W113" s="44"/>
      <c r="X113" s="15">
        <f>R113+T113+V113</f>
        <v>0</v>
      </c>
      <c r="Y113" s="15"/>
      <c r="Z113" s="44"/>
      <c r="AA113" s="15"/>
      <c r="AB113" s="44"/>
      <c r="AC113" s="15"/>
      <c r="AD113" s="44"/>
      <c r="AE113" s="15"/>
      <c r="AF113" s="44"/>
      <c r="AG113" s="15">
        <f>(Y113+AA113+AC113+AE113)</f>
        <v>0</v>
      </c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/>
      <c r="BA113" s="42"/>
      <c r="BB113" s="15">
        <f>AH113+AJ113+AL113+AN113+AP113+AR113+AT113+AV113+AX113+AZ113</f>
        <v>0</v>
      </c>
      <c r="BC113" s="15"/>
      <c r="BD113" s="44"/>
      <c r="BE113" s="15"/>
      <c r="BF113" s="44"/>
      <c r="BG113" s="15">
        <f>(BC113+BE113)</f>
        <v>0</v>
      </c>
    </row>
    <row r="114" spans="1:59" s="8" customFormat="1" ht="22.5" hidden="1" customHeight="1">
      <c r="A114" s="9"/>
      <c r="B114" s="18" t="s">
        <v>120</v>
      </c>
      <c r="C114" s="89" t="s">
        <v>132</v>
      </c>
      <c r="D114" s="109" t="s">
        <v>196</v>
      </c>
      <c r="E114" s="110" t="s">
        <v>197</v>
      </c>
      <c r="F114" s="111" t="s">
        <v>1189</v>
      </c>
      <c r="G114" s="111" t="s">
        <v>1190</v>
      </c>
      <c r="H114" s="96"/>
      <c r="I114" s="21"/>
      <c r="J114" s="21" t="s">
        <v>67</v>
      </c>
      <c r="K114" s="14"/>
      <c r="L114" s="14"/>
      <c r="M114" s="12"/>
      <c r="N114" s="9"/>
      <c r="O114" s="9"/>
      <c r="P114" s="9"/>
      <c r="Q114" s="38">
        <f>M114+X114-AG114-BB114</f>
        <v>0</v>
      </c>
      <c r="R114" s="12"/>
      <c r="S114" s="42"/>
      <c r="T114" s="15"/>
      <c r="U114" s="44"/>
      <c r="V114" s="15"/>
      <c r="W114" s="44"/>
      <c r="X114" s="15">
        <f>R114+T114+V114</f>
        <v>0</v>
      </c>
      <c r="Y114" s="15"/>
      <c r="Z114" s="44"/>
      <c r="AA114" s="15"/>
      <c r="AB114" s="44"/>
      <c r="AC114" s="15"/>
      <c r="AD114" s="44"/>
      <c r="AE114" s="15"/>
      <c r="AF114" s="44"/>
      <c r="AG114" s="15">
        <f>(Y114+AA114+AC114+AE114)</f>
        <v>0</v>
      </c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/>
      <c r="BA114" s="42"/>
      <c r="BB114" s="15">
        <f>AH114+AJ114+AL114+AN114+AP114+AR114+AT114+AV114+AX114+AZ114</f>
        <v>0</v>
      </c>
      <c r="BC114" s="15"/>
      <c r="BD114" s="44"/>
      <c r="BE114" s="15"/>
      <c r="BF114" s="44"/>
      <c r="BG114" s="15">
        <f>(BC114+BE114)</f>
        <v>0</v>
      </c>
    </row>
    <row r="115" spans="1:59" s="8" customFormat="1" ht="22.5" hidden="1" customHeight="1">
      <c r="A115" s="9"/>
      <c r="B115" s="18" t="s">
        <v>120</v>
      </c>
      <c r="C115" s="89" t="s">
        <v>132</v>
      </c>
      <c r="D115" s="109" t="s">
        <v>198</v>
      </c>
      <c r="E115" s="110" t="s">
        <v>199</v>
      </c>
      <c r="F115" s="111" t="s">
        <v>1191</v>
      </c>
      <c r="G115" s="111" t="s">
        <v>1192</v>
      </c>
      <c r="H115" s="96"/>
      <c r="I115" s="21"/>
      <c r="J115" s="21" t="s">
        <v>67</v>
      </c>
      <c r="K115" s="14"/>
      <c r="L115" s="14"/>
      <c r="M115" s="12"/>
      <c r="N115" s="9"/>
      <c r="O115" s="9"/>
      <c r="P115" s="9"/>
      <c r="Q115" s="38">
        <f>M115+X115-AG115-BB115</f>
        <v>0</v>
      </c>
      <c r="R115" s="12"/>
      <c r="S115" s="42"/>
      <c r="T115" s="15"/>
      <c r="U115" s="44"/>
      <c r="V115" s="15"/>
      <c r="W115" s="44"/>
      <c r="X115" s="15">
        <f>R115+T115+V115</f>
        <v>0</v>
      </c>
      <c r="Y115" s="15"/>
      <c r="Z115" s="44"/>
      <c r="AA115" s="15"/>
      <c r="AB115" s="44"/>
      <c r="AC115" s="15"/>
      <c r="AD115" s="44"/>
      <c r="AE115" s="15"/>
      <c r="AF115" s="44"/>
      <c r="AG115" s="15">
        <f>(Y115+AA115+AC115+AE115)</f>
        <v>0</v>
      </c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/>
      <c r="BA115" s="42"/>
      <c r="BB115" s="15">
        <f>AH115+AJ115+AL115+AN115+AP115+AR115+AT115+AV115+AX115+AZ115</f>
        <v>0</v>
      </c>
      <c r="BC115" s="15"/>
      <c r="BD115" s="44"/>
      <c r="BE115" s="15"/>
      <c r="BF115" s="44"/>
      <c r="BG115" s="15">
        <f>(BC115+BE115)</f>
        <v>0</v>
      </c>
    </row>
    <row r="116" spans="1:59" s="8" customFormat="1" ht="22.5" hidden="1" customHeight="1">
      <c r="A116" s="9"/>
      <c r="B116" s="18" t="s">
        <v>120</v>
      </c>
      <c r="C116" s="89" t="s">
        <v>132</v>
      </c>
      <c r="D116" s="109" t="s">
        <v>200</v>
      </c>
      <c r="E116" s="110" t="s">
        <v>201</v>
      </c>
      <c r="F116" s="111" t="s">
        <v>1193</v>
      </c>
      <c r="G116" s="111" t="s">
        <v>1194</v>
      </c>
      <c r="H116" s="96"/>
      <c r="I116" s="21"/>
      <c r="J116" s="21" t="s">
        <v>67</v>
      </c>
      <c r="K116" s="14"/>
      <c r="L116" s="14"/>
      <c r="M116" s="12"/>
      <c r="N116" s="9"/>
      <c r="O116" s="9"/>
      <c r="P116" s="9"/>
      <c r="Q116" s="38">
        <f>M116+X116-AG116-BB116</f>
        <v>0</v>
      </c>
      <c r="R116" s="12"/>
      <c r="S116" s="42"/>
      <c r="T116" s="15"/>
      <c r="U116" s="44"/>
      <c r="V116" s="15"/>
      <c r="W116" s="44"/>
      <c r="X116" s="15">
        <f>R116+T116+V116</f>
        <v>0</v>
      </c>
      <c r="Y116" s="15"/>
      <c r="Z116" s="44"/>
      <c r="AA116" s="15"/>
      <c r="AB116" s="44"/>
      <c r="AC116" s="15"/>
      <c r="AD116" s="44"/>
      <c r="AE116" s="15"/>
      <c r="AF116" s="44"/>
      <c r="AG116" s="15">
        <f>(Y116+AA116+AC116+AE116)</f>
        <v>0</v>
      </c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/>
      <c r="BA116" s="42"/>
      <c r="BB116" s="15">
        <f>AH116+AJ116+AL116+AN116+AP116+AR116+AT116+AV116+AX116+AZ116</f>
        <v>0</v>
      </c>
      <c r="BC116" s="15"/>
      <c r="BD116" s="44"/>
      <c r="BE116" s="15"/>
      <c r="BF116" s="44"/>
      <c r="BG116" s="15">
        <f>(BC116+BE116)</f>
        <v>0</v>
      </c>
    </row>
    <row r="117" spans="1:59" s="8" customFormat="1" ht="22.5" hidden="1" customHeight="1">
      <c r="A117" s="9"/>
      <c r="B117" s="18" t="s">
        <v>120</v>
      </c>
      <c r="C117" s="89" t="s">
        <v>132</v>
      </c>
      <c r="D117" s="109" t="s">
        <v>202</v>
      </c>
      <c r="E117" s="110" t="s">
        <v>203</v>
      </c>
      <c r="F117" s="111" t="s">
        <v>1195</v>
      </c>
      <c r="G117" s="111" t="s">
        <v>1196</v>
      </c>
      <c r="H117" s="96"/>
      <c r="I117" s="21"/>
      <c r="J117" s="21" t="s">
        <v>67</v>
      </c>
      <c r="K117" s="14"/>
      <c r="L117" s="14"/>
      <c r="M117" s="12">
        <v>60</v>
      </c>
      <c r="N117" s="9"/>
      <c r="O117" s="9"/>
      <c r="P117" s="9"/>
      <c r="Q117" s="38">
        <f>M117+X117-AG117-BB117</f>
        <v>60</v>
      </c>
      <c r="R117" s="12"/>
      <c r="S117" s="42"/>
      <c r="T117" s="15"/>
      <c r="U117" s="44"/>
      <c r="V117" s="15"/>
      <c r="W117" s="44"/>
      <c r="X117" s="15">
        <f>R117+T117+V117</f>
        <v>0</v>
      </c>
      <c r="Y117" s="15"/>
      <c r="Z117" s="44"/>
      <c r="AA117" s="15"/>
      <c r="AB117" s="44"/>
      <c r="AC117" s="15"/>
      <c r="AD117" s="44"/>
      <c r="AE117" s="15"/>
      <c r="AF117" s="44"/>
      <c r="AG117" s="15">
        <f>(Y117+AA117+AC117+AE117)</f>
        <v>0</v>
      </c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/>
      <c r="BA117" s="42"/>
      <c r="BB117" s="15">
        <f>AH117+AJ117+AL117+AN117+AP117+AR117+AT117+AV117+AX117+AZ117</f>
        <v>0</v>
      </c>
      <c r="BC117" s="15"/>
      <c r="BD117" s="44"/>
      <c r="BE117" s="15"/>
      <c r="BF117" s="44"/>
      <c r="BG117" s="15">
        <f>(BC117+BE117)</f>
        <v>0</v>
      </c>
    </row>
    <row r="118" spans="1:59" s="8" customFormat="1" ht="22.5" hidden="1" customHeight="1">
      <c r="A118" s="9"/>
      <c r="B118" s="18" t="s">
        <v>204</v>
      </c>
      <c r="C118" s="89" t="s">
        <v>132</v>
      </c>
      <c r="D118" s="109" t="s">
        <v>205</v>
      </c>
      <c r="E118" s="110" t="s">
        <v>206</v>
      </c>
      <c r="F118" s="111" t="s">
        <v>1197</v>
      </c>
      <c r="G118" s="111" t="s">
        <v>1198</v>
      </c>
      <c r="H118" s="96"/>
      <c r="I118" s="21"/>
      <c r="J118" s="21" t="s">
        <v>207</v>
      </c>
      <c r="K118" s="14"/>
      <c r="L118" s="14"/>
      <c r="M118" s="12">
        <v>350</v>
      </c>
      <c r="N118" s="9"/>
      <c r="O118" s="9"/>
      <c r="P118" s="9"/>
      <c r="Q118" s="38">
        <f>M118+X118-AG118-BB118</f>
        <v>350</v>
      </c>
      <c r="R118" s="12"/>
      <c r="S118" s="42"/>
      <c r="T118" s="15"/>
      <c r="U118" s="44"/>
      <c r="V118" s="15"/>
      <c r="W118" s="44"/>
      <c r="X118" s="15">
        <f>R118+T118+V118</f>
        <v>0</v>
      </c>
      <c r="Y118" s="15"/>
      <c r="Z118" s="44"/>
      <c r="AA118" s="15"/>
      <c r="AB118" s="44"/>
      <c r="AC118" s="15"/>
      <c r="AD118" s="44"/>
      <c r="AE118" s="15"/>
      <c r="AF118" s="44"/>
      <c r="AG118" s="15">
        <f>(Y118+AA118+AC118+AE118)</f>
        <v>0</v>
      </c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/>
      <c r="BA118" s="42"/>
      <c r="BB118" s="15">
        <f>AH118+AJ118+AL118+AN118+AP118+AR118+AT118+AV118+AX118+AZ118</f>
        <v>0</v>
      </c>
      <c r="BC118" s="15"/>
      <c r="BD118" s="44"/>
      <c r="BE118" s="15"/>
      <c r="BF118" s="44"/>
      <c r="BG118" s="15">
        <f>(BC118+BE118)</f>
        <v>0</v>
      </c>
    </row>
    <row r="119" spans="1:59" s="8" customFormat="1" ht="22.5" hidden="1" customHeight="1">
      <c r="A119" s="9"/>
      <c r="B119" s="18" t="s">
        <v>204</v>
      </c>
      <c r="C119" s="89" t="s">
        <v>132</v>
      </c>
      <c r="D119" s="109" t="s">
        <v>208</v>
      </c>
      <c r="E119" s="110"/>
      <c r="F119" s="111" t="s">
        <v>1199</v>
      </c>
      <c r="G119" s="111" t="s">
        <v>1200</v>
      </c>
      <c r="H119" s="96"/>
      <c r="I119" s="21"/>
      <c r="J119" s="21" t="s">
        <v>67</v>
      </c>
      <c r="K119" s="14"/>
      <c r="L119" s="14"/>
      <c r="M119" s="12">
        <v>87</v>
      </c>
      <c r="N119" s="9"/>
      <c r="O119" s="9"/>
      <c r="P119" s="9"/>
      <c r="Q119" s="38">
        <f>M119+X119-AG119-BB119</f>
        <v>87</v>
      </c>
      <c r="R119" s="12"/>
      <c r="S119" s="42"/>
      <c r="T119" s="15"/>
      <c r="U119" s="44"/>
      <c r="V119" s="15"/>
      <c r="W119" s="44"/>
      <c r="X119" s="15">
        <f>R119+T119+V119</f>
        <v>0</v>
      </c>
      <c r="Y119" s="15"/>
      <c r="Z119" s="44"/>
      <c r="AA119" s="15"/>
      <c r="AB119" s="44"/>
      <c r="AC119" s="15"/>
      <c r="AD119" s="44"/>
      <c r="AE119" s="15"/>
      <c r="AF119" s="44"/>
      <c r="AG119" s="15">
        <f>(Y119+AA119+AC119+AE119)</f>
        <v>0</v>
      </c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/>
      <c r="BA119" s="42"/>
      <c r="BB119" s="15">
        <f>AH119+AJ119+AL119+AN119+AP119+AR119+AT119+AV119+AX119+AZ119</f>
        <v>0</v>
      </c>
      <c r="BC119" s="15"/>
      <c r="BD119" s="44"/>
      <c r="BE119" s="15"/>
      <c r="BF119" s="44"/>
      <c r="BG119" s="15">
        <f>(BC119+BE119)</f>
        <v>0</v>
      </c>
    </row>
    <row r="120" spans="1:59" s="8" customFormat="1" ht="22.5" hidden="1" customHeight="1">
      <c r="A120" s="9"/>
      <c r="B120" s="18" t="s">
        <v>204</v>
      </c>
      <c r="C120" s="89" t="s">
        <v>132</v>
      </c>
      <c r="D120" s="109" t="s">
        <v>209</v>
      </c>
      <c r="E120" s="110" t="s">
        <v>210</v>
      </c>
      <c r="F120" s="111" t="s">
        <v>1201</v>
      </c>
      <c r="G120" s="111" t="s">
        <v>1202</v>
      </c>
      <c r="H120" s="96"/>
      <c r="I120" s="21"/>
      <c r="J120" s="21" t="s">
        <v>207</v>
      </c>
      <c r="K120" s="14"/>
      <c r="L120" s="14"/>
      <c r="M120" s="12">
        <v>149</v>
      </c>
      <c r="N120" s="9"/>
      <c r="O120" s="9"/>
      <c r="P120" s="9"/>
      <c r="Q120" s="38">
        <f>M120+X120-AG120-BB120</f>
        <v>149</v>
      </c>
      <c r="R120" s="12"/>
      <c r="S120" s="42"/>
      <c r="T120" s="15"/>
      <c r="U120" s="44"/>
      <c r="V120" s="15"/>
      <c r="W120" s="44"/>
      <c r="X120" s="15">
        <f>R120+T120+V120</f>
        <v>0</v>
      </c>
      <c r="Y120" s="15"/>
      <c r="Z120" s="44"/>
      <c r="AA120" s="15"/>
      <c r="AB120" s="44"/>
      <c r="AC120" s="15"/>
      <c r="AD120" s="44"/>
      <c r="AE120" s="15"/>
      <c r="AF120" s="44"/>
      <c r="AG120" s="15">
        <f>(Y120+AA120+AC120+AE120)</f>
        <v>0</v>
      </c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/>
      <c r="BA120" s="42"/>
      <c r="BB120" s="15">
        <f>AH120+AJ120+AL120+AN120+AP120+AR120+AT120+AV120+AX120+AZ120</f>
        <v>0</v>
      </c>
      <c r="BC120" s="15"/>
      <c r="BD120" s="44"/>
      <c r="BE120" s="15"/>
      <c r="BF120" s="44"/>
      <c r="BG120" s="15">
        <f>(BC120+BE120)</f>
        <v>0</v>
      </c>
    </row>
    <row r="121" spans="1:59" s="8" customFormat="1" ht="22.5" hidden="1" customHeight="1">
      <c r="A121" s="9"/>
      <c r="B121" s="18" t="s">
        <v>204</v>
      </c>
      <c r="C121" s="89" t="s">
        <v>132</v>
      </c>
      <c r="D121" s="109" t="s">
        <v>209</v>
      </c>
      <c r="E121" s="110" t="s">
        <v>206</v>
      </c>
      <c r="F121" s="111" t="s">
        <v>1203</v>
      </c>
      <c r="G121" s="111" t="s">
        <v>1204</v>
      </c>
      <c r="H121" s="96"/>
      <c r="I121" s="21"/>
      <c r="J121" s="21" t="s">
        <v>207</v>
      </c>
      <c r="K121" s="14"/>
      <c r="L121" s="14"/>
      <c r="M121" s="12">
        <v>63</v>
      </c>
      <c r="N121" s="9"/>
      <c r="O121" s="9"/>
      <c r="P121" s="9"/>
      <c r="Q121" s="38">
        <f>M121+X121-AG121-BB121</f>
        <v>63</v>
      </c>
      <c r="R121" s="12"/>
      <c r="S121" s="42"/>
      <c r="T121" s="15"/>
      <c r="U121" s="44"/>
      <c r="V121" s="15"/>
      <c r="W121" s="44"/>
      <c r="X121" s="15">
        <f>R121+T121+V121</f>
        <v>0</v>
      </c>
      <c r="Y121" s="15"/>
      <c r="Z121" s="44"/>
      <c r="AA121" s="15"/>
      <c r="AB121" s="44"/>
      <c r="AC121" s="15"/>
      <c r="AD121" s="44"/>
      <c r="AE121" s="15"/>
      <c r="AF121" s="44"/>
      <c r="AG121" s="15">
        <f>(Y121+AA121+AC121+AE121)</f>
        <v>0</v>
      </c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/>
      <c r="BA121" s="42"/>
      <c r="BB121" s="15">
        <f>AH121+AJ121+AL121+AN121+AP121+AR121+AT121+AV121+AX121+AZ121</f>
        <v>0</v>
      </c>
      <c r="BC121" s="15"/>
      <c r="BD121" s="44"/>
      <c r="BE121" s="15"/>
      <c r="BF121" s="44"/>
      <c r="BG121" s="15">
        <f>(BC121+BE121)</f>
        <v>0</v>
      </c>
    </row>
    <row r="122" spans="1:59" s="8" customFormat="1" ht="22.5" hidden="1" customHeight="1">
      <c r="A122" s="9"/>
      <c r="B122" s="18" t="s">
        <v>204</v>
      </c>
      <c r="C122" s="89" t="s">
        <v>132</v>
      </c>
      <c r="D122" s="109" t="s">
        <v>212</v>
      </c>
      <c r="E122" s="110" t="s">
        <v>210</v>
      </c>
      <c r="F122" s="111" t="s">
        <v>1205</v>
      </c>
      <c r="G122" s="111" t="s">
        <v>1206</v>
      </c>
      <c r="H122" s="96"/>
      <c r="I122" s="21"/>
      <c r="J122" s="21" t="s">
        <v>207</v>
      </c>
      <c r="K122" s="14"/>
      <c r="L122" s="14"/>
      <c r="M122" s="12">
        <v>198</v>
      </c>
      <c r="N122" s="9"/>
      <c r="O122" s="9"/>
      <c r="P122" s="9"/>
      <c r="Q122" s="38">
        <f>M122+X122-AG122-BB122</f>
        <v>198</v>
      </c>
      <c r="R122" s="12"/>
      <c r="S122" s="42"/>
      <c r="T122" s="15"/>
      <c r="U122" s="44"/>
      <c r="V122" s="15"/>
      <c r="W122" s="44"/>
      <c r="X122" s="15">
        <f>R122+T122+V122</f>
        <v>0</v>
      </c>
      <c r="Y122" s="15"/>
      <c r="Z122" s="44"/>
      <c r="AA122" s="15"/>
      <c r="AB122" s="44"/>
      <c r="AC122" s="15"/>
      <c r="AD122" s="44"/>
      <c r="AE122" s="15"/>
      <c r="AF122" s="44"/>
      <c r="AG122" s="15">
        <f>(Y122+AA122+AC122+AE122)</f>
        <v>0</v>
      </c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/>
      <c r="BA122" s="42"/>
      <c r="BB122" s="15">
        <f>AH122+AJ122+AL122+AN122+AP122+AR122+AT122+AV122+AX122+AZ122</f>
        <v>0</v>
      </c>
      <c r="BC122" s="15"/>
      <c r="BD122" s="44"/>
      <c r="BE122" s="15"/>
      <c r="BF122" s="44"/>
      <c r="BG122" s="15">
        <f>(BC122+BE122)</f>
        <v>0</v>
      </c>
    </row>
    <row r="123" spans="1:59" s="8" customFormat="1" ht="22.5" hidden="1" customHeight="1">
      <c r="A123" s="9"/>
      <c r="B123" s="18" t="s">
        <v>204</v>
      </c>
      <c r="C123" s="89" t="s">
        <v>132</v>
      </c>
      <c r="D123" s="109" t="s">
        <v>212</v>
      </c>
      <c r="E123" s="110" t="s">
        <v>206</v>
      </c>
      <c r="F123" s="111" t="s">
        <v>1207</v>
      </c>
      <c r="G123" s="111" t="s">
        <v>1208</v>
      </c>
      <c r="H123" s="96"/>
      <c r="I123" s="21"/>
      <c r="J123" s="21" t="s">
        <v>207</v>
      </c>
      <c r="K123" s="14"/>
      <c r="L123" s="14"/>
      <c r="M123" s="12">
        <v>118</v>
      </c>
      <c r="N123" s="9"/>
      <c r="O123" s="9"/>
      <c r="P123" s="9"/>
      <c r="Q123" s="38">
        <f>M123+X123-AG123-BB123</f>
        <v>118</v>
      </c>
      <c r="R123" s="12"/>
      <c r="S123" s="42"/>
      <c r="T123" s="15"/>
      <c r="U123" s="44"/>
      <c r="V123" s="15"/>
      <c r="W123" s="44"/>
      <c r="X123" s="15">
        <f>R123+T123+V123</f>
        <v>0</v>
      </c>
      <c r="Y123" s="15"/>
      <c r="Z123" s="44"/>
      <c r="AA123" s="15"/>
      <c r="AB123" s="44"/>
      <c r="AC123" s="15"/>
      <c r="AD123" s="44"/>
      <c r="AE123" s="15"/>
      <c r="AF123" s="44"/>
      <c r="AG123" s="15">
        <f>(Y123+AA123+AC123+AE123)</f>
        <v>0</v>
      </c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/>
      <c r="BA123" s="42"/>
      <c r="BB123" s="15">
        <f>AH123+AJ123+AL123+AN123+AP123+AR123+AT123+AV123+AX123+AZ123</f>
        <v>0</v>
      </c>
      <c r="BC123" s="15"/>
      <c r="BD123" s="44"/>
      <c r="BE123" s="15"/>
      <c r="BF123" s="44"/>
      <c r="BG123" s="15">
        <f>(BC123+BE123)</f>
        <v>0</v>
      </c>
    </row>
    <row r="124" spans="1:59" s="8" customFormat="1" ht="22.5" hidden="1" customHeight="1">
      <c r="A124" s="9"/>
      <c r="B124" s="18" t="s">
        <v>204</v>
      </c>
      <c r="C124" s="89" t="s">
        <v>132</v>
      </c>
      <c r="D124" s="109" t="s">
        <v>213</v>
      </c>
      <c r="E124" s="110" t="s">
        <v>214</v>
      </c>
      <c r="F124" s="111" t="s">
        <v>1209</v>
      </c>
      <c r="G124" s="111" t="s">
        <v>1210</v>
      </c>
      <c r="H124" s="96"/>
      <c r="I124" s="21"/>
      <c r="J124" s="21" t="s">
        <v>207</v>
      </c>
      <c r="K124" s="14"/>
      <c r="L124" s="14"/>
      <c r="M124" s="12">
        <v>496</v>
      </c>
      <c r="N124" s="9"/>
      <c r="O124" s="9"/>
      <c r="P124" s="9"/>
      <c r="Q124" s="38">
        <f>M124+X124-AG124-BB124</f>
        <v>496</v>
      </c>
      <c r="R124" s="12"/>
      <c r="S124" s="42"/>
      <c r="T124" s="15"/>
      <c r="U124" s="44"/>
      <c r="V124" s="15"/>
      <c r="W124" s="44"/>
      <c r="X124" s="15">
        <f>R124+T124+V124</f>
        <v>0</v>
      </c>
      <c r="Y124" s="15"/>
      <c r="Z124" s="44"/>
      <c r="AA124" s="15"/>
      <c r="AB124" s="44"/>
      <c r="AC124" s="15"/>
      <c r="AD124" s="44"/>
      <c r="AE124" s="15"/>
      <c r="AF124" s="44"/>
      <c r="AG124" s="15">
        <f>(Y124+AA124+AC124+AE124)</f>
        <v>0</v>
      </c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/>
      <c r="BA124" s="42"/>
      <c r="BB124" s="15">
        <f>AH124+AJ124+AL124+AN124+AP124+AR124+AT124+AV124+AX124+AZ124</f>
        <v>0</v>
      </c>
      <c r="BC124" s="15"/>
      <c r="BD124" s="44"/>
      <c r="BE124" s="15"/>
      <c r="BF124" s="44"/>
      <c r="BG124" s="15">
        <f>(BC124+BE124)</f>
        <v>0</v>
      </c>
    </row>
    <row r="125" spans="1:59" s="8" customFormat="1" ht="22.5" hidden="1" customHeight="1">
      <c r="A125" s="9"/>
      <c r="B125" s="18" t="s">
        <v>204</v>
      </c>
      <c r="C125" s="89" t="s">
        <v>132</v>
      </c>
      <c r="D125" s="109" t="s">
        <v>216</v>
      </c>
      <c r="E125" s="110" t="s">
        <v>217</v>
      </c>
      <c r="F125" s="111" t="s">
        <v>1212</v>
      </c>
      <c r="G125" s="111" t="s">
        <v>1213</v>
      </c>
      <c r="H125" s="96"/>
      <c r="I125" s="21"/>
      <c r="J125" s="21" t="s">
        <v>207</v>
      </c>
      <c r="K125" s="14"/>
      <c r="L125" s="14"/>
      <c r="M125" s="12">
        <v>520</v>
      </c>
      <c r="N125" s="9"/>
      <c r="O125" s="9"/>
      <c r="P125" s="9"/>
      <c r="Q125" s="38">
        <f>M125+X125-AG125-BB125</f>
        <v>520</v>
      </c>
      <c r="R125" s="12"/>
      <c r="S125" s="42"/>
      <c r="T125" s="15"/>
      <c r="U125" s="44"/>
      <c r="V125" s="15"/>
      <c r="W125" s="44"/>
      <c r="X125" s="15">
        <f>R125+T125+V125</f>
        <v>0</v>
      </c>
      <c r="Y125" s="15"/>
      <c r="Z125" s="44"/>
      <c r="AA125" s="15"/>
      <c r="AB125" s="44"/>
      <c r="AC125" s="15"/>
      <c r="AD125" s="44"/>
      <c r="AE125" s="15"/>
      <c r="AF125" s="44"/>
      <c r="AG125" s="15">
        <f>(Y125+AA125+AC125+AE125)</f>
        <v>0</v>
      </c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/>
      <c r="BA125" s="42"/>
      <c r="BB125" s="15">
        <f>AH125+AJ125+AL125+AN125+AP125+AR125+AT125+AV125+AX125+AZ125</f>
        <v>0</v>
      </c>
      <c r="BC125" s="15"/>
      <c r="BD125" s="44"/>
      <c r="BE125" s="15"/>
      <c r="BF125" s="44"/>
      <c r="BG125" s="15">
        <f>(BC125+BE125)</f>
        <v>0</v>
      </c>
    </row>
    <row r="126" spans="1:59" s="8" customFormat="1" ht="22.5" hidden="1" customHeight="1">
      <c r="A126" s="9"/>
      <c r="B126" s="18" t="s">
        <v>204</v>
      </c>
      <c r="C126" s="89" t="s">
        <v>132</v>
      </c>
      <c r="D126" s="109" t="s">
        <v>218</v>
      </c>
      <c r="E126" s="110" t="s">
        <v>217</v>
      </c>
      <c r="F126" s="111" t="s">
        <v>1214</v>
      </c>
      <c r="G126" s="111" t="s">
        <v>1215</v>
      </c>
      <c r="H126" s="96"/>
      <c r="I126" s="21"/>
      <c r="J126" s="21" t="s">
        <v>207</v>
      </c>
      <c r="K126" s="14"/>
      <c r="L126" s="14"/>
      <c r="M126" s="12">
        <v>700</v>
      </c>
      <c r="N126" s="9"/>
      <c r="O126" s="9"/>
      <c r="P126" s="9"/>
      <c r="Q126" s="38">
        <f>M126+X126-AG126-BB126</f>
        <v>700</v>
      </c>
      <c r="R126" s="12"/>
      <c r="S126" s="42"/>
      <c r="T126" s="15"/>
      <c r="U126" s="44"/>
      <c r="V126" s="15"/>
      <c r="W126" s="44"/>
      <c r="X126" s="15">
        <f>R126+T126+V126</f>
        <v>0</v>
      </c>
      <c r="Y126" s="15"/>
      <c r="Z126" s="44"/>
      <c r="AA126" s="15"/>
      <c r="AB126" s="44"/>
      <c r="AC126" s="15"/>
      <c r="AD126" s="44"/>
      <c r="AE126" s="15"/>
      <c r="AF126" s="44"/>
      <c r="AG126" s="15">
        <f>(Y126+AA126+AC126+AE126)</f>
        <v>0</v>
      </c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/>
      <c r="BA126" s="42"/>
      <c r="BB126" s="15">
        <f>AH126+AJ126+AL126+AN126+AP126+AR126+AT126+AV126+AX126+AZ126</f>
        <v>0</v>
      </c>
      <c r="BC126" s="15"/>
      <c r="BD126" s="44"/>
      <c r="BE126" s="15"/>
      <c r="BF126" s="44"/>
      <c r="BG126" s="15">
        <f>(BC126+BE126)</f>
        <v>0</v>
      </c>
    </row>
    <row r="127" spans="1:59" s="8" customFormat="1" ht="22.5" hidden="1" customHeight="1">
      <c r="A127" s="9"/>
      <c r="B127" s="18" t="s">
        <v>204</v>
      </c>
      <c r="C127" s="89" t="s">
        <v>132</v>
      </c>
      <c r="D127" s="109" t="s">
        <v>219</v>
      </c>
      <c r="E127" s="110" t="s">
        <v>217</v>
      </c>
      <c r="F127" s="111" t="s">
        <v>1216</v>
      </c>
      <c r="G127" s="111" t="s">
        <v>1217</v>
      </c>
      <c r="H127" s="96"/>
      <c r="I127" s="21"/>
      <c r="J127" s="21" t="s">
        <v>207</v>
      </c>
      <c r="K127" s="14"/>
      <c r="L127" s="14"/>
      <c r="M127" s="12">
        <v>595</v>
      </c>
      <c r="N127" s="9"/>
      <c r="O127" s="9"/>
      <c r="P127" s="9"/>
      <c r="Q127" s="38">
        <f>M127+X127-AG127-BB127</f>
        <v>595</v>
      </c>
      <c r="R127" s="12"/>
      <c r="S127" s="42"/>
      <c r="T127" s="15"/>
      <c r="U127" s="44"/>
      <c r="V127" s="15"/>
      <c r="W127" s="44"/>
      <c r="X127" s="15">
        <f>R127+T127+V127</f>
        <v>0</v>
      </c>
      <c r="Y127" s="15"/>
      <c r="Z127" s="44"/>
      <c r="AA127" s="15"/>
      <c r="AB127" s="44"/>
      <c r="AC127" s="15"/>
      <c r="AD127" s="44"/>
      <c r="AE127" s="15"/>
      <c r="AF127" s="44"/>
      <c r="AG127" s="15">
        <f>(Y127+AA127+AC127+AE127)</f>
        <v>0</v>
      </c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/>
      <c r="BA127" s="42"/>
      <c r="BB127" s="15">
        <f>AH127+AJ127+AL127+AN127+AP127+AR127+AT127+AV127+AX127+AZ127</f>
        <v>0</v>
      </c>
      <c r="BC127" s="15"/>
      <c r="BD127" s="44"/>
      <c r="BE127" s="15"/>
      <c r="BF127" s="44"/>
      <c r="BG127" s="15">
        <f>(BC127+BE127)</f>
        <v>0</v>
      </c>
    </row>
    <row r="128" spans="1:59" s="8" customFormat="1" ht="22.5" hidden="1" customHeight="1">
      <c r="A128" s="9"/>
      <c r="B128" s="18" t="s">
        <v>204</v>
      </c>
      <c r="C128" s="89" t="s">
        <v>132</v>
      </c>
      <c r="D128" s="109" t="s">
        <v>220</v>
      </c>
      <c r="E128" s="110" t="s">
        <v>215</v>
      </c>
      <c r="F128" s="111" t="s">
        <v>1218</v>
      </c>
      <c r="G128" s="111" t="s">
        <v>1219</v>
      </c>
      <c r="H128" s="96"/>
      <c r="I128" s="21"/>
      <c r="J128" s="21" t="s">
        <v>207</v>
      </c>
      <c r="K128" s="14"/>
      <c r="L128" s="14"/>
      <c r="M128" s="12">
        <v>265</v>
      </c>
      <c r="N128" s="9"/>
      <c r="O128" s="9"/>
      <c r="P128" s="9"/>
      <c r="Q128" s="38">
        <f>M128+X128-AG128-BB128</f>
        <v>265</v>
      </c>
      <c r="R128" s="12"/>
      <c r="S128" s="42"/>
      <c r="T128" s="15"/>
      <c r="U128" s="44"/>
      <c r="V128" s="15"/>
      <c r="W128" s="44"/>
      <c r="X128" s="15">
        <f>R128+T128+V128</f>
        <v>0</v>
      </c>
      <c r="Y128" s="15"/>
      <c r="Z128" s="44"/>
      <c r="AA128" s="15"/>
      <c r="AB128" s="44"/>
      <c r="AC128" s="15"/>
      <c r="AD128" s="44"/>
      <c r="AE128" s="15"/>
      <c r="AF128" s="44"/>
      <c r="AG128" s="15">
        <f>(Y128+AA128+AC128+AE128)</f>
        <v>0</v>
      </c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/>
      <c r="BA128" s="42"/>
      <c r="BB128" s="15">
        <f>AH128+AJ128+AL128+AN128+AP128+AR128+AT128+AV128+AX128+AZ128</f>
        <v>0</v>
      </c>
      <c r="BC128" s="15"/>
      <c r="BD128" s="44"/>
      <c r="BE128" s="15"/>
      <c r="BF128" s="44"/>
      <c r="BG128" s="15">
        <f>(BC128+BE128)</f>
        <v>0</v>
      </c>
    </row>
    <row r="129" spans="1:59" s="8" customFormat="1" ht="22.5" hidden="1" customHeight="1">
      <c r="A129" s="9"/>
      <c r="B129" s="18" t="s">
        <v>204</v>
      </c>
      <c r="C129" s="89" t="s">
        <v>132</v>
      </c>
      <c r="D129" s="109" t="s">
        <v>221</v>
      </c>
      <c r="E129" s="110" t="s">
        <v>222</v>
      </c>
      <c r="F129" s="111" t="s">
        <v>1220</v>
      </c>
      <c r="G129" s="111" t="s">
        <v>1221</v>
      </c>
      <c r="H129" s="96"/>
      <c r="I129" s="21"/>
      <c r="J129" s="21" t="s">
        <v>207</v>
      </c>
      <c r="K129" s="14"/>
      <c r="L129" s="14"/>
      <c r="M129" s="12">
        <v>182</v>
      </c>
      <c r="N129" s="9"/>
      <c r="O129" s="9"/>
      <c r="P129" s="9"/>
      <c r="Q129" s="38">
        <f>M129+X129-AG129-BB129</f>
        <v>182</v>
      </c>
      <c r="R129" s="12"/>
      <c r="S129" s="42"/>
      <c r="T129" s="15"/>
      <c r="U129" s="44"/>
      <c r="V129" s="15"/>
      <c r="W129" s="44"/>
      <c r="X129" s="15">
        <f>R129+T129+V129</f>
        <v>0</v>
      </c>
      <c r="Y129" s="15"/>
      <c r="Z129" s="44"/>
      <c r="AA129" s="15"/>
      <c r="AB129" s="44"/>
      <c r="AC129" s="15"/>
      <c r="AD129" s="44"/>
      <c r="AE129" s="15"/>
      <c r="AF129" s="44"/>
      <c r="AG129" s="15">
        <f>(Y129+AA129+AC129+AE129)</f>
        <v>0</v>
      </c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/>
      <c r="BA129" s="42"/>
      <c r="BB129" s="15">
        <f>AH129+AJ129+AL129+AN129+AP129+AR129+AT129+AV129+AX129+AZ129</f>
        <v>0</v>
      </c>
      <c r="BC129" s="15"/>
      <c r="BD129" s="44"/>
      <c r="BE129" s="15"/>
      <c r="BF129" s="44"/>
      <c r="BG129" s="15">
        <f>(BC129+BE129)</f>
        <v>0</v>
      </c>
    </row>
    <row r="130" spans="1:59" s="8" customFormat="1" ht="22.5" hidden="1" customHeight="1">
      <c r="A130" s="9"/>
      <c r="B130" s="18" t="s">
        <v>204</v>
      </c>
      <c r="C130" s="89" t="s">
        <v>132</v>
      </c>
      <c r="D130" s="109" t="s">
        <v>221</v>
      </c>
      <c r="E130" s="110" t="s">
        <v>206</v>
      </c>
      <c r="F130" s="111" t="s">
        <v>1222</v>
      </c>
      <c r="G130" s="111" t="s">
        <v>1223</v>
      </c>
      <c r="H130" s="96"/>
      <c r="I130" s="21"/>
      <c r="J130" s="21" t="s">
        <v>207</v>
      </c>
      <c r="K130" s="14"/>
      <c r="L130" s="14"/>
      <c r="M130" s="12">
        <v>513</v>
      </c>
      <c r="N130" s="9"/>
      <c r="O130" s="9"/>
      <c r="P130" s="9"/>
      <c r="Q130" s="38">
        <f>M130+X130-AG130-BB130</f>
        <v>513</v>
      </c>
      <c r="R130" s="12"/>
      <c r="S130" s="42"/>
      <c r="T130" s="15"/>
      <c r="U130" s="44"/>
      <c r="V130" s="15"/>
      <c r="W130" s="44"/>
      <c r="X130" s="15">
        <f>R130+T130+V130</f>
        <v>0</v>
      </c>
      <c r="Y130" s="15"/>
      <c r="Z130" s="44"/>
      <c r="AA130" s="15"/>
      <c r="AB130" s="44"/>
      <c r="AC130" s="15"/>
      <c r="AD130" s="44"/>
      <c r="AE130" s="15"/>
      <c r="AF130" s="44"/>
      <c r="AG130" s="15">
        <f>(Y130+AA130+AC130+AE130)</f>
        <v>0</v>
      </c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/>
      <c r="BA130" s="42"/>
      <c r="BB130" s="15">
        <f>AH130+AJ130+AL130+AN130+AP130+AR130+AT130+AV130+AX130+AZ130</f>
        <v>0</v>
      </c>
      <c r="BC130" s="15"/>
      <c r="BD130" s="44"/>
      <c r="BE130" s="15"/>
      <c r="BF130" s="44"/>
      <c r="BG130" s="15">
        <f>(BC130+BE130)</f>
        <v>0</v>
      </c>
    </row>
    <row r="131" spans="1:59" s="8" customFormat="1" ht="22.5" hidden="1" customHeight="1">
      <c r="A131" s="9"/>
      <c r="B131" s="18" t="s">
        <v>204</v>
      </c>
      <c r="C131" s="89" t="s">
        <v>132</v>
      </c>
      <c r="D131" s="109" t="s">
        <v>223</v>
      </c>
      <c r="E131" s="110" t="s">
        <v>206</v>
      </c>
      <c r="F131" s="111" t="s">
        <v>1224</v>
      </c>
      <c r="G131" s="111" t="s">
        <v>1225</v>
      </c>
      <c r="H131" s="96"/>
      <c r="I131" s="21"/>
      <c r="J131" s="21" t="s">
        <v>207</v>
      </c>
      <c r="K131" s="14"/>
      <c r="L131" s="14"/>
      <c r="M131" s="12">
        <v>85</v>
      </c>
      <c r="N131" s="9"/>
      <c r="O131" s="9"/>
      <c r="P131" s="9"/>
      <c r="Q131" s="38">
        <f>M131+X131-AG131-BB131</f>
        <v>85</v>
      </c>
      <c r="R131" s="12"/>
      <c r="S131" s="42"/>
      <c r="T131" s="15"/>
      <c r="U131" s="44"/>
      <c r="V131" s="15"/>
      <c r="W131" s="44"/>
      <c r="X131" s="15">
        <f>R131+T131+V131</f>
        <v>0</v>
      </c>
      <c r="Y131" s="15"/>
      <c r="Z131" s="44"/>
      <c r="AA131" s="15"/>
      <c r="AB131" s="44"/>
      <c r="AC131" s="15"/>
      <c r="AD131" s="44"/>
      <c r="AE131" s="15"/>
      <c r="AF131" s="44"/>
      <c r="AG131" s="15">
        <f>(Y131+AA131+AC131+AE131)</f>
        <v>0</v>
      </c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/>
      <c r="BA131" s="42"/>
      <c r="BB131" s="15">
        <f>AH131+AJ131+AL131+AN131+AP131+AR131+AT131+AV131+AX131+AZ131</f>
        <v>0</v>
      </c>
      <c r="BC131" s="15"/>
      <c r="BD131" s="44"/>
      <c r="BE131" s="15"/>
      <c r="BF131" s="44"/>
      <c r="BG131" s="15">
        <f>(BC131+BE131)</f>
        <v>0</v>
      </c>
    </row>
    <row r="132" spans="1:59" s="8" customFormat="1" ht="22.5" hidden="1" customHeight="1">
      <c r="A132" s="9"/>
      <c r="B132" s="18" t="s">
        <v>204</v>
      </c>
      <c r="C132" s="89" t="s">
        <v>132</v>
      </c>
      <c r="D132" s="109" t="s">
        <v>224</v>
      </c>
      <c r="E132" s="110" t="s">
        <v>225</v>
      </c>
      <c r="F132" s="111" t="s">
        <v>1226</v>
      </c>
      <c r="G132" s="111" t="s">
        <v>1227</v>
      </c>
      <c r="H132" s="96"/>
      <c r="I132" s="21"/>
      <c r="J132" s="21" t="s">
        <v>207</v>
      </c>
      <c r="K132" s="14"/>
      <c r="L132" s="14"/>
      <c r="M132" s="12">
        <v>50</v>
      </c>
      <c r="N132" s="9"/>
      <c r="O132" s="9"/>
      <c r="P132" s="9"/>
      <c r="Q132" s="38">
        <f>M132+X132-AG132-BB132</f>
        <v>50</v>
      </c>
      <c r="R132" s="12"/>
      <c r="S132" s="42"/>
      <c r="T132" s="15"/>
      <c r="U132" s="44"/>
      <c r="V132" s="15"/>
      <c r="W132" s="44"/>
      <c r="X132" s="15">
        <f>R132+T132+V132</f>
        <v>0</v>
      </c>
      <c r="Y132" s="15"/>
      <c r="Z132" s="44"/>
      <c r="AA132" s="15"/>
      <c r="AB132" s="44"/>
      <c r="AC132" s="15"/>
      <c r="AD132" s="44"/>
      <c r="AE132" s="15"/>
      <c r="AF132" s="44"/>
      <c r="AG132" s="15">
        <f>(Y132+AA132+AC132+AE132)</f>
        <v>0</v>
      </c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/>
      <c r="BA132" s="42"/>
      <c r="BB132" s="15">
        <f>AH132+AJ132+AL132+AN132+AP132+AR132+AT132+AV132+AX132+AZ132</f>
        <v>0</v>
      </c>
      <c r="BC132" s="15"/>
      <c r="BD132" s="44"/>
      <c r="BE132" s="15"/>
      <c r="BF132" s="44"/>
      <c r="BG132" s="15">
        <f>(BC132+BE132)</f>
        <v>0</v>
      </c>
    </row>
    <row r="133" spans="1:59" s="8" customFormat="1" ht="22.5" hidden="1" customHeight="1">
      <c r="A133" s="9"/>
      <c r="B133" s="18" t="s">
        <v>204</v>
      </c>
      <c r="C133" s="89" t="s">
        <v>132</v>
      </c>
      <c r="D133" s="109" t="s">
        <v>226</v>
      </c>
      <c r="E133" s="110" t="s">
        <v>215</v>
      </c>
      <c r="F133" s="111" t="s">
        <v>1228</v>
      </c>
      <c r="G133" s="111" t="s">
        <v>1229</v>
      </c>
      <c r="H133" s="96"/>
      <c r="I133" s="21"/>
      <c r="J133" s="21" t="s">
        <v>207</v>
      </c>
      <c r="K133" s="14"/>
      <c r="L133" s="14"/>
      <c r="M133" s="12">
        <v>120</v>
      </c>
      <c r="N133" s="9"/>
      <c r="O133" s="9"/>
      <c r="P133" s="9"/>
      <c r="Q133" s="38">
        <f>M133+X133-AG133-BB133</f>
        <v>120</v>
      </c>
      <c r="R133" s="12"/>
      <c r="S133" s="42"/>
      <c r="T133" s="15"/>
      <c r="U133" s="44"/>
      <c r="V133" s="15"/>
      <c r="W133" s="44"/>
      <c r="X133" s="15">
        <f>R133+T133+V133</f>
        <v>0</v>
      </c>
      <c r="Y133" s="15"/>
      <c r="Z133" s="44"/>
      <c r="AA133" s="15"/>
      <c r="AB133" s="44"/>
      <c r="AC133" s="15"/>
      <c r="AD133" s="44"/>
      <c r="AE133" s="15"/>
      <c r="AF133" s="44"/>
      <c r="AG133" s="15">
        <f>(Y133+AA133+AC133+AE133)</f>
        <v>0</v>
      </c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/>
      <c r="BA133" s="42"/>
      <c r="BB133" s="15">
        <f>AH133+AJ133+AL133+AN133+AP133+AR133+AT133+AV133+AX133+AZ133</f>
        <v>0</v>
      </c>
      <c r="BC133" s="15"/>
      <c r="BD133" s="44"/>
      <c r="BE133" s="15"/>
      <c r="BF133" s="44"/>
      <c r="BG133" s="15">
        <f>(BC133+BE133)</f>
        <v>0</v>
      </c>
    </row>
    <row r="134" spans="1:59" s="8" customFormat="1" ht="22.5" hidden="1" customHeight="1">
      <c r="A134" s="9"/>
      <c r="B134" s="18" t="s">
        <v>204</v>
      </c>
      <c r="C134" s="89" t="s">
        <v>132</v>
      </c>
      <c r="D134" s="109" t="s">
        <v>229</v>
      </c>
      <c r="E134" s="110" t="s">
        <v>222</v>
      </c>
      <c r="F134" s="111" t="s">
        <v>1230</v>
      </c>
      <c r="G134" s="137" t="s">
        <v>1231</v>
      </c>
      <c r="H134" s="96"/>
      <c r="I134" s="21"/>
      <c r="J134" s="21" t="s">
        <v>207</v>
      </c>
      <c r="K134" s="14"/>
      <c r="L134" s="14"/>
      <c r="M134" s="12"/>
      <c r="N134" s="9"/>
      <c r="O134" s="9"/>
      <c r="P134" s="9"/>
      <c r="Q134" s="38">
        <f>M134+X134-AG134-BB134</f>
        <v>0</v>
      </c>
      <c r="R134" s="12"/>
      <c r="S134" s="42"/>
      <c r="T134" s="15"/>
      <c r="U134" s="44"/>
      <c r="V134" s="15"/>
      <c r="W134" s="44"/>
      <c r="X134" s="15">
        <f>R134+T134+V134</f>
        <v>0</v>
      </c>
      <c r="Y134" s="15"/>
      <c r="Z134" s="44"/>
      <c r="AA134" s="15"/>
      <c r="AB134" s="44"/>
      <c r="AC134" s="15"/>
      <c r="AD134" s="44"/>
      <c r="AE134" s="15"/>
      <c r="AF134" s="44"/>
      <c r="AG134" s="15">
        <f>(Y134+AA134+AC134+AE134)</f>
        <v>0</v>
      </c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/>
      <c r="BA134" s="42"/>
      <c r="BB134" s="15">
        <f>AH134+AJ134+AL134+AN134+AP134+AR134+AT134+AV134+AX134+AZ134</f>
        <v>0</v>
      </c>
      <c r="BC134" s="15"/>
      <c r="BD134" s="44"/>
      <c r="BE134" s="15"/>
      <c r="BF134" s="44"/>
      <c r="BG134" s="15">
        <f>(BC134+BE134)</f>
        <v>0</v>
      </c>
    </row>
    <row r="135" spans="1:59" s="8" customFormat="1" ht="22.5" hidden="1" customHeight="1">
      <c r="A135" s="9"/>
      <c r="B135" s="18" t="s">
        <v>233</v>
      </c>
      <c r="C135" s="89" t="s">
        <v>132</v>
      </c>
      <c r="D135" s="109" t="s">
        <v>234</v>
      </c>
      <c r="E135" s="110" t="s">
        <v>235</v>
      </c>
      <c r="F135" s="111" t="s">
        <v>1234</v>
      </c>
      <c r="G135" s="111" t="s">
        <v>1235</v>
      </c>
      <c r="H135" s="96"/>
      <c r="I135" s="21"/>
      <c r="J135" s="21" t="s">
        <v>207</v>
      </c>
      <c r="K135" s="14"/>
      <c r="L135" s="14"/>
      <c r="M135" s="12">
        <v>182</v>
      </c>
      <c r="N135" s="9"/>
      <c r="O135" s="9"/>
      <c r="P135" s="9"/>
      <c r="Q135" s="38">
        <f>M135+X135-AG135-BB135</f>
        <v>182</v>
      </c>
      <c r="R135" s="12"/>
      <c r="S135" s="42"/>
      <c r="T135" s="15"/>
      <c r="U135" s="44"/>
      <c r="V135" s="15"/>
      <c r="W135" s="44"/>
      <c r="X135" s="15">
        <f>R135+T135+V135</f>
        <v>0</v>
      </c>
      <c r="Y135" s="15"/>
      <c r="Z135" s="44"/>
      <c r="AA135" s="15"/>
      <c r="AB135" s="44"/>
      <c r="AC135" s="15"/>
      <c r="AD135" s="44"/>
      <c r="AE135" s="15"/>
      <c r="AF135" s="44"/>
      <c r="AG135" s="15">
        <f>(Y135+AA135+AC135+AE135)</f>
        <v>0</v>
      </c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/>
      <c r="BA135" s="42"/>
      <c r="BB135" s="15">
        <f>AH135+AJ135+AL135+AN135+AP135+AR135+AT135+AV135+AX135+AZ135</f>
        <v>0</v>
      </c>
      <c r="BC135" s="15"/>
      <c r="BD135" s="44"/>
      <c r="BE135" s="15"/>
      <c r="BF135" s="44"/>
      <c r="BG135" s="15">
        <f>(BC135+BE135)</f>
        <v>0</v>
      </c>
    </row>
    <row r="136" spans="1:59" s="8" customFormat="1" ht="22.5" hidden="1" customHeight="1">
      <c r="A136" s="9"/>
      <c r="B136" s="18" t="s">
        <v>233</v>
      </c>
      <c r="C136" s="89" t="s">
        <v>132</v>
      </c>
      <c r="D136" s="109" t="s">
        <v>236</v>
      </c>
      <c r="E136" s="110" t="s">
        <v>237</v>
      </c>
      <c r="F136" s="111" t="s">
        <v>1236</v>
      </c>
      <c r="G136" s="133" t="s">
        <v>1237</v>
      </c>
      <c r="H136" s="96"/>
      <c r="I136" s="21"/>
      <c r="J136" s="21" t="s">
        <v>207</v>
      </c>
      <c r="K136" s="14"/>
      <c r="L136" s="14"/>
      <c r="M136" s="12">
        <v>400</v>
      </c>
      <c r="N136" s="9"/>
      <c r="O136" s="9"/>
      <c r="P136" s="9"/>
      <c r="Q136" s="38">
        <f>M136+X136-AG136-BB136</f>
        <v>400</v>
      </c>
      <c r="R136" s="12"/>
      <c r="S136" s="42"/>
      <c r="T136" s="15"/>
      <c r="U136" s="44"/>
      <c r="V136" s="15"/>
      <c r="W136" s="44"/>
      <c r="X136" s="15">
        <f>R136+T136+V136</f>
        <v>0</v>
      </c>
      <c r="Y136" s="15"/>
      <c r="Z136" s="44"/>
      <c r="AA136" s="15"/>
      <c r="AB136" s="44"/>
      <c r="AC136" s="15"/>
      <c r="AD136" s="44"/>
      <c r="AE136" s="15"/>
      <c r="AF136" s="44"/>
      <c r="AG136" s="15">
        <f>(Y136+AA136+AC136+AE136)</f>
        <v>0</v>
      </c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/>
      <c r="BA136" s="42"/>
      <c r="BB136" s="15">
        <f>AH136+AJ136+AL136+AN136+AP136+AR136+AT136+AV136+AX136+AZ136</f>
        <v>0</v>
      </c>
      <c r="BC136" s="15"/>
      <c r="BD136" s="44"/>
      <c r="BE136" s="15"/>
      <c r="BF136" s="44"/>
      <c r="BG136" s="15">
        <f>(BC136+BE136)</f>
        <v>0</v>
      </c>
    </row>
    <row r="137" spans="1:59" s="8" customFormat="1" ht="22.5" hidden="1" customHeight="1">
      <c r="A137" s="9"/>
      <c r="B137" s="18" t="s">
        <v>233</v>
      </c>
      <c r="C137" s="89" t="s">
        <v>132</v>
      </c>
      <c r="D137" s="109" t="s">
        <v>238</v>
      </c>
      <c r="E137" s="110" t="s">
        <v>237</v>
      </c>
      <c r="F137" s="133" t="s">
        <v>1238</v>
      </c>
      <c r="G137" s="133" t="s">
        <v>1239</v>
      </c>
      <c r="H137" s="96"/>
      <c r="I137" s="21"/>
      <c r="J137" s="21" t="s">
        <v>207</v>
      </c>
      <c r="K137" s="14"/>
      <c r="L137" s="14"/>
      <c r="M137" s="12">
        <v>999</v>
      </c>
      <c r="N137" s="9"/>
      <c r="O137" s="9"/>
      <c r="P137" s="9"/>
      <c r="Q137" s="38">
        <f>M137+X137-AG137-BB137</f>
        <v>999</v>
      </c>
      <c r="R137" s="12"/>
      <c r="S137" s="42"/>
      <c r="T137" s="15"/>
      <c r="U137" s="44"/>
      <c r="V137" s="15"/>
      <c r="W137" s="44"/>
      <c r="X137" s="15">
        <f>R137+T137+V137</f>
        <v>0</v>
      </c>
      <c r="Y137" s="15"/>
      <c r="Z137" s="44"/>
      <c r="AA137" s="15"/>
      <c r="AB137" s="44"/>
      <c r="AC137" s="15"/>
      <c r="AD137" s="44"/>
      <c r="AE137" s="15"/>
      <c r="AF137" s="44"/>
      <c r="AG137" s="15">
        <f>(Y137+AA137+AC137+AE137)</f>
        <v>0</v>
      </c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/>
      <c r="BA137" s="42"/>
      <c r="BB137" s="15">
        <f>AH137+AJ137+AL137+AN137+AP137+AR137+AT137+AV137+AX137+AZ137</f>
        <v>0</v>
      </c>
      <c r="BC137" s="15"/>
      <c r="BD137" s="44"/>
      <c r="BE137" s="15"/>
      <c r="BF137" s="44"/>
      <c r="BG137" s="15">
        <f>(BC137+BE137)</f>
        <v>0</v>
      </c>
    </row>
    <row r="138" spans="1:59" s="8" customFormat="1" ht="22.5" hidden="1" customHeight="1">
      <c r="A138" s="9"/>
      <c r="B138" s="18" t="s">
        <v>233</v>
      </c>
      <c r="C138" s="89" t="s">
        <v>132</v>
      </c>
      <c r="D138" s="109" t="s">
        <v>239</v>
      </c>
      <c r="E138" s="110" t="s">
        <v>237</v>
      </c>
      <c r="F138" s="133" t="s">
        <v>1240</v>
      </c>
      <c r="G138" s="133" t="s">
        <v>1241</v>
      </c>
      <c r="H138" s="96"/>
      <c r="I138" s="21"/>
      <c r="J138" s="21" t="s">
        <v>207</v>
      </c>
      <c r="K138" s="14"/>
      <c r="L138" s="14"/>
      <c r="M138" s="12">
        <v>434</v>
      </c>
      <c r="N138" s="9"/>
      <c r="O138" s="9"/>
      <c r="P138" s="9"/>
      <c r="Q138" s="38">
        <f>M138+X138-AG138-BB138</f>
        <v>434</v>
      </c>
      <c r="R138" s="12"/>
      <c r="S138" s="42"/>
      <c r="T138" s="15"/>
      <c r="U138" s="44"/>
      <c r="V138" s="15"/>
      <c r="W138" s="44"/>
      <c r="X138" s="15">
        <f>R138+T138+V138</f>
        <v>0</v>
      </c>
      <c r="Y138" s="15"/>
      <c r="Z138" s="44"/>
      <c r="AA138" s="15"/>
      <c r="AB138" s="44"/>
      <c r="AC138" s="15"/>
      <c r="AD138" s="44"/>
      <c r="AE138" s="15"/>
      <c r="AF138" s="44"/>
      <c r="AG138" s="15">
        <f>(Y138+AA138+AC138+AE138)</f>
        <v>0</v>
      </c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/>
      <c r="BA138" s="42"/>
      <c r="BB138" s="15">
        <f>AH138+AJ138+AL138+AN138+AP138+AR138+AT138+AV138+AX138+AZ138</f>
        <v>0</v>
      </c>
      <c r="BC138" s="15"/>
      <c r="BD138" s="44"/>
      <c r="BE138" s="15"/>
      <c r="BF138" s="44"/>
      <c r="BG138" s="15">
        <f>(BC138+BE138)</f>
        <v>0</v>
      </c>
    </row>
    <row r="139" spans="1:59" s="8" customFormat="1" ht="22.5" hidden="1" customHeight="1">
      <c r="A139" s="9"/>
      <c r="B139" s="18" t="s">
        <v>233</v>
      </c>
      <c r="C139" s="89" t="s">
        <v>132</v>
      </c>
      <c r="D139" s="109" t="s">
        <v>240</v>
      </c>
      <c r="E139" s="110" t="s">
        <v>237</v>
      </c>
      <c r="F139" s="111" t="s">
        <v>1242</v>
      </c>
      <c r="G139" s="111" t="s">
        <v>1243</v>
      </c>
      <c r="H139" s="96"/>
      <c r="I139" s="21"/>
      <c r="J139" s="21" t="s">
        <v>207</v>
      </c>
      <c r="K139" s="14"/>
      <c r="L139" s="14"/>
      <c r="M139" s="12">
        <v>482</v>
      </c>
      <c r="N139" s="9"/>
      <c r="O139" s="9"/>
      <c r="P139" s="9"/>
      <c r="Q139" s="38">
        <f>M139+X139-AG139-BB139</f>
        <v>482</v>
      </c>
      <c r="R139" s="12"/>
      <c r="S139" s="42"/>
      <c r="T139" s="15"/>
      <c r="U139" s="44"/>
      <c r="V139" s="15"/>
      <c r="W139" s="44"/>
      <c r="X139" s="15">
        <f>R139+T139+V139</f>
        <v>0</v>
      </c>
      <c r="Y139" s="15"/>
      <c r="Z139" s="44"/>
      <c r="AA139" s="15"/>
      <c r="AB139" s="44"/>
      <c r="AC139" s="15"/>
      <c r="AD139" s="44"/>
      <c r="AE139" s="15"/>
      <c r="AF139" s="44"/>
      <c r="AG139" s="15">
        <f>(Y139+AA139+AC139+AE139)</f>
        <v>0</v>
      </c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/>
      <c r="BA139" s="42"/>
      <c r="BB139" s="15">
        <f>AH139+AJ139+AL139+AN139+AP139+AR139+AT139+AV139+AX139+AZ139</f>
        <v>0</v>
      </c>
      <c r="BC139" s="15"/>
      <c r="BD139" s="44"/>
      <c r="BE139" s="15"/>
      <c r="BF139" s="44"/>
      <c r="BG139" s="15">
        <f>(BC139+BE139)</f>
        <v>0</v>
      </c>
    </row>
    <row r="140" spans="1:59" s="8" customFormat="1" ht="22.5" hidden="1" customHeight="1">
      <c r="A140" s="9"/>
      <c r="B140" s="16" t="s">
        <v>233</v>
      </c>
      <c r="C140" s="89" t="s">
        <v>132</v>
      </c>
      <c r="D140" s="109" t="s">
        <v>241</v>
      </c>
      <c r="E140" s="110"/>
      <c r="F140" s="111" t="s">
        <v>1244</v>
      </c>
      <c r="G140" s="111" t="s">
        <v>1245</v>
      </c>
      <c r="H140" s="96"/>
      <c r="I140" s="9"/>
      <c r="J140" s="9"/>
      <c r="K140" s="14"/>
      <c r="L140" s="14"/>
      <c r="M140" s="12">
        <v>0</v>
      </c>
      <c r="N140" s="9"/>
      <c r="O140" s="9"/>
      <c r="P140" s="9"/>
      <c r="Q140" s="38">
        <f>M140+X140-AG140-BB140</f>
        <v>0</v>
      </c>
      <c r="R140" s="12"/>
      <c r="S140" s="42"/>
      <c r="T140" s="15"/>
      <c r="U140" s="44"/>
      <c r="V140" s="15"/>
      <c r="W140" s="44"/>
      <c r="X140" s="15">
        <f>R140+T140+V140</f>
        <v>0</v>
      </c>
      <c r="Y140" s="15"/>
      <c r="Z140" s="44"/>
      <c r="AA140" s="15"/>
      <c r="AB140" s="44"/>
      <c r="AC140" s="15"/>
      <c r="AD140" s="44"/>
      <c r="AE140" s="15"/>
      <c r="AF140" s="44"/>
      <c r="AG140" s="15">
        <f>(Y140+AA140+AC140+AE140)</f>
        <v>0</v>
      </c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/>
      <c r="BA140" s="42"/>
      <c r="BB140" s="15">
        <f>AH140+AJ140+AL140+AN140+AP140+AR140+AT140+AV140+AX140+AZ140</f>
        <v>0</v>
      </c>
      <c r="BC140" s="15"/>
      <c r="BD140" s="44"/>
      <c r="BE140" s="15"/>
      <c r="BF140" s="44"/>
      <c r="BG140" s="15">
        <f>(BC140+BE140)</f>
        <v>0</v>
      </c>
    </row>
    <row r="141" spans="1:59" s="8" customFormat="1" ht="22.5" hidden="1" customHeight="1">
      <c r="A141" s="9"/>
      <c r="B141" s="16" t="s">
        <v>155</v>
      </c>
      <c r="C141" s="89" t="s">
        <v>132</v>
      </c>
      <c r="D141" s="109" t="s">
        <v>156</v>
      </c>
      <c r="E141" s="110" t="s">
        <v>242</v>
      </c>
      <c r="F141" s="111" t="s">
        <v>1246</v>
      </c>
      <c r="G141" s="111" t="s">
        <v>1247</v>
      </c>
      <c r="H141" s="96"/>
      <c r="I141" s="9"/>
      <c r="J141" s="9" t="s">
        <v>158</v>
      </c>
      <c r="K141" s="14"/>
      <c r="L141" s="14"/>
      <c r="M141" s="12">
        <v>480</v>
      </c>
      <c r="N141" s="9"/>
      <c r="O141" s="9"/>
      <c r="P141" s="9"/>
      <c r="Q141" s="38">
        <f>M141+X141-AG141-BB141</f>
        <v>480</v>
      </c>
      <c r="R141" s="12"/>
      <c r="S141" s="42"/>
      <c r="T141" s="15"/>
      <c r="U141" s="44"/>
      <c r="V141" s="15"/>
      <c r="W141" s="44"/>
      <c r="X141" s="15">
        <f>R141+T141+V141</f>
        <v>0</v>
      </c>
      <c r="Y141" s="15"/>
      <c r="Z141" s="44"/>
      <c r="AA141" s="15"/>
      <c r="AB141" s="44"/>
      <c r="AC141" s="15"/>
      <c r="AD141" s="44"/>
      <c r="AE141" s="15"/>
      <c r="AF141" s="44"/>
      <c r="AG141" s="15">
        <f>(Y141+AA141+AC141+AE141)</f>
        <v>0</v>
      </c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/>
      <c r="BA141" s="42"/>
      <c r="BB141" s="15">
        <f>AH141+AJ141+AL141+AN141+AP141+AR141+AT141+AV141+AX141+AZ141</f>
        <v>0</v>
      </c>
      <c r="BC141" s="15"/>
      <c r="BD141" s="44"/>
      <c r="BE141" s="15"/>
      <c r="BF141" s="44"/>
      <c r="BG141" s="15">
        <f>(BC141+BE141)</f>
        <v>0</v>
      </c>
    </row>
    <row r="142" spans="1:59" s="8" customFormat="1" ht="22.5" hidden="1" customHeight="1">
      <c r="A142" s="9"/>
      <c r="B142" s="16" t="s">
        <v>155</v>
      </c>
      <c r="C142" s="89" t="s">
        <v>132</v>
      </c>
      <c r="D142" s="109" t="s">
        <v>156</v>
      </c>
      <c r="E142" s="110" t="s">
        <v>243</v>
      </c>
      <c r="F142" s="111" t="s">
        <v>1248</v>
      </c>
      <c r="G142" s="111" t="s">
        <v>1249</v>
      </c>
      <c r="H142" s="96"/>
      <c r="I142" s="9"/>
      <c r="J142" s="9" t="s">
        <v>158</v>
      </c>
      <c r="K142" s="14"/>
      <c r="L142" s="14"/>
      <c r="M142" s="12">
        <v>28</v>
      </c>
      <c r="N142" s="9"/>
      <c r="O142" s="9"/>
      <c r="P142" s="9"/>
      <c r="Q142" s="38">
        <f>M142+X142-AG142-BB142</f>
        <v>28</v>
      </c>
      <c r="R142" s="12"/>
      <c r="S142" s="42"/>
      <c r="T142" s="15"/>
      <c r="U142" s="44"/>
      <c r="V142" s="15"/>
      <c r="W142" s="44"/>
      <c r="X142" s="15">
        <f>R142+T142+V142</f>
        <v>0</v>
      </c>
      <c r="Y142" s="15"/>
      <c r="Z142" s="44"/>
      <c r="AA142" s="15"/>
      <c r="AB142" s="44"/>
      <c r="AC142" s="15"/>
      <c r="AD142" s="44"/>
      <c r="AE142" s="15"/>
      <c r="AF142" s="44"/>
      <c r="AG142" s="15">
        <f>(Y142+AA142+AC142+AE142)</f>
        <v>0</v>
      </c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/>
      <c r="BA142" s="42"/>
      <c r="BB142" s="15">
        <f>AH142+AJ142+AL142+AN142+AP142+AR142+AT142+AV142+AX142+AZ142</f>
        <v>0</v>
      </c>
      <c r="BC142" s="15"/>
      <c r="BD142" s="44"/>
      <c r="BE142" s="15"/>
      <c r="BF142" s="44"/>
      <c r="BG142" s="15">
        <f>(BC142+BE142)</f>
        <v>0</v>
      </c>
    </row>
    <row r="143" spans="1:59" s="8" customFormat="1" ht="22.5" hidden="1" customHeight="1">
      <c r="A143" s="9"/>
      <c r="B143" s="16" t="s">
        <v>244</v>
      </c>
      <c r="C143" s="89" t="s">
        <v>132</v>
      </c>
      <c r="D143" s="109" t="s">
        <v>245</v>
      </c>
      <c r="E143" s="110" t="s">
        <v>246</v>
      </c>
      <c r="F143" s="111" t="s">
        <v>1250</v>
      </c>
      <c r="G143" s="111" t="s">
        <v>1251</v>
      </c>
      <c r="H143" s="96"/>
      <c r="I143" s="9"/>
      <c r="J143" s="9" t="s">
        <v>247</v>
      </c>
      <c r="K143" s="14"/>
      <c r="L143" s="14"/>
      <c r="M143" s="12">
        <v>0</v>
      </c>
      <c r="N143" s="9"/>
      <c r="O143" s="9"/>
      <c r="P143" s="9"/>
      <c r="Q143" s="38">
        <f>M143+X143-AG143-BB143</f>
        <v>0</v>
      </c>
      <c r="R143" s="12"/>
      <c r="S143" s="42"/>
      <c r="T143" s="15"/>
      <c r="U143" s="44"/>
      <c r="V143" s="15"/>
      <c r="W143" s="44"/>
      <c r="X143" s="15">
        <f>R143+T143+V143</f>
        <v>0</v>
      </c>
      <c r="Y143" s="15"/>
      <c r="Z143" s="44"/>
      <c r="AA143" s="15"/>
      <c r="AB143" s="44"/>
      <c r="AC143" s="15"/>
      <c r="AD143" s="44"/>
      <c r="AE143" s="15"/>
      <c r="AF143" s="44"/>
      <c r="AG143" s="15">
        <f>(Y143+AA143+AC143+AE143)</f>
        <v>0</v>
      </c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/>
      <c r="BA143" s="42"/>
      <c r="BB143" s="15">
        <f>AH143+AJ143+AL143+AN143+AP143+AR143+AT143+AV143+AX143+AZ143</f>
        <v>0</v>
      </c>
      <c r="BC143" s="15"/>
      <c r="BD143" s="44"/>
      <c r="BE143" s="15"/>
      <c r="BF143" s="44"/>
      <c r="BG143" s="15">
        <f>(BC143+BE143)</f>
        <v>0</v>
      </c>
    </row>
    <row r="144" spans="1:59" s="8" customFormat="1" ht="22.5" hidden="1" customHeight="1">
      <c r="A144" s="9"/>
      <c r="B144" s="16" t="s">
        <v>244</v>
      </c>
      <c r="C144" s="89" t="s">
        <v>132</v>
      </c>
      <c r="D144" s="109" t="s">
        <v>248</v>
      </c>
      <c r="E144" s="110" t="s">
        <v>246</v>
      </c>
      <c r="F144" s="111" t="s">
        <v>1252</v>
      </c>
      <c r="G144" s="111" t="s">
        <v>1253</v>
      </c>
      <c r="H144" s="96"/>
      <c r="I144" s="9"/>
      <c r="J144" s="9" t="s">
        <v>247</v>
      </c>
      <c r="K144" s="14"/>
      <c r="L144" s="14"/>
      <c r="M144" s="12">
        <v>241</v>
      </c>
      <c r="N144" s="9"/>
      <c r="O144" s="9"/>
      <c r="P144" s="9"/>
      <c r="Q144" s="38">
        <f>M144+X144-AG144-BB144</f>
        <v>241</v>
      </c>
      <c r="R144" s="12"/>
      <c r="S144" s="42"/>
      <c r="T144" s="15"/>
      <c r="U144" s="44"/>
      <c r="V144" s="15"/>
      <c r="W144" s="44"/>
      <c r="X144" s="15">
        <f>R144+T144+V144</f>
        <v>0</v>
      </c>
      <c r="Y144" s="15"/>
      <c r="Z144" s="44"/>
      <c r="AA144" s="15"/>
      <c r="AB144" s="44"/>
      <c r="AC144" s="15"/>
      <c r="AD144" s="44"/>
      <c r="AE144" s="15"/>
      <c r="AF144" s="44"/>
      <c r="AG144" s="15">
        <f>(Y144+AA144+AC144+AE144)</f>
        <v>0</v>
      </c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/>
      <c r="BA144" s="42"/>
      <c r="BB144" s="15">
        <f>AH144+AJ144+AL144+AN144+AP144+AR144+AT144+AV144+AX144+AZ144</f>
        <v>0</v>
      </c>
      <c r="BC144" s="15"/>
      <c r="BD144" s="44"/>
      <c r="BE144" s="15"/>
      <c r="BF144" s="44"/>
      <c r="BG144" s="15">
        <f>(BC144+BE144)</f>
        <v>0</v>
      </c>
    </row>
    <row r="145" spans="1:59" s="8" customFormat="1" ht="22.5" hidden="1" customHeight="1">
      <c r="A145" s="9"/>
      <c r="B145" s="16" t="s">
        <v>249</v>
      </c>
      <c r="C145" s="89" t="s">
        <v>44</v>
      </c>
      <c r="D145" s="109" t="s">
        <v>1254</v>
      </c>
      <c r="E145" s="110" t="s">
        <v>251</v>
      </c>
      <c r="F145" s="111" t="s">
        <v>1255</v>
      </c>
      <c r="G145" s="111" t="s">
        <v>1256</v>
      </c>
      <c r="H145" s="96"/>
      <c r="I145" s="9"/>
      <c r="J145" s="9" t="s">
        <v>247</v>
      </c>
      <c r="K145" s="14"/>
      <c r="L145" s="14"/>
      <c r="M145" s="12">
        <v>400</v>
      </c>
      <c r="N145" s="9"/>
      <c r="O145" s="9"/>
      <c r="P145" s="9"/>
      <c r="Q145" s="38">
        <f>M145+X145-AG145-BB145</f>
        <v>400</v>
      </c>
      <c r="R145" s="12"/>
      <c r="S145" s="42"/>
      <c r="T145" s="15"/>
      <c r="U145" s="44"/>
      <c r="V145" s="15"/>
      <c r="W145" s="44"/>
      <c r="X145" s="15">
        <f>R145+T145+V145</f>
        <v>0</v>
      </c>
      <c r="Y145" s="15"/>
      <c r="Z145" s="44"/>
      <c r="AA145" s="15"/>
      <c r="AB145" s="44"/>
      <c r="AC145" s="15"/>
      <c r="AD145" s="44"/>
      <c r="AE145" s="15"/>
      <c r="AF145" s="44"/>
      <c r="AG145" s="15">
        <f>(Y145+AA145+AC145+AE145)</f>
        <v>0</v>
      </c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/>
      <c r="BA145" s="42"/>
      <c r="BB145" s="15">
        <f>AH145+AJ145+AL145+AN145+AP145+AR145+AT145+AV145+AX145+AZ145</f>
        <v>0</v>
      </c>
      <c r="BC145" s="15"/>
      <c r="BD145" s="44"/>
      <c r="BE145" s="15"/>
      <c r="BF145" s="44"/>
      <c r="BG145" s="15">
        <f>(BC145+BE145)</f>
        <v>0</v>
      </c>
    </row>
    <row r="146" spans="1:59" s="8" customFormat="1" ht="22.5" hidden="1" customHeight="1">
      <c r="A146" s="9"/>
      <c r="B146" s="16" t="s">
        <v>249</v>
      </c>
      <c r="C146" s="89" t="s">
        <v>132</v>
      </c>
      <c r="D146" s="109" t="s">
        <v>1257</v>
      </c>
      <c r="E146" s="110" t="s">
        <v>251</v>
      </c>
      <c r="F146" s="111" t="s">
        <v>1258</v>
      </c>
      <c r="G146" s="111" t="s">
        <v>1259</v>
      </c>
      <c r="H146" s="96"/>
      <c r="I146" s="9"/>
      <c r="J146" s="9" t="s">
        <v>247</v>
      </c>
      <c r="K146" s="14"/>
      <c r="L146" s="14"/>
      <c r="M146" s="12">
        <v>1000</v>
      </c>
      <c r="N146" s="9"/>
      <c r="O146" s="9"/>
      <c r="P146" s="9"/>
      <c r="Q146" s="38">
        <f>M146+X146-AG146-BB146</f>
        <v>1000</v>
      </c>
      <c r="R146" s="12"/>
      <c r="S146" s="42"/>
      <c r="T146" s="15"/>
      <c r="U146" s="44"/>
      <c r="V146" s="15"/>
      <c r="W146" s="44"/>
      <c r="X146" s="15">
        <f>R146+T146+V146</f>
        <v>0</v>
      </c>
      <c r="Y146" s="15"/>
      <c r="Z146" s="44"/>
      <c r="AA146" s="15"/>
      <c r="AB146" s="44"/>
      <c r="AC146" s="15"/>
      <c r="AD146" s="44"/>
      <c r="AE146" s="15"/>
      <c r="AF146" s="44"/>
      <c r="AG146" s="15">
        <f>(Y146+AA146+AC146+AE146)</f>
        <v>0</v>
      </c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/>
      <c r="BA146" s="42"/>
      <c r="BB146" s="15">
        <f>AH146+AJ146+AL146+AN146+AP146+AR146+AT146+AV146+AX146+AZ146</f>
        <v>0</v>
      </c>
      <c r="BC146" s="15"/>
      <c r="BD146" s="44"/>
      <c r="BE146" s="15"/>
      <c r="BF146" s="44"/>
      <c r="BG146" s="15">
        <f>(BC146+BE146)</f>
        <v>0</v>
      </c>
    </row>
    <row r="147" spans="1:59" s="8" customFormat="1" ht="22.5" hidden="1" customHeight="1">
      <c r="A147" s="9"/>
      <c r="B147" s="18" t="s">
        <v>172</v>
      </c>
      <c r="C147" s="89" t="s">
        <v>48</v>
      </c>
      <c r="D147" s="109" t="s">
        <v>253</v>
      </c>
      <c r="E147" s="110"/>
      <c r="F147" s="111" t="s">
        <v>1260</v>
      </c>
      <c r="G147" s="111" t="s">
        <v>1261</v>
      </c>
      <c r="H147" s="96"/>
      <c r="I147" s="21"/>
      <c r="J147" s="21" t="s">
        <v>67</v>
      </c>
      <c r="K147" s="14"/>
      <c r="L147" s="14"/>
      <c r="M147" s="12">
        <v>200</v>
      </c>
      <c r="N147" s="9"/>
      <c r="O147" s="9"/>
      <c r="P147" s="9"/>
      <c r="Q147" s="38">
        <f>M147+X147-AG147-BB147</f>
        <v>200</v>
      </c>
      <c r="R147" s="12"/>
      <c r="S147" s="42"/>
      <c r="T147" s="15"/>
      <c r="U147" s="44"/>
      <c r="V147" s="15"/>
      <c r="W147" s="44"/>
      <c r="X147" s="15">
        <f>R147+T147+V147</f>
        <v>0</v>
      </c>
      <c r="Y147" s="15"/>
      <c r="Z147" s="44"/>
      <c r="AA147" s="15"/>
      <c r="AB147" s="44"/>
      <c r="AC147" s="15"/>
      <c r="AD147" s="44"/>
      <c r="AE147" s="15"/>
      <c r="AF147" s="44"/>
      <c r="AG147" s="15">
        <f>(Y147+AA147+AC147+AE147)</f>
        <v>0</v>
      </c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/>
      <c r="BA147" s="42"/>
      <c r="BB147" s="15">
        <f>AH147+AJ147+AL147+AN147+AP147+AR147+AT147+AV147+AX147+AZ147</f>
        <v>0</v>
      </c>
      <c r="BC147" s="15"/>
      <c r="BD147" s="44"/>
      <c r="BE147" s="15"/>
      <c r="BF147" s="44"/>
      <c r="BG147" s="15">
        <f>(BC147+BE147)</f>
        <v>0</v>
      </c>
    </row>
    <row r="148" spans="1:59" s="8" customFormat="1" ht="22.5" hidden="1" customHeight="1">
      <c r="A148" s="9"/>
      <c r="B148" s="18" t="s">
        <v>172</v>
      </c>
      <c r="C148" s="89" t="s">
        <v>48</v>
      </c>
      <c r="D148" s="109" t="s">
        <v>254</v>
      </c>
      <c r="E148" s="110"/>
      <c r="F148" s="111" t="s">
        <v>1262</v>
      </c>
      <c r="G148" s="111" t="s">
        <v>1263</v>
      </c>
      <c r="H148" s="96"/>
      <c r="I148" s="21"/>
      <c r="J148" s="21" t="s">
        <v>67</v>
      </c>
      <c r="K148" s="14"/>
      <c r="L148" s="14"/>
      <c r="M148" s="12">
        <v>460</v>
      </c>
      <c r="N148" s="9"/>
      <c r="O148" s="9"/>
      <c r="P148" s="9"/>
      <c r="Q148" s="38">
        <f>M148+X148-AG148-BB148</f>
        <v>460</v>
      </c>
      <c r="R148" s="12"/>
      <c r="S148" s="42"/>
      <c r="T148" s="15"/>
      <c r="U148" s="44"/>
      <c r="V148" s="15"/>
      <c r="W148" s="44"/>
      <c r="X148" s="15">
        <f>R148+T148+V148</f>
        <v>0</v>
      </c>
      <c r="Y148" s="15"/>
      <c r="Z148" s="44"/>
      <c r="AA148" s="15"/>
      <c r="AB148" s="44"/>
      <c r="AC148" s="15"/>
      <c r="AD148" s="44"/>
      <c r="AE148" s="15"/>
      <c r="AF148" s="44"/>
      <c r="AG148" s="15">
        <f>(Y148+AA148+AC148+AE148)</f>
        <v>0</v>
      </c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/>
      <c r="BA148" s="42"/>
      <c r="BB148" s="15">
        <f>AH148+AJ148+AL148+AN148+AP148+AR148+AT148+AV148+AX148+AZ148</f>
        <v>0</v>
      </c>
      <c r="BC148" s="15"/>
      <c r="BD148" s="44"/>
      <c r="BE148" s="15"/>
      <c r="BF148" s="44"/>
      <c r="BG148" s="15">
        <f>(BC148+BE148)</f>
        <v>0</v>
      </c>
    </row>
    <row r="149" spans="1:59" s="8" customFormat="1" ht="22.5" hidden="1" customHeight="1">
      <c r="A149" s="9"/>
      <c r="B149" s="16" t="s">
        <v>172</v>
      </c>
      <c r="C149" s="89" t="s">
        <v>48</v>
      </c>
      <c r="D149" s="109" t="s">
        <v>256</v>
      </c>
      <c r="E149" s="110"/>
      <c r="F149" s="111" t="s">
        <v>1264</v>
      </c>
      <c r="G149" s="111" t="s">
        <v>1265</v>
      </c>
      <c r="H149" s="96"/>
      <c r="I149" s="9"/>
      <c r="J149" s="9" t="s">
        <v>67</v>
      </c>
      <c r="K149" s="14"/>
      <c r="L149" s="14"/>
      <c r="M149" s="12">
        <v>705</v>
      </c>
      <c r="N149" s="9"/>
      <c r="O149" s="9"/>
      <c r="P149" s="9"/>
      <c r="Q149" s="38">
        <f>M149+X149-AG149-BB149</f>
        <v>705</v>
      </c>
      <c r="R149" s="12"/>
      <c r="S149" s="42"/>
      <c r="T149" s="15"/>
      <c r="U149" s="44"/>
      <c r="V149" s="15"/>
      <c r="W149" s="44"/>
      <c r="X149" s="15">
        <f>R149+T149+V149</f>
        <v>0</v>
      </c>
      <c r="Y149" s="15"/>
      <c r="Z149" s="44"/>
      <c r="AA149" s="15"/>
      <c r="AB149" s="44"/>
      <c r="AC149" s="15"/>
      <c r="AD149" s="44"/>
      <c r="AE149" s="15"/>
      <c r="AF149" s="44"/>
      <c r="AG149" s="15">
        <f>(Y149+AA149+AC149+AE149)</f>
        <v>0</v>
      </c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/>
      <c r="BA149" s="42"/>
      <c r="BB149" s="15">
        <f>AH149+AJ149+AL149+AN149+AP149+AR149+AT149+AV149+AX149+AZ149</f>
        <v>0</v>
      </c>
      <c r="BC149" s="15"/>
      <c r="BD149" s="44"/>
      <c r="BE149" s="15"/>
      <c r="BF149" s="44"/>
      <c r="BG149" s="15">
        <f>(BC149+BE149)</f>
        <v>0</v>
      </c>
    </row>
    <row r="150" spans="1:59" s="8" customFormat="1" ht="22.5" hidden="1" customHeight="1">
      <c r="A150" s="9"/>
      <c r="B150" s="16" t="s">
        <v>172</v>
      </c>
      <c r="C150" s="89" t="s">
        <v>48</v>
      </c>
      <c r="D150" s="109" t="s">
        <v>257</v>
      </c>
      <c r="E150" s="110"/>
      <c r="F150" s="111" t="s">
        <v>1266</v>
      </c>
      <c r="G150" s="111" t="s">
        <v>1267</v>
      </c>
      <c r="H150" s="96"/>
      <c r="I150" s="9"/>
      <c r="J150" s="9" t="s">
        <v>67</v>
      </c>
      <c r="K150" s="14"/>
      <c r="L150" s="14"/>
      <c r="M150" s="12">
        <v>196</v>
      </c>
      <c r="N150" s="9"/>
      <c r="O150" s="9"/>
      <c r="P150" s="9"/>
      <c r="Q150" s="38">
        <f>M150+X150-AG150-BB150</f>
        <v>196</v>
      </c>
      <c r="R150" s="12"/>
      <c r="S150" s="42"/>
      <c r="T150" s="15"/>
      <c r="U150" s="44"/>
      <c r="V150" s="15"/>
      <c r="W150" s="44"/>
      <c r="X150" s="15">
        <f>R150+T150+V150</f>
        <v>0</v>
      </c>
      <c r="Y150" s="15"/>
      <c r="Z150" s="44"/>
      <c r="AA150" s="15"/>
      <c r="AB150" s="44"/>
      <c r="AC150" s="15"/>
      <c r="AD150" s="44"/>
      <c r="AE150" s="15"/>
      <c r="AF150" s="44"/>
      <c r="AG150" s="15">
        <f>(Y150+AA150+AC150+AE150)</f>
        <v>0</v>
      </c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/>
      <c r="BA150" s="42"/>
      <c r="BB150" s="15">
        <f>AH150+AJ150+AL150+AN150+AP150+AR150+AT150+AV150+AX150+AZ150</f>
        <v>0</v>
      </c>
      <c r="BC150" s="15"/>
      <c r="BD150" s="44"/>
      <c r="BE150" s="15"/>
      <c r="BF150" s="44"/>
      <c r="BG150" s="15">
        <f>(BC150+BE150)</f>
        <v>0</v>
      </c>
    </row>
    <row r="151" spans="1:59" s="8" customFormat="1" ht="22.5" hidden="1" customHeight="1">
      <c r="A151" s="9"/>
      <c r="B151" s="16" t="s">
        <v>172</v>
      </c>
      <c r="C151" s="89" t="s">
        <v>48</v>
      </c>
      <c r="D151" s="109" t="s">
        <v>258</v>
      </c>
      <c r="E151" s="110"/>
      <c r="F151" s="111" t="s">
        <v>1268</v>
      </c>
      <c r="G151" s="111" t="s">
        <v>1269</v>
      </c>
      <c r="H151" s="96"/>
      <c r="I151" s="9"/>
      <c r="J151" s="9" t="s">
        <v>67</v>
      </c>
      <c r="K151" s="14"/>
      <c r="L151" s="14"/>
      <c r="M151" s="12">
        <v>0</v>
      </c>
      <c r="N151" s="9"/>
      <c r="O151" s="9"/>
      <c r="P151" s="9"/>
      <c r="Q151" s="38">
        <f>M151+X151-AG151-BB151</f>
        <v>0</v>
      </c>
      <c r="R151" s="12"/>
      <c r="S151" s="42"/>
      <c r="T151" s="15"/>
      <c r="U151" s="44"/>
      <c r="V151" s="15"/>
      <c r="W151" s="44"/>
      <c r="X151" s="15">
        <f>R151+T151+V151</f>
        <v>0</v>
      </c>
      <c r="Y151" s="15"/>
      <c r="Z151" s="44"/>
      <c r="AA151" s="15"/>
      <c r="AB151" s="44"/>
      <c r="AC151" s="15"/>
      <c r="AD151" s="44"/>
      <c r="AE151" s="15"/>
      <c r="AF151" s="44"/>
      <c r="AG151" s="15">
        <f>(Y151+AA151+AC151+AE151)</f>
        <v>0</v>
      </c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/>
      <c r="BA151" s="42"/>
      <c r="BB151" s="15">
        <f>AH151+AJ151+AL151+AN151+AP151+AR151+AT151+AV151+AX151+AZ151</f>
        <v>0</v>
      </c>
      <c r="BC151" s="15"/>
      <c r="BD151" s="44"/>
      <c r="BE151" s="15"/>
      <c r="BF151" s="44"/>
      <c r="BG151" s="15">
        <f>(BC151+BE151)</f>
        <v>0</v>
      </c>
    </row>
    <row r="152" spans="1:59" s="8" customFormat="1" ht="22.5" hidden="1" customHeight="1">
      <c r="A152" s="9"/>
      <c r="B152" s="16" t="s">
        <v>172</v>
      </c>
      <c r="C152" s="89" t="s">
        <v>48</v>
      </c>
      <c r="D152" s="109" t="s">
        <v>259</v>
      </c>
      <c r="E152" s="110"/>
      <c r="F152" s="111" t="s">
        <v>1270</v>
      </c>
      <c r="G152" s="111" t="s">
        <v>1271</v>
      </c>
      <c r="H152" s="96"/>
      <c r="I152" s="9"/>
      <c r="J152" s="9" t="s">
        <v>67</v>
      </c>
      <c r="K152" s="14"/>
      <c r="L152" s="14"/>
      <c r="M152" s="12"/>
      <c r="N152" s="9"/>
      <c r="O152" s="9"/>
      <c r="P152" s="9"/>
      <c r="Q152" s="38">
        <f>M152+X152-AG152-BB152</f>
        <v>0</v>
      </c>
      <c r="R152" s="12"/>
      <c r="S152" s="42"/>
      <c r="T152" s="15"/>
      <c r="U152" s="44"/>
      <c r="V152" s="15"/>
      <c r="W152" s="44"/>
      <c r="X152" s="15">
        <f>R152+T152+V152</f>
        <v>0</v>
      </c>
      <c r="Y152" s="15"/>
      <c r="Z152" s="44"/>
      <c r="AA152" s="15"/>
      <c r="AB152" s="44"/>
      <c r="AC152" s="15"/>
      <c r="AD152" s="44"/>
      <c r="AE152" s="15"/>
      <c r="AF152" s="44"/>
      <c r="AG152" s="15">
        <f>(Y152+AA152+AC152+AE152)</f>
        <v>0</v>
      </c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/>
      <c r="BA152" s="42"/>
      <c r="BB152" s="15">
        <f>AH152+AJ152+AL152+AN152+AP152+AR152+AT152+AV152+AX152+AZ152</f>
        <v>0</v>
      </c>
      <c r="BC152" s="15"/>
      <c r="BD152" s="44"/>
      <c r="BE152" s="15"/>
      <c r="BF152" s="44"/>
      <c r="BG152" s="15">
        <f>(BC152+BE152)</f>
        <v>0</v>
      </c>
    </row>
    <row r="153" spans="1:59" s="8" customFormat="1" ht="22.5" hidden="1" customHeight="1">
      <c r="A153" s="9"/>
      <c r="B153" s="16" t="s">
        <v>172</v>
      </c>
      <c r="C153" s="89" t="s">
        <v>48</v>
      </c>
      <c r="D153" s="109" t="s">
        <v>260</v>
      </c>
      <c r="E153" s="110"/>
      <c r="F153" s="111" t="s">
        <v>1272</v>
      </c>
      <c r="G153" s="111" t="s">
        <v>1273</v>
      </c>
      <c r="H153" s="96"/>
      <c r="I153" s="9"/>
      <c r="J153" s="9" t="s">
        <v>67</v>
      </c>
      <c r="K153" s="14"/>
      <c r="L153" s="14"/>
      <c r="M153" s="12">
        <v>348</v>
      </c>
      <c r="N153" s="9"/>
      <c r="O153" s="9"/>
      <c r="P153" s="9"/>
      <c r="Q153" s="38">
        <f>M153+X153-AG153-BB153</f>
        <v>348</v>
      </c>
      <c r="R153" s="12"/>
      <c r="S153" s="42"/>
      <c r="T153" s="15"/>
      <c r="U153" s="44"/>
      <c r="V153" s="15"/>
      <c r="W153" s="44"/>
      <c r="X153" s="15">
        <f>R153+T153+V153</f>
        <v>0</v>
      </c>
      <c r="Y153" s="15"/>
      <c r="Z153" s="44"/>
      <c r="AA153" s="15"/>
      <c r="AB153" s="44"/>
      <c r="AC153" s="15"/>
      <c r="AD153" s="44"/>
      <c r="AE153" s="15"/>
      <c r="AF153" s="44"/>
      <c r="AG153" s="15">
        <f>(Y153+AA153+AC153+AE153)</f>
        <v>0</v>
      </c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/>
      <c r="BA153" s="42"/>
      <c r="BB153" s="15">
        <f>AH153+AJ153+AL153+AN153+AP153+AR153+AT153+AV153+AX153+AZ153</f>
        <v>0</v>
      </c>
      <c r="BC153" s="15"/>
      <c r="BD153" s="44"/>
      <c r="BE153" s="15"/>
      <c r="BF153" s="44"/>
      <c r="BG153" s="15">
        <f>(BC153+BE153)</f>
        <v>0</v>
      </c>
    </row>
    <row r="154" spans="1:59" s="8" customFormat="1" ht="22.5" hidden="1" customHeight="1">
      <c r="A154" s="9"/>
      <c r="B154" s="16" t="s">
        <v>172</v>
      </c>
      <c r="C154" s="89" t="s">
        <v>48</v>
      </c>
      <c r="D154" s="109" t="s">
        <v>261</v>
      </c>
      <c r="E154" s="110"/>
      <c r="F154" s="111" t="s">
        <v>1274</v>
      </c>
      <c r="G154" s="111" t="s">
        <v>1275</v>
      </c>
      <c r="H154" s="96"/>
      <c r="I154" s="9"/>
      <c r="J154" s="9" t="s">
        <v>67</v>
      </c>
      <c r="K154" s="14"/>
      <c r="L154" s="14"/>
      <c r="M154" s="12"/>
      <c r="N154" s="9"/>
      <c r="O154" s="9"/>
      <c r="P154" s="9"/>
      <c r="Q154" s="38">
        <f>M154+X154-AG154-BB154</f>
        <v>0</v>
      </c>
      <c r="R154" s="12"/>
      <c r="S154" s="42"/>
      <c r="T154" s="15"/>
      <c r="U154" s="44"/>
      <c r="V154" s="15"/>
      <c r="W154" s="44"/>
      <c r="X154" s="15">
        <f>R154+T154+V154</f>
        <v>0</v>
      </c>
      <c r="Y154" s="15"/>
      <c r="Z154" s="44"/>
      <c r="AA154" s="15"/>
      <c r="AB154" s="44"/>
      <c r="AC154" s="15"/>
      <c r="AD154" s="44"/>
      <c r="AE154" s="15"/>
      <c r="AF154" s="44"/>
      <c r="AG154" s="15">
        <f>(Y154+AA154+AC154+AE154)</f>
        <v>0</v>
      </c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/>
      <c r="BA154" s="42"/>
      <c r="BB154" s="15">
        <f>AH154+AJ154+AL154+AN154+AP154+AR154+AT154+AV154+AX154+AZ154</f>
        <v>0</v>
      </c>
      <c r="BC154" s="15"/>
      <c r="BD154" s="44"/>
      <c r="BE154" s="15"/>
      <c r="BF154" s="44"/>
      <c r="BG154" s="15">
        <f>(BC154+BE154)</f>
        <v>0</v>
      </c>
    </row>
    <row r="155" spans="1:59" s="8" customFormat="1" ht="22.5" hidden="1" customHeight="1">
      <c r="A155" s="9"/>
      <c r="B155" s="16" t="s">
        <v>120</v>
      </c>
      <c r="C155" s="89" t="s">
        <v>48</v>
      </c>
      <c r="D155" s="109" t="s">
        <v>194</v>
      </c>
      <c r="E155" s="110" t="s">
        <v>262</v>
      </c>
      <c r="F155" s="111" t="s">
        <v>1276</v>
      </c>
      <c r="G155" s="111" t="s">
        <v>1277</v>
      </c>
      <c r="H155" s="96"/>
      <c r="I155" s="9"/>
      <c r="J155" s="9" t="s">
        <v>67</v>
      </c>
      <c r="K155" s="14"/>
      <c r="L155" s="14"/>
      <c r="M155" s="12">
        <v>179</v>
      </c>
      <c r="N155" s="9"/>
      <c r="O155" s="9"/>
      <c r="P155" s="9"/>
      <c r="Q155" s="38">
        <f>M155+X155-AG155-BB155</f>
        <v>179</v>
      </c>
      <c r="R155" s="12"/>
      <c r="S155" s="42"/>
      <c r="T155" s="15"/>
      <c r="U155" s="44"/>
      <c r="V155" s="15"/>
      <c r="W155" s="44"/>
      <c r="X155" s="15">
        <f>R155+T155+V155</f>
        <v>0</v>
      </c>
      <c r="Y155" s="15"/>
      <c r="Z155" s="44"/>
      <c r="AA155" s="15"/>
      <c r="AB155" s="44"/>
      <c r="AC155" s="15"/>
      <c r="AD155" s="44"/>
      <c r="AE155" s="15"/>
      <c r="AF155" s="44"/>
      <c r="AG155" s="15">
        <f>(Y155+AA155+AC155+AE155)</f>
        <v>0</v>
      </c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/>
      <c r="BA155" s="42"/>
      <c r="BB155" s="15">
        <f>AH155+AJ155+AL155+AN155+AP155+AR155+AT155+AV155+AX155+AZ155</f>
        <v>0</v>
      </c>
      <c r="BC155" s="15"/>
      <c r="BD155" s="44"/>
      <c r="BE155" s="15"/>
      <c r="BF155" s="44"/>
      <c r="BG155" s="15">
        <f>(BC155+BE155)</f>
        <v>0</v>
      </c>
    </row>
    <row r="156" spans="1:59" s="8" customFormat="1" ht="22.5" hidden="1" customHeight="1">
      <c r="A156" s="9"/>
      <c r="B156" s="16" t="s">
        <v>120</v>
      </c>
      <c r="C156" s="89" t="s">
        <v>48</v>
      </c>
      <c r="D156" s="109" t="s">
        <v>263</v>
      </c>
      <c r="E156" s="110" t="s">
        <v>264</v>
      </c>
      <c r="F156" s="111" t="s">
        <v>1278</v>
      </c>
      <c r="G156" s="111" t="s">
        <v>1279</v>
      </c>
      <c r="H156" s="96"/>
      <c r="I156" s="9"/>
      <c r="J156" s="9" t="s">
        <v>67</v>
      </c>
      <c r="K156" s="14"/>
      <c r="L156" s="14"/>
      <c r="M156" s="12">
        <v>516</v>
      </c>
      <c r="N156" s="9"/>
      <c r="O156" s="9"/>
      <c r="P156" s="9"/>
      <c r="Q156" s="38">
        <f>M156+X156-AG156-BB156</f>
        <v>516</v>
      </c>
      <c r="R156" s="12"/>
      <c r="S156" s="42"/>
      <c r="T156" s="15"/>
      <c r="U156" s="44"/>
      <c r="V156" s="15"/>
      <c r="W156" s="44"/>
      <c r="X156" s="15">
        <f>R156+T156+V156</f>
        <v>0</v>
      </c>
      <c r="Y156" s="15"/>
      <c r="Z156" s="44"/>
      <c r="AA156" s="15"/>
      <c r="AB156" s="44"/>
      <c r="AC156" s="15"/>
      <c r="AD156" s="44"/>
      <c r="AE156" s="15"/>
      <c r="AF156" s="44"/>
      <c r="AG156" s="15">
        <f>(Y156+AA156+AC156+AE156)</f>
        <v>0</v>
      </c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/>
      <c r="BA156" s="42"/>
      <c r="BB156" s="15">
        <f>AH156+AJ156+AL156+AN156+AP156+AR156+AT156+AV156+AX156+AZ156</f>
        <v>0</v>
      </c>
      <c r="BC156" s="15"/>
      <c r="BD156" s="44"/>
      <c r="BE156" s="15"/>
      <c r="BF156" s="44"/>
      <c r="BG156" s="15">
        <f>(BC156+BE156)</f>
        <v>0</v>
      </c>
    </row>
    <row r="157" spans="1:59" s="8" customFormat="1" ht="22.5" hidden="1" customHeight="1">
      <c r="A157" s="9"/>
      <c r="B157" s="16" t="s">
        <v>120</v>
      </c>
      <c r="C157" s="89" t="s">
        <v>48</v>
      </c>
      <c r="D157" s="109" t="s">
        <v>265</v>
      </c>
      <c r="E157" s="110" t="s">
        <v>266</v>
      </c>
      <c r="F157" s="111" t="s">
        <v>1280</v>
      </c>
      <c r="G157" s="111" t="s">
        <v>1281</v>
      </c>
      <c r="H157" s="96"/>
      <c r="I157" s="9"/>
      <c r="J157" s="9" t="s">
        <v>67</v>
      </c>
      <c r="K157" s="14"/>
      <c r="L157" s="14"/>
      <c r="M157" s="12">
        <v>148</v>
      </c>
      <c r="N157" s="9"/>
      <c r="O157" s="9"/>
      <c r="P157" s="9"/>
      <c r="Q157" s="38">
        <f>M157+X157-AG157-BB157</f>
        <v>148</v>
      </c>
      <c r="R157" s="12"/>
      <c r="S157" s="42"/>
      <c r="T157" s="15"/>
      <c r="U157" s="44"/>
      <c r="V157" s="15"/>
      <c r="W157" s="44"/>
      <c r="X157" s="15">
        <f>R157+T157+V157</f>
        <v>0</v>
      </c>
      <c r="Y157" s="15"/>
      <c r="Z157" s="44"/>
      <c r="AA157" s="15"/>
      <c r="AB157" s="44"/>
      <c r="AC157" s="15"/>
      <c r="AD157" s="44"/>
      <c r="AE157" s="15"/>
      <c r="AF157" s="44"/>
      <c r="AG157" s="15">
        <f>(Y157+AA157+AC157+AE157)</f>
        <v>0</v>
      </c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/>
      <c r="BA157" s="42"/>
      <c r="BB157" s="15">
        <f>AH157+AJ157+AL157+AN157+AP157+AR157+AT157+AV157+AX157+AZ157</f>
        <v>0</v>
      </c>
      <c r="BC157" s="15"/>
      <c r="BD157" s="44"/>
      <c r="BE157" s="15"/>
      <c r="BF157" s="44"/>
      <c r="BG157" s="15">
        <f>(BC157+BE157)</f>
        <v>0</v>
      </c>
    </row>
    <row r="158" spans="1:59" s="8" customFormat="1" ht="22.5" hidden="1" customHeight="1">
      <c r="A158" s="9"/>
      <c r="B158" s="16" t="s">
        <v>120</v>
      </c>
      <c r="C158" s="89" t="s">
        <v>48</v>
      </c>
      <c r="D158" s="109" t="s">
        <v>196</v>
      </c>
      <c r="E158" s="110" t="s">
        <v>267</v>
      </c>
      <c r="F158" s="111" t="s">
        <v>1282</v>
      </c>
      <c r="G158" s="111" t="s">
        <v>1283</v>
      </c>
      <c r="H158" s="96"/>
      <c r="I158" s="9"/>
      <c r="J158" s="9" t="s">
        <v>67</v>
      </c>
      <c r="K158" s="14"/>
      <c r="L158" s="14"/>
      <c r="M158" s="12">
        <v>120</v>
      </c>
      <c r="N158" s="9"/>
      <c r="O158" s="9"/>
      <c r="P158" s="9"/>
      <c r="Q158" s="38">
        <f>M158+X158-AG158-BB158</f>
        <v>120</v>
      </c>
      <c r="R158" s="12"/>
      <c r="S158" s="42"/>
      <c r="T158" s="15"/>
      <c r="U158" s="44"/>
      <c r="V158" s="15"/>
      <c r="W158" s="44"/>
      <c r="X158" s="15">
        <f>R158+T158+V158</f>
        <v>0</v>
      </c>
      <c r="Y158" s="15"/>
      <c r="Z158" s="44"/>
      <c r="AA158" s="15"/>
      <c r="AB158" s="44"/>
      <c r="AC158" s="15"/>
      <c r="AD158" s="44"/>
      <c r="AE158" s="15"/>
      <c r="AF158" s="44"/>
      <c r="AG158" s="15">
        <f>(Y158+AA158+AC158+AE158)</f>
        <v>0</v>
      </c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/>
      <c r="BA158" s="42"/>
      <c r="BB158" s="15">
        <f>AH158+AJ158+AL158+AN158+AP158+AR158+AT158+AV158+AX158+AZ158</f>
        <v>0</v>
      </c>
      <c r="BC158" s="15"/>
      <c r="BD158" s="44"/>
      <c r="BE158" s="15"/>
      <c r="BF158" s="44"/>
      <c r="BG158" s="15">
        <f>(BC158+BE158)</f>
        <v>0</v>
      </c>
    </row>
    <row r="159" spans="1:59" s="8" customFormat="1" ht="22.5" hidden="1" customHeight="1">
      <c r="A159" s="9"/>
      <c r="B159" s="16" t="s">
        <v>120</v>
      </c>
      <c r="C159" s="89" t="s">
        <v>48</v>
      </c>
      <c r="D159" s="109" t="s">
        <v>198</v>
      </c>
      <c r="E159" s="110" t="s">
        <v>268</v>
      </c>
      <c r="F159" s="111" t="s">
        <v>1284</v>
      </c>
      <c r="G159" s="111" t="s">
        <v>1285</v>
      </c>
      <c r="H159" s="96"/>
      <c r="I159" s="9"/>
      <c r="J159" s="9" t="s">
        <v>67</v>
      </c>
      <c r="K159" s="14"/>
      <c r="L159" s="14"/>
      <c r="M159" s="12">
        <v>509</v>
      </c>
      <c r="N159" s="9"/>
      <c r="O159" s="9"/>
      <c r="P159" s="9"/>
      <c r="Q159" s="38">
        <f>M159+X159-AG159-BB159</f>
        <v>509</v>
      </c>
      <c r="R159" s="12"/>
      <c r="S159" s="42"/>
      <c r="T159" s="15"/>
      <c r="U159" s="44"/>
      <c r="V159" s="15"/>
      <c r="W159" s="44"/>
      <c r="X159" s="15">
        <f>R159+T159+V159</f>
        <v>0</v>
      </c>
      <c r="Y159" s="15"/>
      <c r="Z159" s="44"/>
      <c r="AA159" s="15"/>
      <c r="AB159" s="44"/>
      <c r="AC159" s="15"/>
      <c r="AD159" s="44"/>
      <c r="AE159" s="15"/>
      <c r="AF159" s="44"/>
      <c r="AG159" s="15">
        <f>(Y159+AA159+AC159+AE159)</f>
        <v>0</v>
      </c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/>
      <c r="BA159" s="42"/>
      <c r="BB159" s="15">
        <f>AH159+AJ159+AL159+AN159+AP159+AR159+AT159+AV159+AX159+AZ159</f>
        <v>0</v>
      </c>
      <c r="BC159" s="15"/>
      <c r="BD159" s="44"/>
      <c r="BE159" s="15"/>
      <c r="BF159" s="44"/>
      <c r="BG159" s="15">
        <f>(BC159+BE159)</f>
        <v>0</v>
      </c>
    </row>
    <row r="160" spans="1:59" s="8" customFormat="1" ht="22.5" hidden="1" customHeight="1">
      <c r="A160" s="9"/>
      <c r="B160" s="16" t="s">
        <v>120</v>
      </c>
      <c r="C160" s="89" t="s">
        <v>48</v>
      </c>
      <c r="D160" s="109" t="s">
        <v>200</v>
      </c>
      <c r="E160" s="110" t="s">
        <v>269</v>
      </c>
      <c r="F160" s="111" t="s">
        <v>1286</v>
      </c>
      <c r="G160" s="111" t="s">
        <v>1287</v>
      </c>
      <c r="H160" s="96"/>
      <c r="I160" s="9"/>
      <c r="J160" s="9" t="s">
        <v>67</v>
      </c>
      <c r="K160" s="14"/>
      <c r="L160" s="14"/>
      <c r="M160" s="12">
        <v>506</v>
      </c>
      <c r="N160" s="9"/>
      <c r="O160" s="9"/>
      <c r="P160" s="9"/>
      <c r="Q160" s="38">
        <f>M160+X160-AG160-BB160</f>
        <v>506</v>
      </c>
      <c r="R160" s="12"/>
      <c r="S160" s="42"/>
      <c r="T160" s="15"/>
      <c r="U160" s="44"/>
      <c r="V160" s="15"/>
      <c r="W160" s="44"/>
      <c r="X160" s="15">
        <f>R160+T160+V160</f>
        <v>0</v>
      </c>
      <c r="Y160" s="15"/>
      <c r="Z160" s="44"/>
      <c r="AA160" s="15"/>
      <c r="AB160" s="44"/>
      <c r="AC160" s="15"/>
      <c r="AD160" s="44"/>
      <c r="AE160" s="15"/>
      <c r="AF160" s="44"/>
      <c r="AG160" s="15">
        <f>(Y160+AA160+AC160+AE160)</f>
        <v>0</v>
      </c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/>
      <c r="BA160" s="42"/>
      <c r="BB160" s="15">
        <f>AH160+AJ160+AL160+AN160+AP160+AR160+AT160+AV160+AX160+AZ160</f>
        <v>0</v>
      </c>
      <c r="BC160" s="15"/>
      <c r="BD160" s="44"/>
      <c r="BE160" s="15"/>
      <c r="BF160" s="44"/>
      <c r="BG160" s="15">
        <f>(BC160+BE160)</f>
        <v>0</v>
      </c>
    </row>
    <row r="161" spans="1:59" s="8" customFormat="1" ht="22.5" hidden="1" customHeight="1">
      <c r="A161" s="9"/>
      <c r="B161" s="16" t="s">
        <v>120</v>
      </c>
      <c r="C161" s="89" t="s">
        <v>48</v>
      </c>
      <c r="D161" s="109" t="s">
        <v>270</v>
      </c>
      <c r="E161" s="110" t="s">
        <v>271</v>
      </c>
      <c r="F161" s="111" t="s">
        <v>1288</v>
      </c>
      <c r="G161" s="111" t="s">
        <v>1289</v>
      </c>
      <c r="H161" s="96"/>
      <c r="I161" s="9"/>
      <c r="J161" s="9" t="s">
        <v>67</v>
      </c>
      <c r="K161" s="14"/>
      <c r="L161" s="14"/>
      <c r="M161" s="12">
        <v>52</v>
      </c>
      <c r="N161" s="9"/>
      <c r="O161" s="9"/>
      <c r="P161" s="9"/>
      <c r="Q161" s="38">
        <f>M161+X161-AG161-BB161</f>
        <v>52</v>
      </c>
      <c r="R161" s="12"/>
      <c r="S161" s="42"/>
      <c r="T161" s="15"/>
      <c r="U161" s="44"/>
      <c r="V161" s="15"/>
      <c r="W161" s="44"/>
      <c r="X161" s="15">
        <f>R161+T161+V161</f>
        <v>0</v>
      </c>
      <c r="Y161" s="15"/>
      <c r="Z161" s="44"/>
      <c r="AA161" s="15"/>
      <c r="AB161" s="44"/>
      <c r="AC161" s="15"/>
      <c r="AD161" s="44"/>
      <c r="AE161" s="15"/>
      <c r="AF161" s="44"/>
      <c r="AG161" s="15">
        <f>(Y161+AA161+AC161+AE161)</f>
        <v>0</v>
      </c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/>
      <c r="BA161" s="42"/>
      <c r="BB161" s="15">
        <f>AH161+AJ161+AL161+AN161+AP161+AR161+AT161+AV161+AX161+AZ161</f>
        <v>0</v>
      </c>
      <c r="BC161" s="15"/>
      <c r="BD161" s="44"/>
      <c r="BE161" s="15"/>
      <c r="BF161" s="44"/>
      <c r="BG161" s="15">
        <f>(BC161+BE161)</f>
        <v>0</v>
      </c>
    </row>
    <row r="162" spans="1:59" s="8" customFormat="1" ht="22.5" hidden="1" customHeight="1">
      <c r="A162" s="9"/>
      <c r="B162" s="16" t="s">
        <v>120</v>
      </c>
      <c r="C162" s="89" t="s">
        <v>48</v>
      </c>
      <c r="D162" s="109" t="s">
        <v>272</v>
      </c>
      <c r="E162" s="110" t="s">
        <v>273</v>
      </c>
      <c r="F162" s="111" t="s">
        <v>1290</v>
      </c>
      <c r="G162" s="111" t="s">
        <v>1291</v>
      </c>
      <c r="H162" s="96"/>
      <c r="I162" s="9"/>
      <c r="J162" s="9" t="s">
        <v>67</v>
      </c>
      <c r="K162" s="14"/>
      <c r="L162" s="14"/>
      <c r="M162" s="12">
        <v>200</v>
      </c>
      <c r="N162" s="9"/>
      <c r="O162" s="9"/>
      <c r="P162" s="9"/>
      <c r="Q162" s="38">
        <f>M162+X162-AG162-BB162</f>
        <v>200</v>
      </c>
      <c r="R162" s="12"/>
      <c r="S162" s="42"/>
      <c r="T162" s="15"/>
      <c r="U162" s="44"/>
      <c r="V162" s="15"/>
      <c r="W162" s="44"/>
      <c r="X162" s="15">
        <f>R162+T162+V162</f>
        <v>0</v>
      </c>
      <c r="Y162" s="15"/>
      <c r="Z162" s="44"/>
      <c r="AA162" s="15"/>
      <c r="AB162" s="44"/>
      <c r="AC162" s="15"/>
      <c r="AD162" s="44"/>
      <c r="AE162" s="15"/>
      <c r="AF162" s="44"/>
      <c r="AG162" s="15">
        <f>(Y162+AA162+AC162+AE162)</f>
        <v>0</v>
      </c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/>
      <c r="BA162" s="42"/>
      <c r="BB162" s="15">
        <f>AH162+AJ162+AL162+AN162+AP162+AR162+AT162+AV162+AX162+AZ162</f>
        <v>0</v>
      </c>
      <c r="BC162" s="15"/>
      <c r="BD162" s="44"/>
      <c r="BE162" s="15"/>
      <c r="BF162" s="44"/>
      <c r="BG162" s="15">
        <f>(BC162+BE162)</f>
        <v>0</v>
      </c>
    </row>
    <row r="163" spans="1:59" s="8" customFormat="1" ht="22.5" hidden="1" customHeight="1">
      <c r="A163" s="9"/>
      <c r="B163" s="16" t="s">
        <v>120</v>
      </c>
      <c r="C163" s="89" t="s">
        <v>48</v>
      </c>
      <c r="D163" s="109" t="s">
        <v>274</v>
      </c>
      <c r="E163" s="110" t="s">
        <v>275</v>
      </c>
      <c r="F163" s="111" t="s">
        <v>1292</v>
      </c>
      <c r="G163" s="111" t="s">
        <v>1293</v>
      </c>
      <c r="H163" s="96"/>
      <c r="I163" s="9"/>
      <c r="J163" s="9" t="s">
        <v>67</v>
      </c>
      <c r="K163" s="14"/>
      <c r="L163" s="14"/>
      <c r="M163" s="12">
        <v>278</v>
      </c>
      <c r="N163" s="9"/>
      <c r="O163" s="9"/>
      <c r="P163" s="9"/>
      <c r="Q163" s="38">
        <f>M163+X163-AG163-BB163</f>
        <v>278</v>
      </c>
      <c r="R163" s="12"/>
      <c r="S163" s="42"/>
      <c r="T163" s="15"/>
      <c r="U163" s="44"/>
      <c r="V163" s="15"/>
      <c r="W163" s="44"/>
      <c r="X163" s="15">
        <f>R163+T163+V163</f>
        <v>0</v>
      </c>
      <c r="Y163" s="15"/>
      <c r="Z163" s="44"/>
      <c r="AA163" s="15"/>
      <c r="AB163" s="44"/>
      <c r="AC163" s="15"/>
      <c r="AD163" s="44"/>
      <c r="AE163" s="15"/>
      <c r="AF163" s="44"/>
      <c r="AG163" s="15">
        <f>(Y163+AA163+AC163+AE163)</f>
        <v>0</v>
      </c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/>
      <c r="BA163" s="42"/>
      <c r="BB163" s="15">
        <f>AH163+AJ163+AL163+AN163+AP163+AR163+AT163+AV163+AX163+AZ163</f>
        <v>0</v>
      </c>
      <c r="BC163" s="15"/>
      <c r="BD163" s="44"/>
      <c r="BE163" s="15"/>
      <c r="BF163" s="44"/>
      <c r="BG163" s="15">
        <f>(BC163+BE163)</f>
        <v>0</v>
      </c>
    </row>
    <row r="164" spans="1:59" s="8" customFormat="1" ht="22.5" hidden="1" customHeight="1">
      <c r="A164" s="9"/>
      <c r="B164" s="16" t="s">
        <v>187</v>
      </c>
      <c r="C164" s="89" t="s">
        <v>48</v>
      </c>
      <c r="D164" s="109" t="s">
        <v>276</v>
      </c>
      <c r="E164" s="110" t="s">
        <v>277</v>
      </c>
      <c r="F164" s="111" t="s">
        <v>1294</v>
      </c>
      <c r="G164" s="111" t="s">
        <v>1295</v>
      </c>
      <c r="H164" s="96"/>
      <c r="I164" s="9"/>
      <c r="J164" s="9" t="s">
        <v>67</v>
      </c>
      <c r="K164" s="14"/>
      <c r="L164" s="14"/>
      <c r="M164" s="12">
        <v>504</v>
      </c>
      <c r="N164" s="9"/>
      <c r="O164" s="9"/>
      <c r="P164" s="9"/>
      <c r="Q164" s="38">
        <f>M164+X164-AG164-BB164</f>
        <v>504</v>
      </c>
      <c r="R164" s="12"/>
      <c r="S164" s="42"/>
      <c r="T164" s="15"/>
      <c r="U164" s="44"/>
      <c r="V164" s="15"/>
      <c r="W164" s="44"/>
      <c r="X164" s="15">
        <f>R164+T164+V164</f>
        <v>0</v>
      </c>
      <c r="Y164" s="15"/>
      <c r="Z164" s="44"/>
      <c r="AA164" s="15"/>
      <c r="AB164" s="44"/>
      <c r="AC164" s="15"/>
      <c r="AD164" s="44"/>
      <c r="AE164" s="15"/>
      <c r="AF164" s="44"/>
      <c r="AG164" s="15">
        <f>(Y164+AA164+AC164+AE164)</f>
        <v>0</v>
      </c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/>
      <c r="BA164" s="42"/>
      <c r="BB164" s="15">
        <f>AH164+AJ164+AL164+AN164+AP164+AR164+AT164+AV164+AX164+AZ164</f>
        <v>0</v>
      </c>
      <c r="BC164" s="15"/>
      <c r="BD164" s="44"/>
      <c r="BE164" s="15"/>
      <c r="BF164" s="44"/>
      <c r="BG164" s="15">
        <f>(BC164+BE164)</f>
        <v>0</v>
      </c>
    </row>
    <row r="165" spans="1:59" s="8" customFormat="1" ht="22.5" hidden="1" customHeight="1">
      <c r="A165" s="9"/>
      <c r="B165" s="16" t="s">
        <v>204</v>
      </c>
      <c r="C165" s="89" t="s">
        <v>48</v>
      </c>
      <c r="D165" s="109" t="s">
        <v>278</v>
      </c>
      <c r="E165" s="110" t="s">
        <v>279</v>
      </c>
      <c r="F165" s="111" t="s">
        <v>1296</v>
      </c>
      <c r="G165" s="111" t="s">
        <v>1297</v>
      </c>
      <c r="H165" s="96"/>
      <c r="I165" s="9"/>
      <c r="J165" s="9" t="s">
        <v>207</v>
      </c>
      <c r="K165" s="14"/>
      <c r="L165" s="14"/>
      <c r="M165" s="12">
        <v>304</v>
      </c>
      <c r="N165" s="9"/>
      <c r="O165" s="9"/>
      <c r="P165" s="9"/>
      <c r="Q165" s="38">
        <f>M165+X165-AG165-BB165</f>
        <v>304</v>
      </c>
      <c r="R165" s="12"/>
      <c r="S165" s="42"/>
      <c r="T165" s="15"/>
      <c r="U165" s="44"/>
      <c r="V165" s="15"/>
      <c r="W165" s="44"/>
      <c r="X165" s="15">
        <f>R165+T165+V165</f>
        <v>0</v>
      </c>
      <c r="Y165" s="15"/>
      <c r="Z165" s="44"/>
      <c r="AA165" s="15"/>
      <c r="AB165" s="44"/>
      <c r="AC165" s="15"/>
      <c r="AD165" s="44"/>
      <c r="AE165" s="15"/>
      <c r="AF165" s="44"/>
      <c r="AG165" s="15">
        <f>(Y165+AA165+AC165+AE165)</f>
        <v>0</v>
      </c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/>
      <c r="BA165" s="42"/>
      <c r="BB165" s="15">
        <f>AH165+AJ165+AL165+AN165+AP165+AR165+AT165+AV165+AX165+AZ165</f>
        <v>0</v>
      </c>
      <c r="BC165" s="15"/>
      <c r="BD165" s="44"/>
      <c r="BE165" s="15"/>
      <c r="BF165" s="44"/>
      <c r="BG165" s="15">
        <f>(BC165+BE165)</f>
        <v>0</v>
      </c>
    </row>
    <row r="166" spans="1:59" s="8" customFormat="1" ht="22.5" hidden="1" customHeight="1">
      <c r="A166" s="9"/>
      <c r="B166" s="16" t="s">
        <v>204</v>
      </c>
      <c r="C166" s="89" t="s">
        <v>48</v>
      </c>
      <c r="D166" s="109" t="s">
        <v>280</v>
      </c>
      <c r="E166" s="110" t="s">
        <v>281</v>
      </c>
      <c r="F166" s="111" t="s">
        <v>1299</v>
      </c>
      <c r="G166" s="111" t="s">
        <v>1300</v>
      </c>
      <c r="H166" s="96"/>
      <c r="I166" s="9"/>
      <c r="J166" s="9" t="s">
        <v>207</v>
      </c>
      <c r="K166" s="14"/>
      <c r="L166" s="14"/>
      <c r="M166" s="12">
        <v>443</v>
      </c>
      <c r="N166" s="9"/>
      <c r="O166" s="9"/>
      <c r="P166" s="9"/>
      <c r="Q166" s="38">
        <f>M166+X166-AG166-BB166</f>
        <v>443</v>
      </c>
      <c r="R166" s="12"/>
      <c r="S166" s="42"/>
      <c r="T166" s="15"/>
      <c r="U166" s="44"/>
      <c r="V166" s="15"/>
      <c r="W166" s="44"/>
      <c r="X166" s="15">
        <f>R166+T166+V166</f>
        <v>0</v>
      </c>
      <c r="Y166" s="15"/>
      <c r="Z166" s="44"/>
      <c r="AA166" s="15"/>
      <c r="AB166" s="44"/>
      <c r="AC166" s="15"/>
      <c r="AD166" s="44"/>
      <c r="AE166" s="15"/>
      <c r="AF166" s="44"/>
      <c r="AG166" s="15">
        <f>(Y166+AA166+AC166+AE166)</f>
        <v>0</v>
      </c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/>
      <c r="BA166" s="42"/>
      <c r="BB166" s="15">
        <f>AH166+AJ166+AL166+AN166+AP166+AR166+AT166+AV166+AX166+AZ166</f>
        <v>0</v>
      </c>
      <c r="BC166" s="15"/>
      <c r="BD166" s="44"/>
      <c r="BE166" s="15"/>
      <c r="BF166" s="44"/>
      <c r="BG166" s="15">
        <f>(BC166+BE166)</f>
        <v>0</v>
      </c>
    </row>
    <row r="167" spans="1:59" s="8" customFormat="1" ht="22.5" hidden="1" customHeight="1">
      <c r="A167" s="9"/>
      <c r="B167" s="16" t="s">
        <v>204</v>
      </c>
      <c r="C167" s="89" t="s">
        <v>48</v>
      </c>
      <c r="D167" s="109" t="s">
        <v>282</v>
      </c>
      <c r="E167" s="110" t="s">
        <v>206</v>
      </c>
      <c r="F167" s="111" t="s">
        <v>1301</v>
      </c>
      <c r="G167" s="111" t="s">
        <v>1302</v>
      </c>
      <c r="H167" s="96"/>
      <c r="I167" s="9"/>
      <c r="J167" s="9" t="s">
        <v>207</v>
      </c>
      <c r="K167" s="14"/>
      <c r="L167" s="14"/>
      <c r="M167" s="12">
        <v>500</v>
      </c>
      <c r="N167" s="9"/>
      <c r="O167" s="9"/>
      <c r="P167" s="9"/>
      <c r="Q167" s="38">
        <f>M167+X167-AG167-BB167</f>
        <v>500</v>
      </c>
      <c r="R167" s="12"/>
      <c r="S167" s="42"/>
      <c r="T167" s="15"/>
      <c r="U167" s="44"/>
      <c r="V167" s="15"/>
      <c r="W167" s="44"/>
      <c r="X167" s="15">
        <f>R167+T167+V167</f>
        <v>0</v>
      </c>
      <c r="Y167" s="15"/>
      <c r="Z167" s="44"/>
      <c r="AA167" s="15"/>
      <c r="AB167" s="44"/>
      <c r="AC167" s="15"/>
      <c r="AD167" s="44"/>
      <c r="AE167" s="15"/>
      <c r="AF167" s="44"/>
      <c r="AG167" s="15">
        <f>(Y167+AA167+AC167+AE167)</f>
        <v>0</v>
      </c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/>
      <c r="BA167" s="42"/>
      <c r="BB167" s="15">
        <f>AH167+AJ167+AL167+AN167+AP167+AR167+AT167+AV167+AX167+AZ167</f>
        <v>0</v>
      </c>
      <c r="BC167" s="15"/>
      <c r="BD167" s="44"/>
      <c r="BE167" s="15"/>
      <c r="BF167" s="44"/>
      <c r="BG167" s="15">
        <f>(BC167+BE167)</f>
        <v>0</v>
      </c>
    </row>
    <row r="168" spans="1:59" s="8" customFormat="1" ht="22.5" hidden="1" customHeight="1">
      <c r="A168" s="9"/>
      <c r="B168" s="16" t="s">
        <v>204</v>
      </c>
      <c r="C168" s="89" t="s">
        <v>48</v>
      </c>
      <c r="D168" s="109" t="s">
        <v>216</v>
      </c>
      <c r="E168" s="110" t="s">
        <v>279</v>
      </c>
      <c r="F168" s="111" t="s">
        <v>1303</v>
      </c>
      <c r="G168" s="111" t="s">
        <v>1304</v>
      </c>
      <c r="H168" s="96"/>
      <c r="I168" s="9"/>
      <c r="J168" s="9" t="s">
        <v>207</v>
      </c>
      <c r="K168" s="14"/>
      <c r="L168" s="14"/>
      <c r="M168" s="12">
        <v>274</v>
      </c>
      <c r="N168" s="9"/>
      <c r="O168" s="9"/>
      <c r="P168" s="9"/>
      <c r="Q168" s="38">
        <f>M168+X168-AG168-BB168</f>
        <v>274</v>
      </c>
      <c r="R168" s="12"/>
      <c r="S168" s="42"/>
      <c r="T168" s="15"/>
      <c r="U168" s="44"/>
      <c r="V168" s="15"/>
      <c r="W168" s="44"/>
      <c r="X168" s="15">
        <f>R168+T168+V168</f>
        <v>0</v>
      </c>
      <c r="Y168" s="15"/>
      <c r="Z168" s="44"/>
      <c r="AA168" s="15"/>
      <c r="AB168" s="44"/>
      <c r="AC168" s="15"/>
      <c r="AD168" s="44"/>
      <c r="AE168" s="15"/>
      <c r="AF168" s="44"/>
      <c r="AG168" s="15">
        <f>(Y168+AA168+AC168+AE168)</f>
        <v>0</v>
      </c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/>
      <c r="BA168" s="42"/>
      <c r="BB168" s="15">
        <f>AH168+AJ168+AL168+AN168+AP168+AR168+AT168+AV168+AX168+AZ168</f>
        <v>0</v>
      </c>
      <c r="BC168" s="15"/>
      <c r="BD168" s="44"/>
      <c r="BE168" s="15"/>
      <c r="BF168" s="44"/>
      <c r="BG168" s="15">
        <f>(BC168+BE168)</f>
        <v>0</v>
      </c>
    </row>
    <row r="169" spans="1:59" s="8" customFormat="1" ht="22.5" hidden="1" customHeight="1">
      <c r="A169" s="9"/>
      <c r="B169" s="16" t="s">
        <v>204</v>
      </c>
      <c r="C169" s="89" t="s">
        <v>48</v>
      </c>
      <c r="D169" s="109" t="s">
        <v>283</v>
      </c>
      <c r="E169" s="110" t="s">
        <v>206</v>
      </c>
      <c r="F169" s="111" t="s">
        <v>1305</v>
      </c>
      <c r="G169" s="111" t="s">
        <v>1306</v>
      </c>
      <c r="H169" s="96"/>
      <c r="I169" s="9"/>
      <c r="J169" s="9" t="s">
        <v>207</v>
      </c>
      <c r="K169" s="14"/>
      <c r="L169" s="14"/>
      <c r="M169" s="12">
        <v>313</v>
      </c>
      <c r="N169" s="9"/>
      <c r="O169" s="9"/>
      <c r="P169" s="9"/>
      <c r="Q169" s="38">
        <f>M169+X169-AG169-BB169</f>
        <v>313</v>
      </c>
      <c r="R169" s="12"/>
      <c r="S169" s="42"/>
      <c r="T169" s="15"/>
      <c r="U169" s="44"/>
      <c r="V169" s="15"/>
      <c r="W169" s="44"/>
      <c r="X169" s="15">
        <f>R169+T169+V169</f>
        <v>0</v>
      </c>
      <c r="Y169" s="15"/>
      <c r="Z169" s="44"/>
      <c r="AA169" s="15"/>
      <c r="AB169" s="44"/>
      <c r="AC169" s="15"/>
      <c r="AD169" s="44"/>
      <c r="AE169" s="15"/>
      <c r="AF169" s="44"/>
      <c r="AG169" s="15">
        <f>(Y169+AA169+AC169+AE169)</f>
        <v>0</v>
      </c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/>
      <c r="BA169" s="42"/>
      <c r="BB169" s="15">
        <f>AH169+AJ169+AL169+AN169+AP169+AR169+AT169+AV169+AX169+AZ169</f>
        <v>0</v>
      </c>
      <c r="BC169" s="15"/>
      <c r="BD169" s="44"/>
      <c r="BE169" s="15"/>
      <c r="BF169" s="44"/>
      <c r="BG169" s="15">
        <f>(BC169+BE169)</f>
        <v>0</v>
      </c>
    </row>
    <row r="170" spans="1:59" s="8" customFormat="1" ht="22.5" hidden="1" customHeight="1">
      <c r="A170" s="9"/>
      <c r="B170" s="16" t="s">
        <v>204</v>
      </c>
      <c r="C170" s="89" t="s">
        <v>48</v>
      </c>
      <c r="D170" s="109" t="s">
        <v>284</v>
      </c>
      <c r="E170" s="110" t="s">
        <v>237</v>
      </c>
      <c r="F170" s="133" t="s">
        <v>1307</v>
      </c>
      <c r="G170" s="133" t="s">
        <v>1308</v>
      </c>
      <c r="H170" s="96"/>
      <c r="I170" s="9"/>
      <c r="J170" s="9" t="s">
        <v>207</v>
      </c>
      <c r="K170" s="14"/>
      <c r="L170" s="14"/>
      <c r="M170" s="12">
        <v>260</v>
      </c>
      <c r="N170" s="9"/>
      <c r="O170" s="9"/>
      <c r="P170" s="9"/>
      <c r="Q170" s="38">
        <f>M170+X170-AG170-BB170</f>
        <v>260</v>
      </c>
      <c r="R170" s="12"/>
      <c r="S170" s="42"/>
      <c r="T170" s="15"/>
      <c r="U170" s="44"/>
      <c r="V170" s="15"/>
      <c r="W170" s="44"/>
      <c r="X170" s="15">
        <f>R170+T170+V170</f>
        <v>0</v>
      </c>
      <c r="Y170" s="15"/>
      <c r="Z170" s="44"/>
      <c r="AA170" s="15"/>
      <c r="AB170" s="44"/>
      <c r="AC170" s="15"/>
      <c r="AD170" s="44"/>
      <c r="AE170" s="15"/>
      <c r="AF170" s="44"/>
      <c r="AG170" s="15">
        <f>(Y170+AA170+AC170+AE170)</f>
        <v>0</v>
      </c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/>
      <c r="BA170" s="42"/>
      <c r="BB170" s="15">
        <f>AH170+AJ170+AL170+AN170+AP170+AR170+AT170+AV170+AX170+AZ170</f>
        <v>0</v>
      </c>
      <c r="BC170" s="15"/>
      <c r="BD170" s="44"/>
      <c r="BE170" s="15"/>
      <c r="BF170" s="44"/>
      <c r="BG170" s="15">
        <f>(BC170+BE170)</f>
        <v>0</v>
      </c>
    </row>
    <row r="171" spans="1:59" s="8" customFormat="1" ht="22.5" hidden="1" customHeight="1">
      <c r="A171" s="9"/>
      <c r="B171" s="16" t="s">
        <v>204</v>
      </c>
      <c r="C171" s="89" t="s">
        <v>48</v>
      </c>
      <c r="D171" s="109" t="s">
        <v>285</v>
      </c>
      <c r="E171" s="110" t="s">
        <v>279</v>
      </c>
      <c r="F171" s="111" t="s">
        <v>1309</v>
      </c>
      <c r="G171" s="111" t="s">
        <v>1310</v>
      </c>
      <c r="H171" s="96"/>
      <c r="I171" s="9"/>
      <c r="J171" s="9" t="s">
        <v>207</v>
      </c>
      <c r="K171" s="14"/>
      <c r="L171" s="14"/>
      <c r="M171" s="12">
        <v>500</v>
      </c>
      <c r="N171" s="9"/>
      <c r="O171" s="9"/>
      <c r="P171" s="9"/>
      <c r="Q171" s="38">
        <f>M171+X171-AG171-BB171</f>
        <v>500</v>
      </c>
      <c r="R171" s="12"/>
      <c r="S171" s="42"/>
      <c r="T171" s="15"/>
      <c r="U171" s="44"/>
      <c r="V171" s="15"/>
      <c r="W171" s="44"/>
      <c r="X171" s="15">
        <f>R171+T171+V171</f>
        <v>0</v>
      </c>
      <c r="Y171" s="15"/>
      <c r="Z171" s="44"/>
      <c r="AA171" s="15"/>
      <c r="AB171" s="44"/>
      <c r="AC171" s="24"/>
      <c r="AD171" s="44"/>
      <c r="AE171" s="24"/>
      <c r="AF171" s="44"/>
      <c r="AG171" s="15">
        <f>(Y171+AA171+AC171+AE171)</f>
        <v>0</v>
      </c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/>
      <c r="BA171" s="42"/>
      <c r="BB171" s="15">
        <f>AH171+AJ171+AL171+AN171+AP171+AR171+AT171+AV171+AX171+AZ171</f>
        <v>0</v>
      </c>
      <c r="BC171" s="15"/>
      <c r="BD171" s="44"/>
      <c r="BE171" s="15"/>
      <c r="BF171" s="44"/>
      <c r="BG171" s="15">
        <f>(BC171+BE171)</f>
        <v>0</v>
      </c>
    </row>
    <row r="172" spans="1:59" s="8" customFormat="1" ht="22.5" hidden="1" customHeight="1">
      <c r="A172" s="9"/>
      <c r="B172" s="16" t="s">
        <v>204</v>
      </c>
      <c r="C172" s="89" t="s">
        <v>48</v>
      </c>
      <c r="D172" s="109" t="s">
        <v>286</v>
      </c>
      <c r="E172" s="110" t="s">
        <v>287</v>
      </c>
      <c r="F172" s="133" t="s">
        <v>1311</v>
      </c>
      <c r="G172" s="133" t="s">
        <v>1312</v>
      </c>
      <c r="H172" s="96"/>
      <c r="I172" s="9"/>
      <c r="J172" s="9" t="s">
        <v>207</v>
      </c>
      <c r="K172" s="14"/>
      <c r="L172" s="14"/>
      <c r="M172" s="12">
        <v>476</v>
      </c>
      <c r="N172" s="9"/>
      <c r="O172" s="9"/>
      <c r="P172" s="9"/>
      <c r="Q172" s="38">
        <f>M172+X172-AG172-BB172</f>
        <v>476</v>
      </c>
      <c r="R172" s="12"/>
      <c r="S172" s="42"/>
      <c r="T172" s="15"/>
      <c r="U172" s="44"/>
      <c r="V172" s="15"/>
      <c r="W172" s="44"/>
      <c r="X172" s="15">
        <f>R172+T172+V172</f>
        <v>0</v>
      </c>
      <c r="Y172" s="15"/>
      <c r="Z172" s="44"/>
      <c r="AA172" s="15"/>
      <c r="AB172" s="44"/>
      <c r="AC172" s="15"/>
      <c r="AD172" s="44"/>
      <c r="AE172" s="15"/>
      <c r="AF172" s="44"/>
      <c r="AG172" s="15">
        <f>(Y172+AA172+AC172+AE172)</f>
        <v>0</v>
      </c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/>
      <c r="BA172" s="42"/>
      <c r="BB172" s="15">
        <f>AH172+AJ172+AL172+AN172+AP172+AR172+AT172+AV172+AX172+AZ172</f>
        <v>0</v>
      </c>
      <c r="BC172" s="15"/>
      <c r="BD172" s="44"/>
      <c r="BE172" s="15"/>
      <c r="BF172" s="44"/>
      <c r="BG172" s="15">
        <f>(BC172+BE172)</f>
        <v>0</v>
      </c>
    </row>
    <row r="173" spans="1:59" s="8" customFormat="1" ht="22.5" hidden="1" customHeight="1">
      <c r="A173" s="9"/>
      <c r="B173" s="16" t="s">
        <v>204</v>
      </c>
      <c r="C173" s="89" t="s">
        <v>48</v>
      </c>
      <c r="D173" s="109" t="s">
        <v>288</v>
      </c>
      <c r="E173" s="110" t="s">
        <v>281</v>
      </c>
      <c r="F173" s="111" t="s">
        <v>1313</v>
      </c>
      <c r="G173" s="111" t="s">
        <v>1314</v>
      </c>
      <c r="H173" s="96"/>
      <c r="I173" s="9"/>
      <c r="J173" s="9" t="s">
        <v>207</v>
      </c>
      <c r="K173" s="14"/>
      <c r="L173" s="14"/>
      <c r="M173" s="12">
        <v>399</v>
      </c>
      <c r="N173" s="9"/>
      <c r="O173" s="9"/>
      <c r="P173" s="9"/>
      <c r="Q173" s="38">
        <f>M173+X173-AG173-BB173</f>
        <v>399</v>
      </c>
      <c r="R173" s="12"/>
      <c r="S173" s="42"/>
      <c r="T173" s="12"/>
      <c r="U173" s="42"/>
      <c r="V173" s="15"/>
      <c r="W173" s="44"/>
      <c r="X173" s="15">
        <f>R173+T173+V173</f>
        <v>0</v>
      </c>
      <c r="Y173" s="15"/>
      <c r="Z173" s="44"/>
      <c r="AA173" s="15"/>
      <c r="AB173" s="44"/>
      <c r="AC173" s="15"/>
      <c r="AD173" s="44"/>
      <c r="AE173" s="15"/>
      <c r="AF173" s="44"/>
      <c r="AG173" s="15">
        <f>(Y173+AA173+AC173+AE173)</f>
        <v>0</v>
      </c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/>
      <c r="BA173" s="42"/>
      <c r="BB173" s="15">
        <f>AH173+AJ173+AL173+AN173+AP173+AR173+AT173+AV173+AX173+AZ173</f>
        <v>0</v>
      </c>
      <c r="BC173" s="15"/>
      <c r="BD173" s="44"/>
      <c r="BE173" s="15"/>
      <c r="BF173" s="44"/>
      <c r="BG173" s="15">
        <f>(BC173+BE173)</f>
        <v>0</v>
      </c>
    </row>
    <row r="174" spans="1:59" s="8" customFormat="1" ht="22.5" hidden="1" customHeight="1">
      <c r="A174" s="9"/>
      <c r="B174" s="16" t="s">
        <v>204</v>
      </c>
      <c r="C174" s="89" t="s">
        <v>48</v>
      </c>
      <c r="D174" s="109" t="s">
        <v>289</v>
      </c>
      <c r="E174" s="110" t="s">
        <v>290</v>
      </c>
      <c r="F174" s="111" t="s">
        <v>1315</v>
      </c>
      <c r="G174" s="111" t="s">
        <v>1316</v>
      </c>
      <c r="H174" s="96"/>
      <c r="I174" s="9"/>
      <c r="J174" s="9" t="s">
        <v>207</v>
      </c>
      <c r="K174" s="14"/>
      <c r="L174" s="14"/>
      <c r="M174" s="12">
        <v>159</v>
      </c>
      <c r="N174" s="9"/>
      <c r="O174" s="9"/>
      <c r="P174" s="9"/>
      <c r="Q174" s="38">
        <f>M174+X174-AG174-BB174</f>
        <v>159</v>
      </c>
      <c r="R174" s="12"/>
      <c r="S174" s="42"/>
      <c r="T174" s="15"/>
      <c r="U174" s="44"/>
      <c r="V174" s="15"/>
      <c r="W174" s="44"/>
      <c r="X174" s="15">
        <f>R174+T174+V174</f>
        <v>0</v>
      </c>
      <c r="Y174" s="15"/>
      <c r="Z174" s="44"/>
      <c r="AA174" s="15"/>
      <c r="AB174" s="44"/>
      <c r="AC174" s="15"/>
      <c r="AD174" s="44"/>
      <c r="AE174" s="15"/>
      <c r="AF174" s="44"/>
      <c r="AG174" s="15">
        <f>(Y174+AA174+AC174+AE174)</f>
        <v>0</v>
      </c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/>
      <c r="BA174" s="42"/>
      <c r="BB174" s="15">
        <f>AH174+AJ174+AL174+AN174+AP174+AR174+AT174+AV174+AX174+AZ174</f>
        <v>0</v>
      </c>
      <c r="BC174" s="15"/>
      <c r="BD174" s="44"/>
      <c r="BE174" s="15"/>
      <c r="BF174" s="44"/>
      <c r="BG174" s="15">
        <f>(BC174+BE174)</f>
        <v>0</v>
      </c>
    </row>
    <row r="175" spans="1:59" s="8" customFormat="1" ht="22.5" hidden="1" customHeight="1">
      <c r="A175" s="9"/>
      <c r="B175" s="16" t="s">
        <v>204</v>
      </c>
      <c r="C175" s="89" t="s">
        <v>48</v>
      </c>
      <c r="D175" s="109" t="s">
        <v>291</v>
      </c>
      <c r="E175" s="110" t="s">
        <v>281</v>
      </c>
      <c r="F175" s="111" t="s">
        <v>1317</v>
      </c>
      <c r="G175" s="111" t="s">
        <v>1318</v>
      </c>
      <c r="H175" s="96"/>
      <c r="I175" s="9"/>
      <c r="J175" s="9" t="s">
        <v>207</v>
      </c>
      <c r="K175" s="14"/>
      <c r="L175" s="14"/>
      <c r="M175" s="12">
        <v>393</v>
      </c>
      <c r="N175" s="9"/>
      <c r="O175" s="9"/>
      <c r="P175" s="9"/>
      <c r="Q175" s="38">
        <f>M175+X175-AG175-BB175</f>
        <v>393</v>
      </c>
      <c r="R175" s="12"/>
      <c r="S175" s="42"/>
      <c r="T175" s="15"/>
      <c r="U175" s="44"/>
      <c r="V175" s="15"/>
      <c r="W175" s="44"/>
      <c r="X175" s="15">
        <f>R175+T175+V175</f>
        <v>0</v>
      </c>
      <c r="Y175" s="15"/>
      <c r="Z175" s="44"/>
      <c r="AA175" s="15"/>
      <c r="AB175" s="44"/>
      <c r="AC175" s="15"/>
      <c r="AD175" s="44"/>
      <c r="AE175" s="15"/>
      <c r="AF175" s="44"/>
      <c r="AG175" s="15">
        <f>(Y175+AA175+AC175+AE175)</f>
        <v>0</v>
      </c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/>
      <c r="BA175" s="42"/>
      <c r="BB175" s="15">
        <f>AH175+AJ175+AL175+AN175+AP175+AR175+AT175+AV175+AX175+AZ175</f>
        <v>0</v>
      </c>
      <c r="BC175" s="15"/>
      <c r="BD175" s="44"/>
      <c r="BE175" s="15"/>
      <c r="BF175" s="44"/>
      <c r="BG175" s="15">
        <f>(BC175+BE175)</f>
        <v>0</v>
      </c>
    </row>
    <row r="176" spans="1:59" s="8" customFormat="1" ht="22.5" hidden="1" customHeight="1">
      <c r="A176" s="9"/>
      <c r="B176" s="16" t="s">
        <v>204</v>
      </c>
      <c r="C176" s="89" t="s">
        <v>48</v>
      </c>
      <c r="D176" s="109" t="s">
        <v>1319</v>
      </c>
      <c r="E176" s="110" t="s">
        <v>281</v>
      </c>
      <c r="F176" s="111" t="s">
        <v>1320</v>
      </c>
      <c r="G176" s="111" t="s">
        <v>1321</v>
      </c>
      <c r="H176" s="96"/>
      <c r="I176" s="9"/>
      <c r="J176" s="9" t="s">
        <v>207</v>
      </c>
      <c r="K176" s="14"/>
      <c r="L176" s="14"/>
      <c r="M176" s="12">
        <v>189</v>
      </c>
      <c r="N176" s="9"/>
      <c r="O176" s="9"/>
      <c r="P176" s="9"/>
      <c r="Q176" s="38">
        <f>M176+X176-AG176-BB176</f>
        <v>189</v>
      </c>
      <c r="R176" s="12"/>
      <c r="S176" s="42"/>
      <c r="T176" s="15"/>
      <c r="U176" s="44"/>
      <c r="V176" s="15"/>
      <c r="W176" s="44"/>
      <c r="X176" s="15">
        <f>R176+T176+V176</f>
        <v>0</v>
      </c>
      <c r="Y176" s="15"/>
      <c r="Z176" s="44"/>
      <c r="AA176" s="15"/>
      <c r="AB176" s="44"/>
      <c r="AC176" s="15"/>
      <c r="AD176" s="44"/>
      <c r="AE176" s="15"/>
      <c r="AF176" s="44"/>
      <c r="AG176" s="15">
        <f>(Y176+AA176+AC176+AE176)</f>
        <v>0</v>
      </c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/>
      <c r="BA176" s="42"/>
      <c r="BB176" s="15">
        <f>AH176+AJ176+AL176+AN176+AP176+AR176+AT176+AV176+AX176+AZ176</f>
        <v>0</v>
      </c>
      <c r="BC176" s="15"/>
      <c r="BD176" s="44"/>
      <c r="BE176" s="15"/>
      <c r="BF176" s="44"/>
      <c r="BG176" s="15">
        <f>(BC176+BE176)</f>
        <v>0</v>
      </c>
    </row>
    <row r="177" spans="1:59" s="8" customFormat="1" ht="22.5" hidden="1" customHeight="1">
      <c r="A177" s="9"/>
      <c r="B177" s="16" t="s">
        <v>204</v>
      </c>
      <c r="C177" s="89" t="s">
        <v>48</v>
      </c>
      <c r="D177" s="109" t="s">
        <v>293</v>
      </c>
      <c r="E177" s="110" t="s">
        <v>206</v>
      </c>
      <c r="F177" s="111" t="s">
        <v>1322</v>
      </c>
      <c r="G177" s="111" t="s">
        <v>1323</v>
      </c>
      <c r="H177" s="96"/>
      <c r="I177" s="9"/>
      <c r="J177" s="9" t="s">
        <v>207</v>
      </c>
      <c r="K177" s="14"/>
      <c r="L177" s="14"/>
      <c r="M177" s="12">
        <v>500</v>
      </c>
      <c r="N177" s="9"/>
      <c r="O177" s="9"/>
      <c r="P177" s="9"/>
      <c r="Q177" s="38">
        <f>M177+X177-AG177-BB177</f>
        <v>500</v>
      </c>
      <c r="R177" s="12"/>
      <c r="S177" s="42"/>
      <c r="T177" s="15"/>
      <c r="U177" s="44"/>
      <c r="V177" s="15"/>
      <c r="W177" s="44"/>
      <c r="X177" s="15">
        <f>R177+T177+V177</f>
        <v>0</v>
      </c>
      <c r="Y177" s="15"/>
      <c r="Z177" s="44"/>
      <c r="AA177" s="15"/>
      <c r="AB177" s="44"/>
      <c r="AC177" s="15"/>
      <c r="AD177" s="44"/>
      <c r="AE177" s="15"/>
      <c r="AF177" s="44"/>
      <c r="AG177" s="15">
        <f>(Y177+AA177+AC177+AE177)</f>
        <v>0</v>
      </c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/>
      <c r="BA177" s="42"/>
      <c r="BB177" s="15">
        <f>AH177+AJ177+AL177+AN177+AP177+AR177+AT177+AV177+AX177+AZ177</f>
        <v>0</v>
      </c>
      <c r="BC177" s="15"/>
      <c r="BD177" s="44"/>
      <c r="BE177" s="15"/>
      <c r="BF177" s="44"/>
      <c r="BG177" s="15">
        <f>(BC177+BE177)</f>
        <v>0</v>
      </c>
    </row>
    <row r="178" spans="1:59" s="8" customFormat="1" ht="22.5" hidden="1" customHeight="1">
      <c r="A178" s="9"/>
      <c r="B178" s="16" t="s">
        <v>204</v>
      </c>
      <c r="C178" s="89" t="s">
        <v>48</v>
      </c>
      <c r="D178" s="109" t="s">
        <v>294</v>
      </c>
      <c r="E178" s="110" t="s">
        <v>206</v>
      </c>
      <c r="F178" s="111" t="s">
        <v>1324</v>
      </c>
      <c r="G178" s="111" t="s">
        <v>1325</v>
      </c>
      <c r="H178" s="96"/>
      <c r="I178" s="9"/>
      <c r="J178" s="9" t="s">
        <v>207</v>
      </c>
      <c r="K178" s="14"/>
      <c r="L178" s="14"/>
      <c r="M178" s="12">
        <v>495</v>
      </c>
      <c r="N178" s="9"/>
      <c r="O178" s="9"/>
      <c r="P178" s="9"/>
      <c r="Q178" s="38">
        <f>M178+X178-AG178-BB178</f>
        <v>495</v>
      </c>
      <c r="R178" s="12"/>
      <c r="S178" s="42"/>
      <c r="T178" s="15"/>
      <c r="U178" s="44"/>
      <c r="V178" s="15"/>
      <c r="W178" s="44"/>
      <c r="X178" s="15">
        <f>R178+T178+V178</f>
        <v>0</v>
      </c>
      <c r="Y178" s="15"/>
      <c r="Z178" s="44"/>
      <c r="AA178" s="15"/>
      <c r="AB178" s="44"/>
      <c r="AC178" s="15"/>
      <c r="AD178" s="44"/>
      <c r="AE178" s="15"/>
      <c r="AF178" s="44"/>
      <c r="AG178" s="15">
        <f>(Y178+AA178+AC178+AE178)</f>
        <v>0</v>
      </c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/>
      <c r="BA178" s="42"/>
      <c r="BB178" s="15">
        <f>AH178+AJ178+AL178+AN178+AP178+AR178+AT178+AV178+AX178+AZ178</f>
        <v>0</v>
      </c>
      <c r="BC178" s="15"/>
      <c r="BD178" s="44"/>
      <c r="BE178" s="15"/>
      <c r="BF178" s="44"/>
      <c r="BG178" s="15">
        <f>(BC178+BE178)</f>
        <v>0</v>
      </c>
    </row>
    <row r="179" spans="1:59" s="8" customFormat="1" ht="22.5" hidden="1" customHeight="1">
      <c r="A179" s="9"/>
      <c r="B179" s="16" t="s">
        <v>204</v>
      </c>
      <c r="C179" s="89" t="s">
        <v>48</v>
      </c>
      <c r="D179" s="109" t="s">
        <v>295</v>
      </c>
      <c r="E179" s="110" t="s">
        <v>279</v>
      </c>
      <c r="F179" s="111" t="s">
        <v>1326</v>
      </c>
      <c r="G179" s="111" t="s">
        <v>1327</v>
      </c>
      <c r="H179" s="96"/>
      <c r="I179" s="9"/>
      <c r="J179" s="9" t="s">
        <v>207</v>
      </c>
      <c r="K179" s="14"/>
      <c r="L179" s="14"/>
      <c r="M179" s="12"/>
      <c r="N179" s="9"/>
      <c r="O179" s="9"/>
      <c r="P179" s="9"/>
      <c r="Q179" s="38">
        <f>M179+X179-AG179-BB179</f>
        <v>0</v>
      </c>
      <c r="R179" s="12"/>
      <c r="S179" s="42"/>
      <c r="T179" s="15"/>
      <c r="U179" s="44"/>
      <c r="V179" s="15"/>
      <c r="W179" s="44"/>
      <c r="X179" s="15">
        <f>R179+T179+V179</f>
        <v>0</v>
      </c>
      <c r="Y179" s="15"/>
      <c r="Z179" s="44"/>
      <c r="AA179" s="15"/>
      <c r="AB179" s="44"/>
      <c r="AC179" s="15"/>
      <c r="AD179" s="44"/>
      <c r="AE179" s="15"/>
      <c r="AF179" s="44"/>
      <c r="AG179" s="15">
        <f>(Y179+AA179+AC179+AE179)</f>
        <v>0</v>
      </c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/>
      <c r="BA179" s="42"/>
      <c r="BB179" s="15">
        <f>AH179+AJ179+AL179+AN179+AP179+AR179+AT179+AV179+AX179+AZ179</f>
        <v>0</v>
      </c>
      <c r="BC179" s="15"/>
      <c r="BD179" s="44"/>
      <c r="BE179" s="15"/>
      <c r="BF179" s="44"/>
      <c r="BG179" s="15">
        <f>(BC179+BE179)</f>
        <v>0</v>
      </c>
    </row>
    <row r="180" spans="1:59" s="8" customFormat="1" ht="22.5" hidden="1" customHeight="1">
      <c r="A180" s="9"/>
      <c r="B180" s="16" t="s">
        <v>204</v>
      </c>
      <c r="C180" s="89" t="s">
        <v>48</v>
      </c>
      <c r="D180" s="109" t="s">
        <v>296</v>
      </c>
      <c r="E180" s="110" t="s">
        <v>287</v>
      </c>
      <c r="F180" s="111" t="s">
        <v>1328</v>
      </c>
      <c r="G180" s="111" t="s">
        <v>1329</v>
      </c>
      <c r="H180" s="96"/>
      <c r="I180" s="9"/>
      <c r="J180" s="9" t="s">
        <v>207</v>
      </c>
      <c r="K180" s="14"/>
      <c r="L180" s="14"/>
      <c r="M180" s="12">
        <v>302</v>
      </c>
      <c r="N180" s="9"/>
      <c r="O180" s="9"/>
      <c r="P180" s="9"/>
      <c r="Q180" s="38">
        <f>M180+X180-AG180-BB180</f>
        <v>302</v>
      </c>
      <c r="R180" s="12"/>
      <c r="S180" s="42"/>
      <c r="T180" s="15"/>
      <c r="U180" s="44"/>
      <c r="V180" s="15"/>
      <c r="W180" s="44"/>
      <c r="X180" s="15">
        <f>R180+T180+V180</f>
        <v>0</v>
      </c>
      <c r="Y180" s="15"/>
      <c r="Z180" s="44"/>
      <c r="AA180" s="15"/>
      <c r="AB180" s="44"/>
      <c r="AC180" s="15"/>
      <c r="AD180" s="44"/>
      <c r="AE180" s="15"/>
      <c r="AF180" s="44"/>
      <c r="AG180" s="15">
        <f>(Y180+AA180+AC180+AE180)</f>
        <v>0</v>
      </c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/>
      <c r="BA180" s="42"/>
      <c r="BB180" s="15">
        <f>AH180+AJ180+AL180+AN180+AP180+AR180+AT180+AV180+AX180+AZ180</f>
        <v>0</v>
      </c>
      <c r="BC180" s="15"/>
      <c r="BD180" s="44"/>
      <c r="BE180" s="15"/>
      <c r="BF180" s="44"/>
      <c r="BG180" s="15">
        <f>(BC180+BE180)</f>
        <v>0</v>
      </c>
    </row>
    <row r="181" spans="1:59" s="8" customFormat="1" ht="22.5" hidden="1" customHeight="1">
      <c r="A181" s="9"/>
      <c r="B181" s="16" t="s">
        <v>204</v>
      </c>
      <c r="C181" s="89" t="s">
        <v>48</v>
      </c>
      <c r="D181" s="109" t="s">
        <v>297</v>
      </c>
      <c r="E181" s="110" t="s">
        <v>281</v>
      </c>
      <c r="F181" s="111" t="s">
        <v>1330</v>
      </c>
      <c r="G181" s="111" t="s">
        <v>1331</v>
      </c>
      <c r="H181" s="96"/>
      <c r="I181" s="9"/>
      <c r="J181" s="9" t="s">
        <v>207</v>
      </c>
      <c r="K181" s="14"/>
      <c r="L181" s="14"/>
      <c r="M181" s="12">
        <v>570</v>
      </c>
      <c r="N181" s="9"/>
      <c r="O181" s="9"/>
      <c r="P181" s="9"/>
      <c r="Q181" s="38">
        <f>M181+X181-AG181-BB181</f>
        <v>570</v>
      </c>
      <c r="R181" s="12"/>
      <c r="S181" s="42"/>
      <c r="T181" s="12"/>
      <c r="U181" s="42"/>
      <c r="V181" s="15"/>
      <c r="W181" s="44"/>
      <c r="X181" s="15">
        <f>R181+T181+V181</f>
        <v>0</v>
      </c>
      <c r="Y181" s="15"/>
      <c r="Z181" s="44"/>
      <c r="AA181" s="15"/>
      <c r="AB181" s="44"/>
      <c r="AC181" s="15"/>
      <c r="AD181" s="44"/>
      <c r="AE181" s="15"/>
      <c r="AF181" s="44"/>
      <c r="AG181" s="15">
        <f>(Y181+AA181+AC181+AE181)</f>
        <v>0</v>
      </c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/>
      <c r="BA181" s="42"/>
      <c r="BB181" s="15">
        <f>AH181+AJ181+AL181+AN181+AP181+AR181+AT181+AV181+AX181+AZ181</f>
        <v>0</v>
      </c>
      <c r="BC181" s="15"/>
      <c r="BD181" s="44"/>
      <c r="BE181" s="15"/>
      <c r="BF181" s="44"/>
      <c r="BG181" s="15">
        <f>(BC181+BE181)</f>
        <v>0</v>
      </c>
    </row>
    <row r="182" spans="1:59" s="8" customFormat="1" ht="22.5" hidden="1" customHeight="1">
      <c r="A182" s="9"/>
      <c r="B182" s="16" t="s">
        <v>204</v>
      </c>
      <c r="C182" s="89" t="s">
        <v>48</v>
      </c>
      <c r="D182" s="109" t="s">
        <v>1332</v>
      </c>
      <c r="E182" s="110" t="s">
        <v>290</v>
      </c>
      <c r="F182" s="111" t="s">
        <v>1333</v>
      </c>
      <c r="G182" s="111" t="s">
        <v>1334</v>
      </c>
      <c r="H182" s="9"/>
      <c r="I182" s="9"/>
      <c r="J182" s="9" t="s">
        <v>207</v>
      </c>
      <c r="K182" s="14"/>
      <c r="L182" s="14"/>
      <c r="M182" s="12">
        <v>288</v>
      </c>
      <c r="N182" s="38">
        <v>0</v>
      </c>
      <c r="O182" s="15">
        <v>0</v>
      </c>
      <c r="P182" s="15">
        <v>0</v>
      </c>
      <c r="Q182" s="38">
        <f>M182+X182-AG182-BB182</f>
        <v>288</v>
      </c>
      <c r="R182" s="42"/>
      <c r="S182" s="15"/>
      <c r="T182" s="42"/>
      <c r="U182" s="15"/>
      <c r="V182" s="15"/>
      <c r="W182" s="44"/>
      <c r="X182" s="15">
        <f>R182+T182+V182</f>
        <v>0</v>
      </c>
      <c r="Y182" s="15"/>
      <c r="Z182" s="44"/>
      <c r="AA182" s="15"/>
      <c r="AB182" s="44"/>
      <c r="AC182" s="15"/>
      <c r="AD182" s="44"/>
      <c r="AE182" s="15"/>
      <c r="AF182" s="44"/>
      <c r="AG182" s="15">
        <f>(Y182+AA182+AC182+AE182)</f>
        <v>0</v>
      </c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/>
      <c r="BA182" s="42"/>
      <c r="BB182" s="15"/>
      <c r="BC182" s="15"/>
      <c r="BD182" s="44"/>
      <c r="BE182" s="15"/>
      <c r="BF182" s="44"/>
      <c r="BG182" s="15"/>
    </row>
    <row r="183" spans="1:59" s="8" customFormat="1" ht="22.5" hidden="1" customHeight="1">
      <c r="A183" s="9"/>
      <c r="B183" s="16" t="s">
        <v>204</v>
      </c>
      <c r="C183" s="89" t="s">
        <v>48</v>
      </c>
      <c r="D183" s="109" t="s">
        <v>299</v>
      </c>
      <c r="E183" s="110" t="s">
        <v>281</v>
      </c>
      <c r="F183" s="111" t="s">
        <v>1335</v>
      </c>
      <c r="G183" s="111" t="s">
        <v>1336</v>
      </c>
      <c r="H183" s="96"/>
      <c r="I183" s="9"/>
      <c r="J183" s="9" t="s">
        <v>207</v>
      </c>
      <c r="K183" s="14"/>
      <c r="L183" s="14"/>
      <c r="M183" s="12">
        <v>202</v>
      </c>
      <c r="N183" s="9"/>
      <c r="O183" s="9"/>
      <c r="P183" s="9"/>
      <c r="Q183" s="38">
        <f>M183+X183-AG183-BB183</f>
        <v>202</v>
      </c>
      <c r="R183" s="12"/>
      <c r="S183" s="42"/>
      <c r="T183" s="15"/>
      <c r="U183" s="44"/>
      <c r="V183" s="15"/>
      <c r="W183" s="44"/>
      <c r="X183" s="15">
        <f>R183+T183+V183</f>
        <v>0</v>
      </c>
      <c r="Y183" s="15"/>
      <c r="Z183" s="44"/>
      <c r="AA183" s="15"/>
      <c r="AB183" s="44"/>
      <c r="AC183" s="15"/>
      <c r="AD183" s="44"/>
      <c r="AE183" s="15"/>
      <c r="AF183" s="44"/>
      <c r="AG183" s="15">
        <f>(Y183+AA183+AC183+AE183)</f>
        <v>0</v>
      </c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/>
      <c r="BA183" s="42"/>
      <c r="BB183" s="15">
        <f>AH183+AJ183+AL183+AN183+AP183+AR183+AT183+AV183+AX183+AZ183</f>
        <v>0</v>
      </c>
      <c r="BC183" s="15"/>
      <c r="BD183" s="44"/>
      <c r="BE183" s="15"/>
      <c r="BF183" s="44"/>
      <c r="BG183" s="15">
        <f>(BC183+BE183)</f>
        <v>0</v>
      </c>
    </row>
    <row r="184" spans="1:59" s="8" customFormat="1" ht="22.5" hidden="1" customHeight="1">
      <c r="A184" s="9"/>
      <c r="B184" s="16" t="s">
        <v>300</v>
      </c>
      <c r="C184" s="89" t="s">
        <v>48</v>
      </c>
      <c r="D184" s="109" t="s">
        <v>301</v>
      </c>
      <c r="E184" s="110" t="s">
        <v>302</v>
      </c>
      <c r="F184" s="111" t="s">
        <v>1337</v>
      </c>
      <c r="G184" s="111" t="s">
        <v>1338</v>
      </c>
      <c r="H184" s="96"/>
      <c r="I184" s="9"/>
      <c r="J184" s="9" t="s">
        <v>207</v>
      </c>
      <c r="K184" s="14"/>
      <c r="L184" s="14"/>
      <c r="M184" s="12">
        <v>0</v>
      </c>
      <c r="N184" s="9"/>
      <c r="O184" s="9"/>
      <c r="P184" s="9"/>
      <c r="Q184" s="38">
        <f>M184+X184-AG184-BB184</f>
        <v>0</v>
      </c>
      <c r="R184" s="12"/>
      <c r="S184" s="42"/>
      <c r="T184" s="15"/>
      <c r="U184" s="44"/>
      <c r="V184" s="15"/>
      <c r="W184" s="44"/>
      <c r="X184" s="15">
        <f>R184+T184+V184</f>
        <v>0</v>
      </c>
      <c r="Y184" s="15"/>
      <c r="Z184" s="44"/>
      <c r="AA184" s="15"/>
      <c r="AB184" s="44"/>
      <c r="AC184" s="15"/>
      <c r="AD184" s="44"/>
      <c r="AE184" s="15"/>
      <c r="AF184" s="44"/>
      <c r="AG184" s="15">
        <f>(Y184+AA184+AC184+AE184)</f>
        <v>0</v>
      </c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/>
      <c r="BA184" s="42"/>
      <c r="BB184" s="15">
        <f>AH184+AJ184+AL184+AN184+AP184+AR184+AT184+AV184+AX184+AZ184</f>
        <v>0</v>
      </c>
      <c r="BC184" s="15"/>
      <c r="BD184" s="44"/>
      <c r="BE184" s="15"/>
      <c r="BF184" s="44"/>
      <c r="BG184" s="15">
        <f>(BC184+BE184)</f>
        <v>0</v>
      </c>
    </row>
    <row r="185" spans="1:59" s="8" customFormat="1" ht="22.5" hidden="1" customHeight="1">
      <c r="A185" s="9"/>
      <c r="B185" s="16" t="s">
        <v>204</v>
      </c>
      <c r="C185" s="89" t="s">
        <v>48</v>
      </c>
      <c r="D185" s="109" t="s">
        <v>303</v>
      </c>
      <c r="E185" s="110" t="s">
        <v>304</v>
      </c>
      <c r="F185" s="111" t="s">
        <v>1339</v>
      </c>
      <c r="G185" s="111" t="s">
        <v>1340</v>
      </c>
      <c r="H185" s="96"/>
      <c r="I185" s="9"/>
      <c r="J185" s="9" t="s">
        <v>207</v>
      </c>
      <c r="K185" s="14"/>
      <c r="L185" s="14"/>
      <c r="M185" s="12">
        <v>207</v>
      </c>
      <c r="N185" s="9"/>
      <c r="O185" s="9"/>
      <c r="P185" s="9"/>
      <c r="Q185" s="38">
        <f>M185+X185-AG185-BB185</f>
        <v>207</v>
      </c>
      <c r="R185" s="12"/>
      <c r="S185" s="42"/>
      <c r="T185" s="15"/>
      <c r="U185" s="44"/>
      <c r="V185" s="15"/>
      <c r="W185" s="44"/>
      <c r="X185" s="15">
        <f>R185+T185+V185</f>
        <v>0</v>
      </c>
      <c r="Y185" s="15"/>
      <c r="Z185" s="44"/>
      <c r="AA185" s="15"/>
      <c r="AB185" s="44"/>
      <c r="AC185" s="15"/>
      <c r="AD185" s="44"/>
      <c r="AE185" s="15"/>
      <c r="AF185" s="44"/>
      <c r="AG185" s="15">
        <f>(Y185+AA185+AC185+AE185)</f>
        <v>0</v>
      </c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/>
      <c r="BA185" s="42"/>
      <c r="BB185" s="15">
        <f>AH185+AJ185+AL185+AN185+AP185+AR185+AT185+AV185+AX185+AZ185</f>
        <v>0</v>
      </c>
      <c r="BC185" s="15"/>
      <c r="BD185" s="44"/>
      <c r="BE185" s="15"/>
      <c r="BF185" s="44"/>
      <c r="BG185" s="15">
        <f>(BC185+BE185)</f>
        <v>0</v>
      </c>
    </row>
    <row r="186" spans="1:59" s="8" customFormat="1" ht="22.5" hidden="1" customHeight="1">
      <c r="A186" s="9"/>
      <c r="B186" s="16" t="s">
        <v>204</v>
      </c>
      <c r="C186" s="89" t="s">
        <v>48</v>
      </c>
      <c r="D186" s="109" t="s">
        <v>305</v>
      </c>
      <c r="E186" s="110" t="s">
        <v>206</v>
      </c>
      <c r="F186" s="111" t="s">
        <v>1341</v>
      </c>
      <c r="G186" s="111" t="s">
        <v>1342</v>
      </c>
      <c r="H186" s="96"/>
      <c r="I186" s="9"/>
      <c r="J186" s="9" t="s">
        <v>207</v>
      </c>
      <c r="K186" s="14"/>
      <c r="L186" s="14"/>
      <c r="M186" s="12">
        <v>562</v>
      </c>
      <c r="N186" s="9"/>
      <c r="O186" s="9"/>
      <c r="P186" s="9"/>
      <c r="Q186" s="38">
        <f>M186+X186-AG186-BB186</f>
        <v>562</v>
      </c>
      <c r="R186" s="12"/>
      <c r="S186" s="42"/>
      <c r="T186" s="15"/>
      <c r="U186" s="44"/>
      <c r="V186" s="15"/>
      <c r="W186" s="44"/>
      <c r="X186" s="15">
        <f>R186+T186+V186</f>
        <v>0</v>
      </c>
      <c r="Y186" s="15"/>
      <c r="Z186" s="44"/>
      <c r="AA186" s="15"/>
      <c r="AB186" s="44"/>
      <c r="AC186" s="15"/>
      <c r="AD186" s="44"/>
      <c r="AE186" s="15"/>
      <c r="AF186" s="44"/>
      <c r="AG186" s="15">
        <f>(Y186+AA186+AC186+AE186)</f>
        <v>0</v>
      </c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/>
      <c r="BA186" s="42"/>
      <c r="BB186" s="15">
        <f>AH186+AJ186+AL186+AN186+AP186+AR186+AT186+AV186+AX186+AZ186</f>
        <v>0</v>
      </c>
      <c r="BC186" s="15"/>
      <c r="BD186" s="44"/>
      <c r="BE186" s="15"/>
      <c r="BF186" s="44"/>
      <c r="BG186" s="15">
        <f>(BC186+BE186)</f>
        <v>0</v>
      </c>
    </row>
    <row r="187" spans="1:59" s="8" customFormat="1" ht="22.5" hidden="1" customHeight="1">
      <c r="A187" s="9"/>
      <c r="B187" s="16" t="s">
        <v>204</v>
      </c>
      <c r="C187" s="89" t="s">
        <v>48</v>
      </c>
      <c r="D187" s="109" t="s">
        <v>306</v>
      </c>
      <c r="E187" s="110" t="s">
        <v>307</v>
      </c>
      <c r="F187" s="111" t="s">
        <v>1343</v>
      </c>
      <c r="G187" s="111" t="s">
        <v>1344</v>
      </c>
      <c r="H187" s="96"/>
      <c r="I187" s="9"/>
      <c r="J187" s="9" t="s">
        <v>207</v>
      </c>
      <c r="K187" s="14"/>
      <c r="L187" s="14"/>
      <c r="M187" s="12">
        <v>416</v>
      </c>
      <c r="N187" s="9"/>
      <c r="O187" s="9"/>
      <c r="P187" s="9"/>
      <c r="Q187" s="38">
        <f>M187+X187-AG187-BB187</f>
        <v>416</v>
      </c>
      <c r="R187" s="12"/>
      <c r="S187" s="42"/>
      <c r="T187" s="15"/>
      <c r="U187" s="44"/>
      <c r="V187" s="15"/>
      <c r="W187" s="44"/>
      <c r="X187" s="15">
        <f>R187+T187+V187</f>
        <v>0</v>
      </c>
      <c r="Y187" s="15"/>
      <c r="Z187" s="44"/>
      <c r="AA187" s="15"/>
      <c r="AB187" s="44"/>
      <c r="AC187" s="15"/>
      <c r="AD187" s="44"/>
      <c r="AE187" s="15"/>
      <c r="AF187" s="44"/>
      <c r="AG187" s="15">
        <f>(Y187+AA187+AC187+AE187)</f>
        <v>0</v>
      </c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/>
      <c r="BA187" s="42"/>
      <c r="BB187" s="15">
        <f>AH187+AJ187+AL187+AN187+AP187+AR187+AT187+AV187+AX187+AZ187</f>
        <v>0</v>
      </c>
      <c r="BC187" s="15"/>
      <c r="BD187" s="44"/>
      <c r="BE187" s="15"/>
      <c r="BF187" s="44"/>
      <c r="BG187" s="15">
        <f>(BC187+BE187)</f>
        <v>0</v>
      </c>
    </row>
    <row r="188" spans="1:59" s="8" customFormat="1" ht="22.5" hidden="1" customHeight="1">
      <c r="A188" s="9"/>
      <c r="B188" s="16" t="s">
        <v>204</v>
      </c>
      <c r="C188" s="89" t="s">
        <v>48</v>
      </c>
      <c r="D188" s="109" t="s">
        <v>308</v>
      </c>
      <c r="E188" s="110" t="s">
        <v>307</v>
      </c>
      <c r="F188" s="111" t="s">
        <v>1345</v>
      </c>
      <c r="G188" s="111" t="s">
        <v>1346</v>
      </c>
      <c r="H188" s="96"/>
      <c r="I188" s="9"/>
      <c r="J188" s="9" t="s">
        <v>207</v>
      </c>
      <c r="K188" s="14"/>
      <c r="L188" s="14"/>
      <c r="M188" s="12">
        <v>488</v>
      </c>
      <c r="N188" s="9"/>
      <c r="O188" s="9"/>
      <c r="P188" s="9"/>
      <c r="Q188" s="38">
        <f>M188+X188-AG188-BB188</f>
        <v>488</v>
      </c>
      <c r="R188" s="12"/>
      <c r="S188" s="42"/>
      <c r="T188" s="15"/>
      <c r="U188" s="44"/>
      <c r="V188" s="15"/>
      <c r="W188" s="44"/>
      <c r="X188" s="15">
        <f>R188+T188+V188</f>
        <v>0</v>
      </c>
      <c r="Y188" s="15"/>
      <c r="Z188" s="44"/>
      <c r="AA188" s="15"/>
      <c r="AB188" s="44"/>
      <c r="AC188" s="15"/>
      <c r="AD188" s="44"/>
      <c r="AE188" s="15"/>
      <c r="AF188" s="44"/>
      <c r="AG188" s="15">
        <f>(Y188+AA188+AC188+AE188)</f>
        <v>0</v>
      </c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/>
      <c r="BA188" s="42"/>
      <c r="BB188" s="15">
        <f>AH188+AJ188+AL188+AN188+AP188+AR188+AT188+AV188+AX188+AZ188</f>
        <v>0</v>
      </c>
      <c r="BC188" s="15"/>
      <c r="BD188" s="44"/>
      <c r="BE188" s="15"/>
      <c r="BF188" s="44"/>
      <c r="BG188" s="15">
        <f>(BC188+BE188)</f>
        <v>0</v>
      </c>
    </row>
    <row r="189" spans="1:59" s="8" customFormat="1" ht="22.5" hidden="1" customHeight="1">
      <c r="A189" s="9"/>
      <c r="B189" s="16" t="s">
        <v>204</v>
      </c>
      <c r="C189" s="89" t="s">
        <v>48</v>
      </c>
      <c r="D189" s="109" t="s">
        <v>309</v>
      </c>
      <c r="E189" s="110" t="s">
        <v>206</v>
      </c>
      <c r="F189" s="133" t="s">
        <v>1347</v>
      </c>
      <c r="G189" s="133" t="s">
        <v>1348</v>
      </c>
      <c r="H189" s="96"/>
      <c r="I189" s="9"/>
      <c r="J189" s="9" t="s">
        <v>207</v>
      </c>
      <c r="K189" s="14"/>
      <c r="L189" s="14"/>
      <c r="M189" s="12">
        <v>196</v>
      </c>
      <c r="N189" s="9"/>
      <c r="O189" s="9"/>
      <c r="P189" s="9"/>
      <c r="Q189" s="38">
        <f>M189+X189-AG189-BB189</f>
        <v>196</v>
      </c>
      <c r="R189" s="12"/>
      <c r="S189" s="42"/>
      <c r="T189" s="15"/>
      <c r="U189" s="44"/>
      <c r="V189" s="15"/>
      <c r="W189" s="44"/>
      <c r="X189" s="15">
        <f>R189+T189+V189</f>
        <v>0</v>
      </c>
      <c r="Y189" s="15"/>
      <c r="Z189" s="44"/>
      <c r="AA189" s="15"/>
      <c r="AB189" s="44"/>
      <c r="AC189" s="15"/>
      <c r="AD189" s="44"/>
      <c r="AE189" s="15"/>
      <c r="AF189" s="44"/>
      <c r="AG189" s="15">
        <f>(Y189+AA189+AC189+AE189)</f>
        <v>0</v>
      </c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/>
      <c r="BA189" s="42"/>
      <c r="BB189" s="15">
        <f>AH189+AJ189+AL189+AN189+AP189+AR189+AT189+AV189+AX189+AZ189</f>
        <v>0</v>
      </c>
      <c r="BC189" s="15"/>
      <c r="BD189" s="44"/>
      <c r="BE189" s="15"/>
      <c r="BF189" s="44"/>
      <c r="BG189" s="15">
        <f>(BC189+BE189)</f>
        <v>0</v>
      </c>
    </row>
    <row r="190" spans="1:59" s="8" customFormat="1" ht="22.5" hidden="1" customHeight="1">
      <c r="A190" s="9"/>
      <c r="B190" s="16" t="s">
        <v>204</v>
      </c>
      <c r="C190" s="89" t="s">
        <v>48</v>
      </c>
      <c r="D190" s="109" t="s">
        <v>310</v>
      </c>
      <c r="E190" s="110" t="s">
        <v>1349</v>
      </c>
      <c r="F190" s="111" t="s">
        <v>1350</v>
      </c>
      <c r="G190" s="111" t="s">
        <v>1351</v>
      </c>
      <c r="H190" s="96"/>
      <c r="I190" s="9"/>
      <c r="J190" s="9" t="s">
        <v>311</v>
      </c>
      <c r="K190" s="14"/>
      <c r="L190" s="14"/>
      <c r="M190" s="12">
        <v>659</v>
      </c>
      <c r="N190" s="9"/>
      <c r="O190" s="9"/>
      <c r="P190" s="9"/>
      <c r="Q190" s="38">
        <f>M190+X190-AG190-BB190</f>
        <v>659</v>
      </c>
      <c r="R190" s="12"/>
      <c r="S190" s="42"/>
      <c r="T190" s="15"/>
      <c r="U190" s="44"/>
      <c r="V190" s="15"/>
      <c r="W190" s="44"/>
      <c r="X190" s="15">
        <f>R190+T190+V190</f>
        <v>0</v>
      </c>
      <c r="Y190" s="15"/>
      <c r="Z190" s="44"/>
      <c r="AA190" s="15"/>
      <c r="AB190" s="44"/>
      <c r="AC190" s="15"/>
      <c r="AD190" s="44"/>
      <c r="AE190" s="15"/>
      <c r="AF190" s="44"/>
      <c r="AG190" s="15">
        <f>(Y190+AA190+AC190+AE190)</f>
        <v>0</v>
      </c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/>
      <c r="BA190" s="42"/>
      <c r="BB190" s="15">
        <f>AH190+AJ190+AL190+AN190+AP190+AR190+AT190+AV190+AX190+AZ190</f>
        <v>0</v>
      </c>
      <c r="BC190" s="15"/>
      <c r="BD190" s="44"/>
      <c r="BE190" s="15"/>
      <c r="BF190" s="44"/>
      <c r="BG190" s="15">
        <f>(BC190+BE190)</f>
        <v>0</v>
      </c>
    </row>
    <row r="191" spans="1:59" s="8" customFormat="1" ht="22.5" hidden="1" customHeight="1">
      <c r="A191" s="9"/>
      <c r="B191" s="16" t="s">
        <v>204</v>
      </c>
      <c r="C191" s="89" t="s">
        <v>48</v>
      </c>
      <c r="D191" s="109" t="s">
        <v>312</v>
      </c>
      <c r="E191" s="110" t="s">
        <v>1352</v>
      </c>
      <c r="F191" s="111" t="s">
        <v>1353</v>
      </c>
      <c r="G191" s="111" t="s">
        <v>1354</v>
      </c>
      <c r="H191" s="96"/>
      <c r="I191" s="9"/>
      <c r="J191" s="9" t="s">
        <v>311</v>
      </c>
      <c r="K191" s="14"/>
      <c r="L191" s="14"/>
      <c r="M191" s="12">
        <v>264</v>
      </c>
      <c r="N191" s="9"/>
      <c r="O191" s="9"/>
      <c r="P191" s="9"/>
      <c r="Q191" s="38">
        <f>M191+X191-AG191-BB191</f>
        <v>264</v>
      </c>
      <c r="R191" s="12"/>
      <c r="S191" s="42"/>
      <c r="T191" s="15"/>
      <c r="U191" s="44"/>
      <c r="V191" s="15"/>
      <c r="W191" s="44"/>
      <c r="X191" s="15">
        <f>R191+T191+V191</f>
        <v>0</v>
      </c>
      <c r="Y191" s="15"/>
      <c r="Z191" s="44"/>
      <c r="AA191" s="15"/>
      <c r="AB191" s="44"/>
      <c r="AC191" s="15"/>
      <c r="AD191" s="44"/>
      <c r="AE191" s="15"/>
      <c r="AF191" s="44"/>
      <c r="AG191" s="15">
        <f>(Y191+AA191+AC191+AE191)</f>
        <v>0</v>
      </c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/>
      <c r="BA191" s="42"/>
      <c r="BB191" s="15">
        <f>AH191+AJ191+AL191+AN191+AP191+AR191+AT191+AV191+AX191+AZ191</f>
        <v>0</v>
      </c>
      <c r="BC191" s="15"/>
      <c r="BD191" s="44"/>
      <c r="BE191" s="15"/>
      <c r="BF191" s="44"/>
      <c r="BG191" s="15">
        <f>(BC191+BE191)</f>
        <v>0</v>
      </c>
    </row>
    <row r="192" spans="1:59" s="8" customFormat="1" ht="22.5" hidden="1" customHeight="1">
      <c r="A192" s="9"/>
      <c r="B192" s="16" t="s">
        <v>204</v>
      </c>
      <c r="C192" s="89" t="s">
        <v>48</v>
      </c>
      <c r="D192" s="109" t="s">
        <v>313</v>
      </c>
      <c r="E192" s="110" t="s">
        <v>1355</v>
      </c>
      <c r="F192" s="133" t="s">
        <v>1356</v>
      </c>
      <c r="G192" s="133" t="s">
        <v>1357</v>
      </c>
      <c r="H192" s="96"/>
      <c r="I192" s="9"/>
      <c r="J192" s="9" t="s">
        <v>314</v>
      </c>
      <c r="K192" s="14"/>
      <c r="L192" s="14"/>
      <c r="M192" s="12">
        <v>214</v>
      </c>
      <c r="N192" s="9"/>
      <c r="O192" s="9"/>
      <c r="P192" s="9"/>
      <c r="Q192" s="38">
        <f>M192+X192-AG192-BB192</f>
        <v>214</v>
      </c>
      <c r="R192" s="12"/>
      <c r="S192" s="42"/>
      <c r="T192" s="15"/>
      <c r="U192" s="44"/>
      <c r="V192" s="15"/>
      <c r="W192" s="44"/>
      <c r="X192" s="15">
        <f>R192+T192+V192</f>
        <v>0</v>
      </c>
      <c r="Y192" s="15"/>
      <c r="Z192" s="44"/>
      <c r="AA192" s="15"/>
      <c r="AB192" s="44"/>
      <c r="AC192" s="15"/>
      <c r="AD192" s="44"/>
      <c r="AE192" s="15"/>
      <c r="AF192" s="44"/>
      <c r="AG192" s="15">
        <f>(Y192+AA192+AC192+AE192)</f>
        <v>0</v>
      </c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/>
      <c r="BA192" s="42"/>
      <c r="BB192" s="15">
        <f>AH192+AJ192+AL192+AN192+AP192+AR192+AT192+AV192+AX192+AZ192</f>
        <v>0</v>
      </c>
      <c r="BC192" s="15"/>
      <c r="BD192" s="44"/>
      <c r="BE192" s="15"/>
      <c r="BF192" s="44"/>
      <c r="BG192" s="15">
        <f>(BC192+BE192)</f>
        <v>0</v>
      </c>
    </row>
    <row r="193" spans="1:59" s="8" customFormat="1" ht="22.5" hidden="1" customHeight="1">
      <c r="A193" s="9"/>
      <c r="B193" s="16" t="s">
        <v>233</v>
      </c>
      <c r="C193" s="89" t="s">
        <v>48</v>
      </c>
      <c r="D193" s="109" t="s">
        <v>315</v>
      </c>
      <c r="E193" s="110" t="s">
        <v>316</v>
      </c>
      <c r="F193" s="111" t="s">
        <v>1358</v>
      </c>
      <c r="G193" s="111" t="s">
        <v>1359</v>
      </c>
      <c r="H193" s="96"/>
      <c r="I193" s="9"/>
      <c r="J193" s="9" t="s">
        <v>317</v>
      </c>
      <c r="K193" s="14"/>
      <c r="L193" s="14"/>
      <c r="M193" s="12">
        <v>166</v>
      </c>
      <c r="N193" s="9"/>
      <c r="O193" s="9"/>
      <c r="P193" s="9"/>
      <c r="Q193" s="38">
        <f>M193+X193-AG193-BB193</f>
        <v>166</v>
      </c>
      <c r="R193" s="12"/>
      <c r="S193" s="42"/>
      <c r="T193" s="15"/>
      <c r="U193" s="44"/>
      <c r="V193" s="15"/>
      <c r="W193" s="44"/>
      <c r="X193" s="15">
        <f>R193+T193+V193</f>
        <v>0</v>
      </c>
      <c r="Y193" s="15"/>
      <c r="Z193" s="44"/>
      <c r="AA193" s="15"/>
      <c r="AB193" s="44"/>
      <c r="AC193" s="15"/>
      <c r="AD193" s="44"/>
      <c r="AE193" s="15"/>
      <c r="AF193" s="44"/>
      <c r="AG193" s="15">
        <f>(Y193+AA193+AC193+AE193)</f>
        <v>0</v>
      </c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/>
      <c r="BA193" s="42"/>
      <c r="BB193" s="15">
        <f>AH193+AJ193+AL193+AN193+AP193+AR193+AT193+AV193+AX193+AZ193</f>
        <v>0</v>
      </c>
      <c r="BC193" s="15"/>
      <c r="BD193" s="44"/>
      <c r="BE193" s="15"/>
      <c r="BF193" s="44"/>
      <c r="BG193" s="15">
        <f>(BC193+BE193)</f>
        <v>0</v>
      </c>
    </row>
    <row r="194" spans="1:59" s="8" customFormat="1" ht="22.5" hidden="1" customHeight="1">
      <c r="A194" s="9"/>
      <c r="B194" s="16" t="s">
        <v>233</v>
      </c>
      <c r="C194" s="89" t="s">
        <v>48</v>
      </c>
      <c r="D194" s="109" t="s">
        <v>315</v>
      </c>
      <c r="E194" s="110" t="s">
        <v>318</v>
      </c>
      <c r="F194" s="111" t="s">
        <v>1360</v>
      </c>
      <c r="G194" s="111" t="s">
        <v>1361</v>
      </c>
      <c r="H194" s="96"/>
      <c r="I194" s="9"/>
      <c r="J194" s="9" t="s">
        <v>317</v>
      </c>
      <c r="K194" s="14"/>
      <c r="L194" s="14"/>
      <c r="M194" s="12">
        <v>318</v>
      </c>
      <c r="N194" s="9"/>
      <c r="O194" s="9"/>
      <c r="P194" s="9"/>
      <c r="Q194" s="38">
        <f>M194+X194-AG194-BB194</f>
        <v>318</v>
      </c>
      <c r="R194" s="12"/>
      <c r="S194" s="42"/>
      <c r="T194" s="15"/>
      <c r="U194" s="44"/>
      <c r="V194" s="15"/>
      <c r="W194" s="44"/>
      <c r="X194" s="15">
        <f>R194+T194+V194</f>
        <v>0</v>
      </c>
      <c r="Y194" s="15"/>
      <c r="Z194" s="44"/>
      <c r="AA194" s="15"/>
      <c r="AB194" s="44"/>
      <c r="AC194" s="15"/>
      <c r="AD194" s="44"/>
      <c r="AE194" s="15"/>
      <c r="AF194" s="44"/>
      <c r="AG194" s="15">
        <f>(Y194+AA194+AC194+AE194)</f>
        <v>0</v>
      </c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/>
      <c r="BA194" s="42"/>
      <c r="BB194" s="15">
        <f>AH194+AJ194+AL194+AN194+AP194+AR194+AT194+AV194+AX194+AZ194</f>
        <v>0</v>
      </c>
      <c r="BC194" s="15"/>
      <c r="BD194" s="44"/>
      <c r="BE194" s="15"/>
      <c r="BF194" s="44"/>
      <c r="BG194" s="15">
        <f>(BC194+BE194)</f>
        <v>0</v>
      </c>
    </row>
    <row r="195" spans="1:59" s="8" customFormat="1" ht="22.5" hidden="1" customHeight="1">
      <c r="A195" s="9"/>
      <c r="B195" s="16" t="s">
        <v>233</v>
      </c>
      <c r="C195" s="89" t="s">
        <v>48</v>
      </c>
      <c r="D195" s="109" t="s">
        <v>319</v>
      </c>
      <c r="E195" s="110" t="s">
        <v>233</v>
      </c>
      <c r="F195" s="111" t="s">
        <v>1362</v>
      </c>
      <c r="G195" s="111" t="s">
        <v>1363</v>
      </c>
      <c r="H195" s="96"/>
      <c r="I195" s="9"/>
      <c r="J195" s="9"/>
      <c r="K195" s="14"/>
      <c r="L195" s="14"/>
      <c r="M195" s="12"/>
      <c r="N195" s="9"/>
      <c r="O195" s="9"/>
      <c r="P195" s="9"/>
      <c r="Q195" s="38">
        <f>M195+X195-AG195-BB195</f>
        <v>0</v>
      </c>
      <c r="R195" s="12"/>
      <c r="S195" s="42"/>
      <c r="T195" s="15"/>
      <c r="U195" s="44"/>
      <c r="V195" s="15"/>
      <c r="W195" s="44"/>
      <c r="X195" s="15">
        <f>R195+T195+V195</f>
        <v>0</v>
      </c>
      <c r="Y195" s="15"/>
      <c r="Z195" s="44"/>
      <c r="AA195" s="15"/>
      <c r="AB195" s="44"/>
      <c r="AC195" s="15"/>
      <c r="AD195" s="44"/>
      <c r="AE195" s="15"/>
      <c r="AF195" s="44"/>
      <c r="AG195" s="15">
        <f>(Y195+AA195+AC195+AE195)</f>
        <v>0</v>
      </c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/>
      <c r="BA195" s="42"/>
      <c r="BB195" s="15">
        <f>AH195+AJ195+AL195+AN195+AP195+AR195+AT195+AV195+AX195+AZ195</f>
        <v>0</v>
      </c>
      <c r="BC195" s="15"/>
      <c r="BD195" s="44"/>
      <c r="BE195" s="15"/>
      <c r="BF195" s="44"/>
      <c r="BG195" s="15">
        <f>(BC195+BE195)</f>
        <v>0</v>
      </c>
    </row>
    <row r="196" spans="1:59" s="8" customFormat="1" ht="22.5" hidden="1" customHeight="1">
      <c r="A196" s="9"/>
      <c r="B196" s="16" t="s">
        <v>233</v>
      </c>
      <c r="C196" s="89" t="s">
        <v>48</v>
      </c>
      <c r="D196" s="109" t="s">
        <v>320</v>
      </c>
      <c r="E196" s="110" t="s">
        <v>321</v>
      </c>
      <c r="F196" s="111" t="s">
        <v>1364</v>
      </c>
      <c r="G196" s="111" t="s">
        <v>1365</v>
      </c>
      <c r="H196" s="96"/>
      <c r="I196" s="9"/>
      <c r="J196" s="9"/>
      <c r="K196" s="14"/>
      <c r="L196" s="14"/>
      <c r="M196" s="12">
        <v>57</v>
      </c>
      <c r="N196" s="9"/>
      <c r="O196" s="9"/>
      <c r="P196" s="9"/>
      <c r="Q196" s="38">
        <f>M196+X196-AG196-BB196</f>
        <v>57</v>
      </c>
      <c r="R196" s="12"/>
      <c r="S196" s="42"/>
      <c r="T196" s="15"/>
      <c r="U196" s="44"/>
      <c r="V196" s="15"/>
      <c r="W196" s="44"/>
      <c r="X196" s="15">
        <f>R196+T196+V196</f>
        <v>0</v>
      </c>
      <c r="Y196" s="15"/>
      <c r="Z196" s="44"/>
      <c r="AA196" s="15"/>
      <c r="AB196" s="44"/>
      <c r="AC196" s="15"/>
      <c r="AD196" s="44"/>
      <c r="AE196" s="15"/>
      <c r="AF196" s="44"/>
      <c r="AG196" s="15">
        <f>(Y196+AA196+AC196+AE196)</f>
        <v>0</v>
      </c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/>
      <c r="BA196" s="42"/>
      <c r="BB196" s="15">
        <f>AH196+AJ196+AL196+AN196+AP196+AR196+AT196+AV196+AX196+AZ196</f>
        <v>0</v>
      </c>
      <c r="BC196" s="15"/>
      <c r="BD196" s="44"/>
      <c r="BE196" s="15"/>
      <c r="BF196" s="44"/>
      <c r="BG196" s="15">
        <f>(BC196+BE196)</f>
        <v>0</v>
      </c>
    </row>
    <row r="197" spans="1:59" s="8" customFormat="1" ht="22.5" hidden="1" customHeight="1">
      <c r="A197" s="9"/>
      <c r="B197" s="16" t="s">
        <v>233</v>
      </c>
      <c r="C197" s="89" t="s">
        <v>48</v>
      </c>
      <c r="D197" s="109" t="s">
        <v>322</v>
      </c>
      <c r="E197" s="110" t="s">
        <v>323</v>
      </c>
      <c r="F197" s="111" t="s">
        <v>1366</v>
      </c>
      <c r="G197" s="111" t="s">
        <v>1367</v>
      </c>
      <c r="H197" s="96"/>
      <c r="I197" s="9"/>
      <c r="J197" s="9"/>
      <c r="K197" s="14"/>
      <c r="L197" s="14"/>
      <c r="M197" s="12">
        <v>154</v>
      </c>
      <c r="N197" s="9"/>
      <c r="O197" s="9"/>
      <c r="P197" s="9"/>
      <c r="Q197" s="38">
        <f>M197+X197-AG197-BB197</f>
        <v>154</v>
      </c>
      <c r="R197" s="12"/>
      <c r="S197" s="42"/>
      <c r="T197" s="15"/>
      <c r="U197" s="44"/>
      <c r="V197" s="15"/>
      <c r="W197" s="44"/>
      <c r="X197" s="15">
        <f>R197+T197+V197</f>
        <v>0</v>
      </c>
      <c r="Y197" s="15"/>
      <c r="Z197" s="44"/>
      <c r="AA197" s="15"/>
      <c r="AB197" s="44"/>
      <c r="AC197" s="15"/>
      <c r="AD197" s="44"/>
      <c r="AE197" s="15"/>
      <c r="AF197" s="44"/>
      <c r="AG197" s="15">
        <f>(Y197+AA197+AC197+AE197)</f>
        <v>0</v>
      </c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/>
      <c r="BA197" s="42"/>
      <c r="BB197" s="15">
        <f>AH197+AJ197+AL197+AN197+AP197+AR197+AT197+AV197+AX197+AZ197</f>
        <v>0</v>
      </c>
      <c r="BC197" s="15"/>
      <c r="BD197" s="44"/>
      <c r="BE197" s="15"/>
      <c r="BF197" s="44"/>
      <c r="BG197" s="15">
        <f>(BC197+BE197)</f>
        <v>0</v>
      </c>
    </row>
    <row r="198" spans="1:59" s="8" customFormat="1" ht="22.5" hidden="1" customHeight="1">
      <c r="A198" s="9"/>
      <c r="B198" s="16" t="s">
        <v>233</v>
      </c>
      <c r="C198" s="89" t="s">
        <v>48</v>
      </c>
      <c r="D198" s="109" t="s">
        <v>324</v>
      </c>
      <c r="E198" s="110" t="s">
        <v>325</v>
      </c>
      <c r="F198" s="111" t="s">
        <v>1368</v>
      </c>
      <c r="G198" s="111" t="s">
        <v>1369</v>
      </c>
      <c r="H198" s="96"/>
      <c r="I198" s="9"/>
      <c r="J198" s="9"/>
      <c r="K198" s="14"/>
      <c r="L198" s="14"/>
      <c r="M198" s="12">
        <v>0</v>
      </c>
      <c r="N198" s="9"/>
      <c r="O198" s="9"/>
      <c r="P198" s="9"/>
      <c r="Q198" s="38">
        <f>M198+X198-AG198-BB198</f>
        <v>0</v>
      </c>
      <c r="R198" s="12"/>
      <c r="S198" s="42"/>
      <c r="T198" s="15"/>
      <c r="U198" s="44"/>
      <c r="V198" s="15"/>
      <c r="W198" s="44"/>
      <c r="X198" s="15">
        <f>R198+T198+V198</f>
        <v>0</v>
      </c>
      <c r="Y198" s="15"/>
      <c r="Z198" s="44"/>
      <c r="AA198" s="15"/>
      <c r="AB198" s="44"/>
      <c r="AC198" s="15"/>
      <c r="AD198" s="44"/>
      <c r="AE198" s="15"/>
      <c r="AF198" s="44"/>
      <c r="AG198" s="15">
        <f>(Y198+AA198+AC198+AE198)</f>
        <v>0</v>
      </c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/>
      <c r="BA198" s="42"/>
      <c r="BB198" s="15">
        <f>AH198+AJ198+AL198+AN198+AP198+AR198+AT198+AV198+AX198+AZ198</f>
        <v>0</v>
      </c>
      <c r="BC198" s="15"/>
      <c r="BD198" s="44"/>
      <c r="BE198" s="15"/>
      <c r="BF198" s="44"/>
      <c r="BG198" s="15">
        <f>(BC198+BE198)</f>
        <v>0</v>
      </c>
    </row>
    <row r="199" spans="1:59" s="8" customFormat="1" ht="22.5" hidden="1" customHeight="1">
      <c r="A199" s="9"/>
      <c r="B199" s="16" t="s">
        <v>233</v>
      </c>
      <c r="C199" s="89" t="s">
        <v>48</v>
      </c>
      <c r="D199" s="109" t="s">
        <v>326</v>
      </c>
      <c r="E199" s="110" t="s">
        <v>327</v>
      </c>
      <c r="F199" s="111" t="s">
        <v>1370</v>
      </c>
      <c r="G199" s="111" t="s">
        <v>1371</v>
      </c>
      <c r="H199" s="96"/>
      <c r="I199" s="9"/>
      <c r="J199" s="9"/>
      <c r="K199" s="14"/>
      <c r="L199" s="14"/>
      <c r="M199" s="12">
        <v>98</v>
      </c>
      <c r="N199" s="9"/>
      <c r="O199" s="9"/>
      <c r="P199" s="9"/>
      <c r="Q199" s="38">
        <f>M199+X199-AG199-BB199</f>
        <v>98</v>
      </c>
      <c r="R199" s="12"/>
      <c r="S199" s="42"/>
      <c r="T199" s="15"/>
      <c r="U199" s="44"/>
      <c r="V199" s="15"/>
      <c r="W199" s="44"/>
      <c r="X199" s="15">
        <f>R199+T199+V199</f>
        <v>0</v>
      </c>
      <c r="Y199" s="15"/>
      <c r="Z199" s="44"/>
      <c r="AA199" s="15"/>
      <c r="AB199" s="44"/>
      <c r="AC199" s="15"/>
      <c r="AD199" s="44"/>
      <c r="AE199" s="15"/>
      <c r="AF199" s="44"/>
      <c r="AG199" s="15">
        <f>(Y199+AA199+AC199+AE199)</f>
        <v>0</v>
      </c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/>
      <c r="BA199" s="42"/>
      <c r="BB199" s="15">
        <f>AH199+AJ199+AL199+AN199+AP199+AR199+AT199+AV199+AX199+AZ199</f>
        <v>0</v>
      </c>
      <c r="BC199" s="15"/>
      <c r="BD199" s="44"/>
      <c r="BE199" s="15"/>
      <c r="BF199" s="44"/>
      <c r="BG199" s="15">
        <f>(BC199+BE199)</f>
        <v>0</v>
      </c>
    </row>
    <row r="200" spans="1:59" s="8" customFormat="1" ht="22.5" hidden="1" customHeight="1">
      <c r="A200" s="9"/>
      <c r="B200" s="16" t="s">
        <v>155</v>
      </c>
      <c r="C200" s="89" t="s">
        <v>48</v>
      </c>
      <c r="D200" s="109" t="s">
        <v>328</v>
      </c>
      <c r="E200" s="110" t="s">
        <v>329</v>
      </c>
      <c r="F200" s="111" t="s">
        <v>1372</v>
      </c>
      <c r="G200" s="111" t="s">
        <v>1373</v>
      </c>
      <c r="H200" s="96"/>
      <c r="I200" s="9"/>
      <c r="J200" s="9" t="s">
        <v>158</v>
      </c>
      <c r="K200" s="14"/>
      <c r="L200" s="14"/>
      <c r="M200" s="12">
        <v>400</v>
      </c>
      <c r="N200" s="9"/>
      <c r="O200" s="9"/>
      <c r="P200" s="9"/>
      <c r="Q200" s="38">
        <f>M200+X200-AG200-BB200</f>
        <v>400</v>
      </c>
      <c r="R200" s="12"/>
      <c r="S200" s="42"/>
      <c r="T200" s="15"/>
      <c r="U200" s="44"/>
      <c r="V200" s="15"/>
      <c r="W200" s="44"/>
      <c r="X200" s="15">
        <f>R200+T200+V200</f>
        <v>0</v>
      </c>
      <c r="Y200" s="15"/>
      <c r="Z200" s="44"/>
      <c r="AA200" s="15"/>
      <c r="AB200" s="44"/>
      <c r="AC200" s="15"/>
      <c r="AD200" s="44"/>
      <c r="AE200" s="15"/>
      <c r="AF200" s="44"/>
      <c r="AG200" s="15">
        <f>(Y200+AA200+AC200+AE200)</f>
        <v>0</v>
      </c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/>
      <c r="BA200" s="42"/>
      <c r="BB200" s="15">
        <f>AH200+AJ200+AL200+AN200+AP200+AR200+AT200+AV200+AX200+AZ200</f>
        <v>0</v>
      </c>
      <c r="BC200" s="15"/>
      <c r="BD200" s="44"/>
      <c r="BE200" s="15"/>
      <c r="BF200" s="44"/>
      <c r="BG200" s="15">
        <f>(BC200+BE200)</f>
        <v>0</v>
      </c>
    </row>
    <row r="201" spans="1:59" s="8" customFormat="1" ht="22.5" hidden="1" customHeight="1">
      <c r="A201" s="9"/>
      <c r="B201" s="16" t="s">
        <v>330</v>
      </c>
      <c r="C201" s="89" t="s">
        <v>48</v>
      </c>
      <c r="D201" s="109" t="s">
        <v>331</v>
      </c>
      <c r="E201" s="110" t="s">
        <v>330</v>
      </c>
      <c r="F201" s="111" t="s">
        <v>1374</v>
      </c>
      <c r="G201" s="111" t="s">
        <v>1375</v>
      </c>
      <c r="H201" s="96"/>
      <c r="I201" s="9"/>
      <c r="J201" s="9" t="s">
        <v>332</v>
      </c>
      <c r="K201" s="14"/>
      <c r="L201" s="14"/>
      <c r="M201" s="12">
        <v>200</v>
      </c>
      <c r="N201" s="9"/>
      <c r="O201" s="9"/>
      <c r="P201" s="9"/>
      <c r="Q201" s="38">
        <f>M201+X201-AG201-BB201</f>
        <v>200</v>
      </c>
      <c r="R201" s="12"/>
      <c r="S201" s="42"/>
      <c r="T201" s="15"/>
      <c r="U201" s="44"/>
      <c r="V201" s="15"/>
      <c r="W201" s="44"/>
      <c r="X201" s="15">
        <f>R201+T201+V201</f>
        <v>0</v>
      </c>
      <c r="Y201" s="15"/>
      <c r="Z201" s="44"/>
      <c r="AA201" s="15"/>
      <c r="AB201" s="44"/>
      <c r="AC201" s="15"/>
      <c r="AD201" s="44"/>
      <c r="AE201" s="15"/>
      <c r="AF201" s="44"/>
      <c r="AG201" s="15">
        <f>(Y201+AA201+AC201+AE201)</f>
        <v>0</v>
      </c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/>
      <c r="BA201" s="42"/>
      <c r="BB201" s="15">
        <f>AH201+AJ201+AL201+AN201+AP201+AR201+AT201+AV201+AX201+AZ201</f>
        <v>0</v>
      </c>
      <c r="BC201" s="15"/>
      <c r="BD201" s="44"/>
      <c r="BE201" s="15"/>
      <c r="BF201" s="44"/>
      <c r="BG201" s="15">
        <f>(BC201+BE201)</f>
        <v>0</v>
      </c>
    </row>
    <row r="202" spans="1:59" s="8" customFormat="1" ht="22.5" hidden="1" customHeight="1">
      <c r="A202" s="9"/>
      <c r="B202" s="16" t="s">
        <v>330</v>
      </c>
      <c r="C202" s="89" t="s">
        <v>48</v>
      </c>
      <c r="D202" s="109" t="s">
        <v>333</v>
      </c>
      <c r="E202" s="110" t="s">
        <v>330</v>
      </c>
      <c r="F202" s="111" t="s">
        <v>1376</v>
      </c>
      <c r="G202" s="111" t="s">
        <v>1377</v>
      </c>
      <c r="H202" s="96"/>
      <c r="I202" s="9"/>
      <c r="J202" s="9" t="s">
        <v>332</v>
      </c>
      <c r="K202" s="14"/>
      <c r="L202" s="14"/>
      <c r="M202" s="12"/>
      <c r="N202" s="9"/>
      <c r="O202" s="9"/>
      <c r="P202" s="9"/>
      <c r="Q202" s="38">
        <f>M202+X202-AG202-BB202</f>
        <v>0</v>
      </c>
      <c r="R202" s="12"/>
      <c r="S202" s="42"/>
      <c r="T202" s="15"/>
      <c r="U202" s="44"/>
      <c r="V202" s="15"/>
      <c r="W202" s="44"/>
      <c r="X202" s="15">
        <f>R202+T202+V202</f>
        <v>0</v>
      </c>
      <c r="Y202" s="15"/>
      <c r="Z202" s="44"/>
      <c r="AA202" s="15"/>
      <c r="AB202" s="44"/>
      <c r="AC202" s="15"/>
      <c r="AD202" s="44"/>
      <c r="AE202" s="15"/>
      <c r="AF202" s="44"/>
      <c r="AG202" s="15">
        <f>(Y202+AA202+AC202+AE202)</f>
        <v>0</v>
      </c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/>
      <c r="BA202" s="42"/>
      <c r="BB202" s="15">
        <f>AH202+AJ202+AL202+AN202+AP202+AR202+AT202+AV202+AX202+AZ202</f>
        <v>0</v>
      </c>
      <c r="BC202" s="15"/>
      <c r="BD202" s="44"/>
      <c r="BE202" s="15"/>
      <c r="BF202" s="44"/>
      <c r="BG202" s="15">
        <f>(BC202+BE202)</f>
        <v>0</v>
      </c>
    </row>
    <row r="203" spans="1:59" s="8" customFormat="1" ht="22.5" hidden="1" customHeight="1">
      <c r="A203" s="9"/>
      <c r="B203" s="16" t="s">
        <v>334</v>
      </c>
      <c r="C203" s="89" t="s">
        <v>48</v>
      </c>
      <c r="D203" s="109" t="s">
        <v>335</v>
      </c>
      <c r="E203" s="110" t="s">
        <v>336</v>
      </c>
      <c r="F203" s="111" t="s">
        <v>1378</v>
      </c>
      <c r="G203" s="111" t="s">
        <v>1379</v>
      </c>
      <c r="H203" s="96"/>
      <c r="I203" s="9"/>
      <c r="J203" s="9" t="s">
        <v>314</v>
      </c>
      <c r="K203" s="14"/>
      <c r="L203" s="14"/>
      <c r="M203" s="12"/>
      <c r="N203" s="9"/>
      <c r="O203" s="9"/>
      <c r="P203" s="9"/>
      <c r="Q203" s="38">
        <f>M203+X203-AG203-BB203</f>
        <v>0</v>
      </c>
      <c r="R203" s="12"/>
      <c r="S203" s="42"/>
      <c r="T203" s="15"/>
      <c r="U203" s="44"/>
      <c r="V203" s="15"/>
      <c r="W203" s="44"/>
      <c r="X203" s="15">
        <f>R203+T203+V203</f>
        <v>0</v>
      </c>
      <c r="Y203" s="15"/>
      <c r="Z203" s="44"/>
      <c r="AA203" s="15"/>
      <c r="AB203" s="44"/>
      <c r="AC203" s="15"/>
      <c r="AD203" s="44"/>
      <c r="AE203" s="15"/>
      <c r="AF203" s="44"/>
      <c r="AG203" s="15">
        <f>(Y203+AA203+AC203+AE203)</f>
        <v>0</v>
      </c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/>
      <c r="BA203" s="42"/>
      <c r="BB203" s="15">
        <f>AH203+AJ203+AL203+AN203+AP203+AR203+AT203+AV203+AX203+AZ203</f>
        <v>0</v>
      </c>
      <c r="BC203" s="15"/>
      <c r="BD203" s="44"/>
      <c r="BE203" s="15"/>
      <c r="BF203" s="44"/>
      <c r="BG203" s="15">
        <f>(BC203+BE203)</f>
        <v>0</v>
      </c>
    </row>
    <row r="204" spans="1:59" s="8" customFormat="1" ht="22.5" hidden="1" customHeight="1">
      <c r="A204" s="9"/>
      <c r="B204" s="16" t="s">
        <v>489</v>
      </c>
      <c r="C204" s="89" t="s">
        <v>48</v>
      </c>
      <c r="D204" s="109" t="s">
        <v>1380</v>
      </c>
      <c r="E204" s="110" t="s">
        <v>1381</v>
      </c>
      <c r="F204" s="111" t="s">
        <v>1382</v>
      </c>
      <c r="G204" s="138" t="s">
        <v>1383</v>
      </c>
      <c r="H204" s="96"/>
      <c r="I204" s="9"/>
      <c r="J204" s="9"/>
      <c r="K204" s="14"/>
      <c r="L204" s="14"/>
      <c r="M204" s="12">
        <v>594</v>
      </c>
      <c r="N204" s="9"/>
      <c r="O204" s="9"/>
      <c r="P204" s="9"/>
      <c r="Q204" s="38">
        <f>M204+X204-AG204-BB204</f>
        <v>594</v>
      </c>
      <c r="R204" s="12"/>
      <c r="S204" s="42"/>
      <c r="T204" s="15"/>
      <c r="U204" s="44"/>
      <c r="V204" s="15"/>
      <c r="W204" s="44"/>
      <c r="X204" s="15">
        <f>R204+T204+V204</f>
        <v>0</v>
      </c>
      <c r="Y204" s="15"/>
      <c r="Z204" s="44"/>
      <c r="AA204" s="15"/>
      <c r="AB204" s="44"/>
      <c r="AC204" s="15"/>
      <c r="AD204" s="44"/>
      <c r="AE204" s="15"/>
      <c r="AF204" s="44"/>
      <c r="AG204" s="15">
        <f>(Y204+AA204+AC204+AE204)</f>
        <v>0</v>
      </c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/>
      <c r="BA204" s="42"/>
      <c r="BB204" s="15"/>
      <c r="BC204" s="15"/>
      <c r="BD204" s="44"/>
      <c r="BE204" s="15"/>
      <c r="BF204" s="44"/>
      <c r="BG204" s="15"/>
    </row>
    <row r="205" spans="1:59" s="8" customFormat="1" ht="22.5" hidden="1" customHeight="1">
      <c r="A205" s="9"/>
      <c r="B205" s="16" t="s">
        <v>337</v>
      </c>
      <c r="C205" s="89" t="s">
        <v>48</v>
      </c>
      <c r="D205" s="109" t="s">
        <v>338</v>
      </c>
      <c r="E205" s="110" t="s">
        <v>337</v>
      </c>
      <c r="F205" s="111" t="s">
        <v>1384</v>
      </c>
      <c r="G205" s="111" t="s">
        <v>1385</v>
      </c>
      <c r="H205" s="96"/>
      <c r="I205" s="9"/>
      <c r="J205" s="9" t="s">
        <v>339</v>
      </c>
      <c r="K205" s="14"/>
      <c r="L205" s="14"/>
      <c r="M205" s="12"/>
      <c r="N205" s="9"/>
      <c r="O205" s="9"/>
      <c r="P205" s="9"/>
      <c r="Q205" s="38">
        <f>M205+X205-AG205-BB205</f>
        <v>0</v>
      </c>
      <c r="R205" s="12"/>
      <c r="S205" s="42"/>
      <c r="T205" s="15"/>
      <c r="U205" s="44"/>
      <c r="V205" s="15"/>
      <c r="W205" s="44"/>
      <c r="X205" s="15">
        <f>R205+T205+V205</f>
        <v>0</v>
      </c>
      <c r="Y205" s="15"/>
      <c r="Z205" s="44"/>
      <c r="AA205" s="15"/>
      <c r="AB205" s="44"/>
      <c r="AC205" s="15"/>
      <c r="AD205" s="44"/>
      <c r="AE205" s="15"/>
      <c r="AF205" s="44"/>
      <c r="AG205" s="15">
        <f>(Y205+AA205+AC205+AE205)</f>
        <v>0</v>
      </c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/>
      <c r="BA205" s="42"/>
      <c r="BB205" s="15">
        <f>AH205+AJ205+AL205+AN205+AP205+AR205+AT205+AV205+AX205+AZ205</f>
        <v>0</v>
      </c>
      <c r="BC205" s="15"/>
      <c r="BD205" s="44"/>
      <c r="BE205" s="15"/>
      <c r="BF205" s="44"/>
      <c r="BG205" s="15">
        <f>(BC205+BE205)</f>
        <v>0</v>
      </c>
    </row>
    <row r="206" spans="1:59" s="8" customFormat="1" ht="22.5" hidden="1" customHeight="1">
      <c r="A206" s="9"/>
      <c r="B206" s="16" t="s">
        <v>337</v>
      </c>
      <c r="C206" s="89" t="s">
        <v>48</v>
      </c>
      <c r="D206" s="109" t="s">
        <v>340</v>
      </c>
      <c r="E206" s="110" t="s">
        <v>337</v>
      </c>
      <c r="F206" s="111" t="s">
        <v>1386</v>
      </c>
      <c r="G206" s="111" t="s">
        <v>1387</v>
      </c>
      <c r="H206" s="96"/>
      <c r="I206" s="9"/>
      <c r="J206" s="9" t="s">
        <v>339</v>
      </c>
      <c r="K206" s="14"/>
      <c r="L206" s="14"/>
      <c r="M206" s="12"/>
      <c r="N206" s="9"/>
      <c r="O206" s="9"/>
      <c r="P206" s="9"/>
      <c r="Q206" s="38">
        <f>M206+X206-AG206-BB206</f>
        <v>0</v>
      </c>
      <c r="R206" s="12"/>
      <c r="S206" s="42"/>
      <c r="T206" s="15"/>
      <c r="U206" s="44"/>
      <c r="V206" s="15"/>
      <c r="W206" s="44"/>
      <c r="X206" s="15">
        <f>R206+T206+V206</f>
        <v>0</v>
      </c>
      <c r="Y206" s="15"/>
      <c r="Z206" s="44"/>
      <c r="AA206" s="15"/>
      <c r="AB206" s="44"/>
      <c r="AC206" s="15"/>
      <c r="AD206" s="44"/>
      <c r="AE206" s="15"/>
      <c r="AF206" s="44"/>
      <c r="AG206" s="15">
        <f>(Y206+AA206+AC206+AE206)</f>
        <v>0</v>
      </c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/>
      <c r="BA206" s="42"/>
      <c r="BB206" s="15">
        <f>AH206+AJ206+AL206+AN206+AP206+AR206+AT206+AV206+AX206+AZ206</f>
        <v>0</v>
      </c>
      <c r="BC206" s="15"/>
      <c r="BD206" s="44"/>
      <c r="BE206" s="15"/>
      <c r="BF206" s="44"/>
      <c r="BG206" s="15">
        <f>(BC206+BE206)</f>
        <v>0</v>
      </c>
    </row>
    <row r="207" spans="1:59" s="8" customFormat="1" ht="22.5" hidden="1" customHeight="1">
      <c r="A207" s="9"/>
      <c r="B207" s="16" t="s">
        <v>249</v>
      </c>
      <c r="C207" s="89" t="s">
        <v>48</v>
      </c>
      <c r="D207" s="109" t="s">
        <v>1388</v>
      </c>
      <c r="E207" s="110" t="s">
        <v>251</v>
      </c>
      <c r="F207" s="111" t="s">
        <v>1389</v>
      </c>
      <c r="G207" s="111" t="s">
        <v>1390</v>
      </c>
      <c r="H207" s="96"/>
      <c r="I207" s="9"/>
      <c r="J207" s="9" t="s">
        <v>247</v>
      </c>
      <c r="K207" s="14"/>
      <c r="L207" s="14"/>
      <c r="M207" s="12">
        <v>599</v>
      </c>
      <c r="N207" s="9"/>
      <c r="O207" s="9"/>
      <c r="P207" s="9"/>
      <c r="Q207" s="38">
        <f>M207+X207-AG207-BB207</f>
        <v>599</v>
      </c>
      <c r="R207" s="12"/>
      <c r="S207" s="42"/>
      <c r="T207" s="15"/>
      <c r="U207" s="44"/>
      <c r="V207" s="15"/>
      <c r="W207" s="44"/>
      <c r="X207" s="15">
        <f>R207+T207+V207</f>
        <v>0</v>
      </c>
      <c r="Y207" s="15"/>
      <c r="Z207" s="44"/>
      <c r="AA207" s="15"/>
      <c r="AB207" s="44"/>
      <c r="AC207" s="15"/>
      <c r="AD207" s="44"/>
      <c r="AE207" s="15"/>
      <c r="AF207" s="44"/>
      <c r="AG207" s="15">
        <f>(Y207+AA207+AC207+AE207)</f>
        <v>0</v>
      </c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/>
      <c r="BA207" s="42"/>
      <c r="BB207" s="15">
        <f>AH207+AJ207+AL207+AN207+AP207+AR207+AT207+AV207+AX207+AZ207</f>
        <v>0</v>
      </c>
      <c r="BC207" s="15"/>
      <c r="BD207" s="44"/>
      <c r="BE207" s="15"/>
      <c r="BF207" s="44"/>
      <c r="BG207" s="15">
        <f>(BC207+BE207)</f>
        <v>0</v>
      </c>
    </row>
    <row r="208" spans="1:59" s="8" customFormat="1" ht="22.5" hidden="1" customHeight="1">
      <c r="A208" s="9"/>
      <c r="B208" s="16" t="s">
        <v>343</v>
      </c>
      <c r="C208" s="89" t="s">
        <v>48</v>
      </c>
      <c r="D208" s="109" t="s">
        <v>343</v>
      </c>
      <c r="E208" s="110" t="s">
        <v>344</v>
      </c>
      <c r="F208" s="111" t="s">
        <v>1391</v>
      </c>
      <c r="G208" s="111" t="s">
        <v>1392</v>
      </c>
      <c r="H208" s="96"/>
      <c r="I208" s="9"/>
      <c r="J208" s="9" t="s">
        <v>345</v>
      </c>
      <c r="K208" s="14"/>
      <c r="L208" s="14"/>
      <c r="M208" s="12">
        <v>669</v>
      </c>
      <c r="N208" s="9"/>
      <c r="O208" s="9"/>
      <c r="P208" s="9"/>
      <c r="Q208" s="38">
        <f>M208+X208-AG208-BB208</f>
        <v>669</v>
      </c>
      <c r="R208" s="12"/>
      <c r="S208" s="42"/>
      <c r="T208" s="15"/>
      <c r="U208" s="44"/>
      <c r="V208" s="15"/>
      <c r="W208" s="44"/>
      <c r="X208" s="15">
        <f>R208+T208+V208</f>
        <v>0</v>
      </c>
      <c r="Y208" s="15"/>
      <c r="Z208" s="44"/>
      <c r="AA208" s="15"/>
      <c r="AB208" s="44"/>
      <c r="AC208" s="15"/>
      <c r="AD208" s="44"/>
      <c r="AE208" s="15"/>
      <c r="AF208" s="44"/>
      <c r="AG208" s="15">
        <f>(Y208+AA208+AC208+AE208)</f>
        <v>0</v>
      </c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/>
      <c r="BA208" s="42"/>
      <c r="BB208" s="15">
        <f>AH208+AJ208+AL208+AN208+AP208+AR208+AT208+AV208+AX208+AZ208</f>
        <v>0</v>
      </c>
      <c r="BC208" s="15"/>
      <c r="BD208" s="44"/>
      <c r="BE208" s="15"/>
      <c r="BF208" s="44"/>
      <c r="BG208" s="15">
        <f>(BC208+BE208)</f>
        <v>0</v>
      </c>
    </row>
    <row r="209" spans="1:59" s="8" customFormat="1" ht="22.5" hidden="1" customHeight="1">
      <c r="A209" s="9"/>
      <c r="B209" s="16" t="s">
        <v>204</v>
      </c>
      <c r="C209" s="89" t="s">
        <v>48</v>
      </c>
      <c r="D209" s="109" t="s">
        <v>288</v>
      </c>
      <c r="E209" s="110" t="s">
        <v>222</v>
      </c>
      <c r="F209" s="111" t="s">
        <v>1393</v>
      </c>
      <c r="G209" s="111" t="s">
        <v>1394</v>
      </c>
      <c r="H209" s="96"/>
      <c r="I209" s="9"/>
      <c r="J209" s="9" t="s">
        <v>207</v>
      </c>
      <c r="K209" s="14"/>
      <c r="L209" s="14"/>
      <c r="M209" s="12">
        <v>92</v>
      </c>
      <c r="N209" s="9"/>
      <c r="O209" s="9"/>
      <c r="P209" s="9"/>
      <c r="Q209" s="38">
        <f>M209+X209-AG209-BB209</f>
        <v>92</v>
      </c>
      <c r="R209" s="12"/>
      <c r="S209" s="42"/>
      <c r="T209" s="15"/>
      <c r="U209" s="44"/>
      <c r="V209" s="15"/>
      <c r="W209" s="44"/>
      <c r="X209" s="15">
        <f>R209+T209+V209</f>
        <v>0</v>
      </c>
      <c r="Y209" s="15"/>
      <c r="Z209" s="44"/>
      <c r="AA209" s="15"/>
      <c r="AB209" s="44"/>
      <c r="AC209" s="15"/>
      <c r="AD209" s="44"/>
      <c r="AE209" s="15"/>
      <c r="AF209" s="44"/>
      <c r="AG209" s="15">
        <f>(Y209+AA209+AC209+AE209)</f>
        <v>0</v>
      </c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/>
      <c r="BA209" s="42"/>
      <c r="BB209" s="15">
        <f>AH209+AJ209+AL209+AN209+AP209+AR209+AT209+AV209+AX209+AZ209</f>
        <v>0</v>
      </c>
      <c r="BC209" s="15"/>
      <c r="BD209" s="44"/>
      <c r="BE209" s="15"/>
      <c r="BF209" s="44"/>
      <c r="BG209" s="15">
        <f>(BC209+BE209)</f>
        <v>0</v>
      </c>
    </row>
    <row r="210" spans="1:59" s="8" customFormat="1" ht="22.5" hidden="1" customHeight="1">
      <c r="A210" s="9"/>
      <c r="B210" s="16" t="s">
        <v>204</v>
      </c>
      <c r="C210" s="89" t="s">
        <v>48</v>
      </c>
      <c r="D210" s="109" t="s">
        <v>289</v>
      </c>
      <c r="E210" s="110" t="s">
        <v>222</v>
      </c>
      <c r="F210" s="111" t="s">
        <v>1395</v>
      </c>
      <c r="G210" s="111" t="s">
        <v>1396</v>
      </c>
      <c r="H210" s="96"/>
      <c r="I210" s="9"/>
      <c r="J210" s="9" t="s">
        <v>207</v>
      </c>
      <c r="K210" s="14"/>
      <c r="L210" s="14"/>
      <c r="M210" s="12">
        <v>241</v>
      </c>
      <c r="N210" s="9"/>
      <c r="O210" s="9"/>
      <c r="P210" s="9"/>
      <c r="Q210" s="38">
        <f>M210+X210-AG210-BB210</f>
        <v>241</v>
      </c>
      <c r="R210" s="12"/>
      <c r="S210" s="42"/>
      <c r="T210" s="15"/>
      <c r="U210" s="44"/>
      <c r="V210" s="15"/>
      <c r="W210" s="44"/>
      <c r="X210" s="15">
        <f>R210+T210+V210</f>
        <v>0</v>
      </c>
      <c r="Y210" s="15"/>
      <c r="Z210" s="44"/>
      <c r="AA210" s="15"/>
      <c r="AB210" s="44"/>
      <c r="AC210" s="15"/>
      <c r="AD210" s="44"/>
      <c r="AE210" s="15"/>
      <c r="AF210" s="44"/>
      <c r="AG210" s="15">
        <f>(Y210+AA210+AC210+AE210)</f>
        <v>0</v>
      </c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/>
      <c r="BA210" s="42"/>
      <c r="BB210" s="15">
        <f>AH210+AJ210+AL210+AN210+AP210+AR210+AT210+AV210+AX210+AZ210</f>
        <v>0</v>
      </c>
      <c r="BC210" s="15"/>
      <c r="BD210" s="44"/>
      <c r="BE210" s="15"/>
      <c r="BF210" s="44"/>
      <c r="BG210" s="15">
        <f>(BC210+BE210)</f>
        <v>0</v>
      </c>
    </row>
    <row r="211" spans="1:59" s="8" customFormat="1" ht="22.5" hidden="1" customHeight="1">
      <c r="A211" s="9"/>
      <c r="B211" s="16" t="s">
        <v>204</v>
      </c>
      <c r="C211" s="89" t="s">
        <v>48</v>
      </c>
      <c r="D211" s="109" t="s">
        <v>291</v>
      </c>
      <c r="E211" s="110" t="s">
        <v>222</v>
      </c>
      <c r="F211" s="111" t="s">
        <v>1397</v>
      </c>
      <c r="G211" s="111" t="s">
        <v>1398</v>
      </c>
      <c r="H211" s="96"/>
      <c r="I211" s="9"/>
      <c r="J211" s="9" t="s">
        <v>207</v>
      </c>
      <c r="K211" s="14"/>
      <c r="L211" s="14"/>
      <c r="M211" s="12">
        <v>70</v>
      </c>
      <c r="N211" s="9"/>
      <c r="O211" s="9"/>
      <c r="P211" s="9"/>
      <c r="Q211" s="38">
        <f>M211+X211-AG211-BB211</f>
        <v>70</v>
      </c>
      <c r="R211" s="12"/>
      <c r="S211" s="42"/>
      <c r="T211" s="15"/>
      <c r="U211" s="44"/>
      <c r="V211" s="15"/>
      <c r="W211" s="44"/>
      <c r="X211" s="15">
        <f>R211+T211+V211</f>
        <v>0</v>
      </c>
      <c r="Y211" s="15"/>
      <c r="Z211" s="44"/>
      <c r="AA211" s="15"/>
      <c r="AB211" s="44"/>
      <c r="AC211" s="15"/>
      <c r="AD211" s="44"/>
      <c r="AE211" s="15"/>
      <c r="AF211" s="44"/>
      <c r="AG211" s="15">
        <f>(Y211+AA211+AC211+AE211)</f>
        <v>0</v>
      </c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/>
      <c r="BA211" s="42"/>
      <c r="BB211" s="15">
        <f>AH211+AJ211+AL211+AN211+AP211+AR211+AT211+AV211+AX211+AZ211</f>
        <v>0</v>
      </c>
      <c r="BC211" s="15"/>
      <c r="BD211" s="44"/>
      <c r="BE211" s="15"/>
      <c r="BF211" s="44"/>
      <c r="BG211" s="15">
        <f>(BC211+BE211)</f>
        <v>0</v>
      </c>
    </row>
    <row r="212" spans="1:59" s="8" customFormat="1" ht="22.5" hidden="1" customHeight="1">
      <c r="A212" s="9"/>
      <c r="B212" s="16" t="s">
        <v>204</v>
      </c>
      <c r="C212" s="89" t="s">
        <v>48</v>
      </c>
      <c r="D212" s="109" t="s">
        <v>1319</v>
      </c>
      <c r="E212" s="110" t="s">
        <v>346</v>
      </c>
      <c r="F212" s="111" t="s">
        <v>1399</v>
      </c>
      <c r="G212" s="133" t="s">
        <v>1400</v>
      </c>
      <c r="H212" s="96"/>
      <c r="I212" s="9"/>
      <c r="J212" s="9" t="s">
        <v>207</v>
      </c>
      <c r="K212" s="14"/>
      <c r="L212" s="14"/>
      <c r="M212" s="12">
        <v>488</v>
      </c>
      <c r="N212" s="9"/>
      <c r="O212" s="9"/>
      <c r="P212" s="9"/>
      <c r="Q212" s="38">
        <f>M212+X212-AG212-BB212</f>
        <v>488</v>
      </c>
      <c r="R212" s="12"/>
      <c r="S212" s="42"/>
      <c r="T212" s="15"/>
      <c r="U212" s="44"/>
      <c r="V212" s="15"/>
      <c r="W212" s="44"/>
      <c r="X212" s="15">
        <f>R212+T212+V212</f>
        <v>0</v>
      </c>
      <c r="Y212" s="15"/>
      <c r="Z212" s="44"/>
      <c r="AA212" s="15"/>
      <c r="AB212" s="44"/>
      <c r="AC212" s="15"/>
      <c r="AD212" s="44"/>
      <c r="AE212" s="15"/>
      <c r="AF212" s="44"/>
      <c r="AG212" s="15">
        <f>(Y212+AA212+AC212+AE212)</f>
        <v>0</v>
      </c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/>
      <c r="BA212" s="42"/>
      <c r="BB212" s="15">
        <f>AH212+AJ212+AL212+AN212+AP212+AR212+AT212+AV212+AX212+AZ212</f>
        <v>0</v>
      </c>
      <c r="BC212" s="15"/>
      <c r="BD212" s="44"/>
      <c r="BE212" s="15"/>
      <c r="BF212" s="44"/>
      <c r="BG212" s="15">
        <f>(BC212+BE212)</f>
        <v>0</v>
      </c>
    </row>
    <row r="213" spans="1:59" s="8" customFormat="1" ht="22.5" hidden="1" customHeight="1">
      <c r="A213" s="9"/>
      <c r="B213" s="16" t="s">
        <v>204</v>
      </c>
      <c r="C213" s="89" t="s">
        <v>48</v>
      </c>
      <c r="D213" s="109" t="s">
        <v>216</v>
      </c>
      <c r="E213" s="110" t="s">
        <v>347</v>
      </c>
      <c r="F213" s="111" t="s">
        <v>1401</v>
      </c>
      <c r="G213" s="111" t="s">
        <v>1402</v>
      </c>
      <c r="H213" s="96"/>
      <c r="I213" s="9"/>
      <c r="J213" s="9" t="s">
        <v>207</v>
      </c>
      <c r="K213" s="14"/>
      <c r="L213" s="14"/>
      <c r="M213" s="12">
        <v>134</v>
      </c>
      <c r="N213" s="9"/>
      <c r="O213" s="9"/>
      <c r="P213" s="9"/>
      <c r="Q213" s="38">
        <f>M213+X213-AG213-BB213</f>
        <v>134</v>
      </c>
      <c r="R213" s="12"/>
      <c r="S213" s="42"/>
      <c r="T213" s="15"/>
      <c r="U213" s="44"/>
      <c r="V213" s="15"/>
      <c r="W213" s="44"/>
      <c r="X213" s="15">
        <f>R213+T213+V213</f>
        <v>0</v>
      </c>
      <c r="Y213" s="15"/>
      <c r="Z213" s="44"/>
      <c r="AA213" s="15"/>
      <c r="AB213" s="44"/>
      <c r="AC213" s="15"/>
      <c r="AD213" s="44"/>
      <c r="AE213" s="15"/>
      <c r="AF213" s="44"/>
      <c r="AG213" s="15">
        <f>(Y213+AA213+AC213+AE213)</f>
        <v>0</v>
      </c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/>
      <c r="BA213" s="42"/>
      <c r="BB213" s="15">
        <f>AH213+AJ213+AL213+AN213+AP213+AR213+AT213+AV213+AX213+AZ213</f>
        <v>0</v>
      </c>
      <c r="BC213" s="15"/>
      <c r="BD213" s="44"/>
      <c r="BE213" s="15"/>
      <c r="BF213" s="44"/>
      <c r="BG213" s="15">
        <f>(BC213+BE213)</f>
        <v>0</v>
      </c>
    </row>
    <row r="214" spans="1:59" s="8" customFormat="1" ht="22.5" hidden="1" customHeight="1">
      <c r="A214" s="9"/>
      <c r="B214" s="16" t="s">
        <v>204</v>
      </c>
      <c r="C214" s="89" t="s">
        <v>48</v>
      </c>
      <c r="D214" s="109" t="s">
        <v>285</v>
      </c>
      <c r="E214" s="110" t="s">
        <v>347</v>
      </c>
      <c r="F214" s="111" t="s">
        <v>1403</v>
      </c>
      <c r="G214" s="111" t="s">
        <v>1404</v>
      </c>
      <c r="H214" s="96"/>
      <c r="I214" s="9"/>
      <c r="J214" s="9" t="s">
        <v>207</v>
      </c>
      <c r="K214" s="14"/>
      <c r="L214" s="14"/>
      <c r="M214" s="12">
        <v>400</v>
      </c>
      <c r="N214" s="9"/>
      <c r="O214" s="9"/>
      <c r="P214" s="9"/>
      <c r="Q214" s="38">
        <f>M214+X214-AG214-BB214</f>
        <v>400</v>
      </c>
      <c r="R214" s="12"/>
      <c r="S214" s="42"/>
      <c r="T214" s="15"/>
      <c r="U214" s="44"/>
      <c r="V214" s="15"/>
      <c r="W214" s="44"/>
      <c r="X214" s="15">
        <f>R214+T214+V214</f>
        <v>0</v>
      </c>
      <c r="Y214" s="15"/>
      <c r="Z214" s="44"/>
      <c r="AA214" s="15"/>
      <c r="AB214" s="44"/>
      <c r="AC214" s="24"/>
      <c r="AD214" s="44"/>
      <c r="AE214" s="24"/>
      <c r="AF214" s="44"/>
      <c r="AG214" s="15">
        <f>(Y214+AA214+AC214+AE214)</f>
        <v>0</v>
      </c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/>
      <c r="BA214" s="42"/>
      <c r="BB214" s="15">
        <f>AH214+AJ214+AL214+AN214+AP214+AR214+AT214+AV214+AX214+AZ214</f>
        <v>0</v>
      </c>
      <c r="BC214" s="15"/>
      <c r="BD214" s="44"/>
      <c r="BE214" s="15"/>
      <c r="BF214" s="44"/>
      <c r="BG214" s="15">
        <f>(BC214+BE214)</f>
        <v>0</v>
      </c>
    </row>
    <row r="215" spans="1:59" s="8" customFormat="1" ht="22.5" hidden="1" customHeight="1">
      <c r="A215" s="9"/>
      <c r="B215" s="16" t="s">
        <v>204</v>
      </c>
      <c r="C215" s="89" t="s">
        <v>48</v>
      </c>
      <c r="D215" s="109" t="s">
        <v>286</v>
      </c>
      <c r="E215" s="110" t="s">
        <v>206</v>
      </c>
      <c r="F215" s="111" t="s">
        <v>1405</v>
      </c>
      <c r="G215" s="111" t="s">
        <v>1406</v>
      </c>
      <c r="H215" s="96"/>
      <c r="I215" s="9"/>
      <c r="J215" s="9" t="s">
        <v>207</v>
      </c>
      <c r="K215" s="14"/>
      <c r="L215" s="14"/>
      <c r="M215" s="12">
        <v>514</v>
      </c>
      <c r="N215" s="9"/>
      <c r="O215" s="9"/>
      <c r="P215" s="9"/>
      <c r="Q215" s="38">
        <f>M215+X215-AG215-BB215</f>
        <v>514</v>
      </c>
      <c r="R215" s="12"/>
      <c r="S215" s="42"/>
      <c r="T215" s="15"/>
      <c r="U215" s="44"/>
      <c r="V215" s="15"/>
      <c r="W215" s="44"/>
      <c r="X215" s="15">
        <f>R215+T215+V215</f>
        <v>0</v>
      </c>
      <c r="Y215" s="15"/>
      <c r="Z215" s="44"/>
      <c r="AA215" s="15"/>
      <c r="AB215" s="44"/>
      <c r="AC215" s="15"/>
      <c r="AD215" s="44"/>
      <c r="AE215" s="15"/>
      <c r="AF215" s="44"/>
      <c r="AG215" s="15">
        <f>(Y215+AA215+AC215+AE215)</f>
        <v>0</v>
      </c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/>
      <c r="BA215" s="42"/>
      <c r="BB215" s="15">
        <f>AH215+AJ215+AL215+AN215+AP215+AR215+AT215+AV215+AX215+AZ215</f>
        <v>0</v>
      </c>
      <c r="BC215" s="15"/>
      <c r="BD215" s="44"/>
      <c r="BE215" s="15"/>
      <c r="BF215" s="44"/>
      <c r="BG215" s="15">
        <f>(BC215+BE215)</f>
        <v>0</v>
      </c>
    </row>
    <row r="216" spans="1:59" s="8" customFormat="1" ht="22.5" hidden="1" customHeight="1">
      <c r="A216" s="9"/>
      <c r="B216" s="16" t="s">
        <v>204</v>
      </c>
      <c r="C216" s="89" t="s">
        <v>48</v>
      </c>
      <c r="D216" s="109" t="s">
        <v>297</v>
      </c>
      <c r="E216" s="110" t="s">
        <v>222</v>
      </c>
      <c r="F216" s="111" t="s">
        <v>1408</v>
      </c>
      <c r="G216" s="111" t="s">
        <v>1409</v>
      </c>
      <c r="H216" s="96"/>
      <c r="I216" s="9"/>
      <c r="J216" s="9" t="s">
        <v>207</v>
      </c>
      <c r="K216" s="14"/>
      <c r="L216" s="14"/>
      <c r="M216" s="12">
        <v>181</v>
      </c>
      <c r="N216" s="9"/>
      <c r="O216" s="9"/>
      <c r="P216" s="9"/>
      <c r="Q216" s="38">
        <f>M216+X216-AG216-BB216</f>
        <v>181</v>
      </c>
      <c r="R216" s="12"/>
      <c r="S216" s="42"/>
      <c r="T216" s="15"/>
      <c r="U216" s="44"/>
      <c r="V216" s="15"/>
      <c r="W216" s="44"/>
      <c r="X216" s="15">
        <f>R216+T216+V216</f>
        <v>0</v>
      </c>
      <c r="Y216" s="15"/>
      <c r="Z216" s="44"/>
      <c r="AA216" s="15"/>
      <c r="AB216" s="44"/>
      <c r="AC216" s="15"/>
      <c r="AD216" s="44"/>
      <c r="AE216" s="15"/>
      <c r="AF216" s="44"/>
      <c r="AG216" s="15">
        <f>(Y216+AA216+AC216+AE216)</f>
        <v>0</v>
      </c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/>
      <c r="BA216" s="42"/>
      <c r="BB216" s="15">
        <f>AH216+AJ216+AL216+AN216+AP216+AR216+AT216+AV216+AX216+AZ216</f>
        <v>0</v>
      </c>
      <c r="BC216" s="15"/>
      <c r="BD216" s="44"/>
      <c r="BE216" s="15"/>
      <c r="BF216" s="44"/>
      <c r="BG216" s="15">
        <f>(BC216+BE216)</f>
        <v>0</v>
      </c>
    </row>
    <row r="217" spans="1:59" s="8" customFormat="1" ht="22.5" hidden="1" customHeight="1">
      <c r="A217" s="9"/>
      <c r="B217" s="18" t="s">
        <v>172</v>
      </c>
      <c r="C217" s="89" t="s">
        <v>50</v>
      </c>
      <c r="D217" s="109" t="s">
        <v>349</v>
      </c>
      <c r="E217" s="110"/>
      <c r="F217" s="111" t="s">
        <v>1410</v>
      </c>
      <c r="G217" s="111" t="s">
        <v>1411</v>
      </c>
      <c r="H217" s="96"/>
      <c r="I217" s="21"/>
      <c r="J217" s="21" t="s">
        <v>67</v>
      </c>
      <c r="K217" s="14"/>
      <c r="L217" s="14"/>
      <c r="M217" s="12">
        <v>186</v>
      </c>
      <c r="N217" s="9"/>
      <c r="O217" s="9"/>
      <c r="P217" s="9"/>
      <c r="Q217" s="38">
        <f>M217+X217-AG217-BB217</f>
        <v>186</v>
      </c>
      <c r="R217" s="12"/>
      <c r="S217" s="42"/>
      <c r="T217" s="15"/>
      <c r="U217" s="44"/>
      <c r="V217" s="15"/>
      <c r="W217" s="44"/>
      <c r="X217" s="15">
        <f>R217+T217+V217</f>
        <v>0</v>
      </c>
      <c r="Y217" s="15"/>
      <c r="Z217" s="44"/>
      <c r="AA217" s="15"/>
      <c r="AB217" s="44"/>
      <c r="AC217" s="15"/>
      <c r="AD217" s="44"/>
      <c r="AE217" s="15"/>
      <c r="AF217" s="44"/>
      <c r="AG217" s="15">
        <f>(Y217+AA217+AC217+AE217)</f>
        <v>0</v>
      </c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/>
      <c r="BA217" s="42"/>
      <c r="BB217" s="15">
        <f>AH217+AJ217+AL217+AN217+AP217+AR217+AT217+AV217+AX217+AZ217</f>
        <v>0</v>
      </c>
      <c r="BC217" s="15"/>
      <c r="BD217" s="44"/>
      <c r="BE217" s="15"/>
      <c r="BF217" s="44"/>
      <c r="BG217" s="15">
        <f>(BC217+BE217)</f>
        <v>0</v>
      </c>
    </row>
    <row r="218" spans="1:59" s="8" customFormat="1" ht="22.5" hidden="1" customHeight="1">
      <c r="A218" s="9"/>
      <c r="B218" s="18" t="s">
        <v>172</v>
      </c>
      <c r="C218" s="89" t="s">
        <v>50</v>
      </c>
      <c r="D218" s="109" t="s">
        <v>350</v>
      </c>
      <c r="E218" s="110"/>
      <c r="F218" s="111" t="s">
        <v>1412</v>
      </c>
      <c r="G218" s="111" t="s">
        <v>1413</v>
      </c>
      <c r="H218" s="96"/>
      <c r="I218" s="21"/>
      <c r="J218" s="21" t="s">
        <v>67</v>
      </c>
      <c r="K218" s="14"/>
      <c r="L218" s="14"/>
      <c r="M218" s="12"/>
      <c r="N218" s="9"/>
      <c r="O218" s="9"/>
      <c r="P218" s="9"/>
      <c r="Q218" s="38">
        <f>M218+X218-AG218-BB218</f>
        <v>0</v>
      </c>
      <c r="R218" s="12"/>
      <c r="S218" s="42"/>
      <c r="T218" s="15"/>
      <c r="U218" s="44"/>
      <c r="V218" s="15"/>
      <c r="W218" s="44"/>
      <c r="X218" s="15">
        <f>R218+T218+V218</f>
        <v>0</v>
      </c>
      <c r="Y218" s="15"/>
      <c r="Z218" s="44"/>
      <c r="AA218" s="15"/>
      <c r="AB218" s="44"/>
      <c r="AC218" s="15"/>
      <c r="AD218" s="44"/>
      <c r="AE218" s="15"/>
      <c r="AF218" s="44"/>
      <c r="AG218" s="15">
        <f>(Y218+AA218+AC218+AE218)</f>
        <v>0</v>
      </c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/>
      <c r="BA218" s="42"/>
      <c r="BB218" s="15">
        <f>AH218+AJ218+AL218+AN218+AP218+AR218+AT218+AV218+AX218+AZ218</f>
        <v>0</v>
      </c>
      <c r="BC218" s="15"/>
      <c r="BD218" s="44"/>
      <c r="BE218" s="15"/>
      <c r="BF218" s="44"/>
      <c r="BG218" s="15">
        <f>(BC218+BE218)</f>
        <v>0</v>
      </c>
    </row>
    <row r="219" spans="1:59" s="8" customFormat="1" ht="22.5" hidden="1" customHeight="1">
      <c r="A219" s="9"/>
      <c r="B219" s="16" t="s">
        <v>172</v>
      </c>
      <c r="C219" s="89" t="s">
        <v>50</v>
      </c>
      <c r="D219" s="109" t="s">
        <v>351</v>
      </c>
      <c r="E219" s="110"/>
      <c r="F219" s="111" t="s">
        <v>1414</v>
      </c>
      <c r="G219" s="111" t="s">
        <v>1415</v>
      </c>
      <c r="H219" s="96"/>
      <c r="I219" s="9"/>
      <c r="J219" s="9" t="s">
        <v>67</v>
      </c>
      <c r="K219" s="14"/>
      <c r="L219" s="14"/>
      <c r="M219" s="12">
        <v>278</v>
      </c>
      <c r="N219" s="9"/>
      <c r="O219" s="9"/>
      <c r="P219" s="9"/>
      <c r="Q219" s="38">
        <f>M219+X219-AG219-BB219</f>
        <v>278</v>
      </c>
      <c r="R219" s="12"/>
      <c r="S219" s="42"/>
      <c r="T219" s="15"/>
      <c r="U219" s="44"/>
      <c r="V219" s="15"/>
      <c r="W219" s="44"/>
      <c r="X219" s="15">
        <f>R219+T219+V219</f>
        <v>0</v>
      </c>
      <c r="Y219" s="15"/>
      <c r="Z219" s="44"/>
      <c r="AA219" s="15"/>
      <c r="AB219" s="44"/>
      <c r="AC219" s="15"/>
      <c r="AD219" s="44"/>
      <c r="AE219" s="15"/>
      <c r="AF219" s="44"/>
      <c r="AG219" s="15">
        <f>(Y219+AA219+AC219+AE219)</f>
        <v>0</v>
      </c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/>
      <c r="BA219" s="42"/>
      <c r="BB219" s="15">
        <f>AH219+AJ219+AL219+AN219+AP219+AR219+AT219+AV219+AX219+AZ219</f>
        <v>0</v>
      </c>
      <c r="BC219" s="15"/>
      <c r="BD219" s="44"/>
      <c r="BE219" s="15"/>
      <c r="BF219" s="44"/>
      <c r="BG219" s="15">
        <f>(BC219+BE219)</f>
        <v>0</v>
      </c>
    </row>
    <row r="220" spans="1:59" s="8" customFormat="1" ht="22.5" hidden="1" customHeight="1">
      <c r="A220" s="9"/>
      <c r="B220" s="16" t="s">
        <v>172</v>
      </c>
      <c r="C220" s="89" t="s">
        <v>50</v>
      </c>
      <c r="D220" s="109" t="s">
        <v>352</v>
      </c>
      <c r="E220" s="110"/>
      <c r="F220" s="111" t="s">
        <v>1416</v>
      </c>
      <c r="G220" s="111" t="s">
        <v>1417</v>
      </c>
      <c r="H220" s="96"/>
      <c r="I220" s="9"/>
      <c r="J220" s="9" t="s">
        <v>67</v>
      </c>
      <c r="K220" s="14"/>
      <c r="L220" s="14"/>
      <c r="M220" s="12">
        <v>210</v>
      </c>
      <c r="N220" s="9"/>
      <c r="O220" s="9"/>
      <c r="P220" s="9"/>
      <c r="Q220" s="38">
        <f>M220+X220-AG220-BB220</f>
        <v>210</v>
      </c>
      <c r="R220" s="12"/>
      <c r="S220" s="42"/>
      <c r="T220" s="15"/>
      <c r="U220" s="44"/>
      <c r="V220" s="15"/>
      <c r="W220" s="44"/>
      <c r="X220" s="15">
        <f>R220+T220+V220</f>
        <v>0</v>
      </c>
      <c r="Y220" s="15"/>
      <c r="Z220" s="44"/>
      <c r="AA220" s="15"/>
      <c r="AB220" s="44"/>
      <c r="AC220" s="15"/>
      <c r="AD220" s="44"/>
      <c r="AE220" s="15"/>
      <c r="AF220" s="44"/>
      <c r="AG220" s="15">
        <f>(Y220+AA220+AC220+AE220)</f>
        <v>0</v>
      </c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/>
      <c r="BA220" s="42"/>
      <c r="BB220" s="15">
        <f>AH220+AJ220+AL220+AN220+AP220+AR220+AT220+AV220+AX220+AZ220</f>
        <v>0</v>
      </c>
      <c r="BC220" s="15"/>
      <c r="BD220" s="44"/>
      <c r="BE220" s="15"/>
      <c r="BF220" s="44"/>
      <c r="BG220" s="15">
        <f>(BC220+BE220)</f>
        <v>0</v>
      </c>
    </row>
    <row r="221" spans="1:59" s="8" customFormat="1" ht="22.5" hidden="1" customHeight="1">
      <c r="A221" s="9"/>
      <c r="B221" s="16" t="s">
        <v>172</v>
      </c>
      <c r="C221" s="89" t="s">
        <v>50</v>
      </c>
      <c r="D221" s="109" t="s">
        <v>353</v>
      </c>
      <c r="E221" s="110"/>
      <c r="F221" s="111" t="s">
        <v>1418</v>
      </c>
      <c r="G221" s="111" t="s">
        <v>1419</v>
      </c>
      <c r="H221" s="96"/>
      <c r="I221" s="9"/>
      <c r="J221" s="9" t="s">
        <v>67</v>
      </c>
      <c r="K221" s="14"/>
      <c r="L221" s="14"/>
      <c r="M221" s="12">
        <v>277</v>
      </c>
      <c r="N221" s="9"/>
      <c r="O221" s="9"/>
      <c r="P221" s="9"/>
      <c r="Q221" s="38">
        <f>M221+X221-AG221-BB221</f>
        <v>277</v>
      </c>
      <c r="R221" s="12"/>
      <c r="S221" s="42"/>
      <c r="T221" s="15"/>
      <c r="U221" s="44"/>
      <c r="V221" s="15"/>
      <c r="W221" s="44"/>
      <c r="X221" s="15">
        <f>R221+T221+V221</f>
        <v>0</v>
      </c>
      <c r="Y221" s="15"/>
      <c r="Z221" s="44"/>
      <c r="AA221" s="15"/>
      <c r="AB221" s="44"/>
      <c r="AC221" s="15"/>
      <c r="AD221" s="44"/>
      <c r="AE221" s="15"/>
      <c r="AF221" s="44"/>
      <c r="AG221" s="15">
        <f>(Y221+AA221+AC221+AE221)</f>
        <v>0</v>
      </c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/>
      <c r="BA221" s="42"/>
      <c r="BB221" s="15">
        <f>AH221+AJ221+AL221+AN221+AP221+AR221+AT221+AV221+AX221+AZ221</f>
        <v>0</v>
      </c>
      <c r="BC221" s="15"/>
      <c r="BD221" s="44"/>
      <c r="BE221" s="15"/>
      <c r="BF221" s="44"/>
      <c r="BG221" s="15">
        <f>(BC221+BE221)</f>
        <v>0</v>
      </c>
    </row>
    <row r="222" spans="1:59" s="8" customFormat="1" ht="22.5" hidden="1" customHeight="1">
      <c r="A222" s="9"/>
      <c r="B222" s="16" t="s">
        <v>172</v>
      </c>
      <c r="C222" s="89" t="s">
        <v>50</v>
      </c>
      <c r="D222" s="109" t="s">
        <v>354</v>
      </c>
      <c r="E222" s="110"/>
      <c r="F222" s="111" t="s">
        <v>1420</v>
      </c>
      <c r="G222" s="111" t="s">
        <v>1421</v>
      </c>
      <c r="H222" s="96"/>
      <c r="I222" s="9"/>
      <c r="J222" s="9" t="s">
        <v>67</v>
      </c>
      <c r="K222" s="14"/>
      <c r="L222" s="14"/>
      <c r="M222" s="12">
        <v>157</v>
      </c>
      <c r="N222" s="9"/>
      <c r="O222" s="9"/>
      <c r="P222" s="9"/>
      <c r="Q222" s="38">
        <f>M222+X222-AG222-BB222</f>
        <v>157</v>
      </c>
      <c r="R222" s="12"/>
      <c r="S222" s="42"/>
      <c r="T222" s="15"/>
      <c r="U222" s="44"/>
      <c r="V222" s="15"/>
      <c r="W222" s="44"/>
      <c r="X222" s="15">
        <f>R222+T222+V222</f>
        <v>0</v>
      </c>
      <c r="Y222" s="15"/>
      <c r="Z222" s="44"/>
      <c r="AA222" s="15"/>
      <c r="AB222" s="44"/>
      <c r="AC222" s="15"/>
      <c r="AD222" s="44"/>
      <c r="AE222" s="15"/>
      <c r="AF222" s="44"/>
      <c r="AG222" s="15">
        <f>(Y222+AA222+AC222+AE222)</f>
        <v>0</v>
      </c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/>
      <c r="BA222" s="42"/>
      <c r="BB222" s="15">
        <f>AH222+AJ222+AL222+AN222+AP222+AR222+AT222+AV222+AX222+AZ222</f>
        <v>0</v>
      </c>
      <c r="BC222" s="15"/>
      <c r="BD222" s="44"/>
      <c r="BE222" s="15"/>
      <c r="BF222" s="44"/>
      <c r="BG222" s="15">
        <f>(BC222+BE222)</f>
        <v>0</v>
      </c>
    </row>
    <row r="223" spans="1:59" s="8" customFormat="1" ht="22.5" hidden="1" customHeight="1">
      <c r="A223" s="9"/>
      <c r="B223" s="16" t="s">
        <v>172</v>
      </c>
      <c r="C223" s="89" t="s">
        <v>50</v>
      </c>
      <c r="D223" s="109" t="s">
        <v>355</v>
      </c>
      <c r="E223" s="110"/>
      <c r="F223" s="111" t="s">
        <v>1422</v>
      </c>
      <c r="G223" s="111" t="s">
        <v>1423</v>
      </c>
      <c r="H223" s="96"/>
      <c r="I223" s="9"/>
      <c r="J223" s="9" t="s">
        <v>67</v>
      </c>
      <c r="K223" s="14"/>
      <c r="L223" s="14"/>
      <c r="M223" s="12">
        <v>187</v>
      </c>
      <c r="N223" s="9"/>
      <c r="O223" s="9"/>
      <c r="P223" s="9"/>
      <c r="Q223" s="38">
        <f>M223+X223-AG223-BB223</f>
        <v>187</v>
      </c>
      <c r="R223" s="12"/>
      <c r="S223" s="42"/>
      <c r="T223" s="15"/>
      <c r="U223" s="44"/>
      <c r="V223" s="15"/>
      <c r="W223" s="44"/>
      <c r="X223" s="15">
        <f>R223+T223+V223</f>
        <v>0</v>
      </c>
      <c r="Y223" s="15"/>
      <c r="Z223" s="44"/>
      <c r="AA223" s="15"/>
      <c r="AB223" s="44"/>
      <c r="AC223" s="15"/>
      <c r="AD223" s="44"/>
      <c r="AE223" s="15"/>
      <c r="AF223" s="44"/>
      <c r="AG223" s="15">
        <f>(Y223+AA223+AC223+AE223)</f>
        <v>0</v>
      </c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/>
      <c r="BA223" s="42"/>
      <c r="BB223" s="15">
        <f>AH223+AJ223+AL223+AN223+AP223+AR223+AT223+AV223+AX223+AZ223</f>
        <v>0</v>
      </c>
      <c r="BC223" s="15"/>
      <c r="BD223" s="44"/>
      <c r="BE223" s="15"/>
      <c r="BF223" s="44"/>
      <c r="BG223" s="15">
        <f>(BC223+BE223)</f>
        <v>0</v>
      </c>
    </row>
    <row r="224" spans="1:59" s="8" customFormat="1" ht="22.5" hidden="1" customHeight="1">
      <c r="A224" s="9"/>
      <c r="B224" s="16" t="s">
        <v>204</v>
      </c>
      <c r="C224" s="92" t="s">
        <v>50</v>
      </c>
      <c r="D224" s="109" t="s">
        <v>364</v>
      </c>
      <c r="E224" s="110" t="s">
        <v>365</v>
      </c>
      <c r="F224" s="111" t="s">
        <v>1430</v>
      </c>
      <c r="G224" s="111" t="s">
        <v>1431</v>
      </c>
      <c r="H224" s="20"/>
      <c r="I224" s="21"/>
      <c r="J224" s="21" t="s">
        <v>207</v>
      </c>
      <c r="K224" s="14"/>
      <c r="L224" s="14"/>
      <c r="M224" s="12">
        <v>77</v>
      </c>
      <c r="N224" s="9"/>
      <c r="O224" s="9"/>
      <c r="P224" s="9"/>
      <c r="Q224" s="38">
        <f>M224+X224-AG224-BB224</f>
        <v>77</v>
      </c>
      <c r="R224" s="12"/>
      <c r="S224" s="42"/>
      <c r="T224" s="15"/>
      <c r="U224" s="44"/>
      <c r="V224" s="15"/>
      <c r="W224" s="44"/>
      <c r="X224" s="15">
        <f>R224+T224+V224</f>
        <v>0</v>
      </c>
      <c r="Y224" s="15"/>
      <c r="Z224" s="44"/>
      <c r="AA224" s="15"/>
      <c r="AB224" s="44"/>
      <c r="AC224" s="15"/>
      <c r="AD224" s="44"/>
      <c r="AE224" s="15"/>
      <c r="AF224" s="44"/>
      <c r="AG224" s="15">
        <f>(Y224+AA224+AC224+AE224)</f>
        <v>0</v>
      </c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/>
      <c r="BA224" s="42"/>
      <c r="BB224" s="15">
        <f>AH224+AJ224+AL224+AN224+AP224+AR224+AT224+AV224+AX224+AZ224</f>
        <v>0</v>
      </c>
      <c r="BC224" s="15"/>
      <c r="BD224" s="44"/>
      <c r="BE224" s="15"/>
      <c r="BF224" s="44"/>
      <c r="BG224" s="15">
        <f>(BC224+BE224)</f>
        <v>0</v>
      </c>
    </row>
    <row r="225" spans="1:59" s="8" customFormat="1" ht="22.5" hidden="1" customHeight="1">
      <c r="A225" s="9"/>
      <c r="B225" s="16" t="s">
        <v>204</v>
      </c>
      <c r="C225" s="92" t="s">
        <v>50</v>
      </c>
      <c r="D225" s="109" t="s">
        <v>366</v>
      </c>
      <c r="E225" s="110" t="s">
        <v>365</v>
      </c>
      <c r="F225" s="111" t="s">
        <v>1432</v>
      </c>
      <c r="G225" s="111" t="s">
        <v>1433</v>
      </c>
      <c r="H225" s="20"/>
      <c r="I225" s="21"/>
      <c r="J225" s="21" t="s">
        <v>207</v>
      </c>
      <c r="K225" s="14"/>
      <c r="L225" s="14"/>
      <c r="M225" s="12">
        <v>95</v>
      </c>
      <c r="N225" s="9"/>
      <c r="O225" s="9"/>
      <c r="P225" s="9"/>
      <c r="Q225" s="38">
        <f>M225+X225-AG225-BB225</f>
        <v>95</v>
      </c>
      <c r="R225" s="12"/>
      <c r="S225" s="42"/>
      <c r="T225" s="15"/>
      <c r="U225" s="44"/>
      <c r="V225" s="15"/>
      <c r="W225" s="44"/>
      <c r="X225" s="15">
        <f>R225+T225+V225</f>
        <v>0</v>
      </c>
      <c r="Y225" s="15"/>
      <c r="Z225" s="44"/>
      <c r="AA225" s="15"/>
      <c r="AB225" s="44"/>
      <c r="AC225" s="15"/>
      <c r="AD225" s="44"/>
      <c r="AE225" s="15"/>
      <c r="AF225" s="44"/>
      <c r="AG225" s="15">
        <f>(Y225+AA225+AC225+AE225)</f>
        <v>0</v>
      </c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/>
      <c r="BA225" s="42"/>
      <c r="BB225" s="15">
        <f>AH225+AJ225+AL225+AN225+AP225+AR225+AT225+AV225+AX225+AZ225</f>
        <v>0</v>
      </c>
      <c r="BC225" s="15"/>
      <c r="BD225" s="44"/>
      <c r="BE225" s="15"/>
      <c r="BF225" s="44"/>
      <c r="BG225" s="15">
        <f>(BC225+BE225)</f>
        <v>0</v>
      </c>
    </row>
    <row r="226" spans="1:59" s="8" customFormat="1" ht="22.5" hidden="1" customHeight="1">
      <c r="A226" s="9"/>
      <c r="B226" s="16" t="s">
        <v>204</v>
      </c>
      <c r="C226" s="92" t="s">
        <v>50</v>
      </c>
      <c r="D226" s="109" t="s">
        <v>367</v>
      </c>
      <c r="E226" s="110" t="s">
        <v>368</v>
      </c>
      <c r="F226" s="111" t="s">
        <v>1434</v>
      </c>
      <c r="G226" s="111" t="s">
        <v>1435</v>
      </c>
      <c r="H226" s="20"/>
      <c r="I226" s="21"/>
      <c r="J226" s="21" t="s">
        <v>207</v>
      </c>
      <c r="K226" s="14"/>
      <c r="L226" s="14"/>
      <c r="M226" s="12">
        <v>13</v>
      </c>
      <c r="N226" s="9"/>
      <c r="O226" s="9"/>
      <c r="P226" s="9"/>
      <c r="Q226" s="38">
        <f>M226+X226-AG226-BB226</f>
        <v>13</v>
      </c>
      <c r="R226" s="12"/>
      <c r="S226" s="42"/>
      <c r="T226" s="15"/>
      <c r="U226" s="44"/>
      <c r="V226" s="15"/>
      <c r="W226" s="44"/>
      <c r="X226" s="15">
        <f>R226+T226+V226</f>
        <v>0</v>
      </c>
      <c r="Y226" s="15"/>
      <c r="Z226" s="44"/>
      <c r="AA226" s="15"/>
      <c r="AB226" s="44"/>
      <c r="AC226" s="15"/>
      <c r="AD226" s="44"/>
      <c r="AE226" s="15"/>
      <c r="AF226" s="44"/>
      <c r="AG226" s="15">
        <f>(Y226+AA226+AC226+AE226)</f>
        <v>0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/>
      <c r="BA226" s="42"/>
      <c r="BB226" s="15">
        <f>AH226+AJ226+AL226+AN226+AP226+AR226+AT226+AV226+AX226+AZ226</f>
        <v>0</v>
      </c>
      <c r="BC226" s="15"/>
      <c r="BD226" s="44"/>
      <c r="BE226" s="15"/>
      <c r="BF226" s="44"/>
      <c r="BG226" s="15">
        <f>(BC226+BE226)</f>
        <v>0</v>
      </c>
    </row>
    <row r="227" spans="1:59" s="8" customFormat="1" ht="22.5" hidden="1" customHeight="1">
      <c r="A227" s="9"/>
      <c r="B227" s="16" t="s">
        <v>204</v>
      </c>
      <c r="C227" s="92" t="s">
        <v>50</v>
      </c>
      <c r="D227" s="109" t="s">
        <v>369</v>
      </c>
      <c r="E227" s="110" t="s">
        <v>365</v>
      </c>
      <c r="F227" s="111" t="s">
        <v>1436</v>
      </c>
      <c r="G227" s="111" t="s">
        <v>1437</v>
      </c>
      <c r="H227" s="20"/>
      <c r="I227" s="21"/>
      <c r="J227" s="21" t="s">
        <v>207</v>
      </c>
      <c r="K227" s="14"/>
      <c r="L227" s="14"/>
      <c r="M227" s="12">
        <v>418</v>
      </c>
      <c r="N227" s="9"/>
      <c r="O227" s="9"/>
      <c r="P227" s="9"/>
      <c r="Q227" s="38">
        <f>M227+X227-AG227-BB227</f>
        <v>418</v>
      </c>
      <c r="R227" s="12"/>
      <c r="S227" s="42"/>
      <c r="T227" s="15"/>
      <c r="U227" s="44"/>
      <c r="V227" s="15"/>
      <c r="W227" s="44"/>
      <c r="X227" s="15">
        <f>R227+T227+V227</f>
        <v>0</v>
      </c>
      <c r="Y227" s="15"/>
      <c r="Z227" s="44"/>
      <c r="AA227" s="15"/>
      <c r="AB227" s="44"/>
      <c r="AC227" s="15"/>
      <c r="AD227" s="44"/>
      <c r="AE227" s="15"/>
      <c r="AF227" s="44"/>
      <c r="AG227" s="15">
        <f>(Y227+AA227+AC227+AE227)</f>
        <v>0</v>
      </c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/>
      <c r="BA227" s="42"/>
      <c r="BB227" s="15">
        <f>AH227+AJ227+AL227+AN227+AP227+AR227+AT227+AV227+AX227+AZ227</f>
        <v>0</v>
      </c>
      <c r="BC227" s="15"/>
      <c r="BD227" s="44"/>
      <c r="BE227" s="15"/>
      <c r="BF227" s="44"/>
      <c r="BG227" s="15">
        <f>(BC227+BE227)</f>
        <v>0</v>
      </c>
    </row>
    <row r="228" spans="1:59" s="8" customFormat="1" ht="22.5" hidden="1" customHeight="1">
      <c r="A228" s="9"/>
      <c r="B228" s="16" t="s">
        <v>204</v>
      </c>
      <c r="C228" s="92" t="s">
        <v>50</v>
      </c>
      <c r="D228" s="109" t="s">
        <v>370</v>
      </c>
      <c r="E228" s="110" t="s">
        <v>365</v>
      </c>
      <c r="F228" s="111" t="s">
        <v>1438</v>
      </c>
      <c r="G228" s="111" t="s">
        <v>1439</v>
      </c>
      <c r="H228" s="20"/>
      <c r="I228" s="21"/>
      <c r="J228" s="21" t="s">
        <v>207</v>
      </c>
      <c r="K228" s="14"/>
      <c r="L228" s="14"/>
      <c r="M228" s="12">
        <v>347</v>
      </c>
      <c r="N228" s="9"/>
      <c r="O228" s="9"/>
      <c r="P228" s="9"/>
      <c r="Q228" s="38">
        <f>M228+X228-AG228-BB228</f>
        <v>347</v>
      </c>
      <c r="R228" s="12"/>
      <c r="S228" s="42"/>
      <c r="T228" s="15"/>
      <c r="U228" s="44"/>
      <c r="V228" s="15"/>
      <c r="W228" s="44"/>
      <c r="X228" s="15">
        <f>R228+T228+V228</f>
        <v>0</v>
      </c>
      <c r="Y228" s="15"/>
      <c r="Z228" s="44"/>
      <c r="AA228" s="15"/>
      <c r="AB228" s="44"/>
      <c r="AC228" s="15"/>
      <c r="AD228" s="44"/>
      <c r="AE228" s="15"/>
      <c r="AF228" s="44"/>
      <c r="AG228" s="15">
        <f>(Y228+AA228+AC228+AE228)</f>
        <v>0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/>
      <c r="BA228" s="42"/>
      <c r="BB228" s="15">
        <f>AH228+AJ228+AL228+AN228+AP228+AR228+AT228+AV228+AX228+AZ228</f>
        <v>0</v>
      </c>
      <c r="BC228" s="15"/>
      <c r="BD228" s="44"/>
      <c r="BE228" s="15"/>
      <c r="BF228" s="44"/>
      <c r="BG228" s="15">
        <f>(BC228+BE228)</f>
        <v>0</v>
      </c>
    </row>
    <row r="229" spans="1:59" s="8" customFormat="1" ht="22.5" hidden="1" customHeight="1">
      <c r="A229" s="9"/>
      <c r="B229" s="16" t="s">
        <v>204</v>
      </c>
      <c r="C229" s="92" t="s">
        <v>50</v>
      </c>
      <c r="D229" s="109" t="s">
        <v>371</v>
      </c>
      <c r="E229" s="110" t="s">
        <v>365</v>
      </c>
      <c r="F229" s="111" t="s">
        <v>1440</v>
      </c>
      <c r="G229" s="111" t="s">
        <v>1441</v>
      </c>
      <c r="H229" s="20"/>
      <c r="I229" s="21"/>
      <c r="J229" s="21" t="s">
        <v>207</v>
      </c>
      <c r="K229" s="14"/>
      <c r="L229" s="14"/>
      <c r="M229" s="12">
        <v>458</v>
      </c>
      <c r="N229" s="9"/>
      <c r="O229" s="9"/>
      <c r="P229" s="9"/>
      <c r="Q229" s="38">
        <f>M229+X229-AG229-BB229</f>
        <v>458</v>
      </c>
      <c r="R229" s="12"/>
      <c r="S229" s="42"/>
      <c r="T229" s="15"/>
      <c r="U229" s="44"/>
      <c r="V229" s="15"/>
      <c r="W229" s="44"/>
      <c r="X229" s="15">
        <f>R229+T229+V229</f>
        <v>0</v>
      </c>
      <c r="Y229" s="15"/>
      <c r="Z229" s="44"/>
      <c r="AA229" s="15"/>
      <c r="AB229" s="44"/>
      <c r="AC229" s="15"/>
      <c r="AD229" s="44"/>
      <c r="AE229" s="15"/>
      <c r="AF229" s="44"/>
      <c r="AG229" s="15">
        <f>(Y229+AA229+AC229+AE229)</f>
        <v>0</v>
      </c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/>
      <c r="BA229" s="42"/>
      <c r="BB229" s="15">
        <f>AH229+AJ229+AL229+AN229+AP229+AR229+AT229+AV229+AX229+AZ229</f>
        <v>0</v>
      </c>
      <c r="BC229" s="15"/>
      <c r="BD229" s="44"/>
      <c r="BE229" s="15"/>
      <c r="BF229" s="44"/>
      <c r="BG229" s="15">
        <f>(BC229+BE229)</f>
        <v>0</v>
      </c>
    </row>
    <row r="230" spans="1:59" s="8" customFormat="1" ht="22.5" hidden="1" customHeight="1">
      <c r="A230" s="9"/>
      <c r="B230" s="16" t="s">
        <v>204</v>
      </c>
      <c r="C230" s="92" t="s">
        <v>50</v>
      </c>
      <c r="D230" s="109" t="s">
        <v>372</v>
      </c>
      <c r="E230" s="110" t="s">
        <v>373</v>
      </c>
      <c r="F230" s="111" t="s">
        <v>1442</v>
      </c>
      <c r="G230" s="111" t="s">
        <v>1443</v>
      </c>
      <c r="H230" s="20"/>
      <c r="I230" s="21"/>
      <c r="J230" s="21" t="s">
        <v>207</v>
      </c>
      <c r="K230" s="14"/>
      <c r="L230" s="14"/>
      <c r="M230" s="12"/>
      <c r="N230" s="9"/>
      <c r="O230" s="9"/>
      <c r="P230" s="9"/>
      <c r="Q230" s="38">
        <f>M230+X230-AG230-BB230</f>
        <v>0</v>
      </c>
      <c r="R230" s="12"/>
      <c r="S230" s="42"/>
      <c r="T230" s="15"/>
      <c r="U230" s="44"/>
      <c r="V230" s="15"/>
      <c r="W230" s="44"/>
      <c r="X230" s="15">
        <f>R230+T230+V230</f>
        <v>0</v>
      </c>
      <c r="Y230" s="15"/>
      <c r="Z230" s="44"/>
      <c r="AA230" s="15"/>
      <c r="AB230" s="44"/>
      <c r="AC230" s="15"/>
      <c r="AD230" s="44"/>
      <c r="AE230" s="15"/>
      <c r="AF230" s="44"/>
      <c r="AG230" s="15">
        <f>(Y230+AA230+AC230+AE230)</f>
        <v>0</v>
      </c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/>
      <c r="BA230" s="42"/>
      <c r="BB230" s="15">
        <f>AH230+AJ230+AL230+AN230+AP230+AR230+AT230+AV230+AX230+AZ230</f>
        <v>0</v>
      </c>
      <c r="BC230" s="15"/>
      <c r="BD230" s="44"/>
      <c r="BE230" s="15"/>
      <c r="BF230" s="44"/>
      <c r="BG230" s="15">
        <f>(BC230+BE230)</f>
        <v>0</v>
      </c>
    </row>
    <row r="231" spans="1:59" s="8" customFormat="1" ht="22.5" hidden="1" customHeight="1">
      <c r="A231" s="9"/>
      <c r="B231" s="16" t="s">
        <v>204</v>
      </c>
      <c r="C231" s="92" t="s">
        <v>50</v>
      </c>
      <c r="D231" s="109" t="s">
        <v>205</v>
      </c>
      <c r="E231" s="110" t="s">
        <v>373</v>
      </c>
      <c r="F231" s="111" t="s">
        <v>1444</v>
      </c>
      <c r="G231" s="111" t="s">
        <v>1445</v>
      </c>
      <c r="H231" s="20"/>
      <c r="I231" s="21"/>
      <c r="J231" s="21" t="s">
        <v>374</v>
      </c>
      <c r="K231" s="14"/>
      <c r="L231" s="14"/>
      <c r="M231" s="12"/>
      <c r="N231" s="9"/>
      <c r="O231" s="9"/>
      <c r="P231" s="9"/>
      <c r="Q231" s="38">
        <f>M231+X231-AG231-BB231</f>
        <v>0</v>
      </c>
      <c r="R231" s="12"/>
      <c r="S231" s="42"/>
      <c r="T231" s="15"/>
      <c r="U231" s="44"/>
      <c r="V231" s="15"/>
      <c r="W231" s="44"/>
      <c r="X231" s="15">
        <f>R231+T231+V231</f>
        <v>0</v>
      </c>
      <c r="Y231" s="15"/>
      <c r="Z231" s="44"/>
      <c r="AA231" s="15"/>
      <c r="AB231" s="44"/>
      <c r="AC231" s="15"/>
      <c r="AD231" s="44"/>
      <c r="AE231" s="15"/>
      <c r="AF231" s="44"/>
      <c r="AG231" s="15">
        <f>(Y231+AA231+AC231+AE231)</f>
        <v>0</v>
      </c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/>
      <c r="BA231" s="42"/>
      <c r="BB231" s="15">
        <f>AH231+AJ231+AL231+AN231+AP231+AR231+AT231+AV231+AX231+AZ231</f>
        <v>0</v>
      </c>
      <c r="BC231" s="15"/>
      <c r="BD231" s="44"/>
      <c r="BE231" s="15"/>
      <c r="BF231" s="44"/>
      <c r="BG231" s="15">
        <f>(BC231+BE231)</f>
        <v>0</v>
      </c>
    </row>
    <row r="232" spans="1:59" s="8" customFormat="1" ht="22.5" hidden="1" customHeight="1">
      <c r="A232" s="9"/>
      <c r="B232" s="16" t="s">
        <v>204</v>
      </c>
      <c r="C232" s="92" t="s">
        <v>50</v>
      </c>
      <c r="D232" s="109" t="s">
        <v>375</v>
      </c>
      <c r="E232" s="110" t="s">
        <v>373</v>
      </c>
      <c r="F232" s="111" t="s">
        <v>1446</v>
      </c>
      <c r="G232" s="111" t="s">
        <v>1447</v>
      </c>
      <c r="H232" s="20"/>
      <c r="I232" s="21"/>
      <c r="J232" s="21" t="s">
        <v>207</v>
      </c>
      <c r="K232" s="14"/>
      <c r="L232" s="14"/>
      <c r="M232" s="12">
        <v>485</v>
      </c>
      <c r="N232" s="9"/>
      <c r="O232" s="9"/>
      <c r="P232" s="9"/>
      <c r="Q232" s="38">
        <f>M232+X232-AG232-BB232</f>
        <v>485</v>
      </c>
      <c r="R232" s="12"/>
      <c r="S232" s="42"/>
      <c r="T232" s="15"/>
      <c r="U232" s="44"/>
      <c r="V232" s="15"/>
      <c r="W232" s="44"/>
      <c r="X232" s="15">
        <f>R232+T232+V232</f>
        <v>0</v>
      </c>
      <c r="Y232" s="15"/>
      <c r="Z232" s="44"/>
      <c r="AA232" s="15"/>
      <c r="AB232" s="44"/>
      <c r="AC232" s="15"/>
      <c r="AD232" s="44"/>
      <c r="AE232" s="15"/>
      <c r="AF232" s="44"/>
      <c r="AG232" s="15">
        <f>(Y232+AA232+AC232+AE232)</f>
        <v>0</v>
      </c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/>
      <c r="BA232" s="42"/>
      <c r="BB232" s="15">
        <f>AH232+AJ232+AL232+AN232+AP232+AR232+AT232+AV232+AX232+AZ232</f>
        <v>0</v>
      </c>
      <c r="BC232" s="15"/>
      <c r="BD232" s="44"/>
      <c r="BE232" s="15"/>
      <c r="BF232" s="44"/>
      <c r="BG232" s="15">
        <f>(BC232+BE232)</f>
        <v>0</v>
      </c>
    </row>
    <row r="233" spans="1:59" s="8" customFormat="1" ht="22.5" hidden="1" customHeight="1">
      <c r="A233" s="9"/>
      <c r="B233" s="16" t="s">
        <v>204</v>
      </c>
      <c r="C233" s="92" t="s">
        <v>50</v>
      </c>
      <c r="D233" s="109" t="s">
        <v>376</v>
      </c>
      <c r="E233" s="110" t="s">
        <v>373</v>
      </c>
      <c r="F233" s="111" t="s">
        <v>1448</v>
      </c>
      <c r="G233" s="111" t="s">
        <v>1449</v>
      </c>
      <c r="H233" s="20"/>
      <c r="I233" s="21"/>
      <c r="J233" s="21" t="s">
        <v>207</v>
      </c>
      <c r="K233" s="14"/>
      <c r="L233" s="14"/>
      <c r="M233" s="12">
        <v>357</v>
      </c>
      <c r="N233" s="9"/>
      <c r="O233" s="9"/>
      <c r="P233" s="9"/>
      <c r="Q233" s="38">
        <f>M233+X233-AG233-BB233</f>
        <v>357</v>
      </c>
      <c r="R233" s="12"/>
      <c r="S233" s="42"/>
      <c r="T233" s="15"/>
      <c r="U233" s="44"/>
      <c r="V233" s="15"/>
      <c r="W233" s="44"/>
      <c r="X233" s="15">
        <f>R233+T233+V233</f>
        <v>0</v>
      </c>
      <c r="Y233" s="15"/>
      <c r="Z233" s="44"/>
      <c r="AA233" s="15"/>
      <c r="AB233" s="44"/>
      <c r="AC233" s="15"/>
      <c r="AD233" s="44"/>
      <c r="AE233" s="15"/>
      <c r="AF233" s="44"/>
      <c r="AG233" s="15">
        <f>(Y233+AA233+AC233+AE233)</f>
        <v>0</v>
      </c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/>
      <c r="BA233" s="42"/>
      <c r="BB233" s="15">
        <f>AH233+AJ233+AL233+AN233+AP233+AR233+AT233+AV233+AX233+AZ233</f>
        <v>0</v>
      </c>
      <c r="BC233" s="15"/>
      <c r="BD233" s="44"/>
      <c r="BE233" s="15"/>
      <c r="BF233" s="44"/>
      <c r="BG233" s="15">
        <f>(BC233+BE233)</f>
        <v>0</v>
      </c>
    </row>
    <row r="234" spans="1:59" s="8" customFormat="1" ht="22.5" hidden="1" customHeight="1">
      <c r="A234" s="9"/>
      <c r="B234" s="16" t="s">
        <v>204</v>
      </c>
      <c r="C234" s="92" t="s">
        <v>50</v>
      </c>
      <c r="D234" s="109" t="s">
        <v>377</v>
      </c>
      <c r="E234" s="110" t="s">
        <v>365</v>
      </c>
      <c r="F234" s="111" t="s">
        <v>1450</v>
      </c>
      <c r="G234" s="111" t="s">
        <v>1451</v>
      </c>
      <c r="H234" s="20"/>
      <c r="I234" s="21"/>
      <c r="J234" s="21" t="s">
        <v>207</v>
      </c>
      <c r="K234" s="14"/>
      <c r="L234" s="14"/>
      <c r="M234" s="12">
        <v>361</v>
      </c>
      <c r="N234" s="9"/>
      <c r="O234" s="9"/>
      <c r="P234" s="9"/>
      <c r="Q234" s="38">
        <f>M234+X234-AG234-BB234</f>
        <v>361</v>
      </c>
      <c r="R234" s="12"/>
      <c r="S234" s="42"/>
      <c r="T234" s="15"/>
      <c r="U234" s="44"/>
      <c r="V234" s="15"/>
      <c r="W234" s="44"/>
      <c r="X234" s="15">
        <f>R234+T234+V234</f>
        <v>0</v>
      </c>
      <c r="Y234" s="15"/>
      <c r="Z234" s="44"/>
      <c r="AA234" s="15"/>
      <c r="AB234" s="44"/>
      <c r="AC234" s="15"/>
      <c r="AD234" s="44"/>
      <c r="AE234" s="15"/>
      <c r="AF234" s="44"/>
      <c r="AG234" s="15">
        <f>(Y234+AA234+AC234+AE234)</f>
        <v>0</v>
      </c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/>
      <c r="BA234" s="42"/>
      <c r="BB234" s="15">
        <f>AH234+AJ234+AL234+AN234+AP234+AR234+AT234+AV234+AX234+AZ234</f>
        <v>0</v>
      </c>
      <c r="BC234" s="15"/>
      <c r="BD234" s="44"/>
      <c r="BE234" s="15"/>
      <c r="BF234" s="44"/>
      <c r="BG234" s="15">
        <f>(BC234+BE234)</f>
        <v>0</v>
      </c>
    </row>
    <row r="235" spans="1:59" s="8" customFormat="1" ht="22.5" hidden="1" customHeight="1">
      <c r="A235" s="9"/>
      <c r="B235" s="16" t="s">
        <v>204</v>
      </c>
      <c r="C235" s="92" t="s">
        <v>50</v>
      </c>
      <c r="D235" s="109" t="s">
        <v>378</v>
      </c>
      <c r="E235" s="110" t="s">
        <v>368</v>
      </c>
      <c r="F235" s="111" t="s">
        <v>1452</v>
      </c>
      <c r="G235" s="111" t="s">
        <v>1453</v>
      </c>
      <c r="H235" s="20"/>
      <c r="I235" s="21"/>
      <c r="J235" s="21" t="s">
        <v>207</v>
      </c>
      <c r="K235" s="14"/>
      <c r="L235" s="14"/>
      <c r="M235" s="12">
        <v>395</v>
      </c>
      <c r="N235" s="9"/>
      <c r="O235" s="9"/>
      <c r="P235" s="9"/>
      <c r="Q235" s="38">
        <f>M235+X235-AG235-BB235</f>
        <v>395</v>
      </c>
      <c r="R235" s="12"/>
      <c r="S235" s="42"/>
      <c r="T235" s="15"/>
      <c r="U235" s="44"/>
      <c r="V235" s="15"/>
      <c r="W235" s="44"/>
      <c r="X235" s="15">
        <f>R235+T235+V235</f>
        <v>0</v>
      </c>
      <c r="Y235" s="15"/>
      <c r="Z235" s="44"/>
      <c r="AA235" s="15"/>
      <c r="AB235" s="44"/>
      <c r="AC235" s="15"/>
      <c r="AD235" s="44"/>
      <c r="AE235" s="15"/>
      <c r="AF235" s="44"/>
      <c r="AG235" s="15">
        <f>(Y235+AA235+AC235+AE235)</f>
        <v>0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/>
      <c r="BA235" s="42"/>
      <c r="BB235" s="15">
        <f>AH235+AJ235+AL235+AN235+AP235+AR235+AT235+AV235+AX235+AZ235</f>
        <v>0</v>
      </c>
      <c r="BC235" s="15"/>
      <c r="BD235" s="44"/>
      <c r="BE235" s="15"/>
      <c r="BF235" s="44"/>
      <c r="BG235" s="15">
        <f>(BC235+BE235)</f>
        <v>0</v>
      </c>
    </row>
    <row r="236" spans="1:59" s="8" customFormat="1" ht="22.5" hidden="1" customHeight="1">
      <c r="A236" s="9"/>
      <c r="B236" s="16" t="s">
        <v>204</v>
      </c>
      <c r="C236" s="92" t="s">
        <v>50</v>
      </c>
      <c r="D236" s="109" t="s">
        <v>379</v>
      </c>
      <c r="E236" s="110" t="s">
        <v>368</v>
      </c>
      <c r="F236" s="111" t="s">
        <v>1454</v>
      </c>
      <c r="G236" s="111" t="s">
        <v>1455</v>
      </c>
      <c r="H236" s="20"/>
      <c r="I236" s="21"/>
      <c r="J236" s="21" t="s">
        <v>207</v>
      </c>
      <c r="K236" s="14"/>
      <c r="L236" s="14"/>
      <c r="M236" s="12">
        <v>492</v>
      </c>
      <c r="N236" s="9"/>
      <c r="O236" s="9"/>
      <c r="P236" s="9"/>
      <c r="Q236" s="38">
        <f>M236+X236-AG236-BB236</f>
        <v>492</v>
      </c>
      <c r="R236" s="12"/>
      <c r="S236" s="42"/>
      <c r="T236" s="15"/>
      <c r="U236" s="44"/>
      <c r="V236" s="15"/>
      <c r="W236" s="44"/>
      <c r="X236" s="15">
        <f>R236+T236+V236</f>
        <v>0</v>
      </c>
      <c r="Y236" s="15"/>
      <c r="Z236" s="44"/>
      <c r="AA236" s="15"/>
      <c r="AB236" s="44"/>
      <c r="AC236" s="15"/>
      <c r="AD236" s="44"/>
      <c r="AE236" s="15"/>
      <c r="AF236" s="44"/>
      <c r="AG236" s="15">
        <f>(Y236+AA236+AC236+AE236)</f>
        <v>0</v>
      </c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/>
      <c r="BA236" s="42"/>
      <c r="BB236" s="15">
        <f>AH236+AJ236+AL236+AN236+AP236+AR236+AT236+AV236+AX236+AZ236</f>
        <v>0</v>
      </c>
      <c r="BC236" s="15"/>
      <c r="BD236" s="44"/>
      <c r="BE236" s="15"/>
      <c r="BF236" s="44"/>
      <c r="BG236" s="15">
        <f>(BC236+BE236)</f>
        <v>0</v>
      </c>
    </row>
    <row r="237" spans="1:59" s="8" customFormat="1" ht="22.5" hidden="1" customHeight="1">
      <c r="A237" s="9"/>
      <c r="B237" s="16" t="s">
        <v>204</v>
      </c>
      <c r="C237" s="92" t="s">
        <v>50</v>
      </c>
      <c r="D237" s="109" t="s">
        <v>380</v>
      </c>
      <c r="E237" s="110" t="s">
        <v>373</v>
      </c>
      <c r="F237" s="111" t="s">
        <v>1456</v>
      </c>
      <c r="G237" s="111" t="s">
        <v>1457</v>
      </c>
      <c r="H237" s="20"/>
      <c r="I237" s="21"/>
      <c r="J237" s="21" t="s">
        <v>207</v>
      </c>
      <c r="K237" s="14"/>
      <c r="L237" s="14"/>
      <c r="M237" s="12">
        <v>440</v>
      </c>
      <c r="N237" s="9"/>
      <c r="O237" s="9"/>
      <c r="P237" s="9"/>
      <c r="Q237" s="38">
        <f>M237+X237-AG237-BB237</f>
        <v>440</v>
      </c>
      <c r="R237" s="12"/>
      <c r="S237" s="42"/>
      <c r="T237" s="15"/>
      <c r="U237" s="44"/>
      <c r="V237" s="15"/>
      <c r="W237" s="44"/>
      <c r="X237" s="15">
        <f>R237+T237+V237</f>
        <v>0</v>
      </c>
      <c r="Y237" s="15"/>
      <c r="Z237" s="44"/>
      <c r="AA237" s="15"/>
      <c r="AB237" s="44"/>
      <c r="AC237" s="15"/>
      <c r="AD237" s="44"/>
      <c r="AE237" s="15"/>
      <c r="AF237" s="44"/>
      <c r="AG237" s="15">
        <f>(Y237+AA237+AC237+AE237)</f>
        <v>0</v>
      </c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/>
      <c r="BA237" s="42"/>
      <c r="BB237" s="15">
        <f>AH237+AJ237+AL237+AN237+AP237+AR237+AT237+AV237+AX237+AZ237</f>
        <v>0</v>
      </c>
      <c r="BC237" s="15"/>
      <c r="BD237" s="44"/>
      <c r="BE237" s="15"/>
      <c r="BF237" s="44"/>
      <c r="BG237" s="15">
        <f>(BC237+BE237)</f>
        <v>0</v>
      </c>
    </row>
    <row r="238" spans="1:59" s="8" customFormat="1" ht="22.5" hidden="1" customHeight="1">
      <c r="A238" s="9"/>
      <c r="B238" s="16" t="s">
        <v>204</v>
      </c>
      <c r="C238" s="92" t="s">
        <v>50</v>
      </c>
      <c r="D238" s="109" t="s">
        <v>381</v>
      </c>
      <c r="E238" s="110" t="s">
        <v>382</v>
      </c>
      <c r="F238" s="133" t="s">
        <v>1458</v>
      </c>
      <c r="G238" s="133" t="s">
        <v>1459</v>
      </c>
      <c r="H238" s="20"/>
      <c r="I238" s="21"/>
      <c r="J238" s="21" t="s">
        <v>207</v>
      </c>
      <c r="K238" s="14"/>
      <c r="L238" s="14"/>
      <c r="M238" s="12">
        <v>437</v>
      </c>
      <c r="N238" s="9"/>
      <c r="O238" s="9"/>
      <c r="P238" s="9"/>
      <c r="Q238" s="38">
        <f>M238+X238-AG238-BB238</f>
        <v>437</v>
      </c>
      <c r="R238" s="12"/>
      <c r="S238" s="42"/>
      <c r="T238" s="15"/>
      <c r="U238" s="44"/>
      <c r="V238" s="15"/>
      <c r="W238" s="44"/>
      <c r="X238" s="15">
        <f>R238+T238+V238</f>
        <v>0</v>
      </c>
      <c r="Y238" s="15"/>
      <c r="Z238" s="44"/>
      <c r="AA238" s="15"/>
      <c r="AB238" s="44"/>
      <c r="AC238" s="15"/>
      <c r="AD238" s="44"/>
      <c r="AE238" s="15"/>
      <c r="AF238" s="44"/>
      <c r="AG238" s="15">
        <f>(Y238+AA238+AC238+AE238)</f>
        <v>0</v>
      </c>
      <c r="AH238" s="15"/>
      <c r="AI238" s="42"/>
      <c r="AJ238" s="140"/>
      <c r="AK238" s="141"/>
      <c r="AL238" s="140"/>
      <c r="AM238" s="141"/>
      <c r="AN238" s="140"/>
      <c r="AO238" s="141"/>
      <c r="AP238" s="140"/>
      <c r="AQ238" s="141"/>
      <c r="AR238" s="140"/>
      <c r="AS238" s="141"/>
      <c r="AT238" s="140"/>
      <c r="AU238" s="141"/>
      <c r="AV238" s="140"/>
      <c r="AW238" s="141"/>
      <c r="AX238" s="140"/>
      <c r="AY238" s="141"/>
      <c r="AZ238" s="140"/>
      <c r="BA238" s="141"/>
      <c r="BB238" s="140">
        <f>AH238+AJ238+AL238+AN238+AP238+AR238+AT238+AV238+AX238+AZ238</f>
        <v>0</v>
      </c>
      <c r="BC238" s="140"/>
      <c r="BD238" s="142"/>
      <c r="BE238" s="140"/>
      <c r="BF238" s="142"/>
      <c r="BG238" s="140">
        <f>(BC238+BE238)</f>
        <v>0</v>
      </c>
    </row>
    <row r="239" spans="1:59" s="8" customFormat="1" ht="21.95" hidden="1" customHeight="1">
      <c r="A239" s="9"/>
      <c r="B239" s="16" t="s">
        <v>204</v>
      </c>
      <c r="C239" s="92" t="s">
        <v>50</v>
      </c>
      <c r="D239" s="109" t="s">
        <v>383</v>
      </c>
      <c r="E239" s="110" t="s">
        <v>384</v>
      </c>
      <c r="F239" s="111" t="s">
        <v>1460</v>
      </c>
      <c r="G239" s="111" t="s">
        <v>1461</v>
      </c>
      <c r="H239" s="20"/>
      <c r="I239" s="21"/>
      <c r="J239" s="21" t="s">
        <v>207</v>
      </c>
      <c r="K239" s="14"/>
      <c r="L239" s="14"/>
      <c r="M239" s="12">
        <v>436</v>
      </c>
      <c r="N239" s="9"/>
      <c r="O239" s="9"/>
      <c r="P239" s="9"/>
      <c r="Q239" s="38">
        <f>M239+X239-AG239-BB239</f>
        <v>436</v>
      </c>
      <c r="R239" s="12"/>
      <c r="S239" s="42"/>
      <c r="T239" s="15"/>
      <c r="U239" s="44"/>
      <c r="V239" s="15"/>
      <c r="W239" s="44"/>
      <c r="X239" s="15">
        <f>R239+T239+V239</f>
        <v>0</v>
      </c>
      <c r="Y239" s="15"/>
      <c r="Z239" s="44"/>
      <c r="AA239" s="15"/>
      <c r="AB239" s="44"/>
      <c r="AC239" s="15"/>
      <c r="AD239" s="44"/>
      <c r="AE239" s="15"/>
      <c r="AF239" s="44"/>
      <c r="AG239" s="15">
        <f>(Y239+AA239+AC239+AE239)</f>
        <v>0</v>
      </c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/>
      <c r="BA239" s="42"/>
      <c r="BB239" s="15">
        <f>AH239+AJ239+AL239+AN239+AP239+AR239+AT239+AV239+AX239+AZ239</f>
        <v>0</v>
      </c>
      <c r="BC239" s="15"/>
      <c r="BD239" s="44"/>
      <c r="BE239" s="15"/>
      <c r="BF239" s="44"/>
      <c r="BG239" s="15">
        <f>(BC239+BE239)</f>
        <v>0</v>
      </c>
    </row>
    <row r="240" spans="1:59" s="8" customFormat="1" ht="21.95" hidden="1" customHeight="1">
      <c r="A240" s="9"/>
      <c r="B240" s="16" t="s">
        <v>204</v>
      </c>
      <c r="C240" s="92" t="s">
        <v>50</v>
      </c>
      <c r="D240" s="109" t="s">
        <v>385</v>
      </c>
      <c r="E240" s="110" t="s">
        <v>368</v>
      </c>
      <c r="F240" s="111" t="s">
        <v>1462</v>
      </c>
      <c r="G240" s="111" t="s">
        <v>1463</v>
      </c>
      <c r="H240" s="20"/>
      <c r="I240" s="21"/>
      <c r="J240" s="21" t="s">
        <v>207</v>
      </c>
      <c r="K240" s="14"/>
      <c r="L240" s="14"/>
      <c r="M240" s="12">
        <v>397</v>
      </c>
      <c r="N240" s="9"/>
      <c r="O240" s="9"/>
      <c r="P240" s="9"/>
      <c r="Q240" s="38">
        <f>M240+X240-AG240-BB240</f>
        <v>397</v>
      </c>
      <c r="R240" s="12"/>
      <c r="S240" s="42"/>
      <c r="T240" s="15"/>
      <c r="U240" s="44"/>
      <c r="V240" s="15"/>
      <c r="W240" s="44"/>
      <c r="X240" s="15">
        <f>R240+T240+V240</f>
        <v>0</v>
      </c>
      <c r="Y240" s="15"/>
      <c r="Z240" s="44"/>
      <c r="AA240" s="15"/>
      <c r="AB240" s="44"/>
      <c r="AC240" s="15"/>
      <c r="AD240" s="44"/>
      <c r="AE240" s="15"/>
      <c r="AF240" s="44"/>
      <c r="AG240" s="15">
        <f>(Y240+AA240+AC240+AE240)</f>
        <v>0</v>
      </c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/>
      <c r="BA240" s="42"/>
      <c r="BB240" s="15">
        <f>AH240+AJ240+AL240+AN240+AP240+AR240+AT240+AV240+AX240+AZ240</f>
        <v>0</v>
      </c>
      <c r="BC240" s="15"/>
      <c r="BD240" s="44"/>
      <c r="BE240" s="15"/>
      <c r="BF240" s="44"/>
      <c r="BG240" s="15">
        <f>(BC240+BE240)</f>
        <v>0</v>
      </c>
    </row>
    <row r="241" spans="1:59" s="8" customFormat="1" ht="21.95" hidden="1" customHeight="1">
      <c r="A241" s="9"/>
      <c r="B241" s="16" t="s">
        <v>204</v>
      </c>
      <c r="C241" s="92" t="s">
        <v>50</v>
      </c>
      <c r="D241" s="109" t="s">
        <v>386</v>
      </c>
      <c r="E241" s="110"/>
      <c r="F241" s="111" t="s">
        <v>1464</v>
      </c>
      <c r="G241" s="111" t="s">
        <v>1465</v>
      </c>
      <c r="H241" s="20"/>
      <c r="I241" s="21"/>
      <c r="J241" s="21" t="s">
        <v>207</v>
      </c>
      <c r="K241" s="14"/>
      <c r="L241" s="14"/>
      <c r="M241" s="12">
        <v>216</v>
      </c>
      <c r="N241" s="9"/>
      <c r="O241" s="9"/>
      <c r="P241" s="9"/>
      <c r="Q241" s="38">
        <f>M241+X241-AG241-BB241</f>
        <v>216</v>
      </c>
      <c r="R241" s="12"/>
      <c r="S241" s="42"/>
      <c r="T241" s="15"/>
      <c r="U241" s="44"/>
      <c r="V241" s="15"/>
      <c r="W241" s="44"/>
      <c r="X241" s="15">
        <f>R241+T241+V241</f>
        <v>0</v>
      </c>
      <c r="Y241" s="15"/>
      <c r="Z241" s="44"/>
      <c r="AA241" s="15"/>
      <c r="AB241" s="44"/>
      <c r="AC241" s="15"/>
      <c r="AD241" s="44"/>
      <c r="AE241" s="15"/>
      <c r="AF241" s="44"/>
      <c r="AG241" s="15">
        <f>(Y241+AA241+AC241+AE241)</f>
        <v>0</v>
      </c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/>
      <c r="BA241" s="42"/>
      <c r="BB241" s="15">
        <f>AH241+AJ241+AL241+AN241+AP241+AR241+AT241+AV241+AX241+AZ241</f>
        <v>0</v>
      </c>
      <c r="BC241" s="15"/>
      <c r="BD241" s="44"/>
      <c r="BE241" s="15"/>
      <c r="BF241" s="44"/>
      <c r="BG241" s="15">
        <f>(BC241+BE241)</f>
        <v>0</v>
      </c>
    </row>
    <row r="242" spans="1:59" s="8" customFormat="1" ht="21.95" hidden="1" customHeight="1">
      <c r="A242" s="9"/>
      <c r="B242" s="16" t="s">
        <v>204</v>
      </c>
      <c r="C242" s="92" t="s">
        <v>50</v>
      </c>
      <c r="D242" s="109" t="s">
        <v>1466</v>
      </c>
      <c r="E242" s="110" t="s">
        <v>365</v>
      </c>
      <c r="F242" s="111" t="s">
        <v>1467</v>
      </c>
      <c r="G242" s="111" t="s">
        <v>1468</v>
      </c>
      <c r="H242" s="20"/>
      <c r="I242" s="21"/>
      <c r="J242" s="21" t="s">
        <v>207</v>
      </c>
      <c r="K242" s="14"/>
      <c r="L242" s="14"/>
      <c r="M242" s="12">
        <v>365</v>
      </c>
      <c r="N242" s="9"/>
      <c r="O242" s="9"/>
      <c r="P242" s="9"/>
      <c r="Q242" s="38">
        <f>M242+X242-AG242-BB242</f>
        <v>365</v>
      </c>
      <c r="R242" s="12"/>
      <c r="S242" s="42"/>
      <c r="T242" s="15"/>
      <c r="U242" s="44"/>
      <c r="V242" s="15"/>
      <c r="W242" s="44"/>
      <c r="X242" s="15">
        <f>R242+T242+V242</f>
        <v>0</v>
      </c>
      <c r="Y242" s="15"/>
      <c r="Z242" s="44"/>
      <c r="AA242" s="15"/>
      <c r="AB242" s="44"/>
      <c r="AC242" s="15"/>
      <c r="AD242" s="44"/>
      <c r="AE242" s="15"/>
      <c r="AF242" s="44"/>
      <c r="AG242" s="15">
        <f>(Y242+AA242+AC242+AE242)</f>
        <v>0</v>
      </c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/>
      <c r="BA242" s="42"/>
      <c r="BB242" s="15">
        <f>AH242+AJ242+AL242+AN242+AP242+AR242+AT242+AV242+AX242+AZ242</f>
        <v>0</v>
      </c>
      <c r="BC242" s="15"/>
      <c r="BD242" s="44"/>
      <c r="BE242" s="15"/>
      <c r="BF242" s="44"/>
      <c r="BG242" s="15">
        <f>(BC242+BE242)</f>
        <v>0</v>
      </c>
    </row>
    <row r="243" spans="1:59" s="8" customFormat="1" ht="21.95" hidden="1" customHeight="1">
      <c r="A243" s="9"/>
      <c r="B243" s="16" t="s">
        <v>233</v>
      </c>
      <c r="C243" s="92" t="s">
        <v>50</v>
      </c>
      <c r="D243" s="109" t="s">
        <v>388</v>
      </c>
      <c r="E243" s="110" t="s">
        <v>389</v>
      </c>
      <c r="F243" s="111" t="s">
        <v>1469</v>
      </c>
      <c r="G243" s="111" t="s">
        <v>1470</v>
      </c>
      <c r="H243" s="20"/>
      <c r="I243" s="21"/>
      <c r="J243" s="21" t="s">
        <v>207</v>
      </c>
      <c r="K243" s="14"/>
      <c r="L243" s="14"/>
      <c r="M243" s="12">
        <v>450</v>
      </c>
      <c r="N243" s="9"/>
      <c r="O243" s="9"/>
      <c r="P243" s="9"/>
      <c r="Q243" s="38">
        <f>M243+X243-AG243-BB243</f>
        <v>450</v>
      </c>
      <c r="R243" s="12"/>
      <c r="S243" s="42"/>
      <c r="T243" s="15"/>
      <c r="U243" s="44"/>
      <c r="V243" s="15"/>
      <c r="W243" s="44"/>
      <c r="X243" s="15">
        <f>R243+T243+V243</f>
        <v>0</v>
      </c>
      <c r="Y243" s="15"/>
      <c r="Z243" s="44"/>
      <c r="AA243" s="15"/>
      <c r="AB243" s="44"/>
      <c r="AC243" s="15"/>
      <c r="AD243" s="44"/>
      <c r="AE243" s="15"/>
      <c r="AF243" s="44"/>
      <c r="AG243" s="15">
        <f>(Y243+AA243+AC243+AE243)</f>
        <v>0</v>
      </c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/>
      <c r="BA243" s="42"/>
      <c r="BB243" s="15">
        <f>AH243+AJ243+AL243+AN243+AP243+AR243+AT243+AV243+AX243+AZ243</f>
        <v>0</v>
      </c>
      <c r="BC243" s="15"/>
      <c r="BD243" s="44"/>
      <c r="BE243" s="15"/>
      <c r="BF243" s="44"/>
      <c r="BG243" s="15">
        <f>(BC243+BE243)</f>
        <v>0</v>
      </c>
    </row>
    <row r="244" spans="1:59" s="8" customFormat="1" ht="21.95" hidden="1" customHeight="1">
      <c r="A244" s="9"/>
      <c r="B244" s="16" t="s">
        <v>233</v>
      </c>
      <c r="C244" s="92" t="s">
        <v>50</v>
      </c>
      <c r="D244" s="109" t="s">
        <v>390</v>
      </c>
      <c r="E244" s="110" t="s">
        <v>1471</v>
      </c>
      <c r="F244" s="111" t="s">
        <v>1472</v>
      </c>
      <c r="G244" s="111" t="s">
        <v>1473</v>
      </c>
      <c r="H244" s="20"/>
      <c r="I244" s="21"/>
      <c r="J244" s="21" t="s">
        <v>207</v>
      </c>
      <c r="K244" s="14"/>
      <c r="L244" s="14"/>
      <c r="M244" s="12">
        <v>216</v>
      </c>
      <c r="N244" s="9"/>
      <c r="O244" s="9"/>
      <c r="P244" s="9"/>
      <c r="Q244" s="38">
        <f>M244+X244-AG244-BB244</f>
        <v>216</v>
      </c>
      <c r="R244" s="12"/>
      <c r="S244" s="42"/>
      <c r="T244" s="15"/>
      <c r="U244" s="44"/>
      <c r="V244" s="15"/>
      <c r="W244" s="44"/>
      <c r="X244" s="15">
        <f>R244+T244+V244</f>
        <v>0</v>
      </c>
      <c r="Y244" s="15"/>
      <c r="Z244" s="44"/>
      <c r="AA244" s="15"/>
      <c r="AB244" s="44"/>
      <c r="AC244" s="15"/>
      <c r="AD244" s="44"/>
      <c r="AE244" s="15"/>
      <c r="AF244" s="44"/>
      <c r="AG244" s="15">
        <f>(Y244+AA244+AC244+AE244)</f>
        <v>0</v>
      </c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/>
      <c r="BA244" s="42"/>
      <c r="BB244" s="15">
        <f>AH244+AJ244+AL244+AN244+AP244+AR244+AT244+AV244+AX244+AZ244</f>
        <v>0</v>
      </c>
      <c r="BC244" s="15"/>
      <c r="BD244" s="44"/>
      <c r="BE244" s="15"/>
      <c r="BF244" s="44"/>
      <c r="BG244" s="15">
        <f>(BC244+BE244)</f>
        <v>0</v>
      </c>
    </row>
    <row r="245" spans="1:59" s="8" customFormat="1" ht="21.95" hidden="1" customHeight="1">
      <c r="A245" s="9"/>
      <c r="B245" s="16" t="s">
        <v>233</v>
      </c>
      <c r="C245" s="92" t="s">
        <v>50</v>
      </c>
      <c r="D245" s="109" t="s">
        <v>390</v>
      </c>
      <c r="E245" s="110" t="s">
        <v>1474</v>
      </c>
      <c r="F245" s="111" t="s">
        <v>1475</v>
      </c>
      <c r="G245" s="137" t="s">
        <v>1476</v>
      </c>
      <c r="H245" s="20"/>
      <c r="I245" s="21"/>
      <c r="J245" s="21" t="s">
        <v>207</v>
      </c>
      <c r="K245" s="14"/>
      <c r="L245" s="14"/>
      <c r="M245" s="12">
        <v>649</v>
      </c>
      <c r="N245" s="9"/>
      <c r="O245" s="9"/>
      <c r="P245" s="9"/>
      <c r="Q245" s="38">
        <f>M245+X245-AG245-BB245</f>
        <v>649</v>
      </c>
      <c r="R245" s="12"/>
      <c r="S245" s="42"/>
      <c r="T245" s="15"/>
      <c r="U245" s="44"/>
      <c r="V245" s="15"/>
      <c r="W245" s="44"/>
      <c r="X245" s="15">
        <f>R245+T245+V245</f>
        <v>0</v>
      </c>
      <c r="Y245" s="15"/>
      <c r="Z245" s="44"/>
      <c r="AA245" s="15"/>
      <c r="AB245" s="44"/>
      <c r="AC245" s="15"/>
      <c r="AD245" s="44"/>
      <c r="AE245" s="15"/>
      <c r="AF245" s="44"/>
      <c r="AG245" s="15">
        <f>(Y245+AA245+AC245+AE245)</f>
        <v>0</v>
      </c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/>
      <c r="BA245" s="42"/>
      <c r="BB245" s="15">
        <f>AH245+AJ245+AL245+AN245+AP245+AR245+AT245+AV245+AX245+AZ245</f>
        <v>0</v>
      </c>
      <c r="BC245" s="15"/>
      <c r="BD245" s="44"/>
      <c r="BE245" s="15"/>
      <c r="BF245" s="44"/>
      <c r="BG245" s="15">
        <f>(BC245+BE245)</f>
        <v>0</v>
      </c>
    </row>
    <row r="246" spans="1:59" s="8" customFormat="1" ht="21.95" hidden="1" customHeight="1">
      <c r="A246" s="9"/>
      <c r="B246" s="16" t="s">
        <v>233</v>
      </c>
      <c r="C246" s="92" t="s">
        <v>50</v>
      </c>
      <c r="D246" s="109" t="s">
        <v>392</v>
      </c>
      <c r="E246" s="110" t="s">
        <v>389</v>
      </c>
      <c r="F246" s="111" t="s">
        <v>1477</v>
      </c>
      <c r="G246" s="111" t="s">
        <v>1478</v>
      </c>
      <c r="H246" s="20"/>
      <c r="I246" s="21"/>
      <c r="J246" s="21" t="s">
        <v>207</v>
      </c>
      <c r="K246" s="14"/>
      <c r="L246" s="14"/>
      <c r="M246" s="12">
        <v>546</v>
      </c>
      <c r="N246" s="9"/>
      <c r="O246" s="9"/>
      <c r="P246" s="9"/>
      <c r="Q246" s="38">
        <f>M246+X246-AG246-BB246</f>
        <v>546</v>
      </c>
      <c r="R246" s="12"/>
      <c r="S246" s="42"/>
      <c r="T246" s="15"/>
      <c r="U246" s="44"/>
      <c r="V246" s="15"/>
      <c r="W246" s="44"/>
      <c r="X246" s="15">
        <f>R246+T246+V246</f>
        <v>0</v>
      </c>
      <c r="Y246" s="15"/>
      <c r="Z246" s="44"/>
      <c r="AA246" s="15"/>
      <c r="AB246" s="44"/>
      <c r="AC246" s="15"/>
      <c r="AD246" s="44"/>
      <c r="AE246" s="15"/>
      <c r="AF246" s="44"/>
      <c r="AG246" s="15">
        <f>(Y246+AA246+AC246+AE246)</f>
        <v>0</v>
      </c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/>
      <c r="BA246" s="42"/>
      <c r="BB246" s="15">
        <f>AH246+AJ246+AL246+AN246+AP246+AR246+AT246+AV246+AX246+AZ246</f>
        <v>0</v>
      </c>
      <c r="BC246" s="15"/>
      <c r="BD246" s="44"/>
      <c r="BE246" s="15"/>
      <c r="BF246" s="44"/>
      <c r="BG246" s="15">
        <f>(BC246+BE246)</f>
        <v>0</v>
      </c>
    </row>
    <row r="247" spans="1:59" s="8" customFormat="1" ht="21.95" hidden="1" customHeight="1">
      <c r="A247" s="9"/>
      <c r="B247" s="16" t="s">
        <v>233</v>
      </c>
      <c r="C247" s="92" t="s">
        <v>50</v>
      </c>
      <c r="D247" s="109" t="s">
        <v>393</v>
      </c>
      <c r="E247" s="110" t="s">
        <v>394</v>
      </c>
      <c r="F247" s="111" t="s">
        <v>1479</v>
      </c>
      <c r="G247" s="111" t="s">
        <v>1480</v>
      </c>
      <c r="H247" s="20"/>
      <c r="I247" s="21"/>
      <c r="J247" s="21" t="s">
        <v>207</v>
      </c>
      <c r="K247" s="14"/>
      <c r="L247" s="14"/>
      <c r="M247" s="12">
        <v>213</v>
      </c>
      <c r="N247" s="9"/>
      <c r="O247" s="9"/>
      <c r="P247" s="9"/>
      <c r="Q247" s="38">
        <f>M247+X247-AG247-BB247</f>
        <v>213</v>
      </c>
      <c r="R247" s="12"/>
      <c r="S247" s="42"/>
      <c r="T247" s="15"/>
      <c r="U247" s="44"/>
      <c r="V247" s="15"/>
      <c r="W247" s="44"/>
      <c r="X247" s="15">
        <f>R247+T247+V247</f>
        <v>0</v>
      </c>
      <c r="Y247" s="15"/>
      <c r="Z247" s="44"/>
      <c r="AA247" s="15"/>
      <c r="AB247" s="44"/>
      <c r="AC247" s="15"/>
      <c r="AD247" s="44"/>
      <c r="AE247" s="15"/>
      <c r="AF247" s="44"/>
      <c r="AG247" s="15">
        <f>(Y247+AA247+AC247+AE247)</f>
        <v>0</v>
      </c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/>
      <c r="BA247" s="42"/>
      <c r="BB247" s="15">
        <f>AH247+AJ247+AL247+AN247+AP247+AR247+AT247+AV247+AX247+AZ247</f>
        <v>0</v>
      </c>
      <c r="BC247" s="15"/>
      <c r="BD247" s="44"/>
      <c r="BE247" s="15"/>
      <c r="BF247" s="44"/>
      <c r="BG247" s="15">
        <f>(BC247+BE247)</f>
        <v>0</v>
      </c>
    </row>
    <row r="248" spans="1:59" s="8" customFormat="1" ht="21.95" hidden="1" customHeight="1">
      <c r="A248" s="9"/>
      <c r="B248" s="16" t="s">
        <v>233</v>
      </c>
      <c r="C248" s="92" t="s">
        <v>50</v>
      </c>
      <c r="D248" s="109" t="s">
        <v>395</v>
      </c>
      <c r="E248" s="110" t="s">
        <v>389</v>
      </c>
      <c r="F248" s="111" t="s">
        <v>1481</v>
      </c>
      <c r="G248" s="111" t="s">
        <v>1482</v>
      </c>
      <c r="H248" s="20"/>
      <c r="I248" s="21"/>
      <c r="J248" s="21" t="s">
        <v>207</v>
      </c>
      <c r="K248" s="14"/>
      <c r="L248" s="14"/>
      <c r="M248" s="12">
        <v>425</v>
      </c>
      <c r="N248" s="9"/>
      <c r="O248" s="9"/>
      <c r="P248" s="9"/>
      <c r="Q248" s="38">
        <f>M248+X248-AG248-BB248</f>
        <v>425</v>
      </c>
      <c r="R248" s="12"/>
      <c r="S248" s="42"/>
      <c r="T248" s="15"/>
      <c r="U248" s="44"/>
      <c r="V248" s="15"/>
      <c r="W248" s="44"/>
      <c r="X248" s="15">
        <f>R248+T248+V248</f>
        <v>0</v>
      </c>
      <c r="Y248" s="15"/>
      <c r="Z248" s="44"/>
      <c r="AA248" s="15"/>
      <c r="AB248" s="44"/>
      <c r="AC248" s="15"/>
      <c r="AD248" s="44"/>
      <c r="AE248" s="15"/>
      <c r="AF248" s="44"/>
      <c r="AG248" s="15">
        <f>(Y248+AA248+AC248+AE248)</f>
        <v>0</v>
      </c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/>
      <c r="BA248" s="42"/>
      <c r="BB248" s="15">
        <f>AH248+AJ248+AL248+AN248+AP248+AR248+AT248+AV248+AX248+AZ248</f>
        <v>0</v>
      </c>
      <c r="BC248" s="15"/>
      <c r="BD248" s="44"/>
      <c r="BE248" s="15"/>
      <c r="BF248" s="44"/>
      <c r="BG248" s="15">
        <f>(BC248+BE248)</f>
        <v>0</v>
      </c>
    </row>
    <row r="249" spans="1:59" s="8" customFormat="1" ht="21.95" hidden="1" customHeight="1">
      <c r="A249" s="9"/>
      <c r="B249" s="16" t="s">
        <v>396</v>
      </c>
      <c r="C249" s="92" t="s">
        <v>50</v>
      </c>
      <c r="D249" s="109" t="s">
        <v>397</v>
      </c>
      <c r="E249" s="110" t="s">
        <v>398</v>
      </c>
      <c r="F249" s="111" t="s">
        <v>1483</v>
      </c>
      <c r="G249" s="111" t="s">
        <v>1484</v>
      </c>
      <c r="H249" s="20"/>
      <c r="I249" s="21"/>
      <c r="J249" s="21"/>
      <c r="K249" s="14"/>
      <c r="L249" s="14"/>
      <c r="M249" s="12"/>
      <c r="N249" s="9"/>
      <c r="O249" s="9"/>
      <c r="P249" s="9"/>
      <c r="Q249" s="38">
        <f>M249+X249-AG249-BB249</f>
        <v>0</v>
      </c>
      <c r="R249" s="12"/>
      <c r="S249" s="42"/>
      <c r="T249" s="15"/>
      <c r="U249" s="44"/>
      <c r="V249" s="15"/>
      <c r="W249" s="44"/>
      <c r="X249" s="15">
        <f>R249+T249+V249</f>
        <v>0</v>
      </c>
      <c r="Y249" s="15"/>
      <c r="Z249" s="44"/>
      <c r="AA249" s="15"/>
      <c r="AB249" s="44"/>
      <c r="AC249" s="15"/>
      <c r="AD249" s="44"/>
      <c r="AE249" s="15"/>
      <c r="AF249" s="44"/>
      <c r="AG249" s="15">
        <f>(Y249+AA249+AC249+AE249)</f>
        <v>0</v>
      </c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/>
      <c r="BA249" s="42"/>
      <c r="BB249" s="15">
        <f>AH249+AJ249+AL249+AN249+AP249+AR249+AT249+AV249+AX249+AZ249</f>
        <v>0</v>
      </c>
      <c r="BC249" s="15"/>
      <c r="BD249" s="44"/>
      <c r="BE249" s="15"/>
      <c r="BF249" s="44"/>
      <c r="BG249" s="15">
        <f>(BC249+BE249)</f>
        <v>0</v>
      </c>
    </row>
    <row r="250" spans="1:59" s="8" customFormat="1" ht="21.95" hidden="1" customHeight="1">
      <c r="A250" s="9"/>
      <c r="B250" s="16" t="s">
        <v>155</v>
      </c>
      <c r="C250" s="89" t="s">
        <v>50</v>
      </c>
      <c r="D250" s="109" t="s">
        <v>399</v>
      </c>
      <c r="E250" s="110" t="s">
        <v>400</v>
      </c>
      <c r="F250" s="111" t="s">
        <v>1485</v>
      </c>
      <c r="G250" s="111" t="s">
        <v>1486</v>
      </c>
      <c r="H250" s="96"/>
      <c r="I250" s="9"/>
      <c r="J250" s="9"/>
      <c r="K250" s="14"/>
      <c r="L250" s="14"/>
      <c r="M250" s="12">
        <v>108</v>
      </c>
      <c r="N250" s="9"/>
      <c r="O250" s="9"/>
      <c r="P250" s="9"/>
      <c r="Q250" s="38">
        <f>M250+X250-AG250-BB250</f>
        <v>108</v>
      </c>
      <c r="R250" s="12"/>
      <c r="S250" s="42"/>
      <c r="T250" s="15"/>
      <c r="U250" s="44"/>
      <c r="V250" s="15"/>
      <c r="W250" s="44"/>
      <c r="X250" s="15">
        <f>R250+T250+V250</f>
        <v>0</v>
      </c>
      <c r="Y250" s="15"/>
      <c r="Z250" s="44"/>
      <c r="AA250" s="15"/>
      <c r="AB250" s="44"/>
      <c r="AC250" s="15"/>
      <c r="AD250" s="44"/>
      <c r="AE250" s="15"/>
      <c r="AF250" s="44"/>
      <c r="AG250" s="15">
        <f>(Y250+AA250+AC250+AE250)</f>
        <v>0</v>
      </c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/>
      <c r="BA250" s="42"/>
      <c r="BB250" s="15">
        <f>AH250+AJ250+AL250+AN250+AP250+AR250+AT250+AV250+AX250+AZ250</f>
        <v>0</v>
      </c>
      <c r="BC250" s="15"/>
      <c r="BD250" s="44"/>
      <c r="BE250" s="15"/>
      <c r="BF250" s="44"/>
      <c r="BG250" s="15">
        <f>(BC250+BE250)</f>
        <v>0</v>
      </c>
    </row>
    <row r="251" spans="1:59" s="8" customFormat="1" ht="21.95" hidden="1" customHeight="1">
      <c r="A251" s="9"/>
      <c r="B251" s="16" t="s">
        <v>330</v>
      </c>
      <c r="C251" s="89" t="s">
        <v>50</v>
      </c>
      <c r="D251" s="109" t="s">
        <v>331</v>
      </c>
      <c r="E251" s="110" t="s">
        <v>401</v>
      </c>
      <c r="F251" s="111" t="s">
        <v>1487</v>
      </c>
      <c r="G251" s="111" t="s">
        <v>1488</v>
      </c>
      <c r="H251" s="96"/>
      <c r="I251" s="9"/>
      <c r="J251" s="9" t="s">
        <v>332</v>
      </c>
      <c r="K251" s="14"/>
      <c r="L251" s="14"/>
      <c r="M251" s="12">
        <v>342</v>
      </c>
      <c r="N251" s="9"/>
      <c r="O251" s="9"/>
      <c r="P251" s="9"/>
      <c r="Q251" s="38">
        <f>M251+X251-AG251-BB251</f>
        <v>342</v>
      </c>
      <c r="R251" s="12"/>
      <c r="S251" s="42"/>
      <c r="T251" s="15"/>
      <c r="U251" s="44"/>
      <c r="V251" s="15"/>
      <c r="W251" s="44"/>
      <c r="X251" s="15">
        <f>R251+T251+V251</f>
        <v>0</v>
      </c>
      <c r="Y251" s="15"/>
      <c r="Z251" s="44"/>
      <c r="AA251" s="15"/>
      <c r="AB251" s="44"/>
      <c r="AC251" s="15"/>
      <c r="AD251" s="44"/>
      <c r="AE251" s="15"/>
      <c r="AF251" s="44"/>
      <c r="AG251" s="15">
        <f>(Y251+AA251+AC251+AE251)</f>
        <v>0</v>
      </c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/>
      <c r="BA251" s="42"/>
      <c r="BB251" s="15">
        <f>AH251+AJ251+AL251+AN251+AP251+AR251+AT251+AV251+AX251+AZ251</f>
        <v>0</v>
      </c>
      <c r="BC251" s="15"/>
      <c r="BD251" s="44"/>
      <c r="BE251" s="15"/>
      <c r="BF251" s="44"/>
      <c r="BG251" s="15">
        <f>(BC251+BE251)</f>
        <v>0</v>
      </c>
    </row>
    <row r="252" spans="1:59" s="8" customFormat="1" ht="21.95" hidden="1" customHeight="1">
      <c r="A252" s="9"/>
      <c r="B252" s="16" t="s">
        <v>204</v>
      </c>
      <c r="C252" s="89" t="s">
        <v>402</v>
      </c>
      <c r="D252" s="109" t="s">
        <v>403</v>
      </c>
      <c r="E252" s="110" t="s">
        <v>404</v>
      </c>
      <c r="F252" s="111" t="s">
        <v>1489</v>
      </c>
      <c r="G252" s="111" t="s">
        <v>1490</v>
      </c>
      <c r="H252" s="96"/>
      <c r="I252" s="9"/>
      <c r="J252" s="9" t="s">
        <v>311</v>
      </c>
      <c r="K252" s="14"/>
      <c r="L252" s="14"/>
      <c r="M252" s="12"/>
      <c r="N252" s="9"/>
      <c r="O252" s="9"/>
      <c r="P252" s="9"/>
      <c r="Q252" s="38">
        <f>M252+X252-AG252-BB252</f>
        <v>0</v>
      </c>
      <c r="R252" s="12"/>
      <c r="S252" s="42"/>
      <c r="T252" s="15"/>
      <c r="U252" s="44"/>
      <c r="V252" s="15"/>
      <c r="W252" s="44"/>
      <c r="X252" s="15">
        <f>R252+T252+V252</f>
        <v>0</v>
      </c>
      <c r="Y252" s="15"/>
      <c r="Z252" s="44"/>
      <c r="AA252" s="15"/>
      <c r="AB252" s="44"/>
      <c r="AC252" s="15"/>
      <c r="AD252" s="44"/>
      <c r="AE252" s="15"/>
      <c r="AF252" s="44"/>
      <c r="AG252" s="15">
        <f>(Y252+AA252+AC252+AE252)</f>
        <v>0</v>
      </c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/>
      <c r="BA252" s="42"/>
      <c r="BB252" s="15">
        <f>AH252+AJ252+AL252+AN252+AP252+AR252+AT252+AV252+AX252+AZ252</f>
        <v>0</v>
      </c>
      <c r="BC252" s="15"/>
      <c r="BD252" s="44"/>
      <c r="BE252" s="15"/>
      <c r="BF252" s="44"/>
      <c r="BG252" s="15">
        <f>(BC252+BE252)</f>
        <v>0</v>
      </c>
    </row>
    <row r="253" spans="1:59" s="8" customFormat="1" ht="21.95" hidden="1" customHeight="1">
      <c r="A253" s="9"/>
      <c r="B253" s="16" t="s">
        <v>233</v>
      </c>
      <c r="C253" s="89" t="s">
        <v>402</v>
      </c>
      <c r="D253" s="109" t="s">
        <v>405</v>
      </c>
      <c r="E253" s="110" t="s">
        <v>406</v>
      </c>
      <c r="F253" s="111" t="s">
        <v>1491</v>
      </c>
      <c r="G253" s="111" t="s">
        <v>1492</v>
      </c>
      <c r="H253" s="95"/>
      <c r="I253" s="9"/>
      <c r="J253" s="9" t="s">
        <v>407</v>
      </c>
      <c r="K253" s="14"/>
      <c r="L253" s="14"/>
      <c r="M253" s="12"/>
      <c r="N253" s="9"/>
      <c r="O253" s="9"/>
      <c r="P253" s="9"/>
      <c r="Q253" s="38">
        <f>M253+X253-AG253-BB253</f>
        <v>0</v>
      </c>
      <c r="R253" s="12"/>
      <c r="S253" s="42"/>
      <c r="T253" s="15"/>
      <c r="U253" s="44"/>
      <c r="V253" s="15"/>
      <c r="W253" s="44"/>
      <c r="X253" s="15">
        <f>R253+T253+V253</f>
        <v>0</v>
      </c>
      <c r="Y253" s="15"/>
      <c r="Z253" s="44"/>
      <c r="AA253" s="15"/>
      <c r="AB253" s="44"/>
      <c r="AC253" s="15"/>
      <c r="AD253" s="44"/>
      <c r="AE253" s="15"/>
      <c r="AF253" s="44"/>
      <c r="AG253" s="15">
        <f>(Y253+AA253+AC253+AE253)</f>
        <v>0</v>
      </c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/>
      <c r="BA253" s="42"/>
      <c r="BB253" s="15">
        <f>AH253+AJ253+AL253+AN253+AP253+AR253+AT253+AV253+AX253+AZ253</f>
        <v>0</v>
      </c>
      <c r="BC253" s="15"/>
      <c r="BD253" s="44"/>
      <c r="BE253" s="15"/>
      <c r="BF253" s="44"/>
      <c r="BG253" s="15">
        <f>(BC253+BE253)</f>
        <v>0</v>
      </c>
    </row>
    <row r="254" spans="1:59" s="8" customFormat="1" ht="21.95" hidden="1" customHeight="1">
      <c r="A254" s="9"/>
      <c r="B254" s="16" t="s">
        <v>172</v>
      </c>
      <c r="C254" s="89" t="s">
        <v>402</v>
      </c>
      <c r="D254" s="109" t="s">
        <v>408</v>
      </c>
      <c r="E254" s="110" t="s">
        <v>409</v>
      </c>
      <c r="F254" s="111" t="s">
        <v>1493</v>
      </c>
      <c r="G254" s="111" t="s">
        <v>1494</v>
      </c>
      <c r="H254" s="95"/>
      <c r="I254" s="9"/>
      <c r="J254" s="9" t="s">
        <v>67</v>
      </c>
      <c r="K254" s="14"/>
      <c r="L254" s="14"/>
      <c r="M254" s="12"/>
      <c r="N254" s="9"/>
      <c r="O254" s="9"/>
      <c r="P254" s="9"/>
      <c r="Q254" s="38">
        <f>M254+X254-AG254-BB254</f>
        <v>0</v>
      </c>
      <c r="R254" s="12"/>
      <c r="S254" s="42"/>
      <c r="T254" s="15"/>
      <c r="U254" s="44"/>
      <c r="V254" s="15"/>
      <c r="W254" s="44"/>
      <c r="X254" s="15">
        <f>R254+T254+V254</f>
        <v>0</v>
      </c>
      <c r="Y254" s="15"/>
      <c r="Z254" s="44"/>
      <c r="AA254" s="15"/>
      <c r="AB254" s="44"/>
      <c r="AC254" s="15"/>
      <c r="AD254" s="44"/>
      <c r="AE254" s="15"/>
      <c r="AF254" s="44"/>
      <c r="AG254" s="15">
        <f>(Y254+AA254+AC254+AE254)</f>
        <v>0</v>
      </c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/>
      <c r="BA254" s="42"/>
      <c r="BB254" s="15">
        <f>AH254+AJ254+AL254+AN254+AP254+AR254+AT254+AV254+AX254+AZ254</f>
        <v>0</v>
      </c>
      <c r="BC254" s="15"/>
      <c r="BD254" s="44"/>
      <c r="BE254" s="15"/>
      <c r="BF254" s="44"/>
      <c r="BG254" s="15">
        <f>(BC254+BE254)</f>
        <v>0</v>
      </c>
    </row>
    <row r="255" spans="1:59" s="8" customFormat="1" ht="21.95" hidden="1" customHeight="1">
      <c r="A255" s="9"/>
      <c r="B255" s="16" t="s">
        <v>155</v>
      </c>
      <c r="C255" s="89" t="s">
        <v>402</v>
      </c>
      <c r="D255" s="109" t="s">
        <v>410</v>
      </c>
      <c r="E255" s="110" t="s">
        <v>411</v>
      </c>
      <c r="F255" s="111" t="s">
        <v>1495</v>
      </c>
      <c r="G255" s="111" t="s">
        <v>1496</v>
      </c>
      <c r="H255" s="95"/>
      <c r="I255" s="9"/>
      <c r="J255" s="9" t="s">
        <v>412</v>
      </c>
      <c r="K255" s="14"/>
      <c r="L255" s="14"/>
      <c r="M255" s="12">
        <v>814</v>
      </c>
      <c r="N255" s="9"/>
      <c r="O255" s="9"/>
      <c r="P255" s="9"/>
      <c r="Q255" s="38">
        <f>M255+X255-AG255-BB255</f>
        <v>814</v>
      </c>
      <c r="R255" s="12"/>
      <c r="S255" s="42"/>
      <c r="T255" s="15"/>
      <c r="U255" s="44"/>
      <c r="V255" s="15"/>
      <c r="W255" s="44"/>
      <c r="X255" s="15">
        <f>R255+T255+V255</f>
        <v>0</v>
      </c>
      <c r="Y255" s="15"/>
      <c r="Z255" s="44"/>
      <c r="AA255" s="15"/>
      <c r="AB255" s="44"/>
      <c r="AC255" s="15"/>
      <c r="AD255" s="44"/>
      <c r="AE255" s="15"/>
      <c r="AF255" s="44"/>
      <c r="AG255" s="15">
        <f>(Y255+AA255+AC255+AE255)</f>
        <v>0</v>
      </c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/>
      <c r="BA255" s="42"/>
      <c r="BB255" s="15">
        <f>AH255+AJ255+AL255+AN255+AP255+AR255+AT255+AV255+AX255+AZ255</f>
        <v>0</v>
      </c>
      <c r="BC255" s="15"/>
      <c r="BD255" s="44"/>
      <c r="BE255" s="15"/>
      <c r="BF255" s="44"/>
      <c r="BG255" s="15">
        <f>(BC255+BE255)</f>
        <v>0</v>
      </c>
    </row>
    <row r="256" spans="1:59" s="8" customFormat="1" ht="21.95" hidden="1" customHeight="1">
      <c r="A256" s="9"/>
      <c r="B256" s="16" t="s">
        <v>172</v>
      </c>
      <c r="C256" s="89" t="s">
        <v>140</v>
      </c>
      <c r="D256" s="109" t="s">
        <v>414</v>
      </c>
      <c r="E256" s="110"/>
      <c r="F256" s="111" t="s">
        <v>1497</v>
      </c>
      <c r="G256" s="111" t="s">
        <v>1498</v>
      </c>
      <c r="H256" s="96"/>
      <c r="I256" s="9"/>
      <c r="J256" s="9" t="s">
        <v>67</v>
      </c>
      <c r="K256" s="14"/>
      <c r="L256" s="14"/>
      <c r="M256" s="12">
        <v>360</v>
      </c>
      <c r="N256" s="9"/>
      <c r="O256" s="9"/>
      <c r="P256" s="9"/>
      <c r="Q256" s="38">
        <f>M256+X256-AG256-BB256</f>
        <v>360</v>
      </c>
      <c r="R256" s="12"/>
      <c r="S256" s="42"/>
      <c r="T256" s="15"/>
      <c r="U256" s="44"/>
      <c r="V256" s="15"/>
      <c r="W256" s="44"/>
      <c r="X256" s="15">
        <f>R256+T256+V256</f>
        <v>0</v>
      </c>
      <c r="Y256" s="15"/>
      <c r="Z256" s="44"/>
      <c r="AA256" s="15"/>
      <c r="AB256" s="44"/>
      <c r="AC256" s="15"/>
      <c r="AD256" s="44"/>
      <c r="AE256" s="15"/>
      <c r="AF256" s="44"/>
      <c r="AG256" s="15">
        <f>(Y256+AA256+AC256+AE256)</f>
        <v>0</v>
      </c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/>
      <c r="BA256" s="42"/>
      <c r="BB256" s="15">
        <f>AH256+AJ256+AL256+AN256+AP256+AR256+AT256+AV256+AX256+AZ256</f>
        <v>0</v>
      </c>
      <c r="BC256" s="15"/>
      <c r="BD256" s="44"/>
      <c r="BE256" s="15"/>
      <c r="BF256" s="44"/>
      <c r="BG256" s="15">
        <f>(BC256+BE256)</f>
        <v>0</v>
      </c>
    </row>
    <row r="257" spans="1:59" s="8" customFormat="1" ht="21.95" hidden="1" customHeight="1">
      <c r="A257" s="9"/>
      <c r="B257" s="16" t="s">
        <v>172</v>
      </c>
      <c r="C257" s="89" t="s">
        <v>140</v>
      </c>
      <c r="D257" s="109" t="s">
        <v>415</v>
      </c>
      <c r="E257" s="110"/>
      <c r="F257" s="111" t="s">
        <v>1499</v>
      </c>
      <c r="G257" s="111" t="s">
        <v>1500</v>
      </c>
      <c r="H257" s="96"/>
      <c r="I257" s="9"/>
      <c r="J257" s="9" t="s">
        <v>67</v>
      </c>
      <c r="K257" s="14"/>
      <c r="L257" s="14"/>
      <c r="M257" s="12">
        <v>81</v>
      </c>
      <c r="N257" s="9"/>
      <c r="O257" s="9"/>
      <c r="P257" s="9"/>
      <c r="Q257" s="38">
        <f>M257+X257-AG257-BB257</f>
        <v>81</v>
      </c>
      <c r="R257" s="12"/>
      <c r="S257" s="42"/>
      <c r="T257" s="15"/>
      <c r="U257" s="44"/>
      <c r="V257" s="15"/>
      <c r="W257" s="44"/>
      <c r="X257" s="15">
        <f>R257+T257+V257</f>
        <v>0</v>
      </c>
      <c r="Y257" s="15"/>
      <c r="Z257" s="44"/>
      <c r="AA257" s="15"/>
      <c r="AB257" s="44"/>
      <c r="AC257" s="15"/>
      <c r="AD257" s="44"/>
      <c r="AE257" s="15"/>
      <c r="AF257" s="44"/>
      <c r="AG257" s="15">
        <f>(Y257+AA257+AC257+AE257)</f>
        <v>0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/>
      <c r="BA257" s="42"/>
      <c r="BB257" s="15">
        <f>AH257+AJ257+AL257+AN257+AP257+AR257+AT257+AV257+AX257+AZ257</f>
        <v>0</v>
      </c>
      <c r="BC257" s="15"/>
      <c r="BD257" s="44"/>
      <c r="BE257" s="15"/>
      <c r="BF257" s="44"/>
      <c r="BG257" s="15">
        <f>(BC257+BE257)</f>
        <v>0</v>
      </c>
    </row>
    <row r="258" spans="1:59" s="8" customFormat="1" ht="21.95" hidden="1" customHeight="1">
      <c r="A258" s="9"/>
      <c r="B258" s="16" t="s">
        <v>172</v>
      </c>
      <c r="C258" s="89" t="s">
        <v>140</v>
      </c>
      <c r="D258" s="109" t="s">
        <v>416</v>
      </c>
      <c r="E258" s="110"/>
      <c r="F258" s="111" t="s">
        <v>1501</v>
      </c>
      <c r="G258" s="111" t="s">
        <v>1502</v>
      </c>
      <c r="H258" s="96"/>
      <c r="I258" s="9"/>
      <c r="J258" s="9" t="s">
        <v>67</v>
      </c>
      <c r="K258" s="14"/>
      <c r="L258" s="14"/>
      <c r="M258" s="12">
        <v>60</v>
      </c>
      <c r="N258" s="9"/>
      <c r="O258" s="9"/>
      <c r="P258" s="9"/>
      <c r="Q258" s="38">
        <f>M258+X258-AG258-BB258</f>
        <v>60</v>
      </c>
      <c r="R258" s="12"/>
      <c r="S258" s="42"/>
      <c r="T258" s="15"/>
      <c r="U258" s="44"/>
      <c r="V258" s="15"/>
      <c r="W258" s="44"/>
      <c r="X258" s="15">
        <f>R258+T258+V258</f>
        <v>0</v>
      </c>
      <c r="Y258" s="15"/>
      <c r="Z258" s="44"/>
      <c r="AA258" s="15"/>
      <c r="AB258" s="44"/>
      <c r="AC258" s="15"/>
      <c r="AD258" s="44"/>
      <c r="AE258" s="15"/>
      <c r="AF258" s="44"/>
      <c r="AG258" s="15">
        <f>(Y258+AA258+AC258+AE258)</f>
        <v>0</v>
      </c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/>
      <c r="BA258" s="42"/>
      <c r="BB258" s="15">
        <f>AH258+AJ258+AL258+AN258+AP258+AR258+AT258+AV258+AX258+AZ258</f>
        <v>0</v>
      </c>
      <c r="BC258" s="15"/>
      <c r="BD258" s="44"/>
      <c r="BE258" s="15"/>
      <c r="BF258" s="44"/>
      <c r="BG258" s="15">
        <f>(BC258+BE258)</f>
        <v>0</v>
      </c>
    </row>
    <row r="259" spans="1:59" s="8" customFormat="1" ht="21.95" hidden="1" customHeight="1">
      <c r="A259" s="9"/>
      <c r="B259" s="16" t="s">
        <v>172</v>
      </c>
      <c r="C259" s="89" t="s">
        <v>140</v>
      </c>
      <c r="D259" s="109" t="s">
        <v>417</v>
      </c>
      <c r="E259" s="110"/>
      <c r="F259" s="111" t="s">
        <v>1503</v>
      </c>
      <c r="G259" s="111" t="s">
        <v>1504</v>
      </c>
      <c r="H259" s="96"/>
      <c r="I259" s="9"/>
      <c r="J259" s="9" t="s">
        <v>67</v>
      </c>
      <c r="K259" s="14"/>
      <c r="L259" s="14"/>
      <c r="M259" s="12">
        <v>81</v>
      </c>
      <c r="N259" s="9"/>
      <c r="O259" s="9"/>
      <c r="P259" s="9"/>
      <c r="Q259" s="38">
        <f>M259+X259-AG259-BB259</f>
        <v>81</v>
      </c>
      <c r="R259" s="12"/>
      <c r="S259" s="42"/>
      <c r="T259" s="15"/>
      <c r="U259" s="44"/>
      <c r="V259" s="15"/>
      <c r="W259" s="44"/>
      <c r="X259" s="15">
        <f>R259+T259+V259</f>
        <v>0</v>
      </c>
      <c r="Y259" s="15"/>
      <c r="Z259" s="44"/>
      <c r="AA259" s="15"/>
      <c r="AB259" s="44"/>
      <c r="AC259" s="15"/>
      <c r="AD259" s="44"/>
      <c r="AE259" s="15"/>
      <c r="AF259" s="44"/>
      <c r="AG259" s="15">
        <f>(Y259+AA259+AC259+AE259)</f>
        <v>0</v>
      </c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/>
      <c r="BA259" s="42"/>
      <c r="BB259" s="15">
        <f>AH259+AJ259+AL259+AN259+AP259+AR259+AT259+AV259+AX259+AZ259</f>
        <v>0</v>
      </c>
      <c r="BC259" s="15"/>
      <c r="BD259" s="44"/>
      <c r="BE259" s="15"/>
      <c r="BF259" s="44"/>
      <c r="BG259" s="15">
        <f>(BC259+BE259)</f>
        <v>0</v>
      </c>
    </row>
    <row r="260" spans="1:59" s="8" customFormat="1" ht="21.95" hidden="1" customHeight="1">
      <c r="A260" s="9"/>
      <c r="B260" s="16" t="s">
        <v>172</v>
      </c>
      <c r="C260" s="89" t="s">
        <v>140</v>
      </c>
      <c r="D260" s="109" t="s">
        <v>418</v>
      </c>
      <c r="E260" s="110"/>
      <c r="F260" s="111" t="s">
        <v>1505</v>
      </c>
      <c r="G260" s="133" t="s">
        <v>1506</v>
      </c>
      <c r="H260" s="96"/>
      <c r="I260" s="9"/>
      <c r="J260" s="9" t="s">
        <v>67</v>
      </c>
      <c r="K260" s="14"/>
      <c r="L260" s="14"/>
      <c r="M260" s="12">
        <v>6</v>
      </c>
      <c r="N260" s="9"/>
      <c r="O260" s="9"/>
      <c r="P260" s="9"/>
      <c r="Q260" s="38">
        <f>M260+X260-AG260-BB260</f>
        <v>6</v>
      </c>
      <c r="R260" s="12"/>
      <c r="S260" s="42"/>
      <c r="T260" s="15"/>
      <c r="U260" s="44"/>
      <c r="V260" s="15"/>
      <c r="W260" s="44"/>
      <c r="X260" s="15">
        <f>R260+T260+V260</f>
        <v>0</v>
      </c>
      <c r="Y260" s="15"/>
      <c r="Z260" s="44"/>
      <c r="AA260" s="15"/>
      <c r="AB260" s="44"/>
      <c r="AC260" s="15"/>
      <c r="AD260" s="44"/>
      <c r="AE260" s="15"/>
      <c r="AF260" s="44"/>
      <c r="AG260" s="15">
        <f>(Y260+AA260+AC260+AE260)</f>
        <v>0</v>
      </c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/>
      <c r="BA260" s="42"/>
      <c r="BB260" s="15">
        <f>AH260+AJ260+AL260+AN260+AP260+AR260+AT260+AV260+AX260+AZ260</f>
        <v>0</v>
      </c>
      <c r="BC260" s="15"/>
      <c r="BD260" s="44"/>
      <c r="BE260" s="15"/>
      <c r="BF260" s="44"/>
      <c r="BG260" s="15">
        <f>(BC260+BE260)</f>
        <v>0</v>
      </c>
    </row>
    <row r="261" spans="1:59" s="8" customFormat="1" ht="21.95" hidden="1" customHeight="1">
      <c r="A261" s="9"/>
      <c r="B261" s="16" t="s">
        <v>172</v>
      </c>
      <c r="C261" s="89" t="s">
        <v>140</v>
      </c>
      <c r="D261" s="109" t="s">
        <v>419</v>
      </c>
      <c r="E261" s="110"/>
      <c r="F261" s="111" t="s">
        <v>1507</v>
      </c>
      <c r="G261" s="111" t="s">
        <v>1508</v>
      </c>
      <c r="H261" s="96"/>
      <c r="I261" s="9"/>
      <c r="J261" s="9" t="s">
        <v>420</v>
      </c>
      <c r="K261" s="14"/>
      <c r="L261" s="14"/>
      <c r="M261" s="12">
        <v>0</v>
      </c>
      <c r="N261" s="9"/>
      <c r="O261" s="9"/>
      <c r="P261" s="9"/>
      <c r="Q261" s="38">
        <f>M261+X261-AG261-BB261</f>
        <v>0</v>
      </c>
      <c r="R261" s="12"/>
      <c r="S261" s="42"/>
      <c r="T261" s="15"/>
      <c r="U261" s="44"/>
      <c r="V261" s="15"/>
      <c r="W261" s="44"/>
      <c r="X261" s="15">
        <f>R261+T261+V261</f>
        <v>0</v>
      </c>
      <c r="Y261" s="15"/>
      <c r="Z261" s="44"/>
      <c r="AA261" s="15"/>
      <c r="AB261" s="44"/>
      <c r="AC261" s="15"/>
      <c r="AD261" s="44"/>
      <c r="AE261" s="15"/>
      <c r="AF261" s="44"/>
      <c r="AG261" s="15">
        <f>(Y261+AA261+AC261+AE261)</f>
        <v>0</v>
      </c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/>
      <c r="BA261" s="42"/>
      <c r="BB261" s="15">
        <f>AH261+AJ261+AL261+AN261+AP261+AR261+AT261+AV261+AX261+AZ261</f>
        <v>0</v>
      </c>
      <c r="BC261" s="15"/>
      <c r="BD261" s="44"/>
      <c r="BE261" s="15"/>
      <c r="BF261" s="44"/>
      <c r="BG261" s="15">
        <f>(BC261+BE261)</f>
        <v>0</v>
      </c>
    </row>
    <row r="262" spans="1:59" s="8" customFormat="1" ht="21.95" hidden="1" customHeight="1">
      <c r="A262" s="9"/>
      <c r="B262" s="16" t="s">
        <v>172</v>
      </c>
      <c r="C262" s="89" t="s">
        <v>140</v>
      </c>
      <c r="D262" s="109" t="s">
        <v>421</v>
      </c>
      <c r="E262" s="110"/>
      <c r="F262" s="111" t="s">
        <v>1509</v>
      </c>
      <c r="G262" s="111" t="s">
        <v>1510</v>
      </c>
      <c r="H262" s="96"/>
      <c r="I262" s="9"/>
      <c r="J262" s="9" t="s">
        <v>422</v>
      </c>
      <c r="K262" s="14"/>
      <c r="L262" s="14"/>
      <c r="M262" s="12">
        <v>126</v>
      </c>
      <c r="N262" s="9"/>
      <c r="O262" s="9"/>
      <c r="P262" s="9"/>
      <c r="Q262" s="38">
        <f>M262+X262-AG262-BB262</f>
        <v>126</v>
      </c>
      <c r="R262" s="12"/>
      <c r="S262" s="42"/>
      <c r="T262" s="15"/>
      <c r="U262" s="44"/>
      <c r="V262" s="15"/>
      <c r="W262" s="44"/>
      <c r="X262" s="15">
        <f>R262+T262+V262</f>
        <v>0</v>
      </c>
      <c r="Y262" s="15"/>
      <c r="Z262" s="44"/>
      <c r="AA262" s="15"/>
      <c r="AB262" s="44"/>
      <c r="AC262" s="15"/>
      <c r="AD262" s="44"/>
      <c r="AE262" s="15"/>
      <c r="AF262" s="44"/>
      <c r="AG262" s="15">
        <f>(Y262+AA262+AC262+AE262)</f>
        <v>0</v>
      </c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/>
      <c r="BA262" s="42"/>
      <c r="BB262" s="15">
        <f>AH262+AJ262+AL262+AN262+AP262+AR262+AT262+AV262+AX262+AZ262</f>
        <v>0</v>
      </c>
      <c r="BC262" s="15"/>
      <c r="BD262" s="44"/>
      <c r="BE262" s="15"/>
      <c r="BF262" s="44"/>
      <c r="BG262" s="15">
        <f>(BC262+BE262)</f>
        <v>0</v>
      </c>
    </row>
    <row r="263" spans="1:59" s="8" customFormat="1" ht="21.95" hidden="1" customHeight="1">
      <c r="A263" s="9"/>
      <c r="B263" s="16" t="s">
        <v>172</v>
      </c>
      <c r="C263" s="89" t="s">
        <v>140</v>
      </c>
      <c r="D263" s="109" t="s">
        <v>423</v>
      </c>
      <c r="E263" s="110"/>
      <c r="F263" s="111" t="s">
        <v>1511</v>
      </c>
      <c r="G263" s="111" t="s">
        <v>1512</v>
      </c>
      <c r="H263" s="96"/>
      <c r="I263" s="9"/>
      <c r="J263" s="9" t="s">
        <v>424</v>
      </c>
      <c r="K263" s="14"/>
      <c r="L263" s="14"/>
      <c r="M263" s="12">
        <v>37</v>
      </c>
      <c r="N263" s="9"/>
      <c r="O263" s="9"/>
      <c r="P263" s="9"/>
      <c r="Q263" s="38">
        <f>M263+X263-AG263-BB263</f>
        <v>37</v>
      </c>
      <c r="R263" s="12"/>
      <c r="S263" s="42"/>
      <c r="T263" s="15"/>
      <c r="U263" s="44"/>
      <c r="V263" s="15"/>
      <c r="W263" s="44"/>
      <c r="X263" s="15">
        <f>R263+T263+V263</f>
        <v>0</v>
      </c>
      <c r="Y263" s="15"/>
      <c r="Z263" s="44"/>
      <c r="AA263" s="15"/>
      <c r="AB263" s="44"/>
      <c r="AC263" s="15"/>
      <c r="AD263" s="44"/>
      <c r="AE263" s="15"/>
      <c r="AF263" s="44"/>
      <c r="AG263" s="15">
        <f>(Y263+AA263+AC263+AE263)</f>
        <v>0</v>
      </c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/>
      <c r="BA263" s="42"/>
      <c r="BB263" s="15">
        <f>AH263+AJ263+AL263+AN263+AP263+AR263+AT263+AV263+AX263+AZ263</f>
        <v>0</v>
      </c>
      <c r="BC263" s="15"/>
      <c r="BD263" s="44"/>
      <c r="BE263" s="15"/>
      <c r="BF263" s="44"/>
      <c r="BG263" s="15">
        <f>(BC263+BE263)</f>
        <v>0</v>
      </c>
    </row>
    <row r="264" spans="1:59" s="8" customFormat="1" ht="21.95" hidden="1" customHeight="1">
      <c r="A264" s="9"/>
      <c r="B264" s="16" t="s">
        <v>172</v>
      </c>
      <c r="C264" s="89" t="s">
        <v>140</v>
      </c>
      <c r="D264" s="109" t="s">
        <v>425</v>
      </c>
      <c r="E264" s="110"/>
      <c r="F264" s="111" t="s">
        <v>1513</v>
      </c>
      <c r="G264" s="111" t="s">
        <v>1514</v>
      </c>
      <c r="H264" s="96"/>
      <c r="I264" s="9"/>
      <c r="J264" s="9" t="s">
        <v>422</v>
      </c>
      <c r="K264" s="14"/>
      <c r="L264" s="14"/>
      <c r="M264" s="12">
        <v>12</v>
      </c>
      <c r="N264" s="9"/>
      <c r="O264" s="9"/>
      <c r="P264" s="9"/>
      <c r="Q264" s="38">
        <f>M264+X264-AG264-BB264</f>
        <v>12</v>
      </c>
      <c r="R264" s="12"/>
      <c r="S264" s="42"/>
      <c r="T264" s="15"/>
      <c r="U264" s="44"/>
      <c r="V264" s="15"/>
      <c r="W264" s="44"/>
      <c r="X264" s="15">
        <f>R264+T264+V264</f>
        <v>0</v>
      </c>
      <c r="Y264" s="15"/>
      <c r="Z264" s="44"/>
      <c r="AA264" s="15"/>
      <c r="AB264" s="44"/>
      <c r="AC264" s="15"/>
      <c r="AD264" s="44"/>
      <c r="AE264" s="15"/>
      <c r="AF264" s="44"/>
      <c r="AG264" s="15">
        <f>(Y264+AA264+AC264+AE264)</f>
        <v>0</v>
      </c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/>
      <c r="BA264" s="42"/>
      <c r="BB264" s="15">
        <f>AH264+AJ264+AL264+AN264+AP264+AR264+AT264+AV264+AX264+AZ264</f>
        <v>0</v>
      </c>
      <c r="BC264" s="15"/>
      <c r="BD264" s="44"/>
      <c r="BE264" s="15"/>
      <c r="BF264" s="44"/>
      <c r="BG264" s="15">
        <f>(BC264+BE264)</f>
        <v>0</v>
      </c>
    </row>
    <row r="265" spans="1:59" s="8" customFormat="1" ht="22.5" hidden="1" customHeight="1">
      <c r="A265" s="9"/>
      <c r="B265" s="16" t="s">
        <v>172</v>
      </c>
      <c r="C265" s="89" t="s">
        <v>140</v>
      </c>
      <c r="D265" s="109" t="s">
        <v>1515</v>
      </c>
      <c r="E265" s="110"/>
      <c r="F265" s="111" t="s">
        <v>1516</v>
      </c>
      <c r="G265" s="111" t="s">
        <v>1517</v>
      </c>
      <c r="H265" s="96"/>
      <c r="I265" s="9"/>
      <c r="J265" s="9" t="s">
        <v>67</v>
      </c>
      <c r="K265" s="14"/>
      <c r="L265" s="14"/>
      <c r="M265" s="12">
        <v>36</v>
      </c>
      <c r="N265" s="9"/>
      <c r="O265" s="9"/>
      <c r="P265" s="9"/>
      <c r="Q265" s="38">
        <f>M265+X265-AG265-BB265</f>
        <v>36</v>
      </c>
      <c r="R265" s="12"/>
      <c r="S265" s="42"/>
      <c r="T265" s="15"/>
      <c r="U265" s="44"/>
      <c r="V265" s="15"/>
      <c r="W265" s="44"/>
      <c r="X265" s="15">
        <f>R265+T265+V265</f>
        <v>0</v>
      </c>
      <c r="Y265" s="15"/>
      <c r="Z265" s="44"/>
      <c r="AA265" s="15"/>
      <c r="AB265" s="44"/>
      <c r="AC265" s="15"/>
      <c r="AD265" s="44"/>
      <c r="AE265" s="15"/>
      <c r="AF265" s="44"/>
      <c r="AG265" s="15">
        <f>(Y265+AA265+AC265+AE265)</f>
        <v>0</v>
      </c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/>
      <c r="BA265" s="42"/>
      <c r="BB265" s="15">
        <f>AH265+AJ265+AL265+AN265+AP265+AR265+AT265+AV265+AX265+AZ265</f>
        <v>0</v>
      </c>
      <c r="BC265" s="15"/>
      <c r="BD265" s="44"/>
      <c r="BE265" s="15"/>
      <c r="BF265" s="44"/>
      <c r="BG265" s="15">
        <f>(BC265+BE265)</f>
        <v>0</v>
      </c>
    </row>
    <row r="266" spans="1:59" s="8" customFormat="1" ht="22.5" hidden="1" customHeight="1">
      <c r="A266" s="9"/>
      <c r="B266" s="16" t="s">
        <v>172</v>
      </c>
      <c r="C266" s="89" t="s">
        <v>140</v>
      </c>
      <c r="D266" s="109" t="s">
        <v>427</v>
      </c>
      <c r="E266" s="110"/>
      <c r="F266" s="111" t="s">
        <v>1518</v>
      </c>
      <c r="G266" s="111" t="s">
        <v>1519</v>
      </c>
      <c r="H266" s="96"/>
      <c r="I266" s="9"/>
      <c r="J266" s="9" t="s">
        <v>67</v>
      </c>
      <c r="K266" s="14"/>
      <c r="L266" s="14"/>
      <c r="M266" s="12">
        <v>0</v>
      </c>
      <c r="N266" s="9"/>
      <c r="O266" s="9"/>
      <c r="P266" s="9"/>
      <c r="Q266" s="38">
        <f>M266+X266-AG266-BB266</f>
        <v>0</v>
      </c>
      <c r="R266" s="12"/>
      <c r="S266" s="42"/>
      <c r="T266" s="15"/>
      <c r="U266" s="44"/>
      <c r="V266" s="15"/>
      <c r="W266" s="44"/>
      <c r="X266" s="15">
        <f>R266+T266+V266</f>
        <v>0</v>
      </c>
      <c r="Y266" s="15"/>
      <c r="Z266" s="44"/>
      <c r="AA266" s="15"/>
      <c r="AB266" s="44"/>
      <c r="AC266" s="15"/>
      <c r="AD266" s="44"/>
      <c r="AE266" s="15"/>
      <c r="AF266" s="44"/>
      <c r="AG266" s="15">
        <f>(Y266+AA266+AC266+AE266)</f>
        <v>0</v>
      </c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/>
      <c r="BA266" s="42"/>
      <c r="BB266" s="15">
        <f>AH266+AJ266+AL266+AN266+AP266+AR266+AT266+AV266+AX266+AZ266</f>
        <v>0</v>
      </c>
      <c r="BC266" s="15"/>
      <c r="BD266" s="44"/>
      <c r="BE266" s="15"/>
      <c r="BF266" s="44"/>
      <c r="BG266" s="15">
        <f>(BC266+BE266)</f>
        <v>0</v>
      </c>
    </row>
    <row r="267" spans="1:59" s="8" customFormat="1" ht="22.5" hidden="1" customHeight="1">
      <c r="A267" s="9"/>
      <c r="B267" s="16" t="s">
        <v>187</v>
      </c>
      <c r="C267" s="89" t="s">
        <v>140</v>
      </c>
      <c r="D267" s="109" t="s">
        <v>1520</v>
      </c>
      <c r="E267" s="110" t="s">
        <v>429</v>
      </c>
      <c r="F267" s="111" t="s">
        <v>1521</v>
      </c>
      <c r="G267" s="111" t="s">
        <v>1522</v>
      </c>
      <c r="H267" s="96"/>
      <c r="I267" s="9"/>
      <c r="J267" s="9" t="s">
        <v>430</v>
      </c>
      <c r="K267" s="14"/>
      <c r="L267" s="14"/>
      <c r="M267" s="12">
        <v>369</v>
      </c>
      <c r="N267" s="9"/>
      <c r="O267" s="9"/>
      <c r="P267" s="9"/>
      <c r="Q267" s="38">
        <f>M267+X267-AG267-BB267</f>
        <v>369</v>
      </c>
      <c r="R267" s="12"/>
      <c r="S267" s="42"/>
      <c r="T267" s="15"/>
      <c r="U267" s="44"/>
      <c r="V267" s="15"/>
      <c r="W267" s="44"/>
      <c r="X267" s="15">
        <f>R267+T267+V267</f>
        <v>0</v>
      </c>
      <c r="Y267" s="15"/>
      <c r="Z267" s="44"/>
      <c r="AA267" s="15"/>
      <c r="AB267" s="44"/>
      <c r="AC267" s="15"/>
      <c r="AD267" s="44"/>
      <c r="AE267" s="15"/>
      <c r="AF267" s="44"/>
      <c r="AG267" s="15">
        <f>(Y267+AA267+AC267+AE267)</f>
        <v>0</v>
      </c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/>
      <c r="BA267" s="42"/>
      <c r="BB267" s="15">
        <f>AH267+AJ267+AL267+AN267+AP267+AR267+AT267+AV267+AX267+AZ267</f>
        <v>0</v>
      </c>
      <c r="BC267" s="15"/>
      <c r="BD267" s="44"/>
      <c r="BE267" s="15"/>
      <c r="BF267" s="44"/>
      <c r="BG267" s="15">
        <f>(BC267+BE267)</f>
        <v>0</v>
      </c>
    </row>
    <row r="268" spans="1:59" s="8" customFormat="1" ht="22.5" hidden="1" customHeight="1">
      <c r="A268" s="9"/>
      <c r="B268" s="16" t="s">
        <v>187</v>
      </c>
      <c r="C268" s="89" t="s">
        <v>140</v>
      </c>
      <c r="D268" s="109" t="s">
        <v>1523</v>
      </c>
      <c r="E268" s="110" t="s">
        <v>432</v>
      </c>
      <c r="F268" s="111" t="s">
        <v>1524</v>
      </c>
      <c r="G268" s="111" t="s">
        <v>1525</v>
      </c>
      <c r="H268" s="96"/>
      <c r="I268" s="9"/>
      <c r="J268" s="9" t="s">
        <v>67</v>
      </c>
      <c r="K268" s="14"/>
      <c r="L268" s="14"/>
      <c r="M268" s="12">
        <v>0</v>
      </c>
      <c r="N268" s="9"/>
      <c r="O268" s="9"/>
      <c r="P268" s="9"/>
      <c r="Q268" s="38">
        <f>M268+X268-AG268-BB268</f>
        <v>0</v>
      </c>
      <c r="R268" s="12"/>
      <c r="S268" s="42"/>
      <c r="T268" s="15"/>
      <c r="U268" s="44"/>
      <c r="V268" s="15"/>
      <c r="W268" s="44"/>
      <c r="X268" s="15">
        <f>R268+T268+V268</f>
        <v>0</v>
      </c>
      <c r="Y268" s="15"/>
      <c r="Z268" s="44"/>
      <c r="AA268" s="15"/>
      <c r="AB268" s="44"/>
      <c r="AC268" s="15"/>
      <c r="AD268" s="44"/>
      <c r="AE268" s="15"/>
      <c r="AF268" s="44"/>
      <c r="AG268" s="15">
        <f>(Y268+AA268+AC268+AE268)</f>
        <v>0</v>
      </c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/>
      <c r="BA268" s="42"/>
      <c r="BB268" s="15">
        <f>AH268+AJ268+AL268+AN268+AP268+AR268+AT268+AV268+AX268+AZ268</f>
        <v>0</v>
      </c>
      <c r="BC268" s="15"/>
      <c r="BD268" s="44"/>
      <c r="BE268" s="15"/>
      <c r="BF268" s="44"/>
      <c r="BG268" s="15">
        <f>(BC268+BE268)</f>
        <v>0</v>
      </c>
    </row>
    <row r="269" spans="1:59" s="8" customFormat="1" ht="22.5" hidden="1" customHeight="1">
      <c r="A269" s="9"/>
      <c r="B269" s="16" t="s">
        <v>120</v>
      </c>
      <c r="C269" s="89" t="s">
        <v>140</v>
      </c>
      <c r="D269" s="109" t="s">
        <v>433</v>
      </c>
      <c r="E269" s="110" t="s">
        <v>434</v>
      </c>
      <c r="F269" s="111" t="s">
        <v>1526</v>
      </c>
      <c r="G269" s="111" t="s">
        <v>1527</v>
      </c>
      <c r="H269" s="96"/>
      <c r="I269" s="9"/>
      <c r="J269" s="9" t="s">
        <v>67</v>
      </c>
      <c r="K269" s="14"/>
      <c r="L269" s="14"/>
      <c r="M269" s="12">
        <v>105</v>
      </c>
      <c r="N269" s="9"/>
      <c r="O269" s="9"/>
      <c r="P269" s="9"/>
      <c r="Q269" s="38">
        <f>M269+X269-AG269-BB269</f>
        <v>105</v>
      </c>
      <c r="R269" s="12"/>
      <c r="S269" s="42"/>
      <c r="T269" s="15"/>
      <c r="U269" s="44"/>
      <c r="V269" s="15"/>
      <c r="W269" s="44"/>
      <c r="X269" s="15">
        <f>R269+T269+V269</f>
        <v>0</v>
      </c>
      <c r="Y269" s="15"/>
      <c r="Z269" s="44"/>
      <c r="AA269" s="15"/>
      <c r="AB269" s="44"/>
      <c r="AC269" s="15"/>
      <c r="AD269" s="44"/>
      <c r="AE269" s="15"/>
      <c r="AF269" s="44"/>
      <c r="AG269" s="15">
        <f>(Y269+AA269+AC269+AE269)</f>
        <v>0</v>
      </c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/>
      <c r="BA269" s="42"/>
      <c r="BB269" s="15">
        <f>AH269+AJ269+AL269+AN269+AP269+AR269+AT269+AV269+AX269+AZ269</f>
        <v>0</v>
      </c>
      <c r="BC269" s="15"/>
      <c r="BD269" s="44"/>
      <c r="BE269" s="15"/>
      <c r="BF269" s="44"/>
      <c r="BG269" s="15">
        <f>(BC269+BE269)</f>
        <v>0</v>
      </c>
    </row>
    <row r="270" spans="1:59" s="8" customFormat="1" ht="22.5" hidden="1" customHeight="1">
      <c r="A270" s="9"/>
      <c r="B270" s="16" t="s">
        <v>120</v>
      </c>
      <c r="C270" s="89" t="s">
        <v>140</v>
      </c>
      <c r="D270" s="109" t="s">
        <v>435</v>
      </c>
      <c r="E270" s="110"/>
      <c r="F270" s="111" t="s">
        <v>1528</v>
      </c>
      <c r="G270" s="111" t="s">
        <v>1529</v>
      </c>
      <c r="H270" s="96"/>
      <c r="I270" s="9"/>
      <c r="J270" s="9" t="s">
        <v>67</v>
      </c>
      <c r="K270" s="14"/>
      <c r="L270" s="14"/>
      <c r="M270" s="12">
        <v>22</v>
      </c>
      <c r="N270" s="9"/>
      <c r="O270" s="9"/>
      <c r="P270" s="9"/>
      <c r="Q270" s="38">
        <f>M270+X270-AG270-BB270</f>
        <v>22</v>
      </c>
      <c r="R270" s="12"/>
      <c r="S270" s="42"/>
      <c r="T270" s="15"/>
      <c r="U270" s="44"/>
      <c r="V270" s="15"/>
      <c r="W270" s="44"/>
      <c r="X270" s="15">
        <f>R270+T270+V270</f>
        <v>0</v>
      </c>
      <c r="Y270" s="15"/>
      <c r="Z270" s="44"/>
      <c r="AA270" s="15"/>
      <c r="AB270" s="44"/>
      <c r="AC270" s="15"/>
      <c r="AD270" s="44"/>
      <c r="AE270" s="15"/>
      <c r="AF270" s="44"/>
      <c r="AG270" s="15">
        <f>(Y270+AA270+AC270+AE270)</f>
        <v>0</v>
      </c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/>
      <c r="BA270" s="42"/>
      <c r="BB270" s="15">
        <f>AH270+AJ270+AL270+AN270+AP270+AR270+AT270+AV270+AX270+AZ270</f>
        <v>0</v>
      </c>
      <c r="BC270" s="15"/>
      <c r="BD270" s="44"/>
      <c r="BE270" s="15"/>
      <c r="BF270" s="44"/>
      <c r="BG270" s="15">
        <f>(BC270+BE270)</f>
        <v>0</v>
      </c>
    </row>
    <row r="271" spans="1:59" s="8" customFormat="1" ht="22.5" hidden="1" customHeight="1">
      <c r="A271" s="9"/>
      <c r="B271" s="16" t="s">
        <v>120</v>
      </c>
      <c r="C271" s="89" t="s">
        <v>140</v>
      </c>
      <c r="D271" s="109" t="s">
        <v>436</v>
      </c>
      <c r="E271" s="110"/>
      <c r="F271" s="133" t="s">
        <v>1530</v>
      </c>
      <c r="G271" s="133" t="s">
        <v>1531</v>
      </c>
      <c r="H271" s="96"/>
      <c r="I271" s="9"/>
      <c r="J271" s="9" t="s">
        <v>67</v>
      </c>
      <c r="K271" s="14"/>
      <c r="L271" s="14"/>
      <c r="M271" s="12">
        <v>97</v>
      </c>
      <c r="N271" s="9"/>
      <c r="O271" s="9"/>
      <c r="P271" s="9"/>
      <c r="Q271" s="38">
        <f>M271+X271-AG271-BB271</f>
        <v>97</v>
      </c>
      <c r="R271" s="12"/>
      <c r="S271" s="42"/>
      <c r="T271" s="15"/>
      <c r="U271" s="44"/>
      <c r="V271" s="15"/>
      <c r="W271" s="44"/>
      <c r="X271" s="15">
        <f>R271+T271+V271</f>
        <v>0</v>
      </c>
      <c r="Y271" s="15"/>
      <c r="Z271" s="44"/>
      <c r="AA271" s="15"/>
      <c r="AB271" s="44"/>
      <c r="AC271" s="15"/>
      <c r="AD271" s="44"/>
      <c r="AE271" s="15"/>
      <c r="AF271" s="44"/>
      <c r="AG271" s="15">
        <f>(Y271+AA271+AC271+AE271)</f>
        <v>0</v>
      </c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/>
      <c r="BA271" s="42"/>
      <c r="BB271" s="15">
        <f>AH271+AJ271+AL271+AN271+AP271+AR271+AT271+AV271+AX271+AZ271</f>
        <v>0</v>
      </c>
      <c r="BC271" s="15"/>
      <c r="BD271" s="44"/>
      <c r="BE271" s="15"/>
      <c r="BF271" s="44"/>
      <c r="BG271" s="15">
        <f>(BC271+BE271)</f>
        <v>0</v>
      </c>
    </row>
    <row r="272" spans="1:59" s="8" customFormat="1" ht="22.5" hidden="1" customHeight="1">
      <c r="A272" s="9"/>
      <c r="B272" s="16" t="s">
        <v>120</v>
      </c>
      <c r="C272" s="89" t="s">
        <v>140</v>
      </c>
      <c r="D272" s="109" t="s">
        <v>437</v>
      </c>
      <c r="E272" s="110"/>
      <c r="F272" s="111" t="s">
        <v>1532</v>
      </c>
      <c r="G272" s="111" t="s">
        <v>1533</v>
      </c>
      <c r="H272" s="96"/>
      <c r="I272" s="9"/>
      <c r="J272" s="9" t="s">
        <v>67</v>
      </c>
      <c r="K272" s="14"/>
      <c r="L272" s="14"/>
      <c r="M272" s="12">
        <v>56</v>
      </c>
      <c r="N272" s="9"/>
      <c r="O272" s="9"/>
      <c r="P272" s="9"/>
      <c r="Q272" s="38">
        <f>M272+X272-AG272-BB272</f>
        <v>56</v>
      </c>
      <c r="R272" s="12"/>
      <c r="S272" s="42"/>
      <c r="T272" s="15"/>
      <c r="U272" s="44"/>
      <c r="V272" s="15"/>
      <c r="W272" s="44"/>
      <c r="X272" s="15">
        <f>R272+T272+V272</f>
        <v>0</v>
      </c>
      <c r="Y272" s="15"/>
      <c r="Z272" s="44"/>
      <c r="AA272" s="15"/>
      <c r="AB272" s="44"/>
      <c r="AC272" s="15"/>
      <c r="AD272" s="44"/>
      <c r="AE272" s="15"/>
      <c r="AF272" s="44"/>
      <c r="AG272" s="15">
        <f>(Y272+AA272+AC272+AE272)</f>
        <v>0</v>
      </c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/>
      <c r="BA272" s="42"/>
      <c r="BB272" s="15">
        <f>AH272+AJ272+AL272+AN272+AP272+AR272+AT272+AV272+AX272+AZ272</f>
        <v>0</v>
      </c>
      <c r="BC272" s="15"/>
      <c r="BD272" s="44"/>
      <c r="BE272" s="15"/>
      <c r="BF272" s="44"/>
      <c r="BG272" s="15">
        <f>(BC272+BE272)</f>
        <v>0</v>
      </c>
    </row>
    <row r="273" spans="1:59" s="8" customFormat="1" ht="22.5" hidden="1" customHeight="1">
      <c r="A273" s="9"/>
      <c r="B273" s="16" t="s">
        <v>120</v>
      </c>
      <c r="C273" s="89" t="s">
        <v>140</v>
      </c>
      <c r="D273" s="109" t="s">
        <v>438</v>
      </c>
      <c r="E273" s="110"/>
      <c r="F273" s="111" t="s">
        <v>1534</v>
      </c>
      <c r="G273" s="111" t="s">
        <v>1535</v>
      </c>
      <c r="H273" s="96"/>
      <c r="I273" s="9"/>
      <c r="J273" s="9" t="s">
        <v>67</v>
      </c>
      <c r="K273" s="14"/>
      <c r="L273" s="14"/>
      <c r="M273" s="12"/>
      <c r="N273" s="9"/>
      <c r="O273" s="9"/>
      <c r="P273" s="9"/>
      <c r="Q273" s="38">
        <f>M273+X273-AG273-BB273</f>
        <v>0</v>
      </c>
      <c r="R273" s="12"/>
      <c r="S273" s="42"/>
      <c r="T273" s="15"/>
      <c r="U273" s="44"/>
      <c r="V273" s="15"/>
      <c r="W273" s="44"/>
      <c r="X273" s="15">
        <f>R273+T273+V273</f>
        <v>0</v>
      </c>
      <c r="Y273" s="15"/>
      <c r="Z273" s="44"/>
      <c r="AA273" s="15"/>
      <c r="AB273" s="44"/>
      <c r="AC273" s="15"/>
      <c r="AD273" s="44"/>
      <c r="AE273" s="15"/>
      <c r="AF273" s="44"/>
      <c r="AG273" s="15">
        <f>(Y273+AA273+AC273+AE273)</f>
        <v>0</v>
      </c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/>
      <c r="BA273" s="42"/>
      <c r="BB273" s="15">
        <f>AH273+AJ273+AL273+AN273+AP273+AR273+AT273+AV273+AX273+AZ273</f>
        <v>0</v>
      </c>
      <c r="BC273" s="15"/>
      <c r="BD273" s="44"/>
      <c r="BE273" s="15"/>
      <c r="BF273" s="44"/>
      <c r="BG273" s="15">
        <f>(BC273+BE273)</f>
        <v>0</v>
      </c>
    </row>
    <row r="274" spans="1:59" s="8" customFormat="1" ht="22.5" hidden="1" customHeight="1">
      <c r="A274" s="9"/>
      <c r="B274" s="16" t="s">
        <v>120</v>
      </c>
      <c r="C274" s="89" t="s">
        <v>140</v>
      </c>
      <c r="D274" s="109" t="s">
        <v>439</v>
      </c>
      <c r="E274" s="110"/>
      <c r="F274" s="111" t="s">
        <v>1536</v>
      </c>
      <c r="G274" s="111" t="s">
        <v>1537</v>
      </c>
      <c r="H274" s="96"/>
      <c r="I274" s="9"/>
      <c r="J274" s="9" t="s">
        <v>67</v>
      </c>
      <c r="K274" s="14"/>
      <c r="L274" s="14"/>
      <c r="M274" s="12">
        <v>97</v>
      </c>
      <c r="N274" s="9"/>
      <c r="O274" s="9"/>
      <c r="P274" s="9"/>
      <c r="Q274" s="38">
        <f>M274+X274-AG274-BB274</f>
        <v>97</v>
      </c>
      <c r="R274" s="12"/>
      <c r="S274" s="42"/>
      <c r="T274" s="15"/>
      <c r="U274" s="44"/>
      <c r="V274" s="15"/>
      <c r="W274" s="44"/>
      <c r="X274" s="15">
        <f>R274+T274+V274</f>
        <v>0</v>
      </c>
      <c r="Y274" s="15"/>
      <c r="Z274" s="44"/>
      <c r="AA274" s="15"/>
      <c r="AB274" s="44"/>
      <c r="AC274" s="15"/>
      <c r="AD274" s="44"/>
      <c r="AE274" s="15"/>
      <c r="AF274" s="44"/>
      <c r="AG274" s="15">
        <f>(Y274+AA274+AC274+AE274)</f>
        <v>0</v>
      </c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/>
      <c r="BA274" s="42"/>
      <c r="BB274" s="15">
        <f>AH274+AJ274+AL274+AN274+AP274+AR274+AT274+AV274+AX274+AZ274</f>
        <v>0</v>
      </c>
      <c r="BC274" s="15"/>
      <c r="BD274" s="44"/>
      <c r="BE274" s="15"/>
      <c r="BF274" s="44"/>
      <c r="BG274" s="15">
        <f>(BC274+BE274)</f>
        <v>0</v>
      </c>
    </row>
    <row r="275" spans="1:59" s="8" customFormat="1" ht="22.5" hidden="1" customHeight="1">
      <c r="A275" s="9"/>
      <c r="B275" s="16" t="s">
        <v>120</v>
      </c>
      <c r="C275" s="89" t="s">
        <v>140</v>
      </c>
      <c r="D275" s="109" t="s">
        <v>440</v>
      </c>
      <c r="E275" s="110"/>
      <c r="F275" s="111" t="s">
        <v>1538</v>
      </c>
      <c r="G275" s="111" t="s">
        <v>1539</v>
      </c>
      <c r="H275" s="96"/>
      <c r="I275" s="9"/>
      <c r="J275" s="9" t="s">
        <v>67</v>
      </c>
      <c r="K275" s="14"/>
      <c r="L275" s="14"/>
      <c r="M275" s="12">
        <v>684</v>
      </c>
      <c r="N275" s="9"/>
      <c r="O275" s="9"/>
      <c r="P275" s="9"/>
      <c r="Q275" s="38">
        <f>M275+X275-AG275-BB275</f>
        <v>684</v>
      </c>
      <c r="R275" s="12"/>
      <c r="S275" s="42"/>
      <c r="T275" s="15"/>
      <c r="U275" s="44"/>
      <c r="V275" s="15"/>
      <c r="W275" s="44"/>
      <c r="X275" s="15">
        <f>R275+T275+V275</f>
        <v>0</v>
      </c>
      <c r="Y275" s="15"/>
      <c r="Z275" s="44"/>
      <c r="AA275" s="15"/>
      <c r="AB275" s="44"/>
      <c r="AC275" s="15"/>
      <c r="AD275" s="44"/>
      <c r="AE275" s="15"/>
      <c r="AF275" s="44"/>
      <c r="AG275" s="15">
        <f>(Y275+AA275+AC275+AE275)</f>
        <v>0</v>
      </c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/>
      <c r="BA275" s="42"/>
      <c r="BB275" s="15">
        <f>AH275+AJ275+AL275+AN275+AP275+AR275+AT275+AV275+AX275+AZ275</f>
        <v>0</v>
      </c>
      <c r="BC275" s="15"/>
      <c r="BD275" s="44"/>
      <c r="BE275" s="15"/>
      <c r="BF275" s="44"/>
      <c r="BG275" s="15">
        <f>(BC275+BE275)</f>
        <v>0</v>
      </c>
    </row>
    <row r="276" spans="1:59" s="8" customFormat="1" ht="22.5" hidden="1" customHeight="1">
      <c r="A276" s="9"/>
      <c r="B276" s="16" t="s">
        <v>204</v>
      </c>
      <c r="C276" s="89" t="s">
        <v>140</v>
      </c>
      <c r="D276" s="109" t="s">
        <v>441</v>
      </c>
      <c r="E276" s="110" t="s">
        <v>206</v>
      </c>
      <c r="F276" s="111" t="s">
        <v>1540</v>
      </c>
      <c r="G276" s="111" t="s">
        <v>1541</v>
      </c>
      <c r="H276" s="96"/>
      <c r="I276" s="9"/>
      <c r="J276" s="9" t="s">
        <v>207</v>
      </c>
      <c r="K276" s="14"/>
      <c r="L276" s="14"/>
      <c r="M276" s="12"/>
      <c r="N276" s="9"/>
      <c r="O276" s="9"/>
      <c r="P276" s="9"/>
      <c r="Q276" s="38">
        <f>M276+X276-AG276-BB276</f>
        <v>0</v>
      </c>
      <c r="R276" s="12"/>
      <c r="S276" s="42"/>
      <c r="T276" s="15"/>
      <c r="U276" s="44"/>
      <c r="V276" s="15"/>
      <c r="W276" s="44"/>
      <c r="X276" s="15">
        <f>R276+T276+V276</f>
        <v>0</v>
      </c>
      <c r="Y276" s="15"/>
      <c r="Z276" s="44"/>
      <c r="AA276" s="15"/>
      <c r="AB276" s="44"/>
      <c r="AC276" s="15"/>
      <c r="AD276" s="44"/>
      <c r="AE276" s="15"/>
      <c r="AF276" s="44"/>
      <c r="AG276" s="15">
        <f>(Y276+AA276+AC276+AE276)</f>
        <v>0</v>
      </c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/>
      <c r="BA276" s="42"/>
      <c r="BB276" s="15">
        <f>AH276+AJ276+AL276+AN276+AP276+AR276+AT276+AV276+AX276+AZ276</f>
        <v>0</v>
      </c>
      <c r="BC276" s="15"/>
      <c r="BD276" s="44"/>
      <c r="BE276" s="15"/>
      <c r="BF276" s="44"/>
      <c r="BG276" s="15">
        <f>(BC276+BE276)</f>
        <v>0</v>
      </c>
    </row>
    <row r="277" spans="1:59" s="8" customFormat="1" ht="22.5" hidden="1" customHeight="1">
      <c r="A277" s="9"/>
      <c r="B277" s="16" t="s">
        <v>204</v>
      </c>
      <c r="C277" s="89" t="s">
        <v>140</v>
      </c>
      <c r="D277" s="109" t="s">
        <v>442</v>
      </c>
      <c r="E277" s="110" t="s">
        <v>206</v>
      </c>
      <c r="F277" s="111" t="s">
        <v>1542</v>
      </c>
      <c r="G277" s="111" t="s">
        <v>1543</v>
      </c>
      <c r="H277" s="96"/>
      <c r="I277" s="9"/>
      <c r="J277" s="9" t="s">
        <v>207</v>
      </c>
      <c r="K277" s="14"/>
      <c r="L277" s="14"/>
      <c r="M277" s="12"/>
      <c r="N277" s="9"/>
      <c r="O277" s="9"/>
      <c r="P277" s="9"/>
      <c r="Q277" s="38">
        <f>M277+X277-AG277-BB277</f>
        <v>0</v>
      </c>
      <c r="R277" s="12"/>
      <c r="S277" s="42"/>
      <c r="T277" s="15"/>
      <c r="U277" s="44"/>
      <c r="V277" s="15"/>
      <c r="W277" s="44"/>
      <c r="X277" s="15">
        <f>R277+T277+V277</f>
        <v>0</v>
      </c>
      <c r="Y277" s="15"/>
      <c r="Z277" s="44"/>
      <c r="AA277" s="15"/>
      <c r="AB277" s="44"/>
      <c r="AC277" s="15"/>
      <c r="AD277" s="44"/>
      <c r="AE277" s="15"/>
      <c r="AF277" s="44"/>
      <c r="AG277" s="15">
        <f>(Y277+AA277+AC277+AE277)</f>
        <v>0</v>
      </c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/>
      <c r="BA277" s="42"/>
      <c r="BB277" s="15">
        <f>AH277+AJ277+AL277+AN277+AP277+AR277+AT277+AV277+AX277+AZ277</f>
        <v>0</v>
      </c>
      <c r="BC277" s="15"/>
      <c r="BD277" s="44"/>
      <c r="BE277" s="15"/>
      <c r="BF277" s="44"/>
      <c r="BG277" s="15">
        <f>(BC277+BE277)</f>
        <v>0</v>
      </c>
    </row>
    <row r="278" spans="1:59" s="8" customFormat="1" ht="22.5" hidden="1" customHeight="1">
      <c r="A278" s="9"/>
      <c r="B278" s="16" t="s">
        <v>204</v>
      </c>
      <c r="C278" s="89" t="s">
        <v>140</v>
      </c>
      <c r="D278" s="109" t="s">
        <v>205</v>
      </c>
      <c r="E278" s="110" t="s">
        <v>206</v>
      </c>
      <c r="F278" s="111" t="s">
        <v>1544</v>
      </c>
      <c r="G278" s="111" t="s">
        <v>1545</v>
      </c>
      <c r="H278" s="96"/>
      <c r="I278" s="9"/>
      <c r="J278" s="9" t="s">
        <v>207</v>
      </c>
      <c r="K278" s="14"/>
      <c r="L278" s="14"/>
      <c r="M278" s="12">
        <v>1888</v>
      </c>
      <c r="N278" s="9"/>
      <c r="O278" s="9"/>
      <c r="P278" s="9"/>
      <c r="Q278" s="38">
        <f>M278+X278-AG278-BB278</f>
        <v>1888</v>
      </c>
      <c r="R278" s="12"/>
      <c r="S278" s="42"/>
      <c r="T278" s="15"/>
      <c r="U278" s="44"/>
      <c r="V278" s="15"/>
      <c r="W278" s="44"/>
      <c r="X278" s="15">
        <f>R278+T278+V278</f>
        <v>0</v>
      </c>
      <c r="Y278" s="15"/>
      <c r="Z278" s="44"/>
      <c r="AA278" s="15"/>
      <c r="AB278" s="44"/>
      <c r="AC278" s="15"/>
      <c r="AD278" s="44"/>
      <c r="AE278" s="15"/>
      <c r="AF278" s="44"/>
      <c r="AG278" s="15">
        <f>(Y278+AA278+AC278+AE278)</f>
        <v>0</v>
      </c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/>
      <c r="BA278" s="42"/>
      <c r="BB278" s="15">
        <f>AH278+AJ278+AL278+AN278+AP278+AR278+AT278+AV278+AX278+AZ278</f>
        <v>0</v>
      </c>
      <c r="BC278" s="15"/>
      <c r="BD278" s="44"/>
      <c r="BE278" s="15"/>
      <c r="BF278" s="44"/>
      <c r="BG278" s="15">
        <f>(BC278+BE278)</f>
        <v>0</v>
      </c>
    </row>
    <row r="279" spans="1:59" s="8" customFormat="1" ht="22.5" hidden="1" customHeight="1">
      <c r="A279" s="9"/>
      <c r="B279" s="16" t="s">
        <v>204</v>
      </c>
      <c r="C279" s="89" t="s">
        <v>140</v>
      </c>
      <c r="D279" s="109" t="s">
        <v>278</v>
      </c>
      <c r="E279" s="110" t="s">
        <v>206</v>
      </c>
      <c r="F279" s="111" t="s">
        <v>1546</v>
      </c>
      <c r="G279" s="111" t="s">
        <v>1547</v>
      </c>
      <c r="H279" s="96"/>
      <c r="I279" s="9"/>
      <c r="J279" s="9" t="s">
        <v>207</v>
      </c>
      <c r="K279" s="14"/>
      <c r="L279" s="14"/>
      <c r="M279" s="12">
        <v>99</v>
      </c>
      <c r="N279" s="9"/>
      <c r="O279" s="9"/>
      <c r="P279" s="9"/>
      <c r="Q279" s="38">
        <f>M279+X279-AG279-BB279</f>
        <v>99</v>
      </c>
      <c r="R279" s="12"/>
      <c r="S279" s="42"/>
      <c r="T279" s="15"/>
      <c r="U279" s="44"/>
      <c r="V279" s="15"/>
      <c r="W279" s="44"/>
      <c r="X279" s="15">
        <f>R279+T279+V279</f>
        <v>0</v>
      </c>
      <c r="Y279" s="15"/>
      <c r="Z279" s="44"/>
      <c r="AA279" s="15"/>
      <c r="AB279" s="44"/>
      <c r="AC279" s="15"/>
      <c r="AD279" s="44"/>
      <c r="AE279" s="15"/>
      <c r="AF279" s="44"/>
      <c r="AG279" s="15">
        <f>(Y279+AA279+AC279+AE279)</f>
        <v>0</v>
      </c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/>
      <c r="BA279" s="42"/>
      <c r="BB279" s="15">
        <f>AH279+AJ279+AL279+AN279+AP279+AR279+AT279+AV279+AX279+AZ279</f>
        <v>0</v>
      </c>
      <c r="BC279" s="15"/>
      <c r="BD279" s="44"/>
      <c r="BE279" s="15"/>
      <c r="BF279" s="44"/>
      <c r="BG279" s="15">
        <f>(BC279+BE279)</f>
        <v>0</v>
      </c>
    </row>
    <row r="280" spans="1:59" s="8" customFormat="1" ht="22.5" hidden="1" customHeight="1">
      <c r="A280" s="9"/>
      <c r="B280" s="16" t="s">
        <v>204</v>
      </c>
      <c r="C280" s="89" t="s">
        <v>140</v>
      </c>
      <c r="D280" s="109" t="s">
        <v>280</v>
      </c>
      <c r="E280" s="110" t="s">
        <v>206</v>
      </c>
      <c r="F280" s="111" t="s">
        <v>1548</v>
      </c>
      <c r="G280" s="111" t="s">
        <v>1549</v>
      </c>
      <c r="H280" s="96"/>
      <c r="I280" s="9"/>
      <c r="J280" s="9" t="s">
        <v>207</v>
      </c>
      <c r="K280" s="14"/>
      <c r="L280" s="14"/>
      <c r="M280" s="12">
        <v>149</v>
      </c>
      <c r="N280" s="9"/>
      <c r="O280" s="9"/>
      <c r="P280" s="9"/>
      <c r="Q280" s="38">
        <f>M280+X280-AG280-BB280</f>
        <v>149</v>
      </c>
      <c r="R280" s="12"/>
      <c r="S280" s="42"/>
      <c r="T280" s="15"/>
      <c r="U280" s="44"/>
      <c r="V280" s="15"/>
      <c r="W280" s="44"/>
      <c r="X280" s="15">
        <f>R280+T280+V280</f>
        <v>0</v>
      </c>
      <c r="Y280" s="15"/>
      <c r="Z280" s="44"/>
      <c r="AA280" s="15"/>
      <c r="AB280" s="44"/>
      <c r="AC280" s="15"/>
      <c r="AD280" s="44"/>
      <c r="AE280" s="15"/>
      <c r="AF280" s="44"/>
      <c r="AG280" s="15">
        <f>(Y280+AA280+AC280+AE280)</f>
        <v>0</v>
      </c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/>
      <c r="BA280" s="42"/>
      <c r="BB280" s="15">
        <f>AH280+AJ280+AL280+AN280+AP280+AR280+AT280+AV280+AX280+AZ280</f>
        <v>0</v>
      </c>
      <c r="BC280" s="15"/>
      <c r="BD280" s="44"/>
      <c r="BE280" s="15"/>
      <c r="BF280" s="44"/>
      <c r="BG280" s="15">
        <f>(BC280+BE280)</f>
        <v>0</v>
      </c>
    </row>
    <row r="281" spans="1:59" s="8" customFormat="1" ht="22.5" hidden="1" customHeight="1">
      <c r="A281" s="9"/>
      <c r="B281" s="16" t="s">
        <v>204</v>
      </c>
      <c r="C281" s="89" t="s">
        <v>140</v>
      </c>
      <c r="D281" s="109" t="s">
        <v>213</v>
      </c>
      <c r="E281" s="110" t="s">
        <v>206</v>
      </c>
      <c r="F281" s="111" t="s">
        <v>1211</v>
      </c>
      <c r="G281" s="111" t="s">
        <v>1550</v>
      </c>
      <c r="H281" s="96"/>
      <c r="I281" s="9"/>
      <c r="J281" s="9" t="s">
        <v>207</v>
      </c>
      <c r="K281" s="14"/>
      <c r="L281" s="14"/>
      <c r="M281" s="12">
        <v>17</v>
      </c>
      <c r="N281" s="9"/>
      <c r="O281" s="9"/>
      <c r="P281" s="9"/>
      <c r="Q281" s="38">
        <f>M281+X281-AG281-BB281</f>
        <v>17</v>
      </c>
      <c r="R281" s="12"/>
      <c r="S281" s="42"/>
      <c r="T281" s="15"/>
      <c r="U281" s="44"/>
      <c r="V281" s="15"/>
      <c r="W281" s="44"/>
      <c r="X281" s="15">
        <f>R281+T281+V281</f>
        <v>0</v>
      </c>
      <c r="Y281" s="15"/>
      <c r="Z281" s="44"/>
      <c r="AA281" s="15"/>
      <c r="AB281" s="44"/>
      <c r="AC281" s="15"/>
      <c r="AD281" s="44"/>
      <c r="AE281" s="15"/>
      <c r="AF281" s="44"/>
      <c r="AG281" s="15">
        <f>(Y281+AA281+AC281+AE281)</f>
        <v>0</v>
      </c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/>
      <c r="BA281" s="42"/>
      <c r="BB281" s="15">
        <f>AH281+AJ281+AL281+AN281+AP281+AR281+AT281+AV281+AX281+AZ281</f>
        <v>0</v>
      </c>
      <c r="BC281" s="15"/>
      <c r="BD281" s="44"/>
      <c r="BE281" s="15"/>
      <c r="BF281" s="44"/>
      <c r="BG281" s="15">
        <f>(BC281+BE281)</f>
        <v>0</v>
      </c>
    </row>
    <row r="282" spans="1:59" s="8" customFormat="1" ht="22.5" hidden="1" customHeight="1">
      <c r="A282" s="9"/>
      <c r="B282" s="16" t="s">
        <v>204</v>
      </c>
      <c r="C282" s="89" t="s">
        <v>140</v>
      </c>
      <c r="D282" s="109" t="s">
        <v>445</v>
      </c>
      <c r="E282" s="110" t="s">
        <v>206</v>
      </c>
      <c r="F282" s="111" t="s">
        <v>1551</v>
      </c>
      <c r="G282" s="111" t="s">
        <v>1552</v>
      </c>
      <c r="H282" s="96"/>
      <c r="I282" s="9"/>
      <c r="J282" s="9" t="s">
        <v>207</v>
      </c>
      <c r="K282" s="14"/>
      <c r="L282" s="14"/>
      <c r="M282" s="12">
        <v>0</v>
      </c>
      <c r="N282" s="9"/>
      <c r="O282" s="9"/>
      <c r="P282" s="9"/>
      <c r="Q282" s="38">
        <f>M282+X282-AG282-BB282</f>
        <v>0</v>
      </c>
      <c r="R282" s="12"/>
      <c r="S282" s="42"/>
      <c r="T282" s="15"/>
      <c r="U282" s="44"/>
      <c r="V282" s="15"/>
      <c r="W282" s="44"/>
      <c r="X282" s="15">
        <f>R282+T282+V282</f>
        <v>0</v>
      </c>
      <c r="Y282" s="15"/>
      <c r="Z282" s="44"/>
      <c r="AA282" s="15"/>
      <c r="AB282" s="44"/>
      <c r="AC282" s="15"/>
      <c r="AD282" s="44"/>
      <c r="AE282" s="15"/>
      <c r="AF282" s="44"/>
      <c r="AG282" s="15">
        <f>(Y282+AA282+AC282+AE282)</f>
        <v>0</v>
      </c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/>
      <c r="BA282" s="42"/>
      <c r="BB282" s="15">
        <f>AH282+AJ282+AL282+AN282+AP282+AR282+AT282+AV282+AX282+AZ282</f>
        <v>0</v>
      </c>
      <c r="BC282" s="15"/>
      <c r="BD282" s="44"/>
      <c r="BE282" s="15"/>
      <c r="BF282" s="44"/>
      <c r="BG282" s="15">
        <f>(BC282+BE282)</f>
        <v>0</v>
      </c>
    </row>
    <row r="283" spans="1:59" s="8" customFormat="1" ht="22.5" hidden="1" customHeight="1">
      <c r="A283" s="9"/>
      <c r="B283" s="16" t="s">
        <v>204</v>
      </c>
      <c r="C283" s="89" t="s">
        <v>140</v>
      </c>
      <c r="D283" s="109" t="s">
        <v>446</v>
      </c>
      <c r="E283" s="110" t="s">
        <v>237</v>
      </c>
      <c r="F283" s="111" t="s">
        <v>1553</v>
      </c>
      <c r="G283" s="111" t="s">
        <v>1554</v>
      </c>
      <c r="H283" s="96"/>
      <c r="I283" s="9"/>
      <c r="J283" s="9" t="s">
        <v>207</v>
      </c>
      <c r="K283" s="14"/>
      <c r="L283" s="14"/>
      <c r="M283" s="12">
        <v>2209</v>
      </c>
      <c r="N283" s="9"/>
      <c r="O283" s="9"/>
      <c r="P283" s="9"/>
      <c r="Q283" s="38">
        <f>M283+X283-AG283-BB283</f>
        <v>2209</v>
      </c>
      <c r="R283" s="12"/>
      <c r="S283" s="42"/>
      <c r="T283" s="15"/>
      <c r="U283" s="44"/>
      <c r="V283" s="15"/>
      <c r="W283" s="44"/>
      <c r="X283" s="15">
        <f>R283+T283+V283</f>
        <v>0</v>
      </c>
      <c r="Y283" s="15"/>
      <c r="Z283" s="44"/>
      <c r="AA283" s="15"/>
      <c r="AB283" s="44"/>
      <c r="AC283" s="15"/>
      <c r="AD283" s="44"/>
      <c r="AE283" s="15"/>
      <c r="AF283" s="44"/>
      <c r="AG283" s="15">
        <f>(Y283+AA283+AC283+AE283)</f>
        <v>0</v>
      </c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/>
      <c r="BA283" s="42"/>
      <c r="BB283" s="15">
        <f>AH283+AJ283+AL283+AN283+AP283+AR283+AT283+AV283+AX283+AZ283</f>
        <v>0</v>
      </c>
      <c r="BC283" s="15"/>
      <c r="BD283" s="44"/>
      <c r="BE283" s="15"/>
      <c r="BF283" s="44"/>
      <c r="BG283" s="15">
        <f>(BC283+BE283)</f>
        <v>0</v>
      </c>
    </row>
    <row r="284" spans="1:59" s="8" customFormat="1" ht="22.5" hidden="1" customHeight="1">
      <c r="A284" s="9"/>
      <c r="B284" s="16" t="s">
        <v>204</v>
      </c>
      <c r="C284" s="89" t="s">
        <v>140</v>
      </c>
      <c r="D284" s="109" t="s">
        <v>447</v>
      </c>
      <c r="E284" s="110" t="s">
        <v>237</v>
      </c>
      <c r="F284" s="111" t="s">
        <v>1555</v>
      </c>
      <c r="G284" s="111" t="s">
        <v>1556</v>
      </c>
      <c r="H284" s="96"/>
      <c r="I284" s="9"/>
      <c r="J284" s="9" t="s">
        <v>207</v>
      </c>
      <c r="K284" s="14"/>
      <c r="L284" s="14"/>
      <c r="M284" s="12">
        <v>165</v>
      </c>
      <c r="N284" s="9"/>
      <c r="O284" s="9"/>
      <c r="P284" s="9"/>
      <c r="Q284" s="38">
        <f>M284+X284-AG284-BB284</f>
        <v>165</v>
      </c>
      <c r="R284" s="12"/>
      <c r="S284" s="42"/>
      <c r="T284" s="15"/>
      <c r="U284" s="44"/>
      <c r="V284" s="15"/>
      <c r="W284" s="44"/>
      <c r="X284" s="15">
        <f>R284+T284+V284</f>
        <v>0</v>
      </c>
      <c r="Y284" s="15"/>
      <c r="Z284" s="44"/>
      <c r="AA284" s="15"/>
      <c r="AB284" s="44"/>
      <c r="AC284" s="15"/>
      <c r="AD284" s="44"/>
      <c r="AE284" s="15"/>
      <c r="AF284" s="44"/>
      <c r="AG284" s="15">
        <f>(Y284+AA284+AC284+AE284)</f>
        <v>0</v>
      </c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/>
      <c r="BA284" s="42"/>
      <c r="BB284" s="15">
        <f>AH284+AJ284+AL284+AN284+AP284+AR284+AT284+AV284+AX284+AZ284</f>
        <v>0</v>
      </c>
      <c r="BC284" s="15"/>
      <c r="BD284" s="44"/>
      <c r="BE284" s="15"/>
      <c r="BF284" s="44"/>
      <c r="BG284" s="15">
        <f>(BC284+BE284)</f>
        <v>0</v>
      </c>
    </row>
    <row r="285" spans="1:59" s="8" customFormat="1" ht="22.5" hidden="1" customHeight="1">
      <c r="A285" s="9"/>
      <c r="B285" s="16" t="s">
        <v>204</v>
      </c>
      <c r="C285" s="89" t="s">
        <v>140</v>
      </c>
      <c r="D285" s="109" t="s">
        <v>220</v>
      </c>
      <c r="E285" s="110" t="s">
        <v>215</v>
      </c>
      <c r="F285" s="111" t="s">
        <v>1557</v>
      </c>
      <c r="G285" s="111" t="s">
        <v>1558</v>
      </c>
      <c r="H285" s="96"/>
      <c r="I285" s="9"/>
      <c r="J285" s="9" t="s">
        <v>207</v>
      </c>
      <c r="K285" s="14"/>
      <c r="L285" s="14"/>
      <c r="M285" s="12">
        <v>415</v>
      </c>
      <c r="N285" s="9"/>
      <c r="O285" s="9"/>
      <c r="P285" s="9"/>
      <c r="Q285" s="38">
        <f>M285+X285-AG285-BB285</f>
        <v>415</v>
      </c>
      <c r="R285" s="12"/>
      <c r="S285" s="42"/>
      <c r="T285" s="15"/>
      <c r="U285" s="44"/>
      <c r="V285" s="15"/>
      <c r="W285" s="44"/>
      <c r="X285" s="15">
        <f>R285+T285+V285</f>
        <v>0</v>
      </c>
      <c r="Y285" s="15"/>
      <c r="Z285" s="44"/>
      <c r="AA285" s="15"/>
      <c r="AB285" s="44"/>
      <c r="AC285" s="15"/>
      <c r="AD285" s="44"/>
      <c r="AE285" s="15"/>
      <c r="AF285" s="44"/>
      <c r="AG285" s="15">
        <f>(Y285+AA285+AC285+AE285)</f>
        <v>0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/>
      <c r="BA285" s="42"/>
      <c r="BB285" s="15">
        <f>AH285+AJ285+AL285+AN285+AP285+AR285+AT285+AV285+AX285+AZ285</f>
        <v>0</v>
      </c>
      <c r="BC285" s="15"/>
      <c r="BD285" s="44"/>
      <c r="BE285" s="15"/>
      <c r="BF285" s="44"/>
      <c r="BG285" s="15">
        <f>(BC285+BE285)</f>
        <v>0</v>
      </c>
    </row>
    <row r="286" spans="1:59" s="8" customFormat="1" ht="22.5" hidden="1" customHeight="1">
      <c r="A286" s="9"/>
      <c r="B286" s="16" t="s">
        <v>204</v>
      </c>
      <c r="C286" s="89" t="s">
        <v>140</v>
      </c>
      <c r="D286" s="109" t="s">
        <v>449</v>
      </c>
      <c r="E286" s="110" t="s">
        <v>206</v>
      </c>
      <c r="F286" s="111" t="s">
        <v>1559</v>
      </c>
      <c r="G286" s="111" t="s">
        <v>1560</v>
      </c>
      <c r="H286" s="96"/>
      <c r="I286" s="9"/>
      <c r="J286" s="9" t="s">
        <v>207</v>
      </c>
      <c r="K286" s="14"/>
      <c r="L286" s="14"/>
      <c r="M286" s="12">
        <v>2800</v>
      </c>
      <c r="N286" s="9"/>
      <c r="O286" s="9"/>
      <c r="P286" s="9"/>
      <c r="Q286" s="38">
        <f>M286+X286-AG286-BB286</f>
        <v>2800</v>
      </c>
      <c r="R286" s="12"/>
      <c r="S286" s="42"/>
      <c r="T286" s="15"/>
      <c r="U286" s="44"/>
      <c r="V286" s="15"/>
      <c r="W286" s="44"/>
      <c r="X286" s="15">
        <f>R286+T286+V286</f>
        <v>0</v>
      </c>
      <c r="Y286" s="15"/>
      <c r="Z286" s="44"/>
      <c r="AA286" s="15"/>
      <c r="AB286" s="44"/>
      <c r="AC286" s="15"/>
      <c r="AD286" s="44"/>
      <c r="AE286" s="15"/>
      <c r="AF286" s="44"/>
      <c r="AG286" s="15">
        <f>(Y286+AA286+AC286+AE286)</f>
        <v>0</v>
      </c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/>
      <c r="BA286" s="42"/>
      <c r="BB286" s="15">
        <f>AH286+AJ286+AL286+AN286+AP286+AR286+AT286+AV286+AX286+AZ286</f>
        <v>0</v>
      </c>
      <c r="BC286" s="15"/>
      <c r="BD286" s="44"/>
      <c r="BE286" s="15"/>
      <c r="BF286" s="44"/>
      <c r="BG286" s="15">
        <f>(BC286+BE286)</f>
        <v>0</v>
      </c>
    </row>
    <row r="287" spans="1:59" s="8" customFormat="1" ht="22.5" hidden="1" customHeight="1">
      <c r="A287" s="9"/>
      <c r="B287" s="16" t="s">
        <v>204</v>
      </c>
      <c r="C287" s="89" t="s">
        <v>140</v>
      </c>
      <c r="D287" s="109" t="s">
        <v>450</v>
      </c>
      <c r="E287" s="110" t="s">
        <v>206</v>
      </c>
      <c r="F287" s="111" t="s">
        <v>1561</v>
      </c>
      <c r="G287" s="111" t="s">
        <v>1562</v>
      </c>
      <c r="H287" s="96"/>
      <c r="I287" s="9"/>
      <c r="J287" s="9" t="s">
        <v>207</v>
      </c>
      <c r="K287" s="14"/>
      <c r="L287" s="14"/>
      <c r="M287" s="12">
        <v>165</v>
      </c>
      <c r="N287" s="9"/>
      <c r="O287" s="9"/>
      <c r="P287" s="9"/>
      <c r="Q287" s="38">
        <f>M287+X287-AG287-BB287</f>
        <v>165</v>
      </c>
      <c r="R287" s="12"/>
      <c r="S287" s="42"/>
      <c r="T287" s="15"/>
      <c r="U287" s="44"/>
      <c r="V287" s="15"/>
      <c r="W287" s="44"/>
      <c r="X287" s="15">
        <f>R287+T287+V287</f>
        <v>0</v>
      </c>
      <c r="Y287" s="15"/>
      <c r="Z287" s="44"/>
      <c r="AA287" s="15"/>
      <c r="AB287" s="44"/>
      <c r="AC287" s="15"/>
      <c r="AD287" s="44"/>
      <c r="AE287" s="15"/>
      <c r="AF287" s="44"/>
      <c r="AG287" s="15">
        <f>(Y287+AA287+AC287+AE287)</f>
        <v>0</v>
      </c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/>
      <c r="BA287" s="42"/>
      <c r="BB287" s="15">
        <f>AH287+AJ287+AL287+AN287+AP287+AR287+AT287+AV287+AX287+AZ287</f>
        <v>0</v>
      </c>
      <c r="BC287" s="15"/>
      <c r="BD287" s="44"/>
      <c r="BE287" s="15"/>
      <c r="BF287" s="44"/>
      <c r="BG287" s="15">
        <f>(BC287+BE287)</f>
        <v>0</v>
      </c>
    </row>
    <row r="288" spans="1:59" s="8" customFormat="1" ht="22.5" hidden="1" customHeight="1">
      <c r="A288" s="9"/>
      <c r="B288" s="16" t="s">
        <v>204</v>
      </c>
      <c r="C288" s="89" t="s">
        <v>140</v>
      </c>
      <c r="D288" s="109" t="s">
        <v>216</v>
      </c>
      <c r="E288" s="110" t="s">
        <v>217</v>
      </c>
      <c r="F288" s="111" t="s">
        <v>1401</v>
      </c>
      <c r="G288" s="111" t="s">
        <v>1402</v>
      </c>
      <c r="H288" s="96"/>
      <c r="I288" s="9"/>
      <c r="J288" s="9" t="s">
        <v>207</v>
      </c>
      <c r="K288" s="14"/>
      <c r="L288" s="14"/>
      <c r="M288" s="12">
        <v>329</v>
      </c>
      <c r="N288" s="9"/>
      <c r="O288" s="9"/>
      <c r="P288" s="9"/>
      <c r="Q288" s="38">
        <f>M288+X288-AG288-BB288</f>
        <v>329</v>
      </c>
      <c r="R288" s="12"/>
      <c r="S288" s="42"/>
      <c r="T288" s="15"/>
      <c r="U288" s="44"/>
      <c r="V288" s="15"/>
      <c r="W288" s="44"/>
      <c r="X288" s="15">
        <f>R288+T288+V288</f>
        <v>0</v>
      </c>
      <c r="Y288" s="15"/>
      <c r="Z288" s="44"/>
      <c r="AA288" s="15"/>
      <c r="AB288" s="44"/>
      <c r="AC288" s="15"/>
      <c r="AD288" s="44"/>
      <c r="AE288" s="15"/>
      <c r="AF288" s="44"/>
      <c r="AG288" s="15">
        <f>(Y288+AA288+AC288+AE288)</f>
        <v>0</v>
      </c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/>
      <c r="BA288" s="42"/>
      <c r="BB288" s="15">
        <f>AH288+AJ288+AL288+AN288+AP288+AR288+AT288+AV288+AX288+AZ288</f>
        <v>0</v>
      </c>
      <c r="BC288" s="15"/>
      <c r="BD288" s="44"/>
      <c r="BE288" s="15"/>
      <c r="BF288" s="44"/>
      <c r="BG288" s="15">
        <f>(BC288+BE288)</f>
        <v>0</v>
      </c>
    </row>
    <row r="289" spans="1:59" s="8" customFormat="1" ht="22.5" hidden="1" customHeight="1">
      <c r="A289" s="9"/>
      <c r="B289" s="16" t="s">
        <v>204</v>
      </c>
      <c r="C289" s="89" t="s">
        <v>140</v>
      </c>
      <c r="D289" s="109" t="s">
        <v>451</v>
      </c>
      <c r="E289" s="110" t="s">
        <v>206</v>
      </c>
      <c r="F289" s="111" t="s">
        <v>1563</v>
      </c>
      <c r="G289" s="111" t="s">
        <v>1564</v>
      </c>
      <c r="H289" s="96"/>
      <c r="I289" s="9"/>
      <c r="J289" s="9" t="s">
        <v>207</v>
      </c>
      <c r="K289" s="14"/>
      <c r="L289" s="14"/>
      <c r="M289" s="12">
        <v>3031</v>
      </c>
      <c r="N289" s="9"/>
      <c r="O289" s="9"/>
      <c r="P289" s="9"/>
      <c r="Q289" s="38">
        <f>M289+X289-AG289-BB289</f>
        <v>3031</v>
      </c>
      <c r="R289" s="12"/>
      <c r="S289" s="42"/>
      <c r="T289" s="15"/>
      <c r="U289" s="44"/>
      <c r="V289" s="15"/>
      <c r="W289" s="44"/>
      <c r="X289" s="15">
        <f>R289+T289+V289</f>
        <v>0</v>
      </c>
      <c r="Y289" s="15"/>
      <c r="Z289" s="44"/>
      <c r="AA289" s="15"/>
      <c r="AB289" s="44"/>
      <c r="AC289" s="15"/>
      <c r="AD289" s="44"/>
      <c r="AE289" s="15"/>
      <c r="AF289" s="44"/>
      <c r="AG289" s="15">
        <f>(Y289+AA289+AC289+AE289)</f>
        <v>0</v>
      </c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/>
      <c r="BA289" s="42"/>
      <c r="BB289" s="15">
        <f>AH289+AJ289+AL289+AN289+AP289+AR289+AT289+AV289+AX289+AZ289</f>
        <v>0</v>
      </c>
      <c r="BC289" s="15"/>
      <c r="BD289" s="44"/>
      <c r="BE289" s="15"/>
      <c r="BF289" s="44"/>
      <c r="BG289" s="15">
        <f>(BC289+BE289)</f>
        <v>0</v>
      </c>
    </row>
    <row r="290" spans="1:59" s="8" customFormat="1" ht="22.5" hidden="1" customHeight="1">
      <c r="A290" s="9"/>
      <c r="B290" s="16" t="s">
        <v>204</v>
      </c>
      <c r="C290" s="89" t="s">
        <v>140</v>
      </c>
      <c r="D290" s="109" t="s">
        <v>218</v>
      </c>
      <c r="E290" s="110" t="s">
        <v>217</v>
      </c>
      <c r="F290" s="111" t="s">
        <v>1565</v>
      </c>
      <c r="G290" s="111" t="s">
        <v>1566</v>
      </c>
      <c r="H290" s="96"/>
      <c r="I290" s="9"/>
      <c r="J290" s="9" t="s">
        <v>207</v>
      </c>
      <c r="K290" s="14"/>
      <c r="L290" s="14"/>
      <c r="M290" s="12">
        <v>518</v>
      </c>
      <c r="N290" s="9"/>
      <c r="O290" s="9"/>
      <c r="P290" s="9"/>
      <c r="Q290" s="38">
        <f>M290+X290-AG290-BB290</f>
        <v>518</v>
      </c>
      <c r="R290" s="12"/>
      <c r="S290" s="42"/>
      <c r="T290" s="15"/>
      <c r="U290" s="44"/>
      <c r="V290" s="15"/>
      <c r="W290" s="44"/>
      <c r="X290" s="15">
        <f>R290+T290+V290</f>
        <v>0</v>
      </c>
      <c r="Y290" s="15"/>
      <c r="Z290" s="44"/>
      <c r="AA290" s="15"/>
      <c r="AB290" s="44"/>
      <c r="AC290" s="15"/>
      <c r="AD290" s="44"/>
      <c r="AE290" s="15"/>
      <c r="AF290" s="44"/>
      <c r="AG290" s="15">
        <f>(Y290+AA290+AC290+AE290)</f>
        <v>0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/>
      <c r="BA290" s="42"/>
      <c r="BB290" s="15">
        <f>AH290+AJ290+AL290+AN290+AP290+AR290+AT290+AV290+AX290+AZ290</f>
        <v>0</v>
      </c>
      <c r="BC290" s="15"/>
      <c r="BD290" s="44"/>
      <c r="BE290" s="15"/>
      <c r="BF290" s="44"/>
      <c r="BG290" s="15">
        <f>(BC290+BE290)</f>
        <v>0</v>
      </c>
    </row>
    <row r="291" spans="1:59" s="8" customFormat="1" ht="22.5" hidden="1" customHeight="1">
      <c r="A291" s="9"/>
      <c r="B291" s="16" t="s">
        <v>204</v>
      </c>
      <c r="C291" s="89" t="s">
        <v>140</v>
      </c>
      <c r="D291" s="109" t="s">
        <v>1567</v>
      </c>
      <c r="E291" s="110" t="s">
        <v>206</v>
      </c>
      <c r="F291" s="111" t="s">
        <v>1568</v>
      </c>
      <c r="G291" s="111" t="s">
        <v>1569</v>
      </c>
      <c r="H291" s="96"/>
      <c r="I291" s="9"/>
      <c r="J291" s="9" t="s">
        <v>207</v>
      </c>
      <c r="K291" s="14"/>
      <c r="L291" s="14"/>
      <c r="M291" s="12">
        <v>3032</v>
      </c>
      <c r="N291" s="9"/>
      <c r="O291" s="9"/>
      <c r="P291" s="9"/>
      <c r="Q291" s="38">
        <f>M291+X291-AG291-BB291</f>
        <v>3032</v>
      </c>
      <c r="R291" s="12"/>
      <c r="S291" s="42"/>
      <c r="T291" s="15"/>
      <c r="U291" s="44"/>
      <c r="V291" s="15"/>
      <c r="W291" s="44"/>
      <c r="X291" s="15">
        <f>R291+T291+V291</f>
        <v>0</v>
      </c>
      <c r="Y291" s="15"/>
      <c r="Z291" s="44"/>
      <c r="AA291" s="15"/>
      <c r="AB291" s="44"/>
      <c r="AC291" s="15"/>
      <c r="AD291" s="44"/>
      <c r="AE291" s="15"/>
      <c r="AF291" s="44"/>
      <c r="AG291" s="15">
        <f>(Y291+AA291+AC291+AE291)</f>
        <v>0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/>
      <c r="BA291" s="42"/>
      <c r="BB291" s="15">
        <f>AH291+AJ291+AL291+AN291+AP291+AR291+AT291+AV291+AX291+AZ291</f>
        <v>0</v>
      </c>
      <c r="BC291" s="15"/>
      <c r="BD291" s="44"/>
      <c r="BE291" s="15"/>
      <c r="BF291" s="44"/>
      <c r="BG291" s="15">
        <f>(BC291+BE291)</f>
        <v>0</v>
      </c>
    </row>
    <row r="292" spans="1:59" s="8" customFormat="1" ht="22.5" hidden="1" customHeight="1">
      <c r="A292" s="9"/>
      <c r="B292" s="16" t="s">
        <v>204</v>
      </c>
      <c r="C292" s="89" t="s">
        <v>140</v>
      </c>
      <c r="D292" s="109" t="s">
        <v>454</v>
      </c>
      <c r="E292" s="110" t="s">
        <v>217</v>
      </c>
      <c r="F292" s="111" t="s">
        <v>1570</v>
      </c>
      <c r="G292" s="111" t="s">
        <v>1571</v>
      </c>
      <c r="H292" s="96"/>
      <c r="I292" s="9"/>
      <c r="J292" s="9" t="s">
        <v>207</v>
      </c>
      <c r="K292" s="14"/>
      <c r="L292" s="14"/>
      <c r="M292" s="12">
        <v>196</v>
      </c>
      <c r="N292" s="9"/>
      <c r="O292" s="9"/>
      <c r="P292" s="9"/>
      <c r="Q292" s="38">
        <f>M292+X292-AG292-BB292</f>
        <v>196</v>
      </c>
      <c r="R292" s="12"/>
      <c r="S292" s="42"/>
      <c r="T292" s="15"/>
      <c r="U292" s="44"/>
      <c r="V292" s="15"/>
      <c r="W292" s="44"/>
      <c r="X292" s="15">
        <f>R292+T292+V292</f>
        <v>0</v>
      </c>
      <c r="Y292" s="15"/>
      <c r="Z292" s="44"/>
      <c r="AA292" s="15"/>
      <c r="AB292" s="44"/>
      <c r="AC292" s="15"/>
      <c r="AD292" s="44"/>
      <c r="AE292" s="15"/>
      <c r="AF292" s="44"/>
      <c r="AG292" s="15">
        <f>(Y292+AA292+AC292+AE292)</f>
        <v>0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/>
      <c r="BA292" s="42"/>
      <c r="BB292" s="15">
        <f>AH292+AJ292+AL292+AN292+AP292+AR292+AT292+AV292+AX292+AZ292</f>
        <v>0</v>
      </c>
      <c r="BC292" s="15"/>
      <c r="BD292" s="44"/>
      <c r="BE292" s="15"/>
      <c r="BF292" s="44"/>
      <c r="BG292" s="15">
        <f>(BC292+BE292)</f>
        <v>0</v>
      </c>
    </row>
    <row r="293" spans="1:59" s="8" customFormat="1" ht="22.5" hidden="1" customHeight="1">
      <c r="A293" s="9"/>
      <c r="B293" s="16" t="s">
        <v>204</v>
      </c>
      <c r="C293" s="89" t="s">
        <v>140</v>
      </c>
      <c r="D293" s="109" t="s">
        <v>455</v>
      </c>
      <c r="E293" s="110" t="s">
        <v>206</v>
      </c>
      <c r="F293" s="111" t="s">
        <v>1572</v>
      </c>
      <c r="G293" s="111" t="s">
        <v>1573</v>
      </c>
      <c r="H293" s="96"/>
      <c r="I293" s="9"/>
      <c r="J293" s="9" t="s">
        <v>207</v>
      </c>
      <c r="K293" s="14"/>
      <c r="L293" s="14"/>
      <c r="M293" s="12">
        <v>1556</v>
      </c>
      <c r="N293" s="9"/>
      <c r="O293" s="9"/>
      <c r="P293" s="9"/>
      <c r="Q293" s="38">
        <f>M293+X293-AG293-BB293</f>
        <v>1556</v>
      </c>
      <c r="R293" s="12"/>
      <c r="S293" s="42"/>
      <c r="T293" s="15"/>
      <c r="U293" s="44"/>
      <c r="V293" s="15"/>
      <c r="W293" s="44"/>
      <c r="X293" s="15">
        <f>R293+T293+V293</f>
        <v>0</v>
      </c>
      <c r="Y293" s="15"/>
      <c r="Z293" s="44"/>
      <c r="AA293" s="15"/>
      <c r="AB293" s="44"/>
      <c r="AC293" s="15"/>
      <c r="AD293" s="44"/>
      <c r="AE293" s="15"/>
      <c r="AF293" s="44"/>
      <c r="AG293" s="15">
        <f>(Y293+AA293+AC293+AE293)</f>
        <v>0</v>
      </c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/>
      <c r="BA293" s="42"/>
      <c r="BB293" s="15">
        <f>AH293+AJ293+AL293+AN293+AP293+AR293+AT293+AV293+AX293+AZ293</f>
        <v>0</v>
      </c>
      <c r="BC293" s="15"/>
      <c r="BD293" s="44"/>
      <c r="BE293" s="15"/>
      <c r="BF293" s="44"/>
      <c r="BG293" s="15">
        <f>(BC293+BE293)</f>
        <v>0</v>
      </c>
    </row>
    <row r="294" spans="1:59" s="8" customFormat="1" ht="22.5" hidden="1" customHeight="1">
      <c r="A294" s="9"/>
      <c r="B294" s="16" t="s">
        <v>204</v>
      </c>
      <c r="C294" s="89" t="s">
        <v>140</v>
      </c>
      <c r="D294" s="109" t="s">
        <v>456</v>
      </c>
      <c r="E294" s="110" t="s">
        <v>217</v>
      </c>
      <c r="F294" s="111" t="s">
        <v>1574</v>
      </c>
      <c r="G294" s="111" t="s">
        <v>1575</v>
      </c>
      <c r="H294" s="96"/>
      <c r="I294" s="9"/>
      <c r="J294" s="9" t="s">
        <v>207</v>
      </c>
      <c r="K294" s="14"/>
      <c r="L294" s="14"/>
      <c r="M294" s="12">
        <v>375</v>
      </c>
      <c r="N294" s="9"/>
      <c r="O294" s="9"/>
      <c r="P294" s="9"/>
      <c r="Q294" s="38">
        <f>M294+X294-AG294-BB294</f>
        <v>375</v>
      </c>
      <c r="R294" s="12"/>
      <c r="S294" s="42"/>
      <c r="T294" s="15"/>
      <c r="U294" s="44"/>
      <c r="V294" s="15"/>
      <c r="W294" s="44"/>
      <c r="X294" s="15">
        <f>R294+T294+V294</f>
        <v>0</v>
      </c>
      <c r="Y294" s="15"/>
      <c r="Z294" s="44"/>
      <c r="AA294" s="15"/>
      <c r="AB294" s="44"/>
      <c r="AC294" s="15"/>
      <c r="AD294" s="44"/>
      <c r="AE294" s="15"/>
      <c r="AF294" s="44"/>
      <c r="AG294" s="15">
        <f>(Y294+AA294+AC294+AE294)</f>
        <v>0</v>
      </c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/>
      <c r="BA294" s="42"/>
      <c r="BB294" s="15">
        <f>AH294+AJ294+AL294+AN294+AP294+AR294+AT294+AV294+AX294+AZ294</f>
        <v>0</v>
      </c>
      <c r="BC294" s="15"/>
      <c r="BD294" s="44"/>
      <c r="BE294" s="15"/>
      <c r="BF294" s="44"/>
      <c r="BG294" s="15">
        <f>(BC294+BE294)</f>
        <v>0</v>
      </c>
    </row>
    <row r="295" spans="1:59" s="8" customFormat="1" ht="22.5" hidden="1" customHeight="1">
      <c r="A295" s="9"/>
      <c r="B295" s="16" t="s">
        <v>204</v>
      </c>
      <c r="C295" s="89" t="s">
        <v>140</v>
      </c>
      <c r="D295" s="109" t="s">
        <v>457</v>
      </c>
      <c r="E295" s="110" t="s">
        <v>458</v>
      </c>
      <c r="F295" s="111" t="s">
        <v>1576</v>
      </c>
      <c r="G295" s="111" t="s">
        <v>1577</v>
      </c>
      <c r="H295" s="96"/>
      <c r="I295" s="9"/>
      <c r="J295" s="9" t="s">
        <v>207</v>
      </c>
      <c r="K295" s="14"/>
      <c r="L295" s="14"/>
      <c r="M295" s="12">
        <v>78</v>
      </c>
      <c r="N295" s="9"/>
      <c r="O295" s="9"/>
      <c r="P295" s="9"/>
      <c r="Q295" s="38">
        <f>M295+X295-AG295-BB295</f>
        <v>78</v>
      </c>
      <c r="R295" s="12"/>
      <c r="S295" s="42"/>
      <c r="T295" s="15"/>
      <c r="U295" s="44"/>
      <c r="V295" s="15"/>
      <c r="W295" s="44"/>
      <c r="X295" s="15">
        <f>R295+T295+V295</f>
        <v>0</v>
      </c>
      <c r="Y295" s="15"/>
      <c r="Z295" s="44"/>
      <c r="AA295" s="15"/>
      <c r="AB295" s="44"/>
      <c r="AC295" s="15"/>
      <c r="AD295" s="44"/>
      <c r="AE295" s="15"/>
      <c r="AF295" s="44"/>
      <c r="AG295" s="15">
        <f>(Y295+AA295+AC295+AE295)</f>
        <v>0</v>
      </c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/>
      <c r="BA295" s="42"/>
      <c r="BB295" s="15">
        <f>AH295+AJ295+AL295+AN295+AP295+AR295+AT295+AV295+AX295+AZ295</f>
        <v>0</v>
      </c>
      <c r="BC295" s="15"/>
      <c r="BD295" s="44"/>
      <c r="BE295" s="15"/>
      <c r="BF295" s="44"/>
      <c r="BG295" s="15">
        <f>(BC295+BE295)</f>
        <v>0</v>
      </c>
    </row>
    <row r="296" spans="1:59" s="8" customFormat="1" ht="22.5" hidden="1" customHeight="1">
      <c r="A296" s="9"/>
      <c r="B296" s="16" t="s">
        <v>204</v>
      </c>
      <c r="C296" s="89" t="s">
        <v>140</v>
      </c>
      <c r="D296" s="109" t="s">
        <v>459</v>
      </c>
      <c r="E296" s="110" t="s">
        <v>206</v>
      </c>
      <c r="F296" s="111" t="s">
        <v>1578</v>
      </c>
      <c r="G296" s="111" t="s">
        <v>1579</v>
      </c>
      <c r="H296" s="96"/>
      <c r="I296" s="9"/>
      <c r="J296" s="9" t="s">
        <v>207</v>
      </c>
      <c r="K296" s="14"/>
      <c r="L296" s="14"/>
      <c r="M296" s="12">
        <v>3000</v>
      </c>
      <c r="N296" s="9"/>
      <c r="O296" s="9"/>
      <c r="P296" s="9"/>
      <c r="Q296" s="38">
        <f>M296+X296-AG296-BB296</f>
        <v>3000</v>
      </c>
      <c r="R296" s="12"/>
      <c r="S296" s="42"/>
      <c r="T296" s="15"/>
      <c r="U296" s="44"/>
      <c r="V296" s="15"/>
      <c r="W296" s="44"/>
      <c r="X296" s="15">
        <f>R296+T296+V296</f>
        <v>0</v>
      </c>
      <c r="Y296" s="15"/>
      <c r="Z296" s="44"/>
      <c r="AA296" s="15"/>
      <c r="AB296" s="44"/>
      <c r="AC296" s="15"/>
      <c r="AD296" s="44"/>
      <c r="AE296" s="15"/>
      <c r="AF296" s="44"/>
      <c r="AG296" s="15">
        <f>(Y296+AA296+AC296+AE296)</f>
        <v>0</v>
      </c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/>
      <c r="BA296" s="42"/>
      <c r="BB296" s="15">
        <f>AH296+AJ296+AL296+AN296+AP296+AR296+AT296+AV296+AX296+AZ296</f>
        <v>0</v>
      </c>
      <c r="BC296" s="15"/>
      <c r="BD296" s="44"/>
      <c r="BE296" s="15"/>
      <c r="BF296" s="44"/>
      <c r="BG296" s="15">
        <f>(BC296+BE296)</f>
        <v>0</v>
      </c>
    </row>
    <row r="297" spans="1:59" s="8" customFormat="1" ht="22.5" hidden="1" customHeight="1">
      <c r="A297" s="9"/>
      <c r="B297" s="16" t="s">
        <v>204</v>
      </c>
      <c r="C297" s="89" t="s">
        <v>140</v>
      </c>
      <c r="D297" s="109" t="s">
        <v>460</v>
      </c>
      <c r="E297" s="110" t="s">
        <v>215</v>
      </c>
      <c r="F297" s="111" t="s">
        <v>2185</v>
      </c>
      <c r="G297" s="111" t="s">
        <v>1580</v>
      </c>
      <c r="H297" s="96"/>
      <c r="I297" s="9"/>
      <c r="J297" s="9" t="s">
        <v>207</v>
      </c>
      <c r="K297" s="14"/>
      <c r="L297" s="14"/>
      <c r="M297" s="12">
        <v>70</v>
      </c>
      <c r="N297" s="9"/>
      <c r="O297" s="9"/>
      <c r="P297" s="9"/>
      <c r="Q297" s="38">
        <f>M297+X297-AG297-BB297</f>
        <v>70</v>
      </c>
      <c r="R297" s="12"/>
      <c r="S297" s="42"/>
      <c r="T297" s="15"/>
      <c r="U297" s="44"/>
      <c r="V297" s="15"/>
      <c r="W297" s="44"/>
      <c r="X297" s="15">
        <f>R297+T297+V297</f>
        <v>0</v>
      </c>
      <c r="Y297" s="15"/>
      <c r="Z297" s="44"/>
      <c r="AA297" s="15"/>
      <c r="AB297" s="44"/>
      <c r="AC297" s="15"/>
      <c r="AD297" s="44"/>
      <c r="AE297" s="15"/>
      <c r="AF297" s="44"/>
      <c r="AG297" s="15">
        <f>(Y297+AA297+AC297+AE297)</f>
        <v>0</v>
      </c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/>
      <c r="BA297" s="42"/>
      <c r="BB297" s="15">
        <f>AH297+AJ297+AL297+AN297+AP297+AR297+AT297+AV297+AX297+AZ297</f>
        <v>0</v>
      </c>
      <c r="BC297" s="15"/>
      <c r="BD297" s="44"/>
      <c r="BE297" s="15"/>
      <c r="BF297" s="44"/>
      <c r="BG297" s="15">
        <f>(BC297+BE297)</f>
        <v>0</v>
      </c>
    </row>
    <row r="298" spans="1:59" s="8" customFormat="1" ht="22.5" hidden="1" customHeight="1">
      <c r="A298" s="9"/>
      <c r="B298" s="16" t="s">
        <v>204</v>
      </c>
      <c r="C298" s="89" t="s">
        <v>140</v>
      </c>
      <c r="D298" s="109" t="s">
        <v>461</v>
      </c>
      <c r="E298" s="110" t="s">
        <v>215</v>
      </c>
      <c r="F298" s="111" t="s">
        <v>1582</v>
      </c>
      <c r="G298" s="111" t="s">
        <v>1583</v>
      </c>
      <c r="H298" s="96"/>
      <c r="I298" s="9"/>
      <c r="J298" s="9" t="s">
        <v>207</v>
      </c>
      <c r="K298" s="14"/>
      <c r="L298" s="14"/>
      <c r="M298" s="12">
        <v>72</v>
      </c>
      <c r="N298" s="9"/>
      <c r="O298" s="9"/>
      <c r="P298" s="9"/>
      <c r="Q298" s="38">
        <f>M298+X298-AG298-BB298</f>
        <v>72</v>
      </c>
      <c r="R298" s="12"/>
      <c r="S298" s="42"/>
      <c r="T298" s="15"/>
      <c r="U298" s="44"/>
      <c r="V298" s="15"/>
      <c r="W298" s="44"/>
      <c r="X298" s="15">
        <f>R298+T298+V298</f>
        <v>0</v>
      </c>
      <c r="Y298" s="15"/>
      <c r="Z298" s="44"/>
      <c r="AA298" s="15"/>
      <c r="AB298" s="44"/>
      <c r="AC298" s="15"/>
      <c r="AD298" s="44"/>
      <c r="AE298" s="15"/>
      <c r="AF298" s="44"/>
      <c r="AG298" s="15">
        <f>(Y298+AA298+AC298+AE298)</f>
        <v>0</v>
      </c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/>
      <c r="BA298" s="42"/>
      <c r="BB298" s="15">
        <f>AH298+AJ298+AL298+AN298+AP298+AR298+AT298+AV298+AX298+AZ298</f>
        <v>0</v>
      </c>
      <c r="BC298" s="15"/>
      <c r="BD298" s="44"/>
      <c r="BE298" s="15"/>
      <c r="BF298" s="44"/>
      <c r="BG298" s="15">
        <f>(BC298+BE298)</f>
        <v>0</v>
      </c>
    </row>
    <row r="299" spans="1:59" s="8" customFormat="1" ht="22.5" hidden="1" customHeight="1">
      <c r="A299" s="9"/>
      <c r="B299" s="16" t="s">
        <v>204</v>
      </c>
      <c r="C299" s="89" t="s">
        <v>140</v>
      </c>
      <c r="D299" s="109" t="s">
        <v>221</v>
      </c>
      <c r="E299" s="110" t="s">
        <v>215</v>
      </c>
      <c r="F299" s="111" t="s">
        <v>2187</v>
      </c>
      <c r="G299" s="111" t="s">
        <v>1584</v>
      </c>
      <c r="H299" s="96"/>
      <c r="I299" s="9"/>
      <c r="J299" s="9" t="s">
        <v>207</v>
      </c>
      <c r="K299" s="14"/>
      <c r="L299" s="14"/>
      <c r="M299" s="12">
        <v>118</v>
      </c>
      <c r="N299" s="9"/>
      <c r="O299" s="9"/>
      <c r="P299" s="9"/>
      <c r="Q299" s="38">
        <f>M299+X299-AG299-BB299</f>
        <v>118</v>
      </c>
      <c r="R299" s="12"/>
      <c r="S299" s="42"/>
      <c r="T299" s="15"/>
      <c r="U299" s="44"/>
      <c r="V299" s="15"/>
      <c r="W299" s="44"/>
      <c r="X299" s="15">
        <f>R299+T299+V299</f>
        <v>0</v>
      </c>
      <c r="Y299" s="15"/>
      <c r="Z299" s="44"/>
      <c r="AA299" s="15"/>
      <c r="AB299" s="44"/>
      <c r="AC299" s="15"/>
      <c r="AD299" s="44"/>
      <c r="AE299" s="15"/>
      <c r="AF299" s="44"/>
      <c r="AG299" s="15">
        <f>(Y299+AA299+AC299+AE299)</f>
        <v>0</v>
      </c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/>
      <c r="BA299" s="42"/>
      <c r="BB299" s="15">
        <f>AH299+AJ299+AL299+AN299+AP299+AR299+AT299+AV299+AX299+AZ299</f>
        <v>0</v>
      </c>
      <c r="BC299" s="15"/>
      <c r="BD299" s="44"/>
      <c r="BE299" s="15"/>
      <c r="BF299" s="44"/>
      <c r="BG299" s="15">
        <f>(BC299+BE299)</f>
        <v>0</v>
      </c>
    </row>
    <row r="300" spans="1:59" s="8" customFormat="1" ht="22.5" hidden="1" customHeight="1">
      <c r="A300" s="9"/>
      <c r="B300" s="16" t="s">
        <v>204</v>
      </c>
      <c r="C300" s="89" t="s">
        <v>140</v>
      </c>
      <c r="D300" s="109" t="s">
        <v>223</v>
      </c>
      <c r="E300" s="110" t="s">
        <v>215</v>
      </c>
      <c r="F300" s="111" t="s">
        <v>1586</v>
      </c>
      <c r="G300" s="111" t="s">
        <v>1587</v>
      </c>
      <c r="H300" s="96"/>
      <c r="I300" s="9"/>
      <c r="J300" s="9" t="s">
        <v>207</v>
      </c>
      <c r="K300" s="14"/>
      <c r="L300" s="14"/>
      <c r="M300" s="12">
        <v>50</v>
      </c>
      <c r="N300" s="9"/>
      <c r="O300" s="9"/>
      <c r="P300" s="9"/>
      <c r="Q300" s="38">
        <f>M300+X300-AG300-BB300</f>
        <v>50</v>
      </c>
      <c r="R300" s="12"/>
      <c r="S300" s="42"/>
      <c r="T300" s="15"/>
      <c r="U300" s="44"/>
      <c r="V300" s="15"/>
      <c r="W300" s="44"/>
      <c r="X300" s="15">
        <f>R300+T300+V300</f>
        <v>0</v>
      </c>
      <c r="Y300" s="15"/>
      <c r="Z300" s="44"/>
      <c r="AA300" s="15"/>
      <c r="AB300" s="44"/>
      <c r="AC300" s="15"/>
      <c r="AD300" s="44"/>
      <c r="AE300" s="15"/>
      <c r="AF300" s="44"/>
      <c r="AG300" s="15">
        <f>(Y300+AA300+AC300+AE300)</f>
        <v>0</v>
      </c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/>
      <c r="BA300" s="42"/>
      <c r="BB300" s="15">
        <f>AH300+AJ300+AL300+AN300+AP300+AR300+AT300+AV300+AX300+AZ300</f>
        <v>0</v>
      </c>
      <c r="BC300" s="15"/>
      <c r="BD300" s="44"/>
      <c r="BE300" s="15"/>
      <c r="BF300" s="44"/>
      <c r="BG300" s="15">
        <f>(BC300+BE300)</f>
        <v>0</v>
      </c>
    </row>
    <row r="301" spans="1:59" s="8" customFormat="1" ht="22.5" hidden="1" customHeight="1">
      <c r="A301" s="9"/>
      <c r="B301" s="16" t="s">
        <v>155</v>
      </c>
      <c r="C301" s="89" t="s">
        <v>140</v>
      </c>
      <c r="D301" s="109" t="s">
        <v>462</v>
      </c>
      <c r="E301" s="110"/>
      <c r="F301" s="111" t="s">
        <v>1588</v>
      </c>
      <c r="G301" s="111" t="s">
        <v>1589</v>
      </c>
      <c r="H301" s="96"/>
      <c r="I301" s="9"/>
      <c r="J301" s="9" t="s">
        <v>314</v>
      </c>
      <c r="K301" s="14"/>
      <c r="L301" s="14"/>
      <c r="M301" s="12">
        <v>2</v>
      </c>
      <c r="N301" s="9"/>
      <c r="O301" s="9"/>
      <c r="P301" s="9"/>
      <c r="Q301" s="38">
        <f>M301+X301-AG301-BB301</f>
        <v>2</v>
      </c>
      <c r="R301" s="12"/>
      <c r="S301" s="42"/>
      <c r="T301" s="15"/>
      <c r="U301" s="44"/>
      <c r="V301" s="15"/>
      <c r="W301" s="44"/>
      <c r="X301" s="15">
        <f>R301+T301+V301</f>
        <v>0</v>
      </c>
      <c r="Y301" s="15"/>
      <c r="Z301" s="44"/>
      <c r="AA301" s="15"/>
      <c r="AB301" s="44"/>
      <c r="AC301" s="15"/>
      <c r="AD301" s="44"/>
      <c r="AE301" s="15"/>
      <c r="AF301" s="44"/>
      <c r="AG301" s="15">
        <f>(Y301+AA301+AC301+AE301)</f>
        <v>0</v>
      </c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/>
      <c r="BA301" s="42"/>
      <c r="BB301" s="15">
        <f>AH301+AJ301+AL301+AN301+AP301+AR301+AT301+AV301+AX301+AZ301</f>
        <v>0</v>
      </c>
      <c r="BC301" s="15"/>
      <c r="BD301" s="44"/>
      <c r="BE301" s="15"/>
      <c r="BF301" s="44"/>
      <c r="BG301" s="15">
        <f>(BC301+BE301)</f>
        <v>0</v>
      </c>
    </row>
    <row r="302" spans="1:59" s="8" customFormat="1" ht="22.5" hidden="1" customHeight="1">
      <c r="A302" s="9"/>
      <c r="B302" s="16" t="s">
        <v>155</v>
      </c>
      <c r="C302" s="89" t="s">
        <v>140</v>
      </c>
      <c r="D302" s="109" t="s">
        <v>463</v>
      </c>
      <c r="E302" s="110"/>
      <c r="F302" s="111" t="s">
        <v>1590</v>
      </c>
      <c r="G302" s="111" t="s">
        <v>1591</v>
      </c>
      <c r="H302" s="96"/>
      <c r="I302" s="9"/>
      <c r="J302" s="9" t="s">
        <v>314</v>
      </c>
      <c r="K302" s="14"/>
      <c r="L302" s="14"/>
      <c r="M302" s="12">
        <v>0</v>
      </c>
      <c r="N302" s="9"/>
      <c r="O302" s="9"/>
      <c r="P302" s="9"/>
      <c r="Q302" s="38">
        <f>M302+X302-AG302-BB302</f>
        <v>0</v>
      </c>
      <c r="R302" s="12"/>
      <c r="S302" s="42"/>
      <c r="T302" s="15"/>
      <c r="U302" s="44"/>
      <c r="V302" s="15"/>
      <c r="W302" s="44"/>
      <c r="X302" s="15">
        <f>R302+T302+V302</f>
        <v>0</v>
      </c>
      <c r="Y302" s="15"/>
      <c r="Z302" s="44"/>
      <c r="AA302" s="15"/>
      <c r="AB302" s="44"/>
      <c r="AC302" s="15"/>
      <c r="AD302" s="44"/>
      <c r="AE302" s="15"/>
      <c r="AF302" s="44"/>
      <c r="AG302" s="15">
        <f>(Y302+AA302+AC302+AE302)</f>
        <v>0</v>
      </c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/>
      <c r="BA302" s="42"/>
      <c r="BB302" s="15">
        <f>AH302+AJ302+AL302+AN302+AP302+AR302+AT302+AV302+AX302+AZ302</f>
        <v>0</v>
      </c>
      <c r="BC302" s="15"/>
      <c r="BD302" s="44"/>
      <c r="BE302" s="15"/>
      <c r="BF302" s="44"/>
      <c r="BG302" s="15">
        <f>(BC302+BE302)</f>
        <v>0</v>
      </c>
    </row>
    <row r="303" spans="1:59" s="8" customFormat="1" ht="22.5" hidden="1" customHeight="1">
      <c r="A303" s="9"/>
      <c r="B303" s="16" t="s">
        <v>464</v>
      </c>
      <c r="C303" s="89" t="s">
        <v>140</v>
      </c>
      <c r="D303" s="109" t="s">
        <v>465</v>
      </c>
      <c r="E303" s="110" t="s">
        <v>466</v>
      </c>
      <c r="F303" s="111" t="s">
        <v>1592</v>
      </c>
      <c r="G303" s="111" t="s">
        <v>1593</v>
      </c>
      <c r="H303" s="96"/>
      <c r="I303" s="9"/>
      <c r="J303" s="9" t="s">
        <v>467</v>
      </c>
      <c r="K303" s="14"/>
      <c r="L303" s="14"/>
      <c r="M303" s="12">
        <v>0</v>
      </c>
      <c r="N303" s="9"/>
      <c r="O303" s="9"/>
      <c r="P303" s="9"/>
      <c r="Q303" s="38">
        <f>M303+X303-AG303-BB303</f>
        <v>0</v>
      </c>
      <c r="R303" s="12"/>
      <c r="S303" s="42"/>
      <c r="T303" s="15"/>
      <c r="U303" s="44"/>
      <c r="V303" s="15"/>
      <c r="W303" s="44"/>
      <c r="X303" s="15">
        <f>R303+T303+V303</f>
        <v>0</v>
      </c>
      <c r="Y303" s="15"/>
      <c r="Z303" s="44"/>
      <c r="AA303" s="15"/>
      <c r="AB303" s="44"/>
      <c r="AC303" s="15"/>
      <c r="AD303" s="44"/>
      <c r="AE303" s="15"/>
      <c r="AF303" s="44"/>
      <c r="AG303" s="15">
        <f>(Y303+AA303+AC303+AE303)</f>
        <v>0</v>
      </c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/>
      <c r="BA303" s="42"/>
      <c r="BB303" s="15">
        <f>AH303+AJ303+AL303+AN303+AP303+AR303+AT303+AV303+AX303+AZ303</f>
        <v>0</v>
      </c>
      <c r="BC303" s="15"/>
      <c r="BD303" s="44"/>
      <c r="BE303" s="15"/>
      <c r="BF303" s="44"/>
      <c r="BG303" s="15">
        <f>(BC303+BE303)</f>
        <v>0</v>
      </c>
    </row>
    <row r="304" spans="1:59" s="8" customFormat="1" ht="22.5" hidden="1" customHeight="1">
      <c r="A304" s="9"/>
      <c r="B304" s="16" t="s">
        <v>464</v>
      </c>
      <c r="C304" s="89" t="s">
        <v>140</v>
      </c>
      <c r="D304" s="109" t="s">
        <v>468</v>
      </c>
      <c r="E304" s="110" t="s">
        <v>469</v>
      </c>
      <c r="F304" s="111" t="s">
        <v>1594</v>
      </c>
      <c r="G304" s="111" t="s">
        <v>1595</v>
      </c>
      <c r="H304" s="96"/>
      <c r="I304" s="9"/>
      <c r="J304" s="9" t="s">
        <v>467</v>
      </c>
      <c r="K304" s="14"/>
      <c r="L304" s="14"/>
      <c r="M304" s="12">
        <v>273</v>
      </c>
      <c r="N304" s="9"/>
      <c r="O304" s="9"/>
      <c r="P304" s="9"/>
      <c r="Q304" s="38">
        <f>M304+X304-AG304-BB304</f>
        <v>273</v>
      </c>
      <c r="R304" s="12"/>
      <c r="S304" s="42"/>
      <c r="T304" s="15"/>
      <c r="U304" s="44"/>
      <c r="V304" s="15"/>
      <c r="W304" s="44"/>
      <c r="X304" s="15">
        <f>R304+T304+V304</f>
        <v>0</v>
      </c>
      <c r="Y304" s="15"/>
      <c r="Z304" s="44"/>
      <c r="AA304" s="15"/>
      <c r="AB304" s="44"/>
      <c r="AC304" s="15"/>
      <c r="AD304" s="44"/>
      <c r="AE304" s="15"/>
      <c r="AF304" s="44"/>
      <c r="AG304" s="15">
        <f>(Y304+AA304+AC304+AE304)</f>
        <v>0</v>
      </c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/>
      <c r="BA304" s="42"/>
      <c r="BB304" s="15">
        <f>AH304+AJ304+AL304+AN304+AP304+AR304+AT304+AV304+AX304+AZ304</f>
        <v>0</v>
      </c>
      <c r="BC304" s="15"/>
      <c r="BD304" s="44"/>
      <c r="BE304" s="15"/>
      <c r="BF304" s="44"/>
      <c r="BG304" s="15">
        <f>(BC304+BE304)</f>
        <v>0</v>
      </c>
    </row>
    <row r="305" spans="1:59" s="8" customFormat="1" ht="22.5" hidden="1" customHeight="1">
      <c r="A305" s="9"/>
      <c r="B305" s="16" t="s">
        <v>470</v>
      </c>
      <c r="C305" s="89" t="s">
        <v>140</v>
      </c>
      <c r="D305" s="109" t="s">
        <v>471</v>
      </c>
      <c r="E305" s="110"/>
      <c r="F305" s="111" t="s">
        <v>1596</v>
      </c>
      <c r="G305" s="111" t="s">
        <v>1597</v>
      </c>
      <c r="H305" s="96"/>
      <c r="I305" s="9"/>
      <c r="J305" s="9" t="s">
        <v>467</v>
      </c>
      <c r="K305" s="14"/>
      <c r="L305" s="14"/>
      <c r="M305" s="12">
        <v>71</v>
      </c>
      <c r="N305" s="9"/>
      <c r="O305" s="9"/>
      <c r="P305" s="9"/>
      <c r="Q305" s="38">
        <f>M305+X305-AG305-BB305</f>
        <v>71</v>
      </c>
      <c r="R305" s="12"/>
      <c r="S305" s="42"/>
      <c r="T305" s="15"/>
      <c r="U305" s="44"/>
      <c r="V305" s="15"/>
      <c r="W305" s="44"/>
      <c r="X305" s="15">
        <f>R305+T305+V305</f>
        <v>0</v>
      </c>
      <c r="Y305" s="15"/>
      <c r="Z305" s="44"/>
      <c r="AA305" s="15"/>
      <c r="AB305" s="44"/>
      <c r="AC305" s="15"/>
      <c r="AD305" s="44"/>
      <c r="AE305" s="15"/>
      <c r="AF305" s="44"/>
      <c r="AG305" s="15">
        <f>(Y305+AA305+AC305+AE305)</f>
        <v>0</v>
      </c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/>
      <c r="BA305" s="42"/>
      <c r="BB305" s="15">
        <f>AH305+AJ305+AL305+AN305+AP305+AR305+AT305+AV305+AX305+AZ305</f>
        <v>0</v>
      </c>
      <c r="BC305" s="15"/>
      <c r="BD305" s="44"/>
      <c r="BE305" s="15"/>
      <c r="BF305" s="44"/>
      <c r="BG305" s="15">
        <f>(BC305+BE305)</f>
        <v>0</v>
      </c>
    </row>
    <row r="306" spans="1:59" s="8" customFormat="1" ht="22.5" hidden="1" customHeight="1">
      <c r="A306" s="9"/>
      <c r="B306" s="16" t="s">
        <v>472</v>
      </c>
      <c r="C306" s="89" t="s">
        <v>140</v>
      </c>
      <c r="D306" s="109" t="s">
        <v>473</v>
      </c>
      <c r="E306" s="110" t="s">
        <v>474</v>
      </c>
      <c r="F306" s="111" t="s">
        <v>1600</v>
      </c>
      <c r="G306" s="111" t="s">
        <v>1601</v>
      </c>
      <c r="H306" s="96"/>
      <c r="I306" s="9"/>
      <c r="J306" s="9" t="s">
        <v>67</v>
      </c>
      <c r="K306" s="14"/>
      <c r="L306" s="14"/>
      <c r="M306" s="12">
        <v>259</v>
      </c>
      <c r="N306" s="9"/>
      <c r="O306" s="9"/>
      <c r="P306" s="9"/>
      <c r="Q306" s="38">
        <f>M306+X306-AG306-BB306</f>
        <v>259</v>
      </c>
      <c r="R306" s="12"/>
      <c r="S306" s="42"/>
      <c r="T306" s="15"/>
      <c r="U306" s="44"/>
      <c r="V306" s="15"/>
      <c r="W306" s="44"/>
      <c r="X306" s="15">
        <f>R306+T306+V306</f>
        <v>0</v>
      </c>
      <c r="Y306" s="15"/>
      <c r="Z306" s="44"/>
      <c r="AA306" s="15"/>
      <c r="AB306" s="44"/>
      <c r="AC306" s="15"/>
      <c r="AD306" s="44"/>
      <c r="AE306" s="15"/>
      <c r="AF306" s="44"/>
      <c r="AG306" s="15">
        <f>(Y306+AA306+AC306+AE306)</f>
        <v>0</v>
      </c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/>
      <c r="BA306" s="42"/>
      <c r="BB306" s="15">
        <f>AH306+AJ306+AL306+AN306+AP306+AR306+AT306+AV306+AX306+AZ306</f>
        <v>0</v>
      </c>
      <c r="BC306" s="15"/>
      <c r="BD306" s="44"/>
      <c r="BE306" s="15"/>
      <c r="BF306" s="44"/>
      <c r="BG306" s="15">
        <f>(BC306+BE306)</f>
        <v>0</v>
      </c>
    </row>
    <row r="307" spans="1:59" s="8" customFormat="1" ht="22.5" hidden="1" customHeight="1">
      <c r="A307" s="9"/>
      <c r="B307" s="16" t="s">
        <v>472</v>
      </c>
      <c r="C307" s="89" t="s">
        <v>140</v>
      </c>
      <c r="D307" s="109" t="s">
        <v>475</v>
      </c>
      <c r="E307" s="110" t="s">
        <v>476</v>
      </c>
      <c r="F307" s="111" t="s">
        <v>1602</v>
      </c>
      <c r="G307" s="111" t="s">
        <v>1603</v>
      </c>
      <c r="H307" s="96"/>
      <c r="I307" s="9"/>
      <c r="J307" s="9" t="s">
        <v>67</v>
      </c>
      <c r="K307" s="14"/>
      <c r="L307" s="14"/>
      <c r="M307" s="12">
        <v>349</v>
      </c>
      <c r="N307" s="9"/>
      <c r="O307" s="9"/>
      <c r="P307" s="9"/>
      <c r="Q307" s="38">
        <f>M307+X307-AG307-BB307</f>
        <v>349</v>
      </c>
      <c r="R307" s="12"/>
      <c r="S307" s="42"/>
      <c r="T307" s="15"/>
      <c r="U307" s="44"/>
      <c r="V307" s="15"/>
      <c r="W307" s="44"/>
      <c r="X307" s="15">
        <f>R307+T307+V307</f>
        <v>0</v>
      </c>
      <c r="Y307" s="15"/>
      <c r="Z307" s="44"/>
      <c r="AA307" s="15"/>
      <c r="AB307" s="44"/>
      <c r="AC307" s="15"/>
      <c r="AD307" s="44"/>
      <c r="AE307" s="15"/>
      <c r="AF307" s="44"/>
      <c r="AG307" s="15">
        <f>(Y307+AA307+AC307+AE307)</f>
        <v>0</v>
      </c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/>
      <c r="BA307" s="42"/>
      <c r="BB307" s="15">
        <f>AH307+AJ307+AL307+AN307+AP307+AR307+AT307+AV307+AX307+AZ307</f>
        <v>0</v>
      </c>
      <c r="BC307" s="15"/>
      <c r="BD307" s="44"/>
      <c r="BE307" s="15"/>
      <c r="BF307" s="44"/>
      <c r="BG307" s="15">
        <f>(BC307+BE307)</f>
        <v>0</v>
      </c>
    </row>
    <row r="308" spans="1:59" s="8" customFormat="1" ht="22.5" hidden="1" customHeight="1">
      <c r="A308" s="9"/>
      <c r="B308" s="16" t="s">
        <v>477</v>
      </c>
      <c r="C308" s="89" t="s">
        <v>140</v>
      </c>
      <c r="D308" s="109" t="s">
        <v>478</v>
      </c>
      <c r="E308" s="110"/>
      <c r="F308" s="111" t="s">
        <v>1604</v>
      </c>
      <c r="G308" s="111" t="s">
        <v>1605</v>
      </c>
      <c r="H308" s="96"/>
      <c r="I308" s="9"/>
      <c r="J308" s="9" t="s">
        <v>467</v>
      </c>
      <c r="K308" s="14"/>
      <c r="L308" s="14"/>
      <c r="M308" s="12">
        <v>70</v>
      </c>
      <c r="N308" s="9"/>
      <c r="O308" s="9"/>
      <c r="P308" s="9"/>
      <c r="Q308" s="38">
        <f>M308+X308-AG308-BB308</f>
        <v>70</v>
      </c>
      <c r="R308" s="12"/>
      <c r="S308" s="42"/>
      <c r="T308" s="15"/>
      <c r="U308" s="44"/>
      <c r="V308" s="15"/>
      <c r="W308" s="44"/>
      <c r="X308" s="15">
        <f>R308+T308+V308</f>
        <v>0</v>
      </c>
      <c r="Y308" s="15"/>
      <c r="Z308" s="44"/>
      <c r="AA308" s="15"/>
      <c r="AB308" s="44"/>
      <c r="AC308" s="15"/>
      <c r="AD308" s="44"/>
      <c r="AE308" s="15"/>
      <c r="AF308" s="44"/>
      <c r="AG308" s="15">
        <f>(Y308+AA308+AC308+AE308)</f>
        <v>0</v>
      </c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/>
      <c r="BA308" s="42"/>
      <c r="BB308" s="15">
        <f>AH308+AJ308+AL308+AN308+AP308+AR308+AT308+AV308+AX308+AZ308</f>
        <v>0</v>
      </c>
      <c r="BC308" s="15"/>
      <c r="BD308" s="44"/>
      <c r="BE308" s="15"/>
      <c r="BF308" s="44"/>
      <c r="BG308" s="15">
        <f>(BC308+BE308)</f>
        <v>0</v>
      </c>
    </row>
    <row r="309" spans="1:59" s="8" customFormat="1" ht="22.5" hidden="1" customHeight="1">
      <c r="A309" s="9"/>
      <c r="B309" s="16" t="s">
        <v>477</v>
      </c>
      <c r="C309" s="89" t="s">
        <v>140</v>
      </c>
      <c r="D309" s="109" t="s">
        <v>479</v>
      </c>
      <c r="E309" s="110"/>
      <c r="F309" s="111" t="s">
        <v>1606</v>
      </c>
      <c r="G309" s="111" t="s">
        <v>1607</v>
      </c>
      <c r="H309" s="96"/>
      <c r="I309" s="9"/>
      <c r="J309" s="9" t="s">
        <v>467</v>
      </c>
      <c r="K309" s="14"/>
      <c r="L309" s="14"/>
      <c r="M309" s="12">
        <v>67</v>
      </c>
      <c r="N309" s="9"/>
      <c r="O309" s="9"/>
      <c r="P309" s="9"/>
      <c r="Q309" s="38">
        <f>M309+X309-AG309-BB309</f>
        <v>67</v>
      </c>
      <c r="R309" s="12"/>
      <c r="S309" s="42"/>
      <c r="T309" s="15"/>
      <c r="U309" s="44"/>
      <c r="V309" s="15"/>
      <c r="W309" s="44"/>
      <c r="X309" s="15">
        <f>R309+T309+V309</f>
        <v>0</v>
      </c>
      <c r="Y309" s="15"/>
      <c r="Z309" s="44"/>
      <c r="AA309" s="15"/>
      <c r="AB309" s="44"/>
      <c r="AC309" s="15"/>
      <c r="AD309" s="44"/>
      <c r="AE309" s="15"/>
      <c r="AF309" s="44"/>
      <c r="AG309" s="15">
        <f>(Y309+AA309+AC309+AE309)</f>
        <v>0</v>
      </c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/>
      <c r="BA309" s="42"/>
      <c r="BB309" s="15">
        <f>AH309+AJ309+AL309+AN309+AP309+AR309+AT309+AV309+AX309+AZ309</f>
        <v>0</v>
      </c>
      <c r="BC309" s="15"/>
      <c r="BD309" s="44"/>
      <c r="BE309" s="15"/>
      <c r="BF309" s="44"/>
      <c r="BG309" s="15">
        <f>(BC309+BE309)</f>
        <v>0</v>
      </c>
    </row>
    <row r="310" spans="1:59" s="8" customFormat="1" ht="22.5" hidden="1" customHeight="1">
      <c r="A310" s="9"/>
      <c r="B310" s="16" t="s">
        <v>477</v>
      </c>
      <c r="C310" s="89" t="s">
        <v>140</v>
      </c>
      <c r="D310" s="109" t="s">
        <v>480</v>
      </c>
      <c r="E310" s="110" t="s">
        <v>481</v>
      </c>
      <c r="F310" s="111" t="s">
        <v>1608</v>
      </c>
      <c r="G310" s="111" t="s">
        <v>1609</v>
      </c>
      <c r="H310" s="96"/>
      <c r="I310" s="9"/>
      <c r="J310" s="9" t="s">
        <v>482</v>
      </c>
      <c r="K310" s="14"/>
      <c r="L310" s="14"/>
      <c r="M310" s="12">
        <v>82</v>
      </c>
      <c r="N310" s="9"/>
      <c r="O310" s="9"/>
      <c r="P310" s="9"/>
      <c r="Q310" s="38">
        <f>M310+X310-AG310-BB310</f>
        <v>82</v>
      </c>
      <c r="R310" s="12"/>
      <c r="S310" s="42"/>
      <c r="T310" s="15"/>
      <c r="U310" s="44"/>
      <c r="V310" s="15"/>
      <c r="W310" s="44"/>
      <c r="X310" s="15">
        <f>R310+T310+V310</f>
        <v>0</v>
      </c>
      <c r="Y310" s="15"/>
      <c r="Z310" s="44"/>
      <c r="AA310" s="15"/>
      <c r="AB310" s="44"/>
      <c r="AC310" s="15"/>
      <c r="AD310" s="44"/>
      <c r="AE310" s="15"/>
      <c r="AF310" s="44"/>
      <c r="AG310" s="15">
        <f>(Y310+AA310+AC310+AE310)</f>
        <v>0</v>
      </c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/>
      <c r="BA310" s="42"/>
      <c r="BB310" s="15">
        <f>AH310+AJ310+AL310+AN310+AP310+AR310+AT310+AV310+AX310+AZ310</f>
        <v>0</v>
      </c>
      <c r="BC310" s="15"/>
      <c r="BD310" s="44"/>
      <c r="BE310" s="15"/>
      <c r="BF310" s="44"/>
      <c r="BG310" s="15">
        <f>(BC310+BE310)</f>
        <v>0</v>
      </c>
    </row>
    <row r="311" spans="1:59" s="8" customFormat="1" ht="22.5" hidden="1" customHeight="1">
      <c r="A311" s="9"/>
      <c r="B311" s="16" t="s">
        <v>483</v>
      </c>
      <c r="C311" s="89" t="s">
        <v>140</v>
      </c>
      <c r="D311" s="109" t="s">
        <v>484</v>
      </c>
      <c r="E311" s="110" t="s">
        <v>485</v>
      </c>
      <c r="F311" s="111" t="s">
        <v>1612</v>
      </c>
      <c r="G311" s="111" t="s">
        <v>1613</v>
      </c>
      <c r="H311" s="96"/>
      <c r="I311" s="9"/>
      <c r="J311" s="9" t="s">
        <v>467</v>
      </c>
      <c r="K311" s="14"/>
      <c r="L311" s="14"/>
      <c r="M311" s="12">
        <v>0</v>
      </c>
      <c r="N311" s="9"/>
      <c r="O311" s="9"/>
      <c r="P311" s="9"/>
      <c r="Q311" s="38">
        <f>M311+X311-AG311-BB311</f>
        <v>0</v>
      </c>
      <c r="R311" s="12"/>
      <c r="S311" s="42"/>
      <c r="T311" s="15"/>
      <c r="U311" s="44"/>
      <c r="V311" s="15"/>
      <c r="W311" s="44"/>
      <c r="X311" s="15">
        <f>R311+T311+V311</f>
        <v>0</v>
      </c>
      <c r="Y311" s="15"/>
      <c r="Z311" s="44"/>
      <c r="AA311" s="15"/>
      <c r="AB311" s="44"/>
      <c r="AC311" s="15"/>
      <c r="AD311" s="44"/>
      <c r="AE311" s="15"/>
      <c r="AF311" s="44"/>
      <c r="AG311" s="15">
        <f>(Y311+AA311+AC311+AE311)</f>
        <v>0</v>
      </c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/>
      <c r="BA311" s="42"/>
      <c r="BB311" s="15">
        <f>AH311+AJ311+AL311+AN311+AP311+AR311+AT311+AV311+AX311+AZ311</f>
        <v>0</v>
      </c>
      <c r="BC311" s="15"/>
      <c r="BD311" s="44"/>
      <c r="BE311" s="15"/>
      <c r="BF311" s="44"/>
      <c r="BG311" s="15">
        <f>(BC311+BE311)</f>
        <v>0</v>
      </c>
    </row>
    <row r="312" spans="1:59" s="8" customFormat="1" ht="22.5" hidden="1" customHeight="1">
      <c r="A312" s="9"/>
      <c r="B312" s="16" t="s">
        <v>486</v>
      </c>
      <c r="C312" s="89" t="s">
        <v>140</v>
      </c>
      <c r="D312" s="109" t="s">
        <v>487</v>
      </c>
      <c r="E312" s="110"/>
      <c r="F312" s="111" t="s">
        <v>1614</v>
      </c>
      <c r="G312" s="111" t="s">
        <v>1615</v>
      </c>
      <c r="H312" s="96"/>
      <c r="I312" s="9"/>
      <c r="J312" s="9" t="s">
        <v>467</v>
      </c>
      <c r="K312" s="14"/>
      <c r="L312" s="14"/>
      <c r="M312" s="12"/>
      <c r="N312" s="9"/>
      <c r="O312" s="9"/>
      <c r="P312" s="9"/>
      <c r="Q312" s="38">
        <f>M312+X312-AG312-BB312</f>
        <v>0</v>
      </c>
      <c r="R312" s="12"/>
      <c r="S312" s="42"/>
      <c r="T312" s="15"/>
      <c r="U312" s="44"/>
      <c r="V312" s="15"/>
      <c r="W312" s="44"/>
      <c r="X312" s="15">
        <f>R312+T312+V312</f>
        <v>0</v>
      </c>
      <c r="Y312" s="15"/>
      <c r="Z312" s="44"/>
      <c r="AA312" s="15"/>
      <c r="AB312" s="44"/>
      <c r="AC312" s="15"/>
      <c r="AD312" s="44"/>
      <c r="AE312" s="15"/>
      <c r="AF312" s="44"/>
      <c r="AG312" s="15">
        <f>(Y312+AA312+AC312+AE312)</f>
        <v>0</v>
      </c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/>
      <c r="BA312" s="42"/>
      <c r="BB312" s="15">
        <f>AH312+AJ312+AL312+AN312+AP312+AR312+AT312+AV312+AX312+AZ312</f>
        <v>0</v>
      </c>
      <c r="BC312" s="15"/>
      <c r="BD312" s="44"/>
      <c r="BE312" s="15"/>
      <c r="BF312" s="44"/>
      <c r="BG312" s="15">
        <f>(BC312+BE312)</f>
        <v>0</v>
      </c>
    </row>
    <row r="313" spans="1:59" s="8" customFormat="1" ht="22.5" hidden="1" customHeight="1">
      <c r="A313" s="9"/>
      <c r="B313" s="16" t="s">
        <v>486</v>
      </c>
      <c r="C313" s="89" t="s">
        <v>140</v>
      </c>
      <c r="D313" s="109" t="s">
        <v>488</v>
      </c>
      <c r="E313" s="110"/>
      <c r="F313" s="111" t="s">
        <v>1616</v>
      </c>
      <c r="G313" s="111" t="s">
        <v>1617</v>
      </c>
      <c r="H313" s="96"/>
      <c r="I313" s="9"/>
      <c r="J313" s="9" t="s">
        <v>467</v>
      </c>
      <c r="K313" s="14"/>
      <c r="L313" s="14"/>
      <c r="M313" s="12"/>
      <c r="N313" s="9"/>
      <c r="O313" s="9"/>
      <c r="P313" s="9"/>
      <c r="Q313" s="38">
        <f>M313+X313-AG313-BB313</f>
        <v>0</v>
      </c>
      <c r="R313" s="12"/>
      <c r="S313" s="42"/>
      <c r="T313" s="15"/>
      <c r="U313" s="44"/>
      <c r="V313" s="15"/>
      <c r="W313" s="44"/>
      <c r="X313" s="15">
        <f>R313+T313+V313</f>
        <v>0</v>
      </c>
      <c r="Y313" s="15"/>
      <c r="Z313" s="44"/>
      <c r="AA313" s="15"/>
      <c r="AB313" s="44"/>
      <c r="AC313" s="15"/>
      <c r="AD313" s="44"/>
      <c r="AE313" s="15"/>
      <c r="AF313" s="44"/>
      <c r="AG313" s="15">
        <f>(Y313+AA313+AC313+AE313)</f>
        <v>0</v>
      </c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/>
      <c r="BA313" s="42"/>
      <c r="BB313" s="15">
        <f>AH313+AJ313+AL313+AN313+AP313+AR313+AT313+AV313+AX313+AZ313</f>
        <v>0</v>
      </c>
      <c r="BC313" s="15"/>
      <c r="BD313" s="44"/>
      <c r="BE313" s="15"/>
      <c r="BF313" s="44"/>
      <c r="BG313" s="15">
        <f>(BC313+BE313)</f>
        <v>0</v>
      </c>
    </row>
    <row r="314" spans="1:59" s="8" customFormat="1" ht="22.5" hidden="1" customHeight="1">
      <c r="A314" s="9"/>
      <c r="B314" s="16" t="s">
        <v>489</v>
      </c>
      <c r="C314" s="89" t="s">
        <v>140</v>
      </c>
      <c r="D314" s="109" t="s">
        <v>490</v>
      </c>
      <c r="E314" s="110" t="s">
        <v>206</v>
      </c>
      <c r="F314" s="111" t="s">
        <v>1618</v>
      </c>
      <c r="G314" s="111" t="s">
        <v>1619</v>
      </c>
      <c r="H314" s="96"/>
      <c r="I314" s="9"/>
      <c r="J314" s="9" t="s">
        <v>207</v>
      </c>
      <c r="K314" s="14"/>
      <c r="L314" s="14"/>
      <c r="M314" s="12">
        <v>410</v>
      </c>
      <c r="N314" s="9"/>
      <c r="O314" s="9"/>
      <c r="P314" s="9"/>
      <c r="Q314" s="38">
        <f>M314+X314-AG314-BB314</f>
        <v>410</v>
      </c>
      <c r="R314" s="12"/>
      <c r="S314" s="42"/>
      <c r="T314" s="15"/>
      <c r="U314" s="44"/>
      <c r="V314" s="15"/>
      <c r="W314" s="44"/>
      <c r="X314" s="15">
        <f>R314+T314+V314</f>
        <v>0</v>
      </c>
      <c r="Y314" s="15"/>
      <c r="Z314" s="44"/>
      <c r="AA314" s="15"/>
      <c r="AB314" s="44"/>
      <c r="AC314" s="15"/>
      <c r="AD314" s="44"/>
      <c r="AE314" s="15"/>
      <c r="AF314" s="44"/>
      <c r="AG314" s="15">
        <f>(Y314+AA314+AC314+AE314)</f>
        <v>0</v>
      </c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/>
      <c r="BA314" s="42"/>
      <c r="BB314" s="15">
        <f>AH314+AJ314+AL314+AN314+AP314+AR314+AT314+AV314+AX314+AZ314</f>
        <v>0</v>
      </c>
      <c r="BC314" s="15"/>
      <c r="BD314" s="44"/>
      <c r="BE314" s="15"/>
      <c r="BF314" s="44"/>
      <c r="BG314" s="15">
        <f>(BC314+BE314)</f>
        <v>0</v>
      </c>
    </row>
    <row r="315" spans="1:59" s="8" customFormat="1" ht="22.5" hidden="1" customHeight="1">
      <c r="A315" s="9"/>
      <c r="B315" s="16" t="s">
        <v>244</v>
      </c>
      <c r="C315" s="89" t="s">
        <v>140</v>
      </c>
      <c r="D315" s="109" t="s">
        <v>491</v>
      </c>
      <c r="E315" s="110" t="s">
        <v>492</v>
      </c>
      <c r="F315" s="133" t="s">
        <v>1620</v>
      </c>
      <c r="G315" s="133" t="s">
        <v>1621</v>
      </c>
      <c r="H315" s="96"/>
      <c r="I315" s="9"/>
      <c r="J315" s="9" t="s">
        <v>247</v>
      </c>
      <c r="K315" s="14"/>
      <c r="L315" s="14"/>
      <c r="M315" s="12">
        <v>9</v>
      </c>
      <c r="N315" s="9"/>
      <c r="O315" s="9"/>
      <c r="P315" s="9"/>
      <c r="Q315" s="38">
        <f>M315+X315-AG315-BB315</f>
        <v>9</v>
      </c>
      <c r="R315" s="12"/>
      <c r="S315" s="42"/>
      <c r="T315" s="15"/>
      <c r="U315" s="44"/>
      <c r="V315" s="15"/>
      <c r="W315" s="44"/>
      <c r="X315" s="15">
        <f>R315+T315+V315</f>
        <v>0</v>
      </c>
      <c r="Y315" s="15"/>
      <c r="Z315" s="44"/>
      <c r="AA315" s="15"/>
      <c r="AB315" s="44"/>
      <c r="AC315" s="15"/>
      <c r="AD315" s="44"/>
      <c r="AE315" s="15"/>
      <c r="AF315" s="44"/>
      <c r="AG315" s="15">
        <f>(Y315+AA315+AC315+AE315)</f>
        <v>0</v>
      </c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/>
      <c r="BA315" s="42"/>
      <c r="BB315" s="15">
        <f>AH315+AJ315+AL315+AN315+AP315+AR315+AT315+AV315+AX315+AZ315</f>
        <v>0</v>
      </c>
      <c r="BC315" s="15"/>
      <c r="BD315" s="44"/>
      <c r="BE315" s="15"/>
      <c r="BF315" s="44"/>
      <c r="BG315" s="15">
        <f>(BC315+BE315)</f>
        <v>0</v>
      </c>
    </row>
    <row r="316" spans="1:59" s="8" customFormat="1" ht="22.5" hidden="1" customHeight="1">
      <c r="A316" s="9"/>
      <c r="B316" s="16" t="s">
        <v>244</v>
      </c>
      <c r="C316" s="89" t="s">
        <v>140</v>
      </c>
      <c r="D316" s="109" t="s">
        <v>1622</v>
      </c>
      <c r="E316" s="110" t="s">
        <v>492</v>
      </c>
      <c r="F316" s="111" t="s">
        <v>1623</v>
      </c>
      <c r="G316" s="111" t="s">
        <v>1624</v>
      </c>
      <c r="H316" s="96"/>
      <c r="I316" s="9"/>
      <c r="J316" s="9" t="s">
        <v>247</v>
      </c>
      <c r="K316" s="14"/>
      <c r="L316" s="14"/>
      <c r="M316" s="12">
        <v>144</v>
      </c>
      <c r="N316" s="9"/>
      <c r="O316" s="9"/>
      <c r="P316" s="9"/>
      <c r="Q316" s="38">
        <f>M316+X316-AG316-BB316</f>
        <v>144</v>
      </c>
      <c r="R316" s="12"/>
      <c r="S316" s="42"/>
      <c r="T316" s="15"/>
      <c r="U316" s="44"/>
      <c r="V316" s="15"/>
      <c r="W316" s="44"/>
      <c r="X316" s="15">
        <f>R316+T316+V316</f>
        <v>0</v>
      </c>
      <c r="Y316" s="15"/>
      <c r="Z316" s="44"/>
      <c r="AA316" s="15"/>
      <c r="AB316" s="44"/>
      <c r="AC316" s="15"/>
      <c r="AD316" s="44"/>
      <c r="AE316" s="15"/>
      <c r="AF316" s="44"/>
      <c r="AG316" s="15">
        <f>(Y316+AA316+AC316+AE316)</f>
        <v>0</v>
      </c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/>
      <c r="BA316" s="42"/>
      <c r="BB316" s="15">
        <f>AH316+AJ316+AL316+AN316+AP316+AR316+AT316+AV316+AX316+AZ316</f>
        <v>0</v>
      </c>
      <c r="BC316" s="15"/>
      <c r="BD316" s="44"/>
      <c r="BE316" s="15"/>
      <c r="BF316" s="44"/>
      <c r="BG316" s="15">
        <f>(BC316+BE316)</f>
        <v>0</v>
      </c>
    </row>
    <row r="317" spans="1:59" s="8" customFormat="1" ht="22.5" hidden="1" customHeight="1">
      <c r="A317" s="9"/>
      <c r="B317" s="16" t="s">
        <v>172</v>
      </c>
      <c r="C317" s="89" t="s">
        <v>1625</v>
      </c>
      <c r="D317" s="109" t="s">
        <v>1626</v>
      </c>
      <c r="E317" s="110"/>
      <c r="F317" s="111" t="s">
        <v>1627</v>
      </c>
      <c r="G317" s="111" t="s">
        <v>1628</v>
      </c>
      <c r="H317" s="96"/>
      <c r="I317" s="9"/>
      <c r="J317" s="9" t="s">
        <v>67</v>
      </c>
      <c r="K317" s="14"/>
      <c r="L317" s="14"/>
      <c r="M317" s="12">
        <v>207</v>
      </c>
      <c r="N317" s="9"/>
      <c r="O317" s="9"/>
      <c r="P317" s="9"/>
      <c r="Q317" s="38">
        <f>M317+X317-AG317-BB317</f>
        <v>207</v>
      </c>
      <c r="R317" s="12"/>
      <c r="S317" s="42"/>
      <c r="T317" s="15"/>
      <c r="U317" s="44"/>
      <c r="V317" s="15"/>
      <c r="W317" s="44"/>
      <c r="X317" s="15">
        <f>R317+T317+V317</f>
        <v>0</v>
      </c>
      <c r="Y317" s="15"/>
      <c r="Z317" s="44"/>
      <c r="AA317" s="15"/>
      <c r="AB317" s="44"/>
      <c r="AC317" s="15"/>
      <c r="AD317" s="44"/>
      <c r="AE317" s="15"/>
      <c r="AF317" s="44"/>
      <c r="AG317" s="15">
        <f>(Y317+AA317+AC317+AE317)</f>
        <v>0</v>
      </c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/>
      <c r="BA317" s="42"/>
      <c r="BB317" s="15">
        <f>AH317+AJ317+AL317+AN317+AP317+AR317+AT317+AV317+AX317+AZ317</f>
        <v>0</v>
      </c>
      <c r="BC317" s="15"/>
      <c r="BD317" s="44"/>
      <c r="BE317" s="15"/>
      <c r="BF317" s="44"/>
      <c r="BG317" s="15">
        <f>(BC317+BE317)</f>
        <v>0</v>
      </c>
    </row>
    <row r="318" spans="1:59" s="8" customFormat="1" ht="22.5" hidden="1" customHeight="1">
      <c r="A318" s="9"/>
      <c r="B318" s="16" t="s">
        <v>172</v>
      </c>
      <c r="C318" s="89" t="s">
        <v>494</v>
      </c>
      <c r="D318" s="109" t="s">
        <v>498</v>
      </c>
      <c r="E318" s="110" t="s">
        <v>499</v>
      </c>
      <c r="F318" s="133" t="s">
        <v>1629</v>
      </c>
      <c r="G318" s="133" t="s">
        <v>1630</v>
      </c>
      <c r="H318" s="96"/>
      <c r="I318" s="9"/>
      <c r="J318" s="9" t="s">
        <v>67</v>
      </c>
      <c r="K318" s="14"/>
      <c r="L318" s="14"/>
      <c r="M318" s="12"/>
      <c r="N318" s="9"/>
      <c r="O318" s="9"/>
      <c r="P318" s="9"/>
      <c r="Q318" s="38">
        <f>M318+X318-AG318-BB318</f>
        <v>0</v>
      </c>
      <c r="R318" s="12"/>
      <c r="S318" s="42"/>
      <c r="T318" s="15"/>
      <c r="U318" s="44"/>
      <c r="V318" s="15"/>
      <c r="W318" s="44"/>
      <c r="X318" s="15">
        <f>R318+T318+V318</f>
        <v>0</v>
      </c>
      <c r="Y318" s="15"/>
      <c r="Z318" s="44"/>
      <c r="AA318" s="15"/>
      <c r="AB318" s="44"/>
      <c r="AC318" s="15"/>
      <c r="AD318" s="44"/>
      <c r="AE318" s="15"/>
      <c r="AF318" s="44"/>
      <c r="AG318" s="15">
        <f>(Y318+AA318+AC318+AE318)</f>
        <v>0</v>
      </c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/>
      <c r="BA318" s="42"/>
      <c r="BB318" s="15">
        <f>AH318+AJ318+AL318+AN318+AP318+AR318+AT318+AV318+AX318+AZ318</f>
        <v>0</v>
      </c>
      <c r="BC318" s="15"/>
      <c r="BD318" s="44"/>
      <c r="BE318" s="15"/>
      <c r="BF318" s="44"/>
      <c r="BG318" s="15">
        <f>(BC318+BE318)</f>
        <v>0</v>
      </c>
    </row>
    <row r="319" spans="1:59" s="8" customFormat="1" ht="22.5" hidden="1" customHeight="1">
      <c r="A319" s="9"/>
      <c r="B319" s="16" t="s">
        <v>172</v>
      </c>
      <c r="C319" s="89" t="s">
        <v>52</v>
      </c>
      <c r="D319" s="109" t="s">
        <v>502</v>
      </c>
      <c r="E319" s="110"/>
      <c r="F319" s="111" t="s">
        <v>1631</v>
      </c>
      <c r="G319" s="111" t="s">
        <v>1632</v>
      </c>
      <c r="H319" s="96"/>
      <c r="I319" s="9"/>
      <c r="J319" s="9" t="s">
        <v>67</v>
      </c>
      <c r="K319" s="14"/>
      <c r="L319" s="14"/>
      <c r="M319" s="12">
        <v>318</v>
      </c>
      <c r="N319" s="9"/>
      <c r="O319" s="9"/>
      <c r="P319" s="9"/>
      <c r="Q319" s="38">
        <f>M319+X319-AG319-BB319</f>
        <v>318</v>
      </c>
      <c r="R319" s="12"/>
      <c r="S319" s="42"/>
      <c r="T319" s="15"/>
      <c r="U319" s="44"/>
      <c r="V319" s="15"/>
      <c r="W319" s="44"/>
      <c r="X319" s="15">
        <f>R319+T319+V319</f>
        <v>0</v>
      </c>
      <c r="Y319" s="15"/>
      <c r="Z319" s="44"/>
      <c r="AA319" s="15"/>
      <c r="AB319" s="44"/>
      <c r="AC319" s="15"/>
      <c r="AD319" s="44"/>
      <c r="AE319" s="15"/>
      <c r="AF319" s="44"/>
      <c r="AG319" s="15">
        <f>(Y319+AA319+AC319+AE319)</f>
        <v>0</v>
      </c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/>
      <c r="BA319" s="42"/>
      <c r="BB319" s="15">
        <f>AH319+AJ319+AL319+AN319+AP319+AR319+AT319+AV319+AX319+AZ319</f>
        <v>0</v>
      </c>
      <c r="BC319" s="15"/>
      <c r="BD319" s="44"/>
      <c r="BE319" s="15"/>
      <c r="BF319" s="44"/>
      <c r="BG319" s="15">
        <f>(BC319+BE319)</f>
        <v>0</v>
      </c>
    </row>
    <row r="320" spans="1:59" s="8" customFormat="1" ht="22.5" hidden="1" customHeight="1">
      <c r="A320" s="9"/>
      <c r="B320" s="16" t="s">
        <v>172</v>
      </c>
      <c r="C320" s="89" t="s">
        <v>52</v>
      </c>
      <c r="D320" s="109" t="s">
        <v>416</v>
      </c>
      <c r="E320" s="110"/>
      <c r="F320" s="111" t="s">
        <v>1633</v>
      </c>
      <c r="G320" s="111" t="s">
        <v>1634</v>
      </c>
      <c r="H320" s="96"/>
      <c r="I320" s="9"/>
      <c r="J320" s="9" t="s">
        <v>67</v>
      </c>
      <c r="K320" s="14"/>
      <c r="L320" s="14"/>
      <c r="M320" s="12">
        <v>242</v>
      </c>
      <c r="N320" s="9"/>
      <c r="O320" s="9"/>
      <c r="P320" s="9"/>
      <c r="Q320" s="38">
        <f>M320+X320-AG320-BB320</f>
        <v>242</v>
      </c>
      <c r="R320" s="12"/>
      <c r="S320" s="42"/>
      <c r="T320" s="15"/>
      <c r="U320" s="44"/>
      <c r="V320" s="15"/>
      <c r="W320" s="44"/>
      <c r="X320" s="15">
        <f>R320+T320+V320</f>
        <v>0</v>
      </c>
      <c r="Y320" s="15"/>
      <c r="Z320" s="44"/>
      <c r="AA320" s="15"/>
      <c r="AB320" s="44"/>
      <c r="AC320" s="15"/>
      <c r="AD320" s="44"/>
      <c r="AE320" s="15"/>
      <c r="AF320" s="44"/>
      <c r="AG320" s="15">
        <f>(Y320+AA320+AC320+AE320)</f>
        <v>0</v>
      </c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/>
      <c r="BA320" s="42"/>
      <c r="BB320" s="15">
        <f>AH320+AJ320+AL320+AN320+AP320+AR320+AT320+AV320+AX320+AZ320</f>
        <v>0</v>
      </c>
      <c r="BC320" s="15"/>
      <c r="BD320" s="44"/>
      <c r="BE320" s="15"/>
      <c r="BF320" s="44"/>
      <c r="BG320" s="15">
        <f>(BC320+BE320)</f>
        <v>0</v>
      </c>
    </row>
    <row r="321" spans="1:59" s="8" customFormat="1" ht="22.5" hidden="1" customHeight="1">
      <c r="A321" s="9"/>
      <c r="B321" s="16" t="s">
        <v>172</v>
      </c>
      <c r="C321" s="89" t="s">
        <v>52</v>
      </c>
      <c r="D321" s="109" t="s">
        <v>503</v>
      </c>
      <c r="E321" s="110"/>
      <c r="F321" s="111" t="s">
        <v>1635</v>
      </c>
      <c r="G321" s="111" t="s">
        <v>1636</v>
      </c>
      <c r="H321" s="96"/>
      <c r="I321" s="9"/>
      <c r="J321" s="9" t="s">
        <v>67</v>
      </c>
      <c r="K321" s="14"/>
      <c r="L321" s="14"/>
      <c r="M321" s="12">
        <v>296</v>
      </c>
      <c r="N321" s="9"/>
      <c r="O321" s="9"/>
      <c r="P321" s="9"/>
      <c r="Q321" s="38">
        <f>M321+X321-AG321-BB321</f>
        <v>296</v>
      </c>
      <c r="R321" s="12"/>
      <c r="S321" s="42"/>
      <c r="T321" s="15"/>
      <c r="U321" s="44"/>
      <c r="V321" s="15"/>
      <c r="W321" s="44"/>
      <c r="X321" s="15">
        <f>R321+T321+V321</f>
        <v>0</v>
      </c>
      <c r="Y321" s="15"/>
      <c r="Z321" s="44"/>
      <c r="AA321" s="15"/>
      <c r="AB321" s="44"/>
      <c r="AC321" s="15"/>
      <c r="AD321" s="44"/>
      <c r="AE321" s="15"/>
      <c r="AF321" s="44"/>
      <c r="AG321" s="15">
        <f>(Y321+AA321+AC321+AE321)</f>
        <v>0</v>
      </c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/>
      <c r="BA321" s="42"/>
      <c r="BB321" s="15">
        <f>AH321+AJ321+AL321+AN321+AP321+AR321+AT321+AV321+AX321+AZ321</f>
        <v>0</v>
      </c>
      <c r="BC321" s="15"/>
      <c r="BD321" s="44"/>
      <c r="BE321" s="15"/>
      <c r="BF321" s="44"/>
      <c r="BG321" s="15">
        <f>(BC321+BE321)</f>
        <v>0</v>
      </c>
    </row>
    <row r="322" spans="1:59" s="8" customFormat="1" ht="22.5" hidden="1" customHeight="1">
      <c r="A322" s="9"/>
      <c r="B322" s="16" t="s">
        <v>172</v>
      </c>
      <c r="C322" s="89" t="s">
        <v>52</v>
      </c>
      <c r="D322" s="109" t="s">
        <v>504</v>
      </c>
      <c r="E322" s="110"/>
      <c r="F322" s="111" t="s">
        <v>1637</v>
      </c>
      <c r="G322" s="111" t="s">
        <v>1638</v>
      </c>
      <c r="H322" s="96"/>
      <c r="I322" s="9"/>
      <c r="J322" s="9" t="s">
        <v>67</v>
      </c>
      <c r="K322" s="14"/>
      <c r="L322" s="14"/>
      <c r="M322" s="12">
        <v>100</v>
      </c>
      <c r="N322" s="9"/>
      <c r="O322" s="9"/>
      <c r="P322" s="9"/>
      <c r="Q322" s="38">
        <f>M322+X322-AG322-BB322</f>
        <v>100</v>
      </c>
      <c r="R322" s="12"/>
      <c r="S322" s="42"/>
      <c r="T322" s="15"/>
      <c r="U322" s="44"/>
      <c r="V322" s="15"/>
      <c r="W322" s="44"/>
      <c r="X322" s="15">
        <f>R322+T322+V322</f>
        <v>0</v>
      </c>
      <c r="Y322" s="15"/>
      <c r="Z322" s="44"/>
      <c r="AA322" s="15"/>
      <c r="AB322" s="44"/>
      <c r="AC322" s="15"/>
      <c r="AD322" s="44"/>
      <c r="AE322" s="15"/>
      <c r="AF322" s="44"/>
      <c r="AG322" s="15">
        <f>(Y322+AA322+AC322+AE322)</f>
        <v>0</v>
      </c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/>
      <c r="BA322" s="42"/>
      <c r="BB322" s="15">
        <f>AH322+AJ322+AL322+AN322+AP322+AR322+AT322+AV322+AX322+AZ322</f>
        <v>0</v>
      </c>
      <c r="BC322" s="15"/>
      <c r="BD322" s="44"/>
      <c r="BE322" s="15"/>
      <c r="BF322" s="44"/>
      <c r="BG322" s="15">
        <f>(BC322+BE322)</f>
        <v>0</v>
      </c>
    </row>
    <row r="323" spans="1:59" s="8" customFormat="1" ht="22.5" hidden="1" customHeight="1">
      <c r="A323" s="9"/>
      <c r="B323" s="16" t="s">
        <v>172</v>
      </c>
      <c r="C323" s="89" t="s">
        <v>52</v>
      </c>
      <c r="D323" s="109" t="s">
        <v>505</v>
      </c>
      <c r="E323" s="110"/>
      <c r="F323" s="111" t="s">
        <v>1639</v>
      </c>
      <c r="G323" s="111" t="s">
        <v>1640</v>
      </c>
      <c r="H323" s="96"/>
      <c r="I323" s="9"/>
      <c r="J323" s="9" t="s">
        <v>67</v>
      </c>
      <c r="K323" s="14"/>
      <c r="L323" s="14"/>
      <c r="M323" s="12">
        <v>398</v>
      </c>
      <c r="N323" s="9"/>
      <c r="O323" s="9"/>
      <c r="P323" s="9"/>
      <c r="Q323" s="38">
        <f>M323+X323-AG323-BB323</f>
        <v>398</v>
      </c>
      <c r="R323" s="12"/>
      <c r="S323" s="42"/>
      <c r="T323" s="15"/>
      <c r="U323" s="44"/>
      <c r="V323" s="15"/>
      <c r="W323" s="44"/>
      <c r="X323" s="15">
        <f>R323+T323+V323</f>
        <v>0</v>
      </c>
      <c r="Y323" s="15"/>
      <c r="Z323" s="44"/>
      <c r="AA323" s="15"/>
      <c r="AB323" s="44"/>
      <c r="AC323" s="15"/>
      <c r="AD323" s="44"/>
      <c r="AE323" s="15"/>
      <c r="AF323" s="44"/>
      <c r="AG323" s="15">
        <f>(Y323+AA323+AC323+AE323)</f>
        <v>0</v>
      </c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/>
      <c r="BA323" s="42"/>
      <c r="BB323" s="15">
        <f>AH323+AJ323+AL323+AN323+AP323+AR323+AT323+AV323+AX323+AZ323</f>
        <v>0</v>
      </c>
      <c r="BC323" s="15"/>
      <c r="BD323" s="44"/>
      <c r="BE323" s="15"/>
      <c r="BF323" s="44"/>
      <c r="BG323" s="15">
        <f>(BC323+BE323)</f>
        <v>0</v>
      </c>
    </row>
    <row r="324" spans="1:59" s="8" customFormat="1" ht="22.5" hidden="1" customHeight="1">
      <c r="A324" s="9"/>
      <c r="B324" s="16" t="s">
        <v>172</v>
      </c>
      <c r="C324" s="89" t="s">
        <v>52</v>
      </c>
      <c r="D324" s="109" t="s">
        <v>506</v>
      </c>
      <c r="E324" s="110"/>
      <c r="F324" s="111" t="s">
        <v>1641</v>
      </c>
      <c r="G324" s="111" t="s">
        <v>1642</v>
      </c>
      <c r="H324" s="96"/>
      <c r="I324" s="9"/>
      <c r="J324" s="9" t="s">
        <v>67</v>
      </c>
      <c r="K324" s="14"/>
      <c r="L324" s="14"/>
      <c r="M324" s="12"/>
      <c r="N324" s="9"/>
      <c r="O324" s="9"/>
      <c r="P324" s="9"/>
      <c r="Q324" s="38">
        <f>M324+X324-AG324-BB324</f>
        <v>0</v>
      </c>
      <c r="R324" s="12"/>
      <c r="S324" s="42"/>
      <c r="T324" s="15"/>
      <c r="U324" s="44"/>
      <c r="V324" s="15"/>
      <c r="W324" s="44"/>
      <c r="X324" s="15">
        <f>R324+T324+V324</f>
        <v>0</v>
      </c>
      <c r="Y324" s="15"/>
      <c r="Z324" s="44"/>
      <c r="AA324" s="15"/>
      <c r="AB324" s="44"/>
      <c r="AC324" s="15"/>
      <c r="AD324" s="44"/>
      <c r="AE324" s="15"/>
      <c r="AF324" s="44"/>
      <c r="AG324" s="15">
        <f>(Y324+AA324+AC324+AE324)</f>
        <v>0</v>
      </c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/>
      <c r="BA324" s="42"/>
      <c r="BB324" s="15">
        <f>AH324+AJ324+AL324+AN324+AP324+AR324+AT324+AV324+AX324+AZ324</f>
        <v>0</v>
      </c>
      <c r="BC324" s="15"/>
      <c r="BD324" s="44"/>
      <c r="BE324" s="15"/>
      <c r="BF324" s="44"/>
      <c r="BG324" s="15">
        <f>(BC324+BE324)</f>
        <v>0</v>
      </c>
    </row>
    <row r="325" spans="1:59" s="8" customFormat="1" ht="22.5" hidden="1" customHeight="1">
      <c r="A325" s="9"/>
      <c r="B325" s="16" t="s">
        <v>120</v>
      </c>
      <c r="C325" s="89" t="s">
        <v>507</v>
      </c>
      <c r="D325" s="109" t="s">
        <v>1643</v>
      </c>
      <c r="E325" s="110" t="s">
        <v>509</v>
      </c>
      <c r="F325" s="133" t="s">
        <v>1644</v>
      </c>
      <c r="G325" s="133" t="s">
        <v>1645</v>
      </c>
      <c r="H325" s="96"/>
      <c r="I325" s="9"/>
      <c r="J325" s="9" t="s">
        <v>67</v>
      </c>
      <c r="K325" s="14"/>
      <c r="L325" s="14"/>
      <c r="M325" s="12">
        <v>169</v>
      </c>
      <c r="N325" s="9"/>
      <c r="O325" s="9"/>
      <c r="P325" s="9"/>
      <c r="Q325" s="38">
        <f>M325+X325-AG325-BB325</f>
        <v>169</v>
      </c>
      <c r="R325" s="12"/>
      <c r="S325" s="42"/>
      <c r="T325" s="15"/>
      <c r="U325" s="44"/>
      <c r="V325" s="15"/>
      <c r="W325" s="44"/>
      <c r="X325" s="15">
        <f>R325+T325+V325</f>
        <v>0</v>
      </c>
      <c r="Y325" s="15"/>
      <c r="Z325" s="44"/>
      <c r="AA325" s="15"/>
      <c r="AB325" s="44"/>
      <c r="AC325" s="15"/>
      <c r="AD325" s="44"/>
      <c r="AE325" s="15"/>
      <c r="AF325" s="44"/>
      <c r="AG325" s="15">
        <f>(Y325+AA325+AC325+AE325)</f>
        <v>0</v>
      </c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/>
      <c r="BA325" s="42"/>
      <c r="BB325" s="15">
        <f>AH325+AJ325+AL325+AN325+AP325+AR325+AT325+AV325+AX325+AZ325</f>
        <v>0</v>
      </c>
      <c r="BC325" s="15"/>
      <c r="BD325" s="44"/>
      <c r="BE325" s="15"/>
      <c r="BF325" s="44"/>
      <c r="BG325" s="15">
        <f>(BC325+BE325)</f>
        <v>0</v>
      </c>
    </row>
    <row r="326" spans="1:59" s="8" customFormat="1" ht="22.5" hidden="1" customHeight="1">
      <c r="A326" s="9"/>
      <c r="B326" s="16" t="s">
        <v>120</v>
      </c>
      <c r="C326" s="89" t="s">
        <v>1625</v>
      </c>
      <c r="D326" s="109" t="s">
        <v>194</v>
      </c>
      <c r="E326" s="110" t="s">
        <v>2199</v>
      </c>
      <c r="F326" s="133" t="s">
        <v>2200</v>
      </c>
      <c r="G326" s="133" t="s">
        <v>1646</v>
      </c>
      <c r="H326" s="96"/>
      <c r="I326" s="9"/>
      <c r="J326" s="9" t="s">
        <v>67</v>
      </c>
      <c r="K326" s="14"/>
      <c r="L326" s="14"/>
      <c r="M326" s="12"/>
      <c r="N326" s="9"/>
      <c r="O326" s="9"/>
      <c r="P326" s="9"/>
      <c r="Q326" s="38">
        <f>M326+X326-AG326-BB326</f>
        <v>0</v>
      </c>
      <c r="R326" s="12"/>
      <c r="S326" s="42"/>
      <c r="T326" s="15"/>
      <c r="U326" s="44"/>
      <c r="V326" s="15"/>
      <c r="W326" s="44"/>
      <c r="X326" s="15">
        <f>R326+T326+V326</f>
        <v>0</v>
      </c>
      <c r="Y326" s="15"/>
      <c r="Z326" s="44"/>
      <c r="AA326" s="15"/>
      <c r="AB326" s="44"/>
      <c r="AC326" s="15"/>
      <c r="AD326" s="44"/>
      <c r="AE326" s="15"/>
      <c r="AF326" s="44"/>
      <c r="AG326" s="15">
        <f>(Y326+AA326+AC326+AE326)</f>
        <v>0</v>
      </c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/>
      <c r="BA326" s="42"/>
      <c r="BB326" s="15">
        <f>AH326+AJ326+AL326+AN326+AP326+AR326+AT326+AV326+AX326+AZ326</f>
        <v>0</v>
      </c>
      <c r="BC326" s="15"/>
      <c r="BD326" s="44"/>
      <c r="BE326" s="15"/>
      <c r="BF326" s="44"/>
      <c r="BG326" s="15">
        <f>(BC326+BE326)</f>
        <v>0</v>
      </c>
    </row>
    <row r="327" spans="1:59" s="8" customFormat="1" ht="22.5" hidden="1" customHeight="1">
      <c r="A327" s="9"/>
      <c r="B327" s="16" t="s">
        <v>120</v>
      </c>
      <c r="C327" s="89" t="s">
        <v>1625</v>
      </c>
      <c r="D327" s="109" t="s">
        <v>263</v>
      </c>
      <c r="E327" s="110" t="s">
        <v>511</v>
      </c>
      <c r="F327" s="111" t="s">
        <v>1648</v>
      </c>
      <c r="G327" s="111" t="s">
        <v>1649</v>
      </c>
      <c r="H327" s="96"/>
      <c r="I327" s="9"/>
      <c r="J327" s="9" t="s">
        <v>67</v>
      </c>
      <c r="K327" s="14"/>
      <c r="L327" s="14"/>
      <c r="M327" s="12">
        <v>200</v>
      </c>
      <c r="N327" s="9"/>
      <c r="O327" s="9"/>
      <c r="P327" s="9"/>
      <c r="Q327" s="38">
        <f>M327+X327-AG327-BB327</f>
        <v>200</v>
      </c>
      <c r="R327" s="12"/>
      <c r="S327" s="42"/>
      <c r="T327" s="15"/>
      <c r="U327" s="44"/>
      <c r="V327" s="15"/>
      <c r="W327" s="44"/>
      <c r="X327" s="15">
        <f>R327+T327+V327</f>
        <v>0</v>
      </c>
      <c r="Y327" s="15"/>
      <c r="Z327" s="44"/>
      <c r="AA327" s="15"/>
      <c r="AB327" s="44"/>
      <c r="AC327" s="15"/>
      <c r="AD327" s="44"/>
      <c r="AE327" s="15"/>
      <c r="AF327" s="44"/>
      <c r="AG327" s="15">
        <f>(Y327+AA327+AC327+AE327)</f>
        <v>0</v>
      </c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/>
      <c r="BA327" s="42"/>
      <c r="BB327" s="15">
        <f>AH327+AJ327+AL327+AN327+AP327+AR327+AT327+AV327+AX327+AZ327</f>
        <v>0</v>
      </c>
      <c r="BC327" s="15"/>
      <c r="BD327" s="44"/>
      <c r="BE327" s="15"/>
      <c r="BF327" s="44"/>
      <c r="BG327" s="15">
        <f>(BC327+BE327)</f>
        <v>0</v>
      </c>
    </row>
    <row r="328" spans="1:59" s="8" customFormat="1" ht="22.5" hidden="1" customHeight="1">
      <c r="A328" s="9"/>
      <c r="B328" s="16" t="s">
        <v>120</v>
      </c>
      <c r="C328" s="89" t="s">
        <v>52</v>
      </c>
      <c r="D328" s="109" t="s">
        <v>265</v>
      </c>
      <c r="E328" s="110" t="s">
        <v>512</v>
      </c>
      <c r="F328" s="111" t="s">
        <v>1650</v>
      </c>
      <c r="G328" s="111" t="s">
        <v>1651</v>
      </c>
      <c r="H328" s="96"/>
      <c r="I328" s="9"/>
      <c r="J328" s="9" t="s">
        <v>67</v>
      </c>
      <c r="K328" s="14"/>
      <c r="L328" s="14"/>
      <c r="M328" s="12">
        <v>333</v>
      </c>
      <c r="N328" s="9"/>
      <c r="O328" s="9"/>
      <c r="P328" s="9"/>
      <c r="Q328" s="38">
        <f>M328+X328-AG328-BB328</f>
        <v>333</v>
      </c>
      <c r="R328" s="12"/>
      <c r="S328" s="42"/>
      <c r="T328" s="15"/>
      <c r="U328" s="44"/>
      <c r="V328" s="15"/>
      <c r="W328" s="44"/>
      <c r="X328" s="15">
        <f>R328+T328+V328</f>
        <v>0</v>
      </c>
      <c r="Y328" s="15"/>
      <c r="Z328" s="44"/>
      <c r="AA328" s="15"/>
      <c r="AB328" s="44"/>
      <c r="AC328" s="15"/>
      <c r="AD328" s="44"/>
      <c r="AE328" s="15"/>
      <c r="AF328" s="44"/>
      <c r="AG328" s="15">
        <f>(Y328+AA328+AC328+AE328)</f>
        <v>0</v>
      </c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/>
      <c r="BA328" s="42"/>
      <c r="BB328" s="15">
        <f>AH328+AJ328+AL328+AN328+AP328+AR328+AT328+AV328+AX328+AZ328</f>
        <v>0</v>
      </c>
      <c r="BC328" s="15"/>
      <c r="BD328" s="44"/>
      <c r="BE328" s="15"/>
      <c r="BF328" s="44"/>
      <c r="BG328" s="15">
        <f>(BC328+BE328)</f>
        <v>0</v>
      </c>
    </row>
    <row r="329" spans="1:59" s="8" customFormat="1" ht="22.5" hidden="1" customHeight="1">
      <c r="A329" s="9"/>
      <c r="B329" s="16" t="s">
        <v>120</v>
      </c>
      <c r="C329" s="89" t="s">
        <v>52</v>
      </c>
      <c r="D329" s="109" t="s">
        <v>198</v>
      </c>
      <c r="E329" s="110" t="s">
        <v>513</v>
      </c>
      <c r="F329" s="111" t="s">
        <v>1652</v>
      </c>
      <c r="G329" s="111" t="s">
        <v>1653</v>
      </c>
      <c r="H329" s="96"/>
      <c r="I329" s="9"/>
      <c r="J329" s="9" t="s">
        <v>67</v>
      </c>
      <c r="K329" s="14"/>
      <c r="L329" s="14"/>
      <c r="M329" s="12"/>
      <c r="N329" s="9"/>
      <c r="O329" s="9"/>
      <c r="P329" s="9"/>
      <c r="Q329" s="38">
        <f>M329+X329-AG329-BB329</f>
        <v>0</v>
      </c>
      <c r="R329" s="12"/>
      <c r="S329" s="42"/>
      <c r="T329" s="15"/>
      <c r="U329" s="44"/>
      <c r="V329" s="15"/>
      <c r="W329" s="44"/>
      <c r="X329" s="15">
        <f>R329+T329+V329</f>
        <v>0</v>
      </c>
      <c r="Y329" s="15"/>
      <c r="Z329" s="44"/>
      <c r="AA329" s="15"/>
      <c r="AB329" s="44"/>
      <c r="AC329" s="15"/>
      <c r="AD329" s="44"/>
      <c r="AE329" s="15"/>
      <c r="AF329" s="44"/>
      <c r="AG329" s="15">
        <f>(Y329+AA329+AC329+AE329)</f>
        <v>0</v>
      </c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/>
      <c r="BA329" s="42"/>
      <c r="BB329" s="15">
        <f>AH329+AJ329+AL329+AN329+AP329+AR329+AT329+AV329+AX329+AZ329</f>
        <v>0</v>
      </c>
      <c r="BC329" s="15"/>
      <c r="BD329" s="44"/>
      <c r="BE329" s="15"/>
      <c r="BF329" s="44"/>
      <c r="BG329" s="15">
        <f>(BC329+BE329)</f>
        <v>0</v>
      </c>
    </row>
    <row r="330" spans="1:59" s="8" customFormat="1" ht="22.5" hidden="1" customHeight="1">
      <c r="A330" s="9"/>
      <c r="B330" s="16" t="s">
        <v>120</v>
      </c>
      <c r="C330" s="89" t="s">
        <v>494</v>
      </c>
      <c r="D330" s="109" t="s">
        <v>514</v>
      </c>
      <c r="E330" s="110" t="s">
        <v>515</v>
      </c>
      <c r="F330" s="111" t="s">
        <v>1654</v>
      </c>
      <c r="G330" s="111" t="s">
        <v>1655</v>
      </c>
      <c r="H330" s="96"/>
      <c r="I330" s="9"/>
      <c r="J330" s="9" t="s">
        <v>67</v>
      </c>
      <c r="K330" s="14"/>
      <c r="L330" s="14"/>
      <c r="M330" s="12">
        <v>234</v>
      </c>
      <c r="N330" s="9"/>
      <c r="O330" s="9"/>
      <c r="P330" s="9"/>
      <c r="Q330" s="38">
        <f>M330+X330-AG330-BB330</f>
        <v>234</v>
      </c>
      <c r="R330" s="12"/>
      <c r="S330" s="42"/>
      <c r="T330" s="15"/>
      <c r="U330" s="44"/>
      <c r="V330" s="15"/>
      <c r="W330" s="44"/>
      <c r="X330" s="15">
        <f>R330+T330+V330</f>
        <v>0</v>
      </c>
      <c r="Y330" s="15"/>
      <c r="Z330" s="44"/>
      <c r="AA330" s="15"/>
      <c r="AB330" s="44"/>
      <c r="AC330" s="15"/>
      <c r="AD330" s="44"/>
      <c r="AE330" s="15"/>
      <c r="AF330" s="44"/>
      <c r="AG330" s="15">
        <f>(Y330+AA330+AC330+AE330)</f>
        <v>0</v>
      </c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/>
      <c r="BA330" s="42"/>
      <c r="BB330" s="15">
        <f>AH330+AJ330+AL330+AN330+AP330+AR330+AT330+AV330+AX330+AZ330</f>
        <v>0</v>
      </c>
      <c r="BC330" s="15"/>
      <c r="BD330" s="44"/>
      <c r="BE330" s="15"/>
      <c r="BF330" s="44"/>
      <c r="BG330" s="15">
        <f>(BC330+BE330)</f>
        <v>0</v>
      </c>
    </row>
    <row r="331" spans="1:59" s="8" customFormat="1" ht="22.5" hidden="1" customHeight="1">
      <c r="A331" s="9"/>
      <c r="B331" s="16" t="s">
        <v>120</v>
      </c>
      <c r="C331" s="89" t="s">
        <v>494</v>
      </c>
      <c r="D331" s="109" t="s">
        <v>200</v>
      </c>
      <c r="E331" s="110" t="s">
        <v>516</v>
      </c>
      <c r="F331" s="111" t="s">
        <v>1656</v>
      </c>
      <c r="G331" s="111" t="s">
        <v>1657</v>
      </c>
      <c r="H331" s="96"/>
      <c r="I331" s="9"/>
      <c r="J331" s="9" t="s">
        <v>67</v>
      </c>
      <c r="K331" s="14"/>
      <c r="L331" s="14"/>
      <c r="M331" s="12"/>
      <c r="N331" s="9"/>
      <c r="O331" s="9"/>
      <c r="P331" s="9"/>
      <c r="Q331" s="38">
        <f>M331+X331-AG331-BB331</f>
        <v>0</v>
      </c>
      <c r="R331" s="12"/>
      <c r="S331" s="42"/>
      <c r="T331" s="15"/>
      <c r="U331" s="44"/>
      <c r="V331" s="15"/>
      <c r="W331" s="44"/>
      <c r="X331" s="15">
        <f>R331+T331+V331</f>
        <v>0</v>
      </c>
      <c r="Y331" s="15"/>
      <c r="Z331" s="44"/>
      <c r="AA331" s="15"/>
      <c r="AB331" s="44"/>
      <c r="AC331" s="15"/>
      <c r="AD331" s="44"/>
      <c r="AE331" s="15"/>
      <c r="AF331" s="44"/>
      <c r="AG331" s="15">
        <f>(Y331+AA331+AC331+AE331)</f>
        <v>0</v>
      </c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/>
      <c r="BA331" s="42"/>
      <c r="BB331" s="15">
        <f>AH331+AJ331+AL331+AN331+AP331+AR331+AT331+AV331+AX331+AZ331</f>
        <v>0</v>
      </c>
      <c r="BC331" s="15"/>
      <c r="BD331" s="44"/>
      <c r="BE331" s="15"/>
      <c r="BF331" s="44"/>
      <c r="BG331" s="15">
        <f>(BC331+BE331)</f>
        <v>0</v>
      </c>
    </row>
    <row r="332" spans="1:59" s="8" customFormat="1" ht="22.5" hidden="1" customHeight="1">
      <c r="A332" s="9"/>
      <c r="B332" s="16" t="s">
        <v>120</v>
      </c>
      <c r="C332" s="89" t="s">
        <v>494</v>
      </c>
      <c r="D332" s="109" t="s">
        <v>517</v>
      </c>
      <c r="E332" s="110" t="s">
        <v>518</v>
      </c>
      <c r="F332" s="133" t="s">
        <v>1658</v>
      </c>
      <c r="G332" s="133" t="s">
        <v>1659</v>
      </c>
      <c r="H332" s="96"/>
      <c r="I332" s="9"/>
      <c r="J332" s="9" t="s">
        <v>67</v>
      </c>
      <c r="K332" s="14"/>
      <c r="L332" s="14"/>
      <c r="M332" s="12">
        <v>500</v>
      </c>
      <c r="N332" s="9"/>
      <c r="O332" s="9"/>
      <c r="P332" s="9"/>
      <c r="Q332" s="38">
        <f>M332+X332-AG332-BB332</f>
        <v>500</v>
      </c>
      <c r="R332" s="12"/>
      <c r="S332" s="42"/>
      <c r="T332" s="15"/>
      <c r="U332" s="44"/>
      <c r="V332" s="15"/>
      <c r="W332" s="44"/>
      <c r="X332" s="15">
        <f>R332+T332+V332</f>
        <v>0</v>
      </c>
      <c r="Y332" s="15"/>
      <c r="Z332" s="44"/>
      <c r="AA332" s="15"/>
      <c r="AB332" s="44"/>
      <c r="AC332" s="15"/>
      <c r="AD332" s="44"/>
      <c r="AE332" s="15"/>
      <c r="AF332" s="44"/>
      <c r="AG332" s="15">
        <f>(Y332+AA332+AC332+AE332)</f>
        <v>0</v>
      </c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/>
      <c r="BA332" s="42"/>
      <c r="BB332" s="15">
        <f>AH332+AJ332+AL332+AN332+AP332+AR332+AT332+AV332+AX332+AZ332</f>
        <v>0</v>
      </c>
      <c r="BC332" s="15"/>
      <c r="BD332" s="44"/>
      <c r="BE332" s="15"/>
      <c r="BF332" s="44"/>
      <c r="BG332" s="15">
        <f>(BC332+BE332)</f>
        <v>0</v>
      </c>
    </row>
    <row r="333" spans="1:59" s="8" customFormat="1" ht="22.5" hidden="1" customHeight="1">
      <c r="A333" s="9"/>
      <c r="B333" s="16" t="s">
        <v>120</v>
      </c>
      <c r="C333" s="89" t="s">
        <v>494</v>
      </c>
      <c r="D333" s="109" t="s">
        <v>519</v>
      </c>
      <c r="E333" s="110" t="s">
        <v>520</v>
      </c>
      <c r="F333" s="111" t="s">
        <v>1660</v>
      </c>
      <c r="G333" s="111" t="s">
        <v>1661</v>
      </c>
      <c r="H333" s="96"/>
      <c r="I333" s="9"/>
      <c r="J333" s="9" t="s">
        <v>67</v>
      </c>
      <c r="K333" s="14"/>
      <c r="L333" s="14"/>
      <c r="M333" s="12">
        <v>483</v>
      </c>
      <c r="N333" s="9"/>
      <c r="O333" s="9"/>
      <c r="P333" s="9"/>
      <c r="Q333" s="38">
        <f>M333+X333-AG333-BB333</f>
        <v>483</v>
      </c>
      <c r="R333" s="12"/>
      <c r="S333" s="42"/>
      <c r="T333" s="15"/>
      <c r="U333" s="44"/>
      <c r="V333" s="15"/>
      <c r="W333" s="44"/>
      <c r="X333" s="15">
        <f>R333+T333+V333</f>
        <v>0</v>
      </c>
      <c r="Y333" s="15"/>
      <c r="Z333" s="44"/>
      <c r="AA333" s="15"/>
      <c r="AB333" s="44"/>
      <c r="AC333" s="15"/>
      <c r="AD333" s="44"/>
      <c r="AE333" s="15"/>
      <c r="AF333" s="44"/>
      <c r="AG333" s="15">
        <f>(Y333+AA333+AC333+AE333)</f>
        <v>0</v>
      </c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/>
      <c r="BA333" s="42"/>
      <c r="BB333" s="15">
        <f>AH333+AJ333+AL333+AN333+AP333+AR333+AT333+AV333+AX333+AZ333</f>
        <v>0</v>
      </c>
      <c r="BC333" s="15"/>
      <c r="BD333" s="44"/>
      <c r="BE333" s="15"/>
      <c r="BF333" s="44"/>
      <c r="BG333" s="15">
        <f>(BC333+BE333)</f>
        <v>0</v>
      </c>
    </row>
    <row r="334" spans="1:59" s="8" customFormat="1" ht="22.5" hidden="1" customHeight="1">
      <c r="A334" s="9"/>
      <c r="B334" s="16" t="s">
        <v>120</v>
      </c>
      <c r="C334" s="89" t="s">
        <v>52</v>
      </c>
      <c r="D334" s="109" t="s">
        <v>270</v>
      </c>
      <c r="E334" s="110" t="s">
        <v>521</v>
      </c>
      <c r="F334" s="111" t="s">
        <v>1662</v>
      </c>
      <c r="G334" s="111" t="s">
        <v>1663</v>
      </c>
      <c r="H334" s="96"/>
      <c r="I334" s="9"/>
      <c r="J334" s="9" t="s">
        <v>67</v>
      </c>
      <c r="K334" s="14"/>
      <c r="L334" s="14"/>
      <c r="M334" s="12"/>
      <c r="N334" s="9"/>
      <c r="O334" s="9"/>
      <c r="P334" s="9"/>
      <c r="Q334" s="38">
        <f>M334+X334-AG334-BB334</f>
        <v>0</v>
      </c>
      <c r="R334" s="12"/>
      <c r="S334" s="42"/>
      <c r="T334" s="15"/>
      <c r="U334" s="44"/>
      <c r="V334" s="15"/>
      <c r="W334" s="44"/>
      <c r="X334" s="15">
        <f>R334+T334+V334</f>
        <v>0</v>
      </c>
      <c r="Y334" s="15"/>
      <c r="Z334" s="44"/>
      <c r="AA334" s="15"/>
      <c r="AB334" s="44"/>
      <c r="AC334" s="15"/>
      <c r="AD334" s="44"/>
      <c r="AE334" s="15"/>
      <c r="AF334" s="44"/>
      <c r="AG334" s="15">
        <f>(Y334+AA334+AC334+AE334)</f>
        <v>0</v>
      </c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/>
      <c r="BA334" s="42"/>
      <c r="BB334" s="15">
        <f>AH334+AJ334+AL334+AN334+AP334+AR334+AT334+AV334+AX334+AZ334</f>
        <v>0</v>
      </c>
      <c r="BC334" s="15"/>
      <c r="BD334" s="44"/>
      <c r="BE334" s="15"/>
      <c r="BF334" s="44"/>
      <c r="BG334" s="15">
        <f>(BC334+BE334)</f>
        <v>0</v>
      </c>
    </row>
    <row r="335" spans="1:59" s="8" customFormat="1" ht="22.5" hidden="1" customHeight="1">
      <c r="A335" s="9"/>
      <c r="B335" s="16" t="s">
        <v>120</v>
      </c>
      <c r="C335" s="89" t="s">
        <v>494</v>
      </c>
      <c r="D335" s="109" t="s">
        <v>522</v>
      </c>
      <c r="E335" s="110" t="s">
        <v>523</v>
      </c>
      <c r="F335" s="111" t="s">
        <v>1665</v>
      </c>
      <c r="G335" s="111" t="s">
        <v>1666</v>
      </c>
      <c r="H335" s="96"/>
      <c r="I335" s="9"/>
      <c r="J335" s="9" t="s">
        <v>67</v>
      </c>
      <c r="K335" s="14"/>
      <c r="L335" s="14"/>
      <c r="M335" s="12">
        <v>152</v>
      </c>
      <c r="N335" s="9"/>
      <c r="O335" s="9"/>
      <c r="P335" s="9"/>
      <c r="Q335" s="38">
        <f>M335+X335-AG335-BB335</f>
        <v>152</v>
      </c>
      <c r="R335" s="12"/>
      <c r="S335" s="42"/>
      <c r="T335" s="15"/>
      <c r="U335" s="44"/>
      <c r="V335" s="15"/>
      <c r="W335" s="44"/>
      <c r="X335" s="15">
        <f>R335+T335+V335</f>
        <v>0</v>
      </c>
      <c r="Y335" s="15"/>
      <c r="Z335" s="44"/>
      <c r="AA335" s="15"/>
      <c r="AB335" s="44"/>
      <c r="AC335" s="15"/>
      <c r="AD335" s="44"/>
      <c r="AE335" s="15"/>
      <c r="AF335" s="44"/>
      <c r="AG335" s="15">
        <f>(Y335+AA335+AC335+AE335)</f>
        <v>0</v>
      </c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/>
      <c r="BA335" s="42"/>
      <c r="BB335" s="15">
        <f>AH335+AJ335+AL335+AN335+AP335+AR335+AT335+AV335+AX335+AZ335</f>
        <v>0</v>
      </c>
      <c r="BC335" s="15"/>
      <c r="BD335" s="44"/>
      <c r="BE335" s="15"/>
      <c r="BF335" s="44"/>
      <c r="BG335" s="15">
        <f>(BC335+BE335)</f>
        <v>0</v>
      </c>
    </row>
    <row r="336" spans="1:59" s="8" customFormat="1" ht="22.5" hidden="1" customHeight="1">
      <c r="A336" s="9"/>
      <c r="B336" s="16" t="s">
        <v>120</v>
      </c>
      <c r="C336" s="89" t="s">
        <v>52</v>
      </c>
      <c r="D336" s="109" t="s">
        <v>524</v>
      </c>
      <c r="E336" s="110" t="s">
        <v>525</v>
      </c>
      <c r="F336" s="111" t="s">
        <v>1667</v>
      </c>
      <c r="G336" s="111" t="s">
        <v>1668</v>
      </c>
      <c r="H336" s="96"/>
      <c r="I336" s="9"/>
      <c r="J336" s="9" t="s">
        <v>67</v>
      </c>
      <c r="K336" s="14"/>
      <c r="L336" s="14"/>
      <c r="M336" s="12">
        <v>620</v>
      </c>
      <c r="N336" s="9"/>
      <c r="O336" s="9"/>
      <c r="P336" s="9"/>
      <c r="Q336" s="38">
        <f>M336+X336-AG336-BB336</f>
        <v>620</v>
      </c>
      <c r="R336" s="12"/>
      <c r="S336" s="42"/>
      <c r="T336" s="15"/>
      <c r="U336" s="44"/>
      <c r="V336" s="15"/>
      <c r="W336" s="44"/>
      <c r="X336" s="15">
        <f>R336+T336+V336</f>
        <v>0</v>
      </c>
      <c r="Y336" s="15"/>
      <c r="Z336" s="44"/>
      <c r="AA336" s="15"/>
      <c r="AB336" s="44"/>
      <c r="AC336" s="15"/>
      <c r="AD336" s="44"/>
      <c r="AE336" s="15"/>
      <c r="AF336" s="44"/>
      <c r="AG336" s="15">
        <f>(Y336+AA336+AC336+AE336)</f>
        <v>0</v>
      </c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/>
      <c r="BA336" s="42"/>
      <c r="BB336" s="15">
        <f>AH336+AJ336+AL336+AN336+AP336+AR336+AT336+AV336+AX336+AZ336</f>
        <v>0</v>
      </c>
      <c r="BC336" s="15"/>
      <c r="BD336" s="44"/>
      <c r="BE336" s="15"/>
      <c r="BF336" s="44"/>
      <c r="BG336" s="15">
        <f>(BC336+BE336)</f>
        <v>0</v>
      </c>
    </row>
    <row r="337" spans="1:59" s="8" customFormat="1" ht="22.5" hidden="1" customHeight="1">
      <c r="A337" s="9"/>
      <c r="B337" s="16" t="s">
        <v>187</v>
      </c>
      <c r="C337" s="89" t="s">
        <v>494</v>
      </c>
      <c r="D337" s="109" t="s">
        <v>526</v>
      </c>
      <c r="E337" s="110" t="s">
        <v>499</v>
      </c>
      <c r="F337" s="111" t="s">
        <v>1669</v>
      </c>
      <c r="G337" s="111" t="s">
        <v>1670</v>
      </c>
      <c r="H337" s="96"/>
      <c r="I337" s="9"/>
      <c r="J337" s="9" t="s">
        <v>527</v>
      </c>
      <c r="K337" s="14"/>
      <c r="L337" s="14"/>
      <c r="M337" s="12"/>
      <c r="N337" s="9"/>
      <c r="O337" s="9"/>
      <c r="P337" s="9"/>
      <c r="Q337" s="38">
        <f>M337+X337-AG337-BB337</f>
        <v>0</v>
      </c>
      <c r="R337" s="12"/>
      <c r="S337" s="42"/>
      <c r="T337" s="15"/>
      <c r="U337" s="44"/>
      <c r="V337" s="15"/>
      <c r="W337" s="44"/>
      <c r="X337" s="15">
        <f>R337+T337+V337</f>
        <v>0</v>
      </c>
      <c r="Y337" s="15"/>
      <c r="Z337" s="44"/>
      <c r="AA337" s="15"/>
      <c r="AB337" s="44"/>
      <c r="AC337" s="15"/>
      <c r="AD337" s="44"/>
      <c r="AE337" s="15"/>
      <c r="AF337" s="44"/>
      <c r="AG337" s="15">
        <f>(Y337+AA337+AC337+AE337)</f>
        <v>0</v>
      </c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/>
      <c r="BA337" s="42"/>
      <c r="BB337" s="15">
        <f>AH337+AJ337+AL337+AN337+AP337+AR337+AT337+AV337+AX337+AZ337</f>
        <v>0</v>
      </c>
      <c r="BC337" s="15"/>
      <c r="BD337" s="44"/>
      <c r="BE337" s="15"/>
      <c r="BF337" s="44"/>
      <c r="BG337" s="15">
        <f>(BC337+BE337)</f>
        <v>0</v>
      </c>
    </row>
    <row r="338" spans="1:59" s="8" customFormat="1" ht="22.5" hidden="1" customHeight="1">
      <c r="A338" s="9"/>
      <c r="B338" s="16" t="s">
        <v>528</v>
      </c>
      <c r="C338" s="89" t="s">
        <v>494</v>
      </c>
      <c r="D338" s="109" t="s">
        <v>529</v>
      </c>
      <c r="E338" s="110" t="s">
        <v>499</v>
      </c>
      <c r="F338" s="111" t="s">
        <v>1671</v>
      </c>
      <c r="G338" s="111" t="s">
        <v>1672</v>
      </c>
      <c r="H338" s="96"/>
      <c r="I338" s="9"/>
      <c r="J338" s="9" t="s">
        <v>527</v>
      </c>
      <c r="K338" s="14"/>
      <c r="L338" s="14"/>
      <c r="M338" s="12"/>
      <c r="N338" s="9"/>
      <c r="O338" s="9"/>
      <c r="P338" s="9"/>
      <c r="Q338" s="38">
        <f>M338+X338-AG338-BB338</f>
        <v>0</v>
      </c>
      <c r="R338" s="12"/>
      <c r="S338" s="42"/>
      <c r="T338" s="15"/>
      <c r="U338" s="44"/>
      <c r="V338" s="15"/>
      <c r="W338" s="44"/>
      <c r="X338" s="15">
        <f>R338+T338+V338</f>
        <v>0</v>
      </c>
      <c r="Y338" s="15"/>
      <c r="Z338" s="44"/>
      <c r="AA338" s="15"/>
      <c r="AB338" s="44"/>
      <c r="AC338" s="15"/>
      <c r="AD338" s="44"/>
      <c r="AE338" s="15"/>
      <c r="AF338" s="44"/>
      <c r="AG338" s="15">
        <f>(Y338+AA338+AC338+AE338)</f>
        <v>0</v>
      </c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/>
      <c r="BA338" s="42"/>
      <c r="BB338" s="15">
        <f>AH338+AJ338+AL338+AN338+AP338+AR338+AT338+AV338+AX338+AZ338</f>
        <v>0</v>
      </c>
      <c r="BC338" s="15"/>
      <c r="BD338" s="44"/>
      <c r="BE338" s="15"/>
      <c r="BF338" s="44"/>
      <c r="BG338" s="15">
        <f>(BC338+BE338)</f>
        <v>0</v>
      </c>
    </row>
    <row r="339" spans="1:59" s="8" customFormat="1" ht="22.5" hidden="1" customHeight="1">
      <c r="A339" s="9"/>
      <c r="B339" s="16" t="s">
        <v>204</v>
      </c>
      <c r="C339" s="89" t="s">
        <v>52</v>
      </c>
      <c r="D339" s="109" t="s">
        <v>530</v>
      </c>
      <c r="E339" s="110" t="s">
        <v>531</v>
      </c>
      <c r="F339" s="111" t="s">
        <v>1673</v>
      </c>
      <c r="G339" s="111" t="s">
        <v>1674</v>
      </c>
      <c r="H339" s="96"/>
      <c r="I339" s="9"/>
      <c r="J339" s="9" t="s">
        <v>207</v>
      </c>
      <c r="K339" s="14"/>
      <c r="L339" s="14"/>
      <c r="M339" s="12">
        <v>348</v>
      </c>
      <c r="N339" s="9"/>
      <c r="O339" s="9"/>
      <c r="P339" s="9"/>
      <c r="Q339" s="38">
        <f>M339+X339-AG339-BB339</f>
        <v>348</v>
      </c>
      <c r="R339" s="12"/>
      <c r="S339" s="42"/>
      <c r="T339" s="15"/>
      <c r="U339" s="44"/>
      <c r="V339" s="15"/>
      <c r="W339" s="44"/>
      <c r="X339" s="15">
        <f>R339+T339+V339</f>
        <v>0</v>
      </c>
      <c r="Y339" s="15"/>
      <c r="Z339" s="44"/>
      <c r="AA339" s="15"/>
      <c r="AB339" s="44"/>
      <c r="AC339" s="15"/>
      <c r="AD339" s="44"/>
      <c r="AE339" s="15"/>
      <c r="AF339" s="44"/>
      <c r="AG339" s="15">
        <f>(Y339+AA339+AC339+AE339)</f>
        <v>0</v>
      </c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/>
      <c r="BA339" s="42"/>
      <c r="BB339" s="15">
        <f>AH339+AJ339+AL339+AN339+AP339+AR339+AT339+AV339+AX339+AZ339</f>
        <v>0</v>
      </c>
      <c r="BC339" s="15"/>
      <c r="BD339" s="44"/>
      <c r="BE339" s="15"/>
      <c r="BF339" s="44"/>
      <c r="BG339" s="15">
        <f>(BC339+BE339)</f>
        <v>0</v>
      </c>
    </row>
    <row r="340" spans="1:59" s="8" customFormat="1" ht="22.5" hidden="1" customHeight="1">
      <c r="A340" s="9"/>
      <c r="B340" s="16" t="s">
        <v>204</v>
      </c>
      <c r="C340" s="89" t="s">
        <v>52</v>
      </c>
      <c r="D340" s="109" t="s">
        <v>532</v>
      </c>
      <c r="E340" s="110" t="s">
        <v>531</v>
      </c>
      <c r="F340" s="111" t="s">
        <v>1675</v>
      </c>
      <c r="G340" s="111" t="s">
        <v>1676</v>
      </c>
      <c r="H340" s="96"/>
      <c r="I340" s="9"/>
      <c r="J340" s="9" t="s">
        <v>207</v>
      </c>
      <c r="K340" s="14"/>
      <c r="L340" s="14"/>
      <c r="M340" s="12">
        <v>326</v>
      </c>
      <c r="N340" s="9"/>
      <c r="O340" s="9"/>
      <c r="P340" s="9"/>
      <c r="Q340" s="38">
        <f>M340+X340-AG340-BB340</f>
        <v>326</v>
      </c>
      <c r="R340" s="12"/>
      <c r="S340" s="42"/>
      <c r="T340" s="15"/>
      <c r="U340" s="44"/>
      <c r="V340" s="15"/>
      <c r="W340" s="44"/>
      <c r="X340" s="15">
        <f>R340+T340+V340</f>
        <v>0</v>
      </c>
      <c r="Y340" s="15"/>
      <c r="Z340" s="44"/>
      <c r="AA340" s="15"/>
      <c r="AB340" s="44"/>
      <c r="AC340" s="15"/>
      <c r="AD340" s="44"/>
      <c r="AE340" s="15"/>
      <c r="AF340" s="44"/>
      <c r="AG340" s="15">
        <f>(Y340+AA340+AC340+AE340)</f>
        <v>0</v>
      </c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/>
      <c r="BA340" s="42"/>
      <c r="BB340" s="15">
        <f>AH340+AJ340+AL340+AN340+AP340+AR340+AT340+AV340+AX340+AZ340</f>
        <v>0</v>
      </c>
      <c r="BC340" s="15"/>
      <c r="BD340" s="44"/>
      <c r="BE340" s="15"/>
      <c r="BF340" s="44"/>
      <c r="BG340" s="15">
        <f>(BC340+BE340)</f>
        <v>0</v>
      </c>
    </row>
    <row r="341" spans="1:59" s="8" customFormat="1" ht="22.5" hidden="1" customHeight="1">
      <c r="A341" s="9"/>
      <c r="B341" s="16" t="s">
        <v>204</v>
      </c>
      <c r="C341" s="89" t="s">
        <v>52</v>
      </c>
      <c r="D341" s="109" t="s">
        <v>533</v>
      </c>
      <c r="E341" s="110" t="s">
        <v>1678</v>
      </c>
      <c r="F341" s="111" t="s">
        <v>1679</v>
      </c>
      <c r="G341" s="111" t="s">
        <v>1680</v>
      </c>
      <c r="H341" s="96"/>
      <c r="I341" s="9"/>
      <c r="J341" s="9" t="s">
        <v>207</v>
      </c>
      <c r="K341" s="14"/>
      <c r="L341" s="14"/>
      <c r="M341" s="12">
        <v>303</v>
      </c>
      <c r="N341" s="9"/>
      <c r="O341" s="9"/>
      <c r="P341" s="9"/>
      <c r="Q341" s="38">
        <f>M341+X341-AG341-BB341</f>
        <v>303</v>
      </c>
      <c r="R341" s="12"/>
      <c r="S341" s="42"/>
      <c r="T341" s="15"/>
      <c r="U341" s="44"/>
      <c r="V341" s="15"/>
      <c r="W341" s="44"/>
      <c r="X341" s="15">
        <f>R341+T341+V341</f>
        <v>0</v>
      </c>
      <c r="Y341" s="15"/>
      <c r="Z341" s="44"/>
      <c r="AA341" s="15"/>
      <c r="AB341" s="44"/>
      <c r="AC341" s="15"/>
      <c r="AD341" s="44"/>
      <c r="AE341" s="15"/>
      <c r="AF341" s="44"/>
      <c r="AG341" s="15">
        <f>(Y341+AA341+AC341+AE341)</f>
        <v>0</v>
      </c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/>
      <c r="BA341" s="42"/>
      <c r="BB341" s="15">
        <f>AH341+AJ341+AL341+AN341+AP341+AR341+AT341+AV341+AX341+AZ341</f>
        <v>0</v>
      </c>
      <c r="BC341" s="15"/>
      <c r="BD341" s="44"/>
      <c r="BE341" s="15"/>
      <c r="BF341" s="44"/>
      <c r="BG341" s="15">
        <f>(BC341+BE341)</f>
        <v>0</v>
      </c>
    </row>
    <row r="342" spans="1:59" s="8" customFormat="1" ht="22.5" hidden="1" customHeight="1">
      <c r="A342" s="9"/>
      <c r="B342" s="16" t="s">
        <v>204</v>
      </c>
      <c r="C342" s="89" t="s">
        <v>52</v>
      </c>
      <c r="D342" s="109" t="s">
        <v>536</v>
      </c>
      <c r="E342" s="110" t="s">
        <v>537</v>
      </c>
      <c r="F342" s="111" t="s">
        <v>1681</v>
      </c>
      <c r="G342" s="111" t="s">
        <v>1682</v>
      </c>
      <c r="H342" s="96"/>
      <c r="I342" s="9"/>
      <c r="J342" s="9" t="s">
        <v>207</v>
      </c>
      <c r="K342" s="14"/>
      <c r="L342" s="14"/>
      <c r="M342" s="12">
        <v>673</v>
      </c>
      <c r="N342" s="9"/>
      <c r="O342" s="9"/>
      <c r="P342" s="9"/>
      <c r="Q342" s="38">
        <f>M342+X342-AG342-BB342</f>
        <v>673</v>
      </c>
      <c r="R342" s="12"/>
      <c r="S342" s="42"/>
      <c r="T342" s="15"/>
      <c r="U342" s="44"/>
      <c r="V342" s="15"/>
      <c r="W342" s="44"/>
      <c r="X342" s="15">
        <f>R342+T342+V342</f>
        <v>0</v>
      </c>
      <c r="Y342" s="15"/>
      <c r="Z342" s="44"/>
      <c r="AA342" s="15"/>
      <c r="AB342" s="44"/>
      <c r="AC342" s="15"/>
      <c r="AD342" s="44"/>
      <c r="AE342" s="15"/>
      <c r="AF342" s="44"/>
      <c r="AG342" s="15">
        <f>(Y342+AA342+AC342+AE342)</f>
        <v>0</v>
      </c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/>
      <c r="BA342" s="42"/>
      <c r="BB342" s="15">
        <f>AH342+AJ342+AL342+AN342+AP342+AR342+AT342+AV342+AX342+AZ342</f>
        <v>0</v>
      </c>
      <c r="BC342" s="15"/>
      <c r="BD342" s="44"/>
      <c r="BE342" s="15"/>
      <c r="BF342" s="44"/>
      <c r="BG342" s="15">
        <f>(BC342+BE342)</f>
        <v>0</v>
      </c>
    </row>
    <row r="343" spans="1:59" s="8" customFormat="1" ht="22.5" hidden="1" customHeight="1">
      <c r="A343" s="9"/>
      <c r="B343" s="16" t="s">
        <v>204</v>
      </c>
      <c r="C343" s="89" t="s">
        <v>52</v>
      </c>
      <c r="D343" s="109" t="s">
        <v>538</v>
      </c>
      <c r="E343" s="110" t="s">
        <v>531</v>
      </c>
      <c r="F343" s="111" t="s">
        <v>1683</v>
      </c>
      <c r="G343" s="111" t="s">
        <v>1684</v>
      </c>
      <c r="H343" s="96"/>
      <c r="I343" s="9"/>
      <c r="J343" s="9" t="s">
        <v>207</v>
      </c>
      <c r="K343" s="14"/>
      <c r="L343" s="14"/>
      <c r="M343" s="12">
        <v>178</v>
      </c>
      <c r="N343" s="9"/>
      <c r="O343" s="9"/>
      <c r="P343" s="9"/>
      <c r="Q343" s="38">
        <f>M343+X343-AG343-BB343</f>
        <v>178</v>
      </c>
      <c r="R343" s="12"/>
      <c r="S343" s="42"/>
      <c r="T343" s="15"/>
      <c r="U343" s="44"/>
      <c r="V343" s="15"/>
      <c r="W343" s="44"/>
      <c r="X343" s="15">
        <f>R343+T343+V343</f>
        <v>0</v>
      </c>
      <c r="Y343" s="15"/>
      <c r="Z343" s="44"/>
      <c r="AA343" s="15"/>
      <c r="AB343" s="44"/>
      <c r="AC343" s="15"/>
      <c r="AD343" s="44"/>
      <c r="AE343" s="15"/>
      <c r="AF343" s="44"/>
      <c r="AG343" s="15">
        <f>(Y343+AA343+AC343+AE343)</f>
        <v>0</v>
      </c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/>
      <c r="BA343" s="42"/>
      <c r="BB343" s="15">
        <f>AH343+AJ343+AL343+AN343+AP343+AR343+AT343+AV343+AX343+AZ343</f>
        <v>0</v>
      </c>
      <c r="BC343" s="15"/>
      <c r="BD343" s="44"/>
      <c r="BE343" s="15"/>
      <c r="BF343" s="44"/>
      <c r="BG343" s="15">
        <f>(BC343+BE343)</f>
        <v>0</v>
      </c>
    </row>
    <row r="344" spans="1:59" s="8" customFormat="1" ht="22.5" hidden="1" customHeight="1">
      <c r="A344" s="9"/>
      <c r="B344" s="16" t="s">
        <v>204</v>
      </c>
      <c r="C344" s="89" t="s">
        <v>52</v>
      </c>
      <c r="D344" s="109" t="s">
        <v>539</v>
      </c>
      <c r="E344" s="110" t="s">
        <v>531</v>
      </c>
      <c r="F344" s="111" t="s">
        <v>1685</v>
      </c>
      <c r="G344" s="111" t="s">
        <v>1686</v>
      </c>
      <c r="H344" s="96"/>
      <c r="I344" s="9"/>
      <c r="J344" s="9" t="s">
        <v>207</v>
      </c>
      <c r="K344" s="14"/>
      <c r="L344" s="14"/>
      <c r="M344" s="12">
        <v>263</v>
      </c>
      <c r="N344" s="9"/>
      <c r="O344" s="9"/>
      <c r="P344" s="9"/>
      <c r="Q344" s="38">
        <f>M344+X344-AG344-BB344</f>
        <v>263</v>
      </c>
      <c r="R344" s="12"/>
      <c r="S344" s="42"/>
      <c r="T344" s="15"/>
      <c r="U344" s="44"/>
      <c r="V344" s="15"/>
      <c r="W344" s="44"/>
      <c r="X344" s="15">
        <f>R344+T344+V344</f>
        <v>0</v>
      </c>
      <c r="Y344" s="15"/>
      <c r="Z344" s="44"/>
      <c r="AA344" s="15"/>
      <c r="AB344" s="44"/>
      <c r="AC344" s="15"/>
      <c r="AD344" s="44"/>
      <c r="AE344" s="15"/>
      <c r="AF344" s="44"/>
      <c r="AG344" s="15">
        <f>(Y344+AA344+AC344+AE344)</f>
        <v>0</v>
      </c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/>
      <c r="BA344" s="42"/>
      <c r="BB344" s="15">
        <f>AH344+AJ344+AL344+AN344+AP344+AR344+AT344+AV344+AX344+AZ344</f>
        <v>0</v>
      </c>
      <c r="BC344" s="15"/>
      <c r="BD344" s="44"/>
      <c r="BE344" s="15"/>
      <c r="BF344" s="44"/>
      <c r="BG344" s="15">
        <f>(BC344+BE344)</f>
        <v>0</v>
      </c>
    </row>
    <row r="345" spans="1:59" s="8" customFormat="1" ht="22.5" hidden="1" customHeight="1">
      <c r="A345" s="9"/>
      <c r="B345" s="16" t="s">
        <v>204</v>
      </c>
      <c r="C345" s="89" t="s">
        <v>52</v>
      </c>
      <c r="D345" s="109" t="s">
        <v>540</v>
      </c>
      <c r="E345" s="110" t="s">
        <v>531</v>
      </c>
      <c r="F345" s="111" t="s">
        <v>1687</v>
      </c>
      <c r="G345" s="111" t="s">
        <v>1688</v>
      </c>
      <c r="H345" s="96"/>
      <c r="I345" s="9"/>
      <c r="J345" s="9" t="s">
        <v>207</v>
      </c>
      <c r="K345" s="14"/>
      <c r="L345" s="14"/>
      <c r="M345" s="12">
        <v>293</v>
      </c>
      <c r="N345" s="9"/>
      <c r="O345" s="9"/>
      <c r="P345" s="9"/>
      <c r="Q345" s="38">
        <f>M345+X345-AG345-BB345</f>
        <v>293</v>
      </c>
      <c r="R345" s="12"/>
      <c r="S345" s="42"/>
      <c r="T345" s="15"/>
      <c r="U345" s="44"/>
      <c r="V345" s="15"/>
      <c r="W345" s="44"/>
      <c r="X345" s="15">
        <f>R345+T345+V345</f>
        <v>0</v>
      </c>
      <c r="Y345" s="15"/>
      <c r="Z345" s="44"/>
      <c r="AA345" s="15"/>
      <c r="AB345" s="44"/>
      <c r="AC345" s="15"/>
      <c r="AD345" s="44"/>
      <c r="AE345" s="15"/>
      <c r="AF345" s="44"/>
      <c r="AG345" s="15">
        <f>(Y345+AA345+AC345+AE345)</f>
        <v>0</v>
      </c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/>
      <c r="BA345" s="42"/>
      <c r="BB345" s="15">
        <f>AH345+AJ345+AL345+AN345+AP345+AR345+AT345+AV345+AX345+AZ345</f>
        <v>0</v>
      </c>
      <c r="BC345" s="15"/>
      <c r="BD345" s="44"/>
      <c r="BE345" s="15"/>
      <c r="BF345" s="44"/>
      <c r="BG345" s="15">
        <f>(BC345+BE345)</f>
        <v>0</v>
      </c>
    </row>
    <row r="346" spans="1:59" s="8" customFormat="1" ht="22.5" hidden="1" customHeight="1">
      <c r="A346" s="9"/>
      <c r="B346" s="16" t="s">
        <v>204</v>
      </c>
      <c r="C346" s="89" t="s">
        <v>52</v>
      </c>
      <c r="D346" s="109" t="s">
        <v>541</v>
      </c>
      <c r="E346" s="110" t="s">
        <v>531</v>
      </c>
      <c r="F346" s="111" t="s">
        <v>1689</v>
      </c>
      <c r="G346" s="111" t="s">
        <v>1690</v>
      </c>
      <c r="H346" s="96"/>
      <c r="I346" s="9"/>
      <c r="J346" s="9" t="s">
        <v>207</v>
      </c>
      <c r="K346" s="14"/>
      <c r="L346" s="14"/>
      <c r="M346" s="12">
        <v>953</v>
      </c>
      <c r="N346" s="9"/>
      <c r="O346" s="9"/>
      <c r="P346" s="9"/>
      <c r="Q346" s="38">
        <f>M346+X346-AG346-BB346</f>
        <v>953</v>
      </c>
      <c r="R346" s="12"/>
      <c r="S346" s="42"/>
      <c r="T346" s="15"/>
      <c r="U346" s="44"/>
      <c r="V346" s="15"/>
      <c r="W346" s="44"/>
      <c r="X346" s="15">
        <f>R346+T346+V346</f>
        <v>0</v>
      </c>
      <c r="Y346" s="15"/>
      <c r="Z346" s="44"/>
      <c r="AA346" s="15"/>
      <c r="AB346" s="44"/>
      <c r="AC346" s="15"/>
      <c r="AD346" s="44"/>
      <c r="AE346" s="15"/>
      <c r="AF346" s="44"/>
      <c r="AG346" s="15">
        <f>(Y346+AA346+AC346+AE346)</f>
        <v>0</v>
      </c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/>
      <c r="BA346" s="42"/>
      <c r="BB346" s="15">
        <f>AH346+AJ346+AL346+AN346+AP346+AR346+AT346+AV346+AX346+AZ346</f>
        <v>0</v>
      </c>
      <c r="BC346" s="15"/>
      <c r="BD346" s="44"/>
      <c r="BE346" s="15"/>
      <c r="BF346" s="44"/>
      <c r="BG346" s="15">
        <f>(BC346+BE346)</f>
        <v>0</v>
      </c>
    </row>
    <row r="347" spans="1:59" s="8" customFormat="1" ht="22.5" hidden="1" customHeight="1">
      <c r="A347" s="9"/>
      <c r="B347" s="16" t="s">
        <v>204</v>
      </c>
      <c r="C347" s="89" t="s">
        <v>52</v>
      </c>
      <c r="D347" s="109" t="s">
        <v>542</v>
      </c>
      <c r="E347" s="110" t="s">
        <v>206</v>
      </c>
      <c r="F347" s="111" t="s">
        <v>1691</v>
      </c>
      <c r="G347" s="111" t="s">
        <v>1692</v>
      </c>
      <c r="H347" s="96"/>
      <c r="I347" s="9"/>
      <c r="J347" s="9" t="s">
        <v>207</v>
      </c>
      <c r="K347" s="14"/>
      <c r="L347" s="14"/>
      <c r="M347" s="12">
        <v>329</v>
      </c>
      <c r="N347" s="9"/>
      <c r="O347" s="9"/>
      <c r="P347" s="9"/>
      <c r="Q347" s="38">
        <f>M347+X347-AG347-BB347</f>
        <v>329</v>
      </c>
      <c r="R347" s="12"/>
      <c r="S347" s="42"/>
      <c r="T347" s="15"/>
      <c r="U347" s="44"/>
      <c r="V347" s="15"/>
      <c r="W347" s="44"/>
      <c r="X347" s="15">
        <f>R347+T347+V347</f>
        <v>0</v>
      </c>
      <c r="Y347" s="15"/>
      <c r="Z347" s="44"/>
      <c r="AA347" s="15"/>
      <c r="AB347" s="44"/>
      <c r="AC347" s="15"/>
      <c r="AD347" s="44"/>
      <c r="AE347" s="15"/>
      <c r="AF347" s="44"/>
      <c r="AG347" s="15">
        <f>(Y347+AA347+AC347+AE347)</f>
        <v>0</v>
      </c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/>
      <c r="BA347" s="42"/>
      <c r="BB347" s="15">
        <f>AH347+AJ347+AL347+AN347+AP347+AR347+AT347+AV347+AX347+AZ347</f>
        <v>0</v>
      </c>
      <c r="BC347" s="15"/>
      <c r="BD347" s="44"/>
      <c r="BE347" s="15"/>
      <c r="BF347" s="44"/>
      <c r="BG347" s="15">
        <f>(BC347+BE347)</f>
        <v>0</v>
      </c>
    </row>
    <row r="348" spans="1:59" s="8" customFormat="1" ht="22.5" hidden="1" customHeight="1">
      <c r="A348" s="9"/>
      <c r="B348" s="16" t="s">
        <v>204</v>
      </c>
      <c r="C348" s="89" t="s">
        <v>52</v>
      </c>
      <c r="D348" s="109" t="s">
        <v>543</v>
      </c>
      <c r="E348" s="110" t="s">
        <v>531</v>
      </c>
      <c r="F348" s="111" t="s">
        <v>1693</v>
      </c>
      <c r="G348" s="111" t="s">
        <v>1694</v>
      </c>
      <c r="H348" s="96"/>
      <c r="I348" s="9"/>
      <c r="J348" s="9" t="s">
        <v>207</v>
      </c>
      <c r="K348" s="14"/>
      <c r="L348" s="14"/>
      <c r="M348" s="12"/>
      <c r="N348" s="9"/>
      <c r="O348" s="9"/>
      <c r="P348" s="9"/>
      <c r="Q348" s="38">
        <f>M348+X348-AG348-BB348</f>
        <v>0</v>
      </c>
      <c r="R348" s="12"/>
      <c r="S348" s="42"/>
      <c r="T348" s="15"/>
      <c r="U348" s="44"/>
      <c r="V348" s="15"/>
      <c r="W348" s="44"/>
      <c r="X348" s="15">
        <f>R348+T348+V348</f>
        <v>0</v>
      </c>
      <c r="Y348" s="15"/>
      <c r="Z348" s="44"/>
      <c r="AA348" s="15"/>
      <c r="AB348" s="44"/>
      <c r="AC348" s="15"/>
      <c r="AD348" s="44"/>
      <c r="AE348" s="15"/>
      <c r="AF348" s="44"/>
      <c r="AG348" s="15">
        <f>(Y348+AA348+AC348+AE348)</f>
        <v>0</v>
      </c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/>
      <c r="BA348" s="42"/>
      <c r="BB348" s="15">
        <f>AH348+AJ348+AL348+AN348+AP348+AR348+AT348+AV348+AX348+AZ348</f>
        <v>0</v>
      </c>
      <c r="BC348" s="15"/>
      <c r="BD348" s="44"/>
      <c r="BE348" s="15"/>
      <c r="BF348" s="44"/>
      <c r="BG348" s="15">
        <f>(BC348+BE348)</f>
        <v>0</v>
      </c>
    </row>
    <row r="349" spans="1:59" s="8" customFormat="1" ht="22.5" hidden="1" customHeight="1">
      <c r="A349" s="9"/>
      <c r="B349" s="16" t="s">
        <v>204</v>
      </c>
      <c r="C349" s="89" t="s">
        <v>52</v>
      </c>
      <c r="D349" s="109" t="s">
        <v>544</v>
      </c>
      <c r="E349" s="110" t="s">
        <v>531</v>
      </c>
      <c r="F349" s="111" t="s">
        <v>1695</v>
      </c>
      <c r="G349" s="111" t="s">
        <v>1696</v>
      </c>
      <c r="H349" s="96"/>
      <c r="I349" s="9"/>
      <c r="J349" s="9" t="s">
        <v>207</v>
      </c>
      <c r="K349" s="14"/>
      <c r="L349" s="14"/>
      <c r="M349" s="12">
        <v>424</v>
      </c>
      <c r="N349" s="9"/>
      <c r="O349" s="9"/>
      <c r="P349" s="9"/>
      <c r="Q349" s="38">
        <f>M349+X349-AG349-BB349</f>
        <v>424</v>
      </c>
      <c r="R349" s="12"/>
      <c r="S349" s="42"/>
      <c r="T349" s="15"/>
      <c r="U349" s="44"/>
      <c r="V349" s="15"/>
      <c r="W349" s="44"/>
      <c r="X349" s="15">
        <f>R349+T349+V349</f>
        <v>0</v>
      </c>
      <c r="Y349" s="15"/>
      <c r="Z349" s="44"/>
      <c r="AA349" s="15"/>
      <c r="AB349" s="44"/>
      <c r="AC349" s="15"/>
      <c r="AD349" s="44"/>
      <c r="AE349" s="15"/>
      <c r="AF349" s="44"/>
      <c r="AG349" s="15">
        <f>(Y349+AA349+AC349+AE349)</f>
        <v>0</v>
      </c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/>
      <c r="BA349" s="42"/>
      <c r="BB349" s="15">
        <f>AH349+AJ349+AL349+AN349+AP349+AR349+AT349+AV349+AX349+AZ349</f>
        <v>0</v>
      </c>
      <c r="BC349" s="15"/>
      <c r="BD349" s="44"/>
      <c r="BE349" s="15"/>
      <c r="BF349" s="44"/>
      <c r="BG349" s="15">
        <f>(BC349+BE349)</f>
        <v>0</v>
      </c>
    </row>
    <row r="350" spans="1:59" s="8" customFormat="1" ht="22.5" hidden="1" customHeight="1">
      <c r="A350" s="9"/>
      <c r="B350" s="16" t="s">
        <v>204</v>
      </c>
      <c r="C350" s="89" t="s">
        <v>52</v>
      </c>
      <c r="D350" s="109" t="s">
        <v>545</v>
      </c>
      <c r="E350" s="110" t="s">
        <v>531</v>
      </c>
      <c r="F350" s="111" t="s">
        <v>1697</v>
      </c>
      <c r="G350" s="111" t="s">
        <v>1698</v>
      </c>
      <c r="H350" s="96"/>
      <c r="I350" s="9"/>
      <c r="J350" s="9" t="s">
        <v>207</v>
      </c>
      <c r="K350" s="14"/>
      <c r="L350" s="14"/>
      <c r="M350" s="12">
        <v>8</v>
      </c>
      <c r="N350" s="9"/>
      <c r="O350" s="9"/>
      <c r="P350" s="9"/>
      <c r="Q350" s="38">
        <f>M350+X350-AG350-BB350</f>
        <v>8</v>
      </c>
      <c r="R350" s="12"/>
      <c r="S350" s="42"/>
      <c r="T350" s="15"/>
      <c r="U350" s="44"/>
      <c r="V350" s="15"/>
      <c r="W350" s="44"/>
      <c r="X350" s="15">
        <f>R350+T350+V350</f>
        <v>0</v>
      </c>
      <c r="Y350" s="15"/>
      <c r="Z350" s="44"/>
      <c r="AA350" s="15"/>
      <c r="AB350" s="44"/>
      <c r="AC350" s="15"/>
      <c r="AD350" s="44"/>
      <c r="AE350" s="15"/>
      <c r="AF350" s="44"/>
      <c r="AG350" s="15">
        <f>(Y350+AA350+AC350+AE350)</f>
        <v>0</v>
      </c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/>
      <c r="BA350" s="42"/>
      <c r="BB350" s="15">
        <f>AH350+AJ350+AL350+AN350+AP350+AR350+AT350+AV350+AX350+AZ350</f>
        <v>0</v>
      </c>
      <c r="BC350" s="15"/>
      <c r="BD350" s="44"/>
      <c r="BE350" s="15"/>
      <c r="BF350" s="44"/>
      <c r="BG350" s="15">
        <f>(BC350+BE350)</f>
        <v>0</v>
      </c>
    </row>
    <row r="351" spans="1:59" s="8" customFormat="1" ht="22.5" hidden="1" customHeight="1">
      <c r="A351" s="9"/>
      <c r="B351" s="16" t="s">
        <v>204</v>
      </c>
      <c r="C351" s="89" t="s">
        <v>52</v>
      </c>
      <c r="D351" s="109" t="s">
        <v>546</v>
      </c>
      <c r="E351" s="110" t="s">
        <v>531</v>
      </c>
      <c r="F351" s="111" t="s">
        <v>1699</v>
      </c>
      <c r="G351" s="111" t="s">
        <v>1700</v>
      </c>
      <c r="H351" s="96"/>
      <c r="I351" s="9"/>
      <c r="J351" s="9" t="s">
        <v>207</v>
      </c>
      <c r="K351" s="14"/>
      <c r="L351" s="14"/>
      <c r="M351" s="12">
        <v>552</v>
      </c>
      <c r="N351" s="9"/>
      <c r="O351" s="9"/>
      <c r="P351" s="9"/>
      <c r="Q351" s="38">
        <f>M351+X351-AG351-BB351</f>
        <v>552</v>
      </c>
      <c r="R351" s="12"/>
      <c r="S351" s="42"/>
      <c r="T351" s="15"/>
      <c r="U351" s="44"/>
      <c r="V351" s="15"/>
      <c r="W351" s="44"/>
      <c r="X351" s="15">
        <f>R351+T351+V351</f>
        <v>0</v>
      </c>
      <c r="Y351" s="15"/>
      <c r="Z351" s="44"/>
      <c r="AA351" s="15"/>
      <c r="AB351" s="44"/>
      <c r="AC351" s="15"/>
      <c r="AD351" s="44"/>
      <c r="AE351" s="15"/>
      <c r="AF351" s="44"/>
      <c r="AG351" s="15">
        <f>(Y351+AA351+AC351+AE351)</f>
        <v>0</v>
      </c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/>
      <c r="BA351" s="42"/>
      <c r="BB351" s="15">
        <f>AH351+AJ351+AL351+AN351+AP351+AR351+AT351+AV351+AX351+AZ351</f>
        <v>0</v>
      </c>
      <c r="BC351" s="15"/>
      <c r="BD351" s="44"/>
      <c r="BE351" s="15"/>
      <c r="BF351" s="44"/>
      <c r="BG351" s="15">
        <f>(BC351+BE351)</f>
        <v>0</v>
      </c>
    </row>
    <row r="352" spans="1:59" s="8" customFormat="1" ht="22.5" hidden="1" customHeight="1">
      <c r="A352" s="9"/>
      <c r="B352" s="16" t="s">
        <v>204</v>
      </c>
      <c r="C352" s="89" t="s">
        <v>52</v>
      </c>
      <c r="D352" s="109" t="s">
        <v>547</v>
      </c>
      <c r="E352" s="110" t="s">
        <v>531</v>
      </c>
      <c r="F352" s="133" t="s">
        <v>1701</v>
      </c>
      <c r="G352" s="133" t="s">
        <v>1702</v>
      </c>
      <c r="H352" s="96"/>
      <c r="I352" s="9"/>
      <c r="J352" s="9" t="s">
        <v>207</v>
      </c>
      <c r="K352" s="14"/>
      <c r="L352" s="14"/>
      <c r="M352" s="12">
        <v>180</v>
      </c>
      <c r="N352" s="9"/>
      <c r="O352" s="9"/>
      <c r="P352" s="9"/>
      <c r="Q352" s="38">
        <f>M352+X352-AG352-BB352</f>
        <v>180</v>
      </c>
      <c r="R352" s="12"/>
      <c r="S352" s="42"/>
      <c r="T352" s="15"/>
      <c r="U352" s="44"/>
      <c r="V352" s="15"/>
      <c r="W352" s="44"/>
      <c r="X352" s="15">
        <f>R352+T352+V352</f>
        <v>0</v>
      </c>
      <c r="Y352" s="15"/>
      <c r="Z352" s="44"/>
      <c r="AA352" s="15"/>
      <c r="AB352" s="44"/>
      <c r="AC352" s="15"/>
      <c r="AD352" s="44"/>
      <c r="AE352" s="15"/>
      <c r="AF352" s="44"/>
      <c r="AG352" s="15">
        <f>(Y352+AA352+AC352+AE352)</f>
        <v>0</v>
      </c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/>
      <c r="BA352" s="42"/>
      <c r="BB352" s="15">
        <f>AH352+AJ352+AL352+AN352+AP352+AR352+AT352+AV352+AX352+AZ352</f>
        <v>0</v>
      </c>
      <c r="BC352" s="15"/>
      <c r="BD352" s="44"/>
      <c r="BE352" s="15"/>
      <c r="BF352" s="44"/>
      <c r="BG352" s="15">
        <f>(BC352+BE352)</f>
        <v>0</v>
      </c>
    </row>
    <row r="353" spans="1:59" s="8" customFormat="1" ht="22.5" hidden="1" customHeight="1">
      <c r="A353" s="9"/>
      <c r="B353" s="16" t="s">
        <v>204</v>
      </c>
      <c r="C353" s="89" t="s">
        <v>52</v>
      </c>
      <c r="D353" s="109" t="s">
        <v>548</v>
      </c>
      <c r="E353" s="110" t="s">
        <v>531</v>
      </c>
      <c r="F353" s="111" t="s">
        <v>1703</v>
      </c>
      <c r="G353" s="111" t="s">
        <v>1704</v>
      </c>
      <c r="H353" s="96"/>
      <c r="I353" s="9"/>
      <c r="J353" s="9" t="s">
        <v>207</v>
      </c>
      <c r="K353" s="14"/>
      <c r="L353" s="14"/>
      <c r="M353" s="12">
        <v>0</v>
      </c>
      <c r="N353" s="9"/>
      <c r="O353" s="9"/>
      <c r="P353" s="9"/>
      <c r="Q353" s="38">
        <f>M353+X353-AG353-BB353</f>
        <v>0</v>
      </c>
      <c r="R353" s="12"/>
      <c r="S353" s="42"/>
      <c r="T353" s="15"/>
      <c r="U353" s="44"/>
      <c r="V353" s="15"/>
      <c r="W353" s="44"/>
      <c r="X353" s="15">
        <f>R353+T353+V353</f>
        <v>0</v>
      </c>
      <c r="Y353" s="15"/>
      <c r="Z353" s="44"/>
      <c r="AA353" s="15"/>
      <c r="AB353" s="44"/>
      <c r="AC353" s="15"/>
      <c r="AD353" s="44"/>
      <c r="AE353" s="15"/>
      <c r="AF353" s="44"/>
      <c r="AG353" s="15">
        <f>(Y353+AA353+AC353+AE353)</f>
        <v>0</v>
      </c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/>
      <c r="BA353" s="42"/>
      <c r="BB353" s="15">
        <f>AH353+AJ353+AL353+AN353+AP353+AR353+AT353+AV353+AX353+AZ353</f>
        <v>0</v>
      </c>
      <c r="BC353" s="15"/>
      <c r="BD353" s="44"/>
      <c r="BE353" s="15"/>
      <c r="BF353" s="44"/>
      <c r="BG353" s="15">
        <f>(BC353+BE353)</f>
        <v>0</v>
      </c>
    </row>
    <row r="354" spans="1:59" s="8" customFormat="1" ht="22.5" hidden="1" customHeight="1">
      <c r="A354" s="9"/>
      <c r="B354" s="16" t="s">
        <v>204</v>
      </c>
      <c r="C354" s="89" t="s">
        <v>52</v>
      </c>
      <c r="D354" s="109" t="s">
        <v>549</v>
      </c>
      <c r="E354" s="110" t="s">
        <v>550</v>
      </c>
      <c r="F354" s="111" t="s">
        <v>1705</v>
      </c>
      <c r="G354" s="111" t="s">
        <v>1706</v>
      </c>
      <c r="H354" s="96"/>
      <c r="I354" s="9"/>
      <c r="J354" s="9" t="s">
        <v>207</v>
      </c>
      <c r="K354" s="14"/>
      <c r="L354" s="14"/>
      <c r="M354" s="12">
        <v>20</v>
      </c>
      <c r="N354" s="9"/>
      <c r="O354" s="9"/>
      <c r="P354" s="9"/>
      <c r="Q354" s="38">
        <f>M354+X354-AG354-BB354</f>
        <v>20</v>
      </c>
      <c r="R354" s="12"/>
      <c r="S354" s="42"/>
      <c r="T354" s="15"/>
      <c r="U354" s="44"/>
      <c r="V354" s="15"/>
      <c r="W354" s="44"/>
      <c r="X354" s="15">
        <f>R354+T354+V354</f>
        <v>0</v>
      </c>
      <c r="Y354" s="15"/>
      <c r="Z354" s="44"/>
      <c r="AA354" s="15"/>
      <c r="AB354" s="44"/>
      <c r="AC354" s="15"/>
      <c r="AD354" s="44"/>
      <c r="AE354" s="15"/>
      <c r="AF354" s="44"/>
      <c r="AG354" s="15">
        <f>(Y354+AA354+AC354+AE354)</f>
        <v>0</v>
      </c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/>
      <c r="BA354" s="42"/>
      <c r="BB354" s="15">
        <f>AH354+AJ354+AL354+AN354+AP354+AR354+AT354+AV354+AX354+AZ354</f>
        <v>0</v>
      </c>
      <c r="BC354" s="15"/>
      <c r="BD354" s="44"/>
      <c r="BE354" s="15"/>
      <c r="BF354" s="44"/>
      <c r="BG354" s="15">
        <f>(BC354+BE354)</f>
        <v>0</v>
      </c>
    </row>
    <row r="355" spans="1:59" s="8" customFormat="1" ht="22.5" hidden="1" customHeight="1">
      <c r="A355" s="9"/>
      <c r="B355" s="16" t="s">
        <v>204</v>
      </c>
      <c r="C355" s="89" t="s">
        <v>52</v>
      </c>
      <c r="D355" s="109" t="s">
        <v>551</v>
      </c>
      <c r="E355" s="110" t="s">
        <v>531</v>
      </c>
      <c r="F355" s="111" t="s">
        <v>1707</v>
      </c>
      <c r="G355" s="111" t="s">
        <v>1708</v>
      </c>
      <c r="H355" s="96"/>
      <c r="I355" s="9"/>
      <c r="J355" s="9" t="s">
        <v>207</v>
      </c>
      <c r="K355" s="14"/>
      <c r="L355" s="14"/>
      <c r="M355" s="12">
        <v>193</v>
      </c>
      <c r="N355" s="9"/>
      <c r="O355" s="9"/>
      <c r="P355" s="9"/>
      <c r="Q355" s="38">
        <f>M355+X355-AG355-BB355</f>
        <v>193</v>
      </c>
      <c r="R355" s="12"/>
      <c r="S355" s="42"/>
      <c r="T355" s="15"/>
      <c r="U355" s="44"/>
      <c r="V355" s="15"/>
      <c r="W355" s="44"/>
      <c r="X355" s="15">
        <f>R355+T355+V355</f>
        <v>0</v>
      </c>
      <c r="Y355" s="15"/>
      <c r="Z355" s="44"/>
      <c r="AA355" s="15"/>
      <c r="AB355" s="44"/>
      <c r="AC355" s="15"/>
      <c r="AD355" s="44"/>
      <c r="AE355" s="15"/>
      <c r="AF355" s="44"/>
      <c r="AG355" s="15">
        <f>(Y355+AA355+AC355+AE355)</f>
        <v>0</v>
      </c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/>
      <c r="BA355" s="42"/>
      <c r="BB355" s="15">
        <f>AH355+AJ355+AL355+AN355+AP355+AR355+AT355+AV355+AX355+AZ355</f>
        <v>0</v>
      </c>
      <c r="BC355" s="15"/>
      <c r="BD355" s="44"/>
      <c r="BE355" s="15"/>
      <c r="BF355" s="44"/>
      <c r="BG355" s="15">
        <f>(BC355+BE355)</f>
        <v>0</v>
      </c>
    </row>
    <row r="356" spans="1:59" s="8" customFormat="1" ht="22.5" hidden="1" customHeight="1">
      <c r="A356" s="9"/>
      <c r="B356" s="16" t="s">
        <v>204</v>
      </c>
      <c r="C356" s="89" t="s">
        <v>52</v>
      </c>
      <c r="D356" s="109" t="s">
        <v>552</v>
      </c>
      <c r="E356" s="110" t="s">
        <v>206</v>
      </c>
      <c r="F356" s="111" t="s">
        <v>1709</v>
      </c>
      <c r="G356" s="111" t="s">
        <v>1710</v>
      </c>
      <c r="H356" s="96"/>
      <c r="I356" s="9"/>
      <c r="J356" s="9" t="s">
        <v>374</v>
      </c>
      <c r="K356" s="14"/>
      <c r="L356" s="14"/>
      <c r="M356" s="12">
        <v>352</v>
      </c>
      <c r="N356" s="9"/>
      <c r="O356" s="9"/>
      <c r="P356" s="9"/>
      <c r="Q356" s="38">
        <f>M356+X356-AG356-BB356</f>
        <v>352</v>
      </c>
      <c r="R356" s="12"/>
      <c r="S356" s="42"/>
      <c r="T356" s="15"/>
      <c r="U356" s="44"/>
      <c r="V356" s="15"/>
      <c r="W356" s="44"/>
      <c r="X356" s="15">
        <f>R356+T356+V356</f>
        <v>0</v>
      </c>
      <c r="Y356" s="15"/>
      <c r="Z356" s="44"/>
      <c r="AA356" s="15"/>
      <c r="AB356" s="44"/>
      <c r="AC356" s="15"/>
      <c r="AD356" s="44"/>
      <c r="AE356" s="15"/>
      <c r="AF356" s="44"/>
      <c r="AG356" s="15">
        <f>(Y356+AA356+AC356+AE356)</f>
        <v>0</v>
      </c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/>
      <c r="BA356" s="42"/>
      <c r="BB356" s="15">
        <f>AH356+AJ356+AL356+AN356+AP356+AR356+AT356+AV356+AX356+AZ356</f>
        <v>0</v>
      </c>
      <c r="BC356" s="15"/>
      <c r="BD356" s="44"/>
      <c r="BE356" s="15"/>
      <c r="BF356" s="44"/>
      <c r="BG356" s="15">
        <f>(BC356+BE356)</f>
        <v>0</v>
      </c>
    </row>
    <row r="357" spans="1:59" s="8" customFormat="1" ht="22.5" hidden="1" customHeight="1">
      <c r="A357" s="9"/>
      <c r="B357" s="16" t="s">
        <v>233</v>
      </c>
      <c r="C357" s="89" t="s">
        <v>52</v>
      </c>
      <c r="D357" s="109" t="s">
        <v>553</v>
      </c>
      <c r="E357" s="110" t="s">
        <v>554</v>
      </c>
      <c r="F357" s="111" t="s">
        <v>1711</v>
      </c>
      <c r="G357" s="111" t="s">
        <v>1712</v>
      </c>
      <c r="H357" s="96"/>
      <c r="I357" s="9"/>
      <c r="J357" s="9" t="s">
        <v>207</v>
      </c>
      <c r="K357" s="14"/>
      <c r="L357" s="14"/>
      <c r="M357" s="12">
        <v>486</v>
      </c>
      <c r="N357" s="9"/>
      <c r="O357" s="9"/>
      <c r="P357" s="9"/>
      <c r="Q357" s="38">
        <f>M357+X357-AG357-BB357</f>
        <v>486</v>
      </c>
      <c r="R357" s="12"/>
      <c r="S357" s="42"/>
      <c r="T357" s="15"/>
      <c r="U357" s="44"/>
      <c r="V357" s="15"/>
      <c r="W357" s="44"/>
      <c r="X357" s="15">
        <f>R357+T357+V357</f>
        <v>0</v>
      </c>
      <c r="Y357" s="15"/>
      <c r="Z357" s="44"/>
      <c r="AA357" s="15"/>
      <c r="AB357" s="44"/>
      <c r="AC357" s="15"/>
      <c r="AD357" s="44"/>
      <c r="AE357" s="15"/>
      <c r="AF357" s="44"/>
      <c r="AG357" s="15">
        <f>(Y357+AA357+AC357+AE357)</f>
        <v>0</v>
      </c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/>
      <c r="BA357" s="42"/>
      <c r="BB357" s="15">
        <f>AH357+AJ357+AL357+AN357+AP357+AR357+AT357+AV357+AX357+AZ357</f>
        <v>0</v>
      </c>
      <c r="BC357" s="15"/>
      <c r="BD357" s="44"/>
      <c r="BE357" s="15"/>
      <c r="BF357" s="44"/>
      <c r="BG357" s="15">
        <f>(BC357+BE357)</f>
        <v>0</v>
      </c>
    </row>
    <row r="358" spans="1:59" s="8" customFormat="1" ht="22.5" hidden="1" customHeight="1">
      <c r="A358" s="9"/>
      <c r="B358" s="16" t="s">
        <v>233</v>
      </c>
      <c r="C358" s="89" t="s">
        <v>52</v>
      </c>
      <c r="D358" s="109" t="s">
        <v>555</v>
      </c>
      <c r="E358" s="110" t="s">
        <v>554</v>
      </c>
      <c r="F358" s="111" t="s">
        <v>1713</v>
      </c>
      <c r="G358" s="111" t="s">
        <v>1714</v>
      </c>
      <c r="H358" s="96"/>
      <c r="I358" s="9"/>
      <c r="J358" s="9" t="s">
        <v>207</v>
      </c>
      <c r="K358" s="14"/>
      <c r="L358" s="14"/>
      <c r="M358" s="12">
        <v>2</v>
      </c>
      <c r="N358" s="9"/>
      <c r="O358" s="9"/>
      <c r="P358" s="9"/>
      <c r="Q358" s="38">
        <f>M358+X358-AG358-BB358</f>
        <v>2</v>
      </c>
      <c r="R358" s="12"/>
      <c r="S358" s="42"/>
      <c r="T358" s="15"/>
      <c r="U358" s="44"/>
      <c r="V358" s="15"/>
      <c r="W358" s="44"/>
      <c r="X358" s="15">
        <f>R358+T358+V358</f>
        <v>0</v>
      </c>
      <c r="Y358" s="15"/>
      <c r="Z358" s="44"/>
      <c r="AA358" s="15"/>
      <c r="AB358" s="44"/>
      <c r="AC358" s="15"/>
      <c r="AD358" s="44"/>
      <c r="AE358" s="15"/>
      <c r="AF358" s="44"/>
      <c r="AG358" s="15">
        <f>(Y358+AA358+AC358+AE358)</f>
        <v>0</v>
      </c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/>
      <c r="BA358" s="42"/>
      <c r="BB358" s="15">
        <f>AH358+AJ358+AL358+AN358+AP358+AR358+AT358+AV358+AX358+AZ358</f>
        <v>0</v>
      </c>
      <c r="BC358" s="15"/>
      <c r="BD358" s="44"/>
      <c r="BE358" s="15"/>
      <c r="BF358" s="44"/>
      <c r="BG358" s="15">
        <f>(BC358+BE358)</f>
        <v>0</v>
      </c>
    </row>
    <row r="359" spans="1:59" s="8" customFormat="1" ht="22.5" hidden="1" customHeight="1">
      <c r="A359" s="9"/>
      <c r="B359" s="16" t="s">
        <v>233</v>
      </c>
      <c r="C359" s="89" t="s">
        <v>52</v>
      </c>
      <c r="D359" s="109" t="s">
        <v>556</v>
      </c>
      <c r="E359" s="110" t="s">
        <v>554</v>
      </c>
      <c r="F359" s="111" t="s">
        <v>1715</v>
      </c>
      <c r="G359" s="111" t="s">
        <v>1716</v>
      </c>
      <c r="H359" s="96"/>
      <c r="I359" s="9"/>
      <c r="J359" s="9" t="s">
        <v>207</v>
      </c>
      <c r="K359" s="14"/>
      <c r="L359" s="14"/>
      <c r="M359" s="12">
        <v>525</v>
      </c>
      <c r="N359" s="9"/>
      <c r="O359" s="9"/>
      <c r="P359" s="9"/>
      <c r="Q359" s="38">
        <f>M359+X359-AG359-BB359</f>
        <v>525</v>
      </c>
      <c r="R359" s="12"/>
      <c r="S359" s="42"/>
      <c r="T359" s="15"/>
      <c r="U359" s="44"/>
      <c r="V359" s="15"/>
      <c r="W359" s="44"/>
      <c r="X359" s="15">
        <f>R359+T359+V359</f>
        <v>0</v>
      </c>
      <c r="Y359" s="15"/>
      <c r="Z359" s="44"/>
      <c r="AA359" s="15"/>
      <c r="AB359" s="44"/>
      <c r="AC359" s="15"/>
      <c r="AD359" s="44"/>
      <c r="AE359" s="15"/>
      <c r="AF359" s="44"/>
      <c r="AG359" s="15">
        <f>(Y359+AA359+AC359+AE359)</f>
        <v>0</v>
      </c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/>
      <c r="BA359" s="42"/>
      <c r="BB359" s="15">
        <f>AH359+AJ359+AL359+AN359+AP359+AR359+AT359+AV359+AX359+AZ359</f>
        <v>0</v>
      </c>
      <c r="BC359" s="15"/>
      <c r="BD359" s="44"/>
      <c r="BE359" s="15"/>
      <c r="BF359" s="44"/>
      <c r="BG359" s="15">
        <f>(BC359+BE359)</f>
        <v>0</v>
      </c>
    </row>
    <row r="360" spans="1:59" s="8" customFormat="1" ht="22.5" hidden="1" customHeight="1">
      <c r="A360" s="9"/>
      <c r="B360" s="16" t="s">
        <v>233</v>
      </c>
      <c r="C360" s="89" t="s">
        <v>52</v>
      </c>
      <c r="D360" s="109" t="s">
        <v>557</v>
      </c>
      <c r="E360" s="110" t="s">
        <v>235</v>
      </c>
      <c r="F360" s="111" t="s">
        <v>1717</v>
      </c>
      <c r="G360" s="111" t="s">
        <v>1718</v>
      </c>
      <c r="H360" s="96"/>
      <c r="I360" s="9"/>
      <c r="J360" s="9" t="s">
        <v>558</v>
      </c>
      <c r="K360" s="14"/>
      <c r="L360" s="14"/>
      <c r="M360" s="12">
        <v>56</v>
      </c>
      <c r="N360" s="9"/>
      <c r="O360" s="9"/>
      <c r="P360" s="9"/>
      <c r="Q360" s="38">
        <f>M360+X360-AG360-BB360</f>
        <v>56</v>
      </c>
      <c r="R360" s="12"/>
      <c r="S360" s="42"/>
      <c r="T360" s="15"/>
      <c r="U360" s="44"/>
      <c r="V360" s="15"/>
      <c r="W360" s="44"/>
      <c r="X360" s="15">
        <f>R360+T360+V360</f>
        <v>0</v>
      </c>
      <c r="Y360" s="15"/>
      <c r="Z360" s="44"/>
      <c r="AA360" s="15"/>
      <c r="AB360" s="44"/>
      <c r="AC360" s="15"/>
      <c r="AD360" s="44"/>
      <c r="AE360" s="15"/>
      <c r="AF360" s="44"/>
      <c r="AG360" s="15">
        <f>(Y360+AA360+AC360+AE360)</f>
        <v>0</v>
      </c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/>
      <c r="BA360" s="42"/>
      <c r="BB360" s="15">
        <f>AH360+AJ360+AL360+AN360+AP360+AR360+AT360+AV360+AX360+AZ360</f>
        <v>0</v>
      </c>
      <c r="BC360" s="15"/>
      <c r="BD360" s="44"/>
      <c r="BE360" s="15"/>
      <c r="BF360" s="44"/>
      <c r="BG360" s="15">
        <f>(BC360+BE360)</f>
        <v>0</v>
      </c>
    </row>
    <row r="361" spans="1:59" s="8" customFormat="1" ht="22.5" hidden="1" customHeight="1">
      <c r="A361" s="9"/>
      <c r="B361" s="16" t="s">
        <v>233</v>
      </c>
      <c r="C361" s="89" t="s">
        <v>52</v>
      </c>
      <c r="D361" s="109" t="s">
        <v>559</v>
      </c>
      <c r="E361" s="110" t="s">
        <v>560</v>
      </c>
      <c r="F361" s="133" t="s">
        <v>1719</v>
      </c>
      <c r="G361" s="133" t="s">
        <v>1720</v>
      </c>
      <c r="H361" s="96"/>
      <c r="I361" s="9"/>
      <c r="J361" s="9" t="s">
        <v>558</v>
      </c>
      <c r="K361" s="14"/>
      <c r="L361" s="14"/>
      <c r="M361" s="12"/>
      <c r="N361" s="9"/>
      <c r="O361" s="9"/>
      <c r="P361" s="9"/>
      <c r="Q361" s="38">
        <f>M361+X361-AG361-BB361</f>
        <v>0</v>
      </c>
      <c r="R361" s="12"/>
      <c r="S361" s="42"/>
      <c r="T361" s="15"/>
      <c r="U361" s="44"/>
      <c r="V361" s="15"/>
      <c r="W361" s="44"/>
      <c r="X361" s="15">
        <f>R361+T361+V361</f>
        <v>0</v>
      </c>
      <c r="Y361" s="15"/>
      <c r="Z361" s="44"/>
      <c r="AA361" s="15"/>
      <c r="AB361" s="44"/>
      <c r="AC361" s="15"/>
      <c r="AD361" s="44"/>
      <c r="AE361" s="15"/>
      <c r="AF361" s="44"/>
      <c r="AG361" s="15">
        <f>(Y361+AA361+AC361+AE361)</f>
        <v>0</v>
      </c>
      <c r="AH361" s="15"/>
      <c r="AI361" s="42"/>
      <c r="AJ361" s="140"/>
      <c r="AK361" s="141"/>
      <c r="AL361" s="140"/>
      <c r="AM361" s="141"/>
      <c r="AN361" s="140"/>
      <c r="AO361" s="141"/>
      <c r="AP361" s="140"/>
      <c r="AQ361" s="141"/>
      <c r="AR361" s="140"/>
      <c r="AS361" s="141"/>
      <c r="AT361" s="140"/>
      <c r="AU361" s="141"/>
      <c r="AV361" s="140"/>
      <c r="AW361" s="141"/>
      <c r="AX361" s="140"/>
      <c r="AY361" s="141"/>
      <c r="AZ361" s="140"/>
      <c r="BA361" s="141"/>
      <c r="BB361" s="140">
        <f>AH361+AJ361+AL361+AN361+AP361+AR361+AT361+AV361+AX361+AZ361</f>
        <v>0</v>
      </c>
      <c r="BC361" s="140"/>
      <c r="BD361" s="142"/>
      <c r="BE361" s="140"/>
      <c r="BF361" s="142"/>
      <c r="BG361" s="140">
        <f>(BC361+BE361)</f>
        <v>0</v>
      </c>
    </row>
    <row r="362" spans="1:59" s="8" customFormat="1" ht="22.5" hidden="1" customHeight="1">
      <c r="A362" s="9"/>
      <c r="B362" s="16" t="s">
        <v>249</v>
      </c>
      <c r="C362" s="89" t="s">
        <v>52</v>
      </c>
      <c r="D362" s="109" t="s">
        <v>561</v>
      </c>
      <c r="E362" s="110" t="s">
        <v>562</v>
      </c>
      <c r="F362" s="111" t="s">
        <v>1721</v>
      </c>
      <c r="G362" s="111" t="s">
        <v>1722</v>
      </c>
      <c r="H362" s="96"/>
      <c r="I362" s="9"/>
      <c r="J362" s="9" t="s">
        <v>563</v>
      </c>
      <c r="K362" s="14"/>
      <c r="L362" s="14"/>
      <c r="M362" s="12">
        <v>15</v>
      </c>
      <c r="N362" s="9"/>
      <c r="O362" s="9"/>
      <c r="P362" s="9"/>
      <c r="Q362" s="38">
        <f>M362+X362-AG362-BB362</f>
        <v>15</v>
      </c>
      <c r="R362" s="12"/>
      <c r="S362" s="42"/>
      <c r="T362" s="15"/>
      <c r="U362" s="44"/>
      <c r="V362" s="15"/>
      <c r="W362" s="44"/>
      <c r="X362" s="15">
        <f>R362+T362+V362</f>
        <v>0</v>
      </c>
      <c r="Y362" s="15"/>
      <c r="Z362" s="44"/>
      <c r="AA362" s="15"/>
      <c r="AB362" s="44"/>
      <c r="AC362" s="15"/>
      <c r="AD362" s="44"/>
      <c r="AE362" s="15"/>
      <c r="AF362" s="44"/>
      <c r="AG362" s="15">
        <f>(Y362+AA362+AC362+AE362)</f>
        <v>0</v>
      </c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/>
      <c r="BA362" s="42"/>
      <c r="BB362" s="15">
        <f>AH362+AJ362+AL362+AN362+AP362+AR362+AT362+AV362+AX362+AZ362</f>
        <v>0</v>
      </c>
      <c r="BC362" s="15"/>
      <c r="BD362" s="44"/>
      <c r="BE362" s="15"/>
      <c r="BF362" s="44"/>
      <c r="BG362" s="15">
        <f>(BC362+BE362)</f>
        <v>0</v>
      </c>
    </row>
    <row r="363" spans="1:59" s="8" customFormat="1" ht="22.5" hidden="1" customHeight="1">
      <c r="A363" s="9"/>
      <c r="B363" s="16" t="s">
        <v>155</v>
      </c>
      <c r="C363" s="89" t="s">
        <v>52</v>
      </c>
      <c r="D363" s="109" t="s">
        <v>564</v>
      </c>
      <c r="E363" s="110" t="s">
        <v>565</v>
      </c>
      <c r="F363" s="111" t="s">
        <v>1723</v>
      </c>
      <c r="G363" s="111" t="s">
        <v>1724</v>
      </c>
      <c r="H363" s="96"/>
      <c r="I363" s="9"/>
      <c r="J363" s="9" t="s">
        <v>566</v>
      </c>
      <c r="K363" s="14"/>
      <c r="L363" s="14"/>
      <c r="M363" s="12">
        <v>0</v>
      </c>
      <c r="N363" s="9"/>
      <c r="O363" s="9"/>
      <c r="P363" s="9"/>
      <c r="Q363" s="38">
        <f>M363+X363-AG363-BB363</f>
        <v>0</v>
      </c>
      <c r="R363" s="12"/>
      <c r="S363" s="42"/>
      <c r="T363" s="15"/>
      <c r="U363" s="44"/>
      <c r="V363" s="15"/>
      <c r="W363" s="44"/>
      <c r="X363" s="15">
        <f>R363+T363+V363</f>
        <v>0</v>
      </c>
      <c r="Y363" s="15"/>
      <c r="Z363" s="44"/>
      <c r="AA363" s="15"/>
      <c r="AB363" s="44"/>
      <c r="AC363" s="15"/>
      <c r="AD363" s="44"/>
      <c r="AE363" s="15"/>
      <c r="AF363" s="44"/>
      <c r="AG363" s="15">
        <f>(Y363+AA363+AC363+AE363)</f>
        <v>0</v>
      </c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/>
      <c r="BA363" s="42"/>
      <c r="BB363" s="15">
        <f>AH363+AJ363+AL363+AN363+AP363+AR363+AT363+AV363+AX363+AZ363</f>
        <v>0</v>
      </c>
      <c r="BC363" s="15"/>
      <c r="BD363" s="44"/>
      <c r="BE363" s="15"/>
      <c r="BF363" s="44"/>
      <c r="BG363" s="15">
        <f>(BC363+BE363)</f>
        <v>0</v>
      </c>
    </row>
    <row r="364" spans="1:59" s="8" customFormat="1" ht="22.5" hidden="1" customHeight="1">
      <c r="A364" s="9"/>
      <c r="B364" s="16" t="s">
        <v>155</v>
      </c>
      <c r="C364" s="89" t="s">
        <v>52</v>
      </c>
      <c r="D364" s="109" t="s">
        <v>1725</v>
      </c>
      <c r="E364" s="110" t="s">
        <v>565</v>
      </c>
      <c r="F364" s="111" t="s">
        <v>1726</v>
      </c>
      <c r="G364" s="137" t="s">
        <v>1727</v>
      </c>
      <c r="H364" s="96"/>
      <c r="I364" s="9"/>
      <c r="J364" s="9" t="s">
        <v>566</v>
      </c>
      <c r="K364" s="14"/>
      <c r="L364" s="14"/>
      <c r="M364" s="12">
        <v>0</v>
      </c>
      <c r="N364" s="9"/>
      <c r="O364" s="9"/>
      <c r="P364" s="9"/>
      <c r="Q364" s="38">
        <f>M364+X364-AG364-BB364</f>
        <v>0</v>
      </c>
      <c r="R364" s="12"/>
      <c r="S364" s="42"/>
      <c r="T364" s="15"/>
      <c r="U364" s="44"/>
      <c r="V364" s="15"/>
      <c r="W364" s="44"/>
      <c r="X364" s="15">
        <f>R364+T364+V364</f>
        <v>0</v>
      </c>
      <c r="Y364" s="15"/>
      <c r="Z364" s="44"/>
      <c r="AA364" s="15"/>
      <c r="AB364" s="44"/>
      <c r="AC364" s="15"/>
      <c r="AD364" s="44"/>
      <c r="AE364" s="15"/>
      <c r="AF364" s="44"/>
      <c r="AG364" s="15">
        <f>(Y364+AA364+AC364+AE364)</f>
        <v>0</v>
      </c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/>
      <c r="BA364" s="42"/>
      <c r="BB364" s="15"/>
      <c r="BC364" s="15"/>
      <c r="BD364" s="44"/>
      <c r="BE364" s="15"/>
      <c r="BF364" s="44"/>
      <c r="BG364" s="15"/>
    </row>
    <row r="365" spans="1:59" s="8" customFormat="1" ht="22.5" hidden="1" customHeight="1">
      <c r="A365" s="9"/>
      <c r="B365" s="16" t="s">
        <v>155</v>
      </c>
      <c r="C365" s="89" t="s">
        <v>52</v>
      </c>
      <c r="D365" s="109" t="s">
        <v>567</v>
      </c>
      <c r="E365" s="110" t="s">
        <v>565</v>
      </c>
      <c r="F365" s="111" t="s">
        <v>1728</v>
      </c>
      <c r="G365" s="111" t="s">
        <v>1729</v>
      </c>
      <c r="H365" s="96"/>
      <c r="I365" s="9"/>
      <c r="J365" s="9" t="s">
        <v>566</v>
      </c>
      <c r="K365" s="14"/>
      <c r="L365" s="14"/>
      <c r="M365" s="12">
        <v>26</v>
      </c>
      <c r="N365" s="9"/>
      <c r="O365" s="9"/>
      <c r="P365" s="9"/>
      <c r="Q365" s="38">
        <f>M365+X365-AG365-BB365</f>
        <v>26</v>
      </c>
      <c r="R365" s="12"/>
      <c r="S365" s="42"/>
      <c r="T365" s="15"/>
      <c r="U365" s="44"/>
      <c r="V365" s="15"/>
      <c r="W365" s="44"/>
      <c r="X365" s="15">
        <f>R365+T365+V365</f>
        <v>0</v>
      </c>
      <c r="Y365" s="15"/>
      <c r="Z365" s="44"/>
      <c r="AA365" s="15"/>
      <c r="AB365" s="44"/>
      <c r="AC365" s="15"/>
      <c r="AD365" s="44"/>
      <c r="AE365" s="15"/>
      <c r="AF365" s="44"/>
      <c r="AG365" s="15">
        <f>(Y365+AA365+AC365+AE365)</f>
        <v>0</v>
      </c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/>
      <c r="BA365" s="42"/>
      <c r="BB365" s="15">
        <f>AH365+AJ365+AL365+AN365+AP365+AR365+AT365+AV365+AX365+AZ365</f>
        <v>0</v>
      </c>
      <c r="BC365" s="15"/>
      <c r="BD365" s="44"/>
      <c r="BE365" s="15"/>
      <c r="BF365" s="44"/>
      <c r="BG365" s="15">
        <f>(BC365+BE365)</f>
        <v>0</v>
      </c>
    </row>
    <row r="366" spans="1:59" s="8" customFormat="1" ht="22.5" hidden="1" customHeight="1">
      <c r="A366" s="9"/>
      <c r="B366" s="16" t="s">
        <v>155</v>
      </c>
      <c r="C366" s="89" t="s">
        <v>52</v>
      </c>
      <c r="D366" s="109" t="s">
        <v>568</v>
      </c>
      <c r="E366" s="110" t="s">
        <v>569</v>
      </c>
      <c r="F366" s="111" t="s">
        <v>1730</v>
      </c>
      <c r="G366" s="111" t="s">
        <v>1731</v>
      </c>
      <c r="H366" s="96"/>
      <c r="I366" s="9"/>
      <c r="J366" s="9" t="s">
        <v>566</v>
      </c>
      <c r="K366" s="14"/>
      <c r="L366" s="14"/>
      <c r="M366" s="12">
        <v>203</v>
      </c>
      <c r="N366" s="9"/>
      <c r="O366" s="9"/>
      <c r="P366" s="9"/>
      <c r="Q366" s="38">
        <f>M366+X366-AG366-BB366</f>
        <v>203</v>
      </c>
      <c r="R366" s="12"/>
      <c r="S366" s="42"/>
      <c r="T366" s="15"/>
      <c r="U366" s="44"/>
      <c r="V366" s="15"/>
      <c r="W366" s="44"/>
      <c r="X366" s="15">
        <f>R366+T366+V366</f>
        <v>0</v>
      </c>
      <c r="Y366" s="15"/>
      <c r="Z366" s="44"/>
      <c r="AA366" s="15"/>
      <c r="AB366" s="44"/>
      <c r="AC366" s="15"/>
      <c r="AD366" s="44"/>
      <c r="AE366" s="15"/>
      <c r="AF366" s="44"/>
      <c r="AG366" s="15">
        <f>(Y366+AA366+AC366+AE366)</f>
        <v>0</v>
      </c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/>
      <c r="BA366" s="42"/>
      <c r="BB366" s="15">
        <f>AH366+AJ366+AL366+AN366+AP366+AR366+AT366+AV366+AX366+AZ366</f>
        <v>0</v>
      </c>
      <c r="BC366" s="15"/>
      <c r="BD366" s="44"/>
      <c r="BE366" s="15"/>
      <c r="BF366" s="44"/>
      <c r="BG366" s="15">
        <f>(BC366+BE366)</f>
        <v>0</v>
      </c>
    </row>
    <row r="367" spans="1:59" s="8" customFormat="1" ht="22.5" hidden="1" customHeight="1">
      <c r="A367" s="9"/>
      <c r="B367" s="16" t="s">
        <v>330</v>
      </c>
      <c r="C367" s="89" t="s">
        <v>52</v>
      </c>
      <c r="D367" s="109" t="s">
        <v>333</v>
      </c>
      <c r="E367" s="110" t="s">
        <v>330</v>
      </c>
      <c r="F367" s="111" t="s">
        <v>1732</v>
      </c>
      <c r="G367" s="111" t="s">
        <v>1733</v>
      </c>
      <c r="H367" s="96"/>
      <c r="I367" s="9"/>
      <c r="J367" s="9" t="s">
        <v>332</v>
      </c>
      <c r="K367" s="14"/>
      <c r="L367" s="14"/>
      <c r="M367" s="12"/>
      <c r="N367" s="9"/>
      <c r="O367" s="9"/>
      <c r="P367" s="9"/>
      <c r="Q367" s="38">
        <f>M367+X367-AG367-BB367</f>
        <v>0</v>
      </c>
      <c r="R367" s="12"/>
      <c r="S367" s="42"/>
      <c r="T367" s="15"/>
      <c r="U367" s="44"/>
      <c r="V367" s="15"/>
      <c r="W367" s="44"/>
      <c r="X367" s="15">
        <f>R367+T367+V367</f>
        <v>0</v>
      </c>
      <c r="Y367" s="15"/>
      <c r="Z367" s="44"/>
      <c r="AA367" s="15"/>
      <c r="AB367" s="44"/>
      <c r="AC367" s="15"/>
      <c r="AD367" s="44"/>
      <c r="AE367" s="15"/>
      <c r="AF367" s="44"/>
      <c r="AG367" s="15">
        <f>(Y367+AA367+AC367+AE367)</f>
        <v>0</v>
      </c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/>
      <c r="BA367" s="42"/>
      <c r="BB367" s="15">
        <f>AH367+AJ367+AL367+AN367+AP367+AR367+AT367+AV367+AX367+AZ367</f>
        <v>0</v>
      </c>
      <c r="BC367" s="15"/>
      <c r="BD367" s="44"/>
      <c r="BE367" s="15"/>
      <c r="BF367" s="44"/>
      <c r="BG367" s="15">
        <f>(BC367+BE367)</f>
        <v>0</v>
      </c>
    </row>
    <row r="368" spans="1:59" s="8" customFormat="1" ht="22.5" hidden="1" customHeight="1">
      <c r="A368" s="9"/>
      <c r="B368" s="16" t="s">
        <v>570</v>
      </c>
      <c r="C368" s="89" t="s">
        <v>52</v>
      </c>
      <c r="D368" s="109" t="s">
        <v>571</v>
      </c>
      <c r="E368" s="110" t="s">
        <v>562</v>
      </c>
      <c r="F368" s="133" t="s">
        <v>1734</v>
      </c>
      <c r="G368" s="133" t="s">
        <v>1735</v>
      </c>
      <c r="H368" s="96"/>
      <c r="I368" s="9"/>
      <c r="J368" s="9" t="s">
        <v>314</v>
      </c>
      <c r="K368" s="14"/>
      <c r="L368" s="14"/>
      <c r="M368" s="12"/>
      <c r="N368" s="9"/>
      <c r="O368" s="9"/>
      <c r="P368" s="9"/>
      <c r="Q368" s="38">
        <f>M368+X368-AG368-BB368</f>
        <v>0</v>
      </c>
      <c r="R368" s="12"/>
      <c r="S368" s="42"/>
      <c r="T368" s="15"/>
      <c r="U368" s="44"/>
      <c r="V368" s="15"/>
      <c r="W368" s="44"/>
      <c r="X368" s="15">
        <f>R368+T368+V368</f>
        <v>0</v>
      </c>
      <c r="Y368" s="15"/>
      <c r="Z368" s="44"/>
      <c r="AA368" s="15"/>
      <c r="AB368" s="44"/>
      <c r="AC368" s="15"/>
      <c r="AD368" s="44"/>
      <c r="AE368" s="15"/>
      <c r="AF368" s="44"/>
      <c r="AG368" s="15">
        <f>(Y368+AA368+AC368+AE368)</f>
        <v>0</v>
      </c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/>
      <c r="BA368" s="42"/>
      <c r="BB368" s="15">
        <f>AH368+AJ368+AL368+AN368+AP368+AR368+AT368+AV368+AX368+AZ368</f>
        <v>0</v>
      </c>
      <c r="BC368" s="15"/>
      <c r="BD368" s="44"/>
      <c r="BE368" s="15"/>
      <c r="BF368" s="44"/>
      <c r="BG368" s="15">
        <f>(BC368+BE368)</f>
        <v>0</v>
      </c>
    </row>
    <row r="369" spans="1:59" s="8" customFormat="1" ht="22.5" hidden="1" customHeight="1">
      <c r="A369" s="9"/>
      <c r="B369" s="16" t="s">
        <v>472</v>
      </c>
      <c r="C369" s="89" t="s">
        <v>52</v>
      </c>
      <c r="D369" s="109" t="s">
        <v>1736</v>
      </c>
      <c r="E369" s="110" t="s">
        <v>573</v>
      </c>
      <c r="F369" s="111" t="s">
        <v>1737</v>
      </c>
      <c r="G369" s="111" t="s">
        <v>1738</v>
      </c>
      <c r="H369" s="96"/>
      <c r="I369" s="9"/>
      <c r="J369" s="9" t="s">
        <v>67</v>
      </c>
      <c r="K369" s="14"/>
      <c r="L369" s="14"/>
      <c r="M369" s="12">
        <v>362</v>
      </c>
      <c r="N369" s="9"/>
      <c r="O369" s="9"/>
      <c r="P369" s="9"/>
      <c r="Q369" s="38">
        <f>M369+X369-AG369-BB369</f>
        <v>362</v>
      </c>
      <c r="R369" s="12"/>
      <c r="S369" s="42"/>
      <c r="T369" s="15"/>
      <c r="U369" s="44"/>
      <c r="V369" s="15"/>
      <c r="W369" s="44"/>
      <c r="X369" s="15">
        <f>R369+T369+V369</f>
        <v>0</v>
      </c>
      <c r="Y369" s="15"/>
      <c r="Z369" s="44"/>
      <c r="AA369" s="15"/>
      <c r="AB369" s="44"/>
      <c r="AC369" s="15"/>
      <c r="AD369" s="44"/>
      <c r="AE369" s="15"/>
      <c r="AF369" s="44"/>
      <c r="AG369" s="15">
        <f>(Y369+AA369+AC369+AE369)</f>
        <v>0</v>
      </c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/>
      <c r="BA369" s="42"/>
      <c r="BB369" s="15">
        <f>AH369+AJ369+AL369+AN369+AP369+AR369+AT369+AV369+AX369+AZ369</f>
        <v>0</v>
      </c>
      <c r="BC369" s="15"/>
      <c r="BD369" s="44"/>
      <c r="BE369" s="15"/>
      <c r="BF369" s="44"/>
      <c r="BG369" s="15">
        <f>(BC369+BE369)</f>
        <v>0</v>
      </c>
    </row>
    <row r="370" spans="1:59" s="8" customFormat="1" ht="22.5" hidden="1" customHeight="1">
      <c r="A370" s="9"/>
      <c r="B370" s="16" t="s">
        <v>574</v>
      </c>
      <c r="C370" s="89" t="s">
        <v>494</v>
      </c>
      <c r="D370" s="109" t="s">
        <v>1739</v>
      </c>
      <c r="E370" s="110"/>
      <c r="F370" s="111" t="s">
        <v>1740</v>
      </c>
      <c r="G370" s="111" t="s">
        <v>1741</v>
      </c>
      <c r="H370" s="96"/>
      <c r="I370" s="9"/>
      <c r="J370" s="9" t="s">
        <v>576</v>
      </c>
      <c r="K370" s="14"/>
      <c r="L370" s="14"/>
      <c r="M370" s="12">
        <v>135</v>
      </c>
      <c r="N370" s="9"/>
      <c r="O370" s="9"/>
      <c r="P370" s="9"/>
      <c r="Q370" s="38">
        <f>M370+X370-AG370-BB370</f>
        <v>135</v>
      </c>
      <c r="R370" s="12"/>
      <c r="S370" s="42"/>
      <c r="T370" s="15"/>
      <c r="U370" s="44"/>
      <c r="V370" s="15"/>
      <c r="W370" s="44"/>
      <c r="X370" s="15">
        <f>R370+T370+V370</f>
        <v>0</v>
      </c>
      <c r="Y370" s="15"/>
      <c r="Z370" s="44"/>
      <c r="AA370" s="15"/>
      <c r="AB370" s="44"/>
      <c r="AC370" s="15"/>
      <c r="AD370" s="44"/>
      <c r="AE370" s="15"/>
      <c r="AF370" s="44"/>
      <c r="AG370" s="15">
        <f>(Y370+AA370+AC370+AE370)</f>
        <v>0</v>
      </c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/>
      <c r="BA370" s="42"/>
      <c r="BB370" s="15">
        <f>AH370+AJ370+AL370+AN370+AP370+AR370+AT370+AV370+AX370+AZ370</f>
        <v>0</v>
      </c>
      <c r="BC370" s="15"/>
      <c r="BD370" s="44"/>
      <c r="BE370" s="15"/>
      <c r="BF370" s="44"/>
      <c r="BG370" s="15">
        <f>(BC370+BE370)</f>
        <v>0</v>
      </c>
    </row>
    <row r="371" spans="1:59" s="8" customFormat="1" ht="22.5" hidden="1" customHeight="1">
      <c r="A371" s="9"/>
      <c r="B371" s="16" t="s">
        <v>574</v>
      </c>
      <c r="C371" s="89" t="s">
        <v>494</v>
      </c>
      <c r="D371" s="109" t="s">
        <v>577</v>
      </c>
      <c r="E371" s="110" t="s">
        <v>578</v>
      </c>
      <c r="F371" s="111" t="s">
        <v>1742</v>
      </c>
      <c r="G371" s="111" t="s">
        <v>1743</v>
      </c>
      <c r="H371" s="96"/>
      <c r="I371" s="9"/>
      <c r="J371" s="9" t="s">
        <v>576</v>
      </c>
      <c r="K371" s="14"/>
      <c r="L371" s="14"/>
      <c r="M371" s="12"/>
      <c r="N371" s="9"/>
      <c r="O371" s="9"/>
      <c r="P371" s="9"/>
      <c r="Q371" s="38">
        <f>M371+X371-AG371-BB371</f>
        <v>0</v>
      </c>
      <c r="R371" s="12"/>
      <c r="S371" s="42"/>
      <c r="T371" s="15"/>
      <c r="U371" s="44"/>
      <c r="V371" s="15"/>
      <c r="W371" s="44"/>
      <c r="X371" s="15">
        <f>R371+T371+V371</f>
        <v>0</v>
      </c>
      <c r="Y371" s="15"/>
      <c r="Z371" s="44"/>
      <c r="AA371" s="15"/>
      <c r="AB371" s="44"/>
      <c r="AC371" s="15"/>
      <c r="AD371" s="44"/>
      <c r="AE371" s="15"/>
      <c r="AF371" s="44"/>
      <c r="AG371" s="15">
        <f>(Y371+AA371+AC371+AE371)</f>
        <v>0</v>
      </c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/>
      <c r="BA371" s="42"/>
      <c r="BB371" s="15">
        <f>AH371+AJ371+AL371+AN371+AP371+AR371+AT371+AV371+AX371+AZ371</f>
        <v>0</v>
      </c>
      <c r="BC371" s="15"/>
      <c r="BD371" s="44"/>
      <c r="BE371" s="15"/>
      <c r="BF371" s="44"/>
      <c r="BG371" s="15">
        <f>(BC371+BE371)</f>
        <v>0</v>
      </c>
    </row>
    <row r="372" spans="1:59" s="8" customFormat="1" ht="22.5" hidden="1" customHeight="1">
      <c r="A372" s="9"/>
      <c r="B372" s="16" t="s">
        <v>244</v>
      </c>
      <c r="C372" s="89" t="s">
        <v>52</v>
      </c>
      <c r="D372" s="109" t="s">
        <v>579</v>
      </c>
      <c r="E372" s="110" t="s">
        <v>246</v>
      </c>
      <c r="F372" s="111" t="s">
        <v>1744</v>
      </c>
      <c r="G372" s="111" t="s">
        <v>1745</v>
      </c>
      <c r="H372" s="96"/>
      <c r="I372" s="9"/>
      <c r="J372" s="9" t="s">
        <v>247</v>
      </c>
      <c r="K372" s="14"/>
      <c r="L372" s="14"/>
      <c r="M372" s="12">
        <v>238</v>
      </c>
      <c r="N372" s="9"/>
      <c r="O372" s="9"/>
      <c r="P372" s="9"/>
      <c r="Q372" s="38">
        <f>M372+X372-AG372-BB372</f>
        <v>238</v>
      </c>
      <c r="R372" s="12"/>
      <c r="S372" s="42"/>
      <c r="T372" s="15"/>
      <c r="U372" s="44"/>
      <c r="V372" s="15"/>
      <c r="W372" s="44"/>
      <c r="X372" s="15">
        <f>R372+T372+V372</f>
        <v>0</v>
      </c>
      <c r="Y372" s="15"/>
      <c r="Z372" s="44"/>
      <c r="AA372" s="15"/>
      <c r="AB372" s="44"/>
      <c r="AC372" s="15"/>
      <c r="AD372" s="44"/>
      <c r="AE372" s="15"/>
      <c r="AF372" s="44"/>
      <c r="AG372" s="15">
        <f>(Y372+AA372+AC372+AE372)</f>
        <v>0</v>
      </c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/>
      <c r="BA372" s="42"/>
      <c r="BB372" s="15">
        <f>AH372+AJ372+AL372+AN372+AP372+AR372+AT372+AV372+AX372+AZ372</f>
        <v>0</v>
      </c>
      <c r="BC372" s="15"/>
      <c r="BD372" s="44"/>
      <c r="BE372" s="15"/>
      <c r="BF372" s="44"/>
      <c r="BG372" s="15">
        <f>(BC372+BE372)</f>
        <v>0</v>
      </c>
    </row>
    <row r="373" spans="1:59" s="8" customFormat="1" ht="22.5" hidden="1" customHeight="1">
      <c r="A373" s="9"/>
      <c r="B373" s="16" t="s">
        <v>244</v>
      </c>
      <c r="C373" s="89" t="s">
        <v>52</v>
      </c>
      <c r="D373" s="109" t="s">
        <v>580</v>
      </c>
      <c r="E373" s="110" t="s">
        <v>246</v>
      </c>
      <c r="F373" s="111" t="s">
        <v>1746</v>
      </c>
      <c r="G373" s="111" t="s">
        <v>1747</v>
      </c>
      <c r="H373" s="96"/>
      <c r="I373" s="9"/>
      <c r="J373" s="9" t="s">
        <v>247</v>
      </c>
      <c r="K373" s="14"/>
      <c r="L373" s="14"/>
      <c r="M373" s="12">
        <v>185</v>
      </c>
      <c r="N373" s="9"/>
      <c r="O373" s="9"/>
      <c r="P373" s="9"/>
      <c r="Q373" s="38">
        <f>M373+X373-AG373-BB373</f>
        <v>185</v>
      </c>
      <c r="R373" s="12"/>
      <c r="S373" s="42"/>
      <c r="T373" s="15"/>
      <c r="U373" s="44"/>
      <c r="V373" s="15"/>
      <c r="W373" s="44"/>
      <c r="X373" s="15">
        <f>R373+T373+V373</f>
        <v>0</v>
      </c>
      <c r="Y373" s="15"/>
      <c r="Z373" s="44"/>
      <c r="AA373" s="15"/>
      <c r="AB373" s="44"/>
      <c r="AC373" s="15"/>
      <c r="AD373" s="44"/>
      <c r="AE373" s="15"/>
      <c r="AF373" s="44"/>
      <c r="AG373" s="15">
        <f>(Y373+AA373+AC373+AE373)</f>
        <v>0</v>
      </c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/>
      <c r="BA373" s="42"/>
      <c r="BB373" s="15">
        <f>AH373+AJ373+AL373+AN373+AP373+AR373+AT373+AV373+AX373+AZ373</f>
        <v>0</v>
      </c>
      <c r="BC373" s="15"/>
      <c r="BD373" s="44"/>
      <c r="BE373" s="15"/>
      <c r="BF373" s="44"/>
      <c r="BG373" s="15">
        <f>(BC373+BE373)</f>
        <v>0</v>
      </c>
    </row>
    <row r="374" spans="1:59" s="8" customFormat="1" ht="22.5" hidden="1" customHeight="1">
      <c r="A374" s="9"/>
      <c r="B374" s="16" t="s">
        <v>581</v>
      </c>
      <c r="C374" s="89" t="s">
        <v>44</v>
      </c>
      <c r="D374" s="109" t="s">
        <v>582</v>
      </c>
      <c r="E374" s="110" t="s">
        <v>583</v>
      </c>
      <c r="F374" s="111" t="s">
        <v>1748</v>
      </c>
      <c r="G374" s="111" t="s">
        <v>1749</v>
      </c>
      <c r="H374" s="95"/>
      <c r="I374" s="9"/>
      <c r="J374" s="9" t="s">
        <v>584</v>
      </c>
      <c r="K374" s="14"/>
      <c r="L374" s="14"/>
      <c r="M374" s="12">
        <v>130</v>
      </c>
      <c r="N374" s="9"/>
      <c r="O374" s="9"/>
      <c r="P374" s="9"/>
      <c r="Q374" s="38">
        <f>M374+X374-AG374-BB374</f>
        <v>130</v>
      </c>
      <c r="R374" s="12"/>
      <c r="S374" s="42"/>
      <c r="T374" s="15"/>
      <c r="U374" s="44"/>
      <c r="V374" s="15"/>
      <c r="W374" s="44"/>
      <c r="X374" s="15">
        <f>R374+T374+V374</f>
        <v>0</v>
      </c>
      <c r="Y374" s="15"/>
      <c r="Z374" s="44"/>
      <c r="AA374" s="15"/>
      <c r="AB374" s="44"/>
      <c r="AC374" s="15"/>
      <c r="AD374" s="44"/>
      <c r="AE374" s="15"/>
      <c r="AF374" s="44"/>
      <c r="AG374" s="15">
        <f>(Y374+AA374+AC374+AE374)</f>
        <v>0</v>
      </c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/>
      <c r="BA374" s="42"/>
      <c r="BB374" s="15">
        <f>AH374+AJ374+AL374+AN374+AP374+AR374+AT374+AV374+AX374+AZ374</f>
        <v>0</v>
      </c>
      <c r="BC374" s="15"/>
      <c r="BD374" s="44"/>
      <c r="BE374" s="15"/>
      <c r="BF374" s="44"/>
      <c r="BG374" s="15">
        <f>(BC374+BE374)</f>
        <v>0</v>
      </c>
    </row>
    <row r="375" spans="1:59" s="8" customFormat="1" ht="22.5" hidden="1" customHeight="1">
      <c r="A375" s="9"/>
      <c r="B375" s="16" t="s">
        <v>581</v>
      </c>
      <c r="C375" s="89" t="s">
        <v>132</v>
      </c>
      <c r="D375" s="109" t="s">
        <v>585</v>
      </c>
      <c r="E375" s="110" t="s">
        <v>583</v>
      </c>
      <c r="F375" s="111" t="s">
        <v>1750</v>
      </c>
      <c r="G375" s="111" t="s">
        <v>1751</v>
      </c>
      <c r="H375" s="95"/>
      <c r="I375" s="9"/>
      <c r="J375" s="9" t="s">
        <v>584</v>
      </c>
      <c r="K375" s="14"/>
      <c r="L375" s="14"/>
      <c r="M375" s="12"/>
      <c r="N375" s="9"/>
      <c r="O375" s="9"/>
      <c r="P375" s="9"/>
      <c r="Q375" s="38">
        <f>M375+X375-AG375-BB375</f>
        <v>0</v>
      </c>
      <c r="R375" s="12"/>
      <c r="S375" s="42"/>
      <c r="T375" s="15"/>
      <c r="U375" s="44"/>
      <c r="V375" s="15"/>
      <c r="W375" s="44"/>
      <c r="X375" s="15">
        <f>R375+T375+V375</f>
        <v>0</v>
      </c>
      <c r="Y375" s="15"/>
      <c r="Z375" s="44"/>
      <c r="AA375" s="15"/>
      <c r="AB375" s="44"/>
      <c r="AC375" s="15"/>
      <c r="AD375" s="44"/>
      <c r="AE375" s="15"/>
      <c r="AF375" s="44"/>
      <c r="AG375" s="15">
        <f>(Y375+AA375+AC375+AE375)</f>
        <v>0</v>
      </c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/>
      <c r="BA375" s="42"/>
      <c r="BB375" s="15">
        <f>AH375+AJ375+AL375+AN375+AP375+AR375+AT375+AV375+AX375+AZ375</f>
        <v>0</v>
      </c>
      <c r="BC375" s="15"/>
      <c r="BD375" s="44"/>
      <c r="BE375" s="15"/>
      <c r="BF375" s="44"/>
      <c r="BG375" s="15">
        <f>(BC375+BE375)</f>
        <v>0</v>
      </c>
    </row>
    <row r="376" spans="1:59" s="8" customFormat="1" ht="22.5" hidden="1" customHeight="1">
      <c r="A376" s="9"/>
      <c r="B376" s="16" t="s">
        <v>581</v>
      </c>
      <c r="C376" s="89" t="s">
        <v>48</v>
      </c>
      <c r="D376" s="109" t="s">
        <v>585</v>
      </c>
      <c r="E376" s="110" t="s">
        <v>586</v>
      </c>
      <c r="F376" s="111" t="s">
        <v>1754</v>
      </c>
      <c r="G376" s="111" t="s">
        <v>1755</v>
      </c>
      <c r="H376" s="95"/>
      <c r="I376" s="9"/>
      <c r="J376" s="9" t="s">
        <v>584</v>
      </c>
      <c r="K376" s="14"/>
      <c r="L376" s="14"/>
      <c r="M376" s="12">
        <v>0</v>
      </c>
      <c r="N376" s="9"/>
      <c r="O376" s="9"/>
      <c r="P376" s="9"/>
      <c r="Q376" s="38">
        <f>M376+X376-AG376-BB376</f>
        <v>0</v>
      </c>
      <c r="R376" s="12"/>
      <c r="S376" s="42"/>
      <c r="T376" s="15"/>
      <c r="U376" s="44"/>
      <c r="V376" s="15"/>
      <c r="W376" s="44"/>
      <c r="X376" s="15">
        <f>R376+T376+V376</f>
        <v>0</v>
      </c>
      <c r="Y376" s="15"/>
      <c r="Z376" s="44"/>
      <c r="AA376" s="15"/>
      <c r="AB376" s="44"/>
      <c r="AC376" s="15"/>
      <c r="AD376" s="44"/>
      <c r="AE376" s="15"/>
      <c r="AF376" s="44"/>
      <c r="AG376" s="15">
        <f>(Y376+AA376+AC376+AE376)</f>
        <v>0</v>
      </c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/>
      <c r="BA376" s="42"/>
      <c r="BB376" s="15">
        <f>AH376+AJ376+AL376+AN376+AP376+AR376+AT376+AV376+AX376+AZ376</f>
        <v>0</v>
      </c>
      <c r="BC376" s="15"/>
      <c r="BD376" s="44"/>
      <c r="BE376" s="15"/>
      <c r="BF376" s="44"/>
      <c r="BG376" s="15">
        <f>(BC376+BE376)</f>
        <v>0</v>
      </c>
    </row>
    <row r="377" spans="1:59" s="8" customFormat="1" ht="22.5" hidden="1" customHeight="1">
      <c r="A377" s="9"/>
      <c r="B377" s="16" t="s">
        <v>581</v>
      </c>
      <c r="C377" s="89" t="s">
        <v>48</v>
      </c>
      <c r="D377" s="109" t="s">
        <v>587</v>
      </c>
      <c r="E377" s="110" t="s">
        <v>586</v>
      </c>
      <c r="F377" s="111" t="s">
        <v>1756</v>
      </c>
      <c r="G377" s="111" t="s">
        <v>1757</v>
      </c>
      <c r="H377" s="95"/>
      <c r="I377" s="9"/>
      <c r="J377" s="9" t="s">
        <v>584</v>
      </c>
      <c r="K377" s="14"/>
      <c r="L377" s="14"/>
      <c r="M377" s="12"/>
      <c r="N377" s="9"/>
      <c r="O377" s="9"/>
      <c r="P377" s="9"/>
      <c r="Q377" s="38">
        <f>M377+X377-AG377-BB377</f>
        <v>0</v>
      </c>
      <c r="R377" s="12"/>
      <c r="S377" s="42"/>
      <c r="T377" s="15"/>
      <c r="U377" s="44"/>
      <c r="V377" s="15"/>
      <c r="W377" s="44"/>
      <c r="X377" s="15">
        <f>R377+T377+V377</f>
        <v>0</v>
      </c>
      <c r="Y377" s="15"/>
      <c r="Z377" s="44"/>
      <c r="AA377" s="15"/>
      <c r="AB377" s="44"/>
      <c r="AC377" s="15"/>
      <c r="AD377" s="44"/>
      <c r="AE377" s="15"/>
      <c r="AF377" s="44"/>
      <c r="AG377" s="15">
        <f>(Y377+AA377+AC377+AE377)</f>
        <v>0</v>
      </c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/>
      <c r="BA377" s="42"/>
      <c r="BB377" s="15">
        <f>AH377+AJ377+AL377+AN377+AP377+AR377+AT377+AV377+AX377+AZ377</f>
        <v>0</v>
      </c>
      <c r="BC377" s="15"/>
      <c r="BD377" s="44"/>
      <c r="BE377" s="15"/>
      <c r="BF377" s="44"/>
      <c r="BG377" s="15">
        <f>(BC377+BE377)</f>
        <v>0</v>
      </c>
    </row>
    <row r="378" spans="1:59" s="8" customFormat="1" ht="22.5" hidden="1" customHeight="1">
      <c r="A378" s="9"/>
      <c r="B378" s="16" t="s">
        <v>581</v>
      </c>
      <c r="C378" s="89" t="s">
        <v>132</v>
      </c>
      <c r="D378" s="109" t="s">
        <v>588</v>
      </c>
      <c r="E378" s="110" t="s">
        <v>583</v>
      </c>
      <c r="F378" s="111" t="s">
        <v>1758</v>
      </c>
      <c r="G378" s="111" t="s">
        <v>1759</v>
      </c>
      <c r="H378" s="95"/>
      <c r="I378" s="9"/>
      <c r="J378" s="9" t="s">
        <v>584</v>
      </c>
      <c r="K378" s="14"/>
      <c r="L378" s="14"/>
      <c r="M378" s="12"/>
      <c r="N378" s="9"/>
      <c r="O378" s="9"/>
      <c r="P378" s="9"/>
      <c r="Q378" s="38">
        <f>M378+X378-AG378-BB378</f>
        <v>0</v>
      </c>
      <c r="R378" s="12"/>
      <c r="S378" s="42"/>
      <c r="T378" s="15"/>
      <c r="U378" s="44"/>
      <c r="V378" s="15"/>
      <c r="W378" s="44"/>
      <c r="X378" s="15">
        <f>R378+T378+V378</f>
        <v>0</v>
      </c>
      <c r="Y378" s="15"/>
      <c r="Z378" s="44"/>
      <c r="AA378" s="15"/>
      <c r="AB378" s="44"/>
      <c r="AC378" s="15"/>
      <c r="AD378" s="44"/>
      <c r="AE378" s="15"/>
      <c r="AF378" s="44"/>
      <c r="AG378" s="15">
        <f>(Y378+AA378+AC378+AE378)</f>
        <v>0</v>
      </c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/>
      <c r="BA378" s="42"/>
      <c r="BB378" s="15">
        <f>AH378+AJ378+AL378+AN378+AP378+AR378+AT378+AV378+AX378+AZ378</f>
        <v>0</v>
      </c>
      <c r="BC378" s="15"/>
      <c r="BD378" s="44"/>
      <c r="BE378" s="15"/>
      <c r="BF378" s="44"/>
      <c r="BG378" s="15">
        <f>(BC378+BE378)</f>
        <v>0</v>
      </c>
    </row>
    <row r="379" spans="1:59" s="8" customFormat="1" ht="22.5" hidden="1" customHeight="1">
      <c r="A379" s="9"/>
      <c r="B379" s="16" t="s">
        <v>581</v>
      </c>
      <c r="C379" s="89" t="s">
        <v>52</v>
      </c>
      <c r="D379" s="109" t="s">
        <v>582</v>
      </c>
      <c r="E379" s="110" t="s">
        <v>944</v>
      </c>
      <c r="F379" s="111" t="s">
        <v>1760</v>
      </c>
      <c r="G379" s="111" t="s">
        <v>1761</v>
      </c>
      <c r="H379" s="95"/>
      <c r="I379" s="9"/>
      <c r="J379" s="9" t="s">
        <v>584</v>
      </c>
      <c r="K379" s="14"/>
      <c r="L379" s="14"/>
      <c r="M379" s="12"/>
      <c r="N379" s="9"/>
      <c r="O379" s="9"/>
      <c r="P379" s="9"/>
      <c r="Q379" s="38">
        <f>M379+X379-AG379-BB379</f>
        <v>0</v>
      </c>
      <c r="R379" s="12"/>
      <c r="S379" s="42"/>
      <c r="T379" s="15"/>
      <c r="U379" s="44"/>
      <c r="V379" s="15"/>
      <c r="W379" s="44"/>
      <c r="X379" s="15">
        <f>R379+T379+V379</f>
        <v>0</v>
      </c>
      <c r="Y379" s="15"/>
      <c r="Z379" s="44"/>
      <c r="AA379" s="15"/>
      <c r="AB379" s="44"/>
      <c r="AC379" s="15"/>
      <c r="AD379" s="44"/>
      <c r="AE379" s="15"/>
      <c r="AF379" s="44"/>
      <c r="AG379" s="15">
        <f>(Y379+AA379+AC379+AE379)</f>
        <v>0</v>
      </c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/>
      <c r="BA379" s="42"/>
      <c r="BB379" s="15">
        <f>AH379+AJ379+AL379+AN379+AP379+AR379+AT379+AV379+AX379+AZ379</f>
        <v>0</v>
      </c>
      <c r="BC379" s="15"/>
      <c r="BD379" s="44"/>
      <c r="BE379" s="15"/>
      <c r="BF379" s="44"/>
      <c r="BG379" s="15">
        <f>(BC379+BE379)</f>
        <v>0</v>
      </c>
    </row>
    <row r="380" spans="1:59" s="8" customFormat="1" ht="22.5" hidden="1" customHeight="1">
      <c r="A380" s="9"/>
      <c r="B380" s="16" t="s">
        <v>581</v>
      </c>
      <c r="C380" s="89" t="s">
        <v>52</v>
      </c>
      <c r="D380" s="109" t="s">
        <v>587</v>
      </c>
      <c r="E380" s="110" t="s">
        <v>590</v>
      </c>
      <c r="F380" s="111" t="s">
        <v>1762</v>
      </c>
      <c r="G380" s="111" t="s">
        <v>1763</v>
      </c>
      <c r="H380" s="95"/>
      <c r="I380" s="9"/>
      <c r="J380" s="9" t="s">
        <v>584</v>
      </c>
      <c r="K380" s="14"/>
      <c r="L380" s="14"/>
      <c r="M380" s="12"/>
      <c r="N380" s="9"/>
      <c r="O380" s="9"/>
      <c r="P380" s="9"/>
      <c r="Q380" s="38">
        <f>M380+X380-AG380-BB380</f>
        <v>0</v>
      </c>
      <c r="R380" s="12"/>
      <c r="S380" s="42"/>
      <c r="T380" s="15"/>
      <c r="U380" s="44"/>
      <c r="V380" s="15"/>
      <c r="W380" s="44"/>
      <c r="X380" s="15">
        <f>R380+T380+V380</f>
        <v>0</v>
      </c>
      <c r="Y380" s="15"/>
      <c r="Z380" s="44"/>
      <c r="AA380" s="15"/>
      <c r="AB380" s="44"/>
      <c r="AC380" s="15"/>
      <c r="AD380" s="44"/>
      <c r="AE380" s="15"/>
      <c r="AF380" s="44"/>
      <c r="AG380" s="15">
        <f>(Y380+AA380+AC380+AE380)</f>
        <v>0</v>
      </c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/>
      <c r="BA380" s="42"/>
      <c r="BB380" s="15">
        <f>AH380+AJ380+AL380+AN380+AP380+AR380+AT380+AV380+AX380+AZ380</f>
        <v>0</v>
      </c>
      <c r="BC380" s="15"/>
      <c r="BD380" s="44"/>
      <c r="BE380" s="15"/>
      <c r="BF380" s="44"/>
      <c r="BG380" s="15">
        <f>(BC380+BE380)</f>
        <v>0</v>
      </c>
    </row>
    <row r="381" spans="1:59" s="8" customFormat="1" ht="22.5" hidden="1" customHeight="1">
      <c r="A381" s="9"/>
      <c r="B381" s="16" t="s">
        <v>591</v>
      </c>
      <c r="C381" s="92" t="s">
        <v>151</v>
      </c>
      <c r="D381" s="109" t="s">
        <v>592</v>
      </c>
      <c r="E381" s="110" t="s">
        <v>593</v>
      </c>
      <c r="F381" s="111" t="s">
        <v>1764</v>
      </c>
      <c r="G381" s="111" t="s">
        <v>1765</v>
      </c>
      <c r="H381" s="95"/>
      <c r="I381" s="9"/>
      <c r="J381" s="9" t="s">
        <v>594</v>
      </c>
      <c r="K381" s="14"/>
      <c r="L381" s="14"/>
      <c r="M381" s="12">
        <v>1098</v>
      </c>
      <c r="N381" s="9"/>
      <c r="O381" s="9"/>
      <c r="P381" s="9"/>
      <c r="Q381" s="38">
        <f>M381+X381-AG381-BB381</f>
        <v>1098</v>
      </c>
      <c r="R381" s="12"/>
      <c r="S381" s="42"/>
      <c r="T381" s="15"/>
      <c r="U381" s="44"/>
      <c r="V381" s="15"/>
      <c r="W381" s="44"/>
      <c r="X381" s="15">
        <f>R381+T381+V381</f>
        <v>0</v>
      </c>
      <c r="Y381" s="15"/>
      <c r="Z381" s="44"/>
      <c r="AA381" s="15"/>
      <c r="AB381" s="44"/>
      <c r="AC381" s="15"/>
      <c r="AD381" s="44"/>
      <c r="AE381" s="15"/>
      <c r="AF381" s="44"/>
      <c r="AG381" s="15">
        <f>(Y381+AA381+AC381+AE381)</f>
        <v>0</v>
      </c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/>
      <c r="BA381" s="42"/>
      <c r="BB381" s="15">
        <f>AH381+AJ381+AL381+AN381+AP381+AR381+AT381+AV381+AX381+AZ381</f>
        <v>0</v>
      </c>
      <c r="BC381" s="15"/>
      <c r="BD381" s="44"/>
      <c r="BE381" s="15"/>
      <c r="BF381" s="44"/>
      <c r="BG381" s="15">
        <f>(BC381+BE381)</f>
        <v>0</v>
      </c>
    </row>
    <row r="382" spans="1:59" s="8" customFormat="1" ht="22.5" hidden="1" customHeight="1">
      <c r="A382" s="9"/>
      <c r="B382" s="16" t="s">
        <v>591</v>
      </c>
      <c r="C382" s="92" t="s">
        <v>151</v>
      </c>
      <c r="D382" s="109" t="s">
        <v>595</v>
      </c>
      <c r="E382" s="110" t="s">
        <v>596</v>
      </c>
      <c r="F382" s="111" t="s">
        <v>1766</v>
      </c>
      <c r="G382" s="111" t="s">
        <v>1767</v>
      </c>
      <c r="H382" s="95"/>
      <c r="I382" s="9"/>
      <c r="J382" s="9" t="s">
        <v>594</v>
      </c>
      <c r="K382" s="14"/>
      <c r="L382" s="14"/>
      <c r="M382" s="12">
        <v>0</v>
      </c>
      <c r="N382" s="9"/>
      <c r="O382" s="9"/>
      <c r="P382" s="9"/>
      <c r="Q382" s="38">
        <f>M382+X382-AG382-BB382</f>
        <v>0</v>
      </c>
      <c r="R382" s="12"/>
      <c r="S382" s="42"/>
      <c r="T382" s="15"/>
      <c r="U382" s="44"/>
      <c r="V382" s="15"/>
      <c r="W382" s="44"/>
      <c r="X382" s="15">
        <f>R382+T382+V382</f>
        <v>0</v>
      </c>
      <c r="Y382" s="15"/>
      <c r="Z382" s="44"/>
      <c r="AA382" s="15"/>
      <c r="AB382" s="44"/>
      <c r="AC382" s="15"/>
      <c r="AD382" s="44"/>
      <c r="AE382" s="15"/>
      <c r="AF382" s="44"/>
      <c r="AG382" s="15">
        <f>(Y382+AA382+AC382+AE382)</f>
        <v>0</v>
      </c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/>
      <c r="BA382" s="42"/>
      <c r="BB382" s="15">
        <f>AH382+AJ382+AL382+AN382+AP382+AR382+AT382+AV382+AX382+AZ382</f>
        <v>0</v>
      </c>
      <c r="BC382" s="15"/>
      <c r="BD382" s="44"/>
      <c r="BE382" s="15"/>
      <c r="BF382" s="44"/>
      <c r="BG382" s="15">
        <f>(BC382+BE382)</f>
        <v>0</v>
      </c>
    </row>
    <row r="383" spans="1:59" s="8" customFormat="1" ht="22.5" hidden="1" customHeight="1">
      <c r="A383" s="9"/>
      <c r="B383" s="16" t="s">
        <v>591</v>
      </c>
      <c r="C383" s="92" t="s">
        <v>151</v>
      </c>
      <c r="D383" s="109" t="s">
        <v>1768</v>
      </c>
      <c r="E383" s="110" t="s">
        <v>598</v>
      </c>
      <c r="F383" s="111" t="s">
        <v>1769</v>
      </c>
      <c r="G383" s="111" t="s">
        <v>1770</v>
      </c>
      <c r="H383" s="95"/>
      <c r="I383" s="9"/>
      <c r="J383" s="9" t="s">
        <v>594</v>
      </c>
      <c r="K383" s="14"/>
      <c r="L383" s="14"/>
      <c r="M383" s="12">
        <v>100</v>
      </c>
      <c r="N383" s="9"/>
      <c r="O383" s="9"/>
      <c r="P383" s="9"/>
      <c r="Q383" s="38">
        <f>M383+X383-AG383-BB383</f>
        <v>100</v>
      </c>
      <c r="R383" s="12"/>
      <c r="S383" s="42"/>
      <c r="T383" s="15"/>
      <c r="U383" s="44"/>
      <c r="V383" s="15"/>
      <c r="W383" s="44"/>
      <c r="X383" s="15">
        <f>R383+T383+V383</f>
        <v>0</v>
      </c>
      <c r="Y383" s="15"/>
      <c r="Z383" s="44"/>
      <c r="AA383" s="15"/>
      <c r="AB383" s="44"/>
      <c r="AC383" s="15"/>
      <c r="AD383" s="44"/>
      <c r="AE383" s="15"/>
      <c r="AF383" s="44"/>
      <c r="AG383" s="15">
        <f>(Y383+AA383+AC383+AE383)</f>
        <v>0</v>
      </c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/>
      <c r="BA383" s="42"/>
      <c r="BB383" s="15">
        <f>AH383+AJ383+AL383+AN383+AP383+AR383+AT383+AV383+AX383+AZ383</f>
        <v>0</v>
      </c>
      <c r="BC383" s="15"/>
      <c r="BD383" s="44"/>
      <c r="BE383" s="15"/>
      <c r="BF383" s="44"/>
      <c r="BG383" s="15">
        <f>(BC383+BE383)</f>
        <v>0</v>
      </c>
    </row>
    <row r="384" spans="1:59" s="8" customFormat="1" ht="22.5" hidden="1" customHeight="1">
      <c r="A384" s="9"/>
      <c r="B384" s="16" t="s">
        <v>591</v>
      </c>
      <c r="C384" s="92" t="s">
        <v>151</v>
      </c>
      <c r="D384" s="109" t="s">
        <v>599</v>
      </c>
      <c r="E384" s="110" t="s">
        <v>596</v>
      </c>
      <c r="F384" s="111" t="s">
        <v>1771</v>
      </c>
      <c r="G384" s="111" t="s">
        <v>1772</v>
      </c>
      <c r="H384" s="95"/>
      <c r="I384" s="9"/>
      <c r="J384" s="9" t="s">
        <v>594</v>
      </c>
      <c r="K384" s="14"/>
      <c r="L384" s="14"/>
      <c r="M384" s="12">
        <v>95</v>
      </c>
      <c r="N384" s="9"/>
      <c r="O384" s="9"/>
      <c r="P384" s="9"/>
      <c r="Q384" s="38">
        <f>M384+X384-AG384-BB384</f>
        <v>95</v>
      </c>
      <c r="R384" s="12"/>
      <c r="S384" s="42"/>
      <c r="T384" s="15"/>
      <c r="U384" s="44"/>
      <c r="V384" s="15"/>
      <c r="W384" s="44"/>
      <c r="X384" s="15">
        <f>R384+T384+V384</f>
        <v>0</v>
      </c>
      <c r="Y384" s="15"/>
      <c r="Z384" s="44"/>
      <c r="AA384" s="15"/>
      <c r="AB384" s="44"/>
      <c r="AC384" s="15"/>
      <c r="AD384" s="44"/>
      <c r="AE384" s="15"/>
      <c r="AF384" s="44"/>
      <c r="AG384" s="15">
        <f>(Y384+AA384+AC384+AE384)</f>
        <v>0</v>
      </c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/>
      <c r="BA384" s="42"/>
      <c r="BB384" s="15">
        <f>AH384+AJ384+AL384+AN384+AP384+AR384+AT384+AV384+AX384+AZ384</f>
        <v>0</v>
      </c>
      <c r="BC384" s="15"/>
      <c r="BD384" s="44"/>
      <c r="BE384" s="15"/>
      <c r="BF384" s="44"/>
      <c r="BG384" s="15">
        <f>(BC384+BE384)</f>
        <v>0</v>
      </c>
    </row>
    <row r="385" spans="1:59" s="8" customFormat="1" ht="22.5" hidden="1" customHeight="1">
      <c r="A385" s="9"/>
      <c r="B385" s="16" t="s">
        <v>591</v>
      </c>
      <c r="C385" s="92" t="s">
        <v>151</v>
      </c>
      <c r="D385" s="109" t="s">
        <v>600</v>
      </c>
      <c r="E385" s="110" t="s">
        <v>601</v>
      </c>
      <c r="F385" s="111" t="s">
        <v>1773</v>
      </c>
      <c r="G385" s="111" t="s">
        <v>1774</v>
      </c>
      <c r="H385" s="95"/>
      <c r="I385" s="9"/>
      <c r="J385" s="9" t="s">
        <v>594</v>
      </c>
      <c r="K385" s="14"/>
      <c r="L385" s="14"/>
      <c r="M385" s="12">
        <v>300</v>
      </c>
      <c r="N385" s="9"/>
      <c r="O385" s="9"/>
      <c r="P385" s="9"/>
      <c r="Q385" s="38">
        <f>M385+X385-AG385-BB385</f>
        <v>300</v>
      </c>
      <c r="R385" s="12"/>
      <c r="S385" s="42"/>
      <c r="T385" s="15"/>
      <c r="U385" s="44"/>
      <c r="V385" s="15"/>
      <c r="W385" s="44"/>
      <c r="X385" s="15">
        <f>R385+T385+V385</f>
        <v>0</v>
      </c>
      <c r="Y385" s="15"/>
      <c r="Z385" s="44"/>
      <c r="AA385" s="15"/>
      <c r="AB385" s="44"/>
      <c r="AC385" s="15"/>
      <c r="AD385" s="44"/>
      <c r="AE385" s="15"/>
      <c r="AF385" s="44"/>
      <c r="AG385" s="15">
        <f>(Y385+AA385+AC385+AE385)</f>
        <v>0</v>
      </c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/>
      <c r="BA385" s="42"/>
      <c r="BB385" s="15">
        <f>AH385+AJ385+AL385+AN385+AP385+AR385+AT385+AV385+AX385+AZ385</f>
        <v>0</v>
      </c>
      <c r="BC385" s="15"/>
      <c r="BD385" s="44"/>
      <c r="BE385" s="15"/>
      <c r="BF385" s="44"/>
      <c r="BG385" s="15">
        <f>(BC385+BE385)</f>
        <v>0</v>
      </c>
    </row>
    <row r="386" spans="1:59" s="8" customFormat="1" ht="22.5" hidden="1" customHeight="1">
      <c r="A386" s="9"/>
      <c r="B386" s="16" t="s">
        <v>591</v>
      </c>
      <c r="C386" s="92" t="s">
        <v>151</v>
      </c>
      <c r="D386" s="109" t="s">
        <v>602</v>
      </c>
      <c r="E386" s="110" t="s">
        <v>603</v>
      </c>
      <c r="F386" s="111" t="s">
        <v>1775</v>
      </c>
      <c r="G386" s="111" t="s">
        <v>1776</v>
      </c>
      <c r="H386" s="95"/>
      <c r="I386" s="9"/>
      <c r="J386" s="9" t="s">
        <v>594</v>
      </c>
      <c r="K386" s="14"/>
      <c r="L386" s="14"/>
      <c r="M386" s="12">
        <v>212</v>
      </c>
      <c r="N386" s="9"/>
      <c r="O386" s="9"/>
      <c r="P386" s="9"/>
      <c r="Q386" s="38">
        <f>M386+X386-AG386-BB386</f>
        <v>212</v>
      </c>
      <c r="R386" s="12"/>
      <c r="S386" s="42"/>
      <c r="T386" s="15"/>
      <c r="U386" s="44"/>
      <c r="V386" s="15"/>
      <c r="W386" s="44"/>
      <c r="X386" s="15">
        <f>R386+T386+V386</f>
        <v>0</v>
      </c>
      <c r="Y386" s="15"/>
      <c r="Z386" s="44"/>
      <c r="AA386" s="15"/>
      <c r="AB386" s="44"/>
      <c r="AC386" s="15"/>
      <c r="AD386" s="44"/>
      <c r="AE386" s="15"/>
      <c r="AF386" s="44"/>
      <c r="AG386" s="15">
        <f>(Y386+AA386+AC386+AE386)</f>
        <v>0</v>
      </c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/>
      <c r="BA386" s="42"/>
      <c r="BB386" s="15">
        <f>AH386+AJ386+AL386+AN386+AP386+AR386+AT386+AV386+AX386+AZ386</f>
        <v>0</v>
      </c>
      <c r="BC386" s="15"/>
      <c r="BD386" s="44"/>
      <c r="BE386" s="15"/>
      <c r="BF386" s="44"/>
      <c r="BG386" s="15">
        <f>(BC386+BE386)</f>
        <v>0</v>
      </c>
    </row>
    <row r="387" spans="1:59" s="8" customFormat="1" ht="22.5" hidden="1" customHeight="1">
      <c r="A387" s="9"/>
      <c r="B387" s="16" t="s">
        <v>591</v>
      </c>
      <c r="C387" s="92" t="s">
        <v>151</v>
      </c>
      <c r="D387" s="109" t="s">
        <v>604</v>
      </c>
      <c r="E387" s="110" t="s">
        <v>605</v>
      </c>
      <c r="F387" s="111" t="s">
        <v>1777</v>
      </c>
      <c r="G387" s="111" t="s">
        <v>1778</v>
      </c>
      <c r="H387" s="95"/>
      <c r="I387" s="9"/>
      <c r="J387" s="9" t="s">
        <v>594</v>
      </c>
      <c r="K387" s="14"/>
      <c r="L387" s="14"/>
      <c r="M387" s="12">
        <v>240</v>
      </c>
      <c r="N387" s="9"/>
      <c r="O387" s="9"/>
      <c r="P387" s="9"/>
      <c r="Q387" s="38">
        <f>M387+X387-AG387-BB387</f>
        <v>240</v>
      </c>
      <c r="R387" s="12"/>
      <c r="S387" s="42"/>
      <c r="T387" s="15"/>
      <c r="U387" s="44"/>
      <c r="V387" s="15"/>
      <c r="W387" s="44"/>
      <c r="X387" s="15">
        <f>R387+T387+V387</f>
        <v>0</v>
      </c>
      <c r="Y387" s="15"/>
      <c r="Z387" s="44"/>
      <c r="AA387" s="15"/>
      <c r="AB387" s="44"/>
      <c r="AC387" s="15"/>
      <c r="AD387" s="44"/>
      <c r="AE387" s="15"/>
      <c r="AF387" s="44"/>
      <c r="AG387" s="15">
        <f>(Y387+AA387+AC387+AE387)</f>
        <v>0</v>
      </c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/>
      <c r="BA387" s="42"/>
      <c r="BB387" s="15">
        <f>AH387+AJ387+AL387+AN387+AP387+AR387+AT387+AV387+AX387+AZ387</f>
        <v>0</v>
      </c>
      <c r="BC387" s="15"/>
      <c r="BD387" s="44"/>
      <c r="BE387" s="15"/>
      <c r="BF387" s="44"/>
      <c r="BG387" s="15">
        <f>(BC387+BE387)</f>
        <v>0</v>
      </c>
    </row>
    <row r="388" spans="1:59" s="8" customFormat="1" ht="22.5" hidden="1" customHeight="1">
      <c r="A388" s="9"/>
      <c r="B388" s="16" t="s">
        <v>606</v>
      </c>
      <c r="C388" s="92" t="s">
        <v>151</v>
      </c>
      <c r="D388" s="109" t="s">
        <v>607</v>
      </c>
      <c r="E388" s="110" t="s">
        <v>608</v>
      </c>
      <c r="F388" s="111" t="s">
        <v>1779</v>
      </c>
      <c r="G388" s="111" t="s">
        <v>1780</v>
      </c>
      <c r="H388" s="95"/>
      <c r="I388" s="9"/>
      <c r="J388" s="9" t="s">
        <v>594</v>
      </c>
      <c r="K388" s="14"/>
      <c r="L388" s="14"/>
      <c r="M388" s="12">
        <v>360</v>
      </c>
      <c r="N388" s="9"/>
      <c r="O388" s="9"/>
      <c r="P388" s="9"/>
      <c r="Q388" s="38">
        <f>M388+X388-AG388-BB388</f>
        <v>360</v>
      </c>
      <c r="R388" s="12"/>
      <c r="S388" s="42"/>
      <c r="T388" s="15"/>
      <c r="U388" s="44"/>
      <c r="V388" s="15"/>
      <c r="W388" s="44"/>
      <c r="X388" s="15">
        <f>R388+T388+V388</f>
        <v>0</v>
      </c>
      <c r="Y388" s="15"/>
      <c r="Z388" s="44"/>
      <c r="AA388" s="15"/>
      <c r="AB388" s="44"/>
      <c r="AC388" s="15"/>
      <c r="AD388" s="44"/>
      <c r="AE388" s="15"/>
      <c r="AF388" s="44"/>
      <c r="AG388" s="15">
        <f>(Y388+AA388+AC388+AE388)</f>
        <v>0</v>
      </c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/>
      <c r="BA388" s="42"/>
      <c r="BB388" s="15">
        <f>AH388+AJ388+AL388+AN388+AP388+AR388+AT388+AV388+AX388+AZ388</f>
        <v>0</v>
      </c>
      <c r="BC388" s="15"/>
      <c r="BD388" s="44"/>
      <c r="BE388" s="15"/>
      <c r="BF388" s="44"/>
      <c r="BG388" s="15">
        <f>(BC388+BE388)</f>
        <v>0</v>
      </c>
    </row>
    <row r="389" spans="1:59" s="8" customFormat="1" ht="22.5" hidden="1" customHeight="1">
      <c r="A389" s="9"/>
      <c r="B389" s="16" t="s">
        <v>606</v>
      </c>
      <c r="C389" s="92" t="s">
        <v>151</v>
      </c>
      <c r="D389" s="109" t="s">
        <v>609</v>
      </c>
      <c r="E389" s="110" t="s">
        <v>610</v>
      </c>
      <c r="F389" s="111" t="s">
        <v>1781</v>
      </c>
      <c r="G389" s="111" t="s">
        <v>1782</v>
      </c>
      <c r="H389" s="95"/>
      <c r="I389" s="9"/>
      <c r="J389" s="9" t="s">
        <v>594</v>
      </c>
      <c r="K389" s="14"/>
      <c r="L389" s="14"/>
      <c r="M389" s="12">
        <v>180</v>
      </c>
      <c r="N389" s="9"/>
      <c r="O389" s="9"/>
      <c r="P389" s="9"/>
      <c r="Q389" s="38">
        <f>M389+X389-AG389-BB389</f>
        <v>180</v>
      </c>
      <c r="R389" s="12"/>
      <c r="S389" s="42"/>
      <c r="T389" s="15"/>
      <c r="U389" s="44"/>
      <c r="V389" s="15"/>
      <c r="W389" s="44"/>
      <c r="X389" s="15">
        <f>R389+T389+V389</f>
        <v>0</v>
      </c>
      <c r="Y389" s="15"/>
      <c r="Z389" s="44"/>
      <c r="AA389" s="15"/>
      <c r="AB389" s="44"/>
      <c r="AC389" s="15"/>
      <c r="AD389" s="44"/>
      <c r="AE389" s="15"/>
      <c r="AF389" s="44"/>
      <c r="AG389" s="15">
        <f>(Y389+AA389+AC389+AE389)</f>
        <v>0</v>
      </c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/>
      <c r="BA389" s="42"/>
      <c r="BB389" s="15">
        <f>AH389+AJ389+AL389+AN389+AP389+AR389+AT389+AV389+AX389+AZ389</f>
        <v>0</v>
      </c>
      <c r="BC389" s="15"/>
      <c r="BD389" s="44"/>
      <c r="BE389" s="15"/>
      <c r="BF389" s="44"/>
      <c r="BG389" s="15">
        <f>(BC389+BE389)</f>
        <v>0</v>
      </c>
    </row>
    <row r="390" spans="1:59" s="8" customFormat="1" ht="22.5" hidden="1" customHeight="1">
      <c r="A390" s="9"/>
      <c r="B390" s="16" t="s">
        <v>606</v>
      </c>
      <c r="C390" s="89" t="s">
        <v>52</v>
      </c>
      <c r="D390" s="109" t="s">
        <v>611</v>
      </c>
      <c r="E390" s="110" t="s">
        <v>612</v>
      </c>
      <c r="F390" s="111" t="s">
        <v>1783</v>
      </c>
      <c r="G390" s="111" t="s">
        <v>1784</v>
      </c>
      <c r="H390" s="95"/>
      <c r="I390" s="9"/>
      <c r="J390" s="9" t="s">
        <v>594</v>
      </c>
      <c r="K390" s="14"/>
      <c r="L390" s="14"/>
      <c r="M390" s="12">
        <v>420</v>
      </c>
      <c r="N390" s="9"/>
      <c r="O390" s="9"/>
      <c r="P390" s="9"/>
      <c r="Q390" s="38">
        <f>M390+X390-AG390-BB390</f>
        <v>420</v>
      </c>
      <c r="R390" s="12"/>
      <c r="S390" s="42"/>
      <c r="T390" s="15"/>
      <c r="U390" s="44"/>
      <c r="V390" s="15"/>
      <c r="W390" s="44"/>
      <c r="X390" s="15">
        <f>R390+T390+V390</f>
        <v>0</v>
      </c>
      <c r="Y390" s="15"/>
      <c r="Z390" s="44"/>
      <c r="AA390" s="15"/>
      <c r="AB390" s="44"/>
      <c r="AC390" s="15"/>
      <c r="AD390" s="44"/>
      <c r="AE390" s="15"/>
      <c r="AF390" s="44"/>
      <c r="AG390" s="15">
        <f>(Y390+AA390+AC390+AE390)</f>
        <v>0</v>
      </c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/>
      <c r="BA390" s="42"/>
      <c r="BB390" s="15">
        <f>AH390+AJ390+AL390+AN390+AP390+AR390+AT390+AV390+AX390+AZ390</f>
        <v>0</v>
      </c>
      <c r="BC390" s="15"/>
      <c r="BD390" s="44"/>
      <c r="BE390" s="15"/>
      <c r="BF390" s="44"/>
      <c r="BG390" s="15">
        <f>(BC390+BE390)</f>
        <v>0</v>
      </c>
    </row>
    <row r="391" spans="1:59" s="8" customFormat="1" ht="22.5" hidden="1" customHeight="1">
      <c r="A391" s="9"/>
      <c r="B391" s="16" t="s">
        <v>606</v>
      </c>
      <c r="C391" s="89" t="s">
        <v>52</v>
      </c>
      <c r="D391" s="109" t="s">
        <v>613</v>
      </c>
      <c r="E391" s="110" t="s">
        <v>614</v>
      </c>
      <c r="F391" s="111" t="s">
        <v>1785</v>
      </c>
      <c r="G391" s="111" t="s">
        <v>1786</v>
      </c>
      <c r="H391" s="95"/>
      <c r="I391" s="9"/>
      <c r="J391" s="9" t="s">
        <v>594</v>
      </c>
      <c r="K391" s="14"/>
      <c r="L391" s="14"/>
      <c r="M391" s="12">
        <v>7</v>
      </c>
      <c r="N391" s="9"/>
      <c r="O391" s="9"/>
      <c r="P391" s="9"/>
      <c r="Q391" s="38">
        <f>M391+X391-AG391-BB391</f>
        <v>7</v>
      </c>
      <c r="R391" s="12"/>
      <c r="S391" s="42"/>
      <c r="T391" s="15"/>
      <c r="U391" s="44"/>
      <c r="V391" s="15"/>
      <c r="W391" s="44"/>
      <c r="X391" s="15">
        <f>R391+T391+V391</f>
        <v>0</v>
      </c>
      <c r="Y391" s="15"/>
      <c r="Z391" s="44"/>
      <c r="AA391" s="15"/>
      <c r="AB391" s="44"/>
      <c r="AC391" s="15"/>
      <c r="AD391" s="44"/>
      <c r="AE391" s="15"/>
      <c r="AF391" s="44"/>
      <c r="AG391" s="15">
        <f>(Y391+AA391+AC391+AE391)</f>
        <v>0</v>
      </c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/>
      <c r="BA391" s="42"/>
      <c r="BB391" s="15">
        <f>AH391+AJ391+AL391+AN391+AP391+AR391+AT391+AV391+AX391+AZ391</f>
        <v>0</v>
      </c>
      <c r="BC391" s="15"/>
      <c r="BD391" s="44"/>
      <c r="BE391" s="15"/>
      <c r="BF391" s="44"/>
      <c r="BG391" s="15">
        <f>(BC391+BE391)</f>
        <v>0</v>
      </c>
    </row>
    <row r="392" spans="1:59" s="8" customFormat="1" ht="22.5" hidden="1" customHeight="1">
      <c r="A392" s="9"/>
      <c r="B392" s="16" t="s">
        <v>606</v>
      </c>
      <c r="C392" s="92" t="s">
        <v>151</v>
      </c>
      <c r="D392" s="109" t="s">
        <v>615</v>
      </c>
      <c r="E392" s="110" t="s">
        <v>593</v>
      </c>
      <c r="F392" s="111" t="s">
        <v>1787</v>
      </c>
      <c r="G392" s="111" t="s">
        <v>1788</v>
      </c>
      <c r="H392" s="95"/>
      <c r="I392" s="9"/>
      <c r="J392" s="9" t="s">
        <v>594</v>
      </c>
      <c r="K392" s="14"/>
      <c r="L392" s="14"/>
      <c r="M392" s="12"/>
      <c r="N392" s="9"/>
      <c r="O392" s="9"/>
      <c r="P392" s="9"/>
      <c r="Q392" s="38">
        <f>M392+X392-AG392-BB392</f>
        <v>0</v>
      </c>
      <c r="R392" s="12"/>
      <c r="S392" s="42"/>
      <c r="T392" s="15"/>
      <c r="U392" s="44"/>
      <c r="V392" s="15"/>
      <c r="W392" s="44"/>
      <c r="X392" s="15">
        <f>R392+T392+V392</f>
        <v>0</v>
      </c>
      <c r="Y392" s="15"/>
      <c r="Z392" s="44"/>
      <c r="AA392" s="15"/>
      <c r="AB392" s="44"/>
      <c r="AC392" s="15"/>
      <c r="AD392" s="44"/>
      <c r="AE392" s="15"/>
      <c r="AF392" s="44"/>
      <c r="AG392" s="15">
        <f>(Y392+AA392+AC392+AE392)</f>
        <v>0</v>
      </c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/>
      <c r="BA392" s="42"/>
      <c r="BB392" s="15">
        <f>AH392+AJ392+AL392+AN392+AP392+AR392+AT392+AV392+AX392+AZ392</f>
        <v>0</v>
      </c>
      <c r="BC392" s="15"/>
      <c r="BD392" s="44"/>
      <c r="BE392" s="15"/>
      <c r="BF392" s="44"/>
      <c r="BG392" s="15">
        <f>(BC392+BE392)</f>
        <v>0</v>
      </c>
    </row>
    <row r="393" spans="1:59" s="8" customFormat="1" ht="22.5" hidden="1" customHeight="1">
      <c r="A393" s="9"/>
      <c r="B393" s="16" t="s">
        <v>606</v>
      </c>
      <c r="C393" s="92" t="s">
        <v>151</v>
      </c>
      <c r="D393" s="109" t="s">
        <v>615</v>
      </c>
      <c r="E393" s="110" t="s">
        <v>616</v>
      </c>
      <c r="F393" s="111" t="s">
        <v>1789</v>
      </c>
      <c r="G393" s="111" t="s">
        <v>1790</v>
      </c>
      <c r="H393" s="95"/>
      <c r="I393" s="9"/>
      <c r="J393" s="9" t="s">
        <v>594</v>
      </c>
      <c r="K393" s="14"/>
      <c r="L393" s="14"/>
      <c r="M393" s="12"/>
      <c r="N393" s="9"/>
      <c r="O393" s="9"/>
      <c r="P393" s="9"/>
      <c r="Q393" s="38">
        <f>M393+X393-AG393-BB393</f>
        <v>0</v>
      </c>
      <c r="R393" s="12"/>
      <c r="S393" s="42"/>
      <c r="T393" s="15"/>
      <c r="U393" s="44"/>
      <c r="V393" s="15"/>
      <c r="W393" s="44"/>
      <c r="X393" s="15">
        <f>R393+T393+V393</f>
        <v>0</v>
      </c>
      <c r="Y393" s="15"/>
      <c r="Z393" s="44"/>
      <c r="AA393" s="15"/>
      <c r="AB393" s="44"/>
      <c r="AC393" s="15"/>
      <c r="AD393" s="44"/>
      <c r="AE393" s="15"/>
      <c r="AF393" s="44"/>
      <c r="AG393" s="15">
        <f>(Y393+AA393+AC393+AE393)</f>
        <v>0</v>
      </c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/>
      <c r="BA393" s="42"/>
      <c r="BB393" s="15">
        <f>AH393+AJ393+AL393+AN393+AP393+AR393+AT393+AV393+AX393+AZ393</f>
        <v>0</v>
      </c>
      <c r="BC393" s="15"/>
      <c r="BD393" s="44"/>
      <c r="BE393" s="15"/>
      <c r="BF393" s="44"/>
      <c r="BG393" s="15">
        <f>(BC393+BE393)</f>
        <v>0</v>
      </c>
    </row>
    <row r="394" spans="1:59" s="8" customFormat="1" ht="22.5" hidden="1" customHeight="1">
      <c r="A394" s="9"/>
      <c r="B394" s="16" t="s">
        <v>617</v>
      </c>
      <c r="C394" s="92" t="s">
        <v>151</v>
      </c>
      <c r="D394" s="109" t="s">
        <v>618</v>
      </c>
      <c r="E394" s="110"/>
      <c r="F394" s="111" t="s">
        <v>1791</v>
      </c>
      <c r="G394" s="133" t="s">
        <v>1792</v>
      </c>
      <c r="H394" s="95"/>
      <c r="I394" s="9"/>
      <c r="J394" s="9" t="s">
        <v>467</v>
      </c>
      <c r="K394" s="14"/>
      <c r="L394" s="14"/>
      <c r="M394" s="12"/>
      <c r="N394" s="9"/>
      <c r="O394" s="9"/>
      <c r="P394" s="9"/>
      <c r="Q394" s="38">
        <f>M394+X394-AG394-BB394</f>
        <v>0</v>
      </c>
      <c r="R394" s="12"/>
      <c r="S394" s="42"/>
      <c r="T394" s="15"/>
      <c r="U394" s="44"/>
      <c r="V394" s="15"/>
      <c r="W394" s="44"/>
      <c r="X394" s="15">
        <f>R394+T394+V394</f>
        <v>0</v>
      </c>
      <c r="Y394" s="15"/>
      <c r="Z394" s="44"/>
      <c r="AA394" s="15"/>
      <c r="AB394" s="44"/>
      <c r="AC394" s="15"/>
      <c r="AD394" s="44"/>
      <c r="AE394" s="15"/>
      <c r="AF394" s="44"/>
      <c r="AG394" s="15">
        <f>(Y394+AA394+AC394+AE394)</f>
        <v>0</v>
      </c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/>
      <c r="BA394" s="42"/>
      <c r="BB394" s="15">
        <f>AH394+AJ394+AL394+AN394+AP394+AR394+AT394+AV394+AX394+AZ394</f>
        <v>0</v>
      </c>
      <c r="BC394" s="15"/>
      <c r="BD394" s="44"/>
      <c r="BE394" s="15"/>
      <c r="BF394" s="44"/>
      <c r="BG394" s="15">
        <f>(BC394+BE394)</f>
        <v>0</v>
      </c>
    </row>
    <row r="395" spans="1:59" s="8" customFormat="1" ht="22.5" hidden="1" customHeight="1">
      <c r="A395" s="9"/>
      <c r="B395" s="16" t="s">
        <v>619</v>
      </c>
      <c r="C395" s="89" t="s">
        <v>44</v>
      </c>
      <c r="D395" s="109" t="s">
        <v>620</v>
      </c>
      <c r="E395" s="110" t="s">
        <v>621</v>
      </c>
      <c r="F395" s="111" t="s">
        <v>1793</v>
      </c>
      <c r="G395" s="111" t="s">
        <v>1794</v>
      </c>
      <c r="H395" s="95"/>
      <c r="I395" s="9"/>
      <c r="J395" s="9" t="s">
        <v>67</v>
      </c>
      <c r="K395" s="14"/>
      <c r="L395" s="14"/>
      <c r="M395" s="12"/>
      <c r="N395" s="9"/>
      <c r="O395" s="9"/>
      <c r="P395" s="9"/>
      <c r="Q395" s="38">
        <f>M395+X395-AG395-BB395</f>
        <v>0</v>
      </c>
      <c r="R395" s="12"/>
      <c r="S395" s="42"/>
      <c r="T395" s="15"/>
      <c r="U395" s="44"/>
      <c r="V395" s="15"/>
      <c r="W395" s="44"/>
      <c r="X395" s="15">
        <f>R395+T395+V395</f>
        <v>0</v>
      </c>
      <c r="Y395" s="15"/>
      <c r="Z395" s="44"/>
      <c r="AA395" s="15"/>
      <c r="AB395" s="44"/>
      <c r="AC395" s="15"/>
      <c r="AD395" s="44"/>
      <c r="AE395" s="15"/>
      <c r="AF395" s="44"/>
      <c r="AG395" s="15">
        <f>(Y395+AA395+AC395+AE395)</f>
        <v>0</v>
      </c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/>
      <c r="BA395" s="42"/>
      <c r="BB395" s="15">
        <f>AH395+AJ395+AL395+AN395+AP395+AR395+AT395+AV395+AX395+AZ395</f>
        <v>0</v>
      </c>
      <c r="BC395" s="15"/>
      <c r="BD395" s="44"/>
      <c r="BE395" s="15"/>
      <c r="BF395" s="44"/>
      <c r="BG395" s="15">
        <f>(BC395+BE395)</f>
        <v>0</v>
      </c>
    </row>
    <row r="396" spans="1:59" s="8" customFormat="1" ht="22.5" hidden="1" customHeight="1">
      <c r="A396" s="9"/>
      <c r="B396" s="16" t="s">
        <v>120</v>
      </c>
      <c r="C396" s="92" t="s">
        <v>151</v>
      </c>
      <c r="D396" s="109" t="s">
        <v>622</v>
      </c>
      <c r="E396" s="110"/>
      <c r="F396" s="111" t="s">
        <v>622</v>
      </c>
      <c r="G396" s="111" t="s">
        <v>1795</v>
      </c>
      <c r="H396" s="95"/>
      <c r="I396" s="9"/>
      <c r="J396" s="9" t="s">
        <v>67</v>
      </c>
      <c r="K396" s="14"/>
      <c r="L396" s="14"/>
      <c r="M396" s="12"/>
      <c r="N396" s="9"/>
      <c r="O396" s="9"/>
      <c r="P396" s="9"/>
      <c r="Q396" s="38">
        <f>M396+X396-AG396-BB396</f>
        <v>0</v>
      </c>
      <c r="R396" s="12"/>
      <c r="S396" s="42"/>
      <c r="T396" s="15"/>
      <c r="U396" s="44"/>
      <c r="V396" s="15"/>
      <c r="W396" s="44"/>
      <c r="X396" s="15">
        <f>R396+T396+V396</f>
        <v>0</v>
      </c>
      <c r="Y396" s="15"/>
      <c r="Z396" s="44"/>
      <c r="AA396" s="15"/>
      <c r="AB396" s="44"/>
      <c r="AC396" s="15"/>
      <c r="AD396" s="44"/>
      <c r="AE396" s="15"/>
      <c r="AF396" s="44"/>
      <c r="AG396" s="15">
        <f>(Y396+AA396+AC396+AE396)</f>
        <v>0</v>
      </c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/>
      <c r="BA396" s="42"/>
      <c r="BB396" s="15">
        <f>AH396+AJ396+AL396+AN396+AP396+AR396+AT396+AV396+AX396+AZ396</f>
        <v>0</v>
      </c>
      <c r="BC396" s="15"/>
      <c r="BD396" s="44"/>
      <c r="BE396" s="15"/>
      <c r="BF396" s="44"/>
      <c r="BG396" s="15">
        <f>(BC396+BE396)</f>
        <v>0</v>
      </c>
    </row>
    <row r="397" spans="1:59" s="8" customFormat="1" ht="22.5" hidden="1" customHeight="1">
      <c r="A397" s="9"/>
      <c r="B397" s="16" t="s">
        <v>120</v>
      </c>
      <c r="C397" s="89" t="s">
        <v>140</v>
      </c>
      <c r="D397" s="109" t="s">
        <v>623</v>
      </c>
      <c r="E397" s="110" t="s">
        <v>624</v>
      </c>
      <c r="F397" s="111" t="s">
        <v>1796</v>
      </c>
      <c r="G397" s="111" t="s">
        <v>1797</v>
      </c>
      <c r="H397" s="95"/>
      <c r="I397" s="9"/>
      <c r="J397" s="9" t="s">
        <v>625</v>
      </c>
      <c r="K397" s="14"/>
      <c r="L397" s="14"/>
      <c r="M397" s="12"/>
      <c r="N397" s="9"/>
      <c r="O397" s="9"/>
      <c r="P397" s="9"/>
      <c r="Q397" s="38">
        <f>M397+X397-AG397-BB397</f>
        <v>0</v>
      </c>
      <c r="R397" s="12"/>
      <c r="S397" s="42"/>
      <c r="T397" s="15"/>
      <c r="U397" s="44"/>
      <c r="V397" s="15"/>
      <c r="W397" s="44"/>
      <c r="X397" s="15">
        <f>R397+T397+V397</f>
        <v>0</v>
      </c>
      <c r="Y397" s="15"/>
      <c r="Z397" s="44"/>
      <c r="AA397" s="15"/>
      <c r="AB397" s="44"/>
      <c r="AC397" s="15"/>
      <c r="AD397" s="44"/>
      <c r="AE397" s="15"/>
      <c r="AF397" s="44"/>
      <c r="AG397" s="15">
        <f>(Y397+AA397+AC397+AE397)</f>
        <v>0</v>
      </c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/>
      <c r="BA397" s="42"/>
      <c r="BB397" s="15">
        <f>AH397+AJ397+AL397+AN397+AP397+AR397+AT397+AV397+AX397+AZ397</f>
        <v>0</v>
      </c>
      <c r="BC397" s="15"/>
      <c r="BD397" s="44"/>
      <c r="BE397" s="15"/>
      <c r="BF397" s="44"/>
      <c r="BG397" s="15">
        <f>(BC397+BE397)</f>
        <v>0</v>
      </c>
    </row>
    <row r="398" spans="1:59" s="8" customFormat="1" ht="22.5" hidden="1" customHeight="1">
      <c r="A398" s="9"/>
      <c r="B398" s="16" t="s">
        <v>120</v>
      </c>
      <c r="C398" s="89" t="s">
        <v>140</v>
      </c>
      <c r="D398" s="109" t="s">
        <v>623</v>
      </c>
      <c r="E398" s="110" t="s">
        <v>626</v>
      </c>
      <c r="F398" s="111" t="s">
        <v>1798</v>
      </c>
      <c r="G398" s="111" t="s">
        <v>1799</v>
      </c>
      <c r="H398" s="95"/>
      <c r="I398" s="9"/>
      <c r="J398" s="9" t="s">
        <v>627</v>
      </c>
      <c r="K398" s="14"/>
      <c r="L398" s="14"/>
      <c r="M398" s="12"/>
      <c r="N398" s="9"/>
      <c r="O398" s="9"/>
      <c r="P398" s="9"/>
      <c r="Q398" s="38">
        <f>M398+X398-AG398-BB398</f>
        <v>0</v>
      </c>
      <c r="R398" s="12"/>
      <c r="S398" s="42"/>
      <c r="T398" s="15"/>
      <c r="U398" s="44"/>
      <c r="V398" s="15"/>
      <c r="W398" s="44"/>
      <c r="X398" s="15">
        <f>R398+T398+V398</f>
        <v>0</v>
      </c>
      <c r="Y398" s="15"/>
      <c r="Z398" s="44"/>
      <c r="AA398" s="15"/>
      <c r="AB398" s="44"/>
      <c r="AC398" s="15"/>
      <c r="AD398" s="44"/>
      <c r="AE398" s="15"/>
      <c r="AF398" s="44"/>
      <c r="AG398" s="15">
        <f>(Y398+AA398+AC398+AE398)</f>
        <v>0</v>
      </c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/>
      <c r="BA398" s="42"/>
      <c r="BB398" s="15">
        <f>AH398+AJ398+AL398+AN398+AP398+AR398+AT398+AV398+AX398+AZ398</f>
        <v>0</v>
      </c>
      <c r="BC398" s="15"/>
      <c r="BD398" s="44"/>
      <c r="BE398" s="15"/>
      <c r="BF398" s="44"/>
      <c r="BG398" s="15">
        <f>(BC398+BE398)</f>
        <v>0</v>
      </c>
    </row>
    <row r="399" spans="1:59" s="8" customFormat="1" ht="22.5" hidden="1" customHeight="1">
      <c r="A399" s="9"/>
      <c r="B399" s="16" t="s">
        <v>120</v>
      </c>
      <c r="C399" s="89" t="s">
        <v>140</v>
      </c>
      <c r="D399" s="109" t="s">
        <v>623</v>
      </c>
      <c r="E399" s="110" t="s">
        <v>628</v>
      </c>
      <c r="F399" s="111" t="s">
        <v>1800</v>
      </c>
      <c r="G399" s="111" t="s">
        <v>1801</v>
      </c>
      <c r="H399" s="95"/>
      <c r="I399" s="9"/>
      <c r="J399" s="9" t="s">
        <v>627</v>
      </c>
      <c r="K399" s="14"/>
      <c r="L399" s="14"/>
      <c r="M399" s="12"/>
      <c r="N399" s="9"/>
      <c r="O399" s="9"/>
      <c r="P399" s="9"/>
      <c r="Q399" s="38">
        <f>M399+X399-AG399-BB399</f>
        <v>0</v>
      </c>
      <c r="R399" s="12"/>
      <c r="S399" s="42"/>
      <c r="T399" s="15"/>
      <c r="U399" s="44"/>
      <c r="V399" s="15"/>
      <c r="W399" s="44"/>
      <c r="X399" s="15">
        <f>R399+T399+V399</f>
        <v>0</v>
      </c>
      <c r="Y399" s="15"/>
      <c r="Z399" s="44"/>
      <c r="AA399" s="15"/>
      <c r="AB399" s="44"/>
      <c r="AC399" s="15"/>
      <c r="AD399" s="44"/>
      <c r="AE399" s="15"/>
      <c r="AF399" s="44"/>
      <c r="AG399" s="15">
        <f>(Y399+AA399+AC399+AE399)</f>
        <v>0</v>
      </c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/>
      <c r="BA399" s="42"/>
      <c r="BB399" s="15">
        <f>AH399+AJ399+AL399+AN399+AP399+AR399+AT399+AV399+AX399+AZ399</f>
        <v>0</v>
      </c>
      <c r="BC399" s="15"/>
      <c r="BD399" s="44"/>
      <c r="BE399" s="15"/>
      <c r="BF399" s="44"/>
      <c r="BG399" s="15">
        <f>(BC399+BE399)</f>
        <v>0</v>
      </c>
    </row>
    <row r="400" spans="1:59" s="8" customFormat="1" ht="22.5" hidden="1" customHeight="1">
      <c r="A400" s="9"/>
      <c r="B400" s="16" t="s">
        <v>120</v>
      </c>
      <c r="C400" s="89" t="s">
        <v>52</v>
      </c>
      <c r="D400" s="109" t="s">
        <v>629</v>
      </c>
      <c r="E400" s="110"/>
      <c r="F400" s="111" t="s">
        <v>629</v>
      </c>
      <c r="G400" s="111" t="s">
        <v>1802</v>
      </c>
      <c r="H400" s="95"/>
      <c r="I400" s="9"/>
      <c r="J400" s="9" t="s">
        <v>467</v>
      </c>
      <c r="K400" s="14"/>
      <c r="L400" s="14"/>
      <c r="M400" s="12">
        <v>27</v>
      </c>
      <c r="N400" s="9"/>
      <c r="O400" s="9"/>
      <c r="P400" s="9"/>
      <c r="Q400" s="38">
        <f>M400+X400-AG400-BB400</f>
        <v>27</v>
      </c>
      <c r="R400" s="12"/>
      <c r="S400" s="42"/>
      <c r="T400" s="15"/>
      <c r="U400" s="44"/>
      <c r="V400" s="15"/>
      <c r="W400" s="44"/>
      <c r="X400" s="15">
        <f>R400+T400+V400</f>
        <v>0</v>
      </c>
      <c r="Y400" s="15"/>
      <c r="Z400" s="44"/>
      <c r="AA400" s="15"/>
      <c r="AB400" s="44"/>
      <c r="AC400" s="15"/>
      <c r="AD400" s="44"/>
      <c r="AE400" s="15"/>
      <c r="AF400" s="44"/>
      <c r="AG400" s="15">
        <f>(Y400+AA400+AC400+AE400)</f>
        <v>0</v>
      </c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/>
      <c r="BA400" s="42"/>
      <c r="BB400" s="15">
        <f>AH400+AJ400+AL400+AN400+AP400+AR400+AT400+AV400+AX400+AZ400</f>
        <v>0</v>
      </c>
      <c r="BC400" s="15"/>
      <c r="BD400" s="44"/>
      <c r="BE400" s="15"/>
      <c r="BF400" s="44"/>
      <c r="BG400" s="15">
        <f>(BC400+BE400)</f>
        <v>0</v>
      </c>
    </row>
    <row r="401" spans="1:59" s="8" customFormat="1" ht="22.5" hidden="1" customHeight="1">
      <c r="A401" s="9"/>
      <c r="B401" s="16" t="s">
        <v>172</v>
      </c>
      <c r="C401" s="92" t="s">
        <v>151</v>
      </c>
      <c r="D401" s="109" t="s">
        <v>630</v>
      </c>
      <c r="E401" s="110" t="s">
        <v>631</v>
      </c>
      <c r="F401" s="111" t="s">
        <v>1803</v>
      </c>
      <c r="G401" s="111" t="s">
        <v>1804</v>
      </c>
      <c r="H401" s="95"/>
      <c r="I401" s="9"/>
      <c r="J401" s="9" t="s">
        <v>67</v>
      </c>
      <c r="K401" s="14"/>
      <c r="L401" s="14"/>
      <c r="M401" s="12"/>
      <c r="N401" s="9"/>
      <c r="O401" s="9"/>
      <c r="P401" s="9"/>
      <c r="Q401" s="38">
        <f>M401+X401-AG401-BB401</f>
        <v>0</v>
      </c>
      <c r="R401" s="12"/>
      <c r="S401" s="42"/>
      <c r="T401" s="15"/>
      <c r="U401" s="44"/>
      <c r="V401" s="15"/>
      <c r="W401" s="44"/>
      <c r="X401" s="15">
        <f>R401+T401+V401</f>
        <v>0</v>
      </c>
      <c r="Y401" s="15"/>
      <c r="Z401" s="44"/>
      <c r="AA401" s="15"/>
      <c r="AB401" s="44"/>
      <c r="AC401" s="15"/>
      <c r="AD401" s="44"/>
      <c r="AE401" s="15"/>
      <c r="AF401" s="44"/>
      <c r="AG401" s="15">
        <f>(Y401+AA401+AC401+AE401)</f>
        <v>0</v>
      </c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/>
      <c r="BA401" s="42"/>
      <c r="BB401" s="15">
        <f>AH401+AJ401+AL401+AN401+AP401+AR401+AT401+AV401+AX401+AZ401</f>
        <v>0</v>
      </c>
      <c r="BC401" s="15"/>
      <c r="BD401" s="44"/>
      <c r="BE401" s="15"/>
      <c r="BF401" s="44"/>
      <c r="BG401" s="15">
        <f>(BC401+BE401)</f>
        <v>0</v>
      </c>
    </row>
    <row r="402" spans="1:59" s="8" customFormat="1" ht="22.5" hidden="1" customHeight="1">
      <c r="A402" s="9"/>
      <c r="B402" s="16" t="s">
        <v>632</v>
      </c>
      <c r="C402" s="89" t="s">
        <v>52</v>
      </c>
      <c r="D402" s="109" t="s">
        <v>638</v>
      </c>
      <c r="E402" s="110"/>
      <c r="F402" s="111" t="s">
        <v>1806</v>
      </c>
      <c r="G402" s="111" t="s">
        <v>1807</v>
      </c>
      <c r="H402" s="95"/>
      <c r="I402" s="9"/>
      <c r="J402" s="9" t="s">
        <v>639</v>
      </c>
      <c r="K402" s="14"/>
      <c r="L402" s="14"/>
      <c r="M402" s="12"/>
      <c r="N402" s="9"/>
      <c r="O402" s="9"/>
      <c r="P402" s="9"/>
      <c r="Q402" s="38">
        <f>M402+X402-AG402-BB402</f>
        <v>0</v>
      </c>
      <c r="R402" s="12"/>
      <c r="S402" s="42"/>
      <c r="T402" s="15"/>
      <c r="U402" s="44"/>
      <c r="V402" s="15"/>
      <c r="W402" s="44"/>
      <c r="X402" s="15">
        <f>R402+T402+V402</f>
        <v>0</v>
      </c>
      <c r="Y402" s="15"/>
      <c r="Z402" s="44"/>
      <c r="AA402" s="15"/>
      <c r="AB402" s="44"/>
      <c r="AC402" s="15"/>
      <c r="AD402" s="44"/>
      <c r="AE402" s="15"/>
      <c r="AF402" s="44"/>
      <c r="AG402" s="15">
        <f>(Y402+AA402+AC402+AE402)</f>
        <v>0</v>
      </c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/>
      <c r="BA402" s="42"/>
      <c r="BB402" s="15">
        <f>AH402+AJ402+AL402+AN402+AP402+AR402+AT402+AV402+AX402+AZ402</f>
        <v>0</v>
      </c>
      <c r="BC402" s="15"/>
      <c r="BD402" s="44"/>
      <c r="BE402" s="15"/>
      <c r="BF402" s="44"/>
      <c r="BG402" s="15">
        <f>(BC402+BE402)</f>
        <v>0</v>
      </c>
    </row>
    <row r="403" spans="1:59" s="8" customFormat="1" ht="22.5" hidden="1" customHeight="1">
      <c r="A403" s="9"/>
      <c r="B403" s="16" t="s">
        <v>632</v>
      </c>
      <c r="C403" s="89" t="s">
        <v>52</v>
      </c>
      <c r="D403" s="109" t="s">
        <v>640</v>
      </c>
      <c r="E403" s="110"/>
      <c r="F403" s="111" t="s">
        <v>1808</v>
      </c>
      <c r="G403" s="111" t="s">
        <v>1809</v>
      </c>
      <c r="H403" s="95"/>
      <c r="I403" s="9"/>
      <c r="J403" s="9" t="s">
        <v>247</v>
      </c>
      <c r="K403" s="14"/>
      <c r="L403" s="14"/>
      <c r="M403" s="12"/>
      <c r="N403" s="9"/>
      <c r="O403" s="9"/>
      <c r="P403" s="9"/>
      <c r="Q403" s="38">
        <f>M403+X403-AG403-BB403</f>
        <v>0</v>
      </c>
      <c r="R403" s="12"/>
      <c r="S403" s="42"/>
      <c r="T403" s="15"/>
      <c r="U403" s="44"/>
      <c r="V403" s="15"/>
      <c r="W403" s="44"/>
      <c r="X403" s="15">
        <f>R403+T403+V403</f>
        <v>0</v>
      </c>
      <c r="Y403" s="15"/>
      <c r="Z403" s="44"/>
      <c r="AA403" s="15"/>
      <c r="AB403" s="44"/>
      <c r="AC403" s="15"/>
      <c r="AD403" s="44"/>
      <c r="AE403" s="15"/>
      <c r="AF403" s="44"/>
      <c r="AG403" s="15">
        <f>(Y403+AA403+AC403+AE403)</f>
        <v>0</v>
      </c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/>
      <c r="BA403" s="42"/>
      <c r="BB403" s="15">
        <f>AH403+AJ403+AL403+AN403+AP403+AR403+AT403+AV403+AX403+AZ403</f>
        <v>0</v>
      </c>
      <c r="BC403" s="15"/>
      <c r="BD403" s="44"/>
      <c r="BE403" s="15"/>
      <c r="BF403" s="44"/>
      <c r="BG403" s="15">
        <f>(BC403+BE403)</f>
        <v>0</v>
      </c>
    </row>
    <row r="404" spans="1:59" s="8" customFormat="1" ht="22.5" hidden="1" customHeight="1">
      <c r="A404" s="9"/>
      <c r="B404" s="16" t="s">
        <v>641</v>
      </c>
      <c r="C404" s="89" t="s">
        <v>44</v>
      </c>
      <c r="D404" s="109" t="s">
        <v>642</v>
      </c>
      <c r="E404" s="110"/>
      <c r="F404" s="111" t="s">
        <v>1810</v>
      </c>
      <c r="G404" s="111" t="s">
        <v>1811</v>
      </c>
      <c r="H404" s="95"/>
      <c r="I404" s="9"/>
      <c r="J404" s="9" t="s">
        <v>247</v>
      </c>
      <c r="K404" s="14"/>
      <c r="L404" s="14"/>
      <c r="M404" s="12"/>
      <c r="N404" s="9"/>
      <c r="O404" s="9"/>
      <c r="P404" s="9"/>
      <c r="Q404" s="38">
        <f>M404+X404-AG404-BB404</f>
        <v>0</v>
      </c>
      <c r="R404" s="12"/>
      <c r="S404" s="42"/>
      <c r="T404" s="15"/>
      <c r="U404" s="44"/>
      <c r="V404" s="15"/>
      <c r="W404" s="44"/>
      <c r="X404" s="15">
        <f>R404+T404+V404</f>
        <v>0</v>
      </c>
      <c r="Y404" s="15"/>
      <c r="Z404" s="44"/>
      <c r="AA404" s="15"/>
      <c r="AB404" s="44"/>
      <c r="AC404" s="15"/>
      <c r="AD404" s="44"/>
      <c r="AE404" s="15"/>
      <c r="AF404" s="44"/>
      <c r="AG404" s="15">
        <f>(Y404+AA404+AC404+AE404)</f>
        <v>0</v>
      </c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/>
      <c r="BA404" s="42"/>
      <c r="BB404" s="15">
        <f>AH404+AJ404+AL404+AN404+AP404+AR404+AT404+AV404+AX404+AZ404</f>
        <v>0</v>
      </c>
      <c r="BC404" s="15"/>
      <c r="BD404" s="44"/>
      <c r="BE404" s="15"/>
      <c r="BF404" s="44"/>
      <c r="BG404" s="15">
        <f>(BC404+BE404)</f>
        <v>0</v>
      </c>
    </row>
    <row r="405" spans="1:59" s="8" customFormat="1" ht="22.5" hidden="1" customHeight="1">
      <c r="A405" s="9"/>
      <c r="B405" s="16" t="s">
        <v>641</v>
      </c>
      <c r="C405" s="89" t="s">
        <v>643</v>
      </c>
      <c r="D405" s="109" t="s">
        <v>642</v>
      </c>
      <c r="E405" s="110"/>
      <c r="F405" s="111" t="s">
        <v>1812</v>
      </c>
      <c r="G405" s="111" t="s">
        <v>1813</v>
      </c>
      <c r="H405" s="95"/>
      <c r="I405" s="9"/>
      <c r="J405" s="9" t="s">
        <v>247</v>
      </c>
      <c r="K405" s="14"/>
      <c r="L405" s="14"/>
      <c r="M405" s="12"/>
      <c r="N405" s="9"/>
      <c r="O405" s="9"/>
      <c r="P405" s="9"/>
      <c r="Q405" s="38">
        <f>M405+X405-AG405-BB405</f>
        <v>0</v>
      </c>
      <c r="R405" s="12"/>
      <c r="S405" s="42"/>
      <c r="T405" s="15"/>
      <c r="U405" s="44"/>
      <c r="V405" s="15"/>
      <c r="W405" s="44"/>
      <c r="X405" s="15">
        <f>R405+T405+V405</f>
        <v>0</v>
      </c>
      <c r="Y405" s="15"/>
      <c r="Z405" s="44"/>
      <c r="AA405" s="15"/>
      <c r="AB405" s="44"/>
      <c r="AC405" s="15"/>
      <c r="AD405" s="44"/>
      <c r="AE405" s="15"/>
      <c r="AF405" s="44"/>
      <c r="AG405" s="15">
        <f>(Y405+AA405+AC405+AE405)</f>
        <v>0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/>
      <c r="BA405" s="42"/>
      <c r="BB405" s="15">
        <f>AH405+AJ405+AL405+AN405+AP405+AR405+AT405+AV405+AX405+AZ405</f>
        <v>0</v>
      </c>
      <c r="BC405" s="15"/>
      <c r="BD405" s="44"/>
      <c r="BE405" s="15"/>
      <c r="BF405" s="44"/>
      <c r="BG405" s="15">
        <f>(BC405+BE405)</f>
        <v>0</v>
      </c>
    </row>
    <row r="406" spans="1:59" s="8" customFormat="1" ht="22.5" hidden="1" customHeight="1">
      <c r="A406" s="9"/>
      <c r="B406" s="16" t="s">
        <v>641</v>
      </c>
      <c r="C406" s="89" t="s">
        <v>132</v>
      </c>
      <c r="D406" s="109" t="s">
        <v>644</v>
      </c>
      <c r="E406" s="110" t="s">
        <v>645</v>
      </c>
      <c r="F406" s="111" t="s">
        <v>1814</v>
      </c>
      <c r="G406" s="111" t="s">
        <v>1815</v>
      </c>
      <c r="H406" s="95"/>
      <c r="I406" s="9"/>
      <c r="J406" s="9" t="s">
        <v>247</v>
      </c>
      <c r="K406" s="14"/>
      <c r="L406" s="14"/>
      <c r="M406" s="12"/>
      <c r="N406" s="9"/>
      <c r="O406" s="9"/>
      <c r="P406" s="9"/>
      <c r="Q406" s="38">
        <f>M406+X406-AG406-BB406</f>
        <v>0</v>
      </c>
      <c r="R406" s="12"/>
      <c r="S406" s="42"/>
      <c r="T406" s="15"/>
      <c r="U406" s="44"/>
      <c r="V406" s="15"/>
      <c r="W406" s="44"/>
      <c r="X406" s="15">
        <f>R406+T406+V406</f>
        <v>0</v>
      </c>
      <c r="Y406" s="15"/>
      <c r="Z406" s="44"/>
      <c r="AA406" s="15"/>
      <c r="AB406" s="44"/>
      <c r="AC406" s="15"/>
      <c r="AD406" s="44"/>
      <c r="AE406" s="15"/>
      <c r="AF406" s="44"/>
      <c r="AG406" s="15">
        <f>(Y406+AA406+AC406+AE406)</f>
        <v>0</v>
      </c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/>
      <c r="BA406" s="42"/>
      <c r="BB406" s="15">
        <f>AH406+AJ406+AL406+AN406+AP406+AR406+AT406+AV406+AX406+AZ406</f>
        <v>0</v>
      </c>
      <c r="BC406" s="15"/>
      <c r="BD406" s="44"/>
      <c r="BE406" s="15"/>
      <c r="BF406" s="44"/>
      <c r="BG406" s="15">
        <f>(BC406+BE406)</f>
        <v>0</v>
      </c>
    </row>
    <row r="407" spans="1:59" s="8" customFormat="1" ht="22.5" hidden="1" customHeight="1">
      <c r="A407" s="9"/>
      <c r="B407" s="16" t="s">
        <v>641</v>
      </c>
      <c r="C407" s="89" t="s">
        <v>132</v>
      </c>
      <c r="D407" s="109" t="s">
        <v>644</v>
      </c>
      <c r="E407" s="110" t="s">
        <v>646</v>
      </c>
      <c r="F407" s="133" t="s">
        <v>1816</v>
      </c>
      <c r="G407" s="133" t="s">
        <v>1817</v>
      </c>
      <c r="H407" s="95"/>
      <c r="I407" s="9"/>
      <c r="J407" s="9" t="s">
        <v>247</v>
      </c>
      <c r="K407" s="14"/>
      <c r="L407" s="14"/>
      <c r="M407" s="12"/>
      <c r="N407" s="9"/>
      <c r="O407" s="9"/>
      <c r="P407" s="9"/>
      <c r="Q407" s="38">
        <f>M407+X407-AG407-BB407</f>
        <v>0</v>
      </c>
      <c r="R407" s="12"/>
      <c r="S407" s="42"/>
      <c r="T407" s="15"/>
      <c r="U407" s="44"/>
      <c r="V407" s="15"/>
      <c r="W407" s="44"/>
      <c r="X407" s="15">
        <f>R407+T407+V407</f>
        <v>0</v>
      </c>
      <c r="Y407" s="15"/>
      <c r="Z407" s="44"/>
      <c r="AA407" s="15"/>
      <c r="AB407" s="44"/>
      <c r="AC407" s="15"/>
      <c r="AD407" s="44"/>
      <c r="AE407" s="15"/>
      <c r="AF407" s="44"/>
      <c r="AG407" s="15">
        <f>(Y407+AA407+AC407+AE407)</f>
        <v>0</v>
      </c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/>
      <c r="BA407" s="42"/>
      <c r="BB407" s="15">
        <f>AH407+AJ407+AL407+AN407+AP407+AR407+AT407+AV407+AX407+AZ407</f>
        <v>0</v>
      </c>
      <c r="BC407" s="15"/>
      <c r="BD407" s="44"/>
      <c r="BE407" s="15"/>
      <c r="BF407" s="44"/>
      <c r="BG407" s="15">
        <f>(BC407+BE407)</f>
        <v>0</v>
      </c>
    </row>
    <row r="408" spans="1:59" s="8" customFormat="1" ht="22.5" hidden="1" customHeight="1">
      <c r="A408" s="9"/>
      <c r="B408" s="16" t="s">
        <v>641</v>
      </c>
      <c r="C408" s="89" t="s">
        <v>140</v>
      </c>
      <c r="D408" s="109" t="s">
        <v>644</v>
      </c>
      <c r="E408" s="110" t="s">
        <v>645</v>
      </c>
      <c r="F408" s="111" t="s">
        <v>1818</v>
      </c>
      <c r="G408" s="111" t="s">
        <v>1819</v>
      </c>
      <c r="H408" s="95"/>
      <c r="I408" s="9"/>
      <c r="J408" s="9" t="s">
        <v>247</v>
      </c>
      <c r="K408" s="14"/>
      <c r="L408" s="14"/>
      <c r="M408" s="12"/>
      <c r="N408" s="9"/>
      <c r="O408" s="9"/>
      <c r="P408" s="9"/>
      <c r="Q408" s="38">
        <f>M408+X408-AG408-BB408</f>
        <v>0</v>
      </c>
      <c r="R408" s="12"/>
      <c r="S408" s="42"/>
      <c r="T408" s="15"/>
      <c r="U408" s="44"/>
      <c r="V408" s="15"/>
      <c r="W408" s="44"/>
      <c r="X408" s="15">
        <f>R408+T408+V408</f>
        <v>0</v>
      </c>
      <c r="Y408" s="15"/>
      <c r="Z408" s="44"/>
      <c r="AA408" s="15"/>
      <c r="AB408" s="44"/>
      <c r="AC408" s="15"/>
      <c r="AD408" s="44"/>
      <c r="AE408" s="15"/>
      <c r="AF408" s="44"/>
      <c r="AG408" s="15">
        <f>(Y408+AA408+AC408+AE408)</f>
        <v>0</v>
      </c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/>
      <c r="BA408" s="42"/>
      <c r="BB408" s="15">
        <f>AH408+AJ408+AL408+AN408+AP408+AR408+AT408+AV408+AX408+AZ408</f>
        <v>0</v>
      </c>
      <c r="BC408" s="15"/>
      <c r="BD408" s="44"/>
      <c r="BE408" s="15"/>
      <c r="BF408" s="44"/>
      <c r="BG408" s="15">
        <f>(BC408+BE408)</f>
        <v>0</v>
      </c>
    </row>
    <row r="409" spans="1:59" s="8" customFormat="1" ht="22.5" hidden="1" customHeight="1">
      <c r="A409" s="9"/>
      <c r="B409" s="16" t="s">
        <v>641</v>
      </c>
      <c r="C409" s="89" t="s">
        <v>140</v>
      </c>
      <c r="D409" s="109" t="s">
        <v>644</v>
      </c>
      <c r="E409" s="110" t="s">
        <v>647</v>
      </c>
      <c r="F409" s="111" t="s">
        <v>1820</v>
      </c>
      <c r="G409" s="111" t="s">
        <v>1821</v>
      </c>
      <c r="H409" s="95"/>
      <c r="I409" s="9"/>
      <c r="J409" s="9" t="s">
        <v>247</v>
      </c>
      <c r="K409" s="14"/>
      <c r="L409" s="14"/>
      <c r="M409" s="12"/>
      <c r="N409" s="9"/>
      <c r="O409" s="9"/>
      <c r="P409" s="9"/>
      <c r="Q409" s="38">
        <f>M409+X409-AG409-BB409</f>
        <v>0</v>
      </c>
      <c r="R409" s="12"/>
      <c r="S409" s="42"/>
      <c r="T409" s="15"/>
      <c r="U409" s="44"/>
      <c r="V409" s="15"/>
      <c r="W409" s="44"/>
      <c r="X409" s="15">
        <f>R409+T409+V409</f>
        <v>0</v>
      </c>
      <c r="Y409" s="15"/>
      <c r="Z409" s="44"/>
      <c r="AA409" s="15"/>
      <c r="AB409" s="44"/>
      <c r="AC409" s="15"/>
      <c r="AD409" s="44"/>
      <c r="AE409" s="15"/>
      <c r="AF409" s="44"/>
      <c r="AG409" s="15">
        <f>(Y409+AA409+AC409+AE409)</f>
        <v>0</v>
      </c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/>
      <c r="BA409" s="42"/>
      <c r="BB409" s="15">
        <f>AH409+AJ409+AL409+AN409+AP409+AR409+AT409+AV409+AX409+AZ409</f>
        <v>0</v>
      </c>
      <c r="BC409" s="15"/>
      <c r="BD409" s="44"/>
      <c r="BE409" s="15"/>
      <c r="BF409" s="44"/>
      <c r="BG409" s="15">
        <f>(BC409+BE409)</f>
        <v>0</v>
      </c>
    </row>
    <row r="410" spans="1:59" s="8" customFormat="1" ht="22.5" hidden="1" customHeight="1">
      <c r="A410" s="9"/>
      <c r="B410" s="16" t="s">
        <v>641</v>
      </c>
      <c r="C410" s="89" t="s">
        <v>48</v>
      </c>
      <c r="D410" s="109" t="s">
        <v>648</v>
      </c>
      <c r="E410" s="110" t="s">
        <v>649</v>
      </c>
      <c r="F410" s="111" t="s">
        <v>1822</v>
      </c>
      <c r="G410" s="111" t="s">
        <v>1823</v>
      </c>
      <c r="H410" s="95"/>
      <c r="I410" s="9"/>
      <c r="J410" s="9" t="s">
        <v>247</v>
      </c>
      <c r="K410" s="14"/>
      <c r="L410" s="14"/>
      <c r="M410" s="12"/>
      <c r="N410" s="9"/>
      <c r="O410" s="9"/>
      <c r="P410" s="9"/>
      <c r="Q410" s="38">
        <f>M410+X410-AG410-BB410</f>
        <v>0</v>
      </c>
      <c r="R410" s="12"/>
      <c r="S410" s="42"/>
      <c r="T410" s="15"/>
      <c r="U410" s="44"/>
      <c r="V410" s="15"/>
      <c r="W410" s="44"/>
      <c r="X410" s="15">
        <f>R410+T410+V410</f>
        <v>0</v>
      </c>
      <c r="Y410" s="15"/>
      <c r="Z410" s="44"/>
      <c r="AA410" s="15"/>
      <c r="AB410" s="44"/>
      <c r="AC410" s="15"/>
      <c r="AD410" s="44"/>
      <c r="AE410" s="15"/>
      <c r="AF410" s="44"/>
      <c r="AG410" s="15">
        <f>(Y410+AA410+AC410+AE410)</f>
        <v>0</v>
      </c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/>
      <c r="BA410" s="42"/>
      <c r="BB410" s="15">
        <f>AH410+AJ410+AL410+AN410+AP410+AR410+AT410+AV410+AX410+AZ410</f>
        <v>0</v>
      </c>
      <c r="BC410" s="15"/>
      <c r="BD410" s="44"/>
      <c r="BE410" s="15"/>
      <c r="BF410" s="44"/>
      <c r="BG410" s="15">
        <f>(BC410+BE410)</f>
        <v>0</v>
      </c>
    </row>
    <row r="411" spans="1:59" s="8" customFormat="1" ht="22.5" hidden="1" customHeight="1">
      <c r="A411" s="9"/>
      <c r="B411" s="16" t="s">
        <v>641</v>
      </c>
      <c r="C411" s="89" t="s">
        <v>48</v>
      </c>
      <c r="D411" s="109" t="s">
        <v>650</v>
      </c>
      <c r="E411" s="110" t="s">
        <v>649</v>
      </c>
      <c r="F411" s="111" t="s">
        <v>1824</v>
      </c>
      <c r="G411" s="111" t="s">
        <v>1825</v>
      </c>
      <c r="H411" s="95"/>
      <c r="I411" s="9"/>
      <c r="J411" s="9" t="s">
        <v>247</v>
      </c>
      <c r="K411" s="14"/>
      <c r="L411" s="14"/>
      <c r="M411" s="12"/>
      <c r="N411" s="9"/>
      <c r="O411" s="9"/>
      <c r="P411" s="9"/>
      <c r="Q411" s="38">
        <f>M411+X411-AG411-BB411</f>
        <v>0</v>
      </c>
      <c r="R411" s="12"/>
      <c r="S411" s="42"/>
      <c r="T411" s="15"/>
      <c r="U411" s="44"/>
      <c r="V411" s="15"/>
      <c r="W411" s="44"/>
      <c r="X411" s="15">
        <f>R411+T411+V411</f>
        <v>0</v>
      </c>
      <c r="Y411" s="15"/>
      <c r="Z411" s="44"/>
      <c r="AA411" s="15"/>
      <c r="AB411" s="44"/>
      <c r="AC411" s="15"/>
      <c r="AD411" s="44"/>
      <c r="AE411" s="15"/>
      <c r="AF411" s="44"/>
      <c r="AG411" s="15">
        <f>(Y411+AA411+AC411+AE411)</f>
        <v>0</v>
      </c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/>
      <c r="BA411" s="42"/>
      <c r="BB411" s="15">
        <f>AH411+AJ411+AL411+AN411+AP411+AR411+AT411+AV411+AX411+AZ411</f>
        <v>0</v>
      </c>
      <c r="BC411" s="15"/>
      <c r="BD411" s="44"/>
      <c r="BE411" s="15"/>
      <c r="BF411" s="44"/>
      <c r="BG411" s="15">
        <f>(BC411+BE411)</f>
        <v>0</v>
      </c>
    </row>
    <row r="412" spans="1:59" s="8" customFormat="1" ht="22.5" hidden="1" customHeight="1">
      <c r="A412" s="9"/>
      <c r="B412" s="16" t="s">
        <v>641</v>
      </c>
      <c r="C412" s="89" t="s">
        <v>48</v>
      </c>
      <c r="D412" s="109" t="s">
        <v>648</v>
      </c>
      <c r="E412" s="110" t="s">
        <v>651</v>
      </c>
      <c r="F412" s="111" t="s">
        <v>1826</v>
      </c>
      <c r="G412" s="111" t="s">
        <v>1827</v>
      </c>
      <c r="H412" s="95"/>
      <c r="I412" s="9"/>
      <c r="J412" s="9" t="s">
        <v>247</v>
      </c>
      <c r="K412" s="14"/>
      <c r="L412" s="14"/>
      <c r="M412" s="12"/>
      <c r="N412" s="9"/>
      <c r="O412" s="9"/>
      <c r="P412" s="9"/>
      <c r="Q412" s="38">
        <f>M412+X412-AG412-BB412</f>
        <v>0</v>
      </c>
      <c r="R412" s="12"/>
      <c r="S412" s="42"/>
      <c r="T412" s="15"/>
      <c r="U412" s="44"/>
      <c r="V412" s="15"/>
      <c r="W412" s="44"/>
      <c r="X412" s="15">
        <f>R412+T412+V412</f>
        <v>0</v>
      </c>
      <c r="Y412" s="15"/>
      <c r="Z412" s="44"/>
      <c r="AA412" s="15"/>
      <c r="AB412" s="44"/>
      <c r="AC412" s="15"/>
      <c r="AD412" s="44"/>
      <c r="AE412" s="15"/>
      <c r="AF412" s="44"/>
      <c r="AG412" s="15">
        <f>(Y412+AA412+AC412+AE412)</f>
        <v>0</v>
      </c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/>
      <c r="BA412" s="42"/>
      <c r="BB412" s="15">
        <f>AH412+AJ412+AL412+AN412+AP412+AR412+AT412+AV412+AX412+AZ412</f>
        <v>0</v>
      </c>
      <c r="BC412" s="15"/>
      <c r="BD412" s="44"/>
      <c r="BE412" s="15"/>
      <c r="BF412" s="44"/>
      <c r="BG412" s="15">
        <f>(BC412+BE412)</f>
        <v>0</v>
      </c>
    </row>
    <row r="413" spans="1:59" s="8" customFormat="1" ht="22.5" hidden="1" customHeight="1">
      <c r="A413" s="9"/>
      <c r="B413" s="16" t="s">
        <v>641</v>
      </c>
      <c r="C413" s="89" t="s">
        <v>48</v>
      </c>
      <c r="D413" s="109" t="s">
        <v>650</v>
      </c>
      <c r="E413" s="110" t="s">
        <v>651</v>
      </c>
      <c r="F413" s="111" t="s">
        <v>1828</v>
      </c>
      <c r="G413" s="111" t="s">
        <v>1829</v>
      </c>
      <c r="H413" s="95"/>
      <c r="I413" s="9"/>
      <c r="J413" s="9" t="s">
        <v>247</v>
      </c>
      <c r="K413" s="14"/>
      <c r="L413" s="14"/>
      <c r="M413" s="12"/>
      <c r="N413" s="9"/>
      <c r="O413" s="9"/>
      <c r="P413" s="9"/>
      <c r="Q413" s="38">
        <f>M413+X413-AG413-BB413</f>
        <v>0</v>
      </c>
      <c r="R413" s="12"/>
      <c r="S413" s="42"/>
      <c r="T413" s="15"/>
      <c r="U413" s="44"/>
      <c r="V413" s="15"/>
      <c r="W413" s="44"/>
      <c r="X413" s="15">
        <f>R413+T413+V413</f>
        <v>0</v>
      </c>
      <c r="Y413" s="15"/>
      <c r="Z413" s="44"/>
      <c r="AA413" s="15"/>
      <c r="AB413" s="44"/>
      <c r="AC413" s="15"/>
      <c r="AD413" s="44"/>
      <c r="AE413" s="15"/>
      <c r="AF413" s="44"/>
      <c r="AG413" s="15">
        <f>(Y413+AA413+AC413+AE413)</f>
        <v>0</v>
      </c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/>
      <c r="BA413" s="42"/>
      <c r="BB413" s="15">
        <f>AH413+AJ413+AL413+AN413+AP413+AR413+AT413+AV413+AX413+AZ413</f>
        <v>0</v>
      </c>
      <c r="BC413" s="15"/>
      <c r="BD413" s="44"/>
      <c r="BE413" s="15"/>
      <c r="BF413" s="44"/>
      <c r="BG413" s="15">
        <f>(BC413+BE413)</f>
        <v>0</v>
      </c>
    </row>
    <row r="414" spans="1:59" s="8" customFormat="1" ht="22.5" hidden="1" customHeight="1">
      <c r="A414" s="9"/>
      <c r="B414" s="16" t="s">
        <v>641</v>
      </c>
      <c r="C414" s="89" t="s">
        <v>652</v>
      </c>
      <c r="D414" s="109" t="s">
        <v>653</v>
      </c>
      <c r="E414" s="110"/>
      <c r="F414" s="111" t="s">
        <v>1830</v>
      </c>
      <c r="G414" s="111" t="s">
        <v>1831</v>
      </c>
      <c r="H414" s="95"/>
      <c r="I414" s="9"/>
      <c r="J414" s="9" t="s">
        <v>247</v>
      </c>
      <c r="K414" s="14"/>
      <c r="L414" s="14"/>
      <c r="M414" s="12"/>
      <c r="N414" s="9"/>
      <c r="O414" s="9"/>
      <c r="P414" s="9"/>
      <c r="Q414" s="38">
        <f>M414+X414-AG414-BB414</f>
        <v>0</v>
      </c>
      <c r="R414" s="12"/>
      <c r="S414" s="42"/>
      <c r="T414" s="15"/>
      <c r="U414" s="44"/>
      <c r="V414" s="15"/>
      <c r="W414" s="44"/>
      <c r="X414" s="15">
        <f>R414+T414+V414</f>
        <v>0</v>
      </c>
      <c r="Y414" s="15"/>
      <c r="Z414" s="44"/>
      <c r="AA414" s="15"/>
      <c r="AB414" s="44"/>
      <c r="AC414" s="15"/>
      <c r="AD414" s="44"/>
      <c r="AE414" s="15"/>
      <c r="AF414" s="44"/>
      <c r="AG414" s="15">
        <f>(Y414+AA414+AC414+AE414)</f>
        <v>0</v>
      </c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/>
      <c r="BA414" s="42"/>
      <c r="BB414" s="15">
        <f>AH414+AJ414+AL414+AN414+AP414+AR414+AT414+AV414+AX414+AZ414</f>
        <v>0</v>
      </c>
      <c r="BC414" s="15"/>
      <c r="BD414" s="44"/>
      <c r="BE414" s="15"/>
      <c r="BF414" s="44"/>
      <c r="BG414" s="15">
        <f>(BC414+BE414)</f>
        <v>0</v>
      </c>
    </row>
    <row r="415" spans="1:59" s="8" customFormat="1" ht="22.5" hidden="1" customHeight="1">
      <c r="A415" s="9"/>
      <c r="B415" s="16" t="s">
        <v>641</v>
      </c>
      <c r="C415" s="89" t="s">
        <v>652</v>
      </c>
      <c r="D415" s="109" t="s">
        <v>654</v>
      </c>
      <c r="E415" s="110"/>
      <c r="F415" s="111" t="s">
        <v>1832</v>
      </c>
      <c r="G415" s="111" t="s">
        <v>1833</v>
      </c>
      <c r="H415" s="95"/>
      <c r="I415" s="9"/>
      <c r="J415" s="9" t="s">
        <v>247</v>
      </c>
      <c r="K415" s="14"/>
      <c r="L415" s="14"/>
      <c r="M415" s="12"/>
      <c r="N415" s="9"/>
      <c r="O415" s="9"/>
      <c r="P415" s="9"/>
      <c r="Q415" s="38">
        <f>M415+X415-AG415-BB415</f>
        <v>0</v>
      </c>
      <c r="R415" s="12"/>
      <c r="S415" s="42"/>
      <c r="T415" s="15"/>
      <c r="U415" s="44"/>
      <c r="V415" s="15"/>
      <c r="W415" s="44"/>
      <c r="X415" s="15">
        <f>R415+T415+V415</f>
        <v>0</v>
      </c>
      <c r="Y415" s="15"/>
      <c r="Z415" s="44"/>
      <c r="AA415" s="15"/>
      <c r="AB415" s="44"/>
      <c r="AC415" s="15"/>
      <c r="AD415" s="44"/>
      <c r="AE415" s="15"/>
      <c r="AF415" s="44"/>
      <c r="AG415" s="15">
        <f>(Y415+AA415+AC415+AE415)</f>
        <v>0</v>
      </c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/>
      <c r="BA415" s="42"/>
      <c r="BB415" s="15">
        <f>AH415+AJ415+AL415+AN415+AP415+AR415+AT415+AV415+AX415+AZ415</f>
        <v>0</v>
      </c>
      <c r="BC415" s="15"/>
      <c r="BD415" s="44"/>
      <c r="BE415" s="15"/>
      <c r="BF415" s="44"/>
      <c r="BG415" s="15">
        <f>(BC415+BE415)</f>
        <v>0</v>
      </c>
    </row>
    <row r="416" spans="1:59" s="8" customFormat="1" ht="22.5" hidden="1" customHeight="1">
      <c r="A416" s="9"/>
      <c r="B416" s="16" t="s">
        <v>641</v>
      </c>
      <c r="C416" s="89" t="s">
        <v>652</v>
      </c>
      <c r="D416" s="109" t="s">
        <v>655</v>
      </c>
      <c r="E416" s="110"/>
      <c r="F416" s="111" t="s">
        <v>1834</v>
      </c>
      <c r="G416" s="111" t="s">
        <v>1835</v>
      </c>
      <c r="H416" s="95"/>
      <c r="I416" s="9"/>
      <c r="J416" s="9" t="s">
        <v>247</v>
      </c>
      <c r="K416" s="14"/>
      <c r="L416" s="14"/>
      <c r="M416" s="12"/>
      <c r="N416" s="9"/>
      <c r="O416" s="9"/>
      <c r="P416" s="9"/>
      <c r="Q416" s="38">
        <f>M416+X416-AG416-BB416</f>
        <v>0</v>
      </c>
      <c r="R416" s="12"/>
      <c r="S416" s="42"/>
      <c r="T416" s="15"/>
      <c r="U416" s="44"/>
      <c r="V416" s="15"/>
      <c r="W416" s="44"/>
      <c r="X416" s="15">
        <f>R416+T416+V416</f>
        <v>0</v>
      </c>
      <c r="Y416" s="15"/>
      <c r="Z416" s="44"/>
      <c r="AA416" s="15"/>
      <c r="AB416" s="44"/>
      <c r="AC416" s="15"/>
      <c r="AD416" s="44"/>
      <c r="AE416" s="15"/>
      <c r="AF416" s="44"/>
      <c r="AG416" s="15">
        <f>(Y416+AA416+AC416+AE416)</f>
        <v>0</v>
      </c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/>
      <c r="BA416" s="42"/>
      <c r="BB416" s="15">
        <f>AH416+AJ416+AL416+AN416+AP416+AR416+AT416+AV416+AX416+AZ416</f>
        <v>0</v>
      </c>
      <c r="BC416" s="15"/>
      <c r="BD416" s="44"/>
      <c r="BE416" s="15"/>
      <c r="BF416" s="44"/>
      <c r="BG416" s="15">
        <f>(BC416+BE416)</f>
        <v>0</v>
      </c>
    </row>
    <row r="417" spans="1:59" s="8" customFormat="1" ht="22.5" hidden="1" customHeight="1">
      <c r="A417" s="9"/>
      <c r="B417" s="16" t="s">
        <v>641</v>
      </c>
      <c r="C417" s="89" t="s">
        <v>151</v>
      </c>
      <c r="D417" s="109" t="s">
        <v>660</v>
      </c>
      <c r="E417" s="110" t="s">
        <v>1836</v>
      </c>
      <c r="F417" s="111" t="s">
        <v>1837</v>
      </c>
      <c r="G417" s="111" t="s">
        <v>1838</v>
      </c>
      <c r="H417" s="95"/>
      <c r="I417" s="9"/>
      <c r="J417" s="9" t="s">
        <v>247</v>
      </c>
      <c r="K417" s="14"/>
      <c r="L417" s="14"/>
      <c r="M417" s="12"/>
      <c r="N417" s="9"/>
      <c r="O417" s="9"/>
      <c r="P417" s="9"/>
      <c r="Q417" s="38">
        <f>M417+X417-AG417-BB417</f>
        <v>0</v>
      </c>
      <c r="R417" s="12"/>
      <c r="S417" s="42"/>
      <c r="T417" s="15"/>
      <c r="U417" s="44"/>
      <c r="V417" s="15"/>
      <c r="W417" s="44"/>
      <c r="X417" s="15">
        <f>R417+T417+V417</f>
        <v>0</v>
      </c>
      <c r="Y417" s="15"/>
      <c r="Z417" s="44"/>
      <c r="AA417" s="15"/>
      <c r="AB417" s="44"/>
      <c r="AC417" s="15"/>
      <c r="AD417" s="44"/>
      <c r="AE417" s="15"/>
      <c r="AF417" s="44"/>
      <c r="AG417" s="15">
        <f>(Y417+AA417+AC417+AE417)</f>
        <v>0</v>
      </c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/>
      <c r="BA417" s="42"/>
      <c r="BB417" s="15">
        <f>AH417+AJ417+AL417+AN417+AP417+AR417+AT417+AV417+AX417+AZ417</f>
        <v>0</v>
      </c>
      <c r="BC417" s="15"/>
      <c r="BD417" s="44"/>
      <c r="BE417" s="15"/>
      <c r="BF417" s="44"/>
      <c r="BG417" s="15">
        <f>(BC417+BE417)</f>
        <v>0</v>
      </c>
    </row>
    <row r="418" spans="1:59" s="8" customFormat="1" ht="22.5" hidden="1" customHeight="1">
      <c r="A418" s="9"/>
      <c r="B418" s="16" t="s">
        <v>641</v>
      </c>
      <c r="C418" s="89" t="s">
        <v>151</v>
      </c>
      <c r="D418" s="109" t="s">
        <v>662</v>
      </c>
      <c r="E418" s="110" t="s">
        <v>663</v>
      </c>
      <c r="F418" s="111" t="s">
        <v>1839</v>
      </c>
      <c r="G418" s="111" t="s">
        <v>1840</v>
      </c>
      <c r="H418" s="95"/>
      <c r="I418" s="9"/>
      <c r="J418" s="9" t="s">
        <v>247</v>
      </c>
      <c r="K418" s="14"/>
      <c r="L418" s="14"/>
      <c r="M418" s="12"/>
      <c r="N418" s="9"/>
      <c r="O418" s="9"/>
      <c r="P418" s="9"/>
      <c r="Q418" s="38">
        <f>M418+X418-AG418-BB418</f>
        <v>0</v>
      </c>
      <c r="R418" s="12"/>
      <c r="S418" s="42"/>
      <c r="T418" s="15"/>
      <c r="U418" s="44"/>
      <c r="V418" s="15"/>
      <c r="W418" s="44"/>
      <c r="X418" s="15">
        <f>R418+T418+V418</f>
        <v>0</v>
      </c>
      <c r="Y418" s="15"/>
      <c r="Z418" s="44"/>
      <c r="AA418" s="15"/>
      <c r="AB418" s="44"/>
      <c r="AC418" s="15"/>
      <c r="AD418" s="44"/>
      <c r="AE418" s="15"/>
      <c r="AF418" s="44"/>
      <c r="AG418" s="15">
        <f>(Y418+AA418+AC418+AE418)</f>
        <v>0</v>
      </c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/>
      <c r="BA418" s="42"/>
      <c r="BB418" s="15">
        <f>AH418+AJ418+AL418+AN418+AP418+AR418+AT418+AV418+AX418+AZ418</f>
        <v>0</v>
      </c>
      <c r="BC418" s="15"/>
      <c r="BD418" s="44"/>
      <c r="BE418" s="15"/>
      <c r="BF418" s="44"/>
      <c r="BG418" s="15">
        <f>(BC418+BE418)</f>
        <v>0</v>
      </c>
    </row>
    <row r="419" spans="1:59" s="8" customFormat="1" ht="22.5" hidden="1" customHeight="1">
      <c r="A419" s="9"/>
      <c r="B419" s="16" t="s">
        <v>641</v>
      </c>
      <c r="C419" s="89" t="s">
        <v>151</v>
      </c>
      <c r="D419" s="109" t="s">
        <v>664</v>
      </c>
      <c r="E419" s="110" t="s">
        <v>665</v>
      </c>
      <c r="F419" s="111" t="s">
        <v>1841</v>
      </c>
      <c r="G419" s="111" t="s">
        <v>1842</v>
      </c>
      <c r="H419" s="95"/>
      <c r="I419" s="9"/>
      <c r="J419" s="9" t="s">
        <v>247</v>
      </c>
      <c r="K419" s="14"/>
      <c r="L419" s="14"/>
      <c r="M419" s="12"/>
      <c r="N419" s="9"/>
      <c r="O419" s="9"/>
      <c r="P419" s="9"/>
      <c r="Q419" s="38">
        <f>M419+X419-AG419-BB419</f>
        <v>0</v>
      </c>
      <c r="R419" s="12"/>
      <c r="S419" s="42"/>
      <c r="T419" s="15"/>
      <c r="U419" s="44"/>
      <c r="V419" s="15"/>
      <c r="W419" s="44"/>
      <c r="X419" s="15">
        <f>R419+T419+V419</f>
        <v>0</v>
      </c>
      <c r="Y419" s="15"/>
      <c r="Z419" s="44"/>
      <c r="AA419" s="15"/>
      <c r="AB419" s="44"/>
      <c r="AC419" s="15"/>
      <c r="AD419" s="44"/>
      <c r="AE419" s="15"/>
      <c r="AF419" s="44"/>
      <c r="AG419" s="15">
        <f>(Y419+AA419+AC419+AE419)</f>
        <v>0</v>
      </c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/>
      <c r="BA419" s="42"/>
      <c r="BB419" s="15">
        <f>AH419+AJ419+AL419+AN419+AP419+AR419+AT419+AV419+AX419+AZ419</f>
        <v>0</v>
      </c>
      <c r="BC419" s="15"/>
      <c r="BD419" s="44"/>
      <c r="BE419" s="15"/>
      <c r="BF419" s="44"/>
      <c r="BG419" s="15">
        <f>(BC419+BE419)</f>
        <v>0</v>
      </c>
    </row>
    <row r="420" spans="1:59" s="8" customFormat="1" ht="22.5" hidden="1" customHeight="1">
      <c r="A420" s="9"/>
      <c r="B420" s="16" t="s">
        <v>666</v>
      </c>
      <c r="C420" s="89" t="s">
        <v>151</v>
      </c>
      <c r="D420" s="109" t="s">
        <v>667</v>
      </c>
      <c r="E420" s="110" t="s">
        <v>668</v>
      </c>
      <c r="F420" s="111" t="s">
        <v>1843</v>
      </c>
      <c r="G420" s="111" t="s">
        <v>1844</v>
      </c>
      <c r="H420" s="95"/>
      <c r="I420" s="9"/>
      <c r="J420" s="9" t="s">
        <v>669</v>
      </c>
      <c r="K420" s="14"/>
      <c r="L420" s="14"/>
      <c r="M420" s="12"/>
      <c r="N420" s="9"/>
      <c r="O420" s="9"/>
      <c r="P420" s="9"/>
      <c r="Q420" s="38">
        <f>M420+X420-AG420-BB420</f>
        <v>0</v>
      </c>
      <c r="R420" s="12"/>
      <c r="S420" s="42"/>
      <c r="T420" s="15"/>
      <c r="U420" s="44"/>
      <c r="V420" s="15"/>
      <c r="W420" s="44"/>
      <c r="X420" s="15">
        <f>R420+T420+V420</f>
        <v>0</v>
      </c>
      <c r="Y420" s="15"/>
      <c r="Z420" s="44"/>
      <c r="AA420" s="15"/>
      <c r="AB420" s="44"/>
      <c r="AC420" s="15"/>
      <c r="AD420" s="44"/>
      <c r="AE420" s="15"/>
      <c r="AF420" s="44"/>
      <c r="AG420" s="15">
        <f>(Y420+AA420+AC420+AE420)</f>
        <v>0</v>
      </c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/>
      <c r="BA420" s="42"/>
      <c r="BB420" s="15">
        <f>AH420+AJ420+AL420+AN420+AP420+AR420+AT420+AV420+AX420+AZ420</f>
        <v>0</v>
      </c>
      <c r="BC420" s="15"/>
      <c r="BD420" s="44"/>
      <c r="BE420" s="15"/>
      <c r="BF420" s="44"/>
      <c r="BG420" s="15">
        <f>(BC420+BE420)</f>
        <v>0</v>
      </c>
    </row>
    <row r="421" spans="1:59" s="8" customFormat="1" ht="22.5" hidden="1" customHeight="1">
      <c r="A421" s="9"/>
      <c r="B421" s="16" t="s">
        <v>666</v>
      </c>
      <c r="C421" s="89" t="s">
        <v>151</v>
      </c>
      <c r="D421" s="109" t="s">
        <v>670</v>
      </c>
      <c r="E421" s="110" t="s">
        <v>671</v>
      </c>
      <c r="F421" s="111" t="s">
        <v>1845</v>
      </c>
      <c r="G421" s="111" t="s">
        <v>1846</v>
      </c>
      <c r="H421" s="95"/>
      <c r="I421" s="9"/>
      <c r="J421" s="9" t="s">
        <v>669</v>
      </c>
      <c r="K421" s="14"/>
      <c r="L421" s="14"/>
      <c r="M421" s="12"/>
      <c r="N421" s="9"/>
      <c r="O421" s="9"/>
      <c r="P421" s="9"/>
      <c r="Q421" s="38">
        <f>M421+X421-AG421-BB421</f>
        <v>0</v>
      </c>
      <c r="R421" s="12"/>
      <c r="S421" s="42"/>
      <c r="T421" s="15"/>
      <c r="U421" s="44"/>
      <c r="V421" s="15"/>
      <c r="W421" s="44"/>
      <c r="X421" s="15">
        <f>R421+T421+V421</f>
        <v>0</v>
      </c>
      <c r="Y421" s="15"/>
      <c r="Z421" s="44"/>
      <c r="AA421" s="15"/>
      <c r="AB421" s="44"/>
      <c r="AC421" s="15"/>
      <c r="AD421" s="44"/>
      <c r="AE421" s="15"/>
      <c r="AF421" s="44"/>
      <c r="AG421" s="15">
        <f>(Y421+AA421+AC421+AE421)</f>
        <v>0</v>
      </c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/>
      <c r="BA421" s="42"/>
      <c r="BB421" s="15">
        <f>AH421+AJ421+AL421+AN421+AP421+AR421+AT421+AV421+AX421+AZ421</f>
        <v>0</v>
      </c>
      <c r="BC421" s="15"/>
      <c r="BD421" s="44"/>
      <c r="BE421" s="15"/>
      <c r="BF421" s="44"/>
      <c r="BG421" s="15">
        <f>(BC421+BE421)</f>
        <v>0</v>
      </c>
    </row>
    <row r="422" spans="1:59" s="8" customFormat="1" ht="22.5" hidden="1" customHeight="1">
      <c r="A422" s="9"/>
      <c r="B422" s="16" t="s">
        <v>666</v>
      </c>
      <c r="C422" s="89" t="s">
        <v>151</v>
      </c>
      <c r="D422" s="109" t="s">
        <v>672</v>
      </c>
      <c r="E422" s="110" t="s">
        <v>673</v>
      </c>
      <c r="F422" s="111" t="s">
        <v>1847</v>
      </c>
      <c r="G422" s="111" t="s">
        <v>1848</v>
      </c>
      <c r="H422" s="95"/>
      <c r="I422" s="9"/>
      <c r="J422" s="9" t="s">
        <v>669</v>
      </c>
      <c r="K422" s="14"/>
      <c r="L422" s="14"/>
      <c r="M422" s="12"/>
      <c r="N422" s="9"/>
      <c r="O422" s="9"/>
      <c r="P422" s="9"/>
      <c r="Q422" s="38">
        <f>M422+X422-AG422-BB422</f>
        <v>0</v>
      </c>
      <c r="R422" s="12"/>
      <c r="S422" s="42"/>
      <c r="T422" s="15"/>
      <c r="U422" s="44"/>
      <c r="V422" s="15"/>
      <c r="W422" s="44"/>
      <c r="X422" s="15">
        <f>R422+T422+V422</f>
        <v>0</v>
      </c>
      <c r="Y422" s="15"/>
      <c r="Z422" s="44"/>
      <c r="AA422" s="15"/>
      <c r="AB422" s="44"/>
      <c r="AC422" s="15"/>
      <c r="AD422" s="44"/>
      <c r="AE422" s="15"/>
      <c r="AF422" s="44"/>
      <c r="AG422" s="15">
        <f>(Y422+AA422+AC422+AE422)</f>
        <v>0</v>
      </c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/>
      <c r="BA422" s="42"/>
      <c r="BB422" s="15">
        <f>AH422+AJ422+AL422+AN422+AP422+AR422+AT422+AV422+AX422+AZ422</f>
        <v>0</v>
      </c>
      <c r="BC422" s="15"/>
      <c r="BD422" s="44"/>
      <c r="BE422" s="15"/>
      <c r="BF422" s="44"/>
      <c r="BG422" s="15">
        <f>(BC422+BE422)</f>
        <v>0</v>
      </c>
    </row>
    <row r="423" spans="1:59" s="8" customFormat="1" ht="22.5" hidden="1" customHeight="1">
      <c r="A423" s="9"/>
      <c r="B423" s="16" t="s">
        <v>674</v>
      </c>
      <c r="C423" s="89" t="s">
        <v>44</v>
      </c>
      <c r="D423" s="109" t="s">
        <v>675</v>
      </c>
      <c r="E423" s="110" t="s">
        <v>676</v>
      </c>
      <c r="F423" s="111" t="s">
        <v>1849</v>
      </c>
      <c r="G423" s="111" t="s">
        <v>1850</v>
      </c>
      <c r="H423" s="95"/>
      <c r="I423" s="9"/>
      <c r="J423" s="9" t="s">
        <v>677</v>
      </c>
      <c r="K423" s="14"/>
      <c r="L423" s="14"/>
      <c r="M423" s="12"/>
      <c r="N423" s="9"/>
      <c r="O423" s="9"/>
      <c r="P423" s="9"/>
      <c r="Q423" s="38">
        <f>M423+X423-AG423-BB423</f>
        <v>0</v>
      </c>
      <c r="R423" s="12"/>
      <c r="S423" s="42"/>
      <c r="T423" s="15"/>
      <c r="U423" s="44"/>
      <c r="V423" s="15"/>
      <c r="W423" s="44"/>
      <c r="X423" s="15">
        <f>R423+T423+V423</f>
        <v>0</v>
      </c>
      <c r="Y423" s="15"/>
      <c r="Z423" s="44"/>
      <c r="AA423" s="15"/>
      <c r="AB423" s="44"/>
      <c r="AC423" s="15"/>
      <c r="AD423" s="44"/>
      <c r="AE423" s="15"/>
      <c r="AF423" s="44"/>
      <c r="AG423" s="15">
        <f>(Y423+AA423+AC423+AE423)</f>
        <v>0</v>
      </c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/>
      <c r="BA423" s="42"/>
      <c r="BB423" s="15">
        <f>AH423+AJ423+AL423+AN423+AP423+AR423+AT423+AV423+AX423+AZ423</f>
        <v>0</v>
      </c>
      <c r="BC423" s="15"/>
      <c r="BD423" s="44"/>
      <c r="BE423" s="15"/>
      <c r="BF423" s="44"/>
      <c r="BG423" s="15">
        <f>(BC423+BE423)</f>
        <v>0</v>
      </c>
    </row>
    <row r="424" spans="1:59" s="8" customFormat="1" ht="22.5" hidden="1" customHeight="1">
      <c r="A424" s="9"/>
      <c r="B424" s="16" t="s">
        <v>674</v>
      </c>
      <c r="C424" s="89" t="s">
        <v>44</v>
      </c>
      <c r="D424" s="109" t="s">
        <v>678</v>
      </c>
      <c r="E424" s="110" t="s">
        <v>679</v>
      </c>
      <c r="F424" s="111" t="s">
        <v>1851</v>
      </c>
      <c r="G424" s="111" t="s">
        <v>1852</v>
      </c>
      <c r="H424" s="95"/>
      <c r="I424" s="9"/>
      <c r="J424" s="9" t="s">
        <v>677</v>
      </c>
      <c r="K424" s="14"/>
      <c r="L424" s="14"/>
      <c r="M424" s="12"/>
      <c r="N424" s="9"/>
      <c r="O424" s="9"/>
      <c r="P424" s="9"/>
      <c r="Q424" s="38">
        <f>M424+X424-AG424-BB424</f>
        <v>0</v>
      </c>
      <c r="R424" s="12"/>
      <c r="S424" s="42"/>
      <c r="T424" s="15"/>
      <c r="U424" s="44"/>
      <c r="V424" s="15"/>
      <c r="W424" s="44"/>
      <c r="X424" s="15">
        <f>R424+T424+V424</f>
        <v>0</v>
      </c>
      <c r="Y424" s="15"/>
      <c r="Z424" s="44"/>
      <c r="AA424" s="15"/>
      <c r="AB424" s="44"/>
      <c r="AC424" s="15"/>
      <c r="AD424" s="44"/>
      <c r="AE424" s="15"/>
      <c r="AF424" s="44"/>
      <c r="AG424" s="15">
        <f>(Y424+AA424+AC424+AE424)</f>
        <v>0</v>
      </c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/>
      <c r="BA424" s="42"/>
      <c r="BB424" s="15">
        <f>AH424+AJ424+AL424+AN424+AP424+AR424+AT424+AV424+AX424+AZ424</f>
        <v>0</v>
      </c>
      <c r="BC424" s="15"/>
      <c r="BD424" s="44"/>
      <c r="BE424" s="15"/>
      <c r="BF424" s="44"/>
      <c r="BG424" s="15">
        <f>(BC424+BE424)</f>
        <v>0</v>
      </c>
    </row>
    <row r="425" spans="1:59" s="8" customFormat="1" ht="22.5" hidden="1" customHeight="1">
      <c r="A425" s="9"/>
      <c r="B425" s="16" t="s">
        <v>674</v>
      </c>
      <c r="C425" s="89" t="s">
        <v>48</v>
      </c>
      <c r="D425" s="109" t="s">
        <v>675</v>
      </c>
      <c r="E425" s="110" t="s">
        <v>680</v>
      </c>
      <c r="F425" s="111" t="s">
        <v>1853</v>
      </c>
      <c r="G425" s="111" t="s">
        <v>1854</v>
      </c>
      <c r="H425" s="95"/>
      <c r="I425" s="9"/>
      <c r="J425" s="9" t="s">
        <v>677</v>
      </c>
      <c r="K425" s="14"/>
      <c r="L425" s="14"/>
      <c r="M425" s="12"/>
      <c r="N425" s="9"/>
      <c r="O425" s="9"/>
      <c r="P425" s="9"/>
      <c r="Q425" s="38">
        <f>M425+X425-AG425-BB425</f>
        <v>0</v>
      </c>
      <c r="R425" s="12"/>
      <c r="S425" s="42"/>
      <c r="T425" s="15"/>
      <c r="U425" s="44"/>
      <c r="V425" s="15"/>
      <c r="W425" s="44"/>
      <c r="X425" s="15">
        <f>R425+T425+V425</f>
        <v>0</v>
      </c>
      <c r="Y425" s="15"/>
      <c r="Z425" s="44"/>
      <c r="AA425" s="15"/>
      <c r="AB425" s="44"/>
      <c r="AC425" s="15"/>
      <c r="AD425" s="44"/>
      <c r="AE425" s="15"/>
      <c r="AF425" s="44"/>
      <c r="AG425" s="15">
        <f>(Y425+AA425+AC425+AE425)</f>
        <v>0</v>
      </c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/>
      <c r="BA425" s="42"/>
      <c r="BB425" s="15">
        <f>AH425+AJ425+AL425+AN425+AP425+AR425+AT425+AV425+AX425+AZ425</f>
        <v>0</v>
      </c>
      <c r="BC425" s="15"/>
      <c r="BD425" s="44"/>
      <c r="BE425" s="15"/>
      <c r="BF425" s="44"/>
      <c r="BG425" s="15">
        <f>(BC425+BE425)</f>
        <v>0</v>
      </c>
    </row>
    <row r="426" spans="1:59" s="8" customFormat="1" ht="22.5" hidden="1" customHeight="1">
      <c r="A426" s="9"/>
      <c r="B426" s="16" t="s">
        <v>674</v>
      </c>
      <c r="C426" s="89" t="s">
        <v>48</v>
      </c>
      <c r="D426" s="109" t="s">
        <v>678</v>
      </c>
      <c r="E426" s="110" t="s">
        <v>681</v>
      </c>
      <c r="F426" s="111" t="s">
        <v>1855</v>
      </c>
      <c r="G426" s="111" t="s">
        <v>1856</v>
      </c>
      <c r="H426" s="95"/>
      <c r="I426" s="9"/>
      <c r="J426" s="9" t="s">
        <v>677</v>
      </c>
      <c r="K426" s="14"/>
      <c r="L426" s="14"/>
      <c r="M426" s="12"/>
      <c r="N426" s="9"/>
      <c r="O426" s="9"/>
      <c r="P426" s="9"/>
      <c r="Q426" s="38">
        <f>M426+X426-AG426-BB426</f>
        <v>0</v>
      </c>
      <c r="R426" s="12"/>
      <c r="S426" s="42"/>
      <c r="T426" s="15"/>
      <c r="U426" s="44"/>
      <c r="V426" s="15"/>
      <c r="W426" s="44"/>
      <c r="X426" s="15">
        <f>R426+T426+V426</f>
        <v>0</v>
      </c>
      <c r="Y426" s="15"/>
      <c r="Z426" s="44"/>
      <c r="AA426" s="15"/>
      <c r="AB426" s="44"/>
      <c r="AC426" s="15"/>
      <c r="AD426" s="44"/>
      <c r="AE426" s="15"/>
      <c r="AF426" s="44"/>
      <c r="AG426" s="15">
        <f>(Y426+AA426+AC426+AE426)</f>
        <v>0</v>
      </c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/>
      <c r="BA426" s="42"/>
      <c r="BB426" s="15">
        <f>AH426+AJ426+AL426+AN426+AP426+AR426+AT426+AV426+AX426+AZ426</f>
        <v>0</v>
      </c>
      <c r="BC426" s="15"/>
      <c r="BD426" s="44"/>
      <c r="BE426" s="15"/>
      <c r="BF426" s="44"/>
      <c r="BG426" s="15">
        <f>(BC426+BE426)</f>
        <v>0</v>
      </c>
    </row>
    <row r="427" spans="1:59" s="8" customFormat="1" ht="22.5" hidden="1" customHeight="1">
      <c r="A427" s="9"/>
      <c r="B427" s="16" t="s">
        <v>674</v>
      </c>
      <c r="C427" s="89" t="s">
        <v>50</v>
      </c>
      <c r="D427" s="109" t="s">
        <v>682</v>
      </c>
      <c r="E427" s="110" t="s">
        <v>683</v>
      </c>
      <c r="F427" s="111" t="s">
        <v>1857</v>
      </c>
      <c r="G427" s="111" t="s">
        <v>1858</v>
      </c>
      <c r="H427" s="95"/>
      <c r="I427" s="9"/>
      <c r="J427" s="9" t="s">
        <v>684</v>
      </c>
      <c r="K427" s="14"/>
      <c r="L427" s="14"/>
      <c r="M427" s="12"/>
      <c r="N427" s="9"/>
      <c r="O427" s="9"/>
      <c r="P427" s="9"/>
      <c r="Q427" s="38">
        <f>M427+X427-AG427-BB427</f>
        <v>0</v>
      </c>
      <c r="R427" s="12"/>
      <c r="S427" s="42"/>
      <c r="T427" s="15"/>
      <c r="U427" s="44"/>
      <c r="V427" s="15"/>
      <c r="W427" s="44"/>
      <c r="X427" s="15">
        <f>R427+T427+V427</f>
        <v>0</v>
      </c>
      <c r="Y427" s="15"/>
      <c r="Z427" s="44"/>
      <c r="AA427" s="15"/>
      <c r="AB427" s="44"/>
      <c r="AC427" s="15"/>
      <c r="AD427" s="44"/>
      <c r="AE427" s="15"/>
      <c r="AF427" s="44"/>
      <c r="AG427" s="15">
        <f>(Y427+AA427+AC427+AE427)</f>
        <v>0</v>
      </c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/>
      <c r="BA427" s="42"/>
      <c r="BB427" s="15">
        <f>AH427+AJ427+AL427+AN427+AP427+AR427+AT427+AV427+AX427+AZ427</f>
        <v>0</v>
      </c>
      <c r="BC427" s="15"/>
      <c r="BD427" s="44"/>
      <c r="BE427" s="15"/>
      <c r="BF427" s="44"/>
      <c r="BG427" s="15">
        <f>(BC427+BE427)</f>
        <v>0</v>
      </c>
    </row>
    <row r="428" spans="1:59" s="8" customFormat="1" ht="22.5" hidden="1" customHeight="1">
      <c r="A428" s="9"/>
      <c r="B428" s="16" t="s">
        <v>674</v>
      </c>
      <c r="C428" s="89" t="s">
        <v>50</v>
      </c>
      <c r="D428" s="109" t="s">
        <v>685</v>
      </c>
      <c r="E428" s="110" t="s">
        <v>686</v>
      </c>
      <c r="F428" s="111" t="s">
        <v>1859</v>
      </c>
      <c r="G428" s="111" t="s">
        <v>1860</v>
      </c>
      <c r="H428" s="95"/>
      <c r="I428" s="9"/>
      <c r="J428" s="9" t="s">
        <v>684</v>
      </c>
      <c r="K428" s="14"/>
      <c r="L428" s="14"/>
      <c r="M428" s="12"/>
      <c r="N428" s="9"/>
      <c r="O428" s="9"/>
      <c r="P428" s="9"/>
      <c r="Q428" s="38">
        <f>M428+X428-AG428-BB428</f>
        <v>0</v>
      </c>
      <c r="R428" s="12"/>
      <c r="S428" s="42"/>
      <c r="T428" s="15"/>
      <c r="U428" s="44"/>
      <c r="V428" s="15"/>
      <c r="W428" s="44"/>
      <c r="X428" s="15">
        <f>R428+T428+V428</f>
        <v>0</v>
      </c>
      <c r="Y428" s="15"/>
      <c r="Z428" s="44"/>
      <c r="AA428" s="15"/>
      <c r="AB428" s="44"/>
      <c r="AC428" s="15"/>
      <c r="AD428" s="44"/>
      <c r="AE428" s="15"/>
      <c r="AF428" s="44"/>
      <c r="AG428" s="15">
        <f>(Y428+AA428+AC428+AE428)</f>
        <v>0</v>
      </c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/>
      <c r="BA428" s="42"/>
      <c r="BB428" s="15">
        <f>AH428+AJ428+AL428+AN428+AP428+AR428+AT428+AV428+AX428+AZ428</f>
        <v>0</v>
      </c>
      <c r="BC428" s="15"/>
      <c r="BD428" s="44"/>
      <c r="BE428" s="15"/>
      <c r="BF428" s="44"/>
      <c r="BG428" s="15">
        <f>(BC428+BE428)</f>
        <v>0</v>
      </c>
    </row>
    <row r="429" spans="1:59" s="8" customFormat="1" ht="22.5" hidden="1" customHeight="1">
      <c r="A429" s="9"/>
      <c r="B429" s="16" t="s">
        <v>674</v>
      </c>
      <c r="C429" s="89" t="s">
        <v>494</v>
      </c>
      <c r="D429" s="109" t="s">
        <v>675</v>
      </c>
      <c r="E429" s="110"/>
      <c r="F429" s="111" t="s">
        <v>1861</v>
      </c>
      <c r="G429" s="111" t="s">
        <v>1862</v>
      </c>
      <c r="H429" s="95"/>
      <c r="I429" s="9"/>
      <c r="J429" s="9" t="s">
        <v>687</v>
      </c>
      <c r="K429" s="14"/>
      <c r="L429" s="14"/>
      <c r="M429" s="12"/>
      <c r="N429" s="9"/>
      <c r="O429" s="9"/>
      <c r="P429" s="9"/>
      <c r="Q429" s="38">
        <f>M429+X429-AG429-BB429</f>
        <v>0</v>
      </c>
      <c r="R429" s="12"/>
      <c r="S429" s="42"/>
      <c r="T429" s="15"/>
      <c r="U429" s="44"/>
      <c r="V429" s="15"/>
      <c r="W429" s="44"/>
      <c r="X429" s="15">
        <f>R429+T429+V429</f>
        <v>0</v>
      </c>
      <c r="Y429" s="15"/>
      <c r="Z429" s="44"/>
      <c r="AA429" s="15"/>
      <c r="AB429" s="44"/>
      <c r="AC429" s="15"/>
      <c r="AD429" s="44"/>
      <c r="AE429" s="15"/>
      <c r="AF429" s="44"/>
      <c r="AG429" s="15">
        <f>(Y429+AA429+AC429+AE429)</f>
        <v>0</v>
      </c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/>
      <c r="BA429" s="42"/>
      <c r="BB429" s="15">
        <f>AH429+AJ429+AL429+AN429+AP429+AR429+AT429+AV429+AX429+AZ429</f>
        <v>0</v>
      </c>
      <c r="BC429" s="15"/>
      <c r="BD429" s="44"/>
      <c r="BE429" s="15"/>
      <c r="BF429" s="44"/>
      <c r="BG429" s="15">
        <f>(BC429+BE429)</f>
        <v>0</v>
      </c>
    </row>
    <row r="430" spans="1:59" s="8" customFormat="1" ht="22.5" hidden="1" customHeight="1">
      <c r="A430" s="9"/>
      <c r="B430" s="16" t="s">
        <v>674</v>
      </c>
      <c r="C430" s="89" t="s">
        <v>151</v>
      </c>
      <c r="D430" s="109" t="s">
        <v>689</v>
      </c>
      <c r="E430" s="110"/>
      <c r="F430" s="111" t="s">
        <v>1863</v>
      </c>
      <c r="G430" s="111" t="s">
        <v>1864</v>
      </c>
      <c r="H430" s="95"/>
      <c r="I430" s="9"/>
      <c r="J430" s="9" t="s">
        <v>687</v>
      </c>
      <c r="K430" s="14"/>
      <c r="L430" s="14"/>
      <c r="M430" s="12"/>
      <c r="N430" s="9"/>
      <c r="O430" s="9"/>
      <c r="P430" s="9"/>
      <c r="Q430" s="38">
        <f>M430+X430-AG430-BB430</f>
        <v>0</v>
      </c>
      <c r="R430" s="12"/>
      <c r="S430" s="42"/>
      <c r="T430" s="15"/>
      <c r="U430" s="44"/>
      <c r="V430" s="15"/>
      <c r="W430" s="44"/>
      <c r="X430" s="15">
        <f>R430+T430+V430</f>
        <v>0</v>
      </c>
      <c r="Y430" s="15"/>
      <c r="Z430" s="44"/>
      <c r="AA430" s="15"/>
      <c r="AB430" s="44"/>
      <c r="AC430" s="15"/>
      <c r="AD430" s="44"/>
      <c r="AE430" s="15"/>
      <c r="AF430" s="44"/>
      <c r="AG430" s="15">
        <f>(Y430+AA430+AC430+AE430)</f>
        <v>0</v>
      </c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/>
      <c r="BA430" s="42"/>
      <c r="BB430" s="15">
        <f>AH430+AJ430+AL430+AN430+AP430+AR430+AT430+AV430+AX430+AZ430</f>
        <v>0</v>
      </c>
      <c r="BC430" s="15"/>
      <c r="BD430" s="44"/>
      <c r="BE430" s="15"/>
      <c r="BF430" s="44"/>
      <c r="BG430" s="15">
        <f>(BC430+BE430)</f>
        <v>0</v>
      </c>
    </row>
    <row r="431" spans="1:59" s="8" customFormat="1" ht="22.5" hidden="1" customHeight="1">
      <c r="A431" s="9"/>
      <c r="B431" s="16" t="s">
        <v>674</v>
      </c>
      <c r="C431" s="89" t="s">
        <v>151</v>
      </c>
      <c r="D431" s="109" t="s">
        <v>690</v>
      </c>
      <c r="E431" s="110" t="s">
        <v>691</v>
      </c>
      <c r="F431" s="111" t="s">
        <v>1865</v>
      </c>
      <c r="G431" s="111" t="s">
        <v>1866</v>
      </c>
      <c r="H431" s="95"/>
      <c r="I431" s="9"/>
      <c r="J431" s="9" t="s">
        <v>692</v>
      </c>
      <c r="K431" s="14"/>
      <c r="L431" s="14"/>
      <c r="M431" s="12"/>
      <c r="N431" s="9"/>
      <c r="O431" s="9"/>
      <c r="P431" s="9"/>
      <c r="Q431" s="38">
        <f>M431+X431-AG431-BB431</f>
        <v>0</v>
      </c>
      <c r="R431" s="12"/>
      <c r="S431" s="42"/>
      <c r="T431" s="15"/>
      <c r="U431" s="44"/>
      <c r="V431" s="15"/>
      <c r="W431" s="44"/>
      <c r="X431" s="15">
        <f>R431+T431+V431</f>
        <v>0</v>
      </c>
      <c r="Y431" s="15"/>
      <c r="Z431" s="44"/>
      <c r="AA431" s="15"/>
      <c r="AB431" s="44"/>
      <c r="AC431" s="15"/>
      <c r="AD431" s="44"/>
      <c r="AE431" s="15"/>
      <c r="AF431" s="44"/>
      <c r="AG431" s="15">
        <f>(Y431+AA431+AC431+AE431)</f>
        <v>0</v>
      </c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/>
      <c r="BA431" s="42"/>
      <c r="BB431" s="15">
        <f>AH431+AJ431+AL431+AN431+AP431+AR431+AT431+AV431+AX431+AZ431</f>
        <v>0</v>
      </c>
      <c r="BC431" s="15"/>
      <c r="BD431" s="44"/>
      <c r="BE431" s="15"/>
      <c r="BF431" s="44"/>
      <c r="BG431" s="15">
        <f>(BC431+BE431)</f>
        <v>0</v>
      </c>
    </row>
    <row r="432" spans="1:59" s="8" customFormat="1" ht="22.5" hidden="1" customHeight="1">
      <c r="A432" s="9"/>
      <c r="B432" s="16" t="s">
        <v>674</v>
      </c>
      <c r="C432" s="89" t="s">
        <v>151</v>
      </c>
      <c r="D432" s="109" t="s">
        <v>693</v>
      </c>
      <c r="E432" s="110" t="s">
        <v>694</v>
      </c>
      <c r="F432" s="111" t="s">
        <v>1867</v>
      </c>
      <c r="G432" s="111" t="s">
        <v>1868</v>
      </c>
      <c r="H432" s="95"/>
      <c r="I432" s="9"/>
      <c r="J432" s="9" t="s">
        <v>692</v>
      </c>
      <c r="K432" s="14"/>
      <c r="L432" s="14"/>
      <c r="M432" s="12"/>
      <c r="N432" s="9"/>
      <c r="O432" s="9"/>
      <c r="P432" s="9"/>
      <c r="Q432" s="38">
        <f>M432+X432-AG432-BB432</f>
        <v>0</v>
      </c>
      <c r="R432" s="12"/>
      <c r="S432" s="42"/>
      <c r="T432" s="15"/>
      <c r="U432" s="44"/>
      <c r="V432" s="15"/>
      <c r="W432" s="44"/>
      <c r="X432" s="15">
        <f>R432+T432+V432</f>
        <v>0</v>
      </c>
      <c r="Y432" s="15"/>
      <c r="Z432" s="44"/>
      <c r="AA432" s="15"/>
      <c r="AB432" s="44"/>
      <c r="AC432" s="15"/>
      <c r="AD432" s="44"/>
      <c r="AE432" s="15"/>
      <c r="AF432" s="44"/>
      <c r="AG432" s="15">
        <f>(Y432+AA432+AC432+AE432)</f>
        <v>0</v>
      </c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/>
      <c r="BA432" s="42"/>
      <c r="BB432" s="15">
        <f>AH432+AJ432+AL432+AN432+AP432+AR432+AT432+AV432+AX432+AZ432</f>
        <v>0</v>
      </c>
      <c r="BC432" s="15"/>
      <c r="BD432" s="44"/>
      <c r="BE432" s="15"/>
      <c r="BF432" s="44"/>
      <c r="BG432" s="15">
        <f>(BC432+BE432)</f>
        <v>0</v>
      </c>
    </row>
    <row r="433" spans="1:59" s="8" customFormat="1" ht="22.5" hidden="1" customHeight="1">
      <c r="A433" s="9"/>
      <c r="B433" s="16" t="s">
        <v>674</v>
      </c>
      <c r="C433" s="89" t="s">
        <v>151</v>
      </c>
      <c r="D433" s="109" t="s">
        <v>695</v>
      </c>
      <c r="E433" s="110" t="s">
        <v>696</v>
      </c>
      <c r="F433" s="111" t="s">
        <v>1869</v>
      </c>
      <c r="G433" s="111" t="s">
        <v>1870</v>
      </c>
      <c r="H433" s="95"/>
      <c r="I433" s="9"/>
      <c r="J433" s="9" t="s">
        <v>692</v>
      </c>
      <c r="K433" s="14"/>
      <c r="L433" s="14"/>
      <c r="M433" s="12"/>
      <c r="N433" s="9"/>
      <c r="O433" s="9"/>
      <c r="P433" s="9"/>
      <c r="Q433" s="38">
        <f>M433+X433-AG433-BB433</f>
        <v>0</v>
      </c>
      <c r="R433" s="12"/>
      <c r="S433" s="42"/>
      <c r="T433" s="15"/>
      <c r="U433" s="44"/>
      <c r="V433" s="15"/>
      <c r="W433" s="44"/>
      <c r="X433" s="15">
        <f>R433+T433+V433</f>
        <v>0</v>
      </c>
      <c r="Y433" s="15"/>
      <c r="Z433" s="44"/>
      <c r="AA433" s="15"/>
      <c r="AB433" s="44"/>
      <c r="AC433" s="15"/>
      <c r="AD433" s="44"/>
      <c r="AE433" s="15"/>
      <c r="AF433" s="44"/>
      <c r="AG433" s="15">
        <f>(Y433+AA433+AC433+AE433)</f>
        <v>0</v>
      </c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/>
      <c r="BA433" s="42"/>
      <c r="BB433" s="15">
        <f>AH433+AJ433+AL433+AN433+AP433+AR433+AT433+AV433+AX433+AZ433</f>
        <v>0</v>
      </c>
      <c r="BC433" s="15"/>
      <c r="BD433" s="44"/>
      <c r="BE433" s="15"/>
      <c r="BF433" s="44"/>
      <c r="BG433" s="15">
        <f>(BC433+BE433)</f>
        <v>0</v>
      </c>
    </row>
    <row r="434" spans="1:59" s="8" customFormat="1" ht="22.5" hidden="1" customHeight="1">
      <c r="A434" s="9"/>
      <c r="B434" s="16" t="s">
        <v>674</v>
      </c>
      <c r="C434" s="89" t="s">
        <v>151</v>
      </c>
      <c r="D434" s="109" t="s">
        <v>697</v>
      </c>
      <c r="E434" s="110" t="s">
        <v>698</v>
      </c>
      <c r="F434" s="111" t="s">
        <v>1871</v>
      </c>
      <c r="G434" s="111" t="s">
        <v>1872</v>
      </c>
      <c r="H434" s="95"/>
      <c r="I434" s="9"/>
      <c r="J434" s="9" t="s">
        <v>692</v>
      </c>
      <c r="K434" s="14"/>
      <c r="L434" s="14"/>
      <c r="M434" s="12"/>
      <c r="N434" s="9"/>
      <c r="O434" s="9"/>
      <c r="P434" s="9"/>
      <c r="Q434" s="38">
        <f>M434+X434-AG434-BB434</f>
        <v>0</v>
      </c>
      <c r="R434" s="12"/>
      <c r="S434" s="42"/>
      <c r="T434" s="15"/>
      <c r="U434" s="44"/>
      <c r="V434" s="15"/>
      <c r="W434" s="44"/>
      <c r="X434" s="15">
        <f>R434+T434+V434</f>
        <v>0</v>
      </c>
      <c r="Y434" s="15"/>
      <c r="Z434" s="44"/>
      <c r="AA434" s="15"/>
      <c r="AB434" s="44"/>
      <c r="AC434" s="15"/>
      <c r="AD434" s="44"/>
      <c r="AE434" s="15"/>
      <c r="AF434" s="44"/>
      <c r="AG434" s="15">
        <f>(Y434+AA434+AC434+AE434)</f>
        <v>0</v>
      </c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/>
      <c r="BA434" s="42"/>
      <c r="BB434" s="15">
        <f>AH434+AJ434+AL434+AN434+AP434+AR434+AT434+AV434+AX434+AZ434</f>
        <v>0</v>
      </c>
      <c r="BC434" s="15"/>
      <c r="BD434" s="44"/>
      <c r="BE434" s="15"/>
      <c r="BF434" s="44"/>
      <c r="BG434" s="15">
        <f>(BC434+BE434)</f>
        <v>0</v>
      </c>
    </row>
    <row r="435" spans="1:59" s="8" customFormat="1" ht="22.5" hidden="1" customHeight="1">
      <c r="A435" s="9"/>
      <c r="B435" s="16" t="s">
        <v>674</v>
      </c>
      <c r="C435" s="89" t="s">
        <v>151</v>
      </c>
      <c r="D435" s="109" t="s">
        <v>699</v>
      </c>
      <c r="E435" s="110"/>
      <c r="F435" s="111" t="s">
        <v>1873</v>
      </c>
      <c r="G435" s="111" t="s">
        <v>1874</v>
      </c>
      <c r="H435" s="95"/>
      <c r="I435" s="9"/>
      <c r="J435" s="9" t="s">
        <v>687</v>
      </c>
      <c r="K435" s="14"/>
      <c r="L435" s="14"/>
      <c r="M435" s="12"/>
      <c r="N435" s="9"/>
      <c r="O435" s="9"/>
      <c r="P435" s="9"/>
      <c r="Q435" s="38">
        <f>M435+X435-AG435-BB435</f>
        <v>0</v>
      </c>
      <c r="R435" s="12"/>
      <c r="S435" s="42"/>
      <c r="T435" s="15"/>
      <c r="U435" s="44"/>
      <c r="V435" s="15"/>
      <c r="W435" s="44"/>
      <c r="X435" s="15">
        <f>R435+T435+V435</f>
        <v>0</v>
      </c>
      <c r="Y435" s="15"/>
      <c r="Z435" s="44"/>
      <c r="AA435" s="15"/>
      <c r="AB435" s="44"/>
      <c r="AC435" s="15"/>
      <c r="AD435" s="44"/>
      <c r="AE435" s="15"/>
      <c r="AF435" s="44"/>
      <c r="AG435" s="15">
        <f>(Y435+AA435+AC435+AE435)</f>
        <v>0</v>
      </c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/>
      <c r="BA435" s="42"/>
      <c r="BB435" s="15">
        <f>AH435+AJ435+AL435+AN435+AP435+AR435+AT435+AV435+AX435+AZ435</f>
        <v>0</v>
      </c>
      <c r="BC435" s="15"/>
      <c r="BD435" s="44"/>
      <c r="BE435" s="15"/>
      <c r="BF435" s="44"/>
      <c r="BG435" s="15">
        <f>(BC435+BE435)</f>
        <v>0</v>
      </c>
    </row>
    <row r="436" spans="1:59" s="8" customFormat="1" ht="22.5" hidden="1" customHeight="1">
      <c r="A436" s="9"/>
      <c r="B436" s="16" t="s">
        <v>674</v>
      </c>
      <c r="C436" s="89" t="s">
        <v>151</v>
      </c>
      <c r="D436" s="109" t="s">
        <v>700</v>
      </c>
      <c r="E436" s="110"/>
      <c r="F436" s="111" t="s">
        <v>1875</v>
      </c>
      <c r="G436" s="111" t="s">
        <v>1876</v>
      </c>
      <c r="H436" s="95"/>
      <c r="I436" s="9"/>
      <c r="J436" s="9" t="s">
        <v>687</v>
      </c>
      <c r="K436" s="14"/>
      <c r="L436" s="14"/>
      <c r="M436" s="12"/>
      <c r="N436" s="9"/>
      <c r="O436" s="9"/>
      <c r="P436" s="9"/>
      <c r="Q436" s="38">
        <f>M436+X436-AG436-BB436</f>
        <v>0</v>
      </c>
      <c r="R436" s="12"/>
      <c r="S436" s="42"/>
      <c r="T436" s="15"/>
      <c r="U436" s="44"/>
      <c r="V436" s="15"/>
      <c r="W436" s="44"/>
      <c r="X436" s="15">
        <f>R436+T436+V436</f>
        <v>0</v>
      </c>
      <c r="Y436" s="15"/>
      <c r="Z436" s="44"/>
      <c r="AA436" s="15"/>
      <c r="AB436" s="44"/>
      <c r="AC436" s="15"/>
      <c r="AD436" s="44"/>
      <c r="AE436" s="15"/>
      <c r="AF436" s="44"/>
      <c r="AG436" s="15">
        <f>(Y436+AA436+AC436+AE436)</f>
        <v>0</v>
      </c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/>
      <c r="BA436" s="42"/>
      <c r="BB436" s="15">
        <f>AH436+AJ436+AL436+AN436+AP436+AR436+AT436+AV436+AX436+AZ436</f>
        <v>0</v>
      </c>
      <c r="BC436" s="15"/>
      <c r="BD436" s="44"/>
      <c r="BE436" s="15"/>
      <c r="BF436" s="44"/>
      <c r="BG436" s="15">
        <f>(BC436+BE436)</f>
        <v>0</v>
      </c>
    </row>
    <row r="437" spans="1:59" s="8" customFormat="1" ht="22.5" hidden="1" customHeight="1">
      <c r="A437" s="9"/>
      <c r="B437" s="16" t="s">
        <v>674</v>
      </c>
      <c r="C437" s="89" t="s">
        <v>151</v>
      </c>
      <c r="D437" s="109" t="s">
        <v>702</v>
      </c>
      <c r="E437" s="110" t="s">
        <v>703</v>
      </c>
      <c r="F437" s="111" t="s">
        <v>1877</v>
      </c>
      <c r="G437" s="111" t="s">
        <v>1878</v>
      </c>
      <c r="H437" s="95"/>
      <c r="I437" s="9"/>
      <c r="J437" s="9" t="s">
        <v>684</v>
      </c>
      <c r="K437" s="14"/>
      <c r="L437" s="14"/>
      <c r="M437" s="12"/>
      <c r="N437" s="9"/>
      <c r="O437" s="9"/>
      <c r="P437" s="9"/>
      <c r="Q437" s="38">
        <f>M437+X437-AG437-BB437</f>
        <v>0</v>
      </c>
      <c r="R437" s="12"/>
      <c r="S437" s="42"/>
      <c r="T437" s="15"/>
      <c r="U437" s="44"/>
      <c r="V437" s="15"/>
      <c r="W437" s="44"/>
      <c r="X437" s="15">
        <f>R437+T437+V437</f>
        <v>0</v>
      </c>
      <c r="Y437" s="15"/>
      <c r="Z437" s="44"/>
      <c r="AA437" s="15"/>
      <c r="AB437" s="44"/>
      <c r="AC437" s="15"/>
      <c r="AD437" s="44"/>
      <c r="AE437" s="15"/>
      <c r="AF437" s="44"/>
      <c r="AG437" s="15">
        <f>(Y437+AA437+AC437+AE437)</f>
        <v>0</v>
      </c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/>
      <c r="BA437" s="42"/>
      <c r="BB437" s="15">
        <f>AH437+AJ437+AL437+AN437+AP437+AR437+AT437+AV437+AX437+AZ437</f>
        <v>0</v>
      </c>
      <c r="BC437" s="15"/>
      <c r="BD437" s="44"/>
      <c r="BE437" s="15"/>
      <c r="BF437" s="44"/>
      <c r="BG437" s="15">
        <f>(BC437+BE437)</f>
        <v>0</v>
      </c>
    </row>
    <row r="438" spans="1:59" s="8" customFormat="1" ht="22.5" hidden="1" customHeight="1">
      <c r="A438" s="9"/>
      <c r="B438" s="16" t="s">
        <v>704</v>
      </c>
      <c r="C438" s="89" t="s">
        <v>52</v>
      </c>
      <c r="D438" s="109" t="s">
        <v>705</v>
      </c>
      <c r="E438" s="110" t="s">
        <v>706</v>
      </c>
      <c r="F438" s="111" t="s">
        <v>1879</v>
      </c>
      <c r="G438" s="111" t="s">
        <v>1880</v>
      </c>
      <c r="H438" s="95"/>
      <c r="I438" s="9"/>
      <c r="J438" s="9" t="s">
        <v>247</v>
      </c>
      <c r="K438" s="14"/>
      <c r="L438" s="14"/>
      <c r="M438" s="12"/>
      <c r="N438" s="9"/>
      <c r="O438" s="9"/>
      <c r="P438" s="9"/>
      <c r="Q438" s="38">
        <f>M438+X438-AG438-BB438</f>
        <v>0</v>
      </c>
      <c r="R438" s="12"/>
      <c r="S438" s="42"/>
      <c r="T438" s="15"/>
      <c r="U438" s="44"/>
      <c r="V438" s="15"/>
      <c r="W438" s="44"/>
      <c r="X438" s="15">
        <f>R438+T438+V438</f>
        <v>0</v>
      </c>
      <c r="Y438" s="15"/>
      <c r="Z438" s="44"/>
      <c r="AA438" s="15"/>
      <c r="AB438" s="44"/>
      <c r="AC438" s="15"/>
      <c r="AD438" s="44"/>
      <c r="AE438" s="15"/>
      <c r="AF438" s="44"/>
      <c r="AG438" s="15">
        <f>(Y438+AA438+AC438+AE438)</f>
        <v>0</v>
      </c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/>
      <c r="BA438" s="42"/>
      <c r="BB438" s="15">
        <f>AH438+AJ438+AL438+AN438+AP438+AR438+AT438+AV438+AX438+AZ438</f>
        <v>0</v>
      </c>
      <c r="BC438" s="15"/>
      <c r="BD438" s="44"/>
      <c r="BE438" s="15"/>
      <c r="BF438" s="44"/>
      <c r="BG438" s="15">
        <f>(BC438+BE438)</f>
        <v>0</v>
      </c>
    </row>
    <row r="439" spans="1:59" s="8" customFormat="1" ht="22.5" hidden="1" customHeight="1">
      <c r="A439" s="9"/>
      <c r="B439" s="16" t="s">
        <v>704</v>
      </c>
      <c r="C439" s="89" t="s">
        <v>52</v>
      </c>
      <c r="D439" s="109" t="s">
        <v>707</v>
      </c>
      <c r="E439" s="110" t="s">
        <v>708</v>
      </c>
      <c r="F439" s="111" t="s">
        <v>1881</v>
      </c>
      <c r="G439" s="111" t="s">
        <v>1882</v>
      </c>
      <c r="H439" s="95"/>
      <c r="I439" s="9"/>
      <c r="J439" s="9" t="s">
        <v>247</v>
      </c>
      <c r="K439" s="14"/>
      <c r="L439" s="14"/>
      <c r="M439" s="12"/>
      <c r="N439" s="9"/>
      <c r="O439" s="9"/>
      <c r="P439" s="9"/>
      <c r="Q439" s="38">
        <f>M439+X439-AG439-BB439</f>
        <v>0</v>
      </c>
      <c r="R439" s="12"/>
      <c r="S439" s="42"/>
      <c r="T439" s="15"/>
      <c r="U439" s="44"/>
      <c r="V439" s="15"/>
      <c r="W439" s="44"/>
      <c r="X439" s="15">
        <f>R439+T439+V439</f>
        <v>0</v>
      </c>
      <c r="Y439" s="15"/>
      <c r="Z439" s="44"/>
      <c r="AA439" s="15"/>
      <c r="AB439" s="44"/>
      <c r="AC439" s="15"/>
      <c r="AD439" s="44"/>
      <c r="AE439" s="15"/>
      <c r="AF439" s="44"/>
      <c r="AG439" s="15">
        <f>(Y439+AA439+AC439+AE439)</f>
        <v>0</v>
      </c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/>
      <c r="BA439" s="42"/>
      <c r="BB439" s="15">
        <f>AH439+AJ439+AL439+AN439+AP439+AR439+AT439+AV439+AX439+AZ439</f>
        <v>0</v>
      </c>
      <c r="BC439" s="15"/>
      <c r="BD439" s="44"/>
      <c r="BE439" s="15"/>
      <c r="BF439" s="44"/>
      <c r="BG439" s="15">
        <f>(BC439+BE439)</f>
        <v>0</v>
      </c>
    </row>
    <row r="440" spans="1:59" s="8" customFormat="1" ht="22.5" hidden="1" customHeight="1">
      <c r="A440" s="9"/>
      <c r="B440" s="16" t="s">
        <v>704</v>
      </c>
      <c r="C440" s="89" t="s">
        <v>52</v>
      </c>
      <c r="D440" s="109" t="s">
        <v>709</v>
      </c>
      <c r="E440" s="110" t="s">
        <v>710</v>
      </c>
      <c r="F440" s="111" t="s">
        <v>1883</v>
      </c>
      <c r="G440" s="111" t="s">
        <v>1884</v>
      </c>
      <c r="H440" s="95"/>
      <c r="I440" s="9"/>
      <c r="J440" s="9" t="s">
        <v>247</v>
      </c>
      <c r="K440" s="14"/>
      <c r="L440" s="14"/>
      <c r="M440" s="12"/>
      <c r="N440" s="9"/>
      <c r="O440" s="9"/>
      <c r="P440" s="9"/>
      <c r="Q440" s="38">
        <f>M440+X440-AG440-BB440</f>
        <v>0</v>
      </c>
      <c r="R440" s="12"/>
      <c r="S440" s="42"/>
      <c r="T440" s="15"/>
      <c r="U440" s="44"/>
      <c r="V440" s="15"/>
      <c r="W440" s="44"/>
      <c r="X440" s="15">
        <f>R440+T440+V440</f>
        <v>0</v>
      </c>
      <c r="Y440" s="15"/>
      <c r="Z440" s="44"/>
      <c r="AA440" s="15"/>
      <c r="AB440" s="44"/>
      <c r="AC440" s="15"/>
      <c r="AD440" s="44"/>
      <c r="AE440" s="15"/>
      <c r="AF440" s="44"/>
      <c r="AG440" s="15">
        <f>(Y440+AA440+AC440+AE440)</f>
        <v>0</v>
      </c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/>
      <c r="BA440" s="42"/>
      <c r="BB440" s="15">
        <f>AH440+AJ440+AL440+AN440+AP440+AR440+AT440+AV440+AX440+AZ440</f>
        <v>0</v>
      </c>
      <c r="BC440" s="15"/>
      <c r="BD440" s="44"/>
      <c r="BE440" s="15"/>
      <c r="BF440" s="44"/>
      <c r="BG440" s="15">
        <f>(BC440+BE440)</f>
        <v>0</v>
      </c>
    </row>
    <row r="441" spans="1:59" s="8" customFormat="1" ht="22.5" hidden="1" customHeight="1">
      <c r="A441" s="9"/>
      <c r="B441" s="16" t="s">
        <v>704</v>
      </c>
      <c r="C441" s="89" t="s">
        <v>151</v>
      </c>
      <c r="D441" s="109" t="s">
        <v>711</v>
      </c>
      <c r="E441" s="110" t="s">
        <v>712</v>
      </c>
      <c r="F441" s="111" t="s">
        <v>1885</v>
      </c>
      <c r="G441" s="111" t="s">
        <v>1886</v>
      </c>
      <c r="H441" s="95"/>
      <c r="I441" s="9"/>
      <c r="J441" s="9" t="s">
        <v>247</v>
      </c>
      <c r="K441" s="14"/>
      <c r="L441" s="14"/>
      <c r="M441" s="12"/>
      <c r="N441" s="9"/>
      <c r="O441" s="9"/>
      <c r="P441" s="9"/>
      <c r="Q441" s="38">
        <f>M441+X441-AG441-BB441</f>
        <v>0</v>
      </c>
      <c r="R441" s="12"/>
      <c r="S441" s="42"/>
      <c r="T441" s="15"/>
      <c r="U441" s="44"/>
      <c r="V441" s="15"/>
      <c r="W441" s="44"/>
      <c r="X441" s="15">
        <f>R441+T441+V441</f>
        <v>0</v>
      </c>
      <c r="Y441" s="15"/>
      <c r="Z441" s="44"/>
      <c r="AA441" s="15"/>
      <c r="AB441" s="44"/>
      <c r="AC441" s="15"/>
      <c r="AD441" s="44"/>
      <c r="AE441" s="15"/>
      <c r="AF441" s="44"/>
      <c r="AG441" s="15">
        <f>(Y441+AA441+AC441+AE441)</f>
        <v>0</v>
      </c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/>
      <c r="BA441" s="42"/>
      <c r="BB441" s="15">
        <f>AH441+AJ441+AL441+AN441+AP441+AR441+AT441+AV441+AX441+AZ441</f>
        <v>0</v>
      </c>
      <c r="BC441" s="15"/>
      <c r="BD441" s="44"/>
      <c r="BE441" s="15"/>
      <c r="BF441" s="44"/>
      <c r="BG441" s="15">
        <f>(BC441+BE441)</f>
        <v>0</v>
      </c>
    </row>
    <row r="442" spans="1:59" s="8" customFormat="1" ht="22.5" hidden="1" customHeight="1">
      <c r="A442" s="9"/>
      <c r="B442" s="16" t="s">
        <v>713</v>
      </c>
      <c r="C442" s="89" t="s">
        <v>50</v>
      </c>
      <c r="D442" s="109" t="s">
        <v>714</v>
      </c>
      <c r="E442" s="110"/>
      <c r="F442" s="133" t="s">
        <v>1887</v>
      </c>
      <c r="G442" s="133" t="s">
        <v>1888</v>
      </c>
      <c r="H442" s="95"/>
      <c r="I442" s="9"/>
      <c r="J442" s="9" t="s">
        <v>669</v>
      </c>
      <c r="K442" s="14"/>
      <c r="L442" s="14"/>
      <c r="M442" s="12"/>
      <c r="N442" s="9"/>
      <c r="O442" s="9"/>
      <c r="P442" s="9"/>
      <c r="Q442" s="38">
        <f>M442+X442-AG442-BB442</f>
        <v>0</v>
      </c>
      <c r="R442" s="12"/>
      <c r="S442" s="42"/>
      <c r="T442" s="15"/>
      <c r="U442" s="44"/>
      <c r="V442" s="15"/>
      <c r="W442" s="44"/>
      <c r="X442" s="15">
        <f>R442+T442+V442</f>
        <v>0</v>
      </c>
      <c r="Y442" s="15"/>
      <c r="Z442" s="44"/>
      <c r="AA442" s="15"/>
      <c r="AB442" s="44"/>
      <c r="AC442" s="15"/>
      <c r="AD442" s="44"/>
      <c r="AE442" s="15"/>
      <c r="AF442" s="44"/>
      <c r="AG442" s="15">
        <f>(Y442+AA442+AC442+AE442)</f>
        <v>0</v>
      </c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/>
      <c r="BA442" s="42"/>
      <c r="BB442" s="15">
        <f>AH442+AJ442+AL442+AN442+AP442+AR442+AT442+AV442+AX442+AZ442</f>
        <v>0</v>
      </c>
      <c r="BC442" s="15"/>
      <c r="BD442" s="44"/>
      <c r="BE442" s="15"/>
      <c r="BF442" s="44"/>
      <c r="BG442" s="15">
        <f>(BC442+BE442)</f>
        <v>0</v>
      </c>
    </row>
    <row r="443" spans="1:59" s="8" customFormat="1" ht="22.5" hidden="1" customHeight="1">
      <c r="A443" s="9"/>
      <c r="B443" s="16" t="s">
        <v>715</v>
      </c>
      <c r="C443" s="89" t="s">
        <v>151</v>
      </c>
      <c r="D443" s="109" t="s">
        <v>724</v>
      </c>
      <c r="E443" s="110" t="s">
        <v>725</v>
      </c>
      <c r="F443" s="111" t="s">
        <v>1889</v>
      </c>
      <c r="G443" s="111" t="s">
        <v>1890</v>
      </c>
      <c r="H443" s="95"/>
      <c r="I443" s="9"/>
      <c r="J443" s="9" t="s">
        <v>722</v>
      </c>
      <c r="K443" s="14"/>
      <c r="L443" s="14"/>
      <c r="M443" s="12"/>
      <c r="N443" s="9"/>
      <c r="O443" s="9"/>
      <c r="P443" s="9"/>
      <c r="Q443" s="38">
        <f>M443+X443-AG443-BB443</f>
        <v>0</v>
      </c>
      <c r="R443" s="12"/>
      <c r="S443" s="42"/>
      <c r="T443" s="15"/>
      <c r="U443" s="44"/>
      <c r="V443" s="15"/>
      <c r="W443" s="44"/>
      <c r="X443" s="15">
        <f>R443+T443+V443</f>
        <v>0</v>
      </c>
      <c r="Y443" s="15"/>
      <c r="Z443" s="44"/>
      <c r="AA443" s="15"/>
      <c r="AB443" s="44"/>
      <c r="AC443" s="15"/>
      <c r="AD443" s="44"/>
      <c r="AE443" s="15"/>
      <c r="AF443" s="44"/>
      <c r="AG443" s="15">
        <f>(Y443+AA443+AC443+AE443)</f>
        <v>0</v>
      </c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/>
      <c r="BA443" s="42"/>
      <c r="BB443" s="15">
        <f>AH443+AJ443+AL443+AN443+AP443+AR443+AT443+AV443+AX443+AZ443</f>
        <v>0</v>
      </c>
      <c r="BC443" s="15"/>
      <c r="BD443" s="44"/>
      <c r="BE443" s="15"/>
      <c r="BF443" s="44"/>
      <c r="BG443" s="15">
        <f>(BC443+BE443)</f>
        <v>0</v>
      </c>
    </row>
    <row r="444" spans="1:59" s="8" customFormat="1" ht="22.5" hidden="1" customHeight="1">
      <c r="A444" s="9"/>
      <c r="B444" s="16" t="s">
        <v>728</v>
      </c>
      <c r="C444" s="89" t="s">
        <v>151</v>
      </c>
      <c r="D444" s="109" t="s">
        <v>729</v>
      </c>
      <c r="E444" s="110" t="s">
        <v>730</v>
      </c>
      <c r="F444" s="111" t="s">
        <v>1891</v>
      </c>
      <c r="G444" s="111" t="s">
        <v>1892</v>
      </c>
      <c r="H444" s="95"/>
      <c r="I444" s="9"/>
      <c r="J444" s="9" t="s">
        <v>731</v>
      </c>
      <c r="K444" s="14"/>
      <c r="L444" s="14"/>
      <c r="M444" s="12">
        <v>100</v>
      </c>
      <c r="N444" s="9"/>
      <c r="O444" s="9"/>
      <c r="P444" s="9"/>
      <c r="Q444" s="38">
        <f>M444+X444-AG444-BB444</f>
        <v>100</v>
      </c>
      <c r="R444" s="12"/>
      <c r="S444" s="42"/>
      <c r="T444" s="15"/>
      <c r="U444" s="44"/>
      <c r="V444" s="15"/>
      <c r="W444" s="44"/>
      <c r="X444" s="15">
        <f>R444+T444+V444</f>
        <v>0</v>
      </c>
      <c r="Y444" s="15"/>
      <c r="Z444" s="44"/>
      <c r="AA444" s="15"/>
      <c r="AB444" s="44"/>
      <c r="AC444" s="15"/>
      <c r="AD444" s="44"/>
      <c r="AE444" s="15"/>
      <c r="AF444" s="44"/>
      <c r="AG444" s="15">
        <f>(Y444+AA444+AC444+AE444)</f>
        <v>0</v>
      </c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/>
      <c r="BA444" s="42"/>
      <c r="BB444" s="15">
        <f>AH444+AJ444+AL444+AN444+AP444+AR444+AT444+AV444+AX444+AZ444</f>
        <v>0</v>
      </c>
      <c r="BC444" s="15"/>
      <c r="BD444" s="44"/>
      <c r="BE444" s="15"/>
      <c r="BF444" s="44"/>
      <c r="BG444" s="15">
        <f>(BC444+BE444)</f>
        <v>0</v>
      </c>
    </row>
    <row r="445" spans="1:59" s="8" customFormat="1" ht="22.5" hidden="1" customHeight="1">
      <c r="A445" s="9"/>
      <c r="B445" s="16" t="s">
        <v>728</v>
      </c>
      <c r="C445" s="89" t="s">
        <v>151</v>
      </c>
      <c r="D445" s="109" t="s">
        <v>729</v>
      </c>
      <c r="E445" s="110" t="s">
        <v>732</v>
      </c>
      <c r="F445" s="111" t="s">
        <v>1893</v>
      </c>
      <c r="G445" s="111" t="s">
        <v>1894</v>
      </c>
      <c r="H445" s="95"/>
      <c r="I445" s="9"/>
      <c r="J445" s="9" t="s">
        <v>733</v>
      </c>
      <c r="K445" s="14"/>
      <c r="L445" s="14"/>
      <c r="M445" s="12"/>
      <c r="N445" s="9"/>
      <c r="O445" s="9"/>
      <c r="P445" s="9"/>
      <c r="Q445" s="38">
        <f>M445+X445-AG445-BB445</f>
        <v>0</v>
      </c>
      <c r="R445" s="12"/>
      <c r="S445" s="42"/>
      <c r="T445" s="15"/>
      <c r="U445" s="44"/>
      <c r="V445" s="15"/>
      <c r="W445" s="44"/>
      <c r="X445" s="15">
        <f>R445+T445+V445</f>
        <v>0</v>
      </c>
      <c r="Y445" s="15"/>
      <c r="Z445" s="44"/>
      <c r="AA445" s="15"/>
      <c r="AB445" s="44"/>
      <c r="AC445" s="15"/>
      <c r="AD445" s="44"/>
      <c r="AE445" s="15"/>
      <c r="AF445" s="44"/>
      <c r="AG445" s="15">
        <f>(Y445+AA445+AC445+AE445)</f>
        <v>0</v>
      </c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/>
      <c r="BA445" s="42"/>
      <c r="BB445" s="15">
        <f>AH445+AJ445+AL445+AN445+AP445+AR445+AT445+AV445+AX445+AZ445</f>
        <v>0</v>
      </c>
      <c r="BC445" s="15"/>
      <c r="BD445" s="44"/>
      <c r="BE445" s="15"/>
      <c r="BF445" s="44"/>
      <c r="BG445" s="15">
        <f>(BC445+BE445)</f>
        <v>0</v>
      </c>
    </row>
    <row r="446" spans="1:59" s="8" customFormat="1" ht="22.5" hidden="1" customHeight="1">
      <c r="A446" s="9"/>
      <c r="B446" s="16" t="s">
        <v>728</v>
      </c>
      <c r="C446" s="89" t="s">
        <v>151</v>
      </c>
      <c r="D446" s="109" t="s">
        <v>729</v>
      </c>
      <c r="E446" s="110" t="s">
        <v>734</v>
      </c>
      <c r="F446" s="111" t="s">
        <v>1895</v>
      </c>
      <c r="G446" s="111" t="s">
        <v>1896</v>
      </c>
      <c r="H446" s="95"/>
      <c r="I446" s="9"/>
      <c r="J446" s="9" t="s">
        <v>733</v>
      </c>
      <c r="K446" s="14"/>
      <c r="L446" s="14"/>
      <c r="M446" s="12"/>
      <c r="N446" s="9"/>
      <c r="O446" s="9"/>
      <c r="P446" s="9"/>
      <c r="Q446" s="38">
        <f>M446+X446-AG446-BB446</f>
        <v>0</v>
      </c>
      <c r="R446" s="12"/>
      <c r="S446" s="42"/>
      <c r="T446" s="15"/>
      <c r="U446" s="44"/>
      <c r="V446" s="15"/>
      <c r="W446" s="44"/>
      <c r="X446" s="15">
        <f>R446+T446+V446</f>
        <v>0</v>
      </c>
      <c r="Y446" s="15"/>
      <c r="Z446" s="44"/>
      <c r="AA446" s="15"/>
      <c r="AB446" s="44"/>
      <c r="AC446" s="15"/>
      <c r="AD446" s="44"/>
      <c r="AE446" s="15"/>
      <c r="AF446" s="44"/>
      <c r="AG446" s="15">
        <f>(Y446+AA446+AC446+AE446)</f>
        <v>0</v>
      </c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/>
      <c r="BA446" s="42"/>
      <c r="BB446" s="15">
        <f>AH446+AJ446+AL446+AN446+AP446+AR446+AT446+AV446+AX446+AZ446</f>
        <v>0</v>
      </c>
      <c r="BC446" s="15"/>
      <c r="BD446" s="44"/>
      <c r="BE446" s="15"/>
      <c r="BF446" s="44"/>
      <c r="BG446" s="15">
        <f>(BC446+BE446)</f>
        <v>0</v>
      </c>
    </row>
    <row r="447" spans="1:59" s="8" customFormat="1" ht="22.5" hidden="1" customHeight="1">
      <c r="A447" s="9"/>
      <c r="B447" s="16" t="s">
        <v>735</v>
      </c>
      <c r="C447" s="89" t="s">
        <v>132</v>
      </c>
      <c r="D447" s="109" t="s">
        <v>736</v>
      </c>
      <c r="E447" s="110" t="s">
        <v>1897</v>
      </c>
      <c r="F447" s="111" t="s">
        <v>1898</v>
      </c>
      <c r="G447" s="111" t="s">
        <v>1899</v>
      </c>
      <c r="H447" s="95"/>
      <c r="I447" s="9"/>
      <c r="J447" s="9" t="s">
        <v>247</v>
      </c>
      <c r="K447" s="14"/>
      <c r="L447" s="14"/>
      <c r="M447" s="12">
        <v>75</v>
      </c>
      <c r="N447" s="9"/>
      <c r="O447" s="9"/>
      <c r="P447" s="9"/>
      <c r="Q447" s="38">
        <f>M447+X447-AG447-BB447</f>
        <v>75</v>
      </c>
      <c r="R447" s="12"/>
      <c r="S447" s="42"/>
      <c r="T447" s="15"/>
      <c r="U447" s="44"/>
      <c r="V447" s="15"/>
      <c r="W447" s="44"/>
      <c r="X447" s="15">
        <f>R447+T447+V447</f>
        <v>0</v>
      </c>
      <c r="Y447" s="15"/>
      <c r="Z447" s="44"/>
      <c r="AA447" s="15"/>
      <c r="AB447" s="44"/>
      <c r="AC447" s="15"/>
      <c r="AD447" s="44"/>
      <c r="AE447" s="15"/>
      <c r="AF447" s="44"/>
      <c r="AG447" s="15">
        <f>(Y447+AA447+AC447+AE447)</f>
        <v>0</v>
      </c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/>
      <c r="BA447" s="42"/>
      <c r="BB447" s="15">
        <f>AH447+AJ447+AL447+AN447+AP447+AR447+AT447+AV447+AX447+AZ447</f>
        <v>0</v>
      </c>
      <c r="BC447" s="15"/>
      <c r="BD447" s="44"/>
      <c r="BE447" s="15"/>
      <c r="BF447" s="44"/>
      <c r="BG447" s="15">
        <f>(BC447+BE447)</f>
        <v>0</v>
      </c>
    </row>
    <row r="448" spans="1:59" s="8" customFormat="1" ht="22.5" hidden="1" customHeight="1">
      <c r="A448" s="9"/>
      <c r="B448" s="16" t="s">
        <v>735</v>
      </c>
      <c r="C448" s="89" t="s">
        <v>132</v>
      </c>
      <c r="D448" s="109" t="s">
        <v>738</v>
      </c>
      <c r="E448" s="110" t="s">
        <v>739</v>
      </c>
      <c r="F448" s="111" t="s">
        <v>1900</v>
      </c>
      <c r="G448" s="111" t="s">
        <v>1901</v>
      </c>
      <c r="H448" s="95"/>
      <c r="I448" s="9"/>
      <c r="J448" s="9" t="s">
        <v>247</v>
      </c>
      <c r="K448" s="14"/>
      <c r="L448" s="14"/>
      <c r="M448" s="12"/>
      <c r="N448" s="9"/>
      <c r="O448" s="9"/>
      <c r="P448" s="9"/>
      <c r="Q448" s="38">
        <f>M448+X448-AG448-BB448</f>
        <v>0</v>
      </c>
      <c r="R448" s="12"/>
      <c r="S448" s="42"/>
      <c r="T448" s="15"/>
      <c r="U448" s="44"/>
      <c r="V448" s="15"/>
      <c r="W448" s="44"/>
      <c r="X448" s="15">
        <f>R448+T448+V448</f>
        <v>0</v>
      </c>
      <c r="Y448" s="15"/>
      <c r="Z448" s="44"/>
      <c r="AA448" s="15"/>
      <c r="AB448" s="44"/>
      <c r="AC448" s="15"/>
      <c r="AD448" s="44"/>
      <c r="AE448" s="15"/>
      <c r="AF448" s="44"/>
      <c r="AG448" s="15">
        <f>(Y448+AA448+AC448+AE448)</f>
        <v>0</v>
      </c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/>
      <c r="BA448" s="42"/>
      <c r="BB448" s="15">
        <f>AH448+AJ448+AL448+AN448+AP448+AR448+AT448+AV448+AX448+AZ448</f>
        <v>0</v>
      </c>
      <c r="BC448" s="15"/>
      <c r="BD448" s="44"/>
      <c r="BE448" s="15"/>
      <c r="BF448" s="44"/>
      <c r="BG448" s="15">
        <f>(BC448+BE448)</f>
        <v>0</v>
      </c>
    </row>
    <row r="449" spans="1:59" s="8" customFormat="1" ht="22.5" hidden="1" customHeight="1">
      <c r="A449" s="9"/>
      <c r="B449" s="16" t="s">
        <v>740</v>
      </c>
      <c r="C449" s="89" t="s">
        <v>132</v>
      </c>
      <c r="D449" s="109" t="s">
        <v>741</v>
      </c>
      <c r="E449" s="110"/>
      <c r="F449" s="111" t="s">
        <v>1902</v>
      </c>
      <c r="G449" s="111" t="s">
        <v>1903</v>
      </c>
      <c r="H449" s="95"/>
      <c r="I449" s="9"/>
      <c r="J449" s="9" t="s">
        <v>247</v>
      </c>
      <c r="K449" s="14"/>
      <c r="L449" s="14"/>
      <c r="M449" s="12"/>
      <c r="N449" s="9"/>
      <c r="O449" s="9"/>
      <c r="P449" s="9"/>
      <c r="Q449" s="38">
        <f>M449+X449-AG449-BB449</f>
        <v>0</v>
      </c>
      <c r="R449" s="12"/>
      <c r="S449" s="42"/>
      <c r="T449" s="15"/>
      <c r="U449" s="44"/>
      <c r="V449" s="15"/>
      <c r="W449" s="44"/>
      <c r="X449" s="15">
        <f>R449+T449+V449</f>
        <v>0</v>
      </c>
      <c r="Y449" s="15"/>
      <c r="Z449" s="44"/>
      <c r="AA449" s="15"/>
      <c r="AB449" s="44"/>
      <c r="AC449" s="15"/>
      <c r="AD449" s="44"/>
      <c r="AE449" s="15"/>
      <c r="AF449" s="44"/>
      <c r="AG449" s="15">
        <f>(Y449+AA449+AC449+AE449)</f>
        <v>0</v>
      </c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/>
      <c r="BA449" s="42"/>
      <c r="BB449" s="15">
        <f>AH449+AJ449+AL449+AN449+AP449+AR449+AT449+AV449+AX449+AZ449</f>
        <v>0</v>
      </c>
      <c r="BC449" s="15"/>
      <c r="BD449" s="44"/>
      <c r="BE449" s="15"/>
      <c r="BF449" s="44"/>
      <c r="BG449" s="15">
        <f>(BC449+BE449)</f>
        <v>0</v>
      </c>
    </row>
    <row r="450" spans="1:59" s="8" customFormat="1" ht="22.5" hidden="1" customHeight="1">
      <c r="A450" s="9"/>
      <c r="B450" s="16" t="s">
        <v>742</v>
      </c>
      <c r="C450" s="89" t="s">
        <v>52</v>
      </c>
      <c r="D450" s="109" t="s">
        <v>750</v>
      </c>
      <c r="E450" s="110" t="s">
        <v>752</v>
      </c>
      <c r="F450" s="111" t="s">
        <v>1904</v>
      </c>
      <c r="G450" s="111" t="s">
        <v>1905</v>
      </c>
      <c r="H450" s="95"/>
      <c r="I450" s="9"/>
      <c r="J450" s="9" t="s">
        <v>745</v>
      </c>
      <c r="K450" s="14"/>
      <c r="L450" s="14"/>
      <c r="M450" s="12"/>
      <c r="N450" s="9"/>
      <c r="O450" s="9"/>
      <c r="P450" s="9"/>
      <c r="Q450" s="38">
        <f>M450+X450-AG450-BB450</f>
        <v>0</v>
      </c>
      <c r="R450" s="12"/>
      <c r="S450" s="42"/>
      <c r="T450" s="15"/>
      <c r="U450" s="44"/>
      <c r="V450" s="15"/>
      <c r="W450" s="44"/>
      <c r="X450" s="15">
        <f>R450+T450+V450</f>
        <v>0</v>
      </c>
      <c r="Y450" s="15"/>
      <c r="Z450" s="44"/>
      <c r="AA450" s="15"/>
      <c r="AB450" s="44"/>
      <c r="AC450" s="15"/>
      <c r="AD450" s="44"/>
      <c r="AE450" s="15"/>
      <c r="AF450" s="44"/>
      <c r="AG450" s="15">
        <f>(Y450+AA450+AC450+AE450)</f>
        <v>0</v>
      </c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/>
      <c r="BA450" s="42"/>
      <c r="BB450" s="15">
        <f>AH450+AJ450+AL450+AN450+AP450+AR450+AT450+AV450+AX450+AZ450</f>
        <v>0</v>
      </c>
      <c r="BC450" s="15"/>
      <c r="BD450" s="44"/>
      <c r="BE450" s="15"/>
      <c r="BF450" s="44"/>
      <c r="BG450" s="15">
        <f>(BC450+BE450)</f>
        <v>0</v>
      </c>
    </row>
    <row r="451" spans="1:59" s="8" customFormat="1" ht="22.5" hidden="1" customHeight="1">
      <c r="A451" s="9"/>
      <c r="B451" s="16" t="s">
        <v>161</v>
      </c>
      <c r="C451" s="89" t="s">
        <v>52</v>
      </c>
      <c r="D451" s="109" t="s">
        <v>753</v>
      </c>
      <c r="E451" s="110"/>
      <c r="F451" s="111" t="s">
        <v>1906</v>
      </c>
      <c r="G451" s="111" t="s">
        <v>1907</v>
      </c>
      <c r="H451" s="95"/>
      <c r="I451" s="9"/>
      <c r="J451" s="9" t="s">
        <v>467</v>
      </c>
      <c r="K451" s="14"/>
      <c r="L451" s="14"/>
      <c r="M451" s="12"/>
      <c r="N451" s="9"/>
      <c r="O451" s="9"/>
      <c r="P451" s="9"/>
      <c r="Q451" s="38">
        <f>M451+X451-AG451-BB451</f>
        <v>0</v>
      </c>
      <c r="R451" s="12"/>
      <c r="S451" s="42"/>
      <c r="T451" s="15"/>
      <c r="U451" s="44"/>
      <c r="V451" s="15"/>
      <c r="W451" s="44"/>
      <c r="X451" s="15">
        <f>R451+T451+V451</f>
        <v>0</v>
      </c>
      <c r="Y451" s="15"/>
      <c r="Z451" s="44"/>
      <c r="AA451" s="15"/>
      <c r="AB451" s="44"/>
      <c r="AC451" s="15"/>
      <c r="AD451" s="44"/>
      <c r="AE451" s="15"/>
      <c r="AF451" s="44"/>
      <c r="AG451" s="15">
        <f>(Y451+AA451+AC451+AE451)</f>
        <v>0</v>
      </c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/>
      <c r="BA451" s="42"/>
      <c r="BB451" s="15">
        <f>AH451+AJ451+AL451+AN451+AP451+AR451+AT451+AV451+AX451+AZ451</f>
        <v>0</v>
      </c>
      <c r="BC451" s="15"/>
      <c r="BD451" s="44"/>
      <c r="BE451" s="15"/>
      <c r="BF451" s="44"/>
      <c r="BG451" s="15">
        <f>(BC451+BE451)</f>
        <v>0</v>
      </c>
    </row>
    <row r="452" spans="1:59" s="8" customFormat="1" ht="22.5" hidden="1" customHeight="1">
      <c r="A452" s="9"/>
      <c r="B452" s="16" t="s">
        <v>161</v>
      </c>
      <c r="C452" s="89" t="s">
        <v>754</v>
      </c>
      <c r="D452" s="109" t="s">
        <v>1908</v>
      </c>
      <c r="E452" s="110"/>
      <c r="F452" s="111" t="s">
        <v>1909</v>
      </c>
      <c r="G452" s="111" t="s">
        <v>1910</v>
      </c>
      <c r="H452" s="95"/>
      <c r="I452" s="9"/>
      <c r="J452" s="9" t="s">
        <v>467</v>
      </c>
      <c r="K452" s="14"/>
      <c r="L452" s="14"/>
      <c r="M452" s="12">
        <v>100</v>
      </c>
      <c r="N452" s="9"/>
      <c r="O452" s="9"/>
      <c r="P452" s="9"/>
      <c r="Q452" s="38">
        <f>M452+X452-AG452-BB452</f>
        <v>100</v>
      </c>
      <c r="R452" s="12"/>
      <c r="S452" s="42"/>
      <c r="T452" s="15"/>
      <c r="U452" s="44"/>
      <c r="V452" s="15"/>
      <c r="W452" s="44"/>
      <c r="X452" s="15">
        <f>R452+T452+V452</f>
        <v>0</v>
      </c>
      <c r="Y452" s="15"/>
      <c r="Z452" s="44"/>
      <c r="AA452" s="15"/>
      <c r="AB452" s="44"/>
      <c r="AC452" s="15"/>
      <c r="AD452" s="44"/>
      <c r="AE452" s="15"/>
      <c r="AF452" s="44"/>
      <c r="AG452" s="15">
        <f>(Y452+AA452+AC452+AE452)</f>
        <v>0</v>
      </c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/>
      <c r="BA452" s="42"/>
      <c r="BB452" s="15">
        <f>AH452+AJ452+AL452+AN452+AP452+AR452+AT452+AV452+AX452+AZ452</f>
        <v>0</v>
      </c>
      <c r="BC452" s="15"/>
      <c r="BD452" s="44"/>
      <c r="BE452" s="15"/>
      <c r="BF452" s="44"/>
      <c r="BG452" s="15">
        <f>(BC452+BE452)</f>
        <v>0</v>
      </c>
    </row>
    <row r="453" spans="1:59" s="8" customFormat="1" ht="22.5" hidden="1" customHeight="1">
      <c r="A453" s="9"/>
      <c r="B453" s="16" t="s">
        <v>161</v>
      </c>
      <c r="C453" s="89" t="s">
        <v>140</v>
      </c>
      <c r="D453" s="109" t="s">
        <v>1911</v>
      </c>
      <c r="E453" s="110"/>
      <c r="F453" s="111" t="s">
        <v>1912</v>
      </c>
      <c r="G453" s="111" t="s">
        <v>1913</v>
      </c>
      <c r="H453" s="95"/>
      <c r="I453" s="9"/>
      <c r="J453" s="9" t="s">
        <v>467</v>
      </c>
      <c r="K453" s="14"/>
      <c r="L453" s="14"/>
      <c r="M453" s="12">
        <v>67</v>
      </c>
      <c r="N453" s="9"/>
      <c r="O453" s="9"/>
      <c r="P453" s="9"/>
      <c r="Q453" s="38">
        <f>M453+X453-AG453-BB453</f>
        <v>67</v>
      </c>
      <c r="R453" s="12"/>
      <c r="S453" s="42"/>
      <c r="T453" s="15"/>
      <c r="U453" s="44"/>
      <c r="V453" s="15"/>
      <c r="W453" s="44"/>
      <c r="X453" s="15">
        <f>R453+T453+V453</f>
        <v>0</v>
      </c>
      <c r="Y453" s="15"/>
      <c r="Z453" s="44"/>
      <c r="AA453" s="15"/>
      <c r="AB453" s="44"/>
      <c r="AC453" s="15"/>
      <c r="AD453" s="44"/>
      <c r="AE453" s="15"/>
      <c r="AF453" s="44"/>
      <c r="AG453" s="15">
        <f>(Y453+AA453+AC453+AE453)</f>
        <v>0</v>
      </c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/>
      <c r="BA453" s="42"/>
      <c r="BB453" s="15">
        <f>AH453+AJ453+AL453+AN453+AP453+AR453+AT453+AV453+AX453+AZ453</f>
        <v>0</v>
      </c>
      <c r="BC453" s="15"/>
      <c r="BD453" s="44"/>
      <c r="BE453" s="15"/>
      <c r="BF453" s="44"/>
      <c r="BG453" s="15">
        <f>(BC453+BE453)</f>
        <v>0</v>
      </c>
    </row>
    <row r="454" spans="1:59" s="8" customFormat="1" ht="22.5" hidden="1" customHeight="1">
      <c r="A454" s="9"/>
      <c r="B454" s="16" t="s">
        <v>755</v>
      </c>
      <c r="C454" s="89" t="s">
        <v>754</v>
      </c>
      <c r="D454" s="109" t="s">
        <v>756</v>
      </c>
      <c r="E454" s="110"/>
      <c r="F454" s="111" t="s">
        <v>1914</v>
      </c>
      <c r="G454" s="111" t="s">
        <v>1915</v>
      </c>
      <c r="H454" s="95"/>
      <c r="I454" s="9"/>
      <c r="J454" s="9" t="s">
        <v>757</v>
      </c>
      <c r="K454" s="14"/>
      <c r="L454" s="14"/>
      <c r="M454" s="12"/>
      <c r="N454" s="9"/>
      <c r="O454" s="9"/>
      <c r="P454" s="9"/>
      <c r="Q454" s="38">
        <f>M454+X454-AG454-BB454</f>
        <v>0</v>
      </c>
      <c r="R454" s="12"/>
      <c r="S454" s="42"/>
      <c r="T454" s="15"/>
      <c r="U454" s="44"/>
      <c r="V454" s="15"/>
      <c r="W454" s="44"/>
      <c r="X454" s="15">
        <f>R454+T454+V454</f>
        <v>0</v>
      </c>
      <c r="Y454" s="15"/>
      <c r="Z454" s="44"/>
      <c r="AA454" s="15"/>
      <c r="AB454" s="44"/>
      <c r="AC454" s="15"/>
      <c r="AD454" s="44"/>
      <c r="AE454" s="15"/>
      <c r="AF454" s="44"/>
      <c r="AG454" s="15">
        <f>(Y454+AA454+AC454+AE454)</f>
        <v>0</v>
      </c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/>
      <c r="BA454" s="42"/>
      <c r="BB454" s="15">
        <f>AH454+AJ454+AL454+AN454+AP454+AR454+AT454+AV454+AX454+AZ454</f>
        <v>0</v>
      </c>
      <c r="BC454" s="15"/>
      <c r="BD454" s="44"/>
      <c r="BE454" s="15"/>
      <c r="BF454" s="44"/>
      <c r="BG454" s="15">
        <f>(BC454+BE454)</f>
        <v>0</v>
      </c>
    </row>
    <row r="455" spans="1:59" s="8" customFormat="1" ht="22.5" hidden="1" customHeight="1">
      <c r="A455" s="9"/>
      <c r="B455" s="16" t="s">
        <v>755</v>
      </c>
      <c r="C455" s="89" t="s">
        <v>132</v>
      </c>
      <c r="D455" s="109" t="s">
        <v>758</v>
      </c>
      <c r="E455" s="110"/>
      <c r="F455" s="111" t="s">
        <v>1916</v>
      </c>
      <c r="G455" s="111" t="s">
        <v>1917</v>
      </c>
      <c r="H455" s="95"/>
      <c r="I455" s="9"/>
      <c r="J455" s="9" t="s">
        <v>757</v>
      </c>
      <c r="K455" s="14"/>
      <c r="L455" s="14"/>
      <c r="M455" s="12"/>
      <c r="N455" s="9"/>
      <c r="O455" s="9"/>
      <c r="P455" s="9"/>
      <c r="Q455" s="38">
        <f>M455+X455-AG455-BB455</f>
        <v>0</v>
      </c>
      <c r="R455" s="12"/>
      <c r="S455" s="42"/>
      <c r="T455" s="15"/>
      <c r="U455" s="44"/>
      <c r="V455" s="15"/>
      <c r="W455" s="44"/>
      <c r="X455" s="15">
        <f>R455+T455+V455</f>
        <v>0</v>
      </c>
      <c r="Y455" s="15"/>
      <c r="Z455" s="44"/>
      <c r="AA455" s="15"/>
      <c r="AB455" s="44"/>
      <c r="AC455" s="15"/>
      <c r="AD455" s="44"/>
      <c r="AE455" s="15"/>
      <c r="AF455" s="44"/>
      <c r="AG455" s="15">
        <f>(Y455+AA455+AC455+AE455)</f>
        <v>0</v>
      </c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/>
      <c r="BA455" s="42"/>
      <c r="BB455" s="15">
        <f>AH455+AJ455+AL455+AN455+AP455+AR455+AT455+AV455+AX455+AZ455</f>
        <v>0</v>
      </c>
      <c r="BC455" s="15"/>
      <c r="BD455" s="44"/>
      <c r="BE455" s="15"/>
      <c r="BF455" s="44"/>
      <c r="BG455" s="15">
        <f>(BC455+BE455)</f>
        <v>0</v>
      </c>
    </row>
    <row r="456" spans="1:59" s="8" customFormat="1" ht="22.5" hidden="1" customHeight="1">
      <c r="A456" s="9"/>
      <c r="B456" s="16" t="s">
        <v>755</v>
      </c>
      <c r="C456" s="89" t="s">
        <v>132</v>
      </c>
      <c r="D456" s="109" t="s">
        <v>759</v>
      </c>
      <c r="E456" s="110"/>
      <c r="F456" s="111" t="s">
        <v>1918</v>
      </c>
      <c r="G456" s="111" t="s">
        <v>1919</v>
      </c>
      <c r="H456" s="95"/>
      <c r="I456" s="9"/>
      <c r="J456" s="9" t="s">
        <v>757</v>
      </c>
      <c r="K456" s="14"/>
      <c r="L456" s="14"/>
      <c r="M456" s="12"/>
      <c r="N456" s="9"/>
      <c r="O456" s="9"/>
      <c r="P456" s="9"/>
      <c r="Q456" s="38">
        <f>M456+X456-AG456-BB456</f>
        <v>0</v>
      </c>
      <c r="R456" s="12"/>
      <c r="S456" s="42"/>
      <c r="T456" s="15"/>
      <c r="U456" s="44"/>
      <c r="V456" s="15"/>
      <c r="W456" s="44"/>
      <c r="X456" s="15">
        <f>R456+T456+V456</f>
        <v>0</v>
      </c>
      <c r="Y456" s="15"/>
      <c r="Z456" s="44"/>
      <c r="AA456" s="15"/>
      <c r="AB456" s="44"/>
      <c r="AC456" s="15"/>
      <c r="AD456" s="44"/>
      <c r="AE456" s="15"/>
      <c r="AF456" s="44"/>
      <c r="AG456" s="15">
        <f>(Y456+AA456+AC456+AE456)</f>
        <v>0</v>
      </c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/>
      <c r="BA456" s="42"/>
      <c r="BB456" s="15">
        <f>AH456+AJ456+AL456+AN456+AP456+AR456+AT456+AV456+AX456+AZ456</f>
        <v>0</v>
      </c>
      <c r="BC456" s="15"/>
      <c r="BD456" s="44"/>
      <c r="BE456" s="15"/>
      <c r="BF456" s="44"/>
      <c r="BG456" s="15">
        <f>(BC456+BE456)</f>
        <v>0</v>
      </c>
    </row>
    <row r="457" spans="1:59" s="8" customFormat="1" ht="22.5" hidden="1" customHeight="1">
      <c r="A457" s="9"/>
      <c r="B457" s="16" t="s">
        <v>755</v>
      </c>
      <c r="C457" s="89" t="s">
        <v>140</v>
      </c>
      <c r="D457" s="109" t="s">
        <v>758</v>
      </c>
      <c r="E457" s="110"/>
      <c r="F457" s="111" t="s">
        <v>1920</v>
      </c>
      <c r="G457" s="111" t="s">
        <v>1921</v>
      </c>
      <c r="H457" s="95"/>
      <c r="I457" s="9"/>
      <c r="J457" s="9" t="s">
        <v>757</v>
      </c>
      <c r="K457" s="14"/>
      <c r="L457" s="14"/>
      <c r="M457" s="12"/>
      <c r="N457" s="9"/>
      <c r="O457" s="9"/>
      <c r="P457" s="9"/>
      <c r="Q457" s="38">
        <f>M457+X457-AG457-BB457</f>
        <v>0</v>
      </c>
      <c r="R457" s="12"/>
      <c r="S457" s="42"/>
      <c r="T457" s="15"/>
      <c r="U457" s="44"/>
      <c r="V457" s="15"/>
      <c r="W457" s="44"/>
      <c r="X457" s="15">
        <f>R457+T457+V457</f>
        <v>0</v>
      </c>
      <c r="Y457" s="15"/>
      <c r="Z457" s="44"/>
      <c r="AA457" s="15"/>
      <c r="AB457" s="44"/>
      <c r="AC457" s="15"/>
      <c r="AD457" s="44"/>
      <c r="AE457" s="15"/>
      <c r="AF457" s="44"/>
      <c r="AG457" s="15">
        <f>(Y457+AA457+AC457+AE457)</f>
        <v>0</v>
      </c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/>
      <c r="BA457" s="42"/>
      <c r="BB457" s="15">
        <f>AH457+AJ457+AL457+AN457+AP457+AR457+AT457+AV457+AX457+AZ457</f>
        <v>0</v>
      </c>
      <c r="BC457" s="15"/>
      <c r="BD457" s="44"/>
      <c r="BE457" s="15"/>
      <c r="BF457" s="44"/>
      <c r="BG457" s="15">
        <f>(BC457+BE457)</f>
        <v>0</v>
      </c>
    </row>
    <row r="458" spans="1:59" s="8" customFormat="1" ht="22.5" hidden="1" customHeight="1">
      <c r="A458" s="9"/>
      <c r="B458" s="16" t="s">
        <v>755</v>
      </c>
      <c r="C458" s="89" t="s">
        <v>52</v>
      </c>
      <c r="D458" s="109" t="s">
        <v>760</v>
      </c>
      <c r="E458" s="110"/>
      <c r="F458" s="111" t="s">
        <v>1922</v>
      </c>
      <c r="G458" s="111" t="s">
        <v>1923</v>
      </c>
      <c r="H458" s="95"/>
      <c r="I458" s="9"/>
      <c r="J458" s="9" t="s">
        <v>757</v>
      </c>
      <c r="K458" s="14"/>
      <c r="L458" s="14"/>
      <c r="M458" s="12">
        <v>987</v>
      </c>
      <c r="N458" s="9"/>
      <c r="O458" s="9"/>
      <c r="P458" s="9"/>
      <c r="Q458" s="38">
        <f>M458+X458-AG458-BB458</f>
        <v>987</v>
      </c>
      <c r="R458" s="12"/>
      <c r="S458" s="42"/>
      <c r="T458" s="15"/>
      <c r="U458" s="44"/>
      <c r="V458" s="15"/>
      <c r="W458" s="44"/>
      <c r="X458" s="15">
        <f>R458+T458+V458</f>
        <v>0</v>
      </c>
      <c r="Y458" s="15"/>
      <c r="Z458" s="44"/>
      <c r="AA458" s="15"/>
      <c r="AB458" s="44"/>
      <c r="AC458" s="15"/>
      <c r="AD458" s="44"/>
      <c r="AE458" s="15"/>
      <c r="AF458" s="44"/>
      <c r="AG458" s="15">
        <f>(Y458+AA458+AC458+AE458)</f>
        <v>0</v>
      </c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/>
      <c r="BA458" s="42"/>
      <c r="BB458" s="15">
        <f>AH458+AJ458+AL458+AN458+AP458+AR458+AT458+AV458+AX458+AZ458</f>
        <v>0</v>
      </c>
      <c r="BC458" s="15"/>
      <c r="BD458" s="44"/>
      <c r="BE458" s="15"/>
      <c r="BF458" s="44"/>
      <c r="BG458" s="15">
        <f>(BC458+BE458)</f>
        <v>0</v>
      </c>
    </row>
    <row r="459" spans="1:59" s="8" customFormat="1" ht="22.5" hidden="1" customHeight="1">
      <c r="A459" s="9"/>
      <c r="B459" s="16" t="s">
        <v>755</v>
      </c>
      <c r="C459" s="89" t="s">
        <v>52</v>
      </c>
      <c r="D459" s="109" t="s">
        <v>761</v>
      </c>
      <c r="E459" s="110"/>
      <c r="F459" s="111" t="s">
        <v>1924</v>
      </c>
      <c r="G459" s="111" t="s">
        <v>1925</v>
      </c>
      <c r="H459" s="95"/>
      <c r="I459" s="9"/>
      <c r="J459" s="9" t="s">
        <v>757</v>
      </c>
      <c r="K459" s="14"/>
      <c r="L459" s="14"/>
      <c r="M459" s="12">
        <v>629</v>
      </c>
      <c r="N459" s="9"/>
      <c r="O459" s="9"/>
      <c r="P459" s="9"/>
      <c r="Q459" s="38">
        <f>M459+X459-AG459-BB459</f>
        <v>629</v>
      </c>
      <c r="R459" s="12"/>
      <c r="S459" s="42"/>
      <c r="T459" s="15"/>
      <c r="U459" s="44"/>
      <c r="V459" s="15"/>
      <c r="W459" s="44"/>
      <c r="X459" s="15">
        <f>R459+T459+V459</f>
        <v>0</v>
      </c>
      <c r="Y459" s="15"/>
      <c r="Z459" s="44"/>
      <c r="AA459" s="15"/>
      <c r="AB459" s="44"/>
      <c r="AC459" s="15"/>
      <c r="AD459" s="44"/>
      <c r="AE459" s="15"/>
      <c r="AF459" s="44"/>
      <c r="AG459" s="15">
        <f>(Y459+AA459+AC459+AE459)</f>
        <v>0</v>
      </c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/>
      <c r="BA459" s="42"/>
      <c r="BB459" s="15">
        <f>AH459+AJ459+AL459+AN459+AP459+AR459+AT459+AV459+AX459+AZ459</f>
        <v>0</v>
      </c>
      <c r="BC459" s="15"/>
      <c r="BD459" s="44"/>
      <c r="BE459" s="15"/>
      <c r="BF459" s="44"/>
      <c r="BG459" s="15">
        <f>(BC459+BE459)</f>
        <v>0</v>
      </c>
    </row>
    <row r="460" spans="1:59" s="8" customFormat="1" ht="22.5" hidden="1" customHeight="1">
      <c r="A460" s="9"/>
      <c r="B460" s="16" t="s">
        <v>755</v>
      </c>
      <c r="C460" s="89" t="s">
        <v>52</v>
      </c>
      <c r="D460" s="109" t="s">
        <v>762</v>
      </c>
      <c r="E460" s="110"/>
      <c r="F460" s="111" t="s">
        <v>1926</v>
      </c>
      <c r="G460" s="111" t="s">
        <v>1927</v>
      </c>
      <c r="H460" s="95"/>
      <c r="I460" s="9"/>
      <c r="J460" s="9" t="s">
        <v>757</v>
      </c>
      <c r="K460" s="14"/>
      <c r="L460" s="14"/>
      <c r="M460" s="12">
        <v>893</v>
      </c>
      <c r="N460" s="9"/>
      <c r="O460" s="9"/>
      <c r="P460" s="9"/>
      <c r="Q460" s="38">
        <f>M460+X460-AG460-BB460</f>
        <v>893</v>
      </c>
      <c r="R460" s="12"/>
      <c r="S460" s="42"/>
      <c r="T460" s="15"/>
      <c r="U460" s="44"/>
      <c r="V460" s="15"/>
      <c r="W460" s="44"/>
      <c r="X460" s="15">
        <f>R460+T460+V460</f>
        <v>0</v>
      </c>
      <c r="Y460" s="15"/>
      <c r="Z460" s="44"/>
      <c r="AA460" s="15"/>
      <c r="AB460" s="44"/>
      <c r="AC460" s="15"/>
      <c r="AD460" s="44"/>
      <c r="AE460" s="15"/>
      <c r="AF460" s="44"/>
      <c r="AG460" s="15">
        <f>(Y460+AA460+AC460+AE460)</f>
        <v>0</v>
      </c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/>
      <c r="BA460" s="42"/>
      <c r="BB460" s="15">
        <f>AH460+AJ460+AL460+AN460+AP460+AR460+AT460+AV460+AX460+AZ460</f>
        <v>0</v>
      </c>
      <c r="BC460" s="15"/>
      <c r="BD460" s="44"/>
      <c r="BE460" s="15"/>
      <c r="BF460" s="44"/>
      <c r="BG460" s="15">
        <f>(BC460+BE460)</f>
        <v>0</v>
      </c>
    </row>
    <row r="461" spans="1:59" s="8" customFormat="1" ht="22.5" hidden="1" customHeight="1">
      <c r="A461" s="9"/>
      <c r="B461" s="16" t="s">
        <v>755</v>
      </c>
      <c r="C461" s="89" t="s">
        <v>52</v>
      </c>
      <c r="D461" s="109" t="s">
        <v>763</v>
      </c>
      <c r="E461" s="110" t="s">
        <v>764</v>
      </c>
      <c r="F461" s="111" t="s">
        <v>1928</v>
      </c>
      <c r="G461" s="111" t="s">
        <v>1929</v>
      </c>
      <c r="H461" s="95"/>
      <c r="I461" s="9"/>
      <c r="J461" s="9" t="s">
        <v>757</v>
      </c>
      <c r="K461" s="14"/>
      <c r="L461" s="14"/>
      <c r="M461" s="12"/>
      <c r="N461" s="9"/>
      <c r="O461" s="9"/>
      <c r="P461" s="9"/>
      <c r="Q461" s="38">
        <f>M461+X461-AG461-BB461</f>
        <v>0</v>
      </c>
      <c r="R461" s="12"/>
      <c r="S461" s="42"/>
      <c r="T461" s="15"/>
      <c r="U461" s="44"/>
      <c r="V461" s="15"/>
      <c r="W461" s="44"/>
      <c r="X461" s="15">
        <f>R461+T461+V461</f>
        <v>0</v>
      </c>
      <c r="Y461" s="15"/>
      <c r="Z461" s="44"/>
      <c r="AA461" s="15"/>
      <c r="AB461" s="44"/>
      <c r="AC461" s="15"/>
      <c r="AD461" s="44"/>
      <c r="AE461" s="15"/>
      <c r="AF461" s="44"/>
      <c r="AG461" s="15">
        <f>(Y461+AA461+AC461+AE461)</f>
        <v>0</v>
      </c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/>
      <c r="BA461" s="42"/>
      <c r="BB461" s="15">
        <f>AH461+AJ461+AL461+AN461+AP461+AR461+AT461+AV461+AX461+AZ461</f>
        <v>0</v>
      </c>
      <c r="BC461" s="15"/>
      <c r="BD461" s="44"/>
      <c r="BE461" s="15"/>
      <c r="BF461" s="44"/>
      <c r="BG461" s="15">
        <f>(BC461+BE461)</f>
        <v>0</v>
      </c>
    </row>
    <row r="462" spans="1:59" s="8" customFormat="1" ht="22.5" hidden="1" customHeight="1">
      <c r="A462" s="9"/>
      <c r="B462" s="16" t="s">
        <v>755</v>
      </c>
      <c r="C462" s="89" t="s">
        <v>52</v>
      </c>
      <c r="D462" s="109" t="s">
        <v>763</v>
      </c>
      <c r="E462" s="110" t="s">
        <v>765</v>
      </c>
      <c r="F462" s="111" t="s">
        <v>1930</v>
      </c>
      <c r="G462" s="111" t="s">
        <v>1931</v>
      </c>
      <c r="H462" s="95"/>
      <c r="I462" s="9"/>
      <c r="J462" s="9" t="s">
        <v>757</v>
      </c>
      <c r="K462" s="14"/>
      <c r="L462" s="14"/>
      <c r="M462" s="12"/>
      <c r="N462" s="9"/>
      <c r="O462" s="9"/>
      <c r="P462" s="9"/>
      <c r="Q462" s="38">
        <f>M462+X462-AG462-BB462</f>
        <v>0</v>
      </c>
      <c r="R462" s="12"/>
      <c r="S462" s="42"/>
      <c r="T462" s="15"/>
      <c r="U462" s="44"/>
      <c r="V462" s="15"/>
      <c r="W462" s="44"/>
      <c r="X462" s="15">
        <f>R462+T462+V462</f>
        <v>0</v>
      </c>
      <c r="Y462" s="15"/>
      <c r="Z462" s="44"/>
      <c r="AA462" s="15"/>
      <c r="AB462" s="44"/>
      <c r="AC462" s="15"/>
      <c r="AD462" s="44"/>
      <c r="AE462" s="15"/>
      <c r="AF462" s="44"/>
      <c r="AG462" s="15">
        <f>(Y462+AA462+AC462+AE462)</f>
        <v>0</v>
      </c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/>
      <c r="BA462" s="42"/>
      <c r="BB462" s="15">
        <f>AH462+AJ462+AL462+AN462+AP462+AR462+AT462+AV462+AX462+AZ462</f>
        <v>0</v>
      </c>
      <c r="BC462" s="15"/>
      <c r="BD462" s="44"/>
      <c r="BE462" s="15"/>
      <c r="BF462" s="44"/>
      <c r="BG462" s="15">
        <f>(BC462+BE462)</f>
        <v>0</v>
      </c>
    </row>
    <row r="463" spans="1:59" s="8" customFormat="1" ht="22.5" hidden="1" customHeight="1">
      <c r="A463" s="9"/>
      <c r="B463" s="16" t="s">
        <v>769</v>
      </c>
      <c r="C463" s="89" t="s">
        <v>494</v>
      </c>
      <c r="D463" s="109" t="s">
        <v>770</v>
      </c>
      <c r="E463" s="110"/>
      <c r="F463" s="111" t="s">
        <v>1932</v>
      </c>
      <c r="G463" s="111" t="s">
        <v>1933</v>
      </c>
      <c r="H463" s="95"/>
      <c r="I463" s="9"/>
      <c r="J463" s="23" t="s">
        <v>771</v>
      </c>
      <c r="K463" s="14"/>
      <c r="L463" s="14"/>
      <c r="M463" s="12"/>
      <c r="N463" s="9"/>
      <c r="O463" s="9"/>
      <c r="P463" s="9"/>
      <c r="Q463" s="38">
        <f>M463+X463-AG463-BB463</f>
        <v>0</v>
      </c>
      <c r="R463" s="12"/>
      <c r="S463" s="42"/>
      <c r="T463" s="15"/>
      <c r="U463" s="44"/>
      <c r="V463" s="15"/>
      <c r="W463" s="44"/>
      <c r="X463" s="15">
        <f>R463+T463+V463</f>
        <v>0</v>
      </c>
      <c r="Y463" s="15"/>
      <c r="Z463" s="44"/>
      <c r="AA463" s="15"/>
      <c r="AB463" s="44"/>
      <c r="AC463" s="15"/>
      <c r="AD463" s="44"/>
      <c r="AE463" s="15"/>
      <c r="AF463" s="44"/>
      <c r="AG463" s="15">
        <f>(Y463+AA463+AC463+AE463)</f>
        <v>0</v>
      </c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/>
      <c r="BA463" s="42"/>
      <c r="BB463" s="15">
        <f>AH463+AJ463+AL463+AN463+AP463+AR463+AT463+AV463+AX463+AZ463</f>
        <v>0</v>
      </c>
      <c r="BC463" s="15"/>
      <c r="BD463" s="44"/>
      <c r="BE463" s="15"/>
      <c r="BF463" s="44"/>
      <c r="BG463" s="15">
        <f>(BC463+BE463)</f>
        <v>0</v>
      </c>
    </row>
    <row r="464" spans="1:59" s="8" customFormat="1" ht="22.5" hidden="1" customHeight="1">
      <c r="A464" s="9"/>
      <c r="B464" s="16" t="s">
        <v>772</v>
      </c>
      <c r="C464" s="89" t="s">
        <v>151</v>
      </c>
      <c r="D464" s="109" t="s">
        <v>772</v>
      </c>
      <c r="E464" s="110"/>
      <c r="F464" s="111" t="s">
        <v>1934</v>
      </c>
      <c r="G464" s="111" t="s">
        <v>1935</v>
      </c>
      <c r="H464" s="95"/>
      <c r="I464" s="9"/>
      <c r="J464" s="9" t="s">
        <v>773</v>
      </c>
      <c r="K464" s="14"/>
      <c r="L464" s="14"/>
      <c r="M464" s="12"/>
      <c r="N464" s="9"/>
      <c r="O464" s="9"/>
      <c r="P464" s="9"/>
      <c r="Q464" s="38">
        <f>M464+X464-AG464-BB464</f>
        <v>0</v>
      </c>
      <c r="R464" s="12"/>
      <c r="S464" s="42"/>
      <c r="T464" s="15"/>
      <c r="U464" s="44"/>
      <c r="V464" s="15"/>
      <c r="W464" s="44"/>
      <c r="X464" s="15">
        <f>R464+T464+V464</f>
        <v>0</v>
      </c>
      <c r="Y464" s="15"/>
      <c r="Z464" s="44"/>
      <c r="AA464" s="15"/>
      <c r="AB464" s="44"/>
      <c r="AC464" s="15"/>
      <c r="AD464" s="44"/>
      <c r="AE464" s="15"/>
      <c r="AF464" s="44"/>
      <c r="AG464" s="15">
        <f>(Y464+AA464+AC464+AE464)</f>
        <v>0</v>
      </c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/>
      <c r="BA464" s="42"/>
      <c r="BB464" s="15">
        <f>AH464+AJ464+AL464+AN464+AP464+AR464+AT464+AV464+AX464+AZ464</f>
        <v>0</v>
      </c>
      <c r="BC464" s="15"/>
      <c r="BD464" s="44"/>
      <c r="BE464" s="15"/>
      <c r="BF464" s="44"/>
      <c r="BG464" s="15">
        <f>(BC464+BE464)</f>
        <v>0</v>
      </c>
    </row>
    <row r="465" spans="1:59" s="8" customFormat="1" ht="22.5" hidden="1" customHeight="1">
      <c r="A465" s="9"/>
      <c r="B465" s="16" t="s">
        <v>774</v>
      </c>
      <c r="C465" s="89" t="s">
        <v>151</v>
      </c>
      <c r="D465" s="109" t="s">
        <v>775</v>
      </c>
      <c r="E465" s="110"/>
      <c r="F465" s="111" t="s">
        <v>1936</v>
      </c>
      <c r="G465" s="111" t="s">
        <v>1937</v>
      </c>
      <c r="H465" s="95"/>
      <c r="I465" s="9"/>
      <c r="J465" s="9"/>
      <c r="K465" s="14"/>
      <c r="L465" s="14"/>
      <c r="M465" s="12"/>
      <c r="N465" s="9"/>
      <c r="O465" s="9"/>
      <c r="P465" s="9"/>
      <c r="Q465" s="38">
        <f>M465+X465-AG465-BB465</f>
        <v>0</v>
      </c>
      <c r="R465" s="12"/>
      <c r="S465" s="42"/>
      <c r="T465" s="15"/>
      <c r="U465" s="44"/>
      <c r="V465" s="15"/>
      <c r="W465" s="44"/>
      <c r="X465" s="15">
        <f>R465+T465+V465</f>
        <v>0</v>
      </c>
      <c r="Y465" s="15"/>
      <c r="Z465" s="44"/>
      <c r="AA465" s="15"/>
      <c r="AB465" s="44"/>
      <c r="AC465" s="15"/>
      <c r="AD465" s="44"/>
      <c r="AE465" s="15"/>
      <c r="AF465" s="44"/>
      <c r="AG465" s="15">
        <f>(Y465+AA465+AC465+AE465)</f>
        <v>0</v>
      </c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/>
      <c r="BA465" s="42"/>
      <c r="BB465" s="15">
        <f>AH465+AJ465+AL465+AN465+AP465+AR465+AT465+AV465+AX465+AZ465</f>
        <v>0</v>
      </c>
      <c r="BC465" s="15"/>
      <c r="BD465" s="44"/>
      <c r="BE465" s="15"/>
      <c r="BF465" s="44"/>
      <c r="BG465" s="15">
        <f>(BC465+BE465)</f>
        <v>0</v>
      </c>
    </row>
    <row r="466" spans="1:59" s="8" customFormat="1" ht="22.5" hidden="1" customHeight="1">
      <c r="A466" s="9"/>
      <c r="B466" s="16" t="s">
        <v>776</v>
      </c>
      <c r="C466" s="89" t="s">
        <v>151</v>
      </c>
      <c r="D466" s="109" t="s">
        <v>777</v>
      </c>
      <c r="E466" s="110"/>
      <c r="F466" s="111" t="s">
        <v>1938</v>
      </c>
      <c r="G466" s="111" t="s">
        <v>1939</v>
      </c>
      <c r="H466" s="95"/>
      <c r="I466" s="9"/>
      <c r="J466" s="9" t="s">
        <v>314</v>
      </c>
      <c r="K466" s="14"/>
      <c r="L466" s="14"/>
      <c r="M466" s="12"/>
      <c r="N466" s="9"/>
      <c r="O466" s="9"/>
      <c r="P466" s="9"/>
      <c r="Q466" s="38">
        <f>M466+X466-AG466-BB466</f>
        <v>0</v>
      </c>
      <c r="R466" s="12"/>
      <c r="S466" s="42"/>
      <c r="T466" s="15"/>
      <c r="U466" s="44"/>
      <c r="V466" s="15"/>
      <c r="W466" s="44"/>
      <c r="X466" s="15">
        <f>R466+T466+V466</f>
        <v>0</v>
      </c>
      <c r="Y466" s="15"/>
      <c r="Z466" s="44"/>
      <c r="AA466" s="15"/>
      <c r="AB466" s="44"/>
      <c r="AC466" s="15"/>
      <c r="AD466" s="44"/>
      <c r="AE466" s="15"/>
      <c r="AF466" s="44"/>
      <c r="AG466" s="15">
        <f>(Y466+AA466+AC466+AE466)</f>
        <v>0</v>
      </c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/>
      <c r="BA466" s="42"/>
      <c r="BB466" s="15">
        <f>AH466+AJ466+AL466+AN466+AP466+AR466+AT466+AV466+AX466+AZ466</f>
        <v>0</v>
      </c>
      <c r="BC466" s="15"/>
      <c r="BD466" s="44"/>
      <c r="BE466" s="15"/>
      <c r="BF466" s="44"/>
      <c r="BG466" s="15">
        <f>(BC466+BE466)</f>
        <v>0</v>
      </c>
    </row>
    <row r="467" spans="1:59" s="8" customFormat="1" ht="22.5" hidden="1" customHeight="1">
      <c r="A467" s="9"/>
      <c r="B467" s="16" t="s">
        <v>101</v>
      </c>
      <c r="C467" s="89" t="s">
        <v>151</v>
      </c>
      <c r="D467" s="109" t="s">
        <v>778</v>
      </c>
      <c r="E467" s="110"/>
      <c r="F467" s="111" t="s">
        <v>1940</v>
      </c>
      <c r="G467" s="111" t="s">
        <v>1941</v>
      </c>
      <c r="H467" s="95"/>
      <c r="I467" s="9"/>
      <c r="J467" s="9" t="s">
        <v>779</v>
      </c>
      <c r="K467" s="14"/>
      <c r="L467" s="14"/>
      <c r="M467" s="12"/>
      <c r="N467" s="9"/>
      <c r="O467" s="9"/>
      <c r="P467" s="9"/>
      <c r="Q467" s="38">
        <f>M467+X467-AG467-BB467</f>
        <v>0</v>
      </c>
      <c r="R467" s="12"/>
      <c r="S467" s="42"/>
      <c r="T467" s="15"/>
      <c r="U467" s="44"/>
      <c r="V467" s="15"/>
      <c r="W467" s="44"/>
      <c r="X467" s="15">
        <f>R467+T467+V467</f>
        <v>0</v>
      </c>
      <c r="Y467" s="15"/>
      <c r="Z467" s="44"/>
      <c r="AA467" s="15"/>
      <c r="AB467" s="44"/>
      <c r="AC467" s="15"/>
      <c r="AD467" s="44"/>
      <c r="AE467" s="15"/>
      <c r="AF467" s="44"/>
      <c r="AG467" s="15">
        <f>(Y467+AA467+AC467+AE467)</f>
        <v>0</v>
      </c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/>
      <c r="BA467" s="42"/>
      <c r="BB467" s="15">
        <f>AH467+AJ467+AL467+AN467+AP467+AR467+AT467+AV467+AX467+AZ467</f>
        <v>0</v>
      </c>
      <c r="BC467" s="15"/>
      <c r="BD467" s="44"/>
      <c r="BE467" s="15"/>
      <c r="BF467" s="44"/>
      <c r="BG467" s="15">
        <f>(BC467+BE467)</f>
        <v>0</v>
      </c>
    </row>
    <row r="468" spans="1:59" s="8" customFormat="1" ht="22.5" hidden="1" customHeight="1">
      <c r="A468" s="9"/>
      <c r="B468" s="16" t="s">
        <v>101</v>
      </c>
      <c r="C468" s="89" t="s">
        <v>151</v>
      </c>
      <c r="D468" s="109" t="s">
        <v>780</v>
      </c>
      <c r="E468" s="110"/>
      <c r="F468" s="111" t="s">
        <v>1942</v>
      </c>
      <c r="G468" s="111" t="s">
        <v>1943</v>
      </c>
      <c r="H468" s="95"/>
      <c r="I468" s="9"/>
      <c r="J468" s="9" t="s">
        <v>779</v>
      </c>
      <c r="K468" s="14"/>
      <c r="L468" s="14"/>
      <c r="M468" s="12"/>
      <c r="N468" s="9"/>
      <c r="O468" s="9"/>
      <c r="P468" s="9"/>
      <c r="Q468" s="38">
        <f>M468+X468-AG468-BB468</f>
        <v>0</v>
      </c>
      <c r="R468" s="12"/>
      <c r="S468" s="42"/>
      <c r="T468" s="15"/>
      <c r="U468" s="44"/>
      <c r="V468" s="15"/>
      <c r="W468" s="44"/>
      <c r="X468" s="15">
        <f>R468+T468+V468</f>
        <v>0</v>
      </c>
      <c r="Y468" s="15"/>
      <c r="Z468" s="44"/>
      <c r="AA468" s="15"/>
      <c r="AB468" s="44"/>
      <c r="AC468" s="15"/>
      <c r="AD468" s="44"/>
      <c r="AE468" s="15"/>
      <c r="AF468" s="44"/>
      <c r="AG468" s="15">
        <f>(Y468+AA468+AC468+AE468)</f>
        <v>0</v>
      </c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/>
      <c r="BA468" s="42"/>
      <c r="BB468" s="15">
        <f>AH468+AJ468+AL468+AN468+AP468+AR468+AT468+AV468+AX468+AZ468</f>
        <v>0</v>
      </c>
      <c r="BC468" s="15"/>
      <c r="BD468" s="44"/>
      <c r="BE468" s="15"/>
      <c r="BF468" s="44"/>
      <c r="BG468" s="15">
        <f>(BC468+BE468)</f>
        <v>0</v>
      </c>
    </row>
    <row r="469" spans="1:59" s="8" customFormat="1" ht="22.5" hidden="1" customHeight="1">
      <c r="A469" s="9"/>
      <c r="B469" s="16" t="s">
        <v>101</v>
      </c>
      <c r="C469" s="89" t="s">
        <v>151</v>
      </c>
      <c r="D469" s="109" t="s">
        <v>781</v>
      </c>
      <c r="E469" s="110"/>
      <c r="F469" s="111" t="s">
        <v>1944</v>
      </c>
      <c r="G469" s="111" t="s">
        <v>1945</v>
      </c>
      <c r="H469" s="95"/>
      <c r="I469" s="9"/>
      <c r="J469" s="9" t="s">
        <v>779</v>
      </c>
      <c r="K469" s="14"/>
      <c r="L469" s="14"/>
      <c r="M469" s="12"/>
      <c r="N469" s="9"/>
      <c r="O469" s="9"/>
      <c r="P469" s="9"/>
      <c r="Q469" s="38">
        <f>M469+X469-AG469-BB469</f>
        <v>0</v>
      </c>
      <c r="R469" s="12"/>
      <c r="S469" s="42"/>
      <c r="T469" s="15"/>
      <c r="U469" s="44"/>
      <c r="V469" s="15"/>
      <c r="W469" s="44"/>
      <c r="X469" s="15">
        <f>R469+T469+V469</f>
        <v>0</v>
      </c>
      <c r="Y469" s="15"/>
      <c r="Z469" s="44"/>
      <c r="AA469" s="15"/>
      <c r="AB469" s="44"/>
      <c r="AC469" s="15"/>
      <c r="AD469" s="44"/>
      <c r="AE469" s="15"/>
      <c r="AF469" s="44"/>
      <c r="AG469" s="15">
        <f>(Y469+AA469+AC469+AE469)</f>
        <v>0</v>
      </c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/>
      <c r="BA469" s="42"/>
      <c r="BB469" s="15">
        <f>AH469+AJ469+AL469+AN469+AP469+AR469+AT469+AV469+AX469+AZ469</f>
        <v>0</v>
      </c>
      <c r="BC469" s="15"/>
      <c r="BD469" s="44"/>
      <c r="BE469" s="15"/>
      <c r="BF469" s="44"/>
      <c r="BG469" s="15">
        <f>(BC469+BE469)</f>
        <v>0</v>
      </c>
    </row>
    <row r="470" spans="1:59" s="8" customFormat="1" ht="22.5" hidden="1" customHeight="1">
      <c r="A470" s="9"/>
      <c r="B470" s="16" t="s">
        <v>101</v>
      </c>
      <c r="C470" s="89" t="s">
        <v>151</v>
      </c>
      <c r="D470" s="109" t="s">
        <v>782</v>
      </c>
      <c r="E470" s="110"/>
      <c r="F470" s="111" t="s">
        <v>1946</v>
      </c>
      <c r="G470" s="111" t="s">
        <v>1947</v>
      </c>
      <c r="H470" s="95"/>
      <c r="I470" s="9"/>
      <c r="J470" s="9" t="s">
        <v>783</v>
      </c>
      <c r="K470" s="14"/>
      <c r="L470" s="14"/>
      <c r="M470" s="12"/>
      <c r="N470" s="9"/>
      <c r="O470" s="9"/>
      <c r="P470" s="9"/>
      <c r="Q470" s="38">
        <f>M470+X470-AG470-BB470</f>
        <v>0</v>
      </c>
      <c r="R470" s="12"/>
      <c r="S470" s="42"/>
      <c r="T470" s="15"/>
      <c r="U470" s="44"/>
      <c r="V470" s="15"/>
      <c r="W470" s="44"/>
      <c r="X470" s="15">
        <f>R470+T470+V470</f>
        <v>0</v>
      </c>
      <c r="Y470" s="15"/>
      <c r="Z470" s="44"/>
      <c r="AA470" s="15"/>
      <c r="AB470" s="44"/>
      <c r="AC470" s="15"/>
      <c r="AD470" s="44"/>
      <c r="AE470" s="15"/>
      <c r="AF470" s="44"/>
      <c r="AG470" s="15">
        <f>(Y470+AA470+AC470+AE470)</f>
        <v>0</v>
      </c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/>
      <c r="BA470" s="42"/>
      <c r="BB470" s="15">
        <f>AH470+AJ470+AL470+AN470+AP470+AR470+AT470+AV470+AX470+AZ470</f>
        <v>0</v>
      </c>
      <c r="BC470" s="15"/>
      <c r="BD470" s="44"/>
      <c r="BE470" s="15"/>
      <c r="BF470" s="44"/>
      <c r="BG470" s="15">
        <f>(BC470+BE470)</f>
        <v>0</v>
      </c>
    </row>
    <row r="471" spans="1:59" s="8" customFormat="1" ht="22.5" hidden="1" customHeight="1">
      <c r="A471" s="9"/>
      <c r="B471" s="16" t="s">
        <v>101</v>
      </c>
      <c r="C471" s="89" t="s">
        <v>151</v>
      </c>
      <c r="D471" s="109" t="s">
        <v>784</v>
      </c>
      <c r="E471" s="110"/>
      <c r="F471" s="111" t="s">
        <v>1948</v>
      </c>
      <c r="G471" s="111" t="s">
        <v>1949</v>
      </c>
      <c r="H471" s="95"/>
      <c r="I471" s="9"/>
      <c r="J471" s="9" t="s">
        <v>783</v>
      </c>
      <c r="K471" s="14"/>
      <c r="L471" s="14"/>
      <c r="M471" s="12"/>
      <c r="N471" s="9"/>
      <c r="O471" s="9"/>
      <c r="P471" s="9"/>
      <c r="Q471" s="38">
        <f>M471+X471-AG471-BB471</f>
        <v>0</v>
      </c>
      <c r="R471" s="12"/>
      <c r="S471" s="42"/>
      <c r="T471" s="15"/>
      <c r="U471" s="44"/>
      <c r="V471" s="15"/>
      <c r="W471" s="44"/>
      <c r="X471" s="15">
        <f>R471+T471+V471</f>
        <v>0</v>
      </c>
      <c r="Y471" s="15"/>
      <c r="Z471" s="44"/>
      <c r="AA471" s="15"/>
      <c r="AB471" s="44"/>
      <c r="AC471" s="15"/>
      <c r="AD471" s="44"/>
      <c r="AE471" s="15"/>
      <c r="AF471" s="44"/>
      <c r="AG471" s="15">
        <f>(Y471+AA471+AC471+AE471)</f>
        <v>0</v>
      </c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/>
      <c r="BA471" s="42"/>
      <c r="BB471" s="15">
        <f>AH471+AJ471+AL471+AN471+AP471+AR471+AT471+AV471+AX471+AZ471</f>
        <v>0</v>
      </c>
      <c r="BC471" s="15"/>
      <c r="BD471" s="44"/>
      <c r="BE471" s="15"/>
      <c r="BF471" s="44"/>
      <c r="BG471" s="15">
        <f>(BC471+BE471)</f>
        <v>0</v>
      </c>
    </row>
    <row r="472" spans="1:59" s="8" customFormat="1" ht="22.5" hidden="1" customHeight="1">
      <c r="A472" s="9"/>
      <c r="B472" s="16" t="s">
        <v>101</v>
      </c>
      <c r="C472" s="89" t="s">
        <v>151</v>
      </c>
      <c r="D472" s="109" t="s">
        <v>785</v>
      </c>
      <c r="E472" s="110"/>
      <c r="F472" s="111" t="s">
        <v>1950</v>
      </c>
      <c r="G472" s="111" t="s">
        <v>1951</v>
      </c>
      <c r="H472" s="95"/>
      <c r="I472" s="9"/>
      <c r="J472" s="9" t="s">
        <v>783</v>
      </c>
      <c r="K472" s="14"/>
      <c r="L472" s="14"/>
      <c r="M472" s="12"/>
      <c r="N472" s="9"/>
      <c r="O472" s="9"/>
      <c r="P472" s="9"/>
      <c r="Q472" s="38">
        <f>M472+X472-AG472-BB472</f>
        <v>0</v>
      </c>
      <c r="R472" s="12"/>
      <c r="S472" s="42"/>
      <c r="T472" s="15"/>
      <c r="U472" s="44"/>
      <c r="V472" s="15"/>
      <c r="W472" s="44"/>
      <c r="X472" s="15">
        <f>R472+T472+V472</f>
        <v>0</v>
      </c>
      <c r="Y472" s="15"/>
      <c r="Z472" s="44"/>
      <c r="AA472" s="15"/>
      <c r="AB472" s="44"/>
      <c r="AC472" s="15"/>
      <c r="AD472" s="44"/>
      <c r="AE472" s="15"/>
      <c r="AF472" s="44"/>
      <c r="AG472" s="15">
        <f>(Y472+AA472+AC472+AE472)</f>
        <v>0</v>
      </c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/>
      <c r="BA472" s="42"/>
      <c r="BB472" s="15">
        <f>AH472+AJ472+AL472+AN472+AP472+AR472+AT472+AV472+AX472+AZ472</f>
        <v>0</v>
      </c>
      <c r="BC472" s="15"/>
      <c r="BD472" s="44"/>
      <c r="BE472" s="15"/>
      <c r="BF472" s="44"/>
      <c r="BG472" s="15">
        <f>(BC472+BE472)</f>
        <v>0</v>
      </c>
    </row>
    <row r="473" spans="1:59" s="8" customFormat="1" ht="22.5" hidden="1" customHeight="1">
      <c r="A473" s="9"/>
      <c r="B473" s="16" t="s">
        <v>101</v>
      </c>
      <c r="C473" s="89" t="s">
        <v>151</v>
      </c>
      <c r="D473" s="109" t="s">
        <v>786</v>
      </c>
      <c r="E473" s="110"/>
      <c r="F473" s="111" t="s">
        <v>786</v>
      </c>
      <c r="G473" s="111" t="s">
        <v>1952</v>
      </c>
      <c r="H473" s="95"/>
      <c r="I473" s="9"/>
      <c r="J473" s="9" t="s">
        <v>783</v>
      </c>
      <c r="K473" s="14"/>
      <c r="L473" s="14"/>
      <c r="M473" s="12"/>
      <c r="N473" s="9"/>
      <c r="O473" s="9"/>
      <c r="P473" s="9"/>
      <c r="Q473" s="38">
        <f>M473+X473-AG473-BB473</f>
        <v>0</v>
      </c>
      <c r="R473" s="12"/>
      <c r="S473" s="42"/>
      <c r="T473" s="15"/>
      <c r="U473" s="44"/>
      <c r="V473" s="15"/>
      <c r="W473" s="44"/>
      <c r="X473" s="15">
        <f>R473+T473+V473</f>
        <v>0</v>
      </c>
      <c r="Y473" s="15"/>
      <c r="Z473" s="44"/>
      <c r="AA473" s="15"/>
      <c r="AB473" s="44"/>
      <c r="AC473" s="15"/>
      <c r="AD473" s="44"/>
      <c r="AE473" s="15"/>
      <c r="AF473" s="44"/>
      <c r="AG473" s="15">
        <f>(Y473+AA473+AC473+AE473)</f>
        <v>0</v>
      </c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/>
      <c r="BA473" s="42"/>
      <c r="BB473" s="15">
        <f>AH473+AJ473+AL473+AN473+AP473+AR473+AT473+AV473+AX473+AZ473</f>
        <v>0</v>
      </c>
      <c r="BC473" s="15"/>
      <c r="BD473" s="44"/>
      <c r="BE473" s="15"/>
      <c r="BF473" s="44"/>
      <c r="BG473" s="15">
        <f>(BC473+BE473)</f>
        <v>0</v>
      </c>
    </row>
    <row r="474" spans="1:59" s="8" customFormat="1" ht="22.5" hidden="1" customHeight="1">
      <c r="A474" s="9"/>
      <c r="B474" s="16" t="s">
        <v>101</v>
      </c>
      <c r="C474" s="89" t="s">
        <v>151</v>
      </c>
      <c r="D474" s="109" t="s">
        <v>787</v>
      </c>
      <c r="E474" s="110"/>
      <c r="F474" s="111" t="s">
        <v>787</v>
      </c>
      <c r="G474" s="111" t="s">
        <v>1953</v>
      </c>
      <c r="H474" s="95"/>
      <c r="I474" s="9"/>
      <c r="J474" s="9" t="s">
        <v>783</v>
      </c>
      <c r="K474" s="14"/>
      <c r="L474" s="14"/>
      <c r="M474" s="12"/>
      <c r="N474" s="9"/>
      <c r="O474" s="9"/>
      <c r="P474" s="9"/>
      <c r="Q474" s="38">
        <f>M474+X474-AG474-BB474</f>
        <v>0</v>
      </c>
      <c r="R474" s="12"/>
      <c r="S474" s="42"/>
      <c r="T474" s="15"/>
      <c r="U474" s="44"/>
      <c r="V474" s="15"/>
      <c r="W474" s="44"/>
      <c r="X474" s="15">
        <f>R474+T474+V474</f>
        <v>0</v>
      </c>
      <c r="Y474" s="15"/>
      <c r="Z474" s="44"/>
      <c r="AA474" s="15"/>
      <c r="AB474" s="44"/>
      <c r="AC474" s="15"/>
      <c r="AD474" s="44"/>
      <c r="AE474" s="15"/>
      <c r="AF474" s="44"/>
      <c r="AG474" s="15">
        <f>(Y474+AA474+AC474+AE474)</f>
        <v>0</v>
      </c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/>
      <c r="BA474" s="42"/>
      <c r="BB474" s="15">
        <f>AH474+AJ474+AL474+AN474+AP474+AR474+AT474+AV474+AX474+AZ474</f>
        <v>0</v>
      </c>
      <c r="BC474" s="15"/>
      <c r="BD474" s="44"/>
      <c r="BE474" s="15"/>
      <c r="BF474" s="44"/>
      <c r="BG474" s="15">
        <f>(BC474+BE474)</f>
        <v>0</v>
      </c>
    </row>
    <row r="475" spans="1:59" s="8" customFormat="1" ht="22.5" hidden="1" customHeight="1">
      <c r="A475" s="9"/>
      <c r="B475" s="16" t="s">
        <v>101</v>
      </c>
      <c r="C475" s="89" t="s">
        <v>151</v>
      </c>
      <c r="D475" s="109" t="s">
        <v>788</v>
      </c>
      <c r="E475" s="110"/>
      <c r="F475" s="111" t="s">
        <v>788</v>
      </c>
      <c r="G475" s="111" t="s">
        <v>1954</v>
      </c>
      <c r="H475" s="95"/>
      <c r="I475" s="9"/>
      <c r="J475" s="9" t="s">
        <v>783</v>
      </c>
      <c r="K475" s="14"/>
      <c r="L475" s="14"/>
      <c r="M475" s="12"/>
      <c r="N475" s="9"/>
      <c r="O475" s="9"/>
      <c r="P475" s="9"/>
      <c r="Q475" s="38">
        <f>M475+X475-AG475-BB475</f>
        <v>0</v>
      </c>
      <c r="R475" s="12"/>
      <c r="S475" s="42"/>
      <c r="T475" s="15"/>
      <c r="U475" s="44"/>
      <c r="V475" s="15"/>
      <c r="W475" s="44"/>
      <c r="X475" s="15">
        <f>R475+T475+V475</f>
        <v>0</v>
      </c>
      <c r="Y475" s="15"/>
      <c r="Z475" s="44"/>
      <c r="AA475" s="15"/>
      <c r="AB475" s="44"/>
      <c r="AC475" s="15"/>
      <c r="AD475" s="44"/>
      <c r="AE475" s="15"/>
      <c r="AF475" s="44"/>
      <c r="AG475" s="15">
        <f>(Y475+AA475+AC475+AE475)</f>
        <v>0</v>
      </c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/>
      <c r="BA475" s="42"/>
      <c r="BB475" s="15">
        <f>AH475+AJ475+AL475+AN475+AP475+AR475+AT475+AV475+AX475+AZ475</f>
        <v>0</v>
      </c>
      <c r="BC475" s="15"/>
      <c r="BD475" s="44"/>
      <c r="BE475" s="15"/>
      <c r="BF475" s="44"/>
      <c r="BG475" s="15">
        <f>(BC475+BE475)</f>
        <v>0</v>
      </c>
    </row>
    <row r="476" spans="1:59" s="8" customFormat="1" ht="22.5" hidden="1" customHeight="1">
      <c r="A476" s="9"/>
      <c r="B476" s="16" t="s">
        <v>101</v>
      </c>
      <c r="C476" s="89" t="s">
        <v>151</v>
      </c>
      <c r="D476" s="109" t="s">
        <v>789</v>
      </c>
      <c r="E476" s="110" t="s">
        <v>790</v>
      </c>
      <c r="F476" s="111" t="s">
        <v>1955</v>
      </c>
      <c r="G476" s="111" t="s">
        <v>1956</v>
      </c>
      <c r="H476" s="95"/>
      <c r="I476" s="9"/>
      <c r="J476" s="9" t="s">
        <v>791</v>
      </c>
      <c r="K476" s="14"/>
      <c r="L476" s="14"/>
      <c r="M476" s="12"/>
      <c r="N476" s="9"/>
      <c r="O476" s="9"/>
      <c r="P476" s="9"/>
      <c r="Q476" s="38">
        <f>M476+X476-AG476-BB476</f>
        <v>0</v>
      </c>
      <c r="R476" s="12"/>
      <c r="S476" s="42"/>
      <c r="T476" s="15"/>
      <c r="U476" s="44"/>
      <c r="V476" s="15"/>
      <c r="W476" s="44"/>
      <c r="X476" s="15">
        <f>R476+T476+V476</f>
        <v>0</v>
      </c>
      <c r="Y476" s="15"/>
      <c r="Z476" s="44"/>
      <c r="AA476" s="15"/>
      <c r="AB476" s="44"/>
      <c r="AC476" s="15"/>
      <c r="AD476" s="44"/>
      <c r="AE476" s="15"/>
      <c r="AF476" s="44"/>
      <c r="AG476" s="15">
        <f>(Y476+AA476+AC476+AE476)</f>
        <v>0</v>
      </c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/>
      <c r="BA476" s="42"/>
      <c r="BB476" s="15">
        <f>AH476+AJ476+AL476+AN476+AP476+AR476+AT476+AV476+AX476+AZ476</f>
        <v>0</v>
      </c>
      <c r="BC476" s="15"/>
      <c r="BD476" s="44"/>
      <c r="BE476" s="15"/>
      <c r="BF476" s="44"/>
      <c r="BG476" s="15">
        <f>(BC476+BE476)</f>
        <v>0</v>
      </c>
    </row>
    <row r="477" spans="1:59" s="8" customFormat="1" ht="22.5" hidden="1" customHeight="1">
      <c r="A477" s="9"/>
      <c r="B477" s="16" t="s">
        <v>101</v>
      </c>
      <c r="C477" s="89" t="s">
        <v>151</v>
      </c>
      <c r="D477" s="109" t="s">
        <v>792</v>
      </c>
      <c r="E477" s="110" t="s">
        <v>793</v>
      </c>
      <c r="F477" s="111" t="s">
        <v>1957</v>
      </c>
      <c r="G477" s="111" t="s">
        <v>1958</v>
      </c>
      <c r="H477" s="95"/>
      <c r="I477" s="9"/>
      <c r="J477" s="9" t="s">
        <v>791</v>
      </c>
      <c r="K477" s="14"/>
      <c r="L477" s="14"/>
      <c r="M477" s="12"/>
      <c r="N477" s="9"/>
      <c r="O477" s="9"/>
      <c r="P477" s="9"/>
      <c r="Q477" s="38">
        <f>M477+X477-AG477-BB477</f>
        <v>0</v>
      </c>
      <c r="R477" s="12"/>
      <c r="S477" s="42"/>
      <c r="T477" s="15"/>
      <c r="U477" s="44"/>
      <c r="V477" s="15"/>
      <c r="W477" s="44"/>
      <c r="X477" s="15">
        <f>R477+T477+V477</f>
        <v>0</v>
      </c>
      <c r="Y477" s="15"/>
      <c r="Z477" s="44"/>
      <c r="AA477" s="15"/>
      <c r="AB477" s="44"/>
      <c r="AC477" s="15"/>
      <c r="AD477" s="44"/>
      <c r="AE477" s="15"/>
      <c r="AF477" s="44"/>
      <c r="AG477" s="15">
        <f>(Y477+AA477+AC477+AE477)</f>
        <v>0</v>
      </c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/>
      <c r="BA477" s="42"/>
      <c r="BB477" s="15">
        <f>AH477+AJ477+AL477+AN477+AP477+AR477+AT477+AV477+AX477+AZ477</f>
        <v>0</v>
      </c>
      <c r="BC477" s="15"/>
      <c r="BD477" s="44"/>
      <c r="BE477" s="15"/>
      <c r="BF477" s="44"/>
      <c r="BG477" s="15">
        <f>(BC477+BE477)</f>
        <v>0</v>
      </c>
    </row>
    <row r="478" spans="1:59" s="8" customFormat="1" ht="22.5" hidden="1" customHeight="1">
      <c r="A478" s="9"/>
      <c r="B478" s="16" t="s">
        <v>330</v>
      </c>
      <c r="C478" s="89" t="s">
        <v>151</v>
      </c>
      <c r="D478" s="109" t="s">
        <v>794</v>
      </c>
      <c r="E478" s="110" t="s">
        <v>330</v>
      </c>
      <c r="F478" s="111" t="s">
        <v>794</v>
      </c>
      <c r="G478" s="111" t="s">
        <v>1959</v>
      </c>
      <c r="H478" s="95"/>
      <c r="I478" s="9"/>
      <c r="J478" s="9" t="s">
        <v>332</v>
      </c>
      <c r="K478" s="14"/>
      <c r="L478" s="14"/>
      <c r="M478" s="12"/>
      <c r="N478" s="9"/>
      <c r="O478" s="9"/>
      <c r="P478" s="9"/>
      <c r="Q478" s="38">
        <f>M478+X478-AG478-BB478</f>
        <v>0</v>
      </c>
      <c r="R478" s="12"/>
      <c r="S478" s="42"/>
      <c r="T478" s="15"/>
      <c r="U478" s="44"/>
      <c r="V478" s="15"/>
      <c r="W478" s="44"/>
      <c r="X478" s="15">
        <f>R478+T478+V478</f>
        <v>0</v>
      </c>
      <c r="Y478" s="15"/>
      <c r="Z478" s="44"/>
      <c r="AA478" s="15"/>
      <c r="AB478" s="44"/>
      <c r="AC478" s="15"/>
      <c r="AD478" s="44"/>
      <c r="AE478" s="15"/>
      <c r="AF478" s="44"/>
      <c r="AG478" s="15">
        <f>(Y478+AA478+AC478+AE478)</f>
        <v>0</v>
      </c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/>
      <c r="BA478" s="42"/>
      <c r="BB478" s="15">
        <f>AH478+AJ478+AL478+AN478+AP478+AR478+AT478+AV478+AX478+AZ478</f>
        <v>0</v>
      </c>
      <c r="BC478" s="15"/>
      <c r="BD478" s="44"/>
      <c r="BE478" s="15"/>
      <c r="BF478" s="44"/>
      <c r="BG478" s="15">
        <f>(BC478+BE478)</f>
        <v>0</v>
      </c>
    </row>
    <row r="479" spans="1:59" s="8" customFormat="1" ht="22.5" hidden="1" customHeight="1">
      <c r="A479" s="9"/>
      <c r="B479" s="16" t="s">
        <v>801</v>
      </c>
      <c r="C479" s="89"/>
      <c r="D479" s="109" t="s">
        <v>803</v>
      </c>
      <c r="E479" s="110"/>
      <c r="F479" s="111" t="s">
        <v>1960</v>
      </c>
      <c r="G479" s="111" t="s">
        <v>1961</v>
      </c>
      <c r="H479" s="95"/>
      <c r="I479" s="9"/>
      <c r="J479" s="9" t="s">
        <v>467</v>
      </c>
      <c r="K479" s="14"/>
      <c r="L479" s="14"/>
      <c r="M479" s="12"/>
      <c r="N479" s="9"/>
      <c r="O479" s="9"/>
      <c r="P479" s="9"/>
      <c r="Q479" s="38">
        <f>M479+X479-AG479-BB479</f>
        <v>0</v>
      </c>
      <c r="R479" s="12"/>
      <c r="S479" s="42"/>
      <c r="T479" s="15"/>
      <c r="U479" s="44"/>
      <c r="V479" s="15"/>
      <c r="W479" s="44"/>
      <c r="X479" s="15">
        <f>R479+T479+V479</f>
        <v>0</v>
      </c>
      <c r="Y479" s="15"/>
      <c r="Z479" s="44"/>
      <c r="AA479" s="15"/>
      <c r="AB479" s="44"/>
      <c r="AC479" s="15"/>
      <c r="AD479" s="44"/>
      <c r="AE479" s="15"/>
      <c r="AF479" s="44"/>
      <c r="AG479" s="15">
        <f>(Y479+AA479+AC479+AE479)</f>
        <v>0</v>
      </c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/>
      <c r="BA479" s="42"/>
      <c r="BB479" s="15">
        <f>AH479+AJ479+AL479+AN479+AP479+AR479+AT479+AV479+AX479+AZ479</f>
        <v>0</v>
      </c>
      <c r="BC479" s="15"/>
      <c r="BD479" s="44"/>
      <c r="BE479" s="15"/>
      <c r="BF479" s="44"/>
      <c r="BG479" s="15">
        <f>(BC479+BE479)</f>
        <v>0</v>
      </c>
    </row>
    <row r="480" spans="1:59" s="8" customFormat="1" ht="22.5" hidden="1" customHeight="1">
      <c r="A480" s="9"/>
      <c r="B480" s="16" t="s">
        <v>811</v>
      </c>
      <c r="C480" s="89" t="s">
        <v>140</v>
      </c>
      <c r="D480" s="109" t="s">
        <v>1962</v>
      </c>
      <c r="E480" s="110" t="s">
        <v>813</v>
      </c>
      <c r="F480" s="111" t="s">
        <v>1963</v>
      </c>
      <c r="G480" s="111" t="s">
        <v>1964</v>
      </c>
      <c r="H480" s="95"/>
      <c r="I480" s="9"/>
      <c r="J480" s="9" t="s">
        <v>566</v>
      </c>
      <c r="K480" s="14"/>
      <c r="L480" s="14"/>
      <c r="M480" s="12">
        <v>0</v>
      </c>
      <c r="N480" s="9"/>
      <c r="O480" s="9"/>
      <c r="P480" s="9"/>
      <c r="Q480" s="38">
        <f>M480+X480-AG480-BB480</f>
        <v>0</v>
      </c>
      <c r="R480" s="12"/>
      <c r="S480" s="42"/>
      <c r="T480" s="15"/>
      <c r="U480" s="44"/>
      <c r="V480" s="15"/>
      <c r="W480" s="44"/>
      <c r="X480" s="15">
        <f>R480+T480+V480</f>
        <v>0</v>
      </c>
      <c r="Y480" s="15"/>
      <c r="Z480" s="44"/>
      <c r="AA480" s="15"/>
      <c r="AB480" s="44"/>
      <c r="AC480" s="15"/>
      <c r="AD480" s="44"/>
      <c r="AE480" s="15"/>
      <c r="AF480" s="44"/>
      <c r="AG480" s="15">
        <f>(Y480+AA480+AC480+AE480)</f>
        <v>0</v>
      </c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/>
      <c r="BA480" s="42"/>
      <c r="BB480" s="15">
        <f>AH480+AJ480+AL480+AN480+AP480+AR480+AT480+AV480+AX480+AZ480</f>
        <v>0</v>
      </c>
      <c r="BC480" s="15"/>
      <c r="BD480" s="44"/>
      <c r="BE480" s="15"/>
      <c r="BF480" s="44"/>
      <c r="BG480" s="15">
        <f>(BC480+BE480)</f>
        <v>0</v>
      </c>
    </row>
    <row r="481" spans="1:59" s="8" customFormat="1" ht="22.5" hidden="1" customHeight="1">
      <c r="A481" s="9"/>
      <c r="B481" s="16" t="s">
        <v>811</v>
      </c>
      <c r="C481" s="89" t="s">
        <v>132</v>
      </c>
      <c r="D481" s="109" t="s">
        <v>1962</v>
      </c>
      <c r="E481" s="110"/>
      <c r="F481" s="111" t="s">
        <v>1965</v>
      </c>
      <c r="G481" s="111" t="s">
        <v>1966</v>
      </c>
      <c r="H481" s="95"/>
      <c r="I481" s="9"/>
      <c r="J481" s="9" t="s">
        <v>566</v>
      </c>
      <c r="K481" s="14"/>
      <c r="L481" s="14"/>
      <c r="M481" s="12">
        <v>60</v>
      </c>
      <c r="N481" s="9"/>
      <c r="O481" s="9"/>
      <c r="P481" s="9"/>
      <c r="Q481" s="38">
        <f>M481+X481-AG481-BB481</f>
        <v>60</v>
      </c>
      <c r="R481" s="12"/>
      <c r="S481" s="42"/>
      <c r="T481" s="15"/>
      <c r="U481" s="44"/>
      <c r="V481" s="15"/>
      <c r="W481" s="44"/>
      <c r="X481" s="15">
        <f>R481+T481+V481</f>
        <v>0</v>
      </c>
      <c r="Y481" s="15"/>
      <c r="Z481" s="44"/>
      <c r="AA481" s="15"/>
      <c r="AB481" s="44"/>
      <c r="AC481" s="15"/>
      <c r="AD481" s="44"/>
      <c r="AE481" s="15"/>
      <c r="AF481" s="44"/>
      <c r="AG481" s="15">
        <f>(Y481+AA481+AC481+AE481)</f>
        <v>0</v>
      </c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/>
      <c r="BA481" s="42"/>
      <c r="BB481" s="15">
        <f>AH481+AJ481+AL481+AN481+AP481+AR481+AT481+AV481+AX481+AZ481</f>
        <v>0</v>
      </c>
      <c r="BC481" s="15"/>
      <c r="BD481" s="44"/>
      <c r="BE481" s="15"/>
      <c r="BF481" s="44"/>
      <c r="BG481" s="15">
        <f>(BC481+BE481)</f>
        <v>0</v>
      </c>
    </row>
    <row r="482" spans="1:59" s="8" customFormat="1" ht="22.5" hidden="1" customHeight="1">
      <c r="A482" s="9"/>
      <c r="B482" s="16" t="s">
        <v>811</v>
      </c>
      <c r="C482" s="89" t="s">
        <v>140</v>
      </c>
      <c r="D482" s="109" t="s">
        <v>1967</v>
      </c>
      <c r="E482" s="110" t="s">
        <v>815</v>
      </c>
      <c r="F482" s="111" t="s">
        <v>1968</v>
      </c>
      <c r="G482" s="111" t="s">
        <v>1969</v>
      </c>
      <c r="H482" s="95"/>
      <c r="I482" s="9"/>
      <c r="J482" s="9" t="s">
        <v>566</v>
      </c>
      <c r="K482" s="14"/>
      <c r="L482" s="14"/>
      <c r="M482" s="12">
        <v>0</v>
      </c>
      <c r="N482" s="9"/>
      <c r="O482" s="9"/>
      <c r="P482" s="9"/>
      <c r="Q482" s="38">
        <f>M482+X482-AG482-BB482</f>
        <v>0</v>
      </c>
      <c r="R482" s="12"/>
      <c r="S482" s="42"/>
      <c r="T482" s="15"/>
      <c r="U482" s="44"/>
      <c r="V482" s="15"/>
      <c r="W482" s="44"/>
      <c r="X482" s="15">
        <f>R482+T482+V482</f>
        <v>0</v>
      </c>
      <c r="Y482" s="15"/>
      <c r="Z482" s="44"/>
      <c r="AA482" s="15"/>
      <c r="AB482" s="44"/>
      <c r="AC482" s="15"/>
      <c r="AD482" s="44"/>
      <c r="AE482" s="15"/>
      <c r="AF482" s="44"/>
      <c r="AG482" s="15">
        <f>(Y482+AA482+AC482+AE482)</f>
        <v>0</v>
      </c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/>
      <c r="BA482" s="42"/>
      <c r="BB482" s="15">
        <f>AH482+AJ482+AL482+AN482+AP482+AR482+AT482+AV482+AX482+AZ482</f>
        <v>0</v>
      </c>
      <c r="BC482" s="15"/>
      <c r="BD482" s="44"/>
      <c r="BE482" s="15"/>
      <c r="BF482" s="44"/>
      <c r="BG482" s="15">
        <f>(BC482+BE482)</f>
        <v>0</v>
      </c>
    </row>
    <row r="483" spans="1:59" s="8" customFormat="1" ht="22.5" hidden="1" customHeight="1">
      <c r="A483" s="9"/>
      <c r="B483" s="16" t="s">
        <v>334</v>
      </c>
      <c r="C483" s="89" t="s">
        <v>44</v>
      </c>
      <c r="D483" s="109" t="s">
        <v>818</v>
      </c>
      <c r="E483" s="110"/>
      <c r="F483" s="111" t="s">
        <v>1970</v>
      </c>
      <c r="G483" s="111" t="s">
        <v>1971</v>
      </c>
      <c r="H483" s="95"/>
      <c r="I483" s="9"/>
      <c r="J483" s="9" t="s">
        <v>314</v>
      </c>
      <c r="K483" s="14"/>
      <c r="L483" s="14"/>
      <c r="M483" s="12"/>
      <c r="N483" s="9"/>
      <c r="O483" s="9"/>
      <c r="P483" s="9"/>
      <c r="Q483" s="38">
        <f>M483+X483-AG483-BB483</f>
        <v>0</v>
      </c>
      <c r="R483" s="12"/>
      <c r="S483" s="42"/>
      <c r="T483" s="15"/>
      <c r="U483" s="44"/>
      <c r="V483" s="15"/>
      <c r="W483" s="44"/>
      <c r="X483" s="15">
        <f>R483+T483+V483</f>
        <v>0</v>
      </c>
      <c r="Y483" s="15"/>
      <c r="Z483" s="44"/>
      <c r="AA483" s="15"/>
      <c r="AB483" s="44"/>
      <c r="AC483" s="15"/>
      <c r="AD483" s="44"/>
      <c r="AE483" s="15"/>
      <c r="AF483" s="44"/>
      <c r="AG483" s="15">
        <f>(Y483+AA483+AC483+AE483)</f>
        <v>0</v>
      </c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/>
      <c r="BA483" s="42"/>
      <c r="BB483" s="15">
        <f>AH483+AJ483+AL483+AN483+AP483+AR483+AT483+AV483+AX483+AZ483</f>
        <v>0</v>
      </c>
      <c r="BC483" s="15"/>
      <c r="BD483" s="44"/>
      <c r="BE483" s="15"/>
      <c r="BF483" s="44"/>
      <c r="BG483" s="15">
        <f>(BC483+BE483)</f>
        <v>0</v>
      </c>
    </row>
    <row r="484" spans="1:59" s="8" customFormat="1" ht="22.5" hidden="1" customHeight="1">
      <c r="A484" s="9"/>
      <c r="B484" s="16" t="s">
        <v>808</v>
      </c>
      <c r="C484" s="89" t="s">
        <v>151</v>
      </c>
      <c r="D484" s="109" t="s">
        <v>820</v>
      </c>
      <c r="E484" s="110"/>
      <c r="F484" s="111" t="s">
        <v>820</v>
      </c>
      <c r="G484" s="111" t="s">
        <v>1972</v>
      </c>
      <c r="H484" s="95"/>
      <c r="I484" s="9"/>
      <c r="J484" s="9" t="s">
        <v>566</v>
      </c>
      <c r="K484" s="14"/>
      <c r="L484" s="14"/>
      <c r="M484" s="12"/>
      <c r="N484" s="9"/>
      <c r="O484" s="9"/>
      <c r="P484" s="9"/>
      <c r="Q484" s="38">
        <f>M484+X484-AG484-BB484</f>
        <v>0</v>
      </c>
      <c r="R484" s="12"/>
      <c r="S484" s="42"/>
      <c r="T484" s="15"/>
      <c r="U484" s="44"/>
      <c r="V484" s="15"/>
      <c r="W484" s="44"/>
      <c r="X484" s="15">
        <f>R484+T484+V484</f>
        <v>0</v>
      </c>
      <c r="Y484" s="15"/>
      <c r="Z484" s="44"/>
      <c r="AA484" s="15"/>
      <c r="AB484" s="44"/>
      <c r="AC484" s="15"/>
      <c r="AD484" s="44"/>
      <c r="AE484" s="15"/>
      <c r="AF484" s="44"/>
      <c r="AG484" s="15">
        <f>(Y484+AA484+AC484+AE484)</f>
        <v>0</v>
      </c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/>
      <c r="BA484" s="42"/>
      <c r="BB484" s="15">
        <f>AH484+AJ484+AL484+AN484+AP484+AR484+AT484+AV484+AX484+AZ484</f>
        <v>0</v>
      </c>
      <c r="BC484" s="15"/>
      <c r="BD484" s="44"/>
      <c r="BE484" s="15"/>
      <c r="BF484" s="44"/>
      <c r="BG484" s="15">
        <f>(BC484+BE484)</f>
        <v>0</v>
      </c>
    </row>
    <row r="485" spans="1:59" s="8" customFormat="1" ht="22.5" hidden="1" customHeight="1">
      <c r="A485" s="9"/>
      <c r="B485" s="16" t="s">
        <v>808</v>
      </c>
      <c r="C485" s="89" t="s">
        <v>52</v>
      </c>
      <c r="D485" s="109" t="s">
        <v>821</v>
      </c>
      <c r="E485" s="110"/>
      <c r="F485" s="111" t="s">
        <v>1973</v>
      </c>
      <c r="G485" s="111" t="s">
        <v>1974</v>
      </c>
      <c r="H485" s="95"/>
      <c r="I485" s="9"/>
      <c r="J485" s="9" t="s">
        <v>566</v>
      </c>
      <c r="K485" s="14"/>
      <c r="L485" s="14"/>
      <c r="M485" s="12"/>
      <c r="N485" s="9"/>
      <c r="O485" s="9"/>
      <c r="P485" s="9"/>
      <c r="Q485" s="38">
        <f>M485+X485-AG485-BB485</f>
        <v>0</v>
      </c>
      <c r="R485" s="12"/>
      <c r="S485" s="42"/>
      <c r="T485" s="15"/>
      <c r="U485" s="44"/>
      <c r="V485" s="15"/>
      <c r="W485" s="44"/>
      <c r="X485" s="15">
        <f>R485+T485+V485</f>
        <v>0</v>
      </c>
      <c r="Y485" s="15"/>
      <c r="Z485" s="44"/>
      <c r="AA485" s="15"/>
      <c r="AB485" s="44"/>
      <c r="AC485" s="15"/>
      <c r="AD485" s="44"/>
      <c r="AE485" s="15"/>
      <c r="AF485" s="44"/>
      <c r="AG485" s="15">
        <f>(Y485+AA485+AC485+AE485)</f>
        <v>0</v>
      </c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/>
      <c r="BA485" s="42"/>
      <c r="BB485" s="15">
        <f>AH485+AJ485+AL485+AN485+AP485+AR485+AT485+AV485+AX485+AZ485</f>
        <v>0</v>
      </c>
      <c r="BC485" s="15"/>
      <c r="BD485" s="44"/>
      <c r="BE485" s="15"/>
      <c r="BF485" s="44"/>
      <c r="BG485" s="15">
        <f>(BC485+BE485)</f>
        <v>0</v>
      </c>
    </row>
    <row r="486" spans="1:59" s="8" customFormat="1" ht="22.5" hidden="1" customHeight="1">
      <c r="A486" s="9"/>
      <c r="B486" s="16" t="s">
        <v>808</v>
      </c>
      <c r="C486" s="89" t="s">
        <v>52</v>
      </c>
      <c r="D486" s="109" t="s">
        <v>822</v>
      </c>
      <c r="E486" s="110"/>
      <c r="F486" s="111" t="s">
        <v>1975</v>
      </c>
      <c r="G486" s="111" t="s">
        <v>1976</v>
      </c>
      <c r="H486" s="95"/>
      <c r="I486" s="9"/>
      <c r="J486" s="9" t="s">
        <v>566</v>
      </c>
      <c r="K486" s="14"/>
      <c r="L486" s="14"/>
      <c r="M486" s="12"/>
      <c r="N486" s="9"/>
      <c r="O486" s="9"/>
      <c r="P486" s="9"/>
      <c r="Q486" s="38">
        <f>M486+X486-AG486-BB486</f>
        <v>0</v>
      </c>
      <c r="R486" s="12"/>
      <c r="S486" s="42"/>
      <c r="T486" s="15"/>
      <c r="U486" s="44"/>
      <c r="V486" s="15"/>
      <c r="W486" s="44"/>
      <c r="X486" s="15">
        <f>R486+T486+V486</f>
        <v>0</v>
      </c>
      <c r="Y486" s="15"/>
      <c r="Z486" s="44"/>
      <c r="AA486" s="15"/>
      <c r="AB486" s="44"/>
      <c r="AC486" s="15"/>
      <c r="AD486" s="44"/>
      <c r="AE486" s="15"/>
      <c r="AF486" s="44"/>
      <c r="AG486" s="15">
        <f>(Y486+AA486+AC486+AE486)</f>
        <v>0</v>
      </c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/>
      <c r="BA486" s="42"/>
      <c r="BB486" s="15">
        <f>AH486+AJ486+AL486+AN486+AP486+AR486+AT486+AV486+AX486+AZ486</f>
        <v>0</v>
      </c>
      <c r="BC486" s="15"/>
      <c r="BD486" s="44"/>
      <c r="BE486" s="15"/>
      <c r="BF486" s="44"/>
      <c r="BG486" s="15">
        <f>(BC486+BE486)</f>
        <v>0</v>
      </c>
    </row>
    <row r="487" spans="1:59" s="8" customFormat="1" ht="22.5" hidden="1" customHeight="1">
      <c r="A487" s="9"/>
      <c r="B487" s="16" t="s">
        <v>808</v>
      </c>
      <c r="C487" s="89" t="s">
        <v>52</v>
      </c>
      <c r="D487" s="109" t="s">
        <v>823</v>
      </c>
      <c r="E487" s="110"/>
      <c r="F487" s="111" t="s">
        <v>1977</v>
      </c>
      <c r="G487" s="111" t="s">
        <v>1978</v>
      </c>
      <c r="H487" s="95"/>
      <c r="I487" s="9"/>
      <c r="J487" s="9" t="s">
        <v>566</v>
      </c>
      <c r="K487" s="14"/>
      <c r="L487" s="14"/>
      <c r="M487" s="12"/>
      <c r="N487" s="9"/>
      <c r="O487" s="9"/>
      <c r="P487" s="9"/>
      <c r="Q487" s="38">
        <f>M487+X487-AG487-BB487</f>
        <v>0</v>
      </c>
      <c r="R487" s="12"/>
      <c r="S487" s="42"/>
      <c r="T487" s="15"/>
      <c r="U487" s="44"/>
      <c r="V487" s="15"/>
      <c r="W487" s="44"/>
      <c r="X487" s="15">
        <f>R487+T487+V487</f>
        <v>0</v>
      </c>
      <c r="Y487" s="15"/>
      <c r="Z487" s="44"/>
      <c r="AA487" s="15"/>
      <c r="AB487" s="44"/>
      <c r="AC487" s="15"/>
      <c r="AD487" s="44"/>
      <c r="AE487" s="15"/>
      <c r="AF487" s="44"/>
      <c r="AG487" s="15">
        <f>(Y487+AA487+AC487+AE487)</f>
        <v>0</v>
      </c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/>
      <c r="BA487" s="42"/>
      <c r="BB487" s="15">
        <f>AH487+AJ487+AL487+AN487+AP487+AR487+AT487+AV487+AX487+AZ487</f>
        <v>0</v>
      </c>
      <c r="BC487" s="15"/>
      <c r="BD487" s="44"/>
      <c r="BE487" s="15"/>
      <c r="BF487" s="44"/>
      <c r="BG487" s="15">
        <f>(BC487+BE487)</f>
        <v>0</v>
      </c>
    </row>
    <row r="488" spans="1:59" s="8" customFormat="1" ht="22.5" hidden="1" customHeight="1">
      <c r="A488" s="9"/>
      <c r="B488" s="16" t="s">
        <v>808</v>
      </c>
      <c r="C488" s="89" t="s">
        <v>52</v>
      </c>
      <c r="D488" s="109" t="s">
        <v>824</v>
      </c>
      <c r="E488" s="110"/>
      <c r="F488" s="111" t="s">
        <v>1979</v>
      </c>
      <c r="G488" s="111" t="s">
        <v>1980</v>
      </c>
      <c r="H488" s="95"/>
      <c r="I488" s="9"/>
      <c r="J488" s="9" t="s">
        <v>566</v>
      </c>
      <c r="K488" s="14"/>
      <c r="L488" s="14"/>
      <c r="M488" s="12"/>
      <c r="N488" s="9"/>
      <c r="O488" s="9"/>
      <c r="P488" s="9"/>
      <c r="Q488" s="38">
        <f>M488+X488-AG488-BB488</f>
        <v>0</v>
      </c>
      <c r="R488" s="12"/>
      <c r="S488" s="42"/>
      <c r="T488" s="15"/>
      <c r="U488" s="44"/>
      <c r="V488" s="15"/>
      <c r="W488" s="44"/>
      <c r="X488" s="15">
        <f>R488+T488+V488</f>
        <v>0</v>
      </c>
      <c r="Y488" s="15"/>
      <c r="Z488" s="44"/>
      <c r="AA488" s="15"/>
      <c r="AB488" s="44"/>
      <c r="AC488" s="15"/>
      <c r="AD488" s="44"/>
      <c r="AE488" s="15"/>
      <c r="AF488" s="44"/>
      <c r="AG488" s="15">
        <f>(Y488+AA488+AC488+AE488)</f>
        <v>0</v>
      </c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/>
      <c r="BA488" s="42"/>
      <c r="BB488" s="15">
        <f>AH488+AJ488+AL488+AN488+AP488+AR488+AT488+AV488+AX488+AZ488</f>
        <v>0</v>
      </c>
      <c r="BC488" s="15"/>
      <c r="BD488" s="44"/>
      <c r="BE488" s="15"/>
      <c r="BF488" s="44"/>
      <c r="BG488" s="15">
        <f>(BC488+BE488)</f>
        <v>0</v>
      </c>
    </row>
    <row r="489" spans="1:59" s="8" customFormat="1" ht="22.5" hidden="1" customHeight="1">
      <c r="A489" s="9"/>
      <c r="B489" s="16" t="s">
        <v>808</v>
      </c>
      <c r="C489" s="89" t="s">
        <v>52</v>
      </c>
      <c r="D489" s="109" t="s">
        <v>825</v>
      </c>
      <c r="E489" s="110"/>
      <c r="F489" s="111" t="s">
        <v>1981</v>
      </c>
      <c r="G489" s="111" t="s">
        <v>1982</v>
      </c>
      <c r="H489" s="95"/>
      <c r="I489" s="9"/>
      <c r="J489" s="9" t="s">
        <v>566</v>
      </c>
      <c r="K489" s="14"/>
      <c r="L489" s="14"/>
      <c r="M489" s="12"/>
      <c r="N489" s="9"/>
      <c r="O489" s="9"/>
      <c r="P489" s="9"/>
      <c r="Q489" s="38">
        <f>M489+X489-AG489-BB489</f>
        <v>0</v>
      </c>
      <c r="R489" s="12"/>
      <c r="S489" s="42"/>
      <c r="T489" s="15"/>
      <c r="U489" s="44"/>
      <c r="V489" s="15"/>
      <c r="W489" s="44"/>
      <c r="X489" s="15">
        <f>R489+T489+V489</f>
        <v>0</v>
      </c>
      <c r="Y489" s="15"/>
      <c r="Z489" s="44"/>
      <c r="AA489" s="15"/>
      <c r="AB489" s="44"/>
      <c r="AC489" s="15"/>
      <c r="AD489" s="44"/>
      <c r="AE489" s="15"/>
      <c r="AF489" s="44"/>
      <c r="AG489" s="15">
        <f>(Y489+AA489+AC489+AE489)</f>
        <v>0</v>
      </c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/>
      <c r="BA489" s="42"/>
      <c r="BB489" s="15">
        <f>AH489+AJ489+AL489+AN489+AP489+AR489+AT489+AV489+AX489+AZ489</f>
        <v>0</v>
      </c>
      <c r="BC489" s="15"/>
      <c r="BD489" s="44"/>
      <c r="BE489" s="15"/>
      <c r="BF489" s="44"/>
      <c r="BG489" s="15">
        <f>(BC489+BE489)</f>
        <v>0</v>
      </c>
    </row>
    <row r="490" spans="1:59" s="8" customFormat="1" ht="22.5" hidden="1" customHeight="1">
      <c r="A490" s="9"/>
      <c r="B490" s="16" t="s">
        <v>808</v>
      </c>
      <c r="C490" s="89" t="s">
        <v>52</v>
      </c>
      <c r="D490" s="109" t="s">
        <v>826</v>
      </c>
      <c r="E490" s="110"/>
      <c r="F490" s="111" t="s">
        <v>1983</v>
      </c>
      <c r="G490" s="111" t="s">
        <v>1984</v>
      </c>
      <c r="H490" s="95"/>
      <c r="I490" s="9"/>
      <c r="J490" s="9" t="s">
        <v>566</v>
      </c>
      <c r="K490" s="14"/>
      <c r="L490" s="14"/>
      <c r="M490" s="12"/>
      <c r="N490" s="9"/>
      <c r="O490" s="9"/>
      <c r="P490" s="9"/>
      <c r="Q490" s="38">
        <f>M490+X490-AG490-BB490</f>
        <v>0</v>
      </c>
      <c r="R490" s="12"/>
      <c r="S490" s="42"/>
      <c r="T490" s="15"/>
      <c r="U490" s="44"/>
      <c r="V490" s="15"/>
      <c r="W490" s="44"/>
      <c r="X490" s="15">
        <f>R490+T490+V490</f>
        <v>0</v>
      </c>
      <c r="Y490" s="15"/>
      <c r="Z490" s="44"/>
      <c r="AA490" s="15"/>
      <c r="AB490" s="44"/>
      <c r="AC490" s="15"/>
      <c r="AD490" s="44"/>
      <c r="AE490" s="15"/>
      <c r="AF490" s="44"/>
      <c r="AG490" s="15">
        <f>(Y490+AA490+AC490+AE490)</f>
        <v>0</v>
      </c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/>
      <c r="BA490" s="42"/>
      <c r="BB490" s="15">
        <f>AH490+AJ490+AL490+AN490+AP490+AR490+AT490+AV490+AX490+AZ490</f>
        <v>0</v>
      </c>
      <c r="BC490" s="15"/>
      <c r="BD490" s="44"/>
      <c r="BE490" s="15"/>
      <c r="BF490" s="44"/>
      <c r="BG490" s="15">
        <f>(BC490+BE490)</f>
        <v>0</v>
      </c>
    </row>
    <row r="491" spans="1:59" s="8" customFormat="1" ht="22.5" hidden="1" customHeight="1">
      <c r="A491" s="9"/>
      <c r="B491" s="16" t="s">
        <v>808</v>
      </c>
      <c r="C491" s="89" t="s">
        <v>52</v>
      </c>
      <c r="D491" s="109" t="s">
        <v>827</v>
      </c>
      <c r="E491" s="110"/>
      <c r="F491" s="111" t="s">
        <v>1985</v>
      </c>
      <c r="G491" s="111" t="s">
        <v>1986</v>
      </c>
      <c r="H491" s="95"/>
      <c r="I491" s="9"/>
      <c r="J491" s="9" t="s">
        <v>566</v>
      </c>
      <c r="K491" s="14"/>
      <c r="L491" s="14"/>
      <c r="M491" s="12"/>
      <c r="N491" s="9"/>
      <c r="O491" s="9"/>
      <c r="P491" s="9"/>
      <c r="Q491" s="38">
        <f>M491+X491-AG491-BB491</f>
        <v>0</v>
      </c>
      <c r="R491" s="12"/>
      <c r="S491" s="42"/>
      <c r="T491" s="15"/>
      <c r="U491" s="44"/>
      <c r="V491" s="15"/>
      <c r="W491" s="44"/>
      <c r="X491" s="15">
        <f>R491+T491+V491</f>
        <v>0</v>
      </c>
      <c r="Y491" s="15"/>
      <c r="Z491" s="44"/>
      <c r="AA491" s="15"/>
      <c r="AB491" s="44"/>
      <c r="AC491" s="15"/>
      <c r="AD491" s="44"/>
      <c r="AE491" s="15"/>
      <c r="AF491" s="44"/>
      <c r="AG491" s="15">
        <f>(Y491+AA491+AC491+AE491)</f>
        <v>0</v>
      </c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/>
      <c r="BA491" s="42"/>
      <c r="BB491" s="15">
        <f>AH491+AJ491+AL491+AN491+AP491+AR491+AT491+AV491+AX491+AZ491</f>
        <v>0</v>
      </c>
      <c r="BC491" s="15"/>
      <c r="BD491" s="44"/>
      <c r="BE491" s="15"/>
      <c r="BF491" s="44"/>
      <c r="BG491" s="15">
        <f>(BC491+BE491)</f>
        <v>0</v>
      </c>
    </row>
    <row r="492" spans="1:59" s="8" customFormat="1" ht="22.5" hidden="1" customHeight="1">
      <c r="A492" s="9"/>
      <c r="B492" s="16" t="s">
        <v>808</v>
      </c>
      <c r="C492" s="89" t="s">
        <v>52</v>
      </c>
      <c r="D492" s="109" t="s">
        <v>828</v>
      </c>
      <c r="E492" s="110"/>
      <c r="F492" s="111" t="s">
        <v>1987</v>
      </c>
      <c r="G492" s="111" t="s">
        <v>1988</v>
      </c>
      <c r="H492" s="95"/>
      <c r="I492" s="9"/>
      <c r="J492" s="9" t="s">
        <v>566</v>
      </c>
      <c r="K492" s="14"/>
      <c r="L492" s="14"/>
      <c r="M492" s="12"/>
      <c r="N492" s="9"/>
      <c r="O492" s="9"/>
      <c r="P492" s="9"/>
      <c r="Q492" s="38">
        <f>M492+X492-AG492-BB492</f>
        <v>0</v>
      </c>
      <c r="R492" s="12"/>
      <c r="S492" s="42"/>
      <c r="T492" s="15"/>
      <c r="U492" s="44"/>
      <c r="V492" s="15"/>
      <c r="W492" s="44"/>
      <c r="X492" s="15">
        <f>R492+T492+V492</f>
        <v>0</v>
      </c>
      <c r="Y492" s="15"/>
      <c r="Z492" s="44"/>
      <c r="AA492" s="15"/>
      <c r="AB492" s="44"/>
      <c r="AC492" s="15"/>
      <c r="AD492" s="44"/>
      <c r="AE492" s="15"/>
      <c r="AF492" s="44"/>
      <c r="AG492" s="15">
        <f>(Y492+AA492+AC492+AE492)</f>
        <v>0</v>
      </c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/>
      <c r="BA492" s="42"/>
      <c r="BB492" s="15">
        <f>AH492+AJ492+AL492+AN492+AP492+AR492+AT492+AV492+AX492+AZ492</f>
        <v>0</v>
      </c>
      <c r="BC492" s="15"/>
      <c r="BD492" s="44"/>
      <c r="BE492" s="15"/>
      <c r="BF492" s="44"/>
      <c r="BG492" s="15">
        <f>(BC492+BE492)</f>
        <v>0</v>
      </c>
    </row>
    <row r="493" spans="1:59" s="8" customFormat="1" ht="22.5" hidden="1" customHeight="1">
      <c r="A493" s="9"/>
      <c r="B493" s="16" t="s">
        <v>808</v>
      </c>
      <c r="C493" s="89" t="s">
        <v>52</v>
      </c>
      <c r="D493" s="109" t="s">
        <v>829</v>
      </c>
      <c r="E493" s="110"/>
      <c r="F493" s="111" t="s">
        <v>1989</v>
      </c>
      <c r="G493" s="111" t="s">
        <v>1990</v>
      </c>
      <c r="H493" s="95"/>
      <c r="I493" s="9"/>
      <c r="J493" s="9" t="s">
        <v>566</v>
      </c>
      <c r="K493" s="14"/>
      <c r="L493" s="14"/>
      <c r="M493" s="12"/>
      <c r="N493" s="9"/>
      <c r="O493" s="9"/>
      <c r="P493" s="9"/>
      <c r="Q493" s="38">
        <f>M493+X493-AG493-BB493</f>
        <v>0</v>
      </c>
      <c r="R493" s="12"/>
      <c r="S493" s="42"/>
      <c r="T493" s="15"/>
      <c r="U493" s="44"/>
      <c r="V493" s="15"/>
      <c r="W493" s="44"/>
      <c r="X493" s="15">
        <f>R493+T493+V493</f>
        <v>0</v>
      </c>
      <c r="Y493" s="15"/>
      <c r="Z493" s="44"/>
      <c r="AA493" s="15"/>
      <c r="AB493" s="44"/>
      <c r="AC493" s="15"/>
      <c r="AD493" s="44"/>
      <c r="AE493" s="15"/>
      <c r="AF493" s="44"/>
      <c r="AG493" s="15">
        <f>(Y493+AA493+AC493+AE493)</f>
        <v>0</v>
      </c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/>
      <c r="BA493" s="42"/>
      <c r="BB493" s="15">
        <f>AH493+AJ493+AL493+AN493+AP493+AR493+AT493+AV493+AX493+AZ493</f>
        <v>0</v>
      </c>
      <c r="BC493" s="15"/>
      <c r="BD493" s="44"/>
      <c r="BE493" s="15"/>
      <c r="BF493" s="44"/>
      <c r="BG493" s="15">
        <f>(BC493+BE493)</f>
        <v>0</v>
      </c>
    </row>
    <row r="494" spans="1:59" s="8" customFormat="1" ht="22.5" hidden="1" customHeight="1">
      <c r="A494" s="9"/>
      <c r="B494" s="16" t="s">
        <v>830</v>
      </c>
      <c r="C494" s="89" t="s">
        <v>494</v>
      </c>
      <c r="D494" s="109" t="s">
        <v>830</v>
      </c>
      <c r="E494" s="110"/>
      <c r="F494" s="111" t="s">
        <v>830</v>
      </c>
      <c r="G494" s="111" t="s">
        <v>1991</v>
      </c>
      <c r="H494" s="95"/>
      <c r="I494" s="9"/>
      <c r="J494" s="9" t="s">
        <v>566</v>
      </c>
      <c r="K494" s="14"/>
      <c r="L494" s="14"/>
      <c r="M494" s="12"/>
      <c r="N494" s="9"/>
      <c r="O494" s="9"/>
      <c r="P494" s="9"/>
      <c r="Q494" s="38">
        <f>M494+X494-AG494-BB494</f>
        <v>0</v>
      </c>
      <c r="R494" s="12"/>
      <c r="S494" s="42"/>
      <c r="T494" s="15"/>
      <c r="U494" s="44"/>
      <c r="V494" s="15"/>
      <c r="W494" s="44"/>
      <c r="X494" s="15">
        <f>R494+T494+V494</f>
        <v>0</v>
      </c>
      <c r="Y494" s="15"/>
      <c r="Z494" s="44"/>
      <c r="AA494" s="15"/>
      <c r="AB494" s="44"/>
      <c r="AC494" s="15"/>
      <c r="AD494" s="44"/>
      <c r="AE494" s="15"/>
      <c r="AF494" s="44"/>
      <c r="AG494" s="15">
        <f>(Y494+AA494+AC494+AE494)</f>
        <v>0</v>
      </c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/>
      <c r="BA494" s="42"/>
      <c r="BB494" s="15">
        <f>AH494+AJ494+AL494+AN494+AP494+AR494+AT494+AV494+AX494+AZ494</f>
        <v>0</v>
      </c>
      <c r="BC494" s="15"/>
      <c r="BD494" s="44"/>
      <c r="BE494" s="15"/>
      <c r="BF494" s="44"/>
      <c r="BG494" s="15">
        <f>(BC494+BE494)</f>
        <v>0</v>
      </c>
    </row>
    <row r="495" spans="1:59" s="8" customFormat="1" ht="22.5" hidden="1" customHeight="1">
      <c r="A495" s="9"/>
      <c r="B495" s="16" t="s">
        <v>831</v>
      </c>
      <c r="C495" s="89" t="s">
        <v>52</v>
      </c>
      <c r="D495" s="109" t="s">
        <v>832</v>
      </c>
      <c r="E495" s="110"/>
      <c r="F495" s="111" t="s">
        <v>832</v>
      </c>
      <c r="G495" s="111" t="s">
        <v>1992</v>
      </c>
      <c r="H495" s="95"/>
      <c r="I495" s="9"/>
      <c r="J495" s="9" t="s">
        <v>314</v>
      </c>
      <c r="K495" s="14"/>
      <c r="L495" s="14"/>
      <c r="M495" s="12">
        <v>37</v>
      </c>
      <c r="N495" s="9"/>
      <c r="O495" s="9"/>
      <c r="P495" s="9"/>
      <c r="Q495" s="38">
        <f>M495+X495-AG495-BB495</f>
        <v>37</v>
      </c>
      <c r="R495" s="12"/>
      <c r="S495" s="42"/>
      <c r="T495" s="15"/>
      <c r="U495" s="44"/>
      <c r="V495" s="15"/>
      <c r="W495" s="44"/>
      <c r="X495" s="15">
        <f>R495+T495+V495</f>
        <v>0</v>
      </c>
      <c r="Y495" s="15"/>
      <c r="Z495" s="44"/>
      <c r="AA495" s="15"/>
      <c r="AB495" s="44"/>
      <c r="AC495" s="15"/>
      <c r="AD495" s="44"/>
      <c r="AE495" s="15"/>
      <c r="AF495" s="44"/>
      <c r="AG495" s="15">
        <f>(Y495+AA495+AC495+AE495)</f>
        <v>0</v>
      </c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/>
      <c r="BA495" s="42"/>
      <c r="BB495" s="15">
        <f>AH495+AJ495+AL495+AN495+AP495+AR495+AT495+AV495+AX495+AZ495</f>
        <v>0</v>
      </c>
      <c r="BC495" s="15"/>
      <c r="BD495" s="44"/>
      <c r="BE495" s="15"/>
      <c r="BF495" s="44"/>
      <c r="BG495" s="15">
        <f>(BC495+BE495)</f>
        <v>0</v>
      </c>
    </row>
    <row r="496" spans="1:59" s="8" customFormat="1" ht="22.5" hidden="1" customHeight="1">
      <c r="A496" s="9"/>
      <c r="B496" s="16" t="s">
        <v>570</v>
      </c>
      <c r="C496" s="89" t="s">
        <v>52</v>
      </c>
      <c r="D496" s="109" t="s">
        <v>833</v>
      </c>
      <c r="E496" s="110"/>
      <c r="F496" s="111" t="s">
        <v>833</v>
      </c>
      <c r="G496" s="111" t="s">
        <v>1993</v>
      </c>
      <c r="H496" s="95"/>
      <c r="I496" s="9"/>
      <c r="J496" s="9" t="s">
        <v>314</v>
      </c>
      <c r="K496" s="14"/>
      <c r="L496" s="14"/>
      <c r="M496" s="12">
        <v>86</v>
      </c>
      <c r="N496" s="9"/>
      <c r="O496" s="9"/>
      <c r="P496" s="9"/>
      <c r="Q496" s="38">
        <f>M496+X496-AG496-BB496</f>
        <v>86</v>
      </c>
      <c r="R496" s="12"/>
      <c r="S496" s="42"/>
      <c r="T496" s="15"/>
      <c r="U496" s="44"/>
      <c r="V496" s="15"/>
      <c r="W496" s="44"/>
      <c r="X496" s="15">
        <f>R496+T496+V496</f>
        <v>0</v>
      </c>
      <c r="Y496" s="15"/>
      <c r="Z496" s="44"/>
      <c r="AA496" s="15"/>
      <c r="AB496" s="44"/>
      <c r="AC496" s="15"/>
      <c r="AD496" s="44"/>
      <c r="AE496" s="15"/>
      <c r="AF496" s="44"/>
      <c r="AG496" s="15">
        <f>(Y496+AA496+AC496+AE496)</f>
        <v>0</v>
      </c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/>
      <c r="BA496" s="42"/>
      <c r="BB496" s="15">
        <f>AH496+AJ496+AL496+AN496+AP496+AR496+AT496+AV496+AX496+AZ496</f>
        <v>0</v>
      </c>
      <c r="BC496" s="15"/>
      <c r="BD496" s="44"/>
      <c r="BE496" s="15"/>
      <c r="BF496" s="44"/>
      <c r="BG496" s="15">
        <f>(BC496+BE496)</f>
        <v>0</v>
      </c>
    </row>
    <row r="497" spans="1:59" s="8" customFormat="1" ht="22.5" hidden="1" customHeight="1">
      <c r="A497" s="9"/>
      <c r="B497" s="16" t="s">
        <v>204</v>
      </c>
      <c r="C497" s="89" t="s">
        <v>52</v>
      </c>
      <c r="D497" s="109" t="s">
        <v>834</v>
      </c>
      <c r="E497" s="110"/>
      <c r="F497" s="111" t="s">
        <v>1994</v>
      </c>
      <c r="G497" s="111" t="s">
        <v>1995</v>
      </c>
      <c r="H497" s="95"/>
      <c r="I497" s="9"/>
      <c r="J497" s="23" t="s">
        <v>566</v>
      </c>
      <c r="K497" s="14"/>
      <c r="L497" s="14"/>
      <c r="M497" s="12"/>
      <c r="N497" s="9"/>
      <c r="O497" s="9"/>
      <c r="P497" s="9"/>
      <c r="Q497" s="38">
        <f>M497+X497-AG497-BB497</f>
        <v>0</v>
      </c>
      <c r="R497" s="12"/>
      <c r="S497" s="42"/>
      <c r="T497" s="15"/>
      <c r="U497" s="44"/>
      <c r="V497" s="15"/>
      <c r="W497" s="44"/>
      <c r="X497" s="15">
        <f>R497+T497+V497</f>
        <v>0</v>
      </c>
      <c r="Y497" s="15"/>
      <c r="Z497" s="44"/>
      <c r="AA497" s="15"/>
      <c r="AB497" s="44"/>
      <c r="AC497" s="15"/>
      <c r="AD497" s="44"/>
      <c r="AE497" s="15"/>
      <c r="AF497" s="44"/>
      <c r="AG497" s="15">
        <f>(Y497+AA497+AC497+AE497)</f>
        <v>0</v>
      </c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/>
      <c r="BA497" s="42"/>
      <c r="BB497" s="15">
        <f>AH497+AJ497+AL497+AN497+AP497+AR497+AT497+AV497+AX497+AZ497</f>
        <v>0</v>
      </c>
      <c r="BC497" s="15"/>
      <c r="BD497" s="44"/>
      <c r="BE497" s="15"/>
      <c r="BF497" s="44"/>
      <c r="BG497" s="15">
        <f>(BC497+BE497)</f>
        <v>0</v>
      </c>
    </row>
    <row r="498" spans="1:59" s="8" customFormat="1" ht="22.5" hidden="1" customHeight="1">
      <c r="A498" s="9"/>
      <c r="B498" s="16" t="s">
        <v>233</v>
      </c>
      <c r="C498" s="89" t="s">
        <v>494</v>
      </c>
      <c r="D498" s="109" t="s">
        <v>835</v>
      </c>
      <c r="E498" s="110"/>
      <c r="F498" s="111" t="s">
        <v>1996</v>
      </c>
      <c r="G498" s="111" t="s">
        <v>1997</v>
      </c>
      <c r="H498" s="95"/>
      <c r="I498" s="9"/>
      <c r="J498" s="9" t="s">
        <v>558</v>
      </c>
      <c r="K498" s="14"/>
      <c r="L498" s="14"/>
      <c r="M498" s="12">
        <v>53</v>
      </c>
      <c r="N498" s="9"/>
      <c r="O498" s="9"/>
      <c r="P498" s="9"/>
      <c r="Q498" s="38">
        <f>M498+X498-AG498-BB498</f>
        <v>53</v>
      </c>
      <c r="R498" s="12"/>
      <c r="S498" s="42"/>
      <c r="T498" s="15"/>
      <c r="U498" s="44"/>
      <c r="V498" s="15"/>
      <c r="W498" s="44"/>
      <c r="X498" s="15">
        <f>R498+T498+V498</f>
        <v>0</v>
      </c>
      <c r="Y498" s="15"/>
      <c r="Z498" s="44"/>
      <c r="AA498" s="15"/>
      <c r="AB498" s="44"/>
      <c r="AC498" s="15"/>
      <c r="AD498" s="44"/>
      <c r="AE498" s="15"/>
      <c r="AF498" s="44"/>
      <c r="AG498" s="15">
        <f>(Y498+AA498+AC498+AE498)</f>
        <v>0</v>
      </c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/>
      <c r="BA498" s="42"/>
      <c r="BB498" s="15">
        <f>AH498+AJ498+AL498+AN498+AP498+AR498+AT498+AV498+AX498+AZ498</f>
        <v>0</v>
      </c>
      <c r="BC498" s="15"/>
      <c r="BD498" s="44"/>
      <c r="BE498" s="15"/>
      <c r="BF498" s="44"/>
      <c r="BG498" s="15">
        <f>(BC498+BE498)</f>
        <v>0</v>
      </c>
    </row>
    <row r="499" spans="1:59" s="8" customFormat="1" ht="22.5" hidden="1" customHeight="1">
      <c r="A499" s="9"/>
      <c r="B499" s="16" t="s">
        <v>836</v>
      </c>
      <c r="C499" s="89" t="s">
        <v>151</v>
      </c>
      <c r="D499" s="109" t="s">
        <v>837</v>
      </c>
      <c r="E499" s="110"/>
      <c r="F499" s="111" t="s">
        <v>1998</v>
      </c>
      <c r="G499" s="111" t="s">
        <v>1999</v>
      </c>
      <c r="H499" s="95"/>
      <c r="I499" s="9"/>
      <c r="J499" s="9" t="s">
        <v>805</v>
      </c>
      <c r="K499" s="14"/>
      <c r="L499" s="14"/>
      <c r="M499" s="12"/>
      <c r="N499" s="9"/>
      <c r="O499" s="9"/>
      <c r="P499" s="9"/>
      <c r="Q499" s="38">
        <f>M499+X499-AG499-BB499</f>
        <v>0</v>
      </c>
      <c r="R499" s="12"/>
      <c r="S499" s="42"/>
      <c r="T499" s="15"/>
      <c r="U499" s="44"/>
      <c r="V499" s="15"/>
      <c r="W499" s="44"/>
      <c r="X499" s="15">
        <f>R499+T499+V499</f>
        <v>0</v>
      </c>
      <c r="Y499" s="15"/>
      <c r="Z499" s="44"/>
      <c r="AA499" s="15"/>
      <c r="AB499" s="44"/>
      <c r="AC499" s="15"/>
      <c r="AD499" s="44"/>
      <c r="AE499" s="15"/>
      <c r="AF499" s="44"/>
      <c r="AG499" s="15">
        <f>(Y499+AA499+AC499+AE499)</f>
        <v>0</v>
      </c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/>
      <c r="BA499" s="42"/>
      <c r="BB499" s="15">
        <f>AH499+AJ499+AL499+AN499+AP499+AR499+AT499+AV499+AX499+AZ499</f>
        <v>0</v>
      </c>
      <c r="BC499" s="15"/>
      <c r="BD499" s="44"/>
      <c r="BE499" s="15"/>
      <c r="BF499" s="44"/>
      <c r="BG499" s="15">
        <f>(BC499+BE499)</f>
        <v>0</v>
      </c>
    </row>
    <row r="500" spans="1:59" s="8" customFormat="1" ht="22.5" hidden="1" customHeight="1">
      <c r="A500" s="9"/>
      <c r="B500" s="16" t="s">
        <v>836</v>
      </c>
      <c r="C500" s="89" t="s">
        <v>151</v>
      </c>
      <c r="D500" s="109" t="s">
        <v>838</v>
      </c>
      <c r="E500" s="110"/>
      <c r="F500" s="111" t="s">
        <v>2000</v>
      </c>
      <c r="G500" s="111" t="s">
        <v>2001</v>
      </c>
      <c r="H500" s="95"/>
      <c r="I500" s="9"/>
      <c r="J500" s="9" t="s">
        <v>805</v>
      </c>
      <c r="K500" s="14"/>
      <c r="L500" s="14"/>
      <c r="M500" s="12"/>
      <c r="N500" s="9"/>
      <c r="O500" s="9"/>
      <c r="P500" s="9"/>
      <c r="Q500" s="38">
        <f>M500+X500-AG500-BB500</f>
        <v>0</v>
      </c>
      <c r="R500" s="12"/>
      <c r="S500" s="42"/>
      <c r="T500" s="15"/>
      <c r="U500" s="44"/>
      <c r="V500" s="15"/>
      <c r="W500" s="44"/>
      <c r="X500" s="15">
        <f>R500+T500+V500</f>
        <v>0</v>
      </c>
      <c r="Y500" s="15"/>
      <c r="Z500" s="44"/>
      <c r="AA500" s="15"/>
      <c r="AB500" s="44"/>
      <c r="AC500" s="15"/>
      <c r="AD500" s="44"/>
      <c r="AE500" s="15"/>
      <c r="AF500" s="44"/>
      <c r="AG500" s="15">
        <f>(Y500+AA500+AC500+AE500)</f>
        <v>0</v>
      </c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/>
      <c r="BA500" s="42"/>
      <c r="BB500" s="15">
        <f>AH500+AJ500+AL500+AN500+AP500+AR500+AT500+AV500+AX500+AZ500</f>
        <v>0</v>
      </c>
      <c r="BC500" s="15"/>
      <c r="BD500" s="44"/>
      <c r="BE500" s="15"/>
      <c r="BF500" s="44"/>
      <c r="BG500" s="15">
        <f>(BC500+BE500)</f>
        <v>0</v>
      </c>
    </row>
    <row r="501" spans="1:59" s="8" customFormat="1" ht="22.5" hidden="1" customHeight="1">
      <c r="A501" s="9"/>
      <c r="B501" s="16" t="s">
        <v>836</v>
      </c>
      <c r="C501" s="89" t="s">
        <v>151</v>
      </c>
      <c r="D501" s="109" t="s">
        <v>839</v>
      </c>
      <c r="E501" s="110"/>
      <c r="F501" s="111" t="s">
        <v>2002</v>
      </c>
      <c r="G501" s="111" t="s">
        <v>2003</v>
      </c>
      <c r="H501" s="95"/>
      <c r="I501" s="9"/>
      <c r="J501" s="9" t="s">
        <v>840</v>
      </c>
      <c r="K501" s="14"/>
      <c r="L501" s="14"/>
      <c r="M501" s="12"/>
      <c r="N501" s="9"/>
      <c r="O501" s="9"/>
      <c r="P501" s="9"/>
      <c r="Q501" s="38">
        <f>M501+X501-AG501-BB501</f>
        <v>0</v>
      </c>
      <c r="R501" s="12"/>
      <c r="S501" s="42"/>
      <c r="T501" s="15"/>
      <c r="U501" s="44"/>
      <c r="V501" s="15"/>
      <c r="W501" s="44"/>
      <c r="X501" s="15">
        <f>R501+T501+V501</f>
        <v>0</v>
      </c>
      <c r="Y501" s="15"/>
      <c r="Z501" s="44"/>
      <c r="AA501" s="15"/>
      <c r="AB501" s="44"/>
      <c r="AC501" s="15"/>
      <c r="AD501" s="44"/>
      <c r="AE501" s="15"/>
      <c r="AF501" s="44"/>
      <c r="AG501" s="15">
        <f>(Y501+AA501+AC501+AE501)</f>
        <v>0</v>
      </c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/>
      <c r="BA501" s="42"/>
      <c r="BB501" s="15">
        <f>AH501+AJ501+AL501+AN501+AP501+AR501+AT501+AV501+AX501+AZ501</f>
        <v>0</v>
      </c>
      <c r="BC501" s="15"/>
      <c r="BD501" s="44"/>
      <c r="BE501" s="15"/>
      <c r="BF501" s="44"/>
      <c r="BG501" s="15">
        <f>(BC501+BE501)</f>
        <v>0</v>
      </c>
    </row>
    <row r="502" spans="1:59" s="8" customFormat="1" ht="22.5" hidden="1" customHeight="1">
      <c r="A502" s="9"/>
      <c r="B502" s="16" t="s">
        <v>836</v>
      </c>
      <c r="C502" s="89" t="s">
        <v>151</v>
      </c>
      <c r="D502" s="109" t="s">
        <v>841</v>
      </c>
      <c r="E502" s="110"/>
      <c r="F502" s="111" t="s">
        <v>2004</v>
      </c>
      <c r="G502" s="111" t="s">
        <v>2005</v>
      </c>
      <c r="H502" s="95"/>
      <c r="I502" s="9"/>
      <c r="J502" s="9" t="s">
        <v>840</v>
      </c>
      <c r="K502" s="14"/>
      <c r="L502" s="14"/>
      <c r="M502" s="12"/>
      <c r="N502" s="9"/>
      <c r="O502" s="9"/>
      <c r="P502" s="9"/>
      <c r="Q502" s="38">
        <f>M502+X502-AG502-BB502</f>
        <v>0</v>
      </c>
      <c r="R502" s="12"/>
      <c r="S502" s="42"/>
      <c r="T502" s="15"/>
      <c r="U502" s="44"/>
      <c r="V502" s="15"/>
      <c r="W502" s="44"/>
      <c r="X502" s="15">
        <f>R502+T502+V502</f>
        <v>0</v>
      </c>
      <c r="Y502" s="15"/>
      <c r="Z502" s="44"/>
      <c r="AA502" s="15"/>
      <c r="AB502" s="44"/>
      <c r="AC502" s="15"/>
      <c r="AD502" s="44"/>
      <c r="AE502" s="15"/>
      <c r="AF502" s="44"/>
      <c r="AG502" s="15">
        <f>(Y502+AA502+AC502+AE502)</f>
        <v>0</v>
      </c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/>
      <c r="BA502" s="42"/>
      <c r="BB502" s="15">
        <f>AH502+AJ502+AL502+AN502+AP502+AR502+AT502+AV502+AX502+AZ502</f>
        <v>0</v>
      </c>
      <c r="BC502" s="15"/>
      <c r="BD502" s="44"/>
      <c r="BE502" s="15"/>
      <c r="BF502" s="44"/>
      <c r="BG502" s="15">
        <f>(BC502+BE502)</f>
        <v>0</v>
      </c>
    </row>
    <row r="503" spans="1:59" s="8" customFormat="1" ht="22.5" hidden="1" customHeight="1">
      <c r="A503" s="9"/>
      <c r="B503" s="16" t="s">
        <v>836</v>
      </c>
      <c r="C503" s="89" t="s">
        <v>151</v>
      </c>
      <c r="D503" s="109" t="s">
        <v>842</v>
      </c>
      <c r="E503" s="110"/>
      <c r="F503" s="111" t="s">
        <v>2006</v>
      </c>
      <c r="G503" s="111" t="s">
        <v>2007</v>
      </c>
      <c r="H503" s="95"/>
      <c r="I503" s="9"/>
      <c r="J503" s="9" t="s">
        <v>840</v>
      </c>
      <c r="K503" s="14"/>
      <c r="L503" s="14"/>
      <c r="M503" s="12"/>
      <c r="N503" s="9"/>
      <c r="O503" s="9"/>
      <c r="P503" s="9"/>
      <c r="Q503" s="38">
        <f>M503+X503-AG503-BB503</f>
        <v>0</v>
      </c>
      <c r="R503" s="12"/>
      <c r="S503" s="42"/>
      <c r="T503" s="15"/>
      <c r="U503" s="44"/>
      <c r="V503" s="15"/>
      <c r="W503" s="44"/>
      <c r="X503" s="15">
        <f>R503+T503+V503</f>
        <v>0</v>
      </c>
      <c r="Y503" s="15"/>
      <c r="Z503" s="44"/>
      <c r="AA503" s="15"/>
      <c r="AB503" s="44"/>
      <c r="AC503" s="15"/>
      <c r="AD503" s="44"/>
      <c r="AE503" s="15"/>
      <c r="AF503" s="44"/>
      <c r="AG503" s="15">
        <f>(Y503+AA503+AC503+AE503)</f>
        <v>0</v>
      </c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/>
      <c r="BA503" s="42"/>
      <c r="BB503" s="15">
        <f>AH503+AJ503+AL503+AN503+AP503+AR503+AT503+AV503+AX503+AZ503</f>
        <v>0</v>
      </c>
      <c r="BC503" s="15"/>
      <c r="BD503" s="44"/>
      <c r="BE503" s="15"/>
      <c r="BF503" s="44"/>
      <c r="BG503" s="15">
        <f>(BC503+BE503)</f>
        <v>0</v>
      </c>
    </row>
    <row r="504" spans="1:59" s="8" customFormat="1" ht="22.5" hidden="1" customHeight="1">
      <c r="A504" s="9"/>
      <c r="B504" s="16" t="s">
        <v>836</v>
      </c>
      <c r="C504" s="89" t="s">
        <v>151</v>
      </c>
      <c r="D504" s="109" t="s">
        <v>843</v>
      </c>
      <c r="E504" s="110"/>
      <c r="F504" s="111" t="s">
        <v>2008</v>
      </c>
      <c r="G504" s="111" t="s">
        <v>2009</v>
      </c>
      <c r="H504" s="95"/>
      <c r="I504" s="9"/>
      <c r="J504" s="9" t="s">
        <v>840</v>
      </c>
      <c r="K504" s="14"/>
      <c r="L504" s="14"/>
      <c r="M504" s="12"/>
      <c r="N504" s="9"/>
      <c r="O504" s="9"/>
      <c r="P504" s="9"/>
      <c r="Q504" s="38">
        <f>M504+X504-AG504-BB504</f>
        <v>0</v>
      </c>
      <c r="R504" s="12"/>
      <c r="S504" s="42"/>
      <c r="T504" s="15"/>
      <c r="U504" s="44"/>
      <c r="V504" s="15"/>
      <c r="W504" s="44"/>
      <c r="X504" s="15">
        <f>R504+T504+V504</f>
        <v>0</v>
      </c>
      <c r="Y504" s="15"/>
      <c r="Z504" s="44"/>
      <c r="AA504" s="15"/>
      <c r="AB504" s="44"/>
      <c r="AC504" s="15"/>
      <c r="AD504" s="44"/>
      <c r="AE504" s="15"/>
      <c r="AF504" s="44"/>
      <c r="AG504" s="15">
        <f>(Y504+AA504+AC504+AE504)</f>
        <v>0</v>
      </c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/>
      <c r="BA504" s="42"/>
      <c r="BB504" s="15">
        <f>AH504+AJ504+AL504+AN504+AP504+AR504+AT504+AV504+AX504+AZ504</f>
        <v>0</v>
      </c>
      <c r="BC504" s="15"/>
      <c r="BD504" s="44"/>
      <c r="BE504" s="15"/>
      <c r="BF504" s="44"/>
      <c r="BG504" s="15">
        <f>(BC504+BE504)</f>
        <v>0</v>
      </c>
    </row>
    <row r="505" spans="1:59" s="8" customFormat="1" ht="22.5" hidden="1" customHeight="1">
      <c r="A505" s="9"/>
      <c r="B505" s="16" t="s">
        <v>836</v>
      </c>
      <c r="C505" s="89" t="s">
        <v>151</v>
      </c>
      <c r="D505" s="109" t="s">
        <v>844</v>
      </c>
      <c r="E505" s="110" t="s">
        <v>845</v>
      </c>
      <c r="F505" s="111" t="s">
        <v>2010</v>
      </c>
      <c r="G505" s="111" t="s">
        <v>2011</v>
      </c>
      <c r="H505" s="95"/>
      <c r="I505" s="9"/>
      <c r="J505" s="9" t="s">
        <v>840</v>
      </c>
      <c r="K505" s="14"/>
      <c r="L505" s="14"/>
      <c r="M505" s="12"/>
      <c r="N505" s="9"/>
      <c r="O505" s="9"/>
      <c r="P505" s="9"/>
      <c r="Q505" s="38">
        <f>M505+X505-AG505-BB505</f>
        <v>0</v>
      </c>
      <c r="R505" s="12"/>
      <c r="S505" s="42"/>
      <c r="T505" s="15"/>
      <c r="U505" s="44"/>
      <c r="V505" s="15"/>
      <c r="W505" s="44"/>
      <c r="X505" s="15">
        <f>R505+T505+V505</f>
        <v>0</v>
      </c>
      <c r="Y505" s="15"/>
      <c r="Z505" s="44"/>
      <c r="AA505" s="15"/>
      <c r="AB505" s="44"/>
      <c r="AC505" s="15"/>
      <c r="AD505" s="44"/>
      <c r="AE505" s="15"/>
      <c r="AF505" s="44"/>
      <c r="AG505" s="15">
        <f>(Y505+AA505+AC505+AE505)</f>
        <v>0</v>
      </c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/>
      <c r="BA505" s="42"/>
      <c r="BB505" s="15">
        <f>AH505+AJ505+AL505+AN505+AP505+AR505+AT505+AV505+AX505+AZ505</f>
        <v>0</v>
      </c>
      <c r="BC505" s="15"/>
      <c r="BD505" s="44"/>
      <c r="BE505" s="15"/>
      <c r="BF505" s="44"/>
      <c r="BG505" s="15">
        <f>(BC505+BE505)</f>
        <v>0</v>
      </c>
    </row>
    <row r="506" spans="1:59" s="8" customFormat="1" ht="22.5" hidden="1" customHeight="1">
      <c r="A506" s="9"/>
      <c r="B506" s="16" t="s">
        <v>846</v>
      </c>
      <c r="C506" s="89" t="s">
        <v>151</v>
      </c>
      <c r="D506" s="109" t="s">
        <v>847</v>
      </c>
      <c r="E506" s="110" t="s">
        <v>848</v>
      </c>
      <c r="F506" s="111" t="s">
        <v>2012</v>
      </c>
      <c r="G506" s="111" t="s">
        <v>2013</v>
      </c>
      <c r="H506" s="95"/>
      <c r="I506" s="9"/>
      <c r="J506" s="9" t="s">
        <v>746</v>
      </c>
      <c r="K506" s="14"/>
      <c r="L506" s="14"/>
      <c r="M506" s="12">
        <v>248</v>
      </c>
      <c r="N506" s="9"/>
      <c r="O506" s="9"/>
      <c r="P506" s="9"/>
      <c r="Q506" s="38">
        <f>M506+X506-AG506-BB506</f>
        <v>248</v>
      </c>
      <c r="R506" s="12"/>
      <c r="S506" s="42"/>
      <c r="T506" s="15"/>
      <c r="U506" s="44"/>
      <c r="V506" s="15"/>
      <c r="W506" s="44"/>
      <c r="X506" s="15">
        <f>R506+T506+V506</f>
        <v>0</v>
      </c>
      <c r="Y506" s="15"/>
      <c r="Z506" s="44"/>
      <c r="AA506" s="15"/>
      <c r="AB506" s="44"/>
      <c r="AC506" s="15"/>
      <c r="AD506" s="44"/>
      <c r="AE506" s="15"/>
      <c r="AF506" s="44"/>
      <c r="AG506" s="15">
        <f>(Y506+AA506+AC506+AE506)</f>
        <v>0</v>
      </c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/>
      <c r="BA506" s="42"/>
      <c r="BB506" s="15">
        <f>AH506+AJ506+AL506+AN506+AP506+AR506+AT506+AV506+AX506+AZ506</f>
        <v>0</v>
      </c>
      <c r="BC506" s="15"/>
      <c r="BD506" s="44"/>
      <c r="BE506" s="15"/>
      <c r="BF506" s="44"/>
      <c r="BG506" s="15">
        <f>(BC506+BE506)</f>
        <v>0</v>
      </c>
    </row>
    <row r="507" spans="1:59" s="8" customFormat="1" ht="22.5" hidden="1" customHeight="1">
      <c r="A507" s="9"/>
      <c r="B507" s="16" t="s">
        <v>846</v>
      </c>
      <c r="C507" s="89" t="s">
        <v>151</v>
      </c>
      <c r="D507" s="109" t="s">
        <v>849</v>
      </c>
      <c r="E507" s="110"/>
      <c r="F507" s="111" t="s">
        <v>849</v>
      </c>
      <c r="G507" s="111" t="s">
        <v>2014</v>
      </c>
      <c r="H507" s="95"/>
      <c r="I507" s="9"/>
      <c r="J507" s="9" t="s">
        <v>467</v>
      </c>
      <c r="K507" s="14"/>
      <c r="L507" s="14"/>
      <c r="M507" s="12"/>
      <c r="N507" s="9"/>
      <c r="O507" s="9"/>
      <c r="P507" s="9"/>
      <c r="Q507" s="38">
        <f>M507+X507-AG507-BB507</f>
        <v>0</v>
      </c>
      <c r="R507" s="12"/>
      <c r="S507" s="42"/>
      <c r="T507" s="15"/>
      <c r="U507" s="44"/>
      <c r="V507" s="15"/>
      <c r="W507" s="44"/>
      <c r="X507" s="15">
        <f>R507+T507+V507</f>
        <v>0</v>
      </c>
      <c r="Y507" s="15"/>
      <c r="Z507" s="44"/>
      <c r="AA507" s="15"/>
      <c r="AB507" s="44"/>
      <c r="AC507" s="15"/>
      <c r="AD507" s="44"/>
      <c r="AE507" s="15"/>
      <c r="AF507" s="44"/>
      <c r="AG507" s="15">
        <f>(Y507+AA507+AC507+AE507)</f>
        <v>0</v>
      </c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/>
      <c r="BA507" s="42"/>
      <c r="BB507" s="15">
        <f>AH507+AJ507+AL507+AN507+AP507+AR507+AT507+AV507+AX507+AZ507</f>
        <v>0</v>
      </c>
      <c r="BC507" s="15"/>
      <c r="BD507" s="44"/>
      <c r="BE507" s="15"/>
      <c r="BF507" s="44"/>
      <c r="BG507" s="15">
        <f>(BC507+BE507)</f>
        <v>0</v>
      </c>
    </row>
    <row r="508" spans="1:59" s="8" customFormat="1" ht="22.5" hidden="1" customHeight="1">
      <c r="A508" s="9"/>
      <c r="B508" s="16" t="s">
        <v>850</v>
      </c>
      <c r="C508" s="89" t="s">
        <v>151</v>
      </c>
      <c r="D508" s="109" t="s">
        <v>851</v>
      </c>
      <c r="E508" s="110"/>
      <c r="F508" s="111" t="s">
        <v>851</v>
      </c>
      <c r="G508" s="111" t="s">
        <v>2015</v>
      </c>
      <c r="H508" s="95"/>
      <c r="I508" s="9"/>
      <c r="J508" s="9" t="s">
        <v>67</v>
      </c>
      <c r="K508" s="14"/>
      <c r="L508" s="14"/>
      <c r="M508" s="12"/>
      <c r="N508" s="9"/>
      <c r="O508" s="9"/>
      <c r="P508" s="9"/>
      <c r="Q508" s="38">
        <f>M508+X508-AG508-BB508</f>
        <v>0</v>
      </c>
      <c r="R508" s="12"/>
      <c r="S508" s="42"/>
      <c r="T508" s="15"/>
      <c r="U508" s="44"/>
      <c r="V508" s="15"/>
      <c r="W508" s="44"/>
      <c r="X508" s="15">
        <f>R508+T508+V508</f>
        <v>0</v>
      </c>
      <c r="Y508" s="15"/>
      <c r="Z508" s="44"/>
      <c r="AA508" s="15"/>
      <c r="AB508" s="44"/>
      <c r="AC508" s="15"/>
      <c r="AD508" s="44"/>
      <c r="AE508" s="15"/>
      <c r="AF508" s="44"/>
      <c r="AG508" s="15">
        <f>(Y508+AA508+AC508+AE508)</f>
        <v>0</v>
      </c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/>
      <c r="BA508" s="42"/>
      <c r="BB508" s="15">
        <f>AH508+AJ508+AL508+AN508+AP508+AR508+AT508+AV508+AX508+AZ508</f>
        <v>0</v>
      </c>
      <c r="BC508" s="15"/>
      <c r="BD508" s="44"/>
      <c r="BE508" s="15"/>
      <c r="BF508" s="44"/>
      <c r="BG508" s="15">
        <f>(BC508+BE508)</f>
        <v>0</v>
      </c>
    </row>
    <row r="509" spans="1:59" s="8" customFormat="1" ht="22.5" hidden="1" customHeight="1">
      <c r="A509" s="9"/>
      <c r="B509" s="16" t="s">
        <v>161</v>
      </c>
      <c r="C509" s="89" t="s">
        <v>151</v>
      </c>
      <c r="D509" s="109" t="s">
        <v>852</v>
      </c>
      <c r="E509" s="110" t="s">
        <v>853</v>
      </c>
      <c r="F509" s="111" t="s">
        <v>2016</v>
      </c>
      <c r="G509" s="111" t="s">
        <v>2017</v>
      </c>
      <c r="H509" s="95"/>
      <c r="I509" s="9"/>
      <c r="J509" s="9" t="s">
        <v>467</v>
      </c>
      <c r="K509" s="14"/>
      <c r="L509" s="14"/>
      <c r="M509" s="12"/>
      <c r="N509" s="9"/>
      <c r="O509" s="9"/>
      <c r="P509" s="9"/>
      <c r="Q509" s="38">
        <f>M509+X509-AG509-BB509</f>
        <v>0</v>
      </c>
      <c r="R509" s="12"/>
      <c r="S509" s="42"/>
      <c r="T509" s="15"/>
      <c r="U509" s="44"/>
      <c r="V509" s="15"/>
      <c r="W509" s="44"/>
      <c r="X509" s="15">
        <f>R509+T509+V509</f>
        <v>0</v>
      </c>
      <c r="Y509" s="15"/>
      <c r="Z509" s="44"/>
      <c r="AA509" s="15"/>
      <c r="AB509" s="44"/>
      <c r="AC509" s="15"/>
      <c r="AD509" s="44"/>
      <c r="AE509" s="15"/>
      <c r="AF509" s="44"/>
      <c r="AG509" s="15">
        <f>(Y509+AA509+AC509+AE509)</f>
        <v>0</v>
      </c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/>
      <c r="BA509" s="42"/>
      <c r="BB509" s="15">
        <f>AH509+AJ509+AL509+AN509+AP509+AR509+AT509+AV509+AX509+AZ509</f>
        <v>0</v>
      </c>
      <c r="BC509" s="15"/>
      <c r="BD509" s="44"/>
      <c r="BE509" s="15"/>
      <c r="BF509" s="44"/>
      <c r="BG509" s="15">
        <f>(BC509+BE509)</f>
        <v>0</v>
      </c>
    </row>
    <row r="510" spans="1:59" s="8" customFormat="1" ht="22.5" hidden="1" customHeight="1">
      <c r="A510" s="9"/>
      <c r="B510" s="16" t="s">
        <v>854</v>
      </c>
      <c r="C510" s="89" t="s">
        <v>140</v>
      </c>
      <c r="D510" s="109" t="s">
        <v>855</v>
      </c>
      <c r="E510" s="110" t="s">
        <v>856</v>
      </c>
      <c r="F510" s="111" t="s">
        <v>2018</v>
      </c>
      <c r="G510" s="111" t="s">
        <v>2019</v>
      </c>
      <c r="H510" s="95"/>
      <c r="I510" s="9"/>
      <c r="J510" s="9" t="s">
        <v>422</v>
      </c>
      <c r="K510" s="14"/>
      <c r="L510" s="14"/>
      <c r="M510" s="12"/>
      <c r="N510" s="9"/>
      <c r="O510" s="9"/>
      <c r="P510" s="9"/>
      <c r="Q510" s="38">
        <f>M510+X510-AG510-BB510</f>
        <v>0</v>
      </c>
      <c r="R510" s="12"/>
      <c r="S510" s="42"/>
      <c r="T510" s="15"/>
      <c r="U510" s="44"/>
      <c r="V510" s="15"/>
      <c r="W510" s="44"/>
      <c r="X510" s="15">
        <f>R510+T510+V510</f>
        <v>0</v>
      </c>
      <c r="Y510" s="15"/>
      <c r="Z510" s="44"/>
      <c r="AA510" s="15"/>
      <c r="AB510" s="44"/>
      <c r="AC510" s="15"/>
      <c r="AD510" s="44"/>
      <c r="AE510" s="15"/>
      <c r="AF510" s="44"/>
      <c r="AG510" s="15">
        <f>(Y510+AA510+AC510+AE510)</f>
        <v>0</v>
      </c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/>
      <c r="BA510" s="42"/>
      <c r="BB510" s="15">
        <f>AH510+AJ510+AL510+AN510+AP510+AR510+AT510+AV510+AX510+AZ510</f>
        <v>0</v>
      </c>
      <c r="BC510" s="15"/>
      <c r="BD510" s="44"/>
      <c r="BE510" s="15"/>
      <c r="BF510" s="44"/>
      <c r="BG510" s="15">
        <f>(BC510+BE510)</f>
        <v>0</v>
      </c>
    </row>
    <row r="511" spans="1:59" s="8" customFormat="1" ht="22.5" hidden="1" customHeight="1">
      <c r="A511" s="9"/>
      <c r="B511" s="16" t="s">
        <v>489</v>
      </c>
      <c r="C511" s="89" t="s">
        <v>132</v>
      </c>
      <c r="D511" s="109" t="s">
        <v>857</v>
      </c>
      <c r="E511" s="110" t="s">
        <v>858</v>
      </c>
      <c r="F511" s="111" t="s">
        <v>2020</v>
      </c>
      <c r="G511" s="111" t="s">
        <v>2021</v>
      </c>
      <c r="H511" s="95"/>
      <c r="I511" s="9"/>
      <c r="J511" s="9" t="s">
        <v>859</v>
      </c>
      <c r="K511" s="14"/>
      <c r="L511" s="14"/>
      <c r="M511" s="12">
        <v>1000</v>
      </c>
      <c r="N511" s="9"/>
      <c r="O511" s="9"/>
      <c r="P511" s="9"/>
      <c r="Q511" s="38">
        <f>M511+X511-AG511-BB511</f>
        <v>1000</v>
      </c>
      <c r="R511" s="12"/>
      <c r="S511" s="42"/>
      <c r="T511" s="15"/>
      <c r="U511" s="44"/>
      <c r="V511" s="15"/>
      <c r="W511" s="44"/>
      <c r="X511" s="15">
        <f>R511+T511+V511</f>
        <v>0</v>
      </c>
      <c r="Y511" s="15"/>
      <c r="Z511" s="44"/>
      <c r="AA511" s="15"/>
      <c r="AB511" s="44"/>
      <c r="AC511" s="15"/>
      <c r="AD511" s="44"/>
      <c r="AE511" s="15"/>
      <c r="AF511" s="44"/>
      <c r="AG511" s="15">
        <f>(Y511+AA511+AC511+AE511)</f>
        <v>0</v>
      </c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/>
      <c r="BA511" s="42"/>
      <c r="BB511" s="15">
        <f>AH511+AJ511+AL511+AN511+AP511+AR511+AT511+AV511+AX511+AZ511</f>
        <v>0</v>
      </c>
      <c r="BC511" s="15"/>
      <c r="BD511" s="44"/>
      <c r="BE511" s="15"/>
      <c r="BF511" s="44"/>
      <c r="BG511" s="15">
        <f>(BC511+BE511)</f>
        <v>0</v>
      </c>
    </row>
    <row r="512" spans="1:59" s="8" customFormat="1" ht="22.5" hidden="1" customHeight="1">
      <c r="A512" s="9">
        <v>999</v>
      </c>
      <c r="B512" s="16" t="s">
        <v>204</v>
      </c>
      <c r="C512" s="89" t="s">
        <v>132</v>
      </c>
      <c r="D512" s="109" t="s">
        <v>862</v>
      </c>
      <c r="E512" s="110" t="s">
        <v>861</v>
      </c>
      <c r="F512" s="111" t="s">
        <v>2024</v>
      </c>
      <c r="G512" s="111" t="s">
        <v>2025</v>
      </c>
      <c r="H512" s="12"/>
      <c r="I512" s="9"/>
      <c r="J512" s="9" t="s">
        <v>207</v>
      </c>
      <c r="K512" s="14"/>
      <c r="L512" s="14"/>
      <c r="M512" s="12"/>
      <c r="N512" s="9"/>
      <c r="O512" s="9"/>
      <c r="P512" s="9"/>
      <c r="Q512" s="38">
        <f>M512+X512-AG512-BB512</f>
        <v>0</v>
      </c>
      <c r="R512" s="12"/>
      <c r="S512" s="42"/>
      <c r="T512" s="15"/>
      <c r="U512" s="44"/>
      <c r="V512" s="15"/>
      <c r="W512" s="44"/>
      <c r="X512" s="15">
        <f>R512+T512+V512</f>
        <v>0</v>
      </c>
      <c r="Y512" s="15"/>
      <c r="Z512" s="44"/>
      <c r="AA512" s="15"/>
      <c r="AB512" s="44"/>
      <c r="AC512" s="15"/>
      <c r="AD512" s="44"/>
      <c r="AE512" s="15"/>
      <c r="AF512" s="44"/>
      <c r="AG512" s="15">
        <f>(Y512+AA512+AC512+AE512)</f>
        <v>0</v>
      </c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/>
      <c r="BA512" s="42"/>
      <c r="BB512" s="15">
        <f>AH512+AJ512+AL512+AN512+AP512+AR512+AT512+AV512+AX512+AZ512</f>
        <v>0</v>
      </c>
      <c r="BC512" s="15"/>
      <c r="BD512" s="44"/>
      <c r="BE512" s="15"/>
      <c r="BF512" s="44"/>
      <c r="BG512" s="15">
        <f>(BC512+BE512)</f>
        <v>0</v>
      </c>
    </row>
    <row r="513" spans="1:59" s="8" customFormat="1" ht="22.5" hidden="1" customHeight="1">
      <c r="A513" s="9">
        <v>999</v>
      </c>
      <c r="B513" s="16" t="s">
        <v>334</v>
      </c>
      <c r="C513" s="89" t="s">
        <v>151</v>
      </c>
      <c r="D513" s="109" t="s">
        <v>863</v>
      </c>
      <c r="E513" s="110" t="s">
        <v>861</v>
      </c>
      <c r="F513" s="111" t="s">
        <v>2028</v>
      </c>
      <c r="G513" s="111" t="s">
        <v>2029</v>
      </c>
      <c r="H513" s="12"/>
      <c r="I513" s="9"/>
      <c r="J513" s="9" t="s">
        <v>147</v>
      </c>
      <c r="K513" s="14"/>
      <c r="L513" s="14"/>
      <c r="M513" s="12"/>
      <c r="N513" s="9"/>
      <c r="O513" s="9"/>
      <c r="P513" s="9"/>
      <c r="Q513" s="38">
        <f>M513+X513-AG513-BB513</f>
        <v>0</v>
      </c>
      <c r="R513" s="12"/>
      <c r="S513" s="42"/>
      <c r="T513" s="15"/>
      <c r="U513" s="44"/>
      <c r="V513" s="15"/>
      <c r="W513" s="44"/>
      <c r="X513" s="15">
        <f>R513+T513+V513</f>
        <v>0</v>
      </c>
      <c r="Y513" s="15"/>
      <c r="Z513" s="44"/>
      <c r="AA513" s="15"/>
      <c r="AB513" s="44"/>
      <c r="AC513" s="15"/>
      <c r="AD513" s="44"/>
      <c r="AE513" s="15"/>
      <c r="AF513" s="44"/>
      <c r="AG513" s="15">
        <f>(Y513+AA513+AC513+AE513)</f>
        <v>0</v>
      </c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/>
      <c r="BA513" s="42"/>
      <c r="BB513" s="15">
        <f>AH513+AJ513+AL513+AN513+AP513+AR513+AT513+AV513+AX513+AZ513</f>
        <v>0</v>
      </c>
      <c r="BC513" s="15"/>
      <c r="BD513" s="44"/>
      <c r="BE513" s="15"/>
      <c r="BF513" s="44"/>
      <c r="BG513" s="15">
        <f>(BC513+BE513)</f>
        <v>0</v>
      </c>
    </row>
    <row r="514" spans="1:59" s="8" customFormat="1" ht="22.5" hidden="1" customHeight="1">
      <c r="A514" s="9">
        <v>32</v>
      </c>
      <c r="B514" s="16" t="s">
        <v>129</v>
      </c>
      <c r="C514" s="89" t="s">
        <v>52</v>
      </c>
      <c r="D514" s="109" t="s">
        <v>130</v>
      </c>
      <c r="E514" s="110" t="s">
        <v>864</v>
      </c>
      <c r="F514" s="111" t="s">
        <v>2030</v>
      </c>
      <c r="G514" s="111" t="s">
        <v>2031</v>
      </c>
      <c r="H514" s="95"/>
      <c r="I514" s="9"/>
      <c r="J514" s="9" t="s">
        <v>131</v>
      </c>
      <c r="K514" s="14"/>
      <c r="L514" s="14"/>
      <c r="M514" s="12"/>
      <c r="N514" s="9"/>
      <c r="O514" s="9"/>
      <c r="P514" s="9"/>
      <c r="Q514" s="38">
        <f>M514+X514-AG514-BB514</f>
        <v>0</v>
      </c>
      <c r="R514" s="12"/>
      <c r="S514" s="42"/>
      <c r="T514" s="15"/>
      <c r="U514" s="44"/>
      <c r="V514" s="15"/>
      <c r="W514" s="44"/>
      <c r="X514" s="15">
        <f>R514+T514+V514</f>
        <v>0</v>
      </c>
      <c r="Y514" s="15"/>
      <c r="Z514" s="44"/>
      <c r="AA514" s="15"/>
      <c r="AB514" s="44"/>
      <c r="AC514" s="15"/>
      <c r="AD514" s="44"/>
      <c r="AE514" s="15"/>
      <c r="AF514" s="44"/>
      <c r="AG514" s="15">
        <f>(Y514+AA514+AC514+AE514)</f>
        <v>0</v>
      </c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/>
      <c r="BA514" s="42"/>
      <c r="BB514" s="15">
        <f>AH514+AJ514+AL514+AN514+AP514+AR514+AT514+AV514+AX514+AZ514</f>
        <v>0</v>
      </c>
      <c r="BC514" s="15"/>
      <c r="BD514" s="44"/>
      <c r="BE514" s="15"/>
      <c r="BF514" s="44"/>
      <c r="BG514" s="15">
        <f>(BC514+BE514)</f>
        <v>0</v>
      </c>
    </row>
    <row r="515" spans="1:59" s="8" customFormat="1" ht="22.5" hidden="1" customHeight="1">
      <c r="A515" s="9">
        <v>60</v>
      </c>
      <c r="B515" s="18" t="s">
        <v>129</v>
      </c>
      <c r="C515" s="89" t="s">
        <v>52</v>
      </c>
      <c r="D515" s="109" t="s">
        <v>169</v>
      </c>
      <c r="E515" s="110" t="s">
        <v>865</v>
      </c>
      <c r="F515" s="111" t="s">
        <v>2032</v>
      </c>
      <c r="G515" s="111" t="s">
        <v>2033</v>
      </c>
      <c r="H515" s="95"/>
      <c r="I515" s="21"/>
      <c r="J515" s="21" t="s">
        <v>131</v>
      </c>
      <c r="K515" s="14"/>
      <c r="L515" s="14"/>
      <c r="M515" s="12"/>
      <c r="N515" s="9"/>
      <c r="O515" s="9"/>
      <c r="P515" s="9"/>
      <c r="Q515" s="38">
        <f>M515+X515-AG515-BB515</f>
        <v>0</v>
      </c>
      <c r="R515" s="12"/>
      <c r="S515" s="42"/>
      <c r="T515" s="15"/>
      <c r="U515" s="44"/>
      <c r="V515" s="15"/>
      <c r="W515" s="44"/>
      <c r="X515" s="15">
        <f>R515+T515+V515</f>
        <v>0</v>
      </c>
      <c r="Y515" s="15"/>
      <c r="Z515" s="44"/>
      <c r="AA515" s="15"/>
      <c r="AB515" s="44"/>
      <c r="AC515" s="15"/>
      <c r="AD515" s="44"/>
      <c r="AE515" s="15"/>
      <c r="AF515" s="44"/>
      <c r="AG515" s="15">
        <f>(Y515+AA515+AC515+AE515)</f>
        <v>0</v>
      </c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/>
      <c r="BA515" s="42"/>
      <c r="BB515" s="15">
        <f>AH515+AJ515+AL515+AN515+AP515+AR515+AT515+AV515+AX515+AZ515</f>
        <v>0</v>
      </c>
      <c r="BC515" s="15"/>
      <c r="BD515" s="44"/>
      <c r="BE515" s="15"/>
      <c r="BF515" s="44"/>
      <c r="BG515" s="15">
        <f>(BC515+BE515)</f>
        <v>0</v>
      </c>
    </row>
    <row r="516" spans="1:59" s="8" customFormat="1" ht="22.5" hidden="1" customHeight="1">
      <c r="A516" s="9">
        <v>999</v>
      </c>
      <c r="B516" s="16" t="s">
        <v>68</v>
      </c>
      <c r="C516" s="89" t="s">
        <v>50</v>
      </c>
      <c r="D516" s="109" t="s">
        <v>69</v>
      </c>
      <c r="E516" s="110" t="s">
        <v>866</v>
      </c>
      <c r="F516" s="111" t="s">
        <v>2035</v>
      </c>
      <c r="G516" s="111" t="s">
        <v>2036</v>
      </c>
      <c r="H516" s="12"/>
      <c r="I516" s="9"/>
      <c r="J516" s="9" t="s">
        <v>71</v>
      </c>
      <c r="K516" s="14"/>
      <c r="L516" s="14"/>
      <c r="M516" s="12"/>
      <c r="N516" s="9"/>
      <c r="O516" s="9"/>
      <c r="P516" s="9"/>
      <c r="Q516" s="38">
        <f>M516+X516-AG516-BB516</f>
        <v>0</v>
      </c>
      <c r="R516" s="12"/>
      <c r="S516" s="42"/>
      <c r="T516" s="15"/>
      <c r="U516" s="44"/>
      <c r="V516" s="15"/>
      <c r="W516" s="44"/>
      <c r="X516" s="15">
        <f>R516+T516+V516</f>
        <v>0</v>
      </c>
      <c r="Y516" s="15"/>
      <c r="Z516" s="44"/>
      <c r="AA516" s="15"/>
      <c r="AB516" s="44"/>
      <c r="AC516" s="15"/>
      <c r="AD516" s="44"/>
      <c r="AE516" s="15"/>
      <c r="AF516" s="44"/>
      <c r="AG516" s="15">
        <f>(Y516+AA516+AC516+AE516)</f>
        <v>0</v>
      </c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/>
      <c r="BA516" s="42"/>
      <c r="BB516" s="15">
        <f>AH516+AJ516+AL516+AN516+AP516+AR516+AT516+AV516+AX516+AZ516</f>
        <v>0</v>
      </c>
      <c r="BC516" s="15"/>
      <c r="BD516" s="44"/>
      <c r="BE516" s="15"/>
      <c r="BF516" s="44"/>
      <c r="BG516" s="15">
        <f>(BC516+BE516)</f>
        <v>0</v>
      </c>
    </row>
    <row r="517" spans="1:59" s="8" customFormat="1" ht="22.5" hidden="1" customHeight="1">
      <c r="A517" s="9">
        <v>999</v>
      </c>
      <c r="B517" s="16" t="s">
        <v>34</v>
      </c>
      <c r="C517" s="89" t="s">
        <v>50</v>
      </c>
      <c r="D517" s="109" t="s">
        <v>867</v>
      </c>
      <c r="E517" s="110" t="s">
        <v>868</v>
      </c>
      <c r="F517" s="111" t="s">
        <v>2037</v>
      </c>
      <c r="G517" s="111" t="s">
        <v>2038</v>
      </c>
      <c r="H517" s="12"/>
      <c r="I517" s="9"/>
      <c r="J517" s="9" t="s">
        <v>71</v>
      </c>
      <c r="K517" s="14"/>
      <c r="L517" s="14"/>
      <c r="M517" s="12"/>
      <c r="N517" s="9"/>
      <c r="O517" s="9"/>
      <c r="P517" s="9"/>
      <c r="Q517" s="38">
        <f>M517+X517-AG517-BB517</f>
        <v>0</v>
      </c>
      <c r="R517" s="12"/>
      <c r="S517" s="42"/>
      <c r="T517" s="15"/>
      <c r="U517" s="44"/>
      <c r="V517" s="15"/>
      <c r="W517" s="44"/>
      <c r="X517" s="15">
        <f>R517+T517+V517</f>
        <v>0</v>
      </c>
      <c r="Y517" s="15"/>
      <c r="Z517" s="44"/>
      <c r="AA517" s="15"/>
      <c r="AB517" s="44"/>
      <c r="AC517" s="15"/>
      <c r="AD517" s="44"/>
      <c r="AE517" s="15"/>
      <c r="AF517" s="44"/>
      <c r="AG517" s="15">
        <f>(Y517+AA517+AC517+AE517)</f>
        <v>0</v>
      </c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/>
      <c r="BA517" s="42"/>
      <c r="BB517" s="15">
        <f>AH517+AJ517+AL517+AN517+AP517+AR517+AT517+AV517+AX517+AZ517</f>
        <v>0</v>
      </c>
      <c r="BC517" s="15"/>
      <c r="BD517" s="44"/>
      <c r="BE517" s="15"/>
      <c r="BF517" s="44"/>
      <c r="BG517" s="15">
        <f>(BC517+BE517)</f>
        <v>0</v>
      </c>
    </row>
    <row r="518" spans="1:59" s="8" customFormat="1" ht="22.5" hidden="1" customHeight="1">
      <c r="A518" s="9">
        <v>999</v>
      </c>
      <c r="B518" s="18" t="s">
        <v>62</v>
      </c>
      <c r="C518" s="92" t="s">
        <v>50</v>
      </c>
      <c r="D518" s="109" t="s">
        <v>869</v>
      </c>
      <c r="E518" s="110" t="s">
        <v>62</v>
      </c>
      <c r="F518" s="111" t="s">
        <v>2039</v>
      </c>
      <c r="G518" s="111" t="s">
        <v>2040</v>
      </c>
      <c r="H518" s="20"/>
      <c r="I518" s="21"/>
      <c r="J518" s="21" t="s">
        <v>61</v>
      </c>
      <c r="K518" s="14"/>
      <c r="L518" s="14"/>
      <c r="M518" s="12"/>
      <c r="N518" s="9"/>
      <c r="O518" s="9"/>
      <c r="P518" s="9"/>
      <c r="Q518" s="38">
        <f>M518+X518-AG518-BB518</f>
        <v>0</v>
      </c>
      <c r="R518" s="12"/>
      <c r="S518" s="42"/>
      <c r="T518" s="15"/>
      <c r="U518" s="44"/>
      <c r="V518" s="15"/>
      <c r="W518" s="44"/>
      <c r="X518" s="15">
        <f>R518+T518+V518</f>
        <v>0</v>
      </c>
      <c r="Y518" s="15"/>
      <c r="Z518" s="44"/>
      <c r="AA518" s="15"/>
      <c r="AB518" s="44"/>
      <c r="AC518" s="15"/>
      <c r="AD518" s="44"/>
      <c r="AE518" s="15"/>
      <c r="AF518" s="44"/>
      <c r="AG518" s="15">
        <f>(Y518+AA518+AC518+AE518)</f>
        <v>0</v>
      </c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/>
      <c r="BA518" s="42"/>
      <c r="BB518" s="15">
        <f>AH518+AJ518+AL518+AN518+AP518+AR518+AT518+AV518+AX518+AZ518</f>
        <v>0</v>
      </c>
      <c r="BC518" s="15"/>
      <c r="BD518" s="44"/>
      <c r="BE518" s="15"/>
      <c r="BF518" s="44"/>
      <c r="BG518" s="15">
        <f>(BC518+BE518)</f>
        <v>0</v>
      </c>
    </row>
    <row r="519" spans="1:59" s="8" customFormat="1" ht="22.5" hidden="1" customHeight="1">
      <c r="A519" s="9">
        <v>999</v>
      </c>
      <c r="B519" s="18" t="s">
        <v>62</v>
      </c>
      <c r="C519" s="92" t="s">
        <v>50</v>
      </c>
      <c r="D519" s="109" t="s">
        <v>870</v>
      </c>
      <c r="E519" s="110" t="s">
        <v>62</v>
      </c>
      <c r="F519" s="111" t="s">
        <v>2041</v>
      </c>
      <c r="G519" s="111" t="s">
        <v>2042</v>
      </c>
      <c r="H519" s="20"/>
      <c r="I519" s="21"/>
      <c r="J519" s="21" t="s">
        <v>61</v>
      </c>
      <c r="K519" s="14"/>
      <c r="L519" s="14"/>
      <c r="M519" s="12"/>
      <c r="N519" s="9"/>
      <c r="O519" s="9"/>
      <c r="P519" s="9"/>
      <c r="Q519" s="38">
        <f>M519+X519-AG519-BB519</f>
        <v>0</v>
      </c>
      <c r="R519" s="12"/>
      <c r="S519" s="42"/>
      <c r="T519" s="15"/>
      <c r="U519" s="44"/>
      <c r="V519" s="15"/>
      <c r="W519" s="44"/>
      <c r="X519" s="15">
        <f>R519+T519+V519</f>
        <v>0</v>
      </c>
      <c r="Y519" s="15"/>
      <c r="Z519" s="44"/>
      <c r="AA519" s="15"/>
      <c r="AB519" s="44"/>
      <c r="AC519" s="15"/>
      <c r="AD519" s="44"/>
      <c r="AE519" s="15"/>
      <c r="AF519" s="44"/>
      <c r="AG519" s="15">
        <f>(Y519+AA519+AC519+AE519)</f>
        <v>0</v>
      </c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/>
      <c r="BA519" s="42"/>
      <c r="BB519" s="15">
        <f>AH519+AJ519+AL519+AN519+AP519+AR519+AT519+AV519+AX519+AZ519</f>
        <v>0</v>
      </c>
      <c r="BC519" s="15"/>
      <c r="BD519" s="44"/>
      <c r="BE519" s="15"/>
      <c r="BF519" s="44"/>
      <c r="BG519" s="15">
        <f>(BC519+BE519)</f>
        <v>0</v>
      </c>
    </row>
    <row r="520" spans="1:59" s="8" customFormat="1" ht="22.5" hidden="1" customHeight="1">
      <c r="A520" s="9">
        <v>999</v>
      </c>
      <c r="B520" s="18" t="s">
        <v>62</v>
      </c>
      <c r="C520" s="92" t="s">
        <v>50</v>
      </c>
      <c r="D520" s="109" t="s">
        <v>871</v>
      </c>
      <c r="E520" s="110" t="s">
        <v>62</v>
      </c>
      <c r="F520" s="111" t="s">
        <v>2043</v>
      </c>
      <c r="G520" s="111" t="s">
        <v>2044</v>
      </c>
      <c r="H520" s="20"/>
      <c r="I520" s="21"/>
      <c r="J520" s="21" t="s">
        <v>61</v>
      </c>
      <c r="K520" s="14"/>
      <c r="L520" s="14"/>
      <c r="M520" s="12"/>
      <c r="N520" s="9"/>
      <c r="O520" s="9"/>
      <c r="P520" s="9"/>
      <c r="Q520" s="38">
        <f>M520+X520-AG520-BB520</f>
        <v>0</v>
      </c>
      <c r="R520" s="12"/>
      <c r="S520" s="42"/>
      <c r="T520" s="15"/>
      <c r="U520" s="44"/>
      <c r="V520" s="15"/>
      <c r="W520" s="44"/>
      <c r="X520" s="15">
        <f>R520+T520+V520</f>
        <v>0</v>
      </c>
      <c r="Y520" s="15"/>
      <c r="Z520" s="44"/>
      <c r="AA520" s="15"/>
      <c r="AB520" s="44"/>
      <c r="AC520" s="15"/>
      <c r="AD520" s="44"/>
      <c r="AE520" s="15"/>
      <c r="AF520" s="44"/>
      <c r="AG520" s="15">
        <f>(Y520+AA520+AC520+AE520)</f>
        <v>0</v>
      </c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/>
      <c r="BA520" s="42"/>
      <c r="BB520" s="15">
        <f>AH520+AJ520+AL520+AN520+AP520+AR520+AT520+AV520+AX520+AZ520</f>
        <v>0</v>
      </c>
      <c r="BC520" s="15"/>
      <c r="BD520" s="44"/>
      <c r="BE520" s="15"/>
      <c r="BF520" s="44"/>
      <c r="BG520" s="15">
        <f>(BC520+BE520)</f>
        <v>0</v>
      </c>
    </row>
    <row r="521" spans="1:59" s="8" customFormat="1" ht="22.5" hidden="1" customHeight="1">
      <c r="A521" s="9">
        <v>999</v>
      </c>
      <c r="B521" s="16" t="s">
        <v>155</v>
      </c>
      <c r="C521" s="89" t="s">
        <v>50</v>
      </c>
      <c r="D521" s="109" t="s">
        <v>872</v>
      </c>
      <c r="E521" s="110" t="s">
        <v>873</v>
      </c>
      <c r="F521" s="111" t="s">
        <v>2045</v>
      </c>
      <c r="G521" s="111" t="s">
        <v>2046</v>
      </c>
      <c r="H521" s="96"/>
      <c r="I521" s="9"/>
      <c r="J521" s="9"/>
      <c r="K521" s="14"/>
      <c r="L521" s="14"/>
      <c r="M521" s="12"/>
      <c r="N521" s="9"/>
      <c r="O521" s="9"/>
      <c r="P521" s="9"/>
      <c r="Q521" s="38">
        <f>M521+X521-AG521-BB521</f>
        <v>0</v>
      </c>
      <c r="R521" s="12"/>
      <c r="S521" s="42"/>
      <c r="T521" s="15"/>
      <c r="U521" s="44"/>
      <c r="V521" s="15"/>
      <c r="W521" s="44"/>
      <c r="X521" s="15">
        <f>R521+T521+V521</f>
        <v>0</v>
      </c>
      <c r="Y521" s="15"/>
      <c r="Z521" s="44"/>
      <c r="AA521" s="15"/>
      <c r="AB521" s="44"/>
      <c r="AC521" s="15"/>
      <c r="AD521" s="44"/>
      <c r="AE521" s="15"/>
      <c r="AF521" s="44"/>
      <c r="AG521" s="15">
        <f>(Y521+AA521+AC521+AE521)</f>
        <v>0</v>
      </c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/>
      <c r="BA521" s="42"/>
      <c r="BB521" s="15">
        <f>AH521+AJ521+AL521+AN521+AP521+AR521+AT521+AV521+AX521+AZ521</f>
        <v>0</v>
      </c>
      <c r="BC521" s="15"/>
      <c r="BD521" s="44"/>
      <c r="BE521" s="15"/>
      <c r="BF521" s="44"/>
      <c r="BG521" s="15">
        <f>(BC521+BE521)</f>
        <v>0</v>
      </c>
    </row>
    <row r="522" spans="1:59" s="8" customFormat="1" ht="22.5" hidden="1" customHeight="1">
      <c r="A522" s="9">
        <v>999</v>
      </c>
      <c r="B522" s="18" t="s">
        <v>172</v>
      </c>
      <c r="C522" s="89" t="s">
        <v>48</v>
      </c>
      <c r="D522" s="109" t="s">
        <v>874</v>
      </c>
      <c r="E522" s="110"/>
      <c r="F522" s="111" t="s">
        <v>2047</v>
      </c>
      <c r="G522" s="111" t="s">
        <v>2048</v>
      </c>
      <c r="H522" s="20"/>
      <c r="I522" s="21"/>
      <c r="J522" s="21" t="s">
        <v>67</v>
      </c>
      <c r="K522" s="14"/>
      <c r="L522" s="14"/>
      <c r="M522" s="12"/>
      <c r="N522" s="9"/>
      <c r="O522" s="9"/>
      <c r="P522" s="9"/>
      <c r="Q522" s="38">
        <f>M522+X522-AG522-BB522</f>
        <v>0</v>
      </c>
      <c r="R522" s="12"/>
      <c r="S522" s="42"/>
      <c r="T522" s="15"/>
      <c r="U522" s="44"/>
      <c r="V522" s="15"/>
      <c r="W522" s="44"/>
      <c r="X522" s="15">
        <f>R522+T522+V522</f>
        <v>0</v>
      </c>
      <c r="Y522" s="15"/>
      <c r="Z522" s="44"/>
      <c r="AA522" s="15"/>
      <c r="AB522" s="44"/>
      <c r="AC522" s="15"/>
      <c r="AD522" s="44"/>
      <c r="AE522" s="15"/>
      <c r="AF522" s="44"/>
      <c r="AG522" s="15">
        <f>(Y522+AA522+AC522+AE522)</f>
        <v>0</v>
      </c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/>
      <c r="BA522" s="42"/>
      <c r="BB522" s="15">
        <f>AH522+AJ522+AL522+AN522+AP522+AR522+AT522+AV522+AX522+AZ522</f>
        <v>0</v>
      </c>
      <c r="BC522" s="15"/>
      <c r="BD522" s="44"/>
      <c r="BE522" s="15"/>
      <c r="BF522" s="44"/>
      <c r="BG522" s="15">
        <f>(BC522+BE522)</f>
        <v>0</v>
      </c>
    </row>
    <row r="523" spans="1:59" s="8" customFormat="1" ht="22.5" hidden="1" customHeight="1">
      <c r="A523" s="9">
        <v>999</v>
      </c>
      <c r="B523" s="18" t="s">
        <v>187</v>
      </c>
      <c r="C523" s="89" t="s">
        <v>132</v>
      </c>
      <c r="D523" s="109" t="s">
        <v>276</v>
      </c>
      <c r="E523" s="110"/>
      <c r="F523" s="111" t="s">
        <v>2049</v>
      </c>
      <c r="G523" s="111" t="s">
        <v>2050</v>
      </c>
      <c r="H523" s="20"/>
      <c r="I523" s="21"/>
      <c r="J523" s="21" t="s">
        <v>67</v>
      </c>
      <c r="K523" s="14"/>
      <c r="L523" s="14"/>
      <c r="M523" s="12"/>
      <c r="N523" s="9"/>
      <c r="O523" s="9"/>
      <c r="P523" s="9"/>
      <c r="Q523" s="38">
        <f>M523+X523-AG523-BB523</f>
        <v>0</v>
      </c>
      <c r="R523" s="12"/>
      <c r="S523" s="42"/>
      <c r="T523" s="15"/>
      <c r="U523" s="44"/>
      <c r="V523" s="15"/>
      <c r="W523" s="44"/>
      <c r="X523" s="15">
        <f>R523+T523+V523</f>
        <v>0</v>
      </c>
      <c r="Y523" s="15"/>
      <c r="Z523" s="44"/>
      <c r="AA523" s="15"/>
      <c r="AB523" s="44"/>
      <c r="AC523" s="15"/>
      <c r="AD523" s="44"/>
      <c r="AE523" s="15"/>
      <c r="AF523" s="44"/>
      <c r="AG523" s="15">
        <f>(Y523+AA523+AC523+AE523)</f>
        <v>0</v>
      </c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/>
      <c r="BA523" s="42"/>
      <c r="BB523" s="15">
        <f>AH523+AJ523+AL523+AN523+AP523+AR523+AT523+AV523+AX523+AZ523</f>
        <v>0</v>
      </c>
      <c r="BC523" s="15"/>
      <c r="BD523" s="44"/>
      <c r="BE523" s="15"/>
      <c r="BF523" s="44"/>
      <c r="BG523" s="15">
        <f>(BC523+BE523)</f>
        <v>0</v>
      </c>
    </row>
    <row r="524" spans="1:59" s="8" customFormat="1" ht="22.5" hidden="1" customHeight="1">
      <c r="A524" s="9">
        <v>999</v>
      </c>
      <c r="B524" s="18" t="s">
        <v>204</v>
      </c>
      <c r="C524" s="89" t="s">
        <v>132</v>
      </c>
      <c r="D524" s="109" t="s">
        <v>282</v>
      </c>
      <c r="E524" s="110" t="s">
        <v>210</v>
      </c>
      <c r="F524" s="111" t="s">
        <v>2051</v>
      </c>
      <c r="G524" s="111" t="s">
        <v>2052</v>
      </c>
      <c r="H524" s="20"/>
      <c r="I524" s="21"/>
      <c r="J524" s="21" t="s">
        <v>876</v>
      </c>
      <c r="K524" s="14"/>
      <c r="L524" s="14"/>
      <c r="M524" s="12"/>
      <c r="N524" s="9"/>
      <c r="O524" s="9"/>
      <c r="P524" s="9"/>
      <c r="Q524" s="38">
        <f>M524+X524-AG524-BB524</f>
        <v>0</v>
      </c>
      <c r="R524" s="12"/>
      <c r="S524" s="42"/>
      <c r="T524" s="15"/>
      <c r="U524" s="44"/>
      <c r="V524" s="15"/>
      <c r="W524" s="44"/>
      <c r="X524" s="15">
        <f>R524+T524+V524</f>
        <v>0</v>
      </c>
      <c r="Y524" s="15"/>
      <c r="Z524" s="44"/>
      <c r="AA524" s="15"/>
      <c r="AB524" s="44"/>
      <c r="AC524" s="15"/>
      <c r="AD524" s="44"/>
      <c r="AE524" s="15"/>
      <c r="AF524" s="44"/>
      <c r="AG524" s="15">
        <f>(Y524+AA524+AC524+AE524)</f>
        <v>0</v>
      </c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/>
      <c r="BA524" s="42"/>
      <c r="BB524" s="15">
        <f>AH524+AJ524+AL524+AN524+AP524+AR524+AT524+AV524+AX524+AZ524</f>
        <v>0</v>
      </c>
      <c r="BC524" s="15"/>
      <c r="BD524" s="44"/>
      <c r="BE524" s="15"/>
      <c r="BF524" s="44"/>
      <c r="BG524" s="15">
        <f>(BC524+BE524)</f>
        <v>0</v>
      </c>
    </row>
    <row r="525" spans="1:59" s="8" customFormat="1" ht="22.5" hidden="1" customHeight="1">
      <c r="A525" s="9">
        <v>999</v>
      </c>
      <c r="B525" s="18" t="s">
        <v>120</v>
      </c>
      <c r="C525" s="89" t="s">
        <v>132</v>
      </c>
      <c r="D525" s="109" t="s">
        <v>878</v>
      </c>
      <c r="E525" s="110"/>
      <c r="F525" s="111" t="s">
        <v>2053</v>
      </c>
      <c r="G525" s="111" t="s">
        <v>2054</v>
      </c>
      <c r="H525" s="20"/>
      <c r="I525" s="21"/>
      <c r="J525" s="21" t="s">
        <v>67</v>
      </c>
      <c r="K525" s="14"/>
      <c r="L525" s="14"/>
      <c r="M525" s="12"/>
      <c r="N525" s="9"/>
      <c r="O525" s="9"/>
      <c r="P525" s="9"/>
      <c r="Q525" s="38">
        <f>M525+X525-AG525-BB525</f>
        <v>0</v>
      </c>
      <c r="R525" s="12"/>
      <c r="S525" s="42"/>
      <c r="T525" s="15"/>
      <c r="U525" s="44"/>
      <c r="V525" s="15"/>
      <c r="W525" s="44"/>
      <c r="X525" s="15">
        <f>R525+T525+V525</f>
        <v>0</v>
      </c>
      <c r="Y525" s="15"/>
      <c r="Z525" s="44"/>
      <c r="AA525" s="15"/>
      <c r="AB525" s="44"/>
      <c r="AC525" s="15"/>
      <c r="AD525" s="44"/>
      <c r="AE525" s="15"/>
      <c r="AF525" s="44"/>
      <c r="AG525" s="15">
        <f>(Y525+AA525+AC525+AE525)</f>
        <v>0</v>
      </c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/>
      <c r="BA525" s="42"/>
      <c r="BB525" s="15">
        <f>AH525+AJ525+AL525+AN525+AP525+AR525+AT525+AV525+AX525+AZ525</f>
        <v>0</v>
      </c>
      <c r="BC525" s="15"/>
      <c r="BD525" s="44"/>
      <c r="BE525" s="15"/>
      <c r="BF525" s="44"/>
      <c r="BG525" s="15">
        <f>(BC525+BE525)</f>
        <v>0</v>
      </c>
    </row>
    <row r="526" spans="1:59" s="8" customFormat="1" ht="22.5" hidden="1" customHeight="1">
      <c r="A526" s="9">
        <v>999</v>
      </c>
      <c r="B526" s="16" t="s">
        <v>120</v>
      </c>
      <c r="C526" s="89" t="s">
        <v>48</v>
      </c>
      <c r="D526" s="109" t="s">
        <v>881</v>
      </c>
      <c r="E526" s="110" t="s">
        <v>882</v>
      </c>
      <c r="F526" s="111" t="s">
        <v>2055</v>
      </c>
      <c r="G526" s="111" t="s">
        <v>2056</v>
      </c>
      <c r="H526" s="12"/>
      <c r="I526" s="9"/>
      <c r="J526" s="9" t="s">
        <v>67</v>
      </c>
      <c r="K526" s="14"/>
      <c r="L526" s="14"/>
      <c r="M526" s="12"/>
      <c r="N526" s="9"/>
      <c r="O526" s="9"/>
      <c r="P526" s="9"/>
      <c r="Q526" s="38">
        <f>M526+X526-AG526-BB526</f>
        <v>0</v>
      </c>
      <c r="R526" s="12"/>
      <c r="S526" s="42"/>
      <c r="T526" s="15"/>
      <c r="U526" s="44"/>
      <c r="V526" s="15"/>
      <c r="W526" s="44"/>
      <c r="X526" s="15">
        <f>R526+T526+V526</f>
        <v>0</v>
      </c>
      <c r="Y526" s="15"/>
      <c r="Z526" s="44"/>
      <c r="AA526" s="15"/>
      <c r="AB526" s="44"/>
      <c r="AC526" s="15"/>
      <c r="AD526" s="44"/>
      <c r="AE526" s="15"/>
      <c r="AF526" s="44"/>
      <c r="AG526" s="15">
        <f>(Y526+AA526+AC526+AE526)</f>
        <v>0</v>
      </c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/>
      <c r="BA526" s="42"/>
      <c r="BB526" s="15">
        <f>AH526+AJ526+AL526+AN526+AP526+AR526+AT526+AV526+AX526+AZ526</f>
        <v>0</v>
      </c>
      <c r="BC526" s="15"/>
      <c r="BD526" s="44"/>
      <c r="BE526" s="15"/>
      <c r="BF526" s="44"/>
      <c r="BG526" s="15">
        <f>(BC526+BE526)</f>
        <v>0</v>
      </c>
    </row>
    <row r="527" spans="1:59" s="8" customFormat="1" ht="22.5" hidden="1" customHeight="1">
      <c r="A527" s="9">
        <v>999</v>
      </c>
      <c r="B527" s="16" t="s">
        <v>120</v>
      </c>
      <c r="C527" s="89" t="s">
        <v>48</v>
      </c>
      <c r="D527" s="109" t="s">
        <v>883</v>
      </c>
      <c r="E527" s="110" t="s">
        <v>884</v>
      </c>
      <c r="F527" s="111" t="s">
        <v>2057</v>
      </c>
      <c r="G527" s="111" t="s">
        <v>2058</v>
      </c>
      <c r="H527" s="12"/>
      <c r="I527" s="9"/>
      <c r="J527" s="9" t="s">
        <v>67</v>
      </c>
      <c r="K527" s="14"/>
      <c r="L527" s="14"/>
      <c r="M527" s="12"/>
      <c r="N527" s="9"/>
      <c r="O527" s="9"/>
      <c r="P527" s="9"/>
      <c r="Q527" s="38">
        <f>M527+X527-AG527-BB527</f>
        <v>0</v>
      </c>
      <c r="R527" s="12"/>
      <c r="S527" s="42"/>
      <c r="T527" s="15"/>
      <c r="U527" s="44"/>
      <c r="V527" s="15"/>
      <c r="W527" s="44"/>
      <c r="X527" s="15">
        <f>R527+T527+V527</f>
        <v>0</v>
      </c>
      <c r="Y527" s="15"/>
      <c r="Z527" s="44"/>
      <c r="AA527" s="15"/>
      <c r="AB527" s="44"/>
      <c r="AC527" s="15"/>
      <c r="AD527" s="44"/>
      <c r="AE527" s="15"/>
      <c r="AF527" s="44"/>
      <c r="AG527" s="15">
        <f>(Y527+AA527+AC527+AE527)</f>
        <v>0</v>
      </c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/>
      <c r="BA527" s="42"/>
      <c r="BB527" s="15">
        <f>AH527+AJ527+AL527+AN527+AP527+AR527+AT527+AV527+AX527+AZ527</f>
        <v>0</v>
      </c>
      <c r="BC527" s="15"/>
      <c r="BD527" s="44"/>
      <c r="BE527" s="15"/>
      <c r="BF527" s="44"/>
      <c r="BG527" s="15">
        <f>(BC527+BE527)</f>
        <v>0</v>
      </c>
    </row>
    <row r="528" spans="1:59" s="8" customFormat="1" ht="22.5" hidden="1" customHeight="1">
      <c r="A528" s="9">
        <v>999</v>
      </c>
      <c r="B528" s="16" t="s">
        <v>172</v>
      </c>
      <c r="C528" s="89" t="s">
        <v>48</v>
      </c>
      <c r="D528" s="109" t="s">
        <v>415</v>
      </c>
      <c r="E528" s="110"/>
      <c r="F528" s="111" t="s">
        <v>1499</v>
      </c>
      <c r="G528" s="111" t="s">
        <v>1500</v>
      </c>
      <c r="H528" s="12"/>
      <c r="I528" s="9"/>
      <c r="J528" s="9" t="s">
        <v>67</v>
      </c>
      <c r="K528" s="14"/>
      <c r="L528" s="14"/>
      <c r="M528" s="12"/>
      <c r="N528" s="9"/>
      <c r="O528" s="9"/>
      <c r="P528" s="9"/>
      <c r="Q528" s="38">
        <f>M528+X528-AG528-BB528</f>
        <v>0</v>
      </c>
      <c r="R528" s="12"/>
      <c r="S528" s="42"/>
      <c r="T528" s="15"/>
      <c r="U528" s="44"/>
      <c r="V528" s="15"/>
      <c r="W528" s="44"/>
      <c r="X528" s="15">
        <f>R528+T528+V528</f>
        <v>0</v>
      </c>
      <c r="Y528" s="15"/>
      <c r="Z528" s="44"/>
      <c r="AA528" s="15"/>
      <c r="AB528" s="44"/>
      <c r="AC528" s="15"/>
      <c r="AD528" s="44"/>
      <c r="AE528" s="15"/>
      <c r="AF528" s="44"/>
      <c r="AG528" s="15">
        <f>(Y528+AA528+AC528+AE528)</f>
        <v>0</v>
      </c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/>
      <c r="BA528" s="42"/>
      <c r="BB528" s="15">
        <f>AH528+AJ528+AL528+AN528+AP528+AR528+AT528+AV528+AX528+AZ528</f>
        <v>0</v>
      </c>
      <c r="BC528" s="15"/>
      <c r="BD528" s="44"/>
      <c r="BE528" s="15"/>
      <c r="BF528" s="44"/>
      <c r="BG528" s="15">
        <f>(BC528+BE528)</f>
        <v>0</v>
      </c>
    </row>
    <row r="529" spans="1:59" s="8" customFormat="1" ht="22.5" hidden="1" customHeight="1">
      <c r="A529" s="9"/>
      <c r="B529" s="16" t="s">
        <v>172</v>
      </c>
      <c r="C529" s="89" t="s">
        <v>52</v>
      </c>
      <c r="D529" s="109" t="s">
        <v>497</v>
      </c>
      <c r="E529" s="110"/>
      <c r="F529" s="111" t="s">
        <v>2059</v>
      </c>
      <c r="G529" s="111" t="s">
        <v>2060</v>
      </c>
      <c r="H529" s="96"/>
      <c r="I529" s="9"/>
      <c r="J529" s="9" t="s">
        <v>67</v>
      </c>
      <c r="K529" s="14"/>
      <c r="L529" s="14"/>
      <c r="M529" s="12"/>
      <c r="N529" s="9"/>
      <c r="O529" s="9"/>
      <c r="P529" s="9"/>
      <c r="Q529" s="38">
        <f>M529+X529-AG529-BB529</f>
        <v>0</v>
      </c>
      <c r="R529" s="12"/>
      <c r="S529" s="42"/>
      <c r="T529" s="15"/>
      <c r="U529" s="44"/>
      <c r="V529" s="15"/>
      <c r="W529" s="44"/>
      <c r="X529" s="15">
        <f>R529+T529+V529</f>
        <v>0</v>
      </c>
      <c r="Y529" s="15"/>
      <c r="Z529" s="44"/>
      <c r="AA529" s="15"/>
      <c r="AB529" s="44"/>
      <c r="AC529" s="15"/>
      <c r="AD529" s="44"/>
      <c r="AE529" s="15"/>
      <c r="AF529" s="44"/>
      <c r="AG529" s="15">
        <f>(Y529+AA529+AC529+AE529)</f>
        <v>0</v>
      </c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/>
      <c r="BA529" s="42"/>
      <c r="BB529" s="15">
        <f>AH529+AJ529+AL529+AN529+AP529+AR529+AT529+AV529+AX529+AZ529</f>
        <v>0</v>
      </c>
      <c r="BC529" s="15"/>
      <c r="BD529" s="44"/>
      <c r="BE529" s="15"/>
      <c r="BF529" s="44"/>
      <c r="BG529" s="15">
        <f>(BC529+BE529)</f>
        <v>0</v>
      </c>
    </row>
    <row r="530" spans="1:59" s="8" customFormat="1" ht="22.5" hidden="1" customHeight="1">
      <c r="A530" s="9"/>
      <c r="B530" s="16" t="s">
        <v>172</v>
      </c>
      <c r="C530" s="89" t="s">
        <v>52</v>
      </c>
      <c r="D530" s="109" t="s">
        <v>886</v>
      </c>
      <c r="E530" s="110"/>
      <c r="F530" s="111" t="s">
        <v>2061</v>
      </c>
      <c r="G530" s="111" t="s">
        <v>2062</v>
      </c>
      <c r="H530" s="96"/>
      <c r="I530" s="9"/>
      <c r="J530" s="9" t="s">
        <v>420</v>
      </c>
      <c r="K530" s="14"/>
      <c r="L530" s="14"/>
      <c r="M530" s="12"/>
      <c r="N530" s="9"/>
      <c r="O530" s="9"/>
      <c r="P530" s="9"/>
      <c r="Q530" s="38">
        <f>M530+X530-AG530-BB530</f>
        <v>0</v>
      </c>
      <c r="R530" s="12"/>
      <c r="S530" s="42"/>
      <c r="T530" s="15"/>
      <c r="U530" s="44"/>
      <c r="V530" s="15"/>
      <c r="W530" s="44"/>
      <c r="X530" s="15">
        <f>R530+T530+V530</f>
        <v>0</v>
      </c>
      <c r="Y530" s="15"/>
      <c r="Z530" s="44"/>
      <c r="AA530" s="15"/>
      <c r="AB530" s="44"/>
      <c r="AC530" s="15"/>
      <c r="AD530" s="44"/>
      <c r="AE530" s="15"/>
      <c r="AF530" s="44"/>
      <c r="AG530" s="15">
        <f>(Y530+AA530+AC530+AE530)</f>
        <v>0</v>
      </c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/>
      <c r="BA530" s="42"/>
      <c r="BB530" s="15">
        <f>AH530+AJ530+AL530+AN530+AP530+AR530+AT530+AV530+AX530+AZ530</f>
        <v>0</v>
      </c>
      <c r="BC530" s="15"/>
      <c r="BD530" s="44"/>
      <c r="BE530" s="15"/>
      <c r="BF530" s="44"/>
      <c r="BG530" s="15">
        <f>(BC530+BE530)</f>
        <v>0</v>
      </c>
    </row>
    <row r="531" spans="1:59" s="8" customFormat="1" ht="22.5" hidden="1" customHeight="1">
      <c r="A531" s="9"/>
      <c r="B531" s="16" t="s">
        <v>172</v>
      </c>
      <c r="C531" s="89" t="s">
        <v>52</v>
      </c>
      <c r="D531" s="109" t="s">
        <v>887</v>
      </c>
      <c r="E531" s="110"/>
      <c r="F531" s="111" t="s">
        <v>2063</v>
      </c>
      <c r="G531" s="111" t="s">
        <v>2064</v>
      </c>
      <c r="H531" s="96"/>
      <c r="I531" s="9"/>
      <c r="J531" s="9" t="s">
        <v>420</v>
      </c>
      <c r="K531" s="14"/>
      <c r="L531" s="14"/>
      <c r="M531" s="12"/>
      <c r="N531" s="9"/>
      <c r="O531" s="9"/>
      <c r="P531" s="9"/>
      <c r="Q531" s="38">
        <f>M531+X531-AG531-BB531</f>
        <v>0</v>
      </c>
      <c r="R531" s="12"/>
      <c r="S531" s="42"/>
      <c r="T531" s="15"/>
      <c r="U531" s="44"/>
      <c r="V531" s="15"/>
      <c r="W531" s="44"/>
      <c r="X531" s="15">
        <f>R531+T531+V531</f>
        <v>0</v>
      </c>
      <c r="Y531" s="15"/>
      <c r="Z531" s="44"/>
      <c r="AA531" s="15"/>
      <c r="AB531" s="44"/>
      <c r="AC531" s="15"/>
      <c r="AD531" s="44"/>
      <c r="AE531" s="15"/>
      <c r="AF531" s="44"/>
      <c r="AG531" s="15">
        <f>(Y531+AA531+AC531+AE531)</f>
        <v>0</v>
      </c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/>
      <c r="BA531" s="42"/>
      <c r="BB531" s="15">
        <f>AH531+AJ531+AL531+AN531+AP531+AR531+AT531+AV531+AX531+AZ531</f>
        <v>0</v>
      </c>
      <c r="BC531" s="15"/>
      <c r="BD531" s="44"/>
      <c r="BE531" s="15"/>
      <c r="BF531" s="44"/>
      <c r="BG531" s="15">
        <f>(BC531+BE531)</f>
        <v>0</v>
      </c>
    </row>
    <row r="532" spans="1:59" s="8" customFormat="1" ht="22.5" hidden="1" customHeight="1">
      <c r="A532" s="9"/>
      <c r="B532" s="16" t="s">
        <v>172</v>
      </c>
      <c r="C532" s="89" t="s">
        <v>494</v>
      </c>
      <c r="D532" s="109" t="s">
        <v>498</v>
      </c>
      <c r="E532" s="110"/>
      <c r="F532" s="111" t="s">
        <v>2065</v>
      </c>
      <c r="G532" s="111" t="s">
        <v>2066</v>
      </c>
      <c r="H532" s="96"/>
      <c r="I532" s="9"/>
      <c r="J532" s="9" t="s">
        <v>67</v>
      </c>
      <c r="K532" s="14"/>
      <c r="L532" s="14"/>
      <c r="M532" s="12"/>
      <c r="N532" s="9"/>
      <c r="O532" s="9"/>
      <c r="P532" s="9"/>
      <c r="Q532" s="38">
        <f>M532+X532-AG532-BB532</f>
        <v>0</v>
      </c>
      <c r="R532" s="12"/>
      <c r="S532" s="42"/>
      <c r="T532" s="15"/>
      <c r="U532" s="44"/>
      <c r="V532" s="15"/>
      <c r="W532" s="44"/>
      <c r="X532" s="15">
        <f>R532+T532+V532</f>
        <v>0</v>
      </c>
      <c r="Y532" s="15"/>
      <c r="Z532" s="44"/>
      <c r="AA532" s="15"/>
      <c r="AB532" s="44"/>
      <c r="AC532" s="15"/>
      <c r="AD532" s="44"/>
      <c r="AE532" s="15"/>
      <c r="AF532" s="44"/>
      <c r="AG532" s="15">
        <f>(Y532+AA532+AC532+AE532)</f>
        <v>0</v>
      </c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/>
      <c r="BA532" s="42"/>
      <c r="BB532" s="15">
        <f>AH532+AJ532+AL532+AN532+AP532+AR532+AT532+AV532+AX532+AZ532</f>
        <v>0</v>
      </c>
      <c r="BC532" s="15"/>
      <c r="BD532" s="44"/>
      <c r="BE532" s="15"/>
      <c r="BF532" s="44"/>
      <c r="BG532" s="15">
        <f>(BC532+BE532)</f>
        <v>0</v>
      </c>
    </row>
    <row r="533" spans="1:59" s="8" customFormat="1" ht="22.5" hidden="1" customHeight="1">
      <c r="A533" s="9"/>
      <c r="B533" s="16" t="s">
        <v>172</v>
      </c>
      <c r="C533" s="89" t="s">
        <v>1625</v>
      </c>
      <c r="D533" s="109" t="s">
        <v>888</v>
      </c>
      <c r="E533" s="110"/>
      <c r="F533" s="111" t="s">
        <v>2067</v>
      </c>
      <c r="G533" s="111" t="s">
        <v>2068</v>
      </c>
      <c r="H533" s="96"/>
      <c r="I533" s="9"/>
      <c r="J533" s="9" t="s">
        <v>67</v>
      </c>
      <c r="K533" s="14"/>
      <c r="L533" s="14"/>
      <c r="M533" s="12">
        <v>104</v>
      </c>
      <c r="N533" s="9"/>
      <c r="O533" s="9"/>
      <c r="P533" s="9"/>
      <c r="Q533" s="38">
        <f>M533+X533-AG533-BB533</f>
        <v>104</v>
      </c>
      <c r="R533" s="12"/>
      <c r="S533" s="42"/>
      <c r="T533" s="15"/>
      <c r="U533" s="44"/>
      <c r="V533" s="15"/>
      <c r="W533" s="44"/>
      <c r="X533" s="15">
        <f>R533+T533+V533</f>
        <v>0</v>
      </c>
      <c r="Y533" s="15"/>
      <c r="Z533" s="44"/>
      <c r="AA533" s="15"/>
      <c r="AB533" s="44"/>
      <c r="AC533" s="15"/>
      <c r="AD533" s="44"/>
      <c r="AE533" s="15"/>
      <c r="AF533" s="44"/>
      <c r="AG533" s="15">
        <f>(Y533+AA533+AC533+AE533)</f>
        <v>0</v>
      </c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/>
      <c r="BA533" s="42"/>
      <c r="BB533" s="15">
        <f>AH533+AJ533+AL533+AN533+AP533+AR533+AT533+AV533+AX533+AZ533</f>
        <v>0</v>
      </c>
      <c r="BC533" s="15"/>
      <c r="BD533" s="44"/>
      <c r="BE533" s="15"/>
      <c r="BF533" s="44"/>
      <c r="BG533" s="15">
        <f>(BC533+BE533)</f>
        <v>0</v>
      </c>
    </row>
    <row r="534" spans="1:59" s="8" customFormat="1" ht="22.5" hidden="1" customHeight="1">
      <c r="A534" s="9"/>
      <c r="B534" s="16" t="s">
        <v>172</v>
      </c>
      <c r="C534" s="89" t="s">
        <v>52</v>
      </c>
      <c r="D534" s="109" t="s">
        <v>889</v>
      </c>
      <c r="E534" s="110"/>
      <c r="F534" s="111" t="s">
        <v>2069</v>
      </c>
      <c r="G534" s="111" t="s">
        <v>2070</v>
      </c>
      <c r="H534" s="96"/>
      <c r="I534" s="9"/>
      <c r="J534" s="9" t="s">
        <v>67</v>
      </c>
      <c r="K534" s="14"/>
      <c r="L534" s="14"/>
      <c r="M534" s="12"/>
      <c r="N534" s="9"/>
      <c r="O534" s="9"/>
      <c r="P534" s="9"/>
      <c r="Q534" s="38">
        <f>M534+X534-AG534-BB534</f>
        <v>0</v>
      </c>
      <c r="R534" s="12"/>
      <c r="S534" s="42"/>
      <c r="T534" s="15"/>
      <c r="U534" s="44"/>
      <c r="V534" s="15"/>
      <c r="W534" s="44"/>
      <c r="X534" s="15">
        <f>R534+T534+V534</f>
        <v>0</v>
      </c>
      <c r="Y534" s="15"/>
      <c r="Z534" s="44"/>
      <c r="AA534" s="15"/>
      <c r="AB534" s="44"/>
      <c r="AC534" s="15"/>
      <c r="AD534" s="44"/>
      <c r="AE534" s="15"/>
      <c r="AF534" s="44"/>
      <c r="AG534" s="15">
        <f>(Y534+AA534+AC534+AE534)</f>
        <v>0</v>
      </c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/>
      <c r="BA534" s="42"/>
      <c r="BB534" s="15">
        <f>AH534+AJ534+AL534+AN534+AP534+AR534+AT534+AV534+AX534+AZ534</f>
        <v>0</v>
      </c>
      <c r="BC534" s="15"/>
      <c r="BD534" s="44"/>
      <c r="BE534" s="15"/>
      <c r="BF534" s="44"/>
      <c r="BG534" s="15">
        <f>(BC534+BE534)</f>
        <v>0</v>
      </c>
    </row>
    <row r="535" spans="1:59" s="8" customFormat="1" ht="22.5" hidden="1" customHeight="1">
      <c r="A535" s="9"/>
      <c r="B535" s="16" t="s">
        <v>172</v>
      </c>
      <c r="C535" s="89" t="s">
        <v>1625</v>
      </c>
      <c r="D535" s="109" t="s">
        <v>500</v>
      </c>
      <c r="E535" s="110" t="s">
        <v>578</v>
      </c>
      <c r="F535" s="111" t="s">
        <v>2071</v>
      </c>
      <c r="G535" s="111" t="s">
        <v>2072</v>
      </c>
      <c r="H535" s="96"/>
      <c r="I535" s="9"/>
      <c r="J535" s="9" t="s">
        <v>67</v>
      </c>
      <c r="K535" s="14"/>
      <c r="L535" s="14"/>
      <c r="M535" s="12">
        <v>0</v>
      </c>
      <c r="N535" s="9"/>
      <c r="O535" s="9"/>
      <c r="P535" s="9"/>
      <c r="Q535" s="38">
        <f>M535+X535-AG535-BB535</f>
        <v>0</v>
      </c>
      <c r="R535" s="12"/>
      <c r="S535" s="42"/>
      <c r="T535" s="15"/>
      <c r="U535" s="44"/>
      <c r="V535" s="15"/>
      <c r="W535" s="44"/>
      <c r="X535" s="15">
        <f>R535+T535+V535</f>
        <v>0</v>
      </c>
      <c r="Y535" s="15"/>
      <c r="Z535" s="44"/>
      <c r="AA535" s="15"/>
      <c r="AB535" s="44"/>
      <c r="AC535" s="15"/>
      <c r="AD535" s="44"/>
      <c r="AE535" s="15"/>
      <c r="AF535" s="44"/>
      <c r="AG535" s="15">
        <f>(Y535+AA535+AC535+AE535)</f>
        <v>0</v>
      </c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/>
      <c r="BA535" s="42"/>
      <c r="BB535" s="15">
        <f>AH535+AJ535+AL535+AN535+AP535+AR535+AT535+AV535+AX535+AZ535</f>
        <v>0</v>
      </c>
      <c r="BC535" s="15"/>
      <c r="BD535" s="44"/>
      <c r="BE535" s="15"/>
      <c r="BF535" s="44"/>
      <c r="BG535" s="15">
        <f>(BC535+BE535)</f>
        <v>0</v>
      </c>
    </row>
    <row r="536" spans="1:59" s="8" customFormat="1" ht="22.5" hidden="1" customHeight="1">
      <c r="A536" s="9"/>
      <c r="B536" s="16" t="s">
        <v>172</v>
      </c>
      <c r="C536" s="89" t="s">
        <v>52</v>
      </c>
      <c r="D536" s="109" t="s">
        <v>892</v>
      </c>
      <c r="E536" s="110" t="s">
        <v>894</v>
      </c>
      <c r="F536" s="111" t="s">
        <v>2073</v>
      </c>
      <c r="G536" s="111" t="s">
        <v>2074</v>
      </c>
      <c r="H536" s="96"/>
      <c r="I536" s="9"/>
      <c r="J536" s="9" t="s">
        <v>67</v>
      </c>
      <c r="K536" s="14"/>
      <c r="L536" s="14"/>
      <c r="M536" s="12"/>
      <c r="N536" s="9"/>
      <c r="O536" s="9"/>
      <c r="P536" s="9"/>
      <c r="Q536" s="38">
        <f>M536+X536-AG536-BB536</f>
        <v>0</v>
      </c>
      <c r="R536" s="12"/>
      <c r="S536" s="42"/>
      <c r="T536" s="15"/>
      <c r="U536" s="44"/>
      <c r="V536" s="15"/>
      <c r="W536" s="44"/>
      <c r="X536" s="15">
        <f>R536+T536+V536</f>
        <v>0</v>
      </c>
      <c r="Y536" s="15"/>
      <c r="Z536" s="44"/>
      <c r="AA536" s="15"/>
      <c r="AB536" s="44"/>
      <c r="AC536" s="15"/>
      <c r="AD536" s="44"/>
      <c r="AE536" s="15"/>
      <c r="AF536" s="44"/>
      <c r="AG536" s="15">
        <f>(Y536+AA536+AC536+AE536)</f>
        <v>0</v>
      </c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/>
      <c r="BA536" s="42"/>
      <c r="BB536" s="15">
        <f>AH536+AJ536+AL536+AN536+AP536+AR536+AT536+AV536+AX536+AZ536</f>
        <v>0</v>
      </c>
      <c r="BC536" s="15"/>
      <c r="BD536" s="44"/>
      <c r="BE536" s="15"/>
      <c r="BF536" s="44"/>
      <c r="BG536" s="15">
        <f>(BC536+BE536)</f>
        <v>0</v>
      </c>
    </row>
    <row r="537" spans="1:59" s="8" customFormat="1" ht="22.5" hidden="1" customHeight="1">
      <c r="A537" s="9"/>
      <c r="B537" s="16" t="s">
        <v>172</v>
      </c>
      <c r="C537" s="89" t="s">
        <v>52</v>
      </c>
      <c r="D537" s="109" t="s">
        <v>895</v>
      </c>
      <c r="E537" s="110"/>
      <c r="F537" s="111" t="s">
        <v>2075</v>
      </c>
      <c r="G537" s="111" t="s">
        <v>2076</v>
      </c>
      <c r="H537" s="96"/>
      <c r="I537" s="9"/>
      <c r="J537" s="9" t="s">
        <v>67</v>
      </c>
      <c r="K537" s="14"/>
      <c r="L537" s="14"/>
      <c r="M537" s="12"/>
      <c r="N537" s="9"/>
      <c r="O537" s="9"/>
      <c r="P537" s="9"/>
      <c r="Q537" s="38">
        <f>M537+X537-AG537-BB537</f>
        <v>0</v>
      </c>
      <c r="R537" s="12"/>
      <c r="S537" s="42"/>
      <c r="T537" s="15"/>
      <c r="U537" s="44"/>
      <c r="V537" s="15"/>
      <c r="W537" s="44"/>
      <c r="X537" s="15">
        <f>R537+T537+V537</f>
        <v>0</v>
      </c>
      <c r="Y537" s="15"/>
      <c r="Z537" s="44"/>
      <c r="AA537" s="15"/>
      <c r="AB537" s="44"/>
      <c r="AC537" s="15"/>
      <c r="AD537" s="44"/>
      <c r="AE537" s="15"/>
      <c r="AF537" s="44"/>
      <c r="AG537" s="15">
        <f>(Y537+AA537+AC537+AE537)</f>
        <v>0</v>
      </c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/>
      <c r="BA537" s="42"/>
      <c r="BB537" s="15">
        <f>AH537+AJ537+AL537+AN537+AP537+AR537+AT537+AV537+AX537+AZ537</f>
        <v>0</v>
      </c>
      <c r="BC537" s="15"/>
      <c r="BD537" s="44"/>
      <c r="BE537" s="15"/>
      <c r="BF537" s="44"/>
      <c r="BG537" s="15">
        <f>(BC537+BE537)</f>
        <v>0</v>
      </c>
    </row>
    <row r="538" spans="1:59" s="8" customFormat="1" ht="22.5" hidden="1" customHeight="1">
      <c r="A538" s="9"/>
      <c r="B538" s="16" t="s">
        <v>172</v>
      </c>
      <c r="C538" s="89" t="s">
        <v>52</v>
      </c>
      <c r="D538" s="109" t="s">
        <v>896</v>
      </c>
      <c r="E538" s="110"/>
      <c r="F538" s="111" t="s">
        <v>2077</v>
      </c>
      <c r="G538" s="111" t="s">
        <v>2078</v>
      </c>
      <c r="H538" s="96"/>
      <c r="I538" s="9"/>
      <c r="J538" s="9" t="s">
        <v>67</v>
      </c>
      <c r="K538" s="14"/>
      <c r="L538" s="14"/>
      <c r="M538" s="12"/>
      <c r="N538" s="9"/>
      <c r="O538" s="9"/>
      <c r="P538" s="9"/>
      <c r="Q538" s="38">
        <f>M538+X538-AG538-BB538</f>
        <v>0</v>
      </c>
      <c r="R538" s="12"/>
      <c r="S538" s="42"/>
      <c r="T538" s="15"/>
      <c r="U538" s="44"/>
      <c r="V538" s="15"/>
      <c r="W538" s="44"/>
      <c r="X538" s="15">
        <f>R538+T538+V538</f>
        <v>0</v>
      </c>
      <c r="Y538" s="15"/>
      <c r="Z538" s="44"/>
      <c r="AA538" s="15"/>
      <c r="AB538" s="44"/>
      <c r="AC538" s="15"/>
      <c r="AD538" s="44"/>
      <c r="AE538" s="15"/>
      <c r="AF538" s="44"/>
      <c r="AG538" s="15">
        <f>(Y538+AA538+AC538+AE538)</f>
        <v>0</v>
      </c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/>
      <c r="BA538" s="42"/>
      <c r="BB538" s="15">
        <f>AH538+AJ538+AL538+AN538+AP538+AR538+AT538+AV538+AX538+AZ538</f>
        <v>0</v>
      </c>
      <c r="BC538" s="15"/>
      <c r="BD538" s="44"/>
      <c r="BE538" s="15"/>
      <c r="BF538" s="44"/>
      <c r="BG538" s="15">
        <f>(BC538+BE538)</f>
        <v>0</v>
      </c>
    </row>
    <row r="539" spans="1:59" s="8" customFormat="1" ht="22.5" hidden="1" customHeight="1">
      <c r="A539" s="9"/>
      <c r="B539" s="16" t="s">
        <v>172</v>
      </c>
      <c r="C539" s="89" t="s">
        <v>52</v>
      </c>
      <c r="D539" s="109" t="s">
        <v>897</v>
      </c>
      <c r="E539" s="110"/>
      <c r="F539" s="111" t="s">
        <v>2079</v>
      </c>
      <c r="G539" s="111" t="s">
        <v>2080</v>
      </c>
      <c r="H539" s="96"/>
      <c r="I539" s="9"/>
      <c r="J539" s="9" t="s">
        <v>67</v>
      </c>
      <c r="K539" s="14"/>
      <c r="L539" s="14"/>
      <c r="M539" s="12"/>
      <c r="N539" s="9"/>
      <c r="O539" s="9"/>
      <c r="P539" s="9"/>
      <c r="Q539" s="38">
        <f>M539+X539-AG539-BB539</f>
        <v>0</v>
      </c>
      <c r="R539" s="12"/>
      <c r="S539" s="42"/>
      <c r="T539" s="15"/>
      <c r="U539" s="44"/>
      <c r="V539" s="15"/>
      <c r="W539" s="44"/>
      <c r="X539" s="15">
        <f>R539+T539+V539</f>
        <v>0</v>
      </c>
      <c r="Y539" s="15"/>
      <c r="Z539" s="44"/>
      <c r="AA539" s="15"/>
      <c r="AB539" s="44"/>
      <c r="AC539" s="15"/>
      <c r="AD539" s="44"/>
      <c r="AE539" s="15"/>
      <c r="AF539" s="44"/>
      <c r="AG539" s="15">
        <f>(Y539+AA539+AC539+AE539)</f>
        <v>0</v>
      </c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/>
      <c r="BA539" s="42"/>
      <c r="BB539" s="15">
        <f>AH539+AJ539+AL539+AN539+AP539+AR539+AT539+AV539+AX539+AZ539</f>
        <v>0</v>
      </c>
      <c r="BC539" s="15"/>
      <c r="BD539" s="44"/>
      <c r="BE539" s="15"/>
      <c r="BF539" s="44"/>
      <c r="BG539" s="15">
        <f>(BC539+BE539)</f>
        <v>0</v>
      </c>
    </row>
    <row r="540" spans="1:59" s="8" customFormat="1" ht="22.5" hidden="1" customHeight="1">
      <c r="A540" s="9"/>
      <c r="B540" s="16" t="s">
        <v>172</v>
      </c>
      <c r="C540" s="89" t="s">
        <v>52</v>
      </c>
      <c r="D540" s="109" t="s">
        <v>900</v>
      </c>
      <c r="E540" s="110" t="s">
        <v>737</v>
      </c>
      <c r="F540" s="111" t="s">
        <v>2082</v>
      </c>
      <c r="G540" s="111" t="s">
        <v>2083</v>
      </c>
      <c r="H540" s="96"/>
      <c r="I540" s="9"/>
      <c r="J540" s="9" t="s">
        <v>67</v>
      </c>
      <c r="K540" s="14"/>
      <c r="L540" s="14"/>
      <c r="M540" s="12"/>
      <c r="N540" s="9"/>
      <c r="O540" s="9"/>
      <c r="P540" s="9"/>
      <c r="Q540" s="38">
        <f>M540+X540-AG540-BB540</f>
        <v>0</v>
      </c>
      <c r="R540" s="12"/>
      <c r="S540" s="42"/>
      <c r="T540" s="15"/>
      <c r="U540" s="44"/>
      <c r="V540" s="15"/>
      <c r="W540" s="44"/>
      <c r="X540" s="15">
        <f>R540+T540+V540</f>
        <v>0</v>
      </c>
      <c r="Y540" s="15"/>
      <c r="Z540" s="44"/>
      <c r="AA540" s="15"/>
      <c r="AB540" s="44"/>
      <c r="AC540" s="15"/>
      <c r="AD540" s="44"/>
      <c r="AE540" s="15"/>
      <c r="AF540" s="44"/>
      <c r="AG540" s="15">
        <f>(Y540+AA540+AC540+AE540)</f>
        <v>0</v>
      </c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/>
      <c r="BA540" s="42"/>
      <c r="BB540" s="15">
        <f>AH540+AJ540+AL540+AN540+AP540+AR540+AT540+AV540+AX540+AZ540</f>
        <v>0</v>
      </c>
      <c r="BC540" s="15"/>
      <c r="BD540" s="44"/>
      <c r="BE540" s="15"/>
      <c r="BF540" s="44"/>
      <c r="BG540" s="15">
        <f>(BC540+BE540)</f>
        <v>0</v>
      </c>
    </row>
    <row r="541" spans="1:59" s="8" customFormat="1" ht="22.5" hidden="1" customHeight="1">
      <c r="A541" s="9"/>
      <c r="B541" s="16" t="s">
        <v>172</v>
      </c>
      <c r="C541" s="89" t="s">
        <v>52</v>
      </c>
      <c r="D541" s="109" t="s">
        <v>900</v>
      </c>
      <c r="E541" s="110" t="s">
        <v>136</v>
      </c>
      <c r="F541" s="111" t="s">
        <v>2084</v>
      </c>
      <c r="G541" s="111" t="s">
        <v>2085</v>
      </c>
      <c r="H541" s="96"/>
      <c r="I541" s="9"/>
      <c r="J541" s="9" t="s">
        <v>67</v>
      </c>
      <c r="K541" s="14"/>
      <c r="L541" s="14"/>
      <c r="M541" s="12"/>
      <c r="N541" s="9"/>
      <c r="O541" s="9"/>
      <c r="P541" s="9"/>
      <c r="Q541" s="38">
        <f>M541+X541-AG541-BB541</f>
        <v>0</v>
      </c>
      <c r="R541" s="12"/>
      <c r="S541" s="42"/>
      <c r="T541" s="15"/>
      <c r="U541" s="44"/>
      <c r="V541" s="15"/>
      <c r="W541" s="44"/>
      <c r="X541" s="15">
        <f>R541+T541+V541</f>
        <v>0</v>
      </c>
      <c r="Y541" s="15"/>
      <c r="Z541" s="44"/>
      <c r="AA541" s="15"/>
      <c r="AB541" s="44"/>
      <c r="AC541" s="15"/>
      <c r="AD541" s="44"/>
      <c r="AE541" s="15"/>
      <c r="AF541" s="44"/>
      <c r="AG541" s="15">
        <f>(Y541+AA541+AC541+AE541)</f>
        <v>0</v>
      </c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/>
      <c r="BA541" s="42"/>
      <c r="BB541" s="15">
        <f>AH541+AJ541+AL541+AN541+AP541+AR541+AT541+AV541+AX541+AZ541</f>
        <v>0</v>
      </c>
      <c r="BC541" s="15"/>
      <c r="BD541" s="44"/>
      <c r="BE541" s="15"/>
      <c r="BF541" s="44"/>
      <c r="BG541" s="15">
        <f>(BC541+BE541)</f>
        <v>0</v>
      </c>
    </row>
    <row r="542" spans="1:59" s="8" customFormat="1" ht="22.5" hidden="1" customHeight="1">
      <c r="A542" s="9"/>
      <c r="B542" s="16" t="s">
        <v>120</v>
      </c>
      <c r="C542" s="89" t="s">
        <v>52</v>
      </c>
      <c r="D542" s="109" t="s">
        <v>901</v>
      </c>
      <c r="E542" s="110" t="s">
        <v>902</v>
      </c>
      <c r="F542" s="111" t="s">
        <v>2086</v>
      </c>
      <c r="G542" s="111" t="s">
        <v>2087</v>
      </c>
      <c r="H542" s="96"/>
      <c r="I542" s="9"/>
      <c r="J542" s="9" t="s">
        <v>67</v>
      </c>
      <c r="K542" s="14"/>
      <c r="L542" s="14"/>
      <c r="M542" s="12"/>
      <c r="N542" s="9"/>
      <c r="O542" s="9"/>
      <c r="P542" s="9"/>
      <c r="Q542" s="38">
        <f>M542+X542-AG542-BB542</f>
        <v>0</v>
      </c>
      <c r="R542" s="12"/>
      <c r="S542" s="42"/>
      <c r="T542" s="15"/>
      <c r="U542" s="44"/>
      <c r="V542" s="15"/>
      <c r="W542" s="44"/>
      <c r="X542" s="15">
        <f>R542+T542+V542</f>
        <v>0</v>
      </c>
      <c r="Y542" s="15"/>
      <c r="Z542" s="44"/>
      <c r="AA542" s="15"/>
      <c r="AB542" s="44"/>
      <c r="AC542" s="15"/>
      <c r="AD542" s="44"/>
      <c r="AE542" s="15"/>
      <c r="AF542" s="44"/>
      <c r="AG542" s="15">
        <f>(Y542+AA542+AC542+AE542)</f>
        <v>0</v>
      </c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/>
      <c r="BA542" s="42"/>
      <c r="BB542" s="15">
        <f>AH542+AJ542+AL542+AN542+AP542+AR542+AT542+AV542+AX542+AZ542</f>
        <v>0</v>
      </c>
      <c r="BC542" s="15"/>
      <c r="BD542" s="44"/>
      <c r="BE542" s="15"/>
      <c r="BF542" s="44"/>
      <c r="BG542" s="15">
        <f>(BC542+BE542)</f>
        <v>0</v>
      </c>
    </row>
    <row r="543" spans="1:59" s="8" customFormat="1" ht="22.5" hidden="1" customHeight="1">
      <c r="A543" s="9"/>
      <c r="B543" s="16" t="s">
        <v>120</v>
      </c>
      <c r="C543" s="89" t="s">
        <v>52</v>
      </c>
      <c r="D543" s="109" t="s">
        <v>202</v>
      </c>
      <c r="E543" s="110" t="s">
        <v>903</v>
      </c>
      <c r="F543" s="111" t="s">
        <v>2088</v>
      </c>
      <c r="G543" s="111" t="s">
        <v>2089</v>
      </c>
      <c r="H543" s="96"/>
      <c r="I543" s="9"/>
      <c r="J543" s="9" t="s">
        <v>67</v>
      </c>
      <c r="K543" s="14"/>
      <c r="L543" s="14"/>
      <c r="M543" s="12"/>
      <c r="N543" s="9"/>
      <c r="O543" s="9"/>
      <c r="P543" s="9"/>
      <c r="Q543" s="38">
        <f>M543+X543-AG543-BB543</f>
        <v>0</v>
      </c>
      <c r="R543" s="12"/>
      <c r="S543" s="42"/>
      <c r="T543" s="15"/>
      <c r="U543" s="44"/>
      <c r="V543" s="15"/>
      <c r="W543" s="44"/>
      <c r="X543" s="15">
        <f>R543+T543+V543</f>
        <v>0</v>
      </c>
      <c r="Y543" s="15"/>
      <c r="Z543" s="44"/>
      <c r="AA543" s="15"/>
      <c r="AB543" s="44"/>
      <c r="AC543" s="15"/>
      <c r="AD543" s="44"/>
      <c r="AE543" s="15"/>
      <c r="AF543" s="44"/>
      <c r="AG543" s="15">
        <f>(Y543+AA543+AC543+AE543)</f>
        <v>0</v>
      </c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/>
      <c r="BA543" s="42"/>
      <c r="BB543" s="15">
        <f>AH543+AJ543+AL543+AN543+AP543+AR543+AT543+AV543+AX543+AZ543</f>
        <v>0</v>
      </c>
      <c r="BC543" s="15"/>
      <c r="BD543" s="44"/>
      <c r="BE543" s="15"/>
      <c r="BF543" s="44"/>
      <c r="BG543" s="15">
        <f>(BC543+BE543)</f>
        <v>0</v>
      </c>
    </row>
    <row r="544" spans="1:59" s="8" customFormat="1" ht="22.5" hidden="1" customHeight="1">
      <c r="A544" s="9"/>
      <c r="B544" s="16" t="s">
        <v>120</v>
      </c>
      <c r="C544" s="89" t="s">
        <v>494</v>
      </c>
      <c r="D544" s="109" t="s">
        <v>904</v>
      </c>
      <c r="E544" s="110" t="s">
        <v>905</v>
      </c>
      <c r="F544" s="111" t="s">
        <v>2090</v>
      </c>
      <c r="G544" s="111" t="s">
        <v>2091</v>
      </c>
      <c r="H544" s="96"/>
      <c r="I544" s="9"/>
      <c r="J544" s="9" t="s">
        <v>67</v>
      </c>
      <c r="K544" s="14"/>
      <c r="L544" s="14"/>
      <c r="M544" s="12"/>
      <c r="N544" s="9"/>
      <c r="O544" s="9"/>
      <c r="P544" s="9"/>
      <c r="Q544" s="38">
        <f>M544+X544-AG544-BB544</f>
        <v>0</v>
      </c>
      <c r="R544" s="12"/>
      <c r="S544" s="42"/>
      <c r="T544" s="15"/>
      <c r="U544" s="44"/>
      <c r="V544" s="15"/>
      <c r="W544" s="44"/>
      <c r="X544" s="15">
        <f>R544+T544+V544</f>
        <v>0</v>
      </c>
      <c r="Y544" s="15"/>
      <c r="Z544" s="44"/>
      <c r="AA544" s="15"/>
      <c r="AB544" s="44"/>
      <c r="AC544" s="15"/>
      <c r="AD544" s="44"/>
      <c r="AE544" s="15"/>
      <c r="AF544" s="44"/>
      <c r="AG544" s="15">
        <f>(Y544+AA544+AC544+AE544)</f>
        <v>0</v>
      </c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/>
      <c r="BA544" s="42"/>
      <c r="BB544" s="15">
        <f>AH544+AJ544+AL544+AN544+AP544+AR544+AT544+AV544+AX544+AZ544</f>
        <v>0</v>
      </c>
      <c r="BC544" s="15"/>
      <c r="BD544" s="44"/>
      <c r="BE544" s="15"/>
      <c r="BF544" s="44"/>
      <c r="BG544" s="15">
        <f>(BC544+BE544)</f>
        <v>0</v>
      </c>
    </row>
    <row r="545" spans="1:59" s="8" customFormat="1" ht="22.5" hidden="1" customHeight="1">
      <c r="A545" s="9"/>
      <c r="B545" s="16" t="s">
        <v>120</v>
      </c>
      <c r="C545" s="89" t="s">
        <v>52</v>
      </c>
      <c r="D545" s="109" t="s">
        <v>881</v>
      </c>
      <c r="E545" s="110" t="s">
        <v>906</v>
      </c>
      <c r="F545" s="111" t="s">
        <v>2092</v>
      </c>
      <c r="G545" s="111" t="s">
        <v>2093</v>
      </c>
      <c r="H545" s="96"/>
      <c r="I545" s="9"/>
      <c r="J545" s="9" t="s">
        <v>67</v>
      </c>
      <c r="K545" s="14"/>
      <c r="L545" s="14"/>
      <c r="M545" s="12"/>
      <c r="N545" s="9"/>
      <c r="O545" s="9"/>
      <c r="P545" s="9"/>
      <c r="Q545" s="38">
        <f>M545+X545-AG545-BB545</f>
        <v>0</v>
      </c>
      <c r="R545" s="12"/>
      <c r="S545" s="42"/>
      <c r="T545" s="15"/>
      <c r="U545" s="44"/>
      <c r="V545" s="15"/>
      <c r="W545" s="44"/>
      <c r="X545" s="15">
        <f>R545+T545+V545</f>
        <v>0</v>
      </c>
      <c r="Y545" s="15"/>
      <c r="Z545" s="44"/>
      <c r="AA545" s="15"/>
      <c r="AB545" s="44"/>
      <c r="AC545" s="15"/>
      <c r="AD545" s="44"/>
      <c r="AE545" s="15"/>
      <c r="AF545" s="44"/>
      <c r="AG545" s="15">
        <f>(Y545+AA545+AC545+AE545)</f>
        <v>0</v>
      </c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/>
      <c r="BA545" s="42"/>
      <c r="BB545" s="15">
        <f>AH545+AJ545+AL545+AN545+AP545+AR545+AT545+AV545+AX545+AZ545</f>
        <v>0</v>
      </c>
      <c r="BC545" s="15"/>
      <c r="BD545" s="44"/>
      <c r="BE545" s="15"/>
      <c r="BF545" s="44"/>
      <c r="BG545" s="15">
        <f>(BC545+BE545)</f>
        <v>0</v>
      </c>
    </row>
    <row r="546" spans="1:59" s="8" customFormat="1" ht="22.5" hidden="1" customHeight="1">
      <c r="A546" s="9"/>
      <c r="B546" s="16" t="s">
        <v>120</v>
      </c>
      <c r="C546" s="89" t="s">
        <v>52</v>
      </c>
      <c r="D546" s="109" t="s">
        <v>907</v>
      </c>
      <c r="E546" s="110" t="s">
        <v>908</v>
      </c>
      <c r="F546" s="111" t="s">
        <v>2094</v>
      </c>
      <c r="G546" s="111" t="s">
        <v>2095</v>
      </c>
      <c r="H546" s="96"/>
      <c r="I546" s="9"/>
      <c r="J546" s="9" t="s">
        <v>67</v>
      </c>
      <c r="K546" s="14"/>
      <c r="L546" s="14"/>
      <c r="M546" s="12"/>
      <c r="N546" s="9"/>
      <c r="O546" s="9"/>
      <c r="P546" s="9"/>
      <c r="Q546" s="38">
        <f>M546+X546-AG546-BB546</f>
        <v>0</v>
      </c>
      <c r="R546" s="12"/>
      <c r="S546" s="42"/>
      <c r="T546" s="15"/>
      <c r="U546" s="44"/>
      <c r="V546" s="15"/>
      <c r="W546" s="44"/>
      <c r="X546" s="15">
        <f>R546+T546+V546</f>
        <v>0</v>
      </c>
      <c r="Y546" s="15"/>
      <c r="Z546" s="44"/>
      <c r="AA546" s="15"/>
      <c r="AB546" s="44"/>
      <c r="AC546" s="15"/>
      <c r="AD546" s="44"/>
      <c r="AE546" s="15"/>
      <c r="AF546" s="44"/>
      <c r="AG546" s="15">
        <f>(Y546+AA546+AC546+AE546)</f>
        <v>0</v>
      </c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/>
      <c r="BA546" s="42"/>
      <c r="BB546" s="15">
        <f>AH546+AJ546+AL546+AN546+AP546+AR546+AT546+AV546+AX546+AZ546</f>
        <v>0</v>
      </c>
      <c r="BC546" s="15"/>
      <c r="BD546" s="44"/>
      <c r="BE546" s="15"/>
      <c r="BF546" s="44"/>
      <c r="BG546" s="15">
        <f>(BC546+BE546)</f>
        <v>0</v>
      </c>
    </row>
    <row r="547" spans="1:59" s="8" customFormat="1" ht="22.5" hidden="1" customHeight="1">
      <c r="A547" s="9"/>
      <c r="B547" s="16" t="s">
        <v>120</v>
      </c>
      <c r="C547" s="89" t="s">
        <v>52</v>
      </c>
      <c r="D547" s="109" t="s">
        <v>909</v>
      </c>
      <c r="E547" s="110" t="s">
        <v>910</v>
      </c>
      <c r="F547" s="111" t="s">
        <v>2096</v>
      </c>
      <c r="G547" s="111" t="s">
        <v>2097</v>
      </c>
      <c r="H547" s="96"/>
      <c r="I547" s="9"/>
      <c r="J547" s="9" t="s">
        <v>67</v>
      </c>
      <c r="K547" s="14"/>
      <c r="L547" s="14"/>
      <c r="M547" s="12"/>
      <c r="N547" s="9"/>
      <c r="O547" s="9"/>
      <c r="P547" s="9"/>
      <c r="Q547" s="38">
        <f>M547+X547-AG547-BB547</f>
        <v>0</v>
      </c>
      <c r="R547" s="12"/>
      <c r="S547" s="42"/>
      <c r="T547" s="15"/>
      <c r="U547" s="44"/>
      <c r="V547" s="15"/>
      <c r="W547" s="44"/>
      <c r="X547" s="15">
        <f>R547+T547+V547</f>
        <v>0</v>
      </c>
      <c r="Y547" s="15"/>
      <c r="Z547" s="44"/>
      <c r="AA547" s="15"/>
      <c r="AB547" s="44"/>
      <c r="AC547" s="15"/>
      <c r="AD547" s="44"/>
      <c r="AE547" s="15"/>
      <c r="AF547" s="44"/>
      <c r="AG547" s="15">
        <f>(Y547+AA547+AC547+AE547)</f>
        <v>0</v>
      </c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/>
      <c r="BA547" s="42"/>
      <c r="BB547" s="15">
        <f>AH547+AJ547+AL547+AN547+AP547+AR547+AT547+AV547+AX547+AZ547</f>
        <v>0</v>
      </c>
      <c r="BC547" s="15"/>
      <c r="BD547" s="44"/>
      <c r="BE547" s="15"/>
      <c r="BF547" s="44"/>
      <c r="BG547" s="15">
        <f>(BC547+BE547)</f>
        <v>0</v>
      </c>
    </row>
    <row r="548" spans="1:59" s="8" customFormat="1" ht="22.5" hidden="1" customHeight="1">
      <c r="A548" s="9"/>
      <c r="B548" s="16" t="s">
        <v>120</v>
      </c>
      <c r="C548" s="89" t="s">
        <v>52</v>
      </c>
      <c r="D548" s="109" t="s">
        <v>911</v>
      </c>
      <c r="E548" s="110" t="s">
        <v>525</v>
      </c>
      <c r="F548" s="111" t="s">
        <v>2098</v>
      </c>
      <c r="G548" s="111" t="s">
        <v>2099</v>
      </c>
      <c r="H548" s="96"/>
      <c r="I548" s="9"/>
      <c r="J548" s="9" t="s">
        <v>67</v>
      </c>
      <c r="K548" s="14"/>
      <c r="L548" s="14"/>
      <c r="M548" s="12"/>
      <c r="N548" s="9"/>
      <c r="O548" s="9"/>
      <c r="P548" s="9"/>
      <c r="Q548" s="38">
        <f>M548+X548-AG548-BB548</f>
        <v>0</v>
      </c>
      <c r="R548" s="12"/>
      <c r="S548" s="42"/>
      <c r="T548" s="15"/>
      <c r="U548" s="44"/>
      <c r="V548" s="15"/>
      <c r="W548" s="44"/>
      <c r="X548" s="15">
        <f>R548+T548+V548</f>
        <v>0</v>
      </c>
      <c r="Y548" s="15"/>
      <c r="Z548" s="44"/>
      <c r="AA548" s="15"/>
      <c r="AB548" s="44"/>
      <c r="AC548" s="15"/>
      <c r="AD548" s="44"/>
      <c r="AE548" s="15"/>
      <c r="AF548" s="44"/>
      <c r="AG548" s="15">
        <f>(Y548+AA548+AC548+AE548)</f>
        <v>0</v>
      </c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/>
      <c r="BA548" s="42"/>
      <c r="BB548" s="15">
        <f>AH548+AJ548+AL548+AN548+AP548+AR548+AT548+AV548+AX548+AZ548</f>
        <v>0</v>
      </c>
      <c r="BC548" s="15"/>
      <c r="BD548" s="44"/>
      <c r="BE548" s="15"/>
      <c r="BF548" s="44"/>
      <c r="BG548" s="15">
        <f>(BC548+BE548)</f>
        <v>0</v>
      </c>
    </row>
    <row r="549" spans="1:59" s="8" customFormat="1" ht="22.5" hidden="1" customHeight="1">
      <c r="A549" s="9"/>
      <c r="B549" s="16" t="s">
        <v>120</v>
      </c>
      <c r="C549" s="89" t="s">
        <v>52</v>
      </c>
      <c r="D549" s="109" t="s">
        <v>912</v>
      </c>
      <c r="E549" s="110" t="s">
        <v>913</v>
      </c>
      <c r="F549" s="111" t="s">
        <v>2100</v>
      </c>
      <c r="G549" s="111" t="s">
        <v>2101</v>
      </c>
      <c r="H549" s="96"/>
      <c r="I549" s="9"/>
      <c r="J549" s="9" t="s">
        <v>67</v>
      </c>
      <c r="K549" s="14"/>
      <c r="L549" s="14"/>
      <c r="M549" s="12"/>
      <c r="N549" s="9"/>
      <c r="O549" s="9"/>
      <c r="P549" s="9"/>
      <c r="Q549" s="38">
        <f>M549+X549-AG549-BB549</f>
        <v>0</v>
      </c>
      <c r="R549" s="12"/>
      <c r="S549" s="42"/>
      <c r="T549" s="15"/>
      <c r="U549" s="44"/>
      <c r="V549" s="15"/>
      <c r="W549" s="44"/>
      <c r="X549" s="15">
        <f>R549+T549+V549</f>
        <v>0</v>
      </c>
      <c r="Y549" s="15"/>
      <c r="Z549" s="44"/>
      <c r="AA549" s="15"/>
      <c r="AB549" s="44"/>
      <c r="AC549" s="15"/>
      <c r="AD549" s="44"/>
      <c r="AE549" s="15"/>
      <c r="AF549" s="44"/>
      <c r="AG549" s="15">
        <f>(Y549+AA549+AC549+AE549)</f>
        <v>0</v>
      </c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/>
      <c r="BA549" s="42"/>
      <c r="BB549" s="15">
        <f>AH549+AJ549+AL549+AN549+AP549+AR549+AT549+AV549+AX549+AZ549</f>
        <v>0</v>
      </c>
      <c r="BC549" s="15"/>
      <c r="BD549" s="44"/>
      <c r="BE549" s="15"/>
      <c r="BF549" s="44"/>
      <c r="BG549" s="15">
        <f>(BC549+BE549)</f>
        <v>0</v>
      </c>
    </row>
    <row r="550" spans="1:59" s="8" customFormat="1" ht="22.5" hidden="1" customHeight="1">
      <c r="A550" s="9"/>
      <c r="B550" s="16" t="s">
        <v>120</v>
      </c>
      <c r="C550" s="89" t="s">
        <v>52</v>
      </c>
      <c r="D550" s="109" t="s">
        <v>914</v>
      </c>
      <c r="E550" s="110" t="s">
        <v>915</v>
      </c>
      <c r="F550" s="111" t="s">
        <v>2102</v>
      </c>
      <c r="G550" s="111" t="s">
        <v>2103</v>
      </c>
      <c r="H550" s="96"/>
      <c r="I550" s="9"/>
      <c r="J550" s="9" t="s">
        <v>67</v>
      </c>
      <c r="K550" s="14"/>
      <c r="L550" s="14"/>
      <c r="M550" s="12"/>
      <c r="N550" s="9"/>
      <c r="O550" s="9"/>
      <c r="P550" s="9"/>
      <c r="Q550" s="38">
        <f>M550+X550-AG550-BB550</f>
        <v>0</v>
      </c>
      <c r="R550" s="12"/>
      <c r="S550" s="42"/>
      <c r="T550" s="15"/>
      <c r="U550" s="44"/>
      <c r="V550" s="15"/>
      <c r="W550" s="44"/>
      <c r="X550" s="15">
        <f>R550+T550+V550</f>
        <v>0</v>
      </c>
      <c r="Y550" s="15"/>
      <c r="Z550" s="44"/>
      <c r="AA550" s="15"/>
      <c r="AB550" s="44"/>
      <c r="AC550" s="15"/>
      <c r="AD550" s="44"/>
      <c r="AE550" s="15"/>
      <c r="AF550" s="44"/>
      <c r="AG550" s="15">
        <f>(Y550+AA550+AC550+AE550)</f>
        <v>0</v>
      </c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/>
      <c r="BA550" s="42"/>
      <c r="BB550" s="15">
        <f>AH550+AJ550+AL550+AN550+AP550+AR550+AT550+AV550+AX550+AZ550</f>
        <v>0</v>
      </c>
      <c r="BC550" s="15"/>
      <c r="BD550" s="44"/>
      <c r="BE550" s="15"/>
      <c r="BF550" s="44"/>
      <c r="BG550" s="15">
        <f>(BC550+BE550)</f>
        <v>0</v>
      </c>
    </row>
    <row r="551" spans="1:59" s="8" customFormat="1" ht="22.5" hidden="1" customHeight="1">
      <c r="A551" s="9"/>
      <c r="B551" s="16" t="s">
        <v>528</v>
      </c>
      <c r="C551" s="89" t="s">
        <v>494</v>
      </c>
      <c r="D551" s="109" t="s">
        <v>918</v>
      </c>
      <c r="E551" s="110" t="s">
        <v>917</v>
      </c>
      <c r="F551" s="111" t="s">
        <v>2104</v>
      </c>
      <c r="G551" s="111" t="s">
        <v>2105</v>
      </c>
      <c r="H551" s="96"/>
      <c r="I551" s="9"/>
      <c r="J551" s="9" t="s">
        <v>527</v>
      </c>
      <c r="K551" s="14"/>
      <c r="L551" s="14"/>
      <c r="M551" s="12"/>
      <c r="N551" s="9"/>
      <c r="O551" s="9"/>
      <c r="P551" s="9"/>
      <c r="Q551" s="38">
        <f>M551+X551-AG551-BB551</f>
        <v>0</v>
      </c>
      <c r="R551" s="12"/>
      <c r="S551" s="42"/>
      <c r="T551" s="15"/>
      <c r="U551" s="44"/>
      <c r="V551" s="15"/>
      <c r="W551" s="44"/>
      <c r="X551" s="15">
        <f>R551+T551+V551</f>
        <v>0</v>
      </c>
      <c r="Y551" s="15"/>
      <c r="Z551" s="44"/>
      <c r="AA551" s="15"/>
      <c r="AB551" s="44"/>
      <c r="AC551" s="15"/>
      <c r="AD551" s="44"/>
      <c r="AE551" s="15"/>
      <c r="AF551" s="44"/>
      <c r="AG551" s="15">
        <f>(Y551+AA551+AC551+AE551)</f>
        <v>0</v>
      </c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/>
      <c r="BA551" s="42"/>
      <c r="BB551" s="15">
        <f>AH551+AJ551+AL551+AN551+AP551+AR551+AT551+AV551+AX551+AZ551</f>
        <v>0</v>
      </c>
      <c r="BC551" s="15"/>
      <c r="BD551" s="44"/>
      <c r="BE551" s="15"/>
      <c r="BF551" s="44"/>
      <c r="BG551" s="15">
        <f>(BC551+BE551)</f>
        <v>0</v>
      </c>
    </row>
    <row r="552" spans="1:59" s="8" customFormat="1" ht="22.5" hidden="1" customHeight="1">
      <c r="A552" s="9"/>
      <c r="B552" s="16" t="s">
        <v>204</v>
      </c>
      <c r="C552" s="89" t="s">
        <v>52</v>
      </c>
      <c r="D552" s="109" t="s">
        <v>919</v>
      </c>
      <c r="E552" s="110" t="s">
        <v>531</v>
      </c>
      <c r="F552" s="111" t="s">
        <v>2106</v>
      </c>
      <c r="G552" s="111" t="s">
        <v>2107</v>
      </c>
      <c r="H552" s="96"/>
      <c r="I552" s="9"/>
      <c r="J552" s="9" t="s">
        <v>207</v>
      </c>
      <c r="K552" s="14"/>
      <c r="L552" s="14"/>
      <c r="M552" s="12"/>
      <c r="N552" s="9"/>
      <c r="O552" s="9"/>
      <c r="P552" s="9"/>
      <c r="Q552" s="38">
        <f>M552+X552-AG552-BB552</f>
        <v>0</v>
      </c>
      <c r="R552" s="12"/>
      <c r="S552" s="42"/>
      <c r="T552" s="15"/>
      <c r="U552" s="44"/>
      <c r="V552" s="15"/>
      <c r="W552" s="44"/>
      <c r="X552" s="15">
        <f>R552+T552+V552</f>
        <v>0</v>
      </c>
      <c r="Y552" s="15"/>
      <c r="Z552" s="44"/>
      <c r="AA552" s="15"/>
      <c r="AB552" s="44"/>
      <c r="AC552" s="15"/>
      <c r="AD552" s="44"/>
      <c r="AE552" s="15"/>
      <c r="AF552" s="44"/>
      <c r="AG552" s="15">
        <f>(Y552+AA552+AC552+AE552)</f>
        <v>0</v>
      </c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/>
      <c r="BA552" s="42"/>
      <c r="BB552" s="15">
        <f>AH552+AJ552+AL552+AN552+AP552+AR552+AT552+AV552+AX552+AZ552</f>
        <v>0</v>
      </c>
      <c r="BC552" s="15"/>
      <c r="BD552" s="44"/>
      <c r="BE552" s="15"/>
      <c r="BF552" s="44"/>
      <c r="BG552" s="15">
        <f>(BC552+BE552)</f>
        <v>0</v>
      </c>
    </row>
    <row r="553" spans="1:59" s="8" customFormat="1" ht="22.5" hidden="1" customHeight="1">
      <c r="A553" s="9"/>
      <c r="B553" s="16" t="s">
        <v>204</v>
      </c>
      <c r="C553" s="89" t="s">
        <v>52</v>
      </c>
      <c r="D553" s="109" t="s">
        <v>920</v>
      </c>
      <c r="E553" s="110" t="s">
        <v>531</v>
      </c>
      <c r="F553" s="111" t="s">
        <v>2108</v>
      </c>
      <c r="G553" s="111" t="s">
        <v>2109</v>
      </c>
      <c r="H553" s="96"/>
      <c r="I553" s="9"/>
      <c r="J553" s="9" t="s">
        <v>207</v>
      </c>
      <c r="K553" s="14"/>
      <c r="L553" s="14"/>
      <c r="M553" s="12">
        <v>0</v>
      </c>
      <c r="N553" s="9"/>
      <c r="O553" s="9"/>
      <c r="P553" s="9"/>
      <c r="Q553" s="38">
        <f>M553+X553-AG553-BB553</f>
        <v>0</v>
      </c>
      <c r="R553" s="12"/>
      <c r="S553" s="42"/>
      <c r="T553" s="15"/>
      <c r="U553" s="44"/>
      <c r="V553" s="15"/>
      <c r="W553" s="44"/>
      <c r="X553" s="15">
        <f>R553+T553+V553</f>
        <v>0</v>
      </c>
      <c r="Y553" s="15"/>
      <c r="Z553" s="44"/>
      <c r="AA553" s="15"/>
      <c r="AB553" s="44"/>
      <c r="AC553" s="15"/>
      <c r="AD553" s="44"/>
      <c r="AE553" s="15"/>
      <c r="AF553" s="44"/>
      <c r="AG553" s="15">
        <f>(Y553+AA553+AC553+AE553)</f>
        <v>0</v>
      </c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/>
      <c r="BA553" s="42"/>
      <c r="BB553" s="15">
        <f>AH553+AJ553+AL553+AN553+AP553+AR553+AT553+AV553+AX553+AZ553</f>
        <v>0</v>
      </c>
      <c r="BC553" s="15"/>
      <c r="BD553" s="44"/>
      <c r="BE553" s="15"/>
      <c r="BF553" s="44"/>
      <c r="BG553" s="15">
        <f>(BC553+BE553)</f>
        <v>0</v>
      </c>
    </row>
    <row r="554" spans="1:59" s="8" customFormat="1" ht="22.5" hidden="1" customHeight="1">
      <c r="A554" s="9"/>
      <c r="B554" s="16" t="s">
        <v>204</v>
      </c>
      <c r="C554" s="89" t="s">
        <v>52</v>
      </c>
      <c r="D554" s="109" t="s">
        <v>921</v>
      </c>
      <c r="E554" s="110" t="s">
        <v>531</v>
      </c>
      <c r="F554" s="111" t="s">
        <v>2110</v>
      </c>
      <c r="G554" s="111" t="s">
        <v>2111</v>
      </c>
      <c r="H554" s="96"/>
      <c r="I554" s="9"/>
      <c r="J554" s="9" t="s">
        <v>207</v>
      </c>
      <c r="K554" s="14"/>
      <c r="L554" s="14"/>
      <c r="M554" s="12">
        <v>0</v>
      </c>
      <c r="N554" s="9"/>
      <c r="O554" s="9"/>
      <c r="P554" s="9"/>
      <c r="Q554" s="38">
        <f>M554+X554-AG554-BB554</f>
        <v>0</v>
      </c>
      <c r="R554" s="12"/>
      <c r="S554" s="42"/>
      <c r="T554" s="15"/>
      <c r="U554" s="44"/>
      <c r="V554" s="15"/>
      <c r="W554" s="44"/>
      <c r="X554" s="15">
        <f>R554+T554+V554</f>
        <v>0</v>
      </c>
      <c r="Y554" s="15"/>
      <c r="Z554" s="44"/>
      <c r="AA554" s="15"/>
      <c r="AB554" s="44"/>
      <c r="AC554" s="15"/>
      <c r="AD554" s="44"/>
      <c r="AE554" s="15"/>
      <c r="AF554" s="44"/>
      <c r="AG554" s="15">
        <f>(Y554+AA554+AC554+AE554)</f>
        <v>0</v>
      </c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/>
      <c r="BA554" s="42"/>
      <c r="BB554" s="15">
        <f>AH554+AJ554+AL554+AN554+AP554+AR554+AT554+AV554+AX554+AZ554</f>
        <v>0</v>
      </c>
      <c r="BC554" s="15"/>
      <c r="BD554" s="44"/>
      <c r="BE554" s="15"/>
      <c r="BF554" s="44"/>
      <c r="BG554" s="15">
        <f>(BC554+BE554)</f>
        <v>0</v>
      </c>
    </row>
    <row r="555" spans="1:59" s="8" customFormat="1" ht="22.5" hidden="1" customHeight="1">
      <c r="A555" s="9"/>
      <c r="B555" s="16" t="s">
        <v>204</v>
      </c>
      <c r="C555" s="89" t="s">
        <v>52</v>
      </c>
      <c r="D555" s="109" t="s">
        <v>922</v>
      </c>
      <c r="E555" s="110" t="s">
        <v>923</v>
      </c>
      <c r="F555" s="111" t="s">
        <v>2112</v>
      </c>
      <c r="G555" s="111" t="s">
        <v>2113</v>
      </c>
      <c r="H555" s="96"/>
      <c r="I555" s="9"/>
      <c r="J555" s="9" t="s">
        <v>207</v>
      </c>
      <c r="K555" s="14"/>
      <c r="L555" s="14"/>
      <c r="M555" s="12"/>
      <c r="N555" s="9"/>
      <c r="O555" s="9"/>
      <c r="P555" s="9"/>
      <c r="Q555" s="38">
        <f>M555+X555-AG555-BB555</f>
        <v>0</v>
      </c>
      <c r="R555" s="12"/>
      <c r="S555" s="42"/>
      <c r="T555" s="15"/>
      <c r="U555" s="44"/>
      <c r="V555" s="15"/>
      <c r="W555" s="44"/>
      <c r="X555" s="15">
        <f>R555+T555+V555</f>
        <v>0</v>
      </c>
      <c r="Y555" s="15"/>
      <c r="Z555" s="44"/>
      <c r="AA555" s="15"/>
      <c r="AB555" s="44"/>
      <c r="AC555" s="15"/>
      <c r="AD555" s="44"/>
      <c r="AE555" s="15"/>
      <c r="AF555" s="44"/>
      <c r="AG555" s="15">
        <f>(Y555+AA555+AC555+AE555)</f>
        <v>0</v>
      </c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/>
      <c r="BA555" s="42"/>
      <c r="BB555" s="15">
        <f>AH555+AJ555+AL555+AN555+AP555+AR555+AT555+AV555+AX555+AZ555</f>
        <v>0</v>
      </c>
      <c r="BC555" s="15"/>
      <c r="BD555" s="44"/>
      <c r="BE555" s="15"/>
      <c r="BF555" s="44"/>
      <c r="BG555" s="15">
        <f>(BC555+BE555)</f>
        <v>0</v>
      </c>
    </row>
    <row r="556" spans="1:59" s="8" customFormat="1" ht="22.5" hidden="1" customHeight="1">
      <c r="A556" s="9"/>
      <c r="B556" s="16" t="s">
        <v>204</v>
      </c>
      <c r="C556" s="89" t="s">
        <v>52</v>
      </c>
      <c r="D556" s="109" t="s">
        <v>924</v>
      </c>
      <c r="E556" s="110" t="s">
        <v>531</v>
      </c>
      <c r="F556" s="111" t="s">
        <v>2114</v>
      </c>
      <c r="G556" s="111" t="s">
        <v>2115</v>
      </c>
      <c r="H556" s="96"/>
      <c r="I556" s="9"/>
      <c r="J556" s="9" t="s">
        <v>207</v>
      </c>
      <c r="K556" s="14"/>
      <c r="L556" s="14"/>
      <c r="M556" s="12"/>
      <c r="N556" s="9"/>
      <c r="O556" s="9"/>
      <c r="P556" s="9"/>
      <c r="Q556" s="38">
        <f>M556+X556-AG556-BB556</f>
        <v>0</v>
      </c>
      <c r="R556" s="12"/>
      <c r="S556" s="42"/>
      <c r="T556" s="15"/>
      <c r="U556" s="44"/>
      <c r="V556" s="15"/>
      <c r="W556" s="44"/>
      <c r="X556" s="15">
        <f>R556+T556+V556</f>
        <v>0</v>
      </c>
      <c r="Y556" s="15"/>
      <c r="Z556" s="44"/>
      <c r="AA556" s="15"/>
      <c r="AB556" s="44"/>
      <c r="AC556" s="15"/>
      <c r="AD556" s="44"/>
      <c r="AE556" s="15"/>
      <c r="AF556" s="44"/>
      <c r="AG556" s="15">
        <f>(Y556+AA556+AC556+AE556)</f>
        <v>0</v>
      </c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/>
      <c r="BA556" s="42"/>
      <c r="BB556" s="15">
        <f>AH556+AJ556+AL556+AN556+AP556+AR556+AT556+AV556+AX556+AZ556</f>
        <v>0</v>
      </c>
      <c r="BC556" s="15"/>
      <c r="BD556" s="44"/>
      <c r="BE556" s="15"/>
      <c r="BF556" s="44"/>
      <c r="BG556" s="15">
        <f>(BC556+BE556)</f>
        <v>0</v>
      </c>
    </row>
    <row r="557" spans="1:59" s="8" customFormat="1" ht="22.5" hidden="1" customHeight="1">
      <c r="A557" s="9"/>
      <c r="B557" s="16" t="s">
        <v>233</v>
      </c>
      <c r="C557" s="89" t="s">
        <v>52</v>
      </c>
      <c r="D557" s="109" t="s">
        <v>405</v>
      </c>
      <c r="E557" s="110" t="s">
        <v>925</v>
      </c>
      <c r="F557" s="111" t="s">
        <v>2116</v>
      </c>
      <c r="G557" s="111" t="s">
        <v>2117</v>
      </c>
      <c r="H557" s="96"/>
      <c r="I557" s="9"/>
      <c r="J557" s="9" t="s">
        <v>558</v>
      </c>
      <c r="K557" s="14"/>
      <c r="L557" s="14"/>
      <c r="M557" s="12"/>
      <c r="N557" s="9"/>
      <c r="O557" s="9"/>
      <c r="P557" s="9"/>
      <c r="Q557" s="38">
        <f>M557+X557-AG557-BB557</f>
        <v>0</v>
      </c>
      <c r="R557" s="12"/>
      <c r="S557" s="42"/>
      <c r="T557" s="15"/>
      <c r="U557" s="44"/>
      <c r="V557" s="15"/>
      <c r="W557" s="44"/>
      <c r="X557" s="15">
        <f>R557+T557+V557</f>
        <v>0</v>
      </c>
      <c r="Y557" s="15"/>
      <c r="Z557" s="44"/>
      <c r="AA557" s="15"/>
      <c r="AB557" s="44"/>
      <c r="AC557" s="15"/>
      <c r="AD557" s="44"/>
      <c r="AE557" s="15"/>
      <c r="AF557" s="44"/>
      <c r="AG557" s="15">
        <f>(Y557+AA557+AC557+AE557)</f>
        <v>0</v>
      </c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/>
      <c r="BA557" s="42"/>
      <c r="BB557" s="15">
        <f>AH557+AJ557+AL557+AN557+AP557+AR557+AT557+AV557+AX557+AZ557</f>
        <v>0</v>
      </c>
      <c r="BC557" s="15"/>
      <c r="BD557" s="44"/>
      <c r="BE557" s="15"/>
      <c r="BF557" s="44"/>
      <c r="BG557" s="15">
        <f>(BC557+BE557)</f>
        <v>0</v>
      </c>
    </row>
    <row r="558" spans="1:59" s="8" customFormat="1" ht="22.5" hidden="1" customHeight="1">
      <c r="A558" s="9"/>
      <c r="B558" s="16" t="s">
        <v>155</v>
      </c>
      <c r="C558" s="89" t="s">
        <v>52</v>
      </c>
      <c r="D558" s="145" t="s">
        <v>931</v>
      </c>
      <c r="E558" s="110" t="s">
        <v>565</v>
      </c>
      <c r="F558" s="146" t="s">
        <v>1726</v>
      </c>
      <c r="G558" s="146" t="s">
        <v>1727</v>
      </c>
      <c r="H558" s="96"/>
      <c r="I558" s="9"/>
      <c r="J558" s="9" t="s">
        <v>566</v>
      </c>
      <c r="K558" s="14"/>
      <c r="L558" s="14"/>
      <c r="M558" s="12"/>
      <c r="N558" s="9"/>
      <c r="O558" s="9"/>
      <c r="P558" s="9"/>
      <c r="Q558" s="38">
        <f>M558+X558-AG558-BB558</f>
        <v>0</v>
      </c>
      <c r="R558" s="12"/>
      <c r="S558" s="42"/>
      <c r="T558" s="15"/>
      <c r="U558" s="44"/>
      <c r="V558" s="15"/>
      <c r="W558" s="44"/>
      <c r="X558" s="15">
        <f>R558+T558+V558</f>
        <v>0</v>
      </c>
      <c r="Y558" s="15"/>
      <c r="Z558" s="44"/>
      <c r="AA558" s="15"/>
      <c r="AB558" s="44"/>
      <c r="AC558" s="15"/>
      <c r="AD558" s="44"/>
      <c r="AE558" s="15"/>
      <c r="AF558" s="44"/>
      <c r="AG558" s="15">
        <f>(Y558+AA558+AC558+AE558)</f>
        <v>0</v>
      </c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/>
      <c r="BA558" s="42"/>
      <c r="BB558" s="15">
        <f>AH558+AJ558+AL558+AN558+AP558+AR558+AT558+AV558+AX558+AZ558</f>
        <v>0</v>
      </c>
      <c r="BC558" s="15"/>
      <c r="BD558" s="44"/>
      <c r="BE558" s="15"/>
      <c r="BF558" s="44"/>
      <c r="BG558" s="15">
        <f>(BC558+BE558)</f>
        <v>0</v>
      </c>
    </row>
    <row r="559" spans="1:59" s="8" customFormat="1" ht="22.5" hidden="1" customHeight="1">
      <c r="A559" s="9"/>
      <c r="B559" s="16" t="s">
        <v>155</v>
      </c>
      <c r="C559" s="89" t="s">
        <v>52</v>
      </c>
      <c r="D559" s="109" t="s">
        <v>932</v>
      </c>
      <c r="E559" s="110" t="s">
        <v>569</v>
      </c>
      <c r="F559" s="111" t="s">
        <v>2121</v>
      </c>
      <c r="G559" s="111" t="s">
        <v>2122</v>
      </c>
      <c r="H559" s="96"/>
      <c r="I559" s="9"/>
      <c r="J559" s="9" t="s">
        <v>566</v>
      </c>
      <c r="K559" s="14"/>
      <c r="L559" s="14"/>
      <c r="M559" s="12"/>
      <c r="N559" s="9"/>
      <c r="O559" s="9"/>
      <c r="P559" s="9"/>
      <c r="Q559" s="38">
        <f>M559+X559-AG559-BB559</f>
        <v>0</v>
      </c>
      <c r="R559" s="12"/>
      <c r="S559" s="42"/>
      <c r="T559" s="15"/>
      <c r="U559" s="44"/>
      <c r="V559" s="15"/>
      <c r="W559" s="44"/>
      <c r="X559" s="15">
        <f>R559+T559+V559</f>
        <v>0</v>
      </c>
      <c r="Y559" s="15"/>
      <c r="Z559" s="44"/>
      <c r="AA559" s="15"/>
      <c r="AB559" s="44"/>
      <c r="AC559" s="15"/>
      <c r="AD559" s="44"/>
      <c r="AE559" s="15"/>
      <c r="AF559" s="44"/>
      <c r="AG559" s="15">
        <f>(Y559+AA559+AC559+AE559)</f>
        <v>0</v>
      </c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/>
      <c r="BA559" s="42"/>
      <c r="BB559" s="15">
        <f>AH559+AJ559+AL559+AN559+AP559+AR559+AT559+AV559+AX559+AZ559</f>
        <v>0</v>
      </c>
      <c r="BC559" s="15"/>
      <c r="BD559" s="44"/>
      <c r="BE559" s="15"/>
      <c r="BF559" s="44"/>
      <c r="BG559" s="15">
        <f>(BC559+BE559)</f>
        <v>0</v>
      </c>
    </row>
    <row r="560" spans="1:59" s="8" customFormat="1" ht="22.5" hidden="1" customHeight="1">
      <c r="A560" s="9"/>
      <c r="B560" s="16" t="s">
        <v>155</v>
      </c>
      <c r="C560" s="89" t="s">
        <v>52</v>
      </c>
      <c r="D560" s="109" t="s">
        <v>933</v>
      </c>
      <c r="E560" s="110" t="s">
        <v>565</v>
      </c>
      <c r="F560" s="111" t="s">
        <v>2123</v>
      </c>
      <c r="G560" s="111" t="s">
        <v>2124</v>
      </c>
      <c r="H560" s="96"/>
      <c r="I560" s="9"/>
      <c r="J560" s="9" t="s">
        <v>314</v>
      </c>
      <c r="K560" s="14"/>
      <c r="L560" s="14"/>
      <c r="M560" s="12"/>
      <c r="N560" s="9"/>
      <c r="O560" s="9"/>
      <c r="P560" s="9"/>
      <c r="Q560" s="38">
        <f>M560+X560-AG560-BB560</f>
        <v>0</v>
      </c>
      <c r="R560" s="12"/>
      <c r="S560" s="42"/>
      <c r="T560" s="15"/>
      <c r="U560" s="44"/>
      <c r="V560" s="15"/>
      <c r="W560" s="44"/>
      <c r="X560" s="15">
        <f>R560+T560+V560</f>
        <v>0</v>
      </c>
      <c r="Y560" s="15"/>
      <c r="Z560" s="44"/>
      <c r="AA560" s="15"/>
      <c r="AB560" s="44"/>
      <c r="AC560" s="15"/>
      <c r="AD560" s="44"/>
      <c r="AE560" s="15"/>
      <c r="AF560" s="44"/>
      <c r="AG560" s="15">
        <f>(Y560+AA560+AC560+AE560)</f>
        <v>0</v>
      </c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/>
      <c r="BA560" s="42"/>
      <c r="BB560" s="15">
        <f>AH560+AJ560+AL560+AN560+AP560+AR560+AT560+AV560+AX560+AZ560</f>
        <v>0</v>
      </c>
      <c r="BC560" s="15"/>
      <c r="BD560" s="44"/>
      <c r="BE560" s="15"/>
      <c r="BF560" s="44"/>
      <c r="BG560" s="15">
        <f>(BC560+BE560)</f>
        <v>0</v>
      </c>
    </row>
    <row r="561" spans="1:59" s="8" customFormat="1" ht="22.5" hidden="1" customHeight="1">
      <c r="A561" s="9"/>
      <c r="B561" s="16" t="s">
        <v>330</v>
      </c>
      <c r="C561" s="89" t="s">
        <v>52</v>
      </c>
      <c r="D561" s="109" t="s">
        <v>934</v>
      </c>
      <c r="E561" s="110" t="s">
        <v>330</v>
      </c>
      <c r="F561" s="111" t="s">
        <v>2125</v>
      </c>
      <c r="G561" s="111" t="s">
        <v>2126</v>
      </c>
      <c r="H561" s="96"/>
      <c r="I561" s="9"/>
      <c r="J561" s="9" t="s">
        <v>467</v>
      </c>
      <c r="K561" s="14"/>
      <c r="L561" s="14"/>
      <c r="M561" s="12"/>
      <c r="N561" s="9"/>
      <c r="O561" s="9"/>
      <c r="P561" s="9"/>
      <c r="Q561" s="38">
        <f>M561+X561-AG561-BB561</f>
        <v>0</v>
      </c>
      <c r="R561" s="12"/>
      <c r="S561" s="42"/>
      <c r="T561" s="15"/>
      <c r="U561" s="44"/>
      <c r="V561" s="15"/>
      <c r="W561" s="44"/>
      <c r="X561" s="15">
        <f>R561+T561+V561</f>
        <v>0</v>
      </c>
      <c r="Y561" s="15"/>
      <c r="Z561" s="44"/>
      <c r="AA561" s="15"/>
      <c r="AB561" s="44"/>
      <c r="AC561" s="15"/>
      <c r="AD561" s="44"/>
      <c r="AE561" s="15"/>
      <c r="AF561" s="44"/>
      <c r="AG561" s="15">
        <f>(Y561+AA561+AC561+AE561)</f>
        <v>0</v>
      </c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/>
      <c r="BA561" s="42"/>
      <c r="BB561" s="15">
        <f>AH561+AJ561+AL561+AN561+AP561+AR561+AT561+AV561+AX561+AZ561</f>
        <v>0</v>
      </c>
      <c r="BC561" s="15"/>
      <c r="BD561" s="44"/>
      <c r="BE561" s="15"/>
      <c r="BF561" s="44"/>
      <c r="BG561" s="15">
        <f>(BC561+BE561)</f>
        <v>0</v>
      </c>
    </row>
    <row r="562" spans="1:59" s="8" customFormat="1" ht="22.5" hidden="1" customHeight="1">
      <c r="A562" s="9"/>
      <c r="B562" s="16" t="s">
        <v>330</v>
      </c>
      <c r="C562" s="89" t="s">
        <v>52</v>
      </c>
      <c r="D562" s="109" t="s">
        <v>935</v>
      </c>
      <c r="E562" s="110"/>
      <c r="F562" s="111" t="s">
        <v>2127</v>
      </c>
      <c r="G562" s="111" t="s">
        <v>2128</v>
      </c>
      <c r="H562" s="96"/>
      <c r="I562" s="9"/>
      <c r="J562" s="9" t="s">
        <v>467</v>
      </c>
      <c r="K562" s="14"/>
      <c r="L562" s="14"/>
      <c r="M562" s="12"/>
      <c r="N562" s="9"/>
      <c r="O562" s="9"/>
      <c r="P562" s="9"/>
      <c r="Q562" s="38">
        <f>M562+X562-AG562-BB562</f>
        <v>0</v>
      </c>
      <c r="R562" s="12"/>
      <c r="S562" s="42"/>
      <c r="T562" s="15"/>
      <c r="U562" s="44"/>
      <c r="V562" s="15"/>
      <c r="W562" s="44"/>
      <c r="X562" s="15">
        <f>R562+T562+V562</f>
        <v>0</v>
      </c>
      <c r="Y562" s="15"/>
      <c r="Z562" s="44"/>
      <c r="AA562" s="15"/>
      <c r="AB562" s="44"/>
      <c r="AC562" s="15"/>
      <c r="AD562" s="44"/>
      <c r="AE562" s="15"/>
      <c r="AF562" s="44"/>
      <c r="AG562" s="15">
        <f>(Y562+AA562+AC562+AE562)</f>
        <v>0</v>
      </c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/>
      <c r="BA562" s="42"/>
      <c r="BB562" s="15">
        <f>AH562+AJ562+AL562+AN562+AP562+AR562+AT562+AV562+AX562+AZ562</f>
        <v>0</v>
      </c>
      <c r="BC562" s="15"/>
      <c r="BD562" s="44"/>
      <c r="BE562" s="15"/>
      <c r="BF562" s="44"/>
      <c r="BG562" s="15">
        <f>(BC562+BE562)</f>
        <v>0</v>
      </c>
    </row>
    <row r="563" spans="1:59" s="8" customFormat="1" ht="22.5" hidden="1" customHeight="1">
      <c r="A563" s="9"/>
      <c r="B563" s="16" t="s">
        <v>574</v>
      </c>
      <c r="C563" s="89" t="s">
        <v>52</v>
      </c>
      <c r="D563" s="109" t="s">
        <v>577</v>
      </c>
      <c r="E563" s="110"/>
      <c r="F563" s="111" t="s">
        <v>2129</v>
      </c>
      <c r="G563" s="111" t="s">
        <v>2130</v>
      </c>
      <c r="H563" s="96"/>
      <c r="I563" s="9"/>
      <c r="J563" s="9" t="s">
        <v>576</v>
      </c>
      <c r="K563" s="14"/>
      <c r="L563" s="14"/>
      <c r="M563" s="12"/>
      <c r="N563" s="9"/>
      <c r="O563" s="9"/>
      <c r="P563" s="9"/>
      <c r="Q563" s="38">
        <f>M563+X563-AG563-BB563</f>
        <v>0</v>
      </c>
      <c r="R563" s="12"/>
      <c r="S563" s="42"/>
      <c r="T563" s="15"/>
      <c r="U563" s="44"/>
      <c r="V563" s="15"/>
      <c r="W563" s="44"/>
      <c r="X563" s="15">
        <f>R563+T563+V563</f>
        <v>0</v>
      </c>
      <c r="Y563" s="15"/>
      <c r="Z563" s="44"/>
      <c r="AA563" s="15"/>
      <c r="AB563" s="44"/>
      <c r="AC563" s="15"/>
      <c r="AD563" s="44"/>
      <c r="AE563" s="15"/>
      <c r="AF563" s="44"/>
      <c r="AG563" s="15">
        <f>(Y563+AA563+AC563+AE563)</f>
        <v>0</v>
      </c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/>
      <c r="BA563" s="42"/>
      <c r="BB563" s="15">
        <f>AH563+AJ563+AL563+AN563+AP563+AR563+AT563+AV563+AX563+AZ563</f>
        <v>0</v>
      </c>
      <c r="BC563" s="15"/>
      <c r="BD563" s="44"/>
      <c r="BE563" s="15"/>
      <c r="BF563" s="44"/>
      <c r="BG563" s="15">
        <f>(BC563+BE563)</f>
        <v>0</v>
      </c>
    </row>
    <row r="564" spans="1:59" s="8" customFormat="1" ht="22.5" hidden="1" customHeight="1">
      <c r="A564" s="9"/>
      <c r="B564" s="16" t="s">
        <v>574</v>
      </c>
      <c r="C564" s="89" t="s">
        <v>494</v>
      </c>
      <c r="D564" s="109" t="s">
        <v>577</v>
      </c>
      <c r="E564" s="110"/>
      <c r="F564" s="111" t="s">
        <v>2131</v>
      </c>
      <c r="G564" s="111" t="s">
        <v>2132</v>
      </c>
      <c r="H564" s="96"/>
      <c r="I564" s="9"/>
      <c r="J564" s="9" t="s">
        <v>576</v>
      </c>
      <c r="K564" s="14"/>
      <c r="L564" s="14"/>
      <c r="M564" s="12"/>
      <c r="N564" s="9"/>
      <c r="O564" s="9"/>
      <c r="P564" s="9"/>
      <c r="Q564" s="38">
        <f>M564+X564-AG564-BB564</f>
        <v>0</v>
      </c>
      <c r="R564" s="12"/>
      <c r="S564" s="42"/>
      <c r="T564" s="15"/>
      <c r="U564" s="44"/>
      <c r="V564" s="15"/>
      <c r="W564" s="44"/>
      <c r="X564" s="15">
        <f>R564+T564+V564</f>
        <v>0</v>
      </c>
      <c r="Y564" s="15"/>
      <c r="Z564" s="44"/>
      <c r="AA564" s="15"/>
      <c r="AB564" s="44"/>
      <c r="AC564" s="15"/>
      <c r="AD564" s="44"/>
      <c r="AE564" s="15"/>
      <c r="AF564" s="44"/>
      <c r="AG564" s="15">
        <f>(Y564+AA564+AC564+AE564)</f>
        <v>0</v>
      </c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/>
      <c r="BA564" s="42"/>
      <c r="BB564" s="15">
        <f>AH564+AJ564+AL564+AN564+AP564+AR564+AT564+AV564+AX564+AZ564</f>
        <v>0</v>
      </c>
      <c r="BC564" s="15"/>
      <c r="BD564" s="44"/>
      <c r="BE564" s="15"/>
      <c r="BF564" s="44"/>
      <c r="BG564" s="15">
        <f>(BC564+BE564)</f>
        <v>0</v>
      </c>
    </row>
    <row r="565" spans="1:59" s="8" customFormat="1" ht="22.5" hidden="1" customHeight="1">
      <c r="A565" s="9"/>
      <c r="B565" s="16" t="s">
        <v>574</v>
      </c>
      <c r="C565" s="89" t="s">
        <v>494</v>
      </c>
      <c r="D565" s="109" t="s">
        <v>577</v>
      </c>
      <c r="E565" s="110" t="s">
        <v>936</v>
      </c>
      <c r="F565" s="111" t="s">
        <v>2133</v>
      </c>
      <c r="G565" s="111" t="s">
        <v>2134</v>
      </c>
      <c r="H565" s="96"/>
      <c r="I565" s="9"/>
      <c r="J565" s="9" t="s">
        <v>576</v>
      </c>
      <c r="K565" s="14"/>
      <c r="L565" s="14"/>
      <c r="M565" s="12"/>
      <c r="N565" s="9"/>
      <c r="O565" s="9"/>
      <c r="P565" s="9"/>
      <c r="Q565" s="38">
        <f>M565+X565-AG565-BB565</f>
        <v>0</v>
      </c>
      <c r="R565" s="12"/>
      <c r="S565" s="42"/>
      <c r="T565" s="15"/>
      <c r="U565" s="44"/>
      <c r="V565" s="15"/>
      <c r="W565" s="44"/>
      <c r="X565" s="15">
        <f>R565+T565+V565</f>
        <v>0</v>
      </c>
      <c r="Y565" s="15"/>
      <c r="Z565" s="44"/>
      <c r="AA565" s="15"/>
      <c r="AB565" s="44"/>
      <c r="AC565" s="15"/>
      <c r="AD565" s="44"/>
      <c r="AE565" s="15"/>
      <c r="AF565" s="44"/>
      <c r="AG565" s="15">
        <f>(Y565+AA565+AC565+AE565)</f>
        <v>0</v>
      </c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/>
      <c r="BA565" s="42"/>
      <c r="BB565" s="15">
        <f>AH565+AJ565+AL565+AN565+AP565+AR565+AT565+AV565+AX565+AZ565</f>
        <v>0</v>
      </c>
      <c r="BC565" s="15"/>
      <c r="BD565" s="44"/>
      <c r="BE565" s="15"/>
      <c r="BF565" s="44"/>
      <c r="BG565" s="15">
        <f>(BC565+BE565)</f>
        <v>0</v>
      </c>
    </row>
    <row r="566" spans="1:59" s="8" customFormat="1" ht="22.5" hidden="1" customHeight="1">
      <c r="A566" s="9"/>
      <c r="B566" s="16" t="s">
        <v>244</v>
      </c>
      <c r="C566" s="89" t="s">
        <v>52</v>
      </c>
      <c r="D566" s="109" t="s">
        <v>937</v>
      </c>
      <c r="E566" s="110" t="s">
        <v>246</v>
      </c>
      <c r="F566" s="111" t="s">
        <v>2135</v>
      </c>
      <c r="G566" s="111" t="s">
        <v>2136</v>
      </c>
      <c r="H566" s="96"/>
      <c r="I566" s="9"/>
      <c r="J566" s="9" t="s">
        <v>247</v>
      </c>
      <c r="K566" s="14"/>
      <c r="L566" s="14"/>
      <c r="M566" s="12"/>
      <c r="N566" s="9"/>
      <c r="O566" s="9"/>
      <c r="P566" s="9"/>
      <c r="Q566" s="38">
        <f>M566+X566-AG566-BB566</f>
        <v>0</v>
      </c>
      <c r="R566" s="12"/>
      <c r="S566" s="42"/>
      <c r="T566" s="15"/>
      <c r="U566" s="44"/>
      <c r="V566" s="15"/>
      <c r="W566" s="44"/>
      <c r="X566" s="15">
        <f>R566+T566+V566</f>
        <v>0</v>
      </c>
      <c r="Y566" s="15"/>
      <c r="Z566" s="44"/>
      <c r="AA566" s="15"/>
      <c r="AB566" s="44"/>
      <c r="AC566" s="15"/>
      <c r="AD566" s="44"/>
      <c r="AE566" s="15"/>
      <c r="AF566" s="44"/>
      <c r="AG566" s="15">
        <f>(Y566+AA566+AC566+AE566)</f>
        <v>0</v>
      </c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/>
      <c r="BA566" s="42"/>
      <c r="BB566" s="15">
        <f>AH566+AJ566+AL566+AN566+AP566+AR566+AT566+AV566+AX566+AZ566</f>
        <v>0</v>
      </c>
      <c r="BC566" s="15"/>
      <c r="BD566" s="44"/>
      <c r="BE566" s="15"/>
      <c r="BF566" s="44"/>
      <c r="BG566" s="15">
        <f>(BC566+BE566)</f>
        <v>0</v>
      </c>
    </row>
    <row r="567" spans="1:59" s="8" customFormat="1" ht="22.5" hidden="1" customHeight="1">
      <c r="A567" s="9"/>
      <c r="B567" s="16" t="s">
        <v>244</v>
      </c>
      <c r="C567" s="89" t="s">
        <v>52</v>
      </c>
      <c r="D567" s="109" t="s">
        <v>938</v>
      </c>
      <c r="E567" s="110" t="s">
        <v>246</v>
      </c>
      <c r="F567" s="111" t="s">
        <v>2137</v>
      </c>
      <c r="G567" s="111" t="s">
        <v>2138</v>
      </c>
      <c r="H567" s="96"/>
      <c r="I567" s="9"/>
      <c r="J567" s="9" t="s">
        <v>247</v>
      </c>
      <c r="K567" s="14"/>
      <c r="L567" s="14"/>
      <c r="M567" s="12"/>
      <c r="N567" s="9"/>
      <c r="O567" s="9"/>
      <c r="P567" s="9"/>
      <c r="Q567" s="38">
        <f>M567+X567-AG567-BB567</f>
        <v>0</v>
      </c>
      <c r="R567" s="12"/>
      <c r="S567" s="42"/>
      <c r="T567" s="15"/>
      <c r="U567" s="44"/>
      <c r="V567" s="15"/>
      <c r="W567" s="44"/>
      <c r="X567" s="15">
        <f>R567+T567+V567</f>
        <v>0</v>
      </c>
      <c r="Y567" s="15"/>
      <c r="Z567" s="44"/>
      <c r="AA567" s="15"/>
      <c r="AB567" s="44"/>
      <c r="AC567" s="15"/>
      <c r="AD567" s="44"/>
      <c r="AE567" s="15"/>
      <c r="AF567" s="44"/>
      <c r="AG567" s="15">
        <f>(Y567+AA567+AC567+AE567)</f>
        <v>0</v>
      </c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/>
      <c r="BA567" s="42"/>
      <c r="BB567" s="15">
        <f>AH567+AJ567+AL567+AN567+AP567+AR567+AT567+AV567+AX567+AZ567</f>
        <v>0</v>
      </c>
      <c r="BC567" s="15"/>
      <c r="BD567" s="44"/>
      <c r="BE567" s="15"/>
      <c r="BF567" s="44"/>
      <c r="BG567" s="15">
        <f>(BC567+BE567)</f>
        <v>0</v>
      </c>
    </row>
    <row r="568" spans="1:59" s="8" customFormat="1" ht="22.5" hidden="1" customHeight="1">
      <c r="A568" s="9">
        <v>999</v>
      </c>
      <c r="B568" s="16" t="s">
        <v>204</v>
      </c>
      <c r="C568" s="89" t="s">
        <v>52</v>
      </c>
      <c r="D568" s="109" t="s">
        <v>939</v>
      </c>
      <c r="E568" s="110" t="s">
        <v>940</v>
      </c>
      <c r="F568" s="111" t="s">
        <v>2139</v>
      </c>
      <c r="G568" s="111" t="s">
        <v>2140</v>
      </c>
      <c r="H568" s="96"/>
      <c r="I568" s="9"/>
      <c r="J568" s="9" t="s">
        <v>207</v>
      </c>
      <c r="K568" s="14"/>
      <c r="L568" s="14"/>
      <c r="M568" s="12"/>
      <c r="N568" s="9"/>
      <c r="O568" s="9"/>
      <c r="P568" s="9"/>
      <c r="Q568" s="38">
        <f>M568+X568-AG568-BB568</f>
        <v>0</v>
      </c>
      <c r="R568" s="12"/>
      <c r="S568" s="42"/>
      <c r="T568" s="15"/>
      <c r="U568" s="44"/>
      <c r="V568" s="15"/>
      <c r="W568" s="44"/>
      <c r="X568" s="15">
        <f>R568+T568+V568</f>
        <v>0</v>
      </c>
      <c r="Y568" s="15"/>
      <c r="Z568" s="44"/>
      <c r="AA568" s="15"/>
      <c r="AB568" s="44"/>
      <c r="AC568" s="15"/>
      <c r="AD568" s="44"/>
      <c r="AE568" s="15"/>
      <c r="AF568" s="44"/>
      <c r="AG568" s="15">
        <f>(Y568+AA568+AC568+AE568)</f>
        <v>0</v>
      </c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/>
      <c r="BA568" s="42"/>
      <c r="BB568" s="15">
        <f>AH568+AJ568+AL568+AN568+AP568+AR568+AT568+AV568+AX568+AZ568</f>
        <v>0</v>
      </c>
      <c r="BC568" s="15"/>
      <c r="BD568" s="44"/>
      <c r="BE568" s="15"/>
      <c r="BF568" s="44"/>
      <c r="BG568" s="15">
        <f>(BC568+BE568)</f>
        <v>0</v>
      </c>
    </row>
    <row r="569" spans="1:59" s="8" customFormat="1" ht="22.5" hidden="1" customHeight="1">
      <c r="A569" s="9">
        <v>999</v>
      </c>
      <c r="B569" s="16" t="s">
        <v>204</v>
      </c>
      <c r="C569" s="89" t="s">
        <v>52</v>
      </c>
      <c r="D569" s="109" t="s">
        <v>941</v>
      </c>
      <c r="E569" s="110" t="s">
        <v>940</v>
      </c>
      <c r="F569" s="111" t="s">
        <v>2142</v>
      </c>
      <c r="G569" s="111" t="s">
        <v>2143</v>
      </c>
      <c r="H569" s="96"/>
      <c r="I569" s="9"/>
      <c r="J569" s="9" t="s">
        <v>207</v>
      </c>
      <c r="K569" s="14"/>
      <c r="L569" s="14"/>
      <c r="M569" s="12"/>
      <c r="N569" s="9"/>
      <c r="O569" s="9"/>
      <c r="P569" s="9"/>
      <c r="Q569" s="38">
        <f>M569+X569-AG569-BB569</f>
        <v>0</v>
      </c>
      <c r="R569" s="12"/>
      <c r="S569" s="42"/>
      <c r="T569" s="15"/>
      <c r="U569" s="44"/>
      <c r="V569" s="15"/>
      <c r="W569" s="44"/>
      <c r="X569" s="15">
        <f>R569+T569+V569</f>
        <v>0</v>
      </c>
      <c r="Y569" s="15"/>
      <c r="Z569" s="44"/>
      <c r="AA569" s="15"/>
      <c r="AB569" s="44"/>
      <c r="AC569" s="15"/>
      <c r="AD569" s="44"/>
      <c r="AE569" s="15"/>
      <c r="AF569" s="44"/>
      <c r="AG569" s="15">
        <f>(Y569+AA569+AC569+AE569)</f>
        <v>0</v>
      </c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/>
      <c r="BA569" s="42"/>
      <c r="BB569" s="15">
        <f>AH569+AJ569+AL569+AN569+AP569+AR569+AT569+AV569+AX569+AZ569</f>
        <v>0</v>
      </c>
      <c r="BC569" s="15"/>
      <c r="BD569" s="44"/>
      <c r="BE569" s="15"/>
      <c r="BF569" s="44"/>
      <c r="BG569" s="15">
        <f>(BC569+BE569)</f>
        <v>0</v>
      </c>
    </row>
    <row r="570" spans="1:59" s="8" customFormat="1" ht="22.5" hidden="1" customHeight="1">
      <c r="A570" s="9">
        <v>999</v>
      </c>
      <c r="B570" s="16" t="s">
        <v>942</v>
      </c>
      <c r="C570" s="89" t="s">
        <v>494</v>
      </c>
      <c r="D570" s="109" t="s">
        <v>943</v>
      </c>
      <c r="E570" s="110" t="s">
        <v>944</v>
      </c>
      <c r="F570" s="111" t="s">
        <v>2144</v>
      </c>
      <c r="G570" s="111" t="s">
        <v>2145</v>
      </c>
      <c r="H570" s="12"/>
      <c r="I570" s="9"/>
      <c r="J570" s="9" t="s">
        <v>945</v>
      </c>
      <c r="K570" s="14"/>
      <c r="L570" s="14"/>
      <c r="M570" s="12"/>
      <c r="N570" s="9"/>
      <c r="O570" s="9"/>
      <c r="P570" s="9"/>
      <c r="Q570" s="38">
        <f>M570+X570-AG570-BB570</f>
        <v>0</v>
      </c>
      <c r="R570" s="12"/>
      <c r="S570" s="42"/>
      <c r="T570" s="15"/>
      <c r="U570" s="44"/>
      <c r="V570" s="15"/>
      <c r="W570" s="44"/>
      <c r="X570" s="15">
        <f>R570+T570+V570</f>
        <v>0</v>
      </c>
      <c r="Y570" s="15"/>
      <c r="Z570" s="44"/>
      <c r="AA570" s="15"/>
      <c r="AB570" s="44"/>
      <c r="AC570" s="15"/>
      <c r="AD570" s="44"/>
      <c r="AE570" s="15"/>
      <c r="AF570" s="44"/>
      <c r="AG570" s="15">
        <f>(Y570+AA570+AC570+AE570)</f>
        <v>0</v>
      </c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/>
      <c r="BA570" s="42"/>
      <c r="BB570" s="15">
        <f>AH570+AJ570+AL570+AN570+AP570+AR570+AT570+AV570+AX570+AZ570</f>
        <v>0</v>
      </c>
      <c r="BC570" s="15"/>
      <c r="BD570" s="44"/>
      <c r="BE570" s="15"/>
      <c r="BF570" s="44"/>
      <c r="BG570" s="15">
        <f>(BC570+BE570)</f>
        <v>0</v>
      </c>
    </row>
    <row r="571" spans="1:59" s="8" customFormat="1" ht="22.5" hidden="1" customHeight="1">
      <c r="A571" s="9">
        <v>999</v>
      </c>
      <c r="B571" s="16" t="s">
        <v>942</v>
      </c>
      <c r="C571" s="89" t="s">
        <v>494</v>
      </c>
      <c r="D571" s="109" t="s">
        <v>946</v>
      </c>
      <c r="E571" s="110"/>
      <c r="F571" s="111" t="s">
        <v>2146</v>
      </c>
      <c r="G571" s="111" t="s">
        <v>2147</v>
      </c>
      <c r="H571" s="12"/>
      <c r="I571" s="9"/>
      <c r="J571" s="9" t="s">
        <v>945</v>
      </c>
      <c r="K571" s="14"/>
      <c r="L571" s="14"/>
      <c r="M571" s="12"/>
      <c r="N571" s="9"/>
      <c r="O571" s="9"/>
      <c r="P571" s="9"/>
      <c r="Q571" s="38">
        <f>M571+X571-AG571-BB571</f>
        <v>0</v>
      </c>
      <c r="R571" s="12"/>
      <c r="S571" s="42"/>
      <c r="T571" s="15"/>
      <c r="U571" s="44"/>
      <c r="V571" s="15"/>
      <c r="W571" s="44"/>
      <c r="X571" s="15">
        <f>R571+T571+V571</f>
        <v>0</v>
      </c>
      <c r="Y571" s="15"/>
      <c r="Z571" s="44"/>
      <c r="AA571" s="15"/>
      <c r="AB571" s="44"/>
      <c r="AC571" s="15"/>
      <c r="AD571" s="44"/>
      <c r="AE571" s="15"/>
      <c r="AF571" s="44"/>
      <c r="AG571" s="15">
        <f>(Y571+AA571+AC571+AE571)</f>
        <v>0</v>
      </c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/>
      <c r="BA571" s="42"/>
      <c r="BB571" s="15">
        <f>AH571+AJ571+AL571+AN571+AP571+AR571+AT571+AV571+AX571+AZ571</f>
        <v>0</v>
      </c>
      <c r="BC571" s="15"/>
      <c r="BD571" s="44"/>
      <c r="BE571" s="15"/>
      <c r="BF571" s="44"/>
      <c r="BG571" s="15">
        <f>(BC571+BE571)</f>
        <v>0</v>
      </c>
    </row>
    <row r="572" spans="1:59" s="8" customFormat="1" ht="22.5" hidden="1" customHeight="1">
      <c r="A572" s="9">
        <v>999</v>
      </c>
      <c r="B572" s="16" t="s">
        <v>926</v>
      </c>
      <c r="C572" s="89" t="s">
        <v>132</v>
      </c>
      <c r="D572" s="109" t="s">
        <v>954</v>
      </c>
      <c r="E572" s="110"/>
      <c r="F572" s="111" t="s">
        <v>2148</v>
      </c>
      <c r="G572" s="111" t="s">
        <v>1729</v>
      </c>
      <c r="H572" s="12"/>
      <c r="I572" s="9"/>
      <c r="J572" s="9" t="s">
        <v>566</v>
      </c>
      <c r="K572" s="14"/>
      <c r="L572" s="14"/>
      <c r="M572" s="12"/>
      <c r="N572" s="9"/>
      <c r="O572" s="9"/>
      <c r="P572" s="9"/>
      <c r="Q572" s="38">
        <f>M572+X572-AG572-BB572</f>
        <v>0</v>
      </c>
      <c r="R572" s="12"/>
      <c r="S572" s="42"/>
      <c r="T572" s="15"/>
      <c r="U572" s="44"/>
      <c r="V572" s="15"/>
      <c r="W572" s="44"/>
      <c r="X572" s="15">
        <f>R572+T572+V572</f>
        <v>0</v>
      </c>
      <c r="Y572" s="15"/>
      <c r="Z572" s="44"/>
      <c r="AA572" s="15"/>
      <c r="AB572" s="44"/>
      <c r="AC572" s="15"/>
      <c r="AD572" s="44"/>
      <c r="AE572" s="15"/>
      <c r="AF572" s="44"/>
      <c r="AG572" s="15">
        <f>(Y572+AA572+AC572+AE572)</f>
        <v>0</v>
      </c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/>
      <c r="BA572" s="42"/>
      <c r="BB572" s="15">
        <f>AH572+AJ572+AL572+AN572+AP572+AR572+AT572+AV572+AX572+AZ572</f>
        <v>0</v>
      </c>
      <c r="BC572" s="15"/>
      <c r="BD572" s="44"/>
      <c r="BE572" s="15"/>
      <c r="BF572" s="44"/>
      <c r="BG572" s="15">
        <f>(BC572+BE572)</f>
        <v>0</v>
      </c>
    </row>
    <row r="573" spans="1:59" s="8" customFormat="1" ht="21.95" hidden="1" customHeight="1">
      <c r="A573" s="9"/>
      <c r="B573" s="18" t="s">
        <v>204</v>
      </c>
      <c r="C573" s="114" t="s">
        <v>132</v>
      </c>
      <c r="D573" s="143" t="s">
        <v>213</v>
      </c>
      <c r="E573" s="144" t="s">
        <v>215</v>
      </c>
      <c r="F573" s="111" t="s">
        <v>2154</v>
      </c>
      <c r="G573" s="111" t="s">
        <v>2155</v>
      </c>
      <c r="H573" s="96"/>
      <c r="I573" s="21"/>
      <c r="J573" s="21" t="s">
        <v>207</v>
      </c>
      <c r="K573" s="14"/>
      <c r="L573" s="14"/>
      <c r="M573" s="12">
        <v>1797</v>
      </c>
      <c r="N573" s="9"/>
      <c r="O573" s="9"/>
      <c r="P573" s="9"/>
      <c r="Q573" s="38">
        <f>M573+X573-AG573-BB573</f>
        <v>1797</v>
      </c>
      <c r="R573" s="12"/>
      <c r="S573" s="42"/>
      <c r="T573" s="15"/>
      <c r="U573" s="44"/>
      <c r="V573" s="15"/>
      <c r="W573" s="44"/>
      <c r="X573" s="15">
        <f>R573+T573+V573</f>
        <v>0</v>
      </c>
      <c r="Y573" s="15"/>
      <c r="Z573" s="44"/>
      <c r="AA573" s="15"/>
      <c r="AB573" s="44"/>
      <c r="AC573" s="15"/>
      <c r="AD573" s="44"/>
      <c r="AE573" s="15"/>
      <c r="AF573" s="44"/>
      <c r="AG573" s="15">
        <f>(Y573+AA573+AC573+AE573)</f>
        <v>0</v>
      </c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/>
      <c r="BA573" s="42"/>
      <c r="BB573" s="15">
        <f>AH573+AJ573+AL573+AN573+AP573+AR573+AT573+AV573+AX573+AZ573</f>
        <v>0</v>
      </c>
      <c r="BC573" s="15"/>
      <c r="BD573" s="44"/>
      <c r="BE573" s="15"/>
      <c r="BF573" s="44"/>
      <c r="BG573" s="15">
        <f>(BC573+BE573)</f>
        <v>0</v>
      </c>
    </row>
    <row r="574" spans="1:59" s="8" customFormat="1" ht="21.95" hidden="1" customHeight="1">
      <c r="A574" s="9"/>
      <c r="B574" s="18" t="s">
        <v>204</v>
      </c>
      <c r="C574" s="114" t="s">
        <v>132</v>
      </c>
      <c r="D574" s="143" t="s">
        <v>1232</v>
      </c>
      <c r="E574" s="144" t="s">
        <v>210</v>
      </c>
      <c r="F574" s="111" t="s">
        <v>2156</v>
      </c>
      <c r="G574" s="111" t="s">
        <v>2158</v>
      </c>
      <c r="H574" s="96"/>
      <c r="I574" s="21"/>
      <c r="J574" s="21" t="s">
        <v>231</v>
      </c>
      <c r="K574" s="14"/>
      <c r="L574" s="14"/>
      <c r="M574" s="12">
        <v>41</v>
      </c>
      <c r="N574" s="9"/>
      <c r="O574" s="9"/>
      <c r="P574" s="9"/>
      <c r="Q574" s="38">
        <f>M574+X574-AG574-BB574</f>
        <v>41</v>
      </c>
      <c r="R574" s="12"/>
      <c r="S574" s="42"/>
      <c r="T574" s="15"/>
      <c r="U574" s="44"/>
      <c r="V574" s="15"/>
      <c r="W574" s="44"/>
      <c r="X574" s="15">
        <f>R574+T574+V574</f>
        <v>0</v>
      </c>
      <c r="Y574" s="15"/>
      <c r="Z574" s="44"/>
      <c r="AA574" s="15"/>
      <c r="AB574" s="44"/>
      <c r="AC574" s="15"/>
      <c r="AD574" s="44"/>
      <c r="AE574" s="15"/>
      <c r="AF574" s="44"/>
      <c r="AG574" s="15">
        <f>(Y574+AA574+AC574+AE574)</f>
        <v>0</v>
      </c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/>
      <c r="BA574" s="42"/>
      <c r="BB574" s="15">
        <f>AH574+AJ574+AL574+AN574+AP574+AR574+AT574+AV574+AX574+AZ574</f>
        <v>0</v>
      </c>
      <c r="BC574" s="15"/>
      <c r="BD574" s="44"/>
      <c r="BE574" s="15"/>
      <c r="BF574" s="44"/>
      <c r="BG574" s="15">
        <f>(BC574+BE574)</f>
        <v>0</v>
      </c>
    </row>
    <row r="575" spans="1:59" s="8" customFormat="1" ht="21.95" hidden="1" customHeight="1">
      <c r="A575" s="9"/>
      <c r="B575" s="18" t="s">
        <v>204</v>
      </c>
      <c r="C575" s="114" t="s">
        <v>132</v>
      </c>
      <c r="D575" s="143" t="s">
        <v>1233</v>
      </c>
      <c r="E575" s="144" t="s">
        <v>222</v>
      </c>
      <c r="F575" s="111" t="s">
        <v>2157</v>
      </c>
      <c r="G575" s="111" t="s">
        <v>2159</v>
      </c>
      <c r="H575" s="96"/>
      <c r="I575" s="21"/>
      <c r="J575" s="21" t="s">
        <v>231</v>
      </c>
      <c r="K575" s="14"/>
      <c r="L575" s="14"/>
      <c r="M575" s="12">
        <v>0</v>
      </c>
      <c r="N575" s="9"/>
      <c r="O575" s="9"/>
      <c r="P575" s="9"/>
      <c r="Q575" s="38">
        <f>M575+X575-AG575-BB575</f>
        <v>0</v>
      </c>
      <c r="R575" s="12"/>
      <c r="S575" s="42"/>
      <c r="T575" s="15"/>
      <c r="U575" s="44"/>
      <c r="V575" s="15"/>
      <c r="W575" s="44"/>
      <c r="X575" s="15">
        <f>R575+T575+V575</f>
        <v>0</v>
      </c>
      <c r="Y575" s="15"/>
      <c r="Z575" s="44"/>
      <c r="AA575" s="15"/>
      <c r="AB575" s="44"/>
      <c r="AC575" s="15"/>
      <c r="AD575" s="44"/>
      <c r="AE575" s="15"/>
      <c r="AF575" s="44"/>
      <c r="AG575" s="15">
        <f>(Y575+AA575+AC575+AE575)</f>
        <v>0</v>
      </c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/>
      <c r="BA575" s="42"/>
      <c r="BB575" s="15">
        <f>AH575+AJ575+AL575+AN575+AP575+AR575+AT575+AV575+AX575+AZ575</f>
        <v>0</v>
      </c>
      <c r="BC575" s="15"/>
      <c r="BD575" s="44"/>
      <c r="BE575" s="15"/>
      <c r="BF575" s="44"/>
      <c r="BG575" s="15">
        <f>(BC575+BE575)</f>
        <v>0</v>
      </c>
    </row>
    <row r="576" spans="1:59" s="8" customFormat="1" ht="21.95" hidden="1" customHeight="1">
      <c r="A576" s="9"/>
      <c r="B576" s="16" t="s">
        <v>204</v>
      </c>
      <c r="C576" s="114" t="s">
        <v>48</v>
      </c>
      <c r="D576" s="143" t="s">
        <v>278</v>
      </c>
      <c r="E576" s="144" t="s">
        <v>1298</v>
      </c>
      <c r="F576" s="111" t="s">
        <v>2160</v>
      </c>
      <c r="G576" s="111" t="s">
        <v>2162</v>
      </c>
      <c r="H576" s="96"/>
      <c r="I576" s="9"/>
      <c r="J576" s="9" t="s">
        <v>207</v>
      </c>
      <c r="K576" s="14"/>
      <c r="L576" s="14"/>
      <c r="M576" s="12">
        <v>101</v>
      </c>
      <c r="N576" s="9"/>
      <c r="O576" s="9"/>
      <c r="P576" s="9"/>
      <c r="Q576" s="38">
        <f>M576+X576-AG576-BB576</f>
        <v>101</v>
      </c>
      <c r="R576" s="12"/>
      <c r="S576" s="42"/>
      <c r="T576" s="15"/>
      <c r="U576" s="44"/>
      <c r="V576" s="15"/>
      <c r="W576" s="44"/>
      <c r="X576" s="15">
        <f>R576+T576+V576</f>
        <v>0</v>
      </c>
      <c r="Y576" s="15"/>
      <c r="Z576" s="44"/>
      <c r="AA576" s="15"/>
      <c r="AB576" s="44"/>
      <c r="AC576" s="15"/>
      <c r="AD576" s="44"/>
      <c r="AE576" s="15"/>
      <c r="AF576" s="44"/>
      <c r="AG576" s="15">
        <f>(Y576+AA576+AC576+AE576)</f>
        <v>0</v>
      </c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/>
      <c r="BA576" s="42"/>
      <c r="BB576" s="15"/>
      <c r="BC576" s="15"/>
      <c r="BD576" s="44"/>
      <c r="BE576" s="15"/>
      <c r="BF576" s="44"/>
      <c r="BG576" s="15"/>
    </row>
    <row r="577" spans="1:59" s="8" customFormat="1" ht="22.5" hidden="1" customHeight="1">
      <c r="A577" s="9"/>
      <c r="B577" s="16" t="s">
        <v>204</v>
      </c>
      <c r="C577" s="114" t="s">
        <v>48</v>
      </c>
      <c r="D577" s="143" t="s">
        <v>280</v>
      </c>
      <c r="E577" s="144" t="s">
        <v>1298</v>
      </c>
      <c r="F577" s="111" t="s">
        <v>2161</v>
      </c>
      <c r="G577" s="111" t="s">
        <v>2163</v>
      </c>
      <c r="H577" s="96"/>
      <c r="I577" s="9"/>
      <c r="J577" s="9" t="s">
        <v>207</v>
      </c>
      <c r="K577" s="14"/>
      <c r="L577" s="14"/>
      <c r="M577" s="12">
        <v>96</v>
      </c>
      <c r="N577" s="9"/>
      <c r="O577" s="9"/>
      <c r="P577" s="9"/>
      <c r="Q577" s="38">
        <f>M577+X577-AG577-BB577</f>
        <v>96</v>
      </c>
      <c r="R577" s="12"/>
      <c r="S577" s="42"/>
      <c r="T577" s="15"/>
      <c r="U577" s="44"/>
      <c r="V577" s="15"/>
      <c r="W577" s="44"/>
      <c r="X577" s="15">
        <f>R577+T577+V577</f>
        <v>0</v>
      </c>
      <c r="Y577" s="15"/>
      <c r="Z577" s="44"/>
      <c r="AA577" s="15"/>
      <c r="AB577" s="44"/>
      <c r="AC577" s="15"/>
      <c r="AD577" s="44"/>
      <c r="AE577" s="15"/>
      <c r="AF577" s="44"/>
      <c r="AG577" s="15">
        <f>(Y577+AA577+AC577+AE577)</f>
        <v>0</v>
      </c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/>
      <c r="BA577" s="42"/>
      <c r="BB577" s="15"/>
      <c r="BC577" s="15"/>
      <c r="BD577" s="44"/>
      <c r="BE577" s="15"/>
      <c r="BF577" s="44"/>
      <c r="BG577" s="15"/>
    </row>
    <row r="578" spans="1:59" s="8" customFormat="1" ht="22.5" hidden="1" customHeight="1">
      <c r="A578" s="9"/>
      <c r="B578" s="16" t="s">
        <v>204</v>
      </c>
      <c r="C578" s="114" t="s">
        <v>48</v>
      </c>
      <c r="D578" s="143" t="s">
        <v>298</v>
      </c>
      <c r="E578" s="144" t="s">
        <v>290</v>
      </c>
      <c r="F578" s="111" t="s">
        <v>2165</v>
      </c>
      <c r="G578" s="111" t="s">
        <v>2166</v>
      </c>
      <c r="H578" s="96"/>
      <c r="I578" s="9"/>
      <c r="J578" s="9" t="s">
        <v>207</v>
      </c>
      <c r="K578" s="14"/>
      <c r="L578" s="14"/>
      <c r="M578" s="12">
        <v>164</v>
      </c>
      <c r="N578" s="9"/>
      <c r="O578" s="9"/>
      <c r="P578" s="9"/>
      <c r="Q578" s="38">
        <f>M578+X578-AG578-BB578</f>
        <v>164</v>
      </c>
      <c r="R578" s="12"/>
      <c r="S578" s="42"/>
      <c r="T578" s="15"/>
      <c r="U578" s="44"/>
      <c r="V578" s="15"/>
      <c r="W578" s="44"/>
      <c r="X578" s="15">
        <f>R578+T578+V578</f>
        <v>0</v>
      </c>
      <c r="Y578" s="15"/>
      <c r="Z578" s="44"/>
      <c r="AA578" s="15"/>
      <c r="AB578" s="44"/>
      <c r="AC578" s="15"/>
      <c r="AD578" s="44"/>
      <c r="AE578" s="15"/>
      <c r="AF578" s="44"/>
      <c r="AG578" s="15">
        <f>(Y578+AA578+AC578+AE578)</f>
        <v>0</v>
      </c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42"/>
      <c r="BB578" s="15">
        <f>AH578+AJ578+AL578+AN578+AP578+AR578+AT578+AV578+AX578+AZ578</f>
        <v>0</v>
      </c>
      <c r="BC578" s="15"/>
      <c r="BD578" s="44"/>
      <c r="BE578" s="15"/>
      <c r="BF578" s="44"/>
      <c r="BG578" s="15">
        <f>(BC578+BE578)</f>
        <v>0</v>
      </c>
    </row>
    <row r="579" spans="1:59" s="8" customFormat="1" ht="22.5" hidden="1" customHeight="1">
      <c r="A579" s="9"/>
      <c r="B579" s="16" t="s">
        <v>204</v>
      </c>
      <c r="C579" s="114" t="s">
        <v>48</v>
      </c>
      <c r="D579" s="143" t="s">
        <v>301</v>
      </c>
      <c r="E579" s="144" t="s">
        <v>206</v>
      </c>
      <c r="F579" s="111" t="s">
        <v>2167</v>
      </c>
      <c r="G579" s="111" t="s">
        <v>2168</v>
      </c>
      <c r="H579" s="96"/>
      <c r="I579" s="9"/>
      <c r="J579" s="9" t="s">
        <v>207</v>
      </c>
      <c r="K579" s="14"/>
      <c r="L579" s="14"/>
      <c r="M579" s="12">
        <v>216</v>
      </c>
      <c r="N579" s="9"/>
      <c r="O579" s="9"/>
      <c r="P579" s="9"/>
      <c r="Q579" s="38">
        <f>M579+X579-AG579-BB579</f>
        <v>216</v>
      </c>
      <c r="R579" s="12"/>
      <c r="S579" s="42"/>
      <c r="T579" s="15"/>
      <c r="U579" s="44"/>
      <c r="V579" s="15"/>
      <c r="W579" s="44"/>
      <c r="X579" s="15">
        <f>R579+T579+V579</f>
        <v>0</v>
      </c>
      <c r="Y579" s="15"/>
      <c r="Z579" s="44"/>
      <c r="AA579" s="15"/>
      <c r="AB579" s="44"/>
      <c r="AC579" s="15"/>
      <c r="AD579" s="44"/>
      <c r="AE579" s="15"/>
      <c r="AF579" s="44"/>
      <c r="AG579" s="15">
        <f>(Y579+AA579+AC579+AE579)</f>
        <v>0</v>
      </c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/>
      <c r="BA579" s="42"/>
      <c r="BB579" s="15">
        <f>AH579+AJ579+AL579+AN579+AP579+AR579+AT579+AV579+AX579+AZ579</f>
        <v>0</v>
      </c>
      <c r="BC579" s="15"/>
      <c r="BD579" s="44"/>
      <c r="BE579" s="15"/>
      <c r="BF579" s="44"/>
      <c r="BG579" s="15">
        <f>(BC579+BE579)</f>
        <v>0</v>
      </c>
    </row>
    <row r="580" spans="1:59" s="8" customFormat="1" ht="22.5" hidden="1" customHeight="1">
      <c r="A580" s="9"/>
      <c r="B580" s="16" t="s">
        <v>204</v>
      </c>
      <c r="C580" s="114" t="s">
        <v>48</v>
      </c>
      <c r="D580" s="143" t="s">
        <v>295</v>
      </c>
      <c r="E580" s="144" t="s">
        <v>348</v>
      </c>
      <c r="F580" s="111" t="s">
        <v>2169</v>
      </c>
      <c r="G580" s="111" t="s">
        <v>2170</v>
      </c>
      <c r="H580" s="96"/>
      <c r="I580" s="9"/>
      <c r="J580" s="9" t="s">
        <v>207</v>
      </c>
      <c r="K580" s="14"/>
      <c r="L580" s="14"/>
      <c r="M580" s="12">
        <v>142</v>
      </c>
      <c r="N580" s="9"/>
      <c r="O580" s="9"/>
      <c r="P580" s="9"/>
      <c r="Q580" s="38">
        <f>M580+X580-AG580-BB580</f>
        <v>142</v>
      </c>
      <c r="R580" s="12"/>
      <c r="S580" s="42"/>
      <c r="T580" s="15"/>
      <c r="U580" s="44"/>
      <c r="V580" s="15"/>
      <c r="W580" s="44"/>
      <c r="X580" s="15">
        <f>R580+T580+V580</f>
        <v>0</v>
      </c>
      <c r="Y580" s="15"/>
      <c r="Z580" s="44"/>
      <c r="AA580" s="15"/>
      <c r="AB580" s="44"/>
      <c r="AC580" s="15"/>
      <c r="AD580" s="44"/>
      <c r="AE580" s="15"/>
      <c r="AF580" s="44"/>
      <c r="AG580" s="15">
        <f>(Y580+AA580+AC580+AE580)</f>
        <v>0</v>
      </c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/>
      <c r="BA580" s="42"/>
      <c r="BB580" s="15">
        <f>AH580+AJ580+AL580+AN580+AP580+AR580+AT580+AV580+AX580+AZ580</f>
        <v>0</v>
      </c>
      <c r="BC580" s="15"/>
      <c r="BD580" s="44"/>
      <c r="BE580" s="15"/>
      <c r="BF580" s="44"/>
      <c r="BG580" s="15">
        <f>(BC580+BE580)</f>
        <v>0</v>
      </c>
    </row>
    <row r="581" spans="1:59" s="8" customFormat="1" ht="22.5" hidden="1" customHeight="1">
      <c r="A581" s="9"/>
      <c r="B581" s="16" t="s">
        <v>204</v>
      </c>
      <c r="C581" s="114" t="s">
        <v>48</v>
      </c>
      <c r="D581" s="143" t="s">
        <v>296</v>
      </c>
      <c r="E581" s="144" t="s">
        <v>347</v>
      </c>
      <c r="F581" s="111" t="s">
        <v>2171</v>
      </c>
      <c r="G581" s="111" t="s">
        <v>2172</v>
      </c>
      <c r="H581" s="96"/>
      <c r="I581" s="9"/>
      <c r="J581" s="9" t="s">
        <v>207</v>
      </c>
      <c r="K581" s="14"/>
      <c r="L581" s="14"/>
      <c r="M581" s="12">
        <v>123</v>
      </c>
      <c r="N581" s="9"/>
      <c r="O581" s="9"/>
      <c r="P581" s="9"/>
      <c r="Q581" s="38">
        <f>M581+X581-AG581-BB581</f>
        <v>123</v>
      </c>
      <c r="R581" s="12"/>
      <c r="S581" s="42"/>
      <c r="T581" s="15"/>
      <c r="U581" s="44"/>
      <c r="V581" s="15"/>
      <c r="W581" s="44"/>
      <c r="X581" s="15">
        <f>R581+T581+V581</f>
        <v>0</v>
      </c>
      <c r="Y581" s="15"/>
      <c r="Z581" s="44"/>
      <c r="AA581" s="15"/>
      <c r="AB581" s="44"/>
      <c r="AC581" s="15"/>
      <c r="AD581" s="44"/>
      <c r="AE581" s="15"/>
      <c r="AF581" s="44"/>
      <c r="AG581" s="15">
        <f>(Y581+AA581+AC581+AE581)</f>
        <v>0</v>
      </c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42"/>
      <c r="BB581" s="15">
        <f>AH581+AJ581+AL581+AN581+AP581+AR581+AT581+AV581+AX581+AZ581</f>
        <v>0</v>
      </c>
      <c r="BC581" s="15"/>
      <c r="BD581" s="44"/>
      <c r="BE581" s="15"/>
      <c r="BF581" s="44"/>
      <c r="BG581" s="15">
        <f>(BC581+BE581)</f>
        <v>0</v>
      </c>
    </row>
    <row r="582" spans="1:59" s="8" customFormat="1" ht="22.5" hidden="1" customHeight="1">
      <c r="A582" s="9"/>
      <c r="B582" s="16" t="s">
        <v>120</v>
      </c>
      <c r="C582" s="117" t="s">
        <v>50</v>
      </c>
      <c r="D582" s="143" t="s">
        <v>356</v>
      </c>
      <c r="E582" s="144" t="s">
        <v>1424</v>
      </c>
      <c r="F582" s="111" t="s">
        <v>2173</v>
      </c>
      <c r="G582" s="111" t="s">
        <v>2174</v>
      </c>
      <c r="H582" s="12"/>
      <c r="I582" s="9"/>
      <c r="J582" s="9" t="s">
        <v>67</v>
      </c>
      <c r="K582" s="14"/>
      <c r="L582" s="14"/>
      <c r="M582" s="12">
        <v>149</v>
      </c>
      <c r="N582" s="9"/>
      <c r="O582" s="9"/>
      <c r="P582" s="9"/>
      <c r="Q582" s="38">
        <f>M582+X582-AG582-BB582</f>
        <v>149</v>
      </c>
      <c r="R582" s="12"/>
      <c r="S582" s="42"/>
      <c r="T582" s="15"/>
      <c r="U582" s="44"/>
      <c r="V582" s="15"/>
      <c r="W582" s="44"/>
      <c r="X582" s="15">
        <f>R582+T582+V582</f>
        <v>0</v>
      </c>
      <c r="Y582" s="15"/>
      <c r="Z582" s="44"/>
      <c r="AA582" s="15"/>
      <c r="AB582" s="44"/>
      <c r="AC582" s="15"/>
      <c r="AD582" s="44"/>
      <c r="AE582" s="15"/>
      <c r="AF582" s="44"/>
      <c r="AG582" s="15">
        <f>(Y582+AA582+AC582+AE582)</f>
        <v>0</v>
      </c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/>
      <c r="BA582" s="42"/>
      <c r="BB582" s="15">
        <f>AH582+AJ582+AL582+AN582+AP582+AR582+AT582+AV582+AX582+AZ582</f>
        <v>0</v>
      </c>
      <c r="BC582" s="15"/>
      <c r="BD582" s="44"/>
      <c r="BE582" s="15"/>
      <c r="BF582" s="44"/>
      <c r="BG582" s="15">
        <f>(BC582+BE582)</f>
        <v>0</v>
      </c>
    </row>
    <row r="583" spans="1:59" s="8" customFormat="1" ht="22.5" hidden="1" customHeight="1">
      <c r="A583" s="9"/>
      <c r="B583" s="16" t="s">
        <v>120</v>
      </c>
      <c r="C583" s="117" t="s">
        <v>50</v>
      </c>
      <c r="D583" s="143" t="s">
        <v>358</v>
      </c>
      <c r="E583" s="144" t="s">
        <v>1425</v>
      </c>
      <c r="F583" s="111" t="s">
        <v>2175</v>
      </c>
      <c r="G583" s="111" t="s">
        <v>2176</v>
      </c>
      <c r="H583" s="12"/>
      <c r="I583" s="9"/>
      <c r="J583" s="9" t="s">
        <v>67</v>
      </c>
      <c r="K583" s="14"/>
      <c r="L583" s="14"/>
      <c r="M583" s="12">
        <v>12</v>
      </c>
      <c r="N583" s="9"/>
      <c r="O583" s="9"/>
      <c r="P583" s="9"/>
      <c r="Q583" s="38">
        <f>M583+X583-AG583-BB583</f>
        <v>12</v>
      </c>
      <c r="R583" s="12"/>
      <c r="S583" s="42"/>
      <c r="T583" s="15"/>
      <c r="U583" s="44"/>
      <c r="V583" s="15"/>
      <c r="W583" s="44"/>
      <c r="X583" s="15">
        <f>R583+T583+V583</f>
        <v>0</v>
      </c>
      <c r="Y583" s="15"/>
      <c r="Z583" s="44"/>
      <c r="AA583" s="15"/>
      <c r="AB583" s="44"/>
      <c r="AC583" s="15"/>
      <c r="AD583" s="44"/>
      <c r="AE583" s="15"/>
      <c r="AF583" s="44"/>
      <c r="AG583" s="15">
        <f>(Y583+AA583+AC583+AE583)</f>
        <v>0</v>
      </c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/>
      <c r="BA583" s="42"/>
      <c r="BB583" s="15">
        <f>AH583+AJ583+AL583+AN583+AP583+AR583+AT583+AV583+AX583+AZ583</f>
        <v>0</v>
      </c>
      <c r="BC583" s="15"/>
      <c r="BD583" s="44"/>
      <c r="BE583" s="15"/>
      <c r="BF583" s="44"/>
      <c r="BG583" s="15">
        <f>(BC583+BE583)</f>
        <v>0</v>
      </c>
    </row>
    <row r="584" spans="1:59" s="8" customFormat="1" ht="22.5" hidden="1" customHeight="1">
      <c r="A584" s="9"/>
      <c r="B584" s="16" t="s">
        <v>120</v>
      </c>
      <c r="C584" s="117" t="s">
        <v>50</v>
      </c>
      <c r="D584" s="143" t="s">
        <v>360</v>
      </c>
      <c r="E584" s="144" t="s">
        <v>361</v>
      </c>
      <c r="F584" s="111" t="s">
        <v>2181</v>
      </c>
      <c r="G584" s="111" t="s">
        <v>2182</v>
      </c>
      <c r="H584" s="12"/>
      <c r="I584" s="9"/>
      <c r="J584" s="9" t="s">
        <v>67</v>
      </c>
      <c r="K584" s="14"/>
      <c r="L584" s="14"/>
      <c r="M584" s="12">
        <v>548</v>
      </c>
      <c r="N584" s="9"/>
      <c r="O584" s="9"/>
      <c r="P584" s="9"/>
      <c r="Q584" s="38">
        <f>M584+X584-AG584-BB584</f>
        <v>548</v>
      </c>
      <c r="R584" s="12"/>
      <c r="S584" s="42"/>
      <c r="T584" s="15"/>
      <c r="U584" s="44"/>
      <c r="V584" s="15"/>
      <c r="W584" s="44"/>
      <c r="X584" s="15">
        <f>R584+T584+V584</f>
        <v>0</v>
      </c>
      <c r="Y584" s="15"/>
      <c r="Z584" s="44"/>
      <c r="AA584" s="15"/>
      <c r="AB584" s="44"/>
      <c r="AC584" s="15"/>
      <c r="AD584" s="44"/>
      <c r="AE584" s="15"/>
      <c r="AF584" s="44"/>
      <c r="AG584" s="15">
        <f>(Y584+AA584+AC584+AE584)</f>
        <v>0</v>
      </c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/>
      <c r="BA584" s="42"/>
      <c r="BB584" s="15">
        <f>AH584+AJ584+AL584+AN584+AP584+AR584+AT584+AV584+AX584+AZ584</f>
        <v>0</v>
      </c>
      <c r="BC584" s="15"/>
      <c r="BD584" s="44"/>
      <c r="BE584" s="15"/>
      <c r="BF584" s="44"/>
      <c r="BG584" s="15">
        <f>(BC584+BE584)</f>
        <v>0</v>
      </c>
    </row>
    <row r="585" spans="1:59" s="8" customFormat="1" ht="22.5" hidden="1" customHeight="1">
      <c r="A585" s="9"/>
      <c r="B585" s="16" t="s">
        <v>120</v>
      </c>
      <c r="C585" s="117" t="s">
        <v>50</v>
      </c>
      <c r="D585" s="143" t="s">
        <v>1426</v>
      </c>
      <c r="E585" s="144" t="s">
        <v>1427</v>
      </c>
      <c r="F585" s="111" t="s">
        <v>2177</v>
      </c>
      <c r="G585" s="111" t="s">
        <v>2178</v>
      </c>
      <c r="H585" s="12"/>
      <c r="I585" s="9"/>
      <c r="J585" s="9" t="s">
        <v>67</v>
      </c>
      <c r="K585" s="14"/>
      <c r="L585" s="14"/>
      <c r="M585" s="12">
        <v>102</v>
      </c>
      <c r="N585" s="9"/>
      <c r="O585" s="9"/>
      <c r="P585" s="9"/>
      <c r="Q585" s="38">
        <f>M585+X585-AG585-BB585</f>
        <v>102</v>
      </c>
      <c r="R585" s="12"/>
      <c r="S585" s="42"/>
      <c r="T585" s="15"/>
      <c r="U585" s="44"/>
      <c r="V585" s="15"/>
      <c r="W585" s="44"/>
      <c r="X585" s="15">
        <f>R585+T585+V585</f>
        <v>0</v>
      </c>
      <c r="Y585" s="15"/>
      <c r="Z585" s="44"/>
      <c r="AA585" s="15"/>
      <c r="AB585" s="44"/>
      <c r="AC585" s="15"/>
      <c r="AD585" s="44"/>
      <c r="AE585" s="15"/>
      <c r="AF585" s="44"/>
      <c r="AG585" s="15">
        <f>(Y585+AA585+AC585+AE585)</f>
        <v>0</v>
      </c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/>
      <c r="BA585" s="42"/>
      <c r="BB585" s="15">
        <f>AH585+AJ585+AL585+AN585+AP585+AR585+AT585+AV585+AX585+AZ585</f>
        <v>0</v>
      </c>
      <c r="BC585" s="15"/>
      <c r="BD585" s="44"/>
      <c r="BE585" s="15"/>
      <c r="BF585" s="44"/>
      <c r="BG585" s="15">
        <f>(BC585+BE585)</f>
        <v>0</v>
      </c>
    </row>
    <row r="586" spans="1:59" s="8" customFormat="1" ht="22.5" hidden="1" customHeight="1">
      <c r="A586" s="9"/>
      <c r="B586" s="16" t="s">
        <v>120</v>
      </c>
      <c r="C586" s="117" t="s">
        <v>50</v>
      </c>
      <c r="D586" s="143" t="s">
        <v>1428</v>
      </c>
      <c r="E586" s="144" t="s">
        <v>1429</v>
      </c>
      <c r="F586" s="111" t="s">
        <v>2179</v>
      </c>
      <c r="G586" s="111" t="s">
        <v>2180</v>
      </c>
      <c r="H586" s="9"/>
      <c r="I586" s="9"/>
      <c r="J586" s="9" t="s">
        <v>67</v>
      </c>
      <c r="K586" s="38">
        <v>0</v>
      </c>
      <c r="L586" s="15">
        <v>0</v>
      </c>
      <c r="M586" s="12">
        <v>0</v>
      </c>
      <c r="N586" s="38">
        <v>0</v>
      </c>
      <c r="O586" s="15">
        <v>0</v>
      </c>
      <c r="P586" s="15">
        <v>0</v>
      </c>
      <c r="Q586" s="38">
        <f>M586+X586-AG586-BB586</f>
        <v>0</v>
      </c>
      <c r="R586" s="42"/>
      <c r="S586" s="15"/>
      <c r="T586" s="15"/>
      <c r="U586" s="42"/>
      <c r="V586" s="15"/>
      <c r="W586" s="42"/>
      <c r="X586" s="15">
        <f>R586+T586+V586</f>
        <v>0</v>
      </c>
      <c r="Y586" s="42"/>
      <c r="Z586" s="15"/>
      <c r="AA586" s="42"/>
      <c r="AB586" s="15"/>
      <c r="AC586" s="42"/>
      <c r="AD586" s="15"/>
      <c r="AE586" s="42"/>
      <c r="AF586" s="15"/>
      <c r="AG586" s="15">
        <f>(Y586+AA586+AC586+AE586)</f>
        <v>0</v>
      </c>
      <c r="AH586" s="15"/>
      <c r="AI586" s="15"/>
      <c r="AJ586" s="139"/>
      <c r="AK586" s="139"/>
      <c r="AL586" s="139"/>
      <c r="AM586" s="139"/>
      <c r="AN586" s="139"/>
      <c r="AO586" s="139"/>
      <c r="AP586" s="139"/>
      <c r="AQ586" s="139"/>
      <c r="AR586" s="139"/>
      <c r="AS586" s="139"/>
      <c r="AT586" s="139"/>
      <c r="AU586" s="139"/>
      <c r="AV586" s="139"/>
      <c r="AW586" s="139"/>
      <c r="AX586" s="139"/>
      <c r="AY586" s="139"/>
      <c r="AZ586" s="139"/>
      <c r="BA586" s="139"/>
      <c r="BB586" s="139"/>
      <c r="BC586" s="139"/>
      <c r="BD586" s="139"/>
      <c r="BE586" s="139"/>
      <c r="BF586" s="139"/>
      <c r="BG586" s="139"/>
    </row>
    <row r="587" spans="1:59" s="8" customFormat="1" ht="21.95" hidden="1" customHeight="1">
      <c r="A587" s="9"/>
      <c r="B587" s="16" t="s">
        <v>477</v>
      </c>
      <c r="C587" s="114" t="s">
        <v>140</v>
      </c>
      <c r="D587" s="143" t="s">
        <v>1610</v>
      </c>
      <c r="E587" s="144" t="s">
        <v>1611</v>
      </c>
      <c r="F587" s="111" t="s">
        <v>2191</v>
      </c>
      <c r="G587" s="111" t="s">
        <v>2192</v>
      </c>
      <c r="H587" s="96"/>
      <c r="I587" s="9"/>
      <c r="J587" s="9" t="s">
        <v>482</v>
      </c>
      <c r="K587" s="14"/>
      <c r="L587" s="14"/>
      <c r="M587" s="12">
        <v>3</v>
      </c>
      <c r="N587" s="9"/>
      <c r="O587" s="9"/>
      <c r="P587" s="9"/>
      <c r="Q587" s="38">
        <f>M587+X587-AG587-BB587</f>
        <v>3</v>
      </c>
      <c r="R587" s="12"/>
      <c r="S587" s="42"/>
      <c r="T587" s="15"/>
      <c r="U587" s="44"/>
      <c r="V587" s="15"/>
      <c r="W587" s="44"/>
      <c r="X587" s="15">
        <f>R587+T587+V587</f>
        <v>0</v>
      </c>
      <c r="Y587" s="15"/>
      <c r="Z587" s="44"/>
      <c r="AA587" s="15"/>
      <c r="AB587" s="44"/>
      <c r="AC587" s="15"/>
      <c r="AD587" s="44"/>
      <c r="AE587" s="15"/>
      <c r="AF587" s="44"/>
      <c r="AG587" s="15">
        <f>(Y587+AA587+AC587+AE587)</f>
        <v>0</v>
      </c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/>
      <c r="BA587" s="42"/>
      <c r="BB587" s="15"/>
      <c r="BC587" s="15"/>
      <c r="BD587" s="44"/>
      <c r="BE587" s="15"/>
      <c r="BF587" s="44"/>
      <c r="BG587" s="15"/>
    </row>
    <row r="588" spans="1:59" s="8" customFormat="1" ht="21.95" hidden="1" customHeight="1">
      <c r="A588" s="9"/>
      <c r="B588" s="18" t="s">
        <v>172</v>
      </c>
      <c r="C588" s="114" t="s">
        <v>494</v>
      </c>
      <c r="D588" s="143" t="s">
        <v>253</v>
      </c>
      <c r="E588" s="144"/>
      <c r="F588" s="111" t="s">
        <v>2193</v>
      </c>
      <c r="G588" s="111" t="s">
        <v>2194</v>
      </c>
      <c r="H588" s="96"/>
      <c r="I588" s="21"/>
      <c r="J588" s="21" t="s">
        <v>67</v>
      </c>
      <c r="K588" s="14"/>
      <c r="L588" s="14"/>
      <c r="M588" s="12"/>
      <c r="N588" s="9"/>
      <c r="O588" s="9"/>
      <c r="P588" s="9"/>
      <c r="Q588" s="38">
        <f>M588+X588-AG588-BB588</f>
        <v>0</v>
      </c>
      <c r="R588" s="12"/>
      <c r="S588" s="42"/>
      <c r="T588" s="15"/>
      <c r="U588" s="44"/>
      <c r="V588" s="15"/>
      <c r="W588" s="44"/>
      <c r="X588" s="15">
        <f>R588+T588+V588</f>
        <v>0</v>
      </c>
      <c r="Y588" s="15"/>
      <c r="Z588" s="44"/>
      <c r="AA588" s="15"/>
      <c r="AB588" s="44"/>
      <c r="AC588" s="15"/>
      <c r="AD588" s="44"/>
      <c r="AE588" s="15"/>
      <c r="AF588" s="44"/>
      <c r="AG588" s="15">
        <f>(Y588+AA588+AC588+AE588)</f>
        <v>0</v>
      </c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/>
      <c r="BA588" s="42"/>
      <c r="BB588" s="15">
        <f>AH588+AJ588+AL588+AN588+AP588+AR588+AT588+AV588+AX588+AZ588</f>
        <v>0</v>
      </c>
      <c r="BC588" s="15"/>
      <c r="BD588" s="44"/>
      <c r="BE588" s="15"/>
      <c r="BF588" s="44"/>
      <c r="BG588" s="15">
        <f>(BC588+BE588)</f>
        <v>0</v>
      </c>
    </row>
    <row r="589" spans="1:59" s="8" customFormat="1" ht="21.95" hidden="1" customHeight="1">
      <c r="A589" s="9"/>
      <c r="B589" s="18" t="s">
        <v>172</v>
      </c>
      <c r="C589" s="114" t="s">
        <v>52</v>
      </c>
      <c r="D589" s="143" t="s">
        <v>495</v>
      </c>
      <c r="E589" s="144" t="s">
        <v>496</v>
      </c>
      <c r="F589" s="133" t="s">
        <v>2195</v>
      </c>
      <c r="G589" s="133" t="s">
        <v>2196</v>
      </c>
      <c r="H589" s="96"/>
      <c r="I589" s="21"/>
      <c r="J589" s="21" t="s">
        <v>67</v>
      </c>
      <c r="K589" s="14"/>
      <c r="L589" s="14"/>
      <c r="M589" s="12"/>
      <c r="N589" s="9"/>
      <c r="O589" s="9"/>
      <c r="P589" s="9"/>
      <c r="Q589" s="38">
        <f>M589+X589-AG589-BB589</f>
        <v>0</v>
      </c>
      <c r="R589" s="12"/>
      <c r="S589" s="42"/>
      <c r="T589" s="15"/>
      <c r="U589" s="44"/>
      <c r="V589" s="15"/>
      <c r="W589" s="44"/>
      <c r="X589" s="15">
        <f>R589+T589+V589</f>
        <v>0</v>
      </c>
      <c r="Y589" s="15"/>
      <c r="Z589" s="44"/>
      <c r="AA589" s="15"/>
      <c r="AB589" s="44"/>
      <c r="AC589" s="15"/>
      <c r="AD589" s="44"/>
      <c r="AE589" s="15"/>
      <c r="AF589" s="44"/>
      <c r="AG589" s="15">
        <f>(Y589+AA589+AC589+AE589)</f>
        <v>0</v>
      </c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/>
      <c r="BA589" s="42"/>
      <c r="BB589" s="15">
        <f>AH589+AJ589+AL589+AN589+AP589+AR589+AT589+AV589+AX589+AZ589</f>
        <v>0</v>
      </c>
      <c r="BC589" s="15"/>
      <c r="BD589" s="44"/>
      <c r="BE589" s="15"/>
      <c r="BF589" s="44"/>
      <c r="BG589" s="15">
        <f>(BC589+BE589)</f>
        <v>0</v>
      </c>
    </row>
    <row r="590" spans="1:59" s="8" customFormat="1" ht="21.95" hidden="1" customHeight="1">
      <c r="A590" s="9"/>
      <c r="B590" s="16" t="s">
        <v>172</v>
      </c>
      <c r="C590" s="114" t="s">
        <v>494</v>
      </c>
      <c r="D590" s="143" t="s">
        <v>500</v>
      </c>
      <c r="E590" s="144" t="s">
        <v>501</v>
      </c>
      <c r="F590" s="111" t="s">
        <v>2309</v>
      </c>
      <c r="G590" s="111" t="s">
        <v>2197</v>
      </c>
      <c r="H590" s="96"/>
      <c r="I590" s="9"/>
      <c r="J590" s="9" t="s">
        <v>67</v>
      </c>
      <c r="K590" s="14"/>
      <c r="L590" s="14"/>
      <c r="M590" s="12"/>
      <c r="N590" s="9"/>
      <c r="O590" s="9"/>
      <c r="P590" s="9"/>
      <c r="Q590" s="38">
        <f>M590+X590-AG590-BB590</f>
        <v>0</v>
      </c>
      <c r="R590" s="12"/>
      <c r="S590" s="42"/>
      <c r="T590" s="15"/>
      <c r="U590" s="44"/>
      <c r="V590" s="15"/>
      <c r="W590" s="44"/>
      <c r="X590" s="15">
        <f>R590+T590+V590</f>
        <v>0</v>
      </c>
      <c r="Y590" s="15"/>
      <c r="Z590" s="44"/>
      <c r="AA590" s="15"/>
      <c r="AB590" s="44"/>
      <c r="AC590" s="15"/>
      <c r="AD590" s="44"/>
      <c r="AE590" s="15"/>
      <c r="AF590" s="44"/>
      <c r="AG590" s="15">
        <f>(Y590+AA590+AC590+AE590)</f>
        <v>0</v>
      </c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/>
      <c r="BA590" s="42"/>
      <c r="BB590" s="15">
        <f>AH590+AJ590+AL590+AN590+AP590+AR590+AT590+AV590+AX590+AZ590</f>
        <v>0</v>
      </c>
      <c r="BC590" s="15"/>
      <c r="BD590" s="44"/>
      <c r="BE590" s="15"/>
      <c r="BF590" s="44"/>
      <c r="BG590" s="15">
        <f>(BC590+BE590)</f>
        <v>0</v>
      </c>
    </row>
    <row r="591" spans="1:59" s="8" customFormat="1" ht="22.5" hidden="1" customHeight="1">
      <c r="A591" s="9"/>
      <c r="B591" s="16" t="s">
        <v>120</v>
      </c>
      <c r="C591" s="114" t="s">
        <v>1625</v>
      </c>
      <c r="D591" s="143" t="s">
        <v>1647</v>
      </c>
      <c r="E591" s="144" t="s">
        <v>2198</v>
      </c>
      <c r="F591" s="111" t="s">
        <v>2201</v>
      </c>
      <c r="G591" s="111" t="s">
        <v>2202</v>
      </c>
      <c r="H591" s="9"/>
      <c r="I591" s="9"/>
      <c r="J591" s="9" t="s">
        <v>67</v>
      </c>
      <c r="K591" s="38">
        <v>0</v>
      </c>
      <c r="L591" s="15">
        <v>0</v>
      </c>
      <c r="M591" s="15">
        <v>140</v>
      </c>
      <c r="N591" s="9"/>
      <c r="O591" s="9"/>
      <c r="P591" s="9"/>
      <c r="Q591" s="38"/>
      <c r="R591" s="12"/>
      <c r="S591" s="42"/>
      <c r="T591" s="15"/>
      <c r="U591" s="44"/>
      <c r="V591" s="15"/>
      <c r="W591" s="44"/>
      <c r="X591" s="15"/>
      <c r="Y591" s="15"/>
      <c r="Z591" s="44"/>
      <c r="AA591" s="15"/>
      <c r="AB591" s="44"/>
      <c r="AC591" s="15"/>
      <c r="AD591" s="44"/>
      <c r="AE591" s="15"/>
      <c r="AF591" s="44"/>
      <c r="AG591" s="15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/>
      <c r="BA591" s="42"/>
      <c r="BB591" s="15"/>
      <c r="BC591" s="15"/>
      <c r="BD591" s="44"/>
      <c r="BE591" s="15"/>
      <c r="BF591" s="44"/>
      <c r="BG591" s="15"/>
    </row>
    <row r="592" spans="1:59" s="8" customFormat="1" ht="22.5" hidden="1" customHeight="1">
      <c r="A592" s="9"/>
      <c r="B592" s="16" t="s">
        <v>120</v>
      </c>
      <c r="C592" s="114" t="s">
        <v>52</v>
      </c>
      <c r="D592" s="143" t="s">
        <v>1664</v>
      </c>
      <c r="E592" s="144"/>
      <c r="F592" s="111" t="s">
        <v>2203</v>
      </c>
      <c r="G592" s="111" t="s">
        <v>2204</v>
      </c>
      <c r="H592" s="9"/>
      <c r="I592" s="9"/>
      <c r="J592" s="9" t="s">
        <v>67</v>
      </c>
      <c r="K592" s="38">
        <v>0</v>
      </c>
      <c r="L592" s="15">
        <v>0</v>
      </c>
      <c r="M592" s="15">
        <v>227</v>
      </c>
      <c r="N592" s="15"/>
      <c r="O592" s="42"/>
      <c r="P592" s="15"/>
      <c r="Q592" s="38">
        <f>M592+X592-AG592-BB592</f>
        <v>227</v>
      </c>
      <c r="R592" s="15">
        <v>0</v>
      </c>
      <c r="S592" s="15">
        <v>0</v>
      </c>
      <c r="T592" s="15"/>
      <c r="U592" s="42"/>
      <c r="V592" s="15"/>
      <c r="W592" s="42"/>
      <c r="X592" s="15">
        <f>R592+T592+V592</f>
        <v>0</v>
      </c>
      <c r="Y592" s="42"/>
      <c r="Z592" s="15"/>
      <c r="AA592" s="42"/>
      <c r="AB592" s="15"/>
      <c r="AC592" s="42"/>
      <c r="AD592" s="15"/>
      <c r="AE592" s="42"/>
      <c r="AF592" s="15"/>
      <c r="AG592" s="15">
        <f>(Y592+AA592+AC592+AE592)</f>
        <v>0</v>
      </c>
      <c r="AH592" s="15"/>
      <c r="AI592" s="15"/>
      <c r="AJ592" s="139"/>
      <c r="AK592" s="139"/>
      <c r="AL592" s="139"/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  <c r="BA592" s="139"/>
      <c r="BB592" s="139"/>
      <c r="BC592" s="139"/>
      <c r="BD592" s="139"/>
      <c r="BE592" s="139"/>
      <c r="BF592" s="139"/>
      <c r="BG592" s="139"/>
    </row>
    <row r="593" spans="1:59" s="8" customFormat="1" ht="22.5" hidden="1" customHeight="1">
      <c r="A593" s="9"/>
      <c r="B593" s="16" t="s">
        <v>204</v>
      </c>
      <c r="C593" s="114" t="s">
        <v>52</v>
      </c>
      <c r="D593" s="143" t="s">
        <v>1677</v>
      </c>
      <c r="E593" s="144"/>
      <c r="F593" s="133" t="s">
        <v>2205</v>
      </c>
      <c r="G593" s="133" t="s">
        <v>2206</v>
      </c>
      <c r="H593" s="96"/>
      <c r="I593" s="9"/>
      <c r="J593" s="9" t="s">
        <v>207</v>
      </c>
      <c r="K593" s="14"/>
      <c r="L593" s="14"/>
      <c r="M593" s="12">
        <v>34</v>
      </c>
      <c r="N593" s="9"/>
      <c r="O593" s="9"/>
      <c r="P593" s="9"/>
      <c r="Q593" s="38">
        <f>M593+X593-AG593-BB593</f>
        <v>34</v>
      </c>
      <c r="R593" s="12"/>
      <c r="S593" s="42"/>
      <c r="T593" s="15"/>
      <c r="U593" s="44"/>
      <c r="V593" s="15"/>
      <c r="W593" s="44"/>
      <c r="X593" s="15">
        <f>R593+T593+V593</f>
        <v>0</v>
      </c>
      <c r="Y593" s="15"/>
      <c r="Z593" s="44"/>
      <c r="AA593" s="15"/>
      <c r="AB593" s="44"/>
      <c r="AC593" s="15"/>
      <c r="AD593" s="44"/>
      <c r="AE593" s="15"/>
      <c r="AF593" s="44"/>
      <c r="AG593" s="15">
        <f>(Y593+AA593+AC593+AE593)</f>
        <v>0</v>
      </c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/>
      <c r="BA593" s="42"/>
      <c r="BB593" s="15"/>
      <c r="BC593" s="15"/>
      <c r="BD593" s="44"/>
      <c r="BE593" s="15"/>
      <c r="BF593" s="44"/>
      <c r="BG593" s="15"/>
    </row>
    <row r="594" spans="1:59" s="8" customFormat="1" ht="21.95" hidden="1" customHeight="1">
      <c r="A594" s="9"/>
      <c r="B594" s="16" t="s">
        <v>204</v>
      </c>
      <c r="C594" s="114" t="s">
        <v>52</v>
      </c>
      <c r="D594" s="143" t="s">
        <v>533</v>
      </c>
      <c r="E594" s="144" t="s">
        <v>534</v>
      </c>
      <c r="F594" s="111" t="s">
        <v>2207</v>
      </c>
      <c r="G594" s="111" t="s">
        <v>2208</v>
      </c>
      <c r="H594" s="96"/>
      <c r="I594" s="9"/>
      <c r="J594" s="9" t="s">
        <v>207</v>
      </c>
      <c r="K594" s="14"/>
      <c r="L594" s="14"/>
      <c r="M594" s="12"/>
      <c r="N594" s="9"/>
      <c r="O594" s="9"/>
      <c r="P594" s="9"/>
      <c r="Q594" s="38">
        <f>M594+X594-AG594-BB594</f>
        <v>0</v>
      </c>
      <c r="R594" s="12"/>
      <c r="S594" s="42"/>
      <c r="T594" s="15"/>
      <c r="U594" s="44"/>
      <c r="V594" s="15"/>
      <c r="W594" s="44"/>
      <c r="X594" s="15">
        <f>R594+T594+V594</f>
        <v>0</v>
      </c>
      <c r="Y594" s="15"/>
      <c r="Z594" s="44"/>
      <c r="AA594" s="15"/>
      <c r="AB594" s="44"/>
      <c r="AC594" s="15"/>
      <c r="AD594" s="44"/>
      <c r="AE594" s="15"/>
      <c r="AF594" s="44"/>
      <c r="AG594" s="15">
        <f>(Y594+AA594+AC594+AE594)</f>
        <v>0</v>
      </c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/>
      <c r="BA594" s="42"/>
      <c r="BB594" s="15">
        <f>AH594+AJ594+AL594+AN594+AP594+AR594+AT594+AV594+AX594+AZ594</f>
        <v>0</v>
      </c>
      <c r="BC594" s="15"/>
      <c r="BD594" s="44"/>
      <c r="BE594" s="15"/>
      <c r="BF594" s="44"/>
      <c r="BG594" s="15">
        <f>(BC594+BE594)</f>
        <v>0</v>
      </c>
    </row>
    <row r="595" spans="1:59" s="8" customFormat="1" ht="21.95" hidden="1" customHeight="1">
      <c r="A595" s="9"/>
      <c r="B595" s="16" t="s">
        <v>343</v>
      </c>
      <c r="C595" s="114" t="s">
        <v>52</v>
      </c>
      <c r="D595" s="143" t="s">
        <v>343</v>
      </c>
      <c r="E595" s="144"/>
      <c r="F595" s="111" t="s">
        <v>2209</v>
      </c>
      <c r="G595" s="111" t="s">
        <v>2210</v>
      </c>
      <c r="H595" s="96"/>
      <c r="I595" s="9"/>
      <c r="J595" s="9" t="s">
        <v>345</v>
      </c>
      <c r="K595" s="14"/>
      <c r="L595" s="14"/>
      <c r="M595" s="12"/>
      <c r="N595" s="9"/>
      <c r="O595" s="9"/>
      <c r="P595" s="9"/>
      <c r="Q595" s="38">
        <f>M595+X595-AG595-BB595</f>
        <v>0</v>
      </c>
      <c r="R595" s="12"/>
      <c r="S595" s="42"/>
      <c r="T595" s="15"/>
      <c r="U595" s="44"/>
      <c r="V595" s="15"/>
      <c r="W595" s="44"/>
      <c r="X595" s="15">
        <f>R595+T595+V595</f>
        <v>0</v>
      </c>
      <c r="Y595" s="15"/>
      <c r="Z595" s="44"/>
      <c r="AA595" s="15"/>
      <c r="AB595" s="44"/>
      <c r="AC595" s="15"/>
      <c r="AD595" s="44"/>
      <c r="AE595" s="15"/>
      <c r="AF595" s="44"/>
      <c r="AG595" s="15">
        <f>(Y595+AA595+AC595+AE595)</f>
        <v>0</v>
      </c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/>
      <c r="BA595" s="42"/>
      <c r="BB595" s="15">
        <f>AH595+AJ595+AL595+AN595+AP595+AR595+AT595+AV595+AX595+AZ595</f>
        <v>0</v>
      </c>
      <c r="BC595" s="15"/>
      <c r="BD595" s="44"/>
      <c r="BE595" s="15"/>
      <c r="BF595" s="44"/>
      <c r="BG595" s="15">
        <f>(BC595+BE595)</f>
        <v>0</v>
      </c>
    </row>
    <row r="596" spans="1:59" s="8" customFormat="1" ht="21.95" hidden="1" customHeight="1">
      <c r="A596" s="9"/>
      <c r="B596" s="16" t="s">
        <v>632</v>
      </c>
      <c r="C596" s="89" t="s">
        <v>151</v>
      </c>
      <c r="D596" s="143" t="s">
        <v>1805</v>
      </c>
      <c r="E596" s="144"/>
      <c r="F596" s="111" t="s">
        <v>2212</v>
      </c>
      <c r="G596" s="111" t="s">
        <v>2213</v>
      </c>
      <c r="H596" s="95"/>
      <c r="I596" s="9"/>
      <c r="J596" s="9"/>
      <c r="K596" s="14"/>
      <c r="L596" s="14"/>
      <c r="M596" s="12">
        <v>38</v>
      </c>
      <c r="N596" s="9"/>
      <c r="O596" s="9"/>
      <c r="P596" s="9"/>
      <c r="Q596" s="38">
        <f>M596+X596-AG596-BB596</f>
        <v>38</v>
      </c>
      <c r="R596" s="12"/>
      <c r="S596" s="42"/>
      <c r="T596" s="15"/>
      <c r="U596" s="44"/>
      <c r="V596" s="15"/>
      <c r="W596" s="44"/>
      <c r="X596" s="15">
        <f>R596+T596+V596</f>
        <v>0</v>
      </c>
      <c r="Y596" s="15"/>
      <c r="Z596" s="44"/>
      <c r="AA596" s="15"/>
      <c r="AB596" s="44"/>
      <c r="AC596" s="15"/>
      <c r="AD596" s="44"/>
      <c r="AE596" s="15"/>
      <c r="AF596" s="44"/>
      <c r="AG596" s="15">
        <f>(Y596+AA596+AC596+AE596)</f>
        <v>0</v>
      </c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/>
      <c r="BA596" s="42"/>
      <c r="BB596" s="15">
        <f>AH596+AJ596+AL596+AN596+AP596+AR596+AT596+AV596+AX596+AZ596</f>
        <v>0</v>
      </c>
      <c r="BC596" s="15"/>
      <c r="BD596" s="44"/>
      <c r="BE596" s="15"/>
      <c r="BF596" s="44"/>
      <c r="BG596" s="15">
        <f>(BC596+BE596)</f>
        <v>0</v>
      </c>
    </row>
    <row r="597" spans="1:59" s="8" customFormat="1" ht="21.95" hidden="1" customHeight="1">
      <c r="A597" s="9"/>
      <c r="B597" s="16" t="s">
        <v>632</v>
      </c>
      <c r="C597" s="114" t="s">
        <v>132</v>
      </c>
      <c r="D597" s="143" t="s">
        <v>634</v>
      </c>
      <c r="E597" s="144"/>
      <c r="F597" s="111" t="s">
        <v>2215</v>
      </c>
      <c r="G597" s="111" t="s">
        <v>2216</v>
      </c>
      <c r="H597" s="95"/>
      <c r="I597" s="9"/>
      <c r="J597" s="9" t="s">
        <v>247</v>
      </c>
      <c r="K597" s="14"/>
      <c r="L597" s="14"/>
      <c r="M597" s="12"/>
      <c r="N597" s="9"/>
      <c r="O597" s="9"/>
      <c r="P597" s="9"/>
      <c r="Q597" s="38">
        <f>M597+X597-AG597-BB597</f>
        <v>0</v>
      </c>
      <c r="R597" s="12"/>
      <c r="S597" s="42"/>
      <c r="T597" s="15"/>
      <c r="U597" s="44"/>
      <c r="V597" s="15"/>
      <c r="W597" s="44"/>
      <c r="X597" s="15">
        <f>R597+T597+V597</f>
        <v>0</v>
      </c>
      <c r="Y597" s="15"/>
      <c r="Z597" s="44"/>
      <c r="AA597" s="15"/>
      <c r="AB597" s="44"/>
      <c r="AC597" s="15"/>
      <c r="AD597" s="44"/>
      <c r="AE597" s="15"/>
      <c r="AF597" s="44"/>
      <c r="AG597" s="15">
        <f>(Y597+AA597+AC597+AE597)</f>
        <v>0</v>
      </c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/>
      <c r="BA597" s="42"/>
      <c r="BB597" s="15">
        <f>AH597+AJ597+AL597+AN597+AP597+AR597+AT597+AV597+AX597+AZ597</f>
        <v>0</v>
      </c>
      <c r="BC597" s="15"/>
      <c r="BD597" s="44"/>
      <c r="BE597" s="15"/>
      <c r="BF597" s="44"/>
      <c r="BG597" s="15">
        <f>(BC597+BE597)</f>
        <v>0</v>
      </c>
    </row>
    <row r="598" spans="1:59" s="8" customFormat="1" ht="21.95" hidden="1" customHeight="1">
      <c r="A598" s="9"/>
      <c r="B598" s="16" t="s">
        <v>632</v>
      </c>
      <c r="C598" s="114" t="s">
        <v>132</v>
      </c>
      <c r="D598" s="143" t="s">
        <v>636</v>
      </c>
      <c r="E598" s="144"/>
      <c r="F598" s="111" t="s">
        <v>2218</v>
      </c>
      <c r="G598" s="111" t="s">
        <v>2222</v>
      </c>
      <c r="H598" s="95"/>
      <c r="I598" s="9"/>
      <c r="J598" s="9" t="s">
        <v>247</v>
      </c>
      <c r="K598" s="14"/>
      <c r="L598" s="14"/>
      <c r="M598" s="12"/>
      <c r="N598" s="9"/>
      <c r="O598" s="9"/>
      <c r="P598" s="9"/>
      <c r="Q598" s="38">
        <f>M598+X598-AG598-BB598</f>
        <v>0</v>
      </c>
      <c r="R598" s="12"/>
      <c r="S598" s="42"/>
      <c r="T598" s="15"/>
      <c r="U598" s="44"/>
      <c r="V598" s="15"/>
      <c r="W598" s="44"/>
      <c r="X598" s="15">
        <f>R598+T598+V598</f>
        <v>0</v>
      </c>
      <c r="Y598" s="15"/>
      <c r="Z598" s="44"/>
      <c r="AA598" s="15"/>
      <c r="AB598" s="44"/>
      <c r="AC598" s="15"/>
      <c r="AD598" s="44"/>
      <c r="AE598" s="15"/>
      <c r="AF598" s="44"/>
      <c r="AG598" s="15">
        <f>(Y598+AA598+AC598+AE598)</f>
        <v>0</v>
      </c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/>
      <c r="BA598" s="42"/>
      <c r="BB598" s="15">
        <f>AH598+AJ598+AL598+AN598+AP598+AR598+AT598+AV598+AX598+AZ598</f>
        <v>0</v>
      </c>
      <c r="BC598" s="15"/>
      <c r="BD598" s="44"/>
      <c r="BE598" s="15"/>
      <c r="BF598" s="44"/>
      <c r="BG598" s="15">
        <f>(BC598+BE598)</f>
        <v>0</v>
      </c>
    </row>
    <row r="599" spans="1:59" s="8" customFormat="1" ht="22.5" hidden="1" customHeight="1">
      <c r="A599" s="9"/>
      <c r="B599" s="16" t="s">
        <v>632</v>
      </c>
      <c r="C599" s="114" t="s">
        <v>48</v>
      </c>
      <c r="D599" s="143" t="s">
        <v>636</v>
      </c>
      <c r="E599" s="144"/>
      <c r="F599" s="111" t="s">
        <v>2221</v>
      </c>
      <c r="G599" s="111" t="s">
        <v>2223</v>
      </c>
      <c r="H599" s="95"/>
      <c r="I599" s="9"/>
      <c r="J599" s="9" t="s">
        <v>247</v>
      </c>
      <c r="K599" s="14"/>
      <c r="L599" s="14"/>
      <c r="M599" s="12"/>
      <c r="N599" s="9"/>
      <c r="O599" s="9"/>
      <c r="P599" s="9"/>
      <c r="Q599" s="38">
        <f>M599+X599-AG599-BB599</f>
        <v>0</v>
      </c>
      <c r="R599" s="12"/>
      <c r="S599" s="42"/>
      <c r="T599" s="15"/>
      <c r="U599" s="44"/>
      <c r="V599" s="15"/>
      <c r="W599" s="44"/>
      <c r="X599" s="15">
        <f>R599+T599+V599</f>
        <v>0</v>
      </c>
      <c r="Y599" s="15"/>
      <c r="Z599" s="44"/>
      <c r="AA599" s="15"/>
      <c r="AB599" s="44"/>
      <c r="AC599" s="15"/>
      <c r="AD599" s="44"/>
      <c r="AE599" s="15"/>
      <c r="AF599" s="44"/>
      <c r="AG599" s="15">
        <f>(Y599+AA599+AC599+AE599)</f>
        <v>0</v>
      </c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/>
      <c r="BA599" s="42"/>
      <c r="BB599" s="15">
        <f>AH599+AJ599+AL599+AN599+AP599+AR599+AT599+AV599+AX599+AZ599</f>
        <v>0</v>
      </c>
      <c r="BC599" s="15"/>
      <c r="BD599" s="44"/>
      <c r="BE599" s="15"/>
      <c r="BF599" s="44"/>
      <c r="BG599" s="15">
        <f>(BC599+BE599)</f>
        <v>0</v>
      </c>
    </row>
    <row r="600" spans="1:59" s="8" customFormat="1" ht="22.5" hidden="1" customHeight="1">
      <c r="A600" s="9"/>
      <c r="B600" s="16" t="s">
        <v>674</v>
      </c>
      <c r="C600" s="114" t="s">
        <v>52</v>
      </c>
      <c r="D600" s="143" t="s">
        <v>675</v>
      </c>
      <c r="E600" s="144"/>
      <c r="F600" s="111" t="s">
        <v>2310</v>
      </c>
      <c r="G600" s="111" t="s">
        <v>2233</v>
      </c>
      <c r="H600" s="95"/>
      <c r="I600" s="9"/>
      <c r="J600" s="9" t="s">
        <v>687</v>
      </c>
      <c r="K600" s="14"/>
      <c r="L600" s="14"/>
      <c r="M600" s="12"/>
      <c r="N600" s="9"/>
      <c r="O600" s="9"/>
      <c r="P600" s="9"/>
      <c r="Q600" s="38">
        <f>M600+X600-AG600-BB600</f>
        <v>0</v>
      </c>
      <c r="R600" s="12"/>
      <c r="S600" s="42"/>
      <c r="T600" s="15"/>
      <c r="U600" s="44"/>
      <c r="V600" s="15"/>
      <c r="W600" s="44"/>
      <c r="X600" s="15">
        <f>R600+T600+V600</f>
        <v>0</v>
      </c>
      <c r="Y600" s="15"/>
      <c r="Z600" s="44"/>
      <c r="AA600" s="15"/>
      <c r="AB600" s="44"/>
      <c r="AC600" s="15"/>
      <c r="AD600" s="44"/>
      <c r="AE600" s="15"/>
      <c r="AF600" s="44"/>
      <c r="AG600" s="15">
        <f>(Y600+AA600+AC600+AE600)</f>
        <v>0</v>
      </c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/>
      <c r="BA600" s="42"/>
      <c r="BB600" s="15">
        <f>AH600+AJ600+AL600+AN600+AP600+AR600+AT600+AV600+AX600+AZ600</f>
        <v>0</v>
      </c>
      <c r="BC600" s="15"/>
      <c r="BD600" s="44"/>
      <c r="BE600" s="15"/>
      <c r="BF600" s="44"/>
      <c r="BG600" s="15">
        <f>(BC600+BE600)</f>
        <v>0</v>
      </c>
    </row>
    <row r="601" spans="1:59" s="8" customFormat="1" ht="22.5" hidden="1" customHeight="1">
      <c r="A601" s="9"/>
      <c r="B601" s="16" t="s">
        <v>674</v>
      </c>
      <c r="C601" s="114" t="s">
        <v>494</v>
      </c>
      <c r="D601" s="143" t="s">
        <v>688</v>
      </c>
      <c r="E601" s="144"/>
      <c r="F601" s="111" t="s">
        <v>2311</v>
      </c>
      <c r="G601" s="111" t="s">
        <v>2234</v>
      </c>
      <c r="H601" s="95"/>
      <c r="I601" s="9"/>
      <c r="J601" s="9" t="s">
        <v>687</v>
      </c>
      <c r="K601" s="14"/>
      <c r="L601" s="14"/>
      <c r="M601" s="12"/>
      <c r="N601" s="9"/>
      <c r="O601" s="9"/>
      <c r="P601" s="9"/>
      <c r="Q601" s="38">
        <f>M601+X601-AG601-BB601</f>
        <v>0</v>
      </c>
      <c r="R601" s="12"/>
      <c r="S601" s="42"/>
      <c r="T601" s="15"/>
      <c r="U601" s="44"/>
      <c r="V601" s="15"/>
      <c r="W601" s="44"/>
      <c r="X601" s="15">
        <f>R601+T601+V601</f>
        <v>0</v>
      </c>
      <c r="Y601" s="15"/>
      <c r="Z601" s="44"/>
      <c r="AA601" s="15"/>
      <c r="AB601" s="44"/>
      <c r="AC601" s="15"/>
      <c r="AD601" s="44"/>
      <c r="AE601" s="15"/>
      <c r="AF601" s="44"/>
      <c r="AG601" s="15">
        <f>(Y601+AA601+AC601+AE601)</f>
        <v>0</v>
      </c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/>
      <c r="BA601" s="42"/>
      <c r="BB601" s="15">
        <f>AH601+AJ601+AL601+AN601+AP601+AR601+AT601+AV601+AX601+AZ601</f>
        <v>0</v>
      </c>
      <c r="BC601" s="15"/>
      <c r="BD601" s="44"/>
      <c r="BE601" s="15"/>
      <c r="BF601" s="44"/>
      <c r="BG601" s="15">
        <f>(BC601+BE601)</f>
        <v>0</v>
      </c>
    </row>
    <row r="602" spans="1:59" s="8" customFormat="1" ht="22.5" hidden="1" customHeight="1">
      <c r="A602" s="9"/>
      <c r="B602" s="16" t="s">
        <v>674</v>
      </c>
      <c r="C602" s="114" t="s">
        <v>151</v>
      </c>
      <c r="D602" s="143" t="s">
        <v>701</v>
      </c>
      <c r="E602" s="144"/>
      <c r="F602" s="111" t="s">
        <v>2312</v>
      </c>
      <c r="G602" s="111" t="s">
        <v>2235</v>
      </c>
      <c r="H602" s="95"/>
      <c r="I602" s="9"/>
      <c r="J602" s="9" t="s">
        <v>692</v>
      </c>
      <c r="K602" s="14"/>
      <c r="L602" s="14"/>
      <c r="M602" s="12"/>
      <c r="N602" s="9"/>
      <c r="O602" s="9"/>
      <c r="P602" s="9"/>
      <c r="Q602" s="38">
        <f>M602+X602-AG602-BB602</f>
        <v>0</v>
      </c>
      <c r="R602" s="12"/>
      <c r="S602" s="42"/>
      <c r="T602" s="15"/>
      <c r="U602" s="44"/>
      <c r="V602" s="15"/>
      <c r="W602" s="44"/>
      <c r="X602" s="15">
        <f>R602+T602+V602</f>
        <v>0</v>
      </c>
      <c r="Y602" s="15"/>
      <c r="Z602" s="44"/>
      <c r="AA602" s="15"/>
      <c r="AB602" s="44"/>
      <c r="AC602" s="15"/>
      <c r="AD602" s="44"/>
      <c r="AE602" s="15"/>
      <c r="AF602" s="44"/>
      <c r="AG602" s="15">
        <f>(Y602+AA602+AC602+AE602)</f>
        <v>0</v>
      </c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/>
      <c r="BA602" s="42"/>
      <c r="BB602" s="15">
        <f>AH602+AJ602+AL602+AN602+AP602+AR602+AT602+AV602+AX602+AZ602</f>
        <v>0</v>
      </c>
      <c r="BC602" s="15"/>
      <c r="BD602" s="44"/>
      <c r="BE602" s="15"/>
      <c r="BF602" s="44"/>
      <c r="BG602" s="15">
        <f>(BC602+BE602)</f>
        <v>0</v>
      </c>
    </row>
    <row r="603" spans="1:59" s="8" customFormat="1" ht="22.5" hidden="1" customHeight="1">
      <c r="A603" s="9"/>
      <c r="B603" s="16" t="s">
        <v>715</v>
      </c>
      <c r="C603" s="114" t="s">
        <v>132</v>
      </c>
      <c r="D603" s="143" t="s">
        <v>716</v>
      </c>
      <c r="E603" s="144" t="s">
        <v>717</v>
      </c>
      <c r="F603" s="111" t="s">
        <v>2236</v>
      </c>
      <c r="G603" s="111" t="s">
        <v>2237</v>
      </c>
      <c r="H603" s="95"/>
      <c r="I603" s="9"/>
      <c r="J603" s="9" t="s">
        <v>718</v>
      </c>
      <c r="K603" s="14"/>
      <c r="L603" s="14"/>
      <c r="M603" s="12"/>
      <c r="N603" s="9"/>
      <c r="O603" s="9"/>
      <c r="P603" s="9"/>
      <c r="Q603" s="38">
        <f>M603+X603-AG603-BB603</f>
        <v>0</v>
      </c>
      <c r="R603" s="12"/>
      <c r="S603" s="42"/>
      <c r="T603" s="15"/>
      <c r="U603" s="44"/>
      <c r="V603" s="15"/>
      <c r="W603" s="44"/>
      <c r="X603" s="15">
        <f>R603+T603+V603</f>
        <v>0</v>
      </c>
      <c r="Y603" s="15"/>
      <c r="Z603" s="44"/>
      <c r="AA603" s="15"/>
      <c r="AB603" s="44"/>
      <c r="AC603" s="15"/>
      <c r="AD603" s="44"/>
      <c r="AE603" s="15"/>
      <c r="AF603" s="44"/>
      <c r="AG603" s="15">
        <f>(Y603+AA603+AC603+AE603)</f>
        <v>0</v>
      </c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/>
      <c r="BA603" s="42"/>
      <c r="BB603" s="15">
        <f>AH603+AJ603+AL603+AN603+AP603+AR603+AT603+AV603+AX603+AZ603</f>
        <v>0</v>
      </c>
      <c r="BC603" s="15"/>
      <c r="BD603" s="44"/>
      <c r="BE603" s="15"/>
      <c r="BF603" s="44"/>
      <c r="BG603" s="15">
        <f>(BC603+BE603)</f>
        <v>0</v>
      </c>
    </row>
    <row r="604" spans="1:59" s="8" customFormat="1" ht="22.5" hidden="1" customHeight="1">
      <c r="A604" s="9"/>
      <c r="B604" s="16" t="s">
        <v>715</v>
      </c>
      <c r="C604" s="114" t="s">
        <v>132</v>
      </c>
      <c r="D604" s="143" t="s">
        <v>719</v>
      </c>
      <c r="E604" s="144" t="s">
        <v>720</v>
      </c>
      <c r="F604" s="111" t="s">
        <v>2238</v>
      </c>
      <c r="G604" s="111" t="s">
        <v>2239</v>
      </c>
      <c r="H604" s="95"/>
      <c r="I604" s="9"/>
      <c r="J604" s="9" t="s">
        <v>718</v>
      </c>
      <c r="K604" s="14"/>
      <c r="L604" s="14"/>
      <c r="M604" s="12"/>
      <c r="N604" s="9"/>
      <c r="O604" s="9"/>
      <c r="P604" s="9"/>
      <c r="Q604" s="38">
        <f>M604+X604-AG604-BB604</f>
        <v>0</v>
      </c>
      <c r="R604" s="12"/>
      <c r="S604" s="42"/>
      <c r="T604" s="15"/>
      <c r="U604" s="44"/>
      <c r="V604" s="15"/>
      <c r="W604" s="44"/>
      <c r="X604" s="15">
        <f>R604+T604+V604</f>
        <v>0</v>
      </c>
      <c r="Y604" s="15"/>
      <c r="Z604" s="44"/>
      <c r="AA604" s="15"/>
      <c r="AB604" s="44"/>
      <c r="AC604" s="15"/>
      <c r="AD604" s="44"/>
      <c r="AE604" s="15"/>
      <c r="AF604" s="44"/>
      <c r="AG604" s="15">
        <f>(Y604+AA604+AC604+AE604)</f>
        <v>0</v>
      </c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/>
      <c r="BA604" s="42"/>
      <c r="BB604" s="15">
        <f>AH604+AJ604+AL604+AN604+AP604+AR604+AT604+AV604+AX604+AZ604</f>
        <v>0</v>
      </c>
      <c r="BC604" s="15"/>
      <c r="BD604" s="44"/>
      <c r="BE604" s="15"/>
      <c r="BF604" s="44"/>
      <c r="BG604" s="15">
        <f>(BC604+BE604)</f>
        <v>0</v>
      </c>
    </row>
    <row r="605" spans="1:59" s="8" customFormat="1" ht="22.5" hidden="1" customHeight="1">
      <c r="A605" s="9"/>
      <c r="B605" s="16" t="s">
        <v>715</v>
      </c>
      <c r="C605" s="114" t="s">
        <v>48</v>
      </c>
      <c r="D605" s="143" t="s">
        <v>716</v>
      </c>
      <c r="E605" s="144" t="s">
        <v>721</v>
      </c>
      <c r="F605" s="111" t="s">
        <v>2240</v>
      </c>
      <c r="G605" s="111" t="s">
        <v>2241</v>
      </c>
      <c r="H605" s="95"/>
      <c r="I605" s="9"/>
      <c r="J605" s="9" t="s">
        <v>722</v>
      </c>
      <c r="K605" s="14"/>
      <c r="L605" s="14"/>
      <c r="M605" s="12"/>
      <c r="N605" s="9"/>
      <c r="O605" s="9"/>
      <c r="P605" s="9"/>
      <c r="Q605" s="38">
        <f>M605+X605-AG605-BB605</f>
        <v>0</v>
      </c>
      <c r="R605" s="12"/>
      <c r="S605" s="42"/>
      <c r="T605" s="15"/>
      <c r="U605" s="44"/>
      <c r="V605" s="15"/>
      <c r="W605" s="44"/>
      <c r="X605" s="15">
        <f>R605+T605+V605</f>
        <v>0</v>
      </c>
      <c r="Y605" s="15"/>
      <c r="Z605" s="44"/>
      <c r="AA605" s="15"/>
      <c r="AB605" s="44"/>
      <c r="AC605" s="15"/>
      <c r="AD605" s="44"/>
      <c r="AE605" s="15"/>
      <c r="AF605" s="44"/>
      <c r="AG605" s="15">
        <f>(Y605+AA605+AC605+AE605)</f>
        <v>0</v>
      </c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/>
      <c r="BA605" s="42"/>
      <c r="BB605" s="15">
        <f>AH605+AJ605+AL605+AN605+AP605+AR605+AT605+AV605+AX605+AZ605</f>
        <v>0</v>
      </c>
      <c r="BC605" s="15"/>
      <c r="BD605" s="44"/>
      <c r="BE605" s="15"/>
      <c r="BF605" s="44"/>
      <c r="BG605" s="15">
        <f>(BC605+BE605)</f>
        <v>0</v>
      </c>
    </row>
    <row r="606" spans="1:59" s="8" customFormat="1" ht="22.5" hidden="1" customHeight="1">
      <c r="A606" s="9"/>
      <c r="B606" s="16" t="s">
        <v>715</v>
      </c>
      <c r="C606" s="114" t="s">
        <v>48</v>
      </c>
      <c r="D606" s="143" t="s">
        <v>719</v>
      </c>
      <c r="E606" s="144" t="s">
        <v>723</v>
      </c>
      <c r="F606" s="111" t="s">
        <v>2242</v>
      </c>
      <c r="G606" s="111" t="s">
        <v>2243</v>
      </c>
      <c r="H606" s="95"/>
      <c r="I606" s="9"/>
      <c r="J606" s="9" t="s">
        <v>722</v>
      </c>
      <c r="K606" s="14"/>
      <c r="L606" s="14"/>
      <c r="M606" s="12"/>
      <c r="N606" s="9"/>
      <c r="O606" s="9"/>
      <c r="P606" s="9"/>
      <c r="Q606" s="38">
        <f>M606+X606-AG606-BB606</f>
        <v>0</v>
      </c>
      <c r="R606" s="12"/>
      <c r="S606" s="42"/>
      <c r="T606" s="15"/>
      <c r="U606" s="44"/>
      <c r="V606" s="15"/>
      <c r="W606" s="44"/>
      <c r="X606" s="15">
        <f>R606+T606+V606</f>
        <v>0</v>
      </c>
      <c r="Y606" s="15"/>
      <c r="Z606" s="44"/>
      <c r="AA606" s="15"/>
      <c r="AB606" s="44"/>
      <c r="AC606" s="15"/>
      <c r="AD606" s="44"/>
      <c r="AE606" s="15"/>
      <c r="AF606" s="44"/>
      <c r="AG606" s="15">
        <f>(Y606+AA606+AC606+AE606)</f>
        <v>0</v>
      </c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/>
      <c r="BA606" s="42"/>
      <c r="BB606" s="15">
        <f>AH606+AJ606+AL606+AN606+AP606+AR606+AT606+AV606+AX606+AZ606</f>
        <v>0</v>
      </c>
      <c r="BC606" s="15"/>
      <c r="BD606" s="44"/>
      <c r="BE606" s="15"/>
      <c r="BF606" s="44"/>
      <c r="BG606" s="15">
        <f>(BC606+BE606)</f>
        <v>0</v>
      </c>
    </row>
    <row r="607" spans="1:59" s="8" customFormat="1" ht="22.5" hidden="1" customHeight="1">
      <c r="A607" s="9"/>
      <c r="B607" s="16" t="s">
        <v>715</v>
      </c>
      <c r="C607" s="114" t="s">
        <v>151</v>
      </c>
      <c r="D607" s="143" t="s">
        <v>726</v>
      </c>
      <c r="E607" s="144" t="s">
        <v>727</v>
      </c>
      <c r="F607" s="111" t="s">
        <v>2244</v>
      </c>
      <c r="G607" s="111" t="s">
        <v>2245</v>
      </c>
      <c r="H607" s="95"/>
      <c r="I607" s="9"/>
      <c r="J607" s="9" t="s">
        <v>722</v>
      </c>
      <c r="K607" s="14"/>
      <c r="L607" s="14"/>
      <c r="M607" s="12"/>
      <c r="N607" s="9"/>
      <c r="O607" s="9"/>
      <c r="P607" s="9"/>
      <c r="Q607" s="38">
        <f>M607+X607-AG607-BB607</f>
        <v>0</v>
      </c>
      <c r="R607" s="12"/>
      <c r="S607" s="42"/>
      <c r="T607" s="15"/>
      <c r="U607" s="44"/>
      <c r="V607" s="15"/>
      <c r="W607" s="44"/>
      <c r="X607" s="15">
        <f>R607+T607+V607</f>
        <v>0</v>
      </c>
      <c r="Y607" s="15"/>
      <c r="Z607" s="44"/>
      <c r="AA607" s="15"/>
      <c r="AB607" s="44"/>
      <c r="AC607" s="15"/>
      <c r="AD607" s="44"/>
      <c r="AE607" s="15"/>
      <c r="AF607" s="44"/>
      <c r="AG607" s="15">
        <f>(Y607+AA607+AC607+AE607)</f>
        <v>0</v>
      </c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/>
      <c r="BA607" s="42"/>
      <c r="BB607" s="15">
        <f>AH607+AJ607+AL607+AN607+AP607+AR607+AT607+AV607+AX607+AZ607</f>
        <v>0</v>
      </c>
      <c r="BC607" s="15"/>
      <c r="BD607" s="44"/>
      <c r="BE607" s="15"/>
      <c r="BF607" s="44"/>
      <c r="BG607" s="15">
        <f>(BC607+BE607)</f>
        <v>0</v>
      </c>
    </row>
    <row r="608" spans="1:59" s="8" customFormat="1" ht="22.5" hidden="1" customHeight="1">
      <c r="A608" s="9"/>
      <c r="B608" s="16" t="s">
        <v>742</v>
      </c>
      <c r="C608" s="114" t="s">
        <v>151</v>
      </c>
      <c r="D608" s="143" t="s">
        <v>743</v>
      </c>
      <c r="E608" s="144" t="s">
        <v>744</v>
      </c>
      <c r="F608" s="111" t="s">
        <v>2246</v>
      </c>
      <c r="G608" s="111" t="s">
        <v>2247</v>
      </c>
      <c r="H608" s="95"/>
      <c r="I608" s="9"/>
      <c r="J608" s="9" t="s">
        <v>745</v>
      </c>
      <c r="K608" s="14"/>
      <c r="L608" s="14"/>
      <c r="M608" s="12"/>
      <c r="N608" s="9"/>
      <c r="O608" s="9"/>
      <c r="P608" s="9"/>
      <c r="Q608" s="38">
        <f>M608+X608-AG608-BB608</f>
        <v>0</v>
      </c>
      <c r="R608" s="12"/>
      <c r="S608" s="42"/>
      <c r="T608" s="15"/>
      <c r="U608" s="44"/>
      <c r="V608" s="15"/>
      <c r="W608" s="44"/>
      <c r="X608" s="15">
        <f>R608+T608+V608</f>
        <v>0</v>
      </c>
      <c r="Y608" s="15"/>
      <c r="Z608" s="44"/>
      <c r="AA608" s="15"/>
      <c r="AB608" s="44"/>
      <c r="AC608" s="15"/>
      <c r="AD608" s="44"/>
      <c r="AE608" s="15"/>
      <c r="AF608" s="44"/>
      <c r="AG608" s="15">
        <f>(Y608+AA608+AC608+AE608)</f>
        <v>0</v>
      </c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/>
      <c r="BA608" s="42"/>
      <c r="BB608" s="15">
        <f>AH608+AJ608+AL608+AN608+AP608+AR608+AT608+AV608+AX608+AZ608</f>
        <v>0</v>
      </c>
      <c r="BC608" s="15"/>
      <c r="BD608" s="44"/>
      <c r="BE608" s="15"/>
      <c r="BF608" s="44"/>
      <c r="BG608" s="15">
        <f>(BC608+BE608)</f>
        <v>0</v>
      </c>
    </row>
    <row r="609" spans="1:59" s="8" customFormat="1" ht="22.5" hidden="1" customHeight="1">
      <c r="A609" s="9"/>
      <c r="B609" s="16" t="s">
        <v>742</v>
      </c>
      <c r="C609" s="114" t="s">
        <v>151</v>
      </c>
      <c r="D609" s="143" t="s">
        <v>743</v>
      </c>
      <c r="E609" s="144" t="s">
        <v>744</v>
      </c>
      <c r="F609" s="111" t="s">
        <v>2248</v>
      </c>
      <c r="G609" s="111" t="s">
        <v>2249</v>
      </c>
      <c r="H609" s="95"/>
      <c r="I609" s="9"/>
      <c r="J609" s="9" t="s">
        <v>746</v>
      </c>
      <c r="K609" s="14"/>
      <c r="L609" s="14"/>
      <c r="M609" s="12"/>
      <c r="N609" s="9"/>
      <c r="O609" s="9"/>
      <c r="P609" s="9"/>
      <c r="Q609" s="38">
        <f>M609+X609-AG609-BB609</f>
        <v>0</v>
      </c>
      <c r="R609" s="12"/>
      <c r="S609" s="42"/>
      <c r="T609" s="15"/>
      <c r="U609" s="44"/>
      <c r="V609" s="15"/>
      <c r="W609" s="44"/>
      <c r="X609" s="15">
        <f>R609+T609+V609</f>
        <v>0</v>
      </c>
      <c r="Y609" s="15"/>
      <c r="Z609" s="44"/>
      <c r="AA609" s="15"/>
      <c r="AB609" s="44"/>
      <c r="AC609" s="15"/>
      <c r="AD609" s="44"/>
      <c r="AE609" s="15"/>
      <c r="AF609" s="44"/>
      <c r="AG609" s="15">
        <f>(Y609+AA609+AC609+AE609)</f>
        <v>0</v>
      </c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/>
      <c r="BA609" s="42"/>
      <c r="BB609" s="15">
        <f>AH609+AJ609+AL609+AN609+AP609+AR609+AT609+AV609+AX609+AZ609</f>
        <v>0</v>
      </c>
      <c r="BC609" s="15"/>
      <c r="BD609" s="44"/>
      <c r="BE609" s="15"/>
      <c r="BF609" s="44"/>
      <c r="BG609" s="15">
        <f>(BC609+BE609)</f>
        <v>0</v>
      </c>
    </row>
    <row r="610" spans="1:59" s="8" customFormat="1" ht="22.5" hidden="1" customHeight="1">
      <c r="A610" s="9"/>
      <c r="B610" s="16" t="s">
        <v>742</v>
      </c>
      <c r="C610" s="114" t="s">
        <v>151</v>
      </c>
      <c r="D610" s="143" t="s">
        <v>747</v>
      </c>
      <c r="E610" s="144" t="s">
        <v>748</v>
      </c>
      <c r="F610" s="111" t="s">
        <v>2250</v>
      </c>
      <c r="G610" s="111" t="s">
        <v>2251</v>
      </c>
      <c r="H610" s="95"/>
      <c r="I610" s="9"/>
      <c r="J610" s="9" t="s">
        <v>745</v>
      </c>
      <c r="K610" s="14"/>
      <c r="L610" s="14"/>
      <c r="M610" s="12"/>
      <c r="N610" s="9"/>
      <c r="O610" s="9"/>
      <c r="P610" s="9"/>
      <c r="Q610" s="38">
        <f>M610+X610-AG610-BB610</f>
        <v>0</v>
      </c>
      <c r="R610" s="12"/>
      <c r="S610" s="42"/>
      <c r="T610" s="15"/>
      <c r="U610" s="44"/>
      <c r="V610" s="15"/>
      <c r="W610" s="44"/>
      <c r="X610" s="15">
        <f>R610+T610+V610</f>
        <v>0</v>
      </c>
      <c r="Y610" s="15"/>
      <c r="Z610" s="44"/>
      <c r="AA610" s="15"/>
      <c r="AB610" s="44"/>
      <c r="AC610" s="15"/>
      <c r="AD610" s="44"/>
      <c r="AE610" s="15"/>
      <c r="AF610" s="44"/>
      <c r="AG610" s="15">
        <f>(Y610+AA610+AC610+AE610)</f>
        <v>0</v>
      </c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/>
      <c r="BA610" s="42"/>
      <c r="BB610" s="15">
        <f>AH610+AJ610+AL610+AN610+AP610+AR610+AT610+AV610+AX610+AZ610</f>
        <v>0</v>
      </c>
      <c r="BC610" s="15"/>
      <c r="BD610" s="44"/>
      <c r="BE610" s="15"/>
      <c r="BF610" s="44"/>
      <c r="BG610" s="15">
        <f>(BC610+BE610)</f>
        <v>0</v>
      </c>
    </row>
    <row r="611" spans="1:59" s="8" customFormat="1" ht="22.5" hidden="1" customHeight="1">
      <c r="A611" s="9"/>
      <c r="B611" s="16" t="s">
        <v>742</v>
      </c>
      <c r="C611" s="114" t="s">
        <v>151</v>
      </c>
      <c r="D611" s="143" t="s">
        <v>747</v>
      </c>
      <c r="E611" s="144" t="s">
        <v>748</v>
      </c>
      <c r="F611" s="111" t="s">
        <v>2252</v>
      </c>
      <c r="G611" s="111" t="s">
        <v>2253</v>
      </c>
      <c r="H611" s="95"/>
      <c r="I611" s="9"/>
      <c r="J611" s="9" t="s">
        <v>746</v>
      </c>
      <c r="K611" s="14"/>
      <c r="L611" s="14"/>
      <c r="M611" s="12"/>
      <c r="N611" s="9"/>
      <c r="O611" s="9"/>
      <c r="P611" s="9"/>
      <c r="Q611" s="38">
        <f>M611+X611-AG611-BB611</f>
        <v>0</v>
      </c>
      <c r="R611" s="12"/>
      <c r="S611" s="42"/>
      <c r="T611" s="15"/>
      <c r="U611" s="44"/>
      <c r="V611" s="15"/>
      <c r="W611" s="44"/>
      <c r="X611" s="15">
        <f>R611+T611+V611</f>
        <v>0</v>
      </c>
      <c r="Y611" s="15"/>
      <c r="Z611" s="44"/>
      <c r="AA611" s="15"/>
      <c r="AB611" s="44"/>
      <c r="AC611" s="15"/>
      <c r="AD611" s="44"/>
      <c r="AE611" s="15"/>
      <c r="AF611" s="44"/>
      <c r="AG611" s="15">
        <f>(Y611+AA611+AC611+AE611)</f>
        <v>0</v>
      </c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/>
      <c r="BA611" s="42"/>
      <c r="BB611" s="15">
        <f>AH611+AJ611+AL611+AN611+AP611+AR611+AT611+AV611+AX611+AZ611</f>
        <v>0</v>
      </c>
      <c r="BC611" s="15"/>
      <c r="BD611" s="44"/>
      <c r="BE611" s="15"/>
      <c r="BF611" s="44"/>
      <c r="BG611" s="15">
        <f>(BC611+BE611)</f>
        <v>0</v>
      </c>
    </row>
    <row r="612" spans="1:59" s="8" customFormat="1" ht="22.5" hidden="1" customHeight="1">
      <c r="A612" s="9"/>
      <c r="B612" s="16" t="s">
        <v>742</v>
      </c>
      <c r="C612" s="114" t="s">
        <v>151</v>
      </c>
      <c r="D612" s="143" t="s">
        <v>747</v>
      </c>
      <c r="E612" s="144" t="s">
        <v>749</v>
      </c>
      <c r="F612" s="111" t="s">
        <v>2254</v>
      </c>
      <c r="G612" s="111" t="s">
        <v>2255</v>
      </c>
      <c r="H612" s="95"/>
      <c r="I612" s="9"/>
      <c r="J612" s="9" t="s">
        <v>745</v>
      </c>
      <c r="K612" s="14"/>
      <c r="L612" s="14"/>
      <c r="M612" s="12"/>
      <c r="N612" s="9"/>
      <c r="O612" s="9"/>
      <c r="P612" s="9"/>
      <c r="Q612" s="38">
        <f>M612+X612-AG612-BB612</f>
        <v>0</v>
      </c>
      <c r="R612" s="12"/>
      <c r="S612" s="42"/>
      <c r="T612" s="15"/>
      <c r="U612" s="44"/>
      <c r="V612" s="15"/>
      <c r="W612" s="44"/>
      <c r="X612" s="15">
        <f>R612+T612+V612</f>
        <v>0</v>
      </c>
      <c r="Y612" s="15"/>
      <c r="Z612" s="44"/>
      <c r="AA612" s="15"/>
      <c r="AB612" s="44"/>
      <c r="AC612" s="15"/>
      <c r="AD612" s="44"/>
      <c r="AE612" s="15"/>
      <c r="AF612" s="44"/>
      <c r="AG612" s="15">
        <f>(Y612+AA612+AC612+AE612)</f>
        <v>0</v>
      </c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/>
      <c r="BA612" s="42"/>
      <c r="BB612" s="15">
        <f>AH612+AJ612+AL612+AN612+AP612+AR612+AT612+AV612+AX612+AZ612</f>
        <v>0</v>
      </c>
      <c r="BC612" s="15"/>
      <c r="BD612" s="44"/>
      <c r="BE612" s="15"/>
      <c r="BF612" s="44"/>
      <c r="BG612" s="15">
        <f>(BC612+BE612)</f>
        <v>0</v>
      </c>
    </row>
    <row r="613" spans="1:59" s="8" customFormat="1" ht="22.5" hidden="1" customHeight="1">
      <c r="A613" s="9"/>
      <c r="B613" s="16" t="s">
        <v>742</v>
      </c>
      <c r="C613" s="114" t="s">
        <v>151</v>
      </c>
      <c r="D613" s="143" t="s">
        <v>747</v>
      </c>
      <c r="E613" s="144" t="s">
        <v>749</v>
      </c>
      <c r="F613" s="111" t="s">
        <v>2256</v>
      </c>
      <c r="G613" s="111" t="s">
        <v>2257</v>
      </c>
      <c r="H613" s="95"/>
      <c r="I613" s="9"/>
      <c r="J613" s="9" t="s">
        <v>746</v>
      </c>
      <c r="K613" s="14"/>
      <c r="L613" s="14"/>
      <c r="M613" s="12"/>
      <c r="N613" s="9"/>
      <c r="O613" s="9"/>
      <c r="P613" s="9"/>
      <c r="Q613" s="38">
        <f>M613+X613-AG613-BB613</f>
        <v>0</v>
      </c>
      <c r="R613" s="12"/>
      <c r="S613" s="42"/>
      <c r="T613" s="15"/>
      <c r="U613" s="44"/>
      <c r="V613" s="15"/>
      <c r="W613" s="44"/>
      <c r="X613" s="15">
        <f>R613+T613+V613</f>
        <v>0</v>
      </c>
      <c r="Y613" s="15"/>
      <c r="Z613" s="44"/>
      <c r="AA613" s="15"/>
      <c r="AB613" s="44"/>
      <c r="AC613" s="15"/>
      <c r="AD613" s="44"/>
      <c r="AE613" s="15"/>
      <c r="AF613" s="44"/>
      <c r="AG613" s="15">
        <f>(Y613+AA613+AC613+AE613)</f>
        <v>0</v>
      </c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/>
      <c r="BA613" s="42"/>
      <c r="BB613" s="15">
        <f>AH613+AJ613+AL613+AN613+AP613+AR613+AT613+AV613+AX613+AZ613</f>
        <v>0</v>
      </c>
      <c r="BC613" s="15"/>
      <c r="BD613" s="44"/>
      <c r="BE613" s="15"/>
      <c r="BF613" s="44"/>
      <c r="BG613" s="15">
        <f>(BC613+BE613)</f>
        <v>0</v>
      </c>
    </row>
    <row r="614" spans="1:59" s="8" customFormat="1" ht="22.5" hidden="1" customHeight="1">
      <c r="A614" s="9"/>
      <c r="B614" s="16" t="s">
        <v>742</v>
      </c>
      <c r="C614" s="114" t="s">
        <v>52</v>
      </c>
      <c r="D614" s="143" t="s">
        <v>750</v>
      </c>
      <c r="E614" s="144" t="s">
        <v>751</v>
      </c>
      <c r="F614" s="111" t="s">
        <v>2258</v>
      </c>
      <c r="G614" s="111" t="s">
        <v>2259</v>
      </c>
      <c r="H614" s="95"/>
      <c r="I614" s="9"/>
      <c r="J614" s="9" t="s">
        <v>745</v>
      </c>
      <c r="K614" s="14"/>
      <c r="L614" s="14"/>
      <c r="M614" s="12"/>
      <c r="N614" s="9"/>
      <c r="O614" s="9"/>
      <c r="P614" s="9"/>
      <c r="Q614" s="38">
        <f>M614+X614-AG614-BB614</f>
        <v>0</v>
      </c>
      <c r="R614" s="12"/>
      <c r="S614" s="42"/>
      <c r="T614" s="15"/>
      <c r="U614" s="44"/>
      <c r="V614" s="15"/>
      <c r="W614" s="44"/>
      <c r="X614" s="15">
        <f>R614+T614+V614</f>
        <v>0</v>
      </c>
      <c r="Y614" s="15"/>
      <c r="Z614" s="44"/>
      <c r="AA614" s="15"/>
      <c r="AB614" s="44"/>
      <c r="AC614" s="15"/>
      <c r="AD614" s="44"/>
      <c r="AE614" s="15"/>
      <c r="AF614" s="44"/>
      <c r="AG614" s="15">
        <f>(Y614+AA614+AC614+AE614)</f>
        <v>0</v>
      </c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/>
      <c r="BA614" s="42"/>
      <c r="BB614" s="15">
        <f>AH614+AJ614+AL614+AN614+AP614+AR614+AT614+AV614+AX614+AZ614</f>
        <v>0</v>
      </c>
      <c r="BC614" s="15"/>
      <c r="BD614" s="44"/>
      <c r="BE614" s="15"/>
      <c r="BF614" s="44"/>
      <c r="BG614" s="15">
        <f>(BC614+BE614)</f>
        <v>0</v>
      </c>
    </row>
    <row r="615" spans="1:59" s="8" customFormat="1" ht="13.5" hidden="1" customHeight="1">
      <c r="A615" s="9"/>
      <c r="B615" s="16" t="s">
        <v>742</v>
      </c>
      <c r="C615" s="114" t="s">
        <v>52</v>
      </c>
      <c r="D615" s="143" t="s">
        <v>750</v>
      </c>
      <c r="E615" s="144" t="s">
        <v>751</v>
      </c>
      <c r="F615" s="111" t="s">
        <v>2260</v>
      </c>
      <c r="G615" s="111" t="s">
        <v>2261</v>
      </c>
      <c r="H615" s="95"/>
      <c r="I615" s="9"/>
      <c r="J615" s="9" t="s">
        <v>746</v>
      </c>
      <c r="K615" s="14"/>
      <c r="L615" s="14"/>
      <c r="M615" s="12"/>
      <c r="N615" s="9"/>
      <c r="O615" s="9"/>
      <c r="P615" s="9"/>
      <c r="Q615" s="38">
        <f>M615+X615-AG615-BB615</f>
        <v>0</v>
      </c>
      <c r="R615" s="12"/>
      <c r="S615" s="42"/>
      <c r="T615" s="15"/>
      <c r="U615" s="44"/>
      <c r="V615" s="15"/>
      <c r="W615" s="44"/>
      <c r="X615" s="15">
        <f>R615+T615+V615</f>
        <v>0</v>
      </c>
      <c r="Y615" s="15"/>
      <c r="Z615" s="44"/>
      <c r="AA615" s="15"/>
      <c r="AB615" s="44"/>
      <c r="AC615" s="15"/>
      <c r="AD615" s="44"/>
      <c r="AE615" s="15"/>
      <c r="AF615" s="44"/>
      <c r="AG615" s="15">
        <f>(Y615+AA615+AC615+AE615)</f>
        <v>0</v>
      </c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/>
      <c r="BA615" s="42"/>
      <c r="BB615" s="15">
        <f>AH615+AJ615+AL615+AN615+AP615+AR615+AT615+AV615+AX615+AZ615</f>
        <v>0</v>
      </c>
      <c r="BC615" s="15"/>
      <c r="BD615" s="44"/>
      <c r="BE615" s="15"/>
      <c r="BF615" s="44"/>
      <c r="BG615" s="15">
        <f>(BC615+BE615)</f>
        <v>0</v>
      </c>
    </row>
    <row r="616" spans="1:59" s="8" customFormat="1" ht="22.5" customHeight="1">
      <c r="A616" s="9"/>
      <c r="B616" s="16" t="s">
        <v>641</v>
      </c>
      <c r="C616" s="114" t="s">
        <v>52</v>
      </c>
      <c r="D616" s="61" t="s">
        <v>656</v>
      </c>
      <c r="E616" s="9" t="s">
        <v>657</v>
      </c>
      <c r="F616" s="9" t="s">
        <v>2230</v>
      </c>
      <c r="G616" s="9"/>
      <c r="H616" s="95"/>
      <c r="I616" s="9"/>
      <c r="J616" s="9" t="s">
        <v>247</v>
      </c>
      <c r="K616" s="14"/>
      <c r="L616" s="14"/>
      <c r="M616" s="12"/>
      <c r="N616" s="9"/>
      <c r="O616" s="9"/>
      <c r="P616" s="9"/>
      <c r="Q616" s="38">
        <f>M616+X616-AG616-BB616</f>
        <v>0</v>
      </c>
      <c r="R616" s="12"/>
      <c r="S616" s="42"/>
      <c r="T616" s="15"/>
      <c r="U616" s="44"/>
      <c r="V616" s="15"/>
      <c r="W616" s="44"/>
      <c r="X616" s="15">
        <f>R616+T616+V616</f>
        <v>0</v>
      </c>
      <c r="Y616" s="15"/>
      <c r="Z616" s="44"/>
      <c r="AA616" s="15"/>
      <c r="AB616" s="44"/>
      <c r="AC616" s="15"/>
      <c r="AD616" s="44"/>
      <c r="AE616" s="15"/>
      <c r="AF616" s="44"/>
      <c r="AG616" s="15">
        <f>(Y616+AA616+AC616+AE616)</f>
        <v>0</v>
      </c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/>
      <c r="BA616" s="42"/>
      <c r="BB616" s="15">
        <f>AH616+AJ616+AL616+AN616+AP616+AR616+AT616+AV616+AX616+AZ616</f>
        <v>0</v>
      </c>
      <c r="BC616" s="15"/>
      <c r="BD616" s="44"/>
      <c r="BE616" s="15"/>
      <c r="BF616" s="44"/>
      <c r="BG616" s="15">
        <f>(BC616+BE616)</f>
        <v>0</v>
      </c>
    </row>
    <row r="617" spans="1:59" s="8" customFormat="1" ht="22.5" hidden="1" customHeight="1">
      <c r="A617" s="9"/>
      <c r="B617" s="16" t="s">
        <v>755</v>
      </c>
      <c r="C617" s="114" t="s">
        <v>151</v>
      </c>
      <c r="D617" s="61" t="s">
        <v>763</v>
      </c>
      <c r="E617" s="9" t="s">
        <v>767</v>
      </c>
      <c r="F617" s="9" t="s">
        <v>2262</v>
      </c>
      <c r="G617" s="9" t="s">
        <v>2263</v>
      </c>
      <c r="H617" s="95"/>
      <c r="I617" s="9"/>
      <c r="J617" s="9" t="s">
        <v>757</v>
      </c>
      <c r="K617" s="14"/>
      <c r="L617" s="14"/>
      <c r="M617" s="12"/>
      <c r="N617" s="9"/>
      <c r="O617" s="9"/>
      <c r="P617" s="9"/>
      <c r="Q617" s="38">
        <f>M617+X617-AG617-BB617</f>
        <v>0</v>
      </c>
      <c r="R617" s="12"/>
      <c r="S617" s="42"/>
      <c r="T617" s="15"/>
      <c r="U617" s="44"/>
      <c r="V617" s="15"/>
      <c r="W617" s="44"/>
      <c r="X617" s="15">
        <f>R617+T617+V617</f>
        <v>0</v>
      </c>
      <c r="Y617" s="15"/>
      <c r="Z617" s="44"/>
      <c r="AA617" s="15"/>
      <c r="AB617" s="44"/>
      <c r="AC617" s="15"/>
      <c r="AD617" s="44"/>
      <c r="AE617" s="15"/>
      <c r="AF617" s="44"/>
      <c r="AG617" s="15">
        <f>(Y617+AA617+AC617+AE617)</f>
        <v>0</v>
      </c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/>
      <c r="BA617" s="42"/>
      <c r="BB617" s="15">
        <f>AH617+AJ617+AL617+AN617+AP617+AR617+AT617+AV617+AX617+AZ617</f>
        <v>0</v>
      </c>
      <c r="BC617" s="15"/>
      <c r="BD617" s="44"/>
      <c r="BE617" s="15"/>
      <c r="BF617" s="44"/>
      <c r="BG617" s="15">
        <f>(BC617+BE617)</f>
        <v>0</v>
      </c>
    </row>
    <row r="618" spans="1:59" s="8" customFormat="1" ht="22.5" hidden="1" customHeight="1">
      <c r="A618" s="9"/>
      <c r="B618" s="16" t="s">
        <v>755</v>
      </c>
      <c r="C618" s="114" t="s">
        <v>151</v>
      </c>
      <c r="D618" s="61" t="s">
        <v>763</v>
      </c>
      <c r="E618" s="9" t="s">
        <v>768</v>
      </c>
      <c r="F618" s="9" t="s">
        <v>2264</v>
      </c>
      <c r="G618" s="9" t="s">
        <v>2265</v>
      </c>
      <c r="H618" s="95"/>
      <c r="I618" s="9"/>
      <c r="J618" s="9" t="s">
        <v>757</v>
      </c>
      <c r="K618" s="14"/>
      <c r="L618" s="14"/>
      <c r="M618" s="12"/>
      <c r="N618" s="9"/>
      <c r="O618" s="9"/>
      <c r="P618" s="9"/>
      <c r="Q618" s="38">
        <f>M618+X618-AG618-BB618</f>
        <v>0</v>
      </c>
      <c r="R618" s="12"/>
      <c r="S618" s="42"/>
      <c r="T618" s="15"/>
      <c r="U618" s="44"/>
      <c r="V618" s="15"/>
      <c r="W618" s="44"/>
      <c r="X618" s="15">
        <f>R618+T618+V618</f>
        <v>0</v>
      </c>
      <c r="Y618" s="15"/>
      <c r="Z618" s="44"/>
      <c r="AA618" s="15"/>
      <c r="AB618" s="44"/>
      <c r="AC618" s="15"/>
      <c r="AD618" s="44"/>
      <c r="AE618" s="15"/>
      <c r="AF618" s="44"/>
      <c r="AG618" s="15">
        <f>(Y618+AA618+AC618+AE618)</f>
        <v>0</v>
      </c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/>
      <c r="BA618" s="42"/>
      <c r="BB618" s="15">
        <f>AH618+AJ618+AL618+AN618+AP618+AR618+AT618+AV618+AX618+AZ618</f>
        <v>0</v>
      </c>
      <c r="BC618" s="15"/>
      <c r="BD618" s="44"/>
      <c r="BE618" s="15"/>
      <c r="BF618" s="44"/>
      <c r="BG618" s="15">
        <f>(BC618+BE618)</f>
        <v>0</v>
      </c>
    </row>
    <row r="619" spans="1:59" s="8" customFormat="1" ht="22.5" hidden="1" customHeight="1">
      <c r="A619" s="9"/>
      <c r="B619" s="16" t="s">
        <v>330</v>
      </c>
      <c r="C619" s="114" t="s">
        <v>52</v>
      </c>
      <c r="D619" s="61" t="s">
        <v>795</v>
      </c>
      <c r="E619" s="9" t="s">
        <v>796</v>
      </c>
      <c r="F619" s="9" t="s">
        <v>2266</v>
      </c>
      <c r="G619" s="9" t="s">
        <v>2267</v>
      </c>
      <c r="H619" s="95"/>
      <c r="I619" s="9"/>
      <c r="J619" s="9" t="s">
        <v>332</v>
      </c>
      <c r="K619" s="14"/>
      <c r="L619" s="14"/>
      <c r="M619" s="12">
        <v>3840</v>
      </c>
      <c r="N619" s="9"/>
      <c r="O619" s="9"/>
      <c r="P619" s="9"/>
      <c r="Q619" s="38">
        <f>M619+X619-AG619-BB619</f>
        <v>3840</v>
      </c>
      <c r="R619" s="12"/>
      <c r="S619" s="42"/>
      <c r="T619" s="15"/>
      <c r="U619" s="44"/>
      <c r="V619" s="15"/>
      <c r="W619" s="44"/>
      <c r="X619" s="15">
        <f>R619+T619+V619</f>
        <v>0</v>
      </c>
      <c r="Y619" s="15"/>
      <c r="Z619" s="44"/>
      <c r="AA619" s="15"/>
      <c r="AB619" s="44"/>
      <c r="AC619" s="15"/>
      <c r="AD619" s="44"/>
      <c r="AE619" s="15"/>
      <c r="AF619" s="44"/>
      <c r="AG619" s="15">
        <f>(Y619+AA619+AC619+AE619)</f>
        <v>0</v>
      </c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/>
      <c r="BA619" s="42"/>
      <c r="BB619" s="15">
        <f>AH619+AJ619+AL619+AN619+AP619+AR619+AT619+AV619+AX619+AZ619</f>
        <v>0</v>
      </c>
      <c r="BC619" s="15"/>
      <c r="BD619" s="44"/>
      <c r="BE619" s="15"/>
      <c r="BF619" s="44"/>
      <c r="BG619" s="15">
        <f>(BC619+BE619)</f>
        <v>0</v>
      </c>
    </row>
    <row r="620" spans="1:59" s="8" customFormat="1" ht="22.5" customHeight="1">
      <c r="A620" s="9"/>
      <c r="B620" s="16" t="s">
        <v>641</v>
      </c>
      <c r="C620" s="114" t="s">
        <v>52</v>
      </c>
      <c r="D620" s="61" t="s">
        <v>656</v>
      </c>
      <c r="E620" s="9" t="s">
        <v>658</v>
      </c>
      <c r="F620" s="9" t="s">
        <v>2231</v>
      </c>
      <c r="G620" s="9"/>
      <c r="H620" s="95"/>
      <c r="I620" s="9"/>
      <c r="J620" s="9" t="s">
        <v>247</v>
      </c>
      <c r="K620" s="14"/>
      <c r="L620" s="14"/>
      <c r="M620" s="12"/>
      <c r="N620" s="9"/>
      <c r="O620" s="9"/>
      <c r="P620" s="9"/>
      <c r="Q620" s="38">
        <f>M620+X620-AG620-BB620</f>
        <v>0</v>
      </c>
      <c r="R620" s="12"/>
      <c r="S620" s="42"/>
      <c r="T620" s="15"/>
      <c r="U620" s="44"/>
      <c r="V620" s="15"/>
      <c r="W620" s="44"/>
      <c r="X620" s="15">
        <f>R620+T620+V620</f>
        <v>0</v>
      </c>
      <c r="Y620" s="15"/>
      <c r="Z620" s="44"/>
      <c r="AA620" s="15"/>
      <c r="AB620" s="44"/>
      <c r="AC620" s="15"/>
      <c r="AD620" s="44"/>
      <c r="AE620" s="15"/>
      <c r="AF620" s="44"/>
      <c r="AG620" s="15">
        <f>(Y620+AA620+AC620+AE620)</f>
        <v>0</v>
      </c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/>
      <c r="BA620" s="42"/>
      <c r="BB620" s="15">
        <f>AH620+AJ620+AL620+AN620+AP620+AR620+AT620+AV620+AX620+AZ620</f>
        <v>0</v>
      </c>
      <c r="BC620" s="15"/>
      <c r="BD620" s="44"/>
      <c r="BE620" s="15"/>
      <c r="BF620" s="44"/>
      <c r="BG620" s="15">
        <f>(BC620+BE620)</f>
        <v>0</v>
      </c>
    </row>
    <row r="621" spans="1:59" s="8" customFormat="1" ht="22.5" customHeight="1">
      <c r="A621" s="9"/>
      <c r="B621" s="16" t="s">
        <v>641</v>
      </c>
      <c r="C621" s="114" t="s">
        <v>52</v>
      </c>
      <c r="D621" s="61" t="s">
        <v>656</v>
      </c>
      <c r="E621" s="9" t="s">
        <v>659</v>
      </c>
      <c r="F621" s="9" t="s">
        <v>2232</v>
      </c>
      <c r="G621" s="9"/>
      <c r="H621" s="95"/>
      <c r="I621" s="9"/>
      <c r="J621" s="9" t="s">
        <v>247</v>
      </c>
      <c r="K621" s="14"/>
      <c r="L621" s="14"/>
      <c r="M621" s="12"/>
      <c r="N621" s="9"/>
      <c r="O621" s="9"/>
      <c r="P621" s="9"/>
      <c r="Q621" s="38">
        <f>M621+X621-AG621-BB621</f>
        <v>0</v>
      </c>
      <c r="R621" s="12"/>
      <c r="S621" s="42"/>
      <c r="T621" s="15"/>
      <c r="U621" s="44"/>
      <c r="V621" s="15"/>
      <c r="W621" s="44"/>
      <c r="X621" s="15">
        <f>R621+T621+V621</f>
        <v>0</v>
      </c>
      <c r="Y621" s="15"/>
      <c r="Z621" s="44"/>
      <c r="AA621" s="15"/>
      <c r="AB621" s="44"/>
      <c r="AC621" s="15"/>
      <c r="AD621" s="44"/>
      <c r="AE621" s="15"/>
      <c r="AF621" s="44"/>
      <c r="AG621" s="15">
        <f>(Y621+AA621+AC621+AE621)</f>
        <v>0</v>
      </c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/>
      <c r="BA621" s="42"/>
      <c r="BB621" s="15">
        <f>AH621+AJ621+AL621+AN621+AP621+AR621+AT621+AV621+AX621+AZ621</f>
        <v>0</v>
      </c>
      <c r="BC621" s="15"/>
      <c r="BD621" s="44"/>
      <c r="BE621" s="15"/>
      <c r="BF621" s="44"/>
      <c r="BG621" s="15">
        <f>(BC621+BE621)</f>
        <v>0</v>
      </c>
    </row>
    <row r="622" spans="1:59" s="8" customFormat="1" ht="22.5" hidden="1" customHeight="1">
      <c r="A622" s="9">
        <v>999</v>
      </c>
      <c r="B622" s="16" t="s">
        <v>204</v>
      </c>
      <c r="C622" s="114" t="s">
        <v>132</v>
      </c>
      <c r="D622" s="61" t="s">
        <v>2023</v>
      </c>
      <c r="E622" s="10" t="s">
        <v>861</v>
      </c>
      <c r="F622" s="10" t="s">
        <v>2280</v>
      </c>
      <c r="G622" s="10"/>
      <c r="H622" s="12"/>
      <c r="I622" s="9"/>
      <c r="J622" s="9" t="s">
        <v>207</v>
      </c>
      <c r="K622" s="14"/>
      <c r="L622" s="14"/>
      <c r="M622" s="12">
        <v>200</v>
      </c>
      <c r="N622" s="9"/>
      <c r="O622" s="9"/>
      <c r="P622" s="9"/>
      <c r="Q622" s="38">
        <f>M622+X622-AG622-BB622</f>
        <v>200</v>
      </c>
      <c r="R622" s="12"/>
      <c r="S622" s="42"/>
      <c r="T622" s="15"/>
      <c r="U622" s="44"/>
      <c r="V622" s="15"/>
      <c r="W622" s="44"/>
      <c r="X622" s="15">
        <f>R622+T622+V622</f>
        <v>0</v>
      </c>
      <c r="Y622" s="15"/>
      <c r="Z622" s="44"/>
      <c r="AA622" s="15"/>
      <c r="AB622" s="44"/>
      <c r="AC622" s="15"/>
      <c r="AD622" s="44"/>
      <c r="AE622" s="15"/>
      <c r="AF622" s="44"/>
      <c r="AG622" s="15">
        <f>(Y622+AA622+AC622+AE622)</f>
        <v>0</v>
      </c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/>
      <c r="BA622" s="42"/>
      <c r="BB622" s="15">
        <f>AH622+AJ622+AL622+AN622+AP622+AR622+AT622+AV622+AX622+AZ622</f>
        <v>0</v>
      </c>
      <c r="BC622" s="15"/>
      <c r="BD622" s="44"/>
      <c r="BE622" s="15"/>
      <c r="BF622" s="44"/>
      <c r="BG622" s="15">
        <f>(BC622+BE622)</f>
        <v>0</v>
      </c>
    </row>
    <row r="623" spans="1:59" s="8" customFormat="1" ht="22.5" hidden="1" customHeight="1">
      <c r="A623" s="9"/>
      <c r="B623" s="16" t="s">
        <v>204</v>
      </c>
      <c r="C623" s="114" t="s">
        <v>140</v>
      </c>
      <c r="D623" s="61" t="s">
        <v>1581</v>
      </c>
      <c r="E623" s="153" t="s">
        <v>206</v>
      </c>
      <c r="F623" s="120" t="s">
        <v>2186</v>
      </c>
      <c r="G623" s="157"/>
      <c r="H623" s="96"/>
      <c r="I623" s="9"/>
      <c r="J623" s="9" t="s">
        <v>207</v>
      </c>
      <c r="K623" s="14"/>
      <c r="L623" s="14"/>
      <c r="M623" s="12">
        <v>110</v>
      </c>
      <c r="N623" s="9"/>
      <c r="O623" s="9"/>
      <c r="P623" s="9"/>
      <c r="Q623" s="38">
        <f>M623+X623-AG623-BB623</f>
        <v>110</v>
      </c>
      <c r="R623" s="12"/>
      <c r="S623" s="42"/>
      <c r="T623" s="15"/>
      <c r="U623" s="44"/>
      <c r="V623" s="15"/>
      <c r="W623" s="44"/>
      <c r="X623" s="15">
        <f>R623+T623+V623</f>
        <v>0</v>
      </c>
      <c r="Y623" s="15"/>
      <c r="Z623" s="44"/>
      <c r="AA623" s="15"/>
      <c r="AB623" s="44"/>
      <c r="AC623" s="15"/>
      <c r="AD623" s="44"/>
      <c r="AE623" s="15"/>
      <c r="AF623" s="44"/>
      <c r="AG623" s="15">
        <f>(Y623+AA623+AC623+AE623)</f>
        <v>0</v>
      </c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/>
      <c r="BA623" s="42"/>
      <c r="BB623" s="15"/>
      <c r="BC623" s="15"/>
      <c r="BD623" s="44"/>
      <c r="BE623" s="15"/>
      <c r="BF623" s="44"/>
      <c r="BG623" s="15"/>
    </row>
    <row r="624" spans="1:59" s="8" customFormat="1" ht="22.5" hidden="1" customHeight="1">
      <c r="A624" s="9"/>
      <c r="B624" s="16" t="s">
        <v>204</v>
      </c>
      <c r="C624" s="114" t="s">
        <v>140</v>
      </c>
      <c r="D624" s="61" t="s">
        <v>1585</v>
      </c>
      <c r="E624" s="153" t="s">
        <v>215</v>
      </c>
      <c r="F624" s="120" t="s">
        <v>2188</v>
      </c>
      <c r="G624" s="157"/>
      <c r="H624" s="9"/>
      <c r="I624" s="9"/>
      <c r="J624" s="9" t="s">
        <v>207</v>
      </c>
      <c r="K624" s="14"/>
      <c r="L624" s="14"/>
      <c r="M624" s="12">
        <v>16</v>
      </c>
      <c r="N624" s="9"/>
      <c r="O624" s="9"/>
      <c r="P624" s="9"/>
      <c r="Q624" s="38">
        <f>M624+X624-AG624-BB624</f>
        <v>16</v>
      </c>
      <c r="R624" s="15">
        <v>0</v>
      </c>
      <c r="S624" s="15">
        <v>0</v>
      </c>
      <c r="T624" s="15"/>
      <c r="U624" s="44"/>
      <c r="V624" s="15"/>
      <c r="W624" s="44"/>
      <c r="X624" s="15">
        <f>R624+T624+V624</f>
        <v>0</v>
      </c>
      <c r="Y624" s="15"/>
      <c r="Z624" s="44"/>
      <c r="AA624" s="15"/>
      <c r="AB624" s="44"/>
      <c r="AC624" s="15"/>
      <c r="AD624" s="44"/>
      <c r="AE624" s="15"/>
      <c r="AF624" s="44"/>
      <c r="AG624" s="15">
        <f>(Y624+AA624+AC624+AE624)</f>
        <v>0</v>
      </c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/>
      <c r="BA624" s="42"/>
      <c r="BB624" s="15"/>
      <c r="BC624" s="15"/>
      <c r="BD624" s="44"/>
      <c r="BE624" s="15"/>
      <c r="BF624" s="44"/>
      <c r="BG624" s="15"/>
    </row>
    <row r="625" spans="1:59" s="8" customFormat="1" ht="22.5" hidden="1" customHeight="1">
      <c r="A625" s="9"/>
      <c r="B625" s="16" t="s">
        <v>1598</v>
      </c>
      <c r="C625" s="114" t="s">
        <v>140</v>
      </c>
      <c r="D625" s="61" t="s">
        <v>1599</v>
      </c>
      <c r="E625" s="153"/>
      <c r="F625" s="120" t="s">
        <v>2189</v>
      </c>
      <c r="G625" s="157"/>
      <c r="H625" s="96"/>
      <c r="I625" s="9"/>
      <c r="J625" s="9"/>
      <c r="K625" s="14"/>
      <c r="L625" s="14"/>
      <c r="M625" s="12">
        <v>53</v>
      </c>
      <c r="N625" s="9"/>
      <c r="O625" s="9"/>
      <c r="P625" s="9"/>
      <c r="Q625" s="38">
        <f>M625+X625-AG625-BB625</f>
        <v>53</v>
      </c>
      <c r="R625" s="12"/>
      <c r="S625" s="42"/>
      <c r="T625" s="15"/>
      <c r="U625" s="44"/>
      <c r="V625" s="15"/>
      <c r="W625" s="44"/>
      <c r="X625" s="15">
        <f>R625+T625+V625</f>
        <v>0</v>
      </c>
      <c r="Y625" s="15"/>
      <c r="Z625" s="44"/>
      <c r="AA625" s="15"/>
      <c r="AB625" s="44"/>
      <c r="AC625" s="15"/>
      <c r="AD625" s="44"/>
      <c r="AE625" s="15"/>
      <c r="AF625" s="44"/>
      <c r="AG625" s="15">
        <f>(Y625+AA625+AC625+AE625)</f>
        <v>0</v>
      </c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/>
      <c r="BA625" s="42"/>
      <c r="BB625" s="15"/>
      <c r="BC625" s="15"/>
      <c r="BD625" s="44"/>
      <c r="BE625" s="15"/>
      <c r="BF625" s="44"/>
      <c r="BG625" s="15"/>
    </row>
    <row r="626" spans="1:59" s="8" customFormat="1" ht="22.5" hidden="1" customHeight="1">
      <c r="A626" s="9"/>
      <c r="B626" s="16" t="s">
        <v>808</v>
      </c>
      <c r="C626" s="114" t="s">
        <v>151</v>
      </c>
      <c r="D626" s="61" t="s">
        <v>819</v>
      </c>
      <c r="E626" s="144"/>
      <c r="F626" s="111" t="s">
        <v>2269</v>
      </c>
      <c r="G626" s="111" t="s">
        <v>2270</v>
      </c>
      <c r="H626" s="95"/>
      <c r="I626" s="9"/>
      <c r="J626" s="9" t="s">
        <v>566</v>
      </c>
      <c r="K626" s="14"/>
      <c r="L626" s="14"/>
      <c r="M626" s="12"/>
      <c r="N626" s="9"/>
      <c r="O626" s="9"/>
      <c r="P626" s="9"/>
      <c r="Q626" s="38">
        <f>M626+X626-AG626-BB626</f>
        <v>0</v>
      </c>
      <c r="R626" s="12"/>
      <c r="S626" s="42"/>
      <c r="T626" s="15"/>
      <c r="U626" s="44"/>
      <c r="V626" s="15"/>
      <c r="W626" s="44"/>
      <c r="X626" s="15">
        <f>R626+T626+V626</f>
        <v>0</v>
      </c>
      <c r="Y626" s="15"/>
      <c r="Z626" s="44"/>
      <c r="AA626" s="15"/>
      <c r="AB626" s="44"/>
      <c r="AC626" s="15"/>
      <c r="AD626" s="44"/>
      <c r="AE626" s="15"/>
      <c r="AF626" s="44"/>
      <c r="AG626" s="15">
        <f>(Y626+AA626+AC626+AE626)</f>
        <v>0</v>
      </c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/>
      <c r="BA626" s="42"/>
      <c r="BB626" s="15">
        <f>AH626+AJ626+AL626+AN626+AP626+AR626+AT626+AV626+AX626+AZ626</f>
        <v>0</v>
      </c>
      <c r="BC626" s="15"/>
      <c r="BD626" s="44"/>
      <c r="BE626" s="15"/>
      <c r="BF626" s="44"/>
      <c r="BG626" s="15">
        <f>(BC626+BE626)</f>
        <v>0</v>
      </c>
    </row>
    <row r="627" spans="1:59" s="8" customFormat="1" ht="22.5" hidden="1" customHeight="1">
      <c r="A627" s="9">
        <v>999</v>
      </c>
      <c r="B627" s="18" t="s">
        <v>172</v>
      </c>
      <c r="C627" s="114" t="s">
        <v>140</v>
      </c>
      <c r="D627" s="61" t="s">
        <v>875</v>
      </c>
      <c r="E627" s="144"/>
      <c r="F627" s="111" t="s">
        <v>2272</v>
      </c>
      <c r="G627" s="111" t="s">
        <v>2271</v>
      </c>
      <c r="H627" s="20"/>
      <c r="I627" s="21"/>
      <c r="J627" s="21"/>
      <c r="K627" s="14"/>
      <c r="L627" s="14"/>
      <c r="M627" s="12"/>
      <c r="N627" s="9"/>
      <c r="O627" s="9"/>
      <c r="P627" s="9"/>
      <c r="Q627" s="38">
        <f>M627+X627-AG627-BB627</f>
        <v>0</v>
      </c>
      <c r="R627" s="12"/>
      <c r="S627" s="42"/>
      <c r="T627" s="15"/>
      <c r="U627" s="44"/>
      <c r="V627" s="15"/>
      <c r="W627" s="44"/>
      <c r="X627" s="15"/>
      <c r="Y627" s="15"/>
      <c r="Z627" s="44"/>
      <c r="AA627" s="15"/>
      <c r="AB627" s="44"/>
      <c r="AC627" s="15"/>
      <c r="AD627" s="44"/>
      <c r="AE627" s="15"/>
      <c r="AF627" s="44"/>
      <c r="AG627" s="15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/>
      <c r="BA627" s="42"/>
      <c r="BB627" s="15"/>
      <c r="BC627" s="15"/>
      <c r="BD627" s="44"/>
      <c r="BE627" s="15"/>
      <c r="BF627" s="44"/>
      <c r="BG627" s="15"/>
    </row>
    <row r="628" spans="1:59" s="8" customFormat="1" ht="22.5" hidden="1" customHeight="1">
      <c r="A628" s="9"/>
      <c r="B628" s="18" t="s">
        <v>172</v>
      </c>
      <c r="C628" s="114" t="s">
        <v>52</v>
      </c>
      <c r="D628" s="61" t="s">
        <v>253</v>
      </c>
      <c r="E628" s="144"/>
      <c r="F628" s="111" t="s">
        <v>2273</v>
      </c>
      <c r="G628" s="111" t="s">
        <v>2274</v>
      </c>
      <c r="H628" s="96"/>
      <c r="I628" s="21"/>
      <c r="J628" s="21" t="s">
        <v>67</v>
      </c>
      <c r="K628" s="14"/>
      <c r="L628" s="14"/>
      <c r="M628" s="12"/>
      <c r="N628" s="9"/>
      <c r="O628" s="9"/>
      <c r="P628" s="9"/>
      <c r="Q628" s="38">
        <f>M628+X628-AG628-BB628</f>
        <v>0</v>
      </c>
      <c r="R628" s="12"/>
      <c r="S628" s="42"/>
      <c r="T628" s="15"/>
      <c r="U628" s="44"/>
      <c r="V628" s="15"/>
      <c r="W628" s="44"/>
      <c r="X628" s="15">
        <f>R628+T628+V628</f>
        <v>0</v>
      </c>
      <c r="Y628" s="15"/>
      <c r="Z628" s="44"/>
      <c r="AA628" s="15"/>
      <c r="AB628" s="44"/>
      <c r="AC628" s="15"/>
      <c r="AD628" s="44"/>
      <c r="AE628" s="15"/>
      <c r="AF628" s="44"/>
      <c r="AG628" s="15">
        <f>(Y628+AA628+AC628+AE628)</f>
        <v>0</v>
      </c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/>
      <c r="BA628" s="42"/>
      <c r="BB628" s="15">
        <f>AH628+AJ628+AL628+AN628+AP628+AR628+AT628+AV628+AX628+AZ628</f>
        <v>0</v>
      </c>
      <c r="BC628" s="15"/>
      <c r="BD628" s="44"/>
      <c r="BE628" s="15"/>
      <c r="BF628" s="44"/>
      <c r="BG628" s="15">
        <f>(BC628+BE628)</f>
        <v>0</v>
      </c>
    </row>
    <row r="629" spans="1:59" s="8" customFormat="1" ht="22.5" hidden="1" customHeight="1">
      <c r="A629" s="9"/>
      <c r="B629" s="18" t="s">
        <v>172</v>
      </c>
      <c r="C629" s="114" t="s">
        <v>52</v>
      </c>
      <c r="D629" s="61" t="s">
        <v>885</v>
      </c>
      <c r="E629" s="144"/>
      <c r="F629" s="111" t="s">
        <v>2275</v>
      </c>
      <c r="G629" s="111" t="s">
        <v>2276</v>
      </c>
      <c r="H629" s="96"/>
      <c r="I629" s="21"/>
      <c r="J629" s="21" t="s">
        <v>67</v>
      </c>
      <c r="K629" s="14"/>
      <c r="L629" s="14"/>
      <c r="M629" s="12"/>
      <c r="N629" s="9"/>
      <c r="O629" s="9"/>
      <c r="P629" s="9"/>
      <c r="Q629" s="38">
        <f>M629+X629-AG629-BB629</f>
        <v>0</v>
      </c>
      <c r="R629" s="12"/>
      <c r="S629" s="42"/>
      <c r="T629" s="15"/>
      <c r="U629" s="44"/>
      <c r="V629" s="15"/>
      <c r="W629" s="44"/>
      <c r="X629" s="15">
        <f>R629+T629+V629</f>
        <v>0</v>
      </c>
      <c r="Y629" s="15"/>
      <c r="Z629" s="44"/>
      <c r="AA629" s="15"/>
      <c r="AB629" s="44"/>
      <c r="AC629" s="15"/>
      <c r="AD629" s="44"/>
      <c r="AE629" s="15"/>
      <c r="AF629" s="44"/>
      <c r="AG629" s="15">
        <f>(Y629+AA629+AC629+AE629)</f>
        <v>0</v>
      </c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/>
      <c r="BA629" s="42"/>
      <c r="BB629" s="15">
        <f>AH629+AJ629+AL629+AN629+AP629+AR629+AT629+AV629+AX629+AZ629</f>
        <v>0</v>
      </c>
      <c r="BC629" s="15"/>
      <c r="BD629" s="44"/>
      <c r="BE629" s="15"/>
      <c r="BF629" s="44"/>
      <c r="BG629" s="15">
        <f>(BC629+BE629)</f>
        <v>0</v>
      </c>
    </row>
    <row r="630" spans="1:59" s="8" customFormat="1" ht="22.5" hidden="1" customHeight="1">
      <c r="A630" s="9">
        <v>999</v>
      </c>
      <c r="B630" s="16" t="s">
        <v>204</v>
      </c>
      <c r="C630" s="114" t="s">
        <v>52</v>
      </c>
      <c r="D630" s="61" t="s">
        <v>2034</v>
      </c>
      <c r="E630" s="144"/>
      <c r="F630" s="111" t="s">
        <v>2281</v>
      </c>
      <c r="G630" s="111" t="s">
        <v>2282</v>
      </c>
      <c r="H630" s="12"/>
      <c r="I630" s="9"/>
      <c r="J630" s="9"/>
      <c r="K630" s="14"/>
      <c r="L630" s="14"/>
      <c r="M630" s="12">
        <v>248</v>
      </c>
      <c r="N630" s="9"/>
      <c r="O630" s="9"/>
      <c r="P630" s="9"/>
      <c r="Q630" s="38">
        <f>M630+X630-AG630-BB630</f>
        <v>248</v>
      </c>
      <c r="R630" s="12"/>
      <c r="S630" s="42"/>
      <c r="T630" s="15"/>
      <c r="U630" s="44"/>
      <c r="V630" s="15"/>
      <c r="W630" s="44"/>
      <c r="X630" s="15">
        <f>R630+T630+V630</f>
        <v>0</v>
      </c>
      <c r="Y630" s="15"/>
      <c r="Z630" s="44"/>
      <c r="AA630" s="15"/>
      <c r="AB630" s="44"/>
      <c r="AC630" s="15"/>
      <c r="AD630" s="44"/>
      <c r="AE630" s="15"/>
      <c r="AF630" s="44"/>
      <c r="AG630" s="15">
        <f>(Y630+AA630+AC630+AE630)</f>
        <v>0</v>
      </c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/>
      <c r="BA630" s="42"/>
      <c r="BB630" s="15"/>
      <c r="BC630" s="15"/>
      <c r="BD630" s="44"/>
      <c r="BE630" s="15"/>
      <c r="BF630" s="44"/>
      <c r="BG630" s="15"/>
    </row>
    <row r="631" spans="1:59" s="8" customFormat="1" ht="22.5" hidden="1" customHeight="1">
      <c r="A631" s="9"/>
      <c r="B631" s="16" t="s">
        <v>172</v>
      </c>
      <c r="C631" s="114" t="s">
        <v>52</v>
      </c>
      <c r="D631" s="61" t="s">
        <v>890</v>
      </c>
      <c r="E631" s="144"/>
      <c r="F631" s="111" t="s">
        <v>2283</v>
      </c>
      <c r="G631" s="111" t="s">
        <v>2284</v>
      </c>
      <c r="H631" s="96"/>
      <c r="I631" s="9"/>
      <c r="J631" s="9" t="s">
        <v>67</v>
      </c>
      <c r="K631" s="14"/>
      <c r="L631" s="14"/>
      <c r="M631" s="12"/>
      <c r="N631" s="9"/>
      <c r="O631" s="9"/>
      <c r="P631" s="9"/>
      <c r="Q631" s="38">
        <f>M631+X631-AG631-BB631</f>
        <v>0</v>
      </c>
      <c r="R631" s="12"/>
      <c r="S631" s="42"/>
      <c r="T631" s="15"/>
      <c r="U631" s="44"/>
      <c r="V631" s="15"/>
      <c r="W631" s="44"/>
      <c r="X631" s="15">
        <f>R631+T631+V631</f>
        <v>0</v>
      </c>
      <c r="Y631" s="15"/>
      <c r="Z631" s="44"/>
      <c r="AA631" s="15"/>
      <c r="AB631" s="44"/>
      <c r="AC631" s="15"/>
      <c r="AD631" s="44"/>
      <c r="AE631" s="15"/>
      <c r="AF631" s="44"/>
      <c r="AG631" s="15">
        <f>(Y631+AA631+AC631+AE631)</f>
        <v>0</v>
      </c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/>
      <c r="BA631" s="42"/>
      <c r="BB631" s="15">
        <f>AH631+AJ631+AL631+AN631+AP631+AR631+AT631+AV631+AX631+AZ631</f>
        <v>0</v>
      </c>
      <c r="BC631" s="15"/>
      <c r="BD631" s="44"/>
      <c r="BE631" s="15"/>
      <c r="BF631" s="44"/>
      <c r="BG631" s="15">
        <f>(BC631+BE631)</f>
        <v>0</v>
      </c>
    </row>
    <row r="632" spans="1:59" s="8" customFormat="1" ht="22.5" hidden="1" customHeight="1">
      <c r="A632" s="9">
        <v>999</v>
      </c>
      <c r="B632" s="16" t="s">
        <v>120</v>
      </c>
      <c r="C632" s="114" t="s">
        <v>48</v>
      </c>
      <c r="D632" s="61" t="s">
        <v>265</v>
      </c>
      <c r="E632" s="144" t="s">
        <v>880</v>
      </c>
      <c r="F632" s="111" t="s">
        <v>2314</v>
      </c>
      <c r="G632" s="111" t="s">
        <v>2285</v>
      </c>
      <c r="H632" s="12"/>
      <c r="I632" s="9"/>
      <c r="J632" s="9" t="s">
        <v>67</v>
      </c>
      <c r="K632" s="14"/>
      <c r="L632" s="14"/>
      <c r="M632" s="12"/>
      <c r="N632" s="9"/>
      <c r="O632" s="9"/>
      <c r="P632" s="9"/>
      <c r="Q632" s="38">
        <f>M632+X632-AG632-BB632</f>
        <v>0</v>
      </c>
      <c r="R632" s="12"/>
      <c r="S632" s="42"/>
      <c r="T632" s="15"/>
      <c r="U632" s="44"/>
      <c r="V632" s="15"/>
      <c r="W632" s="44"/>
      <c r="X632" s="15">
        <f>R632+T632+V632</f>
        <v>0</v>
      </c>
      <c r="Y632" s="15"/>
      <c r="Z632" s="44"/>
      <c r="AA632" s="15"/>
      <c r="AB632" s="44"/>
      <c r="AC632" s="15"/>
      <c r="AD632" s="44"/>
      <c r="AE632" s="15"/>
      <c r="AF632" s="44"/>
      <c r="AG632" s="15">
        <f>(Y632+AA632+AC632+AE632)</f>
        <v>0</v>
      </c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/>
      <c r="BA632" s="42"/>
      <c r="BB632" s="15">
        <f>AH632+AJ632+AL632+AN632+AP632+AR632+AT632+AV632+AX632+AZ632</f>
        <v>0</v>
      </c>
      <c r="BC632" s="15"/>
      <c r="BD632" s="44"/>
      <c r="BE632" s="15"/>
      <c r="BF632" s="44"/>
      <c r="BG632" s="15">
        <f>(BC632+BE632)</f>
        <v>0</v>
      </c>
    </row>
    <row r="633" spans="1:59" s="8" customFormat="1" ht="22.5" hidden="1" customHeight="1">
      <c r="A633" s="9"/>
      <c r="B633" s="16" t="s">
        <v>172</v>
      </c>
      <c r="C633" s="114" t="s">
        <v>52</v>
      </c>
      <c r="D633" s="61" t="s">
        <v>892</v>
      </c>
      <c r="E633" s="144" t="s">
        <v>893</v>
      </c>
      <c r="F633" s="111" t="s">
        <v>2286</v>
      </c>
      <c r="G633" s="111" t="s">
        <v>2287</v>
      </c>
      <c r="H633" s="96"/>
      <c r="I633" s="9"/>
      <c r="J633" s="9" t="s">
        <v>67</v>
      </c>
      <c r="K633" s="14"/>
      <c r="L633" s="14"/>
      <c r="M633" s="12"/>
      <c r="N633" s="9"/>
      <c r="O633" s="9"/>
      <c r="P633" s="9"/>
      <c r="Q633" s="38">
        <f>M633+X633-AG633-BB633</f>
        <v>0</v>
      </c>
      <c r="R633" s="12"/>
      <c r="S633" s="42"/>
      <c r="T633" s="15"/>
      <c r="U633" s="44"/>
      <c r="V633" s="15"/>
      <c r="W633" s="44"/>
      <c r="X633" s="15">
        <f>R633+T633+V633</f>
        <v>0</v>
      </c>
      <c r="Y633" s="15"/>
      <c r="Z633" s="44"/>
      <c r="AA633" s="15"/>
      <c r="AB633" s="44"/>
      <c r="AC633" s="15"/>
      <c r="AD633" s="44"/>
      <c r="AE633" s="15"/>
      <c r="AF633" s="44"/>
      <c r="AG633" s="15">
        <f>(Y633+AA633+AC633+AE633)</f>
        <v>0</v>
      </c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/>
      <c r="BA633" s="42"/>
      <c r="BB633" s="15">
        <f>AH633+AJ633+AL633+AN633+AP633+AR633+AT633+AV633+AX633+AZ633</f>
        <v>0</v>
      </c>
      <c r="BC633" s="15"/>
      <c r="BD633" s="44"/>
      <c r="BE633" s="15"/>
      <c r="BF633" s="44"/>
      <c r="BG633" s="15">
        <f>(BC633+BE633)</f>
        <v>0</v>
      </c>
    </row>
    <row r="634" spans="1:59" s="8" customFormat="1" ht="22.5" hidden="1" customHeight="1">
      <c r="A634" s="9"/>
      <c r="B634" s="16" t="s">
        <v>172</v>
      </c>
      <c r="C634" s="114" t="s">
        <v>52</v>
      </c>
      <c r="D634" s="61" t="s">
        <v>898</v>
      </c>
      <c r="E634" s="144" t="s">
        <v>899</v>
      </c>
      <c r="F634" s="111" t="s">
        <v>2288</v>
      </c>
      <c r="G634" s="111" t="s">
        <v>2289</v>
      </c>
      <c r="H634" s="96"/>
      <c r="I634" s="9"/>
      <c r="J634" s="9" t="s">
        <v>67</v>
      </c>
      <c r="K634" s="14"/>
      <c r="L634" s="14"/>
      <c r="M634" s="12"/>
      <c r="N634" s="9"/>
      <c r="O634" s="9"/>
      <c r="P634" s="9"/>
      <c r="Q634" s="38">
        <f>M634+X634-AG634-BB634</f>
        <v>0</v>
      </c>
      <c r="R634" s="12"/>
      <c r="S634" s="42"/>
      <c r="T634" s="15"/>
      <c r="U634" s="44"/>
      <c r="V634" s="15"/>
      <c r="W634" s="44"/>
      <c r="X634" s="15">
        <f>R634+T634+V634</f>
        <v>0</v>
      </c>
      <c r="Y634" s="15"/>
      <c r="Z634" s="44"/>
      <c r="AA634" s="15"/>
      <c r="AB634" s="44"/>
      <c r="AC634" s="15"/>
      <c r="AD634" s="44"/>
      <c r="AE634" s="15"/>
      <c r="AF634" s="44"/>
      <c r="AG634" s="15">
        <f>(Y634+AA634+AC634+AE634)</f>
        <v>0</v>
      </c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/>
      <c r="BA634" s="42"/>
      <c r="BB634" s="15">
        <f>AH634+AJ634+AL634+AN634+AP634+AR634+AT634+AV634+AX634+AZ634</f>
        <v>0</v>
      </c>
      <c r="BC634" s="15"/>
      <c r="BD634" s="44"/>
      <c r="BE634" s="15"/>
      <c r="BF634" s="44"/>
      <c r="BG634" s="15">
        <f>(BC634+BE634)</f>
        <v>0</v>
      </c>
    </row>
    <row r="635" spans="1:59" s="8" customFormat="1" ht="22.5" hidden="1" customHeight="1">
      <c r="A635" s="9"/>
      <c r="B635" s="16" t="s">
        <v>187</v>
      </c>
      <c r="C635" s="114" t="s">
        <v>494</v>
      </c>
      <c r="D635" s="61" t="s">
        <v>916</v>
      </c>
      <c r="E635" s="144" t="s">
        <v>917</v>
      </c>
      <c r="F635" s="111" t="s">
        <v>2290</v>
      </c>
      <c r="G635" s="111" t="s">
        <v>2291</v>
      </c>
      <c r="H635" s="96"/>
      <c r="I635" s="9"/>
      <c r="J635" s="9" t="s">
        <v>527</v>
      </c>
      <c r="K635" s="14"/>
      <c r="L635" s="14"/>
      <c r="M635" s="12"/>
      <c r="N635" s="9"/>
      <c r="O635" s="9"/>
      <c r="P635" s="9"/>
      <c r="Q635" s="38">
        <f>M635+X635-AG635-BB635</f>
        <v>0</v>
      </c>
      <c r="R635" s="12"/>
      <c r="S635" s="42"/>
      <c r="T635" s="15"/>
      <c r="U635" s="44"/>
      <c r="V635" s="15"/>
      <c r="W635" s="44"/>
      <c r="X635" s="15">
        <f>R635+T635+V635</f>
        <v>0</v>
      </c>
      <c r="Y635" s="15"/>
      <c r="Z635" s="44"/>
      <c r="AA635" s="15"/>
      <c r="AB635" s="44"/>
      <c r="AC635" s="15"/>
      <c r="AD635" s="44"/>
      <c r="AE635" s="15"/>
      <c r="AF635" s="44"/>
      <c r="AG635" s="15">
        <f>(Y635+AA635+AC635+AE635)</f>
        <v>0</v>
      </c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/>
      <c r="BA635" s="42"/>
      <c r="BB635" s="15">
        <f>AH635+AJ635+AL635+AN635+AP635+AR635+AT635+AV635+AX635+AZ635</f>
        <v>0</v>
      </c>
      <c r="BC635" s="15"/>
      <c r="BD635" s="44"/>
      <c r="BE635" s="15"/>
      <c r="BF635" s="44"/>
      <c r="BG635" s="15">
        <f>(BC635+BE635)</f>
        <v>0</v>
      </c>
    </row>
    <row r="636" spans="1:59" s="8" customFormat="1" ht="22.5" hidden="1" customHeight="1">
      <c r="A636" s="9">
        <v>999</v>
      </c>
      <c r="B636" s="16" t="s">
        <v>926</v>
      </c>
      <c r="C636" s="114" t="s">
        <v>132</v>
      </c>
      <c r="D636" s="61" t="s">
        <v>953</v>
      </c>
      <c r="E636" s="144"/>
      <c r="F636" s="111" t="s">
        <v>2292</v>
      </c>
      <c r="G636" s="111" t="s">
        <v>2293</v>
      </c>
      <c r="H636" s="12"/>
      <c r="I636" s="9"/>
      <c r="J636" s="9" t="s">
        <v>566</v>
      </c>
      <c r="K636" s="14"/>
      <c r="L636" s="14"/>
      <c r="M636" s="12"/>
      <c r="N636" s="9"/>
      <c r="O636" s="9"/>
      <c r="P636" s="9"/>
      <c r="Q636" s="38">
        <f>M636+X636-AG636-BB636</f>
        <v>0</v>
      </c>
      <c r="R636" s="12"/>
      <c r="S636" s="42"/>
      <c r="T636" s="15"/>
      <c r="U636" s="44"/>
      <c r="V636" s="15"/>
      <c r="W636" s="44"/>
      <c r="X636" s="15">
        <f>R636+T636+V636</f>
        <v>0</v>
      </c>
      <c r="Y636" s="15"/>
      <c r="Z636" s="44"/>
      <c r="AA636" s="15"/>
      <c r="AB636" s="44"/>
      <c r="AC636" s="15"/>
      <c r="AD636" s="44"/>
      <c r="AE636" s="15"/>
      <c r="AF636" s="44"/>
      <c r="AG636" s="15">
        <f>(Y636+AA636+AC636+AE636)</f>
        <v>0</v>
      </c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/>
      <c r="BA636" s="42"/>
      <c r="BB636" s="15">
        <f>AH636+AJ636+AL636+AN636+AP636+AR636+AT636+AV636+AX636+AZ636</f>
        <v>0</v>
      </c>
      <c r="BC636" s="15"/>
      <c r="BD636" s="44"/>
      <c r="BE636" s="15"/>
      <c r="BF636" s="44"/>
      <c r="BG636" s="15">
        <f>(BC636+BE636)</f>
        <v>0</v>
      </c>
    </row>
    <row r="637" spans="1:59" s="8" customFormat="1" ht="22.5" hidden="1" customHeight="1">
      <c r="A637" s="9"/>
      <c r="B637" s="16" t="s">
        <v>1598</v>
      </c>
      <c r="C637" s="114" t="s">
        <v>140</v>
      </c>
      <c r="D637" s="61" t="s">
        <v>1599</v>
      </c>
      <c r="E637" s="13"/>
      <c r="F637" s="120" t="s">
        <v>2190</v>
      </c>
      <c r="G637" s="121"/>
      <c r="H637" s="96"/>
      <c r="I637" s="9"/>
      <c r="J637" s="9"/>
      <c r="K637" s="14"/>
      <c r="L637" s="14"/>
      <c r="M637" s="12">
        <v>125</v>
      </c>
      <c r="N637" s="9"/>
      <c r="O637" s="9"/>
      <c r="P637" s="9"/>
      <c r="Q637" s="38">
        <f>M637+X637-AG637-BB637</f>
        <v>125</v>
      </c>
      <c r="R637" s="12"/>
      <c r="S637" s="42"/>
      <c r="T637" s="15"/>
      <c r="U637" s="44"/>
      <c r="V637" s="15"/>
      <c r="W637" s="44"/>
      <c r="X637" s="15">
        <f>R637+T637+V637</f>
        <v>0</v>
      </c>
      <c r="Y637" s="15"/>
      <c r="Z637" s="44"/>
      <c r="AA637" s="15"/>
      <c r="AB637" s="44"/>
      <c r="AC637" s="15"/>
      <c r="AD637" s="44"/>
      <c r="AE637" s="15"/>
      <c r="AF637" s="44"/>
      <c r="AG637" s="15">
        <f>(Y637+AA637+AC637+AE637)</f>
        <v>0</v>
      </c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/>
      <c r="BA637" s="42"/>
      <c r="BB637" s="15"/>
      <c r="BC637" s="15"/>
      <c r="BD637" s="44"/>
      <c r="BE637" s="15"/>
      <c r="BF637" s="44"/>
      <c r="BG637" s="15"/>
    </row>
    <row r="638" spans="1:59" s="8" customFormat="1" ht="22.5" hidden="1" customHeight="1">
      <c r="A638" s="9"/>
      <c r="B638" s="16" t="s">
        <v>581</v>
      </c>
      <c r="C638" s="114" t="s">
        <v>132</v>
      </c>
      <c r="D638" s="61" t="s">
        <v>1752</v>
      </c>
      <c r="E638" s="13" t="s">
        <v>1753</v>
      </c>
      <c r="F638" s="120" t="s">
        <v>2211</v>
      </c>
      <c r="G638" s="121"/>
      <c r="H638" s="95"/>
      <c r="I638" s="9"/>
      <c r="J638" s="9" t="s">
        <v>584</v>
      </c>
      <c r="K638" s="14"/>
      <c r="L638" s="14"/>
      <c r="M638" s="12">
        <v>89</v>
      </c>
      <c r="N638" s="9"/>
      <c r="O638" s="9"/>
      <c r="P638" s="9"/>
      <c r="Q638" s="38">
        <f>M638+X638-AG638-BB638</f>
        <v>89</v>
      </c>
      <c r="R638" s="12"/>
      <c r="S638" s="42"/>
      <c r="T638" s="15"/>
      <c r="U638" s="44"/>
      <c r="V638" s="15"/>
      <c r="W638" s="44"/>
      <c r="X638" s="15">
        <f>R638+T638+V638</f>
        <v>0</v>
      </c>
      <c r="Y638" s="15"/>
      <c r="Z638" s="44"/>
      <c r="AA638" s="15"/>
      <c r="AB638" s="44"/>
      <c r="AC638" s="15"/>
      <c r="AD638" s="44"/>
      <c r="AE638" s="15"/>
      <c r="AF638" s="44"/>
      <c r="AG638" s="15">
        <f>(Y638+AA638+AC638+AE638)</f>
        <v>0</v>
      </c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/>
      <c r="BA638" s="42"/>
      <c r="BB638" s="15">
        <f>AH638+AJ638+AL638+AN638+AP638+AR638+AT638+AV638+AX638+AZ638</f>
        <v>0</v>
      </c>
      <c r="BC638" s="15"/>
      <c r="BD638" s="44"/>
      <c r="BE638" s="15"/>
      <c r="BF638" s="44"/>
      <c r="BG638" s="15">
        <f>(BC638+BE638)</f>
        <v>0</v>
      </c>
    </row>
    <row r="639" spans="1:59" s="8" customFormat="1" ht="22.5" customHeight="1">
      <c r="A639" s="9"/>
      <c r="B639" s="18" t="s">
        <v>204</v>
      </c>
      <c r="C639" s="114" t="s">
        <v>132</v>
      </c>
      <c r="D639" s="61" t="s">
        <v>213</v>
      </c>
      <c r="E639" s="115" t="s">
        <v>206</v>
      </c>
      <c r="F639" s="116" t="s">
        <v>2164</v>
      </c>
      <c r="G639" s="116"/>
      <c r="H639" s="96"/>
      <c r="I639" s="21"/>
      <c r="J639" s="21" t="s">
        <v>207</v>
      </c>
      <c r="K639" s="14"/>
      <c r="L639" s="14"/>
      <c r="M639" s="12">
        <v>0</v>
      </c>
      <c r="N639" s="9"/>
      <c r="O639" s="9"/>
      <c r="P639" s="9"/>
      <c r="Q639" s="38">
        <f>M639+X639-AG639-BB639</f>
        <v>0</v>
      </c>
      <c r="R639" s="12"/>
      <c r="S639" s="42"/>
      <c r="T639" s="15"/>
      <c r="U639" s="44"/>
      <c r="V639" s="15"/>
      <c r="W639" s="44"/>
      <c r="X639" s="15">
        <f>R639+T639+V639</f>
        <v>0</v>
      </c>
      <c r="Y639" s="15"/>
      <c r="Z639" s="44"/>
      <c r="AA639" s="15"/>
      <c r="AB639" s="44"/>
      <c r="AC639" s="15"/>
      <c r="AD639" s="44"/>
      <c r="AE639" s="15"/>
      <c r="AF639" s="44"/>
      <c r="AG639" s="15">
        <f>(Y639+AA639+AC639+AE639)</f>
        <v>0</v>
      </c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/>
      <c r="BA639" s="42"/>
      <c r="BB639" s="15">
        <f>AH639+AJ639+AL639+AN639+AP639+AR639+AT639+AV639+AX639+AZ639</f>
        <v>0</v>
      </c>
      <c r="BC639" s="15"/>
      <c r="BD639" s="44"/>
      <c r="BE639" s="15"/>
      <c r="BF639" s="44"/>
      <c r="BG639" s="15">
        <f>(BC639+BE639)</f>
        <v>0</v>
      </c>
    </row>
    <row r="640" spans="1:59" s="8" customFormat="1" ht="22.5" hidden="1" customHeight="1">
      <c r="A640" s="9"/>
      <c r="B640" s="16" t="s">
        <v>204</v>
      </c>
      <c r="C640" s="114" t="s">
        <v>2183</v>
      </c>
      <c r="D640" s="61" t="s">
        <v>410</v>
      </c>
      <c r="E640" s="22" t="s">
        <v>346</v>
      </c>
      <c r="F640" s="122" t="s">
        <v>2184</v>
      </c>
      <c r="G640" s="122"/>
      <c r="H640" s="95"/>
      <c r="I640" s="9"/>
      <c r="J640" s="9"/>
      <c r="K640" s="14"/>
      <c r="L640" s="14"/>
      <c r="M640" s="12">
        <v>206</v>
      </c>
      <c r="N640" s="9"/>
      <c r="O640" s="9"/>
      <c r="P640" s="9"/>
      <c r="Q640" s="38">
        <f>M640+X640-AG640-BB640</f>
        <v>206</v>
      </c>
      <c r="R640" s="12"/>
      <c r="S640" s="42"/>
      <c r="T640" s="15"/>
      <c r="U640" s="44"/>
      <c r="V640" s="15"/>
      <c r="W640" s="44"/>
      <c r="X640" s="15">
        <f>R640+T640+V640</f>
        <v>0</v>
      </c>
      <c r="Y640" s="15"/>
      <c r="Z640" s="44"/>
      <c r="AA640" s="15"/>
      <c r="AB640" s="44"/>
      <c r="AC640" s="15"/>
      <c r="AD640" s="44"/>
      <c r="AE640" s="15"/>
      <c r="AF640" s="44"/>
      <c r="AG640" s="15">
        <f>(Y640+AA640+AC640+AE640)</f>
        <v>0</v>
      </c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/>
      <c r="BA640" s="42"/>
      <c r="BB640" s="15"/>
      <c r="BC640" s="15"/>
      <c r="BD640" s="44"/>
      <c r="BE640" s="15"/>
      <c r="BF640" s="44"/>
      <c r="BG640" s="15"/>
    </row>
    <row r="641" spans="1:59" s="8" customFormat="1" ht="22.5" hidden="1" customHeight="1">
      <c r="A641" s="9"/>
      <c r="B641" s="18" t="s">
        <v>172</v>
      </c>
      <c r="C641" s="114" t="s">
        <v>140</v>
      </c>
      <c r="D641" s="61" t="s">
        <v>253</v>
      </c>
      <c r="E641" s="35" t="s">
        <v>413</v>
      </c>
      <c r="F641" s="106" t="s">
        <v>2272</v>
      </c>
      <c r="G641" s="106"/>
      <c r="H641" s="96"/>
      <c r="I641" s="21"/>
      <c r="J641" s="21" t="s">
        <v>67</v>
      </c>
      <c r="K641" s="14"/>
      <c r="L641" s="14"/>
      <c r="M641" s="12">
        <v>93</v>
      </c>
      <c r="N641" s="9"/>
      <c r="O641" s="9"/>
      <c r="P641" s="9"/>
      <c r="Q641" s="38">
        <f>M641+X641-AG641-BB641</f>
        <v>93</v>
      </c>
      <c r="R641" s="12"/>
      <c r="S641" s="42"/>
      <c r="T641" s="15"/>
      <c r="U641" s="44"/>
      <c r="V641" s="15"/>
      <c r="W641" s="44"/>
      <c r="X641" s="15">
        <f>R641+T641+V641</f>
        <v>0</v>
      </c>
      <c r="Y641" s="15"/>
      <c r="Z641" s="44"/>
      <c r="AA641" s="15"/>
      <c r="AB641" s="44"/>
      <c r="AC641" s="15"/>
      <c r="AD641" s="44"/>
      <c r="AE641" s="15"/>
      <c r="AF641" s="44"/>
      <c r="AG641" s="15">
        <f>(Y641+AA641+AC641+AE641)</f>
        <v>0</v>
      </c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/>
      <c r="BA641" s="42"/>
      <c r="BB641" s="15">
        <f>AH641+AJ641+AL641+AN641+AP641+AR641+AT641+AV641+AX641+AZ641</f>
        <v>0</v>
      </c>
      <c r="BC641" s="15"/>
      <c r="BD641" s="44"/>
      <c r="BE641" s="15"/>
      <c r="BF641" s="44"/>
      <c r="BG641" s="15">
        <f>(BC641+BE641)</f>
        <v>0</v>
      </c>
    </row>
    <row r="642" spans="1:59" s="8" customFormat="1" ht="22.5" customHeight="1">
      <c r="A642" s="9"/>
      <c r="B642" s="16" t="s">
        <v>204</v>
      </c>
      <c r="C642" s="114" t="s">
        <v>44</v>
      </c>
      <c r="D642" s="61" t="s">
        <v>816</v>
      </c>
      <c r="E642" s="13"/>
      <c r="F642" s="106" t="s">
        <v>2268</v>
      </c>
      <c r="G642" s="106"/>
      <c r="H642" s="95"/>
      <c r="I642" s="9"/>
      <c r="J642" s="9" t="s">
        <v>817</v>
      </c>
      <c r="K642" s="14"/>
      <c r="L642" s="14"/>
      <c r="M642" s="12"/>
      <c r="N642" s="9"/>
      <c r="O642" s="9"/>
      <c r="P642" s="9"/>
      <c r="Q642" s="38">
        <f>M642+X642-AG642-BB642</f>
        <v>0</v>
      </c>
      <c r="R642" s="12"/>
      <c r="S642" s="42"/>
      <c r="T642" s="15"/>
      <c r="U642" s="44"/>
      <c r="V642" s="15"/>
      <c r="W642" s="44"/>
      <c r="X642" s="15">
        <f>R642+T642+V642</f>
        <v>0</v>
      </c>
      <c r="Y642" s="15"/>
      <c r="Z642" s="44"/>
      <c r="AA642" s="15"/>
      <c r="AB642" s="44"/>
      <c r="AC642" s="15"/>
      <c r="AD642" s="44"/>
      <c r="AE642" s="15"/>
      <c r="AF642" s="44"/>
      <c r="AG642" s="15">
        <f>(Y642+AA642+AC642+AE642)</f>
        <v>0</v>
      </c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/>
      <c r="BA642" s="42"/>
      <c r="BB642" s="15">
        <f>AH642+AJ642+AL642+AN642+AP642+AR642+AT642+AV642+AX642+AZ642</f>
        <v>0</v>
      </c>
      <c r="BC642" s="15"/>
      <c r="BD642" s="44"/>
      <c r="BE642" s="15"/>
      <c r="BF642" s="44"/>
      <c r="BG642" s="15">
        <f>(BC642+BE642)</f>
        <v>0</v>
      </c>
    </row>
    <row r="643" spans="1:59" s="8" customFormat="1" ht="22.5" customHeight="1">
      <c r="A643" s="9"/>
      <c r="B643" s="16" t="s">
        <v>799</v>
      </c>
      <c r="C643" s="114"/>
      <c r="D643" s="61" t="s">
        <v>800</v>
      </c>
      <c r="E643" s="13" t="s">
        <v>48</v>
      </c>
      <c r="F643" s="107" t="s">
        <v>2294</v>
      </c>
      <c r="G643" s="107"/>
      <c r="H643" s="95"/>
      <c r="I643" s="9"/>
      <c r="J643" s="9" t="s">
        <v>687</v>
      </c>
      <c r="K643" s="14"/>
      <c r="L643" s="14"/>
      <c r="M643" s="12"/>
      <c r="N643" s="9"/>
      <c r="O643" s="9"/>
      <c r="P643" s="9"/>
      <c r="Q643" s="38">
        <f>M643+X643-AG643-BB643</f>
        <v>0</v>
      </c>
      <c r="R643" s="12"/>
      <c r="S643" s="42"/>
      <c r="T643" s="15"/>
      <c r="U643" s="44"/>
      <c r="V643" s="15"/>
      <c r="W643" s="44"/>
      <c r="X643" s="15">
        <f>R643+T643+V643</f>
        <v>0</v>
      </c>
      <c r="Y643" s="15"/>
      <c r="Z643" s="44"/>
      <c r="AA643" s="15"/>
      <c r="AB643" s="44"/>
      <c r="AC643" s="15"/>
      <c r="AD643" s="44"/>
      <c r="AE643" s="15"/>
      <c r="AF643" s="44"/>
      <c r="AG643" s="15">
        <f>(Y643+AA643+AC643+AE643)</f>
        <v>0</v>
      </c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/>
      <c r="BA643" s="42"/>
      <c r="BB643" s="15">
        <f>AH643+AJ643+AL643+AN643+AP643+AR643+AT643+AV643+AX643+AZ643</f>
        <v>0</v>
      </c>
      <c r="BC643" s="15"/>
      <c r="BD643" s="44"/>
      <c r="BE643" s="15"/>
      <c r="BF643" s="44"/>
      <c r="BG643" s="15">
        <f>(BC643+BE643)</f>
        <v>0</v>
      </c>
    </row>
    <row r="644" spans="1:59" s="8" customFormat="1" ht="22.5" customHeight="1">
      <c r="A644" s="9"/>
      <c r="B644" s="16" t="s">
        <v>801</v>
      </c>
      <c r="C644" s="114"/>
      <c r="D644" s="61" t="s">
        <v>802</v>
      </c>
      <c r="E644" s="13"/>
      <c r="F644" s="107" t="s">
        <v>2295</v>
      </c>
      <c r="G644" s="107"/>
      <c r="H644" s="95"/>
      <c r="I644" s="9"/>
      <c r="J644" s="9" t="s">
        <v>687</v>
      </c>
      <c r="K644" s="14"/>
      <c r="L644" s="14"/>
      <c r="M644" s="12"/>
      <c r="N644" s="9"/>
      <c r="O644" s="9"/>
      <c r="P644" s="9"/>
      <c r="Q644" s="38">
        <f>M644+X644-AG644-BB644</f>
        <v>0</v>
      </c>
      <c r="R644" s="12"/>
      <c r="S644" s="42"/>
      <c r="T644" s="15"/>
      <c r="U644" s="44"/>
      <c r="V644" s="15"/>
      <c r="W644" s="44"/>
      <c r="X644" s="15">
        <f>R644+T644+V644</f>
        <v>0</v>
      </c>
      <c r="Y644" s="15"/>
      <c r="Z644" s="44"/>
      <c r="AA644" s="15"/>
      <c r="AB644" s="44"/>
      <c r="AC644" s="15"/>
      <c r="AD644" s="44"/>
      <c r="AE644" s="15"/>
      <c r="AF644" s="44"/>
      <c r="AG644" s="15">
        <f>(Y644+AA644+AC644+AE644)</f>
        <v>0</v>
      </c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/>
      <c r="BA644" s="42"/>
      <c r="BB644" s="15">
        <f>AH644+AJ644+AL644+AN644+AP644+AR644+AT644+AV644+AX644+AZ644</f>
        <v>0</v>
      </c>
      <c r="BC644" s="15"/>
      <c r="BD644" s="44"/>
      <c r="BE644" s="15"/>
      <c r="BF644" s="44"/>
      <c r="BG644" s="15">
        <f>(BC644+BE644)</f>
        <v>0</v>
      </c>
    </row>
    <row r="645" spans="1:59" s="8" customFormat="1" ht="22.5" customHeight="1">
      <c r="A645" s="9">
        <v>999</v>
      </c>
      <c r="B645" s="16" t="s">
        <v>120</v>
      </c>
      <c r="C645" s="114"/>
      <c r="D645" s="61" t="s">
        <v>947</v>
      </c>
      <c r="E645" s="13"/>
      <c r="F645" s="108" t="s">
        <v>2298</v>
      </c>
      <c r="G645" s="108"/>
      <c r="H645" s="12"/>
      <c r="I645" s="9"/>
      <c r="J645" s="9" t="s">
        <v>67</v>
      </c>
      <c r="K645" s="14"/>
      <c r="L645" s="14"/>
      <c r="M645" s="12"/>
      <c r="N645" s="9"/>
      <c r="O645" s="9"/>
      <c r="P645" s="9"/>
      <c r="Q645" s="38">
        <f>M645+X645-AG645-BB645</f>
        <v>0</v>
      </c>
      <c r="R645" s="12"/>
      <c r="S645" s="42"/>
      <c r="T645" s="15"/>
      <c r="U645" s="44"/>
      <c r="V645" s="15"/>
      <c r="W645" s="44"/>
      <c r="X645" s="15">
        <f>R645+T645+V645</f>
        <v>0</v>
      </c>
      <c r="Y645" s="15"/>
      <c r="Z645" s="44"/>
      <c r="AA645" s="15"/>
      <c r="AB645" s="44"/>
      <c r="AC645" s="15"/>
      <c r="AD645" s="44"/>
      <c r="AE645" s="15"/>
      <c r="AF645" s="44"/>
      <c r="AG645" s="15">
        <f>(Y645+AA645+AC645+AE645)</f>
        <v>0</v>
      </c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/>
      <c r="BA645" s="42"/>
      <c r="BB645" s="15">
        <f>AH645+AJ645+AL645+AN645+AP645+AR645+AT645+AV645+AX645+AZ645</f>
        <v>0</v>
      </c>
      <c r="BC645" s="15"/>
      <c r="BD645" s="44"/>
      <c r="BE645" s="15"/>
      <c r="BF645" s="44"/>
      <c r="BG645" s="15">
        <f>(BC645+BE645)</f>
        <v>0</v>
      </c>
    </row>
    <row r="646" spans="1:59" s="8" customFormat="1" ht="22.5" customHeight="1">
      <c r="A646" s="9">
        <v>999</v>
      </c>
      <c r="B646" s="16" t="s">
        <v>120</v>
      </c>
      <c r="C646" s="114"/>
      <c r="D646" s="61" t="s">
        <v>948</v>
      </c>
      <c r="E646" s="13"/>
      <c r="F646" s="108" t="s">
        <v>2299</v>
      </c>
      <c r="G646" s="108"/>
      <c r="H646" s="12"/>
      <c r="I646" s="9"/>
      <c r="J646" s="9" t="s">
        <v>67</v>
      </c>
      <c r="K646" s="14"/>
      <c r="L646" s="14"/>
      <c r="M646" s="12"/>
      <c r="N646" s="9"/>
      <c r="O646" s="9"/>
      <c r="P646" s="9"/>
      <c r="Q646" s="38">
        <f>M646+X646-AG646-BB646</f>
        <v>0</v>
      </c>
      <c r="R646" s="12"/>
      <c r="S646" s="42"/>
      <c r="T646" s="15"/>
      <c r="U646" s="44"/>
      <c r="V646" s="15"/>
      <c r="W646" s="44"/>
      <c r="X646" s="15">
        <f>R646+T646+V646</f>
        <v>0</v>
      </c>
      <c r="Y646" s="15"/>
      <c r="Z646" s="44"/>
      <c r="AA646" s="15"/>
      <c r="AB646" s="44"/>
      <c r="AC646" s="15"/>
      <c r="AD646" s="44"/>
      <c r="AE646" s="15"/>
      <c r="AF646" s="44"/>
      <c r="AG646" s="15">
        <f>(Y646+AA646+AC646+AE646)</f>
        <v>0</v>
      </c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/>
      <c r="BA646" s="42"/>
      <c r="BB646" s="15">
        <f>AH646+AJ646+AL646+AN646+AP646+AR646+AT646+AV646+AX646+AZ646</f>
        <v>0</v>
      </c>
      <c r="BC646" s="15"/>
      <c r="BD646" s="44"/>
      <c r="BE646" s="15"/>
      <c r="BF646" s="44"/>
      <c r="BG646" s="15">
        <f>(BC646+BE646)</f>
        <v>0</v>
      </c>
    </row>
    <row r="647" spans="1:59" s="8" customFormat="1" ht="22.5" hidden="1" customHeight="1">
      <c r="A647" s="9"/>
      <c r="B647" s="16" t="s">
        <v>632</v>
      </c>
      <c r="C647" s="114" t="s">
        <v>132</v>
      </c>
      <c r="D647" s="61" t="s">
        <v>633</v>
      </c>
      <c r="E647" s="13"/>
      <c r="F647" s="106" t="s">
        <v>2214</v>
      </c>
      <c r="G647" s="106" t="s">
        <v>2224</v>
      </c>
      <c r="H647" s="95"/>
      <c r="I647" s="9"/>
      <c r="J647" s="9" t="s">
        <v>247</v>
      </c>
      <c r="K647" s="14"/>
      <c r="L647" s="14"/>
      <c r="M647" s="12"/>
      <c r="N647" s="9"/>
      <c r="O647" s="9"/>
      <c r="P647" s="9"/>
      <c r="Q647" s="38">
        <f>M647+X647-AG647-BB647</f>
        <v>0</v>
      </c>
      <c r="R647" s="12"/>
      <c r="S647" s="42"/>
      <c r="T647" s="15"/>
      <c r="U647" s="44"/>
      <c r="V647" s="15"/>
      <c r="W647" s="44"/>
      <c r="X647" s="15">
        <f>R647+T647+V647</f>
        <v>0</v>
      </c>
      <c r="Y647" s="15"/>
      <c r="Z647" s="44"/>
      <c r="AA647" s="15"/>
      <c r="AB647" s="44"/>
      <c r="AC647" s="15"/>
      <c r="AD647" s="44"/>
      <c r="AE647" s="15"/>
      <c r="AF647" s="44"/>
      <c r="AG647" s="15">
        <f>(Y647+AA647+AC647+AE647)</f>
        <v>0</v>
      </c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/>
      <c r="BA647" s="42"/>
      <c r="BB647" s="15">
        <f>AH647+AJ647+AL647+AN647+AP647+AR647+AT647+AV647+AX647+AZ647</f>
        <v>0</v>
      </c>
      <c r="BC647" s="15"/>
      <c r="BD647" s="44"/>
      <c r="BE647" s="15"/>
      <c r="BF647" s="44"/>
      <c r="BG647" s="15">
        <f>(BC647+BE647)</f>
        <v>0</v>
      </c>
    </row>
    <row r="648" spans="1:59" s="8" customFormat="1" ht="22.5" hidden="1" customHeight="1">
      <c r="A648" s="9"/>
      <c r="B648" s="16" t="s">
        <v>632</v>
      </c>
      <c r="C648" s="114" t="s">
        <v>132</v>
      </c>
      <c r="D648" s="61" t="s">
        <v>635</v>
      </c>
      <c r="E648" s="13"/>
      <c r="F648" s="135" t="s">
        <v>2217</v>
      </c>
      <c r="G648" s="135" t="s">
        <v>2225</v>
      </c>
      <c r="H648" s="95"/>
      <c r="I648" s="9"/>
      <c r="J648" s="9" t="s">
        <v>247</v>
      </c>
      <c r="K648" s="14"/>
      <c r="L648" s="14"/>
      <c r="M648" s="12"/>
      <c r="N648" s="9"/>
      <c r="O648" s="9"/>
      <c r="P648" s="9"/>
      <c r="Q648" s="38">
        <f>M648+X648-AG648-BB648</f>
        <v>0</v>
      </c>
      <c r="R648" s="12"/>
      <c r="S648" s="42"/>
      <c r="T648" s="15"/>
      <c r="U648" s="44"/>
      <c r="V648" s="15"/>
      <c r="W648" s="44"/>
      <c r="X648" s="15">
        <f>R648+T648+V648</f>
        <v>0</v>
      </c>
      <c r="Y648" s="15"/>
      <c r="Z648" s="44"/>
      <c r="AA648" s="15"/>
      <c r="AB648" s="44"/>
      <c r="AC648" s="15"/>
      <c r="AD648" s="44"/>
      <c r="AE648" s="15"/>
      <c r="AF648" s="44"/>
      <c r="AG648" s="15">
        <f>(Y648+AA648+AC648+AE648)</f>
        <v>0</v>
      </c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/>
      <c r="BA648" s="42"/>
      <c r="BB648" s="15">
        <f>AH648+AJ648+AL648+AN648+AP648+AR648+AT648+AV648+AX648+AZ648</f>
        <v>0</v>
      </c>
      <c r="BC648" s="15"/>
      <c r="BD648" s="44"/>
      <c r="BE648" s="15"/>
      <c r="BF648" s="44"/>
      <c r="BG648" s="15">
        <f>(BC648+BE648)</f>
        <v>0</v>
      </c>
    </row>
    <row r="649" spans="1:59" s="8" customFormat="1" ht="22.5" hidden="1" customHeight="1">
      <c r="A649" s="9"/>
      <c r="B649" s="16" t="s">
        <v>632</v>
      </c>
      <c r="C649" s="114" t="s">
        <v>48</v>
      </c>
      <c r="D649" s="61" t="s">
        <v>637</v>
      </c>
      <c r="E649" s="13"/>
      <c r="F649" s="135" t="s">
        <v>2219</v>
      </c>
      <c r="G649" s="135" t="s">
        <v>2228</v>
      </c>
      <c r="H649" s="95"/>
      <c r="I649" s="9"/>
      <c r="J649" s="9" t="s">
        <v>247</v>
      </c>
      <c r="K649" s="14"/>
      <c r="L649" s="14"/>
      <c r="M649" s="12"/>
      <c r="N649" s="9"/>
      <c r="O649" s="9"/>
      <c r="P649" s="9"/>
      <c r="Q649" s="38">
        <f>M649+X649-AG649-BB649</f>
        <v>0</v>
      </c>
      <c r="R649" s="12"/>
      <c r="S649" s="42"/>
      <c r="T649" s="15"/>
      <c r="U649" s="44"/>
      <c r="V649" s="15"/>
      <c r="W649" s="44"/>
      <c r="X649" s="15">
        <f>R649+T649+V649</f>
        <v>0</v>
      </c>
      <c r="Y649" s="15"/>
      <c r="Z649" s="44"/>
      <c r="AA649" s="15"/>
      <c r="AB649" s="44"/>
      <c r="AC649" s="15"/>
      <c r="AD649" s="44"/>
      <c r="AE649" s="15"/>
      <c r="AF649" s="44"/>
      <c r="AG649" s="15">
        <f>(Y649+AA649+AC649+AE649)</f>
        <v>0</v>
      </c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/>
      <c r="BA649" s="42"/>
      <c r="BB649" s="15">
        <f>AH649+AJ649+AL649+AN649+AP649+AR649+AT649+AV649+AX649+AZ649</f>
        <v>0</v>
      </c>
      <c r="BC649" s="15"/>
      <c r="BD649" s="44"/>
      <c r="BE649" s="15"/>
      <c r="BF649" s="44"/>
      <c r="BG649" s="15">
        <f>(BC649+BE649)</f>
        <v>0</v>
      </c>
    </row>
    <row r="650" spans="1:59" s="8" customFormat="1" ht="22.5" hidden="1" customHeight="1">
      <c r="A650" s="9"/>
      <c r="B650" s="16" t="s">
        <v>632</v>
      </c>
      <c r="C650" s="114" t="s">
        <v>48</v>
      </c>
      <c r="D650" s="61" t="s">
        <v>635</v>
      </c>
      <c r="E650" s="13"/>
      <c r="F650" s="106" t="s">
        <v>2220</v>
      </c>
      <c r="G650" s="106" t="s">
        <v>2229</v>
      </c>
      <c r="H650" s="95"/>
      <c r="I650" s="9"/>
      <c r="J650" s="9" t="s">
        <v>247</v>
      </c>
      <c r="K650" s="14"/>
      <c r="L650" s="14"/>
      <c r="M650" s="12"/>
      <c r="N650" s="9"/>
      <c r="O650" s="9"/>
      <c r="P650" s="9"/>
      <c r="Q650" s="38">
        <f>M650+X650-AG650-BB650</f>
        <v>0</v>
      </c>
      <c r="R650" s="12"/>
      <c r="S650" s="42"/>
      <c r="T650" s="15"/>
      <c r="U650" s="44"/>
      <c r="V650" s="15"/>
      <c r="W650" s="44"/>
      <c r="X650" s="15">
        <f>R650+T650+V650</f>
        <v>0</v>
      </c>
      <c r="Y650" s="15"/>
      <c r="Z650" s="44"/>
      <c r="AA650" s="15"/>
      <c r="AB650" s="44"/>
      <c r="AC650" s="15"/>
      <c r="AD650" s="44"/>
      <c r="AE650" s="15"/>
      <c r="AF650" s="44"/>
      <c r="AG650" s="15">
        <f>(Y650+AA650+AC650+AE650)</f>
        <v>0</v>
      </c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/>
      <c r="BA650" s="42"/>
      <c r="BB650" s="15">
        <f>AH650+AJ650+AL650+AN650+AP650+AR650+AT650+AV650+AX650+AZ650</f>
        <v>0</v>
      </c>
      <c r="BC650" s="15"/>
      <c r="BD650" s="44"/>
      <c r="BE650" s="15"/>
      <c r="BF650" s="44"/>
      <c r="BG650" s="15">
        <f>(BC650+BE650)</f>
        <v>0</v>
      </c>
    </row>
    <row r="651" spans="1:59" s="8" customFormat="1" ht="22.5" hidden="1" customHeight="1">
      <c r="A651" s="9"/>
      <c r="B651" s="16" t="s">
        <v>632</v>
      </c>
      <c r="C651" s="114" t="s">
        <v>52</v>
      </c>
      <c r="D651" s="61" t="s">
        <v>637</v>
      </c>
      <c r="E651" s="17"/>
      <c r="F651" s="122" t="s">
        <v>2226</v>
      </c>
      <c r="G651" s="122" t="s">
        <v>2227</v>
      </c>
      <c r="H651" s="95"/>
      <c r="I651" s="9"/>
      <c r="J651" s="9" t="s">
        <v>247</v>
      </c>
      <c r="K651" s="14"/>
      <c r="L651" s="14"/>
      <c r="M651" s="12"/>
      <c r="N651" s="9"/>
      <c r="O651" s="9"/>
      <c r="P651" s="9"/>
      <c r="Q651" s="38">
        <f>M651+X651-AG651-BB651</f>
        <v>0</v>
      </c>
      <c r="R651" s="12"/>
      <c r="S651" s="42"/>
      <c r="T651" s="15"/>
      <c r="U651" s="44"/>
      <c r="V651" s="15"/>
      <c r="W651" s="44"/>
      <c r="X651" s="15">
        <f>R651+T651+V651</f>
        <v>0</v>
      </c>
      <c r="Y651" s="15"/>
      <c r="Z651" s="44"/>
      <c r="AA651" s="15"/>
      <c r="AB651" s="44"/>
      <c r="AC651" s="15"/>
      <c r="AD651" s="44"/>
      <c r="AE651" s="15"/>
      <c r="AF651" s="44"/>
      <c r="AG651" s="15">
        <f>(Y651+AA651+AC651+AE651)</f>
        <v>0</v>
      </c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/>
      <c r="BA651" s="42"/>
      <c r="BB651" s="15">
        <f>AH651+AJ651+AL651+AN651+AP651+AR651+AT651+AV651+AX651+AZ651</f>
        <v>0</v>
      </c>
      <c r="BC651" s="15"/>
      <c r="BD651" s="44"/>
      <c r="BE651" s="15"/>
      <c r="BF651" s="44"/>
      <c r="BG651" s="15">
        <f>(BC651+BE651)</f>
        <v>0</v>
      </c>
    </row>
    <row r="652" spans="1:59" s="8" customFormat="1" ht="22.5" customHeight="1">
      <c r="A652" s="9">
        <v>999</v>
      </c>
      <c r="B652" s="16" t="s">
        <v>120</v>
      </c>
      <c r="C652" s="114"/>
      <c r="D652" s="61" t="s">
        <v>949</v>
      </c>
      <c r="E652" s="13"/>
      <c r="F652" s="108" t="s">
        <v>2300</v>
      </c>
      <c r="G652" s="108"/>
      <c r="H652" s="12"/>
      <c r="I652" s="9"/>
      <c r="J652" s="9" t="s">
        <v>67</v>
      </c>
      <c r="K652" s="14"/>
      <c r="L652" s="14"/>
      <c r="M652" s="12"/>
      <c r="N652" s="9"/>
      <c r="O652" s="9"/>
      <c r="P652" s="9"/>
      <c r="Q652" s="38">
        <f>M652+X652-AG652-BB652</f>
        <v>0</v>
      </c>
      <c r="R652" s="12"/>
      <c r="S652" s="42"/>
      <c r="T652" s="15"/>
      <c r="U652" s="44"/>
      <c r="V652" s="15"/>
      <c r="W652" s="44"/>
      <c r="X652" s="15">
        <f>R652+T652+V652</f>
        <v>0</v>
      </c>
      <c r="Y652" s="15"/>
      <c r="Z652" s="44"/>
      <c r="AA652" s="15"/>
      <c r="AB652" s="44"/>
      <c r="AC652" s="15"/>
      <c r="AD652" s="44"/>
      <c r="AE652" s="15"/>
      <c r="AF652" s="44"/>
      <c r="AG652" s="15">
        <f>(Y652+AA652+AC652+AE652)</f>
        <v>0</v>
      </c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/>
      <c r="BA652" s="42"/>
      <c r="BB652" s="15">
        <f>AH652+AJ652+AL652+AN652+AP652+AR652+AT652+AV652+AX652+AZ652</f>
        <v>0</v>
      </c>
      <c r="BC652" s="15"/>
      <c r="BD652" s="44"/>
      <c r="BE652" s="15"/>
      <c r="BF652" s="44"/>
      <c r="BG652" s="15">
        <f>(BC652+BE652)</f>
        <v>0</v>
      </c>
    </row>
    <row r="653" spans="1:59" s="8" customFormat="1" ht="22.5" customHeight="1">
      <c r="A653" s="9">
        <v>999</v>
      </c>
      <c r="B653" s="16" t="s">
        <v>120</v>
      </c>
      <c r="C653" s="114"/>
      <c r="D653" s="61" t="s">
        <v>950</v>
      </c>
      <c r="E653" s="13"/>
      <c r="F653" s="108" t="s">
        <v>2301</v>
      </c>
      <c r="G653" s="108"/>
      <c r="H653" s="12"/>
      <c r="I653" s="9"/>
      <c r="J653" s="9" t="s">
        <v>67</v>
      </c>
      <c r="K653" s="14"/>
      <c r="L653" s="14"/>
      <c r="M653" s="12"/>
      <c r="N653" s="9"/>
      <c r="O653" s="9"/>
      <c r="P653" s="9"/>
      <c r="Q653" s="38">
        <f>M653+X653-AG653-BB653</f>
        <v>0</v>
      </c>
      <c r="R653" s="12"/>
      <c r="S653" s="42"/>
      <c r="T653" s="15"/>
      <c r="U653" s="44"/>
      <c r="V653" s="15"/>
      <c r="W653" s="44"/>
      <c r="X653" s="15">
        <f>R653+T653+V653</f>
        <v>0</v>
      </c>
      <c r="Y653" s="15"/>
      <c r="Z653" s="44"/>
      <c r="AA653" s="15"/>
      <c r="AB653" s="44"/>
      <c r="AC653" s="15"/>
      <c r="AD653" s="44"/>
      <c r="AE653" s="15"/>
      <c r="AF653" s="44"/>
      <c r="AG653" s="15">
        <f>(Y653+AA653+AC653+AE653)</f>
        <v>0</v>
      </c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/>
      <c r="BA653" s="42"/>
      <c r="BB653" s="15">
        <f>AH653+AJ653+AL653+AN653+AP653+AR653+AT653+AV653+AX653+AZ653</f>
        <v>0</v>
      </c>
      <c r="BC653" s="15"/>
      <c r="BD653" s="44"/>
      <c r="BE653" s="15"/>
      <c r="BF653" s="44"/>
      <c r="BG653" s="15">
        <f>(BC653+BE653)</f>
        <v>0</v>
      </c>
    </row>
    <row r="654" spans="1:59" s="8" customFormat="1" ht="22.5" customHeight="1">
      <c r="A654" s="9">
        <v>999</v>
      </c>
      <c r="B654" s="16" t="s">
        <v>120</v>
      </c>
      <c r="C654" s="114"/>
      <c r="D654" s="61" t="s">
        <v>951</v>
      </c>
      <c r="E654" s="13"/>
      <c r="F654" s="108" t="s">
        <v>2302</v>
      </c>
      <c r="G654" s="108"/>
      <c r="H654" s="12"/>
      <c r="I654" s="9"/>
      <c r="J654" s="9" t="s">
        <v>67</v>
      </c>
      <c r="K654" s="14"/>
      <c r="L654" s="14"/>
      <c r="M654" s="12"/>
      <c r="N654" s="9"/>
      <c r="O654" s="9"/>
      <c r="P654" s="9"/>
      <c r="Q654" s="38">
        <f>M654+X654-AG654-BB654</f>
        <v>0</v>
      </c>
      <c r="R654" s="12"/>
      <c r="S654" s="42"/>
      <c r="T654" s="15"/>
      <c r="U654" s="44"/>
      <c r="V654" s="15"/>
      <c r="W654" s="44"/>
      <c r="X654" s="15">
        <f>R654+T654+V654</f>
        <v>0</v>
      </c>
      <c r="Y654" s="15"/>
      <c r="Z654" s="44"/>
      <c r="AA654" s="15"/>
      <c r="AB654" s="44"/>
      <c r="AC654" s="15"/>
      <c r="AD654" s="44"/>
      <c r="AE654" s="15"/>
      <c r="AF654" s="44"/>
      <c r="AG654" s="15">
        <f>(Y654+AA654+AC654+AE654)</f>
        <v>0</v>
      </c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/>
      <c r="BA654" s="42"/>
      <c r="BB654" s="15">
        <f>AH654+AJ654+AL654+AN654+AP654+AR654+AT654+AV654+AX654+AZ654</f>
        <v>0</v>
      </c>
      <c r="BC654" s="15"/>
      <c r="BD654" s="44"/>
      <c r="BE654" s="15"/>
      <c r="BF654" s="44"/>
      <c r="BG654" s="15">
        <f>(BC654+BE654)</f>
        <v>0</v>
      </c>
    </row>
    <row r="655" spans="1:59" s="8" customFormat="1" ht="22.5" customHeight="1">
      <c r="A655" s="9">
        <v>999</v>
      </c>
      <c r="B655" s="16" t="s">
        <v>330</v>
      </c>
      <c r="C655" s="114"/>
      <c r="D655" s="61" t="s">
        <v>952</v>
      </c>
      <c r="E655" s="13"/>
      <c r="F655" s="107" t="s">
        <v>2303</v>
      </c>
      <c r="G655" s="107"/>
      <c r="H655" s="12"/>
      <c r="I655" s="9"/>
      <c r="J655" s="9" t="s">
        <v>467</v>
      </c>
      <c r="K655" s="14"/>
      <c r="L655" s="14"/>
      <c r="M655" s="12"/>
      <c r="N655" s="9"/>
      <c r="O655" s="9"/>
      <c r="P655" s="9"/>
      <c r="Q655" s="38">
        <f>M655+X655-AG655-BB655</f>
        <v>0</v>
      </c>
      <c r="R655" s="12"/>
      <c r="S655" s="42"/>
      <c r="T655" s="15"/>
      <c r="U655" s="44"/>
      <c r="V655" s="15"/>
      <c r="W655" s="44"/>
      <c r="X655" s="15">
        <f>R655+T655+V655</f>
        <v>0</v>
      </c>
      <c r="Y655" s="15"/>
      <c r="Z655" s="44"/>
      <c r="AA655" s="15"/>
      <c r="AB655" s="44"/>
      <c r="AC655" s="15"/>
      <c r="AD655" s="44"/>
      <c r="AE655" s="15"/>
      <c r="AF655" s="44"/>
      <c r="AG655" s="15">
        <f>(Y655+AA655+AC655+AE655)</f>
        <v>0</v>
      </c>
      <c r="AH655" s="15"/>
      <c r="AI655" s="42"/>
      <c r="AJ655" s="15"/>
      <c r="AK655" s="42"/>
      <c r="AL655" s="15"/>
      <c r="AM655" s="42"/>
      <c r="AN655" s="15"/>
      <c r="AO655" s="42"/>
      <c r="AP655" s="15"/>
      <c r="AQ655" s="42"/>
      <c r="AR655" s="15"/>
      <c r="AS655" s="42"/>
      <c r="AT655" s="15"/>
      <c r="AU655" s="42"/>
      <c r="AV655" s="15"/>
      <c r="AW655" s="42"/>
      <c r="AX655" s="15"/>
      <c r="AY655" s="42"/>
      <c r="AZ655" s="15"/>
      <c r="BA655" s="42"/>
      <c r="BB655" s="15">
        <f>AH655+AJ655+AL655+AN655+AP655+AR655+AT655+AV655+AX655+AZ655</f>
        <v>0</v>
      </c>
      <c r="BC655" s="15"/>
      <c r="BD655" s="44"/>
      <c r="BE655" s="15"/>
      <c r="BF655" s="44"/>
      <c r="BG655" s="15">
        <f>(BC655+BE655)</f>
        <v>0</v>
      </c>
    </row>
    <row r="656" spans="1:59" s="8" customFormat="1" ht="22.5" customHeight="1">
      <c r="A656" s="9">
        <v>999</v>
      </c>
      <c r="B656" s="16" t="s">
        <v>606</v>
      </c>
      <c r="C656" s="114"/>
      <c r="D656" s="61" t="s">
        <v>955</v>
      </c>
      <c r="E656" s="13" t="s">
        <v>956</v>
      </c>
      <c r="F656" s="107" t="s">
        <v>2304</v>
      </c>
      <c r="G656" s="107"/>
      <c r="H656" s="12"/>
      <c r="I656" s="9"/>
      <c r="J656" s="9" t="s">
        <v>957</v>
      </c>
      <c r="K656" s="14"/>
      <c r="L656" s="14"/>
      <c r="M656" s="12"/>
      <c r="N656" s="9"/>
      <c r="O656" s="9"/>
      <c r="P656" s="9"/>
      <c r="Q656" s="38">
        <f>M656+X656-AG656-BB656</f>
        <v>0</v>
      </c>
      <c r="R656" s="12"/>
      <c r="S656" s="42"/>
      <c r="T656" s="15"/>
      <c r="U656" s="44"/>
      <c r="V656" s="15"/>
      <c r="W656" s="44"/>
      <c r="X656" s="15">
        <f>R656+T656+V656</f>
        <v>0</v>
      </c>
      <c r="Y656" s="15"/>
      <c r="Z656" s="44"/>
      <c r="AA656" s="15"/>
      <c r="AB656" s="44"/>
      <c r="AC656" s="15"/>
      <c r="AD656" s="44"/>
      <c r="AE656" s="15"/>
      <c r="AF656" s="44"/>
      <c r="AG656" s="15">
        <f>(Y656+AA656+AC656+AE656)</f>
        <v>0</v>
      </c>
      <c r="AH656" s="15"/>
      <c r="AI656" s="42"/>
      <c r="AJ656" s="15"/>
      <c r="AK656" s="42"/>
      <c r="AL656" s="15"/>
      <c r="AM656" s="42"/>
      <c r="AN656" s="15"/>
      <c r="AO656" s="42"/>
      <c r="AP656" s="15"/>
      <c r="AQ656" s="42"/>
      <c r="AR656" s="15"/>
      <c r="AS656" s="42"/>
      <c r="AT656" s="15"/>
      <c r="AU656" s="42"/>
      <c r="AV656" s="15"/>
      <c r="AW656" s="42"/>
      <c r="AX656" s="15"/>
      <c r="AY656" s="42"/>
      <c r="AZ656" s="15"/>
      <c r="BA656" s="42"/>
      <c r="BB656" s="15">
        <f>AH656+AJ656+AL656+AN656+AP656+AR656+AT656+AV656+AX656+AZ656</f>
        <v>0</v>
      </c>
      <c r="BC656" s="15"/>
      <c r="BD656" s="44"/>
      <c r="BE656" s="15"/>
      <c r="BF656" s="44"/>
      <c r="BG656" s="15">
        <f>(BC656+BE656)</f>
        <v>0</v>
      </c>
    </row>
    <row r="657" spans="1:59" s="8" customFormat="1" ht="22.5" hidden="1" customHeight="1">
      <c r="A657" s="9">
        <v>999</v>
      </c>
      <c r="B657" s="16" t="s">
        <v>204</v>
      </c>
      <c r="C657" s="114" t="s">
        <v>132</v>
      </c>
      <c r="D657" s="61" t="s">
        <v>2026</v>
      </c>
      <c r="E657" s="11" t="s">
        <v>2027</v>
      </c>
      <c r="F657" s="120" t="s">
        <v>2278</v>
      </c>
      <c r="G657" s="120" t="s">
        <v>2279</v>
      </c>
      <c r="H657" s="12"/>
      <c r="I657" s="9"/>
      <c r="J657" s="9" t="s">
        <v>207</v>
      </c>
      <c r="K657" s="14"/>
      <c r="L657" s="14"/>
      <c r="M657" s="12">
        <v>198</v>
      </c>
      <c r="N657" s="9"/>
      <c r="O657" s="9"/>
      <c r="P657" s="9"/>
      <c r="Q657" s="38">
        <f>M657+X657-AG657-BB657</f>
        <v>198</v>
      </c>
      <c r="R657" s="12"/>
      <c r="S657" s="42"/>
      <c r="T657" s="15"/>
      <c r="U657" s="44"/>
      <c r="V657" s="15"/>
      <c r="W657" s="44"/>
      <c r="X657" s="15">
        <f>R657+T657+V657</f>
        <v>0</v>
      </c>
      <c r="Y657" s="15"/>
      <c r="Z657" s="44"/>
      <c r="AA657" s="15"/>
      <c r="AB657" s="44"/>
      <c r="AC657" s="15"/>
      <c r="AD657" s="44"/>
      <c r="AE657" s="15"/>
      <c r="AF657" s="44"/>
      <c r="AG657" s="15">
        <f>(Y657+AA657+AC657+AE657)</f>
        <v>0</v>
      </c>
      <c r="AH657" s="15"/>
      <c r="AI657" s="42"/>
      <c r="AJ657" s="15"/>
      <c r="AK657" s="42"/>
      <c r="AL657" s="15"/>
      <c r="AM657" s="42"/>
      <c r="AN657" s="15"/>
      <c r="AO657" s="42"/>
      <c r="AP657" s="15"/>
      <c r="AQ657" s="42"/>
      <c r="AR657" s="15"/>
      <c r="AS657" s="42"/>
      <c r="AT657" s="15"/>
      <c r="AU657" s="42"/>
      <c r="AV657" s="15"/>
      <c r="AW657" s="42"/>
      <c r="AX657" s="15"/>
      <c r="AY657" s="42"/>
      <c r="AZ657" s="15"/>
      <c r="BA657" s="42"/>
      <c r="BB657" s="15">
        <f>AH657+AJ657+AL657+AN657+AP657+AR657+AT657+AV657+AX657+AZ657</f>
        <v>0</v>
      </c>
      <c r="BC657" s="15"/>
      <c r="BD657" s="44"/>
      <c r="BE657" s="15"/>
      <c r="BF657" s="44"/>
      <c r="BG657" s="15">
        <f>(BC657+BE657)</f>
        <v>0</v>
      </c>
    </row>
    <row r="658" spans="1:59" s="8" customFormat="1" ht="22.5" customHeight="1">
      <c r="A658" s="9">
        <v>999</v>
      </c>
      <c r="B658" s="16" t="s">
        <v>120</v>
      </c>
      <c r="C658" s="114"/>
      <c r="D658" s="61" t="s">
        <v>958</v>
      </c>
      <c r="E658" s="13"/>
      <c r="F658" s="107" t="s">
        <v>2307</v>
      </c>
      <c r="G658" s="107"/>
      <c r="H658" s="12"/>
      <c r="I658" s="9"/>
      <c r="J658" s="9" t="s">
        <v>67</v>
      </c>
      <c r="K658" s="14"/>
      <c r="L658" s="14"/>
      <c r="M658" s="12"/>
      <c r="N658" s="9"/>
      <c r="O658" s="9"/>
      <c r="P658" s="9"/>
      <c r="Q658" s="38">
        <f>M658+X658-AG658-BB658</f>
        <v>0</v>
      </c>
      <c r="R658" s="12"/>
      <c r="S658" s="42"/>
      <c r="T658" s="15"/>
      <c r="U658" s="44"/>
      <c r="V658" s="15"/>
      <c r="W658" s="44"/>
      <c r="X658" s="15">
        <f>R658+T658+V658</f>
        <v>0</v>
      </c>
      <c r="Y658" s="15"/>
      <c r="Z658" s="44"/>
      <c r="AA658" s="15"/>
      <c r="AB658" s="44"/>
      <c r="AC658" s="15"/>
      <c r="AD658" s="44"/>
      <c r="AE658" s="15"/>
      <c r="AF658" s="44"/>
      <c r="AG658" s="15">
        <f>(Y658+AA658+AC658+AE658)</f>
        <v>0</v>
      </c>
      <c r="AH658" s="15"/>
      <c r="AI658" s="42"/>
      <c r="AJ658" s="15"/>
      <c r="AK658" s="42"/>
      <c r="AL658" s="15"/>
      <c r="AM658" s="42"/>
      <c r="AN658" s="15"/>
      <c r="AO658" s="42"/>
      <c r="AP658" s="15"/>
      <c r="AQ658" s="42"/>
      <c r="AR658" s="15"/>
      <c r="AS658" s="42"/>
      <c r="AT658" s="15"/>
      <c r="AU658" s="42"/>
      <c r="AV658" s="15"/>
      <c r="AW658" s="42"/>
      <c r="AX658" s="15"/>
      <c r="AY658" s="42"/>
      <c r="AZ658" s="15"/>
      <c r="BA658" s="42"/>
      <c r="BB658" s="15">
        <f>AH658+AJ658+AL658+AN658+AP658+AR658+AT658+AV658+AX658+AZ658</f>
        <v>0</v>
      </c>
      <c r="BC658" s="15"/>
      <c r="BD658" s="44"/>
      <c r="BE658" s="15"/>
      <c r="BF658" s="44"/>
      <c r="BG658" s="15">
        <f>(BC658+BE658)</f>
        <v>0</v>
      </c>
    </row>
    <row r="659" spans="1:59" s="8" customFormat="1" ht="22.5" customHeight="1">
      <c r="A659" s="9">
        <v>999</v>
      </c>
      <c r="B659" s="16" t="s">
        <v>959</v>
      </c>
      <c r="C659" s="114"/>
      <c r="D659" s="61" t="s">
        <v>960</v>
      </c>
      <c r="E659" s="13" t="s">
        <v>961</v>
      </c>
      <c r="F659" s="107" t="s">
        <v>2305</v>
      </c>
      <c r="G659" s="107"/>
      <c r="H659" s="12"/>
      <c r="I659" s="9"/>
      <c r="J659" s="9" t="s">
        <v>566</v>
      </c>
      <c r="K659" s="14"/>
      <c r="L659" s="14"/>
      <c r="M659" s="12"/>
      <c r="N659" s="9"/>
      <c r="O659" s="9"/>
      <c r="P659" s="9"/>
      <c r="Q659" s="38">
        <f>M659+X659-AG659-BB659</f>
        <v>0</v>
      </c>
      <c r="R659" s="12"/>
      <c r="S659" s="42"/>
      <c r="T659" s="15"/>
      <c r="U659" s="44"/>
      <c r="V659" s="15"/>
      <c r="W659" s="44"/>
      <c r="X659" s="15">
        <f>R659+T659+V659</f>
        <v>0</v>
      </c>
      <c r="Y659" s="15"/>
      <c r="Z659" s="44"/>
      <c r="AA659" s="15"/>
      <c r="AB659" s="44"/>
      <c r="AC659" s="15"/>
      <c r="AD659" s="44"/>
      <c r="AE659" s="15"/>
      <c r="AF659" s="44"/>
      <c r="AG659" s="15">
        <f>(Y659+AA659+AC659+AE659)</f>
        <v>0</v>
      </c>
      <c r="AH659" s="15"/>
      <c r="AI659" s="42"/>
      <c r="AJ659" s="15"/>
      <c r="AK659" s="42"/>
      <c r="AL659" s="15"/>
      <c r="AM659" s="42"/>
      <c r="AN659" s="15"/>
      <c r="AO659" s="42"/>
      <c r="AP659" s="15"/>
      <c r="AQ659" s="42"/>
      <c r="AR659" s="15"/>
      <c r="AS659" s="42"/>
      <c r="AT659" s="15"/>
      <c r="AU659" s="42"/>
      <c r="AV659" s="15"/>
      <c r="AW659" s="42"/>
      <c r="AX659" s="15"/>
      <c r="AY659" s="42"/>
      <c r="AZ659" s="15"/>
      <c r="BA659" s="42"/>
      <c r="BB659" s="15">
        <f>AH659+AJ659+AL659+AN659+AP659+AR659+AT659+AV659+AX659+AZ659</f>
        <v>0</v>
      </c>
      <c r="BC659" s="15"/>
      <c r="BD659" s="44"/>
      <c r="BE659" s="15"/>
      <c r="BF659" s="44"/>
      <c r="BG659" s="15">
        <f>(BC659+BE659)</f>
        <v>0</v>
      </c>
    </row>
    <row r="660" spans="1:59" s="8" customFormat="1" ht="22.5" customHeight="1">
      <c r="A660" s="9">
        <v>999</v>
      </c>
      <c r="B660" s="16" t="s">
        <v>962</v>
      </c>
      <c r="C660" s="114"/>
      <c r="D660" s="61" t="s">
        <v>963</v>
      </c>
      <c r="E660" s="13"/>
      <c r="F660" s="107" t="s">
        <v>2308</v>
      </c>
      <c r="G660" s="107"/>
      <c r="H660" s="12"/>
      <c r="I660" s="9"/>
      <c r="J660" s="9" t="s">
        <v>964</v>
      </c>
      <c r="K660" s="14"/>
      <c r="L660" s="14"/>
      <c r="M660" s="12"/>
      <c r="N660" s="9"/>
      <c r="O660" s="9"/>
      <c r="P660" s="9"/>
      <c r="Q660" s="38">
        <f>M660+X660-AG660-BB660</f>
        <v>0</v>
      </c>
      <c r="R660" s="12"/>
      <c r="S660" s="42"/>
      <c r="T660" s="15"/>
      <c r="U660" s="44"/>
      <c r="V660" s="15"/>
      <c r="W660" s="44"/>
      <c r="X660" s="15">
        <f>R660+T660+V660</f>
        <v>0</v>
      </c>
      <c r="Y660" s="15"/>
      <c r="Z660" s="44"/>
      <c r="AA660" s="15"/>
      <c r="AB660" s="44"/>
      <c r="AC660" s="15"/>
      <c r="AD660" s="44"/>
      <c r="AE660" s="15"/>
      <c r="AF660" s="44"/>
      <c r="AG660" s="15">
        <f>(Y660+AA660+AC660+AE660)</f>
        <v>0</v>
      </c>
      <c r="AH660" s="15"/>
      <c r="AI660" s="42"/>
      <c r="AJ660" s="15"/>
      <c r="AK660" s="42"/>
      <c r="AL660" s="15"/>
      <c r="AM660" s="42"/>
      <c r="AN660" s="15"/>
      <c r="AO660" s="42"/>
      <c r="AP660" s="15"/>
      <c r="AQ660" s="42"/>
      <c r="AR660" s="15"/>
      <c r="AS660" s="42"/>
      <c r="AT660" s="15"/>
      <c r="AU660" s="42"/>
      <c r="AV660" s="15"/>
      <c r="AW660" s="42"/>
      <c r="AX660" s="15"/>
      <c r="AY660" s="42"/>
      <c r="AZ660" s="15"/>
      <c r="BA660" s="42"/>
      <c r="BB660" s="15">
        <f>AH660+AJ660+AL660+AN660+AP660+AR660+AT660+AV660+AX660+AZ660</f>
        <v>0</v>
      </c>
      <c r="BC660" s="15"/>
      <c r="BD660" s="44"/>
      <c r="BE660" s="15"/>
      <c r="BF660" s="44"/>
      <c r="BG660" s="15">
        <f>(BC660+BE660)</f>
        <v>0</v>
      </c>
    </row>
    <row r="661" spans="1:59" s="8" customFormat="1" ht="22.5" customHeight="1">
      <c r="A661" s="15"/>
      <c r="B661" s="148"/>
      <c r="C661" s="150" t="s">
        <v>2306</v>
      </c>
      <c r="D661" s="61"/>
      <c r="E661" s="155"/>
      <c r="F661" s="134" t="s">
        <v>2149</v>
      </c>
      <c r="G661" s="112"/>
      <c r="H661" s="15"/>
      <c r="I661" s="139"/>
      <c r="J661" s="139"/>
      <c r="K661" s="15"/>
      <c r="L661" s="15"/>
      <c r="M661" s="15"/>
      <c r="N661" s="139"/>
      <c r="O661" s="139"/>
      <c r="P661" s="139"/>
      <c r="Q661" s="15"/>
      <c r="R661" s="15"/>
      <c r="S661" s="44"/>
      <c r="T661" s="15"/>
      <c r="U661" s="44"/>
      <c r="V661" s="15"/>
      <c r="W661" s="44"/>
      <c r="X661" s="15"/>
      <c r="Y661" s="15"/>
      <c r="Z661" s="44"/>
      <c r="AA661" s="15"/>
      <c r="AB661" s="44"/>
      <c r="AC661" s="15"/>
      <c r="AD661" s="44"/>
      <c r="AE661" s="15"/>
      <c r="AF661" s="44"/>
      <c r="AG661" s="15"/>
      <c r="AH661" s="15"/>
      <c r="AI661" s="42"/>
      <c r="AJ661" s="15"/>
      <c r="AK661" s="42"/>
      <c r="AL661" s="15"/>
      <c r="AM661" s="42"/>
      <c r="AN661" s="15"/>
      <c r="AO661" s="42"/>
      <c r="AP661" s="15"/>
      <c r="AQ661" s="42"/>
      <c r="AR661" s="15"/>
      <c r="AS661" s="42"/>
      <c r="AT661" s="15"/>
      <c r="AU661" s="42"/>
      <c r="AV661" s="15"/>
      <c r="AW661" s="42"/>
      <c r="AX661" s="15"/>
      <c r="AY661" s="42"/>
      <c r="AZ661" s="15"/>
      <c r="BA661" s="42"/>
      <c r="BB661" s="15"/>
      <c r="BC661" s="15"/>
      <c r="BD661" s="44"/>
      <c r="BE661" s="15"/>
      <c r="BF661" s="44"/>
      <c r="BG661" s="15"/>
    </row>
    <row r="662" spans="1:59" s="8" customFormat="1" ht="22.5" customHeight="1">
      <c r="A662" s="9"/>
      <c r="B662" s="16" t="s">
        <v>204</v>
      </c>
      <c r="C662" s="118" t="s">
        <v>52</v>
      </c>
      <c r="D662" s="162" t="s">
        <v>535</v>
      </c>
      <c r="E662" s="36" t="s">
        <v>210</v>
      </c>
      <c r="F662" s="163" t="s">
        <v>2205</v>
      </c>
      <c r="G662" s="163"/>
      <c r="H662" s="96"/>
      <c r="I662" s="36" t="s">
        <v>2206</v>
      </c>
      <c r="J662" s="9" t="s">
        <v>231</v>
      </c>
      <c r="K662" s="14"/>
      <c r="L662" s="14"/>
      <c r="M662" s="12"/>
      <c r="N662" s="9"/>
      <c r="O662" s="9"/>
      <c r="P662" s="9"/>
      <c r="Q662" s="38">
        <f>M662+X662-AG662-BB662</f>
        <v>0</v>
      </c>
      <c r="R662" s="12"/>
      <c r="S662" s="42"/>
      <c r="T662" s="15"/>
      <c r="U662" s="44"/>
      <c r="V662" s="15"/>
      <c r="W662" s="44"/>
      <c r="X662" s="15">
        <f>R662+T662+V662</f>
        <v>0</v>
      </c>
      <c r="Y662" s="15"/>
      <c r="Z662" s="44"/>
      <c r="AA662" s="15"/>
      <c r="AB662" s="44"/>
      <c r="AC662" s="15"/>
      <c r="AD662" s="44"/>
      <c r="AE662" s="15"/>
      <c r="AF662" s="44"/>
      <c r="AG662" s="15">
        <f>(Y662+AA662+AC662+AE662)</f>
        <v>0</v>
      </c>
      <c r="AH662" s="15"/>
      <c r="AI662" s="42"/>
      <c r="AJ662" s="15"/>
      <c r="AK662" s="42"/>
      <c r="AL662" s="15"/>
      <c r="AM662" s="42"/>
      <c r="AN662" s="15"/>
      <c r="AO662" s="42"/>
      <c r="AP662" s="15"/>
      <c r="AQ662" s="42"/>
      <c r="AR662" s="15"/>
      <c r="AS662" s="42"/>
      <c r="AT662" s="15"/>
      <c r="AU662" s="42"/>
      <c r="AV662" s="15"/>
      <c r="AW662" s="42"/>
      <c r="AX662" s="15"/>
      <c r="AY662" s="42"/>
      <c r="AZ662" s="15"/>
      <c r="BA662" s="42"/>
      <c r="BB662" s="15">
        <f>AH662+AJ662+AL662+AN662+AP662+AR662+AT662+AV662+AX662+AZ662</f>
        <v>0</v>
      </c>
      <c r="BC662" s="15"/>
      <c r="BD662" s="44"/>
      <c r="BE662" s="15"/>
      <c r="BF662" s="44"/>
      <c r="BG662" s="15">
        <f>(BC662+BE662)</f>
        <v>0</v>
      </c>
    </row>
    <row r="663" spans="1:59" s="8" customFormat="1" ht="22.5" customHeight="1">
      <c r="A663" s="9"/>
      <c r="B663" s="16" t="s">
        <v>755</v>
      </c>
      <c r="C663" s="118" t="s">
        <v>151</v>
      </c>
      <c r="D663" s="61" t="s">
        <v>766</v>
      </c>
      <c r="E663" s="154"/>
      <c r="F663" s="106" t="s">
        <v>2313</v>
      </c>
      <c r="G663" s="152"/>
      <c r="H663" s="95"/>
      <c r="I663" s="9"/>
      <c r="J663" s="9" t="s">
        <v>757</v>
      </c>
      <c r="K663" s="14"/>
      <c r="L663" s="14"/>
      <c r="M663" s="12"/>
      <c r="N663" s="9"/>
      <c r="O663" s="9"/>
      <c r="P663" s="9"/>
      <c r="Q663" s="38">
        <f>M663+X663-AG663-BB663</f>
        <v>0</v>
      </c>
      <c r="R663" s="12"/>
      <c r="S663" s="42"/>
      <c r="T663" s="15"/>
      <c r="U663" s="44"/>
      <c r="V663" s="15"/>
      <c r="W663" s="44"/>
      <c r="X663" s="15">
        <f>R663+T663+V663</f>
        <v>0</v>
      </c>
      <c r="Y663" s="15"/>
      <c r="Z663" s="44"/>
      <c r="AA663" s="15"/>
      <c r="AB663" s="44"/>
      <c r="AC663" s="15"/>
      <c r="AD663" s="44"/>
      <c r="AE663" s="15"/>
      <c r="AF663" s="44"/>
      <c r="AG663" s="15">
        <f>(Y663+AA663+AC663+AE663)</f>
        <v>0</v>
      </c>
      <c r="AH663" s="15"/>
      <c r="AI663" s="42"/>
      <c r="AJ663" s="15"/>
      <c r="AK663" s="42"/>
      <c r="AL663" s="15"/>
      <c r="AM663" s="42"/>
      <c r="AN663" s="15"/>
      <c r="AO663" s="42"/>
      <c r="AP663" s="15"/>
      <c r="AQ663" s="42"/>
      <c r="AR663" s="15"/>
      <c r="AS663" s="42"/>
      <c r="AT663" s="15"/>
      <c r="AU663" s="42"/>
      <c r="AV663" s="15"/>
      <c r="AW663" s="42"/>
      <c r="AX663" s="15"/>
      <c r="AY663" s="42"/>
      <c r="AZ663" s="15"/>
      <c r="BA663" s="42"/>
      <c r="BB663" s="15">
        <f>AH663+AJ663+AL663+AN663+AP663+AR663+AT663+AV663+AX663+AZ663</f>
        <v>0</v>
      </c>
      <c r="BC663" s="15"/>
      <c r="BD663" s="44"/>
      <c r="BE663" s="15"/>
      <c r="BF663" s="44"/>
      <c r="BG663" s="15">
        <f>(BC663+BE663)</f>
        <v>0</v>
      </c>
    </row>
    <row r="664" spans="1:59" s="8" customFormat="1" ht="22.5" customHeight="1">
      <c r="A664" s="9"/>
      <c r="B664" s="16" t="s">
        <v>797</v>
      </c>
      <c r="C664" s="118" t="s">
        <v>151</v>
      </c>
      <c r="D664" s="61" t="s">
        <v>798</v>
      </c>
      <c r="E664" s="154"/>
      <c r="F664" s="106" t="s">
        <v>2313</v>
      </c>
      <c r="G664" s="152"/>
      <c r="H664" s="95"/>
      <c r="I664" s="9"/>
      <c r="J664" s="9" t="s">
        <v>467</v>
      </c>
      <c r="K664" s="14"/>
      <c r="L664" s="14"/>
      <c r="M664" s="12"/>
      <c r="N664" s="9"/>
      <c r="O664" s="9"/>
      <c r="P664" s="9"/>
      <c r="Q664" s="38">
        <f>M664+X664-AG664-BB664</f>
        <v>0</v>
      </c>
      <c r="R664" s="12"/>
      <c r="S664" s="42"/>
      <c r="T664" s="15"/>
      <c r="U664" s="44"/>
      <c r="V664" s="15"/>
      <c r="W664" s="44"/>
      <c r="X664" s="15">
        <f>R664+T664+V664</f>
        <v>0</v>
      </c>
      <c r="Y664" s="15"/>
      <c r="Z664" s="44"/>
      <c r="AA664" s="15"/>
      <c r="AB664" s="44"/>
      <c r="AC664" s="15"/>
      <c r="AD664" s="44"/>
      <c r="AE664" s="15"/>
      <c r="AF664" s="44"/>
      <c r="AG664" s="15">
        <f>(Y664+AA664+AC664+AE664)</f>
        <v>0</v>
      </c>
      <c r="AH664" s="15"/>
      <c r="AI664" s="42"/>
      <c r="AJ664" s="15"/>
      <c r="AK664" s="42"/>
      <c r="AL664" s="15"/>
      <c r="AM664" s="42"/>
      <c r="AN664" s="15"/>
      <c r="AO664" s="42"/>
      <c r="AP664" s="15"/>
      <c r="AQ664" s="42"/>
      <c r="AR664" s="15"/>
      <c r="AS664" s="42"/>
      <c r="AT664" s="15"/>
      <c r="AU664" s="42"/>
      <c r="AV664" s="15"/>
      <c r="AW664" s="42"/>
      <c r="AX664" s="15"/>
      <c r="AY664" s="42"/>
      <c r="AZ664" s="15"/>
      <c r="BA664" s="42"/>
      <c r="BB664" s="15">
        <f>AH664+AJ664+AL664+AN664+AP664+AR664+AT664+AV664+AX664+AZ664</f>
        <v>0</v>
      </c>
      <c r="BC664" s="15"/>
      <c r="BD664" s="44"/>
      <c r="BE664" s="15"/>
      <c r="BF664" s="44"/>
      <c r="BG664" s="15">
        <f>(BC664+BE664)</f>
        <v>0</v>
      </c>
    </row>
    <row r="665" spans="1:59" s="8" customFormat="1" ht="22.5" hidden="1" customHeight="1">
      <c r="A665" s="9">
        <v>999</v>
      </c>
      <c r="B665" s="16" t="s">
        <v>204</v>
      </c>
      <c r="C665" s="114" t="s">
        <v>52</v>
      </c>
      <c r="D665" s="61" t="s">
        <v>2141</v>
      </c>
      <c r="E665" s="13" t="s">
        <v>206</v>
      </c>
      <c r="F665" s="122" t="s">
        <v>2296</v>
      </c>
      <c r="G665" s="122" t="s">
        <v>2297</v>
      </c>
      <c r="H665" s="96"/>
      <c r="I665" s="9"/>
      <c r="J665" s="9" t="s">
        <v>207</v>
      </c>
      <c r="K665" s="14"/>
      <c r="L665" s="14"/>
      <c r="M665" s="12">
        <v>78</v>
      </c>
      <c r="N665" s="9"/>
      <c r="O665" s="9"/>
      <c r="P665" s="9"/>
      <c r="Q665" s="38">
        <f>M665+X665-AG665-BB665</f>
        <v>78</v>
      </c>
      <c r="R665" s="12"/>
      <c r="S665" s="42"/>
      <c r="T665" s="15"/>
      <c r="U665" s="44"/>
      <c r="V665" s="15"/>
      <c r="W665" s="44"/>
      <c r="X665" s="15">
        <f>R665+T665+V665</f>
        <v>0</v>
      </c>
      <c r="Y665" s="15"/>
      <c r="Z665" s="44"/>
      <c r="AA665" s="15"/>
      <c r="AB665" s="44"/>
      <c r="AC665" s="15"/>
      <c r="AD665" s="44"/>
      <c r="AE665" s="15"/>
      <c r="AF665" s="44"/>
      <c r="AG665" s="15">
        <f>(Y665+AA665+AC665+AE665)</f>
        <v>0</v>
      </c>
      <c r="AH665" s="15"/>
      <c r="AI665" s="42"/>
      <c r="AJ665" s="15"/>
      <c r="AK665" s="42"/>
      <c r="AL665" s="15"/>
      <c r="AM665" s="42"/>
      <c r="AN665" s="15"/>
      <c r="AO665" s="42"/>
      <c r="AP665" s="15"/>
      <c r="AQ665" s="42"/>
      <c r="AR665" s="15"/>
      <c r="AS665" s="42"/>
      <c r="AT665" s="15"/>
      <c r="AU665" s="42"/>
      <c r="AV665" s="15"/>
      <c r="AW665" s="42"/>
      <c r="AX665" s="15"/>
      <c r="AY665" s="42"/>
      <c r="AZ665" s="15"/>
      <c r="BA665" s="42"/>
      <c r="BB665" s="15"/>
      <c r="BC665" s="15"/>
      <c r="BD665" s="44"/>
      <c r="BE665" s="15"/>
      <c r="BF665" s="44"/>
      <c r="BG665" s="15"/>
    </row>
    <row r="666" spans="1:59" s="8" customFormat="1" ht="22.5" customHeight="1">
      <c r="A666" s="9"/>
      <c r="B666" s="16" t="s">
        <v>801</v>
      </c>
      <c r="C666" s="118" t="s">
        <v>52</v>
      </c>
      <c r="D666" s="61" t="s">
        <v>806</v>
      </c>
      <c r="E666" s="154"/>
      <c r="F666" s="106" t="s">
        <v>2313</v>
      </c>
      <c r="G666" s="152"/>
      <c r="H666" s="95"/>
      <c r="I666" s="9"/>
      <c r="J666" s="9" t="s">
        <v>805</v>
      </c>
      <c r="K666" s="14"/>
      <c r="L666" s="14"/>
      <c r="M666" s="12"/>
      <c r="N666" s="9"/>
      <c r="O666" s="9"/>
      <c r="P666" s="9"/>
      <c r="Q666" s="38">
        <f>M666+X666-AG666-BB666</f>
        <v>0</v>
      </c>
      <c r="R666" s="12"/>
      <c r="S666" s="42"/>
      <c r="T666" s="15"/>
      <c r="U666" s="44"/>
      <c r="V666" s="15"/>
      <c r="W666" s="44"/>
      <c r="X666" s="15">
        <f>R666+T666+V666</f>
        <v>0</v>
      </c>
      <c r="Y666" s="15"/>
      <c r="Z666" s="44"/>
      <c r="AA666" s="15"/>
      <c r="AB666" s="44"/>
      <c r="AC666" s="15"/>
      <c r="AD666" s="44"/>
      <c r="AE666" s="15"/>
      <c r="AF666" s="44"/>
      <c r="AG666" s="15">
        <f>(Y666+AA666+AC666+AE666)</f>
        <v>0</v>
      </c>
      <c r="AH666" s="15"/>
      <c r="AI666" s="42"/>
      <c r="AJ666" s="15"/>
      <c r="AK666" s="42"/>
      <c r="AL666" s="15"/>
      <c r="AM666" s="42"/>
      <c r="AN666" s="15"/>
      <c r="AO666" s="42"/>
      <c r="AP666" s="15"/>
      <c r="AQ666" s="42"/>
      <c r="AR666" s="15"/>
      <c r="AS666" s="42"/>
      <c r="AT666" s="15"/>
      <c r="AU666" s="42"/>
      <c r="AV666" s="15"/>
      <c r="AW666" s="42"/>
      <c r="AX666" s="15"/>
      <c r="AY666" s="42"/>
      <c r="AZ666" s="15"/>
      <c r="BA666" s="42"/>
      <c r="BB666" s="15">
        <f>AH666+AJ666+AL666+AN666+AP666+AR666+AT666+AV666+AX666+AZ666</f>
        <v>0</v>
      </c>
      <c r="BC666" s="15"/>
      <c r="BD666" s="44"/>
      <c r="BE666" s="15"/>
      <c r="BF666" s="44"/>
      <c r="BG666" s="15">
        <f>(BC666+BE666)</f>
        <v>0</v>
      </c>
    </row>
    <row r="667" spans="1:59" s="8" customFormat="1" ht="22.5" hidden="1" customHeight="1">
      <c r="A667" s="9"/>
      <c r="B667" s="16" t="s">
        <v>2022</v>
      </c>
      <c r="C667" s="118" t="s">
        <v>48</v>
      </c>
      <c r="D667" s="61" t="s">
        <v>74</v>
      </c>
      <c r="E667" s="13" t="s">
        <v>75</v>
      </c>
      <c r="F667" s="120" t="s">
        <v>2277</v>
      </c>
      <c r="G667" s="121"/>
      <c r="H667" s="95"/>
      <c r="I667" s="9"/>
      <c r="J667" s="9" t="s">
        <v>67</v>
      </c>
      <c r="K667" s="14"/>
      <c r="L667" s="14"/>
      <c r="M667" s="12">
        <v>1000</v>
      </c>
      <c r="N667" s="9"/>
      <c r="O667" s="9"/>
      <c r="P667" s="9"/>
      <c r="Q667" s="38">
        <f>M667+X667-AG667-BB667</f>
        <v>1000</v>
      </c>
      <c r="R667" s="12"/>
      <c r="S667" s="42"/>
      <c r="T667" s="15"/>
      <c r="U667" s="44"/>
      <c r="V667" s="15"/>
      <c r="W667" s="44"/>
      <c r="X667" s="15">
        <f>R667+T667+V667</f>
        <v>0</v>
      </c>
      <c r="Y667" s="15"/>
      <c r="Z667" s="44"/>
      <c r="AA667" s="15"/>
      <c r="AB667" s="44"/>
      <c r="AC667" s="15"/>
      <c r="AD667" s="44"/>
      <c r="AE667" s="15"/>
      <c r="AF667" s="44"/>
      <c r="AG667" s="15">
        <f>(Y667+AA667+AC667+AE667)</f>
        <v>0</v>
      </c>
      <c r="AH667" s="15"/>
      <c r="AI667" s="42"/>
      <c r="AJ667" s="15"/>
      <c r="AK667" s="42"/>
      <c r="AL667" s="15"/>
      <c r="AM667" s="42"/>
      <c r="AN667" s="15"/>
      <c r="AO667" s="42"/>
      <c r="AP667" s="15"/>
      <c r="AQ667" s="42"/>
      <c r="AR667" s="15"/>
      <c r="AS667" s="42"/>
      <c r="AT667" s="15"/>
      <c r="AU667" s="42"/>
      <c r="AV667" s="15"/>
      <c r="AW667" s="42"/>
      <c r="AX667" s="15"/>
      <c r="AY667" s="42"/>
      <c r="AZ667" s="15"/>
      <c r="BA667" s="42"/>
      <c r="BB667" s="15"/>
      <c r="BC667" s="15"/>
      <c r="BD667" s="44"/>
      <c r="BE667" s="15"/>
      <c r="BF667" s="44"/>
      <c r="BG667" s="15"/>
    </row>
    <row r="668" spans="1:59" s="8" customFormat="1" ht="22.5" hidden="1" customHeight="1">
      <c r="A668" s="9"/>
      <c r="B668" s="16" t="s">
        <v>926</v>
      </c>
      <c r="C668" s="118" t="s">
        <v>52</v>
      </c>
      <c r="D668" s="61" t="s">
        <v>2118</v>
      </c>
      <c r="E668" s="13"/>
      <c r="F668" s="121"/>
      <c r="G668" s="121"/>
      <c r="H668" s="96"/>
      <c r="I668" s="9"/>
      <c r="J668" s="9"/>
      <c r="K668" s="14"/>
      <c r="L668" s="14"/>
      <c r="M668" s="12">
        <v>299</v>
      </c>
      <c r="N668" s="9"/>
      <c r="O668" s="9"/>
      <c r="P668" s="9"/>
      <c r="Q668" s="38">
        <f>M668+X668-AG668-BB668</f>
        <v>299</v>
      </c>
      <c r="R668" s="12"/>
      <c r="S668" s="42"/>
      <c r="T668" s="15"/>
      <c r="U668" s="44"/>
      <c r="V668" s="15"/>
      <c r="W668" s="44"/>
      <c r="X668" s="15">
        <f>R668+T668+V668</f>
        <v>0</v>
      </c>
      <c r="Y668" s="15"/>
      <c r="Z668" s="44"/>
      <c r="AA668" s="15"/>
      <c r="AB668" s="44"/>
      <c r="AC668" s="15"/>
      <c r="AD668" s="44"/>
      <c r="AE668" s="15"/>
      <c r="AF668" s="44"/>
      <c r="AG668" s="15">
        <f>(Y668+AA668+AC668+AE668)</f>
        <v>0</v>
      </c>
      <c r="AH668" s="15"/>
      <c r="AI668" s="42"/>
      <c r="AJ668" s="15"/>
      <c r="AK668" s="42"/>
      <c r="AL668" s="15"/>
      <c r="AM668" s="42"/>
      <c r="AN668" s="15"/>
      <c r="AO668" s="42"/>
      <c r="AP668" s="15"/>
      <c r="AQ668" s="42"/>
      <c r="AR668" s="15"/>
      <c r="AS668" s="42"/>
      <c r="AT668" s="15"/>
      <c r="AU668" s="42"/>
      <c r="AV668" s="15"/>
      <c r="AW668" s="42"/>
      <c r="AX668" s="15"/>
      <c r="AY668" s="42"/>
      <c r="AZ668" s="15"/>
      <c r="BA668" s="42"/>
      <c r="BB668" s="15"/>
      <c r="BC668" s="15"/>
      <c r="BD668" s="44"/>
      <c r="BE668" s="15"/>
      <c r="BF668" s="44"/>
      <c r="BG668" s="15"/>
    </row>
    <row r="669" spans="1:59" s="8" customFormat="1" ht="22.5" hidden="1" customHeight="1">
      <c r="A669" s="9"/>
      <c r="B669" s="16" t="s">
        <v>926</v>
      </c>
      <c r="C669" s="118" t="s">
        <v>52</v>
      </c>
      <c r="D669" s="61" t="s">
        <v>2119</v>
      </c>
      <c r="E669" s="13"/>
      <c r="F669" s="121"/>
      <c r="G669" s="121"/>
      <c r="H669" s="96"/>
      <c r="I669" s="9"/>
      <c r="J669" s="9"/>
      <c r="K669" s="14"/>
      <c r="L669" s="14"/>
      <c r="M669" s="12">
        <v>7</v>
      </c>
      <c r="N669" s="9"/>
      <c r="O669" s="9"/>
      <c r="P669" s="9"/>
      <c r="Q669" s="38">
        <f>M669+X669-AG669-BB669</f>
        <v>7</v>
      </c>
      <c r="R669" s="12"/>
      <c r="S669" s="42"/>
      <c r="T669" s="15"/>
      <c r="U669" s="44"/>
      <c r="V669" s="15"/>
      <c r="W669" s="44"/>
      <c r="X669" s="15">
        <f>R669+T669+V669</f>
        <v>0</v>
      </c>
      <c r="Y669" s="15"/>
      <c r="Z669" s="44"/>
      <c r="AA669" s="15"/>
      <c r="AB669" s="44"/>
      <c r="AC669" s="15"/>
      <c r="AD669" s="44"/>
      <c r="AE669" s="15"/>
      <c r="AF669" s="44"/>
      <c r="AG669" s="15">
        <f>(Y669+AA669+AC669+AE669)</f>
        <v>0</v>
      </c>
      <c r="AH669" s="15"/>
      <c r="AI669" s="42"/>
      <c r="AJ669" s="15"/>
      <c r="AK669" s="42"/>
      <c r="AL669" s="15"/>
      <c r="AM669" s="42"/>
      <c r="AN669" s="15"/>
      <c r="AO669" s="42"/>
      <c r="AP669" s="15"/>
      <c r="AQ669" s="42"/>
      <c r="AR669" s="15"/>
      <c r="AS669" s="42"/>
      <c r="AT669" s="15"/>
      <c r="AU669" s="42"/>
      <c r="AV669" s="15"/>
      <c r="AW669" s="42"/>
      <c r="AX669" s="15"/>
      <c r="AY669" s="42"/>
      <c r="AZ669" s="15"/>
      <c r="BA669" s="42"/>
      <c r="BB669" s="15"/>
      <c r="BC669" s="15"/>
      <c r="BD669" s="44"/>
      <c r="BE669" s="15"/>
      <c r="BF669" s="44"/>
      <c r="BG669" s="15"/>
    </row>
    <row r="670" spans="1:59" s="8" customFormat="1" ht="22.5" hidden="1" customHeight="1">
      <c r="A670" s="9"/>
      <c r="B670" s="16" t="s">
        <v>926</v>
      </c>
      <c r="C670" s="118" t="s">
        <v>52</v>
      </c>
      <c r="D670" s="61" t="s">
        <v>2120</v>
      </c>
      <c r="E670" s="13"/>
      <c r="F670" s="121"/>
      <c r="G670" s="121"/>
      <c r="H670" s="96"/>
      <c r="I670" s="9"/>
      <c r="J670" s="9"/>
      <c r="K670" s="14"/>
      <c r="L670" s="14"/>
      <c r="M670" s="12">
        <v>10</v>
      </c>
      <c r="N670" s="9"/>
      <c r="O670" s="9"/>
      <c r="P670" s="9"/>
      <c r="Q670" s="38">
        <f>M670+X670-AG670-BB670</f>
        <v>10</v>
      </c>
      <c r="R670" s="12"/>
      <c r="S670" s="42"/>
      <c r="T670" s="15"/>
      <c r="U670" s="44"/>
      <c r="V670" s="15"/>
      <c r="W670" s="44"/>
      <c r="X670" s="15">
        <f>R670+T670+V670</f>
        <v>0</v>
      </c>
      <c r="Y670" s="15"/>
      <c r="Z670" s="44"/>
      <c r="AA670" s="15"/>
      <c r="AB670" s="44"/>
      <c r="AC670" s="15"/>
      <c r="AD670" s="44"/>
      <c r="AE670" s="15"/>
      <c r="AF670" s="44"/>
      <c r="AG670" s="15">
        <f>(Y670+AA670+AC670+AE670)</f>
        <v>0</v>
      </c>
      <c r="AH670" s="15"/>
      <c r="AI670" s="42"/>
      <c r="AJ670" s="15"/>
      <c r="AK670" s="42"/>
      <c r="AL670" s="15"/>
      <c r="AM670" s="42"/>
      <c r="AN670" s="15"/>
      <c r="AO670" s="42"/>
      <c r="AP670" s="15"/>
      <c r="AQ670" s="42"/>
      <c r="AR670" s="15"/>
      <c r="AS670" s="42"/>
      <c r="AT670" s="15"/>
      <c r="AU670" s="42"/>
      <c r="AV670" s="15"/>
      <c r="AW670" s="42"/>
      <c r="AX670" s="15"/>
      <c r="AY670" s="42"/>
      <c r="AZ670" s="15"/>
      <c r="BA670" s="42"/>
      <c r="BB670" s="15"/>
      <c r="BC670" s="15"/>
      <c r="BD670" s="44"/>
      <c r="BE670" s="15"/>
      <c r="BF670" s="44"/>
      <c r="BG670" s="15"/>
    </row>
    <row r="671" spans="1:59" s="8" customFormat="1" ht="22.5" customHeight="1">
      <c r="A671" s="9"/>
      <c r="B671" s="16" t="s">
        <v>570</v>
      </c>
      <c r="C671" s="118" t="s">
        <v>52</v>
      </c>
      <c r="D671" s="61" t="s">
        <v>807</v>
      </c>
      <c r="E671" s="13"/>
      <c r="F671" s="106" t="s">
        <v>1407</v>
      </c>
      <c r="G671" s="106"/>
      <c r="H671" s="95"/>
      <c r="I671" s="9"/>
      <c r="J671" s="9" t="s">
        <v>805</v>
      </c>
      <c r="K671" s="14"/>
      <c r="L671" s="14"/>
      <c r="M671" s="12"/>
      <c r="N671" s="9"/>
      <c r="O671" s="9"/>
      <c r="P671" s="9"/>
      <c r="Q671" s="38">
        <f>M671+X671-AG671-BB671</f>
        <v>0</v>
      </c>
      <c r="R671" s="12"/>
      <c r="S671" s="42"/>
      <c r="T671" s="15"/>
      <c r="U671" s="44"/>
      <c r="V671" s="15"/>
      <c r="W671" s="44"/>
      <c r="X671" s="15">
        <f>R671+T671+V671</f>
        <v>0</v>
      </c>
      <c r="Y671" s="15"/>
      <c r="Z671" s="44"/>
      <c r="AA671" s="15"/>
      <c r="AB671" s="44"/>
      <c r="AC671" s="15"/>
      <c r="AD671" s="44"/>
      <c r="AE671" s="15"/>
      <c r="AF671" s="44"/>
      <c r="AG671" s="15">
        <f>(Y671+AA671+AC671+AE671)</f>
        <v>0</v>
      </c>
      <c r="AH671" s="15"/>
      <c r="AI671" s="42"/>
      <c r="AJ671" s="15"/>
      <c r="AK671" s="42"/>
      <c r="AL671" s="15"/>
      <c r="AM671" s="42"/>
      <c r="AN671" s="15"/>
      <c r="AO671" s="42"/>
      <c r="AP671" s="15"/>
      <c r="AQ671" s="42"/>
      <c r="AR671" s="15"/>
      <c r="AS671" s="42"/>
      <c r="AT671" s="15"/>
      <c r="AU671" s="42"/>
      <c r="AV671" s="15"/>
      <c r="AW671" s="42"/>
      <c r="AX671" s="15"/>
      <c r="AY671" s="42"/>
      <c r="AZ671" s="15"/>
      <c r="BA671" s="42"/>
      <c r="BB671" s="15">
        <f>AH671+AJ671+AL671+AN671+AP671+AR671+AT671+AV671+AX671+AZ671</f>
        <v>0</v>
      </c>
      <c r="BC671" s="15"/>
      <c r="BD671" s="44"/>
      <c r="BE671" s="15"/>
      <c r="BF671" s="44"/>
      <c r="BG671" s="15">
        <f>(BC671+BE671)</f>
        <v>0</v>
      </c>
    </row>
    <row r="672" spans="1:59" s="8" customFormat="1" ht="22.5" customHeight="1">
      <c r="A672" s="9"/>
      <c r="B672" s="16" t="s">
        <v>808</v>
      </c>
      <c r="C672" s="118" t="s">
        <v>52</v>
      </c>
      <c r="D672" s="61" t="s">
        <v>809</v>
      </c>
      <c r="E672" s="13"/>
      <c r="F672" s="106" t="s">
        <v>1407</v>
      </c>
      <c r="G672" s="106"/>
      <c r="H672" s="95"/>
      <c r="I672" s="9"/>
      <c r="J672" s="9" t="s">
        <v>805</v>
      </c>
      <c r="K672" s="14"/>
      <c r="L672" s="14"/>
      <c r="M672" s="12"/>
      <c r="N672" s="9"/>
      <c r="O672" s="9"/>
      <c r="P672" s="9"/>
      <c r="Q672" s="38">
        <f>M672+X672-AG672-BB672</f>
        <v>0</v>
      </c>
      <c r="R672" s="12"/>
      <c r="S672" s="42"/>
      <c r="T672" s="15"/>
      <c r="U672" s="44"/>
      <c r="V672" s="15"/>
      <c r="W672" s="44"/>
      <c r="X672" s="15">
        <f>R672+T672+V672</f>
        <v>0</v>
      </c>
      <c r="Y672" s="15"/>
      <c r="Z672" s="44"/>
      <c r="AA672" s="15"/>
      <c r="AB672" s="44"/>
      <c r="AC672" s="15"/>
      <c r="AD672" s="44"/>
      <c r="AE672" s="15"/>
      <c r="AF672" s="44"/>
      <c r="AG672" s="15">
        <f>(Y672+AA672+AC672+AE672)</f>
        <v>0</v>
      </c>
      <c r="AH672" s="15"/>
      <c r="AI672" s="42"/>
      <c r="AJ672" s="15"/>
      <c r="AK672" s="42"/>
      <c r="AL672" s="15"/>
      <c r="AM672" s="42"/>
      <c r="AN672" s="15"/>
      <c r="AO672" s="42"/>
      <c r="AP672" s="15"/>
      <c r="AQ672" s="42"/>
      <c r="AR672" s="15"/>
      <c r="AS672" s="42"/>
      <c r="AT672" s="15"/>
      <c r="AU672" s="42"/>
      <c r="AV672" s="15"/>
      <c r="AW672" s="42"/>
      <c r="AX672" s="15"/>
      <c r="AY672" s="42"/>
      <c r="AZ672" s="15"/>
      <c r="BA672" s="42"/>
      <c r="BB672" s="15">
        <f>AH672+AJ672+AL672+AN672+AP672+AR672+AT672+AV672+AX672+AZ672</f>
        <v>0</v>
      </c>
      <c r="BC672" s="15"/>
      <c r="BD672" s="44"/>
      <c r="BE672" s="15"/>
      <c r="BF672" s="44"/>
      <c r="BG672" s="15">
        <f>(BC672+BE672)</f>
        <v>0</v>
      </c>
    </row>
    <row r="673" spans="1:59" s="8" customFormat="1" ht="22.5" customHeight="1">
      <c r="A673" s="9"/>
      <c r="B673" s="16" t="s">
        <v>808</v>
      </c>
      <c r="C673" s="118" t="s">
        <v>52</v>
      </c>
      <c r="D673" s="61" t="s">
        <v>810</v>
      </c>
      <c r="E673" s="13"/>
      <c r="F673" s="106" t="s">
        <v>1407</v>
      </c>
      <c r="G673" s="106"/>
      <c r="H673" s="95"/>
      <c r="I673" s="9"/>
      <c r="J673" s="9" t="s">
        <v>314</v>
      </c>
      <c r="K673" s="14"/>
      <c r="L673" s="14"/>
      <c r="M673" s="12"/>
      <c r="N673" s="9"/>
      <c r="O673" s="9"/>
      <c r="P673" s="9"/>
      <c r="Q673" s="38">
        <f>M673+X673-AG673-BB673</f>
        <v>0</v>
      </c>
      <c r="R673" s="12"/>
      <c r="S673" s="42"/>
      <c r="T673" s="15"/>
      <c r="U673" s="44"/>
      <c r="V673" s="15"/>
      <c r="W673" s="44"/>
      <c r="X673" s="15">
        <f>R673+T673+V673</f>
        <v>0</v>
      </c>
      <c r="Y673" s="15"/>
      <c r="Z673" s="44"/>
      <c r="AA673" s="15"/>
      <c r="AB673" s="44"/>
      <c r="AC673" s="15"/>
      <c r="AD673" s="44"/>
      <c r="AE673" s="15"/>
      <c r="AF673" s="44"/>
      <c r="AG673" s="15">
        <f>(Y673+AA673+AC673+AE673)</f>
        <v>0</v>
      </c>
      <c r="AH673" s="15"/>
      <c r="AI673" s="42"/>
      <c r="AJ673" s="15"/>
      <c r="AK673" s="42"/>
      <c r="AL673" s="15"/>
      <c r="AM673" s="42"/>
      <c r="AN673" s="15"/>
      <c r="AO673" s="42"/>
      <c r="AP673" s="15"/>
      <c r="AQ673" s="42"/>
      <c r="AR673" s="15"/>
      <c r="AS673" s="42"/>
      <c r="AT673" s="15"/>
      <c r="AU673" s="42"/>
      <c r="AV673" s="15"/>
      <c r="AW673" s="42"/>
      <c r="AX673" s="15"/>
      <c r="AY673" s="42"/>
      <c r="AZ673" s="15"/>
      <c r="BA673" s="42"/>
      <c r="BB673" s="15">
        <f>AH673+AJ673+AL673+AN673+AP673+AR673+AT673+AV673+AX673+AZ673</f>
        <v>0</v>
      </c>
      <c r="BC673" s="15"/>
      <c r="BD673" s="44"/>
      <c r="BE673" s="15"/>
      <c r="BF673" s="44"/>
      <c r="BG673" s="15">
        <f>(BC673+BE673)</f>
        <v>0</v>
      </c>
    </row>
    <row r="674" spans="1:59" s="8" customFormat="1" ht="22.5" hidden="1" customHeight="1">
      <c r="A674" s="9"/>
      <c r="B674" s="16" t="s">
        <v>926</v>
      </c>
      <c r="C674" s="118" t="s">
        <v>52</v>
      </c>
      <c r="D674" s="61" t="s">
        <v>960</v>
      </c>
      <c r="E674" s="13" t="s">
        <v>565</v>
      </c>
      <c r="F674" s="105"/>
      <c r="G674" s="105"/>
      <c r="H674" s="96"/>
      <c r="I674" s="9"/>
      <c r="J674" s="9" t="s">
        <v>566</v>
      </c>
      <c r="K674" s="14"/>
      <c r="L674" s="14"/>
      <c r="M674" s="12">
        <v>320</v>
      </c>
      <c r="N674" s="9"/>
      <c r="O674" s="9"/>
      <c r="P674" s="9"/>
      <c r="Q674" s="38">
        <f>M674+X674-AG674-BB674</f>
        <v>320</v>
      </c>
      <c r="R674" s="12"/>
      <c r="S674" s="42"/>
      <c r="T674" s="15"/>
      <c r="U674" s="44"/>
      <c r="V674" s="15"/>
      <c r="W674" s="44"/>
      <c r="X674" s="15">
        <f>R674+T674+V674</f>
        <v>0</v>
      </c>
      <c r="Y674" s="15"/>
      <c r="Z674" s="44"/>
      <c r="AA674" s="15"/>
      <c r="AB674" s="44"/>
      <c r="AC674" s="15"/>
      <c r="AD674" s="44"/>
      <c r="AE674" s="15"/>
      <c r="AF674" s="44"/>
      <c r="AG674" s="15">
        <f>(Y674+AA674+AC674+AE674)</f>
        <v>0</v>
      </c>
      <c r="AH674" s="15"/>
      <c r="AI674" s="42"/>
      <c r="AJ674" s="15"/>
      <c r="AK674" s="42"/>
      <c r="AL674" s="15"/>
      <c r="AM674" s="42"/>
      <c r="AN674" s="15"/>
      <c r="AO674" s="42"/>
      <c r="AP674" s="15"/>
      <c r="AQ674" s="42"/>
      <c r="AR674" s="15"/>
      <c r="AS674" s="42"/>
      <c r="AT674" s="15"/>
      <c r="AU674" s="42"/>
      <c r="AV674" s="15"/>
      <c r="AW674" s="42"/>
      <c r="AX674" s="15"/>
      <c r="AY674" s="42"/>
      <c r="AZ674" s="15"/>
      <c r="BA674" s="42"/>
      <c r="BB674" s="15">
        <f>AH674+AJ674+AL674+AN674+AP674+AR674+AT674+AV674+AX674+AZ674</f>
        <v>0</v>
      </c>
      <c r="BC674" s="15"/>
      <c r="BD674" s="44"/>
      <c r="BE674" s="15"/>
      <c r="BF674" s="44"/>
      <c r="BG674" s="15">
        <f>(BC674+BE674)</f>
        <v>0</v>
      </c>
    </row>
    <row r="675" spans="1:59" s="8" customFormat="1" ht="22.5" customHeight="1">
      <c r="A675" s="9"/>
      <c r="B675" s="16" t="s">
        <v>926</v>
      </c>
      <c r="C675" s="118" t="s">
        <v>52</v>
      </c>
      <c r="D675" s="61" t="s">
        <v>928</v>
      </c>
      <c r="E675" s="13" t="s">
        <v>929</v>
      </c>
      <c r="F675" s="104"/>
      <c r="G675" s="104"/>
      <c r="H675" s="96"/>
      <c r="I675" s="9"/>
      <c r="J675" s="9" t="s">
        <v>566</v>
      </c>
      <c r="K675" s="14"/>
      <c r="L675" s="14"/>
      <c r="M675" s="12"/>
      <c r="N675" s="9"/>
      <c r="O675" s="9"/>
      <c r="P675" s="9"/>
      <c r="Q675" s="38">
        <f>M675+X675-AG675-BB675</f>
        <v>0</v>
      </c>
      <c r="R675" s="12"/>
      <c r="S675" s="42"/>
      <c r="T675" s="15"/>
      <c r="U675" s="44"/>
      <c r="V675" s="15"/>
      <c r="W675" s="44"/>
      <c r="X675" s="15">
        <f>R675+T675+V675</f>
        <v>0</v>
      </c>
      <c r="Y675" s="15"/>
      <c r="Z675" s="44"/>
      <c r="AA675" s="15"/>
      <c r="AB675" s="44"/>
      <c r="AC675" s="15"/>
      <c r="AD675" s="44"/>
      <c r="AE675" s="15"/>
      <c r="AF675" s="44"/>
      <c r="AG675" s="15">
        <f>(Y675+AA675+AC675+AE675)</f>
        <v>0</v>
      </c>
      <c r="AH675" s="15"/>
      <c r="AI675" s="42"/>
      <c r="AJ675" s="15"/>
      <c r="AK675" s="42"/>
      <c r="AL675" s="15"/>
      <c r="AM675" s="42"/>
      <c r="AN675" s="15"/>
      <c r="AO675" s="42"/>
      <c r="AP675" s="15"/>
      <c r="AQ675" s="42"/>
      <c r="AR675" s="15"/>
      <c r="AS675" s="42"/>
      <c r="AT675" s="15"/>
      <c r="AU675" s="42"/>
      <c r="AV675" s="15"/>
      <c r="AW675" s="42"/>
      <c r="AX675" s="15"/>
      <c r="AY675" s="42"/>
      <c r="AZ675" s="15"/>
      <c r="BA675" s="42"/>
      <c r="BB675" s="15">
        <f>AH675+AJ675+AL675+AN675+AP675+AR675+AT675+AV675+AX675+AZ675</f>
        <v>0</v>
      </c>
      <c r="BC675" s="15"/>
      <c r="BD675" s="44"/>
      <c r="BE675" s="15"/>
      <c r="BF675" s="44"/>
      <c r="BG675" s="15">
        <f>(BC675+BE675)</f>
        <v>0</v>
      </c>
    </row>
    <row r="676" spans="1:59" s="8" customFormat="1" ht="22.5" hidden="1" customHeight="1">
      <c r="A676" s="9"/>
      <c r="B676" s="16" t="s">
        <v>926</v>
      </c>
      <c r="C676" s="118" t="s">
        <v>52</v>
      </c>
      <c r="D676" s="61" t="s">
        <v>930</v>
      </c>
      <c r="E676" s="13"/>
      <c r="F676" s="104"/>
      <c r="G676" s="104"/>
      <c r="H676" s="96"/>
      <c r="I676" s="9"/>
      <c r="J676" s="9" t="s">
        <v>566</v>
      </c>
      <c r="K676" s="14"/>
      <c r="L676" s="14"/>
      <c r="M676" s="12">
        <v>23</v>
      </c>
      <c r="N676" s="9"/>
      <c r="O676" s="9"/>
      <c r="P676" s="9"/>
      <c r="Q676" s="38">
        <f>M676+X676-AG676-BB676</f>
        <v>23</v>
      </c>
      <c r="R676" s="12"/>
      <c r="S676" s="42"/>
      <c r="T676" s="15"/>
      <c r="U676" s="44"/>
      <c r="V676" s="15"/>
      <c r="W676" s="44"/>
      <c r="X676" s="15">
        <f>R676+T676+V676</f>
        <v>0</v>
      </c>
      <c r="Y676" s="15"/>
      <c r="Z676" s="44"/>
      <c r="AA676" s="15"/>
      <c r="AB676" s="44"/>
      <c r="AC676" s="15"/>
      <c r="AD676" s="44"/>
      <c r="AE676" s="15"/>
      <c r="AF676" s="44"/>
      <c r="AG676" s="15">
        <f>(Y676+AA676+AC676+AE676)</f>
        <v>0</v>
      </c>
      <c r="AH676" s="15"/>
      <c r="AI676" s="42"/>
      <c r="AJ676" s="15"/>
      <c r="AK676" s="42"/>
      <c r="AL676" s="15"/>
      <c r="AM676" s="42"/>
      <c r="AN676" s="15"/>
      <c r="AO676" s="42"/>
      <c r="AP676" s="15"/>
      <c r="AQ676" s="42"/>
      <c r="AR676" s="15"/>
      <c r="AS676" s="42"/>
      <c r="AT676" s="15"/>
      <c r="AU676" s="42"/>
      <c r="AV676" s="15"/>
      <c r="AW676" s="42"/>
      <c r="AX676" s="15"/>
      <c r="AY676" s="42"/>
      <c r="AZ676" s="15"/>
      <c r="BA676" s="42"/>
      <c r="BB676" s="15">
        <f>AH676+AJ676+AL676+AN676+AP676+AR676+AT676+AV676+AX676+AZ676</f>
        <v>0</v>
      </c>
      <c r="BC676" s="15"/>
      <c r="BD676" s="44"/>
      <c r="BE676" s="15"/>
      <c r="BF676" s="44"/>
      <c r="BG676" s="15">
        <f>(BC676+BE676)</f>
        <v>0</v>
      </c>
    </row>
    <row r="677" spans="1:59">
      <c r="A677" s="147"/>
      <c r="B677" s="149" t="s">
        <v>801</v>
      </c>
      <c r="C677" s="151"/>
      <c r="D677" s="61" t="s">
        <v>804</v>
      </c>
      <c r="E677" s="156"/>
      <c r="F677" s="107" t="s">
        <v>2081</v>
      </c>
      <c r="G677" s="136"/>
      <c r="H677" s="158"/>
      <c r="I677" s="147"/>
      <c r="J677" s="147" t="s">
        <v>805</v>
      </c>
      <c r="K677" s="159"/>
      <c r="L677" s="159"/>
      <c r="M677" s="160"/>
      <c r="N677" s="147"/>
      <c r="O677" s="147"/>
      <c r="P677" s="147"/>
      <c r="Q677" s="161">
        <f>M677+X677-AG677-BB677</f>
        <v>0</v>
      </c>
      <c r="R677" s="160"/>
      <c r="S677" s="141"/>
      <c r="T677" s="140"/>
      <c r="U677" s="142"/>
      <c r="V677" s="140"/>
      <c r="W677" s="142"/>
      <c r="X677" s="140">
        <f>R677+T677+V677</f>
        <v>0</v>
      </c>
      <c r="Y677" s="140"/>
      <c r="Z677" s="142"/>
      <c r="AA677" s="140"/>
      <c r="AB677" s="142"/>
      <c r="AC677" s="140"/>
      <c r="AD677" s="142"/>
      <c r="AE677" s="140"/>
      <c r="AF677" s="142"/>
      <c r="AG677" s="140">
        <f>(Y677+AA677+AC677+AE677)</f>
        <v>0</v>
      </c>
      <c r="AH677" s="140"/>
      <c r="AI677" s="141"/>
      <c r="AJ677" s="140"/>
      <c r="AK677" s="141"/>
      <c r="AL677" s="140"/>
      <c r="AM677" s="141"/>
      <c r="AN677" s="140"/>
      <c r="AO677" s="141"/>
      <c r="AP677" s="140"/>
      <c r="AQ677" s="141"/>
      <c r="AR677" s="140"/>
      <c r="AS677" s="141"/>
      <c r="AT677" s="140"/>
      <c r="AU677" s="141"/>
      <c r="AV677" s="140"/>
      <c r="AW677" s="141"/>
      <c r="AX677" s="140"/>
      <c r="AY677" s="141"/>
      <c r="AZ677" s="140"/>
      <c r="BA677" s="141"/>
      <c r="BB677" s="140">
        <f>AH677+AJ677+AL677+AN677+AP677+AR677+AT677+AV677+AX677+AZ677</f>
        <v>0</v>
      </c>
      <c r="BC677" s="140"/>
      <c r="BD677" s="142"/>
      <c r="BE677" s="140"/>
      <c r="BF677" s="142"/>
      <c r="BG677" s="140">
        <f>(BC677+BE677)</f>
        <v>0</v>
      </c>
    </row>
    <row r="679" spans="1:59">
      <c r="C679" s="119" t="s">
        <v>2306</v>
      </c>
      <c r="F679" s="104" t="s">
        <v>2150</v>
      </c>
      <c r="G679" s="112"/>
    </row>
    <row r="680" spans="1:59">
      <c r="C680" s="119" t="s">
        <v>2306</v>
      </c>
      <c r="F680" s="104" t="s">
        <v>2151</v>
      </c>
      <c r="G680" s="112"/>
    </row>
    <row r="681" spans="1:59">
      <c r="G681" s="112"/>
    </row>
    <row r="682" spans="1:59">
      <c r="C682" s="119"/>
      <c r="F682" s="104" t="s">
        <v>2152</v>
      </c>
      <c r="G682" s="112" t="s">
        <v>2158</v>
      </c>
    </row>
    <row r="683" spans="1:59">
      <c r="C683" s="119"/>
      <c r="F683" s="104" t="s">
        <v>2153</v>
      </c>
      <c r="G683" s="112" t="s">
        <v>2159</v>
      </c>
    </row>
  </sheetData>
  <autoFilter ref="A3:BG677" xr:uid="{00000000-0009-0000-0000-000001000000}">
    <filterColumn colId="6">
      <filters blank="1"/>
    </filterColumn>
    <filterColumn colId="12">
      <filters blank="1">
        <filter val="0"/>
      </filters>
    </filterColumn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4" showButton="0"/>
    <filterColumn colId="55" showButton="0"/>
    <filterColumn colId="56" showButton="0"/>
    <sortState xmlns:xlrd2="http://schemas.microsoft.com/office/spreadsheetml/2017/richdata2" ref="A616:BG677">
      <sortCondition sortBy="cellColor" ref="C3:C677" dxfId="1"/>
    </sortState>
  </autoFilter>
  <mergeCells count="5">
    <mergeCell ref="C1:D1"/>
    <mergeCell ref="R3:W3"/>
    <mergeCell ref="Y3:AF3"/>
    <mergeCell ref="AH3:BA3"/>
    <mergeCell ref="BC3:BF3"/>
  </mergeCells>
  <phoneticPr fontId="130" type="noConversion"/>
  <conditionalFormatting sqref="K352">
    <cfRule type="cellIs" dxfId="11" priority="7" operator="lessThanOrEqual">
      <formula>200</formula>
    </cfRule>
  </conditionalFormatting>
  <conditionalFormatting sqref="K361">
    <cfRule type="cellIs" dxfId="10" priority="6" operator="lessThanOrEqual">
      <formula>200</formula>
    </cfRule>
  </conditionalFormatting>
  <conditionalFormatting sqref="N188">
    <cfRule type="cellIs" dxfId="9" priority="3" operator="lessThanOrEqual">
      <formula>200</formula>
    </cfRule>
  </conditionalFormatting>
  <conditionalFormatting sqref="N238">
    <cfRule type="cellIs" dxfId="8" priority="1" operator="lessThanOrEqual">
      <formula>200</formula>
    </cfRule>
  </conditionalFormatting>
  <conditionalFormatting sqref="Q4:Q676 K238">
    <cfRule type="cellIs" dxfId="7" priority="2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0" fitToHeight="0" orientation="portrait" r:id="rId1"/>
  <headerFooter>
    <oddFooter>&amp;LF704-03 (R00)&amp;C(주) 덱스코윈&amp;R&amp;P/&amp;N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651"/>
  <sheetViews>
    <sheetView topLeftCell="A82" workbookViewId="0">
      <selection activeCell="D95" sqref="D95"/>
    </sheetView>
  </sheetViews>
  <sheetFormatPr defaultRowHeight="16.5"/>
  <sheetData>
    <row r="1" spans="1:57" ht="24" customHeight="1">
      <c r="A1" s="25" t="s">
        <v>1</v>
      </c>
      <c r="B1" s="26" t="s">
        <v>2</v>
      </c>
      <c r="C1" s="91"/>
      <c r="D1" s="55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28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1" t="s">
        <v>14</v>
      </c>
      <c r="P1" s="129" t="s">
        <v>15</v>
      </c>
      <c r="Q1" s="126"/>
      <c r="R1" s="126"/>
      <c r="S1" s="126"/>
      <c r="T1" s="126"/>
      <c r="U1" s="127"/>
      <c r="V1" s="34" t="s">
        <v>16</v>
      </c>
      <c r="W1" s="130" t="s">
        <v>17</v>
      </c>
      <c r="X1" s="131"/>
      <c r="Y1" s="131"/>
      <c r="Z1" s="131"/>
      <c r="AA1" s="131"/>
      <c r="AB1" s="131"/>
      <c r="AC1" s="131"/>
      <c r="AD1" s="132"/>
      <c r="AE1" s="34" t="s">
        <v>18</v>
      </c>
      <c r="AF1" s="125" t="s">
        <v>19</v>
      </c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7"/>
      <c r="AZ1" s="33" t="s">
        <v>20</v>
      </c>
      <c r="BA1" s="128" t="s">
        <v>21</v>
      </c>
      <c r="BB1" s="126"/>
      <c r="BC1" s="126"/>
      <c r="BD1" s="127"/>
      <c r="BE1" s="33" t="s">
        <v>22</v>
      </c>
    </row>
    <row r="2" spans="1:57">
      <c r="A2" s="9"/>
      <c r="B2" s="16" t="s">
        <v>23</v>
      </c>
      <c r="C2" s="89" t="s">
        <v>24</v>
      </c>
      <c r="D2" s="56" t="s">
        <v>25</v>
      </c>
      <c r="E2" s="11" t="s">
        <v>26</v>
      </c>
      <c r="F2" s="95"/>
      <c r="G2" s="9"/>
      <c r="H2" s="9"/>
      <c r="I2" s="14"/>
      <c r="J2" s="14"/>
      <c r="K2" s="12">
        <v>0</v>
      </c>
      <c r="L2" s="9"/>
      <c r="M2" s="9"/>
      <c r="N2" s="9"/>
      <c r="O2" s="38">
        <f t="shared" ref="O2:O65" si="0">K2+V2-AE2-AZ2</f>
        <v>0</v>
      </c>
      <c r="P2" s="12"/>
      <c r="Q2" s="42"/>
      <c r="R2" s="15"/>
      <c r="S2" s="44"/>
      <c r="T2" s="15"/>
      <c r="U2" s="44"/>
      <c r="V2" s="15">
        <f t="shared" ref="V2:V65" si="1">P2+R2+T2</f>
        <v>0</v>
      </c>
      <c r="W2" s="15"/>
      <c r="X2" s="44"/>
      <c r="Y2" s="15"/>
      <c r="Z2" s="44"/>
      <c r="AA2" s="15"/>
      <c r="AB2" s="44"/>
      <c r="AC2" s="15"/>
      <c r="AD2" s="44"/>
      <c r="AE2" s="15">
        <f t="shared" ref="AE2:AE65" si="2">(W2+Y2+AA2+AC2)</f>
        <v>0</v>
      </c>
      <c r="AF2" s="15"/>
      <c r="AG2" s="42"/>
      <c r="AH2" s="15"/>
      <c r="AI2" s="42"/>
      <c r="AJ2" s="15"/>
      <c r="AK2" s="42"/>
      <c r="AL2" s="15"/>
      <c r="AM2" s="42"/>
      <c r="AN2" s="15"/>
      <c r="AO2" s="42"/>
      <c r="AP2" s="15"/>
      <c r="AQ2" s="42"/>
      <c r="AR2" s="15"/>
      <c r="AS2" s="42"/>
      <c r="AT2" s="15"/>
      <c r="AU2" s="42"/>
      <c r="AV2" s="15"/>
      <c r="AW2" s="42"/>
      <c r="AX2" s="15"/>
      <c r="AY2" s="42"/>
      <c r="AZ2" s="15"/>
      <c r="BA2" s="15"/>
      <c r="BB2" s="44"/>
      <c r="BC2" s="15"/>
      <c r="BD2" s="44"/>
      <c r="BE2" s="15"/>
    </row>
    <row r="3" spans="1:57">
      <c r="A3" s="9"/>
      <c r="B3" s="16" t="s">
        <v>27</v>
      </c>
      <c r="C3" s="89" t="s">
        <v>24</v>
      </c>
      <c r="D3" s="56" t="s">
        <v>28</v>
      </c>
      <c r="E3" s="11"/>
      <c r="F3" s="95"/>
      <c r="G3" s="9"/>
      <c r="H3" s="9"/>
      <c r="I3" s="14"/>
      <c r="J3" s="14"/>
      <c r="K3" s="12">
        <v>0</v>
      </c>
      <c r="L3" s="9"/>
      <c r="M3" s="9"/>
      <c r="N3" s="9"/>
      <c r="O3" s="38">
        <f t="shared" si="0"/>
        <v>0</v>
      </c>
      <c r="P3" s="12"/>
      <c r="Q3" s="42"/>
      <c r="R3" s="15"/>
      <c r="S3" s="44"/>
      <c r="T3" s="15"/>
      <c r="U3" s="44"/>
      <c r="V3" s="15">
        <f t="shared" si="1"/>
        <v>0</v>
      </c>
      <c r="W3" s="15"/>
      <c r="X3" s="44"/>
      <c r="Y3" s="15"/>
      <c r="Z3" s="44"/>
      <c r="AA3" s="15"/>
      <c r="AB3" s="44"/>
      <c r="AC3" s="15"/>
      <c r="AD3" s="44"/>
      <c r="AE3" s="15">
        <f t="shared" si="2"/>
        <v>0</v>
      </c>
      <c r="AF3" s="15"/>
      <c r="AG3" s="42"/>
      <c r="AH3" s="15"/>
      <c r="AI3" s="42"/>
      <c r="AJ3" s="15"/>
      <c r="AK3" s="42"/>
      <c r="AL3" s="15"/>
      <c r="AM3" s="42"/>
      <c r="AN3" s="15"/>
      <c r="AO3" s="42"/>
      <c r="AP3" s="15"/>
      <c r="AQ3" s="42"/>
      <c r="AR3" s="15"/>
      <c r="AS3" s="42"/>
      <c r="AT3" s="15"/>
      <c r="AU3" s="42"/>
      <c r="AV3" s="15"/>
      <c r="AW3" s="42"/>
      <c r="AX3" s="15"/>
      <c r="AY3" s="42"/>
      <c r="AZ3" s="15">
        <f t="shared" ref="AZ3:AZ66" si="3">AF3+AH3+AJ3+AL3+AN3+AP3+AR3+AT3+AV3+AX3</f>
        <v>0</v>
      </c>
      <c r="BA3" s="15"/>
      <c r="BB3" s="44"/>
      <c r="BC3" s="15"/>
      <c r="BD3" s="44"/>
      <c r="BE3" s="15">
        <f t="shared" ref="BE3:BE34" si="4">(BA3+BC3)</f>
        <v>0</v>
      </c>
    </row>
    <row r="4" spans="1:57">
      <c r="A4" s="9"/>
      <c r="B4" s="16" t="s">
        <v>27</v>
      </c>
      <c r="C4" s="89" t="s">
        <v>24</v>
      </c>
      <c r="D4" s="56" t="s">
        <v>28</v>
      </c>
      <c r="E4" s="11"/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si="0"/>
        <v>0</v>
      </c>
      <c r="P4" s="12"/>
      <c r="Q4" s="42"/>
      <c r="R4" s="15"/>
      <c r="S4" s="44"/>
      <c r="T4" s="15"/>
      <c r="U4" s="44"/>
      <c r="V4" s="15">
        <f t="shared" si="1"/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si="2"/>
        <v>0</v>
      </c>
      <c r="AF4" s="15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>
        <f t="shared" si="3"/>
        <v>0</v>
      </c>
      <c r="BA4" s="15"/>
      <c r="BB4" s="44"/>
      <c r="BC4" s="15"/>
      <c r="BD4" s="44"/>
      <c r="BE4" s="15">
        <f t="shared" si="4"/>
        <v>0</v>
      </c>
    </row>
    <row r="5" spans="1:57" ht="36" customHeight="1">
      <c r="A5" s="9"/>
      <c r="B5" s="16" t="s">
        <v>29</v>
      </c>
      <c r="C5" s="89" t="s">
        <v>30</v>
      </c>
      <c r="D5" s="56" t="s">
        <v>29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5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si="3"/>
        <v>0</v>
      </c>
      <c r="BA5" s="15"/>
      <c r="BB5" s="44"/>
      <c r="BC5" s="15"/>
      <c r="BD5" s="44"/>
      <c r="BE5" s="15">
        <f t="shared" si="4"/>
        <v>0</v>
      </c>
    </row>
    <row r="6" spans="1:57">
      <c r="A6" s="9"/>
      <c r="B6" s="16" t="s">
        <v>31</v>
      </c>
      <c r="C6" s="89" t="s">
        <v>24</v>
      </c>
      <c r="D6" s="56" t="s">
        <v>32</v>
      </c>
      <c r="E6" s="35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5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7">
      <c r="A7" s="9"/>
      <c r="B7" s="16" t="s">
        <v>31</v>
      </c>
      <c r="C7" s="89" t="s">
        <v>24</v>
      </c>
      <c r="D7" s="58" t="s">
        <v>33</v>
      </c>
      <c r="E7" s="11"/>
      <c r="F7" s="95"/>
      <c r="G7" s="21"/>
      <c r="H7" s="21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5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7">
      <c r="A8" s="9"/>
      <c r="B8" s="18" t="s">
        <v>34</v>
      </c>
      <c r="C8" s="89" t="s">
        <v>24</v>
      </c>
      <c r="D8" s="56" t="s">
        <v>35</v>
      </c>
      <c r="E8" s="35"/>
      <c r="F8" s="95"/>
      <c r="G8" s="21"/>
      <c r="H8" s="21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5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7">
      <c r="A9" s="9"/>
      <c r="B9" s="18" t="s">
        <v>34</v>
      </c>
      <c r="C9" s="89" t="s">
        <v>24</v>
      </c>
      <c r="D9" s="56" t="s">
        <v>36</v>
      </c>
      <c r="E9" s="11"/>
      <c r="F9" s="95"/>
      <c r="G9" s="9"/>
      <c r="H9" s="9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5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7">
      <c r="A10" s="9"/>
      <c r="B10" s="16" t="s">
        <v>37</v>
      </c>
      <c r="C10" s="89" t="s">
        <v>24</v>
      </c>
      <c r="D10" s="58" t="s">
        <v>37</v>
      </c>
      <c r="E10" s="11"/>
      <c r="F10" s="95"/>
      <c r="G10" s="9"/>
      <c r="H10" s="9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5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7">
      <c r="A11" s="9"/>
      <c r="B11" s="16" t="s">
        <v>37</v>
      </c>
      <c r="C11" s="89" t="s">
        <v>24</v>
      </c>
      <c r="D11" s="58" t="s">
        <v>38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5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7">
      <c r="A12" s="9"/>
      <c r="B12" s="16" t="s">
        <v>23</v>
      </c>
      <c r="C12" s="89" t="s">
        <v>39</v>
      </c>
      <c r="D12" s="56" t="s">
        <v>40</v>
      </c>
      <c r="E12" s="11" t="s">
        <v>26</v>
      </c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5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7">
      <c r="A13" s="9"/>
      <c r="B13" s="16" t="s">
        <v>27</v>
      </c>
      <c r="C13" s="89" t="s">
        <v>39</v>
      </c>
      <c r="D13" s="56" t="s">
        <v>28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5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7">
      <c r="A14" s="9"/>
      <c r="B14" s="16" t="s">
        <v>31</v>
      </c>
      <c r="C14" s="89" t="s">
        <v>39</v>
      </c>
      <c r="D14" s="56" t="s">
        <v>32</v>
      </c>
      <c r="E14" s="11"/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5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7">
      <c r="A15" s="9"/>
      <c r="B15" s="16" t="s">
        <v>31</v>
      </c>
      <c r="C15" s="89" t="s">
        <v>39</v>
      </c>
      <c r="D15" s="56" t="s">
        <v>41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5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7">
      <c r="A16" s="9"/>
      <c r="B16" s="16" t="s">
        <v>31</v>
      </c>
      <c r="C16" s="89" t="s">
        <v>39</v>
      </c>
      <c r="D16" s="58" t="s">
        <v>33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5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>
      <c r="A17" s="9"/>
      <c r="B17" s="18" t="s">
        <v>34</v>
      </c>
      <c r="C17" s="89" t="s">
        <v>39</v>
      </c>
      <c r="D17" s="56" t="s">
        <v>35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5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>
      <c r="A18" s="9"/>
      <c r="B18" s="18" t="s">
        <v>34</v>
      </c>
      <c r="C18" s="89" t="s">
        <v>39</v>
      </c>
      <c r="D18" s="56" t="s">
        <v>42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5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>
      <c r="A19" s="9"/>
      <c r="B19" s="16" t="s">
        <v>37</v>
      </c>
      <c r="C19" s="89" t="s">
        <v>39</v>
      </c>
      <c r="D19" s="58" t="s">
        <v>37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5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>
      <c r="A20" s="9"/>
      <c r="B20" s="16" t="s">
        <v>37</v>
      </c>
      <c r="C20" s="89" t="s">
        <v>39</v>
      </c>
      <c r="D20" s="58" t="s">
        <v>38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5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4" customHeight="1">
      <c r="A21" s="9"/>
      <c r="B21" s="16" t="s">
        <v>43</v>
      </c>
      <c r="C21" s="89" t="s">
        <v>44</v>
      </c>
      <c r="D21" s="56" t="s">
        <v>45</v>
      </c>
      <c r="E21" s="11" t="s">
        <v>46</v>
      </c>
      <c r="F21" s="95"/>
      <c r="G21" s="9"/>
      <c r="H21" s="9" t="s">
        <v>47</v>
      </c>
      <c r="I21" s="14"/>
      <c r="J21" s="14"/>
      <c r="K21" s="12">
        <v>1000</v>
      </c>
      <c r="L21" s="9"/>
      <c r="M21" s="9"/>
      <c r="N21" s="9"/>
      <c r="O21" s="38">
        <f t="shared" si="0"/>
        <v>1000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5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>
      <c r="A22" s="9"/>
      <c r="B22" s="16" t="s">
        <v>43</v>
      </c>
      <c r="C22" s="89" t="s">
        <v>48</v>
      </c>
      <c r="D22" s="56" t="s">
        <v>45</v>
      </c>
      <c r="E22" s="11" t="s">
        <v>49</v>
      </c>
      <c r="F22" s="95"/>
      <c r="G22" s="9"/>
      <c r="H22" s="9" t="s">
        <v>47</v>
      </c>
      <c r="I22" s="14"/>
      <c r="J22" s="14"/>
      <c r="K22" s="12">
        <v>400</v>
      </c>
      <c r="L22" s="9"/>
      <c r="M22" s="9"/>
      <c r="N22" s="9"/>
      <c r="O22" s="38">
        <f t="shared" si="0"/>
        <v>400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5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>
      <c r="A23" s="9"/>
      <c r="B23" s="16" t="s">
        <v>43</v>
      </c>
      <c r="C23" s="89" t="s">
        <v>50</v>
      </c>
      <c r="D23" s="56" t="s">
        <v>45</v>
      </c>
      <c r="E23" s="11" t="s">
        <v>51</v>
      </c>
      <c r="F23" s="95"/>
      <c r="G23" s="9"/>
      <c r="H23" s="9"/>
      <c r="I23" s="14"/>
      <c r="J23" s="14"/>
      <c r="K23" s="12">
        <v>0</v>
      </c>
      <c r="L23" s="9"/>
      <c r="M23" s="9"/>
      <c r="N23" s="9"/>
      <c r="O23" s="38">
        <f t="shared" si="0"/>
        <v>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5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>
      <c r="A24" s="9"/>
      <c r="B24" s="16" t="s">
        <v>43</v>
      </c>
      <c r="C24" s="89" t="s">
        <v>52</v>
      </c>
      <c r="D24" s="56" t="s">
        <v>45</v>
      </c>
      <c r="E24" s="11" t="s">
        <v>53</v>
      </c>
      <c r="F24" s="95"/>
      <c r="G24" s="9"/>
      <c r="H24" s="9" t="s">
        <v>47</v>
      </c>
      <c r="I24" s="14"/>
      <c r="J24" s="14"/>
      <c r="K24" s="12">
        <v>500</v>
      </c>
      <c r="L24" s="9"/>
      <c r="M24" s="9"/>
      <c r="N24" s="9"/>
      <c r="O24" s="38">
        <f t="shared" si="0"/>
        <v>500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5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>
      <c r="A25" s="9"/>
      <c r="B25" s="16" t="s">
        <v>43</v>
      </c>
      <c r="C25" s="89" t="s">
        <v>52</v>
      </c>
      <c r="D25" s="56" t="s">
        <v>45</v>
      </c>
      <c r="E25" s="11" t="s">
        <v>54</v>
      </c>
      <c r="F25" s="95"/>
      <c r="G25" s="9"/>
      <c r="H25" s="9" t="s">
        <v>55</v>
      </c>
      <c r="I25" s="14"/>
      <c r="J25" s="14"/>
      <c r="K25" s="12">
        <v>622</v>
      </c>
      <c r="L25" s="9"/>
      <c r="M25" s="9"/>
      <c r="N25" s="9"/>
      <c r="O25" s="38">
        <f t="shared" si="0"/>
        <v>622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5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>
      <c r="A26" s="9"/>
      <c r="B26" s="16" t="s">
        <v>43</v>
      </c>
      <c r="C26" s="89" t="s">
        <v>56</v>
      </c>
      <c r="D26" s="56" t="s">
        <v>45</v>
      </c>
      <c r="E26" s="11" t="s">
        <v>57</v>
      </c>
      <c r="F26" s="95"/>
      <c r="G26" s="9"/>
      <c r="H26" s="9"/>
      <c r="I26" s="14"/>
      <c r="J26" s="14"/>
      <c r="K26" s="12">
        <v>0</v>
      </c>
      <c r="L26" s="9"/>
      <c r="M26" s="9"/>
      <c r="N26" s="9"/>
      <c r="O26" s="38">
        <f t="shared" si="0"/>
        <v>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5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36" customHeight="1">
      <c r="A27" s="9"/>
      <c r="B27" s="16" t="s">
        <v>58</v>
      </c>
      <c r="C27" s="89" t="s">
        <v>59</v>
      </c>
      <c r="D27" s="57" t="s">
        <v>60</v>
      </c>
      <c r="E27" s="11" t="s">
        <v>58</v>
      </c>
      <c r="F27" s="95"/>
      <c r="G27" s="9"/>
      <c r="H27" s="9" t="s">
        <v>61</v>
      </c>
      <c r="I27" s="14"/>
      <c r="J27" s="14"/>
      <c r="K27" s="12">
        <v>800</v>
      </c>
      <c r="L27" s="9"/>
      <c r="M27" s="9"/>
      <c r="N27" s="9"/>
      <c r="O27" s="38">
        <f t="shared" si="0"/>
        <v>800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5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>
      <c r="A28" s="9"/>
      <c r="B28" s="18" t="s">
        <v>62</v>
      </c>
      <c r="C28" s="89" t="s">
        <v>48</v>
      </c>
      <c r="D28" s="58" t="s">
        <v>60</v>
      </c>
      <c r="E28" s="35" t="s">
        <v>62</v>
      </c>
      <c r="F28" s="95"/>
      <c r="G28" s="21"/>
      <c r="H28" s="21" t="s">
        <v>61</v>
      </c>
      <c r="I28" s="14"/>
      <c r="J28" s="14"/>
      <c r="K28" s="12">
        <v>360</v>
      </c>
      <c r="L28" s="9"/>
      <c r="M28" s="9"/>
      <c r="N28" s="9"/>
      <c r="O28" s="38">
        <f t="shared" si="0"/>
        <v>360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5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>
      <c r="A29" s="9"/>
      <c r="B29" s="18" t="s">
        <v>62</v>
      </c>
      <c r="C29" s="89" t="s">
        <v>50</v>
      </c>
      <c r="D29" s="58" t="s">
        <v>60</v>
      </c>
      <c r="E29" s="35" t="s">
        <v>62</v>
      </c>
      <c r="F29" s="95"/>
      <c r="G29" s="21"/>
      <c r="H29" s="21" t="s">
        <v>61</v>
      </c>
      <c r="I29" s="14"/>
      <c r="J29" s="14"/>
      <c r="K29" s="12">
        <v>100</v>
      </c>
      <c r="L29" s="9"/>
      <c r="M29" s="9"/>
      <c r="N29" s="9"/>
      <c r="O29" s="38">
        <f t="shared" si="0"/>
        <v>100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5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36" customHeight="1">
      <c r="A30" s="9"/>
      <c r="B30" s="16" t="s">
        <v>63</v>
      </c>
      <c r="C30" s="89" t="s">
        <v>64</v>
      </c>
      <c r="D30" s="59" t="s">
        <v>65</v>
      </c>
      <c r="E30" s="11" t="s">
        <v>66</v>
      </c>
      <c r="F30" s="95"/>
      <c r="G30" s="9"/>
      <c r="H30" s="9" t="s">
        <v>67</v>
      </c>
      <c r="I30" s="14"/>
      <c r="J30" s="14"/>
      <c r="K30" s="12">
        <v>1000</v>
      </c>
      <c r="L30" s="9"/>
      <c r="M30" s="9"/>
      <c r="N30" s="9"/>
      <c r="O30" s="38">
        <f t="shared" si="0"/>
        <v>1000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5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4" customHeight="1">
      <c r="A31" s="9"/>
      <c r="B31" s="16" t="s">
        <v>68</v>
      </c>
      <c r="C31" s="89" t="s">
        <v>44</v>
      </c>
      <c r="D31" s="56" t="s">
        <v>69</v>
      </c>
      <c r="E31" s="11" t="s">
        <v>70</v>
      </c>
      <c r="F31" s="95"/>
      <c r="G31" s="9"/>
      <c r="H31" s="9" t="s">
        <v>71</v>
      </c>
      <c r="I31" s="14"/>
      <c r="J31" s="14"/>
      <c r="K31" s="12">
        <v>0</v>
      </c>
      <c r="L31" s="9"/>
      <c r="M31" s="9"/>
      <c r="N31" s="9"/>
      <c r="O31" s="38">
        <f t="shared" si="0"/>
        <v>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5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36" customHeight="1">
      <c r="A32" s="9"/>
      <c r="B32" s="16" t="s">
        <v>68</v>
      </c>
      <c r="C32" s="89" t="s">
        <v>59</v>
      </c>
      <c r="D32" s="56" t="s">
        <v>69</v>
      </c>
      <c r="E32" s="11" t="s">
        <v>72</v>
      </c>
      <c r="F32" s="95"/>
      <c r="G32" s="9"/>
      <c r="H32" s="9" t="s">
        <v>71</v>
      </c>
      <c r="I32" s="14"/>
      <c r="J32" s="14"/>
      <c r="K32" s="12">
        <v>0</v>
      </c>
      <c r="L32" s="9"/>
      <c r="M32" s="9"/>
      <c r="N32" s="9"/>
      <c r="O32" s="38">
        <f t="shared" si="0"/>
        <v>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5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>
      <c r="A33" s="9"/>
      <c r="B33" s="16" t="s">
        <v>68</v>
      </c>
      <c r="C33" s="89" t="s">
        <v>48</v>
      </c>
      <c r="D33" s="56" t="s">
        <v>69</v>
      </c>
      <c r="E33" s="11" t="s">
        <v>73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5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4" customHeight="1">
      <c r="A34" s="9"/>
      <c r="B34" s="16" t="s">
        <v>76</v>
      </c>
      <c r="C34" s="89" t="s">
        <v>44</v>
      </c>
      <c r="D34" s="60" t="s">
        <v>77</v>
      </c>
      <c r="E34" s="11" t="s">
        <v>78</v>
      </c>
      <c r="F34" s="95"/>
      <c r="G34" s="9"/>
      <c r="H34" s="9" t="s">
        <v>67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5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36" customHeight="1">
      <c r="A35" s="9"/>
      <c r="B35" s="16" t="s">
        <v>76</v>
      </c>
      <c r="C35" s="89" t="s">
        <v>59</v>
      </c>
      <c r="D35" s="60" t="s">
        <v>79</v>
      </c>
      <c r="E35" s="11" t="s">
        <v>80</v>
      </c>
      <c r="F35" s="95"/>
      <c r="G35" s="9"/>
      <c r="H35" s="9" t="s">
        <v>67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5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ref="BE35:BE66" si="5">(BA35+BC35)</f>
        <v>0</v>
      </c>
    </row>
    <row r="36" spans="1:57">
      <c r="A36" s="9"/>
      <c r="B36" s="16" t="s">
        <v>76</v>
      </c>
      <c r="C36" s="89" t="s">
        <v>52</v>
      </c>
      <c r="D36" s="61" t="s">
        <v>81</v>
      </c>
      <c r="E36" s="11" t="s">
        <v>82</v>
      </c>
      <c r="F36" s="95"/>
      <c r="G36" s="9"/>
      <c r="H36" s="9" t="s">
        <v>67</v>
      </c>
      <c r="I36" s="14"/>
      <c r="J36" s="14"/>
      <c r="K36" s="12">
        <v>5000</v>
      </c>
      <c r="L36" s="9"/>
      <c r="M36" s="9"/>
      <c r="N36" s="9"/>
      <c r="O36" s="38">
        <f t="shared" si="0"/>
        <v>5000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5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>
        <f t="shared" si="3"/>
        <v>0</v>
      </c>
      <c r="BA36" s="15"/>
      <c r="BB36" s="44"/>
      <c r="BC36" s="15"/>
      <c r="BD36" s="44"/>
      <c r="BE36" s="15">
        <f t="shared" si="5"/>
        <v>0</v>
      </c>
    </row>
    <row r="37" spans="1:57" ht="24" customHeight="1">
      <c r="A37" s="9"/>
      <c r="B37" s="16" t="s">
        <v>76</v>
      </c>
      <c r="C37" s="89" t="s">
        <v>44</v>
      </c>
      <c r="D37" s="59" t="s">
        <v>83</v>
      </c>
      <c r="E37" s="11" t="s">
        <v>84</v>
      </c>
      <c r="F37" s="95"/>
      <c r="G37" s="9"/>
      <c r="H37" s="9" t="s">
        <v>71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5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si="3"/>
        <v>0</v>
      </c>
      <c r="BA37" s="15"/>
      <c r="BB37" s="44"/>
      <c r="BC37" s="15"/>
      <c r="BD37" s="44"/>
      <c r="BE37" s="15">
        <f t="shared" si="5"/>
        <v>0</v>
      </c>
    </row>
    <row r="38" spans="1:57">
      <c r="A38" s="9"/>
      <c r="B38" s="16" t="s">
        <v>76</v>
      </c>
      <c r="C38" s="89" t="s">
        <v>48</v>
      </c>
      <c r="D38" s="56" t="s">
        <v>85</v>
      </c>
      <c r="E38" s="11" t="s">
        <v>86</v>
      </c>
      <c r="F38" s="95"/>
      <c r="G38" s="9"/>
      <c r="H38" s="9" t="s">
        <v>71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5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3"/>
        <v>0</v>
      </c>
      <c r="BA38" s="15"/>
      <c r="BB38" s="44"/>
      <c r="BC38" s="15"/>
      <c r="BD38" s="44"/>
      <c r="BE38" s="15">
        <f t="shared" si="5"/>
        <v>0</v>
      </c>
    </row>
    <row r="39" spans="1:57" ht="36" customHeight="1">
      <c r="A39" s="9"/>
      <c r="B39" s="16" t="s">
        <v>76</v>
      </c>
      <c r="C39" s="89" t="s">
        <v>59</v>
      </c>
      <c r="D39" s="56" t="s">
        <v>87</v>
      </c>
      <c r="E39" s="11" t="s">
        <v>88</v>
      </c>
      <c r="F39" s="95"/>
      <c r="G39" s="9"/>
      <c r="H39" s="9" t="s">
        <v>71</v>
      </c>
      <c r="I39" s="14"/>
      <c r="J39" s="14"/>
      <c r="K39" s="12">
        <v>0</v>
      </c>
      <c r="L39" s="9"/>
      <c r="M39" s="9"/>
      <c r="N39" s="9"/>
      <c r="O39" s="38">
        <f t="shared" si="0"/>
        <v>0</v>
      </c>
      <c r="P39" s="15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5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3"/>
        <v>0</v>
      </c>
      <c r="BA39" s="15"/>
      <c r="BB39" s="44"/>
      <c r="BC39" s="15"/>
      <c r="BD39" s="44"/>
      <c r="BE39" s="15">
        <f t="shared" si="5"/>
        <v>0</v>
      </c>
    </row>
    <row r="40" spans="1:57" ht="36" customHeight="1">
      <c r="A40" s="9"/>
      <c r="B40" s="16" t="s">
        <v>34</v>
      </c>
      <c r="C40" s="89" t="s">
        <v>59</v>
      </c>
      <c r="D40" s="60" t="s">
        <v>89</v>
      </c>
      <c r="E40" s="11" t="s">
        <v>90</v>
      </c>
      <c r="F40" s="95"/>
      <c r="G40" s="9"/>
      <c r="H40" s="9" t="s">
        <v>67</v>
      </c>
      <c r="I40" s="14"/>
      <c r="J40" s="14"/>
      <c r="K40" s="12">
        <v>4000</v>
      </c>
      <c r="L40" s="9"/>
      <c r="M40" s="9"/>
      <c r="N40" s="9"/>
      <c r="O40" s="38">
        <f t="shared" si="0"/>
        <v>4000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5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3"/>
        <v>0</v>
      </c>
      <c r="BA40" s="15"/>
      <c r="BB40" s="44"/>
      <c r="BC40" s="15"/>
      <c r="BD40" s="44"/>
      <c r="BE40" s="15">
        <f t="shared" si="5"/>
        <v>0</v>
      </c>
    </row>
    <row r="41" spans="1:57" ht="36" customHeight="1">
      <c r="A41" s="9"/>
      <c r="B41" s="16" t="s">
        <v>34</v>
      </c>
      <c r="C41" s="89" t="s">
        <v>59</v>
      </c>
      <c r="D41" s="60" t="s">
        <v>91</v>
      </c>
      <c r="E41" s="11" t="s">
        <v>92</v>
      </c>
      <c r="F41" s="95"/>
      <c r="G41" s="9"/>
      <c r="H41" s="9" t="s">
        <v>67</v>
      </c>
      <c r="I41" s="14"/>
      <c r="J41" s="14"/>
      <c r="K41" s="12">
        <v>5000</v>
      </c>
      <c r="L41" s="9"/>
      <c r="M41" s="9"/>
      <c r="N41" s="9"/>
      <c r="O41" s="38">
        <f t="shared" si="0"/>
        <v>5000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5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3"/>
        <v>0</v>
      </c>
      <c r="BA41" s="15"/>
      <c r="BB41" s="44"/>
      <c r="BC41" s="15"/>
      <c r="BD41" s="44"/>
      <c r="BE41" s="15">
        <f t="shared" si="5"/>
        <v>0</v>
      </c>
    </row>
    <row r="42" spans="1:57" ht="24" customHeight="1">
      <c r="A42" s="9"/>
      <c r="B42" s="16" t="s">
        <v>34</v>
      </c>
      <c r="C42" s="89" t="s">
        <v>44</v>
      </c>
      <c r="D42" s="60" t="s">
        <v>93</v>
      </c>
      <c r="E42" s="11" t="s">
        <v>94</v>
      </c>
      <c r="F42" s="95"/>
      <c r="G42" s="9"/>
      <c r="H42" s="9" t="s">
        <v>95</v>
      </c>
      <c r="I42" s="14"/>
      <c r="J42" s="14"/>
      <c r="K42" s="12">
        <v>2050</v>
      </c>
      <c r="L42" s="9"/>
      <c r="M42" s="9"/>
      <c r="N42" s="9"/>
      <c r="O42" s="38">
        <f t="shared" si="0"/>
        <v>2050</v>
      </c>
      <c r="P42" s="12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5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3"/>
        <v>0</v>
      </c>
      <c r="BA42" s="15"/>
      <c r="BB42" s="44"/>
      <c r="BC42" s="15"/>
      <c r="BD42" s="44"/>
      <c r="BE42" s="15">
        <f t="shared" si="5"/>
        <v>0</v>
      </c>
    </row>
    <row r="43" spans="1:57" ht="24" customHeight="1">
      <c r="A43" s="9"/>
      <c r="B43" s="16" t="s">
        <v>34</v>
      </c>
      <c r="C43" s="89" t="s">
        <v>96</v>
      </c>
      <c r="D43" s="60" t="s">
        <v>97</v>
      </c>
      <c r="E43" s="11" t="s">
        <v>98</v>
      </c>
      <c r="F43" s="95"/>
      <c r="G43" s="9"/>
      <c r="H43" s="9" t="s">
        <v>95</v>
      </c>
      <c r="I43" s="14"/>
      <c r="J43" s="14"/>
      <c r="K43" s="12">
        <v>0</v>
      </c>
      <c r="L43" s="9"/>
      <c r="M43" s="9"/>
      <c r="N43" s="9"/>
      <c r="O43" s="38">
        <f t="shared" si="0"/>
        <v>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5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3"/>
        <v>0</v>
      </c>
      <c r="BA43" s="15"/>
      <c r="BB43" s="44"/>
      <c r="BC43" s="15"/>
      <c r="BD43" s="44"/>
      <c r="BE43" s="15">
        <f t="shared" si="5"/>
        <v>0</v>
      </c>
    </row>
    <row r="44" spans="1:57" ht="24" customHeight="1">
      <c r="A44" s="9"/>
      <c r="B44" s="16" t="s">
        <v>34</v>
      </c>
      <c r="C44" s="89" t="s">
        <v>96</v>
      </c>
      <c r="D44" s="60" t="s">
        <v>99</v>
      </c>
      <c r="E44" s="11" t="s">
        <v>100</v>
      </c>
      <c r="F44" s="95"/>
      <c r="G44" s="9"/>
      <c r="H44" s="9" t="s">
        <v>67</v>
      </c>
      <c r="I44" s="14"/>
      <c r="J44" s="14"/>
      <c r="K44" s="12">
        <v>30000</v>
      </c>
      <c r="L44" s="9"/>
      <c r="M44" s="9"/>
      <c r="N44" s="9"/>
      <c r="O44" s="38">
        <f t="shared" si="0"/>
        <v>30000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5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3"/>
        <v>0</v>
      </c>
      <c r="BA44" s="15"/>
      <c r="BB44" s="44"/>
      <c r="BC44" s="15"/>
      <c r="BD44" s="44"/>
      <c r="BE44" s="15">
        <f t="shared" si="5"/>
        <v>0</v>
      </c>
    </row>
    <row r="45" spans="1:57">
      <c r="A45" s="9"/>
      <c r="B45" s="16" t="s">
        <v>101</v>
      </c>
      <c r="C45" s="89" t="s">
        <v>48</v>
      </c>
      <c r="D45" s="56" t="s">
        <v>102</v>
      </c>
      <c r="E45" s="11" t="s">
        <v>103</v>
      </c>
      <c r="F45" s="95"/>
      <c r="G45" s="9"/>
      <c r="H45" s="9" t="s">
        <v>67</v>
      </c>
      <c r="I45" s="14"/>
      <c r="J45" s="14"/>
      <c r="K45" s="12">
        <v>0</v>
      </c>
      <c r="L45" s="9"/>
      <c r="M45" s="9"/>
      <c r="N45" s="9"/>
      <c r="O45" s="38">
        <f t="shared" si="0"/>
        <v>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5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3"/>
        <v>0</v>
      </c>
      <c r="BA45" s="15"/>
      <c r="BB45" s="44"/>
      <c r="BC45" s="15"/>
      <c r="BD45" s="44"/>
      <c r="BE45" s="15">
        <f t="shared" si="5"/>
        <v>0</v>
      </c>
    </row>
    <row r="46" spans="1:57" ht="24" customHeight="1">
      <c r="A46" s="9"/>
      <c r="B46" s="16" t="s">
        <v>104</v>
      </c>
      <c r="C46" s="89" t="s">
        <v>44</v>
      </c>
      <c r="D46" s="59" t="s">
        <v>105</v>
      </c>
      <c r="E46" s="11" t="s">
        <v>106</v>
      </c>
      <c r="F46" s="95"/>
      <c r="G46" s="9"/>
      <c r="H46" s="9" t="s">
        <v>107</v>
      </c>
      <c r="I46" s="14"/>
      <c r="J46" s="14"/>
      <c r="K46" s="12">
        <v>500</v>
      </c>
      <c r="L46" s="9"/>
      <c r="M46" s="9"/>
      <c r="N46" s="9"/>
      <c r="O46" s="38">
        <f t="shared" si="0"/>
        <v>500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5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3"/>
        <v>0</v>
      </c>
      <c r="BA46" s="15"/>
      <c r="BB46" s="44"/>
      <c r="BC46" s="15"/>
      <c r="BD46" s="44"/>
      <c r="BE46" s="15">
        <f t="shared" si="5"/>
        <v>0</v>
      </c>
    </row>
    <row r="47" spans="1:57">
      <c r="A47" s="9"/>
      <c r="B47" s="16" t="s">
        <v>104</v>
      </c>
      <c r="C47" s="89" t="s">
        <v>48</v>
      </c>
      <c r="D47" s="62" t="s">
        <v>105</v>
      </c>
      <c r="E47" s="11" t="s">
        <v>108</v>
      </c>
      <c r="F47" s="95"/>
      <c r="G47" s="9"/>
      <c r="H47" s="9" t="s">
        <v>107</v>
      </c>
      <c r="I47" s="14"/>
      <c r="J47" s="14"/>
      <c r="K47" s="12">
        <v>0</v>
      </c>
      <c r="L47" s="9"/>
      <c r="M47" s="9"/>
      <c r="N47" s="9"/>
      <c r="O47" s="38">
        <f t="shared" si="0"/>
        <v>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5"/>
      <c r="AG47" s="42"/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3"/>
        <v>0</v>
      </c>
      <c r="BA47" s="15"/>
      <c r="BB47" s="44"/>
      <c r="BC47" s="15"/>
      <c r="BD47" s="44"/>
      <c r="BE47" s="15">
        <f t="shared" si="5"/>
        <v>0</v>
      </c>
    </row>
    <row r="48" spans="1:57">
      <c r="A48" s="9"/>
      <c r="B48" s="16" t="s">
        <v>104</v>
      </c>
      <c r="C48" s="89" t="s">
        <v>52</v>
      </c>
      <c r="D48" s="61" t="s">
        <v>109</v>
      </c>
      <c r="E48" s="11" t="s">
        <v>110</v>
      </c>
      <c r="F48" s="95"/>
      <c r="G48" s="9"/>
      <c r="H48" s="9" t="s">
        <v>107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5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3"/>
        <v>0</v>
      </c>
      <c r="BA48" s="15"/>
      <c r="BB48" s="44"/>
      <c r="BC48" s="15"/>
      <c r="BD48" s="44"/>
      <c r="BE48" s="15">
        <f t="shared" si="5"/>
        <v>0</v>
      </c>
    </row>
    <row r="49" spans="1:57" ht="36" customHeight="1">
      <c r="A49" s="9"/>
      <c r="B49" s="16" t="s">
        <v>111</v>
      </c>
      <c r="C49" s="89" t="s">
        <v>59</v>
      </c>
      <c r="D49" s="61" t="s">
        <v>112</v>
      </c>
      <c r="E49" s="11" t="s">
        <v>113</v>
      </c>
      <c r="F49" s="95"/>
      <c r="G49" s="9"/>
      <c r="H49" s="9" t="s">
        <v>114</v>
      </c>
      <c r="I49" s="14"/>
      <c r="J49" s="14"/>
      <c r="K49" s="12">
        <v>880</v>
      </c>
      <c r="L49" s="9"/>
      <c r="M49" s="9"/>
      <c r="N49" s="9"/>
      <c r="O49" s="38">
        <f t="shared" si="0"/>
        <v>880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5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3"/>
        <v>0</v>
      </c>
      <c r="BA49" s="15"/>
      <c r="BB49" s="44"/>
      <c r="BC49" s="15"/>
      <c r="BD49" s="44"/>
      <c r="BE49" s="15">
        <f t="shared" si="5"/>
        <v>0</v>
      </c>
    </row>
    <row r="50" spans="1:57">
      <c r="A50" s="9"/>
      <c r="B50" s="16" t="s">
        <v>111</v>
      </c>
      <c r="C50" s="89" t="s">
        <v>50</v>
      </c>
      <c r="D50" s="61" t="s">
        <v>112</v>
      </c>
      <c r="E50" s="11" t="s">
        <v>115</v>
      </c>
      <c r="F50" s="95"/>
      <c r="G50" s="9"/>
      <c r="H50" s="9" t="s">
        <v>116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5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3"/>
        <v>0</v>
      </c>
      <c r="BA50" s="15"/>
      <c r="BB50" s="44"/>
      <c r="BC50" s="15"/>
      <c r="BD50" s="44"/>
      <c r="BE50" s="15">
        <f t="shared" si="5"/>
        <v>0</v>
      </c>
    </row>
    <row r="51" spans="1:57">
      <c r="A51" s="9"/>
      <c r="B51" s="16" t="s">
        <v>111</v>
      </c>
      <c r="C51" s="89" t="s">
        <v>52</v>
      </c>
      <c r="D51" s="61" t="s">
        <v>117</v>
      </c>
      <c r="E51" s="11" t="s">
        <v>118</v>
      </c>
      <c r="F51" s="95"/>
      <c r="G51" s="9"/>
      <c r="H51" s="9" t="s">
        <v>119</v>
      </c>
      <c r="I51" s="14"/>
      <c r="J51" s="14"/>
      <c r="K51" s="12">
        <v>250</v>
      </c>
      <c r="L51" s="9"/>
      <c r="M51" s="9"/>
      <c r="N51" s="9"/>
      <c r="O51" s="38">
        <f t="shared" si="0"/>
        <v>250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5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3"/>
        <v>0</v>
      </c>
      <c r="BA51" s="15"/>
      <c r="BB51" s="44"/>
      <c r="BC51" s="15"/>
      <c r="BD51" s="44"/>
      <c r="BE51" s="15">
        <f t="shared" si="5"/>
        <v>0</v>
      </c>
    </row>
    <row r="52" spans="1:57" ht="36" customHeight="1">
      <c r="A52" s="9"/>
      <c r="B52" s="16" t="s">
        <v>120</v>
      </c>
      <c r="C52" s="89" t="s">
        <v>59</v>
      </c>
      <c r="D52" s="61" t="s">
        <v>121</v>
      </c>
      <c r="E52" s="11" t="s">
        <v>122</v>
      </c>
      <c r="F52" s="95"/>
      <c r="G52" s="9"/>
      <c r="H52" s="9" t="s">
        <v>123</v>
      </c>
      <c r="I52" s="14"/>
      <c r="J52" s="14"/>
      <c r="K52" s="12">
        <v>0</v>
      </c>
      <c r="L52" s="9"/>
      <c r="M52" s="9"/>
      <c r="N52" s="9"/>
      <c r="O52" s="38">
        <f t="shared" si="0"/>
        <v>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5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3"/>
        <v>0</v>
      </c>
      <c r="BA52" s="15"/>
      <c r="BB52" s="44"/>
      <c r="BC52" s="15"/>
      <c r="BD52" s="44"/>
      <c r="BE52" s="15">
        <f t="shared" si="5"/>
        <v>0</v>
      </c>
    </row>
    <row r="53" spans="1:57" ht="36" customHeight="1">
      <c r="A53" s="9"/>
      <c r="B53" s="16" t="s">
        <v>120</v>
      </c>
      <c r="C53" s="89" t="s">
        <v>59</v>
      </c>
      <c r="D53" s="61" t="s">
        <v>124</v>
      </c>
      <c r="E53" s="11" t="s">
        <v>125</v>
      </c>
      <c r="F53" s="95"/>
      <c r="G53" s="9"/>
      <c r="H53" s="9" t="s">
        <v>67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5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3"/>
        <v>0</v>
      </c>
      <c r="BA53" s="15"/>
      <c r="BB53" s="44"/>
      <c r="BC53" s="15"/>
      <c r="BD53" s="44"/>
      <c r="BE53" s="15">
        <f t="shared" si="5"/>
        <v>0</v>
      </c>
    </row>
    <row r="54" spans="1:57">
      <c r="A54" s="9"/>
      <c r="B54" s="16" t="s">
        <v>120</v>
      </c>
      <c r="C54" s="89" t="s">
        <v>50</v>
      </c>
      <c r="D54" s="61" t="s">
        <v>126</v>
      </c>
      <c r="E54" s="11" t="s">
        <v>127</v>
      </c>
      <c r="F54" s="95"/>
      <c r="G54" s="9"/>
      <c r="H54" s="9" t="s">
        <v>128</v>
      </c>
      <c r="I54" s="14"/>
      <c r="J54" s="14"/>
      <c r="K54" s="12">
        <v>0</v>
      </c>
      <c r="L54" s="9"/>
      <c r="M54" s="9"/>
      <c r="N54" s="9"/>
      <c r="O54" s="38">
        <f t="shared" si="0"/>
        <v>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5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3"/>
        <v>0</v>
      </c>
      <c r="BA54" s="15"/>
      <c r="BB54" s="44"/>
      <c r="BC54" s="15"/>
      <c r="BD54" s="44"/>
      <c r="BE54" s="15">
        <f t="shared" si="5"/>
        <v>0</v>
      </c>
    </row>
    <row r="55" spans="1:57" ht="24" customHeight="1">
      <c r="A55" s="9"/>
      <c r="B55" s="16" t="s">
        <v>129</v>
      </c>
      <c r="C55" s="89" t="s">
        <v>44</v>
      </c>
      <c r="D55" s="60" t="s">
        <v>130</v>
      </c>
      <c r="E55" s="11"/>
      <c r="F55" s="95"/>
      <c r="G55" s="9"/>
      <c r="H55" s="9" t="s">
        <v>131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5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3"/>
        <v>0</v>
      </c>
      <c r="BA55" s="15"/>
      <c r="BB55" s="44"/>
      <c r="BC55" s="15"/>
      <c r="BD55" s="44"/>
      <c r="BE55" s="15">
        <f t="shared" si="5"/>
        <v>0</v>
      </c>
    </row>
    <row r="56" spans="1:57" ht="24" customHeight="1">
      <c r="A56" s="9"/>
      <c r="B56" s="16" t="s">
        <v>129</v>
      </c>
      <c r="C56" s="89" t="s">
        <v>132</v>
      </c>
      <c r="D56" s="63" t="s">
        <v>133</v>
      </c>
      <c r="E56" s="11" t="s">
        <v>134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5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3"/>
        <v>0</v>
      </c>
      <c r="BA56" s="15"/>
      <c r="BB56" s="44"/>
      <c r="BC56" s="15"/>
      <c r="BD56" s="44"/>
      <c r="BE56" s="15">
        <f t="shared" si="5"/>
        <v>0</v>
      </c>
    </row>
    <row r="57" spans="1:57">
      <c r="A57" s="9"/>
      <c r="B57" s="16" t="s">
        <v>129</v>
      </c>
      <c r="C57" s="89" t="s">
        <v>48</v>
      </c>
      <c r="D57" s="60" t="s">
        <v>130</v>
      </c>
      <c r="E57" s="11" t="s">
        <v>135</v>
      </c>
      <c r="F57" s="95"/>
      <c r="G57" s="9"/>
      <c r="H57" s="9" t="s">
        <v>131</v>
      </c>
      <c r="I57" s="14"/>
      <c r="J57" s="14"/>
      <c r="K57" s="12">
        <v>1192</v>
      </c>
      <c r="L57" s="9"/>
      <c r="M57" s="9"/>
      <c r="N57" s="9"/>
      <c r="O57" s="38">
        <f t="shared" si="0"/>
        <v>1192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5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3"/>
        <v>0</v>
      </c>
      <c r="BA57" s="15"/>
      <c r="BB57" s="44"/>
      <c r="BC57" s="15"/>
      <c r="BD57" s="44"/>
      <c r="BE57" s="15">
        <f t="shared" si="5"/>
        <v>0</v>
      </c>
    </row>
    <row r="58" spans="1:57">
      <c r="A58" s="9"/>
      <c r="B58" s="16" t="s">
        <v>129</v>
      </c>
      <c r="C58" s="89" t="s">
        <v>48</v>
      </c>
      <c r="D58" s="60" t="s">
        <v>130</v>
      </c>
      <c r="E58" s="11" t="s">
        <v>136</v>
      </c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5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3"/>
        <v>0</v>
      </c>
      <c r="BA58" s="15"/>
      <c r="BB58" s="44"/>
      <c r="BC58" s="15"/>
      <c r="BD58" s="44"/>
      <c r="BE58" s="15">
        <f t="shared" si="5"/>
        <v>0</v>
      </c>
    </row>
    <row r="59" spans="1:57">
      <c r="A59" s="9"/>
      <c r="B59" s="16" t="s">
        <v>129</v>
      </c>
      <c r="C59" s="89" t="s">
        <v>50</v>
      </c>
      <c r="D59" s="60" t="s">
        <v>130</v>
      </c>
      <c r="E59" s="11"/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5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3"/>
        <v>0</v>
      </c>
      <c r="BA59" s="15"/>
      <c r="BB59" s="44"/>
      <c r="BC59" s="15"/>
      <c r="BD59" s="44"/>
      <c r="BE59" s="15">
        <f t="shared" si="5"/>
        <v>0</v>
      </c>
    </row>
    <row r="60" spans="1:57">
      <c r="A60" s="9"/>
      <c r="B60" s="16" t="s">
        <v>129</v>
      </c>
      <c r="C60" s="89" t="s">
        <v>52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176</v>
      </c>
      <c r="L60" s="9"/>
      <c r="M60" s="9"/>
      <c r="N60" s="9"/>
      <c r="O60" s="38">
        <f t="shared" si="0"/>
        <v>176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5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3"/>
        <v>0</v>
      </c>
      <c r="BA60" s="15"/>
      <c r="BB60" s="44"/>
      <c r="BC60" s="15"/>
      <c r="BD60" s="44"/>
      <c r="BE60" s="15">
        <f t="shared" si="5"/>
        <v>0</v>
      </c>
    </row>
    <row r="61" spans="1:57">
      <c r="A61" s="9"/>
      <c r="B61" s="16" t="s">
        <v>129</v>
      </c>
      <c r="C61" s="89" t="s">
        <v>52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5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3"/>
        <v>0</v>
      </c>
      <c r="BA61" s="15"/>
      <c r="BB61" s="44"/>
      <c r="BC61" s="15"/>
      <c r="BD61" s="44"/>
      <c r="BE61" s="15">
        <f t="shared" si="5"/>
        <v>0</v>
      </c>
    </row>
    <row r="62" spans="1:57" ht="24" customHeight="1">
      <c r="A62" s="9"/>
      <c r="B62" s="16" t="s">
        <v>129</v>
      </c>
      <c r="C62" s="89" t="s">
        <v>44</v>
      </c>
      <c r="D62" s="57" t="s">
        <v>137</v>
      </c>
      <c r="E62" s="11" t="s">
        <v>138</v>
      </c>
      <c r="F62" s="95"/>
      <c r="G62" s="9"/>
      <c r="H62" s="9" t="s">
        <v>131</v>
      </c>
      <c r="I62" s="14"/>
      <c r="J62" s="14"/>
      <c r="K62" s="12">
        <v>1000</v>
      </c>
      <c r="L62" s="9"/>
      <c r="M62" s="9"/>
      <c r="N62" s="9"/>
      <c r="O62" s="38">
        <f t="shared" si="0"/>
        <v>1000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5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3"/>
        <v>0</v>
      </c>
      <c r="BA62" s="15"/>
      <c r="BB62" s="44"/>
      <c r="BC62" s="15"/>
      <c r="BD62" s="44"/>
      <c r="BE62" s="15">
        <f t="shared" si="5"/>
        <v>0</v>
      </c>
    </row>
    <row r="63" spans="1:57">
      <c r="A63" s="9"/>
      <c r="B63" s="16" t="s">
        <v>129</v>
      </c>
      <c r="C63" s="89" t="s">
        <v>132</v>
      </c>
      <c r="D63" s="56" t="s">
        <v>139</v>
      </c>
      <c r="E63" s="11" t="s">
        <v>27</v>
      </c>
      <c r="F63" s="95"/>
      <c r="G63" s="9"/>
      <c r="H63" s="9" t="s">
        <v>131</v>
      </c>
      <c r="I63" s="14"/>
      <c r="J63" s="14"/>
      <c r="K63" s="12">
        <v>1800</v>
      </c>
      <c r="L63" s="9"/>
      <c r="M63" s="9"/>
      <c r="N63" s="9"/>
      <c r="O63" s="38">
        <f t="shared" si="0"/>
        <v>1800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5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3"/>
        <v>0</v>
      </c>
      <c r="BA63" s="15"/>
      <c r="BB63" s="44"/>
      <c r="BC63" s="15"/>
      <c r="BD63" s="44"/>
      <c r="BE63" s="15">
        <f t="shared" si="5"/>
        <v>0</v>
      </c>
    </row>
    <row r="64" spans="1:57" ht="24" customHeight="1">
      <c r="A64" s="9"/>
      <c r="B64" s="16" t="s">
        <v>129</v>
      </c>
      <c r="C64" s="89" t="s">
        <v>140</v>
      </c>
      <c r="D64" s="64" t="s">
        <v>139</v>
      </c>
      <c r="E64" s="11" t="s">
        <v>27</v>
      </c>
      <c r="F64" s="95"/>
      <c r="G64" s="9"/>
      <c r="H64" s="9" t="s">
        <v>131</v>
      </c>
      <c r="I64" s="14"/>
      <c r="J64" s="14"/>
      <c r="K64" s="12">
        <v>2040</v>
      </c>
      <c r="L64" s="9"/>
      <c r="M64" s="9"/>
      <c r="N64" s="9"/>
      <c r="O64" s="38">
        <f t="shared" si="0"/>
        <v>2040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5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3"/>
        <v>0</v>
      </c>
      <c r="BA64" s="15"/>
      <c r="BB64" s="44"/>
      <c r="BC64" s="15"/>
      <c r="BD64" s="44"/>
      <c r="BE64" s="15">
        <f t="shared" si="5"/>
        <v>0</v>
      </c>
    </row>
    <row r="65" spans="1:57">
      <c r="A65" s="9"/>
      <c r="B65" s="16" t="s">
        <v>129</v>
      </c>
      <c r="C65" s="89" t="s">
        <v>48</v>
      </c>
      <c r="D65" s="61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1202</v>
      </c>
      <c r="L65" s="9"/>
      <c r="M65" s="9"/>
      <c r="N65" s="9"/>
      <c r="O65" s="38">
        <f t="shared" si="0"/>
        <v>1202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5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3"/>
        <v>0</v>
      </c>
      <c r="BA65" s="15"/>
      <c r="BB65" s="44"/>
      <c r="BC65" s="15"/>
      <c r="BD65" s="44"/>
      <c r="BE65" s="15">
        <f t="shared" si="5"/>
        <v>0</v>
      </c>
    </row>
    <row r="66" spans="1:57">
      <c r="A66" s="9"/>
      <c r="B66" s="16" t="s">
        <v>129</v>
      </c>
      <c r="C66" s="89" t="s">
        <v>52</v>
      </c>
      <c r="D66" s="61" t="s">
        <v>137</v>
      </c>
      <c r="E66" s="11" t="s">
        <v>138</v>
      </c>
      <c r="F66" s="95"/>
      <c r="G66" s="9"/>
      <c r="H66" s="9" t="s">
        <v>131</v>
      </c>
      <c r="I66" s="14"/>
      <c r="J66" s="14"/>
      <c r="K66" s="12">
        <v>0</v>
      </c>
      <c r="L66" s="9"/>
      <c r="M66" s="9"/>
      <c r="N66" s="9"/>
      <c r="O66" s="38">
        <f t="shared" ref="O66:O129" si="6">K66+V66-AE66-AZ66</f>
        <v>0</v>
      </c>
      <c r="P66" s="12"/>
      <c r="Q66" s="42"/>
      <c r="R66" s="15"/>
      <c r="S66" s="44"/>
      <c r="T66" s="15"/>
      <c r="U66" s="44"/>
      <c r="V66" s="15">
        <f t="shared" ref="V66:V129" si="7">P66+R66+T66</f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ref="AE66:AE129" si="8">(W66+Y66+AA66+AC66)</f>
        <v>0</v>
      </c>
      <c r="AF66" s="15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3"/>
        <v>0</v>
      </c>
      <c r="BA66" s="15"/>
      <c r="BB66" s="44"/>
      <c r="BC66" s="15"/>
      <c r="BD66" s="44"/>
      <c r="BE66" s="15">
        <f t="shared" si="5"/>
        <v>0</v>
      </c>
    </row>
    <row r="67" spans="1:57">
      <c r="A67" s="9"/>
      <c r="B67" s="16" t="s">
        <v>129</v>
      </c>
      <c r="C67" s="89" t="s">
        <v>52</v>
      </c>
      <c r="D67" s="56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0</v>
      </c>
      <c r="L67" s="9"/>
      <c r="M67" s="9"/>
      <c r="N67" s="9"/>
      <c r="O67" s="38">
        <f t="shared" si="6"/>
        <v>0</v>
      </c>
      <c r="P67" s="12"/>
      <c r="Q67" s="42"/>
      <c r="R67" s="15"/>
      <c r="S67" s="44"/>
      <c r="T67" s="15"/>
      <c r="U67" s="44"/>
      <c r="V67" s="15">
        <f t="shared" si="7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8"/>
        <v>0</v>
      </c>
      <c r="AF67" s="15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ref="AZ67:AZ130" si="9">AF67+AH67+AJ67+AL67+AN67+AP67+AR67+AT67+AV67+AX67</f>
        <v>0</v>
      </c>
      <c r="BA67" s="15"/>
      <c r="BB67" s="44"/>
      <c r="BC67" s="15"/>
      <c r="BD67" s="44"/>
      <c r="BE67" s="15">
        <f t="shared" ref="BE67:BE93" si="10">(BA67+BC67)</f>
        <v>0</v>
      </c>
    </row>
    <row r="68" spans="1:57" ht="36" customHeight="1">
      <c r="A68" s="9"/>
      <c r="B68" s="18" t="s">
        <v>58</v>
      </c>
      <c r="C68" s="89" t="s">
        <v>59</v>
      </c>
      <c r="D68" s="58" t="s">
        <v>141</v>
      </c>
      <c r="E68" s="35" t="s">
        <v>58</v>
      </c>
      <c r="F68" s="95"/>
      <c r="G68" s="21"/>
      <c r="H68" s="21" t="s">
        <v>61</v>
      </c>
      <c r="I68" s="14"/>
      <c r="J68" s="14"/>
      <c r="K68" s="12">
        <v>733</v>
      </c>
      <c r="L68" s="9"/>
      <c r="M68" s="9"/>
      <c r="N68" s="9"/>
      <c r="O68" s="38">
        <f t="shared" si="6"/>
        <v>733</v>
      </c>
      <c r="P68" s="12"/>
      <c r="Q68" s="42"/>
      <c r="R68" s="15"/>
      <c r="S68" s="44"/>
      <c r="T68" s="15"/>
      <c r="U68" s="44"/>
      <c r="V68" s="15">
        <f t="shared" si="7"/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si="8"/>
        <v>0</v>
      </c>
      <c r="AF68" s="15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9"/>
        <v>0</v>
      </c>
      <c r="BA68" s="15"/>
      <c r="BB68" s="44"/>
      <c r="BC68" s="15"/>
      <c r="BD68" s="44"/>
      <c r="BE68" s="15">
        <f t="shared" si="10"/>
        <v>0</v>
      </c>
    </row>
    <row r="69" spans="1:57">
      <c r="A69" s="9"/>
      <c r="B69" s="18" t="s">
        <v>62</v>
      </c>
      <c r="C69" s="89" t="s">
        <v>48</v>
      </c>
      <c r="D69" s="58" t="s">
        <v>142</v>
      </c>
      <c r="E69" s="35" t="s">
        <v>62</v>
      </c>
      <c r="F69" s="95"/>
      <c r="G69" s="21"/>
      <c r="H69" s="21" t="s">
        <v>61</v>
      </c>
      <c r="I69" s="14"/>
      <c r="J69" s="14"/>
      <c r="K69" s="12">
        <v>112</v>
      </c>
      <c r="L69" s="9"/>
      <c r="M69" s="9"/>
      <c r="N69" s="9"/>
      <c r="O69" s="38">
        <f t="shared" si="6"/>
        <v>112</v>
      </c>
      <c r="P69" s="12"/>
      <c r="Q69" s="42"/>
      <c r="R69" s="15"/>
      <c r="S69" s="44"/>
      <c r="T69" s="15"/>
      <c r="U69" s="44"/>
      <c r="V69" s="15">
        <f t="shared" si="7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8"/>
        <v>0</v>
      </c>
      <c r="AF69" s="15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9"/>
        <v>0</v>
      </c>
      <c r="BA69" s="15"/>
      <c r="BB69" s="44"/>
      <c r="BC69" s="15"/>
      <c r="BD69" s="44"/>
      <c r="BE69" s="15">
        <f t="shared" si="10"/>
        <v>0</v>
      </c>
    </row>
    <row r="70" spans="1:57">
      <c r="A70" s="9"/>
      <c r="B70" s="18" t="s">
        <v>62</v>
      </c>
      <c r="C70" s="89" t="s">
        <v>50</v>
      </c>
      <c r="D70" s="58" t="s">
        <v>142</v>
      </c>
      <c r="E70" s="35" t="s">
        <v>62</v>
      </c>
      <c r="F70" s="95"/>
      <c r="G70" s="21"/>
      <c r="H70" s="21" t="s">
        <v>61</v>
      </c>
      <c r="I70" s="14"/>
      <c r="J70" s="14"/>
      <c r="K70" s="12">
        <v>40</v>
      </c>
      <c r="L70" s="9"/>
      <c r="M70" s="9"/>
      <c r="N70" s="9"/>
      <c r="O70" s="38">
        <f t="shared" si="6"/>
        <v>40</v>
      </c>
      <c r="P70" s="12"/>
      <c r="Q70" s="42"/>
      <c r="R70" s="15"/>
      <c r="S70" s="44"/>
      <c r="T70" s="15"/>
      <c r="U70" s="44"/>
      <c r="V70" s="15">
        <f t="shared" si="7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8"/>
        <v>0</v>
      </c>
      <c r="AF70" s="15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9"/>
        <v>0</v>
      </c>
      <c r="BA70" s="15"/>
      <c r="BB70" s="44"/>
      <c r="BC70" s="15"/>
      <c r="BD70" s="44"/>
      <c r="BE70" s="15">
        <f t="shared" si="10"/>
        <v>0</v>
      </c>
    </row>
    <row r="71" spans="1:57">
      <c r="A71" s="9"/>
      <c r="B71" s="18" t="s">
        <v>62</v>
      </c>
      <c r="C71" s="89" t="s">
        <v>48</v>
      </c>
      <c r="D71" s="58" t="s">
        <v>143</v>
      </c>
      <c r="E71" s="35" t="s">
        <v>62</v>
      </c>
      <c r="F71" s="95"/>
      <c r="G71" s="21"/>
      <c r="H71" s="21" t="s">
        <v>61</v>
      </c>
      <c r="I71" s="14"/>
      <c r="J71" s="14"/>
      <c r="K71" s="12">
        <v>200</v>
      </c>
      <c r="L71" s="9"/>
      <c r="M71" s="9"/>
      <c r="N71" s="9"/>
      <c r="O71" s="38">
        <f t="shared" si="6"/>
        <v>200</v>
      </c>
      <c r="P71" s="12"/>
      <c r="Q71" s="42"/>
      <c r="R71" s="15"/>
      <c r="S71" s="44"/>
      <c r="T71" s="15"/>
      <c r="U71" s="44"/>
      <c r="V71" s="15">
        <f t="shared" si="7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8"/>
        <v>0</v>
      </c>
      <c r="AF71" s="15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9"/>
        <v>0</v>
      </c>
      <c r="BA71" s="15"/>
      <c r="BB71" s="44"/>
      <c r="BC71" s="15"/>
      <c r="BD71" s="44"/>
      <c r="BE71" s="15">
        <f t="shared" si="10"/>
        <v>0</v>
      </c>
    </row>
    <row r="72" spans="1:57">
      <c r="A72" s="9"/>
      <c r="B72" s="18" t="s">
        <v>144</v>
      </c>
      <c r="C72" s="89" t="s">
        <v>132</v>
      </c>
      <c r="D72" s="65" t="s">
        <v>145</v>
      </c>
      <c r="E72" s="35" t="s">
        <v>146</v>
      </c>
      <c r="F72" s="95"/>
      <c r="G72" s="21"/>
      <c r="H72" s="21" t="s">
        <v>147</v>
      </c>
      <c r="I72" s="14"/>
      <c r="J72" s="14"/>
      <c r="K72" s="12">
        <v>893</v>
      </c>
      <c r="L72" s="9"/>
      <c r="M72" s="9"/>
      <c r="N72" s="9"/>
      <c r="O72" s="38">
        <f t="shared" si="6"/>
        <v>893</v>
      </c>
      <c r="P72" s="12"/>
      <c r="Q72" s="42"/>
      <c r="R72" s="15"/>
      <c r="S72" s="44"/>
      <c r="T72" s="15"/>
      <c r="U72" s="44"/>
      <c r="V72" s="15">
        <f t="shared" si="7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8"/>
        <v>0</v>
      </c>
      <c r="AF72" s="15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9"/>
        <v>0</v>
      </c>
      <c r="BA72" s="15"/>
      <c r="BB72" s="44"/>
      <c r="BC72" s="15"/>
      <c r="BD72" s="44"/>
      <c r="BE72" s="15">
        <f t="shared" si="10"/>
        <v>0</v>
      </c>
    </row>
    <row r="73" spans="1:57">
      <c r="A73" s="9"/>
      <c r="B73" s="18" t="s">
        <v>144</v>
      </c>
      <c r="C73" s="89" t="s">
        <v>48</v>
      </c>
      <c r="D73" s="58" t="s">
        <v>145</v>
      </c>
      <c r="E73" s="35" t="s">
        <v>146</v>
      </c>
      <c r="F73" s="95"/>
      <c r="G73" s="21"/>
      <c r="H73" s="21" t="s">
        <v>148</v>
      </c>
      <c r="I73" s="14"/>
      <c r="J73" s="14"/>
      <c r="K73" s="12">
        <v>654</v>
      </c>
      <c r="L73" s="9"/>
      <c r="M73" s="9"/>
      <c r="N73" s="9"/>
      <c r="O73" s="38">
        <f t="shared" si="6"/>
        <v>654</v>
      </c>
      <c r="P73" s="12"/>
      <c r="Q73" s="42"/>
      <c r="R73" s="15"/>
      <c r="S73" s="44"/>
      <c r="T73" s="15"/>
      <c r="U73" s="44"/>
      <c r="V73" s="15">
        <f t="shared" si="7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8"/>
        <v>0</v>
      </c>
      <c r="AF73" s="15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9"/>
        <v>0</v>
      </c>
      <c r="BA73" s="15"/>
      <c r="BB73" s="44"/>
      <c r="BC73" s="15"/>
      <c r="BD73" s="44"/>
      <c r="BE73" s="15">
        <f t="shared" si="10"/>
        <v>0</v>
      </c>
    </row>
    <row r="74" spans="1:57">
      <c r="A74" s="9"/>
      <c r="B74" s="18" t="s">
        <v>144</v>
      </c>
      <c r="C74" s="89" t="s">
        <v>50</v>
      </c>
      <c r="D74" s="58" t="s">
        <v>145</v>
      </c>
      <c r="E74" s="35" t="s">
        <v>146</v>
      </c>
      <c r="F74" s="95"/>
      <c r="G74" s="21"/>
      <c r="H74" s="21" t="s">
        <v>148</v>
      </c>
      <c r="I74" s="14"/>
      <c r="J74" s="14"/>
      <c r="K74" s="12">
        <v>0</v>
      </c>
      <c r="L74" s="9"/>
      <c r="M74" s="9"/>
      <c r="N74" s="9"/>
      <c r="O74" s="38">
        <f t="shared" si="6"/>
        <v>0</v>
      </c>
      <c r="P74" s="12"/>
      <c r="Q74" s="42"/>
      <c r="R74" s="15"/>
      <c r="S74" s="44"/>
      <c r="T74" s="15"/>
      <c r="U74" s="44"/>
      <c r="V74" s="15">
        <f t="shared" si="7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8"/>
        <v>0</v>
      </c>
      <c r="AF74" s="15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9"/>
        <v>0</v>
      </c>
      <c r="BA74" s="15"/>
      <c r="BB74" s="44"/>
      <c r="BC74" s="15"/>
      <c r="BD74" s="44"/>
      <c r="BE74" s="15">
        <f t="shared" si="10"/>
        <v>0</v>
      </c>
    </row>
    <row r="75" spans="1:57">
      <c r="A75" s="9"/>
      <c r="B75" s="18" t="s">
        <v>144</v>
      </c>
      <c r="C75" s="89" t="s">
        <v>140</v>
      </c>
      <c r="D75" s="58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273</v>
      </c>
      <c r="L75" s="9"/>
      <c r="M75" s="9"/>
      <c r="N75" s="9"/>
      <c r="O75" s="38">
        <f t="shared" si="6"/>
        <v>273</v>
      </c>
      <c r="P75" s="12"/>
      <c r="Q75" s="42"/>
      <c r="R75" s="15"/>
      <c r="S75" s="44"/>
      <c r="T75" s="15"/>
      <c r="U75" s="44"/>
      <c r="V75" s="15">
        <f t="shared" si="7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8"/>
        <v>0</v>
      </c>
      <c r="AF75" s="15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9"/>
        <v>0</v>
      </c>
      <c r="BA75" s="15"/>
      <c r="BB75" s="44"/>
      <c r="BC75" s="15"/>
      <c r="BD75" s="44"/>
      <c r="BE75" s="15">
        <f t="shared" si="10"/>
        <v>0</v>
      </c>
    </row>
    <row r="76" spans="1:57">
      <c r="A76" s="9"/>
      <c r="B76" s="18" t="s">
        <v>144</v>
      </c>
      <c r="C76" s="89" t="s">
        <v>52</v>
      </c>
      <c r="D76" s="58" t="s">
        <v>145</v>
      </c>
      <c r="E76" s="35" t="s">
        <v>149</v>
      </c>
      <c r="F76" s="95"/>
      <c r="G76" s="21"/>
      <c r="H76" s="21" t="s">
        <v>147</v>
      </c>
      <c r="I76" s="14"/>
      <c r="J76" s="14"/>
      <c r="K76" s="12">
        <v>200</v>
      </c>
      <c r="L76" s="9"/>
      <c r="M76" s="9"/>
      <c r="N76" s="9"/>
      <c r="O76" s="38">
        <f t="shared" si="6"/>
        <v>200</v>
      </c>
      <c r="P76" s="12"/>
      <c r="Q76" s="42"/>
      <c r="R76" s="15"/>
      <c r="S76" s="44"/>
      <c r="T76" s="15"/>
      <c r="U76" s="44"/>
      <c r="V76" s="15">
        <f t="shared" si="7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8"/>
        <v>0</v>
      </c>
      <c r="AF76" s="15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9"/>
        <v>0</v>
      </c>
      <c r="BA76" s="15"/>
      <c r="BB76" s="44"/>
      <c r="BC76" s="15"/>
      <c r="BD76" s="44"/>
      <c r="BE76" s="15">
        <f t="shared" si="10"/>
        <v>0</v>
      </c>
    </row>
    <row r="77" spans="1:57" ht="36" customHeight="1">
      <c r="A77" s="9"/>
      <c r="B77" s="18" t="s">
        <v>144</v>
      </c>
      <c r="C77" s="89" t="s">
        <v>59</v>
      </c>
      <c r="D77" s="58" t="s">
        <v>150</v>
      </c>
      <c r="E77" s="35" t="s">
        <v>146</v>
      </c>
      <c r="F77" s="95"/>
      <c r="G77" s="21"/>
      <c r="H77" s="21" t="s">
        <v>147</v>
      </c>
      <c r="I77" s="14"/>
      <c r="J77" s="14"/>
      <c r="K77" s="12">
        <v>737</v>
      </c>
      <c r="L77" s="9"/>
      <c r="M77" s="9"/>
      <c r="N77" s="9"/>
      <c r="O77" s="38">
        <f t="shared" si="6"/>
        <v>737</v>
      </c>
      <c r="P77" s="12"/>
      <c r="Q77" s="42"/>
      <c r="R77" s="15"/>
      <c r="S77" s="44"/>
      <c r="T77" s="15"/>
      <c r="U77" s="44"/>
      <c r="V77" s="15">
        <f t="shared" si="7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8"/>
        <v>0</v>
      </c>
      <c r="AF77" s="15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9"/>
        <v>0</v>
      </c>
      <c r="BA77" s="15"/>
      <c r="BB77" s="44"/>
      <c r="BC77" s="15"/>
      <c r="BD77" s="44"/>
      <c r="BE77" s="15">
        <f t="shared" si="10"/>
        <v>0</v>
      </c>
    </row>
    <row r="78" spans="1:57">
      <c r="A78" s="9"/>
      <c r="B78" s="18" t="s">
        <v>144</v>
      </c>
      <c r="C78" s="89" t="s">
        <v>48</v>
      </c>
      <c r="D78" s="65" t="s">
        <v>150</v>
      </c>
      <c r="E78" s="35" t="s">
        <v>146</v>
      </c>
      <c r="F78" s="95"/>
      <c r="G78" s="21"/>
      <c r="H78" s="21" t="s">
        <v>148</v>
      </c>
      <c r="I78" s="14"/>
      <c r="J78" s="14"/>
      <c r="K78" s="12">
        <v>232</v>
      </c>
      <c r="L78" s="9"/>
      <c r="M78" s="9"/>
      <c r="N78" s="9"/>
      <c r="O78" s="38">
        <f t="shared" si="6"/>
        <v>202</v>
      </c>
      <c r="P78" s="12"/>
      <c r="Q78" s="42"/>
      <c r="R78" s="15"/>
      <c r="S78" s="44"/>
      <c r="T78" s="15"/>
      <c r="U78" s="44"/>
      <c r="V78" s="15">
        <f t="shared" si="7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8"/>
        <v>0</v>
      </c>
      <c r="AF78" s="15">
        <v>30</v>
      </c>
      <c r="AG78" s="42">
        <v>46093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9"/>
        <v>30</v>
      </c>
      <c r="BA78" s="15"/>
      <c r="BB78" s="44"/>
      <c r="BC78" s="15"/>
      <c r="BD78" s="44"/>
      <c r="BE78" s="15">
        <f t="shared" si="10"/>
        <v>0</v>
      </c>
    </row>
    <row r="79" spans="1:57">
      <c r="A79" s="9"/>
      <c r="B79" s="18" t="s">
        <v>144</v>
      </c>
      <c r="C79" s="89" t="s">
        <v>50</v>
      </c>
      <c r="D79" s="65" t="s">
        <v>150</v>
      </c>
      <c r="E79" s="35" t="s">
        <v>146</v>
      </c>
      <c r="F79" s="95"/>
      <c r="G79" s="21"/>
      <c r="H79" s="21" t="s">
        <v>148</v>
      </c>
      <c r="I79" s="14"/>
      <c r="J79" s="14"/>
      <c r="K79" s="12">
        <v>50</v>
      </c>
      <c r="L79" s="9"/>
      <c r="M79" s="9"/>
      <c r="N79" s="9"/>
      <c r="O79" s="38">
        <f t="shared" si="6"/>
        <v>50</v>
      </c>
      <c r="P79" s="12"/>
      <c r="Q79" s="42"/>
      <c r="R79" s="15"/>
      <c r="S79" s="44"/>
      <c r="T79" s="15"/>
      <c r="U79" s="44"/>
      <c r="V79" s="15">
        <f t="shared" si="7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8"/>
        <v>0</v>
      </c>
      <c r="AF79" s="15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9"/>
        <v>0</v>
      </c>
      <c r="BA79" s="15"/>
      <c r="BB79" s="44"/>
      <c r="BC79" s="15"/>
      <c r="BD79" s="44"/>
      <c r="BE79" s="15">
        <f t="shared" si="10"/>
        <v>0</v>
      </c>
    </row>
    <row r="80" spans="1:57">
      <c r="A80" s="9"/>
      <c r="B80" s="18" t="s">
        <v>144</v>
      </c>
      <c r="C80" s="92" t="s">
        <v>151</v>
      </c>
      <c r="D80" s="58" t="s">
        <v>152</v>
      </c>
      <c r="E80" s="35"/>
      <c r="F80" s="95"/>
      <c r="G80" s="21"/>
      <c r="H80" s="21" t="s">
        <v>147</v>
      </c>
      <c r="I80" s="14"/>
      <c r="J80" s="14"/>
      <c r="K80" s="12">
        <v>0</v>
      </c>
      <c r="L80" s="9"/>
      <c r="M80" s="9"/>
      <c r="N80" s="9"/>
      <c r="O80" s="38">
        <f t="shared" si="6"/>
        <v>0</v>
      </c>
      <c r="P80" s="12"/>
      <c r="Q80" s="42"/>
      <c r="R80" s="15"/>
      <c r="S80" s="44"/>
      <c r="T80" s="15"/>
      <c r="U80" s="44"/>
      <c r="V80" s="15">
        <f t="shared" si="7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8"/>
        <v>0</v>
      </c>
      <c r="AF80" s="15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9"/>
        <v>0</v>
      </c>
      <c r="BA80" s="15"/>
      <c r="BB80" s="44"/>
      <c r="BC80" s="15"/>
      <c r="BD80" s="44"/>
      <c r="BE80" s="15">
        <f t="shared" si="10"/>
        <v>0</v>
      </c>
    </row>
    <row r="81" spans="1:57">
      <c r="A81" s="9"/>
      <c r="B81" s="18" t="s">
        <v>144</v>
      </c>
      <c r="C81" s="92" t="s">
        <v>151</v>
      </c>
      <c r="D81" s="58" t="s">
        <v>152</v>
      </c>
      <c r="E81" s="35" t="s">
        <v>153</v>
      </c>
      <c r="F81" s="95"/>
      <c r="G81" s="21"/>
      <c r="H81" s="21" t="s">
        <v>147</v>
      </c>
      <c r="I81" s="14"/>
      <c r="J81" s="14"/>
      <c r="K81" s="12">
        <v>100</v>
      </c>
      <c r="L81" s="9"/>
      <c r="M81" s="9"/>
      <c r="N81" s="9"/>
      <c r="O81" s="38">
        <f t="shared" si="6"/>
        <v>100</v>
      </c>
      <c r="P81" s="12"/>
      <c r="Q81" s="42"/>
      <c r="R81" s="15"/>
      <c r="S81" s="44"/>
      <c r="T81" s="15"/>
      <c r="U81" s="44"/>
      <c r="V81" s="15">
        <f t="shared" si="7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8"/>
        <v>0</v>
      </c>
      <c r="AF81" s="15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9"/>
        <v>0</v>
      </c>
      <c r="BA81" s="15"/>
      <c r="BB81" s="44"/>
      <c r="BC81" s="15"/>
      <c r="BD81" s="44"/>
      <c r="BE81" s="15">
        <f t="shared" si="10"/>
        <v>0</v>
      </c>
    </row>
    <row r="82" spans="1:57">
      <c r="A82" s="9"/>
      <c r="B82" s="18" t="s">
        <v>144</v>
      </c>
      <c r="C82" s="92" t="s">
        <v>151</v>
      </c>
      <c r="D82" s="65" t="s">
        <v>154</v>
      </c>
      <c r="E82" s="35"/>
      <c r="F82" s="95"/>
      <c r="G82" s="21"/>
      <c r="H82" s="21" t="s">
        <v>147</v>
      </c>
      <c r="I82" s="14"/>
      <c r="J82" s="14"/>
      <c r="K82" s="12">
        <v>1188</v>
      </c>
      <c r="L82" s="9"/>
      <c r="M82" s="9"/>
      <c r="N82" s="9"/>
      <c r="O82" s="38">
        <f t="shared" si="6"/>
        <v>1188</v>
      </c>
      <c r="P82" s="12"/>
      <c r="Q82" s="42"/>
      <c r="R82" s="15"/>
      <c r="S82" s="44"/>
      <c r="T82" s="15"/>
      <c r="U82" s="44"/>
      <c r="V82" s="15">
        <f t="shared" si="7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8"/>
        <v>0</v>
      </c>
      <c r="AF82" s="15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9"/>
        <v>0</v>
      </c>
      <c r="BA82" s="15"/>
      <c r="BB82" s="44"/>
      <c r="BC82" s="15"/>
      <c r="BD82" s="44"/>
      <c r="BE82" s="15">
        <f t="shared" si="10"/>
        <v>0</v>
      </c>
    </row>
    <row r="83" spans="1:57" ht="36" customHeight="1">
      <c r="A83" s="9"/>
      <c r="B83" s="18" t="s">
        <v>155</v>
      </c>
      <c r="C83" s="89" t="s">
        <v>59</v>
      </c>
      <c r="D83" s="58" t="s">
        <v>156</v>
      </c>
      <c r="E83" s="35" t="s">
        <v>157</v>
      </c>
      <c r="F83" s="95"/>
      <c r="G83" s="21"/>
      <c r="H83" s="21" t="s">
        <v>158</v>
      </c>
      <c r="I83" s="14"/>
      <c r="J83" s="14"/>
      <c r="K83" s="12">
        <v>1543</v>
      </c>
      <c r="L83" s="9"/>
      <c r="M83" s="9"/>
      <c r="N83" s="9"/>
      <c r="O83" s="38">
        <f t="shared" si="6"/>
        <v>1543</v>
      </c>
      <c r="P83" s="12"/>
      <c r="Q83" s="42"/>
      <c r="R83" s="15"/>
      <c r="S83" s="44"/>
      <c r="T83" s="15"/>
      <c r="U83" s="44"/>
      <c r="V83" s="15">
        <f t="shared" si="7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8"/>
        <v>0</v>
      </c>
      <c r="AF83" s="15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9"/>
        <v>0</v>
      </c>
      <c r="BA83" s="15"/>
      <c r="BB83" s="44"/>
      <c r="BC83" s="15"/>
      <c r="BD83" s="44"/>
      <c r="BE83" s="15">
        <f t="shared" si="10"/>
        <v>0</v>
      </c>
    </row>
    <row r="84" spans="1:57">
      <c r="A84" s="9"/>
      <c r="B84" s="18" t="s">
        <v>155</v>
      </c>
      <c r="C84" s="89" t="s">
        <v>48</v>
      </c>
      <c r="D84" s="58" t="s">
        <v>156</v>
      </c>
      <c r="E84" s="35" t="s">
        <v>159</v>
      </c>
      <c r="F84" s="95"/>
      <c r="G84" s="21"/>
      <c r="H84" s="21" t="s">
        <v>158</v>
      </c>
      <c r="I84" s="14"/>
      <c r="J84" s="14"/>
      <c r="K84" s="12">
        <v>0</v>
      </c>
      <c r="L84" s="9"/>
      <c r="M84" s="9"/>
      <c r="N84" s="9"/>
      <c r="O84" s="38">
        <f t="shared" si="6"/>
        <v>0</v>
      </c>
      <c r="P84" s="12"/>
      <c r="Q84" s="42"/>
      <c r="R84" s="15"/>
      <c r="S84" s="44"/>
      <c r="T84" s="15"/>
      <c r="U84" s="44"/>
      <c r="V84" s="15">
        <f t="shared" si="7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8"/>
        <v>0</v>
      </c>
      <c r="AF84" s="15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9"/>
        <v>0</v>
      </c>
      <c r="BA84" s="15"/>
      <c r="BB84" s="44"/>
      <c r="BC84" s="15"/>
      <c r="BD84" s="44"/>
      <c r="BE84" s="15">
        <f t="shared" si="10"/>
        <v>0</v>
      </c>
    </row>
    <row r="85" spans="1:57">
      <c r="A85" s="9"/>
      <c r="B85" s="18" t="s">
        <v>155</v>
      </c>
      <c r="C85" s="89" t="s">
        <v>52</v>
      </c>
      <c r="D85" s="58" t="s">
        <v>156</v>
      </c>
      <c r="E85" s="35" t="s">
        <v>160</v>
      </c>
      <c r="F85" s="95"/>
      <c r="G85" s="21"/>
      <c r="H85" s="21" t="s">
        <v>158</v>
      </c>
      <c r="I85" s="14"/>
      <c r="J85" s="14"/>
      <c r="K85" s="12">
        <v>0</v>
      </c>
      <c r="L85" s="9"/>
      <c r="M85" s="9"/>
      <c r="N85" s="9"/>
      <c r="O85" s="38">
        <f t="shared" si="6"/>
        <v>0</v>
      </c>
      <c r="P85" s="12"/>
      <c r="Q85" s="42"/>
      <c r="R85" s="15"/>
      <c r="S85" s="44"/>
      <c r="T85" s="15"/>
      <c r="U85" s="44"/>
      <c r="V85" s="15">
        <f t="shared" si="7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8"/>
        <v>0</v>
      </c>
      <c r="AF85" s="15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9"/>
        <v>0</v>
      </c>
      <c r="BA85" s="15"/>
      <c r="BB85" s="44"/>
      <c r="BC85" s="15"/>
      <c r="BD85" s="44"/>
      <c r="BE85" s="15">
        <f t="shared" si="10"/>
        <v>0</v>
      </c>
    </row>
    <row r="86" spans="1:57">
      <c r="A86" s="9"/>
      <c r="B86" s="18" t="s">
        <v>161</v>
      </c>
      <c r="C86" s="92" t="s">
        <v>151</v>
      </c>
      <c r="D86" s="58" t="s">
        <v>162</v>
      </c>
      <c r="E86" s="35" t="s">
        <v>163</v>
      </c>
      <c r="F86" s="95"/>
      <c r="G86" s="21"/>
      <c r="H86" s="21"/>
      <c r="I86" s="14"/>
      <c r="J86" s="14"/>
      <c r="K86" s="12">
        <v>0</v>
      </c>
      <c r="L86" s="9"/>
      <c r="M86" s="9"/>
      <c r="N86" s="9"/>
      <c r="O86" s="38">
        <f t="shared" si="6"/>
        <v>0</v>
      </c>
      <c r="P86" s="12"/>
      <c r="Q86" s="42"/>
      <c r="R86" s="15"/>
      <c r="S86" s="44"/>
      <c r="T86" s="15"/>
      <c r="U86" s="44"/>
      <c r="V86" s="15">
        <f t="shared" si="7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8"/>
        <v>0</v>
      </c>
      <c r="AF86" s="15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9"/>
        <v>0</v>
      </c>
      <c r="BA86" s="15"/>
      <c r="BB86" s="44"/>
      <c r="BC86" s="15"/>
      <c r="BD86" s="44"/>
      <c r="BE86" s="15">
        <f t="shared" si="10"/>
        <v>0</v>
      </c>
    </row>
    <row r="87" spans="1:57" ht="24" customHeight="1">
      <c r="A87" s="9"/>
      <c r="B87" s="18" t="s">
        <v>129</v>
      </c>
      <c r="C87" s="89" t="s">
        <v>44</v>
      </c>
      <c r="D87" s="66" t="s">
        <v>164</v>
      </c>
      <c r="E87" s="35"/>
      <c r="F87" s="95"/>
      <c r="G87" s="21"/>
      <c r="H87" s="21"/>
      <c r="I87" s="14"/>
      <c r="J87" s="14"/>
      <c r="K87" s="12">
        <v>0</v>
      </c>
      <c r="L87" s="9"/>
      <c r="M87" s="9"/>
      <c r="N87" s="9"/>
      <c r="O87" s="38">
        <f t="shared" si="6"/>
        <v>0</v>
      </c>
      <c r="P87" s="12"/>
      <c r="Q87" s="42"/>
      <c r="R87" s="15"/>
      <c r="S87" s="44"/>
      <c r="T87" s="15"/>
      <c r="U87" s="44"/>
      <c r="V87" s="15">
        <f t="shared" si="7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8"/>
        <v>0</v>
      </c>
      <c r="AF87" s="15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9"/>
        <v>0</v>
      </c>
      <c r="BA87" s="15"/>
      <c r="BB87" s="44"/>
      <c r="BC87" s="15"/>
      <c r="BD87" s="44"/>
      <c r="BE87" s="15">
        <f t="shared" si="10"/>
        <v>0</v>
      </c>
    </row>
    <row r="88" spans="1:57" ht="48" customHeight="1">
      <c r="A88" s="9"/>
      <c r="B88" s="18" t="s">
        <v>129</v>
      </c>
      <c r="C88" s="89" t="s">
        <v>165</v>
      </c>
      <c r="D88" s="66" t="s">
        <v>166</v>
      </c>
      <c r="E88" s="35"/>
      <c r="F88" s="95"/>
      <c r="G88" s="21"/>
      <c r="H88" s="21"/>
      <c r="I88" s="14"/>
      <c r="J88" s="14"/>
      <c r="K88" s="12">
        <v>0</v>
      </c>
      <c r="L88" s="9"/>
      <c r="M88" s="9"/>
      <c r="N88" s="9"/>
      <c r="O88" s="38">
        <f t="shared" si="6"/>
        <v>0</v>
      </c>
      <c r="P88" s="12"/>
      <c r="Q88" s="42"/>
      <c r="R88" s="15"/>
      <c r="S88" s="44"/>
      <c r="T88" s="15"/>
      <c r="U88" s="44"/>
      <c r="V88" s="15">
        <f t="shared" si="7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8"/>
        <v>0</v>
      </c>
      <c r="AF88" s="15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9"/>
        <v>0</v>
      </c>
      <c r="BA88" s="15"/>
      <c r="BB88" s="44"/>
      <c r="BC88" s="15"/>
      <c r="BD88" s="44"/>
      <c r="BE88" s="15">
        <f t="shared" si="10"/>
        <v>0</v>
      </c>
    </row>
    <row r="89" spans="1:57" ht="24" customHeight="1">
      <c r="A89" s="9"/>
      <c r="B89" s="18" t="s">
        <v>129</v>
      </c>
      <c r="C89" s="89" t="s">
        <v>44</v>
      </c>
      <c r="D89" s="66" t="s">
        <v>167</v>
      </c>
      <c r="E89" s="35"/>
      <c r="F89" s="95"/>
      <c r="G89" s="21"/>
      <c r="H89" s="21" t="s">
        <v>131</v>
      </c>
      <c r="I89" s="14"/>
      <c r="J89" s="14"/>
      <c r="K89" s="12">
        <v>574</v>
      </c>
      <c r="L89" s="9"/>
      <c r="M89" s="9"/>
      <c r="N89" s="9"/>
      <c r="O89" s="38">
        <f t="shared" si="6"/>
        <v>574</v>
      </c>
      <c r="P89" s="12"/>
      <c r="Q89" s="42"/>
      <c r="R89" s="15"/>
      <c r="S89" s="44"/>
      <c r="T89" s="15"/>
      <c r="U89" s="44"/>
      <c r="V89" s="15">
        <f t="shared" si="7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8"/>
        <v>0</v>
      </c>
      <c r="AF89" s="15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9"/>
        <v>0</v>
      </c>
      <c r="BA89" s="15"/>
      <c r="BB89" s="44"/>
      <c r="BC89" s="15"/>
      <c r="BD89" s="44"/>
      <c r="BE89" s="15">
        <f t="shared" si="10"/>
        <v>0</v>
      </c>
    </row>
    <row r="90" spans="1:57">
      <c r="A90" s="9"/>
      <c r="B90" s="18" t="s">
        <v>129</v>
      </c>
      <c r="C90" s="89" t="s">
        <v>132</v>
      </c>
      <c r="D90" s="66" t="s">
        <v>168</v>
      </c>
      <c r="E90" s="35"/>
      <c r="F90" s="95"/>
      <c r="G90" s="21"/>
      <c r="H90" s="21" t="s">
        <v>67</v>
      </c>
      <c r="I90" s="14"/>
      <c r="J90" s="14"/>
      <c r="K90" s="12">
        <v>604</v>
      </c>
      <c r="L90" s="9"/>
      <c r="M90" s="9"/>
      <c r="N90" s="9"/>
      <c r="O90" s="38">
        <f t="shared" si="6"/>
        <v>604</v>
      </c>
      <c r="P90" s="12"/>
      <c r="Q90" s="42"/>
      <c r="R90" s="15"/>
      <c r="S90" s="44"/>
      <c r="T90" s="15"/>
      <c r="U90" s="44"/>
      <c r="V90" s="15">
        <f t="shared" si="7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8"/>
        <v>0</v>
      </c>
      <c r="AF90" s="15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9"/>
        <v>0</v>
      </c>
      <c r="BA90" s="15"/>
      <c r="BB90" s="44"/>
      <c r="BC90" s="15"/>
      <c r="BD90" s="44"/>
      <c r="BE90" s="15">
        <f t="shared" si="10"/>
        <v>0</v>
      </c>
    </row>
    <row r="91" spans="1:57">
      <c r="A91" s="9"/>
      <c r="B91" s="18" t="s">
        <v>129</v>
      </c>
      <c r="C91" s="89" t="s">
        <v>48</v>
      </c>
      <c r="D91" s="58" t="s">
        <v>169</v>
      </c>
      <c r="E91" s="35"/>
      <c r="F91" s="95"/>
      <c r="G91" s="21"/>
      <c r="H91" s="21" t="s">
        <v>131</v>
      </c>
      <c r="I91" s="14"/>
      <c r="J91" s="14"/>
      <c r="K91" s="12">
        <v>400</v>
      </c>
      <c r="L91" s="9"/>
      <c r="M91" s="9"/>
      <c r="N91" s="9"/>
      <c r="O91" s="38">
        <f t="shared" si="6"/>
        <v>400</v>
      </c>
      <c r="P91" s="12"/>
      <c r="Q91" s="42"/>
      <c r="R91" s="15"/>
      <c r="S91" s="44"/>
      <c r="T91" s="15"/>
      <c r="U91" s="44"/>
      <c r="V91" s="15">
        <f t="shared" si="7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8"/>
        <v>0</v>
      </c>
      <c r="AF91" s="15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9"/>
        <v>0</v>
      </c>
      <c r="BA91" s="15"/>
      <c r="BB91" s="44"/>
      <c r="BC91" s="15"/>
      <c r="BD91" s="44"/>
      <c r="BE91" s="15">
        <f t="shared" si="10"/>
        <v>0</v>
      </c>
    </row>
    <row r="92" spans="1:57">
      <c r="A92" s="9"/>
      <c r="B92" s="18" t="s">
        <v>129</v>
      </c>
      <c r="C92" s="89" t="s">
        <v>50</v>
      </c>
      <c r="D92" s="58" t="s">
        <v>170</v>
      </c>
      <c r="E92" s="35"/>
      <c r="F92" s="95"/>
      <c r="G92" s="21"/>
      <c r="H92" s="21" t="s">
        <v>131</v>
      </c>
      <c r="I92" s="14"/>
      <c r="J92" s="14"/>
      <c r="K92" s="12">
        <v>260</v>
      </c>
      <c r="L92" s="9"/>
      <c r="M92" s="9"/>
      <c r="N92" s="9"/>
      <c r="O92" s="38">
        <f t="shared" si="6"/>
        <v>260</v>
      </c>
      <c r="P92" s="12"/>
      <c r="Q92" s="42"/>
      <c r="R92" s="15"/>
      <c r="S92" s="44"/>
      <c r="T92" s="15"/>
      <c r="U92" s="44"/>
      <c r="V92" s="15">
        <f t="shared" si="7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8"/>
        <v>0</v>
      </c>
      <c r="AF92" s="15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9"/>
        <v>0</v>
      </c>
      <c r="BA92" s="15"/>
      <c r="BB92" s="44"/>
      <c r="BC92" s="15"/>
      <c r="BD92" s="44"/>
      <c r="BE92" s="15">
        <f t="shared" si="10"/>
        <v>0</v>
      </c>
    </row>
    <row r="93" spans="1:57">
      <c r="A93" s="9"/>
      <c r="B93" s="18" t="s">
        <v>129</v>
      </c>
      <c r="C93" s="89" t="s">
        <v>52</v>
      </c>
      <c r="D93" s="58" t="s">
        <v>171</v>
      </c>
      <c r="E93" s="35"/>
      <c r="F93" s="95"/>
      <c r="G93" s="21"/>
      <c r="H93" s="21" t="s">
        <v>131</v>
      </c>
      <c r="I93" s="14"/>
      <c r="J93" s="14"/>
      <c r="K93" s="12">
        <v>0</v>
      </c>
      <c r="L93" s="9"/>
      <c r="M93" s="9"/>
      <c r="N93" s="9"/>
      <c r="O93" s="38">
        <f t="shared" si="6"/>
        <v>0</v>
      </c>
      <c r="P93" s="12"/>
      <c r="Q93" s="42"/>
      <c r="R93" s="15"/>
      <c r="S93" s="44"/>
      <c r="T93" s="15"/>
      <c r="U93" s="44"/>
      <c r="V93" s="15">
        <f t="shared" si="7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8"/>
        <v>0</v>
      </c>
      <c r="AF93" s="15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9"/>
        <v>0</v>
      </c>
      <c r="BA93" s="15"/>
      <c r="BB93" s="44"/>
      <c r="BC93" s="15"/>
      <c r="BD93" s="44"/>
      <c r="BE93" s="15">
        <f t="shared" si="10"/>
        <v>0</v>
      </c>
    </row>
    <row r="94" spans="1:57">
      <c r="A94" s="9"/>
      <c r="B94" s="18" t="s">
        <v>172</v>
      </c>
      <c r="C94" s="89" t="s">
        <v>132</v>
      </c>
      <c r="D94" s="58" t="s">
        <v>173</v>
      </c>
      <c r="E94" s="35"/>
      <c r="F94" s="96"/>
      <c r="G94" s="21"/>
      <c r="H94" s="21" t="s">
        <v>67</v>
      </c>
      <c r="I94" s="14"/>
      <c r="J94" s="14"/>
      <c r="K94" s="12">
        <v>249</v>
      </c>
      <c r="L94" s="9"/>
      <c r="M94" s="9"/>
      <c r="N94" s="9"/>
      <c r="O94" s="38">
        <f t="shared" si="6"/>
        <v>249</v>
      </c>
      <c r="P94" s="12"/>
      <c r="Q94" s="42"/>
      <c r="R94" s="15"/>
      <c r="S94" s="44"/>
      <c r="T94" s="15"/>
      <c r="U94" s="44"/>
      <c r="V94" s="15">
        <f t="shared" si="7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8"/>
        <v>0</v>
      </c>
      <c r="AF94" s="15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9"/>
        <v>0</v>
      </c>
      <c r="BA94" s="15"/>
      <c r="BB94" s="44"/>
      <c r="BC94" s="15"/>
      <c r="BD94" s="44"/>
      <c r="BE94" s="15">
        <v>0</v>
      </c>
    </row>
    <row r="95" spans="1:57">
      <c r="A95" s="9"/>
      <c r="B95" s="18" t="s">
        <v>172</v>
      </c>
      <c r="C95" s="89" t="s">
        <v>132</v>
      </c>
      <c r="D95" s="66" t="s">
        <v>174</v>
      </c>
      <c r="E95" s="35"/>
      <c r="F95" s="96"/>
      <c r="G95" s="21"/>
      <c r="H95" s="21" t="s">
        <v>67</v>
      </c>
      <c r="I95" s="14"/>
      <c r="J95" s="14"/>
      <c r="K95" s="12">
        <v>100</v>
      </c>
      <c r="L95" s="9"/>
      <c r="M95" s="9"/>
      <c r="N95" s="9"/>
      <c r="O95" s="38">
        <f t="shared" si="6"/>
        <v>100</v>
      </c>
      <c r="P95" s="12"/>
      <c r="Q95" s="42"/>
      <c r="R95" s="15"/>
      <c r="S95" s="44"/>
      <c r="T95" s="15"/>
      <c r="U95" s="44"/>
      <c r="V95" s="15">
        <f t="shared" si="7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8"/>
        <v>0</v>
      </c>
      <c r="AF95" s="15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9"/>
        <v>0</v>
      </c>
      <c r="BA95" s="15"/>
      <c r="BB95" s="44"/>
      <c r="BC95" s="15"/>
      <c r="BD95" s="44"/>
      <c r="BE95" s="15">
        <f t="shared" ref="BE95:BE158" si="11">(BA95+BC95)</f>
        <v>0</v>
      </c>
    </row>
    <row r="96" spans="1:57">
      <c r="A96" s="9"/>
      <c r="B96" s="18" t="s">
        <v>172</v>
      </c>
      <c r="C96" s="89" t="s">
        <v>132</v>
      </c>
      <c r="D96" s="66" t="s">
        <v>175</v>
      </c>
      <c r="E96" s="35" t="s">
        <v>176</v>
      </c>
      <c r="F96" s="96"/>
      <c r="G96" s="21"/>
      <c r="H96" s="21" t="s">
        <v>67</v>
      </c>
      <c r="I96" s="14"/>
      <c r="J96" s="14"/>
      <c r="K96" s="12">
        <v>164</v>
      </c>
      <c r="L96" s="9"/>
      <c r="M96" s="9"/>
      <c r="N96" s="9"/>
      <c r="O96" s="38">
        <f t="shared" si="6"/>
        <v>164</v>
      </c>
      <c r="P96" s="12"/>
      <c r="Q96" s="42"/>
      <c r="R96" s="15"/>
      <c r="S96" s="44"/>
      <c r="T96" s="15"/>
      <c r="U96" s="44"/>
      <c r="V96" s="15">
        <f t="shared" si="7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8"/>
        <v>0</v>
      </c>
      <c r="AF96" s="15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9"/>
        <v>0</v>
      </c>
      <c r="BA96" s="15"/>
      <c r="BB96" s="44"/>
      <c r="BC96" s="15"/>
      <c r="BD96" s="44"/>
      <c r="BE96" s="15">
        <f t="shared" si="11"/>
        <v>0</v>
      </c>
    </row>
    <row r="97" spans="1:57">
      <c r="A97" s="9"/>
      <c r="B97" s="18" t="s">
        <v>172</v>
      </c>
      <c r="C97" s="89" t="s">
        <v>132</v>
      </c>
      <c r="D97" s="58" t="s">
        <v>177</v>
      </c>
      <c r="E97" s="19"/>
      <c r="F97" s="96"/>
      <c r="G97" s="21"/>
      <c r="H97" s="21" t="s">
        <v>67</v>
      </c>
      <c r="I97" s="14"/>
      <c r="J97" s="14"/>
      <c r="K97" s="12">
        <v>300</v>
      </c>
      <c r="L97" s="9"/>
      <c r="M97" s="9"/>
      <c r="N97" s="9"/>
      <c r="O97" s="38">
        <f t="shared" si="6"/>
        <v>300</v>
      </c>
      <c r="P97" s="12"/>
      <c r="Q97" s="42"/>
      <c r="R97" s="15"/>
      <c r="S97" s="44"/>
      <c r="T97" s="15"/>
      <c r="U97" s="44"/>
      <c r="V97" s="15">
        <f t="shared" si="7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8"/>
        <v>0</v>
      </c>
      <c r="AF97" s="15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9"/>
        <v>0</v>
      </c>
      <c r="BA97" s="15"/>
      <c r="BB97" s="44"/>
      <c r="BC97" s="15"/>
      <c r="BD97" s="44"/>
      <c r="BE97" s="15">
        <f t="shared" si="11"/>
        <v>0</v>
      </c>
    </row>
    <row r="98" spans="1:57">
      <c r="A98" s="9"/>
      <c r="B98" s="18" t="s">
        <v>172</v>
      </c>
      <c r="C98" s="89" t="s">
        <v>132</v>
      </c>
      <c r="D98" s="58" t="s">
        <v>178</v>
      </c>
      <c r="E98" s="19" t="s">
        <v>179</v>
      </c>
      <c r="F98" s="96"/>
      <c r="G98" s="21"/>
      <c r="H98" s="21" t="s">
        <v>67</v>
      </c>
      <c r="I98" s="14"/>
      <c r="J98" s="14"/>
      <c r="K98" s="12">
        <v>102</v>
      </c>
      <c r="L98" s="9"/>
      <c r="M98" s="9"/>
      <c r="N98" s="9"/>
      <c r="O98" s="38">
        <f t="shared" si="6"/>
        <v>102</v>
      </c>
      <c r="P98" s="12"/>
      <c r="Q98" s="42"/>
      <c r="R98" s="15"/>
      <c r="S98" s="44"/>
      <c r="T98" s="15"/>
      <c r="U98" s="44"/>
      <c r="V98" s="15">
        <f t="shared" si="7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8"/>
        <v>0</v>
      </c>
      <c r="AF98" s="15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9"/>
        <v>0</v>
      </c>
      <c r="BA98" s="15"/>
      <c r="BB98" s="44"/>
      <c r="BC98" s="15"/>
      <c r="BD98" s="44"/>
      <c r="BE98" s="15">
        <f t="shared" si="11"/>
        <v>0</v>
      </c>
    </row>
    <row r="99" spans="1:57">
      <c r="A99" s="9"/>
      <c r="B99" s="18" t="s">
        <v>172</v>
      </c>
      <c r="C99" s="89" t="s">
        <v>132</v>
      </c>
      <c r="D99" s="58" t="s">
        <v>180</v>
      </c>
      <c r="E99" s="19"/>
      <c r="F99" s="96"/>
      <c r="G99" s="21"/>
      <c r="H99" s="21" t="s">
        <v>67</v>
      </c>
      <c r="I99" s="14"/>
      <c r="J99" s="14"/>
      <c r="K99" s="12">
        <v>0</v>
      </c>
      <c r="L99" s="9"/>
      <c r="M99" s="9"/>
      <c r="N99" s="9"/>
      <c r="O99" s="38">
        <f t="shared" si="6"/>
        <v>0</v>
      </c>
      <c r="P99" s="12"/>
      <c r="Q99" s="42"/>
      <c r="R99" s="15"/>
      <c r="S99" s="44"/>
      <c r="T99" s="15"/>
      <c r="U99" s="44"/>
      <c r="V99" s="15">
        <f t="shared" si="7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8"/>
        <v>0</v>
      </c>
      <c r="AF99" s="15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9"/>
        <v>0</v>
      </c>
      <c r="BA99" s="15"/>
      <c r="BB99" s="44"/>
      <c r="BC99" s="15"/>
      <c r="BD99" s="44"/>
      <c r="BE99" s="15">
        <f t="shared" si="11"/>
        <v>0</v>
      </c>
    </row>
    <row r="100" spans="1:57">
      <c r="A100" s="9"/>
      <c r="B100" s="18" t="s">
        <v>172</v>
      </c>
      <c r="C100" s="89" t="s">
        <v>132</v>
      </c>
      <c r="D100" s="58" t="s">
        <v>181</v>
      </c>
      <c r="E100" s="19"/>
      <c r="F100" s="96"/>
      <c r="G100" s="21"/>
      <c r="H100" s="21" t="s">
        <v>67</v>
      </c>
      <c r="I100" s="14"/>
      <c r="J100" s="14"/>
      <c r="K100" s="12">
        <v>0</v>
      </c>
      <c r="L100" s="9"/>
      <c r="M100" s="9"/>
      <c r="N100" s="9"/>
      <c r="O100" s="38">
        <f t="shared" si="6"/>
        <v>0</v>
      </c>
      <c r="P100" s="12"/>
      <c r="Q100" s="42"/>
      <c r="R100" s="15"/>
      <c r="S100" s="44"/>
      <c r="T100" s="15"/>
      <c r="U100" s="44"/>
      <c r="V100" s="15">
        <f t="shared" si="7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8"/>
        <v>0</v>
      </c>
      <c r="AF100" s="15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9"/>
        <v>0</v>
      </c>
      <c r="BA100" s="15"/>
      <c r="BB100" s="44"/>
      <c r="BC100" s="15"/>
      <c r="BD100" s="44"/>
      <c r="BE100" s="15">
        <f t="shared" si="11"/>
        <v>0</v>
      </c>
    </row>
    <row r="101" spans="1:57">
      <c r="A101" s="9"/>
      <c r="B101" s="18" t="s">
        <v>172</v>
      </c>
      <c r="C101" s="89" t="s">
        <v>132</v>
      </c>
      <c r="D101" s="58" t="s">
        <v>182</v>
      </c>
      <c r="E101" s="19"/>
      <c r="F101" s="96"/>
      <c r="G101" s="21"/>
      <c r="H101" s="21" t="s">
        <v>67</v>
      </c>
      <c r="I101" s="14"/>
      <c r="J101" s="14"/>
      <c r="K101" s="12">
        <v>240</v>
      </c>
      <c r="L101" s="9"/>
      <c r="M101" s="9"/>
      <c r="N101" s="9"/>
      <c r="O101" s="38">
        <f t="shared" si="6"/>
        <v>240</v>
      </c>
      <c r="P101" s="12"/>
      <c r="Q101" s="42"/>
      <c r="R101" s="15"/>
      <c r="S101" s="44"/>
      <c r="T101" s="15"/>
      <c r="U101" s="44"/>
      <c r="V101" s="15">
        <f t="shared" si="7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8"/>
        <v>0</v>
      </c>
      <c r="AF101" s="15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si="9"/>
        <v>0</v>
      </c>
      <c r="BA101" s="15"/>
      <c r="BB101" s="44"/>
      <c r="BC101" s="15"/>
      <c r="BD101" s="44"/>
      <c r="BE101" s="15">
        <f t="shared" si="11"/>
        <v>0</v>
      </c>
    </row>
    <row r="102" spans="1:57">
      <c r="A102" s="9"/>
      <c r="B102" s="18" t="s">
        <v>172</v>
      </c>
      <c r="C102" s="89" t="s">
        <v>132</v>
      </c>
      <c r="D102" s="58" t="s">
        <v>183</v>
      </c>
      <c r="E102" s="19"/>
      <c r="F102" s="96"/>
      <c r="G102" s="21"/>
      <c r="H102" s="21" t="s">
        <v>67</v>
      </c>
      <c r="I102" s="14"/>
      <c r="J102" s="14"/>
      <c r="K102" s="12">
        <v>240</v>
      </c>
      <c r="L102" s="9"/>
      <c r="M102" s="9"/>
      <c r="N102" s="9"/>
      <c r="O102" s="38">
        <f t="shared" si="6"/>
        <v>240</v>
      </c>
      <c r="P102" s="12"/>
      <c r="Q102" s="42"/>
      <c r="R102" s="15"/>
      <c r="S102" s="44"/>
      <c r="T102" s="15"/>
      <c r="U102" s="44"/>
      <c r="V102" s="15">
        <f t="shared" si="7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8"/>
        <v>0</v>
      </c>
      <c r="AF102" s="15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9"/>
        <v>0</v>
      </c>
      <c r="BA102" s="15"/>
      <c r="BB102" s="44"/>
      <c r="BC102" s="15"/>
      <c r="BD102" s="44"/>
      <c r="BE102" s="15">
        <f t="shared" si="11"/>
        <v>0</v>
      </c>
    </row>
    <row r="103" spans="1:57">
      <c r="A103" s="9"/>
      <c r="B103" s="18" t="s">
        <v>172</v>
      </c>
      <c r="C103" s="89" t="s">
        <v>132</v>
      </c>
      <c r="D103" s="58" t="s">
        <v>184</v>
      </c>
      <c r="E103" s="19"/>
      <c r="F103" s="96"/>
      <c r="G103" s="21"/>
      <c r="H103" s="21" t="s">
        <v>67</v>
      </c>
      <c r="I103" s="14"/>
      <c r="J103" s="14"/>
      <c r="K103" s="12">
        <v>88</v>
      </c>
      <c r="L103" s="9"/>
      <c r="M103" s="9"/>
      <c r="N103" s="9"/>
      <c r="O103" s="38">
        <f t="shared" si="6"/>
        <v>88</v>
      </c>
      <c r="P103" s="12"/>
      <c r="Q103" s="42"/>
      <c r="R103" s="15"/>
      <c r="S103" s="44"/>
      <c r="T103" s="15"/>
      <c r="U103" s="44"/>
      <c r="V103" s="15">
        <f t="shared" si="7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8"/>
        <v>0</v>
      </c>
      <c r="AF103" s="15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9"/>
        <v>0</v>
      </c>
      <c r="BA103" s="15"/>
      <c r="BB103" s="44"/>
      <c r="BC103" s="15"/>
      <c r="BD103" s="44"/>
      <c r="BE103" s="15">
        <f t="shared" si="11"/>
        <v>0</v>
      </c>
    </row>
    <row r="104" spans="1:57">
      <c r="A104" s="9"/>
      <c r="B104" s="16" t="s">
        <v>172</v>
      </c>
      <c r="C104" s="89" t="s">
        <v>132</v>
      </c>
      <c r="D104" s="68" t="s">
        <v>185</v>
      </c>
      <c r="E104" s="13"/>
      <c r="F104" s="96"/>
      <c r="G104" s="9"/>
      <c r="H104" s="9" t="s">
        <v>67</v>
      </c>
      <c r="I104" s="14"/>
      <c r="J104" s="14"/>
      <c r="K104" s="12">
        <v>0</v>
      </c>
      <c r="L104" s="9"/>
      <c r="M104" s="9"/>
      <c r="N104" s="9"/>
      <c r="O104" s="38">
        <f t="shared" si="6"/>
        <v>0</v>
      </c>
      <c r="P104" s="12"/>
      <c r="Q104" s="42"/>
      <c r="R104" s="15"/>
      <c r="S104" s="44"/>
      <c r="T104" s="15"/>
      <c r="U104" s="44"/>
      <c r="V104" s="15">
        <f t="shared" si="7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8"/>
        <v>0</v>
      </c>
      <c r="AF104" s="15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9"/>
        <v>0</v>
      </c>
      <c r="BA104" s="15"/>
      <c r="BB104" s="44"/>
      <c r="BC104" s="15"/>
      <c r="BD104" s="44"/>
      <c r="BE104" s="15">
        <f t="shared" si="11"/>
        <v>0</v>
      </c>
    </row>
    <row r="105" spans="1:57">
      <c r="A105" s="9"/>
      <c r="B105" s="16" t="s">
        <v>172</v>
      </c>
      <c r="C105" s="89" t="s">
        <v>132</v>
      </c>
      <c r="D105" s="69" t="s">
        <v>186</v>
      </c>
      <c r="E105" s="13" t="s">
        <v>179</v>
      </c>
      <c r="F105" s="96"/>
      <c r="G105" s="9"/>
      <c r="H105" s="9" t="s">
        <v>67</v>
      </c>
      <c r="I105" s="14"/>
      <c r="J105" s="14"/>
      <c r="K105" s="12">
        <v>378</v>
      </c>
      <c r="L105" s="9"/>
      <c r="M105" s="9"/>
      <c r="N105" s="9"/>
      <c r="O105" s="38">
        <f t="shared" si="6"/>
        <v>378</v>
      </c>
      <c r="P105" s="12"/>
      <c r="Q105" s="42"/>
      <c r="R105" s="15"/>
      <c r="S105" s="44"/>
      <c r="T105" s="15"/>
      <c r="U105" s="44"/>
      <c r="V105" s="15">
        <f t="shared" si="7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8"/>
        <v>0</v>
      </c>
      <c r="AF105" s="15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9"/>
        <v>0</v>
      </c>
      <c r="BA105" s="15"/>
      <c r="BB105" s="44"/>
      <c r="BC105" s="15"/>
      <c r="BD105" s="44"/>
      <c r="BE105" s="15">
        <f t="shared" si="11"/>
        <v>0</v>
      </c>
    </row>
    <row r="106" spans="1:57">
      <c r="A106" s="9"/>
      <c r="B106" s="18" t="s">
        <v>187</v>
      </c>
      <c r="C106" s="89" t="s">
        <v>132</v>
      </c>
      <c r="D106" s="58" t="s">
        <v>188</v>
      </c>
      <c r="E106" s="35" t="s">
        <v>189</v>
      </c>
      <c r="F106" s="96"/>
      <c r="G106" s="21"/>
      <c r="H106" s="21" t="s">
        <v>67</v>
      </c>
      <c r="I106" s="14"/>
      <c r="J106" s="14"/>
      <c r="K106" s="12">
        <v>855</v>
      </c>
      <c r="L106" s="36"/>
      <c r="M106" s="36"/>
      <c r="N106" s="36"/>
      <c r="O106" s="38">
        <f t="shared" si="6"/>
        <v>855</v>
      </c>
      <c r="P106" s="12"/>
      <c r="Q106" s="42"/>
      <c r="R106" s="15"/>
      <c r="S106" s="44"/>
      <c r="T106" s="15"/>
      <c r="U106" s="44"/>
      <c r="V106" s="15">
        <f t="shared" si="7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8"/>
        <v>0</v>
      </c>
      <c r="AF106" s="15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9"/>
        <v>0</v>
      </c>
      <c r="BA106" s="15"/>
      <c r="BB106" s="44"/>
      <c r="BC106" s="15"/>
      <c r="BD106" s="44"/>
      <c r="BE106" s="15">
        <f t="shared" si="11"/>
        <v>0</v>
      </c>
    </row>
    <row r="107" spans="1:57" ht="24" customHeight="1">
      <c r="A107" s="9"/>
      <c r="B107" s="18" t="s">
        <v>187</v>
      </c>
      <c r="C107" s="89" t="s">
        <v>190</v>
      </c>
      <c r="D107" s="58" t="s">
        <v>191</v>
      </c>
      <c r="E107" s="35" t="s">
        <v>192</v>
      </c>
      <c r="F107" s="96"/>
      <c r="G107" s="21"/>
      <c r="H107" s="21" t="s">
        <v>193</v>
      </c>
      <c r="I107" s="14"/>
      <c r="J107" s="14"/>
      <c r="K107" s="12">
        <v>823</v>
      </c>
      <c r="L107" s="9"/>
      <c r="M107" s="9"/>
      <c r="N107" s="9"/>
      <c r="O107" s="38">
        <f t="shared" si="6"/>
        <v>823</v>
      </c>
      <c r="P107" s="12"/>
      <c r="Q107" s="42"/>
      <c r="R107" s="15"/>
      <c r="S107" s="44"/>
      <c r="T107" s="15"/>
      <c r="U107" s="44"/>
      <c r="V107" s="15">
        <f t="shared" si="7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8"/>
        <v>0</v>
      </c>
      <c r="AF107" s="15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9"/>
        <v>0</v>
      </c>
      <c r="BA107" s="15"/>
      <c r="BB107" s="44"/>
      <c r="BC107" s="15"/>
      <c r="BD107" s="44"/>
      <c r="BE107" s="15">
        <f t="shared" si="11"/>
        <v>0</v>
      </c>
    </row>
    <row r="108" spans="1:57">
      <c r="A108" s="9"/>
      <c r="B108" s="18" t="s">
        <v>120</v>
      </c>
      <c r="C108" s="89" t="s">
        <v>132</v>
      </c>
      <c r="D108" s="58" t="s">
        <v>194</v>
      </c>
      <c r="E108" s="35" t="s">
        <v>195</v>
      </c>
      <c r="F108" s="96"/>
      <c r="G108" s="21"/>
      <c r="H108" s="21" t="s">
        <v>67</v>
      </c>
      <c r="I108" s="14"/>
      <c r="J108" s="14"/>
      <c r="K108" s="12">
        <v>0</v>
      </c>
      <c r="L108" s="9"/>
      <c r="M108" s="9"/>
      <c r="N108" s="9"/>
      <c r="O108" s="38">
        <f t="shared" si="6"/>
        <v>0</v>
      </c>
      <c r="P108" s="12"/>
      <c r="Q108" s="42"/>
      <c r="R108" s="15"/>
      <c r="S108" s="44"/>
      <c r="T108" s="15"/>
      <c r="U108" s="44"/>
      <c r="V108" s="15">
        <f t="shared" si="7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8"/>
        <v>0</v>
      </c>
      <c r="AF108" s="15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9"/>
        <v>0</v>
      </c>
      <c r="BA108" s="15"/>
      <c r="BB108" s="44"/>
      <c r="BC108" s="15"/>
      <c r="BD108" s="44"/>
      <c r="BE108" s="15">
        <f t="shared" si="11"/>
        <v>0</v>
      </c>
    </row>
    <row r="109" spans="1:57">
      <c r="A109" s="9"/>
      <c r="B109" s="18" t="s">
        <v>120</v>
      </c>
      <c r="C109" s="89" t="s">
        <v>132</v>
      </c>
      <c r="D109" s="58" t="s">
        <v>196</v>
      </c>
      <c r="E109" s="35" t="s">
        <v>197</v>
      </c>
      <c r="F109" s="96"/>
      <c r="G109" s="21"/>
      <c r="H109" s="21" t="s">
        <v>67</v>
      </c>
      <c r="I109" s="14"/>
      <c r="J109" s="14"/>
      <c r="K109" s="12">
        <v>0</v>
      </c>
      <c r="L109" s="9"/>
      <c r="M109" s="9"/>
      <c r="N109" s="9"/>
      <c r="O109" s="38">
        <f t="shared" si="6"/>
        <v>0</v>
      </c>
      <c r="P109" s="12"/>
      <c r="Q109" s="42"/>
      <c r="R109" s="15"/>
      <c r="S109" s="44"/>
      <c r="T109" s="15"/>
      <c r="U109" s="44"/>
      <c r="V109" s="15">
        <f t="shared" si="7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8"/>
        <v>0</v>
      </c>
      <c r="AF109" s="15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9"/>
        <v>0</v>
      </c>
      <c r="BA109" s="15"/>
      <c r="BB109" s="44"/>
      <c r="BC109" s="15"/>
      <c r="BD109" s="44"/>
      <c r="BE109" s="15">
        <f t="shared" si="11"/>
        <v>0</v>
      </c>
    </row>
    <row r="110" spans="1:57">
      <c r="A110" s="9"/>
      <c r="B110" s="18" t="s">
        <v>120</v>
      </c>
      <c r="C110" s="89" t="s">
        <v>132</v>
      </c>
      <c r="D110" s="58" t="s">
        <v>198</v>
      </c>
      <c r="E110" s="19" t="s">
        <v>199</v>
      </c>
      <c r="F110" s="96"/>
      <c r="G110" s="21"/>
      <c r="H110" s="21" t="s">
        <v>67</v>
      </c>
      <c r="I110" s="14"/>
      <c r="J110" s="14"/>
      <c r="K110" s="12">
        <v>0</v>
      </c>
      <c r="L110" s="9"/>
      <c r="M110" s="9"/>
      <c r="N110" s="9"/>
      <c r="O110" s="38">
        <f t="shared" si="6"/>
        <v>0</v>
      </c>
      <c r="P110" s="12"/>
      <c r="Q110" s="42"/>
      <c r="R110" s="15"/>
      <c r="S110" s="44"/>
      <c r="T110" s="15"/>
      <c r="U110" s="44"/>
      <c r="V110" s="15">
        <f t="shared" si="7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8"/>
        <v>0</v>
      </c>
      <c r="AF110" s="15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9"/>
        <v>0</v>
      </c>
      <c r="BA110" s="15"/>
      <c r="BB110" s="44"/>
      <c r="BC110" s="15"/>
      <c r="BD110" s="44"/>
      <c r="BE110" s="15">
        <f t="shared" si="11"/>
        <v>0</v>
      </c>
    </row>
    <row r="111" spans="1:57">
      <c r="A111" s="9"/>
      <c r="B111" s="18" t="s">
        <v>120</v>
      </c>
      <c r="C111" s="89" t="s">
        <v>132</v>
      </c>
      <c r="D111" s="58" t="s">
        <v>200</v>
      </c>
      <c r="E111" s="19" t="s">
        <v>201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6"/>
        <v>0</v>
      </c>
      <c r="P111" s="12"/>
      <c r="Q111" s="42"/>
      <c r="R111" s="15"/>
      <c r="S111" s="44"/>
      <c r="T111" s="15"/>
      <c r="U111" s="44"/>
      <c r="V111" s="15">
        <f t="shared" si="7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8"/>
        <v>0</v>
      </c>
      <c r="AF111" s="15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9"/>
        <v>0</v>
      </c>
      <c r="BA111" s="15"/>
      <c r="BB111" s="44"/>
      <c r="BC111" s="15"/>
      <c r="BD111" s="44"/>
      <c r="BE111" s="15">
        <f t="shared" si="11"/>
        <v>0</v>
      </c>
    </row>
    <row r="112" spans="1:57">
      <c r="A112" s="9"/>
      <c r="B112" s="18" t="s">
        <v>120</v>
      </c>
      <c r="C112" s="89" t="s">
        <v>132</v>
      </c>
      <c r="D112" s="58" t="s">
        <v>202</v>
      </c>
      <c r="E112" s="19" t="s">
        <v>203</v>
      </c>
      <c r="F112" s="96"/>
      <c r="G112" s="21"/>
      <c r="H112" s="21" t="s">
        <v>67</v>
      </c>
      <c r="I112" s="14"/>
      <c r="J112" s="14"/>
      <c r="K112" s="12">
        <v>98</v>
      </c>
      <c r="L112" s="9"/>
      <c r="M112" s="9"/>
      <c r="N112" s="9"/>
      <c r="O112" s="38">
        <f t="shared" si="6"/>
        <v>98</v>
      </c>
      <c r="P112" s="12"/>
      <c r="Q112" s="42"/>
      <c r="R112" s="15"/>
      <c r="S112" s="44"/>
      <c r="T112" s="15"/>
      <c r="U112" s="44"/>
      <c r="V112" s="15">
        <f t="shared" si="7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8"/>
        <v>0</v>
      </c>
      <c r="AF112" s="15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9"/>
        <v>0</v>
      </c>
      <c r="BA112" s="15"/>
      <c r="BB112" s="44"/>
      <c r="BC112" s="15"/>
      <c r="BD112" s="44"/>
      <c r="BE112" s="15">
        <f t="shared" si="11"/>
        <v>0</v>
      </c>
    </row>
    <row r="113" spans="1:57">
      <c r="A113" s="9"/>
      <c r="B113" s="18" t="s">
        <v>204</v>
      </c>
      <c r="C113" s="89" t="s">
        <v>132</v>
      </c>
      <c r="D113" s="58" t="s">
        <v>205</v>
      </c>
      <c r="E113" s="35" t="s">
        <v>206</v>
      </c>
      <c r="F113" s="96"/>
      <c r="G113" s="21"/>
      <c r="H113" s="21" t="s">
        <v>207</v>
      </c>
      <c r="I113" s="14"/>
      <c r="J113" s="14"/>
      <c r="K113" s="12">
        <v>340</v>
      </c>
      <c r="L113" s="9"/>
      <c r="M113" s="9"/>
      <c r="N113" s="9"/>
      <c r="O113" s="38">
        <f t="shared" si="6"/>
        <v>340</v>
      </c>
      <c r="P113" s="12"/>
      <c r="Q113" s="42"/>
      <c r="R113" s="15"/>
      <c r="S113" s="44"/>
      <c r="T113" s="15"/>
      <c r="U113" s="44"/>
      <c r="V113" s="15">
        <f t="shared" si="7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8"/>
        <v>0</v>
      </c>
      <c r="AF113" s="15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9"/>
        <v>0</v>
      </c>
      <c r="BA113" s="15"/>
      <c r="BB113" s="44"/>
      <c r="BC113" s="15"/>
      <c r="BD113" s="44"/>
      <c r="BE113" s="15">
        <f t="shared" si="11"/>
        <v>0</v>
      </c>
    </row>
    <row r="114" spans="1:57">
      <c r="A114" s="9"/>
      <c r="B114" s="18" t="s">
        <v>204</v>
      </c>
      <c r="C114" s="89" t="s">
        <v>132</v>
      </c>
      <c r="D114" s="99" t="s">
        <v>208</v>
      </c>
      <c r="E114" s="35"/>
      <c r="F114" s="96"/>
      <c r="G114" s="21"/>
      <c r="H114" s="21" t="s">
        <v>67</v>
      </c>
      <c r="I114" s="14"/>
      <c r="J114" s="14"/>
      <c r="K114" s="12">
        <v>247</v>
      </c>
      <c r="L114" s="9"/>
      <c r="M114" s="9"/>
      <c r="N114" s="9"/>
      <c r="O114" s="38">
        <f t="shared" si="6"/>
        <v>247</v>
      </c>
      <c r="P114" s="12"/>
      <c r="Q114" s="42"/>
      <c r="R114" s="15"/>
      <c r="S114" s="44"/>
      <c r="T114" s="15"/>
      <c r="U114" s="44"/>
      <c r="V114" s="15">
        <f t="shared" si="7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8"/>
        <v>0</v>
      </c>
      <c r="AF114" s="15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9"/>
        <v>0</v>
      </c>
      <c r="BA114" s="15"/>
      <c r="BB114" s="44"/>
      <c r="BC114" s="15"/>
      <c r="BD114" s="44"/>
      <c r="BE114" s="15">
        <f t="shared" si="11"/>
        <v>0</v>
      </c>
    </row>
    <row r="115" spans="1:57">
      <c r="A115" s="9"/>
      <c r="B115" s="18" t="s">
        <v>204</v>
      </c>
      <c r="C115" s="89" t="s">
        <v>132</v>
      </c>
      <c r="D115" s="58" t="s">
        <v>209</v>
      </c>
      <c r="E115" s="35" t="s">
        <v>210</v>
      </c>
      <c r="F115" s="96"/>
      <c r="G115" s="21"/>
      <c r="H115" s="21" t="s">
        <v>207</v>
      </c>
      <c r="I115" s="14"/>
      <c r="J115" s="14"/>
      <c r="K115" s="12">
        <v>302</v>
      </c>
      <c r="L115" s="9"/>
      <c r="M115" s="9"/>
      <c r="N115" s="9"/>
      <c r="O115" s="38">
        <f t="shared" si="6"/>
        <v>302</v>
      </c>
      <c r="P115" s="12"/>
      <c r="Q115" s="42"/>
      <c r="R115" s="15"/>
      <c r="S115" s="44"/>
      <c r="T115" s="15"/>
      <c r="U115" s="44"/>
      <c r="V115" s="15">
        <f t="shared" si="7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8"/>
        <v>0</v>
      </c>
      <c r="AF115" s="15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9"/>
        <v>0</v>
      </c>
      <c r="BA115" s="15"/>
      <c r="BB115" s="44"/>
      <c r="BC115" s="15"/>
      <c r="BD115" s="44"/>
      <c r="BE115" s="15">
        <f t="shared" si="11"/>
        <v>0</v>
      </c>
    </row>
    <row r="116" spans="1:57">
      <c r="A116" s="9"/>
      <c r="B116" s="18" t="s">
        <v>204</v>
      </c>
      <c r="C116" s="89" t="s">
        <v>132</v>
      </c>
      <c r="D116" s="58" t="s">
        <v>209</v>
      </c>
      <c r="E116" s="35" t="s">
        <v>211</v>
      </c>
      <c r="F116" s="96"/>
      <c r="G116" s="21"/>
      <c r="H116" s="21" t="s">
        <v>207</v>
      </c>
      <c r="I116" s="14"/>
      <c r="J116" s="14"/>
      <c r="K116" s="12">
        <v>0</v>
      </c>
      <c r="L116" s="9"/>
      <c r="M116" s="9"/>
      <c r="N116" s="9"/>
      <c r="O116" s="38">
        <f t="shared" si="6"/>
        <v>0</v>
      </c>
      <c r="P116" s="12"/>
      <c r="Q116" s="42"/>
      <c r="R116" s="15"/>
      <c r="S116" s="44"/>
      <c r="T116" s="15"/>
      <c r="U116" s="44"/>
      <c r="V116" s="15">
        <f t="shared" si="7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8"/>
        <v>0</v>
      </c>
      <c r="AF116" s="15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9"/>
        <v>0</v>
      </c>
      <c r="BA116" s="15"/>
      <c r="BB116" s="44"/>
      <c r="BC116" s="15"/>
      <c r="BD116" s="44"/>
      <c r="BE116" s="15">
        <f t="shared" si="11"/>
        <v>0</v>
      </c>
    </row>
    <row r="117" spans="1:57">
      <c r="A117" s="9"/>
      <c r="B117" s="18" t="s">
        <v>204</v>
      </c>
      <c r="C117" s="89" t="s">
        <v>132</v>
      </c>
      <c r="D117" s="58" t="s">
        <v>209</v>
      </c>
      <c r="E117" s="35" t="s">
        <v>206</v>
      </c>
      <c r="F117" s="96"/>
      <c r="G117" s="21"/>
      <c r="H117" s="21" t="s">
        <v>207</v>
      </c>
      <c r="I117" s="14"/>
      <c r="J117" s="14"/>
      <c r="K117" s="12">
        <v>306</v>
      </c>
      <c r="L117" s="9"/>
      <c r="M117" s="9"/>
      <c r="N117" s="9"/>
      <c r="O117" s="38">
        <f t="shared" si="6"/>
        <v>306</v>
      </c>
      <c r="P117" s="12"/>
      <c r="Q117" s="42"/>
      <c r="R117" s="15"/>
      <c r="S117" s="44"/>
      <c r="T117" s="15"/>
      <c r="U117" s="44"/>
      <c r="V117" s="15">
        <f t="shared" si="7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8"/>
        <v>0</v>
      </c>
      <c r="AF117" s="15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9"/>
        <v>0</v>
      </c>
      <c r="BA117" s="15"/>
      <c r="BB117" s="44"/>
      <c r="BC117" s="15"/>
      <c r="BD117" s="44"/>
      <c r="BE117" s="15">
        <f t="shared" si="11"/>
        <v>0</v>
      </c>
    </row>
    <row r="118" spans="1:57">
      <c r="A118" s="9"/>
      <c r="B118" s="18" t="s">
        <v>204</v>
      </c>
      <c r="C118" s="89" t="s">
        <v>132</v>
      </c>
      <c r="D118" s="58" t="s">
        <v>212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40</v>
      </c>
      <c r="L118" s="9"/>
      <c r="M118" s="9"/>
      <c r="N118" s="9"/>
      <c r="O118" s="38">
        <f t="shared" si="6"/>
        <v>40</v>
      </c>
      <c r="P118" s="12"/>
      <c r="Q118" s="42"/>
      <c r="R118" s="15"/>
      <c r="S118" s="44"/>
      <c r="T118" s="15"/>
      <c r="U118" s="44"/>
      <c r="V118" s="15">
        <f t="shared" si="7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8"/>
        <v>0</v>
      </c>
      <c r="AF118" s="15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9"/>
        <v>0</v>
      </c>
      <c r="BA118" s="15"/>
      <c r="BB118" s="44"/>
      <c r="BC118" s="15"/>
      <c r="BD118" s="44"/>
      <c r="BE118" s="15">
        <f t="shared" si="11"/>
        <v>0</v>
      </c>
    </row>
    <row r="119" spans="1:57">
      <c r="A119" s="9"/>
      <c r="B119" s="18" t="s">
        <v>204</v>
      </c>
      <c r="C119" s="89" t="s">
        <v>132</v>
      </c>
      <c r="D119" s="58" t="s">
        <v>212</v>
      </c>
      <c r="E119" s="35" t="s">
        <v>206</v>
      </c>
      <c r="F119" s="96"/>
      <c r="G119" s="21"/>
      <c r="H119" s="21" t="s">
        <v>207</v>
      </c>
      <c r="I119" s="14"/>
      <c r="J119" s="14"/>
      <c r="K119" s="12">
        <v>372</v>
      </c>
      <c r="L119" s="9"/>
      <c r="M119" s="9"/>
      <c r="N119" s="9"/>
      <c r="O119" s="38">
        <f t="shared" si="6"/>
        <v>372</v>
      </c>
      <c r="P119" s="12"/>
      <c r="Q119" s="42"/>
      <c r="R119" s="15"/>
      <c r="S119" s="44"/>
      <c r="T119" s="15"/>
      <c r="U119" s="44"/>
      <c r="V119" s="15">
        <f t="shared" si="7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8"/>
        <v>0</v>
      </c>
      <c r="AF119" s="15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9"/>
        <v>0</v>
      </c>
      <c r="BA119" s="15"/>
      <c r="BB119" s="44"/>
      <c r="BC119" s="15"/>
      <c r="BD119" s="44"/>
      <c r="BE119" s="15">
        <f t="shared" si="11"/>
        <v>0</v>
      </c>
    </row>
    <row r="120" spans="1:57">
      <c r="A120" s="9"/>
      <c r="B120" s="18" t="s">
        <v>204</v>
      </c>
      <c r="C120" s="89" t="s">
        <v>132</v>
      </c>
      <c r="D120" s="58" t="s">
        <v>213</v>
      </c>
      <c r="E120" s="35" t="s">
        <v>214</v>
      </c>
      <c r="F120" s="96"/>
      <c r="G120" s="21"/>
      <c r="H120" s="21" t="s">
        <v>207</v>
      </c>
      <c r="I120" s="14"/>
      <c r="J120" s="14"/>
      <c r="K120" s="12">
        <v>525</v>
      </c>
      <c r="L120" s="9"/>
      <c r="M120" s="9"/>
      <c r="N120" s="9"/>
      <c r="O120" s="38">
        <f t="shared" si="6"/>
        <v>525</v>
      </c>
      <c r="P120" s="12"/>
      <c r="Q120" s="42"/>
      <c r="R120" s="15"/>
      <c r="S120" s="44"/>
      <c r="T120" s="15"/>
      <c r="U120" s="44"/>
      <c r="V120" s="15">
        <f t="shared" si="7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8"/>
        <v>0</v>
      </c>
      <c r="AF120" s="15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9"/>
        <v>0</v>
      </c>
      <c r="BA120" s="15"/>
      <c r="BB120" s="44"/>
      <c r="BC120" s="15"/>
      <c r="BD120" s="44"/>
      <c r="BE120" s="15">
        <f t="shared" si="11"/>
        <v>0</v>
      </c>
    </row>
    <row r="121" spans="1:57">
      <c r="A121" s="9"/>
      <c r="B121" s="18" t="s">
        <v>204</v>
      </c>
      <c r="C121" s="89" t="s">
        <v>132</v>
      </c>
      <c r="D121" s="58" t="s">
        <v>213</v>
      </c>
      <c r="E121" s="35" t="s">
        <v>206</v>
      </c>
      <c r="F121" s="96"/>
      <c r="G121" s="21"/>
      <c r="H121" s="21" t="s">
        <v>207</v>
      </c>
      <c r="I121" s="14"/>
      <c r="J121" s="14"/>
      <c r="K121" s="12">
        <v>0</v>
      </c>
      <c r="L121" s="9"/>
      <c r="M121" s="9"/>
      <c r="N121" s="9"/>
      <c r="O121" s="38">
        <f t="shared" si="6"/>
        <v>0</v>
      </c>
      <c r="P121" s="12"/>
      <c r="Q121" s="42"/>
      <c r="R121" s="15"/>
      <c r="S121" s="44"/>
      <c r="T121" s="15"/>
      <c r="U121" s="44"/>
      <c r="V121" s="15">
        <f t="shared" si="7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8"/>
        <v>0</v>
      </c>
      <c r="AF121" s="15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9"/>
        <v>0</v>
      </c>
      <c r="BA121" s="15"/>
      <c r="BB121" s="44"/>
      <c r="BC121" s="15"/>
      <c r="BD121" s="44"/>
      <c r="BE121" s="15">
        <f t="shared" si="11"/>
        <v>0</v>
      </c>
    </row>
    <row r="122" spans="1:57">
      <c r="A122" s="9"/>
      <c r="B122" s="18" t="s">
        <v>204</v>
      </c>
      <c r="C122" s="89" t="s">
        <v>132</v>
      </c>
      <c r="D122" s="58" t="s">
        <v>213</v>
      </c>
      <c r="E122" s="35" t="s">
        <v>215</v>
      </c>
      <c r="F122" s="96"/>
      <c r="G122" s="21"/>
      <c r="H122" s="21" t="s">
        <v>207</v>
      </c>
      <c r="I122" s="14"/>
      <c r="J122" s="14"/>
      <c r="K122" s="12">
        <v>2109</v>
      </c>
      <c r="L122" s="9"/>
      <c r="M122" s="9"/>
      <c r="N122" s="9"/>
      <c r="O122" s="38">
        <f t="shared" si="6"/>
        <v>2109</v>
      </c>
      <c r="P122" s="12"/>
      <c r="Q122" s="42"/>
      <c r="R122" s="15"/>
      <c r="S122" s="44"/>
      <c r="T122" s="15"/>
      <c r="U122" s="44"/>
      <c r="V122" s="15">
        <f t="shared" si="7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8"/>
        <v>0</v>
      </c>
      <c r="AF122" s="15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9"/>
        <v>0</v>
      </c>
      <c r="BA122" s="15"/>
      <c r="BB122" s="44"/>
      <c r="BC122" s="15"/>
      <c r="BD122" s="44"/>
      <c r="BE122" s="15">
        <f t="shared" si="11"/>
        <v>0</v>
      </c>
    </row>
    <row r="123" spans="1:57">
      <c r="A123" s="9"/>
      <c r="B123" s="18" t="s">
        <v>204</v>
      </c>
      <c r="C123" s="89" t="s">
        <v>132</v>
      </c>
      <c r="D123" s="58" t="s">
        <v>216</v>
      </c>
      <c r="E123" s="35" t="s">
        <v>217</v>
      </c>
      <c r="F123" s="96"/>
      <c r="G123" s="21"/>
      <c r="H123" s="21" t="s">
        <v>207</v>
      </c>
      <c r="I123" s="14"/>
      <c r="J123" s="14"/>
      <c r="K123" s="12">
        <v>60</v>
      </c>
      <c r="L123" s="9"/>
      <c r="M123" s="9"/>
      <c r="N123" s="9"/>
      <c r="O123" s="38">
        <f t="shared" si="6"/>
        <v>60</v>
      </c>
      <c r="P123" s="12"/>
      <c r="Q123" s="42"/>
      <c r="R123" s="15"/>
      <c r="S123" s="44"/>
      <c r="T123" s="15"/>
      <c r="U123" s="44"/>
      <c r="V123" s="15">
        <f t="shared" si="7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8"/>
        <v>0</v>
      </c>
      <c r="AF123" s="15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9"/>
        <v>0</v>
      </c>
      <c r="BA123" s="15"/>
      <c r="BB123" s="44"/>
      <c r="BC123" s="15"/>
      <c r="BD123" s="44"/>
      <c r="BE123" s="15">
        <f t="shared" si="11"/>
        <v>0</v>
      </c>
    </row>
    <row r="124" spans="1:57">
      <c r="A124" s="9"/>
      <c r="B124" s="18" t="s">
        <v>204</v>
      </c>
      <c r="C124" s="89" t="s">
        <v>132</v>
      </c>
      <c r="D124" s="58" t="s">
        <v>218</v>
      </c>
      <c r="E124" s="35" t="s">
        <v>217</v>
      </c>
      <c r="F124" s="96"/>
      <c r="G124" s="21"/>
      <c r="H124" s="21" t="s">
        <v>207</v>
      </c>
      <c r="I124" s="14"/>
      <c r="J124" s="14"/>
      <c r="K124" s="12">
        <v>540</v>
      </c>
      <c r="L124" s="9"/>
      <c r="M124" s="9"/>
      <c r="N124" s="9"/>
      <c r="O124" s="38">
        <f t="shared" si="6"/>
        <v>540</v>
      </c>
      <c r="P124" s="12"/>
      <c r="Q124" s="42"/>
      <c r="R124" s="15"/>
      <c r="S124" s="44"/>
      <c r="T124" s="15"/>
      <c r="U124" s="44"/>
      <c r="V124" s="15">
        <f t="shared" si="7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8"/>
        <v>0</v>
      </c>
      <c r="AF124" s="15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9"/>
        <v>0</v>
      </c>
      <c r="BA124" s="15"/>
      <c r="BB124" s="44"/>
      <c r="BC124" s="15"/>
      <c r="BD124" s="44"/>
      <c r="BE124" s="15">
        <f t="shared" si="11"/>
        <v>0</v>
      </c>
    </row>
    <row r="125" spans="1:57">
      <c r="A125" s="9"/>
      <c r="B125" s="18" t="s">
        <v>204</v>
      </c>
      <c r="C125" s="89" t="s">
        <v>132</v>
      </c>
      <c r="D125" s="58" t="s">
        <v>219</v>
      </c>
      <c r="E125" s="35" t="s">
        <v>217</v>
      </c>
      <c r="F125" s="96"/>
      <c r="G125" s="21"/>
      <c r="H125" s="21" t="s">
        <v>207</v>
      </c>
      <c r="I125" s="14"/>
      <c r="J125" s="14"/>
      <c r="K125" s="12">
        <v>94</v>
      </c>
      <c r="L125" s="9"/>
      <c r="M125" s="9"/>
      <c r="N125" s="9"/>
      <c r="O125" s="38">
        <f t="shared" si="6"/>
        <v>94</v>
      </c>
      <c r="P125" s="12"/>
      <c r="Q125" s="42"/>
      <c r="R125" s="15"/>
      <c r="S125" s="44"/>
      <c r="T125" s="15"/>
      <c r="U125" s="44"/>
      <c r="V125" s="15">
        <f t="shared" si="7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8"/>
        <v>0</v>
      </c>
      <c r="AF125" s="15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9"/>
        <v>0</v>
      </c>
      <c r="BA125" s="15"/>
      <c r="BB125" s="44"/>
      <c r="BC125" s="15"/>
      <c r="BD125" s="44"/>
      <c r="BE125" s="15">
        <f t="shared" si="11"/>
        <v>0</v>
      </c>
    </row>
    <row r="126" spans="1:57">
      <c r="A126" s="9"/>
      <c r="B126" s="18" t="s">
        <v>204</v>
      </c>
      <c r="C126" s="89" t="s">
        <v>132</v>
      </c>
      <c r="D126" s="58" t="s">
        <v>220</v>
      </c>
      <c r="E126" s="35" t="s">
        <v>215</v>
      </c>
      <c r="F126" s="96"/>
      <c r="G126" s="21"/>
      <c r="H126" s="21" t="s">
        <v>207</v>
      </c>
      <c r="I126" s="14"/>
      <c r="J126" s="14"/>
      <c r="K126" s="12">
        <v>759</v>
      </c>
      <c r="L126" s="9"/>
      <c r="M126" s="9"/>
      <c r="N126" s="9"/>
      <c r="O126" s="38">
        <f t="shared" si="6"/>
        <v>759</v>
      </c>
      <c r="P126" s="12"/>
      <c r="Q126" s="42"/>
      <c r="R126" s="15"/>
      <c r="S126" s="44"/>
      <c r="T126" s="15"/>
      <c r="U126" s="44"/>
      <c r="V126" s="15">
        <f t="shared" si="7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8"/>
        <v>0</v>
      </c>
      <c r="AF126" s="15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9"/>
        <v>0</v>
      </c>
      <c r="BA126" s="15"/>
      <c r="BB126" s="44"/>
      <c r="BC126" s="15"/>
      <c r="BD126" s="44"/>
      <c r="BE126" s="15">
        <f t="shared" si="11"/>
        <v>0</v>
      </c>
    </row>
    <row r="127" spans="1:57">
      <c r="A127" s="9"/>
      <c r="B127" s="18" t="s">
        <v>204</v>
      </c>
      <c r="C127" s="89" t="s">
        <v>132</v>
      </c>
      <c r="D127" s="58" t="s">
        <v>221</v>
      </c>
      <c r="E127" s="35" t="s">
        <v>222</v>
      </c>
      <c r="F127" s="96"/>
      <c r="G127" s="21"/>
      <c r="H127" s="21" t="s">
        <v>207</v>
      </c>
      <c r="I127" s="14"/>
      <c r="J127" s="14"/>
      <c r="K127" s="12">
        <v>0</v>
      </c>
      <c r="L127" s="9"/>
      <c r="M127" s="9"/>
      <c r="N127" s="9"/>
      <c r="O127" s="38">
        <f t="shared" si="6"/>
        <v>0</v>
      </c>
      <c r="P127" s="12"/>
      <c r="Q127" s="42"/>
      <c r="R127" s="15"/>
      <c r="S127" s="44"/>
      <c r="T127" s="15"/>
      <c r="U127" s="44"/>
      <c r="V127" s="15">
        <f t="shared" si="7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8"/>
        <v>0</v>
      </c>
      <c r="AF127" s="15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9"/>
        <v>0</v>
      </c>
      <c r="BA127" s="15"/>
      <c r="BB127" s="44"/>
      <c r="BC127" s="15"/>
      <c r="BD127" s="44"/>
      <c r="BE127" s="15">
        <f t="shared" si="11"/>
        <v>0</v>
      </c>
    </row>
    <row r="128" spans="1:57">
      <c r="A128" s="9"/>
      <c r="B128" s="18" t="s">
        <v>204</v>
      </c>
      <c r="C128" s="89" t="s">
        <v>132</v>
      </c>
      <c r="D128" s="58" t="s">
        <v>221</v>
      </c>
      <c r="E128" s="35" t="s">
        <v>206</v>
      </c>
      <c r="F128" s="96"/>
      <c r="G128" s="21"/>
      <c r="H128" s="21" t="s">
        <v>207</v>
      </c>
      <c r="I128" s="14"/>
      <c r="J128" s="14"/>
      <c r="K128" s="12">
        <v>592</v>
      </c>
      <c r="L128" s="9"/>
      <c r="M128" s="9"/>
      <c r="N128" s="9"/>
      <c r="O128" s="38">
        <f t="shared" si="6"/>
        <v>592</v>
      </c>
      <c r="P128" s="12"/>
      <c r="Q128" s="42"/>
      <c r="R128" s="15"/>
      <c r="S128" s="44"/>
      <c r="T128" s="15"/>
      <c r="U128" s="44"/>
      <c r="V128" s="15">
        <f t="shared" si="7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8"/>
        <v>0</v>
      </c>
      <c r="AF128" s="15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9"/>
        <v>0</v>
      </c>
      <c r="BA128" s="15"/>
      <c r="BB128" s="44"/>
      <c r="BC128" s="15"/>
      <c r="BD128" s="44"/>
      <c r="BE128" s="15">
        <f t="shared" si="11"/>
        <v>0</v>
      </c>
    </row>
    <row r="129" spans="1:57">
      <c r="A129" s="9"/>
      <c r="B129" s="18" t="s">
        <v>204</v>
      </c>
      <c r="C129" s="89" t="s">
        <v>132</v>
      </c>
      <c r="D129" s="58" t="s">
        <v>223</v>
      </c>
      <c r="E129" s="35" t="s">
        <v>206</v>
      </c>
      <c r="F129" s="96"/>
      <c r="G129" s="21"/>
      <c r="H129" s="21" t="s">
        <v>207</v>
      </c>
      <c r="I129" s="14"/>
      <c r="J129" s="14"/>
      <c r="K129" s="12">
        <v>129</v>
      </c>
      <c r="L129" s="9"/>
      <c r="M129" s="9"/>
      <c r="N129" s="9"/>
      <c r="O129" s="38">
        <f t="shared" si="6"/>
        <v>129</v>
      </c>
      <c r="P129" s="12"/>
      <c r="Q129" s="42"/>
      <c r="R129" s="15"/>
      <c r="S129" s="44"/>
      <c r="T129" s="15"/>
      <c r="U129" s="44"/>
      <c r="V129" s="15">
        <f t="shared" si="7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8"/>
        <v>0</v>
      </c>
      <c r="AF129" s="15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9"/>
        <v>0</v>
      </c>
      <c r="BA129" s="15"/>
      <c r="BB129" s="44"/>
      <c r="BC129" s="15"/>
      <c r="BD129" s="44"/>
      <c r="BE129" s="15">
        <f t="shared" si="11"/>
        <v>0</v>
      </c>
    </row>
    <row r="130" spans="1:57">
      <c r="A130" s="9"/>
      <c r="B130" s="18" t="s">
        <v>204</v>
      </c>
      <c r="C130" s="89" t="s">
        <v>132</v>
      </c>
      <c r="D130" s="58" t="s">
        <v>224</v>
      </c>
      <c r="E130" s="35" t="s">
        <v>225</v>
      </c>
      <c r="F130" s="96"/>
      <c r="G130" s="21"/>
      <c r="H130" s="21" t="s">
        <v>207</v>
      </c>
      <c r="I130" s="14"/>
      <c r="J130" s="14"/>
      <c r="K130" s="12">
        <v>214</v>
      </c>
      <c r="L130" s="9"/>
      <c r="M130" s="9"/>
      <c r="N130" s="9"/>
      <c r="O130" s="38">
        <f t="shared" ref="O130:O193" si="12">K130+V130-AE130-AZ130</f>
        <v>214</v>
      </c>
      <c r="P130" s="12"/>
      <c r="Q130" s="42"/>
      <c r="R130" s="15"/>
      <c r="S130" s="44"/>
      <c r="T130" s="15"/>
      <c r="U130" s="44"/>
      <c r="V130" s="15">
        <f t="shared" ref="V130:V193" si="13">P130+R130+T130</f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ref="AE130:AE193" si="14">(W130+Y130+AA130+AC130)</f>
        <v>0</v>
      </c>
      <c r="AF130" s="15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9"/>
        <v>0</v>
      </c>
      <c r="BA130" s="15"/>
      <c r="BB130" s="44"/>
      <c r="BC130" s="15"/>
      <c r="BD130" s="44"/>
      <c r="BE130" s="15">
        <f t="shared" si="11"/>
        <v>0</v>
      </c>
    </row>
    <row r="131" spans="1:57">
      <c r="A131" s="9"/>
      <c r="B131" s="18" t="s">
        <v>204</v>
      </c>
      <c r="C131" s="89" t="s">
        <v>132</v>
      </c>
      <c r="D131" s="58" t="s">
        <v>226</v>
      </c>
      <c r="E131" s="35" t="s">
        <v>215</v>
      </c>
      <c r="F131" s="96"/>
      <c r="G131" s="21"/>
      <c r="H131" s="21" t="s">
        <v>207</v>
      </c>
      <c r="I131" s="14"/>
      <c r="J131" s="14"/>
      <c r="K131" s="12">
        <v>484</v>
      </c>
      <c r="L131" s="9"/>
      <c r="M131" s="9"/>
      <c r="N131" s="9"/>
      <c r="O131" s="38">
        <f t="shared" si="12"/>
        <v>484</v>
      </c>
      <c r="P131" s="12"/>
      <c r="Q131" s="42"/>
      <c r="R131" s="15"/>
      <c r="S131" s="44"/>
      <c r="T131" s="15"/>
      <c r="U131" s="44"/>
      <c r="V131" s="15">
        <f t="shared" si="13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14"/>
        <v>0</v>
      </c>
      <c r="AF131" s="15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ref="AZ131:AZ194" si="15">AF131+AH131+AJ131+AL131+AN131+AP131+AR131+AT131+AV131+AX131</f>
        <v>0</v>
      </c>
      <c r="BA131" s="15"/>
      <c r="BB131" s="44"/>
      <c r="BC131" s="15"/>
      <c r="BD131" s="44"/>
      <c r="BE131" s="15">
        <f t="shared" si="11"/>
        <v>0</v>
      </c>
    </row>
    <row r="132" spans="1:57">
      <c r="A132" s="9"/>
      <c r="B132" s="18" t="s">
        <v>204</v>
      </c>
      <c r="C132" s="89" t="s">
        <v>132</v>
      </c>
      <c r="D132" s="58" t="s">
        <v>227</v>
      </c>
      <c r="E132" s="35" t="s">
        <v>215</v>
      </c>
      <c r="F132" s="96"/>
      <c r="G132" s="21"/>
      <c r="H132" s="21" t="s">
        <v>207</v>
      </c>
      <c r="I132" s="14"/>
      <c r="J132" s="14"/>
      <c r="K132" s="12">
        <v>0</v>
      </c>
      <c r="L132" s="9"/>
      <c r="M132" s="9"/>
      <c r="N132" s="9"/>
      <c r="O132" s="38">
        <f t="shared" si="12"/>
        <v>0</v>
      </c>
      <c r="P132" s="12"/>
      <c r="Q132" s="42"/>
      <c r="R132" s="15"/>
      <c r="S132" s="44"/>
      <c r="T132" s="15"/>
      <c r="U132" s="44"/>
      <c r="V132" s="15">
        <f t="shared" si="13"/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si="14"/>
        <v>0</v>
      </c>
      <c r="AF132" s="15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5"/>
        <v>0</v>
      </c>
      <c r="BA132" s="15"/>
      <c r="BB132" s="44"/>
      <c r="BC132" s="15"/>
      <c r="BD132" s="44"/>
      <c r="BE132" s="15">
        <f t="shared" si="11"/>
        <v>0</v>
      </c>
    </row>
    <row r="133" spans="1:57">
      <c r="A133" s="9"/>
      <c r="B133" s="18" t="s">
        <v>204</v>
      </c>
      <c r="C133" s="89" t="s">
        <v>132</v>
      </c>
      <c r="D133" s="58" t="s">
        <v>228</v>
      </c>
      <c r="E133" s="35" t="s">
        <v>206</v>
      </c>
      <c r="F133" s="96"/>
      <c r="G133" s="21"/>
      <c r="H133" s="21" t="s">
        <v>207</v>
      </c>
      <c r="I133" s="14"/>
      <c r="J133" s="14"/>
      <c r="K133" s="12">
        <v>0</v>
      </c>
      <c r="L133" s="9"/>
      <c r="M133" s="9"/>
      <c r="N133" s="9"/>
      <c r="O133" s="38">
        <f t="shared" si="12"/>
        <v>0</v>
      </c>
      <c r="P133" s="12"/>
      <c r="Q133" s="42"/>
      <c r="R133" s="15"/>
      <c r="S133" s="44"/>
      <c r="T133" s="15"/>
      <c r="U133" s="44"/>
      <c r="V133" s="15">
        <f t="shared" si="13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4"/>
        <v>0</v>
      </c>
      <c r="AF133" s="15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5"/>
        <v>0</v>
      </c>
      <c r="BA133" s="15"/>
      <c r="BB133" s="44"/>
      <c r="BC133" s="15"/>
      <c r="BD133" s="44"/>
      <c r="BE133" s="15">
        <f t="shared" si="11"/>
        <v>0</v>
      </c>
    </row>
    <row r="134" spans="1:57">
      <c r="A134" s="9"/>
      <c r="B134" s="18" t="s">
        <v>204</v>
      </c>
      <c r="C134" s="89" t="s">
        <v>132</v>
      </c>
      <c r="D134" s="58" t="s">
        <v>229</v>
      </c>
      <c r="E134" s="35" t="s">
        <v>222</v>
      </c>
      <c r="F134" s="96"/>
      <c r="G134" s="21"/>
      <c r="H134" s="21" t="s">
        <v>207</v>
      </c>
      <c r="I134" s="14"/>
      <c r="J134" s="14"/>
      <c r="K134" s="12">
        <v>0</v>
      </c>
      <c r="L134" s="9"/>
      <c r="M134" s="9"/>
      <c r="N134" s="9"/>
      <c r="O134" s="38">
        <f t="shared" si="12"/>
        <v>0</v>
      </c>
      <c r="P134" s="12"/>
      <c r="Q134" s="42"/>
      <c r="R134" s="15"/>
      <c r="S134" s="44"/>
      <c r="T134" s="15"/>
      <c r="U134" s="44"/>
      <c r="V134" s="15">
        <f t="shared" si="13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4"/>
        <v>0</v>
      </c>
      <c r="AF134" s="15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5"/>
        <v>0</v>
      </c>
      <c r="BA134" s="15"/>
      <c r="BB134" s="44"/>
      <c r="BC134" s="15"/>
      <c r="BD134" s="44"/>
      <c r="BE134" s="15">
        <f t="shared" si="11"/>
        <v>0</v>
      </c>
    </row>
    <row r="135" spans="1:57">
      <c r="A135" s="9"/>
      <c r="B135" s="18" t="s">
        <v>204</v>
      </c>
      <c r="C135" s="89" t="s">
        <v>132</v>
      </c>
      <c r="D135" s="58" t="s">
        <v>230</v>
      </c>
      <c r="E135" s="35" t="s">
        <v>210</v>
      </c>
      <c r="F135" s="96"/>
      <c r="G135" s="21"/>
      <c r="H135" s="21" t="s">
        <v>231</v>
      </c>
      <c r="I135" s="14"/>
      <c r="J135" s="14"/>
      <c r="K135" s="12">
        <v>61</v>
      </c>
      <c r="L135" s="9"/>
      <c r="M135" s="9"/>
      <c r="N135" s="9"/>
      <c r="O135" s="38">
        <f t="shared" si="12"/>
        <v>61</v>
      </c>
      <c r="P135" s="12"/>
      <c r="Q135" s="42"/>
      <c r="R135" s="15"/>
      <c r="S135" s="44"/>
      <c r="T135" s="15"/>
      <c r="U135" s="44"/>
      <c r="V135" s="15">
        <f t="shared" si="13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4"/>
        <v>0</v>
      </c>
      <c r="AF135" s="15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5"/>
        <v>0</v>
      </c>
      <c r="BA135" s="15"/>
      <c r="BB135" s="44"/>
      <c r="BC135" s="15"/>
      <c r="BD135" s="44"/>
      <c r="BE135" s="15">
        <f t="shared" si="11"/>
        <v>0</v>
      </c>
    </row>
    <row r="136" spans="1:57">
      <c r="A136" s="9"/>
      <c r="B136" s="18" t="s">
        <v>204</v>
      </c>
      <c r="C136" s="89" t="s">
        <v>132</v>
      </c>
      <c r="D136" s="58" t="s">
        <v>232</v>
      </c>
      <c r="E136" s="35" t="s">
        <v>222</v>
      </c>
      <c r="F136" s="96"/>
      <c r="G136" s="21"/>
      <c r="H136" s="21" t="s">
        <v>231</v>
      </c>
      <c r="I136" s="14"/>
      <c r="J136" s="14"/>
      <c r="K136" s="12">
        <v>106</v>
      </c>
      <c r="L136" s="9"/>
      <c r="M136" s="9"/>
      <c r="N136" s="9"/>
      <c r="O136" s="38">
        <f t="shared" si="12"/>
        <v>106</v>
      </c>
      <c r="P136" s="12"/>
      <c r="Q136" s="42"/>
      <c r="R136" s="15"/>
      <c r="S136" s="44"/>
      <c r="T136" s="15"/>
      <c r="U136" s="44"/>
      <c r="V136" s="15">
        <f t="shared" si="13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4"/>
        <v>0</v>
      </c>
      <c r="AF136" s="15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5"/>
        <v>0</v>
      </c>
      <c r="BA136" s="15"/>
      <c r="BB136" s="44"/>
      <c r="BC136" s="15"/>
      <c r="BD136" s="44"/>
      <c r="BE136" s="15">
        <f t="shared" si="11"/>
        <v>0</v>
      </c>
    </row>
    <row r="137" spans="1:57">
      <c r="A137" s="9"/>
      <c r="B137" s="18" t="s">
        <v>233</v>
      </c>
      <c r="C137" s="89" t="s">
        <v>132</v>
      </c>
      <c r="D137" s="58" t="s">
        <v>234</v>
      </c>
      <c r="E137" s="35" t="s">
        <v>235</v>
      </c>
      <c r="F137" s="96"/>
      <c r="G137" s="21"/>
      <c r="H137" s="21" t="s">
        <v>207</v>
      </c>
      <c r="I137" s="14"/>
      <c r="J137" s="14"/>
      <c r="K137" s="12">
        <v>280</v>
      </c>
      <c r="L137" s="9"/>
      <c r="M137" s="9"/>
      <c r="N137" s="9"/>
      <c r="O137" s="38">
        <f t="shared" si="12"/>
        <v>280</v>
      </c>
      <c r="P137" s="12"/>
      <c r="Q137" s="42"/>
      <c r="R137" s="15"/>
      <c r="S137" s="44"/>
      <c r="T137" s="15"/>
      <c r="U137" s="44"/>
      <c r="V137" s="15">
        <f t="shared" si="13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4"/>
        <v>0</v>
      </c>
      <c r="AF137" s="15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5"/>
        <v>0</v>
      </c>
      <c r="BA137" s="15"/>
      <c r="BB137" s="44"/>
      <c r="BC137" s="15"/>
      <c r="BD137" s="44"/>
      <c r="BE137" s="15">
        <f t="shared" si="11"/>
        <v>0</v>
      </c>
    </row>
    <row r="138" spans="1:57">
      <c r="A138" s="9"/>
      <c r="B138" s="18" t="s">
        <v>233</v>
      </c>
      <c r="C138" s="89" t="s">
        <v>132</v>
      </c>
      <c r="D138" s="58" t="s">
        <v>236</v>
      </c>
      <c r="E138" s="35" t="s">
        <v>237</v>
      </c>
      <c r="F138" s="96"/>
      <c r="G138" s="21"/>
      <c r="H138" s="21" t="s">
        <v>207</v>
      </c>
      <c r="I138" s="14"/>
      <c r="J138" s="14"/>
      <c r="K138" s="12">
        <v>100</v>
      </c>
      <c r="L138" s="9"/>
      <c r="M138" s="9"/>
      <c r="N138" s="9"/>
      <c r="O138" s="38">
        <f t="shared" si="12"/>
        <v>100</v>
      </c>
      <c r="P138" s="12"/>
      <c r="Q138" s="42"/>
      <c r="R138" s="15"/>
      <c r="S138" s="44"/>
      <c r="T138" s="15"/>
      <c r="U138" s="44"/>
      <c r="V138" s="15">
        <f t="shared" si="13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4"/>
        <v>0</v>
      </c>
      <c r="AF138" s="15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5"/>
        <v>0</v>
      </c>
      <c r="BA138" s="15"/>
      <c r="BB138" s="44"/>
      <c r="BC138" s="15"/>
      <c r="BD138" s="44"/>
      <c r="BE138" s="15">
        <f t="shared" si="11"/>
        <v>0</v>
      </c>
    </row>
    <row r="139" spans="1:57">
      <c r="A139" s="9"/>
      <c r="B139" s="18" t="s">
        <v>233</v>
      </c>
      <c r="C139" s="89" t="s">
        <v>132</v>
      </c>
      <c r="D139" s="58" t="s">
        <v>238</v>
      </c>
      <c r="E139" s="35" t="s">
        <v>237</v>
      </c>
      <c r="F139" s="96"/>
      <c r="G139" s="21"/>
      <c r="H139" s="21" t="s">
        <v>207</v>
      </c>
      <c r="I139" s="14"/>
      <c r="J139" s="14"/>
      <c r="K139" s="12">
        <v>612</v>
      </c>
      <c r="L139" s="9"/>
      <c r="M139" s="9"/>
      <c r="N139" s="9"/>
      <c r="O139" s="38">
        <f t="shared" si="12"/>
        <v>612</v>
      </c>
      <c r="P139" s="12"/>
      <c r="Q139" s="42"/>
      <c r="R139" s="15"/>
      <c r="S139" s="44"/>
      <c r="T139" s="15"/>
      <c r="U139" s="44"/>
      <c r="V139" s="15">
        <f t="shared" si="13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4"/>
        <v>0</v>
      </c>
      <c r="AF139" s="15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5"/>
        <v>0</v>
      </c>
      <c r="BA139" s="15"/>
      <c r="BB139" s="44"/>
      <c r="BC139" s="15"/>
      <c r="BD139" s="44"/>
      <c r="BE139" s="15">
        <f t="shared" si="11"/>
        <v>0</v>
      </c>
    </row>
    <row r="140" spans="1:57">
      <c r="A140" s="9"/>
      <c r="B140" s="18" t="s">
        <v>233</v>
      </c>
      <c r="C140" s="89" t="s">
        <v>132</v>
      </c>
      <c r="D140" s="58" t="s">
        <v>239</v>
      </c>
      <c r="E140" s="35" t="s">
        <v>237</v>
      </c>
      <c r="F140" s="96"/>
      <c r="G140" s="21"/>
      <c r="H140" s="21" t="s">
        <v>207</v>
      </c>
      <c r="I140" s="14"/>
      <c r="J140" s="14"/>
      <c r="K140" s="12">
        <v>300</v>
      </c>
      <c r="L140" s="9"/>
      <c r="M140" s="9"/>
      <c r="N140" s="9"/>
      <c r="O140" s="38">
        <f t="shared" si="12"/>
        <v>300</v>
      </c>
      <c r="P140" s="12"/>
      <c r="Q140" s="42"/>
      <c r="R140" s="15"/>
      <c r="S140" s="44"/>
      <c r="T140" s="15"/>
      <c r="U140" s="44"/>
      <c r="V140" s="15">
        <f t="shared" si="13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4"/>
        <v>0</v>
      </c>
      <c r="AF140" s="15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5"/>
        <v>0</v>
      </c>
      <c r="BA140" s="15"/>
      <c r="BB140" s="44"/>
      <c r="BC140" s="15"/>
      <c r="BD140" s="44"/>
      <c r="BE140" s="15">
        <f t="shared" si="11"/>
        <v>0</v>
      </c>
    </row>
    <row r="141" spans="1:57">
      <c r="A141" s="9"/>
      <c r="B141" s="18" t="s">
        <v>233</v>
      </c>
      <c r="C141" s="89" t="s">
        <v>132</v>
      </c>
      <c r="D141" s="58" t="s">
        <v>240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300</v>
      </c>
      <c r="L141" s="9"/>
      <c r="M141" s="9"/>
      <c r="N141" s="9"/>
      <c r="O141" s="38">
        <f t="shared" si="12"/>
        <v>300</v>
      </c>
      <c r="P141" s="12"/>
      <c r="Q141" s="42"/>
      <c r="R141" s="15"/>
      <c r="S141" s="44"/>
      <c r="T141" s="15"/>
      <c r="U141" s="44"/>
      <c r="V141" s="15">
        <f t="shared" si="13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4"/>
        <v>0</v>
      </c>
      <c r="AF141" s="15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5"/>
        <v>0</v>
      </c>
      <c r="BA141" s="15"/>
      <c r="BB141" s="44"/>
      <c r="BC141" s="15"/>
      <c r="BD141" s="44"/>
      <c r="BE141" s="15">
        <f t="shared" si="11"/>
        <v>0</v>
      </c>
    </row>
    <row r="142" spans="1:57">
      <c r="A142" s="9"/>
      <c r="B142" s="16" t="s">
        <v>233</v>
      </c>
      <c r="C142" s="89" t="s">
        <v>132</v>
      </c>
      <c r="D142" s="70" t="s">
        <v>241</v>
      </c>
      <c r="E142" s="13"/>
      <c r="F142" s="96"/>
      <c r="G142" s="9"/>
      <c r="H142" s="9"/>
      <c r="I142" s="14"/>
      <c r="J142" s="14"/>
      <c r="K142" s="12">
        <v>124</v>
      </c>
      <c r="L142" s="9"/>
      <c r="M142" s="9"/>
      <c r="N142" s="9"/>
      <c r="O142" s="38">
        <f t="shared" si="12"/>
        <v>124</v>
      </c>
      <c r="P142" s="12"/>
      <c r="Q142" s="42"/>
      <c r="R142" s="15"/>
      <c r="S142" s="44"/>
      <c r="T142" s="15"/>
      <c r="U142" s="44"/>
      <c r="V142" s="15">
        <f t="shared" si="13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4"/>
        <v>0</v>
      </c>
      <c r="AF142" s="15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5"/>
        <v>0</v>
      </c>
      <c r="BA142" s="15"/>
      <c r="BB142" s="44"/>
      <c r="BC142" s="15"/>
      <c r="BD142" s="44"/>
      <c r="BE142" s="15">
        <f t="shared" si="11"/>
        <v>0</v>
      </c>
    </row>
    <row r="143" spans="1:57">
      <c r="A143" s="9"/>
      <c r="B143" s="16" t="s">
        <v>155</v>
      </c>
      <c r="C143" s="89" t="s">
        <v>132</v>
      </c>
      <c r="D143" s="70" t="s">
        <v>156</v>
      </c>
      <c r="E143" s="13" t="s">
        <v>242</v>
      </c>
      <c r="F143" s="96"/>
      <c r="G143" s="9"/>
      <c r="H143" s="9" t="s">
        <v>158</v>
      </c>
      <c r="I143" s="14"/>
      <c r="J143" s="14"/>
      <c r="K143" s="12">
        <v>652</v>
      </c>
      <c r="L143" s="9"/>
      <c r="M143" s="9"/>
      <c r="N143" s="9"/>
      <c r="O143" s="38">
        <f t="shared" si="12"/>
        <v>652</v>
      </c>
      <c r="P143" s="12"/>
      <c r="Q143" s="42"/>
      <c r="R143" s="15"/>
      <c r="S143" s="44"/>
      <c r="T143" s="15"/>
      <c r="U143" s="44"/>
      <c r="V143" s="15">
        <f t="shared" si="13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4"/>
        <v>0</v>
      </c>
      <c r="AF143" s="15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5"/>
        <v>0</v>
      </c>
      <c r="BA143" s="15"/>
      <c r="BB143" s="44"/>
      <c r="BC143" s="15"/>
      <c r="BD143" s="44"/>
      <c r="BE143" s="15">
        <f t="shared" si="11"/>
        <v>0</v>
      </c>
    </row>
    <row r="144" spans="1:57">
      <c r="A144" s="9"/>
      <c r="B144" s="16" t="s">
        <v>155</v>
      </c>
      <c r="C144" s="89" t="s">
        <v>132</v>
      </c>
      <c r="D144" s="69" t="s">
        <v>156</v>
      </c>
      <c r="E144" s="13" t="s">
        <v>243</v>
      </c>
      <c r="F144" s="96"/>
      <c r="G144" s="9"/>
      <c r="H144" s="9" t="s">
        <v>158</v>
      </c>
      <c r="I144" s="14"/>
      <c r="J144" s="14"/>
      <c r="K144" s="12">
        <v>34</v>
      </c>
      <c r="L144" s="9"/>
      <c r="M144" s="9"/>
      <c r="N144" s="9"/>
      <c r="O144" s="38">
        <f t="shared" si="12"/>
        <v>34</v>
      </c>
      <c r="P144" s="12"/>
      <c r="Q144" s="42"/>
      <c r="R144" s="15"/>
      <c r="S144" s="44"/>
      <c r="T144" s="15"/>
      <c r="U144" s="44"/>
      <c r="V144" s="15">
        <f t="shared" si="13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4"/>
        <v>0</v>
      </c>
      <c r="AF144" s="15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5"/>
        <v>0</v>
      </c>
      <c r="BA144" s="15"/>
      <c r="BB144" s="44"/>
      <c r="BC144" s="15"/>
      <c r="BD144" s="44"/>
      <c r="BE144" s="15">
        <f t="shared" si="11"/>
        <v>0</v>
      </c>
    </row>
    <row r="145" spans="1:57">
      <c r="A145" s="9"/>
      <c r="B145" s="16" t="s">
        <v>244</v>
      </c>
      <c r="C145" s="89" t="s">
        <v>132</v>
      </c>
      <c r="D145" s="69" t="s">
        <v>245</v>
      </c>
      <c r="E145" s="13" t="s">
        <v>246</v>
      </c>
      <c r="F145" s="96"/>
      <c r="G145" s="9"/>
      <c r="H145" s="9" t="s">
        <v>247</v>
      </c>
      <c r="I145" s="14"/>
      <c r="J145" s="14"/>
      <c r="K145" s="12">
        <v>0</v>
      </c>
      <c r="L145" s="9"/>
      <c r="M145" s="9"/>
      <c r="N145" s="9"/>
      <c r="O145" s="38">
        <f t="shared" si="12"/>
        <v>0</v>
      </c>
      <c r="P145" s="12"/>
      <c r="Q145" s="42"/>
      <c r="R145" s="15"/>
      <c r="S145" s="44"/>
      <c r="T145" s="15"/>
      <c r="U145" s="44"/>
      <c r="V145" s="15">
        <f t="shared" si="13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4"/>
        <v>0</v>
      </c>
      <c r="AF145" s="15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5"/>
        <v>0</v>
      </c>
      <c r="BA145" s="15"/>
      <c r="BB145" s="44"/>
      <c r="BC145" s="15"/>
      <c r="BD145" s="44"/>
      <c r="BE145" s="15">
        <f t="shared" si="11"/>
        <v>0</v>
      </c>
    </row>
    <row r="146" spans="1:57">
      <c r="A146" s="9"/>
      <c r="B146" s="16" t="s">
        <v>244</v>
      </c>
      <c r="C146" s="89" t="s">
        <v>132</v>
      </c>
      <c r="D146" s="69" t="s">
        <v>248</v>
      </c>
      <c r="E146" s="13" t="s">
        <v>246</v>
      </c>
      <c r="F146" s="96"/>
      <c r="G146" s="9"/>
      <c r="H146" s="9" t="s">
        <v>247</v>
      </c>
      <c r="I146" s="14"/>
      <c r="J146" s="14"/>
      <c r="K146" s="12">
        <v>240</v>
      </c>
      <c r="L146" s="9"/>
      <c r="M146" s="9"/>
      <c r="N146" s="9"/>
      <c r="O146" s="38">
        <f t="shared" si="12"/>
        <v>240</v>
      </c>
      <c r="P146" s="12"/>
      <c r="Q146" s="42"/>
      <c r="R146" s="15"/>
      <c r="S146" s="44"/>
      <c r="T146" s="15"/>
      <c r="U146" s="44"/>
      <c r="V146" s="15">
        <f t="shared" si="13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4"/>
        <v>0</v>
      </c>
      <c r="AF146" s="15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5"/>
        <v>0</v>
      </c>
      <c r="BA146" s="15"/>
      <c r="BB146" s="44"/>
      <c r="BC146" s="15"/>
      <c r="BD146" s="44"/>
      <c r="BE146" s="15">
        <f t="shared" si="11"/>
        <v>0</v>
      </c>
    </row>
    <row r="147" spans="1:57" ht="24" customHeight="1">
      <c r="A147" s="9"/>
      <c r="B147" s="16" t="s">
        <v>249</v>
      </c>
      <c r="C147" s="89" t="s">
        <v>44</v>
      </c>
      <c r="D147" s="69" t="s">
        <v>250</v>
      </c>
      <c r="E147" s="13" t="s">
        <v>251</v>
      </c>
      <c r="F147" s="96"/>
      <c r="G147" s="9"/>
      <c r="H147" s="9" t="s">
        <v>247</v>
      </c>
      <c r="I147" s="14"/>
      <c r="J147" s="14"/>
      <c r="K147" s="12">
        <v>407</v>
      </c>
      <c r="L147" s="9"/>
      <c r="M147" s="9"/>
      <c r="N147" s="9"/>
      <c r="O147" s="38">
        <f t="shared" si="12"/>
        <v>407</v>
      </c>
      <c r="P147" s="12"/>
      <c r="Q147" s="42"/>
      <c r="R147" s="15"/>
      <c r="S147" s="44"/>
      <c r="T147" s="15"/>
      <c r="U147" s="44"/>
      <c r="V147" s="15">
        <f t="shared" si="13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4"/>
        <v>0</v>
      </c>
      <c r="AF147" s="15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5"/>
        <v>0</v>
      </c>
      <c r="BA147" s="15"/>
      <c r="BB147" s="44"/>
      <c r="BC147" s="15"/>
      <c r="BD147" s="44"/>
      <c r="BE147" s="15">
        <f t="shared" si="11"/>
        <v>0</v>
      </c>
    </row>
    <row r="148" spans="1:57">
      <c r="A148" s="9"/>
      <c r="B148" s="16" t="s">
        <v>249</v>
      </c>
      <c r="C148" s="89" t="s">
        <v>132</v>
      </c>
      <c r="D148" s="69" t="s">
        <v>252</v>
      </c>
      <c r="E148" s="13" t="s">
        <v>251</v>
      </c>
      <c r="F148" s="96"/>
      <c r="G148" s="9"/>
      <c r="H148" s="9" t="s">
        <v>247</v>
      </c>
      <c r="I148" s="14"/>
      <c r="J148" s="14"/>
      <c r="K148" s="12">
        <v>409</v>
      </c>
      <c r="L148" s="9"/>
      <c r="M148" s="9"/>
      <c r="N148" s="9"/>
      <c r="O148" s="38">
        <f t="shared" si="12"/>
        <v>409</v>
      </c>
      <c r="P148" s="12"/>
      <c r="Q148" s="42"/>
      <c r="R148" s="15"/>
      <c r="S148" s="44"/>
      <c r="T148" s="15"/>
      <c r="U148" s="44"/>
      <c r="V148" s="15">
        <f t="shared" si="13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4"/>
        <v>0</v>
      </c>
      <c r="AF148" s="15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5"/>
        <v>0</v>
      </c>
      <c r="BA148" s="15"/>
      <c r="BB148" s="44"/>
      <c r="BC148" s="15"/>
      <c r="BD148" s="44"/>
      <c r="BE148" s="15">
        <f t="shared" si="11"/>
        <v>0</v>
      </c>
    </row>
    <row r="149" spans="1:57">
      <c r="A149" s="9"/>
      <c r="B149" s="18" t="s">
        <v>172</v>
      </c>
      <c r="C149" s="89" t="s">
        <v>48</v>
      </c>
      <c r="D149" s="66" t="s">
        <v>253</v>
      </c>
      <c r="E149" s="35"/>
      <c r="F149" s="96"/>
      <c r="G149" s="21"/>
      <c r="H149" s="21" t="s">
        <v>67</v>
      </c>
      <c r="I149" s="14"/>
      <c r="J149" s="14"/>
      <c r="K149" s="12">
        <v>0</v>
      </c>
      <c r="L149" s="9"/>
      <c r="M149" s="9"/>
      <c r="N149" s="9"/>
      <c r="O149" s="38">
        <f t="shared" si="12"/>
        <v>0</v>
      </c>
      <c r="P149" s="12"/>
      <c r="Q149" s="42"/>
      <c r="R149" s="15"/>
      <c r="S149" s="44"/>
      <c r="T149" s="15"/>
      <c r="U149" s="44"/>
      <c r="V149" s="15">
        <f t="shared" si="13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4"/>
        <v>0</v>
      </c>
      <c r="AF149" s="15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5"/>
        <v>0</v>
      </c>
      <c r="BA149" s="15"/>
      <c r="BB149" s="44"/>
      <c r="BC149" s="15"/>
      <c r="BD149" s="44"/>
      <c r="BE149" s="15">
        <f t="shared" si="11"/>
        <v>0</v>
      </c>
    </row>
    <row r="150" spans="1:57">
      <c r="A150" s="9"/>
      <c r="B150" s="18" t="s">
        <v>172</v>
      </c>
      <c r="C150" s="89" t="s">
        <v>48</v>
      </c>
      <c r="D150" s="58" t="s">
        <v>254</v>
      </c>
      <c r="E150" s="35" t="s">
        <v>255</v>
      </c>
      <c r="F150" s="96"/>
      <c r="G150" s="21"/>
      <c r="H150" s="21" t="s">
        <v>67</v>
      </c>
      <c r="I150" s="14"/>
      <c r="J150" s="14"/>
      <c r="K150" s="12">
        <v>93</v>
      </c>
      <c r="L150" s="9"/>
      <c r="M150" s="9"/>
      <c r="N150" s="9"/>
      <c r="O150" s="38">
        <f t="shared" si="12"/>
        <v>93</v>
      </c>
      <c r="P150" s="12"/>
      <c r="Q150" s="42"/>
      <c r="R150" s="15"/>
      <c r="S150" s="44"/>
      <c r="T150" s="15"/>
      <c r="U150" s="44"/>
      <c r="V150" s="15">
        <f t="shared" si="13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4"/>
        <v>0</v>
      </c>
      <c r="AF150" s="15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5"/>
        <v>0</v>
      </c>
      <c r="BA150" s="15"/>
      <c r="BB150" s="44"/>
      <c r="BC150" s="15"/>
      <c r="BD150" s="44"/>
      <c r="BE150" s="15">
        <f t="shared" si="11"/>
        <v>0</v>
      </c>
    </row>
    <row r="151" spans="1:57">
      <c r="A151" s="9"/>
      <c r="B151" s="16" t="s">
        <v>172</v>
      </c>
      <c r="C151" s="89" t="s">
        <v>48</v>
      </c>
      <c r="D151" s="72" t="s">
        <v>256</v>
      </c>
      <c r="E151" s="13"/>
      <c r="F151" s="96"/>
      <c r="G151" s="9"/>
      <c r="H151" s="9" t="s">
        <v>67</v>
      </c>
      <c r="I151" s="14"/>
      <c r="J151" s="14"/>
      <c r="K151" s="12">
        <v>755</v>
      </c>
      <c r="L151" s="9"/>
      <c r="M151" s="9"/>
      <c r="N151" s="9"/>
      <c r="O151" s="38">
        <f t="shared" si="12"/>
        <v>755</v>
      </c>
      <c r="P151" s="12"/>
      <c r="Q151" s="42"/>
      <c r="R151" s="15"/>
      <c r="S151" s="44"/>
      <c r="T151" s="15"/>
      <c r="U151" s="44"/>
      <c r="V151" s="15">
        <f t="shared" si="13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4"/>
        <v>0</v>
      </c>
      <c r="AF151" s="15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5"/>
        <v>0</v>
      </c>
      <c r="BA151" s="15"/>
      <c r="BB151" s="44"/>
      <c r="BC151" s="15"/>
      <c r="BD151" s="44"/>
      <c r="BE151" s="15">
        <f t="shared" si="11"/>
        <v>0</v>
      </c>
    </row>
    <row r="152" spans="1:57">
      <c r="A152" s="9"/>
      <c r="B152" s="16" t="s">
        <v>172</v>
      </c>
      <c r="C152" s="89" t="s">
        <v>48</v>
      </c>
      <c r="D152" s="78" t="s">
        <v>257</v>
      </c>
      <c r="E152" s="13"/>
      <c r="F152" s="96"/>
      <c r="G152" s="9"/>
      <c r="H152" s="9" t="s">
        <v>67</v>
      </c>
      <c r="I152" s="14"/>
      <c r="J152" s="14"/>
      <c r="K152" s="12">
        <v>98</v>
      </c>
      <c r="L152" s="9"/>
      <c r="M152" s="9"/>
      <c r="N152" s="9"/>
      <c r="O152" s="38">
        <f t="shared" si="12"/>
        <v>98</v>
      </c>
      <c r="P152" s="12"/>
      <c r="Q152" s="42"/>
      <c r="R152" s="15"/>
      <c r="S152" s="44"/>
      <c r="T152" s="15"/>
      <c r="U152" s="44"/>
      <c r="V152" s="15">
        <f t="shared" si="13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4"/>
        <v>0</v>
      </c>
      <c r="AF152" s="15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5"/>
        <v>0</v>
      </c>
      <c r="BA152" s="15"/>
      <c r="BB152" s="44"/>
      <c r="BC152" s="15"/>
      <c r="BD152" s="44"/>
      <c r="BE152" s="15">
        <f t="shared" si="11"/>
        <v>0</v>
      </c>
    </row>
    <row r="153" spans="1:57">
      <c r="A153" s="9"/>
      <c r="B153" s="16" t="s">
        <v>172</v>
      </c>
      <c r="C153" s="89" t="s">
        <v>48</v>
      </c>
      <c r="D153" s="78" t="s">
        <v>258</v>
      </c>
      <c r="E153" s="13"/>
      <c r="F153" s="96"/>
      <c r="G153" s="9"/>
      <c r="H153" s="9" t="s">
        <v>67</v>
      </c>
      <c r="I153" s="14"/>
      <c r="J153" s="14"/>
      <c r="K153" s="12">
        <v>200</v>
      </c>
      <c r="L153" s="9"/>
      <c r="M153" s="9"/>
      <c r="N153" s="9"/>
      <c r="O153" s="38">
        <f t="shared" si="12"/>
        <v>200</v>
      </c>
      <c r="P153" s="12"/>
      <c r="Q153" s="42"/>
      <c r="R153" s="15"/>
      <c r="S153" s="44"/>
      <c r="T153" s="15"/>
      <c r="U153" s="44"/>
      <c r="V153" s="15">
        <f t="shared" si="13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4"/>
        <v>0</v>
      </c>
      <c r="AF153" s="15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5"/>
        <v>0</v>
      </c>
      <c r="BA153" s="15"/>
      <c r="BB153" s="44"/>
      <c r="BC153" s="15"/>
      <c r="BD153" s="44"/>
      <c r="BE153" s="15">
        <f t="shared" si="11"/>
        <v>0</v>
      </c>
    </row>
    <row r="154" spans="1:57">
      <c r="A154" s="9"/>
      <c r="B154" s="16" t="s">
        <v>172</v>
      </c>
      <c r="C154" s="89" t="s">
        <v>48</v>
      </c>
      <c r="D154" s="78" t="s">
        <v>259</v>
      </c>
      <c r="E154" s="13"/>
      <c r="F154" s="96"/>
      <c r="G154" s="9"/>
      <c r="H154" s="9" t="s">
        <v>67</v>
      </c>
      <c r="I154" s="14"/>
      <c r="J154" s="14"/>
      <c r="K154" s="12">
        <v>189</v>
      </c>
      <c r="L154" s="9"/>
      <c r="M154" s="9"/>
      <c r="N154" s="9"/>
      <c r="O154" s="38">
        <f t="shared" si="12"/>
        <v>189</v>
      </c>
      <c r="P154" s="12"/>
      <c r="Q154" s="42"/>
      <c r="R154" s="15"/>
      <c r="S154" s="44"/>
      <c r="T154" s="15"/>
      <c r="U154" s="44"/>
      <c r="V154" s="15">
        <f t="shared" si="13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4"/>
        <v>0</v>
      </c>
      <c r="AF154" s="15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5"/>
        <v>0</v>
      </c>
      <c r="BA154" s="15"/>
      <c r="BB154" s="44"/>
      <c r="BC154" s="15"/>
      <c r="BD154" s="44"/>
      <c r="BE154" s="15">
        <f t="shared" si="11"/>
        <v>0</v>
      </c>
    </row>
    <row r="155" spans="1:57">
      <c r="A155" s="9"/>
      <c r="B155" s="16" t="s">
        <v>172</v>
      </c>
      <c r="C155" s="89" t="s">
        <v>48</v>
      </c>
      <c r="D155" s="78" t="s">
        <v>260</v>
      </c>
      <c r="E155" s="13"/>
      <c r="F155" s="96"/>
      <c r="G155" s="9"/>
      <c r="H155" s="9" t="s">
        <v>67</v>
      </c>
      <c r="I155" s="14"/>
      <c r="J155" s="14"/>
      <c r="K155" s="12">
        <v>656</v>
      </c>
      <c r="L155" s="9"/>
      <c r="M155" s="9"/>
      <c r="N155" s="9"/>
      <c r="O155" s="38">
        <f t="shared" si="12"/>
        <v>656</v>
      </c>
      <c r="P155" s="12"/>
      <c r="Q155" s="42"/>
      <c r="R155" s="15"/>
      <c r="S155" s="44"/>
      <c r="T155" s="15"/>
      <c r="U155" s="44"/>
      <c r="V155" s="15">
        <f t="shared" si="13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4"/>
        <v>0</v>
      </c>
      <c r="AF155" s="15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5"/>
        <v>0</v>
      </c>
      <c r="BA155" s="15"/>
      <c r="BB155" s="44"/>
      <c r="BC155" s="15"/>
      <c r="BD155" s="44"/>
      <c r="BE155" s="15">
        <f t="shared" si="11"/>
        <v>0</v>
      </c>
    </row>
    <row r="156" spans="1:57">
      <c r="A156" s="9"/>
      <c r="B156" s="16" t="s">
        <v>172</v>
      </c>
      <c r="C156" s="89" t="s">
        <v>48</v>
      </c>
      <c r="D156" s="78" t="s">
        <v>261</v>
      </c>
      <c r="E156" s="13"/>
      <c r="F156" s="96"/>
      <c r="G156" s="9"/>
      <c r="H156" s="9" t="s">
        <v>67</v>
      </c>
      <c r="I156" s="14"/>
      <c r="J156" s="14"/>
      <c r="K156" s="12">
        <v>0</v>
      </c>
      <c r="L156" s="9"/>
      <c r="M156" s="9"/>
      <c r="N156" s="9"/>
      <c r="O156" s="38">
        <f t="shared" si="12"/>
        <v>0</v>
      </c>
      <c r="P156" s="12"/>
      <c r="Q156" s="42"/>
      <c r="R156" s="15"/>
      <c r="S156" s="44"/>
      <c r="T156" s="15"/>
      <c r="U156" s="44"/>
      <c r="V156" s="15">
        <f t="shared" si="13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4"/>
        <v>0</v>
      </c>
      <c r="AF156" s="15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5"/>
        <v>0</v>
      </c>
      <c r="BA156" s="15"/>
      <c r="BB156" s="44"/>
      <c r="BC156" s="15"/>
      <c r="BD156" s="44"/>
      <c r="BE156" s="15">
        <f t="shared" si="11"/>
        <v>0</v>
      </c>
    </row>
    <row r="157" spans="1:57">
      <c r="A157" s="9"/>
      <c r="B157" s="16" t="s">
        <v>120</v>
      </c>
      <c r="C157" s="89" t="s">
        <v>48</v>
      </c>
      <c r="D157" s="68" t="s">
        <v>194</v>
      </c>
      <c r="E157" s="13" t="s">
        <v>262</v>
      </c>
      <c r="F157" s="96"/>
      <c r="G157" s="9"/>
      <c r="H157" s="9" t="s">
        <v>67</v>
      </c>
      <c r="I157" s="14"/>
      <c r="J157" s="14"/>
      <c r="K157" s="12">
        <v>215</v>
      </c>
      <c r="L157" s="9"/>
      <c r="M157" s="9"/>
      <c r="N157" s="9"/>
      <c r="O157" s="38">
        <f t="shared" si="12"/>
        <v>215</v>
      </c>
      <c r="P157" s="12"/>
      <c r="Q157" s="42"/>
      <c r="R157" s="15"/>
      <c r="S157" s="44"/>
      <c r="T157" s="15"/>
      <c r="U157" s="44"/>
      <c r="V157" s="15">
        <f t="shared" si="13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4"/>
        <v>0</v>
      </c>
      <c r="AF157" s="15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5"/>
        <v>0</v>
      </c>
      <c r="BA157" s="15"/>
      <c r="BB157" s="44"/>
      <c r="BC157" s="15"/>
      <c r="BD157" s="44"/>
      <c r="BE157" s="15">
        <f t="shared" si="11"/>
        <v>0</v>
      </c>
    </row>
    <row r="158" spans="1:57">
      <c r="A158" s="9"/>
      <c r="B158" s="16" t="s">
        <v>120</v>
      </c>
      <c r="C158" s="89" t="s">
        <v>48</v>
      </c>
      <c r="D158" s="74" t="s">
        <v>263</v>
      </c>
      <c r="E158" s="13" t="s">
        <v>264</v>
      </c>
      <c r="F158" s="96"/>
      <c r="G158" s="9"/>
      <c r="H158" s="9" t="s">
        <v>67</v>
      </c>
      <c r="I158" s="14"/>
      <c r="J158" s="14"/>
      <c r="K158" s="12">
        <v>424</v>
      </c>
      <c r="L158" s="9"/>
      <c r="M158" s="9"/>
      <c r="N158" s="9"/>
      <c r="O158" s="38">
        <f t="shared" si="12"/>
        <v>424</v>
      </c>
      <c r="P158" s="12"/>
      <c r="Q158" s="42"/>
      <c r="R158" s="15"/>
      <c r="S158" s="44"/>
      <c r="T158" s="15"/>
      <c r="U158" s="44"/>
      <c r="V158" s="15">
        <f t="shared" si="13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4"/>
        <v>0</v>
      </c>
      <c r="AF158" s="15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5"/>
        <v>0</v>
      </c>
      <c r="BA158" s="15"/>
      <c r="BB158" s="44"/>
      <c r="BC158" s="15"/>
      <c r="BD158" s="44"/>
      <c r="BE158" s="15">
        <f t="shared" si="11"/>
        <v>0</v>
      </c>
    </row>
    <row r="159" spans="1:57">
      <c r="A159" s="9"/>
      <c r="B159" s="16" t="s">
        <v>120</v>
      </c>
      <c r="C159" s="89" t="s">
        <v>48</v>
      </c>
      <c r="D159" s="74" t="s">
        <v>265</v>
      </c>
      <c r="E159" s="13" t="s">
        <v>266</v>
      </c>
      <c r="F159" s="96"/>
      <c r="G159" s="9"/>
      <c r="H159" s="9" t="s">
        <v>67</v>
      </c>
      <c r="I159" s="14"/>
      <c r="J159" s="14"/>
      <c r="K159" s="12">
        <v>374</v>
      </c>
      <c r="L159" s="9"/>
      <c r="M159" s="9"/>
      <c r="N159" s="9"/>
      <c r="O159" s="38">
        <f t="shared" si="12"/>
        <v>374</v>
      </c>
      <c r="P159" s="12"/>
      <c r="Q159" s="42"/>
      <c r="R159" s="15"/>
      <c r="S159" s="44"/>
      <c r="T159" s="15"/>
      <c r="U159" s="44"/>
      <c r="V159" s="15">
        <f t="shared" si="13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4"/>
        <v>0</v>
      </c>
      <c r="AF159" s="15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5"/>
        <v>0</v>
      </c>
      <c r="BA159" s="15"/>
      <c r="BB159" s="44"/>
      <c r="BC159" s="15"/>
      <c r="BD159" s="44"/>
      <c r="BE159" s="15">
        <f t="shared" ref="BE159:BE222" si="16">(BA159+BC159)</f>
        <v>0</v>
      </c>
    </row>
    <row r="160" spans="1:57">
      <c r="A160" s="9"/>
      <c r="B160" s="16" t="s">
        <v>120</v>
      </c>
      <c r="C160" s="89" t="s">
        <v>48</v>
      </c>
      <c r="D160" s="74" t="s">
        <v>196</v>
      </c>
      <c r="E160" s="13" t="s">
        <v>267</v>
      </c>
      <c r="F160" s="96"/>
      <c r="G160" s="9"/>
      <c r="H160" s="9" t="s">
        <v>67</v>
      </c>
      <c r="I160" s="14"/>
      <c r="J160" s="14"/>
      <c r="K160" s="12">
        <v>0</v>
      </c>
      <c r="L160" s="9"/>
      <c r="M160" s="9"/>
      <c r="N160" s="9"/>
      <c r="O160" s="38">
        <f t="shared" si="12"/>
        <v>0</v>
      </c>
      <c r="P160" s="12"/>
      <c r="Q160" s="42"/>
      <c r="R160" s="15"/>
      <c r="S160" s="44"/>
      <c r="T160" s="15"/>
      <c r="U160" s="44"/>
      <c r="V160" s="15">
        <f t="shared" si="13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4"/>
        <v>0</v>
      </c>
      <c r="AF160" s="15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5"/>
        <v>0</v>
      </c>
      <c r="BA160" s="15"/>
      <c r="BB160" s="44"/>
      <c r="BC160" s="15"/>
      <c r="BD160" s="44"/>
      <c r="BE160" s="15">
        <f t="shared" si="16"/>
        <v>0</v>
      </c>
    </row>
    <row r="161" spans="1:57">
      <c r="A161" s="9"/>
      <c r="B161" s="16" t="s">
        <v>120</v>
      </c>
      <c r="C161" s="89" t="s">
        <v>48</v>
      </c>
      <c r="D161" s="75" t="s">
        <v>198</v>
      </c>
      <c r="E161" s="10" t="s">
        <v>268</v>
      </c>
      <c r="F161" s="96"/>
      <c r="G161" s="9"/>
      <c r="H161" s="9" t="s">
        <v>67</v>
      </c>
      <c r="I161" s="14"/>
      <c r="J161" s="14"/>
      <c r="K161" s="12">
        <v>492</v>
      </c>
      <c r="L161" s="9"/>
      <c r="M161" s="9"/>
      <c r="N161" s="9"/>
      <c r="O161" s="38">
        <f t="shared" si="12"/>
        <v>492</v>
      </c>
      <c r="P161" s="12"/>
      <c r="Q161" s="42"/>
      <c r="R161" s="15"/>
      <c r="S161" s="44"/>
      <c r="T161" s="15"/>
      <c r="U161" s="44"/>
      <c r="V161" s="15">
        <f t="shared" si="13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4"/>
        <v>0</v>
      </c>
      <c r="AF161" s="15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5"/>
        <v>0</v>
      </c>
      <c r="BA161" s="15"/>
      <c r="BB161" s="44"/>
      <c r="BC161" s="15"/>
      <c r="BD161" s="44"/>
      <c r="BE161" s="15">
        <f t="shared" si="16"/>
        <v>0</v>
      </c>
    </row>
    <row r="162" spans="1:57">
      <c r="A162" s="9"/>
      <c r="B162" s="16" t="s">
        <v>120</v>
      </c>
      <c r="C162" s="89" t="s">
        <v>48</v>
      </c>
      <c r="D162" s="76" t="s">
        <v>200</v>
      </c>
      <c r="E162" s="13" t="s">
        <v>269</v>
      </c>
      <c r="F162" s="96"/>
      <c r="G162" s="9"/>
      <c r="H162" s="9" t="s">
        <v>67</v>
      </c>
      <c r="I162" s="14"/>
      <c r="J162" s="14"/>
      <c r="K162" s="12">
        <v>300</v>
      </c>
      <c r="L162" s="9"/>
      <c r="M162" s="9"/>
      <c r="N162" s="9"/>
      <c r="O162" s="38">
        <f t="shared" si="12"/>
        <v>300</v>
      </c>
      <c r="P162" s="12"/>
      <c r="Q162" s="42"/>
      <c r="R162" s="15"/>
      <c r="S162" s="44"/>
      <c r="T162" s="15"/>
      <c r="U162" s="44"/>
      <c r="V162" s="15">
        <f t="shared" si="13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4"/>
        <v>0</v>
      </c>
      <c r="AF162" s="15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5"/>
        <v>0</v>
      </c>
      <c r="BA162" s="15"/>
      <c r="BB162" s="44"/>
      <c r="BC162" s="15"/>
      <c r="BD162" s="44"/>
      <c r="BE162" s="15">
        <f t="shared" si="16"/>
        <v>0</v>
      </c>
    </row>
    <row r="163" spans="1:57">
      <c r="A163" s="9"/>
      <c r="B163" s="16" t="s">
        <v>120</v>
      </c>
      <c r="C163" s="89" t="s">
        <v>48</v>
      </c>
      <c r="D163" s="77" t="s">
        <v>270</v>
      </c>
      <c r="E163" s="13" t="s">
        <v>271</v>
      </c>
      <c r="F163" s="96"/>
      <c r="G163" s="9"/>
      <c r="H163" s="9" t="s">
        <v>67</v>
      </c>
      <c r="I163" s="14"/>
      <c r="J163" s="14"/>
      <c r="K163" s="12">
        <v>356</v>
      </c>
      <c r="L163" s="9"/>
      <c r="M163" s="9"/>
      <c r="N163" s="9"/>
      <c r="O163" s="38">
        <f t="shared" si="12"/>
        <v>356</v>
      </c>
      <c r="P163" s="12"/>
      <c r="Q163" s="42"/>
      <c r="R163" s="15"/>
      <c r="S163" s="44"/>
      <c r="T163" s="15"/>
      <c r="U163" s="44"/>
      <c r="V163" s="15">
        <f t="shared" si="13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4"/>
        <v>0</v>
      </c>
      <c r="AF163" s="15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5"/>
        <v>0</v>
      </c>
      <c r="BA163" s="15"/>
      <c r="BB163" s="44"/>
      <c r="BC163" s="15"/>
      <c r="BD163" s="44"/>
      <c r="BE163" s="15">
        <f t="shared" si="16"/>
        <v>0</v>
      </c>
    </row>
    <row r="164" spans="1:57">
      <c r="A164" s="9"/>
      <c r="B164" s="16" t="s">
        <v>120</v>
      </c>
      <c r="C164" s="89" t="s">
        <v>48</v>
      </c>
      <c r="D164" s="72" t="s">
        <v>272</v>
      </c>
      <c r="E164" s="13" t="s">
        <v>273</v>
      </c>
      <c r="F164" s="96"/>
      <c r="G164" s="9"/>
      <c r="H164" s="9" t="s">
        <v>67</v>
      </c>
      <c r="I164" s="14"/>
      <c r="J164" s="14"/>
      <c r="K164" s="12">
        <v>431</v>
      </c>
      <c r="L164" s="9"/>
      <c r="M164" s="9"/>
      <c r="N164" s="9"/>
      <c r="O164" s="38">
        <f t="shared" si="12"/>
        <v>431</v>
      </c>
      <c r="P164" s="12"/>
      <c r="Q164" s="42"/>
      <c r="R164" s="15"/>
      <c r="S164" s="44"/>
      <c r="T164" s="15"/>
      <c r="U164" s="44"/>
      <c r="V164" s="15">
        <f t="shared" si="13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4"/>
        <v>0</v>
      </c>
      <c r="AF164" s="15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5"/>
        <v>0</v>
      </c>
      <c r="BA164" s="15"/>
      <c r="BB164" s="44"/>
      <c r="BC164" s="15"/>
      <c r="BD164" s="44"/>
      <c r="BE164" s="15">
        <f t="shared" si="16"/>
        <v>0</v>
      </c>
    </row>
    <row r="165" spans="1:57">
      <c r="A165" s="9"/>
      <c r="B165" s="16" t="s">
        <v>120</v>
      </c>
      <c r="C165" s="89" t="s">
        <v>48</v>
      </c>
      <c r="D165" s="72" t="s">
        <v>274</v>
      </c>
      <c r="E165" s="13" t="s">
        <v>275</v>
      </c>
      <c r="F165" s="96"/>
      <c r="G165" s="9"/>
      <c r="H165" s="9" t="s">
        <v>67</v>
      </c>
      <c r="I165" s="14"/>
      <c r="J165" s="14"/>
      <c r="K165" s="12">
        <v>277</v>
      </c>
      <c r="L165" s="9"/>
      <c r="M165" s="9"/>
      <c r="N165" s="9"/>
      <c r="O165" s="38">
        <f t="shared" si="12"/>
        <v>277</v>
      </c>
      <c r="P165" s="12"/>
      <c r="Q165" s="42"/>
      <c r="R165" s="15"/>
      <c r="S165" s="44"/>
      <c r="T165" s="15"/>
      <c r="U165" s="44"/>
      <c r="V165" s="15">
        <f t="shared" si="13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4"/>
        <v>0</v>
      </c>
      <c r="AF165" s="15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si="15"/>
        <v>0</v>
      </c>
      <c r="BA165" s="15"/>
      <c r="BB165" s="44"/>
      <c r="BC165" s="15"/>
      <c r="BD165" s="44"/>
      <c r="BE165" s="15">
        <f t="shared" si="16"/>
        <v>0</v>
      </c>
    </row>
    <row r="166" spans="1:57">
      <c r="A166" s="9"/>
      <c r="B166" s="16" t="s">
        <v>187</v>
      </c>
      <c r="C166" s="89" t="s">
        <v>48</v>
      </c>
      <c r="D166" s="69" t="s">
        <v>276</v>
      </c>
      <c r="E166" s="13" t="s">
        <v>277</v>
      </c>
      <c r="F166" s="96"/>
      <c r="G166" s="9"/>
      <c r="H166" s="9" t="s">
        <v>67</v>
      </c>
      <c r="I166" s="14"/>
      <c r="J166" s="14"/>
      <c r="K166" s="12">
        <v>0</v>
      </c>
      <c r="L166" s="9"/>
      <c r="M166" s="9"/>
      <c r="N166" s="9"/>
      <c r="O166" s="38">
        <f t="shared" si="12"/>
        <v>0</v>
      </c>
      <c r="P166" s="12"/>
      <c r="Q166" s="42"/>
      <c r="R166" s="15"/>
      <c r="S166" s="44"/>
      <c r="T166" s="15"/>
      <c r="U166" s="44"/>
      <c r="V166" s="15">
        <f t="shared" si="13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4"/>
        <v>0</v>
      </c>
      <c r="AF166" s="15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5"/>
        <v>0</v>
      </c>
      <c r="BA166" s="15"/>
      <c r="BB166" s="44"/>
      <c r="BC166" s="15"/>
      <c r="BD166" s="44"/>
      <c r="BE166" s="15">
        <f t="shared" si="16"/>
        <v>0</v>
      </c>
    </row>
    <row r="167" spans="1:57">
      <c r="A167" s="9"/>
      <c r="B167" s="16" t="s">
        <v>204</v>
      </c>
      <c r="C167" s="89" t="s">
        <v>48</v>
      </c>
      <c r="D167" s="69" t="s">
        <v>278</v>
      </c>
      <c r="E167" s="13" t="s">
        <v>279</v>
      </c>
      <c r="F167" s="96"/>
      <c r="G167" s="9"/>
      <c r="H167" s="9" t="s">
        <v>207</v>
      </c>
      <c r="I167" s="14"/>
      <c r="J167" s="14"/>
      <c r="K167" s="12">
        <v>303</v>
      </c>
      <c r="L167" s="9"/>
      <c r="M167" s="9"/>
      <c r="N167" s="9"/>
      <c r="O167" s="38">
        <f t="shared" si="12"/>
        <v>303</v>
      </c>
      <c r="P167" s="12"/>
      <c r="Q167" s="42"/>
      <c r="R167" s="15"/>
      <c r="S167" s="44"/>
      <c r="T167" s="15"/>
      <c r="U167" s="44"/>
      <c r="V167" s="15">
        <f t="shared" si="13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4"/>
        <v>0</v>
      </c>
      <c r="AF167" s="15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5"/>
        <v>0</v>
      </c>
      <c r="BA167" s="15"/>
      <c r="BB167" s="44"/>
      <c r="BC167" s="15"/>
      <c r="BD167" s="44"/>
      <c r="BE167" s="15">
        <f t="shared" si="16"/>
        <v>0</v>
      </c>
    </row>
    <row r="168" spans="1:57">
      <c r="A168" s="9"/>
      <c r="B168" s="16" t="s">
        <v>204</v>
      </c>
      <c r="C168" s="89" t="s">
        <v>48</v>
      </c>
      <c r="D168" s="69" t="s">
        <v>280</v>
      </c>
      <c r="E168" s="13" t="s">
        <v>281</v>
      </c>
      <c r="F168" s="96"/>
      <c r="G168" s="9"/>
      <c r="H168" s="9" t="s">
        <v>207</v>
      </c>
      <c r="I168" s="14"/>
      <c r="J168" s="14"/>
      <c r="K168" s="12">
        <v>0</v>
      </c>
      <c r="L168" s="9"/>
      <c r="M168" s="9"/>
      <c r="N168" s="9"/>
      <c r="O168" s="38">
        <f t="shared" si="12"/>
        <v>0</v>
      </c>
      <c r="P168" s="12"/>
      <c r="Q168" s="42"/>
      <c r="R168" s="15"/>
      <c r="S168" s="44"/>
      <c r="T168" s="15"/>
      <c r="U168" s="44"/>
      <c r="V168" s="15">
        <f t="shared" si="13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4"/>
        <v>0</v>
      </c>
      <c r="AF168" s="15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5"/>
        <v>0</v>
      </c>
      <c r="BA168" s="15"/>
      <c r="BB168" s="44"/>
      <c r="BC168" s="15"/>
      <c r="BD168" s="44"/>
      <c r="BE168" s="15">
        <f t="shared" si="16"/>
        <v>0</v>
      </c>
    </row>
    <row r="169" spans="1:57">
      <c r="A169" s="9"/>
      <c r="B169" s="16" t="s">
        <v>204</v>
      </c>
      <c r="C169" s="89" t="s">
        <v>48</v>
      </c>
      <c r="D169" s="70" t="s">
        <v>282</v>
      </c>
      <c r="E169" s="13" t="s">
        <v>206</v>
      </c>
      <c r="F169" s="96"/>
      <c r="G169" s="9"/>
      <c r="H169" s="9" t="s">
        <v>207</v>
      </c>
      <c r="I169" s="14"/>
      <c r="J169" s="14"/>
      <c r="K169" s="12">
        <v>0</v>
      </c>
      <c r="L169" s="9"/>
      <c r="M169" s="9"/>
      <c r="N169" s="9"/>
      <c r="O169" s="38">
        <f t="shared" si="12"/>
        <v>0</v>
      </c>
      <c r="P169" s="12"/>
      <c r="Q169" s="42"/>
      <c r="R169" s="15"/>
      <c r="S169" s="44"/>
      <c r="T169" s="15"/>
      <c r="U169" s="44"/>
      <c r="V169" s="15">
        <f t="shared" si="13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4"/>
        <v>0</v>
      </c>
      <c r="AF169" s="15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5"/>
        <v>0</v>
      </c>
      <c r="BA169" s="15"/>
      <c r="BB169" s="44"/>
      <c r="BC169" s="15"/>
      <c r="BD169" s="44"/>
      <c r="BE169" s="15">
        <f t="shared" si="16"/>
        <v>0</v>
      </c>
    </row>
    <row r="170" spans="1:57">
      <c r="A170" s="9"/>
      <c r="B170" s="16" t="s">
        <v>204</v>
      </c>
      <c r="C170" s="89" t="s">
        <v>48</v>
      </c>
      <c r="D170" s="69" t="s">
        <v>216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324</v>
      </c>
      <c r="L170" s="9"/>
      <c r="M170" s="9"/>
      <c r="N170" s="9"/>
      <c r="O170" s="38">
        <f t="shared" si="12"/>
        <v>324</v>
      </c>
      <c r="P170" s="12"/>
      <c r="Q170" s="42"/>
      <c r="R170" s="15"/>
      <c r="S170" s="44"/>
      <c r="T170" s="15"/>
      <c r="U170" s="44"/>
      <c r="V170" s="15">
        <f t="shared" si="13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4"/>
        <v>0</v>
      </c>
      <c r="AF170" s="15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5"/>
        <v>0</v>
      </c>
      <c r="BA170" s="15"/>
      <c r="BB170" s="44"/>
      <c r="BC170" s="15"/>
      <c r="BD170" s="44"/>
      <c r="BE170" s="15">
        <f t="shared" si="16"/>
        <v>0</v>
      </c>
    </row>
    <row r="171" spans="1:57">
      <c r="A171" s="9"/>
      <c r="B171" s="16" t="s">
        <v>204</v>
      </c>
      <c r="C171" s="89" t="s">
        <v>48</v>
      </c>
      <c r="D171" s="70" t="s">
        <v>283</v>
      </c>
      <c r="E171" s="13" t="s">
        <v>206</v>
      </c>
      <c r="F171" s="96"/>
      <c r="G171" s="9"/>
      <c r="H171" s="9" t="s">
        <v>207</v>
      </c>
      <c r="I171" s="14"/>
      <c r="J171" s="14"/>
      <c r="K171" s="12">
        <v>259</v>
      </c>
      <c r="L171" s="9"/>
      <c r="M171" s="9"/>
      <c r="N171" s="9"/>
      <c r="O171" s="38">
        <f t="shared" si="12"/>
        <v>259</v>
      </c>
      <c r="P171" s="12"/>
      <c r="Q171" s="42"/>
      <c r="R171" s="15"/>
      <c r="S171" s="44"/>
      <c r="T171" s="15"/>
      <c r="U171" s="44"/>
      <c r="V171" s="15">
        <f t="shared" si="13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4"/>
        <v>0</v>
      </c>
      <c r="AF171" s="15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5"/>
        <v>0</v>
      </c>
      <c r="BA171" s="15"/>
      <c r="BB171" s="44"/>
      <c r="BC171" s="15"/>
      <c r="BD171" s="44"/>
      <c r="BE171" s="15">
        <f t="shared" si="16"/>
        <v>0</v>
      </c>
    </row>
    <row r="172" spans="1:57">
      <c r="A172" s="9"/>
      <c r="B172" s="16" t="s">
        <v>204</v>
      </c>
      <c r="C172" s="89" t="s">
        <v>48</v>
      </c>
      <c r="D172" s="69" t="s">
        <v>284</v>
      </c>
      <c r="E172" s="13" t="s">
        <v>237</v>
      </c>
      <c r="F172" s="96"/>
      <c r="G172" s="9"/>
      <c r="H172" s="9" t="s">
        <v>207</v>
      </c>
      <c r="I172" s="14"/>
      <c r="J172" s="14"/>
      <c r="K172" s="12">
        <v>156</v>
      </c>
      <c r="L172" s="9"/>
      <c r="M172" s="9"/>
      <c r="N172" s="9"/>
      <c r="O172" s="38">
        <f t="shared" si="12"/>
        <v>156</v>
      </c>
      <c r="P172" s="12"/>
      <c r="Q172" s="42"/>
      <c r="R172" s="15"/>
      <c r="S172" s="44"/>
      <c r="T172" s="15"/>
      <c r="U172" s="44"/>
      <c r="V172" s="15">
        <f t="shared" si="13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4"/>
        <v>0</v>
      </c>
      <c r="AF172" s="15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5"/>
        <v>0</v>
      </c>
      <c r="BA172" s="15"/>
      <c r="BB172" s="44"/>
      <c r="BC172" s="15"/>
      <c r="BD172" s="44"/>
      <c r="BE172" s="15">
        <f t="shared" si="16"/>
        <v>0</v>
      </c>
    </row>
    <row r="173" spans="1:57">
      <c r="A173" s="9"/>
      <c r="B173" s="16" t="s">
        <v>204</v>
      </c>
      <c r="C173" s="89" t="s">
        <v>48</v>
      </c>
      <c r="D173" s="70" t="s">
        <v>285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69</v>
      </c>
      <c r="L173" s="9"/>
      <c r="M173" s="9"/>
      <c r="N173" s="9"/>
      <c r="O173" s="38">
        <f t="shared" si="12"/>
        <v>69</v>
      </c>
      <c r="P173" s="12"/>
      <c r="Q173" s="42"/>
      <c r="R173" s="15"/>
      <c r="S173" s="44"/>
      <c r="T173" s="15"/>
      <c r="U173" s="44"/>
      <c r="V173" s="15">
        <f t="shared" si="13"/>
        <v>0</v>
      </c>
      <c r="W173" s="15"/>
      <c r="X173" s="44"/>
      <c r="Y173" s="15"/>
      <c r="Z173" s="44"/>
      <c r="AA173" s="24"/>
      <c r="AB173" s="44"/>
      <c r="AC173" s="24"/>
      <c r="AD173" s="44"/>
      <c r="AE173" s="15">
        <f t="shared" si="14"/>
        <v>0</v>
      </c>
      <c r="AF173" s="15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5"/>
        <v>0</v>
      </c>
      <c r="BA173" s="15"/>
      <c r="BB173" s="44"/>
      <c r="BC173" s="15"/>
      <c r="BD173" s="44"/>
      <c r="BE173" s="15">
        <f t="shared" si="16"/>
        <v>0</v>
      </c>
    </row>
    <row r="174" spans="1:57">
      <c r="A174" s="9"/>
      <c r="B174" s="16" t="s">
        <v>204</v>
      </c>
      <c r="C174" s="89" t="s">
        <v>48</v>
      </c>
      <c r="D174" s="69" t="s">
        <v>286</v>
      </c>
      <c r="E174" s="13" t="s">
        <v>287</v>
      </c>
      <c r="F174" s="96"/>
      <c r="G174" s="9"/>
      <c r="H174" s="9" t="s">
        <v>207</v>
      </c>
      <c r="I174" s="14"/>
      <c r="J174" s="14"/>
      <c r="K174" s="12">
        <v>29</v>
      </c>
      <c r="L174" s="9"/>
      <c r="M174" s="9"/>
      <c r="N174" s="9"/>
      <c r="O174" s="38">
        <f t="shared" si="12"/>
        <v>29</v>
      </c>
      <c r="P174" s="12"/>
      <c r="Q174" s="42"/>
      <c r="R174" s="15"/>
      <c r="S174" s="44"/>
      <c r="T174" s="15"/>
      <c r="U174" s="44"/>
      <c r="V174" s="15">
        <f t="shared" si="13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4"/>
        <v>0</v>
      </c>
      <c r="AF174" s="15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5"/>
        <v>0</v>
      </c>
      <c r="BA174" s="15"/>
      <c r="BB174" s="44"/>
      <c r="BC174" s="15"/>
      <c r="BD174" s="44"/>
      <c r="BE174" s="15">
        <f t="shared" si="16"/>
        <v>0</v>
      </c>
    </row>
    <row r="175" spans="1:57">
      <c r="A175" s="9"/>
      <c r="B175" s="16" t="s">
        <v>204</v>
      </c>
      <c r="C175" s="89" t="s">
        <v>48</v>
      </c>
      <c r="D175" s="70" t="s">
        <v>288</v>
      </c>
      <c r="E175" s="13" t="s">
        <v>281</v>
      </c>
      <c r="F175" s="96"/>
      <c r="G175" s="9"/>
      <c r="H175" s="9" t="s">
        <v>207</v>
      </c>
      <c r="I175" s="14"/>
      <c r="J175" s="14"/>
      <c r="K175" s="12">
        <v>207</v>
      </c>
      <c r="L175" s="9"/>
      <c r="M175" s="9"/>
      <c r="N175" s="9"/>
      <c r="O175" s="38">
        <f t="shared" si="12"/>
        <v>207</v>
      </c>
      <c r="P175" s="12"/>
      <c r="Q175" s="42"/>
      <c r="R175" s="12"/>
      <c r="S175" s="42"/>
      <c r="T175" s="15"/>
      <c r="U175" s="44"/>
      <c r="V175" s="15">
        <f t="shared" si="13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4"/>
        <v>0</v>
      </c>
      <c r="AF175" s="15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5"/>
        <v>0</v>
      </c>
      <c r="BA175" s="15"/>
      <c r="BB175" s="44"/>
      <c r="BC175" s="15"/>
      <c r="BD175" s="44"/>
      <c r="BE175" s="15">
        <f t="shared" si="16"/>
        <v>0</v>
      </c>
    </row>
    <row r="176" spans="1:57">
      <c r="A176" s="9"/>
      <c r="B176" s="16" t="s">
        <v>204</v>
      </c>
      <c r="C176" s="89" t="s">
        <v>48</v>
      </c>
      <c r="D176" s="71" t="s">
        <v>289</v>
      </c>
      <c r="E176" s="13" t="s">
        <v>290</v>
      </c>
      <c r="F176" s="96"/>
      <c r="G176" s="9"/>
      <c r="H176" s="9" t="s">
        <v>207</v>
      </c>
      <c r="I176" s="14"/>
      <c r="J176" s="14"/>
      <c r="K176" s="12">
        <v>165</v>
      </c>
      <c r="L176" s="9"/>
      <c r="M176" s="9"/>
      <c r="N176" s="9"/>
      <c r="O176" s="38">
        <f t="shared" si="12"/>
        <v>165</v>
      </c>
      <c r="P176" s="12"/>
      <c r="Q176" s="42"/>
      <c r="R176" s="15"/>
      <c r="S176" s="44"/>
      <c r="T176" s="15"/>
      <c r="U176" s="44"/>
      <c r="V176" s="15">
        <f t="shared" si="13"/>
        <v>0</v>
      </c>
      <c r="W176" s="15"/>
      <c r="X176" s="44"/>
      <c r="Y176" s="15"/>
      <c r="Z176" s="44"/>
      <c r="AA176" s="15"/>
      <c r="AB176" s="44"/>
      <c r="AC176" s="15"/>
      <c r="AD176" s="44"/>
      <c r="AE176" s="15">
        <f t="shared" si="14"/>
        <v>0</v>
      </c>
      <c r="AF176" s="15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5"/>
        <v>0</v>
      </c>
      <c r="BA176" s="15"/>
      <c r="BB176" s="44"/>
      <c r="BC176" s="15"/>
      <c r="BD176" s="44"/>
      <c r="BE176" s="15">
        <f t="shared" si="16"/>
        <v>0</v>
      </c>
    </row>
    <row r="177" spans="1:57">
      <c r="A177" s="9"/>
      <c r="B177" s="16" t="s">
        <v>204</v>
      </c>
      <c r="C177" s="89" t="s">
        <v>48</v>
      </c>
      <c r="D177" s="71" t="s">
        <v>291</v>
      </c>
      <c r="E177" s="13" t="s">
        <v>281</v>
      </c>
      <c r="F177" s="96"/>
      <c r="G177" s="9"/>
      <c r="H177" s="9" t="s">
        <v>207</v>
      </c>
      <c r="I177" s="14"/>
      <c r="J177" s="14"/>
      <c r="K177" s="12">
        <v>248</v>
      </c>
      <c r="L177" s="9"/>
      <c r="M177" s="9"/>
      <c r="N177" s="9"/>
      <c r="O177" s="38">
        <f t="shared" si="12"/>
        <v>248</v>
      </c>
      <c r="P177" s="12"/>
      <c r="Q177" s="42"/>
      <c r="R177" s="15"/>
      <c r="S177" s="44"/>
      <c r="T177" s="15"/>
      <c r="U177" s="44"/>
      <c r="V177" s="15">
        <f t="shared" si="13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4"/>
        <v>0</v>
      </c>
      <c r="AF177" s="15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5"/>
        <v>0</v>
      </c>
      <c r="BA177" s="15"/>
      <c r="BB177" s="44"/>
      <c r="BC177" s="15"/>
      <c r="BD177" s="44"/>
      <c r="BE177" s="15">
        <f t="shared" si="16"/>
        <v>0</v>
      </c>
    </row>
    <row r="178" spans="1:57">
      <c r="A178" s="9"/>
      <c r="B178" s="16" t="s">
        <v>204</v>
      </c>
      <c r="C178" s="89" t="s">
        <v>48</v>
      </c>
      <c r="D178" s="71" t="s">
        <v>292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295</v>
      </c>
      <c r="L178" s="9"/>
      <c r="M178" s="9"/>
      <c r="N178" s="9"/>
      <c r="O178" s="38">
        <f t="shared" si="12"/>
        <v>295</v>
      </c>
      <c r="P178" s="12"/>
      <c r="Q178" s="42"/>
      <c r="R178" s="15"/>
      <c r="S178" s="44"/>
      <c r="T178" s="15"/>
      <c r="U178" s="44"/>
      <c r="V178" s="15">
        <f t="shared" si="13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4"/>
        <v>0</v>
      </c>
      <c r="AF178" s="15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5"/>
        <v>0</v>
      </c>
      <c r="BA178" s="15"/>
      <c r="BB178" s="44"/>
      <c r="BC178" s="15"/>
      <c r="BD178" s="44"/>
      <c r="BE178" s="15">
        <f t="shared" si="16"/>
        <v>0</v>
      </c>
    </row>
    <row r="179" spans="1:57">
      <c r="A179" s="9"/>
      <c r="B179" s="16" t="s">
        <v>204</v>
      </c>
      <c r="C179" s="89" t="s">
        <v>48</v>
      </c>
      <c r="D179" s="71" t="s">
        <v>293</v>
      </c>
      <c r="E179" s="13" t="s">
        <v>206</v>
      </c>
      <c r="F179" s="96"/>
      <c r="G179" s="9"/>
      <c r="H179" s="9" t="s">
        <v>207</v>
      </c>
      <c r="I179" s="14"/>
      <c r="J179" s="14"/>
      <c r="K179" s="12">
        <v>260</v>
      </c>
      <c r="L179" s="9"/>
      <c r="M179" s="9"/>
      <c r="N179" s="9"/>
      <c r="O179" s="38">
        <f t="shared" si="12"/>
        <v>260</v>
      </c>
      <c r="P179" s="12"/>
      <c r="Q179" s="42"/>
      <c r="R179" s="15"/>
      <c r="S179" s="44"/>
      <c r="T179" s="15"/>
      <c r="U179" s="44"/>
      <c r="V179" s="15">
        <f t="shared" si="13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4"/>
        <v>0</v>
      </c>
      <c r="AF179" s="15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5"/>
        <v>0</v>
      </c>
      <c r="BA179" s="15"/>
      <c r="BB179" s="44"/>
      <c r="BC179" s="15"/>
      <c r="BD179" s="44"/>
      <c r="BE179" s="15">
        <f t="shared" si="16"/>
        <v>0</v>
      </c>
    </row>
    <row r="180" spans="1:57">
      <c r="A180" s="9"/>
      <c r="B180" s="16" t="s">
        <v>204</v>
      </c>
      <c r="C180" s="89" t="s">
        <v>48</v>
      </c>
      <c r="D180" s="69" t="s">
        <v>294</v>
      </c>
      <c r="E180" s="13" t="s">
        <v>206</v>
      </c>
      <c r="F180" s="96"/>
      <c r="G180" s="9"/>
      <c r="H180" s="9" t="s">
        <v>207</v>
      </c>
      <c r="I180" s="14"/>
      <c r="J180" s="14"/>
      <c r="K180" s="12">
        <v>420</v>
      </c>
      <c r="L180" s="9"/>
      <c r="M180" s="9"/>
      <c r="N180" s="9"/>
      <c r="O180" s="38">
        <f t="shared" si="12"/>
        <v>420</v>
      </c>
      <c r="P180" s="12"/>
      <c r="Q180" s="42"/>
      <c r="R180" s="15"/>
      <c r="S180" s="44"/>
      <c r="T180" s="15"/>
      <c r="U180" s="44"/>
      <c r="V180" s="15">
        <f t="shared" si="13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4"/>
        <v>0</v>
      </c>
      <c r="AF180" s="15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5"/>
        <v>0</v>
      </c>
      <c r="BA180" s="15"/>
      <c r="BB180" s="44"/>
      <c r="BC180" s="15"/>
      <c r="BD180" s="44"/>
      <c r="BE180" s="15">
        <f t="shared" si="16"/>
        <v>0</v>
      </c>
    </row>
    <row r="181" spans="1:57">
      <c r="A181" s="9"/>
      <c r="B181" s="16" t="s">
        <v>204</v>
      </c>
      <c r="C181" s="89" t="s">
        <v>48</v>
      </c>
      <c r="D181" s="72" t="s">
        <v>295</v>
      </c>
      <c r="E181" s="13" t="s">
        <v>279</v>
      </c>
      <c r="F181" s="96"/>
      <c r="G181" s="9"/>
      <c r="H181" s="9" t="s">
        <v>207</v>
      </c>
      <c r="I181" s="14"/>
      <c r="J181" s="14"/>
      <c r="K181" s="12">
        <v>80</v>
      </c>
      <c r="L181" s="9"/>
      <c r="M181" s="9"/>
      <c r="N181" s="9"/>
      <c r="O181" s="38">
        <f t="shared" si="12"/>
        <v>80</v>
      </c>
      <c r="P181" s="12"/>
      <c r="Q181" s="42"/>
      <c r="R181" s="15"/>
      <c r="S181" s="44"/>
      <c r="T181" s="15"/>
      <c r="U181" s="44"/>
      <c r="V181" s="15">
        <f t="shared" si="13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4"/>
        <v>0</v>
      </c>
      <c r="AF181" s="15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5"/>
        <v>0</v>
      </c>
      <c r="BA181" s="15"/>
      <c r="BB181" s="44"/>
      <c r="BC181" s="15"/>
      <c r="BD181" s="44"/>
      <c r="BE181" s="15">
        <f t="shared" si="16"/>
        <v>0</v>
      </c>
    </row>
    <row r="182" spans="1:57">
      <c r="A182" s="9"/>
      <c r="B182" s="16" t="s">
        <v>204</v>
      </c>
      <c r="C182" s="89" t="s">
        <v>48</v>
      </c>
      <c r="D182" s="69" t="s">
        <v>296</v>
      </c>
      <c r="E182" s="13" t="s">
        <v>287</v>
      </c>
      <c r="F182" s="96"/>
      <c r="G182" s="9"/>
      <c r="H182" s="9" t="s">
        <v>207</v>
      </c>
      <c r="I182" s="14"/>
      <c r="J182" s="14"/>
      <c r="K182" s="12">
        <v>490</v>
      </c>
      <c r="L182" s="9"/>
      <c r="M182" s="9"/>
      <c r="N182" s="9"/>
      <c r="O182" s="38">
        <f t="shared" si="12"/>
        <v>490</v>
      </c>
      <c r="P182" s="12"/>
      <c r="Q182" s="42"/>
      <c r="R182" s="15"/>
      <c r="S182" s="44"/>
      <c r="T182" s="15"/>
      <c r="U182" s="44"/>
      <c r="V182" s="15">
        <f t="shared" si="13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4"/>
        <v>0</v>
      </c>
      <c r="AF182" s="15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5"/>
        <v>0</v>
      </c>
      <c r="BA182" s="15"/>
      <c r="BB182" s="44"/>
      <c r="BC182" s="15"/>
      <c r="BD182" s="44"/>
      <c r="BE182" s="15">
        <f t="shared" si="16"/>
        <v>0</v>
      </c>
    </row>
    <row r="183" spans="1:57">
      <c r="A183" s="9"/>
      <c r="B183" s="16" t="s">
        <v>204</v>
      </c>
      <c r="C183" s="89" t="s">
        <v>48</v>
      </c>
      <c r="D183" s="69" t="s">
        <v>297</v>
      </c>
      <c r="E183" s="13" t="s">
        <v>281</v>
      </c>
      <c r="F183" s="96"/>
      <c r="G183" s="9"/>
      <c r="H183" s="9" t="s">
        <v>207</v>
      </c>
      <c r="I183" s="14"/>
      <c r="J183" s="14"/>
      <c r="K183" s="12">
        <v>433</v>
      </c>
      <c r="L183" s="9"/>
      <c r="M183" s="9"/>
      <c r="N183" s="9"/>
      <c r="O183" s="38">
        <f t="shared" si="12"/>
        <v>433</v>
      </c>
      <c r="P183" s="12"/>
      <c r="Q183" s="42"/>
      <c r="R183" s="12"/>
      <c r="S183" s="42"/>
      <c r="T183" s="15"/>
      <c r="U183" s="44"/>
      <c r="V183" s="15">
        <f t="shared" si="13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4"/>
        <v>0</v>
      </c>
      <c r="AF183" s="15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5"/>
        <v>0</v>
      </c>
      <c r="BA183" s="15"/>
      <c r="BB183" s="44"/>
      <c r="BC183" s="15"/>
      <c r="BD183" s="44"/>
      <c r="BE183" s="15">
        <f t="shared" si="16"/>
        <v>0</v>
      </c>
    </row>
    <row r="184" spans="1:57">
      <c r="A184" s="9"/>
      <c r="B184" s="16" t="s">
        <v>204</v>
      </c>
      <c r="C184" s="89" t="s">
        <v>48</v>
      </c>
      <c r="D184" s="69" t="s">
        <v>298</v>
      </c>
      <c r="E184" s="13" t="s">
        <v>290</v>
      </c>
      <c r="F184" s="96"/>
      <c r="G184" s="9"/>
      <c r="H184" s="9" t="s">
        <v>207</v>
      </c>
      <c r="I184" s="14"/>
      <c r="J184" s="14"/>
      <c r="K184" s="12">
        <v>48</v>
      </c>
      <c r="L184" s="9"/>
      <c r="M184" s="9"/>
      <c r="N184" s="9"/>
      <c r="O184" s="38">
        <f t="shared" si="12"/>
        <v>48</v>
      </c>
      <c r="P184" s="12"/>
      <c r="Q184" s="42"/>
      <c r="R184" s="15"/>
      <c r="S184" s="44"/>
      <c r="T184" s="15"/>
      <c r="U184" s="44"/>
      <c r="V184" s="15">
        <f t="shared" si="13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4"/>
        <v>0</v>
      </c>
      <c r="AF184" s="15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5"/>
        <v>0</v>
      </c>
      <c r="BA184" s="15"/>
      <c r="BB184" s="44"/>
      <c r="BC184" s="15"/>
      <c r="BD184" s="44"/>
      <c r="BE184" s="15">
        <f t="shared" si="16"/>
        <v>0</v>
      </c>
    </row>
    <row r="185" spans="1:57">
      <c r="A185" s="9"/>
      <c r="B185" s="16" t="s">
        <v>204</v>
      </c>
      <c r="C185" s="89" t="s">
        <v>48</v>
      </c>
      <c r="D185" s="73" t="s">
        <v>299</v>
      </c>
      <c r="E185" s="13" t="s">
        <v>281</v>
      </c>
      <c r="F185" s="96"/>
      <c r="G185" s="9"/>
      <c r="H185" s="9" t="s">
        <v>207</v>
      </c>
      <c r="I185" s="14"/>
      <c r="J185" s="14"/>
      <c r="K185" s="12">
        <v>90</v>
      </c>
      <c r="L185" s="9"/>
      <c r="M185" s="9"/>
      <c r="N185" s="9"/>
      <c r="O185" s="38">
        <f t="shared" si="12"/>
        <v>90</v>
      </c>
      <c r="P185" s="12"/>
      <c r="Q185" s="42"/>
      <c r="R185" s="15"/>
      <c r="S185" s="44"/>
      <c r="T185" s="15"/>
      <c r="U185" s="44"/>
      <c r="V185" s="15">
        <f t="shared" si="13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4"/>
        <v>0</v>
      </c>
      <c r="AF185" s="15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5"/>
        <v>0</v>
      </c>
      <c r="BA185" s="15"/>
      <c r="BB185" s="44"/>
      <c r="BC185" s="15"/>
      <c r="BD185" s="44"/>
      <c r="BE185" s="15">
        <f t="shared" si="16"/>
        <v>0</v>
      </c>
    </row>
    <row r="186" spans="1:57">
      <c r="A186" s="9"/>
      <c r="B186" s="16" t="s">
        <v>300</v>
      </c>
      <c r="C186" s="89" t="s">
        <v>48</v>
      </c>
      <c r="D186" s="69" t="s">
        <v>301</v>
      </c>
      <c r="E186" s="13" t="s">
        <v>302</v>
      </c>
      <c r="F186" s="96"/>
      <c r="G186" s="9"/>
      <c r="H186" s="9" t="s">
        <v>207</v>
      </c>
      <c r="I186" s="14"/>
      <c r="J186" s="14"/>
      <c r="K186" s="12">
        <v>103</v>
      </c>
      <c r="L186" s="9"/>
      <c r="M186" s="9"/>
      <c r="N186" s="9"/>
      <c r="O186" s="38">
        <f t="shared" si="12"/>
        <v>103</v>
      </c>
      <c r="P186" s="12"/>
      <c r="Q186" s="42"/>
      <c r="R186" s="15"/>
      <c r="S186" s="44"/>
      <c r="T186" s="15"/>
      <c r="U186" s="44"/>
      <c r="V186" s="15">
        <f t="shared" si="13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4"/>
        <v>0</v>
      </c>
      <c r="AF186" s="15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5"/>
        <v>0</v>
      </c>
      <c r="BA186" s="15"/>
      <c r="BB186" s="44"/>
      <c r="BC186" s="15"/>
      <c r="BD186" s="44"/>
      <c r="BE186" s="15">
        <f t="shared" si="16"/>
        <v>0</v>
      </c>
    </row>
    <row r="187" spans="1:57">
      <c r="A187" s="9"/>
      <c r="B187" s="16" t="s">
        <v>204</v>
      </c>
      <c r="C187" s="89" t="s">
        <v>48</v>
      </c>
      <c r="D187" s="69" t="s">
        <v>303</v>
      </c>
      <c r="E187" s="13" t="s">
        <v>304</v>
      </c>
      <c r="F187" s="96"/>
      <c r="G187" s="9"/>
      <c r="H187" s="9" t="s">
        <v>207</v>
      </c>
      <c r="I187" s="14"/>
      <c r="J187" s="14"/>
      <c r="K187" s="12">
        <v>165</v>
      </c>
      <c r="L187" s="9"/>
      <c r="M187" s="9"/>
      <c r="N187" s="9"/>
      <c r="O187" s="38">
        <f t="shared" si="12"/>
        <v>165</v>
      </c>
      <c r="P187" s="12"/>
      <c r="Q187" s="42"/>
      <c r="R187" s="15"/>
      <c r="S187" s="44"/>
      <c r="T187" s="15"/>
      <c r="U187" s="44"/>
      <c r="V187" s="15">
        <f t="shared" si="13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4"/>
        <v>0</v>
      </c>
      <c r="AF187" s="15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5"/>
        <v>0</v>
      </c>
      <c r="BA187" s="15"/>
      <c r="BB187" s="44"/>
      <c r="BC187" s="15"/>
      <c r="BD187" s="44"/>
      <c r="BE187" s="15">
        <f t="shared" si="16"/>
        <v>0</v>
      </c>
    </row>
    <row r="188" spans="1:57">
      <c r="A188" s="9"/>
      <c r="B188" s="16" t="s">
        <v>204</v>
      </c>
      <c r="C188" s="89" t="s">
        <v>48</v>
      </c>
      <c r="D188" s="70" t="s">
        <v>305</v>
      </c>
      <c r="E188" s="13" t="s">
        <v>206</v>
      </c>
      <c r="F188" s="96"/>
      <c r="G188" s="9"/>
      <c r="H188" s="9" t="s">
        <v>207</v>
      </c>
      <c r="I188" s="14"/>
      <c r="J188" s="14"/>
      <c r="K188" s="12">
        <v>0</v>
      </c>
      <c r="L188" s="9"/>
      <c r="M188" s="9"/>
      <c r="N188" s="9"/>
      <c r="O188" s="38">
        <f t="shared" si="12"/>
        <v>0</v>
      </c>
      <c r="P188" s="12"/>
      <c r="Q188" s="42"/>
      <c r="R188" s="15"/>
      <c r="S188" s="44"/>
      <c r="T188" s="15"/>
      <c r="U188" s="44"/>
      <c r="V188" s="15">
        <f t="shared" si="13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4"/>
        <v>0</v>
      </c>
      <c r="AF188" s="15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5"/>
        <v>0</v>
      </c>
      <c r="BA188" s="15"/>
      <c r="BB188" s="44"/>
      <c r="BC188" s="15"/>
      <c r="BD188" s="44"/>
      <c r="BE188" s="15">
        <f t="shared" si="16"/>
        <v>0</v>
      </c>
    </row>
    <row r="189" spans="1:57">
      <c r="A189" s="9"/>
      <c r="B189" s="16" t="s">
        <v>204</v>
      </c>
      <c r="C189" s="89" t="s">
        <v>48</v>
      </c>
      <c r="D189" s="69" t="s">
        <v>306</v>
      </c>
      <c r="E189" s="13" t="s">
        <v>307</v>
      </c>
      <c r="F189" s="96"/>
      <c r="G189" s="9"/>
      <c r="H189" s="9" t="s">
        <v>207</v>
      </c>
      <c r="I189" s="14"/>
      <c r="J189" s="14"/>
      <c r="K189" s="12">
        <v>332</v>
      </c>
      <c r="L189" s="9"/>
      <c r="M189" s="9"/>
      <c r="N189" s="9"/>
      <c r="O189" s="38">
        <f t="shared" si="12"/>
        <v>332</v>
      </c>
      <c r="P189" s="12"/>
      <c r="Q189" s="42"/>
      <c r="R189" s="15"/>
      <c r="S189" s="44"/>
      <c r="T189" s="15"/>
      <c r="U189" s="44"/>
      <c r="V189" s="15">
        <f t="shared" si="13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4"/>
        <v>0</v>
      </c>
      <c r="AF189" s="15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5"/>
        <v>0</v>
      </c>
      <c r="BA189" s="15"/>
      <c r="BB189" s="44"/>
      <c r="BC189" s="15"/>
      <c r="BD189" s="44"/>
      <c r="BE189" s="15">
        <f t="shared" si="16"/>
        <v>0</v>
      </c>
    </row>
    <row r="190" spans="1:57">
      <c r="A190" s="9"/>
      <c r="B190" s="16" t="s">
        <v>204</v>
      </c>
      <c r="C190" s="89" t="s">
        <v>48</v>
      </c>
      <c r="D190" s="70" t="s">
        <v>308</v>
      </c>
      <c r="E190" s="13" t="s">
        <v>307</v>
      </c>
      <c r="F190" s="96"/>
      <c r="G190" s="9"/>
      <c r="H190" s="9" t="s">
        <v>207</v>
      </c>
      <c r="I190" s="14"/>
      <c r="J190" s="14"/>
      <c r="K190" s="12">
        <v>400</v>
      </c>
      <c r="L190" s="9"/>
      <c r="M190" s="9"/>
      <c r="N190" s="9"/>
      <c r="O190" s="38">
        <f t="shared" si="12"/>
        <v>400</v>
      </c>
      <c r="P190" s="12"/>
      <c r="Q190" s="42"/>
      <c r="R190" s="15"/>
      <c r="S190" s="44"/>
      <c r="T190" s="15"/>
      <c r="U190" s="44"/>
      <c r="V190" s="15">
        <f t="shared" si="13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4"/>
        <v>0</v>
      </c>
      <c r="AF190" s="15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5"/>
        <v>0</v>
      </c>
      <c r="BA190" s="15"/>
      <c r="BB190" s="44"/>
      <c r="BC190" s="15"/>
      <c r="BD190" s="44"/>
      <c r="BE190" s="15">
        <f t="shared" si="16"/>
        <v>0</v>
      </c>
    </row>
    <row r="191" spans="1:57">
      <c r="A191" s="9"/>
      <c r="B191" s="16" t="s">
        <v>204</v>
      </c>
      <c r="C191" s="89" t="s">
        <v>48</v>
      </c>
      <c r="D191" s="69" t="s">
        <v>309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471</v>
      </c>
      <c r="L191" s="9"/>
      <c r="M191" s="9"/>
      <c r="N191" s="9"/>
      <c r="O191" s="38">
        <f t="shared" si="12"/>
        <v>471</v>
      </c>
      <c r="P191" s="12"/>
      <c r="Q191" s="42"/>
      <c r="R191" s="15"/>
      <c r="S191" s="44"/>
      <c r="T191" s="15"/>
      <c r="U191" s="44"/>
      <c r="V191" s="15">
        <f t="shared" si="13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4"/>
        <v>0</v>
      </c>
      <c r="AF191" s="15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5"/>
        <v>0</v>
      </c>
      <c r="BA191" s="15"/>
      <c r="BB191" s="44"/>
      <c r="BC191" s="15"/>
      <c r="BD191" s="44"/>
      <c r="BE191" s="15">
        <f t="shared" si="16"/>
        <v>0</v>
      </c>
    </row>
    <row r="192" spans="1:57">
      <c r="A192" s="9"/>
      <c r="B192" s="16" t="s">
        <v>204</v>
      </c>
      <c r="C192" s="89" t="s">
        <v>48</v>
      </c>
      <c r="D192" s="73" t="s">
        <v>310</v>
      </c>
      <c r="E192" s="13"/>
      <c r="F192" s="96"/>
      <c r="G192" s="9"/>
      <c r="H192" s="9" t="s">
        <v>311</v>
      </c>
      <c r="I192" s="14"/>
      <c r="J192" s="14"/>
      <c r="K192" s="12">
        <v>658</v>
      </c>
      <c r="L192" s="9"/>
      <c r="M192" s="9"/>
      <c r="N192" s="9"/>
      <c r="O192" s="38">
        <f t="shared" si="12"/>
        <v>658</v>
      </c>
      <c r="P192" s="12"/>
      <c r="Q192" s="42"/>
      <c r="R192" s="15"/>
      <c r="S192" s="44"/>
      <c r="T192" s="15"/>
      <c r="U192" s="44"/>
      <c r="V192" s="15">
        <f t="shared" si="13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4"/>
        <v>0</v>
      </c>
      <c r="AF192" s="15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5"/>
        <v>0</v>
      </c>
      <c r="BA192" s="15"/>
      <c r="BB192" s="44"/>
      <c r="BC192" s="15"/>
      <c r="BD192" s="44"/>
      <c r="BE192" s="15">
        <f t="shared" si="16"/>
        <v>0</v>
      </c>
    </row>
    <row r="193" spans="1:57">
      <c r="A193" s="9"/>
      <c r="B193" s="16" t="s">
        <v>204</v>
      </c>
      <c r="C193" s="89" t="s">
        <v>48</v>
      </c>
      <c r="D193" s="73" t="s">
        <v>312</v>
      </c>
      <c r="E193" s="13"/>
      <c r="F193" s="96"/>
      <c r="G193" s="9"/>
      <c r="H193" s="9" t="s">
        <v>311</v>
      </c>
      <c r="I193" s="14"/>
      <c r="J193" s="14"/>
      <c r="K193" s="12">
        <v>257</v>
      </c>
      <c r="L193" s="9"/>
      <c r="M193" s="9"/>
      <c r="N193" s="9"/>
      <c r="O193" s="38">
        <f t="shared" si="12"/>
        <v>257</v>
      </c>
      <c r="P193" s="12"/>
      <c r="Q193" s="42"/>
      <c r="R193" s="15"/>
      <c r="S193" s="44"/>
      <c r="T193" s="15"/>
      <c r="U193" s="44"/>
      <c r="V193" s="15">
        <f t="shared" si="13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4"/>
        <v>0</v>
      </c>
      <c r="AF193" s="15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5"/>
        <v>0</v>
      </c>
      <c r="BA193" s="15"/>
      <c r="BB193" s="44"/>
      <c r="BC193" s="15"/>
      <c r="BD193" s="44"/>
      <c r="BE193" s="15">
        <f t="shared" si="16"/>
        <v>0</v>
      </c>
    </row>
    <row r="194" spans="1:57">
      <c r="A194" s="9"/>
      <c r="B194" s="16" t="s">
        <v>204</v>
      </c>
      <c r="C194" s="89" t="s">
        <v>48</v>
      </c>
      <c r="D194" s="73" t="s">
        <v>313</v>
      </c>
      <c r="E194" s="13"/>
      <c r="F194" s="96"/>
      <c r="G194" s="9"/>
      <c r="H194" s="9" t="s">
        <v>314</v>
      </c>
      <c r="I194" s="14"/>
      <c r="J194" s="14"/>
      <c r="K194" s="12">
        <v>0</v>
      </c>
      <c r="L194" s="9"/>
      <c r="M194" s="9"/>
      <c r="N194" s="9"/>
      <c r="O194" s="38">
        <f t="shared" ref="O194:O257" si="17">K194+V194-AE194-AZ194</f>
        <v>0</v>
      </c>
      <c r="P194" s="12"/>
      <c r="Q194" s="42"/>
      <c r="R194" s="15"/>
      <c r="S194" s="44"/>
      <c r="T194" s="15"/>
      <c r="U194" s="44"/>
      <c r="V194" s="15">
        <f t="shared" ref="V194:V257" si="18">P194+R194+T194</f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ref="AE194:AE257" si="19">(W194+Y194+AA194+AC194)</f>
        <v>0</v>
      </c>
      <c r="AF194" s="15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5"/>
        <v>0</v>
      </c>
      <c r="BA194" s="15"/>
      <c r="BB194" s="44"/>
      <c r="BC194" s="15"/>
      <c r="BD194" s="44"/>
      <c r="BE194" s="15">
        <f t="shared" si="16"/>
        <v>0</v>
      </c>
    </row>
    <row r="195" spans="1:57">
      <c r="A195" s="9"/>
      <c r="B195" s="16" t="s">
        <v>233</v>
      </c>
      <c r="C195" s="89" t="s">
        <v>48</v>
      </c>
      <c r="D195" s="79" t="s">
        <v>315</v>
      </c>
      <c r="E195" s="13" t="s">
        <v>316</v>
      </c>
      <c r="F195" s="96"/>
      <c r="G195" s="9"/>
      <c r="H195" s="9" t="s">
        <v>317</v>
      </c>
      <c r="I195" s="14"/>
      <c r="J195" s="14"/>
      <c r="K195" s="12">
        <v>270</v>
      </c>
      <c r="L195" s="9"/>
      <c r="M195" s="9"/>
      <c r="N195" s="9"/>
      <c r="O195" s="38">
        <f t="shared" si="17"/>
        <v>270</v>
      </c>
      <c r="P195" s="12"/>
      <c r="Q195" s="42"/>
      <c r="R195" s="15"/>
      <c r="S195" s="44"/>
      <c r="T195" s="15"/>
      <c r="U195" s="44"/>
      <c r="V195" s="15">
        <f t="shared" si="18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9"/>
        <v>0</v>
      </c>
      <c r="AF195" s="15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ref="AZ195:AZ258" si="20">AF195+AH195+AJ195+AL195+AN195+AP195+AR195+AT195+AV195+AX195</f>
        <v>0</v>
      </c>
      <c r="BA195" s="15"/>
      <c r="BB195" s="44"/>
      <c r="BC195" s="15"/>
      <c r="BD195" s="44"/>
      <c r="BE195" s="15">
        <f t="shared" si="16"/>
        <v>0</v>
      </c>
    </row>
    <row r="196" spans="1:57">
      <c r="A196" s="9"/>
      <c r="B196" s="16" t="s">
        <v>233</v>
      </c>
      <c r="C196" s="89" t="s">
        <v>48</v>
      </c>
      <c r="D196" s="79" t="s">
        <v>315</v>
      </c>
      <c r="E196" s="13" t="s">
        <v>318</v>
      </c>
      <c r="F196" s="96"/>
      <c r="G196" s="9"/>
      <c r="H196" s="9" t="s">
        <v>317</v>
      </c>
      <c r="I196" s="14"/>
      <c r="J196" s="14"/>
      <c r="K196" s="12">
        <v>500</v>
      </c>
      <c r="L196" s="9"/>
      <c r="M196" s="9"/>
      <c r="N196" s="9"/>
      <c r="O196" s="38">
        <f t="shared" si="17"/>
        <v>500</v>
      </c>
      <c r="P196" s="12"/>
      <c r="Q196" s="42"/>
      <c r="R196" s="15"/>
      <c r="S196" s="44"/>
      <c r="T196" s="15"/>
      <c r="U196" s="44"/>
      <c r="V196" s="15">
        <f t="shared" si="18"/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si="19"/>
        <v>0</v>
      </c>
      <c r="AF196" s="15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20"/>
        <v>0</v>
      </c>
      <c r="BA196" s="15"/>
      <c r="BB196" s="44"/>
      <c r="BC196" s="15"/>
      <c r="BD196" s="44"/>
      <c r="BE196" s="15">
        <f t="shared" si="16"/>
        <v>0</v>
      </c>
    </row>
    <row r="197" spans="1:57">
      <c r="A197" s="9"/>
      <c r="B197" s="16" t="s">
        <v>233</v>
      </c>
      <c r="C197" s="89" t="s">
        <v>48</v>
      </c>
      <c r="D197" s="79" t="s">
        <v>319</v>
      </c>
      <c r="E197" s="13" t="s">
        <v>233</v>
      </c>
      <c r="F197" s="96"/>
      <c r="G197" s="9"/>
      <c r="H197" s="9"/>
      <c r="I197" s="14"/>
      <c r="J197" s="14"/>
      <c r="K197" s="12">
        <v>0</v>
      </c>
      <c r="L197" s="9"/>
      <c r="M197" s="9"/>
      <c r="N197" s="9"/>
      <c r="O197" s="38">
        <f t="shared" si="17"/>
        <v>0</v>
      </c>
      <c r="P197" s="12"/>
      <c r="Q197" s="42"/>
      <c r="R197" s="15"/>
      <c r="S197" s="44"/>
      <c r="T197" s="15"/>
      <c r="U197" s="44"/>
      <c r="V197" s="15">
        <f t="shared" si="18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19"/>
        <v>0</v>
      </c>
      <c r="AF197" s="15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20"/>
        <v>0</v>
      </c>
      <c r="BA197" s="15"/>
      <c r="BB197" s="44"/>
      <c r="BC197" s="15"/>
      <c r="BD197" s="44"/>
      <c r="BE197" s="15">
        <f t="shared" si="16"/>
        <v>0</v>
      </c>
    </row>
    <row r="198" spans="1:57">
      <c r="A198" s="9"/>
      <c r="B198" s="16" t="s">
        <v>233</v>
      </c>
      <c r="C198" s="89" t="s">
        <v>48</v>
      </c>
      <c r="D198" s="79" t="s">
        <v>320</v>
      </c>
      <c r="E198" s="13" t="s">
        <v>321</v>
      </c>
      <c r="F198" s="96"/>
      <c r="G198" s="9"/>
      <c r="H198" s="9"/>
      <c r="I198" s="14"/>
      <c r="J198" s="14"/>
      <c r="K198" s="12">
        <v>0</v>
      </c>
      <c r="L198" s="9"/>
      <c r="M198" s="9"/>
      <c r="N198" s="9"/>
      <c r="O198" s="38">
        <f t="shared" si="17"/>
        <v>0</v>
      </c>
      <c r="P198" s="12"/>
      <c r="Q198" s="42"/>
      <c r="R198" s="15"/>
      <c r="S198" s="44"/>
      <c r="T198" s="15"/>
      <c r="U198" s="44"/>
      <c r="V198" s="15">
        <f t="shared" si="18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19"/>
        <v>0</v>
      </c>
      <c r="AF198" s="15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20"/>
        <v>0</v>
      </c>
      <c r="BA198" s="15"/>
      <c r="BB198" s="44"/>
      <c r="BC198" s="15"/>
      <c r="BD198" s="44"/>
      <c r="BE198" s="15">
        <f t="shared" si="16"/>
        <v>0</v>
      </c>
    </row>
    <row r="199" spans="1:57">
      <c r="A199" s="9"/>
      <c r="B199" s="16" t="s">
        <v>233</v>
      </c>
      <c r="C199" s="89" t="s">
        <v>48</v>
      </c>
      <c r="D199" s="79" t="s">
        <v>322</v>
      </c>
      <c r="E199" s="13" t="s">
        <v>323</v>
      </c>
      <c r="F199" s="96"/>
      <c r="G199" s="9"/>
      <c r="H199" s="9"/>
      <c r="I199" s="14"/>
      <c r="J199" s="14"/>
      <c r="K199" s="12">
        <v>0</v>
      </c>
      <c r="L199" s="9"/>
      <c r="M199" s="9"/>
      <c r="N199" s="9"/>
      <c r="O199" s="38">
        <f t="shared" si="17"/>
        <v>0</v>
      </c>
      <c r="P199" s="12"/>
      <c r="Q199" s="42"/>
      <c r="R199" s="15"/>
      <c r="S199" s="44"/>
      <c r="T199" s="15"/>
      <c r="U199" s="44"/>
      <c r="V199" s="15">
        <f t="shared" si="18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19"/>
        <v>0</v>
      </c>
      <c r="AF199" s="15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20"/>
        <v>0</v>
      </c>
      <c r="BA199" s="15"/>
      <c r="BB199" s="44"/>
      <c r="BC199" s="15"/>
      <c r="BD199" s="44"/>
      <c r="BE199" s="15">
        <f t="shared" si="16"/>
        <v>0</v>
      </c>
    </row>
    <row r="200" spans="1:57">
      <c r="A200" s="9"/>
      <c r="B200" s="16" t="s">
        <v>233</v>
      </c>
      <c r="C200" s="89" t="s">
        <v>48</v>
      </c>
      <c r="D200" s="79" t="s">
        <v>324</v>
      </c>
      <c r="E200" s="13" t="s">
        <v>325</v>
      </c>
      <c r="F200" s="96"/>
      <c r="G200" s="9"/>
      <c r="H200" s="9"/>
      <c r="I200" s="14"/>
      <c r="J200" s="14"/>
      <c r="K200" s="12">
        <v>208</v>
      </c>
      <c r="L200" s="9"/>
      <c r="M200" s="9"/>
      <c r="N200" s="9"/>
      <c r="O200" s="38">
        <f t="shared" si="17"/>
        <v>208</v>
      </c>
      <c r="P200" s="12"/>
      <c r="Q200" s="42"/>
      <c r="R200" s="15"/>
      <c r="S200" s="44"/>
      <c r="T200" s="15"/>
      <c r="U200" s="44"/>
      <c r="V200" s="15">
        <f t="shared" si="18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19"/>
        <v>0</v>
      </c>
      <c r="AF200" s="15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20"/>
        <v>0</v>
      </c>
      <c r="BA200" s="15"/>
      <c r="BB200" s="44"/>
      <c r="BC200" s="15"/>
      <c r="BD200" s="44"/>
      <c r="BE200" s="15">
        <f t="shared" si="16"/>
        <v>0</v>
      </c>
    </row>
    <row r="201" spans="1:57">
      <c r="A201" s="9"/>
      <c r="B201" s="16" t="s">
        <v>233</v>
      </c>
      <c r="C201" s="89" t="s">
        <v>48</v>
      </c>
      <c r="D201" s="79" t="s">
        <v>326</v>
      </c>
      <c r="E201" s="13" t="s">
        <v>327</v>
      </c>
      <c r="F201" s="96"/>
      <c r="G201" s="9"/>
      <c r="H201" s="9"/>
      <c r="I201" s="14"/>
      <c r="J201" s="14"/>
      <c r="K201" s="12">
        <v>108</v>
      </c>
      <c r="L201" s="9"/>
      <c r="M201" s="9"/>
      <c r="N201" s="9"/>
      <c r="O201" s="38">
        <f t="shared" si="17"/>
        <v>108</v>
      </c>
      <c r="P201" s="12"/>
      <c r="Q201" s="42"/>
      <c r="R201" s="15"/>
      <c r="S201" s="44"/>
      <c r="T201" s="15"/>
      <c r="U201" s="44"/>
      <c r="V201" s="15">
        <f t="shared" si="18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19"/>
        <v>0</v>
      </c>
      <c r="AF201" s="15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20"/>
        <v>0</v>
      </c>
      <c r="BA201" s="15"/>
      <c r="BB201" s="44"/>
      <c r="BC201" s="15"/>
      <c r="BD201" s="44"/>
      <c r="BE201" s="15">
        <f t="shared" si="16"/>
        <v>0</v>
      </c>
    </row>
    <row r="202" spans="1:57">
      <c r="A202" s="9"/>
      <c r="B202" s="16" t="s">
        <v>155</v>
      </c>
      <c r="C202" s="89" t="s">
        <v>48</v>
      </c>
      <c r="D202" s="70" t="s">
        <v>328</v>
      </c>
      <c r="E202" s="13" t="s">
        <v>329</v>
      </c>
      <c r="F202" s="96"/>
      <c r="G202" s="9"/>
      <c r="H202" s="9" t="s">
        <v>158</v>
      </c>
      <c r="I202" s="14"/>
      <c r="J202" s="14"/>
      <c r="K202" s="12">
        <v>596</v>
      </c>
      <c r="L202" s="9"/>
      <c r="M202" s="9"/>
      <c r="N202" s="9"/>
      <c r="O202" s="38">
        <f t="shared" si="17"/>
        <v>596</v>
      </c>
      <c r="P202" s="12"/>
      <c r="Q202" s="42"/>
      <c r="R202" s="15"/>
      <c r="S202" s="44"/>
      <c r="T202" s="15"/>
      <c r="U202" s="44"/>
      <c r="V202" s="15">
        <f t="shared" si="18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19"/>
        <v>0</v>
      </c>
      <c r="AF202" s="15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20"/>
        <v>0</v>
      </c>
      <c r="BA202" s="15"/>
      <c r="BB202" s="44"/>
      <c r="BC202" s="15"/>
      <c r="BD202" s="44"/>
      <c r="BE202" s="15">
        <f t="shared" si="16"/>
        <v>0</v>
      </c>
    </row>
    <row r="203" spans="1:57">
      <c r="A203" s="9"/>
      <c r="B203" s="16" t="s">
        <v>330</v>
      </c>
      <c r="C203" s="89" t="s">
        <v>48</v>
      </c>
      <c r="D203" s="69" t="s">
        <v>331</v>
      </c>
      <c r="E203" s="13" t="s">
        <v>330</v>
      </c>
      <c r="F203" s="96"/>
      <c r="G203" s="9"/>
      <c r="H203" s="9" t="s">
        <v>332</v>
      </c>
      <c r="I203" s="14"/>
      <c r="J203" s="14"/>
      <c r="K203" s="12">
        <v>364</v>
      </c>
      <c r="L203" s="9"/>
      <c r="M203" s="9"/>
      <c r="N203" s="9"/>
      <c r="O203" s="38">
        <f t="shared" si="17"/>
        <v>364</v>
      </c>
      <c r="P203" s="12"/>
      <c r="Q203" s="42"/>
      <c r="R203" s="15"/>
      <c r="S203" s="44"/>
      <c r="T203" s="15"/>
      <c r="U203" s="44"/>
      <c r="V203" s="15">
        <f t="shared" si="18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19"/>
        <v>0</v>
      </c>
      <c r="AF203" s="15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20"/>
        <v>0</v>
      </c>
      <c r="BA203" s="15"/>
      <c r="BB203" s="44"/>
      <c r="BC203" s="15"/>
      <c r="BD203" s="44"/>
      <c r="BE203" s="15">
        <f t="shared" si="16"/>
        <v>0</v>
      </c>
    </row>
    <row r="204" spans="1:57">
      <c r="A204" s="9"/>
      <c r="B204" s="16" t="s">
        <v>330</v>
      </c>
      <c r="C204" s="89" t="s">
        <v>48</v>
      </c>
      <c r="D204" s="70" t="s">
        <v>333</v>
      </c>
      <c r="E204" s="13" t="s">
        <v>330</v>
      </c>
      <c r="F204" s="96"/>
      <c r="G204" s="9"/>
      <c r="H204" s="9" t="s">
        <v>332</v>
      </c>
      <c r="I204" s="14"/>
      <c r="J204" s="14"/>
      <c r="K204" s="12">
        <v>0</v>
      </c>
      <c r="L204" s="9"/>
      <c r="M204" s="9"/>
      <c r="N204" s="9"/>
      <c r="O204" s="38">
        <f t="shared" si="17"/>
        <v>0</v>
      </c>
      <c r="P204" s="12"/>
      <c r="Q204" s="42"/>
      <c r="R204" s="15"/>
      <c r="S204" s="44"/>
      <c r="T204" s="15"/>
      <c r="U204" s="44"/>
      <c r="V204" s="15">
        <f t="shared" si="18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19"/>
        <v>0</v>
      </c>
      <c r="AF204" s="15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20"/>
        <v>0</v>
      </c>
      <c r="BA204" s="15"/>
      <c r="BB204" s="44"/>
      <c r="BC204" s="15"/>
      <c r="BD204" s="44"/>
      <c r="BE204" s="15">
        <f t="shared" si="16"/>
        <v>0</v>
      </c>
    </row>
    <row r="205" spans="1:57">
      <c r="A205" s="9"/>
      <c r="B205" s="16" t="s">
        <v>334</v>
      </c>
      <c r="C205" s="89" t="s">
        <v>48</v>
      </c>
      <c r="D205" s="79" t="s">
        <v>335</v>
      </c>
      <c r="E205" s="13" t="s">
        <v>336</v>
      </c>
      <c r="F205" s="96"/>
      <c r="G205" s="9"/>
      <c r="H205" s="9" t="s">
        <v>314</v>
      </c>
      <c r="I205" s="14"/>
      <c r="J205" s="14"/>
      <c r="K205" s="12">
        <v>0</v>
      </c>
      <c r="L205" s="9"/>
      <c r="M205" s="9"/>
      <c r="N205" s="9"/>
      <c r="O205" s="38">
        <f t="shared" si="17"/>
        <v>0</v>
      </c>
      <c r="P205" s="12"/>
      <c r="Q205" s="42"/>
      <c r="R205" s="15"/>
      <c r="S205" s="44"/>
      <c r="T205" s="15"/>
      <c r="U205" s="44"/>
      <c r="V205" s="15">
        <f t="shared" si="18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19"/>
        <v>0</v>
      </c>
      <c r="AF205" s="15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20"/>
        <v>0</v>
      </c>
      <c r="BA205" s="15"/>
      <c r="BB205" s="44"/>
      <c r="BC205" s="15"/>
      <c r="BD205" s="44"/>
      <c r="BE205" s="15">
        <f t="shared" si="16"/>
        <v>0</v>
      </c>
    </row>
    <row r="206" spans="1:57">
      <c r="A206" s="9"/>
      <c r="B206" s="16" t="s">
        <v>337</v>
      </c>
      <c r="C206" s="89" t="s">
        <v>48</v>
      </c>
      <c r="D206" s="79" t="s">
        <v>338</v>
      </c>
      <c r="E206" s="13" t="s">
        <v>337</v>
      </c>
      <c r="F206" s="96"/>
      <c r="G206" s="9"/>
      <c r="H206" s="9" t="s">
        <v>339</v>
      </c>
      <c r="I206" s="14"/>
      <c r="J206" s="14"/>
      <c r="K206" s="12">
        <v>0</v>
      </c>
      <c r="L206" s="9"/>
      <c r="M206" s="9"/>
      <c r="N206" s="9"/>
      <c r="O206" s="38">
        <f t="shared" si="17"/>
        <v>0</v>
      </c>
      <c r="P206" s="12"/>
      <c r="Q206" s="42"/>
      <c r="R206" s="15"/>
      <c r="S206" s="44"/>
      <c r="T206" s="15"/>
      <c r="U206" s="44"/>
      <c r="V206" s="15">
        <f t="shared" si="18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19"/>
        <v>0</v>
      </c>
      <c r="AF206" s="15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20"/>
        <v>0</v>
      </c>
      <c r="BA206" s="15"/>
      <c r="BB206" s="44"/>
      <c r="BC206" s="15"/>
      <c r="BD206" s="44"/>
      <c r="BE206" s="15">
        <f t="shared" si="16"/>
        <v>0</v>
      </c>
    </row>
    <row r="207" spans="1:57">
      <c r="A207" s="9"/>
      <c r="B207" s="16" t="s">
        <v>337</v>
      </c>
      <c r="C207" s="89" t="s">
        <v>48</v>
      </c>
      <c r="D207" s="79" t="s">
        <v>340</v>
      </c>
      <c r="E207" s="13" t="s">
        <v>337</v>
      </c>
      <c r="F207" s="96"/>
      <c r="G207" s="9"/>
      <c r="H207" s="9" t="s">
        <v>339</v>
      </c>
      <c r="I207" s="14"/>
      <c r="J207" s="14"/>
      <c r="K207" s="12">
        <v>0</v>
      </c>
      <c r="L207" s="9"/>
      <c r="M207" s="9"/>
      <c r="N207" s="9"/>
      <c r="O207" s="38">
        <f t="shared" si="17"/>
        <v>0</v>
      </c>
      <c r="P207" s="12"/>
      <c r="Q207" s="42"/>
      <c r="R207" s="15"/>
      <c r="S207" s="44"/>
      <c r="T207" s="15"/>
      <c r="U207" s="44"/>
      <c r="V207" s="15">
        <f t="shared" si="18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19"/>
        <v>0</v>
      </c>
      <c r="AF207" s="15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20"/>
        <v>0</v>
      </c>
      <c r="BA207" s="15"/>
      <c r="BB207" s="44"/>
      <c r="BC207" s="15"/>
      <c r="BD207" s="44"/>
      <c r="BE207" s="15">
        <f t="shared" si="16"/>
        <v>0</v>
      </c>
    </row>
    <row r="208" spans="1:57">
      <c r="A208" s="9"/>
      <c r="B208" s="16" t="s">
        <v>249</v>
      </c>
      <c r="C208" s="89" t="s">
        <v>48</v>
      </c>
      <c r="D208" s="79" t="s">
        <v>341</v>
      </c>
      <c r="E208" s="13" t="s">
        <v>342</v>
      </c>
      <c r="F208" s="96"/>
      <c r="G208" s="9"/>
      <c r="H208" s="9" t="s">
        <v>247</v>
      </c>
      <c r="I208" s="14"/>
      <c r="J208" s="14"/>
      <c r="K208" s="12">
        <v>351</v>
      </c>
      <c r="L208" s="9"/>
      <c r="M208" s="9"/>
      <c r="N208" s="9"/>
      <c r="O208" s="38">
        <f t="shared" si="17"/>
        <v>351</v>
      </c>
      <c r="P208" s="12"/>
      <c r="Q208" s="42"/>
      <c r="R208" s="15"/>
      <c r="S208" s="44"/>
      <c r="T208" s="15"/>
      <c r="U208" s="44"/>
      <c r="V208" s="15">
        <f t="shared" si="18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19"/>
        <v>0</v>
      </c>
      <c r="AF208" s="15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20"/>
        <v>0</v>
      </c>
      <c r="BA208" s="15"/>
      <c r="BB208" s="44"/>
      <c r="BC208" s="15"/>
      <c r="BD208" s="44"/>
      <c r="BE208" s="15">
        <f t="shared" si="16"/>
        <v>0</v>
      </c>
    </row>
    <row r="209" spans="1:57">
      <c r="A209" s="9"/>
      <c r="B209" s="16" t="s">
        <v>343</v>
      </c>
      <c r="C209" s="89" t="s">
        <v>48</v>
      </c>
      <c r="D209" s="79" t="s">
        <v>343</v>
      </c>
      <c r="E209" s="13" t="s">
        <v>344</v>
      </c>
      <c r="F209" s="96"/>
      <c r="G209" s="9"/>
      <c r="H209" s="9" t="s">
        <v>345</v>
      </c>
      <c r="I209" s="14"/>
      <c r="J209" s="14"/>
      <c r="K209" s="12">
        <v>0</v>
      </c>
      <c r="L209" s="9"/>
      <c r="M209" s="9"/>
      <c r="N209" s="9"/>
      <c r="O209" s="38">
        <f t="shared" si="17"/>
        <v>0</v>
      </c>
      <c r="P209" s="12"/>
      <c r="Q209" s="42"/>
      <c r="R209" s="15"/>
      <c r="S209" s="44"/>
      <c r="T209" s="15"/>
      <c r="U209" s="44"/>
      <c r="V209" s="15">
        <f t="shared" si="18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19"/>
        <v>0</v>
      </c>
      <c r="AF209" s="15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20"/>
        <v>0</v>
      </c>
      <c r="BA209" s="15"/>
      <c r="BB209" s="44"/>
      <c r="BC209" s="15"/>
      <c r="BD209" s="44"/>
      <c r="BE209" s="15">
        <f t="shared" si="16"/>
        <v>0</v>
      </c>
    </row>
    <row r="210" spans="1:57">
      <c r="A210" s="9"/>
      <c r="B210" s="16" t="s">
        <v>204</v>
      </c>
      <c r="C210" s="89" t="s">
        <v>48</v>
      </c>
      <c r="D210" s="70" t="s">
        <v>288</v>
      </c>
      <c r="E210" s="13" t="s">
        <v>222</v>
      </c>
      <c r="F210" s="96"/>
      <c r="G210" s="9"/>
      <c r="H210" s="9" t="s">
        <v>207</v>
      </c>
      <c r="I210" s="14"/>
      <c r="J210" s="14"/>
      <c r="K210" s="12">
        <v>34</v>
      </c>
      <c r="L210" s="9"/>
      <c r="M210" s="9"/>
      <c r="N210" s="9"/>
      <c r="O210" s="38">
        <f t="shared" si="17"/>
        <v>34</v>
      </c>
      <c r="P210" s="12"/>
      <c r="Q210" s="42"/>
      <c r="R210" s="15"/>
      <c r="S210" s="44"/>
      <c r="T210" s="15"/>
      <c r="U210" s="44"/>
      <c r="V210" s="15">
        <f t="shared" si="18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19"/>
        <v>0</v>
      </c>
      <c r="AF210" s="15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20"/>
        <v>0</v>
      </c>
      <c r="BA210" s="15"/>
      <c r="BB210" s="44"/>
      <c r="BC210" s="15"/>
      <c r="BD210" s="44"/>
      <c r="BE210" s="15">
        <f t="shared" si="16"/>
        <v>0</v>
      </c>
    </row>
    <row r="211" spans="1:57">
      <c r="A211" s="9"/>
      <c r="B211" s="16" t="s">
        <v>204</v>
      </c>
      <c r="C211" s="89" t="s">
        <v>48</v>
      </c>
      <c r="D211" s="71" t="s">
        <v>289</v>
      </c>
      <c r="E211" s="13" t="s">
        <v>222</v>
      </c>
      <c r="F211" s="96"/>
      <c r="G211" s="9"/>
      <c r="H211" s="9" t="s">
        <v>207</v>
      </c>
      <c r="I211" s="14"/>
      <c r="J211" s="14"/>
      <c r="K211" s="12">
        <v>239</v>
      </c>
      <c r="L211" s="9"/>
      <c r="M211" s="9"/>
      <c r="N211" s="9"/>
      <c r="O211" s="38">
        <f t="shared" si="17"/>
        <v>239</v>
      </c>
      <c r="P211" s="12"/>
      <c r="Q211" s="42"/>
      <c r="R211" s="15"/>
      <c r="S211" s="44"/>
      <c r="T211" s="15"/>
      <c r="U211" s="44"/>
      <c r="V211" s="15">
        <f t="shared" si="18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19"/>
        <v>0</v>
      </c>
      <c r="AF211" s="15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20"/>
        <v>0</v>
      </c>
      <c r="BA211" s="15"/>
      <c r="BB211" s="44"/>
      <c r="BC211" s="15"/>
      <c r="BD211" s="44"/>
      <c r="BE211" s="15">
        <f t="shared" si="16"/>
        <v>0</v>
      </c>
    </row>
    <row r="212" spans="1:57">
      <c r="A212" s="9"/>
      <c r="B212" s="16" t="s">
        <v>204</v>
      </c>
      <c r="C212" s="89" t="s">
        <v>48</v>
      </c>
      <c r="D212" s="71" t="s">
        <v>291</v>
      </c>
      <c r="E212" s="13" t="s">
        <v>222</v>
      </c>
      <c r="F212" s="96"/>
      <c r="G212" s="9"/>
      <c r="H212" s="9" t="s">
        <v>207</v>
      </c>
      <c r="I212" s="14"/>
      <c r="J212" s="14"/>
      <c r="K212" s="12">
        <v>145</v>
      </c>
      <c r="L212" s="9"/>
      <c r="M212" s="9"/>
      <c r="N212" s="9"/>
      <c r="O212" s="38">
        <f t="shared" si="17"/>
        <v>145</v>
      </c>
      <c r="P212" s="12"/>
      <c r="Q212" s="42"/>
      <c r="R212" s="15"/>
      <c r="S212" s="44"/>
      <c r="T212" s="15"/>
      <c r="U212" s="44"/>
      <c r="V212" s="15">
        <f t="shared" si="18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19"/>
        <v>0</v>
      </c>
      <c r="AF212" s="15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20"/>
        <v>0</v>
      </c>
      <c r="BA212" s="15"/>
      <c r="BB212" s="44"/>
      <c r="BC212" s="15"/>
      <c r="BD212" s="44"/>
      <c r="BE212" s="15">
        <f t="shared" si="16"/>
        <v>0</v>
      </c>
    </row>
    <row r="213" spans="1:57">
      <c r="A213" s="9"/>
      <c r="B213" s="16" t="s">
        <v>204</v>
      </c>
      <c r="C213" s="89" t="s">
        <v>48</v>
      </c>
      <c r="D213" s="71" t="s">
        <v>292</v>
      </c>
      <c r="E213" s="13" t="s">
        <v>346</v>
      </c>
      <c r="F213" s="96"/>
      <c r="G213" s="9"/>
      <c r="H213" s="9" t="s">
        <v>207</v>
      </c>
      <c r="I213" s="14"/>
      <c r="J213" s="14"/>
      <c r="K213" s="12">
        <v>488</v>
      </c>
      <c r="L213" s="9"/>
      <c r="M213" s="9"/>
      <c r="N213" s="9"/>
      <c r="O213" s="38">
        <f t="shared" si="17"/>
        <v>488</v>
      </c>
      <c r="P213" s="12"/>
      <c r="Q213" s="42"/>
      <c r="R213" s="15"/>
      <c r="S213" s="44"/>
      <c r="T213" s="15"/>
      <c r="U213" s="44"/>
      <c r="V213" s="15">
        <f t="shared" si="18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19"/>
        <v>0</v>
      </c>
      <c r="AF213" s="15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20"/>
        <v>0</v>
      </c>
      <c r="BA213" s="15"/>
      <c r="BB213" s="44"/>
      <c r="BC213" s="15"/>
      <c r="BD213" s="44"/>
      <c r="BE213" s="15">
        <f t="shared" si="16"/>
        <v>0</v>
      </c>
    </row>
    <row r="214" spans="1:57">
      <c r="A214" s="9"/>
      <c r="B214" s="16" t="s">
        <v>204</v>
      </c>
      <c r="C214" s="89" t="s">
        <v>48</v>
      </c>
      <c r="D214" s="69" t="s">
        <v>216</v>
      </c>
      <c r="E214" s="13" t="s">
        <v>347</v>
      </c>
      <c r="F214" s="96"/>
      <c r="G214" s="9"/>
      <c r="H214" s="9" t="s">
        <v>207</v>
      </c>
      <c r="I214" s="14"/>
      <c r="J214" s="14"/>
      <c r="K214" s="12">
        <v>465</v>
      </c>
      <c r="L214" s="9"/>
      <c r="M214" s="9"/>
      <c r="N214" s="9"/>
      <c r="O214" s="38">
        <f t="shared" si="17"/>
        <v>465</v>
      </c>
      <c r="P214" s="12"/>
      <c r="Q214" s="42"/>
      <c r="R214" s="15"/>
      <c r="S214" s="44"/>
      <c r="T214" s="15"/>
      <c r="U214" s="44"/>
      <c r="V214" s="15">
        <f t="shared" si="18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19"/>
        <v>0</v>
      </c>
      <c r="AF214" s="15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20"/>
        <v>0</v>
      </c>
      <c r="BA214" s="15"/>
      <c r="BB214" s="44"/>
      <c r="BC214" s="15"/>
      <c r="BD214" s="44"/>
      <c r="BE214" s="15">
        <f t="shared" si="16"/>
        <v>0</v>
      </c>
    </row>
    <row r="215" spans="1:57">
      <c r="A215" s="9"/>
      <c r="B215" s="16" t="s">
        <v>204</v>
      </c>
      <c r="C215" s="89" t="s">
        <v>48</v>
      </c>
      <c r="D215" s="70" t="s">
        <v>285</v>
      </c>
      <c r="E215" s="13" t="s">
        <v>347</v>
      </c>
      <c r="F215" s="96"/>
      <c r="G215" s="9"/>
      <c r="H215" s="9" t="s">
        <v>207</v>
      </c>
      <c r="I215" s="14"/>
      <c r="J215" s="14"/>
      <c r="K215" s="12">
        <v>171</v>
      </c>
      <c r="L215" s="9"/>
      <c r="M215" s="9"/>
      <c r="N215" s="9"/>
      <c r="O215" s="38">
        <f t="shared" si="17"/>
        <v>171</v>
      </c>
      <c r="P215" s="12"/>
      <c r="Q215" s="42"/>
      <c r="R215" s="15"/>
      <c r="S215" s="44"/>
      <c r="T215" s="15"/>
      <c r="U215" s="44"/>
      <c r="V215" s="15">
        <f t="shared" si="18"/>
        <v>0</v>
      </c>
      <c r="W215" s="15"/>
      <c r="X215" s="44"/>
      <c r="Y215" s="15"/>
      <c r="Z215" s="44"/>
      <c r="AA215" s="24"/>
      <c r="AB215" s="44"/>
      <c r="AC215" s="24"/>
      <c r="AD215" s="44"/>
      <c r="AE215" s="15">
        <f t="shared" si="19"/>
        <v>0</v>
      </c>
      <c r="AF215" s="15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20"/>
        <v>0</v>
      </c>
      <c r="BA215" s="15"/>
      <c r="BB215" s="44"/>
      <c r="BC215" s="15"/>
      <c r="BD215" s="44"/>
      <c r="BE215" s="15">
        <f t="shared" si="16"/>
        <v>0</v>
      </c>
    </row>
    <row r="216" spans="1:57">
      <c r="A216" s="9"/>
      <c r="B216" s="16" t="s">
        <v>204</v>
      </c>
      <c r="C216" s="89" t="s">
        <v>48</v>
      </c>
      <c r="D216" s="69" t="s">
        <v>286</v>
      </c>
      <c r="E216" s="13" t="s">
        <v>206</v>
      </c>
      <c r="F216" s="96"/>
      <c r="G216" s="9"/>
      <c r="H216" s="9" t="s">
        <v>207</v>
      </c>
      <c r="I216" s="14"/>
      <c r="J216" s="14"/>
      <c r="K216" s="12">
        <v>279</v>
      </c>
      <c r="L216" s="9"/>
      <c r="M216" s="9"/>
      <c r="N216" s="9"/>
      <c r="O216" s="38">
        <f t="shared" si="17"/>
        <v>279</v>
      </c>
      <c r="P216" s="12"/>
      <c r="Q216" s="42"/>
      <c r="R216" s="15"/>
      <c r="S216" s="44"/>
      <c r="T216" s="15"/>
      <c r="U216" s="44"/>
      <c r="V216" s="15">
        <f t="shared" si="18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19"/>
        <v>0</v>
      </c>
      <c r="AF216" s="15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20"/>
        <v>0</v>
      </c>
      <c r="BA216" s="15"/>
      <c r="BB216" s="44"/>
      <c r="BC216" s="15"/>
      <c r="BD216" s="44"/>
      <c r="BE216" s="15">
        <f t="shared" si="16"/>
        <v>0</v>
      </c>
    </row>
    <row r="217" spans="1:57">
      <c r="A217" s="9"/>
      <c r="B217" s="16" t="s">
        <v>204</v>
      </c>
      <c r="C217" s="89" t="s">
        <v>48</v>
      </c>
      <c r="D217" s="72" t="s">
        <v>295</v>
      </c>
      <c r="E217" s="13" t="s">
        <v>348</v>
      </c>
      <c r="F217" s="96"/>
      <c r="G217" s="9"/>
      <c r="H217" s="9" t="s">
        <v>207</v>
      </c>
      <c r="I217" s="14"/>
      <c r="J217" s="14"/>
      <c r="K217" s="12">
        <v>0</v>
      </c>
      <c r="L217" s="9"/>
      <c r="M217" s="9"/>
      <c r="N217" s="9"/>
      <c r="O217" s="38">
        <f t="shared" si="17"/>
        <v>0</v>
      </c>
      <c r="P217" s="12"/>
      <c r="Q217" s="42"/>
      <c r="R217" s="15"/>
      <c r="S217" s="44"/>
      <c r="T217" s="15"/>
      <c r="U217" s="44"/>
      <c r="V217" s="15">
        <f t="shared" si="18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19"/>
        <v>0</v>
      </c>
      <c r="AF217" s="15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20"/>
        <v>0</v>
      </c>
      <c r="BA217" s="15"/>
      <c r="BB217" s="44"/>
      <c r="BC217" s="15"/>
      <c r="BD217" s="44"/>
      <c r="BE217" s="15">
        <f t="shared" si="16"/>
        <v>0</v>
      </c>
    </row>
    <row r="218" spans="1:57">
      <c r="A218" s="9"/>
      <c r="B218" s="16" t="s">
        <v>204</v>
      </c>
      <c r="C218" s="89" t="s">
        <v>48</v>
      </c>
      <c r="D218" s="69" t="s">
        <v>296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0</v>
      </c>
      <c r="L218" s="9"/>
      <c r="M218" s="9"/>
      <c r="N218" s="9"/>
      <c r="O218" s="38">
        <f t="shared" si="17"/>
        <v>0</v>
      </c>
      <c r="P218" s="12"/>
      <c r="Q218" s="42"/>
      <c r="R218" s="15"/>
      <c r="S218" s="44"/>
      <c r="T218" s="15"/>
      <c r="U218" s="44"/>
      <c r="V218" s="15">
        <f t="shared" si="18"/>
        <v>0</v>
      </c>
      <c r="W218" s="15"/>
      <c r="X218" s="44"/>
      <c r="Y218" s="15"/>
      <c r="Z218" s="44"/>
      <c r="AA218" s="15"/>
      <c r="AB218" s="44"/>
      <c r="AC218" s="15"/>
      <c r="AD218" s="44"/>
      <c r="AE218" s="15">
        <f t="shared" si="19"/>
        <v>0</v>
      </c>
      <c r="AF218" s="15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20"/>
        <v>0</v>
      </c>
      <c r="BA218" s="15"/>
      <c r="BB218" s="44"/>
      <c r="BC218" s="15"/>
      <c r="BD218" s="44"/>
      <c r="BE218" s="15">
        <f t="shared" si="16"/>
        <v>0</v>
      </c>
    </row>
    <row r="219" spans="1:57">
      <c r="A219" s="9"/>
      <c r="B219" s="16" t="s">
        <v>204</v>
      </c>
      <c r="C219" s="89" t="s">
        <v>48</v>
      </c>
      <c r="D219" s="69" t="s">
        <v>297</v>
      </c>
      <c r="E219" s="13" t="s">
        <v>222</v>
      </c>
      <c r="F219" s="96"/>
      <c r="G219" s="9"/>
      <c r="H219" s="9" t="s">
        <v>207</v>
      </c>
      <c r="I219" s="14"/>
      <c r="J219" s="14"/>
      <c r="K219" s="12">
        <v>49</v>
      </c>
      <c r="L219" s="9"/>
      <c r="M219" s="9"/>
      <c r="N219" s="9"/>
      <c r="O219" s="38">
        <f t="shared" si="17"/>
        <v>49</v>
      </c>
      <c r="P219" s="12"/>
      <c r="Q219" s="42"/>
      <c r="R219" s="15"/>
      <c r="S219" s="44"/>
      <c r="T219" s="15"/>
      <c r="U219" s="44"/>
      <c r="V219" s="15">
        <f t="shared" si="18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19"/>
        <v>0</v>
      </c>
      <c r="AF219" s="15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20"/>
        <v>0</v>
      </c>
      <c r="BA219" s="15"/>
      <c r="BB219" s="44"/>
      <c r="BC219" s="15"/>
      <c r="BD219" s="44"/>
      <c r="BE219" s="15">
        <f t="shared" si="16"/>
        <v>0</v>
      </c>
    </row>
    <row r="220" spans="1:57">
      <c r="A220" s="9"/>
      <c r="B220" s="18" t="s">
        <v>172</v>
      </c>
      <c r="C220" s="89" t="s">
        <v>50</v>
      </c>
      <c r="D220" s="66" t="s">
        <v>349</v>
      </c>
      <c r="E220" s="35"/>
      <c r="F220" s="96"/>
      <c r="G220" s="21"/>
      <c r="H220" s="21" t="s">
        <v>67</v>
      </c>
      <c r="I220" s="14"/>
      <c r="J220" s="14"/>
      <c r="K220" s="12">
        <v>0</v>
      </c>
      <c r="L220" s="9"/>
      <c r="M220" s="9"/>
      <c r="N220" s="9"/>
      <c r="O220" s="38">
        <f t="shared" si="17"/>
        <v>0</v>
      </c>
      <c r="P220" s="12"/>
      <c r="Q220" s="42"/>
      <c r="R220" s="15"/>
      <c r="S220" s="44"/>
      <c r="T220" s="15"/>
      <c r="U220" s="44"/>
      <c r="V220" s="15">
        <f t="shared" si="18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19"/>
        <v>0</v>
      </c>
      <c r="AF220" s="15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20"/>
        <v>0</v>
      </c>
      <c r="BA220" s="15"/>
      <c r="BB220" s="44"/>
      <c r="BC220" s="15"/>
      <c r="BD220" s="44"/>
      <c r="BE220" s="15">
        <f t="shared" si="16"/>
        <v>0</v>
      </c>
    </row>
    <row r="221" spans="1:57">
      <c r="A221" s="9"/>
      <c r="B221" s="18" t="s">
        <v>172</v>
      </c>
      <c r="C221" s="89" t="s">
        <v>50</v>
      </c>
      <c r="D221" s="58" t="s">
        <v>350</v>
      </c>
      <c r="E221" s="35"/>
      <c r="F221" s="96"/>
      <c r="G221" s="21"/>
      <c r="H221" s="21" t="s">
        <v>67</v>
      </c>
      <c r="I221" s="14"/>
      <c r="J221" s="14"/>
      <c r="K221" s="12">
        <v>0</v>
      </c>
      <c r="L221" s="9"/>
      <c r="M221" s="9"/>
      <c r="N221" s="9"/>
      <c r="O221" s="38">
        <f t="shared" si="17"/>
        <v>0</v>
      </c>
      <c r="P221" s="12"/>
      <c r="Q221" s="42"/>
      <c r="R221" s="15"/>
      <c r="S221" s="44"/>
      <c r="T221" s="15"/>
      <c r="U221" s="44"/>
      <c r="V221" s="15">
        <f t="shared" si="18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19"/>
        <v>0</v>
      </c>
      <c r="AF221" s="15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20"/>
        <v>0</v>
      </c>
      <c r="BA221" s="15"/>
      <c r="BB221" s="44"/>
      <c r="BC221" s="15"/>
      <c r="BD221" s="44"/>
      <c r="BE221" s="15">
        <f t="shared" si="16"/>
        <v>0</v>
      </c>
    </row>
    <row r="222" spans="1:57">
      <c r="A222" s="9"/>
      <c r="B222" s="16" t="s">
        <v>172</v>
      </c>
      <c r="C222" s="89" t="s">
        <v>50</v>
      </c>
      <c r="D222" s="72" t="s">
        <v>351</v>
      </c>
      <c r="E222" s="13"/>
      <c r="F222" s="96"/>
      <c r="G222" s="9"/>
      <c r="H222" s="9" t="s">
        <v>67</v>
      </c>
      <c r="I222" s="14"/>
      <c r="J222" s="14"/>
      <c r="K222" s="12">
        <v>62</v>
      </c>
      <c r="L222" s="9"/>
      <c r="M222" s="9"/>
      <c r="N222" s="9"/>
      <c r="O222" s="38">
        <f t="shared" si="17"/>
        <v>62</v>
      </c>
      <c r="P222" s="12"/>
      <c r="Q222" s="42"/>
      <c r="R222" s="15"/>
      <c r="S222" s="44"/>
      <c r="T222" s="15"/>
      <c r="U222" s="44"/>
      <c r="V222" s="15">
        <f t="shared" si="18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19"/>
        <v>0</v>
      </c>
      <c r="AF222" s="15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20"/>
        <v>0</v>
      </c>
      <c r="BA222" s="15"/>
      <c r="BB222" s="44"/>
      <c r="BC222" s="15"/>
      <c r="BD222" s="44"/>
      <c r="BE222" s="15">
        <f t="shared" si="16"/>
        <v>0</v>
      </c>
    </row>
    <row r="223" spans="1:57">
      <c r="A223" s="9"/>
      <c r="B223" s="16" t="s">
        <v>172</v>
      </c>
      <c r="C223" s="89" t="s">
        <v>50</v>
      </c>
      <c r="D223" s="78" t="s">
        <v>352</v>
      </c>
      <c r="E223" s="13"/>
      <c r="F223" s="96"/>
      <c r="G223" s="9"/>
      <c r="H223" s="9" t="s">
        <v>67</v>
      </c>
      <c r="I223" s="14"/>
      <c r="J223" s="14"/>
      <c r="K223" s="12">
        <v>0</v>
      </c>
      <c r="L223" s="9"/>
      <c r="M223" s="9"/>
      <c r="N223" s="9"/>
      <c r="O223" s="38">
        <f t="shared" si="17"/>
        <v>0</v>
      </c>
      <c r="P223" s="12"/>
      <c r="Q223" s="42"/>
      <c r="R223" s="15"/>
      <c r="S223" s="44"/>
      <c r="T223" s="15"/>
      <c r="U223" s="44"/>
      <c r="V223" s="15">
        <f t="shared" si="18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19"/>
        <v>0</v>
      </c>
      <c r="AF223" s="15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20"/>
        <v>0</v>
      </c>
      <c r="BA223" s="15"/>
      <c r="BB223" s="44"/>
      <c r="BC223" s="15"/>
      <c r="BD223" s="44"/>
      <c r="BE223" s="15">
        <f t="shared" ref="BE223:BE286" si="21">(BA223+BC223)</f>
        <v>0</v>
      </c>
    </row>
    <row r="224" spans="1:57">
      <c r="A224" s="9"/>
      <c r="B224" s="16" t="s">
        <v>172</v>
      </c>
      <c r="C224" s="89" t="s">
        <v>50</v>
      </c>
      <c r="D224" s="78" t="s">
        <v>353</v>
      </c>
      <c r="E224" s="13"/>
      <c r="F224" s="96"/>
      <c r="G224" s="9"/>
      <c r="H224" s="9" t="s">
        <v>67</v>
      </c>
      <c r="I224" s="14"/>
      <c r="J224" s="14"/>
      <c r="K224" s="12">
        <v>68</v>
      </c>
      <c r="L224" s="9"/>
      <c r="M224" s="9"/>
      <c r="N224" s="9"/>
      <c r="O224" s="38">
        <f t="shared" si="17"/>
        <v>68</v>
      </c>
      <c r="P224" s="12"/>
      <c r="Q224" s="42"/>
      <c r="R224" s="15"/>
      <c r="S224" s="44"/>
      <c r="T224" s="15"/>
      <c r="U224" s="44"/>
      <c r="V224" s="15">
        <f t="shared" si="18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19"/>
        <v>0</v>
      </c>
      <c r="AF224" s="15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20"/>
        <v>0</v>
      </c>
      <c r="BA224" s="15"/>
      <c r="BB224" s="44"/>
      <c r="BC224" s="15"/>
      <c r="BD224" s="44"/>
      <c r="BE224" s="15">
        <f t="shared" si="21"/>
        <v>0</v>
      </c>
    </row>
    <row r="225" spans="1:57">
      <c r="A225" s="9"/>
      <c r="B225" s="16" t="s">
        <v>172</v>
      </c>
      <c r="C225" s="89" t="s">
        <v>50</v>
      </c>
      <c r="D225" s="78" t="s">
        <v>354</v>
      </c>
      <c r="E225" s="13"/>
      <c r="F225" s="96"/>
      <c r="G225" s="9"/>
      <c r="H225" s="9" t="s">
        <v>67</v>
      </c>
      <c r="I225" s="14"/>
      <c r="J225" s="14"/>
      <c r="K225" s="12">
        <v>0</v>
      </c>
      <c r="L225" s="9"/>
      <c r="M225" s="9"/>
      <c r="N225" s="9"/>
      <c r="O225" s="38">
        <f t="shared" si="17"/>
        <v>0</v>
      </c>
      <c r="P225" s="12"/>
      <c r="Q225" s="42"/>
      <c r="R225" s="15"/>
      <c r="S225" s="44"/>
      <c r="T225" s="15"/>
      <c r="U225" s="44"/>
      <c r="V225" s="15">
        <f t="shared" si="18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19"/>
        <v>0</v>
      </c>
      <c r="AF225" s="15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20"/>
        <v>0</v>
      </c>
      <c r="BA225" s="15"/>
      <c r="BB225" s="44"/>
      <c r="BC225" s="15"/>
      <c r="BD225" s="44"/>
      <c r="BE225" s="15">
        <f t="shared" si="21"/>
        <v>0</v>
      </c>
    </row>
    <row r="226" spans="1:57">
      <c r="A226" s="9"/>
      <c r="B226" s="16" t="s">
        <v>172</v>
      </c>
      <c r="C226" s="89" t="s">
        <v>50</v>
      </c>
      <c r="D226" s="78" t="s">
        <v>355</v>
      </c>
      <c r="E226" s="13"/>
      <c r="F226" s="96"/>
      <c r="G226" s="9"/>
      <c r="H226" s="9" t="s">
        <v>67</v>
      </c>
      <c r="I226" s="14"/>
      <c r="J226" s="14"/>
      <c r="K226" s="12">
        <v>31</v>
      </c>
      <c r="L226" s="9"/>
      <c r="M226" s="9"/>
      <c r="N226" s="9"/>
      <c r="O226" s="38">
        <f t="shared" si="17"/>
        <v>29</v>
      </c>
      <c r="P226" s="12"/>
      <c r="Q226" s="42"/>
      <c r="R226" s="15"/>
      <c r="S226" s="44"/>
      <c r="T226" s="15"/>
      <c r="U226" s="44"/>
      <c r="V226" s="15">
        <f t="shared" si="18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19"/>
        <v>0</v>
      </c>
      <c r="AF226" s="15">
        <v>2</v>
      </c>
      <c r="AG226" s="42">
        <v>46093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20"/>
        <v>2</v>
      </c>
      <c r="BA226" s="15"/>
      <c r="BB226" s="44"/>
      <c r="BC226" s="15"/>
      <c r="BD226" s="44"/>
      <c r="BE226" s="15">
        <f t="shared" si="21"/>
        <v>0</v>
      </c>
    </row>
    <row r="227" spans="1:57">
      <c r="A227" s="9"/>
      <c r="B227" s="16" t="s">
        <v>120</v>
      </c>
      <c r="C227" s="92" t="s">
        <v>50</v>
      </c>
      <c r="D227" s="79" t="s">
        <v>356</v>
      </c>
      <c r="E227" s="13" t="s">
        <v>357</v>
      </c>
      <c r="F227" s="12"/>
      <c r="G227" s="9"/>
      <c r="H227" s="9" t="s">
        <v>67</v>
      </c>
      <c r="I227" s="14"/>
      <c r="J227" s="14"/>
      <c r="K227" s="12">
        <v>616</v>
      </c>
      <c r="L227" s="9"/>
      <c r="M227" s="9"/>
      <c r="N227" s="9"/>
      <c r="O227" s="38">
        <f t="shared" si="17"/>
        <v>616</v>
      </c>
      <c r="P227" s="12"/>
      <c r="Q227" s="42"/>
      <c r="R227" s="15"/>
      <c r="S227" s="44"/>
      <c r="T227" s="15"/>
      <c r="U227" s="44"/>
      <c r="V227" s="15">
        <f t="shared" si="18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19"/>
        <v>0</v>
      </c>
      <c r="AF227" s="15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20"/>
        <v>0</v>
      </c>
      <c r="BA227" s="15"/>
      <c r="BB227" s="44"/>
      <c r="BC227" s="15"/>
      <c r="BD227" s="44"/>
      <c r="BE227" s="15">
        <f t="shared" si="21"/>
        <v>0</v>
      </c>
    </row>
    <row r="228" spans="1:57">
      <c r="A228" s="9"/>
      <c r="B228" s="16" t="s">
        <v>120</v>
      </c>
      <c r="C228" s="92" t="s">
        <v>50</v>
      </c>
      <c r="D228" s="79" t="s">
        <v>358</v>
      </c>
      <c r="E228" s="13" t="s">
        <v>359</v>
      </c>
      <c r="F228" s="12"/>
      <c r="G228" s="9"/>
      <c r="H228" s="9" t="s">
        <v>67</v>
      </c>
      <c r="I228" s="14"/>
      <c r="J228" s="14"/>
      <c r="K228" s="12">
        <v>73</v>
      </c>
      <c r="L228" s="9"/>
      <c r="M228" s="9"/>
      <c r="N228" s="9"/>
      <c r="O228" s="38">
        <f t="shared" si="17"/>
        <v>47</v>
      </c>
      <c r="P228" s="12"/>
      <c r="Q228" s="42"/>
      <c r="R228" s="15"/>
      <c r="S228" s="44"/>
      <c r="T228" s="15"/>
      <c r="U228" s="44"/>
      <c r="V228" s="15">
        <f t="shared" si="18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19"/>
        <v>0</v>
      </c>
      <c r="AF228" s="15">
        <v>26</v>
      </c>
      <c r="AG228" s="42">
        <v>46093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20"/>
        <v>26</v>
      </c>
      <c r="BA228" s="15"/>
      <c r="BB228" s="44"/>
      <c r="BC228" s="15"/>
      <c r="BD228" s="44"/>
      <c r="BE228" s="15">
        <f t="shared" si="21"/>
        <v>0</v>
      </c>
    </row>
    <row r="229" spans="1:57">
      <c r="A229" s="9"/>
      <c r="B229" s="16" t="s">
        <v>120</v>
      </c>
      <c r="C229" s="92" t="s">
        <v>50</v>
      </c>
      <c r="D229" s="79" t="s">
        <v>360</v>
      </c>
      <c r="E229" s="13" t="s">
        <v>361</v>
      </c>
      <c r="F229" s="12"/>
      <c r="G229" s="9"/>
      <c r="H229" s="9" t="s">
        <v>67</v>
      </c>
      <c r="I229" s="14"/>
      <c r="J229" s="14"/>
      <c r="K229" s="12">
        <v>227</v>
      </c>
      <c r="L229" s="9"/>
      <c r="M229" s="9"/>
      <c r="N229" s="9"/>
      <c r="O229" s="38">
        <f t="shared" si="17"/>
        <v>227</v>
      </c>
      <c r="P229" s="12"/>
      <c r="Q229" s="42"/>
      <c r="R229" s="15"/>
      <c r="S229" s="44"/>
      <c r="T229" s="15"/>
      <c r="U229" s="44"/>
      <c r="V229" s="15">
        <f t="shared" si="18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19"/>
        <v>0</v>
      </c>
      <c r="AF229" s="15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si="20"/>
        <v>0</v>
      </c>
      <c r="BA229" s="15"/>
      <c r="BB229" s="44"/>
      <c r="BC229" s="15"/>
      <c r="BD229" s="44"/>
      <c r="BE229" s="15">
        <f t="shared" si="21"/>
        <v>0</v>
      </c>
    </row>
    <row r="230" spans="1:57">
      <c r="A230" s="9"/>
      <c r="B230" s="16" t="s">
        <v>120</v>
      </c>
      <c r="C230" s="92" t="s">
        <v>50</v>
      </c>
      <c r="D230" s="79" t="s">
        <v>362</v>
      </c>
      <c r="E230" s="13" t="s">
        <v>363</v>
      </c>
      <c r="F230" s="12"/>
      <c r="G230" s="9"/>
      <c r="H230" s="9" t="s">
        <v>67</v>
      </c>
      <c r="I230" s="14"/>
      <c r="J230" s="14"/>
      <c r="K230" s="12">
        <v>250</v>
      </c>
      <c r="L230" s="9"/>
      <c r="M230" s="9"/>
      <c r="N230" s="9"/>
      <c r="O230" s="38">
        <f t="shared" si="17"/>
        <v>250</v>
      </c>
      <c r="P230" s="12"/>
      <c r="Q230" s="42"/>
      <c r="R230" s="15"/>
      <c r="S230" s="44"/>
      <c r="T230" s="15"/>
      <c r="U230" s="44"/>
      <c r="V230" s="15">
        <f t="shared" si="18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19"/>
        <v>0</v>
      </c>
      <c r="AF230" s="15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0"/>
        <v>0</v>
      </c>
      <c r="BA230" s="15"/>
      <c r="BB230" s="44"/>
      <c r="BC230" s="15"/>
      <c r="BD230" s="44"/>
      <c r="BE230" s="15">
        <f t="shared" si="21"/>
        <v>0</v>
      </c>
    </row>
    <row r="231" spans="1:57">
      <c r="A231" s="9"/>
      <c r="B231" s="16" t="s">
        <v>204</v>
      </c>
      <c r="C231" s="92" t="s">
        <v>50</v>
      </c>
      <c r="D231" s="58" t="s">
        <v>364</v>
      </c>
      <c r="E231" s="35" t="s">
        <v>365</v>
      </c>
      <c r="F231" s="20"/>
      <c r="G231" s="21"/>
      <c r="H231" s="21" t="s">
        <v>207</v>
      </c>
      <c r="I231" s="14"/>
      <c r="J231" s="14"/>
      <c r="K231" s="12">
        <v>164</v>
      </c>
      <c r="L231" s="9"/>
      <c r="M231" s="9"/>
      <c r="N231" s="9"/>
      <c r="O231" s="38">
        <f t="shared" si="17"/>
        <v>164</v>
      </c>
      <c r="P231" s="12"/>
      <c r="Q231" s="42"/>
      <c r="R231" s="15"/>
      <c r="S231" s="44"/>
      <c r="T231" s="15"/>
      <c r="U231" s="44"/>
      <c r="V231" s="15">
        <f t="shared" si="18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19"/>
        <v>0</v>
      </c>
      <c r="AF231" s="15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0"/>
        <v>0</v>
      </c>
      <c r="BA231" s="15"/>
      <c r="BB231" s="44"/>
      <c r="BC231" s="15"/>
      <c r="BD231" s="44"/>
      <c r="BE231" s="15">
        <f t="shared" si="21"/>
        <v>0</v>
      </c>
    </row>
    <row r="232" spans="1:57">
      <c r="A232" s="9"/>
      <c r="B232" s="16" t="s">
        <v>204</v>
      </c>
      <c r="C232" s="92" t="s">
        <v>50</v>
      </c>
      <c r="D232" s="58" t="s">
        <v>366</v>
      </c>
      <c r="E232" s="35" t="s">
        <v>365</v>
      </c>
      <c r="F232" s="20"/>
      <c r="G232" s="21"/>
      <c r="H232" s="21" t="s">
        <v>207</v>
      </c>
      <c r="I232" s="14"/>
      <c r="J232" s="14"/>
      <c r="K232" s="12">
        <v>178</v>
      </c>
      <c r="L232" s="9"/>
      <c r="M232" s="9"/>
      <c r="N232" s="9"/>
      <c r="O232" s="38">
        <f t="shared" si="17"/>
        <v>178</v>
      </c>
      <c r="P232" s="12"/>
      <c r="Q232" s="42"/>
      <c r="R232" s="15"/>
      <c r="S232" s="44"/>
      <c r="T232" s="15"/>
      <c r="U232" s="44"/>
      <c r="V232" s="15">
        <f t="shared" si="18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19"/>
        <v>0</v>
      </c>
      <c r="AF232" s="15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0"/>
        <v>0</v>
      </c>
      <c r="BA232" s="15"/>
      <c r="BB232" s="44"/>
      <c r="BC232" s="15"/>
      <c r="BD232" s="44"/>
      <c r="BE232" s="15">
        <f t="shared" si="21"/>
        <v>0</v>
      </c>
    </row>
    <row r="233" spans="1:57">
      <c r="A233" s="9"/>
      <c r="B233" s="16" t="s">
        <v>204</v>
      </c>
      <c r="C233" s="92" t="s">
        <v>50</v>
      </c>
      <c r="D233" s="58" t="s">
        <v>367</v>
      </c>
      <c r="E233" s="35" t="s">
        <v>368</v>
      </c>
      <c r="F233" s="20"/>
      <c r="G233" s="21"/>
      <c r="H233" s="21" t="s">
        <v>207</v>
      </c>
      <c r="I233" s="14"/>
      <c r="J233" s="14"/>
      <c r="K233" s="12">
        <v>205</v>
      </c>
      <c r="L233" s="9"/>
      <c r="M233" s="9"/>
      <c r="N233" s="9"/>
      <c r="O233" s="38">
        <f t="shared" si="17"/>
        <v>205</v>
      </c>
      <c r="P233" s="12"/>
      <c r="Q233" s="42"/>
      <c r="R233" s="15"/>
      <c r="S233" s="44"/>
      <c r="T233" s="15"/>
      <c r="U233" s="44"/>
      <c r="V233" s="15">
        <f t="shared" si="18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19"/>
        <v>0</v>
      </c>
      <c r="AF233" s="15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0"/>
        <v>0</v>
      </c>
      <c r="BA233" s="15"/>
      <c r="BB233" s="44"/>
      <c r="BC233" s="15"/>
      <c r="BD233" s="44"/>
      <c r="BE233" s="15">
        <f t="shared" si="21"/>
        <v>0</v>
      </c>
    </row>
    <row r="234" spans="1:57">
      <c r="A234" s="9"/>
      <c r="B234" s="16" t="s">
        <v>204</v>
      </c>
      <c r="C234" s="92" t="s">
        <v>50</v>
      </c>
      <c r="D234" s="58" t="s">
        <v>369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36</v>
      </c>
      <c r="L234" s="9"/>
      <c r="M234" s="9"/>
      <c r="N234" s="9"/>
      <c r="O234" s="38">
        <f t="shared" si="17"/>
        <v>36</v>
      </c>
      <c r="P234" s="12"/>
      <c r="Q234" s="42"/>
      <c r="R234" s="15"/>
      <c r="S234" s="44"/>
      <c r="T234" s="15"/>
      <c r="U234" s="44"/>
      <c r="V234" s="15">
        <f t="shared" si="18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19"/>
        <v>0</v>
      </c>
      <c r="AF234" s="15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0"/>
        <v>0</v>
      </c>
      <c r="BA234" s="15"/>
      <c r="BB234" s="44"/>
      <c r="BC234" s="15"/>
      <c r="BD234" s="44"/>
      <c r="BE234" s="15">
        <f t="shared" si="21"/>
        <v>0</v>
      </c>
    </row>
    <row r="235" spans="1:57">
      <c r="A235" s="9"/>
      <c r="B235" s="16" t="s">
        <v>204</v>
      </c>
      <c r="C235" s="92" t="s">
        <v>50</v>
      </c>
      <c r="D235" s="58" t="s">
        <v>370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544</v>
      </c>
      <c r="L235" s="9"/>
      <c r="M235" s="9"/>
      <c r="N235" s="9"/>
      <c r="O235" s="38">
        <f t="shared" si="17"/>
        <v>542</v>
      </c>
      <c r="P235" s="12"/>
      <c r="Q235" s="42"/>
      <c r="R235" s="15"/>
      <c r="S235" s="44"/>
      <c r="T235" s="15"/>
      <c r="U235" s="44"/>
      <c r="V235" s="15">
        <f t="shared" si="18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19"/>
        <v>0</v>
      </c>
      <c r="AF235" s="15">
        <v>2</v>
      </c>
      <c r="AG235" s="42">
        <v>46093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0"/>
        <v>2</v>
      </c>
      <c r="BA235" s="15"/>
      <c r="BB235" s="44"/>
      <c r="BC235" s="15"/>
      <c r="BD235" s="44"/>
      <c r="BE235" s="15">
        <f t="shared" si="21"/>
        <v>0</v>
      </c>
    </row>
    <row r="236" spans="1:57">
      <c r="A236" s="9"/>
      <c r="B236" s="16" t="s">
        <v>204</v>
      </c>
      <c r="C236" s="92" t="s">
        <v>50</v>
      </c>
      <c r="D236" s="58" t="s">
        <v>371</v>
      </c>
      <c r="E236" s="35" t="s">
        <v>365</v>
      </c>
      <c r="F236" s="20"/>
      <c r="G236" s="21"/>
      <c r="H236" s="21" t="s">
        <v>207</v>
      </c>
      <c r="I236" s="14"/>
      <c r="J236" s="14"/>
      <c r="K236" s="12">
        <v>537</v>
      </c>
      <c r="L236" s="9"/>
      <c r="M236" s="9"/>
      <c r="N236" s="9"/>
      <c r="O236" s="38">
        <f t="shared" si="17"/>
        <v>537</v>
      </c>
      <c r="P236" s="12"/>
      <c r="Q236" s="42"/>
      <c r="R236" s="15"/>
      <c r="S236" s="44"/>
      <c r="T236" s="15"/>
      <c r="U236" s="44"/>
      <c r="V236" s="15">
        <f t="shared" si="18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19"/>
        <v>0</v>
      </c>
      <c r="AF236" s="15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0"/>
        <v>0</v>
      </c>
      <c r="BA236" s="15"/>
      <c r="BB236" s="44"/>
      <c r="BC236" s="15"/>
      <c r="BD236" s="44"/>
      <c r="BE236" s="15">
        <f t="shared" si="21"/>
        <v>0</v>
      </c>
    </row>
    <row r="237" spans="1:57">
      <c r="A237" s="9"/>
      <c r="B237" s="16" t="s">
        <v>204</v>
      </c>
      <c r="C237" s="92" t="s">
        <v>50</v>
      </c>
      <c r="D237" s="58" t="s">
        <v>372</v>
      </c>
      <c r="E237" s="35" t="s">
        <v>373</v>
      </c>
      <c r="F237" s="20"/>
      <c r="G237" s="21"/>
      <c r="H237" s="21" t="s">
        <v>207</v>
      </c>
      <c r="I237" s="14"/>
      <c r="J237" s="14"/>
      <c r="K237" s="12">
        <v>0</v>
      </c>
      <c r="L237" s="9"/>
      <c r="M237" s="9"/>
      <c r="N237" s="9"/>
      <c r="O237" s="38">
        <f t="shared" si="17"/>
        <v>0</v>
      </c>
      <c r="P237" s="12"/>
      <c r="Q237" s="42"/>
      <c r="R237" s="15"/>
      <c r="S237" s="44"/>
      <c r="T237" s="15"/>
      <c r="U237" s="44"/>
      <c r="V237" s="15">
        <f t="shared" si="18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19"/>
        <v>0</v>
      </c>
      <c r="AF237" s="15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0"/>
        <v>0</v>
      </c>
      <c r="BA237" s="15"/>
      <c r="BB237" s="44"/>
      <c r="BC237" s="15"/>
      <c r="BD237" s="44"/>
      <c r="BE237" s="15">
        <f t="shared" si="21"/>
        <v>0</v>
      </c>
    </row>
    <row r="238" spans="1:57">
      <c r="A238" s="9"/>
      <c r="B238" s="16" t="s">
        <v>204</v>
      </c>
      <c r="C238" s="92" t="s">
        <v>50</v>
      </c>
      <c r="D238" s="58" t="s">
        <v>205</v>
      </c>
      <c r="E238" s="35" t="s">
        <v>373</v>
      </c>
      <c r="F238" s="20"/>
      <c r="G238" s="21"/>
      <c r="H238" s="21" t="s">
        <v>374</v>
      </c>
      <c r="I238" s="14"/>
      <c r="J238" s="14"/>
      <c r="K238" s="12">
        <v>71</v>
      </c>
      <c r="L238" s="9"/>
      <c r="M238" s="9"/>
      <c r="N238" s="9"/>
      <c r="O238" s="38">
        <f t="shared" si="17"/>
        <v>71</v>
      </c>
      <c r="P238" s="12"/>
      <c r="Q238" s="42"/>
      <c r="R238" s="15"/>
      <c r="S238" s="44"/>
      <c r="T238" s="15"/>
      <c r="U238" s="44"/>
      <c r="V238" s="15">
        <f t="shared" si="18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19"/>
        <v>0</v>
      </c>
      <c r="AF238" s="15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0"/>
        <v>0</v>
      </c>
      <c r="BA238" s="15"/>
      <c r="BB238" s="44"/>
      <c r="BC238" s="15"/>
      <c r="BD238" s="44"/>
      <c r="BE238" s="15">
        <f t="shared" si="21"/>
        <v>0</v>
      </c>
    </row>
    <row r="239" spans="1:57">
      <c r="A239" s="9"/>
      <c r="B239" s="16" t="s">
        <v>204</v>
      </c>
      <c r="C239" s="92" t="s">
        <v>50</v>
      </c>
      <c r="D239" s="58" t="s">
        <v>375</v>
      </c>
      <c r="E239" s="35" t="s">
        <v>373</v>
      </c>
      <c r="F239" s="20"/>
      <c r="G239" s="21"/>
      <c r="H239" s="21" t="s">
        <v>207</v>
      </c>
      <c r="I239" s="14"/>
      <c r="J239" s="14"/>
      <c r="K239" s="12">
        <v>553</v>
      </c>
      <c r="L239" s="9"/>
      <c r="M239" s="9"/>
      <c r="N239" s="9"/>
      <c r="O239" s="38">
        <f t="shared" si="17"/>
        <v>553</v>
      </c>
      <c r="P239" s="12"/>
      <c r="Q239" s="42"/>
      <c r="R239" s="15"/>
      <c r="S239" s="44"/>
      <c r="T239" s="15"/>
      <c r="U239" s="44"/>
      <c r="V239" s="15">
        <f t="shared" si="18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19"/>
        <v>0</v>
      </c>
      <c r="AF239" s="15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0"/>
        <v>0</v>
      </c>
      <c r="BA239" s="15"/>
      <c r="BB239" s="44"/>
      <c r="BC239" s="15"/>
      <c r="BD239" s="44"/>
      <c r="BE239" s="15">
        <f t="shared" si="21"/>
        <v>0</v>
      </c>
    </row>
    <row r="240" spans="1:57">
      <c r="A240" s="9"/>
      <c r="B240" s="16" t="s">
        <v>204</v>
      </c>
      <c r="C240" s="92" t="s">
        <v>50</v>
      </c>
      <c r="D240" s="58" t="s">
        <v>376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529</v>
      </c>
      <c r="L240" s="9"/>
      <c r="M240" s="9"/>
      <c r="N240" s="9"/>
      <c r="O240" s="38">
        <f t="shared" si="17"/>
        <v>529</v>
      </c>
      <c r="P240" s="12"/>
      <c r="Q240" s="42"/>
      <c r="R240" s="15"/>
      <c r="S240" s="44"/>
      <c r="T240" s="15"/>
      <c r="U240" s="44"/>
      <c r="V240" s="15">
        <f t="shared" si="18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19"/>
        <v>0</v>
      </c>
      <c r="AF240" s="15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0"/>
        <v>0</v>
      </c>
      <c r="BA240" s="15"/>
      <c r="BB240" s="44"/>
      <c r="BC240" s="15"/>
      <c r="BD240" s="44"/>
      <c r="BE240" s="15">
        <f t="shared" si="21"/>
        <v>0</v>
      </c>
    </row>
    <row r="241" spans="1:57">
      <c r="A241" s="9"/>
      <c r="B241" s="16" t="s">
        <v>204</v>
      </c>
      <c r="C241" s="92" t="s">
        <v>50</v>
      </c>
      <c r="D241" s="58" t="s">
        <v>377</v>
      </c>
      <c r="E241" s="35" t="s">
        <v>365</v>
      </c>
      <c r="F241" s="20"/>
      <c r="G241" s="21"/>
      <c r="H241" s="21" t="s">
        <v>207</v>
      </c>
      <c r="I241" s="14"/>
      <c r="J241" s="14"/>
      <c r="K241" s="12">
        <v>554</v>
      </c>
      <c r="L241" s="9"/>
      <c r="M241" s="9"/>
      <c r="N241" s="9"/>
      <c r="O241" s="38">
        <f t="shared" si="17"/>
        <v>554</v>
      </c>
      <c r="P241" s="12"/>
      <c r="Q241" s="42"/>
      <c r="R241" s="15"/>
      <c r="S241" s="44"/>
      <c r="T241" s="15"/>
      <c r="U241" s="44"/>
      <c r="V241" s="15">
        <f t="shared" si="18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19"/>
        <v>0</v>
      </c>
      <c r="AF241" s="15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0"/>
        <v>0</v>
      </c>
      <c r="BA241" s="15"/>
      <c r="BB241" s="44"/>
      <c r="BC241" s="15"/>
      <c r="BD241" s="44"/>
      <c r="BE241" s="15">
        <f t="shared" si="21"/>
        <v>0</v>
      </c>
    </row>
    <row r="242" spans="1:57">
      <c r="A242" s="9"/>
      <c r="B242" s="16" t="s">
        <v>204</v>
      </c>
      <c r="C242" s="92" t="s">
        <v>50</v>
      </c>
      <c r="D242" s="58" t="s">
        <v>378</v>
      </c>
      <c r="E242" s="35" t="s">
        <v>368</v>
      </c>
      <c r="F242" s="20"/>
      <c r="G242" s="21"/>
      <c r="H242" s="21" t="s">
        <v>207</v>
      </c>
      <c r="I242" s="14"/>
      <c r="J242" s="14"/>
      <c r="K242" s="12">
        <v>500</v>
      </c>
      <c r="L242" s="9"/>
      <c r="M242" s="9"/>
      <c r="N242" s="9"/>
      <c r="O242" s="38">
        <f t="shared" si="17"/>
        <v>500</v>
      </c>
      <c r="P242" s="12"/>
      <c r="Q242" s="42"/>
      <c r="R242" s="15"/>
      <c r="S242" s="44"/>
      <c r="T242" s="15"/>
      <c r="U242" s="44"/>
      <c r="V242" s="15">
        <f t="shared" si="18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19"/>
        <v>0</v>
      </c>
      <c r="AF242" s="15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0"/>
        <v>0</v>
      </c>
      <c r="BA242" s="15"/>
      <c r="BB242" s="44"/>
      <c r="BC242" s="15"/>
      <c r="BD242" s="44"/>
      <c r="BE242" s="15">
        <f t="shared" si="21"/>
        <v>0</v>
      </c>
    </row>
    <row r="243" spans="1:57">
      <c r="A243" s="9"/>
      <c r="B243" s="16" t="s">
        <v>204</v>
      </c>
      <c r="C243" s="92" t="s">
        <v>50</v>
      </c>
      <c r="D243" s="58" t="s">
        <v>379</v>
      </c>
      <c r="E243" s="35" t="s">
        <v>368</v>
      </c>
      <c r="F243" s="20"/>
      <c r="G243" s="21"/>
      <c r="H243" s="21" t="s">
        <v>207</v>
      </c>
      <c r="I243" s="14"/>
      <c r="J243" s="14"/>
      <c r="K243" s="12">
        <v>139</v>
      </c>
      <c r="L243" s="9"/>
      <c r="M243" s="9"/>
      <c r="N243" s="9"/>
      <c r="O243" s="38">
        <f t="shared" si="17"/>
        <v>139</v>
      </c>
      <c r="P243" s="12"/>
      <c r="Q243" s="42"/>
      <c r="R243" s="15"/>
      <c r="S243" s="44"/>
      <c r="T243" s="15"/>
      <c r="U243" s="44"/>
      <c r="V243" s="15">
        <f t="shared" si="18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19"/>
        <v>0</v>
      </c>
      <c r="AF243" s="15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0"/>
        <v>0</v>
      </c>
      <c r="BA243" s="15"/>
      <c r="BB243" s="44"/>
      <c r="BC243" s="15"/>
      <c r="BD243" s="44"/>
      <c r="BE243" s="15">
        <f t="shared" si="21"/>
        <v>0</v>
      </c>
    </row>
    <row r="244" spans="1:57">
      <c r="A244" s="9"/>
      <c r="B244" s="16" t="s">
        <v>204</v>
      </c>
      <c r="C244" s="92" t="s">
        <v>50</v>
      </c>
      <c r="D244" s="58" t="s">
        <v>380</v>
      </c>
      <c r="E244" s="35" t="s">
        <v>373</v>
      </c>
      <c r="F244" s="20"/>
      <c r="G244" s="21"/>
      <c r="H244" s="21" t="s">
        <v>207</v>
      </c>
      <c r="I244" s="14"/>
      <c r="J244" s="14"/>
      <c r="K244" s="12">
        <v>550</v>
      </c>
      <c r="L244" s="9"/>
      <c r="M244" s="9"/>
      <c r="N244" s="9"/>
      <c r="O244" s="38">
        <f t="shared" si="17"/>
        <v>550</v>
      </c>
      <c r="P244" s="12"/>
      <c r="Q244" s="42"/>
      <c r="R244" s="15"/>
      <c r="S244" s="44"/>
      <c r="T244" s="15"/>
      <c r="U244" s="44"/>
      <c r="V244" s="15">
        <f t="shared" si="18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19"/>
        <v>0</v>
      </c>
      <c r="AF244" s="15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0"/>
        <v>0</v>
      </c>
      <c r="BA244" s="15"/>
      <c r="BB244" s="44"/>
      <c r="BC244" s="15"/>
      <c r="BD244" s="44"/>
      <c r="BE244" s="15">
        <f t="shared" si="21"/>
        <v>0</v>
      </c>
    </row>
    <row r="245" spans="1:57">
      <c r="A245" s="9"/>
      <c r="B245" s="16" t="s">
        <v>204</v>
      </c>
      <c r="C245" s="92" t="s">
        <v>50</v>
      </c>
      <c r="D245" s="58" t="s">
        <v>381</v>
      </c>
      <c r="E245" s="35" t="s">
        <v>382</v>
      </c>
      <c r="F245" s="20"/>
      <c r="G245" s="21"/>
      <c r="H245" s="21" t="s">
        <v>207</v>
      </c>
      <c r="I245" s="14"/>
      <c r="J245" s="14"/>
      <c r="K245" s="12">
        <v>551</v>
      </c>
      <c r="L245" s="9"/>
      <c r="M245" s="9"/>
      <c r="N245" s="9"/>
      <c r="O245" s="38">
        <f t="shared" si="17"/>
        <v>551</v>
      </c>
      <c r="P245" s="12"/>
      <c r="Q245" s="42"/>
      <c r="R245" s="15"/>
      <c r="S245" s="44"/>
      <c r="T245" s="15"/>
      <c r="U245" s="44"/>
      <c r="V245" s="15">
        <f t="shared" si="18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19"/>
        <v>0</v>
      </c>
      <c r="AF245" s="15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0"/>
        <v>0</v>
      </c>
      <c r="BA245" s="15"/>
      <c r="BB245" s="44"/>
      <c r="BC245" s="15"/>
      <c r="BD245" s="44"/>
      <c r="BE245" s="15">
        <f t="shared" si="21"/>
        <v>0</v>
      </c>
    </row>
    <row r="246" spans="1:57">
      <c r="A246" s="9"/>
      <c r="B246" s="16" t="s">
        <v>204</v>
      </c>
      <c r="C246" s="92" t="s">
        <v>50</v>
      </c>
      <c r="D246" s="58" t="s">
        <v>383</v>
      </c>
      <c r="E246" s="35" t="s">
        <v>384</v>
      </c>
      <c r="F246" s="20"/>
      <c r="G246" s="21"/>
      <c r="H246" s="21" t="s">
        <v>207</v>
      </c>
      <c r="I246" s="14"/>
      <c r="J246" s="14"/>
      <c r="K246" s="12">
        <v>552</v>
      </c>
      <c r="L246" s="9"/>
      <c r="M246" s="9"/>
      <c r="N246" s="9"/>
      <c r="O246" s="38">
        <f t="shared" si="17"/>
        <v>552</v>
      </c>
      <c r="P246" s="12"/>
      <c r="Q246" s="42"/>
      <c r="R246" s="15"/>
      <c r="S246" s="44"/>
      <c r="T246" s="15"/>
      <c r="U246" s="44"/>
      <c r="V246" s="15">
        <f t="shared" si="18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19"/>
        <v>0</v>
      </c>
      <c r="AF246" s="15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0"/>
        <v>0</v>
      </c>
      <c r="BA246" s="15"/>
      <c r="BB246" s="44"/>
      <c r="BC246" s="15"/>
      <c r="BD246" s="44"/>
      <c r="BE246" s="15">
        <f t="shared" si="21"/>
        <v>0</v>
      </c>
    </row>
    <row r="247" spans="1:57">
      <c r="A247" s="9"/>
      <c r="B247" s="16" t="s">
        <v>204</v>
      </c>
      <c r="C247" s="92" t="s">
        <v>50</v>
      </c>
      <c r="D247" s="58" t="s">
        <v>385</v>
      </c>
      <c r="E247" s="35" t="s">
        <v>368</v>
      </c>
      <c r="F247" s="20"/>
      <c r="G247" s="21"/>
      <c r="H247" s="21" t="s">
        <v>207</v>
      </c>
      <c r="I247" s="14"/>
      <c r="J247" s="14"/>
      <c r="K247" s="12">
        <v>53</v>
      </c>
      <c r="L247" s="9"/>
      <c r="M247" s="9"/>
      <c r="N247" s="9"/>
      <c r="O247" s="38">
        <f t="shared" si="17"/>
        <v>53</v>
      </c>
      <c r="P247" s="12"/>
      <c r="Q247" s="42"/>
      <c r="R247" s="15"/>
      <c r="S247" s="44"/>
      <c r="T247" s="15"/>
      <c r="U247" s="44"/>
      <c r="V247" s="15">
        <f t="shared" si="18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19"/>
        <v>0</v>
      </c>
      <c r="AF247" s="15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0"/>
        <v>0</v>
      </c>
      <c r="BA247" s="15"/>
      <c r="BB247" s="44"/>
      <c r="BC247" s="15"/>
      <c r="BD247" s="44"/>
      <c r="BE247" s="15">
        <f t="shared" si="21"/>
        <v>0</v>
      </c>
    </row>
    <row r="248" spans="1:57">
      <c r="A248" s="9"/>
      <c r="B248" s="16" t="s">
        <v>204</v>
      </c>
      <c r="C248" s="92" t="s">
        <v>50</v>
      </c>
      <c r="D248" s="58" t="s">
        <v>386</v>
      </c>
      <c r="E248" s="35"/>
      <c r="F248" s="20"/>
      <c r="G248" s="21"/>
      <c r="H248" s="21" t="s">
        <v>207</v>
      </c>
      <c r="I248" s="14"/>
      <c r="J248" s="14"/>
      <c r="K248" s="12">
        <v>552</v>
      </c>
      <c r="L248" s="9"/>
      <c r="M248" s="9"/>
      <c r="N248" s="9"/>
      <c r="O248" s="38">
        <f t="shared" si="17"/>
        <v>552</v>
      </c>
      <c r="P248" s="12"/>
      <c r="Q248" s="42"/>
      <c r="R248" s="15"/>
      <c r="S248" s="44"/>
      <c r="T248" s="15"/>
      <c r="U248" s="44"/>
      <c r="V248" s="15">
        <f t="shared" si="18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19"/>
        <v>0</v>
      </c>
      <c r="AF248" s="15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0"/>
        <v>0</v>
      </c>
      <c r="BA248" s="15"/>
      <c r="BB248" s="44"/>
      <c r="BC248" s="15"/>
      <c r="BD248" s="44"/>
      <c r="BE248" s="15">
        <f t="shared" si="21"/>
        <v>0</v>
      </c>
    </row>
    <row r="249" spans="1:57">
      <c r="A249" s="9"/>
      <c r="B249" s="16" t="s">
        <v>204</v>
      </c>
      <c r="C249" s="92" t="s">
        <v>50</v>
      </c>
      <c r="D249" s="58" t="s">
        <v>387</v>
      </c>
      <c r="E249" s="35" t="s">
        <v>365</v>
      </c>
      <c r="F249" s="20"/>
      <c r="G249" s="21"/>
      <c r="H249" s="21" t="s">
        <v>207</v>
      </c>
      <c r="I249" s="14"/>
      <c r="J249" s="14"/>
      <c r="K249" s="12">
        <v>0</v>
      </c>
      <c r="L249" s="9"/>
      <c r="M249" s="9"/>
      <c r="N249" s="9"/>
      <c r="O249" s="38">
        <f t="shared" si="17"/>
        <v>0</v>
      </c>
      <c r="P249" s="12"/>
      <c r="Q249" s="42"/>
      <c r="R249" s="15"/>
      <c r="S249" s="44"/>
      <c r="T249" s="15"/>
      <c r="U249" s="44"/>
      <c r="V249" s="15">
        <f t="shared" si="18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19"/>
        <v>0</v>
      </c>
      <c r="AF249" s="15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0"/>
        <v>0</v>
      </c>
      <c r="BA249" s="15"/>
      <c r="BB249" s="44"/>
      <c r="BC249" s="15"/>
      <c r="BD249" s="44"/>
      <c r="BE249" s="15">
        <f t="shared" si="21"/>
        <v>0</v>
      </c>
    </row>
    <row r="250" spans="1:57" ht="36" customHeight="1">
      <c r="A250" s="9"/>
      <c r="B250" s="16" t="s">
        <v>233</v>
      </c>
      <c r="C250" s="92" t="s">
        <v>50</v>
      </c>
      <c r="D250" s="58" t="s">
        <v>388</v>
      </c>
      <c r="E250" s="98" t="s">
        <v>389</v>
      </c>
      <c r="F250" s="20"/>
      <c r="G250" s="21"/>
      <c r="H250" s="21" t="s">
        <v>207</v>
      </c>
      <c r="I250" s="14"/>
      <c r="J250" s="14"/>
      <c r="K250" s="12">
        <v>527</v>
      </c>
      <c r="L250" s="9"/>
      <c r="M250" s="9"/>
      <c r="N250" s="9"/>
      <c r="O250" s="38">
        <f t="shared" si="17"/>
        <v>527</v>
      </c>
      <c r="P250" s="12"/>
      <c r="Q250" s="42"/>
      <c r="R250" s="15"/>
      <c r="S250" s="44"/>
      <c r="T250" s="15"/>
      <c r="U250" s="44"/>
      <c r="V250" s="15">
        <f t="shared" si="18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19"/>
        <v>0</v>
      </c>
      <c r="AF250" s="15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0"/>
        <v>0</v>
      </c>
      <c r="BA250" s="15"/>
      <c r="BB250" s="44"/>
      <c r="BC250" s="15"/>
      <c r="BD250" s="44"/>
      <c r="BE250" s="15">
        <f t="shared" si="21"/>
        <v>0</v>
      </c>
    </row>
    <row r="251" spans="1:57">
      <c r="A251" s="9"/>
      <c r="B251" s="16" t="s">
        <v>233</v>
      </c>
      <c r="C251" s="92" t="s">
        <v>50</v>
      </c>
      <c r="D251" s="58" t="s">
        <v>390</v>
      </c>
      <c r="E251" s="35" t="s">
        <v>391</v>
      </c>
      <c r="F251" s="20"/>
      <c r="G251" s="21"/>
      <c r="H251" s="21" t="s">
        <v>207</v>
      </c>
      <c r="I251" s="14"/>
      <c r="J251" s="14"/>
      <c r="K251" s="12">
        <v>493</v>
      </c>
      <c r="L251" s="9"/>
      <c r="M251" s="9"/>
      <c r="N251" s="9"/>
      <c r="O251" s="38">
        <f t="shared" si="17"/>
        <v>493</v>
      </c>
      <c r="P251" s="12"/>
      <c r="Q251" s="42"/>
      <c r="R251" s="15"/>
      <c r="S251" s="44"/>
      <c r="T251" s="15"/>
      <c r="U251" s="44"/>
      <c r="V251" s="15">
        <f t="shared" si="18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19"/>
        <v>0</v>
      </c>
      <c r="AF251" s="15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0"/>
        <v>0</v>
      </c>
      <c r="BA251" s="15"/>
      <c r="BB251" s="44"/>
      <c r="BC251" s="15"/>
      <c r="BD251" s="44"/>
      <c r="BE251" s="15">
        <f t="shared" si="21"/>
        <v>0</v>
      </c>
    </row>
    <row r="252" spans="1:57" ht="36" customHeight="1">
      <c r="A252" s="9"/>
      <c r="B252" s="16" t="s">
        <v>233</v>
      </c>
      <c r="C252" s="92" t="s">
        <v>50</v>
      </c>
      <c r="D252" s="58" t="s">
        <v>392</v>
      </c>
      <c r="E252" s="98" t="s">
        <v>389</v>
      </c>
      <c r="F252" s="20"/>
      <c r="G252" s="21"/>
      <c r="H252" s="21" t="s">
        <v>207</v>
      </c>
      <c r="I252" s="14"/>
      <c r="J252" s="14"/>
      <c r="K252" s="12">
        <v>554</v>
      </c>
      <c r="L252" s="9"/>
      <c r="M252" s="9"/>
      <c r="N252" s="9"/>
      <c r="O252" s="38">
        <f t="shared" si="17"/>
        <v>554</v>
      </c>
      <c r="P252" s="12"/>
      <c r="Q252" s="42"/>
      <c r="R252" s="15"/>
      <c r="S252" s="44"/>
      <c r="T252" s="15"/>
      <c r="U252" s="44"/>
      <c r="V252" s="15">
        <f t="shared" si="18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19"/>
        <v>0</v>
      </c>
      <c r="AF252" s="15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0"/>
        <v>0</v>
      </c>
      <c r="BA252" s="15"/>
      <c r="BB252" s="44"/>
      <c r="BC252" s="15"/>
      <c r="BD252" s="44"/>
      <c r="BE252" s="15">
        <f t="shared" si="21"/>
        <v>0</v>
      </c>
    </row>
    <row r="253" spans="1:57">
      <c r="A253" s="9"/>
      <c r="B253" s="16" t="s">
        <v>233</v>
      </c>
      <c r="C253" s="92" t="s">
        <v>50</v>
      </c>
      <c r="D253" s="58" t="s">
        <v>393</v>
      </c>
      <c r="E253" s="35" t="s">
        <v>394</v>
      </c>
      <c r="F253" s="20"/>
      <c r="G253" s="21"/>
      <c r="H253" s="21" t="s">
        <v>207</v>
      </c>
      <c r="I253" s="14"/>
      <c r="J253" s="14"/>
      <c r="K253" s="12">
        <v>476</v>
      </c>
      <c r="L253" s="9"/>
      <c r="M253" s="9"/>
      <c r="N253" s="9"/>
      <c r="O253" s="38">
        <f t="shared" si="17"/>
        <v>476</v>
      </c>
      <c r="P253" s="12"/>
      <c r="Q253" s="42"/>
      <c r="R253" s="15"/>
      <c r="S253" s="44"/>
      <c r="T253" s="15"/>
      <c r="U253" s="44"/>
      <c r="V253" s="15">
        <f t="shared" si="18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19"/>
        <v>0</v>
      </c>
      <c r="AF253" s="15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0"/>
        <v>0</v>
      </c>
      <c r="BA253" s="15"/>
      <c r="BB253" s="44"/>
      <c r="BC253" s="15"/>
      <c r="BD253" s="44"/>
      <c r="BE253" s="15">
        <f t="shared" si="21"/>
        <v>0</v>
      </c>
    </row>
    <row r="254" spans="1:57" ht="36" customHeight="1">
      <c r="A254" s="9"/>
      <c r="B254" s="16" t="s">
        <v>233</v>
      </c>
      <c r="C254" s="92" t="s">
        <v>50</v>
      </c>
      <c r="D254" s="58" t="s">
        <v>395</v>
      </c>
      <c r="E254" s="98" t="s">
        <v>389</v>
      </c>
      <c r="F254" s="20"/>
      <c r="G254" s="21"/>
      <c r="H254" s="21" t="s">
        <v>207</v>
      </c>
      <c r="I254" s="14"/>
      <c r="J254" s="14"/>
      <c r="K254" s="12">
        <v>548</v>
      </c>
      <c r="L254" s="9"/>
      <c r="M254" s="9"/>
      <c r="N254" s="9"/>
      <c r="O254" s="38">
        <f t="shared" si="17"/>
        <v>548</v>
      </c>
      <c r="P254" s="12"/>
      <c r="Q254" s="42"/>
      <c r="R254" s="15"/>
      <c r="S254" s="44"/>
      <c r="T254" s="15"/>
      <c r="U254" s="44"/>
      <c r="V254" s="15">
        <f t="shared" si="18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19"/>
        <v>0</v>
      </c>
      <c r="AF254" s="15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0"/>
        <v>0</v>
      </c>
      <c r="BA254" s="15"/>
      <c r="BB254" s="44"/>
      <c r="BC254" s="15"/>
      <c r="BD254" s="44"/>
      <c r="BE254" s="15">
        <f t="shared" si="21"/>
        <v>0</v>
      </c>
    </row>
    <row r="255" spans="1:57">
      <c r="A255" s="9"/>
      <c r="B255" s="16" t="s">
        <v>396</v>
      </c>
      <c r="C255" s="92" t="s">
        <v>50</v>
      </c>
      <c r="D255" s="58" t="s">
        <v>397</v>
      </c>
      <c r="E255" s="35" t="s">
        <v>398</v>
      </c>
      <c r="F255" s="20"/>
      <c r="G255" s="21"/>
      <c r="H255" s="21"/>
      <c r="I255" s="14"/>
      <c r="J255" s="14"/>
      <c r="K255" s="12">
        <v>1499</v>
      </c>
      <c r="L255" s="9"/>
      <c r="M255" s="9"/>
      <c r="N255" s="9"/>
      <c r="O255" s="38">
        <f t="shared" si="17"/>
        <v>1499</v>
      </c>
      <c r="P255" s="12"/>
      <c r="Q255" s="42"/>
      <c r="R255" s="15"/>
      <c r="S255" s="44"/>
      <c r="T255" s="15"/>
      <c r="U255" s="44"/>
      <c r="V255" s="15">
        <f t="shared" si="18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19"/>
        <v>0</v>
      </c>
      <c r="AF255" s="15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0"/>
        <v>0</v>
      </c>
      <c r="BA255" s="15"/>
      <c r="BB255" s="44"/>
      <c r="BC255" s="15"/>
      <c r="BD255" s="44"/>
      <c r="BE255" s="15">
        <f t="shared" si="21"/>
        <v>0</v>
      </c>
    </row>
    <row r="256" spans="1:57">
      <c r="A256" s="9"/>
      <c r="B256" s="16" t="s">
        <v>155</v>
      </c>
      <c r="C256" s="89" t="s">
        <v>50</v>
      </c>
      <c r="D256" s="79" t="s">
        <v>399</v>
      </c>
      <c r="E256" s="13" t="s">
        <v>400</v>
      </c>
      <c r="F256" s="96"/>
      <c r="G256" s="9"/>
      <c r="H256" s="9"/>
      <c r="I256" s="14"/>
      <c r="J256" s="14"/>
      <c r="K256" s="12">
        <v>248</v>
      </c>
      <c r="L256" s="9"/>
      <c r="M256" s="9"/>
      <c r="N256" s="9"/>
      <c r="O256" s="38">
        <f t="shared" si="17"/>
        <v>248</v>
      </c>
      <c r="P256" s="12"/>
      <c r="Q256" s="42"/>
      <c r="R256" s="15"/>
      <c r="S256" s="44"/>
      <c r="T256" s="15"/>
      <c r="U256" s="44"/>
      <c r="V256" s="15">
        <f t="shared" si="18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19"/>
        <v>0</v>
      </c>
      <c r="AF256" s="15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0"/>
        <v>0</v>
      </c>
      <c r="BA256" s="15"/>
      <c r="BB256" s="44"/>
      <c r="BC256" s="15"/>
      <c r="BD256" s="44"/>
      <c r="BE256" s="15">
        <f t="shared" si="21"/>
        <v>0</v>
      </c>
    </row>
    <row r="257" spans="1:57">
      <c r="A257" s="9"/>
      <c r="B257" s="16" t="s">
        <v>330</v>
      </c>
      <c r="C257" s="89" t="s">
        <v>50</v>
      </c>
      <c r="D257" s="69" t="s">
        <v>331</v>
      </c>
      <c r="E257" s="13" t="s">
        <v>401</v>
      </c>
      <c r="F257" s="96"/>
      <c r="G257" s="9"/>
      <c r="H257" s="9" t="s">
        <v>332</v>
      </c>
      <c r="I257" s="14"/>
      <c r="J257" s="14"/>
      <c r="K257" s="12">
        <v>467</v>
      </c>
      <c r="L257" s="9"/>
      <c r="M257" s="9"/>
      <c r="N257" s="9"/>
      <c r="O257" s="38">
        <f t="shared" si="17"/>
        <v>465</v>
      </c>
      <c r="P257" s="12"/>
      <c r="Q257" s="42"/>
      <c r="R257" s="15"/>
      <c r="S257" s="44"/>
      <c r="T257" s="15"/>
      <c r="U257" s="44"/>
      <c r="V257" s="15">
        <f t="shared" si="18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19"/>
        <v>0</v>
      </c>
      <c r="AF257" s="15">
        <v>2</v>
      </c>
      <c r="AG257" s="42">
        <v>46093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0"/>
        <v>2</v>
      </c>
      <c r="BA257" s="15"/>
      <c r="BB257" s="44"/>
      <c r="BC257" s="15"/>
      <c r="BD257" s="44"/>
      <c r="BE257" s="15">
        <f t="shared" si="21"/>
        <v>0</v>
      </c>
    </row>
    <row r="258" spans="1:57" ht="36" customHeight="1">
      <c r="A258" s="9"/>
      <c r="B258" s="16" t="s">
        <v>204</v>
      </c>
      <c r="C258" s="89" t="s">
        <v>402</v>
      </c>
      <c r="D258" s="73" t="s">
        <v>403</v>
      </c>
      <c r="E258" s="13" t="s">
        <v>404</v>
      </c>
      <c r="F258" s="96"/>
      <c r="G258" s="9"/>
      <c r="H258" s="9" t="s">
        <v>311</v>
      </c>
      <c r="I258" s="14"/>
      <c r="J258" s="14"/>
      <c r="K258" s="12">
        <v>0</v>
      </c>
      <c r="L258" s="9"/>
      <c r="M258" s="9"/>
      <c r="N258" s="9"/>
      <c r="O258" s="38">
        <f t="shared" ref="O258:O321" si="22">K258+V258-AE258-AZ258</f>
        <v>0</v>
      </c>
      <c r="P258" s="12"/>
      <c r="Q258" s="42"/>
      <c r="R258" s="15"/>
      <c r="S258" s="44"/>
      <c r="T258" s="15"/>
      <c r="U258" s="44"/>
      <c r="V258" s="15">
        <f t="shared" ref="V258:V321" si="23">P258+R258+T258</f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ref="AE258:AE321" si="24">(W258+Y258+AA258+AC258)</f>
        <v>0</v>
      </c>
      <c r="AF258" s="15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0"/>
        <v>0</v>
      </c>
      <c r="BA258" s="15"/>
      <c r="BB258" s="44"/>
      <c r="BC258" s="15"/>
      <c r="BD258" s="44"/>
      <c r="BE258" s="15">
        <f t="shared" si="21"/>
        <v>0</v>
      </c>
    </row>
    <row r="259" spans="1:57" ht="36" customHeight="1">
      <c r="A259" s="9"/>
      <c r="B259" s="16" t="s">
        <v>233</v>
      </c>
      <c r="C259" s="89" t="s">
        <v>402</v>
      </c>
      <c r="D259" s="82" t="s">
        <v>405</v>
      </c>
      <c r="E259" s="22" t="s">
        <v>406</v>
      </c>
      <c r="F259" s="95"/>
      <c r="G259" s="9"/>
      <c r="H259" s="9" t="s">
        <v>407</v>
      </c>
      <c r="I259" s="14"/>
      <c r="J259" s="14"/>
      <c r="K259" s="12">
        <v>0</v>
      </c>
      <c r="L259" s="9"/>
      <c r="M259" s="9"/>
      <c r="N259" s="9"/>
      <c r="O259" s="38">
        <f t="shared" si="22"/>
        <v>0</v>
      </c>
      <c r="P259" s="12"/>
      <c r="Q259" s="42"/>
      <c r="R259" s="15"/>
      <c r="S259" s="44"/>
      <c r="T259" s="15"/>
      <c r="U259" s="44"/>
      <c r="V259" s="15">
        <f t="shared" si="23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4"/>
        <v>0</v>
      </c>
      <c r="AF259" s="15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ref="AZ259:AZ322" si="25">AF259+AH259+AJ259+AL259+AN259+AP259+AR259+AT259+AV259+AX259</f>
        <v>0</v>
      </c>
      <c r="BA259" s="15"/>
      <c r="BB259" s="44"/>
      <c r="BC259" s="15"/>
      <c r="BD259" s="44"/>
      <c r="BE259" s="15">
        <f t="shared" si="21"/>
        <v>0</v>
      </c>
    </row>
    <row r="260" spans="1:57" ht="36" customHeight="1">
      <c r="A260" s="9"/>
      <c r="B260" s="16" t="s">
        <v>172</v>
      </c>
      <c r="C260" s="89" t="s">
        <v>402</v>
      </c>
      <c r="D260" s="82" t="s">
        <v>408</v>
      </c>
      <c r="E260" s="22" t="s">
        <v>409</v>
      </c>
      <c r="F260" s="95"/>
      <c r="G260" s="9"/>
      <c r="H260" s="9" t="s">
        <v>67</v>
      </c>
      <c r="I260" s="14"/>
      <c r="J260" s="14"/>
      <c r="K260" s="12">
        <v>0</v>
      </c>
      <c r="L260" s="9"/>
      <c r="M260" s="9"/>
      <c r="N260" s="9"/>
      <c r="O260" s="38">
        <f t="shared" si="22"/>
        <v>0</v>
      </c>
      <c r="P260" s="12"/>
      <c r="Q260" s="42"/>
      <c r="R260" s="15"/>
      <c r="S260" s="44"/>
      <c r="T260" s="15"/>
      <c r="U260" s="44"/>
      <c r="V260" s="15">
        <f t="shared" si="23"/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si="24"/>
        <v>0</v>
      </c>
      <c r="AF260" s="15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5"/>
        <v>0</v>
      </c>
      <c r="BA260" s="15"/>
      <c r="BB260" s="44"/>
      <c r="BC260" s="15"/>
      <c r="BD260" s="44"/>
      <c r="BE260" s="15">
        <f t="shared" si="21"/>
        <v>0</v>
      </c>
    </row>
    <row r="261" spans="1:57" ht="36" customHeight="1">
      <c r="A261" s="9"/>
      <c r="B261" s="16" t="s">
        <v>155</v>
      </c>
      <c r="C261" s="89" t="s">
        <v>402</v>
      </c>
      <c r="D261" s="82" t="s">
        <v>410</v>
      </c>
      <c r="E261" s="22" t="s">
        <v>411</v>
      </c>
      <c r="F261" s="95"/>
      <c r="G261" s="9"/>
      <c r="H261" s="9" t="s">
        <v>412</v>
      </c>
      <c r="I261" s="14"/>
      <c r="J261" s="14"/>
      <c r="K261" s="12">
        <v>824</v>
      </c>
      <c r="L261" s="9"/>
      <c r="M261" s="9"/>
      <c r="N261" s="9"/>
      <c r="O261" s="38">
        <f t="shared" si="22"/>
        <v>824</v>
      </c>
      <c r="P261" s="12"/>
      <c r="Q261" s="42"/>
      <c r="R261" s="15"/>
      <c r="S261" s="44"/>
      <c r="T261" s="15"/>
      <c r="U261" s="44"/>
      <c r="V261" s="15">
        <f t="shared" si="23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4"/>
        <v>0</v>
      </c>
      <c r="AF261" s="15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5"/>
        <v>0</v>
      </c>
      <c r="BA261" s="15"/>
      <c r="BB261" s="44"/>
      <c r="BC261" s="15"/>
      <c r="BD261" s="44"/>
      <c r="BE261" s="15">
        <f t="shared" si="21"/>
        <v>0</v>
      </c>
    </row>
    <row r="262" spans="1:57">
      <c r="A262" s="9"/>
      <c r="B262" s="18" t="s">
        <v>172</v>
      </c>
      <c r="C262" s="89" t="s">
        <v>140</v>
      </c>
      <c r="D262" s="58" t="s">
        <v>253</v>
      </c>
      <c r="E262" s="35" t="s">
        <v>413</v>
      </c>
      <c r="F262" s="96"/>
      <c r="G262" s="21"/>
      <c r="H262" s="21" t="s">
        <v>67</v>
      </c>
      <c r="I262" s="14"/>
      <c r="J262" s="14"/>
      <c r="K262" s="12">
        <v>87</v>
      </c>
      <c r="L262" s="9"/>
      <c r="M262" s="9"/>
      <c r="N262" s="9"/>
      <c r="O262" s="38">
        <f t="shared" si="22"/>
        <v>87</v>
      </c>
      <c r="P262" s="12"/>
      <c r="Q262" s="42"/>
      <c r="R262" s="15"/>
      <c r="S262" s="44"/>
      <c r="T262" s="15"/>
      <c r="U262" s="44"/>
      <c r="V262" s="15">
        <f t="shared" si="23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4"/>
        <v>0</v>
      </c>
      <c r="AF262" s="15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5"/>
        <v>0</v>
      </c>
      <c r="BA262" s="15"/>
      <c r="BB262" s="44"/>
      <c r="BC262" s="15"/>
      <c r="BD262" s="44"/>
      <c r="BE262" s="15">
        <f t="shared" si="21"/>
        <v>0</v>
      </c>
    </row>
    <row r="263" spans="1:57">
      <c r="A263" s="9"/>
      <c r="B263" s="16" t="s">
        <v>172</v>
      </c>
      <c r="C263" s="89" t="s">
        <v>140</v>
      </c>
      <c r="D263" s="61" t="s">
        <v>414</v>
      </c>
      <c r="E263" s="13"/>
      <c r="F263" s="96"/>
      <c r="G263" s="9"/>
      <c r="H263" s="9" t="s">
        <v>67</v>
      </c>
      <c r="I263" s="14"/>
      <c r="J263" s="14"/>
      <c r="K263" s="12">
        <v>224</v>
      </c>
      <c r="L263" s="9"/>
      <c r="M263" s="9"/>
      <c r="N263" s="9"/>
      <c r="O263" s="38">
        <f t="shared" si="22"/>
        <v>224</v>
      </c>
      <c r="P263" s="12"/>
      <c r="Q263" s="42"/>
      <c r="R263" s="15"/>
      <c r="S263" s="44"/>
      <c r="T263" s="15"/>
      <c r="U263" s="44"/>
      <c r="V263" s="15">
        <f t="shared" si="23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4"/>
        <v>0</v>
      </c>
      <c r="AF263" s="15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5"/>
        <v>0</v>
      </c>
      <c r="BA263" s="15"/>
      <c r="BB263" s="44"/>
      <c r="BC263" s="15"/>
      <c r="BD263" s="44"/>
      <c r="BE263" s="15">
        <f t="shared" si="21"/>
        <v>0</v>
      </c>
    </row>
    <row r="264" spans="1:57">
      <c r="A264" s="9"/>
      <c r="B264" s="16" t="s">
        <v>172</v>
      </c>
      <c r="C264" s="89" t="s">
        <v>140</v>
      </c>
      <c r="D264" s="61" t="s">
        <v>415</v>
      </c>
      <c r="E264" s="13"/>
      <c r="F264" s="96"/>
      <c r="G264" s="9"/>
      <c r="H264" s="9" t="s">
        <v>67</v>
      </c>
      <c r="I264" s="14"/>
      <c r="J264" s="14"/>
      <c r="K264" s="12">
        <v>138</v>
      </c>
      <c r="L264" s="9"/>
      <c r="M264" s="9"/>
      <c r="N264" s="9"/>
      <c r="O264" s="38">
        <f t="shared" si="22"/>
        <v>138</v>
      </c>
      <c r="P264" s="12"/>
      <c r="Q264" s="42"/>
      <c r="R264" s="15"/>
      <c r="S264" s="44"/>
      <c r="T264" s="15"/>
      <c r="U264" s="44"/>
      <c r="V264" s="15">
        <f t="shared" si="23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4"/>
        <v>0</v>
      </c>
      <c r="AF264" s="15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5"/>
        <v>0</v>
      </c>
      <c r="BA264" s="15"/>
      <c r="BB264" s="44"/>
      <c r="BC264" s="15"/>
      <c r="BD264" s="44"/>
      <c r="BE264" s="15">
        <f t="shared" si="21"/>
        <v>0</v>
      </c>
    </row>
    <row r="265" spans="1:57">
      <c r="A265" s="9"/>
      <c r="B265" s="16" t="s">
        <v>172</v>
      </c>
      <c r="C265" s="89" t="s">
        <v>140</v>
      </c>
      <c r="D265" s="79" t="s">
        <v>416</v>
      </c>
      <c r="E265" s="13"/>
      <c r="F265" s="96"/>
      <c r="G265" s="9"/>
      <c r="H265" s="9" t="s">
        <v>67</v>
      </c>
      <c r="I265" s="14"/>
      <c r="J265" s="14"/>
      <c r="K265" s="12">
        <v>116</v>
      </c>
      <c r="L265" s="9"/>
      <c r="M265" s="9"/>
      <c r="N265" s="9"/>
      <c r="O265" s="38">
        <f t="shared" si="22"/>
        <v>116</v>
      </c>
      <c r="P265" s="12"/>
      <c r="Q265" s="42"/>
      <c r="R265" s="15"/>
      <c r="S265" s="44"/>
      <c r="T265" s="15"/>
      <c r="U265" s="44"/>
      <c r="V265" s="15">
        <f t="shared" si="23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4"/>
        <v>0</v>
      </c>
      <c r="AF265" s="15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5"/>
        <v>0</v>
      </c>
      <c r="BA265" s="15"/>
      <c r="BB265" s="44"/>
      <c r="BC265" s="15"/>
      <c r="BD265" s="44"/>
      <c r="BE265" s="15">
        <f t="shared" si="21"/>
        <v>0</v>
      </c>
    </row>
    <row r="266" spans="1:57">
      <c r="A266" s="9"/>
      <c r="B266" s="16" t="s">
        <v>172</v>
      </c>
      <c r="C266" s="89" t="s">
        <v>140</v>
      </c>
      <c r="D266" s="78" t="s">
        <v>417</v>
      </c>
      <c r="E266" s="13"/>
      <c r="F266" s="96"/>
      <c r="G266" s="9"/>
      <c r="H266" s="9" t="s">
        <v>67</v>
      </c>
      <c r="I266" s="14"/>
      <c r="J266" s="14"/>
      <c r="K266" s="12">
        <v>170</v>
      </c>
      <c r="L266" s="9"/>
      <c r="M266" s="9"/>
      <c r="N266" s="9"/>
      <c r="O266" s="38">
        <f t="shared" si="22"/>
        <v>170</v>
      </c>
      <c r="P266" s="12"/>
      <c r="Q266" s="42"/>
      <c r="R266" s="15"/>
      <c r="S266" s="44"/>
      <c r="T266" s="15"/>
      <c r="U266" s="44"/>
      <c r="V266" s="15">
        <f t="shared" si="23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4"/>
        <v>0</v>
      </c>
      <c r="AF266" s="15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5"/>
        <v>0</v>
      </c>
      <c r="BA266" s="15"/>
      <c r="BB266" s="44"/>
      <c r="BC266" s="15"/>
      <c r="BD266" s="44"/>
      <c r="BE266" s="15">
        <f t="shared" si="21"/>
        <v>0</v>
      </c>
    </row>
    <row r="267" spans="1:57">
      <c r="A267" s="9"/>
      <c r="B267" s="16" t="s">
        <v>172</v>
      </c>
      <c r="C267" s="89" t="s">
        <v>140</v>
      </c>
      <c r="D267" s="78" t="s">
        <v>418</v>
      </c>
      <c r="E267" s="13"/>
      <c r="F267" s="96"/>
      <c r="G267" s="9"/>
      <c r="H267" s="9" t="s">
        <v>67</v>
      </c>
      <c r="I267" s="14"/>
      <c r="J267" s="14"/>
      <c r="K267" s="12">
        <v>6</v>
      </c>
      <c r="L267" s="9"/>
      <c r="M267" s="9"/>
      <c r="N267" s="9"/>
      <c r="O267" s="38">
        <f t="shared" si="22"/>
        <v>6</v>
      </c>
      <c r="P267" s="12"/>
      <c r="Q267" s="42"/>
      <c r="R267" s="15"/>
      <c r="S267" s="44"/>
      <c r="T267" s="15"/>
      <c r="U267" s="44"/>
      <c r="V267" s="15">
        <f t="shared" si="23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4"/>
        <v>0</v>
      </c>
      <c r="AF267" s="15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5"/>
        <v>0</v>
      </c>
      <c r="BA267" s="15"/>
      <c r="BB267" s="44"/>
      <c r="BC267" s="15"/>
      <c r="BD267" s="44"/>
      <c r="BE267" s="15">
        <f t="shared" si="21"/>
        <v>0</v>
      </c>
    </row>
    <row r="268" spans="1:57">
      <c r="A268" s="9"/>
      <c r="B268" s="16" t="s">
        <v>172</v>
      </c>
      <c r="C268" s="89" t="s">
        <v>140</v>
      </c>
      <c r="D268" s="78" t="s">
        <v>419</v>
      </c>
      <c r="E268" s="13"/>
      <c r="F268" s="96"/>
      <c r="G268" s="9"/>
      <c r="H268" s="9" t="s">
        <v>420</v>
      </c>
      <c r="I268" s="14"/>
      <c r="J268" s="14"/>
      <c r="K268" s="12">
        <v>0</v>
      </c>
      <c r="L268" s="9"/>
      <c r="M268" s="9"/>
      <c r="N268" s="9"/>
      <c r="O268" s="38">
        <f t="shared" si="22"/>
        <v>0</v>
      </c>
      <c r="P268" s="12"/>
      <c r="Q268" s="42"/>
      <c r="R268" s="15"/>
      <c r="S268" s="44"/>
      <c r="T268" s="15"/>
      <c r="U268" s="44"/>
      <c r="V268" s="15">
        <f t="shared" si="23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4"/>
        <v>0</v>
      </c>
      <c r="AF268" s="15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5"/>
        <v>0</v>
      </c>
      <c r="BA268" s="15"/>
      <c r="BB268" s="44"/>
      <c r="BC268" s="15"/>
      <c r="BD268" s="44"/>
      <c r="BE268" s="15">
        <f t="shared" si="21"/>
        <v>0</v>
      </c>
    </row>
    <row r="269" spans="1:57">
      <c r="A269" s="9"/>
      <c r="B269" s="16" t="s">
        <v>172</v>
      </c>
      <c r="C269" s="89" t="s">
        <v>140</v>
      </c>
      <c r="D269" s="61" t="s">
        <v>421</v>
      </c>
      <c r="E269" s="13"/>
      <c r="F269" s="96"/>
      <c r="G269" s="9"/>
      <c r="H269" s="9" t="s">
        <v>422</v>
      </c>
      <c r="I269" s="14"/>
      <c r="J269" s="14"/>
      <c r="K269" s="12">
        <v>126</v>
      </c>
      <c r="L269" s="9"/>
      <c r="M269" s="9"/>
      <c r="N269" s="9"/>
      <c r="O269" s="38">
        <f t="shared" si="22"/>
        <v>126</v>
      </c>
      <c r="P269" s="12"/>
      <c r="Q269" s="42"/>
      <c r="R269" s="15"/>
      <c r="S269" s="44"/>
      <c r="T269" s="15"/>
      <c r="U269" s="44"/>
      <c r="V269" s="15">
        <f t="shared" si="23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4"/>
        <v>0</v>
      </c>
      <c r="AF269" s="15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5"/>
        <v>0</v>
      </c>
      <c r="BA269" s="15"/>
      <c r="BB269" s="44"/>
      <c r="BC269" s="15"/>
      <c r="BD269" s="44"/>
      <c r="BE269" s="15">
        <f t="shared" si="21"/>
        <v>0</v>
      </c>
    </row>
    <row r="270" spans="1:57">
      <c r="A270" s="9"/>
      <c r="B270" s="16" t="s">
        <v>172</v>
      </c>
      <c r="C270" s="89" t="s">
        <v>140</v>
      </c>
      <c r="D270" s="61" t="s">
        <v>423</v>
      </c>
      <c r="E270" s="13"/>
      <c r="F270" s="96"/>
      <c r="G270" s="9"/>
      <c r="H270" s="9" t="s">
        <v>424</v>
      </c>
      <c r="I270" s="14"/>
      <c r="J270" s="14"/>
      <c r="K270" s="12">
        <v>37</v>
      </c>
      <c r="L270" s="9"/>
      <c r="M270" s="9"/>
      <c r="N270" s="9"/>
      <c r="O270" s="38">
        <f t="shared" si="22"/>
        <v>37</v>
      </c>
      <c r="P270" s="12"/>
      <c r="Q270" s="42"/>
      <c r="R270" s="15"/>
      <c r="S270" s="44"/>
      <c r="T270" s="15"/>
      <c r="U270" s="44"/>
      <c r="V270" s="15">
        <f t="shared" si="23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4"/>
        <v>0</v>
      </c>
      <c r="AF270" s="15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5"/>
        <v>0</v>
      </c>
      <c r="BA270" s="15"/>
      <c r="BB270" s="44"/>
      <c r="BC270" s="15"/>
      <c r="BD270" s="44"/>
      <c r="BE270" s="15">
        <f t="shared" si="21"/>
        <v>0</v>
      </c>
    </row>
    <row r="271" spans="1:57">
      <c r="A271" s="9"/>
      <c r="B271" s="16" t="s">
        <v>172</v>
      </c>
      <c r="C271" s="89" t="s">
        <v>140</v>
      </c>
      <c r="D271" s="61" t="s">
        <v>425</v>
      </c>
      <c r="E271" s="13"/>
      <c r="F271" s="96"/>
      <c r="G271" s="9"/>
      <c r="H271" s="9" t="s">
        <v>422</v>
      </c>
      <c r="I271" s="14"/>
      <c r="J271" s="14"/>
      <c r="K271" s="12">
        <v>12</v>
      </c>
      <c r="L271" s="9"/>
      <c r="M271" s="9"/>
      <c r="N271" s="9"/>
      <c r="O271" s="38">
        <f t="shared" si="22"/>
        <v>12</v>
      </c>
      <c r="P271" s="12"/>
      <c r="Q271" s="42"/>
      <c r="R271" s="15"/>
      <c r="S271" s="44"/>
      <c r="T271" s="15"/>
      <c r="U271" s="44"/>
      <c r="V271" s="15">
        <f t="shared" si="23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4"/>
        <v>0</v>
      </c>
      <c r="AF271" s="15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5"/>
        <v>0</v>
      </c>
      <c r="BA271" s="15"/>
      <c r="BB271" s="44"/>
      <c r="BC271" s="15"/>
      <c r="BD271" s="44"/>
      <c r="BE271" s="15">
        <f t="shared" si="21"/>
        <v>0</v>
      </c>
    </row>
    <row r="272" spans="1:57">
      <c r="A272" s="9"/>
      <c r="B272" s="16" t="s">
        <v>172</v>
      </c>
      <c r="C272" s="89" t="s">
        <v>140</v>
      </c>
      <c r="D272" s="61" t="s">
        <v>1515</v>
      </c>
      <c r="E272" s="13"/>
      <c r="F272" s="96"/>
      <c r="G272" s="9"/>
      <c r="H272" s="9" t="s">
        <v>67</v>
      </c>
      <c r="I272" s="14"/>
      <c r="J272" s="14"/>
      <c r="K272" s="12">
        <v>0</v>
      </c>
      <c r="L272" s="9"/>
      <c r="M272" s="9"/>
      <c r="N272" s="9"/>
      <c r="O272" s="38">
        <f t="shared" si="22"/>
        <v>0</v>
      </c>
      <c r="P272" s="12"/>
      <c r="Q272" s="42"/>
      <c r="R272" s="15"/>
      <c r="S272" s="44"/>
      <c r="T272" s="15"/>
      <c r="U272" s="44"/>
      <c r="V272" s="15">
        <f t="shared" si="23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4"/>
        <v>0</v>
      </c>
      <c r="AF272" s="15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5"/>
        <v>0</v>
      </c>
      <c r="BA272" s="15"/>
      <c r="BB272" s="44"/>
      <c r="BC272" s="15"/>
      <c r="BD272" s="44"/>
      <c r="BE272" s="15">
        <f t="shared" si="21"/>
        <v>0</v>
      </c>
    </row>
    <row r="273" spans="1:57">
      <c r="A273" s="9"/>
      <c r="B273" s="16" t="s">
        <v>172</v>
      </c>
      <c r="C273" s="89" t="s">
        <v>140</v>
      </c>
      <c r="D273" s="61" t="s">
        <v>427</v>
      </c>
      <c r="E273" s="13"/>
      <c r="F273" s="96"/>
      <c r="G273" s="9"/>
      <c r="H273" s="9" t="s">
        <v>67</v>
      </c>
      <c r="I273" s="14"/>
      <c r="J273" s="14"/>
      <c r="K273" s="12">
        <v>48</v>
      </c>
      <c r="L273" s="9"/>
      <c r="M273" s="9"/>
      <c r="N273" s="9"/>
      <c r="O273" s="38">
        <f t="shared" si="22"/>
        <v>48</v>
      </c>
      <c r="P273" s="12"/>
      <c r="Q273" s="42"/>
      <c r="R273" s="15"/>
      <c r="S273" s="44"/>
      <c r="T273" s="15"/>
      <c r="U273" s="44"/>
      <c r="V273" s="15">
        <f t="shared" si="23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4"/>
        <v>0</v>
      </c>
      <c r="AF273" s="15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5"/>
        <v>0</v>
      </c>
      <c r="BA273" s="15"/>
      <c r="BB273" s="44"/>
      <c r="BC273" s="15"/>
      <c r="BD273" s="44"/>
      <c r="BE273" s="15">
        <f t="shared" si="21"/>
        <v>0</v>
      </c>
    </row>
    <row r="274" spans="1:57">
      <c r="A274" s="9"/>
      <c r="B274" s="16" t="s">
        <v>187</v>
      </c>
      <c r="C274" s="89" t="s">
        <v>140</v>
      </c>
      <c r="D274" s="79" t="s">
        <v>428</v>
      </c>
      <c r="E274" s="13" t="s">
        <v>429</v>
      </c>
      <c r="F274" s="96"/>
      <c r="G274" s="9"/>
      <c r="H274" s="9" t="s">
        <v>430</v>
      </c>
      <c r="I274" s="14"/>
      <c r="J274" s="14"/>
      <c r="K274" s="12">
        <v>0</v>
      </c>
      <c r="L274" s="9"/>
      <c r="M274" s="9"/>
      <c r="N274" s="9"/>
      <c r="O274" s="38">
        <f t="shared" si="22"/>
        <v>0</v>
      </c>
      <c r="P274" s="12"/>
      <c r="Q274" s="42"/>
      <c r="R274" s="15"/>
      <c r="S274" s="44"/>
      <c r="T274" s="15"/>
      <c r="U274" s="44"/>
      <c r="V274" s="15">
        <f t="shared" si="23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4"/>
        <v>0</v>
      </c>
      <c r="AF274" s="15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5"/>
        <v>0</v>
      </c>
      <c r="BA274" s="15"/>
      <c r="BB274" s="44"/>
      <c r="BC274" s="15"/>
      <c r="BD274" s="44"/>
      <c r="BE274" s="15">
        <f t="shared" si="21"/>
        <v>0</v>
      </c>
    </row>
    <row r="275" spans="1:57">
      <c r="A275" s="9"/>
      <c r="B275" s="16" t="s">
        <v>187</v>
      </c>
      <c r="C275" s="89" t="s">
        <v>140</v>
      </c>
      <c r="D275" s="79" t="s">
        <v>431</v>
      </c>
      <c r="E275" s="13" t="s">
        <v>432</v>
      </c>
      <c r="F275" s="96"/>
      <c r="G275" s="9"/>
      <c r="H275" s="9" t="s">
        <v>67</v>
      </c>
      <c r="I275" s="14"/>
      <c r="J275" s="14"/>
      <c r="K275" s="12">
        <v>15</v>
      </c>
      <c r="L275" s="9"/>
      <c r="M275" s="9"/>
      <c r="N275" s="9"/>
      <c r="O275" s="38">
        <f t="shared" si="22"/>
        <v>15</v>
      </c>
      <c r="P275" s="12"/>
      <c r="Q275" s="42"/>
      <c r="R275" s="15"/>
      <c r="S275" s="44"/>
      <c r="T275" s="15"/>
      <c r="U275" s="44"/>
      <c r="V275" s="15">
        <f t="shared" si="23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4"/>
        <v>0</v>
      </c>
      <c r="AF275" s="15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5"/>
        <v>0</v>
      </c>
      <c r="BA275" s="15"/>
      <c r="BB275" s="44"/>
      <c r="BC275" s="15"/>
      <c r="BD275" s="44"/>
      <c r="BE275" s="15">
        <f t="shared" si="21"/>
        <v>0</v>
      </c>
    </row>
    <row r="276" spans="1:57">
      <c r="A276" s="9"/>
      <c r="B276" s="16" t="s">
        <v>120</v>
      </c>
      <c r="C276" s="89" t="s">
        <v>140</v>
      </c>
      <c r="D276" s="61" t="s">
        <v>433</v>
      </c>
      <c r="E276" s="13" t="s">
        <v>434</v>
      </c>
      <c r="F276" s="96"/>
      <c r="G276" s="9"/>
      <c r="H276" s="9" t="s">
        <v>67</v>
      </c>
      <c r="I276" s="14"/>
      <c r="J276" s="14"/>
      <c r="K276" s="12">
        <v>104</v>
      </c>
      <c r="L276" s="9"/>
      <c r="M276" s="9"/>
      <c r="N276" s="9"/>
      <c r="O276" s="38">
        <f t="shared" si="22"/>
        <v>104</v>
      </c>
      <c r="P276" s="12"/>
      <c r="Q276" s="42"/>
      <c r="R276" s="15"/>
      <c r="S276" s="44"/>
      <c r="T276" s="15"/>
      <c r="U276" s="44"/>
      <c r="V276" s="15">
        <f t="shared" si="23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4"/>
        <v>0</v>
      </c>
      <c r="AF276" s="15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5"/>
        <v>0</v>
      </c>
      <c r="BA276" s="15"/>
      <c r="BB276" s="44"/>
      <c r="BC276" s="15"/>
      <c r="BD276" s="44"/>
      <c r="BE276" s="15">
        <f t="shared" si="21"/>
        <v>0</v>
      </c>
    </row>
    <row r="277" spans="1:57">
      <c r="A277" s="9"/>
      <c r="B277" s="16" t="s">
        <v>120</v>
      </c>
      <c r="C277" s="89" t="s">
        <v>140</v>
      </c>
      <c r="D277" s="78" t="s">
        <v>435</v>
      </c>
      <c r="E277" s="13"/>
      <c r="F277" s="96"/>
      <c r="G277" s="9"/>
      <c r="H277" s="9" t="s">
        <v>67</v>
      </c>
      <c r="I277" s="14"/>
      <c r="J277" s="14"/>
      <c r="K277" s="12">
        <v>87</v>
      </c>
      <c r="L277" s="9"/>
      <c r="M277" s="9"/>
      <c r="N277" s="9"/>
      <c r="O277" s="38">
        <f t="shared" si="22"/>
        <v>87</v>
      </c>
      <c r="P277" s="12"/>
      <c r="Q277" s="42"/>
      <c r="R277" s="15"/>
      <c r="S277" s="44"/>
      <c r="T277" s="15"/>
      <c r="U277" s="44"/>
      <c r="V277" s="15">
        <f t="shared" si="23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4"/>
        <v>0</v>
      </c>
      <c r="AF277" s="15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5"/>
        <v>0</v>
      </c>
      <c r="BA277" s="15"/>
      <c r="BB277" s="44"/>
      <c r="BC277" s="15"/>
      <c r="BD277" s="44"/>
      <c r="BE277" s="15">
        <f t="shared" si="21"/>
        <v>0</v>
      </c>
    </row>
    <row r="278" spans="1:57">
      <c r="A278" s="9"/>
      <c r="B278" s="16" t="s">
        <v>120</v>
      </c>
      <c r="C278" s="89" t="s">
        <v>140</v>
      </c>
      <c r="D278" s="78" t="s">
        <v>436</v>
      </c>
      <c r="E278" s="13"/>
      <c r="F278" s="96"/>
      <c r="G278" s="9"/>
      <c r="H278" s="9" t="s">
        <v>67</v>
      </c>
      <c r="I278" s="14"/>
      <c r="J278" s="14"/>
      <c r="K278" s="12">
        <v>90</v>
      </c>
      <c r="L278" s="9"/>
      <c r="M278" s="9"/>
      <c r="N278" s="9"/>
      <c r="O278" s="38">
        <f t="shared" si="22"/>
        <v>90</v>
      </c>
      <c r="P278" s="12"/>
      <c r="Q278" s="42"/>
      <c r="R278" s="15"/>
      <c r="S278" s="44"/>
      <c r="T278" s="15"/>
      <c r="U278" s="44"/>
      <c r="V278" s="15">
        <f t="shared" si="23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4"/>
        <v>0</v>
      </c>
      <c r="AF278" s="15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5"/>
        <v>0</v>
      </c>
      <c r="BA278" s="15"/>
      <c r="BB278" s="44"/>
      <c r="BC278" s="15"/>
      <c r="BD278" s="44"/>
      <c r="BE278" s="15">
        <f t="shared" si="21"/>
        <v>0</v>
      </c>
    </row>
    <row r="279" spans="1:57">
      <c r="A279" s="9"/>
      <c r="B279" s="16" t="s">
        <v>120</v>
      </c>
      <c r="C279" s="89" t="s">
        <v>140</v>
      </c>
      <c r="D279" s="78" t="s">
        <v>437</v>
      </c>
      <c r="E279" s="13"/>
      <c r="F279" s="96"/>
      <c r="G279" s="9"/>
      <c r="H279" s="9" t="s">
        <v>67</v>
      </c>
      <c r="I279" s="14"/>
      <c r="J279" s="14"/>
      <c r="K279" s="12">
        <v>72</v>
      </c>
      <c r="L279" s="9"/>
      <c r="M279" s="9"/>
      <c r="N279" s="9"/>
      <c r="O279" s="38">
        <f t="shared" si="22"/>
        <v>72</v>
      </c>
      <c r="P279" s="12"/>
      <c r="Q279" s="42"/>
      <c r="R279" s="15"/>
      <c r="S279" s="44"/>
      <c r="T279" s="15"/>
      <c r="U279" s="44"/>
      <c r="V279" s="15">
        <f t="shared" si="23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4"/>
        <v>0</v>
      </c>
      <c r="AF279" s="15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5"/>
        <v>0</v>
      </c>
      <c r="BA279" s="15"/>
      <c r="BB279" s="44"/>
      <c r="BC279" s="15"/>
      <c r="BD279" s="44"/>
      <c r="BE279" s="15">
        <f t="shared" si="21"/>
        <v>0</v>
      </c>
    </row>
    <row r="280" spans="1:57">
      <c r="A280" s="9"/>
      <c r="B280" s="16" t="s">
        <v>120</v>
      </c>
      <c r="C280" s="89" t="s">
        <v>140</v>
      </c>
      <c r="D280" s="78" t="s">
        <v>438</v>
      </c>
      <c r="E280" s="13"/>
      <c r="F280" s="96"/>
      <c r="G280" s="9"/>
      <c r="H280" s="9" t="s">
        <v>67</v>
      </c>
      <c r="I280" s="14"/>
      <c r="J280" s="14"/>
      <c r="K280" s="12">
        <v>38</v>
      </c>
      <c r="L280" s="9"/>
      <c r="M280" s="9"/>
      <c r="N280" s="9"/>
      <c r="O280" s="38">
        <f t="shared" si="22"/>
        <v>38</v>
      </c>
      <c r="P280" s="12"/>
      <c r="Q280" s="42"/>
      <c r="R280" s="15"/>
      <c r="S280" s="44"/>
      <c r="T280" s="15"/>
      <c r="U280" s="44"/>
      <c r="V280" s="15">
        <f t="shared" si="23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4"/>
        <v>0</v>
      </c>
      <c r="AF280" s="15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5"/>
        <v>0</v>
      </c>
      <c r="BA280" s="15"/>
      <c r="BB280" s="44"/>
      <c r="BC280" s="15"/>
      <c r="BD280" s="44"/>
      <c r="BE280" s="15">
        <f t="shared" si="21"/>
        <v>0</v>
      </c>
    </row>
    <row r="281" spans="1:57">
      <c r="A281" s="9"/>
      <c r="B281" s="16" t="s">
        <v>120</v>
      </c>
      <c r="C281" s="89" t="s">
        <v>140</v>
      </c>
      <c r="D281" s="78" t="s">
        <v>439</v>
      </c>
      <c r="E281" s="13"/>
      <c r="F281" s="96"/>
      <c r="G281" s="9"/>
      <c r="H281" s="9" t="s">
        <v>67</v>
      </c>
      <c r="I281" s="14"/>
      <c r="J281" s="14"/>
      <c r="K281" s="12">
        <v>146</v>
      </c>
      <c r="L281" s="9"/>
      <c r="M281" s="9"/>
      <c r="N281" s="9"/>
      <c r="O281" s="38">
        <f t="shared" si="22"/>
        <v>146</v>
      </c>
      <c r="P281" s="12"/>
      <c r="Q281" s="42"/>
      <c r="R281" s="15"/>
      <c r="S281" s="44"/>
      <c r="T281" s="15"/>
      <c r="U281" s="44"/>
      <c r="V281" s="15">
        <f t="shared" si="23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4"/>
        <v>0</v>
      </c>
      <c r="AF281" s="15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5"/>
        <v>0</v>
      </c>
      <c r="BA281" s="15"/>
      <c r="BB281" s="44"/>
      <c r="BC281" s="15"/>
      <c r="BD281" s="44"/>
      <c r="BE281" s="15">
        <f t="shared" si="21"/>
        <v>0</v>
      </c>
    </row>
    <row r="282" spans="1:57">
      <c r="A282" s="9"/>
      <c r="B282" s="16" t="s">
        <v>120</v>
      </c>
      <c r="C282" s="89" t="s">
        <v>140</v>
      </c>
      <c r="D282" s="78" t="s">
        <v>440</v>
      </c>
      <c r="E282" s="13"/>
      <c r="F282" s="96"/>
      <c r="G282" s="9"/>
      <c r="H282" s="9" t="s">
        <v>67</v>
      </c>
      <c r="I282" s="14"/>
      <c r="J282" s="14"/>
      <c r="K282" s="12">
        <v>512</v>
      </c>
      <c r="L282" s="9"/>
      <c r="M282" s="9"/>
      <c r="N282" s="9"/>
      <c r="O282" s="38">
        <f t="shared" si="22"/>
        <v>512</v>
      </c>
      <c r="P282" s="12"/>
      <c r="Q282" s="42"/>
      <c r="R282" s="15"/>
      <c r="S282" s="44"/>
      <c r="T282" s="15"/>
      <c r="U282" s="44"/>
      <c r="V282" s="15">
        <f t="shared" si="23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4"/>
        <v>0</v>
      </c>
      <c r="AF282" s="15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5"/>
        <v>0</v>
      </c>
      <c r="BA282" s="15"/>
      <c r="BB282" s="44"/>
      <c r="BC282" s="15"/>
      <c r="BD282" s="44"/>
      <c r="BE282" s="15">
        <f t="shared" si="21"/>
        <v>0</v>
      </c>
    </row>
    <row r="283" spans="1:57">
      <c r="A283" s="9"/>
      <c r="B283" s="16" t="s">
        <v>204</v>
      </c>
      <c r="C283" s="89" t="s">
        <v>140</v>
      </c>
      <c r="D283" s="79" t="s">
        <v>441</v>
      </c>
      <c r="E283" s="13" t="s">
        <v>206</v>
      </c>
      <c r="F283" s="96"/>
      <c r="G283" s="9"/>
      <c r="H283" s="9" t="s">
        <v>207</v>
      </c>
      <c r="I283" s="14"/>
      <c r="J283" s="14"/>
      <c r="K283" s="12">
        <v>101</v>
      </c>
      <c r="L283" s="9"/>
      <c r="M283" s="9"/>
      <c r="N283" s="9"/>
      <c r="O283" s="38">
        <f t="shared" si="22"/>
        <v>101</v>
      </c>
      <c r="P283" s="12"/>
      <c r="Q283" s="42"/>
      <c r="R283" s="15"/>
      <c r="S283" s="44"/>
      <c r="T283" s="15"/>
      <c r="U283" s="44"/>
      <c r="V283" s="15">
        <f t="shared" si="23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4"/>
        <v>0</v>
      </c>
      <c r="AF283" s="15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5"/>
        <v>0</v>
      </c>
      <c r="BA283" s="15"/>
      <c r="BB283" s="44"/>
      <c r="BC283" s="15"/>
      <c r="BD283" s="44"/>
      <c r="BE283" s="15">
        <f t="shared" si="21"/>
        <v>0</v>
      </c>
    </row>
    <row r="284" spans="1:57">
      <c r="A284" s="9"/>
      <c r="B284" s="16" t="s">
        <v>204</v>
      </c>
      <c r="C284" s="89" t="s">
        <v>140</v>
      </c>
      <c r="D284" s="79" t="s">
        <v>442</v>
      </c>
      <c r="E284" s="13" t="s">
        <v>206</v>
      </c>
      <c r="F284" s="96"/>
      <c r="G284" s="9"/>
      <c r="H284" s="9" t="s">
        <v>207</v>
      </c>
      <c r="I284" s="14"/>
      <c r="J284" s="14"/>
      <c r="K284" s="12">
        <v>101</v>
      </c>
      <c r="L284" s="9"/>
      <c r="M284" s="9"/>
      <c r="N284" s="9"/>
      <c r="O284" s="38">
        <f t="shared" si="22"/>
        <v>101</v>
      </c>
      <c r="P284" s="12"/>
      <c r="Q284" s="42"/>
      <c r="R284" s="15"/>
      <c r="S284" s="44"/>
      <c r="T284" s="15"/>
      <c r="U284" s="44"/>
      <c r="V284" s="15">
        <f t="shared" si="23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4"/>
        <v>0</v>
      </c>
      <c r="AF284" s="15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5"/>
        <v>0</v>
      </c>
      <c r="BA284" s="15"/>
      <c r="BB284" s="44"/>
      <c r="BC284" s="15"/>
      <c r="BD284" s="44"/>
      <c r="BE284" s="15">
        <f t="shared" si="21"/>
        <v>0</v>
      </c>
    </row>
    <row r="285" spans="1:57">
      <c r="A285" s="9"/>
      <c r="B285" s="16" t="s">
        <v>204</v>
      </c>
      <c r="C285" s="89" t="s">
        <v>140</v>
      </c>
      <c r="D285" s="79" t="s">
        <v>205</v>
      </c>
      <c r="E285" s="13" t="s">
        <v>206</v>
      </c>
      <c r="F285" s="96"/>
      <c r="G285" s="9"/>
      <c r="H285" s="9" t="s">
        <v>207</v>
      </c>
      <c r="I285" s="14"/>
      <c r="J285" s="14"/>
      <c r="K285" s="12">
        <v>2058</v>
      </c>
      <c r="L285" s="9"/>
      <c r="M285" s="9"/>
      <c r="N285" s="9"/>
      <c r="O285" s="38">
        <f t="shared" si="22"/>
        <v>1918</v>
      </c>
      <c r="P285" s="12"/>
      <c r="Q285" s="42"/>
      <c r="R285" s="15"/>
      <c r="S285" s="44"/>
      <c r="T285" s="15"/>
      <c r="U285" s="44"/>
      <c r="V285" s="15">
        <f t="shared" si="23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4"/>
        <v>0</v>
      </c>
      <c r="AF285" s="15">
        <v>140</v>
      </c>
      <c r="AG285" s="42">
        <v>46093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5"/>
        <v>140</v>
      </c>
      <c r="BA285" s="15"/>
      <c r="BB285" s="44"/>
      <c r="BC285" s="15"/>
      <c r="BD285" s="44"/>
      <c r="BE285" s="15">
        <f t="shared" si="21"/>
        <v>0</v>
      </c>
    </row>
    <row r="286" spans="1:57">
      <c r="A286" s="9"/>
      <c r="B286" s="16" t="s">
        <v>204</v>
      </c>
      <c r="C286" s="89" t="s">
        <v>140</v>
      </c>
      <c r="D286" s="79" t="s">
        <v>443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0</v>
      </c>
      <c r="L286" s="9"/>
      <c r="M286" s="9"/>
      <c r="N286" s="9"/>
      <c r="O286" s="38">
        <f t="shared" si="22"/>
        <v>0</v>
      </c>
      <c r="P286" s="12"/>
      <c r="Q286" s="42"/>
      <c r="R286" s="15"/>
      <c r="S286" s="44"/>
      <c r="T286" s="15"/>
      <c r="U286" s="44"/>
      <c r="V286" s="15">
        <f t="shared" si="23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4"/>
        <v>0</v>
      </c>
      <c r="AF286" s="15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5"/>
        <v>0</v>
      </c>
      <c r="BA286" s="15"/>
      <c r="BB286" s="44"/>
      <c r="BC286" s="15"/>
      <c r="BD286" s="44"/>
      <c r="BE286" s="15">
        <f t="shared" si="21"/>
        <v>0</v>
      </c>
    </row>
    <row r="287" spans="1:57">
      <c r="A287" s="9"/>
      <c r="B287" s="16" t="s">
        <v>204</v>
      </c>
      <c r="C287" s="89" t="s">
        <v>140</v>
      </c>
      <c r="D287" s="79" t="s">
        <v>444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0</v>
      </c>
      <c r="L287" s="9"/>
      <c r="M287" s="9"/>
      <c r="N287" s="9"/>
      <c r="O287" s="38">
        <f t="shared" si="22"/>
        <v>0</v>
      </c>
      <c r="P287" s="12"/>
      <c r="Q287" s="42"/>
      <c r="R287" s="15"/>
      <c r="S287" s="44"/>
      <c r="T287" s="15"/>
      <c r="U287" s="44"/>
      <c r="V287" s="15">
        <f t="shared" si="23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4"/>
        <v>0</v>
      </c>
      <c r="AF287" s="15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5"/>
        <v>0</v>
      </c>
      <c r="BA287" s="15"/>
      <c r="BB287" s="44"/>
      <c r="BC287" s="15"/>
      <c r="BD287" s="44"/>
      <c r="BE287" s="15">
        <f t="shared" ref="BE287:BE350" si="26">(BA287+BC287)</f>
        <v>0</v>
      </c>
    </row>
    <row r="288" spans="1:57">
      <c r="A288" s="9"/>
      <c r="B288" s="16" t="s">
        <v>204</v>
      </c>
      <c r="C288" s="89" t="s">
        <v>140</v>
      </c>
      <c r="D288" s="79" t="s">
        <v>213</v>
      </c>
      <c r="E288" s="13" t="s">
        <v>215</v>
      </c>
      <c r="F288" s="96"/>
      <c r="G288" s="9"/>
      <c r="H288" s="9" t="s">
        <v>207</v>
      </c>
      <c r="I288" s="14"/>
      <c r="J288" s="14"/>
      <c r="K288" s="12">
        <v>56</v>
      </c>
      <c r="L288" s="9"/>
      <c r="M288" s="9"/>
      <c r="N288" s="9"/>
      <c r="O288" s="38">
        <f t="shared" si="22"/>
        <v>56</v>
      </c>
      <c r="P288" s="12"/>
      <c r="Q288" s="42"/>
      <c r="R288" s="15"/>
      <c r="S288" s="44"/>
      <c r="T288" s="15"/>
      <c r="U288" s="44"/>
      <c r="V288" s="15">
        <f t="shared" si="23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4"/>
        <v>0</v>
      </c>
      <c r="AF288" s="15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5"/>
        <v>0</v>
      </c>
      <c r="BA288" s="15"/>
      <c r="BB288" s="44"/>
      <c r="BC288" s="15"/>
      <c r="BD288" s="44"/>
      <c r="BE288" s="15">
        <f t="shared" si="26"/>
        <v>0</v>
      </c>
    </row>
    <row r="289" spans="1:57">
      <c r="A289" s="9"/>
      <c r="B289" s="16" t="s">
        <v>204</v>
      </c>
      <c r="C289" s="89" t="s">
        <v>140</v>
      </c>
      <c r="D289" s="79" t="s">
        <v>445</v>
      </c>
      <c r="E289" s="13" t="s">
        <v>215</v>
      </c>
      <c r="F289" s="96"/>
      <c r="G289" s="9"/>
      <c r="H289" s="9" t="s">
        <v>207</v>
      </c>
      <c r="I289" s="14"/>
      <c r="J289" s="14"/>
      <c r="K289" s="12">
        <v>32</v>
      </c>
      <c r="L289" s="9"/>
      <c r="M289" s="9"/>
      <c r="N289" s="9"/>
      <c r="O289" s="38">
        <f t="shared" si="22"/>
        <v>32</v>
      </c>
      <c r="P289" s="12"/>
      <c r="Q289" s="42"/>
      <c r="R289" s="15"/>
      <c r="S289" s="44"/>
      <c r="T289" s="15"/>
      <c r="U289" s="44"/>
      <c r="V289" s="15">
        <f t="shared" si="23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4"/>
        <v>0</v>
      </c>
      <c r="AF289" s="15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5"/>
        <v>0</v>
      </c>
      <c r="BA289" s="15"/>
      <c r="BB289" s="44"/>
      <c r="BC289" s="15"/>
      <c r="BD289" s="44"/>
      <c r="BE289" s="15">
        <f t="shared" si="26"/>
        <v>0</v>
      </c>
    </row>
    <row r="290" spans="1:57">
      <c r="A290" s="9"/>
      <c r="B290" s="16" t="s">
        <v>204</v>
      </c>
      <c r="C290" s="89" t="s">
        <v>140</v>
      </c>
      <c r="D290" s="79" t="s">
        <v>446</v>
      </c>
      <c r="E290" s="13" t="s">
        <v>237</v>
      </c>
      <c r="F290" s="96"/>
      <c r="G290" s="9"/>
      <c r="H290" s="9" t="s">
        <v>207</v>
      </c>
      <c r="I290" s="14"/>
      <c r="J290" s="14"/>
      <c r="K290" s="12">
        <v>2263</v>
      </c>
      <c r="L290" s="9"/>
      <c r="M290" s="9"/>
      <c r="N290" s="9"/>
      <c r="O290" s="38">
        <f t="shared" si="22"/>
        <v>2193</v>
      </c>
      <c r="P290" s="12"/>
      <c r="Q290" s="42"/>
      <c r="R290" s="15"/>
      <c r="S290" s="44"/>
      <c r="T290" s="15"/>
      <c r="U290" s="44"/>
      <c r="V290" s="15">
        <f t="shared" si="23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4"/>
        <v>0</v>
      </c>
      <c r="AF290" s="15">
        <v>70</v>
      </c>
      <c r="AG290" s="42">
        <v>46093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5"/>
        <v>70</v>
      </c>
      <c r="BA290" s="15"/>
      <c r="BB290" s="44"/>
      <c r="BC290" s="15"/>
      <c r="BD290" s="44"/>
      <c r="BE290" s="15">
        <f t="shared" si="26"/>
        <v>0</v>
      </c>
    </row>
    <row r="291" spans="1:57">
      <c r="A291" s="9"/>
      <c r="B291" s="16" t="s">
        <v>204</v>
      </c>
      <c r="C291" s="89" t="s">
        <v>140</v>
      </c>
      <c r="D291" s="79" t="s">
        <v>447</v>
      </c>
      <c r="E291" s="13" t="s">
        <v>237</v>
      </c>
      <c r="F291" s="96"/>
      <c r="G291" s="9"/>
      <c r="H291" s="9" t="s">
        <v>207</v>
      </c>
      <c r="I291" s="14"/>
      <c r="J291" s="14"/>
      <c r="K291" s="12">
        <v>3652</v>
      </c>
      <c r="L291" s="9"/>
      <c r="M291" s="9"/>
      <c r="N291" s="9"/>
      <c r="O291" s="38">
        <f t="shared" si="22"/>
        <v>3582</v>
      </c>
      <c r="P291" s="12"/>
      <c r="Q291" s="42"/>
      <c r="R291" s="15"/>
      <c r="S291" s="44"/>
      <c r="T291" s="15"/>
      <c r="U291" s="44"/>
      <c r="V291" s="15">
        <f t="shared" si="23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4"/>
        <v>0</v>
      </c>
      <c r="AF291" s="15">
        <v>70</v>
      </c>
      <c r="AG291" s="42">
        <v>46093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5"/>
        <v>70</v>
      </c>
      <c r="BA291" s="15"/>
      <c r="BB291" s="44"/>
      <c r="BC291" s="15"/>
      <c r="BD291" s="44"/>
      <c r="BE291" s="15">
        <f t="shared" si="26"/>
        <v>0</v>
      </c>
    </row>
    <row r="292" spans="1:57">
      <c r="A292" s="9"/>
      <c r="B292" s="16" t="s">
        <v>204</v>
      </c>
      <c r="C292" s="89" t="s">
        <v>140</v>
      </c>
      <c r="D292" s="61" t="s">
        <v>448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185</v>
      </c>
      <c r="L292" s="9"/>
      <c r="M292" s="9"/>
      <c r="N292" s="9"/>
      <c r="O292" s="38">
        <f t="shared" si="22"/>
        <v>115</v>
      </c>
      <c r="P292" s="12"/>
      <c r="Q292" s="42"/>
      <c r="R292" s="15"/>
      <c r="S292" s="44"/>
      <c r="T292" s="15"/>
      <c r="U292" s="44"/>
      <c r="V292" s="15">
        <f t="shared" si="23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4"/>
        <v>0</v>
      </c>
      <c r="AF292" s="15">
        <v>70</v>
      </c>
      <c r="AG292" s="42">
        <v>46093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5"/>
        <v>70</v>
      </c>
      <c r="BA292" s="15"/>
      <c r="BB292" s="44"/>
      <c r="BC292" s="15"/>
      <c r="BD292" s="44"/>
      <c r="BE292" s="15">
        <f t="shared" si="26"/>
        <v>0</v>
      </c>
    </row>
    <row r="293" spans="1:57">
      <c r="A293" s="9"/>
      <c r="B293" s="16" t="s">
        <v>204</v>
      </c>
      <c r="C293" s="89" t="s">
        <v>140</v>
      </c>
      <c r="D293" s="61" t="s">
        <v>449</v>
      </c>
      <c r="E293" s="13" t="s">
        <v>206</v>
      </c>
      <c r="F293" s="96"/>
      <c r="G293" s="9"/>
      <c r="H293" s="9" t="s">
        <v>207</v>
      </c>
      <c r="I293" s="14"/>
      <c r="J293" s="14"/>
      <c r="K293" s="12">
        <v>4840</v>
      </c>
      <c r="L293" s="9"/>
      <c r="M293" s="9"/>
      <c r="N293" s="9"/>
      <c r="O293" s="38">
        <f t="shared" si="22"/>
        <v>4840</v>
      </c>
      <c r="P293" s="12"/>
      <c r="Q293" s="42"/>
      <c r="R293" s="15"/>
      <c r="S293" s="44"/>
      <c r="T293" s="15"/>
      <c r="U293" s="44"/>
      <c r="V293" s="15">
        <f t="shared" si="23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4"/>
        <v>0</v>
      </c>
      <c r="AF293" s="15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si="25"/>
        <v>0</v>
      </c>
      <c r="BA293" s="15"/>
      <c r="BB293" s="44"/>
      <c r="BC293" s="15"/>
      <c r="BD293" s="44"/>
      <c r="BE293" s="15">
        <f t="shared" si="26"/>
        <v>0</v>
      </c>
    </row>
    <row r="294" spans="1:57">
      <c r="A294" s="9"/>
      <c r="B294" s="16" t="s">
        <v>204</v>
      </c>
      <c r="C294" s="89" t="s">
        <v>140</v>
      </c>
      <c r="D294" s="61" t="s">
        <v>450</v>
      </c>
      <c r="E294" s="13" t="s">
        <v>206</v>
      </c>
      <c r="F294" s="96"/>
      <c r="G294" s="9"/>
      <c r="H294" s="9" t="s">
        <v>207</v>
      </c>
      <c r="I294" s="14"/>
      <c r="J294" s="14"/>
      <c r="K294" s="12">
        <v>225</v>
      </c>
      <c r="L294" s="9"/>
      <c r="M294" s="9"/>
      <c r="N294" s="9"/>
      <c r="O294" s="38">
        <f t="shared" si="22"/>
        <v>225</v>
      </c>
      <c r="P294" s="12"/>
      <c r="Q294" s="42"/>
      <c r="R294" s="15"/>
      <c r="S294" s="44"/>
      <c r="T294" s="15"/>
      <c r="U294" s="44"/>
      <c r="V294" s="15">
        <f t="shared" si="23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4"/>
        <v>0</v>
      </c>
      <c r="AF294" s="15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5"/>
        <v>0</v>
      </c>
      <c r="BA294" s="15"/>
      <c r="BB294" s="44"/>
      <c r="BC294" s="15"/>
      <c r="BD294" s="44"/>
      <c r="BE294" s="15">
        <f t="shared" si="26"/>
        <v>0</v>
      </c>
    </row>
    <row r="295" spans="1:57">
      <c r="A295" s="9"/>
      <c r="B295" s="16" t="s">
        <v>204</v>
      </c>
      <c r="C295" s="89" t="s">
        <v>140</v>
      </c>
      <c r="D295" s="79" t="s">
        <v>216</v>
      </c>
      <c r="E295" s="13" t="s">
        <v>217</v>
      </c>
      <c r="F295" s="96"/>
      <c r="G295" s="9"/>
      <c r="H295" s="9" t="s">
        <v>207</v>
      </c>
      <c r="I295" s="14"/>
      <c r="J295" s="14"/>
      <c r="K295" s="12">
        <v>93</v>
      </c>
      <c r="L295" s="9"/>
      <c r="M295" s="9"/>
      <c r="N295" s="9"/>
      <c r="O295" s="38">
        <f t="shared" si="22"/>
        <v>93</v>
      </c>
      <c r="P295" s="12"/>
      <c r="Q295" s="42"/>
      <c r="R295" s="15"/>
      <c r="S295" s="44"/>
      <c r="T295" s="15"/>
      <c r="U295" s="44"/>
      <c r="V295" s="15">
        <f t="shared" si="23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4"/>
        <v>0</v>
      </c>
      <c r="AF295" s="15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5"/>
        <v>0</v>
      </c>
      <c r="BA295" s="15"/>
      <c r="BB295" s="44"/>
      <c r="BC295" s="15"/>
      <c r="BD295" s="44"/>
      <c r="BE295" s="15">
        <f t="shared" si="26"/>
        <v>0</v>
      </c>
    </row>
    <row r="296" spans="1:57">
      <c r="A296" s="9"/>
      <c r="B296" s="16" t="s">
        <v>204</v>
      </c>
      <c r="C296" s="89" t="s">
        <v>140</v>
      </c>
      <c r="D296" s="61" t="s">
        <v>451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3331</v>
      </c>
      <c r="L296" s="9"/>
      <c r="M296" s="9"/>
      <c r="N296" s="9"/>
      <c r="O296" s="38">
        <f t="shared" si="22"/>
        <v>3331</v>
      </c>
      <c r="P296" s="12"/>
      <c r="Q296" s="42"/>
      <c r="R296" s="15"/>
      <c r="S296" s="44"/>
      <c r="T296" s="15"/>
      <c r="U296" s="44"/>
      <c r="V296" s="15">
        <f t="shared" si="23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4"/>
        <v>0</v>
      </c>
      <c r="AF296" s="15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5"/>
        <v>0</v>
      </c>
      <c r="BA296" s="15"/>
      <c r="BB296" s="44"/>
      <c r="BC296" s="15"/>
      <c r="BD296" s="44"/>
      <c r="BE296" s="15">
        <f t="shared" si="26"/>
        <v>0</v>
      </c>
    </row>
    <row r="297" spans="1:57">
      <c r="A297" s="9"/>
      <c r="B297" s="16" t="s">
        <v>204</v>
      </c>
      <c r="C297" s="89" t="s">
        <v>140</v>
      </c>
      <c r="D297" s="79" t="s">
        <v>452</v>
      </c>
      <c r="E297" s="13" t="s">
        <v>217</v>
      </c>
      <c r="F297" s="96"/>
      <c r="G297" s="9"/>
      <c r="H297" s="9" t="s">
        <v>207</v>
      </c>
      <c r="I297" s="14"/>
      <c r="J297" s="14"/>
      <c r="K297" s="12">
        <v>6</v>
      </c>
      <c r="L297" s="9"/>
      <c r="M297" s="9"/>
      <c r="N297" s="9"/>
      <c r="O297" s="38">
        <f t="shared" si="22"/>
        <v>6</v>
      </c>
      <c r="P297" s="12"/>
      <c r="Q297" s="42"/>
      <c r="R297" s="15"/>
      <c r="S297" s="44"/>
      <c r="T297" s="15"/>
      <c r="U297" s="44"/>
      <c r="V297" s="15">
        <f t="shared" si="23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4"/>
        <v>0</v>
      </c>
      <c r="AF297" s="15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5"/>
        <v>0</v>
      </c>
      <c r="BA297" s="15"/>
      <c r="BB297" s="44"/>
      <c r="BC297" s="15"/>
      <c r="BD297" s="44"/>
      <c r="BE297" s="15">
        <f t="shared" si="26"/>
        <v>0</v>
      </c>
    </row>
    <row r="298" spans="1:57">
      <c r="A298" s="9"/>
      <c r="B298" s="16" t="s">
        <v>204</v>
      </c>
      <c r="C298" s="89" t="s">
        <v>140</v>
      </c>
      <c r="D298" s="78" t="s">
        <v>453</v>
      </c>
      <c r="E298" s="13" t="s">
        <v>206</v>
      </c>
      <c r="F298" s="96"/>
      <c r="G298" s="9"/>
      <c r="H298" s="9" t="s">
        <v>207</v>
      </c>
      <c r="I298" s="14"/>
      <c r="J298" s="14"/>
      <c r="K298" s="12">
        <v>3432</v>
      </c>
      <c r="L298" s="9"/>
      <c r="M298" s="9"/>
      <c r="N298" s="9"/>
      <c r="O298" s="38">
        <f t="shared" si="22"/>
        <v>3432</v>
      </c>
      <c r="P298" s="12"/>
      <c r="Q298" s="42"/>
      <c r="R298" s="15"/>
      <c r="S298" s="44"/>
      <c r="T298" s="15"/>
      <c r="U298" s="44"/>
      <c r="V298" s="15">
        <f t="shared" si="23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4"/>
        <v>0</v>
      </c>
      <c r="AF298" s="15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5"/>
        <v>0</v>
      </c>
      <c r="BA298" s="15"/>
      <c r="BB298" s="44"/>
      <c r="BC298" s="15"/>
      <c r="BD298" s="44"/>
      <c r="BE298" s="15">
        <f t="shared" si="26"/>
        <v>0</v>
      </c>
    </row>
    <row r="299" spans="1:57">
      <c r="A299" s="9"/>
      <c r="B299" s="16" t="s">
        <v>204</v>
      </c>
      <c r="C299" s="89" t="s">
        <v>140</v>
      </c>
      <c r="D299" s="78" t="s">
        <v>454</v>
      </c>
      <c r="E299" s="13" t="s">
        <v>217</v>
      </c>
      <c r="F299" s="96"/>
      <c r="G299" s="9"/>
      <c r="H299" s="9" t="s">
        <v>207</v>
      </c>
      <c r="I299" s="14"/>
      <c r="J299" s="14"/>
      <c r="K299" s="12">
        <v>35</v>
      </c>
      <c r="L299" s="9"/>
      <c r="M299" s="9"/>
      <c r="N299" s="9"/>
      <c r="O299" s="38">
        <f t="shared" si="22"/>
        <v>35</v>
      </c>
      <c r="P299" s="12"/>
      <c r="Q299" s="42"/>
      <c r="R299" s="15"/>
      <c r="S299" s="44"/>
      <c r="T299" s="15"/>
      <c r="U299" s="44"/>
      <c r="V299" s="15">
        <f t="shared" si="23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4"/>
        <v>0</v>
      </c>
      <c r="AF299" s="15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5"/>
        <v>0</v>
      </c>
      <c r="BA299" s="15"/>
      <c r="BB299" s="44"/>
      <c r="BC299" s="15"/>
      <c r="BD299" s="44"/>
      <c r="BE299" s="15">
        <f t="shared" si="26"/>
        <v>0</v>
      </c>
    </row>
    <row r="300" spans="1:57">
      <c r="A300" s="9"/>
      <c r="B300" s="16" t="s">
        <v>204</v>
      </c>
      <c r="C300" s="89" t="s">
        <v>140</v>
      </c>
      <c r="D300" s="78" t="s">
        <v>455</v>
      </c>
      <c r="E300" s="13" t="s">
        <v>206</v>
      </c>
      <c r="F300" s="96"/>
      <c r="G300" s="9"/>
      <c r="H300" s="9" t="s">
        <v>207</v>
      </c>
      <c r="I300" s="14"/>
      <c r="J300" s="14"/>
      <c r="K300" s="12">
        <v>2756</v>
      </c>
      <c r="L300" s="9"/>
      <c r="M300" s="9"/>
      <c r="N300" s="9"/>
      <c r="O300" s="38">
        <f t="shared" si="22"/>
        <v>2756</v>
      </c>
      <c r="P300" s="12"/>
      <c r="Q300" s="42"/>
      <c r="R300" s="15"/>
      <c r="S300" s="44"/>
      <c r="T300" s="15"/>
      <c r="U300" s="44"/>
      <c r="V300" s="15">
        <f t="shared" si="23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4"/>
        <v>0</v>
      </c>
      <c r="AF300" s="15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5"/>
        <v>0</v>
      </c>
      <c r="BA300" s="15"/>
      <c r="BB300" s="44"/>
      <c r="BC300" s="15"/>
      <c r="BD300" s="44"/>
      <c r="BE300" s="15">
        <f t="shared" si="26"/>
        <v>0</v>
      </c>
    </row>
    <row r="301" spans="1:57">
      <c r="A301" s="9"/>
      <c r="B301" s="16" t="s">
        <v>204</v>
      </c>
      <c r="C301" s="89" t="s">
        <v>140</v>
      </c>
      <c r="D301" s="78" t="s">
        <v>456</v>
      </c>
      <c r="E301" s="13" t="s">
        <v>217</v>
      </c>
      <c r="F301" s="96"/>
      <c r="G301" s="9"/>
      <c r="H301" s="9" t="s">
        <v>207</v>
      </c>
      <c r="I301" s="14"/>
      <c r="J301" s="14"/>
      <c r="K301" s="12">
        <v>74</v>
      </c>
      <c r="L301" s="9"/>
      <c r="M301" s="9"/>
      <c r="N301" s="9"/>
      <c r="O301" s="38">
        <f t="shared" si="22"/>
        <v>74</v>
      </c>
      <c r="P301" s="12"/>
      <c r="Q301" s="42"/>
      <c r="R301" s="15"/>
      <c r="S301" s="44"/>
      <c r="T301" s="15"/>
      <c r="U301" s="44"/>
      <c r="V301" s="15">
        <f t="shared" si="23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4"/>
        <v>0</v>
      </c>
      <c r="AF301" s="15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5"/>
        <v>0</v>
      </c>
      <c r="BA301" s="15"/>
      <c r="BB301" s="44"/>
      <c r="BC301" s="15"/>
      <c r="BD301" s="44"/>
      <c r="BE301" s="15">
        <f t="shared" si="26"/>
        <v>0</v>
      </c>
    </row>
    <row r="302" spans="1:57">
      <c r="A302" s="9"/>
      <c r="B302" s="16" t="s">
        <v>204</v>
      </c>
      <c r="C302" s="89" t="s">
        <v>140</v>
      </c>
      <c r="D302" s="78" t="s">
        <v>457</v>
      </c>
      <c r="E302" s="13" t="s">
        <v>458</v>
      </c>
      <c r="F302" s="96"/>
      <c r="G302" s="9"/>
      <c r="H302" s="9" t="s">
        <v>207</v>
      </c>
      <c r="I302" s="14"/>
      <c r="J302" s="14"/>
      <c r="K302" s="12">
        <v>78</v>
      </c>
      <c r="L302" s="9"/>
      <c r="M302" s="9"/>
      <c r="N302" s="9"/>
      <c r="O302" s="38">
        <f t="shared" si="22"/>
        <v>78</v>
      </c>
      <c r="P302" s="12"/>
      <c r="Q302" s="42"/>
      <c r="R302" s="15"/>
      <c r="S302" s="44"/>
      <c r="T302" s="15"/>
      <c r="U302" s="44"/>
      <c r="V302" s="15">
        <f t="shared" si="23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4"/>
        <v>0</v>
      </c>
      <c r="AF302" s="15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5"/>
        <v>0</v>
      </c>
      <c r="BA302" s="15"/>
      <c r="BB302" s="44"/>
      <c r="BC302" s="15"/>
      <c r="BD302" s="44"/>
      <c r="BE302" s="15">
        <f t="shared" si="26"/>
        <v>0</v>
      </c>
    </row>
    <row r="303" spans="1:57">
      <c r="A303" s="9"/>
      <c r="B303" s="16" t="s">
        <v>204</v>
      </c>
      <c r="C303" s="89" t="s">
        <v>140</v>
      </c>
      <c r="D303" s="78" t="s">
        <v>459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3340</v>
      </c>
      <c r="L303" s="9"/>
      <c r="M303" s="9"/>
      <c r="N303" s="9"/>
      <c r="O303" s="38">
        <f t="shared" si="22"/>
        <v>3340</v>
      </c>
      <c r="P303" s="12"/>
      <c r="Q303" s="42"/>
      <c r="R303" s="15"/>
      <c r="S303" s="44"/>
      <c r="T303" s="15"/>
      <c r="U303" s="44"/>
      <c r="V303" s="15">
        <f t="shared" si="23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4"/>
        <v>0</v>
      </c>
      <c r="AF303" s="15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5"/>
        <v>0</v>
      </c>
      <c r="BA303" s="15"/>
      <c r="BB303" s="44"/>
      <c r="BC303" s="15"/>
      <c r="BD303" s="44"/>
      <c r="BE303" s="15">
        <f t="shared" si="26"/>
        <v>0</v>
      </c>
    </row>
    <row r="304" spans="1:57">
      <c r="A304" s="9"/>
      <c r="B304" s="16" t="s">
        <v>204</v>
      </c>
      <c r="C304" s="89" t="s">
        <v>140</v>
      </c>
      <c r="D304" s="61" t="s">
        <v>460</v>
      </c>
      <c r="E304" s="13" t="s">
        <v>215</v>
      </c>
      <c r="F304" s="96"/>
      <c r="G304" s="9"/>
      <c r="H304" s="9" t="s">
        <v>207</v>
      </c>
      <c r="I304" s="14"/>
      <c r="J304" s="14"/>
      <c r="K304" s="12">
        <v>133</v>
      </c>
      <c r="L304" s="9"/>
      <c r="M304" s="9"/>
      <c r="N304" s="9"/>
      <c r="O304" s="38">
        <f t="shared" si="22"/>
        <v>133</v>
      </c>
      <c r="P304" s="12"/>
      <c r="Q304" s="42"/>
      <c r="R304" s="15"/>
      <c r="S304" s="44"/>
      <c r="T304" s="15"/>
      <c r="U304" s="44"/>
      <c r="V304" s="15">
        <f t="shared" si="23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4"/>
        <v>0</v>
      </c>
      <c r="AF304" s="15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5"/>
        <v>0</v>
      </c>
      <c r="BA304" s="15"/>
      <c r="BB304" s="44"/>
      <c r="BC304" s="15"/>
      <c r="BD304" s="44"/>
      <c r="BE304" s="15">
        <f t="shared" si="26"/>
        <v>0</v>
      </c>
    </row>
    <row r="305" spans="1:57">
      <c r="A305" s="9"/>
      <c r="B305" s="16" t="s">
        <v>204</v>
      </c>
      <c r="C305" s="89" t="s">
        <v>140</v>
      </c>
      <c r="D305" s="61" t="s">
        <v>461</v>
      </c>
      <c r="E305" s="13" t="s">
        <v>215</v>
      </c>
      <c r="F305" s="96"/>
      <c r="G305" s="9"/>
      <c r="H305" s="9" t="s">
        <v>207</v>
      </c>
      <c r="I305" s="14"/>
      <c r="J305" s="14"/>
      <c r="K305" s="12">
        <v>123</v>
      </c>
      <c r="L305" s="9"/>
      <c r="M305" s="9"/>
      <c r="N305" s="9"/>
      <c r="O305" s="38">
        <f t="shared" si="22"/>
        <v>123</v>
      </c>
      <c r="P305" s="12"/>
      <c r="Q305" s="42"/>
      <c r="R305" s="15"/>
      <c r="S305" s="44"/>
      <c r="T305" s="15"/>
      <c r="U305" s="44"/>
      <c r="V305" s="15">
        <f t="shared" si="23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4"/>
        <v>0</v>
      </c>
      <c r="AF305" s="15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5"/>
        <v>0</v>
      </c>
      <c r="BA305" s="15"/>
      <c r="BB305" s="44"/>
      <c r="BC305" s="15"/>
      <c r="BD305" s="44"/>
      <c r="BE305" s="15">
        <f t="shared" si="26"/>
        <v>0</v>
      </c>
    </row>
    <row r="306" spans="1:57">
      <c r="A306" s="9"/>
      <c r="B306" s="16" t="s">
        <v>204</v>
      </c>
      <c r="C306" s="89" t="s">
        <v>140</v>
      </c>
      <c r="D306" s="79" t="s">
        <v>221</v>
      </c>
      <c r="E306" s="13" t="s">
        <v>215</v>
      </c>
      <c r="F306" s="96"/>
      <c r="G306" s="9"/>
      <c r="H306" s="9" t="s">
        <v>207</v>
      </c>
      <c r="I306" s="14"/>
      <c r="J306" s="14"/>
      <c r="K306" s="12">
        <v>134</v>
      </c>
      <c r="L306" s="9"/>
      <c r="M306" s="9"/>
      <c r="N306" s="9"/>
      <c r="O306" s="38">
        <f t="shared" si="22"/>
        <v>134</v>
      </c>
      <c r="P306" s="12"/>
      <c r="Q306" s="42"/>
      <c r="R306" s="15"/>
      <c r="S306" s="44"/>
      <c r="T306" s="15"/>
      <c r="U306" s="44"/>
      <c r="V306" s="15">
        <f t="shared" si="23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4"/>
        <v>0</v>
      </c>
      <c r="AF306" s="15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5"/>
        <v>0</v>
      </c>
      <c r="BA306" s="15"/>
      <c r="BB306" s="44"/>
      <c r="BC306" s="15"/>
      <c r="BD306" s="44"/>
      <c r="BE306" s="15">
        <f t="shared" si="26"/>
        <v>0</v>
      </c>
    </row>
    <row r="307" spans="1:57">
      <c r="A307" s="9"/>
      <c r="B307" s="16" t="s">
        <v>204</v>
      </c>
      <c r="C307" s="89" t="s">
        <v>140</v>
      </c>
      <c r="D307" s="79" t="s">
        <v>223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113</v>
      </c>
      <c r="L307" s="9"/>
      <c r="M307" s="9"/>
      <c r="N307" s="9"/>
      <c r="O307" s="38">
        <f t="shared" si="22"/>
        <v>113</v>
      </c>
      <c r="P307" s="12"/>
      <c r="Q307" s="42"/>
      <c r="R307" s="15"/>
      <c r="S307" s="44"/>
      <c r="T307" s="15"/>
      <c r="U307" s="44"/>
      <c r="V307" s="15">
        <f t="shared" si="23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4"/>
        <v>0</v>
      </c>
      <c r="AF307" s="15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5"/>
        <v>0</v>
      </c>
      <c r="BA307" s="15"/>
      <c r="BB307" s="44"/>
      <c r="BC307" s="15"/>
      <c r="BD307" s="44"/>
      <c r="BE307" s="15">
        <f t="shared" si="26"/>
        <v>0</v>
      </c>
    </row>
    <row r="308" spans="1:57">
      <c r="A308" s="9"/>
      <c r="B308" s="16" t="s">
        <v>155</v>
      </c>
      <c r="C308" s="89" t="s">
        <v>140</v>
      </c>
      <c r="D308" s="80" t="s">
        <v>462</v>
      </c>
      <c r="E308" s="13"/>
      <c r="F308" s="96"/>
      <c r="G308" s="9"/>
      <c r="H308" s="9" t="s">
        <v>314</v>
      </c>
      <c r="I308" s="14"/>
      <c r="J308" s="14"/>
      <c r="K308" s="12">
        <v>59</v>
      </c>
      <c r="L308" s="9"/>
      <c r="M308" s="9"/>
      <c r="N308" s="9"/>
      <c r="O308" s="38">
        <f t="shared" si="22"/>
        <v>59</v>
      </c>
      <c r="P308" s="12"/>
      <c r="Q308" s="42"/>
      <c r="R308" s="15"/>
      <c r="S308" s="44"/>
      <c r="T308" s="15"/>
      <c r="U308" s="44"/>
      <c r="V308" s="15">
        <f t="shared" si="23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4"/>
        <v>0</v>
      </c>
      <c r="AF308" s="15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5"/>
        <v>0</v>
      </c>
      <c r="BA308" s="15"/>
      <c r="BB308" s="44"/>
      <c r="BC308" s="15"/>
      <c r="BD308" s="44"/>
      <c r="BE308" s="15">
        <f t="shared" si="26"/>
        <v>0</v>
      </c>
    </row>
    <row r="309" spans="1:57">
      <c r="A309" s="9"/>
      <c r="B309" s="16" t="s">
        <v>155</v>
      </c>
      <c r="C309" s="89" t="s">
        <v>140</v>
      </c>
      <c r="D309" s="80" t="s">
        <v>463</v>
      </c>
      <c r="E309" s="13"/>
      <c r="F309" s="96"/>
      <c r="G309" s="9"/>
      <c r="H309" s="9" t="s">
        <v>314</v>
      </c>
      <c r="I309" s="14"/>
      <c r="J309" s="14"/>
      <c r="K309" s="12">
        <v>0</v>
      </c>
      <c r="L309" s="9"/>
      <c r="M309" s="9"/>
      <c r="N309" s="9"/>
      <c r="O309" s="38">
        <f t="shared" si="22"/>
        <v>0</v>
      </c>
      <c r="P309" s="12"/>
      <c r="Q309" s="42"/>
      <c r="R309" s="15"/>
      <c r="S309" s="44"/>
      <c r="T309" s="15"/>
      <c r="U309" s="44"/>
      <c r="V309" s="15">
        <f t="shared" si="23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4"/>
        <v>0</v>
      </c>
      <c r="AF309" s="15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5"/>
        <v>0</v>
      </c>
      <c r="BA309" s="15"/>
      <c r="BB309" s="44"/>
      <c r="BC309" s="15"/>
      <c r="BD309" s="44"/>
      <c r="BE309" s="15">
        <f t="shared" si="26"/>
        <v>0</v>
      </c>
    </row>
    <row r="310" spans="1:57">
      <c r="A310" s="9"/>
      <c r="B310" s="16" t="s">
        <v>464</v>
      </c>
      <c r="C310" s="89" t="s">
        <v>140</v>
      </c>
      <c r="D310" s="80" t="s">
        <v>465</v>
      </c>
      <c r="E310" s="13" t="s">
        <v>466</v>
      </c>
      <c r="F310" s="96"/>
      <c r="G310" s="9"/>
      <c r="H310" s="9" t="s">
        <v>467</v>
      </c>
      <c r="I310" s="14"/>
      <c r="J310" s="14"/>
      <c r="K310" s="12">
        <v>54</v>
      </c>
      <c r="L310" s="9"/>
      <c r="M310" s="9"/>
      <c r="N310" s="9"/>
      <c r="O310" s="38">
        <f t="shared" si="22"/>
        <v>54</v>
      </c>
      <c r="P310" s="12"/>
      <c r="Q310" s="42"/>
      <c r="R310" s="15"/>
      <c r="S310" s="44"/>
      <c r="T310" s="15"/>
      <c r="U310" s="44"/>
      <c r="V310" s="15">
        <f t="shared" si="23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4"/>
        <v>0</v>
      </c>
      <c r="AF310" s="15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5"/>
        <v>0</v>
      </c>
      <c r="BA310" s="15"/>
      <c r="BB310" s="44"/>
      <c r="BC310" s="15"/>
      <c r="BD310" s="44"/>
      <c r="BE310" s="15">
        <f t="shared" si="26"/>
        <v>0</v>
      </c>
    </row>
    <row r="311" spans="1:57">
      <c r="A311" s="9"/>
      <c r="B311" s="16" t="s">
        <v>464</v>
      </c>
      <c r="C311" s="89" t="s">
        <v>140</v>
      </c>
      <c r="D311" s="80" t="s">
        <v>468</v>
      </c>
      <c r="E311" s="13" t="s">
        <v>469</v>
      </c>
      <c r="F311" s="96"/>
      <c r="G311" s="9"/>
      <c r="H311" s="9" t="s">
        <v>467</v>
      </c>
      <c r="I311" s="14"/>
      <c r="J311" s="14"/>
      <c r="K311" s="12">
        <v>0</v>
      </c>
      <c r="L311" s="9"/>
      <c r="M311" s="9"/>
      <c r="N311" s="9"/>
      <c r="O311" s="38">
        <f t="shared" si="22"/>
        <v>0</v>
      </c>
      <c r="P311" s="12"/>
      <c r="Q311" s="42"/>
      <c r="R311" s="15"/>
      <c r="S311" s="44"/>
      <c r="T311" s="15"/>
      <c r="U311" s="44"/>
      <c r="V311" s="15">
        <f t="shared" si="23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4"/>
        <v>0</v>
      </c>
      <c r="AF311" s="15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5"/>
        <v>0</v>
      </c>
      <c r="BA311" s="15"/>
      <c r="BB311" s="44"/>
      <c r="BC311" s="15"/>
      <c r="BD311" s="44"/>
      <c r="BE311" s="15">
        <f t="shared" si="26"/>
        <v>0</v>
      </c>
    </row>
    <row r="312" spans="1:57">
      <c r="A312" s="9"/>
      <c r="B312" s="16" t="s">
        <v>470</v>
      </c>
      <c r="C312" s="89" t="s">
        <v>140</v>
      </c>
      <c r="D312" s="80" t="s">
        <v>471</v>
      </c>
      <c r="E312" s="13"/>
      <c r="F312" s="96"/>
      <c r="G312" s="9"/>
      <c r="H312" s="9" t="s">
        <v>467</v>
      </c>
      <c r="I312" s="14"/>
      <c r="J312" s="14"/>
      <c r="K312" s="12">
        <v>71</v>
      </c>
      <c r="L312" s="9"/>
      <c r="M312" s="9"/>
      <c r="N312" s="9"/>
      <c r="O312" s="38">
        <f t="shared" si="22"/>
        <v>71</v>
      </c>
      <c r="P312" s="12"/>
      <c r="Q312" s="42"/>
      <c r="R312" s="15"/>
      <c r="S312" s="44"/>
      <c r="T312" s="15"/>
      <c r="U312" s="44"/>
      <c r="V312" s="15">
        <f t="shared" si="23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4"/>
        <v>0</v>
      </c>
      <c r="AF312" s="15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5"/>
        <v>0</v>
      </c>
      <c r="BA312" s="15"/>
      <c r="BB312" s="44"/>
      <c r="BC312" s="15"/>
      <c r="BD312" s="44"/>
      <c r="BE312" s="15">
        <f t="shared" si="26"/>
        <v>0</v>
      </c>
    </row>
    <row r="313" spans="1:57">
      <c r="A313" s="9"/>
      <c r="B313" s="16" t="s">
        <v>472</v>
      </c>
      <c r="C313" s="89" t="s">
        <v>140</v>
      </c>
      <c r="D313" s="80" t="s">
        <v>473</v>
      </c>
      <c r="E313" s="13" t="s">
        <v>474</v>
      </c>
      <c r="F313" s="96"/>
      <c r="G313" s="9"/>
      <c r="H313" s="9" t="s">
        <v>67</v>
      </c>
      <c r="I313" s="14"/>
      <c r="J313" s="14"/>
      <c r="K313" s="12">
        <v>301</v>
      </c>
      <c r="L313" s="9"/>
      <c r="M313" s="9"/>
      <c r="N313" s="9"/>
      <c r="O313" s="38">
        <f t="shared" si="22"/>
        <v>301</v>
      </c>
      <c r="P313" s="12"/>
      <c r="Q313" s="42"/>
      <c r="R313" s="15"/>
      <c r="S313" s="44"/>
      <c r="T313" s="15"/>
      <c r="U313" s="44"/>
      <c r="V313" s="15">
        <f t="shared" si="23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4"/>
        <v>0</v>
      </c>
      <c r="AF313" s="15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5"/>
        <v>0</v>
      </c>
      <c r="BA313" s="15"/>
      <c r="BB313" s="44"/>
      <c r="BC313" s="15"/>
      <c r="BD313" s="44"/>
      <c r="BE313" s="15">
        <f t="shared" si="26"/>
        <v>0</v>
      </c>
    </row>
    <row r="314" spans="1:57">
      <c r="A314" s="9"/>
      <c r="B314" s="16" t="s">
        <v>472</v>
      </c>
      <c r="C314" s="89" t="s">
        <v>140</v>
      </c>
      <c r="D314" s="80" t="s">
        <v>475</v>
      </c>
      <c r="E314" s="13" t="s">
        <v>476</v>
      </c>
      <c r="F314" s="96"/>
      <c r="G314" s="9"/>
      <c r="H314" s="9" t="s">
        <v>67</v>
      </c>
      <c r="I314" s="14"/>
      <c r="J314" s="14"/>
      <c r="K314" s="12">
        <v>352</v>
      </c>
      <c r="L314" s="9"/>
      <c r="M314" s="9"/>
      <c r="N314" s="9"/>
      <c r="O314" s="38">
        <f t="shared" si="22"/>
        <v>352</v>
      </c>
      <c r="P314" s="12"/>
      <c r="Q314" s="42"/>
      <c r="R314" s="15"/>
      <c r="S314" s="44"/>
      <c r="T314" s="15"/>
      <c r="U314" s="44"/>
      <c r="V314" s="15">
        <f t="shared" si="23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4"/>
        <v>0</v>
      </c>
      <c r="AF314" s="15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5"/>
        <v>0</v>
      </c>
      <c r="BA314" s="15"/>
      <c r="BB314" s="44"/>
      <c r="BC314" s="15"/>
      <c r="BD314" s="44"/>
      <c r="BE314" s="15">
        <f t="shared" si="26"/>
        <v>0</v>
      </c>
    </row>
    <row r="315" spans="1:57">
      <c r="A315" s="9"/>
      <c r="B315" s="16" t="s">
        <v>477</v>
      </c>
      <c r="C315" s="89" t="s">
        <v>140</v>
      </c>
      <c r="D315" s="80" t="s">
        <v>478</v>
      </c>
      <c r="E315" s="13"/>
      <c r="F315" s="96"/>
      <c r="G315" s="9"/>
      <c r="H315" s="9" t="s">
        <v>467</v>
      </c>
      <c r="I315" s="14"/>
      <c r="J315" s="14"/>
      <c r="K315" s="12">
        <v>200</v>
      </c>
      <c r="L315" s="9"/>
      <c r="M315" s="9"/>
      <c r="N315" s="9"/>
      <c r="O315" s="38">
        <f t="shared" si="22"/>
        <v>200</v>
      </c>
      <c r="P315" s="12"/>
      <c r="Q315" s="42"/>
      <c r="R315" s="15"/>
      <c r="S315" s="44"/>
      <c r="T315" s="15"/>
      <c r="U315" s="44"/>
      <c r="V315" s="15">
        <f t="shared" si="23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4"/>
        <v>0</v>
      </c>
      <c r="AF315" s="15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5"/>
        <v>0</v>
      </c>
      <c r="BA315" s="15"/>
      <c r="BB315" s="44"/>
      <c r="BC315" s="15"/>
      <c r="BD315" s="44"/>
      <c r="BE315" s="15">
        <f t="shared" si="26"/>
        <v>0</v>
      </c>
    </row>
    <row r="316" spans="1:57">
      <c r="A316" s="9"/>
      <c r="B316" s="16" t="s">
        <v>477</v>
      </c>
      <c r="C316" s="89" t="s">
        <v>140</v>
      </c>
      <c r="D316" s="80" t="s">
        <v>479</v>
      </c>
      <c r="E316" s="13"/>
      <c r="F316" s="96"/>
      <c r="G316" s="9"/>
      <c r="H316" s="9" t="s">
        <v>467</v>
      </c>
      <c r="I316" s="14"/>
      <c r="J316" s="14"/>
      <c r="K316" s="12">
        <v>35</v>
      </c>
      <c r="L316" s="9"/>
      <c r="M316" s="9"/>
      <c r="N316" s="9"/>
      <c r="O316" s="38">
        <f t="shared" si="22"/>
        <v>35</v>
      </c>
      <c r="P316" s="12"/>
      <c r="Q316" s="42"/>
      <c r="R316" s="15"/>
      <c r="S316" s="44"/>
      <c r="T316" s="15"/>
      <c r="U316" s="44"/>
      <c r="V316" s="15">
        <f t="shared" si="23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4"/>
        <v>0</v>
      </c>
      <c r="AF316" s="15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5"/>
        <v>0</v>
      </c>
      <c r="BA316" s="15"/>
      <c r="BB316" s="44"/>
      <c r="BC316" s="15"/>
      <c r="BD316" s="44"/>
      <c r="BE316" s="15">
        <f t="shared" si="26"/>
        <v>0</v>
      </c>
    </row>
    <row r="317" spans="1:57">
      <c r="A317" s="9"/>
      <c r="B317" s="16" t="s">
        <v>477</v>
      </c>
      <c r="C317" s="89" t="s">
        <v>140</v>
      </c>
      <c r="D317" s="80" t="s">
        <v>480</v>
      </c>
      <c r="E317" s="13" t="s">
        <v>481</v>
      </c>
      <c r="F317" s="96"/>
      <c r="G317" s="9"/>
      <c r="H317" s="9" t="s">
        <v>482</v>
      </c>
      <c r="I317" s="14"/>
      <c r="J317" s="14"/>
      <c r="K317" s="12">
        <v>0</v>
      </c>
      <c r="L317" s="9"/>
      <c r="M317" s="9"/>
      <c r="N317" s="9"/>
      <c r="O317" s="38">
        <f t="shared" si="22"/>
        <v>0</v>
      </c>
      <c r="P317" s="12"/>
      <c r="Q317" s="42"/>
      <c r="R317" s="15"/>
      <c r="S317" s="44"/>
      <c r="T317" s="15"/>
      <c r="U317" s="44"/>
      <c r="V317" s="15">
        <f t="shared" si="23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4"/>
        <v>0</v>
      </c>
      <c r="AF317" s="15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5"/>
        <v>0</v>
      </c>
      <c r="BA317" s="15"/>
      <c r="BB317" s="44"/>
      <c r="BC317" s="15"/>
      <c r="BD317" s="44"/>
      <c r="BE317" s="15">
        <f t="shared" si="26"/>
        <v>0</v>
      </c>
    </row>
    <row r="318" spans="1:57">
      <c r="A318" s="9"/>
      <c r="B318" s="16" t="s">
        <v>483</v>
      </c>
      <c r="C318" s="89" t="s">
        <v>140</v>
      </c>
      <c r="D318" s="80" t="s">
        <v>484</v>
      </c>
      <c r="E318" s="13" t="s">
        <v>485</v>
      </c>
      <c r="F318" s="96"/>
      <c r="G318" s="9"/>
      <c r="H318" s="9" t="s">
        <v>467</v>
      </c>
      <c r="I318" s="14"/>
      <c r="J318" s="14"/>
      <c r="K318" s="12">
        <v>20</v>
      </c>
      <c r="L318" s="9"/>
      <c r="M318" s="9"/>
      <c r="N318" s="9"/>
      <c r="O318" s="38">
        <f t="shared" si="22"/>
        <v>20</v>
      </c>
      <c r="P318" s="12"/>
      <c r="Q318" s="42"/>
      <c r="R318" s="15"/>
      <c r="S318" s="44"/>
      <c r="T318" s="15"/>
      <c r="U318" s="44"/>
      <c r="V318" s="15">
        <f t="shared" si="23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4"/>
        <v>0</v>
      </c>
      <c r="AF318" s="15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5"/>
        <v>0</v>
      </c>
      <c r="BA318" s="15"/>
      <c r="BB318" s="44"/>
      <c r="BC318" s="15"/>
      <c r="BD318" s="44"/>
      <c r="BE318" s="15">
        <f t="shared" si="26"/>
        <v>0</v>
      </c>
    </row>
    <row r="319" spans="1:57">
      <c r="A319" s="9"/>
      <c r="B319" s="16" t="s">
        <v>486</v>
      </c>
      <c r="C319" s="89" t="s">
        <v>140</v>
      </c>
      <c r="D319" s="80" t="s">
        <v>487</v>
      </c>
      <c r="E319" s="13"/>
      <c r="F319" s="96"/>
      <c r="G319" s="9"/>
      <c r="H319" s="9" t="s">
        <v>467</v>
      </c>
      <c r="I319" s="14"/>
      <c r="J319" s="14"/>
      <c r="K319" s="12">
        <v>0</v>
      </c>
      <c r="L319" s="9"/>
      <c r="M319" s="9"/>
      <c r="N319" s="9"/>
      <c r="O319" s="38">
        <f t="shared" si="22"/>
        <v>0</v>
      </c>
      <c r="P319" s="12"/>
      <c r="Q319" s="42"/>
      <c r="R319" s="15"/>
      <c r="S319" s="44"/>
      <c r="T319" s="15"/>
      <c r="U319" s="44"/>
      <c r="V319" s="15">
        <f t="shared" si="23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4"/>
        <v>0</v>
      </c>
      <c r="AF319" s="15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5"/>
        <v>0</v>
      </c>
      <c r="BA319" s="15"/>
      <c r="BB319" s="44"/>
      <c r="BC319" s="15"/>
      <c r="BD319" s="44"/>
      <c r="BE319" s="15">
        <f t="shared" si="26"/>
        <v>0</v>
      </c>
    </row>
    <row r="320" spans="1:57">
      <c r="A320" s="9"/>
      <c r="B320" s="16" t="s">
        <v>486</v>
      </c>
      <c r="C320" s="89" t="s">
        <v>140</v>
      </c>
      <c r="D320" s="80" t="s">
        <v>488</v>
      </c>
      <c r="E320" s="13"/>
      <c r="F320" s="96"/>
      <c r="G320" s="9"/>
      <c r="H320" s="9" t="s">
        <v>467</v>
      </c>
      <c r="I320" s="14"/>
      <c r="J320" s="14"/>
      <c r="K320" s="12">
        <v>0</v>
      </c>
      <c r="L320" s="9"/>
      <c r="M320" s="9"/>
      <c r="N320" s="9"/>
      <c r="O320" s="38">
        <f t="shared" si="22"/>
        <v>0</v>
      </c>
      <c r="P320" s="12"/>
      <c r="Q320" s="42"/>
      <c r="R320" s="15"/>
      <c r="S320" s="44"/>
      <c r="T320" s="15"/>
      <c r="U320" s="44"/>
      <c r="V320" s="15">
        <f t="shared" si="23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4"/>
        <v>0</v>
      </c>
      <c r="AF320" s="15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5"/>
        <v>0</v>
      </c>
      <c r="BA320" s="15"/>
      <c r="BB320" s="44"/>
      <c r="BC320" s="15"/>
      <c r="BD320" s="44"/>
      <c r="BE320" s="15">
        <f t="shared" si="26"/>
        <v>0</v>
      </c>
    </row>
    <row r="321" spans="1:57">
      <c r="A321" s="9"/>
      <c r="B321" s="16" t="s">
        <v>489</v>
      </c>
      <c r="C321" s="89" t="s">
        <v>140</v>
      </c>
      <c r="D321" s="80" t="s">
        <v>490</v>
      </c>
      <c r="E321" s="13" t="s">
        <v>206</v>
      </c>
      <c r="F321" s="96"/>
      <c r="G321" s="9"/>
      <c r="H321" s="9" t="s">
        <v>207</v>
      </c>
      <c r="I321" s="14"/>
      <c r="J321" s="14"/>
      <c r="K321" s="12">
        <v>490</v>
      </c>
      <c r="L321" s="9"/>
      <c r="M321" s="9"/>
      <c r="N321" s="9"/>
      <c r="O321" s="38">
        <f t="shared" si="22"/>
        <v>490</v>
      </c>
      <c r="P321" s="12"/>
      <c r="Q321" s="42"/>
      <c r="R321" s="15"/>
      <c r="S321" s="44"/>
      <c r="T321" s="15"/>
      <c r="U321" s="44"/>
      <c r="V321" s="15">
        <f t="shared" si="23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4"/>
        <v>0</v>
      </c>
      <c r="AF321" s="15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5"/>
        <v>0</v>
      </c>
      <c r="BA321" s="15"/>
      <c r="BB321" s="44"/>
      <c r="BC321" s="15"/>
      <c r="BD321" s="44"/>
      <c r="BE321" s="15">
        <f t="shared" si="26"/>
        <v>0</v>
      </c>
    </row>
    <row r="322" spans="1:57">
      <c r="A322" s="9"/>
      <c r="B322" s="16" t="s">
        <v>244</v>
      </c>
      <c r="C322" s="89" t="s">
        <v>140</v>
      </c>
      <c r="D322" s="80" t="s">
        <v>491</v>
      </c>
      <c r="E322" s="13" t="s">
        <v>492</v>
      </c>
      <c r="F322" s="96"/>
      <c r="G322" s="9"/>
      <c r="H322" s="9" t="s">
        <v>247</v>
      </c>
      <c r="I322" s="14"/>
      <c r="J322" s="14"/>
      <c r="K322" s="12">
        <v>71</v>
      </c>
      <c r="L322" s="9"/>
      <c r="M322" s="9"/>
      <c r="N322" s="9"/>
      <c r="O322" s="38">
        <f t="shared" ref="O322:O385" si="27">K322+V322-AE322-AZ322</f>
        <v>71</v>
      </c>
      <c r="P322" s="12"/>
      <c r="Q322" s="42"/>
      <c r="R322" s="15"/>
      <c r="S322" s="44"/>
      <c r="T322" s="15"/>
      <c r="U322" s="44"/>
      <c r="V322" s="15">
        <f t="shared" ref="V322:V385" si="28">P322+R322+T322</f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ref="AE322:AE385" si="29">(W322+Y322+AA322+AC322)</f>
        <v>0</v>
      </c>
      <c r="AF322" s="15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5"/>
        <v>0</v>
      </c>
      <c r="BA322" s="15"/>
      <c r="BB322" s="44"/>
      <c r="BC322" s="15"/>
      <c r="BD322" s="44"/>
      <c r="BE322" s="15">
        <f t="shared" si="26"/>
        <v>0</v>
      </c>
    </row>
    <row r="323" spans="1:57">
      <c r="A323" s="9"/>
      <c r="B323" s="16" t="s">
        <v>244</v>
      </c>
      <c r="C323" s="89" t="s">
        <v>140</v>
      </c>
      <c r="D323" s="80" t="s">
        <v>493</v>
      </c>
      <c r="E323" s="13" t="s">
        <v>492</v>
      </c>
      <c r="F323" s="96"/>
      <c r="G323" s="9"/>
      <c r="H323" s="9" t="s">
        <v>247</v>
      </c>
      <c r="I323" s="14"/>
      <c r="J323" s="14"/>
      <c r="K323" s="12">
        <v>144</v>
      </c>
      <c r="L323" s="9"/>
      <c r="M323" s="9"/>
      <c r="N323" s="9"/>
      <c r="O323" s="38">
        <f t="shared" si="27"/>
        <v>144</v>
      </c>
      <c r="P323" s="12"/>
      <c r="Q323" s="42"/>
      <c r="R323" s="15"/>
      <c r="S323" s="44"/>
      <c r="T323" s="15"/>
      <c r="U323" s="44"/>
      <c r="V323" s="15">
        <f t="shared" si="28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9"/>
        <v>0</v>
      </c>
      <c r="AF323" s="15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ref="AZ323:AZ386" si="30">AF323+AH323+AJ323+AL323+AN323+AP323+AR323+AT323+AV323+AX323</f>
        <v>0</v>
      </c>
      <c r="BA323" s="15"/>
      <c r="BB323" s="44"/>
      <c r="BC323" s="15"/>
      <c r="BD323" s="44"/>
      <c r="BE323" s="15">
        <f t="shared" si="26"/>
        <v>0</v>
      </c>
    </row>
    <row r="324" spans="1:57">
      <c r="A324" s="9"/>
      <c r="B324" s="18" t="s">
        <v>172</v>
      </c>
      <c r="C324" s="89" t="s">
        <v>494</v>
      </c>
      <c r="D324" s="58" t="s">
        <v>253</v>
      </c>
      <c r="E324" s="35"/>
      <c r="F324" s="96"/>
      <c r="G324" s="21"/>
      <c r="H324" s="21" t="s">
        <v>67</v>
      </c>
      <c r="I324" s="14"/>
      <c r="J324" s="14"/>
      <c r="K324" s="12">
        <v>235</v>
      </c>
      <c r="L324" s="9"/>
      <c r="M324" s="9"/>
      <c r="N324" s="9"/>
      <c r="O324" s="38">
        <f t="shared" si="27"/>
        <v>235</v>
      </c>
      <c r="P324" s="12"/>
      <c r="Q324" s="42"/>
      <c r="R324" s="15"/>
      <c r="S324" s="44"/>
      <c r="T324" s="15"/>
      <c r="U324" s="44"/>
      <c r="V324" s="15">
        <f t="shared" si="28"/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si="29"/>
        <v>0</v>
      </c>
      <c r="AF324" s="15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30"/>
        <v>0</v>
      </c>
      <c r="BA324" s="15"/>
      <c r="BB324" s="44"/>
      <c r="BC324" s="15"/>
      <c r="BD324" s="44"/>
      <c r="BE324" s="15">
        <f t="shared" si="26"/>
        <v>0</v>
      </c>
    </row>
    <row r="325" spans="1:57">
      <c r="A325" s="9"/>
      <c r="B325" s="18" t="s">
        <v>172</v>
      </c>
      <c r="C325" s="89" t="s">
        <v>52</v>
      </c>
      <c r="D325" s="58" t="s">
        <v>495</v>
      </c>
      <c r="E325" s="35" t="s">
        <v>496</v>
      </c>
      <c r="F325" s="96"/>
      <c r="G325" s="21"/>
      <c r="H325" s="21" t="s">
        <v>67</v>
      </c>
      <c r="I325" s="14"/>
      <c r="J325" s="14"/>
      <c r="K325" s="12">
        <v>500</v>
      </c>
      <c r="L325" s="9"/>
      <c r="M325" s="9"/>
      <c r="N325" s="9"/>
      <c r="O325" s="38">
        <f t="shared" si="27"/>
        <v>500</v>
      </c>
      <c r="P325" s="12"/>
      <c r="Q325" s="42"/>
      <c r="R325" s="15"/>
      <c r="S325" s="44"/>
      <c r="T325" s="15"/>
      <c r="U325" s="44"/>
      <c r="V325" s="15">
        <f t="shared" si="28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29"/>
        <v>0</v>
      </c>
      <c r="AF325" s="15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30"/>
        <v>0</v>
      </c>
      <c r="BA325" s="15"/>
      <c r="BB325" s="44"/>
      <c r="BC325" s="15"/>
      <c r="BD325" s="44"/>
      <c r="BE325" s="15">
        <f t="shared" si="26"/>
        <v>0</v>
      </c>
    </row>
    <row r="326" spans="1:57">
      <c r="A326" s="9"/>
      <c r="B326" s="16" t="s">
        <v>172</v>
      </c>
      <c r="C326" s="89" t="s">
        <v>494</v>
      </c>
      <c r="D326" s="61" t="s">
        <v>497</v>
      </c>
      <c r="E326" s="13"/>
      <c r="F326" s="96"/>
      <c r="G326" s="9"/>
      <c r="H326" s="9" t="s">
        <v>67</v>
      </c>
      <c r="I326" s="14"/>
      <c r="J326" s="14"/>
      <c r="K326" s="12">
        <v>205</v>
      </c>
      <c r="L326" s="9"/>
      <c r="M326" s="9"/>
      <c r="N326" s="9"/>
      <c r="O326" s="38">
        <f t="shared" si="27"/>
        <v>205</v>
      </c>
      <c r="P326" s="12"/>
      <c r="Q326" s="42"/>
      <c r="R326" s="15"/>
      <c r="S326" s="44"/>
      <c r="T326" s="15"/>
      <c r="U326" s="44"/>
      <c r="V326" s="15">
        <f t="shared" si="28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29"/>
        <v>0</v>
      </c>
      <c r="AF326" s="15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30"/>
        <v>0</v>
      </c>
      <c r="BA326" s="15"/>
      <c r="BB326" s="44"/>
      <c r="BC326" s="15"/>
      <c r="BD326" s="44"/>
      <c r="BE326" s="15">
        <f t="shared" si="26"/>
        <v>0</v>
      </c>
    </row>
    <row r="327" spans="1:57">
      <c r="A327" s="9"/>
      <c r="B327" s="16" t="s">
        <v>172</v>
      </c>
      <c r="C327" s="89" t="s">
        <v>494</v>
      </c>
      <c r="D327" s="84" t="s">
        <v>498</v>
      </c>
      <c r="E327" s="13" t="s">
        <v>499</v>
      </c>
      <c r="F327" s="96"/>
      <c r="G327" s="9"/>
      <c r="H327" s="9" t="s">
        <v>67</v>
      </c>
      <c r="I327" s="14"/>
      <c r="J327" s="14"/>
      <c r="K327" s="12">
        <v>90</v>
      </c>
      <c r="L327" s="9"/>
      <c r="M327" s="9"/>
      <c r="N327" s="9"/>
      <c r="O327" s="38">
        <f t="shared" si="27"/>
        <v>90</v>
      </c>
      <c r="P327" s="12"/>
      <c r="Q327" s="42"/>
      <c r="R327" s="15"/>
      <c r="S327" s="44"/>
      <c r="T327" s="15"/>
      <c r="U327" s="44"/>
      <c r="V327" s="15">
        <f t="shared" si="28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29"/>
        <v>0</v>
      </c>
      <c r="AF327" s="15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30"/>
        <v>0</v>
      </c>
      <c r="BA327" s="15"/>
      <c r="BB327" s="44"/>
      <c r="BC327" s="15"/>
      <c r="BD327" s="44"/>
      <c r="BE327" s="15">
        <f t="shared" si="26"/>
        <v>0</v>
      </c>
    </row>
    <row r="328" spans="1:57">
      <c r="A328" s="9"/>
      <c r="B328" s="16" t="s">
        <v>172</v>
      </c>
      <c r="C328" s="89" t="s">
        <v>494</v>
      </c>
      <c r="D328" s="80" t="s">
        <v>500</v>
      </c>
      <c r="E328" s="13" t="s">
        <v>501</v>
      </c>
      <c r="F328" s="96"/>
      <c r="G328" s="9"/>
      <c r="H328" s="9" t="s">
        <v>67</v>
      </c>
      <c r="I328" s="14"/>
      <c r="J328" s="14"/>
      <c r="K328" s="12">
        <v>109</v>
      </c>
      <c r="L328" s="9"/>
      <c r="M328" s="9"/>
      <c r="N328" s="9"/>
      <c r="O328" s="38">
        <f t="shared" si="27"/>
        <v>109</v>
      </c>
      <c r="P328" s="12"/>
      <c r="Q328" s="42"/>
      <c r="R328" s="15"/>
      <c r="S328" s="44"/>
      <c r="T328" s="15"/>
      <c r="U328" s="44"/>
      <c r="V328" s="15">
        <f t="shared" si="28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29"/>
        <v>0</v>
      </c>
      <c r="AF328" s="15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30"/>
        <v>0</v>
      </c>
      <c r="BA328" s="15"/>
      <c r="BB328" s="44"/>
      <c r="BC328" s="15"/>
      <c r="BD328" s="44"/>
      <c r="BE328" s="15">
        <f t="shared" si="26"/>
        <v>0</v>
      </c>
    </row>
    <row r="329" spans="1:57">
      <c r="A329" s="9"/>
      <c r="B329" s="16" t="s">
        <v>172</v>
      </c>
      <c r="C329" s="89" t="s">
        <v>52</v>
      </c>
      <c r="D329" s="80" t="s">
        <v>502</v>
      </c>
      <c r="E329" s="13"/>
      <c r="F329" s="96"/>
      <c r="G329" s="9"/>
      <c r="H329" s="9" t="s">
        <v>67</v>
      </c>
      <c r="I329" s="14"/>
      <c r="J329" s="14"/>
      <c r="K329" s="12">
        <v>106</v>
      </c>
      <c r="L329" s="9"/>
      <c r="M329" s="9"/>
      <c r="N329" s="9"/>
      <c r="O329" s="38">
        <f t="shared" si="27"/>
        <v>106</v>
      </c>
      <c r="P329" s="12"/>
      <c r="Q329" s="42"/>
      <c r="R329" s="15"/>
      <c r="S329" s="44"/>
      <c r="T329" s="15"/>
      <c r="U329" s="44"/>
      <c r="V329" s="15">
        <f t="shared" si="28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29"/>
        <v>0</v>
      </c>
      <c r="AF329" s="15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30"/>
        <v>0</v>
      </c>
      <c r="BA329" s="15"/>
      <c r="BB329" s="44"/>
      <c r="BC329" s="15"/>
      <c r="BD329" s="44"/>
      <c r="BE329" s="15">
        <f t="shared" si="26"/>
        <v>0</v>
      </c>
    </row>
    <row r="330" spans="1:57">
      <c r="A330" s="9"/>
      <c r="B330" s="16" t="s">
        <v>172</v>
      </c>
      <c r="C330" s="89" t="s">
        <v>52</v>
      </c>
      <c r="D330" s="80" t="s">
        <v>416</v>
      </c>
      <c r="E330" s="13"/>
      <c r="F330" s="96"/>
      <c r="G330" s="9"/>
      <c r="H330" s="9" t="s">
        <v>67</v>
      </c>
      <c r="I330" s="14"/>
      <c r="J330" s="14"/>
      <c r="K330" s="12">
        <v>108</v>
      </c>
      <c r="L330" s="9"/>
      <c r="M330" s="9"/>
      <c r="N330" s="9"/>
      <c r="O330" s="38">
        <f t="shared" si="27"/>
        <v>108</v>
      </c>
      <c r="P330" s="12"/>
      <c r="Q330" s="42"/>
      <c r="R330" s="15"/>
      <c r="S330" s="44"/>
      <c r="T330" s="15"/>
      <c r="U330" s="44"/>
      <c r="V330" s="15">
        <f t="shared" si="28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29"/>
        <v>0</v>
      </c>
      <c r="AF330" s="15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30"/>
        <v>0</v>
      </c>
      <c r="BA330" s="15"/>
      <c r="BB330" s="44"/>
      <c r="BC330" s="15"/>
      <c r="BD330" s="44"/>
      <c r="BE330" s="15">
        <f t="shared" si="26"/>
        <v>0</v>
      </c>
    </row>
    <row r="331" spans="1:57">
      <c r="A331" s="9"/>
      <c r="B331" s="16" t="s">
        <v>172</v>
      </c>
      <c r="C331" s="89" t="s">
        <v>52</v>
      </c>
      <c r="D331" s="80" t="s">
        <v>503</v>
      </c>
      <c r="E331" s="13"/>
      <c r="F331" s="96"/>
      <c r="G331" s="9"/>
      <c r="H331" s="9" t="s">
        <v>67</v>
      </c>
      <c r="I331" s="14"/>
      <c r="J331" s="14"/>
      <c r="K331" s="12">
        <v>280</v>
      </c>
      <c r="L331" s="9"/>
      <c r="M331" s="9"/>
      <c r="N331" s="9"/>
      <c r="O331" s="38">
        <f t="shared" si="27"/>
        <v>280</v>
      </c>
      <c r="P331" s="12"/>
      <c r="Q331" s="42"/>
      <c r="R331" s="15"/>
      <c r="S331" s="44"/>
      <c r="T331" s="15"/>
      <c r="U331" s="44"/>
      <c r="V331" s="15">
        <f t="shared" si="28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29"/>
        <v>0</v>
      </c>
      <c r="AF331" s="15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30"/>
        <v>0</v>
      </c>
      <c r="BA331" s="15"/>
      <c r="BB331" s="44"/>
      <c r="BC331" s="15"/>
      <c r="BD331" s="44"/>
      <c r="BE331" s="15">
        <f t="shared" si="26"/>
        <v>0</v>
      </c>
    </row>
    <row r="332" spans="1:57">
      <c r="A332" s="9"/>
      <c r="B332" s="16" t="s">
        <v>172</v>
      </c>
      <c r="C332" s="89" t="s">
        <v>52</v>
      </c>
      <c r="D332" s="80" t="s">
        <v>504</v>
      </c>
      <c r="E332" s="13"/>
      <c r="F332" s="96"/>
      <c r="G332" s="9"/>
      <c r="H332" s="9" t="s">
        <v>67</v>
      </c>
      <c r="I332" s="14"/>
      <c r="J332" s="14"/>
      <c r="K332" s="12">
        <v>192</v>
      </c>
      <c r="L332" s="9"/>
      <c r="M332" s="9"/>
      <c r="N332" s="9"/>
      <c r="O332" s="38">
        <f t="shared" si="27"/>
        <v>192</v>
      </c>
      <c r="P332" s="12"/>
      <c r="Q332" s="42"/>
      <c r="R332" s="15"/>
      <c r="S332" s="44"/>
      <c r="T332" s="15"/>
      <c r="U332" s="44"/>
      <c r="V332" s="15">
        <f t="shared" si="28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29"/>
        <v>0</v>
      </c>
      <c r="AF332" s="15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30"/>
        <v>0</v>
      </c>
      <c r="BA332" s="15"/>
      <c r="BB332" s="44"/>
      <c r="BC332" s="15"/>
      <c r="BD332" s="44"/>
      <c r="BE332" s="15">
        <f t="shared" si="26"/>
        <v>0</v>
      </c>
    </row>
    <row r="333" spans="1:57">
      <c r="A333" s="9"/>
      <c r="B333" s="16" t="s">
        <v>172</v>
      </c>
      <c r="C333" s="89" t="s">
        <v>52</v>
      </c>
      <c r="D333" s="80" t="s">
        <v>505</v>
      </c>
      <c r="E333" s="13"/>
      <c r="F333" s="96"/>
      <c r="G333" s="9"/>
      <c r="H333" s="9" t="s">
        <v>67</v>
      </c>
      <c r="I333" s="14"/>
      <c r="J333" s="14"/>
      <c r="K333" s="12">
        <v>194</v>
      </c>
      <c r="L333" s="9"/>
      <c r="M333" s="9"/>
      <c r="N333" s="9"/>
      <c r="O333" s="38">
        <f t="shared" si="27"/>
        <v>194</v>
      </c>
      <c r="P333" s="12"/>
      <c r="Q333" s="42"/>
      <c r="R333" s="15"/>
      <c r="S333" s="44"/>
      <c r="T333" s="15"/>
      <c r="U333" s="44"/>
      <c r="V333" s="15">
        <f t="shared" si="28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29"/>
        <v>0</v>
      </c>
      <c r="AF333" s="15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30"/>
        <v>0</v>
      </c>
      <c r="BA333" s="15"/>
      <c r="BB333" s="44"/>
      <c r="BC333" s="15"/>
      <c r="BD333" s="44"/>
      <c r="BE333" s="15">
        <f t="shared" si="26"/>
        <v>0</v>
      </c>
    </row>
    <row r="334" spans="1:57">
      <c r="A334" s="9"/>
      <c r="B334" s="16" t="s">
        <v>172</v>
      </c>
      <c r="C334" s="89" t="s">
        <v>52</v>
      </c>
      <c r="D334" s="80" t="s">
        <v>506</v>
      </c>
      <c r="E334" s="13"/>
      <c r="F334" s="96"/>
      <c r="G334" s="9"/>
      <c r="H334" s="9" t="s">
        <v>67</v>
      </c>
      <c r="I334" s="14"/>
      <c r="J334" s="14"/>
      <c r="K334" s="12">
        <v>0</v>
      </c>
      <c r="L334" s="9"/>
      <c r="M334" s="9"/>
      <c r="N334" s="9"/>
      <c r="O334" s="38">
        <f t="shared" si="27"/>
        <v>0</v>
      </c>
      <c r="P334" s="12"/>
      <c r="Q334" s="42"/>
      <c r="R334" s="15"/>
      <c r="S334" s="44"/>
      <c r="T334" s="15"/>
      <c r="U334" s="44"/>
      <c r="V334" s="15">
        <f t="shared" si="28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29"/>
        <v>0</v>
      </c>
      <c r="AF334" s="15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30"/>
        <v>0</v>
      </c>
      <c r="BA334" s="15"/>
      <c r="BB334" s="44"/>
      <c r="BC334" s="15"/>
      <c r="BD334" s="44"/>
      <c r="BE334" s="15">
        <f t="shared" si="26"/>
        <v>0</v>
      </c>
    </row>
    <row r="335" spans="1:57" ht="24" customHeight="1">
      <c r="A335" s="9"/>
      <c r="B335" s="16" t="s">
        <v>120</v>
      </c>
      <c r="C335" s="89" t="s">
        <v>507</v>
      </c>
      <c r="D335" s="72" t="s">
        <v>508</v>
      </c>
      <c r="E335" s="13" t="s">
        <v>509</v>
      </c>
      <c r="F335" s="96"/>
      <c r="G335" s="9"/>
      <c r="H335" s="9" t="s">
        <v>67</v>
      </c>
      <c r="I335" s="14"/>
      <c r="J335" s="14"/>
      <c r="K335" s="12">
        <v>157</v>
      </c>
      <c r="L335" s="9"/>
      <c r="M335" s="9"/>
      <c r="N335" s="9"/>
      <c r="O335" s="38">
        <f t="shared" si="27"/>
        <v>157</v>
      </c>
      <c r="P335" s="12"/>
      <c r="Q335" s="42"/>
      <c r="R335" s="15"/>
      <c r="S335" s="44"/>
      <c r="T335" s="15"/>
      <c r="U335" s="44"/>
      <c r="V335" s="15">
        <f t="shared" si="28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29"/>
        <v>0</v>
      </c>
      <c r="AF335" s="15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30"/>
        <v>0</v>
      </c>
      <c r="BA335" s="15"/>
      <c r="BB335" s="44"/>
      <c r="BC335" s="15"/>
      <c r="BD335" s="44"/>
      <c r="BE335" s="15">
        <f t="shared" si="26"/>
        <v>0</v>
      </c>
    </row>
    <row r="336" spans="1:57">
      <c r="A336" s="9"/>
      <c r="B336" s="16" t="s">
        <v>120</v>
      </c>
      <c r="C336" s="89" t="s">
        <v>494</v>
      </c>
      <c r="D336" s="56" t="s">
        <v>194</v>
      </c>
      <c r="E336" s="13" t="s">
        <v>510</v>
      </c>
      <c r="F336" s="96"/>
      <c r="G336" s="9"/>
      <c r="H336" s="9" t="s">
        <v>67</v>
      </c>
      <c r="I336" s="14"/>
      <c r="J336" s="14"/>
      <c r="K336" s="12">
        <v>123</v>
      </c>
      <c r="L336" s="9"/>
      <c r="M336" s="9"/>
      <c r="N336" s="9"/>
      <c r="O336" s="38">
        <f t="shared" si="27"/>
        <v>123</v>
      </c>
      <c r="P336" s="12"/>
      <c r="Q336" s="42"/>
      <c r="R336" s="15"/>
      <c r="S336" s="44"/>
      <c r="T336" s="15"/>
      <c r="U336" s="44"/>
      <c r="V336" s="15">
        <f t="shared" si="28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29"/>
        <v>0</v>
      </c>
      <c r="AF336" s="15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30"/>
        <v>0</v>
      </c>
      <c r="BA336" s="15"/>
      <c r="BB336" s="44"/>
      <c r="BC336" s="15"/>
      <c r="BD336" s="44"/>
      <c r="BE336" s="15">
        <f t="shared" si="26"/>
        <v>0</v>
      </c>
    </row>
    <row r="337" spans="1:57">
      <c r="A337" s="9"/>
      <c r="B337" s="16" t="s">
        <v>120</v>
      </c>
      <c r="C337" s="89" t="s">
        <v>494</v>
      </c>
      <c r="D337" s="80" t="s">
        <v>263</v>
      </c>
      <c r="E337" s="13" t="s">
        <v>511</v>
      </c>
      <c r="F337" s="96"/>
      <c r="G337" s="9"/>
      <c r="H337" s="9" t="s">
        <v>67</v>
      </c>
      <c r="I337" s="14"/>
      <c r="J337" s="14"/>
      <c r="K337" s="12">
        <v>240</v>
      </c>
      <c r="L337" s="9"/>
      <c r="M337" s="9"/>
      <c r="N337" s="9"/>
      <c r="O337" s="38">
        <f t="shared" si="27"/>
        <v>240</v>
      </c>
      <c r="P337" s="12"/>
      <c r="Q337" s="42"/>
      <c r="R337" s="15"/>
      <c r="S337" s="44"/>
      <c r="T337" s="15"/>
      <c r="U337" s="44"/>
      <c r="V337" s="15">
        <f t="shared" si="28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29"/>
        <v>0</v>
      </c>
      <c r="AF337" s="15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30"/>
        <v>0</v>
      </c>
      <c r="BA337" s="15"/>
      <c r="BB337" s="44"/>
      <c r="BC337" s="15"/>
      <c r="BD337" s="44"/>
      <c r="BE337" s="15">
        <f t="shared" si="26"/>
        <v>0</v>
      </c>
    </row>
    <row r="338" spans="1:57">
      <c r="A338" s="9"/>
      <c r="B338" s="16" t="s">
        <v>120</v>
      </c>
      <c r="C338" s="89" t="s">
        <v>52</v>
      </c>
      <c r="D338" s="80" t="s">
        <v>265</v>
      </c>
      <c r="E338" s="13" t="s">
        <v>512</v>
      </c>
      <c r="F338" s="96"/>
      <c r="G338" s="9"/>
      <c r="H338" s="9" t="s">
        <v>67</v>
      </c>
      <c r="I338" s="14"/>
      <c r="J338" s="14"/>
      <c r="K338" s="12">
        <v>203</v>
      </c>
      <c r="L338" s="9"/>
      <c r="M338" s="9"/>
      <c r="N338" s="9"/>
      <c r="O338" s="38">
        <f t="shared" si="27"/>
        <v>203</v>
      </c>
      <c r="P338" s="12"/>
      <c r="Q338" s="42"/>
      <c r="R338" s="15"/>
      <c r="S338" s="44"/>
      <c r="T338" s="15"/>
      <c r="U338" s="44"/>
      <c r="V338" s="15">
        <f t="shared" si="28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29"/>
        <v>0</v>
      </c>
      <c r="AF338" s="15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30"/>
        <v>0</v>
      </c>
      <c r="BA338" s="15"/>
      <c r="BB338" s="44"/>
      <c r="BC338" s="15"/>
      <c r="BD338" s="44"/>
      <c r="BE338" s="15">
        <f t="shared" si="26"/>
        <v>0</v>
      </c>
    </row>
    <row r="339" spans="1:57">
      <c r="A339" s="9"/>
      <c r="B339" s="16" t="s">
        <v>120</v>
      </c>
      <c r="C339" s="89" t="s">
        <v>52</v>
      </c>
      <c r="D339" s="80" t="s">
        <v>198</v>
      </c>
      <c r="E339" s="13" t="s">
        <v>513</v>
      </c>
      <c r="F339" s="96"/>
      <c r="G339" s="9"/>
      <c r="H339" s="9" t="s">
        <v>67</v>
      </c>
      <c r="I339" s="14"/>
      <c r="J339" s="14"/>
      <c r="K339" s="12">
        <v>0</v>
      </c>
      <c r="L339" s="9"/>
      <c r="M339" s="9"/>
      <c r="N339" s="9"/>
      <c r="O339" s="38">
        <f t="shared" si="27"/>
        <v>0</v>
      </c>
      <c r="P339" s="12"/>
      <c r="Q339" s="42"/>
      <c r="R339" s="15"/>
      <c r="S339" s="44"/>
      <c r="T339" s="15"/>
      <c r="U339" s="44"/>
      <c r="V339" s="15">
        <f t="shared" si="28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29"/>
        <v>0</v>
      </c>
      <c r="AF339" s="15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30"/>
        <v>0</v>
      </c>
      <c r="BA339" s="15"/>
      <c r="BB339" s="44"/>
      <c r="BC339" s="15"/>
      <c r="BD339" s="44"/>
      <c r="BE339" s="15">
        <f t="shared" si="26"/>
        <v>0</v>
      </c>
    </row>
    <row r="340" spans="1:57">
      <c r="A340" s="9"/>
      <c r="B340" s="16" t="s">
        <v>120</v>
      </c>
      <c r="C340" s="89" t="s">
        <v>494</v>
      </c>
      <c r="D340" s="80" t="s">
        <v>514</v>
      </c>
      <c r="E340" s="13" t="s">
        <v>515</v>
      </c>
      <c r="F340" s="96"/>
      <c r="G340" s="9"/>
      <c r="H340" s="9" t="s">
        <v>67</v>
      </c>
      <c r="I340" s="14"/>
      <c r="J340" s="14"/>
      <c r="K340" s="12">
        <v>234</v>
      </c>
      <c r="L340" s="9"/>
      <c r="M340" s="9"/>
      <c r="N340" s="9"/>
      <c r="O340" s="38">
        <f t="shared" si="27"/>
        <v>234</v>
      </c>
      <c r="P340" s="12"/>
      <c r="Q340" s="42"/>
      <c r="R340" s="15"/>
      <c r="S340" s="44"/>
      <c r="T340" s="15"/>
      <c r="U340" s="44"/>
      <c r="V340" s="15">
        <f t="shared" si="28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29"/>
        <v>0</v>
      </c>
      <c r="AF340" s="15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30"/>
        <v>0</v>
      </c>
      <c r="BA340" s="15"/>
      <c r="BB340" s="44"/>
      <c r="BC340" s="15"/>
      <c r="BD340" s="44"/>
      <c r="BE340" s="15">
        <f t="shared" si="26"/>
        <v>0</v>
      </c>
    </row>
    <row r="341" spans="1:57">
      <c r="A341" s="9"/>
      <c r="B341" s="16" t="s">
        <v>120</v>
      </c>
      <c r="C341" s="89" t="s">
        <v>494</v>
      </c>
      <c r="D341" s="80" t="s">
        <v>200</v>
      </c>
      <c r="E341" s="13" t="s">
        <v>516</v>
      </c>
      <c r="F341" s="96"/>
      <c r="G341" s="9"/>
      <c r="H341" s="9" t="s">
        <v>67</v>
      </c>
      <c r="I341" s="14"/>
      <c r="J341" s="14"/>
      <c r="K341" s="12">
        <v>512</v>
      </c>
      <c r="L341" s="9"/>
      <c r="M341" s="9"/>
      <c r="N341" s="9"/>
      <c r="O341" s="38">
        <f t="shared" si="27"/>
        <v>512</v>
      </c>
      <c r="P341" s="12"/>
      <c r="Q341" s="42"/>
      <c r="R341" s="15"/>
      <c r="S341" s="44"/>
      <c r="T341" s="15"/>
      <c r="U341" s="44"/>
      <c r="V341" s="15">
        <f t="shared" si="28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29"/>
        <v>0</v>
      </c>
      <c r="AF341" s="15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30"/>
        <v>0</v>
      </c>
      <c r="BA341" s="15"/>
      <c r="BB341" s="44"/>
      <c r="BC341" s="15"/>
      <c r="BD341" s="44"/>
      <c r="BE341" s="15">
        <f t="shared" si="26"/>
        <v>0</v>
      </c>
    </row>
    <row r="342" spans="1:57">
      <c r="A342" s="9"/>
      <c r="B342" s="16" t="s">
        <v>120</v>
      </c>
      <c r="C342" s="89" t="s">
        <v>494</v>
      </c>
      <c r="D342" s="80" t="s">
        <v>517</v>
      </c>
      <c r="E342" s="13" t="s">
        <v>518</v>
      </c>
      <c r="F342" s="96"/>
      <c r="G342" s="9"/>
      <c r="H342" s="9" t="s">
        <v>67</v>
      </c>
      <c r="I342" s="14"/>
      <c r="J342" s="14"/>
      <c r="K342" s="12">
        <v>501</v>
      </c>
      <c r="L342" s="9"/>
      <c r="M342" s="9"/>
      <c r="N342" s="9"/>
      <c r="O342" s="38">
        <f t="shared" si="27"/>
        <v>501</v>
      </c>
      <c r="P342" s="12"/>
      <c r="Q342" s="42"/>
      <c r="R342" s="15"/>
      <c r="S342" s="44"/>
      <c r="T342" s="15"/>
      <c r="U342" s="44"/>
      <c r="V342" s="15">
        <f t="shared" si="28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29"/>
        <v>0</v>
      </c>
      <c r="AF342" s="15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30"/>
        <v>0</v>
      </c>
      <c r="BA342" s="15"/>
      <c r="BB342" s="44"/>
      <c r="BC342" s="15"/>
      <c r="BD342" s="44"/>
      <c r="BE342" s="15">
        <f t="shared" si="26"/>
        <v>0</v>
      </c>
    </row>
    <row r="343" spans="1:57">
      <c r="A343" s="9"/>
      <c r="B343" s="16" t="s">
        <v>120</v>
      </c>
      <c r="C343" s="89" t="s">
        <v>494</v>
      </c>
      <c r="D343" s="80" t="s">
        <v>519</v>
      </c>
      <c r="E343" s="13" t="s">
        <v>520</v>
      </c>
      <c r="F343" s="96"/>
      <c r="G343" s="9"/>
      <c r="H343" s="9" t="s">
        <v>67</v>
      </c>
      <c r="I343" s="14"/>
      <c r="J343" s="14"/>
      <c r="K343" s="12">
        <v>210</v>
      </c>
      <c r="L343" s="9"/>
      <c r="M343" s="9"/>
      <c r="N343" s="9"/>
      <c r="O343" s="38">
        <f t="shared" si="27"/>
        <v>210</v>
      </c>
      <c r="P343" s="12"/>
      <c r="Q343" s="42"/>
      <c r="R343" s="15"/>
      <c r="S343" s="44"/>
      <c r="T343" s="15"/>
      <c r="U343" s="44"/>
      <c r="V343" s="15">
        <f t="shared" si="28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29"/>
        <v>0</v>
      </c>
      <c r="AF343" s="15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30"/>
        <v>0</v>
      </c>
      <c r="BA343" s="15"/>
      <c r="BB343" s="44"/>
      <c r="BC343" s="15"/>
      <c r="BD343" s="44"/>
      <c r="BE343" s="15">
        <f t="shared" si="26"/>
        <v>0</v>
      </c>
    </row>
    <row r="344" spans="1:57">
      <c r="A344" s="9"/>
      <c r="B344" s="16" t="s">
        <v>120</v>
      </c>
      <c r="C344" s="89" t="s">
        <v>52</v>
      </c>
      <c r="D344" s="80" t="s">
        <v>270</v>
      </c>
      <c r="E344" s="13" t="s">
        <v>521</v>
      </c>
      <c r="F344" s="96"/>
      <c r="G344" s="9"/>
      <c r="H344" s="9" t="s">
        <v>67</v>
      </c>
      <c r="I344" s="14"/>
      <c r="J344" s="14"/>
      <c r="K344" s="12">
        <v>354</v>
      </c>
      <c r="L344" s="9"/>
      <c r="M344" s="9"/>
      <c r="N344" s="9"/>
      <c r="O344" s="38">
        <f t="shared" si="27"/>
        <v>354</v>
      </c>
      <c r="P344" s="12"/>
      <c r="Q344" s="42"/>
      <c r="R344" s="15"/>
      <c r="S344" s="44"/>
      <c r="T344" s="15"/>
      <c r="U344" s="44"/>
      <c r="V344" s="15">
        <f t="shared" si="28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29"/>
        <v>0</v>
      </c>
      <c r="AF344" s="15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30"/>
        <v>0</v>
      </c>
      <c r="BA344" s="15"/>
      <c r="BB344" s="44"/>
      <c r="BC344" s="15"/>
      <c r="BD344" s="44"/>
      <c r="BE344" s="15">
        <f t="shared" si="26"/>
        <v>0</v>
      </c>
    </row>
    <row r="345" spans="1:57">
      <c r="A345" s="9"/>
      <c r="B345" s="16" t="s">
        <v>120</v>
      </c>
      <c r="C345" s="89" t="s">
        <v>494</v>
      </c>
      <c r="D345" s="80" t="s">
        <v>522</v>
      </c>
      <c r="E345" s="13" t="s">
        <v>523</v>
      </c>
      <c r="F345" s="96"/>
      <c r="G345" s="9"/>
      <c r="H345" s="9" t="s">
        <v>67</v>
      </c>
      <c r="I345" s="14"/>
      <c r="J345" s="14"/>
      <c r="K345" s="12">
        <v>0</v>
      </c>
      <c r="L345" s="9"/>
      <c r="M345" s="9"/>
      <c r="N345" s="9"/>
      <c r="O345" s="38">
        <f t="shared" si="27"/>
        <v>0</v>
      </c>
      <c r="P345" s="12"/>
      <c r="Q345" s="42"/>
      <c r="R345" s="15"/>
      <c r="S345" s="44"/>
      <c r="T345" s="15"/>
      <c r="U345" s="44"/>
      <c r="V345" s="15">
        <f t="shared" si="28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29"/>
        <v>0</v>
      </c>
      <c r="AF345" s="15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30"/>
        <v>0</v>
      </c>
      <c r="BA345" s="15"/>
      <c r="BB345" s="44"/>
      <c r="BC345" s="15"/>
      <c r="BD345" s="44"/>
      <c r="BE345" s="15">
        <f t="shared" si="26"/>
        <v>0</v>
      </c>
    </row>
    <row r="346" spans="1:57">
      <c r="A346" s="9"/>
      <c r="B346" s="16" t="s">
        <v>120</v>
      </c>
      <c r="C346" s="89" t="s">
        <v>52</v>
      </c>
      <c r="D346" s="81" t="s">
        <v>524</v>
      </c>
      <c r="E346" s="22" t="s">
        <v>525</v>
      </c>
      <c r="F346" s="96"/>
      <c r="G346" s="9"/>
      <c r="H346" s="9" t="s">
        <v>67</v>
      </c>
      <c r="I346" s="14"/>
      <c r="J346" s="14"/>
      <c r="K346" s="12">
        <v>712</v>
      </c>
      <c r="L346" s="9"/>
      <c r="M346" s="9"/>
      <c r="N346" s="9"/>
      <c r="O346" s="38">
        <f t="shared" si="27"/>
        <v>712</v>
      </c>
      <c r="P346" s="12"/>
      <c r="Q346" s="42"/>
      <c r="R346" s="15"/>
      <c r="S346" s="44"/>
      <c r="T346" s="15"/>
      <c r="U346" s="44"/>
      <c r="V346" s="15">
        <f t="shared" si="28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29"/>
        <v>0</v>
      </c>
      <c r="AF346" s="15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30"/>
        <v>0</v>
      </c>
      <c r="BA346" s="15"/>
      <c r="BB346" s="44"/>
      <c r="BC346" s="15"/>
      <c r="BD346" s="44"/>
      <c r="BE346" s="15">
        <f t="shared" si="26"/>
        <v>0</v>
      </c>
    </row>
    <row r="347" spans="1:57">
      <c r="A347" s="9"/>
      <c r="B347" s="16" t="s">
        <v>187</v>
      </c>
      <c r="C347" s="89" t="s">
        <v>494</v>
      </c>
      <c r="D347" s="61" t="s">
        <v>526</v>
      </c>
      <c r="E347" s="13" t="s">
        <v>499</v>
      </c>
      <c r="F347" s="96"/>
      <c r="G347" s="9"/>
      <c r="H347" s="9" t="s">
        <v>527</v>
      </c>
      <c r="I347" s="14"/>
      <c r="J347" s="14"/>
      <c r="K347" s="12">
        <v>0</v>
      </c>
      <c r="L347" s="9"/>
      <c r="M347" s="9"/>
      <c r="N347" s="9"/>
      <c r="O347" s="38">
        <f t="shared" si="27"/>
        <v>0</v>
      </c>
      <c r="P347" s="12"/>
      <c r="Q347" s="42"/>
      <c r="R347" s="15"/>
      <c r="S347" s="44"/>
      <c r="T347" s="15"/>
      <c r="U347" s="44"/>
      <c r="V347" s="15">
        <f t="shared" si="28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29"/>
        <v>0</v>
      </c>
      <c r="AF347" s="15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30"/>
        <v>0</v>
      </c>
      <c r="BA347" s="15"/>
      <c r="BB347" s="44"/>
      <c r="BC347" s="15"/>
      <c r="BD347" s="44"/>
      <c r="BE347" s="15">
        <f t="shared" si="26"/>
        <v>0</v>
      </c>
    </row>
    <row r="348" spans="1:57">
      <c r="A348" s="9"/>
      <c r="B348" s="16" t="s">
        <v>528</v>
      </c>
      <c r="C348" s="89" t="s">
        <v>494</v>
      </c>
      <c r="D348" s="80" t="s">
        <v>529</v>
      </c>
      <c r="E348" s="13" t="s">
        <v>499</v>
      </c>
      <c r="F348" s="96"/>
      <c r="G348" s="9"/>
      <c r="H348" s="9" t="s">
        <v>527</v>
      </c>
      <c r="I348" s="14"/>
      <c r="J348" s="14"/>
      <c r="K348" s="12">
        <v>0</v>
      </c>
      <c r="L348" s="9"/>
      <c r="M348" s="9"/>
      <c r="N348" s="9"/>
      <c r="O348" s="38">
        <f t="shared" si="27"/>
        <v>0</v>
      </c>
      <c r="P348" s="12"/>
      <c r="Q348" s="42"/>
      <c r="R348" s="15"/>
      <c r="S348" s="44"/>
      <c r="T348" s="15"/>
      <c r="U348" s="44"/>
      <c r="V348" s="15">
        <f t="shared" si="28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29"/>
        <v>0</v>
      </c>
      <c r="AF348" s="15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30"/>
        <v>0</v>
      </c>
      <c r="BA348" s="15"/>
      <c r="BB348" s="44"/>
      <c r="BC348" s="15"/>
      <c r="BD348" s="44"/>
      <c r="BE348" s="15">
        <f t="shared" si="26"/>
        <v>0</v>
      </c>
    </row>
    <row r="349" spans="1:57">
      <c r="A349" s="9"/>
      <c r="B349" s="16" t="s">
        <v>204</v>
      </c>
      <c r="C349" s="89" t="s">
        <v>52</v>
      </c>
      <c r="D349" s="80" t="s">
        <v>530</v>
      </c>
      <c r="E349" s="13" t="s">
        <v>531</v>
      </c>
      <c r="F349" s="96"/>
      <c r="G349" s="9"/>
      <c r="H349" s="9" t="s">
        <v>207</v>
      </c>
      <c r="I349" s="14"/>
      <c r="J349" s="14"/>
      <c r="K349" s="12">
        <v>348</v>
      </c>
      <c r="L349" s="9"/>
      <c r="M349" s="9"/>
      <c r="N349" s="9"/>
      <c r="O349" s="38">
        <f t="shared" si="27"/>
        <v>348</v>
      </c>
      <c r="P349" s="12"/>
      <c r="Q349" s="42"/>
      <c r="R349" s="15"/>
      <c r="S349" s="44"/>
      <c r="T349" s="15"/>
      <c r="U349" s="44"/>
      <c r="V349" s="15">
        <f t="shared" si="28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29"/>
        <v>0</v>
      </c>
      <c r="AF349" s="15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30"/>
        <v>0</v>
      </c>
      <c r="BA349" s="15"/>
      <c r="BB349" s="44"/>
      <c r="BC349" s="15"/>
      <c r="BD349" s="44"/>
      <c r="BE349" s="15">
        <f t="shared" si="26"/>
        <v>0</v>
      </c>
    </row>
    <row r="350" spans="1:57">
      <c r="A350" s="9"/>
      <c r="B350" s="16" t="s">
        <v>204</v>
      </c>
      <c r="C350" s="89" t="s">
        <v>52</v>
      </c>
      <c r="D350" s="80" t="s">
        <v>532</v>
      </c>
      <c r="E350" s="13" t="s">
        <v>531</v>
      </c>
      <c r="F350" s="96"/>
      <c r="G350" s="9"/>
      <c r="H350" s="9" t="s">
        <v>207</v>
      </c>
      <c r="I350" s="14"/>
      <c r="J350" s="14"/>
      <c r="K350" s="12">
        <v>326</v>
      </c>
      <c r="L350" s="9"/>
      <c r="M350" s="9"/>
      <c r="N350" s="9"/>
      <c r="O350" s="38">
        <f t="shared" si="27"/>
        <v>326</v>
      </c>
      <c r="P350" s="12"/>
      <c r="Q350" s="42"/>
      <c r="R350" s="15"/>
      <c r="S350" s="44"/>
      <c r="T350" s="15"/>
      <c r="U350" s="44"/>
      <c r="V350" s="15">
        <f t="shared" si="28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29"/>
        <v>0</v>
      </c>
      <c r="AF350" s="15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30"/>
        <v>0</v>
      </c>
      <c r="BA350" s="15"/>
      <c r="BB350" s="44"/>
      <c r="BC350" s="15"/>
      <c r="BD350" s="44"/>
      <c r="BE350" s="15">
        <f t="shared" si="26"/>
        <v>0</v>
      </c>
    </row>
    <row r="351" spans="1:57">
      <c r="A351" s="9"/>
      <c r="B351" s="16" t="s">
        <v>204</v>
      </c>
      <c r="C351" s="89" t="s">
        <v>52</v>
      </c>
      <c r="D351" s="80" t="s">
        <v>533</v>
      </c>
      <c r="E351" s="13" t="s">
        <v>531</v>
      </c>
      <c r="F351" s="96"/>
      <c r="G351" s="9"/>
      <c r="H351" s="9" t="s">
        <v>207</v>
      </c>
      <c r="I351" s="14"/>
      <c r="J351" s="14"/>
      <c r="K351" s="12">
        <v>306</v>
      </c>
      <c r="L351" s="9"/>
      <c r="M351" s="9"/>
      <c r="N351" s="9"/>
      <c r="O351" s="38">
        <f t="shared" si="27"/>
        <v>306</v>
      </c>
      <c r="P351" s="12"/>
      <c r="Q351" s="42"/>
      <c r="R351" s="15"/>
      <c r="S351" s="44"/>
      <c r="T351" s="15"/>
      <c r="U351" s="44"/>
      <c r="V351" s="15">
        <f t="shared" si="28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29"/>
        <v>0</v>
      </c>
      <c r="AF351" s="15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30"/>
        <v>0</v>
      </c>
      <c r="BA351" s="15"/>
      <c r="BB351" s="44"/>
      <c r="BC351" s="15"/>
      <c r="BD351" s="44"/>
      <c r="BE351" s="15">
        <f t="shared" ref="BE351:BE414" si="31">(BA351+BC351)</f>
        <v>0</v>
      </c>
    </row>
    <row r="352" spans="1:57">
      <c r="A352" s="9"/>
      <c r="B352" s="16" t="s">
        <v>204</v>
      </c>
      <c r="C352" s="89" t="s">
        <v>52</v>
      </c>
      <c r="D352" s="80" t="s">
        <v>533</v>
      </c>
      <c r="E352" s="13" t="s">
        <v>534</v>
      </c>
      <c r="F352" s="96"/>
      <c r="G352" s="9"/>
      <c r="H352" s="9" t="s">
        <v>207</v>
      </c>
      <c r="I352" s="14"/>
      <c r="J352" s="14"/>
      <c r="K352" s="12">
        <v>0</v>
      </c>
      <c r="L352" s="9"/>
      <c r="M352" s="9"/>
      <c r="N352" s="9"/>
      <c r="O352" s="38">
        <f t="shared" si="27"/>
        <v>0</v>
      </c>
      <c r="P352" s="12"/>
      <c r="Q352" s="42"/>
      <c r="R352" s="15"/>
      <c r="S352" s="44"/>
      <c r="T352" s="15"/>
      <c r="U352" s="44"/>
      <c r="V352" s="15">
        <f t="shared" si="28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29"/>
        <v>0</v>
      </c>
      <c r="AF352" s="15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30"/>
        <v>0</v>
      </c>
      <c r="BA352" s="15"/>
      <c r="BB352" s="44"/>
      <c r="BC352" s="15"/>
      <c r="BD352" s="44"/>
      <c r="BE352" s="15">
        <f t="shared" si="31"/>
        <v>0</v>
      </c>
    </row>
    <row r="353" spans="1:57">
      <c r="A353" s="9"/>
      <c r="B353" s="16" t="s">
        <v>204</v>
      </c>
      <c r="C353" s="89" t="s">
        <v>52</v>
      </c>
      <c r="D353" s="80" t="s">
        <v>535</v>
      </c>
      <c r="E353" s="13" t="s">
        <v>210</v>
      </c>
      <c r="F353" s="96"/>
      <c r="G353" s="9"/>
      <c r="H353" s="9" t="s">
        <v>231</v>
      </c>
      <c r="I353" s="14"/>
      <c r="J353" s="14"/>
      <c r="K353" s="12">
        <v>0</v>
      </c>
      <c r="L353" s="9"/>
      <c r="M353" s="9"/>
      <c r="N353" s="9"/>
      <c r="O353" s="38">
        <f t="shared" si="27"/>
        <v>0</v>
      </c>
      <c r="P353" s="12"/>
      <c r="Q353" s="42"/>
      <c r="R353" s="15"/>
      <c r="S353" s="44"/>
      <c r="T353" s="15"/>
      <c r="U353" s="44"/>
      <c r="V353" s="15">
        <f t="shared" si="28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29"/>
        <v>0</v>
      </c>
      <c r="AF353" s="15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30"/>
        <v>0</v>
      </c>
      <c r="BA353" s="15"/>
      <c r="BB353" s="44"/>
      <c r="BC353" s="15"/>
      <c r="BD353" s="44"/>
      <c r="BE353" s="15">
        <f t="shared" si="31"/>
        <v>0</v>
      </c>
    </row>
    <row r="354" spans="1:57">
      <c r="A354" s="9"/>
      <c r="B354" s="16" t="s">
        <v>204</v>
      </c>
      <c r="C354" s="89" t="s">
        <v>52</v>
      </c>
      <c r="D354" s="80" t="s">
        <v>536</v>
      </c>
      <c r="E354" s="13" t="s">
        <v>537</v>
      </c>
      <c r="F354" s="96"/>
      <c r="G354" s="9"/>
      <c r="H354" s="9" t="s">
        <v>207</v>
      </c>
      <c r="I354" s="14"/>
      <c r="J354" s="14"/>
      <c r="K354" s="12">
        <v>327</v>
      </c>
      <c r="L354" s="9"/>
      <c r="M354" s="9"/>
      <c r="N354" s="9"/>
      <c r="O354" s="38">
        <f t="shared" si="27"/>
        <v>327</v>
      </c>
      <c r="P354" s="12"/>
      <c r="Q354" s="42"/>
      <c r="R354" s="15"/>
      <c r="S354" s="44"/>
      <c r="T354" s="15"/>
      <c r="U354" s="44"/>
      <c r="V354" s="15">
        <f t="shared" si="28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29"/>
        <v>0</v>
      </c>
      <c r="AF354" s="15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30"/>
        <v>0</v>
      </c>
      <c r="BA354" s="15"/>
      <c r="BB354" s="44"/>
      <c r="BC354" s="15"/>
      <c r="BD354" s="44"/>
      <c r="BE354" s="15">
        <f t="shared" si="31"/>
        <v>0</v>
      </c>
    </row>
    <row r="355" spans="1:57">
      <c r="A355" s="9"/>
      <c r="B355" s="16" t="s">
        <v>204</v>
      </c>
      <c r="C355" s="89" t="s">
        <v>52</v>
      </c>
      <c r="D355" s="80" t="s">
        <v>538</v>
      </c>
      <c r="E355" s="13" t="s">
        <v>531</v>
      </c>
      <c r="F355" s="96"/>
      <c r="G355" s="9"/>
      <c r="H355" s="9" t="s">
        <v>207</v>
      </c>
      <c r="I355" s="14"/>
      <c r="J355" s="14"/>
      <c r="K355" s="12">
        <v>355</v>
      </c>
      <c r="L355" s="9"/>
      <c r="M355" s="9"/>
      <c r="N355" s="9"/>
      <c r="O355" s="38">
        <f t="shared" si="27"/>
        <v>355</v>
      </c>
      <c r="P355" s="12"/>
      <c r="Q355" s="42"/>
      <c r="R355" s="15"/>
      <c r="S355" s="44"/>
      <c r="T355" s="15"/>
      <c r="U355" s="44"/>
      <c r="V355" s="15">
        <f t="shared" si="28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29"/>
        <v>0</v>
      </c>
      <c r="AF355" s="15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30"/>
        <v>0</v>
      </c>
      <c r="BA355" s="15"/>
      <c r="BB355" s="44"/>
      <c r="BC355" s="15"/>
      <c r="BD355" s="44"/>
      <c r="BE355" s="15">
        <f t="shared" si="31"/>
        <v>0</v>
      </c>
    </row>
    <row r="356" spans="1:57">
      <c r="A356" s="9"/>
      <c r="B356" s="16" t="s">
        <v>204</v>
      </c>
      <c r="C356" s="89" t="s">
        <v>52</v>
      </c>
      <c r="D356" s="80" t="s">
        <v>539</v>
      </c>
      <c r="E356" s="13" t="s">
        <v>531</v>
      </c>
      <c r="F356" s="96"/>
      <c r="G356" s="9"/>
      <c r="H356" s="9" t="s">
        <v>207</v>
      </c>
      <c r="I356" s="14"/>
      <c r="J356" s="14"/>
      <c r="K356" s="12">
        <v>0</v>
      </c>
      <c r="L356" s="9"/>
      <c r="M356" s="9"/>
      <c r="N356" s="9"/>
      <c r="O356" s="38">
        <f t="shared" si="27"/>
        <v>0</v>
      </c>
      <c r="P356" s="12"/>
      <c r="Q356" s="42"/>
      <c r="R356" s="15"/>
      <c r="S356" s="44"/>
      <c r="T356" s="15"/>
      <c r="U356" s="44"/>
      <c r="V356" s="15">
        <f t="shared" si="28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29"/>
        <v>0</v>
      </c>
      <c r="AF356" s="15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30"/>
        <v>0</v>
      </c>
      <c r="BA356" s="15"/>
      <c r="BB356" s="44"/>
      <c r="BC356" s="15"/>
      <c r="BD356" s="44"/>
      <c r="BE356" s="15">
        <f t="shared" si="31"/>
        <v>0</v>
      </c>
    </row>
    <row r="357" spans="1:57">
      <c r="A357" s="9"/>
      <c r="B357" s="16" t="s">
        <v>204</v>
      </c>
      <c r="C357" s="89" t="s">
        <v>52</v>
      </c>
      <c r="D357" s="80" t="s">
        <v>540</v>
      </c>
      <c r="E357" s="13" t="s">
        <v>531</v>
      </c>
      <c r="F357" s="96"/>
      <c r="G357" s="9"/>
      <c r="H357" s="9" t="s">
        <v>207</v>
      </c>
      <c r="I357" s="14"/>
      <c r="J357" s="14"/>
      <c r="K357" s="12">
        <v>26</v>
      </c>
      <c r="L357" s="9"/>
      <c r="M357" s="9"/>
      <c r="N357" s="9"/>
      <c r="O357" s="38">
        <f t="shared" si="27"/>
        <v>26</v>
      </c>
      <c r="P357" s="12"/>
      <c r="Q357" s="42"/>
      <c r="R357" s="15"/>
      <c r="S357" s="44"/>
      <c r="T357" s="15"/>
      <c r="U357" s="44"/>
      <c r="V357" s="15">
        <f t="shared" si="28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29"/>
        <v>0</v>
      </c>
      <c r="AF357" s="15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si="30"/>
        <v>0</v>
      </c>
      <c r="BA357" s="15"/>
      <c r="BB357" s="44"/>
      <c r="BC357" s="15"/>
      <c r="BD357" s="44"/>
      <c r="BE357" s="15">
        <f t="shared" si="31"/>
        <v>0</v>
      </c>
    </row>
    <row r="358" spans="1:57">
      <c r="A358" s="9"/>
      <c r="B358" s="16" t="s">
        <v>204</v>
      </c>
      <c r="C358" s="89" t="s">
        <v>52</v>
      </c>
      <c r="D358" s="80" t="s">
        <v>541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1009</v>
      </c>
      <c r="L358" s="9"/>
      <c r="M358" s="9"/>
      <c r="N358" s="9"/>
      <c r="O358" s="38">
        <f t="shared" si="27"/>
        <v>1009</v>
      </c>
      <c r="P358" s="12"/>
      <c r="Q358" s="42"/>
      <c r="R358" s="15"/>
      <c r="S358" s="44"/>
      <c r="T358" s="15"/>
      <c r="U358" s="44"/>
      <c r="V358" s="15">
        <f t="shared" si="28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29"/>
        <v>0</v>
      </c>
      <c r="AF358" s="15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0"/>
        <v>0</v>
      </c>
      <c r="BA358" s="15"/>
      <c r="BB358" s="44"/>
      <c r="BC358" s="15"/>
      <c r="BD358" s="44"/>
      <c r="BE358" s="15">
        <f t="shared" si="31"/>
        <v>0</v>
      </c>
    </row>
    <row r="359" spans="1:57">
      <c r="A359" s="9"/>
      <c r="B359" s="16" t="s">
        <v>204</v>
      </c>
      <c r="C359" s="89" t="s">
        <v>52</v>
      </c>
      <c r="D359" s="81" t="s">
        <v>542</v>
      </c>
      <c r="E359" s="13" t="s">
        <v>206</v>
      </c>
      <c r="F359" s="96"/>
      <c r="G359" s="9"/>
      <c r="H359" s="9" t="s">
        <v>207</v>
      </c>
      <c r="I359" s="14"/>
      <c r="J359" s="14"/>
      <c r="K359" s="12">
        <v>335</v>
      </c>
      <c r="L359" s="9"/>
      <c r="M359" s="9"/>
      <c r="N359" s="9"/>
      <c r="O359" s="38">
        <f t="shared" si="27"/>
        <v>335</v>
      </c>
      <c r="P359" s="12"/>
      <c r="Q359" s="42"/>
      <c r="R359" s="15"/>
      <c r="S359" s="44"/>
      <c r="T359" s="15"/>
      <c r="U359" s="44"/>
      <c r="V359" s="15">
        <f t="shared" si="28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29"/>
        <v>0</v>
      </c>
      <c r="AF359" s="15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0"/>
        <v>0</v>
      </c>
      <c r="BA359" s="15"/>
      <c r="BB359" s="44"/>
      <c r="BC359" s="15"/>
      <c r="BD359" s="44"/>
      <c r="BE359" s="15">
        <f t="shared" si="31"/>
        <v>0</v>
      </c>
    </row>
    <row r="360" spans="1:57">
      <c r="A360" s="9"/>
      <c r="B360" s="16" t="s">
        <v>204</v>
      </c>
      <c r="C360" s="89" t="s">
        <v>52</v>
      </c>
      <c r="D360" s="56" t="s">
        <v>543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0</v>
      </c>
      <c r="L360" s="9"/>
      <c r="M360" s="9"/>
      <c r="N360" s="9"/>
      <c r="O360" s="38">
        <f t="shared" si="27"/>
        <v>0</v>
      </c>
      <c r="P360" s="12"/>
      <c r="Q360" s="42"/>
      <c r="R360" s="15"/>
      <c r="S360" s="44"/>
      <c r="T360" s="15"/>
      <c r="U360" s="44"/>
      <c r="V360" s="15">
        <f t="shared" si="28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29"/>
        <v>0</v>
      </c>
      <c r="AF360" s="15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0"/>
        <v>0</v>
      </c>
      <c r="BA360" s="15"/>
      <c r="BB360" s="44"/>
      <c r="BC360" s="15"/>
      <c r="BD360" s="44"/>
      <c r="BE360" s="15">
        <f t="shared" si="31"/>
        <v>0</v>
      </c>
    </row>
    <row r="361" spans="1:57">
      <c r="A361" s="9"/>
      <c r="B361" s="16" t="s">
        <v>204</v>
      </c>
      <c r="C361" s="89" t="s">
        <v>52</v>
      </c>
      <c r="D361" s="81" t="s">
        <v>544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536</v>
      </c>
      <c r="L361" s="9"/>
      <c r="M361" s="9"/>
      <c r="N361" s="9"/>
      <c r="O361" s="38">
        <f t="shared" si="27"/>
        <v>536</v>
      </c>
      <c r="P361" s="12"/>
      <c r="Q361" s="42"/>
      <c r="R361" s="15"/>
      <c r="S361" s="44"/>
      <c r="T361" s="15"/>
      <c r="U361" s="44"/>
      <c r="V361" s="15">
        <f t="shared" si="28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29"/>
        <v>0</v>
      </c>
      <c r="AF361" s="15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0"/>
        <v>0</v>
      </c>
      <c r="BA361" s="15"/>
      <c r="BB361" s="44"/>
      <c r="BC361" s="15"/>
      <c r="BD361" s="44"/>
      <c r="BE361" s="15">
        <f t="shared" si="31"/>
        <v>0</v>
      </c>
    </row>
    <row r="362" spans="1:57">
      <c r="A362" s="9"/>
      <c r="B362" s="16" t="s">
        <v>204</v>
      </c>
      <c r="C362" s="89" t="s">
        <v>52</v>
      </c>
      <c r="D362" s="97" t="s">
        <v>545</v>
      </c>
      <c r="E362" s="13" t="s">
        <v>531</v>
      </c>
      <c r="F362" s="96"/>
      <c r="G362" s="9"/>
      <c r="H362" s="9" t="s">
        <v>207</v>
      </c>
      <c r="I362" s="14"/>
      <c r="J362" s="14"/>
      <c r="K362" s="12">
        <v>8</v>
      </c>
      <c r="L362" s="9"/>
      <c r="M362" s="9"/>
      <c r="N362" s="9"/>
      <c r="O362" s="38">
        <f t="shared" si="27"/>
        <v>8</v>
      </c>
      <c r="P362" s="12"/>
      <c r="Q362" s="42"/>
      <c r="R362" s="15"/>
      <c r="S362" s="44"/>
      <c r="T362" s="15"/>
      <c r="U362" s="44"/>
      <c r="V362" s="15">
        <f t="shared" si="28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29"/>
        <v>0</v>
      </c>
      <c r="AF362" s="15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0"/>
        <v>0</v>
      </c>
      <c r="BA362" s="15"/>
      <c r="BB362" s="44"/>
      <c r="BC362" s="15"/>
      <c r="BD362" s="44"/>
      <c r="BE362" s="15">
        <f t="shared" si="31"/>
        <v>0</v>
      </c>
    </row>
    <row r="363" spans="1:57">
      <c r="A363" s="9"/>
      <c r="B363" s="16" t="s">
        <v>204</v>
      </c>
      <c r="C363" s="89" t="s">
        <v>52</v>
      </c>
      <c r="D363" s="80" t="s">
        <v>546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586</v>
      </c>
      <c r="L363" s="9"/>
      <c r="M363" s="9"/>
      <c r="N363" s="9"/>
      <c r="O363" s="38">
        <f t="shared" si="27"/>
        <v>586</v>
      </c>
      <c r="P363" s="12"/>
      <c r="Q363" s="42"/>
      <c r="R363" s="15"/>
      <c r="S363" s="44"/>
      <c r="T363" s="15"/>
      <c r="U363" s="44"/>
      <c r="V363" s="15">
        <f t="shared" si="28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29"/>
        <v>0</v>
      </c>
      <c r="AF363" s="15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0"/>
        <v>0</v>
      </c>
      <c r="BA363" s="15"/>
      <c r="BB363" s="44"/>
      <c r="BC363" s="15"/>
      <c r="BD363" s="44"/>
      <c r="BE363" s="15">
        <f t="shared" si="31"/>
        <v>0</v>
      </c>
    </row>
    <row r="364" spans="1:57">
      <c r="A364" s="9"/>
      <c r="B364" s="16" t="s">
        <v>204</v>
      </c>
      <c r="C364" s="89" t="s">
        <v>52</v>
      </c>
      <c r="D364" s="81" t="s">
        <v>547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309</v>
      </c>
      <c r="L364" s="9"/>
      <c r="M364" s="9"/>
      <c r="N364" s="9"/>
      <c r="O364" s="38">
        <f t="shared" si="27"/>
        <v>309</v>
      </c>
      <c r="P364" s="12"/>
      <c r="Q364" s="42"/>
      <c r="R364" s="15"/>
      <c r="S364" s="44"/>
      <c r="T364" s="15"/>
      <c r="U364" s="44"/>
      <c r="V364" s="15">
        <f t="shared" si="28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29"/>
        <v>0</v>
      </c>
      <c r="AF364" s="15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0"/>
        <v>0</v>
      </c>
      <c r="BA364" s="15"/>
      <c r="BB364" s="44"/>
      <c r="BC364" s="15"/>
      <c r="BD364" s="44"/>
      <c r="BE364" s="15">
        <f t="shared" si="31"/>
        <v>0</v>
      </c>
    </row>
    <row r="365" spans="1:57" ht="36" customHeight="1">
      <c r="A365" s="9"/>
      <c r="B365" s="16" t="s">
        <v>204</v>
      </c>
      <c r="C365" s="89" t="s">
        <v>52</v>
      </c>
      <c r="D365" s="82" t="s">
        <v>548</v>
      </c>
      <c r="E365" s="22" t="s">
        <v>531</v>
      </c>
      <c r="F365" s="96"/>
      <c r="G365" s="9"/>
      <c r="H365" s="9" t="s">
        <v>207</v>
      </c>
      <c r="I365" s="14"/>
      <c r="J365" s="14"/>
      <c r="K365" s="12">
        <v>109</v>
      </c>
      <c r="L365" s="9"/>
      <c r="M365" s="9"/>
      <c r="N365" s="9"/>
      <c r="O365" s="38">
        <f t="shared" si="27"/>
        <v>109</v>
      </c>
      <c r="P365" s="12"/>
      <c r="Q365" s="42"/>
      <c r="R365" s="15"/>
      <c r="S365" s="44"/>
      <c r="T365" s="15"/>
      <c r="U365" s="44"/>
      <c r="V365" s="15">
        <f t="shared" si="28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29"/>
        <v>0</v>
      </c>
      <c r="AF365" s="15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0"/>
        <v>0</v>
      </c>
      <c r="BA365" s="15"/>
      <c r="BB365" s="44"/>
      <c r="BC365" s="15"/>
      <c r="BD365" s="44"/>
      <c r="BE365" s="15">
        <f t="shared" si="31"/>
        <v>0</v>
      </c>
    </row>
    <row r="366" spans="1:57" ht="48" customHeight="1">
      <c r="A366" s="9"/>
      <c r="B366" s="16" t="s">
        <v>204</v>
      </c>
      <c r="C366" s="89" t="s">
        <v>52</v>
      </c>
      <c r="D366" s="81" t="s">
        <v>549</v>
      </c>
      <c r="E366" s="22" t="s">
        <v>550</v>
      </c>
      <c r="F366" s="96"/>
      <c r="G366" s="9"/>
      <c r="H366" s="9" t="s">
        <v>207</v>
      </c>
      <c r="I366" s="14"/>
      <c r="J366" s="14"/>
      <c r="K366" s="12">
        <v>21</v>
      </c>
      <c r="L366" s="9"/>
      <c r="M366" s="9"/>
      <c r="N366" s="9"/>
      <c r="O366" s="38">
        <f t="shared" si="27"/>
        <v>21</v>
      </c>
      <c r="P366" s="12"/>
      <c r="Q366" s="42"/>
      <c r="R366" s="15"/>
      <c r="S366" s="44"/>
      <c r="T366" s="15"/>
      <c r="U366" s="44"/>
      <c r="V366" s="15">
        <f t="shared" si="28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29"/>
        <v>0</v>
      </c>
      <c r="AF366" s="15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0"/>
        <v>0</v>
      </c>
      <c r="BA366" s="15"/>
      <c r="BB366" s="44"/>
      <c r="BC366" s="15"/>
      <c r="BD366" s="44"/>
      <c r="BE366" s="15">
        <f t="shared" si="31"/>
        <v>0</v>
      </c>
    </row>
    <row r="367" spans="1:57" ht="36" customHeight="1">
      <c r="A367" s="9"/>
      <c r="B367" s="16" t="s">
        <v>204</v>
      </c>
      <c r="C367" s="89" t="s">
        <v>52</v>
      </c>
      <c r="D367" s="59" t="s">
        <v>551</v>
      </c>
      <c r="E367" s="22" t="s">
        <v>531</v>
      </c>
      <c r="F367" s="96"/>
      <c r="G367" s="9"/>
      <c r="H367" s="9" t="s">
        <v>207</v>
      </c>
      <c r="I367" s="14"/>
      <c r="J367" s="14"/>
      <c r="K367" s="12">
        <v>193</v>
      </c>
      <c r="L367" s="9"/>
      <c r="M367" s="9"/>
      <c r="N367" s="9"/>
      <c r="O367" s="38">
        <f t="shared" si="27"/>
        <v>193</v>
      </c>
      <c r="P367" s="12"/>
      <c r="Q367" s="42"/>
      <c r="R367" s="15"/>
      <c r="S367" s="44"/>
      <c r="T367" s="15"/>
      <c r="U367" s="44"/>
      <c r="V367" s="15">
        <f t="shared" si="28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29"/>
        <v>0</v>
      </c>
      <c r="AF367" s="15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0"/>
        <v>0</v>
      </c>
      <c r="BA367" s="15"/>
      <c r="BB367" s="44"/>
      <c r="BC367" s="15"/>
      <c r="BD367" s="44"/>
      <c r="BE367" s="15">
        <f t="shared" si="31"/>
        <v>0</v>
      </c>
    </row>
    <row r="368" spans="1:57">
      <c r="A368" s="9"/>
      <c r="B368" s="16" t="s">
        <v>204</v>
      </c>
      <c r="C368" s="89" t="s">
        <v>52</v>
      </c>
      <c r="D368" s="59" t="s">
        <v>552</v>
      </c>
      <c r="E368" s="13" t="s">
        <v>206</v>
      </c>
      <c r="F368" s="96"/>
      <c r="G368" s="9"/>
      <c r="H368" s="9" t="s">
        <v>374</v>
      </c>
      <c r="I368" s="14"/>
      <c r="J368" s="14"/>
      <c r="K368" s="12">
        <v>352</v>
      </c>
      <c r="L368" s="9"/>
      <c r="M368" s="9"/>
      <c r="N368" s="9"/>
      <c r="O368" s="38">
        <f t="shared" si="27"/>
        <v>352</v>
      </c>
      <c r="P368" s="12"/>
      <c r="Q368" s="42"/>
      <c r="R368" s="15"/>
      <c r="S368" s="44"/>
      <c r="T368" s="15"/>
      <c r="U368" s="44"/>
      <c r="V368" s="15">
        <f t="shared" si="28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29"/>
        <v>0</v>
      </c>
      <c r="AF368" s="15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0"/>
        <v>0</v>
      </c>
      <c r="BA368" s="15"/>
      <c r="BB368" s="44"/>
      <c r="BC368" s="15"/>
      <c r="BD368" s="44"/>
      <c r="BE368" s="15">
        <f t="shared" si="31"/>
        <v>0</v>
      </c>
    </row>
    <row r="369" spans="1:57" ht="24" customHeight="1">
      <c r="A369" s="9"/>
      <c r="B369" s="16" t="s">
        <v>233</v>
      </c>
      <c r="C369" s="89" t="s">
        <v>52</v>
      </c>
      <c r="D369" s="56" t="s">
        <v>553</v>
      </c>
      <c r="E369" s="22" t="s">
        <v>554</v>
      </c>
      <c r="F369" s="96"/>
      <c r="G369" s="9"/>
      <c r="H369" s="9" t="s">
        <v>207</v>
      </c>
      <c r="I369" s="14"/>
      <c r="J369" s="14"/>
      <c r="K369" s="12">
        <v>379</v>
      </c>
      <c r="L369" s="9"/>
      <c r="M369" s="9"/>
      <c r="N369" s="9"/>
      <c r="O369" s="38">
        <f t="shared" si="27"/>
        <v>379</v>
      </c>
      <c r="P369" s="12"/>
      <c r="Q369" s="42"/>
      <c r="R369" s="15"/>
      <c r="S369" s="44"/>
      <c r="T369" s="15"/>
      <c r="U369" s="44"/>
      <c r="V369" s="15">
        <f t="shared" si="28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29"/>
        <v>0</v>
      </c>
      <c r="AF369" s="15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0"/>
        <v>0</v>
      </c>
      <c r="BA369" s="15"/>
      <c r="BB369" s="44"/>
      <c r="BC369" s="15"/>
      <c r="BD369" s="44"/>
      <c r="BE369" s="15">
        <f t="shared" si="31"/>
        <v>0</v>
      </c>
    </row>
    <row r="370" spans="1:57" ht="24" customHeight="1">
      <c r="A370" s="9"/>
      <c r="B370" s="16" t="s">
        <v>233</v>
      </c>
      <c r="C370" s="89" t="s">
        <v>52</v>
      </c>
      <c r="D370" s="81" t="s">
        <v>555</v>
      </c>
      <c r="E370" s="22" t="s">
        <v>554</v>
      </c>
      <c r="F370" s="96"/>
      <c r="G370" s="9"/>
      <c r="H370" s="9" t="s">
        <v>207</v>
      </c>
      <c r="I370" s="14"/>
      <c r="J370" s="14"/>
      <c r="K370" s="12">
        <v>4</v>
      </c>
      <c r="L370" s="9"/>
      <c r="M370" s="9"/>
      <c r="N370" s="9"/>
      <c r="O370" s="38">
        <f t="shared" si="27"/>
        <v>4</v>
      </c>
      <c r="P370" s="12"/>
      <c r="Q370" s="42"/>
      <c r="R370" s="15"/>
      <c r="S370" s="44"/>
      <c r="T370" s="15"/>
      <c r="U370" s="44"/>
      <c r="V370" s="15">
        <f t="shared" si="28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29"/>
        <v>0</v>
      </c>
      <c r="AF370" s="15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0"/>
        <v>0</v>
      </c>
      <c r="BA370" s="15"/>
      <c r="BB370" s="44"/>
      <c r="BC370" s="15"/>
      <c r="BD370" s="44"/>
      <c r="BE370" s="15">
        <f t="shared" si="31"/>
        <v>0</v>
      </c>
    </row>
    <row r="371" spans="1:57" ht="24" customHeight="1">
      <c r="A371" s="9"/>
      <c r="B371" s="16" t="s">
        <v>233</v>
      </c>
      <c r="C371" s="89" t="s">
        <v>52</v>
      </c>
      <c r="D371" s="80" t="s">
        <v>556</v>
      </c>
      <c r="E371" s="22" t="s">
        <v>554</v>
      </c>
      <c r="F371" s="96"/>
      <c r="G371" s="9"/>
      <c r="H371" s="9" t="s">
        <v>207</v>
      </c>
      <c r="I371" s="14"/>
      <c r="J371" s="14"/>
      <c r="K371" s="12">
        <v>575</v>
      </c>
      <c r="L371" s="9"/>
      <c r="M371" s="9"/>
      <c r="N371" s="9"/>
      <c r="O371" s="38">
        <f t="shared" si="27"/>
        <v>575</v>
      </c>
      <c r="P371" s="12"/>
      <c r="Q371" s="42"/>
      <c r="R371" s="15"/>
      <c r="S371" s="44"/>
      <c r="T371" s="15"/>
      <c r="U371" s="44"/>
      <c r="V371" s="15">
        <f t="shared" si="28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29"/>
        <v>0</v>
      </c>
      <c r="AF371" s="15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0"/>
        <v>0</v>
      </c>
      <c r="BA371" s="15"/>
      <c r="BB371" s="44"/>
      <c r="BC371" s="15"/>
      <c r="BD371" s="44"/>
      <c r="BE371" s="15">
        <f t="shared" si="31"/>
        <v>0</v>
      </c>
    </row>
    <row r="372" spans="1:57" ht="24" customHeight="1">
      <c r="A372" s="9"/>
      <c r="B372" s="16" t="s">
        <v>233</v>
      </c>
      <c r="C372" s="89" t="s">
        <v>52</v>
      </c>
      <c r="D372" s="80" t="s">
        <v>557</v>
      </c>
      <c r="E372" s="22" t="s">
        <v>235</v>
      </c>
      <c r="F372" s="96"/>
      <c r="G372" s="9"/>
      <c r="H372" s="9" t="s">
        <v>558</v>
      </c>
      <c r="I372" s="14"/>
      <c r="J372" s="14"/>
      <c r="K372" s="12">
        <v>56</v>
      </c>
      <c r="L372" s="9"/>
      <c r="M372" s="9"/>
      <c r="N372" s="9"/>
      <c r="O372" s="38">
        <f t="shared" si="27"/>
        <v>56</v>
      </c>
      <c r="P372" s="12"/>
      <c r="Q372" s="42"/>
      <c r="R372" s="15"/>
      <c r="S372" s="44"/>
      <c r="T372" s="15"/>
      <c r="U372" s="44"/>
      <c r="V372" s="15">
        <f t="shared" si="28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29"/>
        <v>0</v>
      </c>
      <c r="AF372" s="15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0"/>
        <v>0</v>
      </c>
      <c r="BA372" s="15"/>
      <c r="BB372" s="44"/>
      <c r="BC372" s="15"/>
      <c r="BD372" s="44"/>
      <c r="BE372" s="15">
        <f t="shared" si="31"/>
        <v>0</v>
      </c>
    </row>
    <row r="373" spans="1:57" ht="24" customHeight="1">
      <c r="A373" s="9"/>
      <c r="B373" s="16" t="s">
        <v>233</v>
      </c>
      <c r="C373" s="89" t="s">
        <v>52</v>
      </c>
      <c r="D373" s="80" t="s">
        <v>559</v>
      </c>
      <c r="E373" s="22" t="s">
        <v>560</v>
      </c>
      <c r="F373" s="96"/>
      <c r="G373" s="9"/>
      <c r="H373" s="9" t="s">
        <v>558</v>
      </c>
      <c r="I373" s="14"/>
      <c r="J373" s="14"/>
      <c r="K373" s="12">
        <v>0</v>
      </c>
      <c r="L373" s="9"/>
      <c r="M373" s="9"/>
      <c r="N373" s="9"/>
      <c r="O373" s="38">
        <f t="shared" si="27"/>
        <v>0</v>
      </c>
      <c r="P373" s="12"/>
      <c r="Q373" s="42"/>
      <c r="R373" s="15"/>
      <c r="S373" s="44"/>
      <c r="T373" s="15"/>
      <c r="U373" s="44"/>
      <c r="V373" s="15">
        <f t="shared" si="28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29"/>
        <v>0</v>
      </c>
      <c r="AF373" s="15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0"/>
        <v>0</v>
      </c>
      <c r="BA373" s="15"/>
      <c r="BB373" s="44"/>
      <c r="BC373" s="15"/>
      <c r="BD373" s="44"/>
      <c r="BE373" s="15">
        <f t="shared" si="31"/>
        <v>0</v>
      </c>
    </row>
    <row r="374" spans="1:57">
      <c r="A374" s="9"/>
      <c r="B374" s="16" t="s">
        <v>249</v>
      </c>
      <c r="C374" s="89" t="s">
        <v>52</v>
      </c>
      <c r="D374" s="80" t="s">
        <v>561</v>
      </c>
      <c r="E374" s="13" t="s">
        <v>562</v>
      </c>
      <c r="F374" s="96"/>
      <c r="G374" s="9"/>
      <c r="H374" s="9" t="s">
        <v>563</v>
      </c>
      <c r="I374" s="14"/>
      <c r="J374" s="14"/>
      <c r="K374" s="12">
        <v>12</v>
      </c>
      <c r="L374" s="9"/>
      <c r="M374" s="9"/>
      <c r="N374" s="9"/>
      <c r="O374" s="38">
        <f t="shared" si="27"/>
        <v>12</v>
      </c>
      <c r="P374" s="12"/>
      <c r="Q374" s="42"/>
      <c r="R374" s="15"/>
      <c r="S374" s="44"/>
      <c r="T374" s="15"/>
      <c r="U374" s="44"/>
      <c r="V374" s="15">
        <f t="shared" si="28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29"/>
        <v>0</v>
      </c>
      <c r="AF374" s="15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0"/>
        <v>0</v>
      </c>
      <c r="BA374" s="15"/>
      <c r="BB374" s="44"/>
      <c r="BC374" s="15"/>
      <c r="BD374" s="44"/>
      <c r="BE374" s="15">
        <f t="shared" si="31"/>
        <v>0</v>
      </c>
    </row>
    <row r="375" spans="1:57">
      <c r="A375" s="9"/>
      <c r="B375" s="16" t="s">
        <v>155</v>
      </c>
      <c r="C375" s="89" t="s">
        <v>52</v>
      </c>
      <c r="D375" s="80" t="s">
        <v>564</v>
      </c>
      <c r="E375" s="13" t="s">
        <v>565</v>
      </c>
      <c r="F375" s="96"/>
      <c r="G375" s="9"/>
      <c r="H375" s="9" t="s">
        <v>566</v>
      </c>
      <c r="I375" s="14"/>
      <c r="J375" s="14"/>
      <c r="K375" s="12">
        <v>0</v>
      </c>
      <c r="L375" s="9"/>
      <c r="M375" s="9"/>
      <c r="N375" s="9"/>
      <c r="O375" s="38">
        <f t="shared" si="27"/>
        <v>0</v>
      </c>
      <c r="P375" s="12"/>
      <c r="Q375" s="42"/>
      <c r="R375" s="15"/>
      <c r="S375" s="44"/>
      <c r="T375" s="15"/>
      <c r="U375" s="44"/>
      <c r="V375" s="15">
        <f t="shared" si="28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29"/>
        <v>0</v>
      </c>
      <c r="AF375" s="15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0"/>
        <v>0</v>
      </c>
      <c r="BA375" s="15"/>
      <c r="BB375" s="44"/>
      <c r="BC375" s="15"/>
      <c r="BD375" s="44"/>
      <c r="BE375" s="15">
        <f t="shared" si="31"/>
        <v>0</v>
      </c>
    </row>
    <row r="376" spans="1:57">
      <c r="A376" s="9"/>
      <c r="B376" s="16" t="s">
        <v>155</v>
      </c>
      <c r="C376" s="89" t="s">
        <v>52</v>
      </c>
      <c r="D376" s="59" t="s">
        <v>567</v>
      </c>
      <c r="E376" s="13" t="s">
        <v>565</v>
      </c>
      <c r="F376" s="96"/>
      <c r="G376" s="9"/>
      <c r="H376" s="9" t="s">
        <v>566</v>
      </c>
      <c r="I376" s="14"/>
      <c r="J376" s="14"/>
      <c r="K376" s="12">
        <v>27</v>
      </c>
      <c r="L376" s="9"/>
      <c r="M376" s="9"/>
      <c r="N376" s="9"/>
      <c r="O376" s="38">
        <f t="shared" si="27"/>
        <v>27</v>
      </c>
      <c r="P376" s="12"/>
      <c r="Q376" s="42"/>
      <c r="R376" s="15"/>
      <c r="S376" s="44"/>
      <c r="T376" s="15"/>
      <c r="U376" s="44"/>
      <c r="V376" s="15">
        <f t="shared" si="28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29"/>
        <v>0</v>
      </c>
      <c r="AF376" s="15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0"/>
        <v>0</v>
      </c>
      <c r="BA376" s="15"/>
      <c r="BB376" s="44"/>
      <c r="BC376" s="15"/>
      <c r="BD376" s="44"/>
      <c r="BE376" s="15">
        <f t="shared" si="31"/>
        <v>0</v>
      </c>
    </row>
    <row r="377" spans="1:57">
      <c r="A377" s="9"/>
      <c r="B377" s="16" t="s">
        <v>155</v>
      </c>
      <c r="C377" s="89" t="s">
        <v>52</v>
      </c>
      <c r="D377" s="59" t="s">
        <v>568</v>
      </c>
      <c r="E377" s="13" t="s">
        <v>569</v>
      </c>
      <c r="F377" s="96"/>
      <c r="G377" s="9"/>
      <c r="H377" s="9" t="s">
        <v>566</v>
      </c>
      <c r="I377" s="14"/>
      <c r="J377" s="14"/>
      <c r="K377" s="12">
        <v>0</v>
      </c>
      <c r="L377" s="9"/>
      <c r="M377" s="9"/>
      <c r="N377" s="9"/>
      <c r="O377" s="38">
        <f t="shared" si="27"/>
        <v>0</v>
      </c>
      <c r="P377" s="12"/>
      <c r="Q377" s="42"/>
      <c r="R377" s="15"/>
      <c r="S377" s="44"/>
      <c r="T377" s="15"/>
      <c r="U377" s="44"/>
      <c r="V377" s="15">
        <f t="shared" si="28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29"/>
        <v>0</v>
      </c>
      <c r="AF377" s="15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0"/>
        <v>0</v>
      </c>
      <c r="BA377" s="15"/>
      <c r="BB377" s="44"/>
      <c r="BC377" s="15"/>
      <c r="BD377" s="44"/>
      <c r="BE377" s="15">
        <f t="shared" si="31"/>
        <v>0</v>
      </c>
    </row>
    <row r="378" spans="1:57">
      <c r="A378" s="9"/>
      <c r="B378" s="16" t="s">
        <v>330</v>
      </c>
      <c r="C378" s="89" t="s">
        <v>52</v>
      </c>
      <c r="D378" s="70" t="s">
        <v>333</v>
      </c>
      <c r="E378" s="13" t="s">
        <v>330</v>
      </c>
      <c r="F378" s="96"/>
      <c r="G378" s="9"/>
      <c r="H378" s="9" t="s">
        <v>332</v>
      </c>
      <c r="I378" s="14"/>
      <c r="J378" s="14"/>
      <c r="K378" s="12">
        <v>3600</v>
      </c>
      <c r="L378" s="9"/>
      <c r="M378" s="9"/>
      <c r="N378" s="9"/>
      <c r="O378" s="38">
        <f t="shared" si="27"/>
        <v>3600</v>
      </c>
      <c r="P378" s="12"/>
      <c r="Q378" s="42"/>
      <c r="R378" s="15"/>
      <c r="S378" s="44"/>
      <c r="T378" s="15"/>
      <c r="U378" s="44"/>
      <c r="V378" s="15">
        <f t="shared" si="28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29"/>
        <v>0</v>
      </c>
      <c r="AF378" s="15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0"/>
        <v>0</v>
      </c>
      <c r="BA378" s="15"/>
      <c r="BB378" s="44"/>
      <c r="BC378" s="15"/>
      <c r="BD378" s="44"/>
      <c r="BE378" s="15">
        <f t="shared" si="31"/>
        <v>0</v>
      </c>
    </row>
    <row r="379" spans="1:57">
      <c r="A379" s="9"/>
      <c r="B379" s="16" t="s">
        <v>570</v>
      </c>
      <c r="C379" s="89" t="s">
        <v>52</v>
      </c>
      <c r="D379" s="59" t="s">
        <v>571</v>
      </c>
      <c r="E379" s="13" t="s">
        <v>562</v>
      </c>
      <c r="F379" s="96"/>
      <c r="G379" s="9"/>
      <c r="H379" s="9" t="s">
        <v>314</v>
      </c>
      <c r="I379" s="14"/>
      <c r="J379" s="14"/>
      <c r="K379" s="12">
        <v>0</v>
      </c>
      <c r="L379" s="9"/>
      <c r="M379" s="9"/>
      <c r="N379" s="9"/>
      <c r="O379" s="38">
        <f t="shared" si="27"/>
        <v>0</v>
      </c>
      <c r="P379" s="12"/>
      <c r="Q379" s="42"/>
      <c r="R379" s="15"/>
      <c r="S379" s="44"/>
      <c r="T379" s="15"/>
      <c r="U379" s="44"/>
      <c r="V379" s="15">
        <f t="shared" si="28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29"/>
        <v>0</v>
      </c>
      <c r="AF379" s="15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0"/>
        <v>0</v>
      </c>
      <c r="BA379" s="15"/>
      <c r="BB379" s="44"/>
      <c r="BC379" s="15"/>
      <c r="BD379" s="44"/>
      <c r="BE379" s="15">
        <f t="shared" si="31"/>
        <v>0</v>
      </c>
    </row>
    <row r="380" spans="1:57">
      <c r="A380" s="9"/>
      <c r="B380" s="16" t="s">
        <v>472</v>
      </c>
      <c r="C380" s="89" t="s">
        <v>52</v>
      </c>
      <c r="D380" s="59" t="s">
        <v>572</v>
      </c>
      <c r="E380" s="13" t="s">
        <v>573</v>
      </c>
      <c r="F380" s="96"/>
      <c r="G380" s="9"/>
      <c r="H380" s="9" t="s">
        <v>67</v>
      </c>
      <c r="I380" s="14"/>
      <c r="J380" s="14"/>
      <c r="K380" s="12">
        <v>384</v>
      </c>
      <c r="L380" s="9"/>
      <c r="M380" s="9"/>
      <c r="N380" s="9"/>
      <c r="O380" s="38">
        <f t="shared" si="27"/>
        <v>384</v>
      </c>
      <c r="P380" s="12"/>
      <c r="Q380" s="42"/>
      <c r="R380" s="15"/>
      <c r="S380" s="44"/>
      <c r="T380" s="15"/>
      <c r="U380" s="44"/>
      <c r="V380" s="15">
        <f t="shared" si="28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29"/>
        <v>0</v>
      </c>
      <c r="AF380" s="15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0"/>
        <v>0</v>
      </c>
      <c r="BA380" s="15"/>
      <c r="BB380" s="44"/>
      <c r="BC380" s="15"/>
      <c r="BD380" s="44"/>
      <c r="BE380" s="15">
        <f t="shared" si="31"/>
        <v>0</v>
      </c>
    </row>
    <row r="381" spans="1:57">
      <c r="A381" s="9"/>
      <c r="B381" s="16" t="s">
        <v>574</v>
      </c>
      <c r="C381" s="89" t="s">
        <v>494</v>
      </c>
      <c r="D381" s="59" t="s">
        <v>575</v>
      </c>
      <c r="E381" s="13"/>
      <c r="F381" s="96"/>
      <c r="G381" s="9"/>
      <c r="H381" s="9" t="s">
        <v>576</v>
      </c>
      <c r="I381" s="14"/>
      <c r="J381" s="14"/>
      <c r="K381" s="12">
        <v>0</v>
      </c>
      <c r="L381" s="9"/>
      <c r="M381" s="9"/>
      <c r="N381" s="9"/>
      <c r="O381" s="38">
        <f t="shared" si="27"/>
        <v>0</v>
      </c>
      <c r="P381" s="12"/>
      <c r="Q381" s="42"/>
      <c r="R381" s="15"/>
      <c r="S381" s="44"/>
      <c r="T381" s="15"/>
      <c r="U381" s="44"/>
      <c r="V381" s="15">
        <f t="shared" si="28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29"/>
        <v>0</v>
      </c>
      <c r="AF381" s="15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0"/>
        <v>0</v>
      </c>
      <c r="BA381" s="15"/>
      <c r="BB381" s="44"/>
      <c r="BC381" s="15"/>
      <c r="BD381" s="44"/>
      <c r="BE381" s="15">
        <f t="shared" si="31"/>
        <v>0</v>
      </c>
    </row>
    <row r="382" spans="1:57">
      <c r="A382" s="9"/>
      <c r="B382" s="16" t="s">
        <v>574</v>
      </c>
      <c r="C382" s="89" t="s">
        <v>494</v>
      </c>
      <c r="D382" s="59" t="s">
        <v>577</v>
      </c>
      <c r="E382" s="13" t="s">
        <v>578</v>
      </c>
      <c r="F382" s="96"/>
      <c r="G382" s="9"/>
      <c r="H382" s="9" t="s">
        <v>576</v>
      </c>
      <c r="I382" s="14"/>
      <c r="J382" s="14"/>
      <c r="K382" s="12">
        <v>0</v>
      </c>
      <c r="L382" s="9"/>
      <c r="M382" s="9"/>
      <c r="N382" s="9"/>
      <c r="O382" s="38">
        <f t="shared" si="27"/>
        <v>0</v>
      </c>
      <c r="P382" s="12"/>
      <c r="Q382" s="42"/>
      <c r="R382" s="15"/>
      <c r="S382" s="44"/>
      <c r="T382" s="15"/>
      <c r="U382" s="44"/>
      <c r="V382" s="15">
        <f t="shared" si="28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29"/>
        <v>0</v>
      </c>
      <c r="AF382" s="15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0"/>
        <v>0</v>
      </c>
      <c r="BA382" s="15"/>
      <c r="BB382" s="44"/>
      <c r="BC382" s="15"/>
      <c r="BD382" s="44"/>
      <c r="BE382" s="15">
        <f t="shared" si="31"/>
        <v>0</v>
      </c>
    </row>
    <row r="383" spans="1:57">
      <c r="A383" s="9"/>
      <c r="B383" s="16" t="s">
        <v>244</v>
      </c>
      <c r="C383" s="89" t="s">
        <v>52</v>
      </c>
      <c r="D383" s="59" t="s">
        <v>579</v>
      </c>
      <c r="E383" s="13" t="s">
        <v>246</v>
      </c>
      <c r="F383" s="96"/>
      <c r="G383" s="9"/>
      <c r="H383" s="9" t="s">
        <v>247</v>
      </c>
      <c r="I383" s="14"/>
      <c r="J383" s="14"/>
      <c r="K383" s="12">
        <v>0</v>
      </c>
      <c r="L383" s="9"/>
      <c r="M383" s="9"/>
      <c r="N383" s="9"/>
      <c r="O383" s="38">
        <f t="shared" si="27"/>
        <v>0</v>
      </c>
      <c r="P383" s="12"/>
      <c r="Q383" s="42"/>
      <c r="R383" s="15"/>
      <c r="S383" s="44"/>
      <c r="T383" s="15"/>
      <c r="U383" s="44"/>
      <c r="V383" s="15">
        <f t="shared" si="28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29"/>
        <v>0</v>
      </c>
      <c r="AF383" s="15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0"/>
        <v>0</v>
      </c>
      <c r="BA383" s="15"/>
      <c r="BB383" s="44"/>
      <c r="BC383" s="15"/>
      <c r="BD383" s="44"/>
      <c r="BE383" s="15">
        <f t="shared" si="31"/>
        <v>0</v>
      </c>
    </row>
    <row r="384" spans="1:57">
      <c r="A384" s="9"/>
      <c r="B384" s="16" t="s">
        <v>244</v>
      </c>
      <c r="C384" s="89" t="s">
        <v>52</v>
      </c>
      <c r="D384" s="56" t="s">
        <v>580</v>
      </c>
      <c r="E384" s="13" t="s">
        <v>246</v>
      </c>
      <c r="F384" s="96"/>
      <c r="G384" s="9"/>
      <c r="H384" s="9" t="s">
        <v>247</v>
      </c>
      <c r="I384" s="14"/>
      <c r="J384" s="14"/>
      <c r="K384" s="12">
        <v>192</v>
      </c>
      <c r="L384" s="9"/>
      <c r="M384" s="9"/>
      <c r="N384" s="9"/>
      <c r="O384" s="38">
        <f t="shared" si="27"/>
        <v>192</v>
      </c>
      <c r="P384" s="12"/>
      <c r="Q384" s="42"/>
      <c r="R384" s="15"/>
      <c r="S384" s="44"/>
      <c r="T384" s="15"/>
      <c r="U384" s="44"/>
      <c r="V384" s="15">
        <f t="shared" si="28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29"/>
        <v>0</v>
      </c>
      <c r="AF384" s="15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0"/>
        <v>0</v>
      </c>
      <c r="BA384" s="15"/>
      <c r="BB384" s="44"/>
      <c r="BC384" s="15"/>
      <c r="BD384" s="44"/>
      <c r="BE384" s="15">
        <f t="shared" si="31"/>
        <v>0</v>
      </c>
    </row>
    <row r="385" spans="1:57">
      <c r="A385" s="9"/>
      <c r="B385" s="16" t="s">
        <v>343</v>
      </c>
      <c r="C385" s="89" t="s">
        <v>52</v>
      </c>
      <c r="D385" s="56" t="s">
        <v>343</v>
      </c>
      <c r="E385" s="13"/>
      <c r="F385" s="96"/>
      <c r="G385" s="9"/>
      <c r="H385" s="9" t="s">
        <v>345</v>
      </c>
      <c r="I385" s="14"/>
      <c r="J385" s="14"/>
      <c r="K385" s="12">
        <v>0</v>
      </c>
      <c r="L385" s="9"/>
      <c r="M385" s="9"/>
      <c r="N385" s="9"/>
      <c r="O385" s="38">
        <f t="shared" si="27"/>
        <v>0</v>
      </c>
      <c r="P385" s="12"/>
      <c r="Q385" s="42"/>
      <c r="R385" s="15"/>
      <c r="S385" s="44"/>
      <c r="T385" s="15"/>
      <c r="U385" s="44"/>
      <c r="V385" s="15">
        <f t="shared" si="28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29"/>
        <v>0</v>
      </c>
      <c r="AF385" s="15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0"/>
        <v>0</v>
      </c>
      <c r="BA385" s="15"/>
      <c r="BB385" s="44"/>
      <c r="BC385" s="15"/>
      <c r="BD385" s="44"/>
      <c r="BE385" s="15">
        <f t="shared" si="31"/>
        <v>0</v>
      </c>
    </row>
    <row r="386" spans="1:57" ht="24" customHeight="1">
      <c r="A386" s="9"/>
      <c r="B386" s="16" t="s">
        <v>581</v>
      </c>
      <c r="C386" s="89" t="s">
        <v>44</v>
      </c>
      <c r="D386" s="59" t="s">
        <v>582</v>
      </c>
      <c r="E386" s="13" t="s">
        <v>583</v>
      </c>
      <c r="F386" s="95"/>
      <c r="G386" s="9"/>
      <c r="H386" s="9" t="s">
        <v>584</v>
      </c>
      <c r="I386" s="14"/>
      <c r="J386" s="14"/>
      <c r="K386" s="12">
        <v>0</v>
      </c>
      <c r="L386" s="9"/>
      <c r="M386" s="9"/>
      <c r="N386" s="9"/>
      <c r="O386" s="38">
        <f t="shared" ref="O386:O449" si="32">K386+V386-AE386-AZ386</f>
        <v>0</v>
      </c>
      <c r="P386" s="12"/>
      <c r="Q386" s="42"/>
      <c r="R386" s="15"/>
      <c r="S386" s="44"/>
      <c r="T386" s="15"/>
      <c r="U386" s="44"/>
      <c r="V386" s="15">
        <f t="shared" ref="V386:V449" si="33">P386+R386+T386</f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ref="AE386:AE449" si="34">(W386+Y386+AA386+AC386)</f>
        <v>0</v>
      </c>
      <c r="AF386" s="15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0"/>
        <v>0</v>
      </c>
      <c r="BA386" s="15"/>
      <c r="BB386" s="44"/>
      <c r="BC386" s="15"/>
      <c r="BD386" s="44"/>
      <c r="BE386" s="15">
        <f t="shared" si="31"/>
        <v>0</v>
      </c>
    </row>
    <row r="387" spans="1:57">
      <c r="A387" s="9"/>
      <c r="B387" s="16" t="s">
        <v>581</v>
      </c>
      <c r="C387" s="89" t="s">
        <v>132</v>
      </c>
      <c r="D387" s="59" t="s">
        <v>585</v>
      </c>
      <c r="E387" s="13" t="s">
        <v>583</v>
      </c>
      <c r="F387" s="95"/>
      <c r="G387" s="9"/>
      <c r="H387" s="9" t="s">
        <v>584</v>
      </c>
      <c r="I387" s="14"/>
      <c r="J387" s="14"/>
      <c r="K387" s="12">
        <v>0</v>
      </c>
      <c r="L387" s="9"/>
      <c r="M387" s="9"/>
      <c r="N387" s="9"/>
      <c r="O387" s="38">
        <f t="shared" si="32"/>
        <v>0</v>
      </c>
      <c r="P387" s="12"/>
      <c r="Q387" s="42"/>
      <c r="R387" s="15"/>
      <c r="S387" s="44"/>
      <c r="T387" s="15"/>
      <c r="U387" s="44"/>
      <c r="V387" s="15">
        <f t="shared" si="33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4"/>
        <v>0</v>
      </c>
      <c r="AF387" s="15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ref="AZ387:AZ450" si="35">AF387+AH387+AJ387+AL387+AN387+AP387+AR387+AT387+AV387+AX387</f>
        <v>0</v>
      </c>
      <c r="BA387" s="15"/>
      <c r="BB387" s="44"/>
      <c r="BC387" s="15"/>
      <c r="BD387" s="44"/>
      <c r="BE387" s="15">
        <f t="shared" si="31"/>
        <v>0</v>
      </c>
    </row>
    <row r="388" spans="1:57">
      <c r="A388" s="9"/>
      <c r="B388" s="16" t="s">
        <v>581</v>
      </c>
      <c r="C388" s="89" t="s">
        <v>48</v>
      </c>
      <c r="D388" s="59" t="s">
        <v>585</v>
      </c>
      <c r="E388" s="13" t="s">
        <v>586</v>
      </c>
      <c r="F388" s="95"/>
      <c r="G388" s="9"/>
      <c r="H388" s="9" t="s">
        <v>584</v>
      </c>
      <c r="I388" s="14"/>
      <c r="J388" s="14"/>
      <c r="K388" s="12">
        <v>0</v>
      </c>
      <c r="L388" s="9"/>
      <c r="M388" s="9"/>
      <c r="N388" s="9"/>
      <c r="O388" s="38">
        <f t="shared" si="32"/>
        <v>0</v>
      </c>
      <c r="P388" s="12"/>
      <c r="Q388" s="42"/>
      <c r="R388" s="15"/>
      <c r="S388" s="44"/>
      <c r="T388" s="15"/>
      <c r="U388" s="44"/>
      <c r="V388" s="15">
        <f t="shared" si="33"/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si="34"/>
        <v>0</v>
      </c>
      <c r="AF388" s="15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5"/>
        <v>0</v>
      </c>
      <c r="BA388" s="15"/>
      <c r="BB388" s="44"/>
      <c r="BC388" s="15"/>
      <c r="BD388" s="44"/>
      <c r="BE388" s="15">
        <f t="shared" si="31"/>
        <v>0</v>
      </c>
    </row>
    <row r="389" spans="1:57">
      <c r="A389" s="9"/>
      <c r="B389" s="16" t="s">
        <v>581</v>
      </c>
      <c r="C389" s="89" t="s">
        <v>48</v>
      </c>
      <c r="D389" s="59" t="s">
        <v>587</v>
      </c>
      <c r="E389" s="13" t="s">
        <v>586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2"/>
        <v>0</v>
      </c>
      <c r="P389" s="12"/>
      <c r="Q389" s="42"/>
      <c r="R389" s="15"/>
      <c r="S389" s="44"/>
      <c r="T389" s="15"/>
      <c r="U389" s="44"/>
      <c r="V389" s="15">
        <f t="shared" si="33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4"/>
        <v>0</v>
      </c>
      <c r="AF389" s="15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5"/>
        <v>0</v>
      </c>
      <c r="BA389" s="15"/>
      <c r="BB389" s="44"/>
      <c r="BC389" s="15"/>
      <c r="BD389" s="44"/>
      <c r="BE389" s="15">
        <f t="shared" si="31"/>
        <v>0</v>
      </c>
    </row>
    <row r="390" spans="1:57">
      <c r="A390" s="9"/>
      <c r="B390" s="16" t="s">
        <v>581</v>
      </c>
      <c r="C390" s="89" t="s">
        <v>132</v>
      </c>
      <c r="D390" s="59" t="s">
        <v>588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2"/>
        <v>0</v>
      </c>
      <c r="P390" s="12"/>
      <c r="Q390" s="42"/>
      <c r="R390" s="15"/>
      <c r="S390" s="44"/>
      <c r="T390" s="15"/>
      <c r="U390" s="44"/>
      <c r="V390" s="15">
        <f t="shared" si="33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4"/>
        <v>0</v>
      </c>
      <c r="AF390" s="15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5"/>
        <v>0</v>
      </c>
      <c r="BA390" s="15"/>
      <c r="BB390" s="44"/>
      <c r="BC390" s="15"/>
      <c r="BD390" s="44"/>
      <c r="BE390" s="15">
        <f t="shared" si="31"/>
        <v>0</v>
      </c>
    </row>
    <row r="391" spans="1:57">
      <c r="A391" s="9"/>
      <c r="B391" s="16" t="s">
        <v>581</v>
      </c>
      <c r="C391" s="89" t="s">
        <v>52</v>
      </c>
      <c r="D391" s="56" t="s">
        <v>582</v>
      </c>
      <c r="E391" s="13" t="s">
        <v>589</v>
      </c>
      <c r="F391" s="95"/>
      <c r="G391" s="9"/>
      <c r="H391" s="9" t="s">
        <v>584</v>
      </c>
      <c r="I391" s="14"/>
      <c r="J391" s="14"/>
      <c r="K391" s="12">
        <v>190</v>
      </c>
      <c r="L391" s="9"/>
      <c r="M391" s="9"/>
      <c r="N391" s="9"/>
      <c r="O391" s="38">
        <f t="shared" si="32"/>
        <v>190</v>
      </c>
      <c r="P391" s="12"/>
      <c r="Q391" s="42"/>
      <c r="R391" s="15"/>
      <c r="S391" s="44"/>
      <c r="T391" s="15"/>
      <c r="U391" s="44"/>
      <c r="V391" s="15">
        <f t="shared" si="33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4"/>
        <v>0</v>
      </c>
      <c r="AF391" s="15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5"/>
        <v>0</v>
      </c>
      <c r="BA391" s="15"/>
      <c r="BB391" s="44"/>
      <c r="BC391" s="15"/>
      <c r="BD391" s="44"/>
      <c r="BE391" s="15">
        <f t="shared" si="31"/>
        <v>0</v>
      </c>
    </row>
    <row r="392" spans="1:57">
      <c r="A392" s="9"/>
      <c r="B392" s="16" t="s">
        <v>581</v>
      </c>
      <c r="C392" s="89" t="s">
        <v>52</v>
      </c>
      <c r="D392" s="59" t="s">
        <v>587</v>
      </c>
      <c r="E392" s="13" t="s">
        <v>590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2"/>
        <v>0</v>
      </c>
      <c r="P392" s="12"/>
      <c r="Q392" s="42"/>
      <c r="R392" s="15"/>
      <c r="S392" s="44"/>
      <c r="T392" s="15"/>
      <c r="U392" s="44"/>
      <c r="V392" s="15">
        <f t="shared" si="33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4"/>
        <v>0</v>
      </c>
      <c r="AF392" s="15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5"/>
        <v>0</v>
      </c>
      <c r="BA392" s="15"/>
      <c r="BB392" s="44"/>
      <c r="BC392" s="15"/>
      <c r="BD392" s="44"/>
      <c r="BE392" s="15">
        <f t="shared" si="31"/>
        <v>0</v>
      </c>
    </row>
    <row r="393" spans="1:57">
      <c r="A393" s="9"/>
      <c r="B393" s="16" t="s">
        <v>591</v>
      </c>
      <c r="C393" s="92" t="s">
        <v>151</v>
      </c>
      <c r="D393" s="85" t="s">
        <v>592</v>
      </c>
      <c r="E393" s="13" t="s">
        <v>593</v>
      </c>
      <c r="F393" s="95"/>
      <c r="G393" s="9"/>
      <c r="H393" s="9" t="s">
        <v>594</v>
      </c>
      <c r="I393" s="14"/>
      <c r="J393" s="14"/>
      <c r="K393" s="12">
        <v>1300</v>
      </c>
      <c r="L393" s="9"/>
      <c r="M393" s="9"/>
      <c r="N393" s="9"/>
      <c r="O393" s="38">
        <f t="shared" si="32"/>
        <v>1300</v>
      </c>
      <c r="P393" s="12"/>
      <c r="Q393" s="42"/>
      <c r="R393" s="15"/>
      <c r="S393" s="44"/>
      <c r="T393" s="15"/>
      <c r="U393" s="44"/>
      <c r="V393" s="15">
        <f t="shared" si="33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4"/>
        <v>0</v>
      </c>
      <c r="AF393" s="15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5"/>
        <v>0</v>
      </c>
      <c r="BA393" s="15"/>
      <c r="BB393" s="44"/>
      <c r="BC393" s="15"/>
      <c r="BD393" s="44"/>
      <c r="BE393" s="15">
        <f t="shared" si="31"/>
        <v>0</v>
      </c>
    </row>
    <row r="394" spans="1:57">
      <c r="A394" s="9"/>
      <c r="B394" s="16" t="s">
        <v>591</v>
      </c>
      <c r="C394" s="92" t="s">
        <v>151</v>
      </c>
      <c r="D394" s="59" t="s">
        <v>595</v>
      </c>
      <c r="E394" s="13" t="s">
        <v>596</v>
      </c>
      <c r="F394" s="95"/>
      <c r="G394" s="9"/>
      <c r="H394" s="9" t="s">
        <v>594</v>
      </c>
      <c r="I394" s="14"/>
      <c r="J394" s="14"/>
      <c r="K394" s="12">
        <v>0</v>
      </c>
      <c r="L394" s="9"/>
      <c r="M394" s="9"/>
      <c r="N394" s="9"/>
      <c r="O394" s="38">
        <f t="shared" si="32"/>
        <v>0</v>
      </c>
      <c r="P394" s="12"/>
      <c r="Q394" s="42"/>
      <c r="R394" s="15"/>
      <c r="S394" s="44"/>
      <c r="T394" s="15"/>
      <c r="U394" s="44"/>
      <c r="V394" s="15">
        <f t="shared" si="33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4"/>
        <v>0</v>
      </c>
      <c r="AF394" s="15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5"/>
        <v>0</v>
      </c>
      <c r="BA394" s="15"/>
      <c r="BB394" s="44"/>
      <c r="BC394" s="15"/>
      <c r="BD394" s="44"/>
      <c r="BE394" s="15">
        <f t="shared" si="31"/>
        <v>0</v>
      </c>
    </row>
    <row r="395" spans="1:57">
      <c r="A395" s="9"/>
      <c r="B395" s="16" t="s">
        <v>591</v>
      </c>
      <c r="C395" s="92" t="s">
        <v>151</v>
      </c>
      <c r="D395" s="59" t="s">
        <v>597</v>
      </c>
      <c r="E395" s="13" t="s">
        <v>598</v>
      </c>
      <c r="F395" s="95"/>
      <c r="G395" s="9"/>
      <c r="H395" s="9" t="s">
        <v>594</v>
      </c>
      <c r="I395" s="14"/>
      <c r="J395" s="14"/>
      <c r="K395" s="12">
        <v>208</v>
      </c>
      <c r="L395" s="9"/>
      <c r="M395" s="9"/>
      <c r="N395" s="9"/>
      <c r="O395" s="38">
        <f t="shared" si="32"/>
        <v>208</v>
      </c>
      <c r="P395" s="12"/>
      <c r="Q395" s="42"/>
      <c r="R395" s="15"/>
      <c r="S395" s="44"/>
      <c r="T395" s="15"/>
      <c r="U395" s="44"/>
      <c r="V395" s="15">
        <f t="shared" si="33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4"/>
        <v>0</v>
      </c>
      <c r="AF395" s="15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5"/>
        <v>0</v>
      </c>
      <c r="BA395" s="15"/>
      <c r="BB395" s="44"/>
      <c r="BC395" s="15"/>
      <c r="BD395" s="44"/>
      <c r="BE395" s="15">
        <f t="shared" si="31"/>
        <v>0</v>
      </c>
    </row>
    <row r="396" spans="1:57">
      <c r="A396" s="9"/>
      <c r="B396" s="16" t="s">
        <v>591</v>
      </c>
      <c r="C396" s="92" t="s">
        <v>151</v>
      </c>
      <c r="D396" s="59" t="s">
        <v>599</v>
      </c>
      <c r="E396" s="13" t="s">
        <v>596</v>
      </c>
      <c r="F396" s="95"/>
      <c r="G396" s="9"/>
      <c r="H396" s="9" t="s">
        <v>594</v>
      </c>
      <c r="I396" s="14"/>
      <c r="J396" s="14"/>
      <c r="K396" s="12">
        <v>96</v>
      </c>
      <c r="L396" s="9"/>
      <c r="M396" s="9"/>
      <c r="N396" s="9"/>
      <c r="O396" s="38">
        <f t="shared" si="32"/>
        <v>96</v>
      </c>
      <c r="P396" s="12"/>
      <c r="Q396" s="42"/>
      <c r="R396" s="15"/>
      <c r="S396" s="44"/>
      <c r="T396" s="15"/>
      <c r="U396" s="44"/>
      <c r="V396" s="15">
        <f t="shared" si="33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4"/>
        <v>0</v>
      </c>
      <c r="AF396" s="15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5"/>
        <v>0</v>
      </c>
      <c r="BA396" s="15"/>
      <c r="BB396" s="44"/>
      <c r="BC396" s="15"/>
      <c r="BD396" s="44"/>
      <c r="BE396" s="15">
        <f t="shared" si="31"/>
        <v>0</v>
      </c>
    </row>
    <row r="397" spans="1:57">
      <c r="A397" s="9"/>
      <c r="B397" s="16" t="s">
        <v>591</v>
      </c>
      <c r="C397" s="92" t="s">
        <v>151</v>
      </c>
      <c r="D397" s="59" t="s">
        <v>600</v>
      </c>
      <c r="E397" s="13" t="s">
        <v>601</v>
      </c>
      <c r="F397" s="95"/>
      <c r="G397" s="9"/>
      <c r="H397" s="9" t="s">
        <v>594</v>
      </c>
      <c r="I397" s="14"/>
      <c r="J397" s="14"/>
      <c r="K397" s="12">
        <v>600</v>
      </c>
      <c r="L397" s="9"/>
      <c r="M397" s="9"/>
      <c r="N397" s="9"/>
      <c r="O397" s="38">
        <f t="shared" si="32"/>
        <v>600</v>
      </c>
      <c r="P397" s="12"/>
      <c r="Q397" s="42"/>
      <c r="R397" s="15"/>
      <c r="S397" s="44"/>
      <c r="T397" s="15"/>
      <c r="U397" s="44"/>
      <c r="V397" s="15">
        <f t="shared" si="33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4"/>
        <v>0</v>
      </c>
      <c r="AF397" s="15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5"/>
        <v>0</v>
      </c>
      <c r="BA397" s="15"/>
      <c r="BB397" s="44"/>
      <c r="BC397" s="15"/>
      <c r="BD397" s="44"/>
      <c r="BE397" s="15">
        <f t="shared" si="31"/>
        <v>0</v>
      </c>
    </row>
    <row r="398" spans="1:57">
      <c r="A398" s="9"/>
      <c r="B398" s="16" t="s">
        <v>591</v>
      </c>
      <c r="C398" s="92" t="s">
        <v>151</v>
      </c>
      <c r="D398" s="59" t="s">
        <v>602</v>
      </c>
      <c r="E398" s="13" t="s">
        <v>603</v>
      </c>
      <c r="F398" s="95"/>
      <c r="G398" s="9"/>
      <c r="H398" s="9" t="s">
        <v>594</v>
      </c>
      <c r="I398" s="14"/>
      <c r="J398" s="14"/>
      <c r="K398" s="12">
        <v>190</v>
      </c>
      <c r="L398" s="9"/>
      <c r="M398" s="9"/>
      <c r="N398" s="9"/>
      <c r="O398" s="38">
        <f t="shared" si="32"/>
        <v>190</v>
      </c>
      <c r="P398" s="12"/>
      <c r="Q398" s="42"/>
      <c r="R398" s="15"/>
      <c r="S398" s="44"/>
      <c r="T398" s="15"/>
      <c r="U398" s="44"/>
      <c r="V398" s="15">
        <f t="shared" si="33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4"/>
        <v>0</v>
      </c>
      <c r="AF398" s="15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5"/>
        <v>0</v>
      </c>
      <c r="BA398" s="15"/>
      <c r="BB398" s="44"/>
      <c r="BC398" s="15"/>
      <c r="BD398" s="44"/>
      <c r="BE398" s="15">
        <f t="shared" si="31"/>
        <v>0</v>
      </c>
    </row>
    <row r="399" spans="1:57">
      <c r="A399" s="9"/>
      <c r="B399" s="16" t="s">
        <v>591</v>
      </c>
      <c r="C399" s="92" t="s">
        <v>151</v>
      </c>
      <c r="D399" s="56" t="s">
        <v>604</v>
      </c>
      <c r="E399" s="13" t="s">
        <v>605</v>
      </c>
      <c r="F399" s="95"/>
      <c r="G399" s="9"/>
      <c r="H399" s="9" t="s">
        <v>594</v>
      </c>
      <c r="I399" s="14"/>
      <c r="J399" s="14"/>
      <c r="K399" s="12">
        <v>300</v>
      </c>
      <c r="L399" s="9"/>
      <c r="M399" s="9"/>
      <c r="N399" s="9"/>
      <c r="O399" s="38">
        <f t="shared" si="32"/>
        <v>300</v>
      </c>
      <c r="P399" s="12"/>
      <c r="Q399" s="42"/>
      <c r="R399" s="15"/>
      <c r="S399" s="44"/>
      <c r="T399" s="15"/>
      <c r="U399" s="44"/>
      <c r="V399" s="15">
        <f t="shared" si="33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4"/>
        <v>0</v>
      </c>
      <c r="AF399" s="15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5"/>
        <v>0</v>
      </c>
      <c r="BA399" s="15"/>
      <c r="BB399" s="44"/>
      <c r="BC399" s="15"/>
      <c r="BD399" s="44"/>
      <c r="BE399" s="15">
        <f t="shared" si="31"/>
        <v>0</v>
      </c>
    </row>
    <row r="400" spans="1:57">
      <c r="A400" s="9"/>
      <c r="B400" s="16" t="s">
        <v>606</v>
      </c>
      <c r="C400" s="92" t="s">
        <v>151</v>
      </c>
      <c r="D400" s="56" t="s">
        <v>607</v>
      </c>
      <c r="E400" s="13" t="s">
        <v>608</v>
      </c>
      <c r="F400" s="95"/>
      <c r="G400" s="9"/>
      <c r="H400" s="9" t="s">
        <v>594</v>
      </c>
      <c r="I400" s="14"/>
      <c r="J400" s="14"/>
      <c r="K400" s="12">
        <v>560</v>
      </c>
      <c r="L400" s="9"/>
      <c r="M400" s="9"/>
      <c r="N400" s="9"/>
      <c r="O400" s="38">
        <f t="shared" si="32"/>
        <v>560</v>
      </c>
      <c r="P400" s="12"/>
      <c r="Q400" s="42"/>
      <c r="R400" s="15"/>
      <c r="S400" s="44"/>
      <c r="T400" s="15"/>
      <c r="U400" s="44"/>
      <c r="V400" s="15">
        <f t="shared" si="33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4"/>
        <v>0</v>
      </c>
      <c r="AF400" s="15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5"/>
        <v>0</v>
      </c>
      <c r="BA400" s="15"/>
      <c r="BB400" s="44"/>
      <c r="BC400" s="15"/>
      <c r="BD400" s="44"/>
      <c r="BE400" s="15">
        <f t="shared" si="31"/>
        <v>0</v>
      </c>
    </row>
    <row r="401" spans="1:57">
      <c r="A401" s="9"/>
      <c r="B401" s="16" t="s">
        <v>606</v>
      </c>
      <c r="C401" s="92" t="s">
        <v>151</v>
      </c>
      <c r="D401" s="56" t="s">
        <v>609</v>
      </c>
      <c r="E401" s="13" t="s">
        <v>610</v>
      </c>
      <c r="F401" s="95"/>
      <c r="G401" s="9"/>
      <c r="H401" s="9" t="s">
        <v>594</v>
      </c>
      <c r="I401" s="14"/>
      <c r="J401" s="14"/>
      <c r="K401" s="12">
        <v>560</v>
      </c>
      <c r="L401" s="9"/>
      <c r="M401" s="9"/>
      <c r="N401" s="9"/>
      <c r="O401" s="38">
        <f t="shared" si="32"/>
        <v>560</v>
      </c>
      <c r="P401" s="12"/>
      <c r="Q401" s="42"/>
      <c r="R401" s="15"/>
      <c r="S401" s="44"/>
      <c r="T401" s="15"/>
      <c r="U401" s="44"/>
      <c r="V401" s="15">
        <f t="shared" si="33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4"/>
        <v>0</v>
      </c>
      <c r="AF401" s="15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5"/>
        <v>0</v>
      </c>
      <c r="BA401" s="15"/>
      <c r="BB401" s="44"/>
      <c r="BC401" s="15"/>
      <c r="BD401" s="44"/>
      <c r="BE401" s="15">
        <f t="shared" si="31"/>
        <v>0</v>
      </c>
    </row>
    <row r="402" spans="1:57">
      <c r="A402" s="9"/>
      <c r="B402" s="16" t="s">
        <v>606</v>
      </c>
      <c r="C402" s="89" t="s">
        <v>52</v>
      </c>
      <c r="D402" s="61" t="s">
        <v>611</v>
      </c>
      <c r="E402" s="13" t="s">
        <v>612</v>
      </c>
      <c r="F402" s="95"/>
      <c r="G402" s="9"/>
      <c r="H402" s="9" t="s">
        <v>594</v>
      </c>
      <c r="I402" s="14"/>
      <c r="J402" s="14"/>
      <c r="K402" s="12">
        <v>1040</v>
      </c>
      <c r="L402" s="9"/>
      <c r="M402" s="9"/>
      <c r="N402" s="9"/>
      <c r="O402" s="38">
        <f t="shared" si="32"/>
        <v>1040</v>
      </c>
      <c r="P402" s="12"/>
      <c r="Q402" s="42"/>
      <c r="R402" s="15"/>
      <c r="S402" s="44"/>
      <c r="T402" s="15"/>
      <c r="U402" s="44"/>
      <c r="V402" s="15">
        <f t="shared" si="33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4"/>
        <v>0</v>
      </c>
      <c r="AF402" s="15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5"/>
        <v>0</v>
      </c>
      <c r="BA402" s="15"/>
      <c r="BB402" s="44"/>
      <c r="BC402" s="15"/>
      <c r="BD402" s="44"/>
      <c r="BE402" s="15">
        <f t="shared" si="31"/>
        <v>0</v>
      </c>
    </row>
    <row r="403" spans="1:57">
      <c r="A403" s="9"/>
      <c r="B403" s="16" t="s">
        <v>606</v>
      </c>
      <c r="C403" s="89" t="s">
        <v>52</v>
      </c>
      <c r="D403" s="56" t="s">
        <v>613</v>
      </c>
      <c r="E403" s="13" t="s">
        <v>614</v>
      </c>
      <c r="F403" s="95"/>
      <c r="G403" s="9"/>
      <c r="H403" s="9" t="s">
        <v>594</v>
      </c>
      <c r="I403" s="14"/>
      <c r="J403" s="14"/>
      <c r="K403" s="12">
        <v>7</v>
      </c>
      <c r="L403" s="9"/>
      <c r="M403" s="9"/>
      <c r="N403" s="9"/>
      <c r="O403" s="38">
        <f t="shared" si="32"/>
        <v>7</v>
      </c>
      <c r="P403" s="12"/>
      <c r="Q403" s="42"/>
      <c r="R403" s="15"/>
      <c r="S403" s="44"/>
      <c r="T403" s="15"/>
      <c r="U403" s="44"/>
      <c r="V403" s="15">
        <f t="shared" si="33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4"/>
        <v>0</v>
      </c>
      <c r="AF403" s="15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5"/>
        <v>0</v>
      </c>
      <c r="BA403" s="15"/>
      <c r="BB403" s="44"/>
      <c r="BC403" s="15"/>
      <c r="BD403" s="44"/>
      <c r="BE403" s="15">
        <f t="shared" si="31"/>
        <v>0</v>
      </c>
    </row>
    <row r="404" spans="1:57">
      <c r="A404" s="9"/>
      <c r="B404" s="16" t="s">
        <v>606</v>
      </c>
      <c r="C404" s="92" t="s">
        <v>151</v>
      </c>
      <c r="D404" s="56" t="s">
        <v>615</v>
      </c>
      <c r="E404" s="13" t="s">
        <v>593</v>
      </c>
      <c r="F404" s="95"/>
      <c r="G404" s="9"/>
      <c r="H404" s="9" t="s">
        <v>594</v>
      </c>
      <c r="I404" s="14"/>
      <c r="J404" s="14"/>
      <c r="K404" s="12">
        <v>0</v>
      </c>
      <c r="L404" s="9"/>
      <c r="M404" s="9"/>
      <c r="N404" s="9"/>
      <c r="O404" s="38">
        <f t="shared" si="32"/>
        <v>0</v>
      </c>
      <c r="P404" s="12"/>
      <c r="Q404" s="42"/>
      <c r="R404" s="15"/>
      <c r="S404" s="44"/>
      <c r="T404" s="15"/>
      <c r="U404" s="44"/>
      <c r="V404" s="15">
        <f t="shared" si="33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4"/>
        <v>0</v>
      </c>
      <c r="AF404" s="15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5"/>
        <v>0</v>
      </c>
      <c r="BA404" s="15"/>
      <c r="BB404" s="44"/>
      <c r="BC404" s="15"/>
      <c r="BD404" s="44"/>
      <c r="BE404" s="15">
        <f t="shared" si="31"/>
        <v>0</v>
      </c>
    </row>
    <row r="405" spans="1:57">
      <c r="A405" s="9"/>
      <c r="B405" s="16" t="s">
        <v>606</v>
      </c>
      <c r="C405" s="92" t="s">
        <v>151</v>
      </c>
      <c r="D405" s="59" t="s">
        <v>615</v>
      </c>
      <c r="E405" s="13" t="s">
        <v>616</v>
      </c>
      <c r="F405" s="95"/>
      <c r="G405" s="9"/>
      <c r="H405" s="9" t="s">
        <v>594</v>
      </c>
      <c r="I405" s="14"/>
      <c r="J405" s="14"/>
      <c r="K405" s="12">
        <v>0</v>
      </c>
      <c r="L405" s="9"/>
      <c r="M405" s="9"/>
      <c r="N405" s="9"/>
      <c r="O405" s="38">
        <f t="shared" si="32"/>
        <v>0</v>
      </c>
      <c r="P405" s="12"/>
      <c r="Q405" s="42"/>
      <c r="R405" s="15"/>
      <c r="S405" s="44"/>
      <c r="T405" s="15"/>
      <c r="U405" s="44"/>
      <c r="V405" s="15">
        <f t="shared" si="33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4"/>
        <v>0</v>
      </c>
      <c r="AF405" s="15"/>
      <c r="AG405" s="42"/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5"/>
        <v>0</v>
      </c>
      <c r="BA405" s="15"/>
      <c r="BB405" s="44"/>
      <c r="BC405" s="15"/>
      <c r="BD405" s="44"/>
      <c r="BE405" s="15">
        <f t="shared" si="31"/>
        <v>0</v>
      </c>
    </row>
    <row r="406" spans="1:57">
      <c r="A406" s="9"/>
      <c r="B406" s="16" t="s">
        <v>617</v>
      </c>
      <c r="C406" s="92" t="s">
        <v>151</v>
      </c>
      <c r="D406" s="59" t="s">
        <v>618</v>
      </c>
      <c r="E406" s="13"/>
      <c r="F406" s="95"/>
      <c r="G406" s="9"/>
      <c r="H406" s="9" t="s">
        <v>467</v>
      </c>
      <c r="I406" s="14"/>
      <c r="J406" s="14"/>
      <c r="K406" s="12">
        <v>0</v>
      </c>
      <c r="L406" s="9"/>
      <c r="M406" s="9"/>
      <c r="N406" s="9"/>
      <c r="O406" s="38">
        <f t="shared" si="32"/>
        <v>0</v>
      </c>
      <c r="P406" s="12"/>
      <c r="Q406" s="42"/>
      <c r="R406" s="15"/>
      <c r="S406" s="44"/>
      <c r="T406" s="15"/>
      <c r="U406" s="44"/>
      <c r="V406" s="15">
        <f t="shared" si="33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4"/>
        <v>0</v>
      </c>
      <c r="AF406" s="15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5"/>
        <v>0</v>
      </c>
      <c r="BA406" s="15"/>
      <c r="BB406" s="44"/>
      <c r="BC406" s="15"/>
      <c r="BD406" s="44"/>
      <c r="BE406" s="15">
        <f t="shared" si="31"/>
        <v>0</v>
      </c>
    </row>
    <row r="407" spans="1:57" ht="24" customHeight="1">
      <c r="A407" s="9"/>
      <c r="B407" s="16" t="s">
        <v>619</v>
      </c>
      <c r="C407" s="89" t="s">
        <v>44</v>
      </c>
      <c r="D407" s="56" t="s">
        <v>620</v>
      </c>
      <c r="E407" s="13" t="s">
        <v>621</v>
      </c>
      <c r="F407" s="95"/>
      <c r="G407" s="9"/>
      <c r="H407" s="9" t="s">
        <v>67</v>
      </c>
      <c r="I407" s="14"/>
      <c r="J407" s="14"/>
      <c r="K407" s="12">
        <v>0</v>
      </c>
      <c r="L407" s="9"/>
      <c r="M407" s="9"/>
      <c r="N407" s="9"/>
      <c r="O407" s="38">
        <f t="shared" si="32"/>
        <v>0</v>
      </c>
      <c r="P407" s="12"/>
      <c r="Q407" s="42"/>
      <c r="R407" s="15"/>
      <c r="S407" s="44"/>
      <c r="T407" s="15"/>
      <c r="U407" s="44"/>
      <c r="V407" s="15">
        <f t="shared" si="33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4"/>
        <v>0</v>
      </c>
      <c r="AF407" s="15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5"/>
        <v>0</v>
      </c>
      <c r="BA407" s="15"/>
      <c r="BB407" s="44"/>
      <c r="BC407" s="15"/>
      <c r="BD407" s="44"/>
      <c r="BE407" s="15">
        <f t="shared" si="31"/>
        <v>0</v>
      </c>
    </row>
    <row r="408" spans="1:57">
      <c r="A408" s="9"/>
      <c r="B408" s="16" t="s">
        <v>120</v>
      </c>
      <c r="C408" s="92" t="s">
        <v>151</v>
      </c>
      <c r="D408" s="59" t="s">
        <v>622</v>
      </c>
      <c r="E408" s="13"/>
      <c r="F408" s="95"/>
      <c r="G408" s="9"/>
      <c r="H408" s="9" t="s">
        <v>67</v>
      </c>
      <c r="I408" s="14"/>
      <c r="J408" s="14"/>
      <c r="K408" s="12">
        <v>0</v>
      </c>
      <c r="L408" s="9"/>
      <c r="M408" s="9"/>
      <c r="N408" s="9"/>
      <c r="O408" s="38">
        <f t="shared" si="32"/>
        <v>0</v>
      </c>
      <c r="P408" s="12"/>
      <c r="Q408" s="42"/>
      <c r="R408" s="15"/>
      <c r="S408" s="44"/>
      <c r="T408" s="15"/>
      <c r="U408" s="44"/>
      <c r="V408" s="15">
        <f t="shared" si="33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4"/>
        <v>0</v>
      </c>
      <c r="AF408" s="15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5"/>
        <v>0</v>
      </c>
      <c r="BA408" s="15"/>
      <c r="BB408" s="44"/>
      <c r="BC408" s="15"/>
      <c r="BD408" s="44"/>
      <c r="BE408" s="15">
        <f t="shared" si="31"/>
        <v>0</v>
      </c>
    </row>
    <row r="409" spans="1:57">
      <c r="A409" s="9"/>
      <c r="B409" s="16" t="s">
        <v>120</v>
      </c>
      <c r="C409" s="89" t="s">
        <v>140</v>
      </c>
      <c r="D409" s="59" t="s">
        <v>623</v>
      </c>
      <c r="E409" s="13" t="s">
        <v>624</v>
      </c>
      <c r="F409" s="95"/>
      <c r="G409" s="9"/>
      <c r="H409" s="9" t="s">
        <v>625</v>
      </c>
      <c r="I409" s="14"/>
      <c r="J409" s="14"/>
      <c r="K409" s="12">
        <v>0</v>
      </c>
      <c r="L409" s="9"/>
      <c r="M409" s="9"/>
      <c r="N409" s="9"/>
      <c r="O409" s="38">
        <f t="shared" si="32"/>
        <v>0</v>
      </c>
      <c r="P409" s="12"/>
      <c r="Q409" s="42"/>
      <c r="R409" s="15"/>
      <c r="S409" s="44"/>
      <c r="T409" s="15"/>
      <c r="U409" s="44"/>
      <c r="V409" s="15">
        <f t="shared" si="33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4"/>
        <v>0</v>
      </c>
      <c r="AF409" s="15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5"/>
        <v>0</v>
      </c>
      <c r="BA409" s="15"/>
      <c r="BB409" s="44"/>
      <c r="BC409" s="15"/>
      <c r="BD409" s="44"/>
      <c r="BE409" s="15">
        <f t="shared" si="31"/>
        <v>0</v>
      </c>
    </row>
    <row r="410" spans="1:57">
      <c r="A410" s="9"/>
      <c r="B410" s="16" t="s">
        <v>120</v>
      </c>
      <c r="C410" s="89" t="s">
        <v>140</v>
      </c>
      <c r="D410" s="56" t="s">
        <v>623</v>
      </c>
      <c r="E410" s="13" t="s">
        <v>626</v>
      </c>
      <c r="F410" s="95"/>
      <c r="G410" s="9"/>
      <c r="H410" s="9" t="s">
        <v>627</v>
      </c>
      <c r="I410" s="14"/>
      <c r="J410" s="14"/>
      <c r="K410" s="12">
        <v>0</v>
      </c>
      <c r="L410" s="9"/>
      <c r="M410" s="9"/>
      <c r="N410" s="9"/>
      <c r="O410" s="38">
        <f t="shared" si="32"/>
        <v>0</v>
      </c>
      <c r="P410" s="12"/>
      <c r="Q410" s="42"/>
      <c r="R410" s="15"/>
      <c r="S410" s="44"/>
      <c r="T410" s="15"/>
      <c r="U410" s="44"/>
      <c r="V410" s="15">
        <f t="shared" si="33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4"/>
        <v>0</v>
      </c>
      <c r="AF410" s="15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5"/>
        <v>0</v>
      </c>
      <c r="BA410" s="15"/>
      <c r="BB410" s="44"/>
      <c r="BC410" s="15"/>
      <c r="BD410" s="44"/>
      <c r="BE410" s="15">
        <f t="shared" si="31"/>
        <v>0</v>
      </c>
    </row>
    <row r="411" spans="1:57">
      <c r="A411" s="9"/>
      <c r="B411" s="16" t="s">
        <v>120</v>
      </c>
      <c r="C411" s="89" t="s">
        <v>140</v>
      </c>
      <c r="D411" s="56" t="s">
        <v>623</v>
      </c>
      <c r="E411" s="13" t="s">
        <v>628</v>
      </c>
      <c r="F411" s="95"/>
      <c r="G411" s="9"/>
      <c r="H411" s="9" t="s">
        <v>627</v>
      </c>
      <c r="I411" s="14"/>
      <c r="J411" s="14"/>
      <c r="K411" s="12">
        <v>0</v>
      </c>
      <c r="L411" s="9"/>
      <c r="M411" s="9"/>
      <c r="N411" s="9"/>
      <c r="O411" s="38">
        <f t="shared" si="32"/>
        <v>0</v>
      </c>
      <c r="P411" s="12"/>
      <c r="Q411" s="42"/>
      <c r="R411" s="15"/>
      <c r="S411" s="44"/>
      <c r="T411" s="15"/>
      <c r="U411" s="44"/>
      <c r="V411" s="15">
        <f t="shared" si="33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4"/>
        <v>0</v>
      </c>
      <c r="AF411" s="15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5"/>
        <v>0</v>
      </c>
      <c r="BA411" s="15"/>
      <c r="BB411" s="44"/>
      <c r="BC411" s="15"/>
      <c r="BD411" s="44"/>
      <c r="BE411" s="15">
        <f t="shared" si="31"/>
        <v>0</v>
      </c>
    </row>
    <row r="412" spans="1:57">
      <c r="A412" s="9"/>
      <c r="B412" s="16" t="s">
        <v>120</v>
      </c>
      <c r="C412" s="89" t="s">
        <v>52</v>
      </c>
      <c r="D412" s="56" t="s">
        <v>629</v>
      </c>
      <c r="E412" s="13"/>
      <c r="F412" s="95"/>
      <c r="G412" s="9"/>
      <c r="H412" s="9" t="s">
        <v>467</v>
      </c>
      <c r="I412" s="14"/>
      <c r="J412" s="14"/>
      <c r="K412" s="12">
        <v>27</v>
      </c>
      <c r="L412" s="9"/>
      <c r="M412" s="9"/>
      <c r="N412" s="9"/>
      <c r="O412" s="38">
        <f t="shared" si="32"/>
        <v>27</v>
      </c>
      <c r="P412" s="12"/>
      <c r="Q412" s="42"/>
      <c r="R412" s="15"/>
      <c r="S412" s="44"/>
      <c r="T412" s="15"/>
      <c r="U412" s="44"/>
      <c r="V412" s="15">
        <f t="shared" si="33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4"/>
        <v>0</v>
      </c>
      <c r="AF412" s="15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5"/>
        <v>0</v>
      </c>
      <c r="BA412" s="15"/>
      <c r="BB412" s="44"/>
      <c r="BC412" s="15"/>
      <c r="BD412" s="44"/>
      <c r="BE412" s="15">
        <f t="shared" si="31"/>
        <v>0</v>
      </c>
    </row>
    <row r="413" spans="1:57">
      <c r="A413" s="9"/>
      <c r="B413" s="16" t="s">
        <v>172</v>
      </c>
      <c r="C413" s="92" t="s">
        <v>151</v>
      </c>
      <c r="D413" s="59" t="s">
        <v>630</v>
      </c>
      <c r="E413" s="13" t="s">
        <v>631</v>
      </c>
      <c r="F413" s="95"/>
      <c r="G413" s="9"/>
      <c r="H413" s="9" t="s">
        <v>67</v>
      </c>
      <c r="I413" s="14"/>
      <c r="J413" s="14"/>
      <c r="K413" s="12">
        <v>0</v>
      </c>
      <c r="L413" s="9"/>
      <c r="M413" s="9"/>
      <c r="N413" s="9"/>
      <c r="O413" s="38">
        <f t="shared" si="32"/>
        <v>0</v>
      </c>
      <c r="P413" s="12"/>
      <c r="Q413" s="42"/>
      <c r="R413" s="15"/>
      <c r="S413" s="44"/>
      <c r="T413" s="15"/>
      <c r="U413" s="44"/>
      <c r="V413" s="15">
        <f t="shared" si="33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4"/>
        <v>0</v>
      </c>
      <c r="AF413" s="15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5"/>
        <v>0</v>
      </c>
      <c r="BA413" s="15"/>
      <c r="BB413" s="44"/>
      <c r="BC413" s="15"/>
      <c r="BD413" s="44"/>
      <c r="BE413" s="15">
        <f t="shared" si="31"/>
        <v>0</v>
      </c>
    </row>
    <row r="414" spans="1:57">
      <c r="A414" s="9"/>
      <c r="B414" s="16" t="s">
        <v>632</v>
      </c>
      <c r="C414" s="89" t="s">
        <v>132</v>
      </c>
      <c r="D414" s="59" t="s">
        <v>633</v>
      </c>
      <c r="E414" s="13"/>
      <c r="F414" s="95"/>
      <c r="G414" s="9"/>
      <c r="H414" s="9" t="s">
        <v>247</v>
      </c>
      <c r="I414" s="14"/>
      <c r="J414" s="14"/>
      <c r="K414" s="12">
        <v>0</v>
      </c>
      <c r="L414" s="9"/>
      <c r="M414" s="9"/>
      <c r="N414" s="9"/>
      <c r="O414" s="38">
        <f t="shared" si="32"/>
        <v>0</v>
      </c>
      <c r="P414" s="12"/>
      <c r="Q414" s="42"/>
      <c r="R414" s="15"/>
      <c r="S414" s="44"/>
      <c r="T414" s="15"/>
      <c r="U414" s="44"/>
      <c r="V414" s="15">
        <f t="shared" si="33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4"/>
        <v>0</v>
      </c>
      <c r="AF414" s="15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5"/>
        <v>0</v>
      </c>
      <c r="BA414" s="15"/>
      <c r="BB414" s="44"/>
      <c r="BC414" s="15"/>
      <c r="BD414" s="44"/>
      <c r="BE414" s="15">
        <f t="shared" si="31"/>
        <v>0</v>
      </c>
    </row>
    <row r="415" spans="1:57">
      <c r="A415" s="9"/>
      <c r="B415" s="16" t="s">
        <v>632</v>
      </c>
      <c r="C415" s="89" t="s">
        <v>132</v>
      </c>
      <c r="D415" s="61" t="s">
        <v>634</v>
      </c>
      <c r="E415" s="13"/>
      <c r="F415" s="95"/>
      <c r="G415" s="9"/>
      <c r="H415" s="9" t="s">
        <v>247</v>
      </c>
      <c r="I415" s="14"/>
      <c r="J415" s="14"/>
      <c r="K415" s="12">
        <v>0</v>
      </c>
      <c r="L415" s="9"/>
      <c r="M415" s="9"/>
      <c r="N415" s="9"/>
      <c r="O415" s="38">
        <f t="shared" si="32"/>
        <v>0</v>
      </c>
      <c r="P415" s="12"/>
      <c r="Q415" s="42"/>
      <c r="R415" s="15"/>
      <c r="S415" s="44"/>
      <c r="T415" s="15"/>
      <c r="U415" s="44"/>
      <c r="V415" s="15">
        <f t="shared" si="33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4"/>
        <v>0</v>
      </c>
      <c r="AF415" s="15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5"/>
        <v>0</v>
      </c>
      <c r="BA415" s="15"/>
      <c r="BB415" s="44"/>
      <c r="BC415" s="15"/>
      <c r="BD415" s="44"/>
      <c r="BE415" s="15">
        <f t="shared" ref="BE415:BE478" si="36">(BA415+BC415)</f>
        <v>0</v>
      </c>
    </row>
    <row r="416" spans="1:57">
      <c r="A416" s="9"/>
      <c r="B416" s="16" t="s">
        <v>632</v>
      </c>
      <c r="C416" s="89" t="s">
        <v>132</v>
      </c>
      <c r="D416" s="61" t="s">
        <v>635</v>
      </c>
      <c r="E416" s="13"/>
      <c r="F416" s="95"/>
      <c r="G416" s="9"/>
      <c r="H416" s="9" t="s">
        <v>247</v>
      </c>
      <c r="I416" s="14"/>
      <c r="J416" s="14"/>
      <c r="K416" s="12">
        <v>0</v>
      </c>
      <c r="L416" s="9"/>
      <c r="M416" s="9"/>
      <c r="N416" s="9"/>
      <c r="O416" s="38">
        <f t="shared" si="32"/>
        <v>0</v>
      </c>
      <c r="P416" s="12"/>
      <c r="Q416" s="42"/>
      <c r="R416" s="15"/>
      <c r="S416" s="44"/>
      <c r="T416" s="15"/>
      <c r="U416" s="44"/>
      <c r="V416" s="15">
        <f t="shared" si="33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4"/>
        <v>0</v>
      </c>
      <c r="AF416" s="15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5"/>
        <v>0</v>
      </c>
      <c r="BA416" s="15"/>
      <c r="BB416" s="44"/>
      <c r="BC416" s="15"/>
      <c r="BD416" s="44"/>
      <c r="BE416" s="15">
        <f t="shared" si="36"/>
        <v>0</v>
      </c>
    </row>
    <row r="417" spans="1:57">
      <c r="A417" s="9"/>
      <c r="B417" s="16" t="s">
        <v>632</v>
      </c>
      <c r="C417" s="89" t="s">
        <v>132</v>
      </c>
      <c r="D417" s="61" t="s">
        <v>636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2"/>
        <v>0</v>
      </c>
      <c r="P417" s="12"/>
      <c r="Q417" s="42"/>
      <c r="R417" s="15"/>
      <c r="S417" s="44"/>
      <c r="T417" s="15"/>
      <c r="U417" s="44"/>
      <c r="V417" s="15">
        <f t="shared" si="33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4"/>
        <v>0</v>
      </c>
      <c r="AF417" s="15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5"/>
        <v>0</v>
      </c>
      <c r="BA417" s="15"/>
      <c r="BB417" s="44"/>
      <c r="BC417" s="15"/>
      <c r="BD417" s="44"/>
      <c r="BE417" s="15">
        <f t="shared" si="36"/>
        <v>0</v>
      </c>
    </row>
    <row r="418" spans="1:57">
      <c r="A418" s="9"/>
      <c r="B418" s="16" t="s">
        <v>632</v>
      </c>
      <c r="C418" s="89" t="s">
        <v>48</v>
      </c>
      <c r="D418" s="61" t="s">
        <v>637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2"/>
        <v>0</v>
      </c>
      <c r="P418" s="12"/>
      <c r="Q418" s="42"/>
      <c r="R418" s="15"/>
      <c r="S418" s="44"/>
      <c r="T418" s="15"/>
      <c r="U418" s="44"/>
      <c r="V418" s="15">
        <f t="shared" si="33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4"/>
        <v>0</v>
      </c>
      <c r="AF418" s="15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5"/>
        <v>0</v>
      </c>
      <c r="BA418" s="15"/>
      <c r="BB418" s="44"/>
      <c r="BC418" s="15"/>
      <c r="BD418" s="44"/>
      <c r="BE418" s="15">
        <f t="shared" si="36"/>
        <v>0</v>
      </c>
    </row>
    <row r="419" spans="1:57">
      <c r="A419" s="9"/>
      <c r="B419" s="16" t="s">
        <v>632</v>
      </c>
      <c r="C419" s="89" t="s">
        <v>48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2"/>
        <v>0</v>
      </c>
      <c r="P419" s="12"/>
      <c r="Q419" s="42"/>
      <c r="R419" s="15"/>
      <c r="S419" s="44"/>
      <c r="T419" s="15"/>
      <c r="U419" s="44"/>
      <c r="V419" s="15">
        <f t="shared" si="33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4"/>
        <v>0</v>
      </c>
      <c r="AF419" s="15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5"/>
        <v>0</v>
      </c>
      <c r="BA419" s="15"/>
      <c r="BB419" s="44"/>
      <c r="BC419" s="15"/>
      <c r="BD419" s="44"/>
      <c r="BE419" s="15">
        <f t="shared" si="36"/>
        <v>0</v>
      </c>
    </row>
    <row r="420" spans="1:57">
      <c r="A420" s="9"/>
      <c r="B420" s="16" t="s">
        <v>632</v>
      </c>
      <c r="C420" s="89" t="s">
        <v>48</v>
      </c>
      <c r="D420" s="59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2"/>
        <v>0</v>
      </c>
      <c r="P420" s="12"/>
      <c r="Q420" s="42"/>
      <c r="R420" s="15"/>
      <c r="S420" s="44"/>
      <c r="T420" s="15"/>
      <c r="U420" s="44"/>
      <c r="V420" s="15">
        <f t="shared" si="33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4"/>
        <v>0</v>
      </c>
      <c r="AF420" s="15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5"/>
        <v>0</v>
      </c>
      <c r="BA420" s="15"/>
      <c r="BB420" s="44"/>
      <c r="BC420" s="15"/>
      <c r="BD420" s="44"/>
      <c r="BE420" s="15">
        <f t="shared" si="36"/>
        <v>0</v>
      </c>
    </row>
    <row r="421" spans="1:57">
      <c r="A421" s="9"/>
      <c r="B421" s="16" t="s">
        <v>632</v>
      </c>
      <c r="C421" s="89" t="s">
        <v>52</v>
      </c>
      <c r="D421" s="59" t="s">
        <v>637</v>
      </c>
      <c r="E421" s="17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2"/>
        <v>0</v>
      </c>
      <c r="P421" s="12"/>
      <c r="Q421" s="42"/>
      <c r="R421" s="15"/>
      <c r="S421" s="44"/>
      <c r="T421" s="15"/>
      <c r="U421" s="44"/>
      <c r="V421" s="15">
        <f t="shared" si="33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4"/>
        <v>0</v>
      </c>
      <c r="AF421" s="15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si="35"/>
        <v>0</v>
      </c>
      <c r="BA421" s="15"/>
      <c r="BB421" s="44"/>
      <c r="BC421" s="15"/>
      <c r="BD421" s="44"/>
      <c r="BE421" s="15">
        <f t="shared" si="36"/>
        <v>0</v>
      </c>
    </row>
    <row r="422" spans="1:57">
      <c r="A422" s="9"/>
      <c r="B422" s="16" t="s">
        <v>632</v>
      </c>
      <c r="C422" s="89" t="s">
        <v>52</v>
      </c>
      <c r="D422" s="59" t="s">
        <v>638</v>
      </c>
      <c r="E422" s="13"/>
      <c r="F422" s="95"/>
      <c r="G422" s="9"/>
      <c r="H422" s="9" t="s">
        <v>639</v>
      </c>
      <c r="I422" s="14"/>
      <c r="J422" s="14"/>
      <c r="K422" s="12">
        <v>0</v>
      </c>
      <c r="L422" s="9"/>
      <c r="M422" s="9"/>
      <c r="N422" s="9"/>
      <c r="O422" s="38">
        <f t="shared" si="32"/>
        <v>0</v>
      </c>
      <c r="P422" s="12"/>
      <c r="Q422" s="42"/>
      <c r="R422" s="15"/>
      <c r="S422" s="44"/>
      <c r="T422" s="15"/>
      <c r="U422" s="44"/>
      <c r="V422" s="15">
        <f t="shared" si="33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4"/>
        <v>0</v>
      </c>
      <c r="AF422" s="15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5"/>
        <v>0</v>
      </c>
      <c r="BA422" s="15"/>
      <c r="BB422" s="44"/>
      <c r="BC422" s="15"/>
      <c r="BD422" s="44"/>
      <c r="BE422" s="15">
        <f t="shared" si="36"/>
        <v>0</v>
      </c>
    </row>
    <row r="423" spans="1:57">
      <c r="A423" s="9"/>
      <c r="B423" s="16" t="s">
        <v>632</v>
      </c>
      <c r="C423" s="89" t="s">
        <v>52</v>
      </c>
      <c r="D423" s="59" t="s">
        <v>640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2"/>
        <v>0</v>
      </c>
      <c r="P423" s="12"/>
      <c r="Q423" s="42"/>
      <c r="R423" s="15"/>
      <c r="S423" s="44"/>
      <c r="T423" s="15"/>
      <c r="U423" s="44"/>
      <c r="V423" s="15">
        <f t="shared" si="33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4"/>
        <v>0</v>
      </c>
      <c r="AF423" s="15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5"/>
        <v>0</v>
      </c>
      <c r="BA423" s="15"/>
      <c r="BB423" s="44"/>
      <c r="BC423" s="15"/>
      <c r="BD423" s="44"/>
      <c r="BE423" s="15">
        <f t="shared" si="36"/>
        <v>0</v>
      </c>
    </row>
    <row r="424" spans="1:57" ht="24" customHeight="1">
      <c r="A424" s="9"/>
      <c r="B424" s="16" t="s">
        <v>641</v>
      </c>
      <c r="C424" s="89" t="s">
        <v>44</v>
      </c>
      <c r="D424" s="61" t="s">
        <v>642</v>
      </c>
      <c r="E424" s="13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2"/>
        <v>0</v>
      </c>
      <c r="P424" s="12"/>
      <c r="Q424" s="42"/>
      <c r="R424" s="15"/>
      <c r="S424" s="44"/>
      <c r="T424" s="15"/>
      <c r="U424" s="44"/>
      <c r="V424" s="15">
        <f t="shared" si="33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4"/>
        <v>0</v>
      </c>
      <c r="AF424" s="15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5"/>
        <v>0</v>
      </c>
      <c r="BA424" s="15"/>
      <c r="BB424" s="44"/>
      <c r="BC424" s="15"/>
      <c r="BD424" s="44"/>
      <c r="BE424" s="15">
        <f t="shared" si="36"/>
        <v>0</v>
      </c>
    </row>
    <row r="425" spans="1:57" ht="24" customHeight="1">
      <c r="A425" s="9"/>
      <c r="B425" s="16" t="s">
        <v>641</v>
      </c>
      <c r="C425" s="89" t="s">
        <v>643</v>
      </c>
      <c r="D425" s="59" t="s">
        <v>642</v>
      </c>
      <c r="E425" s="13"/>
      <c r="F425" s="95"/>
      <c r="G425" s="9"/>
      <c r="H425" s="9" t="s">
        <v>247</v>
      </c>
      <c r="I425" s="14"/>
      <c r="J425" s="14"/>
      <c r="K425" s="12">
        <v>0</v>
      </c>
      <c r="L425" s="9"/>
      <c r="M425" s="9"/>
      <c r="N425" s="9"/>
      <c r="O425" s="38">
        <f t="shared" si="32"/>
        <v>0</v>
      </c>
      <c r="P425" s="12"/>
      <c r="Q425" s="42"/>
      <c r="R425" s="15"/>
      <c r="S425" s="44"/>
      <c r="T425" s="15"/>
      <c r="U425" s="44"/>
      <c r="V425" s="15">
        <f t="shared" si="33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4"/>
        <v>0</v>
      </c>
      <c r="AF425" s="15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5"/>
        <v>0</v>
      </c>
      <c r="BA425" s="15"/>
      <c r="BB425" s="44"/>
      <c r="BC425" s="15"/>
      <c r="BD425" s="44"/>
      <c r="BE425" s="15">
        <f t="shared" si="36"/>
        <v>0</v>
      </c>
    </row>
    <row r="426" spans="1:57">
      <c r="A426" s="9"/>
      <c r="B426" s="16" t="s">
        <v>641</v>
      </c>
      <c r="C426" s="89" t="s">
        <v>132</v>
      </c>
      <c r="D426" s="59" t="s">
        <v>644</v>
      </c>
      <c r="E426" s="13" t="s">
        <v>645</v>
      </c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2"/>
        <v>0</v>
      </c>
      <c r="P426" s="12"/>
      <c r="Q426" s="42"/>
      <c r="R426" s="15"/>
      <c r="S426" s="44"/>
      <c r="T426" s="15"/>
      <c r="U426" s="44"/>
      <c r="V426" s="15">
        <f t="shared" si="33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4"/>
        <v>0</v>
      </c>
      <c r="AF426" s="15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5"/>
        <v>0</v>
      </c>
      <c r="BA426" s="15"/>
      <c r="BB426" s="44"/>
      <c r="BC426" s="15"/>
      <c r="BD426" s="44"/>
      <c r="BE426" s="15">
        <f t="shared" si="36"/>
        <v>0</v>
      </c>
    </row>
    <row r="427" spans="1:57">
      <c r="A427" s="9"/>
      <c r="B427" s="16" t="s">
        <v>641</v>
      </c>
      <c r="C427" s="89" t="s">
        <v>132</v>
      </c>
      <c r="D427" s="86" t="s">
        <v>644</v>
      </c>
      <c r="E427" s="13" t="s">
        <v>646</v>
      </c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2"/>
        <v>0</v>
      </c>
      <c r="P427" s="12"/>
      <c r="Q427" s="42"/>
      <c r="R427" s="15"/>
      <c r="S427" s="44"/>
      <c r="T427" s="15"/>
      <c r="U427" s="44"/>
      <c r="V427" s="15">
        <f t="shared" si="33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4"/>
        <v>0</v>
      </c>
      <c r="AF427" s="15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5"/>
        <v>0</v>
      </c>
      <c r="BA427" s="15"/>
      <c r="BB427" s="44"/>
      <c r="BC427" s="15"/>
      <c r="BD427" s="44"/>
      <c r="BE427" s="15">
        <f t="shared" si="36"/>
        <v>0</v>
      </c>
    </row>
    <row r="428" spans="1:57">
      <c r="A428" s="9"/>
      <c r="B428" s="16" t="s">
        <v>641</v>
      </c>
      <c r="C428" s="89" t="s">
        <v>140</v>
      </c>
      <c r="D428" s="59" t="s">
        <v>644</v>
      </c>
      <c r="E428" s="13" t="s">
        <v>645</v>
      </c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2"/>
        <v>0</v>
      </c>
      <c r="P428" s="12"/>
      <c r="Q428" s="42"/>
      <c r="R428" s="15"/>
      <c r="S428" s="44"/>
      <c r="T428" s="15"/>
      <c r="U428" s="44"/>
      <c r="V428" s="15">
        <f t="shared" si="33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4"/>
        <v>0</v>
      </c>
      <c r="AF428" s="15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5"/>
        <v>0</v>
      </c>
      <c r="BA428" s="15"/>
      <c r="BB428" s="44"/>
      <c r="BC428" s="15"/>
      <c r="BD428" s="44"/>
      <c r="BE428" s="15">
        <f t="shared" si="36"/>
        <v>0</v>
      </c>
    </row>
    <row r="429" spans="1:57">
      <c r="A429" s="9"/>
      <c r="B429" s="16" t="s">
        <v>641</v>
      </c>
      <c r="C429" s="89" t="s">
        <v>140</v>
      </c>
      <c r="D429" s="59" t="s">
        <v>644</v>
      </c>
      <c r="E429" s="13" t="s">
        <v>647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2"/>
        <v>0</v>
      </c>
      <c r="P429" s="12"/>
      <c r="Q429" s="42"/>
      <c r="R429" s="15"/>
      <c r="S429" s="44"/>
      <c r="T429" s="15"/>
      <c r="U429" s="44"/>
      <c r="V429" s="15">
        <f t="shared" si="33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4"/>
        <v>0</v>
      </c>
      <c r="AF429" s="15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5"/>
        <v>0</v>
      </c>
      <c r="BA429" s="15"/>
      <c r="BB429" s="44"/>
      <c r="BC429" s="15"/>
      <c r="BD429" s="44"/>
      <c r="BE429" s="15">
        <f t="shared" si="36"/>
        <v>0</v>
      </c>
    </row>
    <row r="430" spans="1:57">
      <c r="A430" s="9"/>
      <c r="B430" s="16" t="s">
        <v>641</v>
      </c>
      <c r="C430" s="89" t="s">
        <v>48</v>
      </c>
      <c r="D430" s="56" t="s">
        <v>648</v>
      </c>
      <c r="E430" s="13" t="s">
        <v>649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2"/>
        <v>0</v>
      </c>
      <c r="P430" s="12"/>
      <c r="Q430" s="42"/>
      <c r="R430" s="15"/>
      <c r="S430" s="44"/>
      <c r="T430" s="15"/>
      <c r="U430" s="44"/>
      <c r="V430" s="15">
        <f t="shared" si="33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4"/>
        <v>0</v>
      </c>
      <c r="AF430" s="15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5"/>
        <v>0</v>
      </c>
      <c r="BA430" s="15"/>
      <c r="BB430" s="44"/>
      <c r="BC430" s="15"/>
      <c r="BD430" s="44"/>
      <c r="BE430" s="15">
        <f t="shared" si="36"/>
        <v>0</v>
      </c>
    </row>
    <row r="431" spans="1:57">
      <c r="A431" s="9"/>
      <c r="B431" s="16" t="s">
        <v>641</v>
      </c>
      <c r="C431" s="89" t="s">
        <v>48</v>
      </c>
      <c r="D431" s="56" t="s">
        <v>650</v>
      </c>
      <c r="E431" s="13" t="s">
        <v>649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2"/>
        <v>0</v>
      </c>
      <c r="P431" s="12"/>
      <c r="Q431" s="42"/>
      <c r="R431" s="15"/>
      <c r="S431" s="44"/>
      <c r="T431" s="15"/>
      <c r="U431" s="44"/>
      <c r="V431" s="15">
        <f t="shared" si="33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4"/>
        <v>0</v>
      </c>
      <c r="AF431" s="15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5"/>
        <v>0</v>
      </c>
      <c r="BA431" s="15"/>
      <c r="BB431" s="44"/>
      <c r="BC431" s="15"/>
      <c r="BD431" s="44"/>
      <c r="BE431" s="15">
        <f t="shared" si="36"/>
        <v>0</v>
      </c>
    </row>
    <row r="432" spans="1:57">
      <c r="A432" s="9"/>
      <c r="B432" s="16" t="s">
        <v>641</v>
      </c>
      <c r="C432" s="89" t="s">
        <v>48</v>
      </c>
      <c r="D432" s="56" t="s">
        <v>648</v>
      </c>
      <c r="E432" s="13" t="s">
        <v>651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2"/>
        <v>0</v>
      </c>
      <c r="P432" s="12"/>
      <c r="Q432" s="42"/>
      <c r="R432" s="15"/>
      <c r="S432" s="44"/>
      <c r="T432" s="15"/>
      <c r="U432" s="44"/>
      <c r="V432" s="15">
        <f t="shared" si="33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4"/>
        <v>0</v>
      </c>
      <c r="AF432" s="15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5"/>
        <v>0</v>
      </c>
      <c r="BA432" s="15"/>
      <c r="BB432" s="44"/>
      <c r="BC432" s="15"/>
      <c r="BD432" s="44"/>
      <c r="BE432" s="15">
        <f t="shared" si="36"/>
        <v>0</v>
      </c>
    </row>
    <row r="433" spans="1:57">
      <c r="A433" s="9"/>
      <c r="B433" s="16" t="s">
        <v>641</v>
      </c>
      <c r="C433" s="89" t="s">
        <v>48</v>
      </c>
      <c r="D433" s="56" t="s">
        <v>650</v>
      </c>
      <c r="E433" s="13" t="s">
        <v>651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2"/>
        <v>0</v>
      </c>
      <c r="P433" s="12"/>
      <c r="Q433" s="42"/>
      <c r="R433" s="15"/>
      <c r="S433" s="44"/>
      <c r="T433" s="15"/>
      <c r="U433" s="44"/>
      <c r="V433" s="15">
        <f t="shared" si="33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4"/>
        <v>0</v>
      </c>
      <c r="AF433" s="15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5"/>
        <v>0</v>
      </c>
      <c r="BA433" s="15"/>
      <c r="BB433" s="44"/>
      <c r="BC433" s="15"/>
      <c r="BD433" s="44"/>
      <c r="BE433" s="15">
        <f t="shared" si="36"/>
        <v>0</v>
      </c>
    </row>
    <row r="434" spans="1:57">
      <c r="A434" s="9"/>
      <c r="B434" s="16" t="s">
        <v>641</v>
      </c>
      <c r="C434" s="89" t="s">
        <v>652</v>
      </c>
      <c r="D434" s="61" t="s">
        <v>653</v>
      </c>
      <c r="E434" s="13"/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2"/>
        <v>0</v>
      </c>
      <c r="P434" s="12"/>
      <c r="Q434" s="42"/>
      <c r="R434" s="15"/>
      <c r="S434" s="44"/>
      <c r="T434" s="15"/>
      <c r="U434" s="44"/>
      <c r="V434" s="15">
        <f t="shared" si="33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4"/>
        <v>0</v>
      </c>
      <c r="AF434" s="15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5"/>
        <v>0</v>
      </c>
      <c r="BA434" s="15"/>
      <c r="BB434" s="44"/>
      <c r="BC434" s="15"/>
      <c r="BD434" s="44"/>
      <c r="BE434" s="15">
        <f t="shared" si="36"/>
        <v>0</v>
      </c>
    </row>
    <row r="435" spans="1:57">
      <c r="A435" s="9"/>
      <c r="B435" s="16" t="s">
        <v>641</v>
      </c>
      <c r="C435" s="89" t="s">
        <v>652</v>
      </c>
      <c r="D435" s="61" t="s">
        <v>654</v>
      </c>
      <c r="E435" s="13"/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2"/>
        <v>0</v>
      </c>
      <c r="P435" s="12"/>
      <c r="Q435" s="42"/>
      <c r="R435" s="15"/>
      <c r="S435" s="44"/>
      <c r="T435" s="15"/>
      <c r="U435" s="44"/>
      <c r="V435" s="15">
        <f t="shared" si="33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4"/>
        <v>0</v>
      </c>
      <c r="AF435" s="15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5"/>
        <v>0</v>
      </c>
      <c r="BA435" s="15"/>
      <c r="BB435" s="44"/>
      <c r="BC435" s="15"/>
      <c r="BD435" s="44"/>
      <c r="BE435" s="15">
        <f t="shared" si="36"/>
        <v>0</v>
      </c>
    </row>
    <row r="436" spans="1:57">
      <c r="A436" s="9"/>
      <c r="B436" s="16" t="s">
        <v>641</v>
      </c>
      <c r="C436" s="89" t="s">
        <v>652</v>
      </c>
      <c r="D436" s="61" t="s">
        <v>655</v>
      </c>
      <c r="E436" s="13"/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2"/>
        <v>0</v>
      </c>
      <c r="P436" s="12"/>
      <c r="Q436" s="42"/>
      <c r="R436" s="15"/>
      <c r="S436" s="44"/>
      <c r="T436" s="15"/>
      <c r="U436" s="44"/>
      <c r="V436" s="15">
        <f t="shared" si="33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4"/>
        <v>0</v>
      </c>
      <c r="AF436" s="15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5"/>
        <v>0</v>
      </c>
      <c r="BA436" s="15"/>
      <c r="BB436" s="44"/>
      <c r="BC436" s="15"/>
      <c r="BD436" s="44"/>
      <c r="BE436" s="15">
        <f t="shared" si="36"/>
        <v>0</v>
      </c>
    </row>
    <row r="437" spans="1:57">
      <c r="A437" s="9"/>
      <c r="B437" s="16" t="s">
        <v>641</v>
      </c>
      <c r="C437" s="89" t="s">
        <v>52</v>
      </c>
      <c r="D437" s="61" t="s">
        <v>656</v>
      </c>
      <c r="E437" s="13" t="s">
        <v>657</v>
      </c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2"/>
        <v>0</v>
      </c>
      <c r="P437" s="12"/>
      <c r="Q437" s="42"/>
      <c r="R437" s="15"/>
      <c r="S437" s="44"/>
      <c r="T437" s="15"/>
      <c r="U437" s="44"/>
      <c r="V437" s="15">
        <f t="shared" si="33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4"/>
        <v>0</v>
      </c>
      <c r="AF437" s="15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5"/>
        <v>0</v>
      </c>
      <c r="BA437" s="15"/>
      <c r="BB437" s="44"/>
      <c r="BC437" s="15"/>
      <c r="BD437" s="44"/>
      <c r="BE437" s="15">
        <f t="shared" si="36"/>
        <v>0</v>
      </c>
    </row>
    <row r="438" spans="1:57">
      <c r="A438" s="9"/>
      <c r="B438" s="16" t="s">
        <v>641</v>
      </c>
      <c r="C438" s="89" t="s">
        <v>52</v>
      </c>
      <c r="D438" s="61" t="s">
        <v>656</v>
      </c>
      <c r="E438" s="13" t="s">
        <v>658</v>
      </c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2"/>
        <v>0</v>
      </c>
      <c r="P438" s="12"/>
      <c r="Q438" s="42"/>
      <c r="R438" s="15"/>
      <c r="S438" s="44"/>
      <c r="T438" s="15"/>
      <c r="U438" s="44"/>
      <c r="V438" s="15">
        <f t="shared" si="33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4"/>
        <v>0</v>
      </c>
      <c r="AF438" s="15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5"/>
        <v>0</v>
      </c>
      <c r="BA438" s="15"/>
      <c r="BB438" s="44"/>
      <c r="BC438" s="15"/>
      <c r="BD438" s="44"/>
      <c r="BE438" s="15">
        <f t="shared" si="36"/>
        <v>0</v>
      </c>
    </row>
    <row r="439" spans="1:57">
      <c r="A439" s="9"/>
      <c r="B439" s="16" t="s">
        <v>641</v>
      </c>
      <c r="C439" s="89" t="s">
        <v>52</v>
      </c>
      <c r="D439" s="61" t="s">
        <v>656</v>
      </c>
      <c r="E439" s="13" t="s">
        <v>659</v>
      </c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2"/>
        <v>0</v>
      </c>
      <c r="P439" s="12"/>
      <c r="Q439" s="42"/>
      <c r="R439" s="15"/>
      <c r="S439" s="44"/>
      <c r="T439" s="15"/>
      <c r="U439" s="44"/>
      <c r="V439" s="15">
        <f t="shared" si="33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4"/>
        <v>0</v>
      </c>
      <c r="AF439" s="15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5"/>
        <v>0</v>
      </c>
      <c r="BA439" s="15"/>
      <c r="BB439" s="44"/>
      <c r="BC439" s="15"/>
      <c r="BD439" s="44"/>
      <c r="BE439" s="15">
        <f t="shared" si="36"/>
        <v>0</v>
      </c>
    </row>
    <row r="440" spans="1:57">
      <c r="A440" s="9"/>
      <c r="B440" s="16" t="s">
        <v>641</v>
      </c>
      <c r="C440" s="89" t="s">
        <v>151</v>
      </c>
      <c r="D440" s="61" t="s">
        <v>660</v>
      </c>
      <c r="E440" s="13" t="s">
        <v>1836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2"/>
        <v>0</v>
      </c>
      <c r="P440" s="12"/>
      <c r="Q440" s="42"/>
      <c r="R440" s="15"/>
      <c r="S440" s="44"/>
      <c r="T440" s="15"/>
      <c r="U440" s="44"/>
      <c r="V440" s="15">
        <f t="shared" si="33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4"/>
        <v>0</v>
      </c>
      <c r="AF440" s="15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5"/>
        <v>0</v>
      </c>
      <c r="BA440" s="15"/>
      <c r="BB440" s="44"/>
      <c r="BC440" s="15"/>
      <c r="BD440" s="44"/>
      <c r="BE440" s="15">
        <f t="shared" si="36"/>
        <v>0</v>
      </c>
    </row>
    <row r="441" spans="1:57">
      <c r="A441" s="9"/>
      <c r="B441" s="16" t="s">
        <v>641</v>
      </c>
      <c r="C441" s="89" t="s">
        <v>151</v>
      </c>
      <c r="D441" s="56" t="s">
        <v>662</v>
      </c>
      <c r="E441" s="13" t="s">
        <v>663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2"/>
        <v>0</v>
      </c>
      <c r="P441" s="12"/>
      <c r="Q441" s="42"/>
      <c r="R441" s="15"/>
      <c r="S441" s="44"/>
      <c r="T441" s="15"/>
      <c r="U441" s="44"/>
      <c r="V441" s="15">
        <f t="shared" si="33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4"/>
        <v>0</v>
      </c>
      <c r="AF441" s="15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5"/>
        <v>0</v>
      </c>
      <c r="BA441" s="15"/>
      <c r="BB441" s="44"/>
      <c r="BC441" s="15"/>
      <c r="BD441" s="44"/>
      <c r="BE441" s="15">
        <f t="shared" si="36"/>
        <v>0</v>
      </c>
    </row>
    <row r="442" spans="1:57">
      <c r="A442" s="9"/>
      <c r="B442" s="16" t="s">
        <v>641</v>
      </c>
      <c r="C442" s="89" t="s">
        <v>151</v>
      </c>
      <c r="D442" s="56" t="s">
        <v>664</v>
      </c>
      <c r="E442" s="13" t="s">
        <v>665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2"/>
        <v>0</v>
      </c>
      <c r="P442" s="12"/>
      <c r="Q442" s="42"/>
      <c r="R442" s="15"/>
      <c r="S442" s="44"/>
      <c r="T442" s="15"/>
      <c r="U442" s="44"/>
      <c r="V442" s="15">
        <f t="shared" si="33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4"/>
        <v>0</v>
      </c>
      <c r="AF442" s="15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5"/>
        <v>0</v>
      </c>
      <c r="BA442" s="15"/>
      <c r="BB442" s="44"/>
      <c r="BC442" s="15"/>
      <c r="BD442" s="44"/>
      <c r="BE442" s="15">
        <f t="shared" si="36"/>
        <v>0</v>
      </c>
    </row>
    <row r="443" spans="1:57">
      <c r="A443" s="9"/>
      <c r="B443" s="16" t="s">
        <v>666</v>
      </c>
      <c r="C443" s="89" t="s">
        <v>151</v>
      </c>
      <c r="D443" s="56" t="s">
        <v>667</v>
      </c>
      <c r="E443" s="13" t="s">
        <v>668</v>
      </c>
      <c r="F443" s="95"/>
      <c r="G443" s="9"/>
      <c r="H443" s="9" t="s">
        <v>669</v>
      </c>
      <c r="I443" s="14"/>
      <c r="J443" s="14"/>
      <c r="K443" s="12">
        <v>0</v>
      </c>
      <c r="L443" s="9"/>
      <c r="M443" s="9"/>
      <c r="N443" s="9"/>
      <c r="O443" s="38">
        <f t="shared" si="32"/>
        <v>0</v>
      </c>
      <c r="P443" s="12"/>
      <c r="Q443" s="42"/>
      <c r="R443" s="15"/>
      <c r="S443" s="44"/>
      <c r="T443" s="15"/>
      <c r="U443" s="44"/>
      <c r="V443" s="15">
        <f t="shared" si="33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4"/>
        <v>0</v>
      </c>
      <c r="AF443" s="15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5"/>
        <v>0</v>
      </c>
      <c r="BA443" s="15"/>
      <c r="BB443" s="44"/>
      <c r="BC443" s="15"/>
      <c r="BD443" s="44"/>
      <c r="BE443" s="15">
        <f t="shared" si="36"/>
        <v>0</v>
      </c>
    </row>
    <row r="444" spans="1:57">
      <c r="A444" s="9"/>
      <c r="B444" s="16" t="s">
        <v>666</v>
      </c>
      <c r="C444" s="89" t="s">
        <v>151</v>
      </c>
      <c r="D444" s="56" t="s">
        <v>670</v>
      </c>
      <c r="E444" s="13" t="s">
        <v>671</v>
      </c>
      <c r="F444" s="95"/>
      <c r="G444" s="9"/>
      <c r="H444" s="9" t="s">
        <v>669</v>
      </c>
      <c r="I444" s="14"/>
      <c r="J444" s="14"/>
      <c r="K444" s="12">
        <v>0</v>
      </c>
      <c r="L444" s="9"/>
      <c r="M444" s="9"/>
      <c r="N444" s="9"/>
      <c r="O444" s="38">
        <f t="shared" si="32"/>
        <v>0</v>
      </c>
      <c r="P444" s="12"/>
      <c r="Q444" s="42"/>
      <c r="R444" s="15"/>
      <c r="S444" s="44"/>
      <c r="T444" s="15"/>
      <c r="U444" s="44"/>
      <c r="V444" s="15">
        <f t="shared" si="33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4"/>
        <v>0</v>
      </c>
      <c r="AF444" s="15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5"/>
        <v>0</v>
      </c>
      <c r="BA444" s="15"/>
      <c r="BB444" s="44"/>
      <c r="BC444" s="15"/>
      <c r="BD444" s="44"/>
      <c r="BE444" s="15">
        <f t="shared" si="36"/>
        <v>0</v>
      </c>
    </row>
    <row r="445" spans="1:57">
      <c r="A445" s="9"/>
      <c r="B445" s="16" t="s">
        <v>666</v>
      </c>
      <c r="C445" s="89" t="s">
        <v>151</v>
      </c>
      <c r="D445" s="56" t="s">
        <v>672</v>
      </c>
      <c r="E445" s="13" t="s">
        <v>673</v>
      </c>
      <c r="F445" s="95"/>
      <c r="G445" s="9"/>
      <c r="H445" s="9" t="s">
        <v>669</v>
      </c>
      <c r="I445" s="14"/>
      <c r="J445" s="14"/>
      <c r="K445" s="12">
        <v>0</v>
      </c>
      <c r="L445" s="9"/>
      <c r="M445" s="9"/>
      <c r="N445" s="9"/>
      <c r="O445" s="38">
        <f t="shared" si="32"/>
        <v>0</v>
      </c>
      <c r="P445" s="12"/>
      <c r="Q445" s="42"/>
      <c r="R445" s="15"/>
      <c r="S445" s="44"/>
      <c r="T445" s="15"/>
      <c r="U445" s="44"/>
      <c r="V445" s="15">
        <f t="shared" si="33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4"/>
        <v>0</v>
      </c>
      <c r="AF445" s="15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5"/>
        <v>0</v>
      </c>
      <c r="BA445" s="15"/>
      <c r="BB445" s="44"/>
      <c r="BC445" s="15"/>
      <c r="BD445" s="44"/>
      <c r="BE445" s="15">
        <f t="shared" si="36"/>
        <v>0</v>
      </c>
    </row>
    <row r="446" spans="1:57" ht="24" customHeight="1">
      <c r="A446" s="9"/>
      <c r="B446" s="16" t="s">
        <v>674</v>
      </c>
      <c r="C446" s="89" t="s">
        <v>44</v>
      </c>
      <c r="D446" s="56" t="s">
        <v>675</v>
      </c>
      <c r="E446" s="13" t="s">
        <v>676</v>
      </c>
      <c r="F446" s="95"/>
      <c r="G446" s="9"/>
      <c r="H446" s="9" t="s">
        <v>677</v>
      </c>
      <c r="I446" s="14"/>
      <c r="J446" s="14"/>
      <c r="K446" s="12">
        <v>0</v>
      </c>
      <c r="L446" s="9"/>
      <c r="M446" s="9"/>
      <c r="N446" s="9"/>
      <c r="O446" s="38">
        <f t="shared" si="32"/>
        <v>0</v>
      </c>
      <c r="P446" s="12"/>
      <c r="Q446" s="42"/>
      <c r="R446" s="15"/>
      <c r="S446" s="44"/>
      <c r="T446" s="15"/>
      <c r="U446" s="44"/>
      <c r="V446" s="15">
        <f t="shared" si="33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4"/>
        <v>0</v>
      </c>
      <c r="AF446" s="15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5"/>
        <v>0</v>
      </c>
      <c r="BA446" s="15"/>
      <c r="BB446" s="44"/>
      <c r="BC446" s="15"/>
      <c r="BD446" s="44"/>
      <c r="BE446" s="15">
        <f t="shared" si="36"/>
        <v>0</v>
      </c>
    </row>
    <row r="447" spans="1:57" ht="24" customHeight="1">
      <c r="A447" s="9"/>
      <c r="B447" s="16" t="s">
        <v>674</v>
      </c>
      <c r="C447" s="89" t="s">
        <v>44</v>
      </c>
      <c r="D447" s="59" t="s">
        <v>678</v>
      </c>
      <c r="E447" s="13" t="s">
        <v>679</v>
      </c>
      <c r="F447" s="95"/>
      <c r="G447" s="9"/>
      <c r="H447" s="9" t="s">
        <v>677</v>
      </c>
      <c r="I447" s="14"/>
      <c r="J447" s="14"/>
      <c r="K447" s="12">
        <v>0</v>
      </c>
      <c r="L447" s="9"/>
      <c r="M447" s="9"/>
      <c r="N447" s="9"/>
      <c r="O447" s="38">
        <f t="shared" si="32"/>
        <v>0</v>
      </c>
      <c r="P447" s="12"/>
      <c r="Q447" s="42"/>
      <c r="R447" s="15"/>
      <c r="S447" s="44"/>
      <c r="T447" s="15"/>
      <c r="U447" s="44"/>
      <c r="V447" s="15">
        <f t="shared" si="33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4"/>
        <v>0</v>
      </c>
      <c r="AF447" s="15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5"/>
        <v>0</v>
      </c>
      <c r="BA447" s="15"/>
      <c r="BB447" s="44"/>
      <c r="BC447" s="15"/>
      <c r="BD447" s="44"/>
      <c r="BE447" s="15">
        <f t="shared" si="36"/>
        <v>0</v>
      </c>
    </row>
    <row r="448" spans="1:57">
      <c r="A448" s="9"/>
      <c r="B448" s="16" t="s">
        <v>674</v>
      </c>
      <c r="C448" s="89" t="s">
        <v>48</v>
      </c>
      <c r="D448" s="56" t="s">
        <v>675</v>
      </c>
      <c r="E448" s="13" t="s">
        <v>680</v>
      </c>
      <c r="F448" s="95"/>
      <c r="G448" s="9"/>
      <c r="H448" s="9" t="s">
        <v>677</v>
      </c>
      <c r="I448" s="14"/>
      <c r="J448" s="14"/>
      <c r="K448" s="12">
        <v>0</v>
      </c>
      <c r="L448" s="9"/>
      <c r="M448" s="9"/>
      <c r="N448" s="9"/>
      <c r="O448" s="38">
        <f t="shared" si="32"/>
        <v>0</v>
      </c>
      <c r="P448" s="12"/>
      <c r="Q448" s="42"/>
      <c r="R448" s="15"/>
      <c r="S448" s="44"/>
      <c r="T448" s="15"/>
      <c r="U448" s="44"/>
      <c r="V448" s="15">
        <f t="shared" si="33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4"/>
        <v>0</v>
      </c>
      <c r="AF448" s="15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5"/>
        <v>0</v>
      </c>
      <c r="BA448" s="15"/>
      <c r="BB448" s="44"/>
      <c r="BC448" s="15"/>
      <c r="BD448" s="44"/>
      <c r="BE448" s="15">
        <f t="shared" si="36"/>
        <v>0</v>
      </c>
    </row>
    <row r="449" spans="1:57">
      <c r="A449" s="9"/>
      <c r="B449" s="16" t="s">
        <v>674</v>
      </c>
      <c r="C449" s="89" t="s">
        <v>48</v>
      </c>
      <c r="D449" s="59" t="s">
        <v>678</v>
      </c>
      <c r="E449" s="13" t="s">
        <v>681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2"/>
        <v>0</v>
      </c>
      <c r="P449" s="12"/>
      <c r="Q449" s="42"/>
      <c r="R449" s="15"/>
      <c r="S449" s="44"/>
      <c r="T449" s="15"/>
      <c r="U449" s="44"/>
      <c r="V449" s="15">
        <f t="shared" si="33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4"/>
        <v>0</v>
      </c>
      <c r="AF449" s="15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5"/>
        <v>0</v>
      </c>
      <c r="BA449" s="15"/>
      <c r="BB449" s="44"/>
      <c r="BC449" s="15"/>
      <c r="BD449" s="44"/>
      <c r="BE449" s="15">
        <f t="shared" si="36"/>
        <v>0</v>
      </c>
    </row>
    <row r="450" spans="1:57">
      <c r="A450" s="9"/>
      <c r="B450" s="16" t="s">
        <v>674</v>
      </c>
      <c r="C450" s="89" t="s">
        <v>50</v>
      </c>
      <c r="D450" s="59" t="s">
        <v>682</v>
      </c>
      <c r="E450" s="13" t="s">
        <v>683</v>
      </c>
      <c r="F450" s="95"/>
      <c r="G450" s="9"/>
      <c r="H450" s="9" t="s">
        <v>684</v>
      </c>
      <c r="I450" s="14"/>
      <c r="J450" s="14"/>
      <c r="K450" s="12">
        <v>0</v>
      </c>
      <c r="L450" s="9"/>
      <c r="M450" s="9"/>
      <c r="N450" s="9"/>
      <c r="O450" s="38">
        <f t="shared" ref="O450:O513" si="37">K450+V450-AE450-AZ450</f>
        <v>0</v>
      </c>
      <c r="P450" s="12"/>
      <c r="Q450" s="42"/>
      <c r="R450" s="15"/>
      <c r="S450" s="44"/>
      <c r="T450" s="15"/>
      <c r="U450" s="44"/>
      <c r="V450" s="15">
        <f t="shared" ref="V450:V513" si="38">P450+R450+T450</f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ref="AE450:AE513" si="39">(W450+Y450+AA450+AC450)</f>
        <v>0</v>
      </c>
      <c r="AF450" s="15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5"/>
        <v>0</v>
      </c>
      <c r="BA450" s="15"/>
      <c r="BB450" s="44"/>
      <c r="BC450" s="15"/>
      <c r="BD450" s="44"/>
      <c r="BE450" s="15">
        <f t="shared" si="36"/>
        <v>0</v>
      </c>
    </row>
    <row r="451" spans="1:57">
      <c r="A451" s="9"/>
      <c r="B451" s="16" t="s">
        <v>674</v>
      </c>
      <c r="C451" s="89" t="s">
        <v>50</v>
      </c>
      <c r="D451" s="56" t="s">
        <v>685</v>
      </c>
      <c r="E451" s="13" t="s">
        <v>686</v>
      </c>
      <c r="F451" s="95"/>
      <c r="G451" s="9"/>
      <c r="H451" s="9" t="s">
        <v>684</v>
      </c>
      <c r="I451" s="14"/>
      <c r="J451" s="14"/>
      <c r="K451" s="12">
        <v>0</v>
      </c>
      <c r="L451" s="9"/>
      <c r="M451" s="9"/>
      <c r="N451" s="9"/>
      <c r="O451" s="38">
        <f t="shared" si="37"/>
        <v>0</v>
      </c>
      <c r="P451" s="12"/>
      <c r="Q451" s="42"/>
      <c r="R451" s="15"/>
      <c r="S451" s="44"/>
      <c r="T451" s="15"/>
      <c r="U451" s="44"/>
      <c r="V451" s="15">
        <f t="shared" si="38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9"/>
        <v>0</v>
      </c>
      <c r="AF451" s="15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ref="AZ451:AZ514" si="40">AF451+AH451+AJ451+AL451+AN451+AP451+AR451+AT451+AV451+AX451</f>
        <v>0</v>
      </c>
      <c r="BA451" s="15"/>
      <c r="BB451" s="44"/>
      <c r="BC451" s="15"/>
      <c r="BD451" s="44"/>
      <c r="BE451" s="15">
        <f t="shared" si="36"/>
        <v>0</v>
      </c>
    </row>
    <row r="452" spans="1:57">
      <c r="A452" s="9"/>
      <c r="B452" s="16" t="s">
        <v>674</v>
      </c>
      <c r="C452" s="89" t="s">
        <v>52</v>
      </c>
      <c r="D452" s="56" t="s">
        <v>675</v>
      </c>
      <c r="E452" s="13"/>
      <c r="F452" s="95"/>
      <c r="G452" s="9"/>
      <c r="H452" s="9" t="s">
        <v>687</v>
      </c>
      <c r="I452" s="14"/>
      <c r="J452" s="14"/>
      <c r="K452" s="12">
        <v>0</v>
      </c>
      <c r="L452" s="9"/>
      <c r="M452" s="9"/>
      <c r="N452" s="9"/>
      <c r="O452" s="38">
        <f t="shared" si="37"/>
        <v>0</v>
      </c>
      <c r="P452" s="12"/>
      <c r="Q452" s="42"/>
      <c r="R452" s="15"/>
      <c r="S452" s="44"/>
      <c r="T452" s="15"/>
      <c r="U452" s="44"/>
      <c r="V452" s="15">
        <f t="shared" si="38"/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si="39"/>
        <v>0</v>
      </c>
      <c r="AF452" s="15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40"/>
        <v>0</v>
      </c>
      <c r="BA452" s="15"/>
      <c r="BB452" s="44"/>
      <c r="BC452" s="15"/>
      <c r="BD452" s="44"/>
      <c r="BE452" s="15">
        <f t="shared" si="36"/>
        <v>0</v>
      </c>
    </row>
    <row r="453" spans="1:57">
      <c r="A453" s="9"/>
      <c r="B453" s="16" t="s">
        <v>674</v>
      </c>
      <c r="C453" s="89" t="s">
        <v>494</v>
      </c>
      <c r="D453" s="56" t="s">
        <v>675</v>
      </c>
      <c r="E453" s="13"/>
      <c r="F453" s="95"/>
      <c r="G453" s="9"/>
      <c r="H453" s="9" t="s">
        <v>687</v>
      </c>
      <c r="I453" s="14"/>
      <c r="J453" s="14"/>
      <c r="K453" s="12">
        <v>0</v>
      </c>
      <c r="L453" s="9"/>
      <c r="M453" s="9"/>
      <c r="N453" s="9"/>
      <c r="O453" s="38">
        <f t="shared" si="37"/>
        <v>0</v>
      </c>
      <c r="P453" s="12"/>
      <c r="Q453" s="42"/>
      <c r="R453" s="15"/>
      <c r="S453" s="44"/>
      <c r="T453" s="15"/>
      <c r="U453" s="44"/>
      <c r="V453" s="15">
        <f t="shared" si="38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39"/>
        <v>0</v>
      </c>
      <c r="AF453" s="15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40"/>
        <v>0</v>
      </c>
      <c r="BA453" s="15"/>
      <c r="BB453" s="44"/>
      <c r="BC453" s="15"/>
      <c r="BD453" s="44"/>
      <c r="BE453" s="15">
        <f t="shared" si="36"/>
        <v>0</v>
      </c>
    </row>
    <row r="454" spans="1:57">
      <c r="A454" s="9"/>
      <c r="B454" s="16" t="s">
        <v>674</v>
      </c>
      <c r="C454" s="89" t="s">
        <v>494</v>
      </c>
      <c r="D454" s="59" t="s">
        <v>688</v>
      </c>
      <c r="E454" s="13"/>
      <c r="F454" s="95"/>
      <c r="G454" s="9"/>
      <c r="H454" s="9" t="s">
        <v>687</v>
      </c>
      <c r="I454" s="14"/>
      <c r="J454" s="14"/>
      <c r="K454" s="12">
        <v>0</v>
      </c>
      <c r="L454" s="9"/>
      <c r="M454" s="9"/>
      <c r="N454" s="9"/>
      <c r="O454" s="38">
        <f t="shared" si="37"/>
        <v>0</v>
      </c>
      <c r="P454" s="12"/>
      <c r="Q454" s="42"/>
      <c r="R454" s="15"/>
      <c r="S454" s="44"/>
      <c r="T454" s="15"/>
      <c r="U454" s="44"/>
      <c r="V454" s="15">
        <f t="shared" si="38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39"/>
        <v>0</v>
      </c>
      <c r="AF454" s="15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40"/>
        <v>0</v>
      </c>
      <c r="BA454" s="15"/>
      <c r="BB454" s="44"/>
      <c r="BC454" s="15"/>
      <c r="BD454" s="44"/>
      <c r="BE454" s="15">
        <f t="shared" si="36"/>
        <v>0</v>
      </c>
    </row>
    <row r="455" spans="1:57">
      <c r="A455" s="9"/>
      <c r="B455" s="16" t="s">
        <v>674</v>
      </c>
      <c r="C455" s="89" t="s">
        <v>151</v>
      </c>
      <c r="D455" s="59" t="s">
        <v>689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7"/>
        <v>0</v>
      </c>
      <c r="P455" s="12"/>
      <c r="Q455" s="42"/>
      <c r="R455" s="15"/>
      <c r="S455" s="44"/>
      <c r="T455" s="15"/>
      <c r="U455" s="44"/>
      <c r="V455" s="15">
        <f t="shared" si="38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39"/>
        <v>0</v>
      </c>
      <c r="AF455" s="15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40"/>
        <v>0</v>
      </c>
      <c r="BA455" s="15"/>
      <c r="BB455" s="44"/>
      <c r="BC455" s="15"/>
      <c r="BD455" s="44"/>
      <c r="BE455" s="15">
        <f t="shared" si="36"/>
        <v>0</v>
      </c>
    </row>
    <row r="456" spans="1:57">
      <c r="A456" s="9"/>
      <c r="B456" s="16" t="s">
        <v>674</v>
      </c>
      <c r="C456" s="89" t="s">
        <v>151</v>
      </c>
      <c r="D456" s="59" t="s">
        <v>690</v>
      </c>
      <c r="E456" s="13" t="s">
        <v>691</v>
      </c>
      <c r="F456" s="95"/>
      <c r="G456" s="9"/>
      <c r="H456" s="9" t="s">
        <v>692</v>
      </c>
      <c r="I456" s="14"/>
      <c r="J456" s="14"/>
      <c r="K456" s="12">
        <v>0</v>
      </c>
      <c r="L456" s="9"/>
      <c r="M456" s="9"/>
      <c r="N456" s="9"/>
      <c r="O456" s="38">
        <f t="shared" si="37"/>
        <v>0</v>
      </c>
      <c r="P456" s="12"/>
      <c r="Q456" s="42"/>
      <c r="R456" s="15"/>
      <c r="S456" s="44"/>
      <c r="T456" s="15"/>
      <c r="U456" s="44"/>
      <c r="V456" s="15">
        <f t="shared" si="38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39"/>
        <v>0</v>
      </c>
      <c r="AF456" s="15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40"/>
        <v>0</v>
      </c>
      <c r="BA456" s="15"/>
      <c r="BB456" s="44"/>
      <c r="BC456" s="15"/>
      <c r="BD456" s="44"/>
      <c r="BE456" s="15">
        <f t="shared" si="36"/>
        <v>0</v>
      </c>
    </row>
    <row r="457" spans="1:57">
      <c r="A457" s="9"/>
      <c r="B457" s="16" t="s">
        <v>674</v>
      </c>
      <c r="C457" s="89" t="s">
        <v>151</v>
      </c>
      <c r="D457" s="59" t="s">
        <v>693</v>
      </c>
      <c r="E457" s="13" t="s">
        <v>694</v>
      </c>
      <c r="F457" s="95"/>
      <c r="G457" s="9"/>
      <c r="H457" s="9" t="s">
        <v>692</v>
      </c>
      <c r="I457" s="14"/>
      <c r="J457" s="14"/>
      <c r="K457" s="12">
        <v>0</v>
      </c>
      <c r="L457" s="9"/>
      <c r="M457" s="9"/>
      <c r="N457" s="9"/>
      <c r="O457" s="38">
        <f t="shared" si="37"/>
        <v>0</v>
      </c>
      <c r="P457" s="12"/>
      <c r="Q457" s="42"/>
      <c r="R457" s="15"/>
      <c r="S457" s="44"/>
      <c r="T457" s="15"/>
      <c r="U457" s="44"/>
      <c r="V457" s="15">
        <f t="shared" si="38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39"/>
        <v>0</v>
      </c>
      <c r="AF457" s="15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40"/>
        <v>0</v>
      </c>
      <c r="BA457" s="15"/>
      <c r="BB457" s="44"/>
      <c r="BC457" s="15"/>
      <c r="BD457" s="44"/>
      <c r="BE457" s="15">
        <f t="shared" si="36"/>
        <v>0</v>
      </c>
    </row>
    <row r="458" spans="1:57">
      <c r="A458" s="9"/>
      <c r="B458" s="16" t="s">
        <v>674</v>
      </c>
      <c r="C458" s="89" t="s">
        <v>151</v>
      </c>
      <c r="D458" s="59" t="s">
        <v>695</v>
      </c>
      <c r="E458" s="13" t="s">
        <v>696</v>
      </c>
      <c r="F458" s="95"/>
      <c r="G458" s="9"/>
      <c r="H458" s="9" t="s">
        <v>692</v>
      </c>
      <c r="I458" s="14"/>
      <c r="J458" s="14"/>
      <c r="K458" s="12">
        <v>0</v>
      </c>
      <c r="L458" s="9"/>
      <c r="M458" s="9"/>
      <c r="N458" s="9"/>
      <c r="O458" s="38">
        <f t="shared" si="37"/>
        <v>0</v>
      </c>
      <c r="P458" s="12"/>
      <c r="Q458" s="42"/>
      <c r="R458" s="15"/>
      <c r="S458" s="44"/>
      <c r="T458" s="15"/>
      <c r="U458" s="44"/>
      <c r="V458" s="15">
        <f t="shared" si="38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39"/>
        <v>0</v>
      </c>
      <c r="AF458" s="15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40"/>
        <v>0</v>
      </c>
      <c r="BA458" s="15"/>
      <c r="BB458" s="44"/>
      <c r="BC458" s="15"/>
      <c r="BD458" s="44"/>
      <c r="BE458" s="15">
        <f t="shared" si="36"/>
        <v>0</v>
      </c>
    </row>
    <row r="459" spans="1:57">
      <c r="A459" s="9"/>
      <c r="B459" s="16" t="s">
        <v>674</v>
      </c>
      <c r="C459" s="89" t="s">
        <v>151</v>
      </c>
      <c r="D459" s="59" t="s">
        <v>697</v>
      </c>
      <c r="E459" s="13" t="s">
        <v>698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7"/>
        <v>0</v>
      </c>
      <c r="P459" s="12"/>
      <c r="Q459" s="42"/>
      <c r="R459" s="15"/>
      <c r="S459" s="44"/>
      <c r="T459" s="15"/>
      <c r="U459" s="44"/>
      <c r="V459" s="15">
        <f t="shared" si="38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39"/>
        <v>0</v>
      </c>
      <c r="AF459" s="15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40"/>
        <v>0</v>
      </c>
      <c r="BA459" s="15"/>
      <c r="BB459" s="44"/>
      <c r="BC459" s="15"/>
      <c r="BD459" s="44"/>
      <c r="BE459" s="15">
        <f t="shared" si="36"/>
        <v>0</v>
      </c>
    </row>
    <row r="460" spans="1:57">
      <c r="A460" s="9"/>
      <c r="B460" s="16" t="s">
        <v>674</v>
      </c>
      <c r="C460" s="89" t="s">
        <v>151</v>
      </c>
      <c r="D460" s="59" t="s">
        <v>699</v>
      </c>
      <c r="E460" s="13"/>
      <c r="F460" s="95"/>
      <c r="G460" s="9"/>
      <c r="H460" s="9" t="s">
        <v>687</v>
      </c>
      <c r="I460" s="14"/>
      <c r="J460" s="14"/>
      <c r="K460" s="12">
        <v>0</v>
      </c>
      <c r="L460" s="9"/>
      <c r="M460" s="9"/>
      <c r="N460" s="9"/>
      <c r="O460" s="38">
        <f t="shared" si="37"/>
        <v>0</v>
      </c>
      <c r="P460" s="12"/>
      <c r="Q460" s="42"/>
      <c r="R460" s="15"/>
      <c r="S460" s="44"/>
      <c r="T460" s="15"/>
      <c r="U460" s="44"/>
      <c r="V460" s="15">
        <f t="shared" si="38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39"/>
        <v>0</v>
      </c>
      <c r="AF460" s="15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40"/>
        <v>0</v>
      </c>
      <c r="BA460" s="15"/>
      <c r="BB460" s="44"/>
      <c r="BC460" s="15"/>
      <c r="BD460" s="44"/>
      <c r="BE460" s="15">
        <f t="shared" si="36"/>
        <v>0</v>
      </c>
    </row>
    <row r="461" spans="1:57">
      <c r="A461" s="9"/>
      <c r="B461" s="16" t="s">
        <v>674</v>
      </c>
      <c r="C461" s="89" t="s">
        <v>151</v>
      </c>
      <c r="D461" s="59" t="s">
        <v>700</v>
      </c>
      <c r="E461" s="13"/>
      <c r="F461" s="95"/>
      <c r="G461" s="9"/>
      <c r="H461" s="9" t="s">
        <v>687</v>
      </c>
      <c r="I461" s="14"/>
      <c r="J461" s="14"/>
      <c r="K461" s="12">
        <v>0</v>
      </c>
      <c r="L461" s="9"/>
      <c r="M461" s="9"/>
      <c r="N461" s="9"/>
      <c r="O461" s="38">
        <f t="shared" si="37"/>
        <v>0</v>
      </c>
      <c r="P461" s="12"/>
      <c r="Q461" s="42"/>
      <c r="R461" s="15"/>
      <c r="S461" s="44"/>
      <c r="T461" s="15"/>
      <c r="U461" s="44"/>
      <c r="V461" s="15">
        <f t="shared" si="38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39"/>
        <v>0</v>
      </c>
      <c r="AF461" s="15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40"/>
        <v>0</v>
      </c>
      <c r="BA461" s="15"/>
      <c r="BB461" s="44"/>
      <c r="BC461" s="15"/>
      <c r="BD461" s="44"/>
      <c r="BE461" s="15">
        <f t="shared" si="36"/>
        <v>0</v>
      </c>
    </row>
    <row r="462" spans="1:57">
      <c r="A462" s="9"/>
      <c r="B462" s="16" t="s">
        <v>674</v>
      </c>
      <c r="C462" s="89" t="s">
        <v>151</v>
      </c>
      <c r="D462" s="59" t="s">
        <v>701</v>
      </c>
      <c r="E462" s="13"/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7"/>
        <v>0</v>
      </c>
      <c r="P462" s="12"/>
      <c r="Q462" s="42"/>
      <c r="R462" s="15"/>
      <c r="S462" s="44"/>
      <c r="T462" s="15"/>
      <c r="U462" s="44"/>
      <c r="V462" s="15">
        <f t="shared" si="38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39"/>
        <v>0</v>
      </c>
      <c r="AF462" s="15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40"/>
        <v>0</v>
      </c>
      <c r="BA462" s="15"/>
      <c r="BB462" s="44"/>
      <c r="BC462" s="15"/>
      <c r="BD462" s="44"/>
      <c r="BE462" s="15">
        <f t="shared" si="36"/>
        <v>0</v>
      </c>
    </row>
    <row r="463" spans="1:57">
      <c r="A463" s="9"/>
      <c r="B463" s="16" t="s">
        <v>674</v>
      </c>
      <c r="C463" s="89" t="s">
        <v>151</v>
      </c>
      <c r="D463" s="59" t="s">
        <v>702</v>
      </c>
      <c r="E463" s="13" t="s">
        <v>703</v>
      </c>
      <c r="F463" s="95"/>
      <c r="G463" s="9"/>
      <c r="H463" s="9" t="s">
        <v>684</v>
      </c>
      <c r="I463" s="14"/>
      <c r="J463" s="14"/>
      <c r="K463" s="12">
        <v>0</v>
      </c>
      <c r="L463" s="9"/>
      <c r="M463" s="9"/>
      <c r="N463" s="9"/>
      <c r="O463" s="38">
        <f t="shared" si="37"/>
        <v>0</v>
      </c>
      <c r="P463" s="12"/>
      <c r="Q463" s="42"/>
      <c r="R463" s="15"/>
      <c r="S463" s="44"/>
      <c r="T463" s="15"/>
      <c r="U463" s="44"/>
      <c r="V463" s="15">
        <f t="shared" si="38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39"/>
        <v>0</v>
      </c>
      <c r="AF463" s="15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40"/>
        <v>0</v>
      </c>
      <c r="BA463" s="15"/>
      <c r="BB463" s="44"/>
      <c r="BC463" s="15"/>
      <c r="BD463" s="44"/>
      <c r="BE463" s="15">
        <f t="shared" si="36"/>
        <v>0</v>
      </c>
    </row>
    <row r="464" spans="1:57">
      <c r="A464" s="9"/>
      <c r="B464" s="16" t="s">
        <v>704</v>
      </c>
      <c r="C464" s="89" t="s">
        <v>52</v>
      </c>
      <c r="D464" s="56" t="s">
        <v>705</v>
      </c>
      <c r="E464" s="13" t="s">
        <v>706</v>
      </c>
      <c r="F464" s="95"/>
      <c r="G464" s="9"/>
      <c r="H464" s="9" t="s">
        <v>247</v>
      </c>
      <c r="I464" s="14"/>
      <c r="J464" s="14"/>
      <c r="K464" s="12">
        <v>0</v>
      </c>
      <c r="L464" s="9"/>
      <c r="M464" s="9"/>
      <c r="N464" s="9"/>
      <c r="O464" s="38">
        <f t="shared" si="37"/>
        <v>0</v>
      </c>
      <c r="P464" s="12"/>
      <c r="Q464" s="42"/>
      <c r="R464" s="15"/>
      <c r="S464" s="44"/>
      <c r="T464" s="15"/>
      <c r="U464" s="44"/>
      <c r="V464" s="15">
        <f t="shared" si="38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39"/>
        <v>0</v>
      </c>
      <c r="AF464" s="15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40"/>
        <v>0</v>
      </c>
      <c r="BA464" s="15"/>
      <c r="BB464" s="44"/>
      <c r="BC464" s="15"/>
      <c r="BD464" s="44"/>
      <c r="BE464" s="15">
        <f t="shared" si="36"/>
        <v>0</v>
      </c>
    </row>
    <row r="465" spans="1:57">
      <c r="A465" s="9"/>
      <c r="B465" s="16" t="s">
        <v>704</v>
      </c>
      <c r="C465" s="89" t="s">
        <v>52</v>
      </c>
      <c r="D465" s="59" t="s">
        <v>707</v>
      </c>
      <c r="E465" s="13" t="s">
        <v>708</v>
      </c>
      <c r="F465" s="95"/>
      <c r="G465" s="9"/>
      <c r="H465" s="9" t="s">
        <v>247</v>
      </c>
      <c r="I465" s="14"/>
      <c r="J465" s="14"/>
      <c r="K465" s="12">
        <v>0</v>
      </c>
      <c r="L465" s="9"/>
      <c r="M465" s="9"/>
      <c r="N465" s="9"/>
      <c r="O465" s="38">
        <f t="shared" si="37"/>
        <v>0</v>
      </c>
      <c r="P465" s="12"/>
      <c r="Q465" s="42"/>
      <c r="R465" s="15"/>
      <c r="S465" s="44"/>
      <c r="T465" s="15"/>
      <c r="U465" s="44"/>
      <c r="V465" s="15">
        <f t="shared" si="38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39"/>
        <v>0</v>
      </c>
      <c r="AF465" s="15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40"/>
        <v>0</v>
      </c>
      <c r="BA465" s="15"/>
      <c r="BB465" s="44"/>
      <c r="BC465" s="15"/>
      <c r="BD465" s="44"/>
      <c r="BE465" s="15">
        <f t="shared" si="36"/>
        <v>0</v>
      </c>
    </row>
    <row r="466" spans="1:57">
      <c r="A466" s="9"/>
      <c r="B466" s="16" t="s">
        <v>704</v>
      </c>
      <c r="C466" s="89" t="s">
        <v>52</v>
      </c>
      <c r="D466" s="61" t="s">
        <v>709</v>
      </c>
      <c r="E466" s="13" t="s">
        <v>710</v>
      </c>
      <c r="F466" s="95"/>
      <c r="G466" s="9"/>
      <c r="H466" s="9" t="s">
        <v>247</v>
      </c>
      <c r="I466" s="14"/>
      <c r="J466" s="14"/>
      <c r="K466" s="12">
        <v>0</v>
      </c>
      <c r="L466" s="9"/>
      <c r="M466" s="9"/>
      <c r="N466" s="9"/>
      <c r="O466" s="38">
        <f t="shared" si="37"/>
        <v>0</v>
      </c>
      <c r="P466" s="12"/>
      <c r="Q466" s="42"/>
      <c r="R466" s="15"/>
      <c r="S466" s="44"/>
      <c r="T466" s="15"/>
      <c r="U466" s="44"/>
      <c r="V466" s="15">
        <f t="shared" si="38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39"/>
        <v>0</v>
      </c>
      <c r="AF466" s="15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40"/>
        <v>0</v>
      </c>
      <c r="BA466" s="15"/>
      <c r="BB466" s="44"/>
      <c r="BC466" s="15"/>
      <c r="BD466" s="44"/>
      <c r="BE466" s="15">
        <f t="shared" si="36"/>
        <v>0</v>
      </c>
    </row>
    <row r="467" spans="1:57">
      <c r="A467" s="9"/>
      <c r="B467" s="16" t="s">
        <v>704</v>
      </c>
      <c r="C467" s="89" t="s">
        <v>151</v>
      </c>
      <c r="D467" s="61" t="s">
        <v>711</v>
      </c>
      <c r="E467" s="13" t="s">
        <v>712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7"/>
        <v>0</v>
      </c>
      <c r="P467" s="12"/>
      <c r="Q467" s="42"/>
      <c r="R467" s="15"/>
      <c r="S467" s="44"/>
      <c r="T467" s="15"/>
      <c r="U467" s="44"/>
      <c r="V467" s="15">
        <f t="shared" si="38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39"/>
        <v>0</v>
      </c>
      <c r="AF467" s="15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40"/>
        <v>0</v>
      </c>
      <c r="BA467" s="15"/>
      <c r="BB467" s="44"/>
      <c r="BC467" s="15"/>
      <c r="BD467" s="44"/>
      <c r="BE467" s="15">
        <f t="shared" si="36"/>
        <v>0</v>
      </c>
    </row>
    <row r="468" spans="1:57">
      <c r="A468" s="9"/>
      <c r="B468" s="16" t="s">
        <v>713</v>
      </c>
      <c r="C468" s="89" t="s">
        <v>50</v>
      </c>
      <c r="D468" s="61" t="s">
        <v>714</v>
      </c>
      <c r="E468" s="13"/>
      <c r="F468" s="95"/>
      <c r="G468" s="9"/>
      <c r="H468" s="9" t="s">
        <v>669</v>
      </c>
      <c r="I468" s="14"/>
      <c r="J468" s="14"/>
      <c r="K468" s="12">
        <v>0</v>
      </c>
      <c r="L468" s="9"/>
      <c r="M468" s="9"/>
      <c r="N468" s="9"/>
      <c r="O468" s="38">
        <f t="shared" si="37"/>
        <v>0</v>
      </c>
      <c r="P468" s="12"/>
      <c r="Q468" s="42"/>
      <c r="R468" s="15"/>
      <c r="S468" s="44"/>
      <c r="T468" s="15"/>
      <c r="U468" s="44"/>
      <c r="V468" s="15">
        <f t="shared" si="38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39"/>
        <v>0</v>
      </c>
      <c r="AF468" s="15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40"/>
        <v>0</v>
      </c>
      <c r="BA468" s="15"/>
      <c r="BB468" s="44"/>
      <c r="BC468" s="15"/>
      <c r="BD468" s="44"/>
      <c r="BE468" s="15">
        <f t="shared" si="36"/>
        <v>0</v>
      </c>
    </row>
    <row r="469" spans="1:57">
      <c r="A469" s="9"/>
      <c r="B469" s="16" t="s">
        <v>715</v>
      </c>
      <c r="C469" s="89" t="s">
        <v>132</v>
      </c>
      <c r="D469" s="61" t="s">
        <v>716</v>
      </c>
      <c r="E469" s="13" t="s">
        <v>717</v>
      </c>
      <c r="F469" s="95"/>
      <c r="G469" s="9"/>
      <c r="H469" s="9" t="s">
        <v>718</v>
      </c>
      <c r="I469" s="14"/>
      <c r="J469" s="14"/>
      <c r="K469" s="12">
        <v>0</v>
      </c>
      <c r="L469" s="9"/>
      <c r="M469" s="9"/>
      <c r="N469" s="9"/>
      <c r="O469" s="38">
        <f t="shared" si="37"/>
        <v>0</v>
      </c>
      <c r="P469" s="12"/>
      <c r="Q469" s="42"/>
      <c r="R469" s="15"/>
      <c r="S469" s="44"/>
      <c r="T469" s="15"/>
      <c r="U469" s="44"/>
      <c r="V469" s="15">
        <f t="shared" si="38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39"/>
        <v>0</v>
      </c>
      <c r="AF469" s="15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40"/>
        <v>0</v>
      </c>
      <c r="BA469" s="15"/>
      <c r="BB469" s="44"/>
      <c r="BC469" s="15"/>
      <c r="BD469" s="44"/>
      <c r="BE469" s="15">
        <f t="shared" si="36"/>
        <v>0</v>
      </c>
    </row>
    <row r="470" spans="1:57">
      <c r="A470" s="9"/>
      <c r="B470" s="16" t="s">
        <v>715</v>
      </c>
      <c r="C470" s="89" t="s">
        <v>132</v>
      </c>
      <c r="D470" s="61" t="s">
        <v>719</v>
      </c>
      <c r="E470" s="13" t="s">
        <v>720</v>
      </c>
      <c r="F470" s="95"/>
      <c r="G470" s="9"/>
      <c r="H470" s="9" t="s">
        <v>718</v>
      </c>
      <c r="I470" s="14"/>
      <c r="J470" s="14"/>
      <c r="K470" s="12">
        <v>0</v>
      </c>
      <c r="L470" s="9"/>
      <c r="M470" s="9"/>
      <c r="N470" s="9"/>
      <c r="O470" s="38">
        <f t="shared" si="37"/>
        <v>0</v>
      </c>
      <c r="P470" s="12"/>
      <c r="Q470" s="42"/>
      <c r="R470" s="15"/>
      <c r="S470" s="44"/>
      <c r="T470" s="15"/>
      <c r="U470" s="44"/>
      <c r="V470" s="15">
        <f t="shared" si="38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39"/>
        <v>0</v>
      </c>
      <c r="AF470" s="15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40"/>
        <v>0</v>
      </c>
      <c r="BA470" s="15"/>
      <c r="BB470" s="44"/>
      <c r="BC470" s="15"/>
      <c r="BD470" s="44"/>
      <c r="BE470" s="15">
        <f t="shared" si="36"/>
        <v>0</v>
      </c>
    </row>
    <row r="471" spans="1:57">
      <c r="A471" s="9"/>
      <c r="B471" s="16" t="s">
        <v>715</v>
      </c>
      <c r="C471" s="89" t="s">
        <v>48</v>
      </c>
      <c r="D471" s="61" t="s">
        <v>716</v>
      </c>
      <c r="E471" s="13" t="s">
        <v>721</v>
      </c>
      <c r="F471" s="95"/>
      <c r="G471" s="9"/>
      <c r="H471" s="9" t="s">
        <v>722</v>
      </c>
      <c r="I471" s="14"/>
      <c r="J471" s="14"/>
      <c r="K471" s="12">
        <v>0</v>
      </c>
      <c r="L471" s="9"/>
      <c r="M471" s="9"/>
      <c r="N471" s="9"/>
      <c r="O471" s="38">
        <f t="shared" si="37"/>
        <v>0</v>
      </c>
      <c r="P471" s="12"/>
      <c r="Q471" s="42"/>
      <c r="R471" s="15"/>
      <c r="S471" s="44"/>
      <c r="T471" s="15"/>
      <c r="U471" s="44"/>
      <c r="V471" s="15">
        <f t="shared" si="38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39"/>
        <v>0</v>
      </c>
      <c r="AF471" s="15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40"/>
        <v>0</v>
      </c>
      <c r="BA471" s="15"/>
      <c r="BB471" s="44"/>
      <c r="BC471" s="15"/>
      <c r="BD471" s="44"/>
      <c r="BE471" s="15">
        <f t="shared" si="36"/>
        <v>0</v>
      </c>
    </row>
    <row r="472" spans="1:57">
      <c r="A472" s="9"/>
      <c r="B472" s="16" t="s">
        <v>715</v>
      </c>
      <c r="C472" s="89" t="s">
        <v>48</v>
      </c>
      <c r="D472" s="61" t="s">
        <v>719</v>
      </c>
      <c r="E472" s="13" t="s">
        <v>723</v>
      </c>
      <c r="F472" s="95"/>
      <c r="G472" s="9"/>
      <c r="H472" s="9" t="s">
        <v>722</v>
      </c>
      <c r="I472" s="14"/>
      <c r="J472" s="14"/>
      <c r="K472" s="12">
        <v>0</v>
      </c>
      <c r="L472" s="9"/>
      <c r="M472" s="9"/>
      <c r="N472" s="9"/>
      <c r="O472" s="38">
        <f t="shared" si="37"/>
        <v>0</v>
      </c>
      <c r="P472" s="12"/>
      <c r="Q472" s="42"/>
      <c r="R472" s="15"/>
      <c r="S472" s="44"/>
      <c r="T472" s="15"/>
      <c r="U472" s="44"/>
      <c r="V472" s="15">
        <f t="shared" si="38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39"/>
        <v>0</v>
      </c>
      <c r="AF472" s="15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40"/>
        <v>0</v>
      </c>
      <c r="BA472" s="15"/>
      <c r="BB472" s="44"/>
      <c r="BC472" s="15"/>
      <c r="BD472" s="44"/>
      <c r="BE472" s="15">
        <f t="shared" si="36"/>
        <v>0</v>
      </c>
    </row>
    <row r="473" spans="1:57">
      <c r="A473" s="9"/>
      <c r="B473" s="16" t="s">
        <v>715</v>
      </c>
      <c r="C473" s="89" t="s">
        <v>151</v>
      </c>
      <c r="D473" s="61" t="s">
        <v>724</v>
      </c>
      <c r="E473" s="13" t="s">
        <v>725</v>
      </c>
      <c r="F473" s="95"/>
      <c r="G473" s="9"/>
      <c r="H473" s="9" t="s">
        <v>722</v>
      </c>
      <c r="I473" s="14"/>
      <c r="J473" s="14"/>
      <c r="K473" s="12">
        <v>0</v>
      </c>
      <c r="L473" s="9"/>
      <c r="M473" s="9"/>
      <c r="N473" s="9"/>
      <c r="O473" s="38">
        <f t="shared" si="37"/>
        <v>0</v>
      </c>
      <c r="P473" s="12"/>
      <c r="Q473" s="42"/>
      <c r="R473" s="15"/>
      <c r="S473" s="44"/>
      <c r="T473" s="15"/>
      <c r="U473" s="44"/>
      <c r="V473" s="15">
        <f t="shared" si="38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39"/>
        <v>0</v>
      </c>
      <c r="AF473" s="15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40"/>
        <v>0</v>
      </c>
      <c r="BA473" s="15"/>
      <c r="BB473" s="44"/>
      <c r="BC473" s="15"/>
      <c r="BD473" s="44"/>
      <c r="BE473" s="15">
        <f t="shared" si="36"/>
        <v>0</v>
      </c>
    </row>
    <row r="474" spans="1:57">
      <c r="A474" s="9"/>
      <c r="B474" s="16" t="s">
        <v>715</v>
      </c>
      <c r="C474" s="89" t="s">
        <v>151</v>
      </c>
      <c r="D474" s="56" t="s">
        <v>726</v>
      </c>
      <c r="E474" s="13" t="s">
        <v>727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7"/>
        <v>0</v>
      </c>
      <c r="P474" s="12"/>
      <c r="Q474" s="42"/>
      <c r="R474" s="15"/>
      <c r="S474" s="44"/>
      <c r="T474" s="15"/>
      <c r="U474" s="44"/>
      <c r="V474" s="15">
        <f t="shared" si="38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39"/>
        <v>0</v>
      </c>
      <c r="AF474" s="15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40"/>
        <v>0</v>
      </c>
      <c r="BA474" s="15"/>
      <c r="BB474" s="44"/>
      <c r="BC474" s="15"/>
      <c r="BD474" s="44"/>
      <c r="BE474" s="15">
        <f t="shared" si="36"/>
        <v>0</v>
      </c>
    </row>
    <row r="475" spans="1:57">
      <c r="A475" s="9"/>
      <c r="B475" s="16" t="s">
        <v>728</v>
      </c>
      <c r="C475" s="89" t="s">
        <v>151</v>
      </c>
      <c r="D475" s="59" t="s">
        <v>729</v>
      </c>
      <c r="E475" s="13" t="s">
        <v>730</v>
      </c>
      <c r="F475" s="95"/>
      <c r="G475" s="9"/>
      <c r="H475" s="9" t="s">
        <v>731</v>
      </c>
      <c r="I475" s="14"/>
      <c r="J475" s="14"/>
      <c r="K475" s="12">
        <v>0</v>
      </c>
      <c r="L475" s="9"/>
      <c r="M475" s="9"/>
      <c r="N475" s="9"/>
      <c r="O475" s="38">
        <f t="shared" si="37"/>
        <v>0</v>
      </c>
      <c r="P475" s="12"/>
      <c r="Q475" s="42"/>
      <c r="R475" s="15"/>
      <c r="S475" s="44"/>
      <c r="T475" s="15"/>
      <c r="U475" s="44"/>
      <c r="V475" s="15">
        <f t="shared" si="38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39"/>
        <v>0</v>
      </c>
      <c r="AF475" s="15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40"/>
        <v>0</v>
      </c>
      <c r="BA475" s="15"/>
      <c r="BB475" s="44"/>
      <c r="BC475" s="15"/>
      <c r="BD475" s="44"/>
      <c r="BE475" s="15">
        <f t="shared" si="36"/>
        <v>0</v>
      </c>
    </row>
    <row r="476" spans="1:57">
      <c r="A476" s="9"/>
      <c r="B476" s="16" t="s">
        <v>728</v>
      </c>
      <c r="C476" s="89" t="s">
        <v>151</v>
      </c>
      <c r="D476" s="59" t="s">
        <v>729</v>
      </c>
      <c r="E476" s="13" t="s">
        <v>732</v>
      </c>
      <c r="F476" s="95"/>
      <c r="G476" s="9"/>
      <c r="H476" s="9" t="s">
        <v>733</v>
      </c>
      <c r="I476" s="14"/>
      <c r="J476" s="14"/>
      <c r="K476" s="12">
        <v>0</v>
      </c>
      <c r="L476" s="9"/>
      <c r="M476" s="9"/>
      <c r="N476" s="9"/>
      <c r="O476" s="38">
        <f t="shared" si="37"/>
        <v>0</v>
      </c>
      <c r="P476" s="12"/>
      <c r="Q476" s="42"/>
      <c r="R476" s="15"/>
      <c r="S476" s="44"/>
      <c r="T476" s="15"/>
      <c r="U476" s="44"/>
      <c r="V476" s="15">
        <f t="shared" si="38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39"/>
        <v>0</v>
      </c>
      <c r="AF476" s="15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40"/>
        <v>0</v>
      </c>
      <c r="BA476" s="15"/>
      <c r="BB476" s="44"/>
      <c r="BC476" s="15"/>
      <c r="BD476" s="44"/>
      <c r="BE476" s="15">
        <f t="shared" si="36"/>
        <v>0</v>
      </c>
    </row>
    <row r="477" spans="1:57">
      <c r="A477" s="9"/>
      <c r="B477" s="16" t="s">
        <v>728</v>
      </c>
      <c r="C477" s="89" t="s">
        <v>151</v>
      </c>
      <c r="D477" s="61" t="s">
        <v>729</v>
      </c>
      <c r="E477" s="13" t="s">
        <v>734</v>
      </c>
      <c r="F477" s="95"/>
      <c r="G477" s="9"/>
      <c r="H477" s="9" t="s">
        <v>733</v>
      </c>
      <c r="I477" s="14"/>
      <c r="J477" s="14"/>
      <c r="K477" s="12">
        <v>24</v>
      </c>
      <c r="L477" s="9"/>
      <c r="M477" s="9"/>
      <c r="N477" s="9"/>
      <c r="O477" s="38">
        <f t="shared" si="37"/>
        <v>24</v>
      </c>
      <c r="P477" s="12"/>
      <c r="Q477" s="42"/>
      <c r="R477" s="15"/>
      <c r="S477" s="44"/>
      <c r="T477" s="15"/>
      <c r="U477" s="44"/>
      <c r="V477" s="15">
        <f t="shared" si="38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39"/>
        <v>0</v>
      </c>
      <c r="AF477" s="15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40"/>
        <v>0</v>
      </c>
      <c r="BA477" s="15"/>
      <c r="BB477" s="44"/>
      <c r="BC477" s="15"/>
      <c r="BD477" s="44"/>
      <c r="BE477" s="15">
        <f t="shared" si="36"/>
        <v>0</v>
      </c>
    </row>
    <row r="478" spans="1:57">
      <c r="A478" s="9"/>
      <c r="B478" s="16" t="s">
        <v>735</v>
      </c>
      <c r="C478" s="89" t="s">
        <v>132</v>
      </c>
      <c r="D478" s="59" t="s">
        <v>736</v>
      </c>
      <c r="E478" s="13" t="s">
        <v>737</v>
      </c>
      <c r="F478" s="95"/>
      <c r="G478" s="9"/>
      <c r="H478" s="9" t="s">
        <v>247</v>
      </c>
      <c r="I478" s="14"/>
      <c r="J478" s="14"/>
      <c r="K478" s="12">
        <v>77</v>
      </c>
      <c r="L478" s="9"/>
      <c r="M478" s="9"/>
      <c r="N478" s="9"/>
      <c r="O478" s="38">
        <f t="shared" si="37"/>
        <v>77</v>
      </c>
      <c r="P478" s="12"/>
      <c r="Q478" s="42"/>
      <c r="R478" s="15"/>
      <c r="S478" s="44"/>
      <c r="T478" s="15"/>
      <c r="U478" s="44"/>
      <c r="V478" s="15">
        <f t="shared" si="38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39"/>
        <v>0</v>
      </c>
      <c r="AF478" s="15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40"/>
        <v>0</v>
      </c>
      <c r="BA478" s="15"/>
      <c r="BB478" s="44"/>
      <c r="BC478" s="15"/>
      <c r="BD478" s="44"/>
      <c r="BE478" s="15">
        <f t="shared" si="36"/>
        <v>0</v>
      </c>
    </row>
    <row r="479" spans="1:57">
      <c r="A479" s="9"/>
      <c r="B479" s="16" t="s">
        <v>735</v>
      </c>
      <c r="C479" s="89" t="s">
        <v>132</v>
      </c>
      <c r="D479" s="56" t="s">
        <v>738</v>
      </c>
      <c r="E479" s="13" t="s">
        <v>739</v>
      </c>
      <c r="F479" s="95"/>
      <c r="G479" s="9"/>
      <c r="H479" s="9" t="s">
        <v>247</v>
      </c>
      <c r="I479" s="14"/>
      <c r="J479" s="14"/>
      <c r="K479" s="12">
        <v>20</v>
      </c>
      <c r="L479" s="9"/>
      <c r="M479" s="9"/>
      <c r="N479" s="9"/>
      <c r="O479" s="38">
        <f t="shared" si="37"/>
        <v>20</v>
      </c>
      <c r="P479" s="12"/>
      <c r="Q479" s="42"/>
      <c r="R479" s="15"/>
      <c r="S479" s="44"/>
      <c r="T479" s="15"/>
      <c r="U479" s="44"/>
      <c r="V479" s="15">
        <f t="shared" si="38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39"/>
        <v>0</v>
      </c>
      <c r="AF479" s="15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40"/>
        <v>0</v>
      </c>
      <c r="BA479" s="15"/>
      <c r="BB479" s="44"/>
      <c r="BC479" s="15"/>
      <c r="BD479" s="44"/>
      <c r="BE479" s="15">
        <f t="shared" ref="BE479:BE542" si="41">(BA479+BC479)</f>
        <v>0</v>
      </c>
    </row>
    <row r="480" spans="1:57">
      <c r="A480" s="9"/>
      <c r="B480" s="16" t="s">
        <v>740</v>
      </c>
      <c r="C480" s="89" t="s">
        <v>132</v>
      </c>
      <c r="D480" s="59" t="s">
        <v>741</v>
      </c>
      <c r="E480" s="13"/>
      <c r="F480" s="95"/>
      <c r="G480" s="9"/>
      <c r="H480" s="9" t="s">
        <v>247</v>
      </c>
      <c r="I480" s="14"/>
      <c r="J480" s="14"/>
      <c r="K480" s="12">
        <v>0</v>
      </c>
      <c r="L480" s="9"/>
      <c r="M480" s="9"/>
      <c r="N480" s="9"/>
      <c r="O480" s="38">
        <f t="shared" si="37"/>
        <v>0</v>
      </c>
      <c r="P480" s="12"/>
      <c r="Q480" s="42"/>
      <c r="R480" s="15"/>
      <c r="S480" s="44"/>
      <c r="T480" s="15"/>
      <c r="U480" s="44"/>
      <c r="V480" s="15">
        <f t="shared" si="38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39"/>
        <v>0</v>
      </c>
      <c r="AF480" s="15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40"/>
        <v>0</v>
      </c>
      <c r="BA480" s="15"/>
      <c r="BB480" s="44"/>
      <c r="BC480" s="15"/>
      <c r="BD480" s="44"/>
      <c r="BE480" s="15">
        <f t="shared" si="41"/>
        <v>0</v>
      </c>
    </row>
    <row r="481" spans="1:57">
      <c r="A481" s="9"/>
      <c r="B481" s="16" t="s">
        <v>742</v>
      </c>
      <c r="C481" s="89" t="s">
        <v>151</v>
      </c>
      <c r="D481" s="59" t="s">
        <v>743</v>
      </c>
      <c r="E481" s="13" t="s">
        <v>744</v>
      </c>
      <c r="F481" s="95"/>
      <c r="G481" s="9"/>
      <c r="H481" s="9" t="s">
        <v>745</v>
      </c>
      <c r="I481" s="14"/>
      <c r="J481" s="14"/>
      <c r="K481" s="12">
        <v>194</v>
      </c>
      <c r="L481" s="9"/>
      <c r="M481" s="9"/>
      <c r="N481" s="9"/>
      <c r="O481" s="38">
        <f t="shared" si="37"/>
        <v>194</v>
      </c>
      <c r="P481" s="12"/>
      <c r="Q481" s="42"/>
      <c r="R481" s="15"/>
      <c r="S481" s="44"/>
      <c r="T481" s="15"/>
      <c r="U481" s="44"/>
      <c r="V481" s="15">
        <f t="shared" si="38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39"/>
        <v>0</v>
      </c>
      <c r="AF481" s="15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40"/>
        <v>0</v>
      </c>
      <c r="BA481" s="15"/>
      <c r="BB481" s="44"/>
      <c r="BC481" s="15"/>
      <c r="BD481" s="44"/>
      <c r="BE481" s="15">
        <f t="shared" si="41"/>
        <v>0</v>
      </c>
    </row>
    <row r="482" spans="1:57">
      <c r="A482" s="9"/>
      <c r="B482" s="16" t="s">
        <v>742</v>
      </c>
      <c r="C482" s="89" t="s">
        <v>151</v>
      </c>
      <c r="D482" s="59" t="s">
        <v>743</v>
      </c>
      <c r="E482" s="13" t="s">
        <v>744</v>
      </c>
      <c r="F482" s="95"/>
      <c r="G482" s="9"/>
      <c r="H482" s="9" t="s">
        <v>746</v>
      </c>
      <c r="I482" s="14"/>
      <c r="J482" s="14"/>
      <c r="K482" s="12">
        <v>442</v>
      </c>
      <c r="L482" s="9"/>
      <c r="M482" s="9"/>
      <c r="N482" s="9"/>
      <c r="O482" s="38">
        <f t="shared" si="37"/>
        <v>442</v>
      </c>
      <c r="P482" s="12"/>
      <c r="Q482" s="42"/>
      <c r="R482" s="15"/>
      <c r="S482" s="44"/>
      <c r="T482" s="15"/>
      <c r="U482" s="44"/>
      <c r="V482" s="15">
        <f t="shared" si="38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39"/>
        <v>0</v>
      </c>
      <c r="AF482" s="15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40"/>
        <v>0</v>
      </c>
      <c r="BA482" s="15"/>
      <c r="BB482" s="44"/>
      <c r="BC482" s="15"/>
      <c r="BD482" s="44"/>
      <c r="BE482" s="15">
        <f t="shared" si="41"/>
        <v>0</v>
      </c>
    </row>
    <row r="483" spans="1:57">
      <c r="A483" s="9"/>
      <c r="B483" s="16" t="s">
        <v>742</v>
      </c>
      <c r="C483" s="89" t="s">
        <v>151</v>
      </c>
      <c r="D483" s="59" t="s">
        <v>747</v>
      </c>
      <c r="E483" s="13" t="s">
        <v>748</v>
      </c>
      <c r="F483" s="95"/>
      <c r="G483" s="9"/>
      <c r="H483" s="9" t="s">
        <v>745</v>
      </c>
      <c r="I483" s="14"/>
      <c r="J483" s="14"/>
      <c r="K483" s="12">
        <v>24</v>
      </c>
      <c r="L483" s="9"/>
      <c r="M483" s="9"/>
      <c r="N483" s="9"/>
      <c r="O483" s="38">
        <f t="shared" si="37"/>
        <v>24</v>
      </c>
      <c r="P483" s="12"/>
      <c r="Q483" s="42"/>
      <c r="R483" s="15"/>
      <c r="S483" s="44"/>
      <c r="T483" s="15"/>
      <c r="U483" s="44"/>
      <c r="V483" s="15">
        <f t="shared" si="38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39"/>
        <v>0</v>
      </c>
      <c r="AF483" s="15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40"/>
        <v>0</v>
      </c>
      <c r="BA483" s="15"/>
      <c r="BB483" s="44"/>
      <c r="BC483" s="15"/>
      <c r="BD483" s="44"/>
      <c r="BE483" s="15">
        <f t="shared" si="41"/>
        <v>0</v>
      </c>
    </row>
    <row r="484" spans="1:57">
      <c r="A484" s="9"/>
      <c r="B484" s="16" t="s">
        <v>742</v>
      </c>
      <c r="C484" s="89" t="s">
        <v>151</v>
      </c>
      <c r="D484" s="59" t="s">
        <v>747</v>
      </c>
      <c r="E484" s="13" t="s">
        <v>748</v>
      </c>
      <c r="F484" s="95"/>
      <c r="G484" s="9"/>
      <c r="H484" s="9" t="s">
        <v>746</v>
      </c>
      <c r="I484" s="14"/>
      <c r="J484" s="14"/>
      <c r="K484" s="12">
        <v>274</v>
      </c>
      <c r="L484" s="9"/>
      <c r="M484" s="9"/>
      <c r="N484" s="9"/>
      <c r="O484" s="38">
        <f t="shared" si="37"/>
        <v>274</v>
      </c>
      <c r="P484" s="12"/>
      <c r="Q484" s="42"/>
      <c r="R484" s="15"/>
      <c r="S484" s="44"/>
      <c r="T484" s="15"/>
      <c r="U484" s="44"/>
      <c r="V484" s="15">
        <f t="shared" si="38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39"/>
        <v>0</v>
      </c>
      <c r="AF484" s="15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40"/>
        <v>0</v>
      </c>
      <c r="BA484" s="15"/>
      <c r="BB484" s="44"/>
      <c r="BC484" s="15"/>
      <c r="BD484" s="44"/>
      <c r="BE484" s="15">
        <f t="shared" si="41"/>
        <v>0</v>
      </c>
    </row>
    <row r="485" spans="1:57">
      <c r="A485" s="9"/>
      <c r="B485" s="16" t="s">
        <v>742</v>
      </c>
      <c r="C485" s="89" t="s">
        <v>151</v>
      </c>
      <c r="D485" s="56" t="s">
        <v>747</v>
      </c>
      <c r="E485" s="13" t="s">
        <v>749</v>
      </c>
      <c r="F485" s="95"/>
      <c r="G485" s="9"/>
      <c r="H485" s="9" t="s">
        <v>745</v>
      </c>
      <c r="I485" s="14"/>
      <c r="J485" s="14"/>
      <c r="K485" s="12">
        <v>0</v>
      </c>
      <c r="L485" s="9"/>
      <c r="M485" s="9"/>
      <c r="N485" s="9"/>
      <c r="O485" s="38">
        <f t="shared" si="37"/>
        <v>0</v>
      </c>
      <c r="P485" s="12"/>
      <c r="Q485" s="42"/>
      <c r="R485" s="15"/>
      <c r="S485" s="44"/>
      <c r="T485" s="15"/>
      <c r="U485" s="44"/>
      <c r="V485" s="15">
        <f t="shared" si="38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39"/>
        <v>0</v>
      </c>
      <c r="AF485" s="15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si="40"/>
        <v>0</v>
      </c>
      <c r="BA485" s="15"/>
      <c r="BB485" s="44"/>
      <c r="BC485" s="15"/>
      <c r="BD485" s="44"/>
      <c r="BE485" s="15">
        <f t="shared" si="41"/>
        <v>0</v>
      </c>
    </row>
    <row r="486" spans="1:57">
      <c r="A486" s="9"/>
      <c r="B486" s="16" t="s">
        <v>742</v>
      </c>
      <c r="C486" s="89" t="s">
        <v>151</v>
      </c>
      <c r="D486" s="56" t="s">
        <v>747</v>
      </c>
      <c r="E486" s="13" t="s">
        <v>749</v>
      </c>
      <c r="F486" s="95"/>
      <c r="G486" s="9"/>
      <c r="H486" s="9" t="s">
        <v>746</v>
      </c>
      <c r="I486" s="14"/>
      <c r="J486" s="14"/>
      <c r="K486" s="12">
        <v>80</v>
      </c>
      <c r="L486" s="9"/>
      <c r="M486" s="9"/>
      <c r="N486" s="9"/>
      <c r="O486" s="38">
        <f t="shared" si="37"/>
        <v>80</v>
      </c>
      <c r="P486" s="12"/>
      <c r="Q486" s="42"/>
      <c r="R486" s="15"/>
      <c r="S486" s="44"/>
      <c r="T486" s="15"/>
      <c r="U486" s="44"/>
      <c r="V486" s="15">
        <f t="shared" si="38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39"/>
        <v>0</v>
      </c>
      <c r="AF486" s="15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0"/>
        <v>0</v>
      </c>
      <c r="BA486" s="15"/>
      <c r="BB486" s="44"/>
      <c r="BC486" s="15"/>
      <c r="BD486" s="44"/>
      <c r="BE486" s="15">
        <f t="shared" si="41"/>
        <v>0</v>
      </c>
    </row>
    <row r="487" spans="1:57">
      <c r="A487" s="9"/>
      <c r="B487" s="16" t="s">
        <v>742</v>
      </c>
      <c r="C487" s="89" t="s">
        <v>52</v>
      </c>
      <c r="D487" s="56" t="s">
        <v>750</v>
      </c>
      <c r="E487" s="13" t="s">
        <v>751</v>
      </c>
      <c r="F487" s="95"/>
      <c r="G487" s="9"/>
      <c r="H487" s="9" t="s">
        <v>745</v>
      </c>
      <c r="I487" s="14"/>
      <c r="J487" s="14"/>
      <c r="K487" s="12">
        <v>0</v>
      </c>
      <c r="L487" s="9"/>
      <c r="M487" s="9"/>
      <c r="N487" s="9"/>
      <c r="O487" s="38">
        <f t="shared" si="37"/>
        <v>0</v>
      </c>
      <c r="P487" s="12"/>
      <c r="Q487" s="42"/>
      <c r="R487" s="15"/>
      <c r="S487" s="44"/>
      <c r="T487" s="15"/>
      <c r="U487" s="44"/>
      <c r="V487" s="15">
        <f t="shared" si="38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39"/>
        <v>0</v>
      </c>
      <c r="AF487" s="15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0"/>
        <v>0</v>
      </c>
      <c r="BA487" s="15"/>
      <c r="BB487" s="44"/>
      <c r="BC487" s="15"/>
      <c r="BD487" s="44"/>
      <c r="BE487" s="15">
        <f t="shared" si="41"/>
        <v>0</v>
      </c>
    </row>
    <row r="488" spans="1:57">
      <c r="A488" s="9"/>
      <c r="B488" s="16" t="s">
        <v>742</v>
      </c>
      <c r="C488" s="89" t="s">
        <v>52</v>
      </c>
      <c r="D488" s="56" t="s">
        <v>750</v>
      </c>
      <c r="E488" s="13" t="s">
        <v>751</v>
      </c>
      <c r="F488" s="95"/>
      <c r="G488" s="9"/>
      <c r="H488" s="9" t="s">
        <v>746</v>
      </c>
      <c r="I488" s="14"/>
      <c r="J488" s="14"/>
      <c r="K488" s="12">
        <v>59</v>
      </c>
      <c r="L488" s="9"/>
      <c r="M488" s="9"/>
      <c r="N488" s="9"/>
      <c r="O488" s="38">
        <f t="shared" si="37"/>
        <v>59</v>
      </c>
      <c r="P488" s="12"/>
      <c r="Q488" s="42"/>
      <c r="R488" s="15"/>
      <c r="S488" s="44"/>
      <c r="T488" s="15"/>
      <c r="U488" s="44"/>
      <c r="V488" s="15">
        <f t="shared" si="38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39"/>
        <v>0</v>
      </c>
      <c r="AF488" s="15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0"/>
        <v>0</v>
      </c>
      <c r="BA488" s="15"/>
      <c r="BB488" s="44"/>
      <c r="BC488" s="15"/>
      <c r="BD488" s="44"/>
      <c r="BE488" s="15">
        <f t="shared" si="41"/>
        <v>0</v>
      </c>
    </row>
    <row r="489" spans="1:57">
      <c r="A489" s="9"/>
      <c r="B489" s="16" t="s">
        <v>742</v>
      </c>
      <c r="C489" s="89" t="s">
        <v>52</v>
      </c>
      <c r="D489" s="56" t="s">
        <v>750</v>
      </c>
      <c r="E489" s="13" t="s">
        <v>752</v>
      </c>
      <c r="F489" s="95"/>
      <c r="G489" s="9"/>
      <c r="H489" s="9" t="s">
        <v>745</v>
      </c>
      <c r="I489" s="14"/>
      <c r="J489" s="14"/>
      <c r="K489" s="12">
        <v>0</v>
      </c>
      <c r="L489" s="9"/>
      <c r="M489" s="9"/>
      <c r="N489" s="9"/>
      <c r="O489" s="38">
        <f t="shared" si="37"/>
        <v>0</v>
      </c>
      <c r="P489" s="12"/>
      <c r="Q489" s="42"/>
      <c r="R489" s="15"/>
      <c r="S489" s="44"/>
      <c r="T489" s="15"/>
      <c r="U489" s="44"/>
      <c r="V489" s="15">
        <f t="shared" si="38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39"/>
        <v>0</v>
      </c>
      <c r="AF489" s="15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0"/>
        <v>0</v>
      </c>
      <c r="BA489" s="15"/>
      <c r="BB489" s="44"/>
      <c r="BC489" s="15"/>
      <c r="BD489" s="44"/>
      <c r="BE489" s="15">
        <f t="shared" si="41"/>
        <v>0</v>
      </c>
    </row>
    <row r="490" spans="1:57">
      <c r="A490" s="9"/>
      <c r="B490" s="16" t="s">
        <v>161</v>
      </c>
      <c r="C490" s="89" t="s">
        <v>52</v>
      </c>
      <c r="D490" s="56" t="s">
        <v>753</v>
      </c>
      <c r="E490" s="13"/>
      <c r="F490" s="95"/>
      <c r="G490" s="9"/>
      <c r="H490" s="9" t="s">
        <v>467</v>
      </c>
      <c r="I490" s="14"/>
      <c r="J490" s="14"/>
      <c r="K490" s="12">
        <v>50</v>
      </c>
      <c r="L490" s="9"/>
      <c r="M490" s="9"/>
      <c r="N490" s="9"/>
      <c r="O490" s="38">
        <f t="shared" si="37"/>
        <v>50</v>
      </c>
      <c r="P490" s="12"/>
      <c r="Q490" s="42"/>
      <c r="R490" s="15"/>
      <c r="S490" s="44"/>
      <c r="T490" s="15"/>
      <c r="U490" s="44"/>
      <c r="V490" s="15">
        <f t="shared" si="38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39"/>
        <v>0</v>
      </c>
      <c r="AF490" s="15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0"/>
        <v>0</v>
      </c>
      <c r="BA490" s="15"/>
      <c r="BB490" s="44"/>
      <c r="BC490" s="15"/>
      <c r="BD490" s="44"/>
      <c r="BE490" s="15">
        <f t="shared" si="41"/>
        <v>0</v>
      </c>
    </row>
    <row r="491" spans="1:57">
      <c r="A491" s="9"/>
      <c r="B491" s="16" t="s">
        <v>161</v>
      </c>
      <c r="C491" s="89" t="s">
        <v>754</v>
      </c>
      <c r="D491" s="56" t="s">
        <v>753</v>
      </c>
      <c r="E491" s="13"/>
      <c r="F491" s="95"/>
      <c r="G491" s="9"/>
      <c r="H491" s="9" t="s">
        <v>467</v>
      </c>
      <c r="I491" s="14"/>
      <c r="J491" s="14"/>
      <c r="K491" s="12">
        <v>100</v>
      </c>
      <c r="L491" s="9"/>
      <c r="M491" s="9"/>
      <c r="N491" s="9"/>
      <c r="O491" s="38">
        <f t="shared" si="37"/>
        <v>100</v>
      </c>
      <c r="P491" s="12"/>
      <c r="Q491" s="42"/>
      <c r="R491" s="15"/>
      <c r="S491" s="44"/>
      <c r="T491" s="15"/>
      <c r="U491" s="44"/>
      <c r="V491" s="15">
        <f t="shared" si="38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39"/>
        <v>0</v>
      </c>
      <c r="AF491" s="15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0"/>
        <v>0</v>
      </c>
      <c r="BA491" s="15"/>
      <c r="BB491" s="44"/>
      <c r="BC491" s="15"/>
      <c r="BD491" s="44"/>
      <c r="BE491" s="15">
        <f t="shared" si="41"/>
        <v>0</v>
      </c>
    </row>
    <row r="492" spans="1:57">
      <c r="A492" s="9"/>
      <c r="B492" s="16" t="s">
        <v>161</v>
      </c>
      <c r="C492" s="89" t="s">
        <v>140</v>
      </c>
      <c r="D492" s="59" t="s">
        <v>753</v>
      </c>
      <c r="E492" s="13"/>
      <c r="F492" s="95"/>
      <c r="G492" s="9"/>
      <c r="H492" s="9" t="s">
        <v>467</v>
      </c>
      <c r="I492" s="14"/>
      <c r="J492" s="14"/>
      <c r="K492" s="12">
        <v>0</v>
      </c>
      <c r="L492" s="9"/>
      <c r="M492" s="9"/>
      <c r="N492" s="9"/>
      <c r="O492" s="38">
        <f t="shared" si="37"/>
        <v>0</v>
      </c>
      <c r="P492" s="12"/>
      <c r="Q492" s="42"/>
      <c r="R492" s="15"/>
      <c r="S492" s="44"/>
      <c r="T492" s="15"/>
      <c r="U492" s="44"/>
      <c r="V492" s="15">
        <f t="shared" si="38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39"/>
        <v>0</v>
      </c>
      <c r="AF492" s="15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0"/>
        <v>0</v>
      </c>
      <c r="BA492" s="15"/>
      <c r="BB492" s="44"/>
      <c r="BC492" s="15"/>
      <c r="BD492" s="44"/>
      <c r="BE492" s="15">
        <f t="shared" si="41"/>
        <v>0</v>
      </c>
    </row>
    <row r="493" spans="1:57">
      <c r="A493" s="9"/>
      <c r="B493" s="16" t="s">
        <v>755</v>
      </c>
      <c r="C493" s="89" t="s">
        <v>754</v>
      </c>
      <c r="D493" s="59" t="s">
        <v>756</v>
      </c>
      <c r="E493" s="13"/>
      <c r="F493" s="95"/>
      <c r="G493" s="9"/>
      <c r="H493" s="9" t="s">
        <v>757</v>
      </c>
      <c r="I493" s="14"/>
      <c r="J493" s="14"/>
      <c r="K493" s="12">
        <v>0</v>
      </c>
      <c r="L493" s="9"/>
      <c r="M493" s="9"/>
      <c r="N493" s="9"/>
      <c r="O493" s="38">
        <f t="shared" si="37"/>
        <v>0</v>
      </c>
      <c r="P493" s="12"/>
      <c r="Q493" s="42"/>
      <c r="R493" s="15"/>
      <c r="S493" s="44"/>
      <c r="T493" s="15"/>
      <c r="U493" s="44"/>
      <c r="V493" s="15">
        <f t="shared" si="38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39"/>
        <v>0</v>
      </c>
      <c r="AF493" s="15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0"/>
        <v>0</v>
      </c>
      <c r="BA493" s="15"/>
      <c r="BB493" s="44"/>
      <c r="BC493" s="15"/>
      <c r="BD493" s="44"/>
      <c r="BE493" s="15">
        <f t="shared" si="41"/>
        <v>0</v>
      </c>
    </row>
    <row r="494" spans="1:57">
      <c r="A494" s="9"/>
      <c r="B494" s="16" t="s">
        <v>755</v>
      </c>
      <c r="C494" s="89" t="s">
        <v>132</v>
      </c>
      <c r="D494" s="61" t="s">
        <v>758</v>
      </c>
      <c r="E494" s="13"/>
      <c r="F494" s="95"/>
      <c r="G494" s="9"/>
      <c r="H494" s="9" t="s">
        <v>757</v>
      </c>
      <c r="I494" s="14"/>
      <c r="J494" s="14"/>
      <c r="K494" s="12">
        <v>0</v>
      </c>
      <c r="L494" s="9"/>
      <c r="M494" s="9"/>
      <c r="N494" s="9"/>
      <c r="O494" s="38">
        <f t="shared" si="37"/>
        <v>0</v>
      </c>
      <c r="P494" s="12"/>
      <c r="Q494" s="42"/>
      <c r="R494" s="15"/>
      <c r="S494" s="44"/>
      <c r="T494" s="15"/>
      <c r="U494" s="44"/>
      <c r="V494" s="15">
        <f t="shared" si="38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39"/>
        <v>0</v>
      </c>
      <c r="AF494" s="15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0"/>
        <v>0</v>
      </c>
      <c r="BA494" s="15"/>
      <c r="BB494" s="44"/>
      <c r="BC494" s="15"/>
      <c r="BD494" s="44"/>
      <c r="BE494" s="15">
        <f t="shared" si="41"/>
        <v>0</v>
      </c>
    </row>
    <row r="495" spans="1:57">
      <c r="A495" s="9"/>
      <c r="B495" s="16" t="s">
        <v>755</v>
      </c>
      <c r="C495" s="89" t="s">
        <v>132</v>
      </c>
      <c r="D495" s="59" t="s">
        <v>759</v>
      </c>
      <c r="E495" s="13"/>
      <c r="F495" s="95"/>
      <c r="G495" s="9"/>
      <c r="H495" s="9" t="s">
        <v>757</v>
      </c>
      <c r="I495" s="14"/>
      <c r="J495" s="14"/>
      <c r="K495" s="12">
        <v>0</v>
      </c>
      <c r="L495" s="9"/>
      <c r="M495" s="9"/>
      <c r="N495" s="9"/>
      <c r="O495" s="38">
        <f t="shared" si="37"/>
        <v>0</v>
      </c>
      <c r="P495" s="12"/>
      <c r="Q495" s="42"/>
      <c r="R495" s="15"/>
      <c r="S495" s="44"/>
      <c r="T495" s="15"/>
      <c r="U495" s="44"/>
      <c r="V495" s="15">
        <f t="shared" si="38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39"/>
        <v>0</v>
      </c>
      <c r="AF495" s="15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0"/>
        <v>0</v>
      </c>
      <c r="BA495" s="15"/>
      <c r="BB495" s="44"/>
      <c r="BC495" s="15"/>
      <c r="BD495" s="44"/>
      <c r="BE495" s="15">
        <f t="shared" si="41"/>
        <v>0</v>
      </c>
    </row>
    <row r="496" spans="1:57">
      <c r="A496" s="9"/>
      <c r="B496" s="16" t="s">
        <v>755</v>
      </c>
      <c r="C496" s="89" t="s">
        <v>140</v>
      </c>
      <c r="D496" s="59" t="s">
        <v>758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7"/>
        <v>0</v>
      </c>
      <c r="P496" s="12"/>
      <c r="Q496" s="42"/>
      <c r="R496" s="15"/>
      <c r="S496" s="44"/>
      <c r="T496" s="15"/>
      <c r="U496" s="44"/>
      <c r="V496" s="15">
        <f t="shared" si="38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39"/>
        <v>0</v>
      </c>
      <c r="AF496" s="15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0"/>
        <v>0</v>
      </c>
      <c r="BA496" s="15"/>
      <c r="BB496" s="44"/>
      <c r="BC496" s="15"/>
      <c r="BD496" s="44"/>
      <c r="BE496" s="15">
        <f t="shared" si="41"/>
        <v>0</v>
      </c>
    </row>
    <row r="497" spans="1:57">
      <c r="A497" s="9"/>
      <c r="B497" s="16" t="s">
        <v>755</v>
      </c>
      <c r="C497" s="89" t="s">
        <v>52</v>
      </c>
      <c r="D497" s="59" t="s">
        <v>760</v>
      </c>
      <c r="E497" s="13"/>
      <c r="F497" s="95"/>
      <c r="G497" s="9"/>
      <c r="H497" s="9" t="s">
        <v>757</v>
      </c>
      <c r="I497" s="14"/>
      <c r="J497" s="14"/>
      <c r="K497" s="12">
        <v>993</v>
      </c>
      <c r="L497" s="9"/>
      <c r="M497" s="9"/>
      <c r="N497" s="9"/>
      <c r="O497" s="38">
        <f t="shared" si="37"/>
        <v>993</v>
      </c>
      <c r="P497" s="12"/>
      <c r="Q497" s="42"/>
      <c r="R497" s="15"/>
      <c r="S497" s="44"/>
      <c r="T497" s="15"/>
      <c r="U497" s="44"/>
      <c r="V497" s="15">
        <f t="shared" si="38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39"/>
        <v>0</v>
      </c>
      <c r="AF497" s="15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0"/>
        <v>0</v>
      </c>
      <c r="BA497" s="15"/>
      <c r="BB497" s="44"/>
      <c r="BC497" s="15"/>
      <c r="BD497" s="44"/>
      <c r="BE497" s="15">
        <f t="shared" si="41"/>
        <v>0</v>
      </c>
    </row>
    <row r="498" spans="1:57">
      <c r="A498" s="9"/>
      <c r="B498" s="16" t="s">
        <v>755</v>
      </c>
      <c r="C498" s="89" t="s">
        <v>52</v>
      </c>
      <c r="D498" s="75" t="s">
        <v>761</v>
      </c>
      <c r="E498" s="13"/>
      <c r="F498" s="95"/>
      <c r="G498" s="9"/>
      <c r="H498" s="9" t="s">
        <v>757</v>
      </c>
      <c r="I498" s="14"/>
      <c r="J498" s="14"/>
      <c r="K498" s="12">
        <v>789</v>
      </c>
      <c r="L498" s="9"/>
      <c r="M498" s="9"/>
      <c r="N498" s="9"/>
      <c r="O498" s="38">
        <f t="shared" si="37"/>
        <v>789</v>
      </c>
      <c r="P498" s="12"/>
      <c r="Q498" s="42"/>
      <c r="R498" s="15"/>
      <c r="S498" s="44"/>
      <c r="T498" s="15"/>
      <c r="U498" s="44"/>
      <c r="V498" s="15">
        <f t="shared" si="38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39"/>
        <v>0</v>
      </c>
      <c r="AF498" s="15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0"/>
        <v>0</v>
      </c>
      <c r="BA498" s="15"/>
      <c r="BB498" s="44"/>
      <c r="BC498" s="15"/>
      <c r="BD498" s="44"/>
      <c r="BE498" s="15">
        <f t="shared" si="41"/>
        <v>0</v>
      </c>
    </row>
    <row r="499" spans="1:57">
      <c r="A499" s="9"/>
      <c r="B499" s="16" t="s">
        <v>755</v>
      </c>
      <c r="C499" s="89" t="s">
        <v>52</v>
      </c>
      <c r="D499" s="87" t="s">
        <v>762</v>
      </c>
      <c r="E499" s="13"/>
      <c r="F499" s="95"/>
      <c r="G499" s="9"/>
      <c r="H499" s="9" t="s">
        <v>757</v>
      </c>
      <c r="I499" s="14"/>
      <c r="J499" s="14"/>
      <c r="K499" s="12">
        <v>893</v>
      </c>
      <c r="L499" s="9"/>
      <c r="M499" s="9"/>
      <c r="N499" s="9"/>
      <c r="O499" s="38">
        <f t="shared" si="37"/>
        <v>893</v>
      </c>
      <c r="P499" s="12"/>
      <c r="Q499" s="42"/>
      <c r="R499" s="15"/>
      <c r="S499" s="44"/>
      <c r="T499" s="15"/>
      <c r="U499" s="44"/>
      <c r="V499" s="15">
        <f t="shared" si="38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39"/>
        <v>0</v>
      </c>
      <c r="AF499" s="15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0"/>
        <v>0</v>
      </c>
      <c r="BA499" s="15"/>
      <c r="BB499" s="44"/>
      <c r="BC499" s="15"/>
      <c r="BD499" s="44"/>
      <c r="BE499" s="15">
        <f t="shared" si="41"/>
        <v>0</v>
      </c>
    </row>
    <row r="500" spans="1:57">
      <c r="A500" s="9"/>
      <c r="B500" s="16" t="s">
        <v>755</v>
      </c>
      <c r="C500" s="89" t="s">
        <v>52</v>
      </c>
      <c r="D500" s="75" t="s">
        <v>763</v>
      </c>
      <c r="E500" s="13" t="s">
        <v>764</v>
      </c>
      <c r="F500" s="95"/>
      <c r="G500" s="9"/>
      <c r="H500" s="9" t="s">
        <v>757</v>
      </c>
      <c r="I500" s="14"/>
      <c r="J500" s="14"/>
      <c r="K500" s="12">
        <v>216</v>
      </c>
      <c r="L500" s="9"/>
      <c r="M500" s="9"/>
      <c r="N500" s="9"/>
      <c r="O500" s="38">
        <f t="shared" si="37"/>
        <v>216</v>
      </c>
      <c r="P500" s="12"/>
      <c r="Q500" s="42"/>
      <c r="R500" s="15"/>
      <c r="S500" s="44"/>
      <c r="T500" s="15"/>
      <c r="U500" s="44"/>
      <c r="V500" s="15">
        <f t="shared" si="38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39"/>
        <v>0</v>
      </c>
      <c r="AF500" s="15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0"/>
        <v>0</v>
      </c>
      <c r="BA500" s="15"/>
      <c r="BB500" s="44"/>
      <c r="BC500" s="15"/>
      <c r="BD500" s="44"/>
      <c r="BE500" s="15">
        <f t="shared" si="41"/>
        <v>0</v>
      </c>
    </row>
    <row r="501" spans="1:57">
      <c r="A501" s="9"/>
      <c r="B501" s="16" t="s">
        <v>755</v>
      </c>
      <c r="C501" s="89" t="s">
        <v>52</v>
      </c>
      <c r="D501" s="75" t="s">
        <v>763</v>
      </c>
      <c r="E501" s="13" t="s">
        <v>765</v>
      </c>
      <c r="F501" s="95"/>
      <c r="G501" s="9"/>
      <c r="H501" s="9" t="s">
        <v>757</v>
      </c>
      <c r="I501" s="14"/>
      <c r="J501" s="14"/>
      <c r="K501" s="12">
        <v>57</v>
      </c>
      <c r="L501" s="9"/>
      <c r="M501" s="9"/>
      <c r="N501" s="9"/>
      <c r="O501" s="38">
        <f t="shared" si="37"/>
        <v>57</v>
      </c>
      <c r="P501" s="12"/>
      <c r="Q501" s="42"/>
      <c r="R501" s="15"/>
      <c r="S501" s="44"/>
      <c r="T501" s="15"/>
      <c r="U501" s="44"/>
      <c r="V501" s="15">
        <f t="shared" si="38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39"/>
        <v>0</v>
      </c>
      <c r="AF501" s="15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0"/>
        <v>0</v>
      </c>
      <c r="BA501" s="15"/>
      <c r="BB501" s="44"/>
      <c r="BC501" s="15"/>
      <c r="BD501" s="44"/>
      <c r="BE501" s="15">
        <f t="shared" si="41"/>
        <v>0</v>
      </c>
    </row>
    <row r="502" spans="1:57">
      <c r="A502" s="9"/>
      <c r="B502" s="16" t="s">
        <v>755</v>
      </c>
      <c r="C502" s="89" t="s">
        <v>151</v>
      </c>
      <c r="D502" s="75" t="s">
        <v>766</v>
      </c>
      <c r="E502" s="13"/>
      <c r="F502" s="95"/>
      <c r="G502" s="9"/>
      <c r="H502" s="9" t="s">
        <v>757</v>
      </c>
      <c r="I502" s="14"/>
      <c r="J502" s="14"/>
      <c r="K502" s="12">
        <v>0</v>
      </c>
      <c r="L502" s="9"/>
      <c r="M502" s="9"/>
      <c r="N502" s="9"/>
      <c r="O502" s="38">
        <f t="shared" si="37"/>
        <v>0</v>
      </c>
      <c r="P502" s="12"/>
      <c r="Q502" s="42"/>
      <c r="R502" s="15"/>
      <c r="S502" s="44"/>
      <c r="T502" s="15"/>
      <c r="U502" s="44"/>
      <c r="V502" s="15">
        <f t="shared" si="38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39"/>
        <v>0</v>
      </c>
      <c r="AF502" s="15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0"/>
        <v>0</v>
      </c>
      <c r="BA502" s="15"/>
      <c r="BB502" s="44"/>
      <c r="BC502" s="15"/>
      <c r="BD502" s="44"/>
      <c r="BE502" s="15">
        <f t="shared" si="41"/>
        <v>0</v>
      </c>
    </row>
    <row r="503" spans="1:57">
      <c r="A503" s="9"/>
      <c r="B503" s="16" t="s">
        <v>755</v>
      </c>
      <c r="C503" s="89" t="s">
        <v>151</v>
      </c>
      <c r="D503" s="75" t="s">
        <v>763</v>
      </c>
      <c r="E503" s="13" t="s">
        <v>767</v>
      </c>
      <c r="F503" s="95"/>
      <c r="G503" s="9"/>
      <c r="H503" s="9" t="s">
        <v>757</v>
      </c>
      <c r="I503" s="14"/>
      <c r="J503" s="14"/>
      <c r="K503" s="12">
        <v>0</v>
      </c>
      <c r="L503" s="9"/>
      <c r="M503" s="9"/>
      <c r="N503" s="9"/>
      <c r="O503" s="38">
        <f t="shared" si="37"/>
        <v>0</v>
      </c>
      <c r="P503" s="12"/>
      <c r="Q503" s="42"/>
      <c r="R503" s="15"/>
      <c r="S503" s="44"/>
      <c r="T503" s="15"/>
      <c r="U503" s="44"/>
      <c r="V503" s="15">
        <f t="shared" si="38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39"/>
        <v>0</v>
      </c>
      <c r="AF503" s="15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0"/>
        <v>0</v>
      </c>
      <c r="BA503" s="15"/>
      <c r="BB503" s="44"/>
      <c r="BC503" s="15"/>
      <c r="BD503" s="44"/>
      <c r="BE503" s="15">
        <f t="shared" si="41"/>
        <v>0</v>
      </c>
    </row>
    <row r="504" spans="1:57">
      <c r="A504" s="9"/>
      <c r="B504" s="16" t="s">
        <v>755</v>
      </c>
      <c r="C504" s="89" t="s">
        <v>151</v>
      </c>
      <c r="D504" s="75" t="s">
        <v>763</v>
      </c>
      <c r="E504" s="13" t="s">
        <v>768</v>
      </c>
      <c r="F504" s="95"/>
      <c r="G504" s="9"/>
      <c r="H504" s="9" t="s">
        <v>757</v>
      </c>
      <c r="I504" s="14"/>
      <c r="J504" s="14"/>
      <c r="K504" s="12">
        <v>0</v>
      </c>
      <c r="L504" s="9"/>
      <c r="M504" s="9"/>
      <c r="N504" s="9"/>
      <c r="O504" s="38">
        <f t="shared" si="37"/>
        <v>0</v>
      </c>
      <c r="P504" s="12"/>
      <c r="Q504" s="42"/>
      <c r="R504" s="15"/>
      <c r="S504" s="44"/>
      <c r="T504" s="15"/>
      <c r="U504" s="44"/>
      <c r="V504" s="15">
        <f t="shared" si="38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39"/>
        <v>0</v>
      </c>
      <c r="AF504" s="15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0"/>
        <v>0</v>
      </c>
      <c r="BA504" s="15"/>
      <c r="BB504" s="44"/>
      <c r="BC504" s="15"/>
      <c r="BD504" s="44"/>
      <c r="BE504" s="15">
        <f t="shared" si="41"/>
        <v>0</v>
      </c>
    </row>
    <row r="505" spans="1:57">
      <c r="A505" s="9"/>
      <c r="B505" s="16" t="s">
        <v>769</v>
      </c>
      <c r="C505" s="89" t="s">
        <v>494</v>
      </c>
      <c r="D505" s="61" t="s">
        <v>770</v>
      </c>
      <c r="E505" s="13"/>
      <c r="F505" s="95"/>
      <c r="G505" s="9"/>
      <c r="H505" s="23" t="s">
        <v>771</v>
      </c>
      <c r="I505" s="14"/>
      <c r="J505" s="14"/>
      <c r="K505" s="12">
        <v>0</v>
      </c>
      <c r="L505" s="9"/>
      <c r="M505" s="9"/>
      <c r="N505" s="9"/>
      <c r="O505" s="38">
        <f t="shared" si="37"/>
        <v>0</v>
      </c>
      <c r="P505" s="12"/>
      <c r="Q505" s="42"/>
      <c r="R505" s="15"/>
      <c r="S505" s="44"/>
      <c r="T505" s="15"/>
      <c r="U505" s="44"/>
      <c r="V505" s="15">
        <f t="shared" si="38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39"/>
        <v>0</v>
      </c>
      <c r="AF505" s="15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0"/>
        <v>0</v>
      </c>
      <c r="BA505" s="15"/>
      <c r="BB505" s="44"/>
      <c r="BC505" s="15"/>
      <c r="BD505" s="44"/>
      <c r="BE505" s="15">
        <f t="shared" si="41"/>
        <v>0</v>
      </c>
    </row>
    <row r="506" spans="1:57">
      <c r="A506" s="9"/>
      <c r="B506" s="16" t="s">
        <v>772</v>
      </c>
      <c r="C506" s="89" t="s">
        <v>151</v>
      </c>
      <c r="D506" s="61" t="s">
        <v>772</v>
      </c>
      <c r="E506" s="13"/>
      <c r="F506" s="95"/>
      <c r="G506" s="9"/>
      <c r="H506" s="9" t="s">
        <v>773</v>
      </c>
      <c r="I506" s="14"/>
      <c r="J506" s="14"/>
      <c r="K506" s="12">
        <v>0</v>
      </c>
      <c r="L506" s="9"/>
      <c r="M506" s="9"/>
      <c r="N506" s="9"/>
      <c r="O506" s="38">
        <f t="shared" si="37"/>
        <v>0</v>
      </c>
      <c r="P506" s="12"/>
      <c r="Q506" s="42"/>
      <c r="R506" s="15"/>
      <c r="S506" s="44"/>
      <c r="T506" s="15"/>
      <c r="U506" s="44"/>
      <c r="V506" s="15">
        <f t="shared" si="38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39"/>
        <v>0</v>
      </c>
      <c r="AF506" s="15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0"/>
        <v>0</v>
      </c>
      <c r="BA506" s="15"/>
      <c r="BB506" s="44"/>
      <c r="BC506" s="15"/>
      <c r="BD506" s="44"/>
      <c r="BE506" s="15">
        <f t="shared" si="41"/>
        <v>0</v>
      </c>
    </row>
    <row r="507" spans="1:57">
      <c r="A507" s="9"/>
      <c r="B507" s="16" t="s">
        <v>774</v>
      </c>
      <c r="C507" s="89" t="s">
        <v>151</v>
      </c>
      <c r="D507" s="59" t="s">
        <v>775</v>
      </c>
      <c r="E507" s="13"/>
      <c r="F507" s="95"/>
      <c r="G507" s="9"/>
      <c r="H507" s="9"/>
      <c r="I507" s="14"/>
      <c r="J507" s="14"/>
      <c r="K507" s="12">
        <v>0</v>
      </c>
      <c r="L507" s="9"/>
      <c r="M507" s="9"/>
      <c r="N507" s="9"/>
      <c r="O507" s="38">
        <f t="shared" si="37"/>
        <v>0</v>
      </c>
      <c r="P507" s="12"/>
      <c r="Q507" s="42"/>
      <c r="R507" s="15"/>
      <c r="S507" s="44"/>
      <c r="T507" s="15"/>
      <c r="U507" s="44"/>
      <c r="V507" s="15">
        <f t="shared" si="38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39"/>
        <v>0</v>
      </c>
      <c r="AF507" s="15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0"/>
        <v>0</v>
      </c>
      <c r="BA507" s="15"/>
      <c r="BB507" s="44"/>
      <c r="BC507" s="15"/>
      <c r="BD507" s="44"/>
      <c r="BE507" s="15">
        <f t="shared" si="41"/>
        <v>0</v>
      </c>
    </row>
    <row r="508" spans="1:57">
      <c r="A508" s="9"/>
      <c r="B508" s="16" t="s">
        <v>776</v>
      </c>
      <c r="C508" s="89" t="s">
        <v>151</v>
      </c>
      <c r="D508" s="56" t="s">
        <v>777</v>
      </c>
      <c r="E508" s="13"/>
      <c r="F508" s="95"/>
      <c r="G508" s="9"/>
      <c r="H508" s="9" t="s">
        <v>314</v>
      </c>
      <c r="I508" s="14"/>
      <c r="J508" s="14"/>
      <c r="K508" s="12">
        <v>0</v>
      </c>
      <c r="L508" s="9"/>
      <c r="M508" s="9"/>
      <c r="N508" s="9"/>
      <c r="O508" s="38">
        <f t="shared" si="37"/>
        <v>0</v>
      </c>
      <c r="P508" s="12"/>
      <c r="Q508" s="42"/>
      <c r="R508" s="15"/>
      <c r="S508" s="44"/>
      <c r="T508" s="15"/>
      <c r="U508" s="44"/>
      <c r="V508" s="15">
        <f t="shared" si="38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39"/>
        <v>0</v>
      </c>
      <c r="AF508" s="15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0"/>
        <v>0</v>
      </c>
      <c r="BA508" s="15"/>
      <c r="BB508" s="44"/>
      <c r="BC508" s="15"/>
      <c r="BD508" s="44"/>
      <c r="BE508" s="15">
        <f t="shared" si="41"/>
        <v>0</v>
      </c>
    </row>
    <row r="509" spans="1:57">
      <c r="A509" s="9"/>
      <c r="B509" s="16" t="s">
        <v>101</v>
      </c>
      <c r="C509" s="89" t="s">
        <v>151</v>
      </c>
      <c r="D509" s="56" t="s">
        <v>778</v>
      </c>
      <c r="E509" s="13"/>
      <c r="F509" s="95"/>
      <c r="G509" s="9"/>
      <c r="H509" s="9" t="s">
        <v>779</v>
      </c>
      <c r="I509" s="14"/>
      <c r="J509" s="14"/>
      <c r="K509" s="12">
        <v>0</v>
      </c>
      <c r="L509" s="9"/>
      <c r="M509" s="9"/>
      <c r="N509" s="9"/>
      <c r="O509" s="38">
        <f t="shared" si="37"/>
        <v>0</v>
      </c>
      <c r="P509" s="12"/>
      <c r="Q509" s="42"/>
      <c r="R509" s="15"/>
      <c r="S509" s="44"/>
      <c r="T509" s="15"/>
      <c r="U509" s="44"/>
      <c r="V509" s="15">
        <f t="shared" si="38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39"/>
        <v>0</v>
      </c>
      <c r="AF509" s="15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0"/>
        <v>0</v>
      </c>
      <c r="BA509" s="15"/>
      <c r="BB509" s="44"/>
      <c r="BC509" s="15"/>
      <c r="BD509" s="44"/>
      <c r="BE509" s="15">
        <f t="shared" si="41"/>
        <v>0</v>
      </c>
    </row>
    <row r="510" spans="1:57">
      <c r="A510" s="9"/>
      <c r="B510" s="16" t="s">
        <v>101</v>
      </c>
      <c r="C510" s="89" t="s">
        <v>151</v>
      </c>
      <c r="D510" s="56" t="s">
        <v>780</v>
      </c>
      <c r="E510" s="13"/>
      <c r="F510" s="95"/>
      <c r="G510" s="9"/>
      <c r="H510" s="9" t="s">
        <v>779</v>
      </c>
      <c r="I510" s="14"/>
      <c r="J510" s="14"/>
      <c r="K510" s="12">
        <v>0</v>
      </c>
      <c r="L510" s="9"/>
      <c r="M510" s="9"/>
      <c r="N510" s="9"/>
      <c r="O510" s="38">
        <f t="shared" si="37"/>
        <v>0</v>
      </c>
      <c r="P510" s="12"/>
      <c r="Q510" s="42"/>
      <c r="R510" s="15"/>
      <c r="S510" s="44"/>
      <c r="T510" s="15"/>
      <c r="U510" s="44"/>
      <c r="V510" s="15">
        <f t="shared" si="38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39"/>
        <v>0</v>
      </c>
      <c r="AF510" s="15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0"/>
        <v>0</v>
      </c>
      <c r="BA510" s="15"/>
      <c r="BB510" s="44"/>
      <c r="BC510" s="15"/>
      <c r="BD510" s="44"/>
      <c r="BE510" s="15">
        <f t="shared" si="41"/>
        <v>0</v>
      </c>
    </row>
    <row r="511" spans="1:57">
      <c r="A511" s="9"/>
      <c r="B511" s="16" t="s">
        <v>101</v>
      </c>
      <c r="C511" s="89" t="s">
        <v>151</v>
      </c>
      <c r="D511" s="56" t="s">
        <v>781</v>
      </c>
      <c r="E511" s="13"/>
      <c r="F511" s="95"/>
      <c r="G511" s="9"/>
      <c r="H511" s="9" t="s">
        <v>779</v>
      </c>
      <c r="I511" s="14"/>
      <c r="J511" s="14"/>
      <c r="K511" s="12">
        <v>0</v>
      </c>
      <c r="L511" s="9"/>
      <c r="M511" s="9"/>
      <c r="N511" s="9"/>
      <c r="O511" s="38">
        <f t="shared" si="37"/>
        <v>0</v>
      </c>
      <c r="P511" s="12"/>
      <c r="Q511" s="42"/>
      <c r="R511" s="15"/>
      <c r="S511" s="44"/>
      <c r="T511" s="15"/>
      <c r="U511" s="44"/>
      <c r="V511" s="15">
        <f t="shared" si="38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39"/>
        <v>0</v>
      </c>
      <c r="AF511" s="15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0"/>
        <v>0</v>
      </c>
      <c r="BA511" s="15"/>
      <c r="BB511" s="44"/>
      <c r="BC511" s="15"/>
      <c r="BD511" s="44"/>
      <c r="BE511" s="15">
        <f t="shared" si="41"/>
        <v>0</v>
      </c>
    </row>
    <row r="512" spans="1:57">
      <c r="A512" s="9"/>
      <c r="B512" s="16" t="s">
        <v>101</v>
      </c>
      <c r="C512" s="89" t="s">
        <v>151</v>
      </c>
      <c r="D512" s="56" t="s">
        <v>782</v>
      </c>
      <c r="E512" s="13"/>
      <c r="F512" s="95"/>
      <c r="G512" s="9"/>
      <c r="H512" s="9" t="s">
        <v>783</v>
      </c>
      <c r="I512" s="14"/>
      <c r="J512" s="14"/>
      <c r="K512" s="12">
        <v>0</v>
      </c>
      <c r="L512" s="9"/>
      <c r="M512" s="9"/>
      <c r="N512" s="9"/>
      <c r="O512" s="38">
        <f t="shared" si="37"/>
        <v>0</v>
      </c>
      <c r="P512" s="12"/>
      <c r="Q512" s="42"/>
      <c r="R512" s="15"/>
      <c r="S512" s="44"/>
      <c r="T512" s="15"/>
      <c r="U512" s="44"/>
      <c r="V512" s="15">
        <f t="shared" si="38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39"/>
        <v>0</v>
      </c>
      <c r="AF512" s="15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0"/>
        <v>0</v>
      </c>
      <c r="BA512" s="15"/>
      <c r="BB512" s="44"/>
      <c r="BC512" s="15"/>
      <c r="BD512" s="44"/>
      <c r="BE512" s="15">
        <f t="shared" si="41"/>
        <v>0</v>
      </c>
    </row>
    <row r="513" spans="1:57">
      <c r="A513" s="9"/>
      <c r="B513" s="16" t="s">
        <v>101</v>
      </c>
      <c r="C513" s="89" t="s">
        <v>151</v>
      </c>
      <c r="D513" s="56" t="s">
        <v>784</v>
      </c>
      <c r="E513" s="13"/>
      <c r="F513" s="95"/>
      <c r="G513" s="9"/>
      <c r="H513" s="9" t="s">
        <v>783</v>
      </c>
      <c r="I513" s="14"/>
      <c r="J513" s="14"/>
      <c r="K513" s="12">
        <v>0</v>
      </c>
      <c r="L513" s="9"/>
      <c r="M513" s="9"/>
      <c r="N513" s="9"/>
      <c r="O513" s="38">
        <f t="shared" si="37"/>
        <v>0</v>
      </c>
      <c r="P513" s="12"/>
      <c r="Q513" s="42"/>
      <c r="R513" s="15"/>
      <c r="S513" s="44"/>
      <c r="T513" s="15"/>
      <c r="U513" s="44"/>
      <c r="V513" s="15">
        <f t="shared" si="38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39"/>
        <v>0</v>
      </c>
      <c r="AF513" s="15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0"/>
        <v>0</v>
      </c>
      <c r="BA513" s="15"/>
      <c r="BB513" s="44"/>
      <c r="BC513" s="15"/>
      <c r="BD513" s="44"/>
      <c r="BE513" s="15">
        <f t="shared" si="41"/>
        <v>0</v>
      </c>
    </row>
    <row r="514" spans="1:57">
      <c r="A514" s="9"/>
      <c r="B514" s="16" t="s">
        <v>101</v>
      </c>
      <c r="C514" s="89" t="s">
        <v>151</v>
      </c>
      <c r="D514" s="56" t="s">
        <v>785</v>
      </c>
      <c r="E514" s="13"/>
      <c r="F514" s="95"/>
      <c r="G514" s="9"/>
      <c r="H514" s="9" t="s">
        <v>783</v>
      </c>
      <c r="I514" s="14"/>
      <c r="J514" s="14"/>
      <c r="K514" s="12">
        <v>0</v>
      </c>
      <c r="L514" s="9"/>
      <c r="M514" s="9"/>
      <c r="N514" s="9"/>
      <c r="O514" s="38">
        <f t="shared" ref="O514:O564" si="42">K514+V514-AE514-AZ514</f>
        <v>0</v>
      </c>
      <c r="P514" s="12"/>
      <c r="Q514" s="42"/>
      <c r="R514" s="15"/>
      <c r="S514" s="44"/>
      <c r="T514" s="15"/>
      <c r="U514" s="44"/>
      <c r="V514" s="15">
        <f t="shared" ref="V514:V564" si="43">P514+R514+T514</f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ref="AE514:AE564" si="44">(W514+Y514+AA514+AC514)</f>
        <v>0</v>
      </c>
      <c r="AF514" s="15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0"/>
        <v>0</v>
      </c>
      <c r="BA514" s="15"/>
      <c r="BB514" s="44"/>
      <c r="BC514" s="15"/>
      <c r="BD514" s="44"/>
      <c r="BE514" s="15">
        <f t="shared" si="41"/>
        <v>0</v>
      </c>
    </row>
    <row r="515" spans="1:57">
      <c r="A515" s="9"/>
      <c r="B515" s="16" t="s">
        <v>101</v>
      </c>
      <c r="C515" s="89" t="s">
        <v>151</v>
      </c>
      <c r="D515" s="56" t="s">
        <v>786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42"/>
        <v>0</v>
      </c>
      <c r="P515" s="12"/>
      <c r="Q515" s="42"/>
      <c r="R515" s="15"/>
      <c r="S515" s="44"/>
      <c r="T515" s="15"/>
      <c r="U515" s="44"/>
      <c r="V515" s="15">
        <f t="shared" si="43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4"/>
        <v>0</v>
      </c>
      <c r="AF515" s="15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ref="AZ515:AZ564" si="45">AF515+AH515+AJ515+AL515+AN515+AP515+AR515+AT515+AV515+AX515</f>
        <v>0</v>
      </c>
      <c r="BA515" s="15"/>
      <c r="BB515" s="44"/>
      <c r="BC515" s="15"/>
      <c r="BD515" s="44"/>
      <c r="BE515" s="15">
        <f t="shared" si="41"/>
        <v>0</v>
      </c>
    </row>
    <row r="516" spans="1:57">
      <c r="A516" s="9"/>
      <c r="B516" s="16" t="s">
        <v>101</v>
      </c>
      <c r="C516" s="89" t="s">
        <v>151</v>
      </c>
      <c r="D516" s="56" t="s">
        <v>787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si="42"/>
        <v>0</v>
      </c>
      <c r="P516" s="12"/>
      <c r="Q516" s="42"/>
      <c r="R516" s="15"/>
      <c r="S516" s="44"/>
      <c r="T516" s="15"/>
      <c r="U516" s="44"/>
      <c r="V516" s="15">
        <f t="shared" si="43"/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si="44"/>
        <v>0</v>
      </c>
      <c r="AF516" s="15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5"/>
        <v>0</v>
      </c>
      <c r="BA516" s="15"/>
      <c r="BB516" s="44"/>
      <c r="BC516" s="15"/>
      <c r="BD516" s="44"/>
      <c r="BE516" s="15">
        <f t="shared" si="41"/>
        <v>0</v>
      </c>
    </row>
    <row r="517" spans="1:57">
      <c r="A517" s="9"/>
      <c r="B517" s="16" t="s">
        <v>101</v>
      </c>
      <c r="C517" s="89" t="s">
        <v>151</v>
      </c>
      <c r="D517" s="56" t="s">
        <v>788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2"/>
        <v>0</v>
      </c>
      <c r="P517" s="12"/>
      <c r="Q517" s="42"/>
      <c r="R517" s="15"/>
      <c r="S517" s="44"/>
      <c r="T517" s="15"/>
      <c r="U517" s="44"/>
      <c r="V517" s="15">
        <f t="shared" si="43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4"/>
        <v>0</v>
      </c>
      <c r="AF517" s="15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5"/>
        <v>0</v>
      </c>
      <c r="BA517" s="15"/>
      <c r="BB517" s="44"/>
      <c r="BC517" s="15"/>
      <c r="BD517" s="44"/>
      <c r="BE517" s="15">
        <f t="shared" si="41"/>
        <v>0</v>
      </c>
    </row>
    <row r="518" spans="1:57">
      <c r="A518" s="9"/>
      <c r="B518" s="16" t="s">
        <v>101</v>
      </c>
      <c r="C518" s="89" t="s">
        <v>151</v>
      </c>
      <c r="D518" s="56" t="s">
        <v>789</v>
      </c>
      <c r="E518" s="13" t="s">
        <v>790</v>
      </c>
      <c r="F518" s="95"/>
      <c r="G518" s="9"/>
      <c r="H518" s="9" t="s">
        <v>791</v>
      </c>
      <c r="I518" s="14"/>
      <c r="J518" s="14"/>
      <c r="K518" s="12">
        <v>0</v>
      </c>
      <c r="L518" s="9"/>
      <c r="M518" s="9"/>
      <c r="N518" s="9"/>
      <c r="O518" s="38">
        <f t="shared" si="42"/>
        <v>0</v>
      </c>
      <c r="P518" s="12"/>
      <c r="Q518" s="42"/>
      <c r="R518" s="15"/>
      <c r="S518" s="44"/>
      <c r="T518" s="15"/>
      <c r="U518" s="44"/>
      <c r="V518" s="15">
        <f t="shared" si="43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4"/>
        <v>0</v>
      </c>
      <c r="AF518" s="15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5"/>
        <v>0</v>
      </c>
      <c r="BA518" s="15"/>
      <c r="BB518" s="44"/>
      <c r="BC518" s="15"/>
      <c r="BD518" s="44"/>
      <c r="BE518" s="15">
        <f t="shared" si="41"/>
        <v>0</v>
      </c>
    </row>
    <row r="519" spans="1:57">
      <c r="A519" s="9"/>
      <c r="B519" s="16" t="s">
        <v>101</v>
      </c>
      <c r="C519" s="89" t="s">
        <v>151</v>
      </c>
      <c r="D519" s="56" t="s">
        <v>792</v>
      </c>
      <c r="E519" s="13" t="s">
        <v>793</v>
      </c>
      <c r="F519" s="95"/>
      <c r="G519" s="9"/>
      <c r="H519" s="9" t="s">
        <v>791</v>
      </c>
      <c r="I519" s="14"/>
      <c r="J519" s="14"/>
      <c r="K519" s="12">
        <v>0</v>
      </c>
      <c r="L519" s="9"/>
      <c r="M519" s="9"/>
      <c r="N519" s="9"/>
      <c r="O519" s="38">
        <f t="shared" si="42"/>
        <v>0</v>
      </c>
      <c r="P519" s="12"/>
      <c r="Q519" s="42"/>
      <c r="R519" s="15"/>
      <c r="S519" s="44"/>
      <c r="T519" s="15"/>
      <c r="U519" s="44"/>
      <c r="V519" s="15">
        <f t="shared" si="43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4"/>
        <v>0</v>
      </c>
      <c r="AF519" s="15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5"/>
        <v>0</v>
      </c>
      <c r="BA519" s="15"/>
      <c r="BB519" s="44"/>
      <c r="BC519" s="15"/>
      <c r="BD519" s="44"/>
      <c r="BE519" s="15">
        <f t="shared" si="41"/>
        <v>0</v>
      </c>
    </row>
    <row r="520" spans="1:57">
      <c r="A520" s="9"/>
      <c r="B520" s="16" t="s">
        <v>330</v>
      </c>
      <c r="C520" s="89" t="s">
        <v>151</v>
      </c>
      <c r="D520" s="56" t="s">
        <v>794</v>
      </c>
      <c r="E520" s="13" t="s">
        <v>330</v>
      </c>
      <c r="F520" s="95"/>
      <c r="G520" s="9"/>
      <c r="H520" s="9" t="s">
        <v>332</v>
      </c>
      <c r="I520" s="14"/>
      <c r="J520" s="14"/>
      <c r="K520" s="12">
        <v>0</v>
      </c>
      <c r="L520" s="9"/>
      <c r="M520" s="9"/>
      <c r="N520" s="9"/>
      <c r="O520" s="38">
        <f t="shared" si="42"/>
        <v>0</v>
      </c>
      <c r="P520" s="12"/>
      <c r="Q520" s="42"/>
      <c r="R520" s="15"/>
      <c r="S520" s="44"/>
      <c r="T520" s="15"/>
      <c r="U520" s="44"/>
      <c r="V520" s="15">
        <f t="shared" si="43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4"/>
        <v>0</v>
      </c>
      <c r="AF520" s="15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5"/>
        <v>0</v>
      </c>
      <c r="BA520" s="15"/>
      <c r="BB520" s="44"/>
      <c r="BC520" s="15"/>
      <c r="BD520" s="44"/>
      <c r="BE520" s="15">
        <f t="shared" si="41"/>
        <v>0</v>
      </c>
    </row>
    <row r="521" spans="1:57">
      <c r="A521" s="9"/>
      <c r="B521" s="16" t="s">
        <v>330</v>
      </c>
      <c r="C521" s="89" t="s">
        <v>52</v>
      </c>
      <c r="D521" s="56" t="s">
        <v>795</v>
      </c>
      <c r="E521" s="13" t="s">
        <v>796</v>
      </c>
      <c r="F521" s="95"/>
      <c r="G521" s="9"/>
      <c r="H521" s="9" t="s">
        <v>332</v>
      </c>
      <c r="I521" s="14"/>
      <c r="J521" s="14"/>
      <c r="K521" s="12">
        <v>0</v>
      </c>
      <c r="L521" s="9"/>
      <c r="M521" s="9"/>
      <c r="N521" s="9"/>
      <c r="O521" s="38">
        <f t="shared" si="42"/>
        <v>0</v>
      </c>
      <c r="P521" s="12"/>
      <c r="Q521" s="42"/>
      <c r="R521" s="15"/>
      <c r="S521" s="44"/>
      <c r="T521" s="15"/>
      <c r="U521" s="44"/>
      <c r="V521" s="15">
        <f t="shared" si="43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4"/>
        <v>0</v>
      </c>
      <c r="AF521" s="15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5"/>
        <v>0</v>
      </c>
      <c r="BA521" s="15"/>
      <c r="BB521" s="44"/>
      <c r="BC521" s="15"/>
      <c r="BD521" s="44"/>
      <c r="BE521" s="15">
        <f t="shared" si="41"/>
        <v>0</v>
      </c>
    </row>
    <row r="522" spans="1:57">
      <c r="A522" s="9"/>
      <c r="B522" s="16" t="s">
        <v>797</v>
      </c>
      <c r="C522" s="89" t="s">
        <v>151</v>
      </c>
      <c r="D522" s="56" t="s">
        <v>798</v>
      </c>
      <c r="E522" s="13"/>
      <c r="F522" s="95"/>
      <c r="G522" s="9"/>
      <c r="H522" s="9" t="s">
        <v>467</v>
      </c>
      <c r="I522" s="14"/>
      <c r="J522" s="14"/>
      <c r="K522" s="12">
        <v>0</v>
      </c>
      <c r="L522" s="9"/>
      <c r="M522" s="9"/>
      <c r="N522" s="9"/>
      <c r="O522" s="38">
        <f t="shared" si="42"/>
        <v>0</v>
      </c>
      <c r="P522" s="12"/>
      <c r="Q522" s="42"/>
      <c r="R522" s="15"/>
      <c r="S522" s="44"/>
      <c r="T522" s="15"/>
      <c r="U522" s="44"/>
      <c r="V522" s="15">
        <f t="shared" si="43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4"/>
        <v>0</v>
      </c>
      <c r="AF522" s="15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5"/>
        <v>0</v>
      </c>
      <c r="BA522" s="15"/>
      <c r="BB522" s="44"/>
      <c r="BC522" s="15"/>
      <c r="BD522" s="44"/>
      <c r="BE522" s="15">
        <f t="shared" si="41"/>
        <v>0</v>
      </c>
    </row>
    <row r="523" spans="1:57">
      <c r="A523" s="9"/>
      <c r="B523" s="16" t="s">
        <v>799</v>
      </c>
      <c r="C523" s="89"/>
      <c r="D523" s="56" t="s">
        <v>800</v>
      </c>
      <c r="E523" s="13" t="s">
        <v>48</v>
      </c>
      <c r="F523" s="95"/>
      <c r="G523" s="9"/>
      <c r="H523" s="9" t="s">
        <v>687</v>
      </c>
      <c r="I523" s="14"/>
      <c r="J523" s="14"/>
      <c r="K523" s="12">
        <v>240</v>
      </c>
      <c r="L523" s="9"/>
      <c r="M523" s="9"/>
      <c r="N523" s="9"/>
      <c r="O523" s="38">
        <f t="shared" si="42"/>
        <v>240</v>
      </c>
      <c r="P523" s="12"/>
      <c r="Q523" s="42"/>
      <c r="R523" s="15"/>
      <c r="S523" s="44"/>
      <c r="T523" s="15"/>
      <c r="U523" s="44"/>
      <c r="V523" s="15">
        <f t="shared" si="43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4"/>
        <v>0</v>
      </c>
      <c r="AF523" s="15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5"/>
        <v>0</v>
      </c>
      <c r="BA523" s="15"/>
      <c r="BB523" s="44"/>
      <c r="BC523" s="15"/>
      <c r="BD523" s="44"/>
      <c r="BE523" s="15">
        <f t="shared" si="41"/>
        <v>0</v>
      </c>
    </row>
    <row r="524" spans="1:57">
      <c r="A524" s="9"/>
      <c r="B524" s="16" t="s">
        <v>801</v>
      </c>
      <c r="C524" s="89"/>
      <c r="D524" s="56" t="s">
        <v>802</v>
      </c>
      <c r="E524" s="13"/>
      <c r="F524" s="95"/>
      <c r="G524" s="9"/>
      <c r="H524" s="9" t="s">
        <v>687</v>
      </c>
      <c r="I524" s="14"/>
      <c r="J524" s="14"/>
      <c r="K524" s="12">
        <v>0</v>
      </c>
      <c r="L524" s="9"/>
      <c r="M524" s="9"/>
      <c r="N524" s="9"/>
      <c r="O524" s="38">
        <f t="shared" si="42"/>
        <v>0</v>
      </c>
      <c r="P524" s="12"/>
      <c r="Q524" s="42"/>
      <c r="R524" s="15"/>
      <c r="S524" s="44"/>
      <c r="T524" s="15"/>
      <c r="U524" s="44"/>
      <c r="V524" s="15">
        <f t="shared" si="43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4"/>
        <v>0</v>
      </c>
      <c r="AF524" s="15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5"/>
        <v>0</v>
      </c>
      <c r="BA524" s="15"/>
      <c r="BB524" s="44"/>
      <c r="BC524" s="15"/>
      <c r="BD524" s="44"/>
      <c r="BE524" s="15">
        <f t="shared" si="41"/>
        <v>0</v>
      </c>
    </row>
    <row r="525" spans="1:57">
      <c r="A525" s="9"/>
      <c r="B525" s="16" t="s">
        <v>801</v>
      </c>
      <c r="C525" s="89"/>
      <c r="D525" s="59" t="s">
        <v>803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2"/>
        <v>0</v>
      </c>
      <c r="P525" s="12"/>
      <c r="Q525" s="42"/>
      <c r="R525" s="15"/>
      <c r="S525" s="44"/>
      <c r="T525" s="15"/>
      <c r="U525" s="44"/>
      <c r="V525" s="15">
        <f t="shared" si="43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4"/>
        <v>0</v>
      </c>
      <c r="AF525" s="15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5"/>
        <v>0</v>
      </c>
      <c r="BA525" s="15"/>
      <c r="BB525" s="44"/>
      <c r="BC525" s="15"/>
      <c r="BD525" s="44"/>
      <c r="BE525" s="15">
        <f t="shared" si="41"/>
        <v>0</v>
      </c>
    </row>
    <row r="526" spans="1:57">
      <c r="A526" s="9"/>
      <c r="B526" s="16" t="s">
        <v>801</v>
      </c>
      <c r="C526" s="89"/>
      <c r="D526" s="87" t="s">
        <v>804</v>
      </c>
      <c r="E526" s="13"/>
      <c r="F526" s="95"/>
      <c r="G526" s="9"/>
      <c r="H526" s="9" t="s">
        <v>805</v>
      </c>
      <c r="I526" s="14"/>
      <c r="J526" s="14"/>
      <c r="K526" s="12">
        <v>0</v>
      </c>
      <c r="L526" s="9"/>
      <c r="M526" s="9"/>
      <c r="N526" s="9"/>
      <c r="O526" s="38">
        <f t="shared" si="42"/>
        <v>0</v>
      </c>
      <c r="P526" s="12"/>
      <c r="Q526" s="42"/>
      <c r="R526" s="15"/>
      <c r="S526" s="44"/>
      <c r="T526" s="15"/>
      <c r="U526" s="44"/>
      <c r="V526" s="15">
        <f t="shared" si="43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4"/>
        <v>0</v>
      </c>
      <c r="AF526" s="15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5"/>
        <v>0</v>
      </c>
      <c r="BA526" s="15"/>
      <c r="BB526" s="44"/>
      <c r="BC526" s="15"/>
      <c r="BD526" s="44"/>
      <c r="BE526" s="15">
        <f t="shared" si="41"/>
        <v>0</v>
      </c>
    </row>
    <row r="527" spans="1:57">
      <c r="A527" s="9"/>
      <c r="B527" s="16" t="s">
        <v>801</v>
      </c>
      <c r="C527" s="89" t="s">
        <v>52</v>
      </c>
      <c r="D527" s="56" t="s">
        <v>806</v>
      </c>
      <c r="E527" s="13"/>
      <c r="F527" s="95"/>
      <c r="G527" s="9"/>
      <c r="H527" s="9" t="s">
        <v>805</v>
      </c>
      <c r="I527" s="14"/>
      <c r="J527" s="14"/>
      <c r="K527" s="12">
        <v>7</v>
      </c>
      <c r="L527" s="9"/>
      <c r="M527" s="9"/>
      <c r="N527" s="9"/>
      <c r="O527" s="38">
        <f t="shared" si="42"/>
        <v>7</v>
      </c>
      <c r="P527" s="12"/>
      <c r="Q527" s="42"/>
      <c r="R527" s="15"/>
      <c r="S527" s="44"/>
      <c r="T527" s="15"/>
      <c r="U527" s="44"/>
      <c r="V527" s="15">
        <f t="shared" si="43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4"/>
        <v>0</v>
      </c>
      <c r="AF527" s="15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5"/>
        <v>0</v>
      </c>
      <c r="BA527" s="15"/>
      <c r="BB527" s="44"/>
      <c r="BC527" s="15"/>
      <c r="BD527" s="44"/>
      <c r="BE527" s="15">
        <f t="shared" si="41"/>
        <v>0</v>
      </c>
    </row>
    <row r="528" spans="1:57">
      <c r="A528" s="9"/>
      <c r="B528" s="16" t="s">
        <v>570</v>
      </c>
      <c r="C528" s="89" t="s">
        <v>52</v>
      </c>
      <c r="D528" s="56" t="s">
        <v>807</v>
      </c>
      <c r="E528" s="13"/>
      <c r="F528" s="95"/>
      <c r="G528" s="9"/>
      <c r="H528" s="9" t="s">
        <v>805</v>
      </c>
      <c r="I528" s="14"/>
      <c r="J528" s="14"/>
      <c r="K528" s="12">
        <v>10</v>
      </c>
      <c r="L528" s="9"/>
      <c r="M528" s="9"/>
      <c r="N528" s="9"/>
      <c r="O528" s="38">
        <f t="shared" si="42"/>
        <v>10</v>
      </c>
      <c r="P528" s="12"/>
      <c r="Q528" s="42"/>
      <c r="R528" s="15"/>
      <c r="S528" s="44"/>
      <c r="T528" s="15"/>
      <c r="U528" s="44"/>
      <c r="V528" s="15">
        <f t="shared" si="43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4"/>
        <v>0</v>
      </c>
      <c r="AF528" s="15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5"/>
        <v>0</v>
      </c>
      <c r="BA528" s="15"/>
      <c r="BB528" s="44"/>
      <c r="BC528" s="15"/>
      <c r="BD528" s="44"/>
      <c r="BE528" s="15">
        <f t="shared" si="41"/>
        <v>0</v>
      </c>
    </row>
    <row r="529" spans="1:57">
      <c r="A529" s="9"/>
      <c r="B529" s="16" t="s">
        <v>808</v>
      </c>
      <c r="C529" s="89" t="s">
        <v>52</v>
      </c>
      <c r="D529" s="59" t="s">
        <v>809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2"/>
        <v>0</v>
      </c>
      <c r="P529" s="12"/>
      <c r="Q529" s="42"/>
      <c r="R529" s="15"/>
      <c r="S529" s="44"/>
      <c r="T529" s="15"/>
      <c r="U529" s="44"/>
      <c r="V529" s="15">
        <f t="shared" si="43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4"/>
        <v>0</v>
      </c>
      <c r="AF529" s="15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5"/>
        <v>0</v>
      </c>
      <c r="BA529" s="15"/>
      <c r="BB529" s="44"/>
      <c r="BC529" s="15"/>
      <c r="BD529" s="44"/>
      <c r="BE529" s="15">
        <f t="shared" si="41"/>
        <v>0</v>
      </c>
    </row>
    <row r="530" spans="1:57">
      <c r="A530" s="9"/>
      <c r="B530" s="16" t="s">
        <v>808</v>
      </c>
      <c r="C530" s="89" t="s">
        <v>52</v>
      </c>
      <c r="D530" s="59" t="s">
        <v>810</v>
      </c>
      <c r="E530" s="13"/>
      <c r="F530" s="95"/>
      <c r="G530" s="9"/>
      <c r="H530" s="9" t="s">
        <v>314</v>
      </c>
      <c r="I530" s="14"/>
      <c r="J530" s="14"/>
      <c r="K530" s="12">
        <v>0</v>
      </c>
      <c r="L530" s="9"/>
      <c r="M530" s="9"/>
      <c r="N530" s="9"/>
      <c r="O530" s="38">
        <f t="shared" si="42"/>
        <v>0</v>
      </c>
      <c r="P530" s="12"/>
      <c r="Q530" s="42"/>
      <c r="R530" s="15"/>
      <c r="S530" s="44"/>
      <c r="T530" s="15"/>
      <c r="U530" s="44"/>
      <c r="V530" s="15">
        <f t="shared" si="43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4"/>
        <v>0</v>
      </c>
      <c r="AF530" s="15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5"/>
        <v>0</v>
      </c>
      <c r="BA530" s="15"/>
      <c r="BB530" s="44"/>
      <c r="BC530" s="15"/>
      <c r="BD530" s="44"/>
      <c r="BE530" s="15">
        <f t="shared" si="41"/>
        <v>0</v>
      </c>
    </row>
    <row r="531" spans="1:57">
      <c r="A531" s="9"/>
      <c r="B531" s="16" t="s">
        <v>811</v>
      </c>
      <c r="C531" s="89" t="s">
        <v>140</v>
      </c>
      <c r="D531" s="59" t="s">
        <v>812</v>
      </c>
      <c r="E531" s="13" t="s">
        <v>813</v>
      </c>
      <c r="F531" s="95"/>
      <c r="G531" s="9"/>
      <c r="H531" s="9" t="s">
        <v>566</v>
      </c>
      <c r="I531" s="14"/>
      <c r="J531" s="14"/>
      <c r="K531" s="12">
        <v>0</v>
      </c>
      <c r="L531" s="9"/>
      <c r="M531" s="9"/>
      <c r="N531" s="9"/>
      <c r="O531" s="38">
        <f t="shared" si="42"/>
        <v>0</v>
      </c>
      <c r="P531" s="12"/>
      <c r="Q531" s="42"/>
      <c r="R531" s="15"/>
      <c r="S531" s="44"/>
      <c r="T531" s="15"/>
      <c r="U531" s="44"/>
      <c r="V531" s="15">
        <f t="shared" si="43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4"/>
        <v>0</v>
      </c>
      <c r="AF531" s="15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5"/>
        <v>0</v>
      </c>
      <c r="BA531" s="15"/>
      <c r="BB531" s="44"/>
      <c r="BC531" s="15"/>
      <c r="BD531" s="44"/>
      <c r="BE531" s="15">
        <f t="shared" si="41"/>
        <v>0</v>
      </c>
    </row>
    <row r="532" spans="1:57">
      <c r="A532" s="9"/>
      <c r="B532" s="16" t="s">
        <v>811</v>
      </c>
      <c r="C532" s="89" t="s">
        <v>132</v>
      </c>
      <c r="D532" s="59" t="s">
        <v>812</v>
      </c>
      <c r="E532" s="13"/>
      <c r="F532" s="95"/>
      <c r="G532" s="9"/>
      <c r="H532" s="9" t="s">
        <v>566</v>
      </c>
      <c r="I532" s="14"/>
      <c r="J532" s="14"/>
      <c r="K532" s="12">
        <v>0</v>
      </c>
      <c r="L532" s="9"/>
      <c r="M532" s="9"/>
      <c r="N532" s="9"/>
      <c r="O532" s="38">
        <f t="shared" si="42"/>
        <v>0</v>
      </c>
      <c r="P532" s="12"/>
      <c r="Q532" s="42"/>
      <c r="R532" s="15"/>
      <c r="S532" s="44"/>
      <c r="T532" s="15"/>
      <c r="U532" s="44"/>
      <c r="V532" s="15">
        <f t="shared" si="43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4"/>
        <v>0</v>
      </c>
      <c r="AF532" s="15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5"/>
        <v>0</v>
      </c>
      <c r="BA532" s="15"/>
      <c r="BB532" s="44"/>
      <c r="BC532" s="15"/>
      <c r="BD532" s="44"/>
      <c r="BE532" s="15">
        <f t="shared" si="41"/>
        <v>0</v>
      </c>
    </row>
    <row r="533" spans="1:57">
      <c r="A533" s="9"/>
      <c r="B533" s="16" t="s">
        <v>811</v>
      </c>
      <c r="C533" s="89" t="s">
        <v>140</v>
      </c>
      <c r="D533" s="56" t="s">
        <v>814</v>
      </c>
      <c r="E533" s="13" t="s">
        <v>815</v>
      </c>
      <c r="F533" s="95"/>
      <c r="G533" s="9"/>
      <c r="H533" s="9" t="s">
        <v>566</v>
      </c>
      <c r="I533" s="14"/>
      <c r="J533" s="14"/>
      <c r="K533" s="12">
        <v>0</v>
      </c>
      <c r="L533" s="9"/>
      <c r="M533" s="9"/>
      <c r="N533" s="9"/>
      <c r="O533" s="38">
        <f t="shared" si="42"/>
        <v>0</v>
      </c>
      <c r="P533" s="12"/>
      <c r="Q533" s="42"/>
      <c r="R533" s="15"/>
      <c r="S533" s="44"/>
      <c r="T533" s="15"/>
      <c r="U533" s="44"/>
      <c r="V533" s="15">
        <f t="shared" si="43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4"/>
        <v>0</v>
      </c>
      <c r="AF533" s="15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5"/>
        <v>0</v>
      </c>
      <c r="BA533" s="15"/>
      <c r="BB533" s="44"/>
      <c r="BC533" s="15"/>
      <c r="BD533" s="44"/>
      <c r="BE533" s="15">
        <f t="shared" si="41"/>
        <v>0</v>
      </c>
    </row>
    <row r="534" spans="1:57" ht="24" customHeight="1">
      <c r="A534" s="9"/>
      <c r="B534" s="16" t="s">
        <v>204</v>
      </c>
      <c r="C534" s="89" t="s">
        <v>44</v>
      </c>
      <c r="D534" s="56" t="s">
        <v>816</v>
      </c>
      <c r="E534" s="13"/>
      <c r="F534" s="95"/>
      <c r="G534" s="9"/>
      <c r="H534" s="9" t="s">
        <v>817</v>
      </c>
      <c r="I534" s="14"/>
      <c r="J534" s="14"/>
      <c r="K534" s="12">
        <v>0</v>
      </c>
      <c r="L534" s="9"/>
      <c r="M534" s="9"/>
      <c r="N534" s="9"/>
      <c r="O534" s="38">
        <f t="shared" si="42"/>
        <v>0</v>
      </c>
      <c r="P534" s="12"/>
      <c r="Q534" s="42"/>
      <c r="R534" s="15"/>
      <c r="S534" s="44"/>
      <c r="T534" s="15"/>
      <c r="U534" s="44"/>
      <c r="V534" s="15">
        <f t="shared" si="43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4"/>
        <v>0</v>
      </c>
      <c r="AF534" s="15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5"/>
        <v>0</v>
      </c>
      <c r="BA534" s="15"/>
      <c r="BB534" s="44"/>
      <c r="BC534" s="15"/>
      <c r="BD534" s="44"/>
      <c r="BE534" s="15">
        <f t="shared" si="41"/>
        <v>0</v>
      </c>
    </row>
    <row r="535" spans="1:57" ht="24" customHeight="1">
      <c r="A535" s="9"/>
      <c r="B535" s="16" t="s">
        <v>334</v>
      </c>
      <c r="C535" s="89" t="s">
        <v>44</v>
      </c>
      <c r="D535" s="59" t="s">
        <v>818</v>
      </c>
      <c r="E535" s="13"/>
      <c r="F535" s="95"/>
      <c r="G535" s="9"/>
      <c r="H535" s="9" t="s">
        <v>314</v>
      </c>
      <c r="I535" s="14"/>
      <c r="J535" s="14"/>
      <c r="K535" s="12">
        <v>0</v>
      </c>
      <c r="L535" s="9"/>
      <c r="M535" s="9"/>
      <c r="N535" s="9"/>
      <c r="O535" s="38">
        <f t="shared" si="42"/>
        <v>0</v>
      </c>
      <c r="P535" s="12"/>
      <c r="Q535" s="42"/>
      <c r="R535" s="15"/>
      <c r="S535" s="44"/>
      <c r="T535" s="15"/>
      <c r="U535" s="44"/>
      <c r="V535" s="15">
        <f t="shared" si="43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4"/>
        <v>0</v>
      </c>
      <c r="AF535" s="15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5"/>
        <v>0</v>
      </c>
      <c r="BA535" s="15"/>
      <c r="BB535" s="44"/>
      <c r="BC535" s="15"/>
      <c r="BD535" s="44"/>
      <c r="BE535" s="15">
        <f t="shared" si="41"/>
        <v>0</v>
      </c>
    </row>
    <row r="536" spans="1:57">
      <c r="A536" s="9"/>
      <c r="B536" s="16" t="s">
        <v>808</v>
      </c>
      <c r="C536" s="89" t="s">
        <v>151</v>
      </c>
      <c r="D536" s="59" t="s">
        <v>819</v>
      </c>
      <c r="E536" s="13"/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2"/>
        <v>0</v>
      </c>
      <c r="P536" s="12"/>
      <c r="Q536" s="42"/>
      <c r="R536" s="15"/>
      <c r="S536" s="44"/>
      <c r="T536" s="15"/>
      <c r="U536" s="44"/>
      <c r="V536" s="15">
        <f t="shared" si="43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4"/>
        <v>0</v>
      </c>
      <c r="AF536" s="15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5"/>
        <v>0</v>
      </c>
      <c r="BA536" s="15"/>
      <c r="BB536" s="44"/>
      <c r="BC536" s="15"/>
      <c r="BD536" s="44"/>
      <c r="BE536" s="15">
        <f t="shared" si="41"/>
        <v>0</v>
      </c>
    </row>
    <row r="537" spans="1:57">
      <c r="A537" s="9"/>
      <c r="B537" s="16" t="s">
        <v>808</v>
      </c>
      <c r="C537" s="89" t="s">
        <v>151</v>
      </c>
      <c r="D537" s="59" t="s">
        <v>820</v>
      </c>
      <c r="E537" s="13"/>
      <c r="F537" s="95"/>
      <c r="G537" s="9"/>
      <c r="H537" s="9" t="s">
        <v>566</v>
      </c>
      <c r="I537" s="14"/>
      <c r="J537" s="14"/>
      <c r="K537" s="12">
        <v>0</v>
      </c>
      <c r="L537" s="9"/>
      <c r="M537" s="9"/>
      <c r="N537" s="9"/>
      <c r="O537" s="38">
        <f t="shared" si="42"/>
        <v>0</v>
      </c>
      <c r="P537" s="12"/>
      <c r="Q537" s="42"/>
      <c r="R537" s="15"/>
      <c r="S537" s="44"/>
      <c r="T537" s="15"/>
      <c r="U537" s="44"/>
      <c r="V537" s="15">
        <f t="shared" si="43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4"/>
        <v>0</v>
      </c>
      <c r="AF537" s="15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5"/>
        <v>0</v>
      </c>
      <c r="BA537" s="15"/>
      <c r="BB537" s="44"/>
      <c r="BC537" s="15"/>
      <c r="BD537" s="44"/>
      <c r="BE537" s="15">
        <f t="shared" si="41"/>
        <v>0</v>
      </c>
    </row>
    <row r="538" spans="1:57">
      <c r="A538" s="9"/>
      <c r="B538" s="16" t="s">
        <v>808</v>
      </c>
      <c r="C538" s="89" t="s">
        <v>52</v>
      </c>
      <c r="D538" s="59" t="s">
        <v>821</v>
      </c>
      <c r="E538" s="13"/>
      <c r="F538" s="95"/>
      <c r="G538" s="9"/>
      <c r="H538" s="9" t="s">
        <v>566</v>
      </c>
      <c r="I538" s="14"/>
      <c r="J538" s="14"/>
      <c r="K538" s="12">
        <v>0</v>
      </c>
      <c r="L538" s="9"/>
      <c r="M538" s="9"/>
      <c r="N538" s="9"/>
      <c r="O538" s="38">
        <f t="shared" si="42"/>
        <v>0</v>
      </c>
      <c r="P538" s="12"/>
      <c r="Q538" s="42"/>
      <c r="R538" s="15"/>
      <c r="S538" s="44"/>
      <c r="T538" s="15"/>
      <c r="U538" s="44"/>
      <c r="V538" s="15">
        <f t="shared" si="43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4"/>
        <v>0</v>
      </c>
      <c r="AF538" s="15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5"/>
        <v>0</v>
      </c>
      <c r="BA538" s="15"/>
      <c r="BB538" s="44"/>
      <c r="BC538" s="15"/>
      <c r="BD538" s="44"/>
      <c r="BE538" s="15">
        <f t="shared" si="41"/>
        <v>0</v>
      </c>
    </row>
    <row r="539" spans="1:57">
      <c r="A539" s="9"/>
      <c r="B539" s="16" t="s">
        <v>808</v>
      </c>
      <c r="C539" s="89" t="s">
        <v>52</v>
      </c>
      <c r="D539" s="56" t="s">
        <v>822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2"/>
        <v>0</v>
      </c>
      <c r="P539" s="12"/>
      <c r="Q539" s="42"/>
      <c r="R539" s="15"/>
      <c r="S539" s="44"/>
      <c r="T539" s="15"/>
      <c r="U539" s="44"/>
      <c r="V539" s="15">
        <f t="shared" si="43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4"/>
        <v>0</v>
      </c>
      <c r="AF539" s="15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5"/>
        <v>0</v>
      </c>
      <c r="BA539" s="15"/>
      <c r="BB539" s="44"/>
      <c r="BC539" s="15"/>
      <c r="BD539" s="44"/>
      <c r="BE539" s="15">
        <f t="shared" si="41"/>
        <v>0</v>
      </c>
    </row>
    <row r="540" spans="1:57">
      <c r="A540" s="9"/>
      <c r="B540" s="16" t="s">
        <v>808</v>
      </c>
      <c r="C540" s="89" t="s">
        <v>52</v>
      </c>
      <c r="D540" s="56" t="s">
        <v>823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2"/>
        <v>0</v>
      </c>
      <c r="P540" s="12"/>
      <c r="Q540" s="42"/>
      <c r="R540" s="15"/>
      <c r="S540" s="44"/>
      <c r="T540" s="15"/>
      <c r="U540" s="44"/>
      <c r="V540" s="15">
        <f t="shared" si="43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4"/>
        <v>0</v>
      </c>
      <c r="AF540" s="15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5"/>
        <v>0</v>
      </c>
      <c r="BA540" s="15"/>
      <c r="BB540" s="44"/>
      <c r="BC540" s="15"/>
      <c r="BD540" s="44"/>
      <c r="BE540" s="15">
        <f t="shared" si="41"/>
        <v>0</v>
      </c>
    </row>
    <row r="541" spans="1:57">
      <c r="A541" s="9"/>
      <c r="B541" s="16" t="s">
        <v>808</v>
      </c>
      <c r="C541" s="89" t="s">
        <v>52</v>
      </c>
      <c r="D541" s="56" t="s">
        <v>824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2"/>
        <v>0</v>
      </c>
      <c r="P541" s="12"/>
      <c r="Q541" s="42"/>
      <c r="R541" s="15"/>
      <c r="S541" s="44"/>
      <c r="T541" s="15"/>
      <c r="U541" s="44"/>
      <c r="V541" s="15">
        <f t="shared" si="43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4"/>
        <v>0</v>
      </c>
      <c r="AF541" s="15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5"/>
        <v>0</v>
      </c>
      <c r="BA541" s="15"/>
      <c r="BB541" s="44"/>
      <c r="BC541" s="15"/>
      <c r="BD541" s="44"/>
      <c r="BE541" s="15">
        <f t="shared" si="41"/>
        <v>0</v>
      </c>
    </row>
    <row r="542" spans="1:57">
      <c r="A542" s="9"/>
      <c r="B542" s="16" t="s">
        <v>808</v>
      </c>
      <c r="C542" s="89" t="s">
        <v>52</v>
      </c>
      <c r="D542" s="56" t="s">
        <v>825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2"/>
        <v>0</v>
      </c>
      <c r="P542" s="12"/>
      <c r="Q542" s="42"/>
      <c r="R542" s="15"/>
      <c r="S542" s="44"/>
      <c r="T542" s="15"/>
      <c r="U542" s="44"/>
      <c r="V542" s="15">
        <f t="shared" si="43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4"/>
        <v>0</v>
      </c>
      <c r="AF542" s="15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5"/>
        <v>0</v>
      </c>
      <c r="BA542" s="15"/>
      <c r="BB542" s="44"/>
      <c r="BC542" s="15"/>
      <c r="BD542" s="44"/>
      <c r="BE542" s="15">
        <f t="shared" si="41"/>
        <v>0</v>
      </c>
    </row>
    <row r="543" spans="1:57">
      <c r="A543" s="9"/>
      <c r="B543" s="16" t="s">
        <v>808</v>
      </c>
      <c r="C543" s="89" t="s">
        <v>52</v>
      </c>
      <c r="D543" s="59" t="s">
        <v>826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2"/>
        <v>0</v>
      </c>
      <c r="P543" s="12"/>
      <c r="Q543" s="42"/>
      <c r="R543" s="15"/>
      <c r="S543" s="44"/>
      <c r="T543" s="15"/>
      <c r="U543" s="44"/>
      <c r="V543" s="15">
        <f t="shared" si="43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4"/>
        <v>0</v>
      </c>
      <c r="AF543" s="15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5"/>
        <v>0</v>
      </c>
      <c r="BA543" s="15"/>
      <c r="BB543" s="44"/>
      <c r="BC543" s="15"/>
      <c r="BD543" s="44"/>
      <c r="BE543" s="15">
        <f t="shared" ref="BE543:BE564" si="46">(BA543+BC543)</f>
        <v>0</v>
      </c>
    </row>
    <row r="544" spans="1:57">
      <c r="A544" s="9"/>
      <c r="B544" s="16" t="s">
        <v>808</v>
      </c>
      <c r="C544" s="89" t="s">
        <v>52</v>
      </c>
      <c r="D544" s="59" t="s">
        <v>827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2"/>
        <v>0</v>
      </c>
      <c r="P544" s="12"/>
      <c r="Q544" s="42"/>
      <c r="R544" s="15"/>
      <c r="S544" s="44"/>
      <c r="T544" s="15"/>
      <c r="U544" s="44"/>
      <c r="V544" s="15">
        <f t="shared" si="43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4"/>
        <v>0</v>
      </c>
      <c r="AF544" s="15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5"/>
        <v>0</v>
      </c>
      <c r="BA544" s="15"/>
      <c r="BB544" s="44"/>
      <c r="BC544" s="15"/>
      <c r="BD544" s="44"/>
      <c r="BE544" s="15">
        <f t="shared" si="46"/>
        <v>0</v>
      </c>
    </row>
    <row r="545" spans="1:57">
      <c r="A545" s="9"/>
      <c r="B545" s="16" t="s">
        <v>808</v>
      </c>
      <c r="C545" s="89" t="s">
        <v>52</v>
      </c>
      <c r="D545" s="75" t="s">
        <v>828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2"/>
        <v>0</v>
      </c>
      <c r="P545" s="12"/>
      <c r="Q545" s="42"/>
      <c r="R545" s="15"/>
      <c r="S545" s="44"/>
      <c r="T545" s="15"/>
      <c r="U545" s="44"/>
      <c r="V545" s="15">
        <f t="shared" si="43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4"/>
        <v>0</v>
      </c>
      <c r="AF545" s="15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5"/>
        <v>0</v>
      </c>
      <c r="BA545" s="15"/>
      <c r="BB545" s="44"/>
      <c r="BC545" s="15"/>
      <c r="BD545" s="44"/>
      <c r="BE545" s="15">
        <f t="shared" si="46"/>
        <v>0</v>
      </c>
    </row>
    <row r="546" spans="1:57">
      <c r="A546" s="9"/>
      <c r="B546" s="16" t="s">
        <v>808</v>
      </c>
      <c r="C546" s="89" t="s">
        <v>52</v>
      </c>
      <c r="D546" s="87" t="s">
        <v>829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2"/>
        <v>0</v>
      </c>
      <c r="P546" s="12"/>
      <c r="Q546" s="42"/>
      <c r="R546" s="15"/>
      <c r="S546" s="44"/>
      <c r="T546" s="15"/>
      <c r="U546" s="44"/>
      <c r="V546" s="15">
        <f t="shared" si="43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4"/>
        <v>0</v>
      </c>
      <c r="AF546" s="15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5"/>
        <v>0</v>
      </c>
      <c r="BA546" s="15"/>
      <c r="BB546" s="44"/>
      <c r="BC546" s="15"/>
      <c r="BD546" s="44"/>
      <c r="BE546" s="15">
        <f t="shared" si="46"/>
        <v>0</v>
      </c>
    </row>
    <row r="547" spans="1:57">
      <c r="A547" s="9"/>
      <c r="B547" s="16" t="s">
        <v>830</v>
      </c>
      <c r="C547" s="89" t="s">
        <v>494</v>
      </c>
      <c r="D547" s="75" t="s">
        <v>830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2"/>
        <v>0</v>
      </c>
      <c r="P547" s="12"/>
      <c r="Q547" s="42"/>
      <c r="R547" s="15"/>
      <c r="S547" s="44"/>
      <c r="T547" s="15"/>
      <c r="U547" s="44"/>
      <c r="V547" s="15">
        <f t="shared" si="43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4"/>
        <v>0</v>
      </c>
      <c r="AF547" s="15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5"/>
        <v>0</v>
      </c>
      <c r="BA547" s="15"/>
      <c r="BB547" s="44"/>
      <c r="BC547" s="15"/>
      <c r="BD547" s="44"/>
      <c r="BE547" s="15">
        <f t="shared" si="46"/>
        <v>0</v>
      </c>
    </row>
    <row r="548" spans="1:57">
      <c r="A548" s="9"/>
      <c r="B548" s="16" t="s">
        <v>831</v>
      </c>
      <c r="C548" s="89" t="s">
        <v>52</v>
      </c>
      <c r="D548" s="75" t="s">
        <v>832</v>
      </c>
      <c r="E548" s="13"/>
      <c r="F548" s="95"/>
      <c r="G548" s="9"/>
      <c r="H548" s="9" t="s">
        <v>314</v>
      </c>
      <c r="I548" s="14"/>
      <c r="J548" s="14"/>
      <c r="K548" s="12">
        <v>37</v>
      </c>
      <c r="L548" s="9"/>
      <c r="M548" s="9"/>
      <c r="N548" s="9"/>
      <c r="O548" s="38">
        <f t="shared" si="42"/>
        <v>37</v>
      </c>
      <c r="P548" s="12"/>
      <c r="Q548" s="42"/>
      <c r="R548" s="15"/>
      <c r="S548" s="44"/>
      <c r="T548" s="15"/>
      <c r="U548" s="44"/>
      <c r="V548" s="15">
        <f t="shared" si="43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4"/>
        <v>0</v>
      </c>
      <c r="AF548" s="15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5"/>
        <v>0</v>
      </c>
      <c r="BA548" s="15"/>
      <c r="BB548" s="44"/>
      <c r="BC548" s="15"/>
      <c r="BD548" s="44"/>
      <c r="BE548" s="15">
        <f t="shared" si="46"/>
        <v>0</v>
      </c>
    </row>
    <row r="549" spans="1:57">
      <c r="A549" s="9"/>
      <c r="B549" s="16" t="s">
        <v>570</v>
      </c>
      <c r="C549" s="89" t="s">
        <v>52</v>
      </c>
      <c r="D549" s="75" t="s">
        <v>833</v>
      </c>
      <c r="E549" s="13"/>
      <c r="F549" s="95"/>
      <c r="G549" s="9"/>
      <c r="H549" s="9" t="s">
        <v>314</v>
      </c>
      <c r="I549" s="14"/>
      <c r="J549" s="14"/>
      <c r="K549" s="12">
        <v>91</v>
      </c>
      <c r="L549" s="9"/>
      <c r="M549" s="9"/>
      <c r="N549" s="9"/>
      <c r="O549" s="38">
        <f t="shared" si="42"/>
        <v>91</v>
      </c>
      <c r="P549" s="12"/>
      <c r="Q549" s="42"/>
      <c r="R549" s="15"/>
      <c r="S549" s="44"/>
      <c r="T549" s="15"/>
      <c r="U549" s="44"/>
      <c r="V549" s="15">
        <f t="shared" si="43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4"/>
        <v>0</v>
      </c>
      <c r="AF549" s="15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si="45"/>
        <v>0</v>
      </c>
      <c r="BA549" s="15"/>
      <c r="BB549" s="44"/>
      <c r="BC549" s="15"/>
      <c r="BD549" s="44"/>
      <c r="BE549" s="15">
        <f t="shared" si="46"/>
        <v>0</v>
      </c>
    </row>
    <row r="550" spans="1:57">
      <c r="A550" s="9"/>
      <c r="B550" s="16" t="s">
        <v>204</v>
      </c>
      <c r="C550" s="89" t="s">
        <v>52</v>
      </c>
      <c r="D550" s="61" t="s">
        <v>834</v>
      </c>
      <c r="E550" s="13"/>
      <c r="F550" s="95"/>
      <c r="G550" s="9"/>
      <c r="H550" s="23" t="s">
        <v>566</v>
      </c>
      <c r="I550" s="14"/>
      <c r="J550" s="14"/>
      <c r="K550" s="12">
        <v>0</v>
      </c>
      <c r="L550" s="9"/>
      <c r="M550" s="9"/>
      <c r="N550" s="9"/>
      <c r="O550" s="38">
        <f t="shared" si="42"/>
        <v>0</v>
      </c>
      <c r="P550" s="12"/>
      <c r="Q550" s="42"/>
      <c r="R550" s="15"/>
      <c r="S550" s="44"/>
      <c r="T550" s="15"/>
      <c r="U550" s="44"/>
      <c r="V550" s="15">
        <f t="shared" si="43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4"/>
        <v>0</v>
      </c>
      <c r="AF550" s="15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5"/>
        <v>0</v>
      </c>
      <c r="BA550" s="15"/>
      <c r="BB550" s="44"/>
      <c r="BC550" s="15"/>
      <c r="BD550" s="44"/>
      <c r="BE550" s="15">
        <f t="shared" si="46"/>
        <v>0</v>
      </c>
    </row>
    <row r="551" spans="1:57">
      <c r="A551" s="9"/>
      <c r="B551" s="16" t="s">
        <v>233</v>
      </c>
      <c r="C551" s="89" t="s">
        <v>494</v>
      </c>
      <c r="D551" s="61" t="s">
        <v>835</v>
      </c>
      <c r="E551" s="13"/>
      <c r="F551" s="95"/>
      <c r="G551" s="9"/>
      <c r="H551" s="9" t="s">
        <v>558</v>
      </c>
      <c r="I551" s="14"/>
      <c r="J551" s="14"/>
      <c r="K551" s="12">
        <v>53</v>
      </c>
      <c r="L551" s="9"/>
      <c r="M551" s="9"/>
      <c r="N551" s="9"/>
      <c r="O551" s="38">
        <f t="shared" si="42"/>
        <v>53</v>
      </c>
      <c r="P551" s="12"/>
      <c r="Q551" s="42"/>
      <c r="R551" s="15"/>
      <c r="S551" s="44"/>
      <c r="T551" s="15"/>
      <c r="U551" s="44"/>
      <c r="V551" s="15">
        <f t="shared" si="43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4"/>
        <v>0</v>
      </c>
      <c r="AF551" s="15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5"/>
        <v>0</v>
      </c>
      <c r="BA551" s="15"/>
      <c r="BB551" s="44"/>
      <c r="BC551" s="15"/>
      <c r="BD551" s="44"/>
      <c r="BE551" s="15">
        <f t="shared" si="46"/>
        <v>0</v>
      </c>
    </row>
    <row r="552" spans="1:57">
      <c r="A552" s="9"/>
      <c r="B552" s="16" t="s">
        <v>836</v>
      </c>
      <c r="C552" s="89" t="s">
        <v>151</v>
      </c>
      <c r="D552" s="59" t="s">
        <v>837</v>
      </c>
      <c r="E552" s="13"/>
      <c r="F552" s="95"/>
      <c r="G552" s="9"/>
      <c r="H552" s="9" t="s">
        <v>805</v>
      </c>
      <c r="I552" s="14"/>
      <c r="J552" s="14"/>
      <c r="K552" s="12">
        <v>0</v>
      </c>
      <c r="L552" s="9"/>
      <c r="M552" s="9"/>
      <c r="N552" s="9"/>
      <c r="O552" s="38">
        <f t="shared" si="42"/>
        <v>0</v>
      </c>
      <c r="P552" s="12"/>
      <c r="Q552" s="42"/>
      <c r="R552" s="15"/>
      <c r="S552" s="44"/>
      <c r="T552" s="15"/>
      <c r="U552" s="44"/>
      <c r="V552" s="15">
        <f t="shared" si="43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4"/>
        <v>0</v>
      </c>
      <c r="AF552" s="15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5"/>
        <v>0</v>
      </c>
      <c r="BA552" s="15"/>
      <c r="BB552" s="44"/>
      <c r="BC552" s="15"/>
      <c r="BD552" s="44"/>
      <c r="BE552" s="15">
        <f t="shared" si="46"/>
        <v>0</v>
      </c>
    </row>
    <row r="553" spans="1:57">
      <c r="A553" s="9"/>
      <c r="B553" s="16" t="s">
        <v>836</v>
      </c>
      <c r="C553" s="89" t="s">
        <v>151</v>
      </c>
      <c r="D553" s="56" t="s">
        <v>838</v>
      </c>
      <c r="E553" s="13"/>
      <c r="F553" s="95"/>
      <c r="G553" s="9"/>
      <c r="H553" s="9" t="s">
        <v>805</v>
      </c>
      <c r="I553" s="14"/>
      <c r="J553" s="14"/>
      <c r="K553" s="12">
        <v>0</v>
      </c>
      <c r="L553" s="9"/>
      <c r="M553" s="9"/>
      <c r="N553" s="9"/>
      <c r="O553" s="38">
        <f t="shared" si="42"/>
        <v>0</v>
      </c>
      <c r="P553" s="12"/>
      <c r="Q553" s="42"/>
      <c r="R553" s="15"/>
      <c r="S553" s="44"/>
      <c r="T553" s="15"/>
      <c r="U553" s="44"/>
      <c r="V553" s="15">
        <f t="shared" si="43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4"/>
        <v>0</v>
      </c>
      <c r="AF553" s="15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5"/>
        <v>0</v>
      </c>
      <c r="BA553" s="15"/>
      <c r="BB553" s="44"/>
      <c r="BC553" s="15"/>
      <c r="BD553" s="44"/>
      <c r="BE553" s="15">
        <f t="shared" si="46"/>
        <v>0</v>
      </c>
    </row>
    <row r="554" spans="1:57">
      <c r="A554" s="9"/>
      <c r="B554" s="16" t="s">
        <v>836</v>
      </c>
      <c r="C554" s="89" t="s">
        <v>151</v>
      </c>
      <c r="D554" s="59" t="s">
        <v>839</v>
      </c>
      <c r="E554" s="13"/>
      <c r="F554" s="95"/>
      <c r="G554" s="9"/>
      <c r="H554" s="9" t="s">
        <v>840</v>
      </c>
      <c r="I554" s="14"/>
      <c r="J554" s="14"/>
      <c r="K554" s="12">
        <v>0</v>
      </c>
      <c r="L554" s="9"/>
      <c r="M554" s="9"/>
      <c r="N554" s="9"/>
      <c r="O554" s="38">
        <f t="shared" si="42"/>
        <v>0</v>
      </c>
      <c r="P554" s="12"/>
      <c r="Q554" s="42"/>
      <c r="R554" s="15"/>
      <c r="S554" s="44"/>
      <c r="T554" s="15"/>
      <c r="U554" s="44"/>
      <c r="V554" s="15">
        <f t="shared" si="43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4"/>
        <v>0</v>
      </c>
      <c r="AF554" s="15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5"/>
        <v>0</v>
      </c>
      <c r="BA554" s="15"/>
      <c r="BB554" s="44"/>
      <c r="BC554" s="15"/>
      <c r="BD554" s="44"/>
      <c r="BE554" s="15">
        <f t="shared" si="46"/>
        <v>0</v>
      </c>
    </row>
    <row r="555" spans="1:57">
      <c r="A555" s="9"/>
      <c r="B555" s="16" t="s">
        <v>836</v>
      </c>
      <c r="C555" s="89" t="s">
        <v>151</v>
      </c>
      <c r="D555" s="59" t="s">
        <v>841</v>
      </c>
      <c r="E555" s="13"/>
      <c r="F555" s="95"/>
      <c r="G555" s="9"/>
      <c r="H555" s="9" t="s">
        <v>840</v>
      </c>
      <c r="I555" s="14"/>
      <c r="J555" s="14"/>
      <c r="K555" s="12">
        <v>0</v>
      </c>
      <c r="L555" s="9"/>
      <c r="M555" s="9"/>
      <c r="N555" s="9"/>
      <c r="O555" s="38">
        <f t="shared" si="42"/>
        <v>0</v>
      </c>
      <c r="P555" s="12"/>
      <c r="Q555" s="42"/>
      <c r="R555" s="15"/>
      <c r="S555" s="44"/>
      <c r="T555" s="15"/>
      <c r="U555" s="44"/>
      <c r="V555" s="15">
        <f t="shared" si="43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4"/>
        <v>0</v>
      </c>
      <c r="AF555" s="15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5"/>
        <v>0</v>
      </c>
      <c r="BA555" s="15"/>
      <c r="BB555" s="44"/>
      <c r="BC555" s="15"/>
      <c r="BD555" s="44"/>
      <c r="BE555" s="15">
        <f t="shared" si="46"/>
        <v>0</v>
      </c>
    </row>
    <row r="556" spans="1:57">
      <c r="A556" s="9"/>
      <c r="B556" s="16" t="s">
        <v>836</v>
      </c>
      <c r="C556" s="89" t="s">
        <v>151</v>
      </c>
      <c r="D556" s="59" t="s">
        <v>842</v>
      </c>
      <c r="E556" s="13"/>
      <c r="F556" s="95"/>
      <c r="G556" s="9"/>
      <c r="H556" s="9" t="s">
        <v>840</v>
      </c>
      <c r="I556" s="14"/>
      <c r="J556" s="14"/>
      <c r="K556" s="12">
        <v>0</v>
      </c>
      <c r="L556" s="9"/>
      <c r="M556" s="9"/>
      <c r="N556" s="9"/>
      <c r="O556" s="38">
        <f t="shared" si="42"/>
        <v>0</v>
      </c>
      <c r="P556" s="12"/>
      <c r="Q556" s="42"/>
      <c r="R556" s="15"/>
      <c r="S556" s="44"/>
      <c r="T556" s="15"/>
      <c r="U556" s="44"/>
      <c r="V556" s="15">
        <f t="shared" si="43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4"/>
        <v>0</v>
      </c>
      <c r="AF556" s="15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5"/>
        <v>0</v>
      </c>
      <c r="BA556" s="15"/>
      <c r="BB556" s="44"/>
      <c r="BC556" s="15"/>
      <c r="BD556" s="44"/>
      <c r="BE556" s="15">
        <f t="shared" si="46"/>
        <v>0</v>
      </c>
    </row>
    <row r="557" spans="1:57">
      <c r="A557" s="9"/>
      <c r="B557" s="16" t="s">
        <v>836</v>
      </c>
      <c r="C557" s="89" t="s">
        <v>151</v>
      </c>
      <c r="D557" s="59" t="s">
        <v>843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2"/>
        <v>0</v>
      </c>
      <c r="P557" s="12"/>
      <c r="Q557" s="42"/>
      <c r="R557" s="15"/>
      <c r="S557" s="44"/>
      <c r="T557" s="15"/>
      <c r="U557" s="44"/>
      <c r="V557" s="15">
        <f t="shared" si="43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4"/>
        <v>0</v>
      </c>
      <c r="AF557" s="15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5"/>
        <v>0</v>
      </c>
      <c r="BA557" s="15"/>
      <c r="BB557" s="44"/>
      <c r="BC557" s="15"/>
      <c r="BD557" s="44"/>
      <c r="BE557" s="15">
        <f t="shared" si="46"/>
        <v>0</v>
      </c>
    </row>
    <row r="558" spans="1:57">
      <c r="A558" s="9"/>
      <c r="B558" s="16" t="s">
        <v>836</v>
      </c>
      <c r="C558" s="89" t="s">
        <v>151</v>
      </c>
      <c r="D558" s="56" t="s">
        <v>844</v>
      </c>
      <c r="E558" s="13" t="s">
        <v>845</v>
      </c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2"/>
        <v>0</v>
      </c>
      <c r="P558" s="12"/>
      <c r="Q558" s="42"/>
      <c r="R558" s="15"/>
      <c r="S558" s="44"/>
      <c r="T558" s="15"/>
      <c r="U558" s="44"/>
      <c r="V558" s="15">
        <f t="shared" si="43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4"/>
        <v>0</v>
      </c>
      <c r="AF558" s="15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5"/>
        <v>0</v>
      </c>
      <c r="BA558" s="15"/>
      <c r="BB558" s="44"/>
      <c r="BC558" s="15"/>
      <c r="BD558" s="44"/>
      <c r="BE558" s="15">
        <f t="shared" si="46"/>
        <v>0</v>
      </c>
    </row>
    <row r="559" spans="1:57">
      <c r="A559" s="9"/>
      <c r="B559" s="16" t="s">
        <v>846</v>
      </c>
      <c r="C559" s="89" t="s">
        <v>151</v>
      </c>
      <c r="D559" s="56" t="s">
        <v>847</v>
      </c>
      <c r="E559" s="13" t="s">
        <v>848</v>
      </c>
      <c r="F559" s="95"/>
      <c r="G559" s="9"/>
      <c r="H559" s="9" t="s">
        <v>746</v>
      </c>
      <c r="I559" s="14"/>
      <c r="J559" s="14"/>
      <c r="K559" s="12">
        <v>0</v>
      </c>
      <c r="L559" s="9"/>
      <c r="M559" s="9"/>
      <c r="N559" s="9"/>
      <c r="O559" s="38">
        <f t="shared" si="42"/>
        <v>0</v>
      </c>
      <c r="P559" s="12"/>
      <c r="Q559" s="42"/>
      <c r="R559" s="15"/>
      <c r="S559" s="44"/>
      <c r="T559" s="15"/>
      <c r="U559" s="44"/>
      <c r="V559" s="15">
        <f t="shared" si="43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4"/>
        <v>0</v>
      </c>
      <c r="AF559" s="15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5"/>
        <v>0</v>
      </c>
      <c r="BA559" s="15"/>
      <c r="BB559" s="44"/>
      <c r="BC559" s="15"/>
      <c r="BD559" s="44"/>
      <c r="BE559" s="15">
        <f t="shared" si="46"/>
        <v>0</v>
      </c>
    </row>
    <row r="560" spans="1:57">
      <c r="A560" s="9"/>
      <c r="B560" s="16" t="s">
        <v>846</v>
      </c>
      <c r="C560" s="89" t="s">
        <v>151</v>
      </c>
      <c r="D560" s="56" t="s">
        <v>849</v>
      </c>
      <c r="E560" s="13"/>
      <c r="F560" s="95"/>
      <c r="G560" s="9"/>
      <c r="H560" s="9" t="s">
        <v>467</v>
      </c>
      <c r="I560" s="14"/>
      <c r="J560" s="14"/>
      <c r="K560" s="12">
        <v>0</v>
      </c>
      <c r="L560" s="9"/>
      <c r="M560" s="9"/>
      <c r="N560" s="9"/>
      <c r="O560" s="38">
        <f t="shared" si="42"/>
        <v>0</v>
      </c>
      <c r="P560" s="12"/>
      <c r="Q560" s="42"/>
      <c r="R560" s="15"/>
      <c r="S560" s="44"/>
      <c r="T560" s="15"/>
      <c r="U560" s="44"/>
      <c r="V560" s="15">
        <f t="shared" si="43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4"/>
        <v>0</v>
      </c>
      <c r="AF560" s="15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5"/>
        <v>0</v>
      </c>
      <c r="BA560" s="15"/>
      <c r="BB560" s="44"/>
      <c r="BC560" s="15"/>
      <c r="BD560" s="44"/>
      <c r="BE560" s="15">
        <f t="shared" si="46"/>
        <v>0</v>
      </c>
    </row>
    <row r="561" spans="1:57">
      <c r="A561" s="9"/>
      <c r="B561" s="16" t="s">
        <v>850</v>
      </c>
      <c r="C561" s="89" t="s">
        <v>151</v>
      </c>
      <c r="D561" s="56" t="s">
        <v>851</v>
      </c>
      <c r="E561" s="13"/>
      <c r="F561" s="95"/>
      <c r="G561" s="9"/>
      <c r="H561" s="9" t="s">
        <v>67</v>
      </c>
      <c r="I561" s="14"/>
      <c r="J561" s="14"/>
      <c r="K561" s="12">
        <v>0</v>
      </c>
      <c r="L561" s="9"/>
      <c r="M561" s="9"/>
      <c r="N561" s="9"/>
      <c r="O561" s="38">
        <f t="shared" si="42"/>
        <v>0</v>
      </c>
      <c r="P561" s="12"/>
      <c r="Q561" s="42"/>
      <c r="R561" s="15"/>
      <c r="S561" s="44"/>
      <c r="T561" s="15"/>
      <c r="U561" s="44"/>
      <c r="V561" s="15">
        <f t="shared" si="43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4"/>
        <v>0</v>
      </c>
      <c r="AF561" s="15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5"/>
        <v>0</v>
      </c>
      <c r="BA561" s="15"/>
      <c r="BB561" s="44"/>
      <c r="BC561" s="15"/>
      <c r="BD561" s="44"/>
      <c r="BE561" s="15">
        <f t="shared" si="46"/>
        <v>0</v>
      </c>
    </row>
    <row r="562" spans="1:57">
      <c r="A562" s="9"/>
      <c r="B562" s="16" t="s">
        <v>161</v>
      </c>
      <c r="C562" s="89" t="s">
        <v>151</v>
      </c>
      <c r="D562" s="59" t="s">
        <v>852</v>
      </c>
      <c r="E562" s="13" t="s">
        <v>853</v>
      </c>
      <c r="F562" s="95"/>
      <c r="G562" s="9"/>
      <c r="H562" s="9" t="s">
        <v>467</v>
      </c>
      <c r="I562" s="14"/>
      <c r="J562" s="14"/>
      <c r="K562" s="12">
        <v>0</v>
      </c>
      <c r="L562" s="9"/>
      <c r="M562" s="9"/>
      <c r="N562" s="9"/>
      <c r="O562" s="38">
        <f t="shared" si="42"/>
        <v>0</v>
      </c>
      <c r="P562" s="12"/>
      <c r="Q562" s="42"/>
      <c r="R562" s="15"/>
      <c r="S562" s="44"/>
      <c r="T562" s="15"/>
      <c r="U562" s="44"/>
      <c r="V562" s="15">
        <f t="shared" si="43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4"/>
        <v>0</v>
      </c>
      <c r="AF562" s="15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5"/>
        <v>0</v>
      </c>
      <c r="BA562" s="15"/>
      <c r="BB562" s="44"/>
      <c r="BC562" s="15"/>
      <c r="BD562" s="44"/>
      <c r="BE562" s="15">
        <f t="shared" si="46"/>
        <v>0</v>
      </c>
    </row>
    <row r="563" spans="1:57">
      <c r="A563" s="9"/>
      <c r="B563" s="16" t="s">
        <v>854</v>
      </c>
      <c r="C563" s="89" t="s">
        <v>140</v>
      </c>
      <c r="D563" s="86" t="s">
        <v>855</v>
      </c>
      <c r="E563" s="13" t="s">
        <v>856</v>
      </c>
      <c r="F563" s="95"/>
      <c r="G563" s="9"/>
      <c r="H563" s="9" t="s">
        <v>422</v>
      </c>
      <c r="I563" s="14"/>
      <c r="J563" s="14"/>
      <c r="K563" s="12">
        <v>0</v>
      </c>
      <c r="L563" s="9"/>
      <c r="M563" s="9"/>
      <c r="N563" s="9"/>
      <c r="O563" s="38">
        <f t="shared" si="42"/>
        <v>0</v>
      </c>
      <c r="P563" s="12"/>
      <c r="Q563" s="42"/>
      <c r="R563" s="15"/>
      <c r="S563" s="44"/>
      <c r="T563" s="15"/>
      <c r="U563" s="44"/>
      <c r="V563" s="15">
        <f t="shared" si="43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4"/>
        <v>0</v>
      </c>
      <c r="AF563" s="15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5"/>
        <v>0</v>
      </c>
      <c r="BA563" s="15"/>
      <c r="BB563" s="44"/>
      <c r="BC563" s="15"/>
      <c r="BD563" s="44"/>
      <c r="BE563" s="15">
        <f t="shared" si="46"/>
        <v>0</v>
      </c>
    </row>
    <row r="564" spans="1:57">
      <c r="A564" s="9"/>
      <c r="B564" s="16" t="s">
        <v>489</v>
      </c>
      <c r="C564" s="89" t="s">
        <v>132</v>
      </c>
      <c r="D564" s="56" t="s">
        <v>857</v>
      </c>
      <c r="E564" s="13" t="s">
        <v>858</v>
      </c>
      <c r="F564" s="95"/>
      <c r="G564" s="9"/>
      <c r="H564" s="9" t="s">
        <v>859</v>
      </c>
      <c r="I564" s="14"/>
      <c r="J564" s="14"/>
      <c r="K564" s="12">
        <v>1200</v>
      </c>
      <c r="L564" s="9"/>
      <c r="M564" s="9"/>
      <c r="N564" s="9"/>
      <c r="O564" s="38">
        <f t="shared" si="42"/>
        <v>1200</v>
      </c>
      <c r="P564" s="12"/>
      <c r="Q564" s="42"/>
      <c r="R564" s="15"/>
      <c r="S564" s="44"/>
      <c r="T564" s="15"/>
      <c r="U564" s="44"/>
      <c r="V564" s="15">
        <f t="shared" si="43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4"/>
        <v>0</v>
      </c>
      <c r="AF564" s="15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5"/>
        <v>0</v>
      </c>
      <c r="BA564" s="15"/>
      <c r="BB564" s="44"/>
      <c r="BC564" s="15"/>
      <c r="BD564" s="44"/>
      <c r="BE564" s="15">
        <f t="shared" si="46"/>
        <v>0</v>
      </c>
    </row>
    <row r="565" spans="1:57">
      <c r="A565" s="9"/>
      <c r="B565" s="47"/>
      <c r="C565" s="93"/>
      <c r="D565" s="88"/>
      <c r="E565" s="48"/>
      <c r="F565" s="49"/>
      <c r="G565" s="46"/>
      <c r="H565" s="46"/>
      <c r="I565" s="50"/>
      <c r="J565" s="50"/>
      <c r="K565" s="12">
        <v>0</v>
      </c>
      <c r="L565" s="46"/>
      <c r="M565" s="46"/>
      <c r="N565" s="46"/>
      <c r="O565" s="51"/>
      <c r="P565" s="49"/>
      <c r="Q565" s="52"/>
      <c r="R565" s="53"/>
      <c r="S565" s="54"/>
      <c r="T565" s="53"/>
      <c r="U565" s="54"/>
      <c r="V565" s="53"/>
      <c r="W565" s="53"/>
      <c r="X565" s="54"/>
      <c r="Y565" s="53"/>
      <c r="Z565" s="54"/>
      <c r="AA565" s="53"/>
      <c r="AB565" s="54"/>
      <c r="AC565" s="53"/>
      <c r="AD565" s="54"/>
      <c r="AE565" s="53"/>
      <c r="AF565" s="53"/>
      <c r="AG565" s="52"/>
      <c r="AH565" s="53"/>
      <c r="AI565" s="52"/>
      <c r="AJ565" s="53"/>
      <c r="AK565" s="52"/>
      <c r="AL565" s="53"/>
      <c r="AM565" s="52"/>
      <c r="AN565" s="53"/>
      <c r="AO565" s="52"/>
      <c r="AP565" s="53"/>
      <c r="AQ565" s="52"/>
      <c r="AR565" s="53"/>
      <c r="AS565" s="52"/>
      <c r="AT565" s="53"/>
      <c r="AU565" s="52"/>
      <c r="AV565" s="53"/>
      <c r="AW565" s="52"/>
      <c r="AX565" s="53"/>
      <c r="AY565" s="52"/>
      <c r="AZ565" s="53"/>
      <c r="BA565" s="53"/>
      <c r="BB565" s="54"/>
      <c r="BC565" s="53"/>
      <c r="BD565" s="54"/>
      <c r="BE565" s="53"/>
    </row>
    <row r="566" spans="1:57">
      <c r="A566" s="9">
        <v>999</v>
      </c>
      <c r="B566" s="16" t="s">
        <v>204</v>
      </c>
      <c r="C566" s="89" t="s">
        <v>132</v>
      </c>
      <c r="D566" s="56" t="s">
        <v>860</v>
      </c>
      <c r="E566" s="11" t="s">
        <v>861</v>
      </c>
      <c r="F566" s="12"/>
      <c r="G566" s="9"/>
      <c r="H566" s="9" t="s">
        <v>207</v>
      </c>
      <c r="I566" s="14"/>
      <c r="J566" s="14"/>
      <c r="K566" s="12">
        <v>0</v>
      </c>
      <c r="L566" s="9"/>
      <c r="M566" s="9"/>
      <c r="N566" s="9"/>
      <c r="O566" s="38">
        <f t="shared" ref="O566:O597" si="47">K566+V566-AE566-AZ566</f>
        <v>0</v>
      </c>
      <c r="P566" s="12"/>
      <c r="Q566" s="42"/>
      <c r="R566" s="15"/>
      <c r="S566" s="44"/>
      <c r="T566" s="15"/>
      <c r="U566" s="44"/>
      <c r="V566" s="15">
        <f t="shared" ref="V566:V577" si="48">P566+R566+T566</f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ref="AE566:AE577" si="49">(W566+Y566+AA566+AC566)</f>
        <v>0</v>
      </c>
      <c r="AF566" s="15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ref="AZ566:AZ577" si="50">AF566+AH566+AJ566+AL566+AN566+AP566+AR566+AT566+AV566+AX566</f>
        <v>0</v>
      </c>
      <c r="BA566" s="15"/>
      <c r="BB566" s="44"/>
      <c r="BC566" s="15"/>
      <c r="BD566" s="44"/>
      <c r="BE566" s="15">
        <f t="shared" ref="BE566:BE577" si="51">(BA566+BC566)</f>
        <v>0</v>
      </c>
    </row>
    <row r="567" spans="1:57">
      <c r="A567" s="9">
        <v>999</v>
      </c>
      <c r="B567" s="16" t="s">
        <v>204</v>
      </c>
      <c r="C567" s="89" t="s">
        <v>132</v>
      </c>
      <c r="D567" s="56" t="s">
        <v>862</v>
      </c>
      <c r="E567" s="11" t="s">
        <v>861</v>
      </c>
      <c r="F567" s="12"/>
      <c r="G567" s="9"/>
      <c r="H567" s="9" t="s">
        <v>207</v>
      </c>
      <c r="I567" s="14"/>
      <c r="J567" s="14"/>
      <c r="K567" s="12">
        <v>0</v>
      </c>
      <c r="L567" s="9"/>
      <c r="M567" s="9"/>
      <c r="N567" s="9"/>
      <c r="O567" s="38">
        <f t="shared" si="47"/>
        <v>0</v>
      </c>
      <c r="P567" s="12"/>
      <c r="Q567" s="42"/>
      <c r="R567" s="15"/>
      <c r="S567" s="44"/>
      <c r="T567" s="15"/>
      <c r="U567" s="44"/>
      <c r="V567" s="15">
        <f t="shared" si="48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9"/>
        <v>0</v>
      </c>
      <c r="AF567" s="15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50"/>
        <v>0</v>
      </c>
      <c r="BA567" s="15"/>
      <c r="BB567" s="44"/>
      <c r="BC567" s="15"/>
      <c r="BD567" s="44"/>
      <c r="BE567" s="15">
        <f t="shared" si="51"/>
        <v>0</v>
      </c>
    </row>
    <row r="568" spans="1:57">
      <c r="A568" s="9">
        <v>999</v>
      </c>
      <c r="B568" s="16" t="s">
        <v>334</v>
      </c>
      <c r="C568" s="89" t="s">
        <v>151</v>
      </c>
      <c r="D568" s="56" t="s">
        <v>863</v>
      </c>
      <c r="E568" s="11" t="s">
        <v>861</v>
      </c>
      <c r="F568" s="12"/>
      <c r="G568" s="9"/>
      <c r="H568" s="9" t="s">
        <v>147</v>
      </c>
      <c r="I568" s="14"/>
      <c r="J568" s="14"/>
      <c r="K568" s="12">
        <v>0</v>
      </c>
      <c r="L568" s="9"/>
      <c r="M568" s="9"/>
      <c r="N568" s="9"/>
      <c r="O568" s="38">
        <f t="shared" si="47"/>
        <v>0</v>
      </c>
      <c r="P568" s="12"/>
      <c r="Q568" s="42"/>
      <c r="R568" s="15"/>
      <c r="S568" s="44"/>
      <c r="T568" s="15"/>
      <c r="U568" s="44"/>
      <c r="V568" s="15">
        <f t="shared" si="48"/>
        <v>0</v>
      </c>
      <c r="W568" s="15"/>
      <c r="X568" s="44"/>
      <c r="Y568" s="15"/>
      <c r="Z568" s="44"/>
      <c r="AA568" s="15"/>
      <c r="AB568" s="44"/>
      <c r="AC568" s="15"/>
      <c r="AD568" s="44"/>
      <c r="AE568" s="15">
        <f t="shared" si="49"/>
        <v>0</v>
      </c>
      <c r="AF568" s="15"/>
      <c r="AG568" s="42"/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>
        <f t="shared" si="50"/>
        <v>0</v>
      </c>
      <c r="BA568" s="15"/>
      <c r="BB568" s="44"/>
      <c r="BC568" s="15"/>
      <c r="BD568" s="44"/>
      <c r="BE568" s="15">
        <f t="shared" si="51"/>
        <v>0</v>
      </c>
    </row>
    <row r="569" spans="1:57">
      <c r="A569" s="9">
        <v>32</v>
      </c>
      <c r="B569" s="16" t="s">
        <v>129</v>
      </c>
      <c r="C569" s="89" t="s">
        <v>52</v>
      </c>
      <c r="D569" s="60" t="s">
        <v>130</v>
      </c>
      <c r="E569" s="11" t="s">
        <v>864</v>
      </c>
      <c r="F569" s="95"/>
      <c r="G569" s="9"/>
      <c r="H569" s="9" t="s">
        <v>131</v>
      </c>
      <c r="I569" s="14"/>
      <c r="J569" s="14"/>
      <c r="K569" s="12">
        <v>0</v>
      </c>
      <c r="L569" s="9"/>
      <c r="M569" s="9"/>
      <c r="N569" s="9"/>
      <c r="O569" s="38">
        <f t="shared" si="47"/>
        <v>0</v>
      </c>
      <c r="P569" s="12"/>
      <c r="Q569" s="42"/>
      <c r="R569" s="15"/>
      <c r="S569" s="44"/>
      <c r="T569" s="15"/>
      <c r="U569" s="44"/>
      <c r="V569" s="15">
        <f t="shared" si="48"/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si="49"/>
        <v>0</v>
      </c>
      <c r="AF569" s="15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si="50"/>
        <v>0</v>
      </c>
      <c r="BA569" s="15"/>
      <c r="BB569" s="44"/>
      <c r="BC569" s="15"/>
      <c r="BD569" s="44"/>
      <c r="BE569" s="15">
        <f t="shared" si="51"/>
        <v>0</v>
      </c>
    </row>
    <row r="570" spans="1:57">
      <c r="A570" s="9">
        <v>60</v>
      </c>
      <c r="B570" s="18" t="s">
        <v>129</v>
      </c>
      <c r="C570" s="89" t="s">
        <v>52</v>
      </c>
      <c r="D570" s="58" t="s">
        <v>169</v>
      </c>
      <c r="E570" s="35" t="s">
        <v>865</v>
      </c>
      <c r="F570" s="95"/>
      <c r="G570" s="21"/>
      <c r="H570" s="21" t="s">
        <v>131</v>
      </c>
      <c r="I570" s="14"/>
      <c r="J570" s="14"/>
      <c r="K570" s="12">
        <v>0</v>
      </c>
      <c r="L570" s="9"/>
      <c r="M570" s="9"/>
      <c r="N570" s="9"/>
      <c r="O570" s="38">
        <f t="shared" si="47"/>
        <v>0</v>
      </c>
      <c r="P570" s="12"/>
      <c r="Q570" s="42"/>
      <c r="R570" s="15"/>
      <c r="S570" s="44"/>
      <c r="T570" s="15"/>
      <c r="U570" s="44"/>
      <c r="V570" s="15">
        <f t="shared" si="48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49"/>
        <v>0</v>
      </c>
      <c r="AF570" s="15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0"/>
        <v>0</v>
      </c>
      <c r="BA570" s="15"/>
      <c r="BB570" s="44"/>
      <c r="BC570" s="15"/>
      <c r="BD570" s="44"/>
      <c r="BE570" s="15">
        <f t="shared" si="51"/>
        <v>0</v>
      </c>
    </row>
    <row r="571" spans="1:57">
      <c r="A571" s="9">
        <v>999</v>
      </c>
      <c r="B571" s="16" t="s">
        <v>68</v>
      </c>
      <c r="C571" s="89" t="s">
        <v>50</v>
      </c>
      <c r="D571" s="56" t="s">
        <v>69</v>
      </c>
      <c r="E571" s="11" t="s">
        <v>866</v>
      </c>
      <c r="F571" s="12"/>
      <c r="G571" s="9"/>
      <c r="H571" s="9" t="s">
        <v>71</v>
      </c>
      <c r="I571" s="14"/>
      <c r="J571" s="14"/>
      <c r="K571" s="12">
        <v>0</v>
      </c>
      <c r="L571" s="9"/>
      <c r="M571" s="9"/>
      <c r="N571" s="9"/>
      <c r="O571" s="38">
        <f t="shared" si="47"/>
        <v>0</v>
      </c>
      <c r="P571" s="12"/>
      <c r="Q571" s="42"/>
      <c r="R571" s="15"/>
      <c r="S571" s="44"/>
      <c r="T571" s="15"/>
      <c r="U571" s="44"/>
      <c r="V571" s="15">
        <f t="shared" si="48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49"/>
        <v>0</v>
      </c>
      <c r="AF571" s="15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0"/>
        <v>0</v>
      </c>
      <c r="BA571" s="15"/>
      <c r="BB571" s="44"/>
      <c r="BC571" s="15"/>
      <c r="BD571" s="44"/>
      <c r="BE571" s="15">
        <f t="shared" si="51"/>
        <v>0</v>
      </c>
    </row>
    <row r="572" spans="1:57">
      <c r="A572" s="9">
        <v>999</v>
      </c>
      <c r="B572" s="16" t="s">
        <v>34</v>
      </c>
      <c r="C572" s="89" t="s">
        <v>50</v>
      </c>
      <c r="D572" s="56" t="s">
        <v>867</v>
      </c>
      <c r="E572" s="11" t="s">
        <v>868</v>
      </c>
      <c r="F572" s="12"/>
      <c r="G572" s="9"/>
      <c r="H572" s="9" t="s">
        <v>71</v>
      </c>
      <c r="I572" s="14"/>
      <c r="J572" s="14"/>
      <c r="K572" s="12">
        <v>0</v>
      </c>
      <c r="L572" s="9"/>
      <c r="M572" s="9"/>
      <c r="N572" s="9"/>
      <c r="O572" s="38">
        <f t="shared" si="47"/>
        <v>0</v>
      </c>
      <c r="P572" s="12"/>
      <c r="Q572" s="42"/>
      <c r="R572" s="15"/>
      <c r="S572" s="44"/>
      <c r="T572" s="15"/>
      <c r="U572" s="44"/>
      <c r="V572" s="15">
        <f t="shared" si="48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49"/>
        <v>0</v>
      </c>
      <c r="AF572" s="15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0"/>
        <v>0</v>
      </c>
      <c r="BA572" s="15"/>
      <c r="BB572" s="44"/>
      <c r="BC572" s="15"/>
      <c r="BD572" s="44"/>
      <c r="BE572" s="15">
        <f t="shared" si="51"/>
        <v>0</v>
      </c>
    </row>
    <row r="573" spans="1:57">
      <c r="A573" s="9">
        <v>999</v>
      </c>
      <c r="B573" s="18" t="s">
        <v>62</v>
      </c>
      <c r="C573" s="92" t="s">
        <v>50</v>
      </c>
      <c r="D573" s="58" t="s">
        <v>869</v>
      </c>
      <c r="E573" s="35" t="s">
        <v>62</v>
      </c>
      <c r="F573" s="20"/>
      <c r="G573" s="21"/>
      <c r="H573" s="21" t="s">
        <v>61</v>
      </c>
      <c r="I573" s="14"/>
      <c r="J573" s="14"/>
      <c r="K573" s="12">
        <v>0</v>
      </c>
      <c r="L573" s="9"/>
      <c r="M573" s="9"/>
      <c r="N573" s="9"/>
      <c r="O573" s="38">
        <f t="shared" si="47"/>
        <v>0</v>
      </c>
      <c r="P573" s="12"/>
      <c r="Q573" s="42"/>
      <c r="R573" s="15"/>
      <c r="S573" s="44"/>
      <c r="T573" s="15"/>
      <c r="U573" s="44"/>
      <c r="V573" s="15">
        <f t="shared" si="48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49"/>
        <v>0</v>
      </c>
      <c r="AF573" s="15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0"/>
        <v>0</v>
      </c>
      <c r="BA573" s="15"/>
      <c r="BB573" s="44"/>
      <c r="BC573" s="15"/>
      <c r="BD573" s="44"/>
      <c r="BE573" s="15">
        <f t="shared" si="51"/>
        <v>0</v>
      </c>
    </row>
    <row r="574" spans="1:57">
      <c r="A574" s="9">
        <v>999</v>
      </c>
      <c r="B574" s="18" t="s">
        <v>62</v>
      </c>
      <c r="C574" s="92" t="s">
        <v>50</v>
      </c>
      <c r="D574" s="58" t="s">
        <v>870</v>
      </c>
      <c r="E574" s="35" t="s">
        <v>62</v>
      </c>
      <c r="F574" s="20"/>
      <c r="G574" s="21"/>
      <c r="H574" s="21" t="s">
        <v>61</v>
      </c>
      <c r="I574" s="14"/>
      <c r="J574" s="14"/>
      <c r="K574" s="12">
        <v>0</v>
      </c>
      <c r="L574" s="9"/>
      <c r="M574" s="9"/>
      <c r="N574" s="9"/>
      <c r="O574" s="38">
        <f t="shared" si="47"/>
        <v>0</v>
      </c>
      <c r="P574" s="12"/>
      <c r="Q574" s="42"/>
      <c r="R574" s="15"/>
      <c r="S574" s="44"/>
      <c r="T574" s="15"/>
      <c r="U574" s="44"/>
      <c r="V574" s="15">
        <f t="shared" si="48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49"/>
        <v>0</v>
      </c>
      <c r="AF574" s="15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0"/>
        <v>0</v>
      </c>
      <c r="BA574" s="15"/>
      <c r="BB574" s="44"/>
      <c r="BC574" s="15"/>
      <c r="BD574" s="44"/>
      <c r="BE574" s="15">
        <f t="shared" si="51"/>
        <v>0</v>
      </c>
    </row>
    <row r="575" spans="1:57">
      <c r="A575" s="9">
        <v>999</v>
      </c>
      <c r="B575" s="18" t="s">
        <v>62</v>
      </c>
      <c r="C575" s="92" t="s">
        <v>50</v>
      </c>
      <c r="D575" s="58" t="s">
        <v>871</v>
      </c>
      <c r="E575" s="35" t="s">
        <v>62</v>
      </c>
      <c r="F575" s="20"/>
      <c r="G575" s="21"/>
      <c r="H575" s="21" t="s">
        <v>61</v>
      </c>
      <c r="I575" s="14"/>
      <c r="J575" s="14"/>
      <c r="K575" s="12">
        <v>0</v>
      </c>
      <c r="L575" s="9"/>
      <c r="M575" s="9"/>
      <c r="N575" s="9"/>
      <c r="O575" s="38">
        <f t="shared" si="47"/>
        <v>0</v>
      </c>
      <c r="P575" s="12"/>
      <c r="Q575" s="42"/>
      <c r="R575" s="15"/>
      <c r="S575" s="44"/>
      <c r="T575" s="15"/>
      <c r="U575" s="44"/>
      <c r="V575" s="15">
        <f t="shared" si="48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49"/>
        <v>0</v>
      </c>
      <c r="AF575" s="15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0"/>
        <v>0</v>
      </c>
      <c r="BA575" s="15"/>
      <c r="BB575" s="44"/>
      <c r="BC575" s="15"/>
      <c r="BD575" s="44"/>
      <c r="BE575" s="15">
        <f t="shared" si="51"/>
        <v>0</v>
      </c>
    </row>
    <row r="576" spans="1:57">
      <c r="A576" s="9">
        <v>999</v>
      </c>
      <c r="B576" s="16" t="s">
        <v>155</v>
      </c>
      <c r="C576" s="89" t="s">
        <v>50</v>
      </c>
      <c r="D576" s="79" t="s">
        <v>872</v>
      </c>
      <c r="E576" s="13" t="s">
        <v>873</v>
      </c>
      <c r="F576" s="96"/>
      <c r="G576" s="9"/>
      <c r="H576" s="9"/>
      <c r="I576" s="14"/>
      <c r="J576" s="14"/>
      <c r="K576" s="12">
        <v>0</v>
      </c>
      <c r="L576" s="9"/>
      <c r="M576" s="9"/>
      <c r="N576" s="9"/>
      <c r="O576" s="38">
        <f t="shared" si="47"/>
        <v>0</v>
      </c>
      <c r="P576" s="12"/>
      <c r="Q576" s="42"/>
      <c r="R576" s="15"/>
      <c r="S576" s="44"/>
      <c r="T576" s="15"/>
      <c r="U576" s="44"/>
      <c r="V576" s="15">
        <f t="shared" si="48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49"/>
        <v>0</v>
      </c>
      <c r="AF576" s="15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0"/>
        <v>0</v>
      </c>
      <c r="BA576" s="15"/>
      <c r="BB576" s="44"/>
      <c r="BC576" s="15"/>
      <c r="BD576" s="44"/>
      <c r="BE576" s="15">
        <f t="shared" si="51"/>
        <v>0</v>
      </c>
    </row>
    <row r="577" spans="1:57">
      <c r="A577" s="9">
        <v>999</v>
      </c>
      <c r="B577" s="18" t="s">
        <v>172</v>
      </c>
      <c r="C577" s="89" t="s">
        <v>48</v>
      </c>
      <c r="D577" s="66" t="s">
        <v>874</v>
      </c>
      <c r="E577" s="35"/>
      <c r="F577" s="20"/>
      <c r="G577" s="21"/>
      <c r="H577" s="21" t="s">
        <v>67</v>
      </c>
      <c r="I577" s="14"/>
      <c r="J577" s="14"/>
      <c r="K577" s="12">
        <v>0</v>
      </c>
      <c r="L577" s="9"/>
      <c r="M577" s="9"/>
      <c r="N577" s="9"/>
      <c r="O577" s="38">
        <f t="shared" si="47"/>
        <v>0</v>
      </c>
      <c r="P577" s="12"/>
      <c r="Q577" s="42"/>
      <c r="R577" s="15"/>
      <c r="S577" s="44"/>
      <c r="T577" s="15"/>
      <c r="U577" s="44"/>
      <c r="V577" s="15">
        <f t="shared" si="48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49"/>
        <v>0</v>
      </c>
      <c r="AF577" s="15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0"/>
        <v>0</v>
      </c>
      <c r="BA577" s="15"/>
      <c r="BB577" s="44"/>
      <c r="BC577" s="15"/>
      <c r="BD577" s="44"/>
      <c r="BE577" s="15">
        <f t="shared" si="51"/>
        <v>0</v>
      </c>
    </row>
    <row r="578" spans="1:57">
      <c r="A578" s="9">
        <v>999</v>
      </c>
      <c r="B578" s="18" t="s">
        <v>172</v>
      </c>
      <c r="C578" s="89" t="s">
        <v>140</v>
      </c>
      <c r="D578" s="58" t="s">
        <v>875</v>
      </c>
      <c r="E578" s="35"/>
      <c r="F578" s="20"/>
      <c r="G578" s="21"/>
      <c r="H578" s="21"/>
      <c r="I578" s="14"/>
      <c r="J578" s="14"/>
      <c r="K578" s="12">
        <v>0</v>
      </c>
      <c r="L578" s="9"/>
      <c r="M578" s="9"/>
      <c r="N578" s="9"/>
      <c r="O578" s="38">
        <f t="shared" si="47"/>
        <v>0</v>
      </c>
      <c r="P578" s="12"/>
      <c r="Q578" s="42"/>
      <c r="R578" s="15"/>
      <c r="S578" s="44"/>
      <c r="T578" s="15"/>
      <c r="U578" s="44"/>
      <c r="V578" s="15"/>
      <c r="W578" s="15"/>
      <c r="X578" s="44"/>
      <c r="Y578" s="15"/>
      <c r="Z578" s="44"/>
      <c r="AA578" s="15"/>
      <c r="AB578" s="44"/>
      <c r="AC578" s="15"/>
      <c r="AD578" s="44"/>
      <c r="AE578" s="15"/>
      <c r="AF578" s="15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15"/>
      <c r="BB578" s="44"/>
      <c r="BC578" s="15"/>
      <c r="BD578" s="44"/>
      <c r="BE578" s="15"/>
    </row>
    <row r="579" spans="1:57">
      <c r="A579" s="9">
        <v>999</v>
      </c>
      <c r="B579" s="18" t="s">
        <v>187</v>
      </c>
      <c r="C579" s="89" t="s">
        <v>132</v>
      </c>
      <c r="D579" s="58" t="s">
        <v>276</v>
      </c>
      <c r="E579" s="35"/>
      <c r="F579" s="20"/>
      <c r="G579" s="21"/>
      <c r="H579" s="21" t="s">
        <v>67</v>
      </c>
      <c r="I579" s="14"/>
      <c r="J579" s="14"/>
      <c r="K579" s="12">
        <v>0</v>
      </c>
      <c r="L579" s="9"/>
      <c r="M579" s="9"/>
      <c r="N579" s="9"/>
      <c r="O579" s="38">
        <f t="shared" si="47"/>
        <v>0</v>
      </c>
      <c r="P579" s="12"/>
      <c r="Q579" s="42"/>
      <c r="R579" s="15"/>
      <c r="S579" s="44"/>
      <c r="T579" s="15"/>
      <c r="U579" s="44"/>
      <c r="V579" s="15">
        <f t="shared" ref="V579:V610" si="52">P579+R579+T579</f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ref="AE579:AE610" si="53">(W579+Y579+AA579+AC579)</f>
        <v>0</v>
      </c>
      <c r="AF579" s="15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ref="AZ579:AZ610" si="54">AF579+AH579+AJ579+AL579+AN579+AP579+AR579+AT579+AV579+AX579</f>
        <v>0</v>
      </c>
      <c r="BA579" s="15"/>
      <c r="BB579" s="44"/>
      <c r="BC579" s="15"/>
      <c r="BD579" s="44"/>
      <c r="BE579" s="15">
        <f t="shared" ref="BE579:BE610" si="55">(BA579+BC579)</f>
        <v>0</v>
      </c>
    </row>
    <row r="580" spans="1:57">
      <c r="A580" s="9">
        <v>999</v>
      </c>
      <c r="B580" s="18" t="s">
        <v>204</v>
      </c>
      <c r="C580" s="89" t="s">
        <v>132</v>
      </c>
      <c r="D580" s="58" t="s">
        <v>282</v>
      </c>
      <c r="E580" s="35" t="s">
        <v>210</v>
      </c>
      <c r="F580" s="20"/>
      <c r="G580" s="21"/>
      <c r="H580" s="21" t="s">
        <v>876</v>
      </c>
      <c r="I580" s="14"/>
      <c r="J580" s="14"/>
      <c r="K580" s="12">
        <v>0</v>
      </c>
      <c r="L580" s="9"/>
      <c r="M580" s="9"/>
      <c r="N580" s="9"/>
      <c r="O580" s="38">
        <f t="shared" si="47"/>
        <v>0</v>
      </c>
      <c r="P580" s="12"/>
      <c r="Q580" s="42"/>
      <c r="R580" s="15"/>
      <c r="S580" s="44"/>
      <c r="T580" s="15"/>
      <c r="U580" s="44"/>
      <c r="V580" s="15">
        <f t="shared" si="52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3"/>
        <v>0</v>
      </c>
      <c r="AF580" s="15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4"/>
        <v>0</v>
      </c>
      <c r="BA580" s="15"/>
      <c r="BB580" s="44"/>
      <c r="BC580" s="15"/>
      <c r="BD580" s="44"/>
      <c r="BE580" s="15">
        <f t="shared" si="55"/>
        <v>0</v>
      </c>
    </row>
    <row r="581" spans="1:57">
      <c r="A581" s="9">
        <v>999</v>
      </c>
      <c r="B581" s="18" t="s">
        <v>172</v>
      </c>
      <c r="C581" s="89" t="s">
        <v>132</v>
      </c>
      <c r="D581" s="58" t="s">
        <v>877</v>
      </c>
      <c r="E581" s="19"/>
      <c r="F581" s="20"/>
      <c r="G581" s="21"/>
      <c r="H581" s="21" t="s">
        <v>67</v>
      </c>
      <c r="I581" s="14"/>
      <c r="J581" s="14"/>
      <c r="K581" s="12">
        <v>0</v>
      </c>
      <c r="L581" s="9"/>
      <c r="M581" s="9"/>
      <c r="N581" s="9"/>
      <c r="O581" s="38">
        <f t="shared" si="47"/>
        <v>0</v>
      </c>
      <c r="P581" s="12"/>
      <c r="Q581" s="42"/>
      <c r="R581" s="15"/>
      <c r="S581" s="44"/>
      <c r="T581" s="15"/>
      <c r="U581" s="44"/>
      <c r="V581" s="15">
        <f t="shared" si="52"/>
        <v>0</v>
      </c>
      <c r="W581" s="15"/>
      <c r="X581" s="44"/>
      <c r="Y581" s="15"/>
      <c r="Z581" s="44"/>
      <c r="AA581" s="15"/>
      <c r="AB581" s="44"/>
      <c r="AC581" s="15"/>
      <c r="AD581" s="44"/>
      <c r="AE581" s="15">
        <f t="shared" si="53"/>
        <v>0</v>
      </c>
      <c r="AF581" s="15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>
        <f t="shared" si="54"/>
        <v>0</v>
      </c>
      <c r="BA581" s="15"/>
      <c r="BB581" s="44"/>
      <c r="BC581" s="15"/>
      <c r="BD581" s="44"/>
      <c r="BE581" s="15">
        <f t="shared" si="55"/>
        <v>0</v>
      </c>
    </row>
    <row r="582" spans="1:57">
      <c r="A582" s="9">
        <v>999</v>
      </c>
      <c r="B582" s="18" t="s">
        <v>120</v>
      </c>
      <c r="C582" s="89" t="s">
        <v>132</v>
      </c>
      <c r="D582" s="58" t="s">
        <v>878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7"/>
        <v>0</v>
      </c>
      <c r="P582" s="12"/>
      <c r="Q582" s="42"/>
      <c r="R582" s="15"/>
      <c r="S582" s="44"/>
      <c r="T582" s="15"/>
      <c r="U582" s="44"/>
      <c r="V582" s="15">
        <f t="shared" si="52"/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si="53"/>
        <v>0</v>
      </c>
      <c r="AF582" s="15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si="54"/>
        <v>0</v>
      </c>
      <c r="BA582" s="15"/>
      <c r="BB582" s="44"/>
      <c r="BC582" s="15"/>
      <c r="BD582" s="44"/>
      <c r="BE582" s="15">
        <f t="shared" si="55"/>
        <v>0</v>
      </c>
    </row>
    <row r="583" spans="1:57">
      <c r="A583" s="9">
        <v>999</v>
      </c>
      <c r="B583" s="16" t="s">
        <v>120</v>
      </c>
      <c r="C583" s="89" t="s">
        <v>48</v>
      </c>
      <c r="D583" s="74" t="s">
        <v>879</v>
      </c>
      <c r="E583" s="13" t="s">
        <v>880</v>
      </c>
      <c r="F583" s="12"/>
      <c r="G583" s="9"/>
      <c r="H583" s="9" t="s">
        <v>67</v>
      </c>
      <c r="I583" s="14"/>
      <c r="J583" s="14"/>
      <c r="K583" s="12">
        <v>0</v>
      </c>
      <c r="L583" s="9"/>
      <c r="M583" s="9"/>
      <c r="N583" s="9"/>
      <c r="O583" s="38">
        <f t="shared" si="47"/>
        <v>0</v>
      </c>
      <c r="P583" s="12"/>
      <c r="Q583" s="42"/>
      <c r="R583" s="15"/>
      <c r="S583" s="44"/>
      <c r="T583" s="15"/>
      <c r="U583" s="44"/>
      <c r="V583" s="15">
        <f t="shared" si="52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3"/>
        <v>0</v>
      </c>
      <c r="AF583" s="15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4"/>
        <v>0</v>
      </c>
      <c r="BA583" s="15"/>
      <c r="BB583" s="44"/>
      <c r="BC583" s="15"/>
      <c r="BD583" s="44"/>
      <c r="BE583" s="15">
        <f t="shared" si="55"/>
        <v>0</v>
      </c>
    </row>
    <row r="584" spans="1:57">
      <c r="A584" s="9">
        <v>999</v>
      </c>
      <c r="B584" s="16" t="s">
        <v>120</v>
      </c>
      <c r="C584" s="89" t="s">
        <v>48</v>
      </c>
      <c r="D584" s="72" t="s">
        <v>881</v>
      </c>
      <c r="E584" s="13" t="s">
        <v>882</v>
      </c>
      <c r="F584" s="12"/>
      <c r="G584" s="9"/>
      <c r="H584" s="9" t="s">
        <v>67</v>
      </c>
      <c r="I584" s="14"/>
      <c r="J584" s="14"/>
      <c r="K584" s="12">
        <v>0</v>
      </c>
      <c r="L584" s="9"/>
      <c r="M584" s="9"/>
      <c r="N584" s="9"/>
      <c r="O584" s="38">
        <f t="shared" si="47"/>
        <v>0</v>
      </c>
      <c r="P584" s="12"/>
      <c r="Q584" s="42"/>
      <c r="R584" s="15"/>
      <c r="S584" s="44"/>
      <c r="T584" s="15"/>
      <c r="U584" s="44"/>
      <c r="V584" s="15">
        <f t="shared" si="52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3"/>
        <v>0</v>
      </c>
      <c r="AF584" s="15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4"/>
        <v>0</v>
      </c>
      <c r="BA584" s="15"/>
      <c r="BB584" s="44"/>
      <c r="BC584" s="15"/>
      <c r="BD584" s="44"/>
      <c r="BE584" s="15">
        <f t="shared" si="55"/>
        <v>0</v>
      </c>
    </row>
    <row r="585" spans="1:57">
      <c r="A585" s="9">
        <v>999</v>
      </c>
      <c r="B585" s="16" t="s">
        <v>120</v>
      </c>
      <c r="C585" s="89" t="s">
        <v>48</v>
      </c>
      <c r="D585" s="72" t="s">
        <v>883</v>
      </c>
      <c r="E585" s="13" t="s">
        <v>884</v>
      </c>
      <c r="F585" s="12"/>
      <c r="G585" s="9"/>
      <c r="H585" s="9" t="s">
        <v>67</v>
      </c>
      <c r="I585" s="14"/>
      <c r="J585" s="14"/>
      <c r="K585" s="12">
        <v>0</v>
      </c>
      <c r="L585" s="9"/>
      <c r="M585" s="9"/>
      <c r="N585" s="9"/>
      <c r="O585" s="38">
        <f t="shared" si="47"/>
        <v>0</v>
      </c>
      <c r="P585" s="12"/>
      <c r="Q585" s="42"/>
      <c r="R585" s="15"/>
      <c r="S585" s="44"/>
      <c r="T585" s="15"/>
      <c r="U585" s="44"/>
      <c r="V585" s="15">
        <f t="shared" si="52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3"/>
        <v>0</v>
      </c>
      <c r="AF585" s="15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4"/>
        <v>0</v>
      </c>
      <c r="BA585" s="15"/>
      <c r="BB585" s="44"/>
      <c r="BC585" s="15"/>
      <c r="BD585" s="44"/>
      <c r="BE585" s="15">
        <f t="shared" si="55"/>
        <v>0</v>
      </c>
    </row>
    <row r="586" spans="1:57">
      <c r="A586" s="9">
        <v>999</v>
      </c>
      <c r="B586" s="16" t="s">
        <v>172</v>
      </c>
      <c r="C586" s="89" t="s">
        <v>48</v>
      </c>
      <c r="D586" s="72" t="s">
        <v>415</v>
      </c>
      <c r="E586" s="13"/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7"/>
        <v>0</v>
      </c>
      <c r="P586" s="12"/>
      <c r="Q586" s="42"/>
      <c r="R586" s="15"/>
      <c r="S586" s="44"/>
      <c r="T586" s="15"/>
      <c r="U586" s="44"/>
      <c r="V586" s="15">
        <f t="shared" si="52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3"/>
        <v>0</v>
      </c>
      <c r="AF586" s="15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4"/>
        <v>0</v>
      </c>
      <c r="BA586" s="15"/>
      <c r="BB586" s="44"/>
      <c r="BC586" s="15"/>
      <c r="BD586" s="44"/>
      <c r="BE586" s="15">
        <f t="shared" si="55"/>
        <v>0</v>
      </c>
    </row>
    <row r="587" spans="1:57">
      <c r="A587" s="9"/>
      <c r="B587" s="18" t="s">
        <v>172</v>
      </c>
      <c r="C587" s="89" t="s">
        <v>52</v>
      </c>
      <c r="D587" s="58" t="s">
        <v>253</v>
      </c>
      <c r="E587" s="35"/>
      <c r="F587" s="96"/>
      <c r="G587" s="21"/>
      <c r="H587" s="21" t="s">
        <v>67</v>
      </c>
      <c r="I587" s="14"/>
      <c r="J587" s="14"/>
      <c r="K587" s="12">
        <v>0</v>
      </c>
      <c r="L587" s="9"/>
      <c r="M587" s="9"/>
      <c r="N587" s="9"/>
      <c r="O587" s="38">
        <f t="shared" si="47"/>
        <v>0</v>
      </c>
      <c r="P587" s="12"/>
      <c r="Q587" s="42"/>
      <c r="R587" s="15"/>
      <c r="S587" s="44"/>
      <c r="T587" s="15"/>
      <c r="U587" s="44"/>
      <c r="V587" s="15">
        <f t="shared" si="52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3"/>
        <v>0</v>
      </c>
      <c r="AF587" s="15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4"/>
        <v>0</v>
      </c>
      <c r="BA587" s="15"/>
      <c r="BB587" s="44"/>
      <c r="BC587" s="15"/>
      <c r="BD587" s="44"/>
      <c r="BE587" s="15">
        <f t="shared" si="55"/>
        <v>0</v>
      </c>
    </row>
    <row r="588" spans="1:57">
      <c r="A588" s="9"/>
      <c r="B588" s="18" t="s">
        <v>172</v>
      </c>
      <c r="C588" s="89" t="s">
        <v>52</v>
      </c>
      <c r="D588" s="67" t="s">
        <v>885</v>
      </c>
      <c r="E588" s="35"/>
      <c r="F588" s="96"/>
      <c r="G588" s="21"/>
      <c r="H588" s="21" t="s">
        <v>67</v>
      </c>
      <c r="I588" s="14"/>
      <c r="J588" s="14"/>
      <c r="K588" s="12">
        <v>0</v>
      </c>
      <c r="L588" s="9"/>
      <c r="M588" s="9"/>
      <c r="N588" s="9"/>
      <c r="O588" s="38">
        <f t="shared" si="47"/>
        <v>0</v>
      </c>
      <c r="P588" s="12"/>
      <c r="Q588" s="42"/>
      <c r="R588" s="15"/>
      <c r="S588" s="44"/>
      <c r="T588" s="15"/>
      <c r="U588" s="44"/>
      <c r="V588" s="15">
        <f t="shared" si="52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3"/>
        <v>0</v>
      </c>
      <c r="AF588" s="15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4"/>
        <v>0</v>
      </c>
      <c r="BA588" s="15"/>
      <c r="BB588" s="44"/>
      <c r="BC588" s="15"/>
      <c r="BD588" s="44"/>
      <c r="BE588" s="15">
        <f t="shared" si="55"/>
        <v>0</v>
      </c>
    </row>
    <row r="589" spans="1:57">
      <c r="A589" s="9"/>
      <c r="B589" s="16" t="s">
        <v>172</v>
      </c>
      <c r="C589" s="89" t="s">
        <v>52</v>
      </c>
      <c r="D589" s="80" t="s">
        <v>497</v>
      </c>
      <c r="E589" s="13"/>
      <c r="F589" s="96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7"/>
        <v>0</v>
      </c>
      <c r="P589" s="12"/>
      <c r="Q589" s="42"/>
      <c r="R589" s="15"/>
      <c r="S589" s="44"/>
      <c r="T589" s="15"/>
      <c r="U589" s="44"/>
      <c r="V589" s="15">
        <f t="shared" si="52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3"/>
        <v>0</v>
      </c>
      <c r="AF589" s="15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4"/>
        <v>0</v>
      </c>
      <c r="BA589" s="15"/>
      <c r="BB589" s="44"/>
      <c r="BC589" s="15"/>
      <c r="BD589" s="44"/>
      <c r="BE589" s="15">
        <f t="shared" si="55"/>
        <v>0</v>
      </c>
    </row>
    <row r="590" spans="1:57">
      <c r="A590" s="9"/>
      <c r="B590" s="16" t="s">
        <v>172</v>
      </c>
      <c r="C590" s="89" t="s">
        <v>52</v>
      </c>
      <c r="D590" s="61" t="s">
        <v>886</v>
      </c>
      <c r="E590" s="13"/>
      <c r="F590" s="96"/>
      <c r="G590" s="9"/>
      <c r="H590" s="9" t="s">
        <v>420</v>
      </c>
      <c r="I590" s="14"/>
      <c r="J590" s="14"/>
      <c r="K590" s="12">
        <v>0</v>
      </c>
      <c r="L590" s="9"/>
      <c r="M590" s="9"/>
      <c r="N590" s="9"/>
      <c r="O590" s="38">
        <f t="shared" si="47"/>
        <v>0</v>
      </c>
      <c r="P590" s="12"/>
      <c r="Q590" s="42"/>
      <c r="R590" s="15"/>
      <c r="S590" s="44"/>
      <c r="T590" s="15"/>
      <c r="U590" s="44"/>
      <c r="V590" s="15">
        <f t="shared" si="52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3"/>
        <v>0</v>
      </c>
      <c r="AF590" s="15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4"/>
        <v>0</v>
      </c>
      <c r="BA590" s="15"/>
      <c r="BB590" s="44"/>
      <c r="BC590" s="15"/>
      <c r="BD590" s="44"/>
      <c r="BE590" s="15">
        <f t="shared" si="55"/>
        <v>0</v>
      </c>
    </row>
    <row r="591" spans="1:57">
      <c r="A591" s="9"/>
      <c r="B591" s="16" t="s">
        <v>172</v>
      </c>
      <c r="C591" s="89" t="s">
        <v>52</v>
      </c>
      <c r="D591" s="80" t="s">
        <v>887</v>
      </c>
      <c r="E591" s="13"/>
      <c r="F591" s="96"/>
      <c r="G591" s="9"/>
      <c r="H591" s="9" t="s">
        <v>420</v>
      </c>
      <c r="I591" s="14"/>
      <c r="J591" s="14"/>
      <c r="K591" s="12">
        <v>0</v>
      </c>
      <c r="L591" s="9"/>
      <c r="M591" s="9"/>
      <c r="N591" s="9"/>
      <c r="O591" s="38">
        <f t="shared" si="47"/>
        <v>0</v>
      </c>
      <c r="P591" s="12"/>
      <c r="Q591" s="42"/>
      <c r="R591" s="15"/>
      <c r="S591" s="44"/>
      <c r="T591" s="15"/>
      <c r="U591" s="44"/>
      <c r="V591" s="15">
        <f t="shared" si="52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3"/>
        <v>0</v>
      </c>
      <c r="AF591" s="15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4"/>
        <v>0</v>
      </c>
      <c r="BA591" s="15"/>
      <c r="BB591" s="44"/>
      <c r="BC591" s="15"/>
      <c r="BD591" s="44"/>
      <c r="BE591" s="15">
        <f t="shared" si="55"/>
        <v>0</v>
      </c>
    </row>
    <row r="592" spans="1:57">
      <c r="A592" s="9"/>
      <c r="B592" s="16" t="s">
        <v>172</v>
      </c>
      <c r="C592" s="89" t="s">
        <v>494</v>
      </c>
      <c r="D592" s="84" t="s">
        <v>498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7"/>
        <v>0</v>
      </c>
      <c r="P592" s="12"/>
      <c r="Q592" s="42"/>
      <c r="R592" s="15"/>
      <c r="S592" s="44"/>
      <c r="T592" s="15"/>
      <c r="U592" s="44"/>
      <c r="V592" s="15">
        <f t="shared" si="52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3"/>
        <v>0</v>
      </c>
      <c r="AF592" s="15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4"/>
        <v>0</v>
      </c>
      <c r="BA592" s="15"/>
      <c r="BB592" s="44"/>
      <c r="BC592" s="15"/>
      <c r="BD592" s="44"/>
      <c r="BE592" s="15">
        <f t="shared" si="55"/>
        <v>0</v>
      </c>
    </row>
    <row r="593" spans="1:57">
      <c r="A593" s="9"/>
      <c r="B593" s="16" t="s">
        <v>172</v>
      </c>
      <c r="C593" s="89" t="s">
        <v>494</v>
      </c>
      <c r="D593" s="84" t="s">
        <v>888</v>
      </c>
      <c r="E593" s="13"/>
      <c r="F593" s="96"/>
      <c r="G593" s="9"/>
      <c r="H593" s="9" t="s">
        <v>67</v>
      </c>
      <c r="I593" s="14"/>
      <c r="J593" s="14"/>
      <c r="K593" s="12">
        <v>0</v>
      </c>
      <c r="L593" s="9"/>
      <c r="M593" s="9"/>
      <c r="N593" s="9"/>
      <c r="O593" s="38">
        <f t="shared" si="47"/>
        <v>0</v>
      </c>
      <c r="P593" s="12"/>
      <c r="Q593" s="42"/>
      <c r="R593" s="15"/>
      <c r="S593" s="44"/>
      <c r="T593" s="15"/>
      <c r="U593" s="44"/>
      <c r="V593" s="15">
        <f t="shared" si="52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3"/>
        <v>0</v>
      </c>
      <c r="AF593" s="15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4"/>
        <v>0</v>
      </c>
      <c r="BA593" s="15"/>
      <c r="BB593" s="44"/>
      <c r="BC593" s="15"/>
      <c r="BD593" s="44"/>
      <c r="BE593" s="15">
        <f t="shared" si="55"/>
        <v>0</v>
      </c>
    </row>
    <row r="594" spans="1:57">
      <c r="A594" s="9"/>
      <c r="B594" s="16" t="s">
        <v>172</v>
      </c>
      <c r="C594" s="89" t="s">
        <v>52</v>
      </c>
      <c r="D594" s="84" t="s">
        <v>889</v>
      </c>
      <c r="E594" s="13"/>
      <c r="F594" s="96"/>
      <c r="G594" s="9"/>
      <c r="H594" s="9" t="s">
        <v>67</v>
      </c>
      <c r="I594" s="14"/>
      <c r="J594" s="14"/>
      <c r="K594" s="12">
        <v>0</v>
      </c>
      <c r="L594" s="9"/>
      <c r="M594" s="9"/>
      <c r="N594" s="9"/>
      <c r="O594" s="38">
        <f t="shared" si="47"/>
        <v>0</v>
      </c>
      <c r="P594" s="12"/>
      <c r="Q594" s="42"/>
      <c r="R594" s="15"/>
      <c r="S594" s="44"/>
      <c r="T594" s="15"/>
      <c r="U594" s="44"/>
      <c r="V594" s="15">
        <f t="shared" si="52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3"/>
        <v>0</v>
      </c>
      <c r="AF594" s="15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4"/>
        <v>0</v>
      </c>
      <c r="BA594" s="15"/>
      <c r="BB594" s="44"/>
      <c r="BC594" s="15"/>
      <c r="BD594" s="44"/>
      <c r="BE594" s="15">
        <f t="shared" si="55"/>
        <v>0</v>
      </c>
    </row>
    <row r="595" spans="1:57">
      <c r="A595" s="9"/>
      <c r="B595" s="16" t="s">
        <v>172</v>
      </c>
      <c r="C595" s="89" t="s">
        <v>52</v>
      </c>
      <c r="D595" s="84" t="s">
        <v>890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7"/>
        <v>0</v>
      </c>
      <c r="P595" s="12"/>
      <c r="Q595" s="42"/>
      <c r="R595" s="15"/>
      <c r="S595" s="44"/>
      <c r="T595" s="15"/>
      <c r="U595" s="44"/>
      <c r="V595" s="15">
        <f t="shared" si="52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3"/>
        <v>0</v>
      </c>
      <c r="AF595" s="15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4"/>
        <v>0</v>
      </c>
      <c r="BA595" s="15"/>
      <c r="BB595" s="44"/>
      <c r="BC595" s="15"/>
      <c r="BD595" s="44"/>
      <c r="BE595" s="15">
        <f t="shared" si="55"/>
        <v>0</v>
      </c>
    </row>
    <row r="596" spans="1:57">
      <c r="A596" s="9"/>
      <c r="B596" s="16" t="s">
        <v>172</v>
      </c>
      <c r="C596" s="89" t="s">
        <v>494</v>
      </c>
      <c r="D596" s="84" t="s">
        <v>891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7"/>
        <v>0</v>
      </c>
      <c r="P596" s="12"/>
      <c r="Q596" s="42"/>
      <c r="R596" s="15"/>
      <c r="S596" s="44"/>
      <c r="T596" s="15"/>
      <c r="U596" s="44"/>
      <c r="V596" s="15">
        <f t="shared" si="52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3"/>
        <v>0</v>
      </c>
      <c r="AF596" s="15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4"/>
        <v>0</v>
      </c>
      <c r="BA596" s="15"/>
      <c r="BB596" s="44"/>
      <c r="BC596" s="15"/>
      <c r="BD596" s="44"/>
      <c r="BE596" s="15">
        <f t="shared" si="55"/>
        <v>0</v>
      </c>
    </row>
    <row r="597" spans="1:57">
      <c r="A597" s="9"/>
      <c r="B597" s="16" t="s">
        <v>172</v>
      </c>
      <c r="C597" s="89" t="s">
        <v>494</v>
      </c>
      <c r="D597" s="80" t="s">
        <v>500</v>
      </c>
      <c r="E597" s="13" t="s">
        <v>578</v>
      </c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7"/>
        <v>0</v>
      </c>
      <c r="P597" s="12"/>
      <c r="Q597" s="42"/>
      <c r="R597" s="15"/>
      <c r="S597" s="44"/>
      <c r="T597" s="15"/>
      <c r="U597" s="44"/>
      <c r="V597" s="15">
        <f t="shared" si="52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3"/>
        <v>0</v>
      </c>
      <c r="AF597" s="15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4"/>
        <v>0</v>
      </c>
      <c r="BA597" s="15"/>
      <c r="BB597" s="44"/>
      <c r="BC597" s="15"/>
      <c r="BD597" s="44"/>
      <c r="BE597" s="15">
        <f t="shared" si="55"/>
        <v>0</v>
      </c>
    </row>
    <row r="598" spans="1:57">
      <c r="A598" s="9"/>
      <c r="B598" s="16" t="s">
        <v>172</v>
      </c>
      <c r="C598" s="89" t="s">
        <v>52</v>
      </c>
      <c r="D598" s="61" t="s">
        <v>892</v>
      </c>
      <c r="E598" s="13" t="s">
        <v>893</v>
      </c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ref="O598:O629" si="56">K598+V598-AE598-AZ598</f>
        <v>0</v>
      </c>
      <c r="P598" s="12"/>
      <c r="Q598" s="42"/>
      <c r="R598" s="15"/>
      <c r="S598" s="44"/>
      <c r="T598" s="15"/>
      <c r="U598" s="44"/>
      <c r="V598" s="15">
        <f t="shared" si="52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3"/>
        <v>0</v>
      </c>
      <c r="AF598" s="15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4"/>
        <v>0</v>
      </c>
      <c r="BA598" s="15"/>
      <c r="BB598" s="44"/>
      <c r="BC598" s="15"/>
      <c r="BD598" s="44"/>
      <c r="BE598" s="15">
        <f t="shared" si="55"/>
        <v>0</v>
      </c>
    </row>
    <row r="599" spans="1:57">
      <c r="A599" s="9"/>
      <c r="B599" s="16" t="s">
        <v>172</v>
      </c>
      <c r="C599" s="89" t="s">
        <v>52</v>
      </c>
      <c r="D599" s="61" t="s">
        <v>892</v>
      </c>
      <c r="E599" s="13" t="s">
        <v>894</v>
      </c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56"/>
        <v>0</v>
      </c>
      <c r="P599" s="12"/>
      <c r="Q599" s="42"/>
      <c r="R599" s="15"/>
      <c r="S599" s="44"/>
      <c r="T599" s="15"/>
      <c r="U599" s="44"/>
      <c r="V599" s="15">
        <f t="shared" si="52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3"/>
        <v>0</v>
      </c>
      <c r="AF599" s="15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4"/>
        <v>0</v>
      </c>
      <c r="BA599" s="15"/>
      <c r="BB599" s="44"/>
      <c r="BC599" s="15"/>
      <c r="BD599" s="44"/>
      <c r="BE599" s="15">
        <f t="shared" si="55"/>
        <v>0</v>
      </c>
    </row>
    <row r="600" spans="1:57">
      <c r="A600" s="9"/>
      <c r="B600" s="16" t="s">
        <v>172</v>
      </c>
      <c r="C600" s="89" t="s">
        <v>52</v>
      </c>
      <c r="D600" s="80" t="s">
        <v>895</v>
      </c>
      <c r="E600" s="13"/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56"/>
        <v>0</v>
      </c>
      <c r="P600" s="12"/>
      <c r="Q600" s="42"/>
      <c r="R600" s="15"/>
      <c r="S600" s="44"/>
      <c r="T600" s="15"/>
      <c r="U600" s="44"/>
      <c r="V600" s="15">
        <f t="shared" si="52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3"/>
        <v>0</v>
      </c>
      <c r="AF600" s="15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4"/>
        <v>0</v>
      </c>
      <c r="BA600" s="15"/>
      <c r="BB600" s="44"/>
      <c r="BC600" s="15"/>
      <c r="BD600" s="44"/>
      <c r="BE600" s="15">
        <f t="shared" si="55"/>
        <v>0</v>
      </c>
    </row>
    <row r="601" spans="1:57">
      <c r="A601" s="9"/>
      <c r="B601" s="16" t="s">
        <v>172</v>
      </c>
      <c r="C601" s="89" t="s">
        <v>52</v>
      </c>
      <c r="D601" s="80" t="s">
        <v>896</v>
      </c>
      <c r="E601" s="13"/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si="56"/>
        <v>0</v>
      </c>
      <c r="P601" s="12"/>
      <c r="Q601" s="42"/>
      <c r="R601" s="15"/>
      <c r="S601" s="44"/>
      <c r="T601" s="15"/>
      <c r="U601" s="44"/>
      <c r="V601" s="15">
        <f t="shared" si="52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3"/>
        <v>0</v>
      </c>
      <c r="AF601" s="15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4"/>
        <v>0</v>
      </c>
      <c r="BA601" s="15"/>
      <c r="BB601" s="44"/>
      <c r="BC601" s="15"/>
      <c r="BD601" s="44"/>
      <c r="BE601" s="15">
        <f t="shared" si="55"/>
        <v>0</v>
      </c>
    </row>
    <row r="602" spans="1:57">
      <c r="A602" s="9"/>
      <c r="B602" s="16" t="s">
        <v>172</v>
      </c>
      <c r="C602" s="89" t="s">
        <v>52</v>
      </c>
      <c r="D602" s="80" t="s">
        <v>897</v>
      </c>
      <c r="E602" s="13"/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6"/>
        <v>0</v>
      </c>
      <c r="P602" s="12"/>
      <c r="Q602" s="42"/>
      <c r="R602" s="15"/>
      <c r="S602" s="44"/>
      <c r="T602" s="15"/>
      <c r="U602" s="44"/>
      <c r="V602" s="15">
        <f t="shared" si="52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3"/>
        <v>0</v>
      </c>
      <c r="AF602" s="15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4"/>
        <v>0</v>
      </c>
      <c r="BA602" s="15"/>
      <c r="BB602" s="44"/>
      <c r="BC602" s="15"/>
      <c r="BD602" s="44"/>
      <c r="BE602" s="15">
        <f t="shared" si="55"/>
        <v>0</v>
      </c>
    </row>
    <row r="603" spans="1:57">
      <c r="A603" s="9"/>
      <c r="B603" s="16" t="s">
        <v>172</v>
      </c>
      <c r="C603" s="89" t="s">
        <v>52</v>
      </c>
      <c r="D603" s="80" t="s">
        <v>898</v>
      </c>
      <c r="E603" s="13" t="s">
        <v>899</v>
      </c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6"/>
        <v>0</v>
      </c>
      <c r="P603" s="12"/>
      <c r="Q603" s="42"/>
      <c r="R603" s="15"/>
      <c r="S603" s="44"/>
      <c r="T603" s="15"/>
      <c r="U603" s="44"/>
      <c r="V603" s="15">
        <f t="shared" si="52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3"/>
        <v>0</v>
      </c>
      <c r="AF603" s="15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4"/>
        <v>0</v>
      </c>
      <c r="BA603" s="15"/>
      <c r="BB603" s="44"/>
      <c r="BC603" s="15"/>
      <c r="BD603" s="44"/>
      <c r="BE603" s="15">
        <f t="shared" si="55"/>
        <v>0</v>
      </c>
    </row>
    <row r="604" spans="1:57">
      <c r="A604" s="9"/>
      <c r="B604" s="16" t="s">
        <v>172</v>
      </c>
      <c r="C604" s="89" t="s">
        <v>52</v>
      </c>
      <c r="D604" s="80" t="s">
        <v>900</v>
      </c>
      <c r="E604" s="13" t="s">
        <v>737</v>
      </c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6"/>
        <v>0</v>
      </c>
      <c r="P604" s="12"/>
      <c r="Q604" s="42"/>
      <c r="R604" s="15"/>
      <c r="S604" s="44"/>
      <c r="T604" s="15"/>
      <c r="U604" s="44"/>
      <c r="V604" s="15">
        <f t="shared" si="52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3"/>
        <v>0</v>
      </c>
      <c r="AF604" s="15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4"/>
        <v>0</v>
      </c>
      <c r="BA604" s="15"/>
      <c r="BB604" s="44"/>
      <c r="BC604" s="15"/>
      <c r="BD604" s="44"/>
      <c r="BE604" s="15">
        <f t="shared" si="55"/>
        <v>0</v>
      </c>
    </row>
    <row r="605" spans="1:57">
      <c r="A605" s="9"/>
      <c r="B605" s="16" t="s">
        <v>172</v>
      </c>
      <c r="C605" s="89" t="s">
        <v>52</v>
      </c>
      <c r="D605" s="80" t="s">
        <v>900</v>
      </c>
      <c r="E605" s="13" t="s">
        <v>136</v>
      </c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6"/>
        <v>0</v>
      </c>
      <c r="P605" s="12"/>
      <c r="Q605" s="42"/>
      <c r="R605" s="15"/>
      <c r="S605" s="44"/>
      <c r="T605" s="15"/>
      <c r="U605" s="44"/>
      <c r="V605" s="15">
        <f t="shared" si="52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3"/>
        <v>0</v>
      </c>
      <c r="AF605" s="15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4"/>
        <v>0</v>
      </c>
      <c r="BA605" s="15"/>
      <c r="BB605" s="44"/>
      <c r="BC605" s="15"/>
      <c r="BD605" s="44"/>
      <c r="BE605" s="15">
        <f t="shared" si="55"/>
        <v>0</v>
      </c>
    </row>
    <row r="606" spans="1:57">
      <c r="A606" s="9"/>
      <c r="B606" s="16" t="s">
        <v>120</v>
      </c>
      <c r="C606" s="89" t="s">
        <v>52</v>
      </c>
      <c r="D606" s="56" t="s">
        <v>901</v>
      </c>
      <c r="E606" s="13" t="s">
        <v>902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6"/>
        <v>0</v>
      </c>
      <c r="P606" s="12"/>
      <c r="Q606" s="42"/>
      <c r="R606" s="15"/>
      <c r="S606" s="44"/>
      <c r="T606" s="15"/>
      <c r="U606" s="44"/>
      <c r="V606" s="15">
        <f t="shared" si="52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3"/>
        <v>0</v>
      </c>
      <c r="AF606" s="15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4"/>
        <v>0</v>
      </c>
      <c r="BA606" s="15"/>
      <c r="BB606" s="44"/>
      <c r="BC606" s="15"/>
      <c r="BD606" s="44"/>
      <c r="BE606" s="15">
        <f t="shared" si="55"/>
        <v>0</v>
      </c>
    </row>
    <row r="607" spans="1:57">
      <c r="A607" s="9"/>
      <c r="B607" s="16" t="s">
        <v>120</v>
      </c>
      <c r="C607" s="89" t="s">
        <v>52</v>
      </c>
      <c r="D607" s="80" t="s">
        <v>202</v>
      </c>
      <c r="E607" s="13" t="s">
        <v>903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6"/>
        <v>0</v>
      </c>
      <c r="P607" s="12"/>
      <c r="Q607" s="42"/>
      <c r="R607" s="15"/>
      <c r="S607" s="44"/>
      <c r="T607" s="15"/>
      <c r="U607" s="44"/>
      <c r="V607" s="15">
        <f t="shared" si="52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3"/>
        <v>0</v>
      </c>
      <c r="AF607" s="15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4"/>
        <v>0</v>
      </c>
      <c r="BA607" s="15"/>
      <c r="BB607" s="44"/>
      <c r="BC607" s="15"/>
      <c r="BD607" s="44"/>
      <c r="BE607" s="15">
        <f t="shared" si="55"/>
        <v>0</v>
      </c>
    </row>
    <row r="608" spans="1:57">
      <c r="A608" s="9"/>
      <c r="B608" s="16" t="s">
        <v>120</v>
      </c>
      <c r="C608" s="89" t="s">
        <v>494</v>
      </c>
      <c r="D608" s="80" t="s">
        <v>904</v>
      </c>
      <c r="E608" s="13" t="s">
        <v>905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6"/>
        <v>0</v>
      </c>
      <c r="P608" s="12"/>
      <c r="Q608" s="42"/>
      <c r="R608" s="15"/>
      <c r="S608" s="44"/>
      <c r="T608" s="15"/>
      <c r="U608" s="44"/>
      <c r="V608" s="15">
        <f t="shared" si="52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3"/>
        <v>0</v>
      </c>
      <c r="AF608" s="15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4"/>
        <v>0</v>
      </c>
      <c r="BA608" s="15"/>
      <c r="BB608" s="44"/>
      <c r="BC608" s="15"/>
      <c r="BD608" s="44"/>
      <c r="BE608" s="15">
        <f t="shared" si="55"/>
        <v>0</v>
      </c>
    </row>
    <row r="609" spans="1:57">
      <c r="A609" s="9"/>
      <c r="B609" s="16" t="s">
        <v>120</v>
      </c>
      <c r="C609" s="89" t="s">
        <v>52</v>
      </c>
      <c r="D609" s="80" t="s">
        <v>881</v>
      </c>
      <c r="E609" s="13" t="s">
        <v>906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6"/>
        <v>0</v>
      </c>
      <c r="P609" s="12"/>
      <c r="Q609" s="42"/>
      <c r="R609" s="15"/>
      <c r="S609" s="44"/>
      <c r="T609" s="15"/>
      <c r="U609" s="44"/>
      <c r="V609" s="15">
        <f t="shared" si="52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3"/>
        <v>0</v>
      </c>
      <c r="AF609" s="15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4"/>
        <v>0</v>
      </c>
      <c r="BA609" s="15"/>
      <c r="BB609" s="44"/>
      <c r="BC609" s="15"/>
      <c r="BD609" s="44"/>
      <c r="BE609" s="15">
        <f t="shared" si="55"/>
        <v>0</v>
      </c>
    </row>
    <row r="610" spans="1:57">
      <c r="A610" s="9"/>
      <c r="B610" s="16" t="s">
        <v>120</v>
      </c>
      <c r="C610" s="89" t="s">
        <v>52</v>
      </c>
      <c r="D610" s="80" t="s">
        <v>907</v>
      </c>
      <c r="E610" s="13" t="s">
        <v>908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6"/>
        <v>0</v>
      </c>
      <c r="P610" s="12"/>
      <c r="Q610" s="42"/>
      <c r="R610" s="15"/>
      <c r="S610" s="44"/>
      <c r="T610" s="15"/>
      <c r="U610" s="44"/>
      <c r="V610" s="15">
        <f t="shared" si="52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3"/>
        <v>0</v>
      </c>
      <c r="AF610" s="15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4"/>
        <v>0</v>
      </c>
      <c r="BA610" s="15"/>
      <c r="BB610" s="44"/>
      <c r="BC610" s="15"/>
      <c r="BD610" s="44"/>
      <c r="BE610" s="15">
        <f t="shared" si="55"/>
        <v>0</v>
      </c>
    </row>
    <row r="611" spans="1:57" ht="60" customHeight="1">
      <c r="A611" s="9"/>
      <c r="B611" s="16" t="s">
        <v>120</v>
      </c>
      <c r="C611" s="89" t="s">
        <v>52</v>
      </c>
      <c r="D611" s="83" t="s">
        <v>909</v>
      </c>
      <c r="E611" s="13" t="s">
        <v>910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6"/>
        <v>0</v>
      </c>
      <c r="P611" s="12"/>
      <c r="Q611" s="42"/>
      <c r="R611" s="15"/>
      <c r="S611" s="44"/>
      <c r="T611" s="15"/>
      <c r="U611" s="44"/>
      <c r="V611" s="15">
        <f t="shared" ref="V611:V642" si="57">P611+R611+T611</f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ref="AE611:AE642" si="58">(W611+Y611+AA611+AC611)</f>
        <v>0</v>
      </c>
      <c r="AF611" s="15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ref="AZ611:AZ642" si="59">AF611+AH611+AJ611+AL611+AN611+AP611+AR611+AT611+AV611+AX611</f>
        <v>0</v>
      </c>
      <c r="BA611" s="15"/>
      <c r="BB611" s="44"/>
      <c r="BC611" s="15"/>
      <c r="BD611" s="44"/>
      <c r="BE611" s="15">
        <f t="shared" ref="BE611:BE642" si="60">(BA611+BC611)</f>
        <v>0</v>
      </c>
    </row>
    <row r="612" spans="1:57">
      <c r="A612" s="9"/>
      <c r="B612" s="16" t="s">
        <v>120</v>
      </c>
      <c r="C612" s="89" t="s">
        <v>52</v>
      </c>
      <c r="D612" s="56" t="s">
        <v>911</v>
      </c>
      <c r="E612" s="13" t="s">
        <v>525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6"/>
        <v>0</v>
      </c>
      <c r="P612" s="12"/>
      <c r="Q612" s="42"/>
      <c r="R612" s="15"/>
      <c r="S612" s="44"/>
      <c r="T612" s="15"/>
      <c r="U612" s="44"/>
      <c r="V612" s="15">
        <f t="shared" si="57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8"/>
        <v>0</v>
      </c>
      <c r="AF612" s="15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9"/>
        <v>0</v>
      </c>
      <c r="BA612" s="15"/>
      <c r="BB612" s="44"/>
      <c r="BC612" s="15"/>
      <c r="BD612" s="44"/>
      <c r="BE612" s="15">
        <f t="shared" si="60"/>
        <v>0</v>
      </c>
    </row>
    <row r="613" spans="1:57">
      <c r="A613" s="9"/>
      <c r="B613" s="16" t="s">
        <v>120</v>
      </c>
      <c r="C613" s="89" t="s">
        <v>52</v>
      </c>
      <c r="D613" s="56" t="s">
        <v>912</v>
      </c>
      <c r="E613" s="13" t="s">
        <v>913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6"/>
        <v>0</v>
      </c>
      <c r="P613" s="12"/>
      <c r="Q613" s="42"/>
      <c r="R613" s="15"/>
      <c r="S613" s="44"/>
      <c r="T613" s="15"/>
      <c r="U613" s="44"/>
      <c r="V613" s="15">
        <f t="shared" si="57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8"/>
        <v>0</v>
      </c>
      <c r="AF613" s="15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9"/>
        <v>0</v>
      </c>
      <c r="BA613" s="15"/>
      <c r="BB613" s="44"/>
      <c r="BC613" s="15"/>
      <c r="BD613" s="44"/>
      <c r="BE613" s="15">
        <f t="shared" si="60"/>
        <v>0</v>
      </c>
    </row>
    <row r="614" spans="1:57">
      <c r="A614" s="9"/>
      <c r="B614" s="16" t="s">
        <v>120</v>
      </c>
      <c r="C614" s="89" t="s">
        <v>52</v>
      </c>
      <c r="D614" s="56" t="s">
        <v>914</v>
      </c>
      <c r="E614" s="13" t="s">
        <v>915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6"/>
        <v>0</v>
      </c>
      <c r="P614" s="12"/>
      <c r="Q614" s="42"/>
      <c r="R614" s="15"/>
      <c r="S614" s="44"/>
      <c r="T614" s="15"/>
      <c r="U614" s="44"/>
      <c r="V614" s="15">
        <f t="shared" si="57"/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si="58"/>
        <v>0</v>
      </c>
      <c r="AF614" s="15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si="59"/>
        <v>0</v>
      </c>
      <c r="BA614" s="15"/>
      <c r="BB614" s="44"/>
      <c r="BC614" s="15"/>
      <c r="BD614" s="44"/>
      <c r="BE614" s="15">
        <f t="shared" si="60"/>
        <v>0</v>
      </c>
    </row>
    <row r="615" spans="1:57">
      <c r="A615" s="9"/>
      <c r="B615" s="16" t="s">
        <v>187</v>
      </c>
      <c r="C615" s="89" t="s">
        <v>494</v>
      </c>
      <c r="D615" s="80" t="s">
        <v>916</v>
      </c>
      <c r="E615" s="13" t="s">
        <v>917</v>
      </c>
      <c r="F615" s="96"/>
      <c r="G615" s="9"/>
      <c r="H615" s="9" t="s">
        <v>527</v>
      </c>
      <c r="I615" s="14"/>
      <c r="J615" s="14"/>
      <c r="K615" s="12">
        <v>0</v>
      </c>
      <c r="L615" s="9"/>
      <c r="M615" s="9"/>
      <c r="N615" s="9"/>
      <c r="O615" s="38">
        <f t="shared" si="56"/>
        <v>0</v>
      </c>
      <c r="P615" s="12"/>
      <c r="Q615" s="42"/>
      <c r="R615" s="15"/>
      <c r="S615" s="44"/>
      <c r="T615" s="15"/>
      <c r="U615" s="44"/>
      <c r="V615" s="15">
        <f t="shared" si="57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8"/>
        <v>0</v>
      </c>
      <c r="AF615" s="15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59"/>
        <v>0</v>
      </c>
      <c r="BA615" s="15"/>
      <c r="BB615" s="44"/>
      <c r="BC615" s="15"/>
      <c r="BD615" s="44"/>
      <c r="BE615" s="15">
        <f t="shared" si="60"/>
        <v>0</v>
      </c>
    </row>
    <row r="616" spans="1:57">
      <c r="A616" s="9"/>
      <c r="B616" s="16" t="s">
        <v>528</v>
      </c>
      <c r="C616" s="89" t="s">
        <v>494</v>
      </c>
      <c r="D616" s="80" t="s">
        <v>918</v>
      </c>
      <c r="E616" s="13" t="s">
        <v>917</v>
      </c>
      <c r="F616" s="96"/>
      <c r="G616" s="9"/>
      <c r="H616" s="9" t="s">
        <v>527</v>
      </c>
      <c r="I616" s="14"/>
      <c r="J616" s="14"/>
      <c r="K616" s="12">
        <v>0</v>
      </c>
      <c r="L616" s="9"/>
      <c r="M616" s="9"/>
      <c r="N616" s="9"/>
      <c r="O616" s="38">
        <f t="shared" si="56"/>
        <v>0</v>
      </c>
      <c r="P616" s="12"/>
      <c r="Q616" s="42"/>
      <c r="R616" s="15"/>
      <c r="S616" s="44"/>
      <c r="T616" s="15"/>
      <c r="U616" s="44"/>
      <c r="V616" s="15">
        <f t="shared" si="57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8"/>
        <v>0</v>
      </c>
      <c r="AF616" s="15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59"/>
        <v>0</v>
      </c>
      <c r="BA616" s="15"/>
      <c r="BB616" s="44"/>
      <c r="BC616" s="15"/>
      <c r="BD616" s="44"/>
      <c r="BE616" s="15">
        <f t="shared" si="60"/>
        <v>0</v>
      </c>
    </row>
    <row r="617" spans="1:57">
      <c r="A617" s="9"/>
      <c r="B617" s="16" t="s">
        <v>204</v>
      </c>
      <c r="C617" s="89" t="s">
        <v>52</v>
      </c>
      <c r="D617" s="80" t="s">
        <v>919</v>
      </c>
      <c r="E617" s="13" t="s">
        <v>531</v>
      </c>
      <c r="F617" s="96"/>
      <c r="G617" s="9"/>
      <c r="H617" s="9" t="s">
        <v>207</v>
      </c>
      <c r="I617" s="14"/>
      <c r="J617" s="14"/>
      <c r="K617" s="12">
        <v>0</v>
      </c>
      <c r="L617" s="9"/>
      <c r="M617" s="9"/>
      <c r="N617" s="9"/>
      <c r="O617" s="38">
        <f t="shared" si="56"/>
        <v>0</v>
      </c>
      <c r="P617" s="12"/>
      <c r="Q617" s="42"/>
      <c r="R617" s="15"/>
      <c r="S617" s="44"/>
      <c r="T617" s="15"/>
      <c r="U617" s="44"/>
      <c r="V617" s="15">
        <f t="shared" si="57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8"/>
        <v>0</v>
      </c>
      <c r="AF617" s="15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59"/>
        <v>0</v>
      </c>
      <c r="BA617" s="15"/>
      <c r="BB617" s="44"/>
      <c r="BC617" s="15"/>
      <c r="BD617" s="44"/>
      <c r="BE617" s="15">
        <f t="shared" si="60"/>
        <v>0</v>
      </c>
    </row>
    <row r="618" spans="1:57">
      <c r="A618" s="9"/>
      <c r="B618" s="16" t="s">
        <v>204</v>
      </c>
      <c r="C618" s="89" t="s">
        <v>52</v>
      </c>
      <c r="D618" s="80" t="s">
        <v>920</v>
      </c>
      <c r="E618" s="13" t="s">
        <v>531</v>
      </c>
      <c r="F618" s="96"/>
      <c r="G618" s="9"/>
      <c r="H618" s="9" t="s">
        <v>207</v>
      </c>
      <c r="I618" s="14"/>
      <c r="J618" s="14"/>
      <c r="K618" s="12">
        <v>0</v>
      </c>
      <c r="L618" s="9"/>
      <c r="M618" s="9"/>
      <c r="N618" s="9"/>
      <c r="O618" s="38">
        <f t="shared" si="56"/>
        <v>0</v>
      </c>
      <c r="P618" s="12"/>
      <c r="Q618" s="42"/>
      <c r="R618" s="15"/>
      <c r="S618" s="44"/>
      <c r="T618" s="15"/>
      <c r="U618" s="44"/>
      <c r="V618" s="15">
        <f t="shared" si="57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8"/>
        <v>0</v>
      </c>
      <c r="AF618" s="15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59"/>
        <v>0</v>
      </c>
      <c r="BA618" s="15"/>
      <c r="BB618" s="44"/>
      <c r="BC618" s="15"/>
      <c r="BD618" s="44"/>
      <c r="BE618" s="15">
        <f t="shared" si="60"/>
        <v>0</v>
      </c>
    </row>
    <row r="619" spans="1:57">
      <c r="A619" s="9"/>
      <c r="B619" s="16" t="s">
        <v>204</v>
      </c>
      <c r="C619" s="89" t="s">
        <v>52</v>
      </c>
      <c r="D619" s="80" t="s">
        <v>921</v>
      </c>
      <c r="E619" s="13" t="s">
        <v>531</v>
      </c>
      <c r="F619" s="96"/>
      <c r="G619" s="9"/>
      <c r="H619" s="9" t="s">
        <v>207</v>
      </c>
      <c r="I619" s="14"/>
      <c r="J619" s="14"/>
      <c r="K619" s="12">
        <v>0</v>
      </c>
      <c r="L619" s="9"/>
      <c r="M619" s="9"/>
      <c r="N619" s="9"/>
      <c r="O619" s="38">
        <f t="shared" si="56"/>
        <v>0</v>
      </c>
      <c r="P619" s="12"/>
      <c r="Q619" s="42"/>
      <c r="R619" s="15"/>
      <c r="S619" s="44"/>
      <c r="T619" s="15"/>
      <c r="U619" s="44"/>
      <c r="V619" s="15">
        <f t="shared" si="57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8"/>
        <v>0</v>
      </c>
      <c r="AF619" s="15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59"/>
        <v>0</v>
      </c>
      <c r="BA619" s="15"/>
      <c r="BB619" s="44"/>
      <c r="BC619" s="15"/>
      <c r="BD619" s="44"/>
      <c r="BE619" s="15">
        <f t="shared" si="60"/>
        <v>0</v>
      </c>
    </row>
    <row r="620" spans="1:57">
      <c r="A620" s="9"/>
      <c r="B620" s="16" t="s">
        <v>204</v>
      </c>
      <c r="C620" s="89" t="s">
        <v>52</v>
      </c>
      <c r="D620" s="80" t="s">
        <v>922</v>
      </c>
      <c r="E620" s="13" t="s">
        <v>923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6"/>
        <v>0</v>
      </c>
      <c r="P620" s="12"/>
      <c r="Q620" s="42"/>
      <c r="R620" s="15"/>
      <c r="S620" s="44"/>
      <c r="T620" s="15"/>
      <c r="U620" s="44"/>
      <c r="V620" s="15">
        <f t="shared" si="57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8"/>
        <v>0</v>
      </c>
      <c r="AF620" s="15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59"/>
        <v>0</v>
      </c>
      <c r="BA620" s="15"/>
      <c r="BB620" s="44"/>
      <c r="BC620" s="15"/>
      <c r="BD620" s="44"/>
      <c r="BE620" s="15">
        <f t="shared" si="60"/>
        <v>0</v>
      </c>
    </row>
    <row r="621" spans="1:57" ht="36" customHeight="1">
      <c r="A621" s="9"/>
      <c r="B621" s="16" t="s">
        <v>204</v>
      </c>
      <c r="C621" s="89" t="s">
        <v>52</v>
      </c>
      <c r="D621" s="82" t="s">
        <v>924</v>
      </c>
      <c r="E621" s="22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6"/>
        <v>0</v>
      </c>
      <c r="P621" s="12"/>
      <c r="Q621" s="42"/>
      <c r="R621" s="15"/>
      <c r="S621" s="44"/>
      <c r="T621" s="15"/>
      <c r="U621" s="44"/>
      <c r="V621" s="15">
        <f t="shared" si="57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8"/>
        <v>0</v>
      </c>
      <c r="AF621" s="15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59"/>
        <v>0</v>
      </c>
      <c r="BA621" s="15"/>
      <c r="BB621" s="44"/>
      <c r="BC621" s="15"/>
      <c r="BD621" s="44"/>
      <c r="BE621" s="15">
        <f t="shared" si="60"/>
        <v>0</v>
      </c>
    </row>
    <row r="622" spans="1:57" ht="24" customHeight="1">
      <c r="A622" s="9"/>
      <c r="B622" s="16" t="s">
        <v>233</v>
      </c>
      <c r="C622" s="89" t="s">
        <v>52</v>
      </c>
      <c r="D622" s="82" t="s">
        <v>405</v>
      </c>
      <c r="E622" s="22" t="s">
        <v>925</v>
      </c>
      <c r="F622" s="96"/>
      <c r="G622" s="9"/>
      <c r="H622" s="9" t="s">
        <v>558</v>
      </c>
      <c r="I622" s="14"/>
      <c r="J622" s="14"/>
      <c r="K622" s="12">
        <v>0</v>
      </c>
      <c r="L622" s="9"/>
      <c r="M622" s="9"/>
      <c r="N622" s="9"/>
      <c r="O622" s="38">
        <f t="shared" si="56"/>
        <v>0</v>
      </c>
      <c r="P622" s="12"/>
      <c r="Q622" s="42"/>
      <c r="R622" s="15"/>
      <c r="S622" s="44"/>
      <c r="T622" s="15"/>
      <c r="U622" s="44"/>
      <c r="V622" s="15">
        <f t="shared" si="57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8"/>
        <v>0</v>
      </c>
      <c r="AF622" s="15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59"/>
        <v>0</v>
      </c>
      <c r="BA622" s="15"/>
      <c r="BB622" s="44"/>
      <c r="BC622" s="15"/>
      <c r="BD622" s="44"/>
      <c r="BE622" s="15">
        <f t="shared" si="60"/>
        <v>0</v>
      </c>
    </row>
    <row r="623" spans="1:57">
      <c r="A623" s="9"/>
      <c r="B623" s="16" t="s">
        <v>926</v>
      </c>
      <c r="C623" s="89" t="s">
        <v>52</v>
      </c>
      <c r="D623" s="80" t="s">
        <v>927</v>
      </c>
      <c r="E623" s="13" t="s">
        <v>565</v>
      </c>
      <c r="F623" s="96"/>
      <c r="G623" s="9"/>
      <c r="H623" s="9" t="s">
        <v>566</v>
      </c>
      <c r="I623" s="14"/>
      <c r="J623" s="14"/>
      <c r="K623" s="12">
        <v>0</v>
      </c>
      <c r="L623" s="9"/>
      <c r="M623" s="9"/>
      <c r="N623" s="9"/>
      <c r="O623" s="38">
        <f t="shared" si="56"/>
        <v>0</v>
      </c>
      <c r="P623" s="12"/>
      <c r="Q623" s="42"/>
      <c r="R623" s="15"/>
      <c r="S623" s="44"/>
      <c r="T623" s="15"/>
      <c r="U623" s="44"/>
      <c r="V623" s="15">
        <f t="shared" si="57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8"/>
        <v>0</v>
      </c>
      <c r="AF623" s="15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59"/>
        <v>0</v>
      </c>
      <c r="BA623" s="15"/>
      <c r="BB623" s="44"/>
      <c r="BC623" s="15"/>
      <c r="BD623" s="44"/>
      <c r="BE623" s="15">
        <f t="shared" si="60"/>
        <v>0</v>
      </c>
    </row>
    <row r="624" spans="1:57">
      <c r="A624" s="9"/>
      <c r="B624" s="16" t="s">
        <v>926</v>
      </c>
      <c r="C624" s="89" t="s">
        <v>52</v>
      </c>
      <c r="D624" s="56" t="s">
        <v>928</v>
      </c>
      <c r="E624" s="13" t="s">
        <v>929</v>
      </c>
      <c r="F624" s="96"/>
      <c r="G624" s="9"/>
      <c r="H624" s="9" t="s">
        <v>566</v>
      </c>
      <c r="I624" s="14"/>
      <c r="J624" s="14"/>
      <c r="K624" s="12">
        <v>0</v>
      </c>
      <c r="L624" s="9"/>
      <c r="M624" s="9"/>
      <c r="N624" s="9"/>
      <c r="O624" s="38">
        <f t="shared" si="56"/>
        <v>0</v>
      </c>
      <c r="P624" s="12"/>
      <c r="Q624" s="42"/>
      <c r="R624" s="15"/>
      <c r="S624" s="44"/>
      <c r="T624" s="15"/>
      <c r="U624" s="44"/>
      <c r="V624" s="15">
        <f t="shared" si="57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8"/>
        <v>0</v>
      </c>
      <c r="AF624" s="15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59"/>
        <v>0</v>
      </c>
      <c r="BA624" s="15"/>
      <c r="BB624" s="44"/>
      <c r="BC624" s="15"/>
      <c r="BD624" s="44"/>
      <c r="BE624" s="15">
        <f t="shared" si="60"/>
        <v>0</v>
      </c>
    </row>
    <row r="625" spans="1:57">
      <c r="A625" s="9"/>
      <c r="B625" s="16" t="s">
        <v>926</v>
      </c>
      <c r="C625" s="89" t="s">
        <v>52</v>
      </c>
      <c r="D625" s="56" t="s">
        <v>930</v>
      </c>
      <c r="E625" s="13"/>
      <c r="F625" s="96"/>
      <c r="G625" s="9"/>
      <c r="H625" s="9" t="s">
        <v>566</v>
      </c>
      <c r="I625" s="14"/>
      <c r="J625" s="14"/>
      <c r="K625" s="12">
        <v>23</v>
      </c>
      <c r="L625" s="9"/>
      <c r="M625" s="9"/>
      <c r="N625" s="9"/>
      <c r="O625" s="38">
        <f t="shared" si="56"/>
        <v>23</v>
      </c>
      <c r="P625" s="12"/>
      <c r="Q625" s="42"/>
      <c r="R625" s="15"/>
      <c r="S625" s="44"/>
      <c r="T625" s="15"/>
      <c r="U625" s="44"/>
      <c r="V625" s="15">
        <f t="shared" si="57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8"/>
        <v>0</v>
      </c>
      <c r="AF625" s="15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59"/>
        <v>0</v>
      </c>
      <c r="BA625" s="15"/>
      <c r="BB625" s="44"/>
      <c r="BC625" s="15"/>
      <c r="BD625" s="44"/>
      <c r="BE625" s="15">
        <f t="shared" si="60"/>
        <v>0</v>
      </c>
    </row>
    <row r="626" spans="1:57">
      <c r="A626" s="9"/>
      <c r="B626" s="16" t="s">
        <v>155</v>
      </c>
      <c r="C626" s="89" t="s">
        <v>52</v>
      </c>
      <c r="D626" s="56" t="s">
        <v>931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6"/>
        <v>0</v>
      </c>
      <c r="P626" s="12"/>
      <c r="Q626" s="42"/>
      <c r="R626" s="15"/>
      <c r="S626" s="44"/>
      <c r="T626" s="15"/>
      <c r="U626" s="44"/>
      <c r="V626" s="15">
        <f t="shared" si="57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8"/>
        <v>0</v>
      </c>
      <c r="AF626" s="15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59"/>
        <v>0</v>
      </c>
      <c r="BA626" s="15"/>
      <c r="BB626" s="44"/>
      <c r="BC626" s="15"/>
      <c r="BD626" s="44"/>
      <c r="BE626" s="15">
        <f t="shared" si="60"/>
        <v>0</v>
      </c>
    </row>
    <row r="627" spans="1:57">
      <c r="A627" s="9"/>
      <c r="B627" s="16" t="s">
        <v>155</v>
      </c>
      <c r="C627" s="89" t="s">
        <v>52</v>
      </c>
      <c r="D627" s="59" t="s">
        <v>932</v>
      </c>
      <c r="E627" s="13" t="s">
        <v>569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6"/>
        <v>0</v>
      </c>
      <c r="P627" s="12"/>
      <c r="Q627" s="42"/>
      <c r="R627" s="15"/>
      <c r="S627" s="44"/>
      <c r="T627" s="15"/>
      <c r="U627" s="44"/>
      <c r="V627" s="15">
        <f t="shared" si="57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8"/>
        <v>0</v>
      </c>
      <c r="AF627" s="15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59"/>
        <v>0</v>
      </c>
      <c r="BA627" s="15"/>
      <c r="BB627" s="44"/>
      <c r="BC627" s="15"/>
      <c r="BD627" s="44"/>
      <c r="BE627" s="15">
        <f t="shared" si="60"/>
        <v>0</v>
      </c>
    </row>
    <row r="628" spans="1:57">
      <c r="A628" s="9"/>
      <c r="B628" s="16" t="s">
        <v>155</v>
      </c>
      <c r="C628" s="89" t="s">
        <v>52</v>
      </c>
      <c r="D628" s="59" t="s">
        <v>933</v>
      </c>
      <c r="E628" s="13" t="s">
        <v>565</v>
      </c>
      <c r="F628" s="96"/>
      <c r="G628" s="9"/>
      <c r="H628" s="9" t="s">
        <v>314</v>
      </c>
      <c r="I628" s="14"/>
      <c r="J628" s="14"/>
      <c r="K628" s="12">
        <v>0</v>
      </c>
      <c r="L628" s="9"/>
      <c r="M628" s="9"/>
      <c r="N628" s="9"/>
      <c r="O628" s="38">
        <f t="shared" si="56"/>
        <v>0</v>
      </c>
      <c r="P628" s="12"/>
      <c r="Q628" s="42"/>
      <c r="R628" s="15"/>
      <c r="S628" s="44"/>
      <c r="T628" s="15"/>
      <c r="U628" s="44"/>
      <c r="V628" s="15">
        <f t="shared" si="57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8"/>
        <v>0</v>
      </c>
      <c r="AF628" s="15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59"/>
        <v>0</v>
      </c>
      <c r="BA628" s="15"/>
      <c r="BB628" s="44"/>
      <c r="BC628" s="15"/>
      <c r="BD628" s="44"/>
      <c r="BE628" s="15">
        <f t="shared" si="60"/>
        <v>0</v>
      </c>
    </row>
    <row r="629" spans="1:57">
      <c r="A629" s="9"/>
      <c r="B629" s="16" t="s">
        <v>330</v>
      </c>
      <c r="C629" s="89" t="s">
        <v>52</v>
      </c>
      <c r="D629" s="56" t="s">
        <v>934</v>
      </c>
      <c r="E629" s="13" t="s">
        <v>330</v>
      </c>
      <c r="F629" s="96"/>
      <c r="G629" s="9"/>
      <c r="H629" s="9" t="s">
        <v>467</v>
      </c>
      <c r="I629" s="14"/>
      <c r="J629" s="14"/>
      <c r="K629" s="12">
        <v>0</v>
      </c>
      <c r="L629" s="9"/>
      <c r="M629" s="9"/>
      <c r="N629" s="9"/>
      <c r="O629" s="38">
        <f t="shared" si="56"/>
        <v>0</v>
      </c>
      <c r="P629" s="12"/>
      <c r="Q629" s="42"/>
      <c r="R629" s="15"/>
      <c r="S629" s="44"/>
      <c r="T629" s="15"/>
      <c r="U629" s="44"/>
      <c r="V629" s="15">
        <f t="shared" si="57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8"/>
        <v>0</v>
      </c>
      <c r="AF629" s="15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59"/>
        <v>0</v>
      </c>
      <c r="BA629" s="15"/>
      <c r="BB629" s="44"/>
      <c r="BC629" s="15"/>
      <c r="BD629" s="44"/>
      <c r="BE629" s="15">
        <f t="shared" si="60"/>
        <v>0</v>
      </c>
    </row>
    <row r="630" spans="1:57">
      <c r="A630" s="9"/>
      <c r="B630" s="16" t="s">
        <v>330</v>
      </c>
      <c r="C630" s="89" t="s">
        <v>52</v>
      </c>
      <c r="D630" s="56" t="s">
        <v>935</v>
      </c>
      <c r="E630" s="13"/>
      <c r="F630" s="96"/>
      <c r="G630" s="9"/>
      <c r="H630" s="9" t="s">
        <v>467</v>
      </c>
      <c r="I630" s="14"/>
      <c r="J630" s="14"/>
      <c r="K630" s="12">
        <v>0</v>
      </c>
      <c r="L630" s="9"/>
      <c r="M630" s="9"/>
      <c r="N630" s="9"/>
      <c r="O630" s="38">
        <f t="shared" ref="O630:O651" si="61">K630+V630-AE630-AZ630</f>
        <v>0</v>
      </c>
      <c r="P630" s="12"/>
      <c r="Q630" s="42"/>
      <c r="R630" s="15"/>
      <c r="S630" s="44"/>
      <c r="T630" s="15"/>
      <c r="U630" s="44"/>
      <c r="V630" s="15">
        <f t="shared" si="57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8"/>
        <v>0</v>
      </c>
      <c r="AF630" s="15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59"/>
        <v>0</v>
      </c>
      <c r="BA630" s="15"/>
      <c r="BB630" s="44"/>
      <c r="BC630" s="15"/>
      <c r="BD630" s="44"/>
      <c r="BE630" s="15">
        <f t="shared" si="60"/>
        <v>0</v>
      </c>
    </row>
    <row r="631" spans="1:57">
      <c r="A631" s="9"/>
      <c r="B631" s="16" t="s">
        <v>574</v>
      </c>
      <c r="C631" s="89" t="s">
        <v>52</v>
      </c>
      <c r="D631" s="59" t="s">
        <v>577</v>
      </c>
      <c r="E631" s="13"/>
      <c r="F631" s="96"/>
      <c r="G631" s="9"/>
      <c r="H631" s="9" t="s">
        <v>576</v>
      </c>
      <c r="I631" s="14"/>
      <c r="J631" s="14"/>
      <c r="K631" s="12">
        <v>0</v>
      </c>
      <c r="L631" s="9"/>
      <c r="M631" s="9"/>
      <c r="N631" s="9"/>
      <c r="O631" s="38">
        <f t="shared" si="61"/>
        <v>0</v>
      </c>
      <c r="P631" s="12"/>
      <c r="Q631" s="42"/>
      <c r="R631" s="15"/>
      <c r="S631" s="44"/>
      <c r="T631" s="15"/>
      <c r="U631" s="44"/>
      <c r="V631" s="15">
        <f t="shared" si="57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8"/>
        <v>0</v>
      </c>
      <c r="AF631" s="15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59"/>
        <v>0</v>
      </c>
      <c r="BA631" s="15"/>
      <c r="BB631" s="44"/>
      <c r="BC631" s="15"/>
      <c r="BD631" s="44"/>
      <c r="BE631" s="15">
        <f t="shared" si="60"/>
        <v>0</v>
      </c>
    </row>
    <row r="632" spans="1:57">
      <c r="A632" s="9"/>
      <c r="B632" s="16" t="s">
        <v>574</v>
      </c>
      <c r="C632" s="89" t="s">
        <v>494</v>
      </c>
      <c r="D632" s="56" t="s">
        <v>577</v>
      </c>
      <c r="E632" s="13"/>
      <c r="F632" s="96"/>
      <c r="G632" s="9"/>
      <c r="H632" s="9" t="s">
        <v>576</v>
      </c>
      <c r="I632" s="14"/>
      <c r="J632" s="14"/>
      <c r="K632" s="12">
        <v>0</v>
      </c>
      <c r="L632" s="9"/>
      <c r="M632" s="9"/>
      <c r="N632" s="9"/>
      <c r="O632" s="38">
        <f t="shared" si="61"/>
        <v>0</v>
      </c>
      <c r="P632" s="12"/>
      <c r="Q632" s="42"/>
      <c r="R632" s="15"/>
      <c r="S632" s="44"/>
      <c r="T632" s="15"/>
      <c r="U632" s="44"/>
      <c r="V632" s="15">
        <f t="shared" si="57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8"/>
        <v>0</v>
      </c>
      <c r="AF632" s="15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59"/>
        <v>0</v>
      </c>
      <c r="BA632" s="15"/>
      <c r="BB632" s="44"/>
      <c r="BC632" s="15"/>
      <c r="BD632" s="44"/>
      <c r="BE632" s="15">
        <f t="shared" si="60"/>
        <v>0</v>
      </c>
    </row>
    <row r="633" spans="1:57">
      <c r="A633" s="9"/>
      <c r="B633" s="16" t="s">
        <v>574</v>
      </c>
      <c r="C633" s="89" t="s">
        <v>494</v>
      </c>
      <c r="D633" s="59" t="s">
        <v>577</v>
      </c>
      <c r="E633" s="13" t="s">
        <v>936</v>
      </c>
      <c r="F633" s="96"/>
      <c r="G633" s="9"/>
      <c r="H633" s="9" t="s">
        <v>576</v>
      </c>
      <c r="I633" s="14"/>
      <c r="J633" s="14"/>
      <c r="K633" s="12">
        <v>0</v>
      </c>
      <c r="L633" s="9"/>
      <c r="M633" s="9"/>
      <c r="N633" s="9"/>
      <c r="O633" s="38">
        <f t="shared" si="61"/>
        <v>0</v>
      </c>
      <c r="P633" s="12"/>
      <c r="Q633" s="42"/>
      <c r="R633" s="15"/>
      <c r="S633" s="44"/>
      <c r="T633" s="15"/>
      <c r="U633" s="44"/>
      <c r="V633" s="15">
        <f t="shared" si="57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8"/>
        <v>0</v>
      </c>
      <c r="AF633" s="15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59"/>
        <v>0</v>
      </c>
      <c r="BA633" s="15"/>
      <c r="BB633" s="44"/>
      <c r="BC633" s="15"/>
      <c r="BD633" s="44"/>
      <c r="BE633" s="15">
        <f t="shared" si="60"/>
        <v>0</v>
      </c>
    </row>
    <row r="634" spans="1:57">
      <c r="A634" s="9"/>
      <c r="B634" s="16" t="s">
        <v>244</v>
      </c>
      <c r="C634" s="89" t="s">
        <v>52</v>
      </c>
      <c r="D634" s="59" t="s">
        <v>937</v>
      </c>
      <c r="E634" s="13" t="s">
        <v>246</v>
      </c>
      <c r="F634" s="96"/>
      <c r="G634" s="9"/>
      <c r="H634" s="9" t="s">
        <v>247</v>
      </c>
      <c r="I634" s="14"/>
      <c r="J634" s="14"/>
      <c r="K634" s="12">
        <v>0</v>
      </c>
      <c r="L634" s="9"/>
      <c r="M634" s="9"/>
      <c r="N634" s="9"/>
      <c r="O634" s="38">
        <f t="shared" si="61"/>
        <v>0</v>
      </c>
      <c r="P634" s="12"/>
      <c r="Q634" s="42"/>
      <c r="R634" s="15"/>
      <c r="S634" s="44"/>
      <c r="T634" s="15"/>
      <c r="U634" s="44"/>
      <c r="V634" s="15">
        <f t="shared" si="57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8"/>
        <v>0</v>
      </c>
      <c r="AF634" s="15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59"/>
        <v>0</v>
      </c>
      <c r="BA634" s="15"/>
      <c r="BB634" s="44"/>
      <c r="BC634" s="15"/>
      <c r="BD634" s="44"/>
      <c r="BE634" s="15">
        <f t="shared" si="60"/>
        <v>0</v>
      </c>
    </row>
    <row r="635" spans="1:57">
      <c r="A635" s="9"/>
      <c r="B635" s="16" t="s">
        <v>244</v>
      </c>
      <c r="C635" s="89" t="s">
        <v>52</v>
      </c>
      <c r="D635" s="56" t="s">
        <v>938</v>
      </c>
      <c r="E635" s="13" t="s">
        <v>246</v>
      </c>
      <c r="F635" s="96"/>
      <c r="G635" s="9"/>
      <c r="H635" s="9" t="s">
        <v>247</v>
      </c>
      <c r="I635" s="14"/>
      <c r="J635" s="14"/>
      <c r="K635" s="12">
        <v>0</v>
      </c>
      <c r="L635" s="9"/>
      <c r="M635" s="9"/>
      <c r="N635" s="9"/>
      <c r="O635" s="38">
        <f t="shared" si="61"/>
        <v>0</v>
      </c>
      <c r="P635" s="12"/>
      <c r="Q635" s="42"/>
      <c r="R635" s="15"/>
      <c r="S635" s="44"/>
      <c r="T635" s="15"/>
      <c r="U635" s="44"/>
      <c r="V635" s="15">
        <f t="shared" si="57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8"/>
        <v>0</v>
      </c>
      <c r="AF635" s="15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59"/>
        <v>0</v>
      </c>
      <c r="BA635" s="15"/>
      <c r="BB635" s="44"/>
      <c r="BC635" s="15"/>
      <c r="BD635" s="44"/>
      <c r="BE635" s="15">
        <f t="shared" si="60"/>
        <v>0</v>
      </c>
    </row>
    <row r="636" spans="1:57">
      <c r="A636" s="9">
        <v>999</v>
      </c>
      <c r="B636" s="16" t="s">
        <v>204</v>
      </c>
      <c r="C636" s="89" t="s">
        <v>52</v>
      </c>
      <c r="D636" s="56" t="s">
        <v>939</v>
      </c>
      <c r="E636" s="13" t="s">
        <v>940</v>
      </c>
      <c r="F636" s="96"/>
      <c r="G636" s="9"/>
      <c r="H636" s="9" t="s">
        <v>207</v>
      </c>
      <c r="I636" s="14"/>
      <c r="J636" s="14"/>
      <c r="K636" s="12">
        <v>0</v>
      </c>
      <c r="L636" s="9"/>
      <c r="M636" s="9"/>
      <c r="N636" s="9"/>
      <c r="O636" s="38">
        <f t="shared" si="61"/>
        <v>0</v>
      </c>
      <c r="P636" s="12"/>
      <c r="Q636" s="42"/>
      <c r="R636" s="15"/>
      <c r="S636" s="44"/>
      <c r="T636" s="15"/>
      <c r="U636" s="44"/>
      <c r="V636" s="15">
        <f t="shared" si="57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8"/>
        <v>0</v>
      </c>
      <c r="AF636" s="15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59"/>
        <v>0</v>
      </c>
      <c r="BA636" s="15"/>
      <c r="BB636" s="44"/>
      <c r="BC636" s="15"/>
      <c r="BD636" s="44"/>
      <c r="BE636" s="15">
        <f t="shared" si="60"/>
        <v>0</v>
      </c>
    </row>
    <row r="637" spans="1:57">
      <c r="A637" s="9">
        <v>999</v>
      </c>
      <c r="B637" s="16" t="s">
        <v>204</v>
      </c>
      <c r="C637" s="89" t="s">
        <v>52</v>
      </c>
      <c r="D637" s="56" t="s">
        <v>941</v>
      </c>
      <c r="E637" s="13" t="s">
        <v>940</v>
      </c>
      <c r="F637" s="96"/>
      <c r="G637" s="9"/>
      <c r="H637" s="9" t="s">
        <v>207</v>
      </c>
      <c r="I637" s="14"/>
      <c r="J637" s="14"/>
      <c r="K637" s="12">
        <v>0</v>
      </c>
      <c r="L637" s="9"/>
      <c r="M637" s="9"/>
      <c r="N637" s="9"/>
      <c r="O637" s="38">
        <f t="shared" si="61"/>
        <v>0</v>
      </c>
      <c r="P637" s="12"/>
      <c r="Q637" s="42"/>
      <c r="R637" s="15"/>
      <c r="S637" s="44"/>
      <c r="T637" s="15"/>
      <c r="U637" s="44"/>
      <c r="V637" s="15">
        <f t="shared" si="57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8"/>
        <v>0</v>
      </c>
      <c r="AF637" s="15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59"/>
        <v>0</v>
      </c>
      <c r="BA637" s="15"/>
      <c r="BB637" s="44"/>
      <c r="BC637" s="15"/>
      <c r="BD637" s="44"/>
      <c r="BE637" s="15">
        <f t="shared" si="60"/>
        <v>0</v>
      </c>
    </row>
    <row r="638" spans="1:57">
      <c r="A638" s="9">
        <v>999</v>
      </c>
      <c r="B638" s="16" t="s">
        <v>942</v>
      </c>
      <c r="C638" s="89" t="s">
        <v>494</v>
      </c>
      <c r="D638" s="56" t="s">
        <v>943</v>
      </c>
      <c r="E638" s="13" t="s">
        <v>944</v>
      </c>
      <c r="F638" s="12"/>
      <c r="G638" s="9"/>
      <c r="H638" s="9" t="s">
        <v>945</v>
      </c>
      <c r="I638" s="14"/>
      <c r="J638" s="14"/>
      <c r="K638" s="12">
        <v>0</v>
      </c>
      <c r="L638" s="9"/>
      <c r="M638" s="9"/>
      <c r="N638" s="9"/>
      <c r="O638" s="38">
        <f t="shared" si="61"/>
        <v>0</v>
      </c>
      <c r="P638" s="12"/>
      <c r="Q638" s="42"/>
      <c r="R638" s="15"/>
      <c r="S638" s="44"/>
      <c r="T638" s="15"/>
      <c r="U638" s="44"/>
      <c r="V638" s="15">
        <f t="shared" si="57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8"/>
        <v>0</v>
      </c>
      <c r="AF638" s="15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59"/>
        <v>0</v>
      </c>
      <c r="BA638" s="15"/>
      <c r="BB638" s="44"/>
      <c r="BC638" s="15"/>
      <c r="BD638" s="44"/>
      <c r="BE638" s="15">
        <f t="shared" si="60"/>
        <v>0</v>
      </c>
    </row>
    <row r="639" spans="1:57">
      <c r="A639" s="9">
        <v>999</v>
      </c>
      <c r="B639" s="16" t="s">
        <v>942</v>
      </c>
      <c r="C639" s="89" t="s">
        <v>494</v>
      </c>
      <c r="D639" s="56" t="s">
        <v>946</v>
      </c>
      <c r="E639" s="13"/>
      <c r="F639" s="12"/>
      <c r="G639" s="9"/>
      <c r="H639" s="9" t="s">
        <v>945</v>
      </c>
      <c r="I639" s="14"/>
      <c r="J639" s="14"/>
      <c r="K639" s="12">
        <v>0</v>
      </c>
      <c r="L639" s="9"/>
      <c r="M639" s="9"/>
      <c r="N639" s="9"/>
      <c r="O639" s="38">
        <f t="shared" si="61"/>
        <v>0</v>
      </c>
      <c r="P639" s="12"/>
      <c r="Q639" s="42"/>
      <c r="R639" s="15"/>
      <c r="S639" s="44"/>
      <c r="T639" s="15"/>
      <c r="U639" s="44"/>
      <c r="V639" s="15">
        <f t="shared" si="57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8"/>
        <v>0</v>
      </c>
      <c r="AF639" s="15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59"/>
        <v>0</v>
      </c>
      <c r="BA639" s="15"/>
      <c r="BB639" s="44"/>
      <c r="BC639" s="15"/>
      <c r="BD639" s="44"/>
      <c r="BE639" s="15">
        <f t="shared" si="60"/>
        <v>0</v>
      </c>
    </row>
    <row r="640" spans="1:57">
      <c r="A640" s="9">
        <v>999</v>
      </c>
      <c r="B640" s="16" t="s">
        <v>120</v>
      </c>
      <c r="C640" s="89"/>
      <c r="D640" s="80" t="s">
        <v>947</v>
      </c>
      <c r="E640" s="13"/>
      <c r="F640" s="12"/>
      <c r="G640" s="9"/>
      <c r="H640" s="9" t="s">
        <v>67</v>
      </c>
      <c r="I640" s="14"/>
      <c r="J640" s="14"/>
      <c r="K640" s="12">
        <v>0</v>
      </c>
      <c r="L640" s="9"/>
      <c r="M640" s="9"/>
      <c r="N640" s="9"/>
      <c r="O640" s="38">
        <f t="shared" si="61"/>
        <v>0</v>
      </c>
      <c r="P640" s="12"/>
      <c r="Q640" s="42"/>
      <c r="R640" s="15"/>
      <c r="S640" s="44"/>
      <c r="T640" s="15"/>
      <c r="U640" s="44"/>
      <c r="V640" s="15">
        <f t="shared" si="57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8"/>
        <v>0</v>
      </c>
      <c r="AF640" s="15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59"/>
        <v>0</v>
      </c>
      <c r="BA640" s="15"/>
      <c r="BB640" s="44"/>
      <c r="BC640" s="15"/>
      <c r="BD640" s="44"/>
      <c r="BE640" s="15">
        <f t="shared" si="60"/>
        <v>0</v>
      </c>
    </row>
    <row r="641" spans="1:57">
      <c r="A641" s="9">
        <v>999</v>
      </c>
      <c r="B641" s="16" t="s">
        <v>120</v>
      </c>
      <c r="C641" s="89"/>
      <c r="D641" s="80" t="s">
        <v>948</v>
      </c>
      <c r="E641" s="13"/>
      <c r="F641" s="12"/>
      <c r="G641" s="9"/>
      <c r="H641" s="9" t="s">
        <v>67</v>
      </c>
      <c r="I641" s="14"/>
      <c r="J641" s="14"/>
      <c r="K641" s="12">
        <v>0</v>
      </c>
      <c r="L641" s="9"/>
      <c r="M641" s="9"/>
      <c r="N641" s="9"/>
      <c r="O641" s="38">
        <f t="shared" si="61"/>
        <v>0</v>
      </c>
      <c r="P641" s="12"/>
      <c r="Q641" s="42"/>
      <c r="R641" s="15"/>
      <c r="S641" s="44"/>
      <c r="T641" s="15"/>
      <c r="U641" s="44"/>
      <c r="V641" s="15">
        <f t="shared" si="57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8"/>
        <v>0</v>
      </c>
      <c r="AF641" s="15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59"/>
        <v>0</v>
      </c>
      <c r="BA641" s="15"/>
      <c r="BB641" s="44"/>
      <c r="BC641" s="15"/>
      <c r="BD641" s="44"/>
      <c r="BE641" s="15">
        <f t="shared" si="60"/>
        <v>0</v>
      </c>
    </row>
    <row r="642" spans="1:57">
      <c r="A642" s="9">
        <v>999</v>
      </c>
      <c r="B642" s="16" t="s">
        <v>120</v>
      </c>
      <c r="C642" s="89"/>
      <c r="D642" s="80" t="s">
        <v>949</v>
      </c>
      <c r="E642" s="13"/>
      <c r="F642" s="12"/>
      <c r="G642" s="9"/>
      <c r="H642" s="9" t="s">
        <v>67</v>
      </c>
      <c r="I642" s="14"/>
      <c r="J642" s="14"/>
      <c r="K642" s="12">
        <v>0</v>
      </c>
      <c r="L642" s="9"/>
      <c r="M642" s="9"/>
      <c r="N642" s="9"/>
      <c r="O642" s="38">
        <f t="shared" si="61"/>
        <v>0</v>
      </c>
      <c r="P642" s="12"/>
      <c r="Q642" s="42"/>
      <c r="R642" s="15"/>
      <c r="S642" s="44"/>
      <c r="T642" s="15"/>
      <c r="U642" s="44"/>
      <c r="V642" s="15">
        <f t="shared" si="57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8"/>
        <v>0</v>
      </c>
      <c r="AF642" s="15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59"/>
        <v>0</v>
      </c>
      <c r="BA642" s="15"/>
      <c r="BB642" s="44"/>
      <c r="BC642" s="15"/>
      <c r="BD642" s="44"/>
      <c r="BE642" s="15">
        <f t="shared" si="60"/>
        <v>0</v>
      </c>
    </row>
    <row r="643" spans="1:57">
      <c r="A643" s="9">
        <v>999</v>
      </c>
      <c r="B643" s="16" t="s">
        <v>120</v>
      </c>
      <c r="C643" s="89"/>
      <c r="D643" s="80" t="s">
        <v>950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1"/>
        <v>0</v>
      </c>
      <c r="P643" s="12"/>
      <c r="Q643" s="42"/>
      <c r="R643" s="15"/>
      <c r="S643" s="44"/>
      <c r="T643" s="15"/>
      <c r="U643" s="44"/>
      <c r="V643" s="15">
        <f t="shared" ref="V643:V651" si="62">P643+R643+T643</f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ref="AE643:AE651" si="63">(W643+Y643+AA643+AC643)</f>
        <v>0</v>
      </c>
      <c r="AF643" s="15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ref="AZ643:AZ651" si="64">AF643+AH643+AJ643+AL643+AN643+AP643+AR643+AT643+AV643+AX643</f>
        <v>0</v>
      </c>
      <c r="BA643" s="15"/>
      <c r="BB643" s="44"/>
      <c r="BC643" s="15"/>
      <c r="BD643" s="44"/>
      <c r="BE643" s="15">
        <f t="shared" ref="BE643:BE651" si="65">(BA643+BC643)</f>
        <v>0</v>
      </c>
    </row>
    <row r="644" spans="1:57">
      <c r="A644" s="9">
        <v>999</v>
      </c>
      <c r="B644" s="16" t="s">
        <v>120</v>
      </c>
      <c r="C644" s="89"/>
      <c r="D644" s="80" t="s">
        <v>951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1"/>
        <v>0</v>
      </c>
      <c r="P644" s="12"/>
      <c r="Q644" s="42"/>
      <c r="R644" s="15"/>
      <c r="S644" s="44"/>
      <c r="T644" s="15"/>
      <c r="U644" s="44"/>
      <c r="V644" s="15">
        <f t="shared" si="62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63"/>
        <v>0</v>
      </c>
      <c r="AF644" s="15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4"/>
        <v>0</v>
      </c>
      <c r="BA644" s="15"/>
      <c r="BB644" s="44"/>
      <c r="BC644" s="15"/>
      <c r="BD644" s="44"/>
      <c r="BE644" s="15">
        <f t="shared" si="65"/>
        <v>0</v>
      </c>
    </row>
    <row r="645" spans="1:57">
      <c r="A645" s="9">
        <v>999</v>
      </c>
      <c r="B645" s="16" t="s">
        <v>330</v>
      </c>
      <c r="C645" s="89"/>
      <c r="D645" s="56" t="s">
        <v>952</v>
      </c>
      <c r="E645" s="13"/>
      <c r="F645" s="12"/>
      <c r="G645" s="9"/>
      <c r="H645" s="9" t="s">
        <v>467</v>
      </c>
      <c r="I645" s="14"/>
      <c r="J645" s="14"/>
      <c r="K645" s="12">
        <v>0</v>
      </c>
      <c r="L645" s="9"/>
      <c r="M645" s="9"/>
      <c r="N645" s="9"/>
      <c r="O645" s="38">
        <f t="shared" si="61"/>
        <v>0</v>
      </c>
      <c r="P645" s="12"/>
      <c r="Q645" s="42"/>
      <c r="R645" s="15"/>
      <c r="S645" s="44"/>
      <c r="T645" s="15"/>
      <c r="U645" s="44"/>
      <c r="V645" s="15">
        <f t="shared" si="62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63"/>
        <v>0</v>
      </c>
      <c r="AF645" s="15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4"/>
        <v>0</v>
      </c>
      <c r="BA645" s="15"/>
      <c r="BB645" s="44"/>
      <c r="BC645" s="15"/>
      <c r="BD645" s="44"/>
      <c r="BE645" s="15">
        <f t="shared" si="65"/>
        <v>0</v>
      </c>
    </row>
    <row r="646" spans="1:57">
      <c r="A646" s="9">
        <v>999</v>
      </c>
      <c r="B646" s="16" t="s">
        <v>926</v>
      </c>
      <c r="C646" s="89" t="s">
        <v>132</v>
      </c>
      <c r="D646" s="69" t="s">
        <v>953</v>
      </c>
      <c r="E646" s="13"/>
      <c r="F646" s="12"/>
      <c r="G646" s="9"/>
      <c r="H646" s="9" t="s">
        <v>566</v>
      </c>
      <c r="I646" s="14"/>
      <c r="J646" s="14"/>
      <c r="K646" s="12">
        <v>0</v>
      </c>
      <c r="L646" s="9"/>
      <c r="M646" s="9"/>
      <c r="N646" s="9"/>
      <c r="O646" s="38">
        <f t="shared" si="61"/>
        <v>0</v>
      </c>
      <c r="P646" s="12"/>
      <c r="Q646" s="42"/>
      <c r="R646" s="15"/>
      <c r="S646" s="44"/>
      <c r="T646" s="15"/>
      <c r="U646" s="44"/>
      <c r="V646" s="15">
        <f t="shared" si="62"/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si="63"/>
        <v>0</v>
      </c>
      <c r="AF646" s="15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si="64"/>
        <v>0</v>
      </c>
      <c r="BA646" s="15"/>
      <c r="BB646" s="44"/>
      <c r="BC646" s="15"/>
      <c r="BD646" s="44"/>
      <c r="BE646" s="15">
        <f t="shared" si="65"/>
        <v>0</v>
      </c>
    </row>
    <row r="647" spans="1:57">
      <c r="A647" s="9">
        <v>999</v>
      </c>
      <c r="B647" s="16" t="s">
        <v>926</v>
      </c>
      <c r="C647" s="89" t="s">
        <v>132</v>
      </c>
      <c r="D647" s="69" t="s">
        <v>954</v>
      </c>
      <c r="E647" s="13"/>
      <c r="F647" s="12"/>
      <c r="G647" s="9"/>
      <c r="H647" s="9" t="s">
        <v>566</v>
      </c>
      <c r="I647" s="14"/>
      <c r="J647" s="14"/>
      <c r="K647" s="12">
        <v>0</v>
      </c>
      <c r="L647" s="9"/>
      <c r="M647" s="9"/>
      <c r="N647" s="9"/>
      <c r="O647" s="38">
        <f t="shared" si="61"/>
        <v>0</v>
      </c>
      <c r="P647" s="12"/>
      <c r="Q647" s="42"/>
      <c r="R647" s="15"/>
      <c r="S647" s="44"/>
      <c r="T647" s="15"/>
      <c r="U647" s="44"/>
      <c r="V647" s="15">
        <f t="shared" si="62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3"/>
        <v>0</v>
      </c>
      <c r="AF647" s="15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4"/>
        <v>0</v>
      </c>
      <c r="BA647" s="15"/>
      <c r="BB647" s="44"/>
      <c r="BC647" s="15"/>
      <c r="BD647" s="44"/>
      <c r="BE647" s="15">
        <f t="shared" si="65"/>
        <v>0</v>
      </c>
    </row>
    <row r="648" spans="1:57">
      <c r="A648" s="9">
        <v>999</v>
      </c>
      <c r="B648" s="16" t="s">
        <v>606</v>
      </c>
      <c r="C648" s="89"/>
      <c r="D648" s="56" t="s">
        <v>955</v>
      </c>
      <c r="E648" s="13" t="s">
        <v>956</v>
      </c>
      <c r="F648" s="12"/>
      <c r="G648" s="9"/>
      <c r="H648" s="9" t="s">
        <v>957</v>
      </c>
      <c r="I648" s="14"/>
      <c r="J648" s="14"/>
      <c r="K648" s="12">
        <v>0</v>
      </c>
      <c r="L648" s="9"/>
      <c r="M648" s="9"/>
      <c r="N648" s="9"/>
      <c r="O648" s="38">
        <f t="shared" si="61"/>
        <v>0</v>
      </c>
      <c r="P648" s="12"/>
      <c r="Q648" s="42"/>
      <c r="R648" s="15"/>
      <c r="S648" s="44"/>
      <c r="T648" s="15"/>
      <c r="U648" s="44"/>
      <c r="V648" s="15">
        <f t="shared" si="62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3"/>
        <v>0</v>
      </c>
      <c r="AF648" s="15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4"/>
        <v>0</v>
      </c>
      <c r="BA648" s="15"/>
      <c r="BB648" s="44"/>
      <c r="BC648" s="15"/>
      <c r="BD648" s="44"/>
      <c r="BE648" s="15">
        <f t="shared" si="65"/>
        <v>0</v>
      </c>
    </row>
    <row r="649" spans="1:57">
      <c r="A649" s="9">
        <v>999</v>
      </c>
      <c r="B649" s="16" t="s">
        <v>120</v>
      </c>
      <c r="C649" s="89"/>
      <c r="D649" s="56" t="s">
        <v>958</v>
      </c>
      <c r="E649" s="13"/>
      <c r="F649" s="12"/>
      <c r="G649" s="9"/>
      <c r="H649" s="9" t="s">
        <v>67</v>
      </c>
      <c r="I649" s="14"/>
      <c r="J649" s="14"/>
      <c r="K649" s="12">
        <v>0</v>
      </c>
      <c r="L649" s="9"/>
      <c r="M649" s="9"/>
      <c r="N649" s="9"/>
      <c r="O649" s="38">
        <f t="shared" si="61"/>
        <v>0</v>
      </c>
      <c r="P649" s="12"/>
      <c r="Q649" s="42"/>
      <c r="R649" s="15"/>
      <c r="S649" s="44"/>
      <c r="T649" s="15"/>
      <c r="U649" s="44"/>
      <c r="V649" s="15">
        <f t="shared" si="62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3"/>
        <v>0</v>
      </c>
      <c r="AF649" s="15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4"/>
        <v>0</v>
      </c>
      <c r="BA649" s="15"/>
      <c r="BB649" s="44"/>
      <c r="BC649" s="15"/>
      <c r="BD649" s="44"/>
      <c r="BE649" s="15">
        <f t="shared" si="65"/>
        <v>0</v>
      </c>
    </row>
    <row r="650" spans="1:57">
      <c r="A650" s="9">
        <v>999</v>
      </c>
      <c r="B650" s="16" t="s">
        <v>959</v>
      </c>
      <c r="C650" s="89"/>
      <c r="D650" s="56" t="s">
        <v>960</v>
      </c>
      <c r="E650" s="13" t="s">
        <v>961</v>
      </c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1"/>
        <v>0</v>
      </c>
      <c r="P650" s="12"/>
      <c r="Q650" s="42"/>
      <c r="R650" s="15"/>
      <c r="S650" s="44"/>
      <c r="T650" s="15"/>
      <c r="U650" s="44"/>
      <c r="V650" s="15">
        <f t="shared" si="62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3"/>
        <v>0</v>
      </c>
      <c r="AF650" s="15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4"/>
        <v>0</v>
      </c>
      <c r="BA650" s="15"/>
      <c r="BB650" s="44"/>
      <c r="BC650" s="15"/>
      <c r="BD650" s="44"/>
      <c r="BE650" s="15">
        <f t="shared" si="65"/>
        <v>0</v>
      </c>
    </row>
    <row r="651" spans="1:57">
      <c r="A651" s="9">
        <v>999</v>
      </c>
      <c r="B651" s="16" t="s">
        <v>962</v>
      </c>
      <c r="C651" s="89"/>
      <c r="D651" s="56" t="s">
        <v>963</v>
      </c>
      <c r="E651" s="13"/>
      <c r="F651" s="12"/>
      <c r="G651" s="9"/>
      <c r="H651" s="9" t="s">
        <v>964</v>
      </c>
      <c r="I651" s="14"/>
      <c r="J651" s="14"/>
      <c r="K651" s="12">
        <v>0</v>
      </c>
      <c r="L651" s="9"/>
      <c r="M651" s="9"/>
      <c r="N651" s="9"/>
      <c r="O651" s="38">
        <f t="shared" si="61"/>
        <v>0</v>
      </c>
      <c r="P651" s="12"/>
      <c r="Q651" s="42"/>
      <c r="R651" s="15"/>
      <c r="S651" s="44"/>
      <c r="T651" s="15"/>
      <c r="U651" s="44"/>
      <c r="V651" s="15">
        <f t="shared" si="62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3"/>
        <v>0</v>
      </c>
      <c r="AF651" s="15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4"/>
        <v>0</v>
      </c>
      <c r="BA651" s="15"/>
      <c r="BB651" s="44"/>
      <c r="BC651" s="15"/>
      <c r="BD651" s="44"/>
      <c r="BE651" s="15">
        <f t="shared" si="65"/>
        <v>0</v>
      </c>
    </row>
  </sheetData>
  <mergeCells count="4">
    <mergeCell ref="P1:U1"/>
    <mergeCell ref="AF1:AY1"/>
    <mergeCell ref="BA1:BD1"/>
    <mergeCell ref="W1:AD1"/>
  </mergeCells>
  <phoneticPr fontId="130" type="noConversion"/>
  <conditionalFormatting sqref="O2:O651">
    <cfRule type="cellIs" dxfId="6" priority="1" operator="lessThanOrEqual">
      <formula>200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2026-05-22T02:12:09Z</dcterms:modified>
  <cp:version>9.114.127.49115</cp:version>
</cp:coreProperties>
</file>