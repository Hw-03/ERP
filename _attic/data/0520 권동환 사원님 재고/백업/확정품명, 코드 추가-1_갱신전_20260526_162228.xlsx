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CF15C607-AE8D-4450-AC08-6A665FDE65BA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'26.05월_수정본'!$A$3:$BG$684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 iterateDelta="1E-4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/>
  <c r="BE649" i="3"/>
  <c r="AZ649" i="3"/>
  <c r="AE649" i="3"/>
  <c r="V649" i="3"/>
  <c r="O649" i="3" s="1"/>
  <c r="BE648" i="3"/>
  <c r="AZ648" i="3"/>
  <c r="AE648" i="3"/>
  <c r="V648" i="3"/>
  <c r="O648" i="3"/>
  <c r="BE647" i="3"/>
  <c r="AZ647" i="3"/>
  <c r="AE647" i="3"/>
  <c r="V647" i="3"/>
  <c r="O647" i="3" s="1"/>
  <c r="BE646" i="3"/>
  <c r="AZ646" i="3"/>
  <c r="AE646" i="3"/>
  <c r="O646" i="3" s="1"/>
  <c r="V646" i="3"/>
  <c r="BE645" i="3"/>
  <c r="AZ645" i="3"/>
  <c r="AE645" i="3"/>
  <c r="V645" i="3"/>
  <c r="O645" i="3"/>
  <c r="BE644" i="3"/>
  <c r="AZ644" i="3"/>
  <c r="AE644" i="3"/>
  <c r="V644" i="3"/>
  <c r="O644" i="3"/>
  <c r="BE643" i="3"/>
  <c r="AZ643" i="3"/>
  <c r="AE643" i="3"/>
  <c r="V643" i="3"/>
  <c r="O643" i="3"/>
  <c r="BE642" i="3"/>
  <c r="AZ642" i="3"/>
  <c r="AE642" i="3"/>
  <c r="V642" i="3"/>
  <c r="BE641" i="3"/>
  <c r="AZ641" i="3"/>
  <c r="O641" i="3" s="1"/>
  <c r="AE641" i="3"/>
  <c r="V641" i="3"/>
  <c r="BE640" i="3"/>
  <c r="AZ640" i="3"/>
  <c r="AE640" i="3"/>
  <c r="V640" i="3"/>
  <c r="O640" i="3" s="1"/>
  <c r="BE639" i="3"/>
  <c r="AZ639" i="3"/>
  <c r="AE639" i="3"/>
  <c r="V639" i="3"/>
  <c r="O639" i="3" s="1"/>
  <c r="BE638" i="3"/>
  <c r="AZ638" i="3"/>
  <c r="AE638" i="3"/>
  <c r="V638" i="3"/>
  <c r="O638" i="3"/>
  <c r="BE637" i="3"/>
  <c r="AZ637" i="3"/>
  <c r="AE637" i="3"/>
  <c r="V637" i="3"/>
  <c r="O637" i="3" s="1"/>
  <c r="BE636" i="3"/>
  <c r="AZ636" i="3"/>
  <c r="AE636" i="3"/>
  <c r="V636" i="3"/>
  <c r="O636" i="3"/>
  <c r="BE635" i="3"/>
  <c r="AZ635" i="3"/>
  <c r="AE635" i="3"/>
  <c r="V635" i="3"/>
  <c r="O635" i="3" s="1"/>
  <c r="BE634" i="3"/>
  <c r="AZ634" i="3"/>
  <c r="AE634" i="3"/>
  <c r="O634" i="3" s="1"/>
  <c r="V634" i="3"/>
  <c r="BE633" i="3"/>
  <c r="AZ633" i="3"/>
  <c r="AE633" i="3"/>
  <c r="V633" i="3"/>
  <c r="O633" i="3"/>
  <c r="BE632" i="3"/>
  <c r="AZ632" i="3"/>
  <c r="AE632" i="3"/>
  <c r="V632" i="3"/>
  <c r="O632" i="3"/>
  <c r="BE631" i="3"/>
  <c r="AZ631" i="3"/>
  <c r="AE631" i="3"/>
  <c r="V631" i="3"/>
  <c r="O631" i="3"/>
  <c r="BE630" i="3"/>
  <c r="AZ630" i="3"/>
  <c r="AE630" i="3"/>
  <c r="V630" i="3"/>
  <c r="BE629" i="3"/>
  <c r="AZ629" i="3"/>
  <c r="O629" i="3" s="1"/>
  <c r="AE629" i="3"/>
  <c r="V629" i="3"/>
  <c r="BE628" i="3"/>
  <c r="AZ628" i="3"/>
  <c r="AE628" i="3"/>
  <c r="V628" i="3"/>
  <c r="O628" i="3" s="1"/>
  <c r="BE627" i="3"/>
  <c r="AZ627" i="3"/>
  <c r="AE627" i="3"/>
  <c r="V627" i="3"/>
  <c r="O627" i="3" s="1"/>
  <c r="BE626" i="3"/>
  <c r="AZ626" i="3"/>
  <c r="AE626" i="3"/>
  <c r="V626" i="3"/>
  <c r="O626" i="3"/>
  <c r="BE625" i="3"/>
  <c r="AZ625" i="3"/>
  <c r="AE625" i="3"/>
  <c r="V625" i="3"/>
  <c r="O625" i="3" s="1"/>
  <c r="BE624" i="3"/>
  <c r="AZ624" i="3"/>
  <c r="AE624" i="3"/>
  <c r="V624" i="3"/>
  <c r="O624" i="3"/>
  <c r="BE623" i="3"/>
  <c r="AZ623" i="3"/>
  <c r="AE623" i="3"/>
  <c r="V623" i="3"/>
  <c r="BE622" i="3"/>
  <c r="AZ622" i="3"/>
  <c r="AE622" i="3"/>
  <c r="O622" i="3" s="1"/>
  <c r="V622" i="3"/>
  <c r="BE621" i="3"/>
  <c r="AZ621" i="3"/>
  <c r="AE621" i="3"/>
  <c r="V621" i="3"/>
  <c r="O621" i="3"/>
  <c r="BE620" i="3"/>
  <c r="AZ620" i="3"/>
  <c r="AE620" i="3"/>
  <c r="V620" i="3"/>
  <c r="O620" i="3"/>
  <c r="BE619" i="3"/>
  <c r="AZ619" i="3"/>
  <c r="AE619" i="3"/>
  <c r="V619" i="3"/>
  <c r="O619" i="3"/>
  <c r="BE618" i="3"/>
  <c r="AZ618" i="3"/>
  <c r="AE618" i="3"/>
  <c r="V618" i="3"/>
  <c r="BE617" i="3"/>
  <c r="AZ617" i="3"/>
  <c r="O617" i="3" s="1"/>
  <c r="AE617" i="3"/>
  <c r="V617" i="3"/>
  <c r="BE616" i="3"/>
  <c r="AZ616" i="3"/>
  <c r="AE616" i="3"/>
  <c r="V616" i="3"/>
  <c r="O616" i="3" s="1"/>
  <c r="BE615" i="3"/>
  <c r="AZ615" i="3"/>
  <c r="AE615" i="3"/>
  <c r="V615" i="3"/>
  <c r="O615" i="3" s="1"/>
  <c r="BE614" i="3"/>
  <c r="AZ614" i="3"/>
  <c r="AE614" i="3"/>
  <c r="V614" i="3"/>
  <c r="O614" i="3"/>
  <c r="BE613" i="3"/>
  <c r="AZ613" i="3"/>
  <c r="AE613" i="3"/>
  <c r="V613" i="3"/>
  <c r="O613" i="3" s="1"/>
  <c r="BE612" i="3"/>
  <c r="AZ612" i="3"/>
  <c r="AE612" i="3"/>
  <c r="V612" i="3"/>
  <c r="O612" i="3"/>
  <c r="BE611" i="3"/>
  <c r="AZ611" i="3"/>
  <c r="AE611" i="3"/>
  <c r="V611" i="3"/>
  <c r="BE610" i="3"/>
  <c r="AZ610" i="3"/>
  <c r="AE610" i="3"/>
  <c r="O610" i="3" s="1"/>
  <c r="V610" i="3"/>
  <c r="BE609" i="3"/>
  <c r="AZ609" i="3"/>
  <c r="AE609" i="3"/>
  <c r="V609" i="3"/>
  <c r="O609" i="3"/>
  <c r="BE608" i="3"/>
  <c r="AZ608" i="3"/>
  <c r="AE608" i="3"/>
  <c r="V608" i="3"/>
  <c r="O608" i="3"/>
  <c r="BE607" i="3"/>
  <c r="AZ607" i="3"/>
  <c r="AE607" i="3"/>
  <c r="V607" i="3"/>
  <c r="O607" i="3"/>
  <c r="BE606" i="3"/>
  <c r="AZ606" i="3"/>
  <c r="AE606" i="3"/>
  <c r="O606" i="3" s="1"/>
  <c r="V606" i="3"/>
  <c r="BE605" i="3"/>
  <c r="AZ605" i="3"/>
  <c r="O605" i="3" s="1"/>
  <c r="AE605" i="3"/>
  <c r="V605" i="3"/>
  <c r="BE604" i="3"/>
  <c r="AZ604" i="3"/>
  <c r="AE604" i="3"/>
  <c r="V604" i="3"/>
  <c r="O604" i="3" s="1"/>
  <c r="BE603" i="3"/>
  <c r="AZ603" i="3"/>
  <c r="AE603" i="3"/>
  <c r="V603" i="3"/>
  <c r="O603" i="3" s="1"/>
  <c r="BE602" i="3"/>
  <c r="AZ602" i="3"/>
  <c r="AE602" i="3"/>
  <c r="V602" i="3"/>
  <c r="O602" i="3"/>
  <c r="BE601" i="3"/>
  <c r="AZ601" i="3"/>
  <c r="AE601" i="3"/>
  <c r="V601" i="3"/>
  <c r="O601" i="3" s="1"/>
  <c r="BE600" i="3"/>
  <c r="AZ600" i="3"/>
  <c r="AE600" i="3"/>
  <c r="V600" i="3"/>
  <c r="O600" i="3"/>
  <c r="BE599" i="3"/>
  <c r="AZ599" i="3"/>
  <c r="AE599" i="3"/>
  <c r="V599" i="3"/>
  <c r="BE598" i="3"/>
  <c r="AZ598" i="3"/>
  <c r="AE598" i="3"/>
  <c r="O598" i="3" s="1"/>
  <c r="V598" i="3"/>
  <c r="BE597" i="3"/>
  <c r="AZ597" i="3"/>
  <c r="AE597" i="3"/>
  <c r="V597" i="3"/>
  <c r="O597" i="3"/>
  <c r="BE596" i="3"/>
  <c r="AZ596" i="3"/>
  <c r="AE596" i="3"/>
  <c r="V596" i="3"/>
  <c r="O596" i="3"/>
  <c r="BE595" i="3"/>
  <c r="AZ595" i="3"/>
  <c r="AE595" i="3"/>
  <c r="V595" i="3"/>
  <c r="O595" i="3"/>
  <c r="BE594" i="3"/>
  <c r="AZ594" i="3"/>
  <c r="AE594" i="3"/>
  <c r="O594" i="3" s="1"/>
  <c r="V594" i="3"/>
  <c r="BE593" i="3"/>
  <c r="AZ593" i="3"/>
  <c r="O593" i="3" s="1"/>
  <c r="AE593" i="3"/>
  <c r="V593" i="3"/>
  <c r="BE592" i="3"/>
  <c r="AZ592" i="3"/>
  <c r="AE592" i="3"/>
  <c r="V592" i="3"/>
  <c r="O592" i="3" s="1"/>
  <c r="BE591" i="3"/>
  <c r="AZ591" i="3"/>
  <c r="AE591" i="3"/>
  <c r="V591" i="3"/>
  <c r="O591" i="3" s="1"/>
  <c r="BE590" i="3"/>
  <c r="AZ590" i="3"/>
  <c r="AE590" i="3"/>
  <c r="V590" i="3"/>
  <c r="O590" i="3"/>
  <c r="BE589" i="3"/>
  <c r="AZ589" i="3"/>
  <c r="AE589" i="3"/>
  <c r="V589" i="3"/>
  <c r="O589" i="3" s="1"/>
  <c r="BE588" i="3"/>
  <c r="AZ588" i="3"/>
  <c r="AE588" i="3"/>
  <c r="V588" i="3"/>
  <c r="O588" i="3"/>
  <c r="BE587" i="3"/>
  <c r="AZ587" i="3"/>
  <c r="AE587" i="3"/>
  <c r="V587" i="3"/>
  <c r="O587" i="3" s="1"/>
  <c r="BE586" i="3"/>
  <c r="AZ586" i="3"/>
  <c r="AE586" i="3"/>
  <c r="O586" i="3" s="1"/>
  <c r="V586" i="3"/>
  <c r="BE585" i="3"/>
  <c r="AZ585" i="3"/>
  <c r="AE585" i="3"/>
  <c r="V585" i="3"/>
  <c r="O585" i="3"/>
  <c r="BE584" i="3"/>
  <c r="AZ584" i="3"/>
  <c r="AE584" i="3"/>
  <c r="V584" i="3"/>
  <c r="O584" i="3"/>
  <c r="BE583" i="3"/>
  <c r="AZ583" i="3"/>
  <c r="AE583" i="3"/>
  <c r="V583" i="3"/>
  <c r="O583" i="3"/>
  <c r="BE582" i="3"/>
  <c r="AZ582" i="3"/>
  <c r="AE582" i="3"/>
  <c r="O582" i="3" s="1"/>
  <c r="V582" i="3"/>
  <c r="BE581" i="3"/>
  <c r="AZ581" i="3"/>
  <c r="O581" i="3" s="1"/>
  <c r="AE581" i="3"/>
  <c r="V581" i="3"/>
  <c r="BE580" i="3"/>
  <c r="AZ580" i="3"/>
  <c r="AE580" i="3"/>
  <c r="V580" i="3"/>
  <c r="O580" i="3" s="1"/>
  <c r="BE579" i="3"/>
  <c r="AZ579" i="3"/>
  <c r="AE579" i="3"/>
  <c r="V579" i="3"/>
  <c r="O579" i="3" s="1"/>
  <c r="O578" i="3"/>
  <c r="BE577" i="3"/>
  <c r="AZ577" i="3"/>
  <c r="AE577" i="3"/>
  <c r="V577" i="3"/>
  <c r="O577" i="3"/>
  <c r="BE576" i="3"/>
  <c r="AZ576" i="3"/>
  <c r="AE576" i="3"/>
  <c r="V576" i="3"/>
  <c r="O576" i="3"/>
  <c r="BE575" i="3"/>
  <c r="AZ575" i="3"/>
  <c r="AE575" i="3"/>
  <c r="V575" i="3"/>
  <c r="O575" i="3"/>
  <c r="BE574" i="3"/>
  <c r="AZ574" i="3"/>
  <c r="AE574" i="3"/>
  <c r="O574" i="3" s="1"/>
  <c r="V574" i="3"/>
  <c r="BE573" i="3"/>
  <c r="AZ573" i="3"/>
  <c r="O573" i="3" s="1"/>
  <c r="AE573" i="3"/>
  <c r="V573" i="3"/>
  <c r="BE572" i="3"/>
  <c r="AZ572" i="3"/>
  <c r="AE572" i="3"/>
  <c r="V572" i="3"/>
  <c r="O572" i="3" s="1"/>
  <c r="BE571" i="3"/>
  <c r="AZ571" i="3"/>
  <c r="AE571" i="3"/>
  <c r="V571" i="3"/>
  <c r="O571" i="3" s="1"/>
  <c r="BE570" i="3"/>
  <c r="AZ570" i="3"/>
  <c r="AE570" i="3"/>
  <c r="V570" i="3"/>
  <c r="O570" i="3"/>
  <c r="BE569" i="3"/>
  <c r="AZ569" i="3"/>
  <c r="AE569" i="3"/>
  <c r="V569" i="3"/>
  <c r="O569" i="3" s="1"/>
  <c r="BE568" i="3"/>
  <c r="AZ568" i="3"/>
  <c r="AE568" i="3"/>
  <c r="V568" i="3"/>
  <c r="O568" i="3"/>
  <c r="BE567" i="3"/>
  <c r="AZ567" i="3"/>
  <c r="AE567" i="3"/>
  <c r="V567" i="3"/>
  <c r="BE566" i="3"/>
  <c r="AZ566" i="3"/>
  <c r="AE566" i="3"/>
  <c r="O566" i="3" s="1"/>
  <c r="V566" i="3"/>
  <c r="BE564" i="3"/>
  <c r="AZ564" i="3"/>
  <c r="AE564" i="3"/>
  <c r="V564" i="3"/>
  <c r="O564" i="3"/>
  <c r="BE563" i="3"/>
  <c r="AZ563" i="3"/>
  <c r="AE563" i="3"/>
  <c r="V563" i="3"/>
  <c r="O563" i="3"/>
  <c r="BE562" i="3"/>
  <c r="AZ562" i="3"/>
  <c r="AE562" i="3"/>
  <c r="V562" i="3"/>
  <c r="O562" i="3"/>
  <c r="BE561" i="3"/>
  <c r="AZ561" i="3"/>
  <c r="AE561" i="3"/>
  <c r="O561" i="3" s="1"/>
  <c r="V561" i="3"/>
  <c r="BE560" i="3"/>
  <c r="AZ560" i="3"/>
  <c r="O560" i="3" s="1"/>
  <c r="AE560" i="3"/>
  <c r="V560" i="3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/>
  <c r="BE556" i="3"/>
  <c r="AZ556" i="3"/>
  <c r="AE556" i="3"/>
  <c r="V556" i="3"/>
  <c r="O556" i="3" s="1"/>
  <c r="BE555" i="3"/>
  <c r="AZ555" i="3"/>
  <c r="AE555" i="3"/>
  <c r="V555" i="3"/>
  <c r="O555" i="3"/>
  <c r="BE554" i="3"/>
  <c r="AZ554" i="3"/>
  <c r="AE554" i="3"/>
  <c r="V554" i="3"/>
  <c r="O554" i="3" s="1"/>
  <c r="BE553" i="3"/>
  <c r="AZ553" i="3"/>
  <c r="AE553" i="3"/>
  <c r="O553" i="3" s="1"/>
  <c r="V553" i="3"/>
  <c r="BE552" i="3"/>
  <c r="AZ552" i="3"/>
  <c r="AE552" i="3"/>
  <c r="V552" i="3"/>
  <c r="O552" i="3"/>
  <c r="BE551" i="3"/>
  <c r="AZ551" i="3"/>
  <c r="AE551" i="3"/>
  <c r="V551" i="3"/>
  <c r="O551" i="3"/>
  <c r="BE550" i="3"/>
  <c r="AZ550" i="3"/>
  <c r="AE550" i="3"/>
  <c r="V550" i="3"/>
  <c r="O550" i="3"/>
  <c r="BE549" i="3"/>
  <c r="AZ549" i="3"/>
  <c r="AE549" i="3"/>
  <c r="V549" i="3"/>
  <c r="BE548" i="3"/>
  <c r="AZ548" i="3"/>
  <c r="O548" i="3" s="1"/>
  <c r="AE548" i="3"/>
  <c r="V548" i="3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/>
  <c r="BE544" i="3"/>
  <c r="AZ544" i="3"/>
  <c r="AE544" i="3"/>
  <c r="V544" i="3"/>
  <c r="O544" i="3" s="1"/>
  <c r="BE543" i="3"/>
  <c r="AZ543" i="3"/>
  <c r="AE543" i="3"/>
  <c r="V543" i="3"/>
  <c r="O543" i="3"/>
  <c r="BE542" i="3"/>
  <c r="AZ542" i="3"/>
  <c r="AE542" i="3"/>
  <c r="V542" i="3"/>
  <c r="O542" i="3" s="1"/>
  <c r="BE541" i="3"/>
  <c r="AZ541" i="3"/>
  <c r="AE541" i="3"/>
  <c r="O541" i="3" s="1"/>
  <c r="V541" i="3"/>
  <c r="BE540" i="3"/>
  <c r="AZ540" i="3"/>
  <c r="AE540" i="3"/>
  <c r="V540" i="3"/>
  <c r="O540" i="3"/>
  <c r="BE539" i="3"/>
  <c r="AZ539" i="3"/>
  <c r="AE539" i="3"/>
  <c r="V539" i="3"/>
  <c r="O539" i="3"/>
  <c r="BE538" i="3"/>
  <c r="AZ538" i="3"/>
  <c r="AE538" i="3"/>
  <c r="V538" i="3"/>
  <c r="O538" i="3"/>
  <c r="BE537" i="3"/>
  <c r="AZ537" i="3"/>
  <c r="AE537" i="3"/>
  <c r="V537" i="3"/>
  <c r="BE536" i="3"/>
  <c r="AZ536" i="3"/>
  <c r="O536" i="3" s="1"/>
  <c r="AE536" i="3"/>
  <c r="V536" i="3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/>
  <c r="BE532" i="3"/>
  <c r="AZ532" i="3"/>
  <c r="AE532" i="3"/>
  <c r="V532" i="3"/>
  <c r="O532" i="3" s="1"/>
  <c r="BE531" i="3"/>
  <c r="AZ531" i="3"/>
  <c r="AE531" i="3"/>
  <c r="V531" i="3"/>
  <c r="O531" i="3"/>
  <c r="BE530" i="3"/>
  <c r="AZ530" i="3"/>
  <c r="AE530" i="3"/>
  <c r="V530" i="3"/>
  <c r="BE529" i="3"/>
  <c r="AZ529" i="3"/>
  <c r="AE529" i="3"/>
  <c r="O529" i="3" s="1"/>
  <c r="V529" i="3"/>
  <c r="BE528" i="3"/>
  <c r="AZ528" i="3"/>
  <c r="AE528" i="3"/>
  <c r="V528" i="3"/>
  <c r="O528" i="3"/>
  <c r="BE527" i="3"/>
  <c r="AZ527" i="3"/>
  <c r="AE527" i="3"/>
  <c r="V527" i="3"/>
  <c r="O527" i="3"/>
  <c r="BE526" i="3"/>
  <c r="AZ526" i="3"/>
  <c r="AE526" i="3"/>
  <c r="V526" i="3"/>
  <c r="O526" i="3"/>
  <c r="BE525" i="3"/>
  <c r="AZ525" i="3"/>
  <c r="AE525" i="3"/>
  <c r="V525" i="3"/>
  <c r="BE524" i="3"/>
  <c r="AZ524" i="3"/>
  <c r="O524" i="3" s="1"/>
  <c r="AE524" i="3"/>
  <c r="V524" i="3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/>
  <c r="BE520" i="3"/>
  <c r="AZ520" i="3"/>
  <c r="AE520" i="3"/>
  <c r="V520" i="3"/>
  <c r="O520" i="3" s="1"/>
  <c r="BE519" i="3"/>
  <c r="AZ519" i="3"/>
  <c r="AE519" i="3"/>
  <c r="V519" i="3"/>
  <c r="O519" i="3"/>
  <c r="BE518" i="3"/>
  <c r="AZ518" i="3"/>
  <c r="AE518" i="3"/>
  <c r="V518" i="3"/>
  <c r="BE517" i="3"/>
  <c r="AZ517" i="3"/>
  <c r="AE517" i="3"/>
  <c r="O517" i="3" s="1"/>
  <c r="V517" i="3"/>
  <c r="BE516" i="3"/>
  <c r="AZ516" i="3"/>
  <c r="AE516" i="3"/>
  <c r="V516" i="3"/>
  <c r="O516" i="3"/>
  <c r="BE515" i="3"/>
  <c r="AZ515" i="3"/>
  <c r="AE515" i="3"/>
  <c r="V515" i="3"/>
  <c r="O515" i="3"/>
  <c r="BE514" i="3"/>
  <c r="AZ514" i="3"/>
  <c r="AE514" i="3"/>
  <c r="V514" i="3"/>
  <c r="O514" i="3"/>
  <c r="BE513" i="3"/>
  <c r="AZ513" i="3"/>
  <c r="AE513" i="3"/>
  <c r="V513" i="3"/>
  <c r="BE512" i="3"/>
  <c r="AZ512" i="3"/>
  <c r="O512" i="3" s="1"/>
  <c r="AE512" i="3"/>
  <c r="V512" i="3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/>
  <c r="BE508" i="3"/>
  <c r="AZ508" i="3"/>
  <c r="AE508" i="3"/>
  <c r="V508" i="3"/>
  <c r="O508" i="3" s="1"/>
  <c r="BE507" i="3"/>
  <c r="AZ507" i="3"/>
  <c r="AE507" i="3"/>
  <c r="V507" i="3"/>
  <c r="O507" i="3"/>
  <c r="BE506" i="3"/>
  <c r="AZ506" i="3"/>
  <c r="AE506" i="3"/>
  <c r="V506" i="3"/>
  <c r="BE505" i="3"/>
  <c r="AZ505" i="3"/>
  <c r="AE505" i="3"/>
  <c r="O505" i="3" s="1"/>
  <c r="V505" i="3"/>
  <c r="BE504" i="3"/>
  <c r="AZ504" i="3"/>
  <c r="AE504" i="3"/>
  <c r="V504" i="3"/>
  <c r="O504" i="3"/>
  <c r="BE503" i="3"/>
  <c r="AZ503" i="3"/>
  <c r="AE503" i="3"/>
  <c r="V503" i="3"/>
  <c r="O503" i="3"/>
  <c r="BE502" i="3"/>
  <c r="AZ502" i="3"/>
  <c r="AE502" i="3"/>
  <c r="V502" i="3"/>
  <c r="O502" i="3"/>
  <c r="BE501" i="3"/>
  <c r="AZ501" i="3"/>
  <c r="AE501" i="3"/>
  <c r="O501" i="3" s="1"/>
  <c r="V501" i="3"/>
  <c r="BE500" i="3"/>
  <c r="AZ500" i="3"/>
  <c r="O500" i="3" s="1"/>
  <c r="AE500" i="3"/>
  <c r="V500" i="3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/>
  <c r="BE496" i="3"/>
  <c r="AZ496" i="3"/>
  <c r="AE496" i="3"/>
  <c r="V496" i="3"/>
  <c r="O496" i="3" s="1"/>
  <c r="BE495" i="3"/>
  <c r="AZ495" i="3"/>
  <c r="AE495" i="3"/>
  <c r="V495" i="3"/>
  <c r="O495" i="3"/>
  <c r="BE494" i="3"/>
  <c r="AZ494" i="3"/>
  <c r="AE494" i="3"/>
  <c r="V494" i="3"/>
  <c r="BE493" i="3"/>
  <c r="AZ493" i="3"/>
  <c r="AE493" i="3"/>
  <c r="O493" i="3" s="1"/>
  <c r="V493" i="3"/>
  <c r="BE492" i="3"/>
  <c r="AZ492" i="3"/>
  <c r="AE492" i="3"/>
  <c r="V492" i="3"/>
  <c r="O492" i="3"/>
  <c r="BE491" i="3"/>
  <c r="AZ491" i="3"/>
  <c r="AE491" i="3"/>
  <c r="V491" i="3"/>
  <c r="O491" i="3"/>
  <c r="BE490" i="3"/>
  <c r="AZ490" i="3"/>
  <c r="AE490" i="3"/>
  <c r="V490" i="3"/>
  <c r="O490" i="3"/>
  <c r="BE489" i="3"/>
  <c r="AZ489" i="3"/>
  <c r="AE489" i="3"/>
  <c r="O489" i="3" s="1"/>
  <c r="V489" i="3"/>
  <c r="BE488" i="3"/>
  <c r="AZ488" i="3"/>
  <c r="O488" i="3" s="1"/>
  <c r="AE488" i="3"/>
  <c r="V488" i="3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/>
  <c r="BE484" i="3"/>
  <c r="AZ484" i="3"/>
  <c r="AE484" i="3"/>
  <c r="V484" i="3"/>
  <c r="O484" i="3" s="1"/>
  <c r="BE483" i="3"/>
  <c r="AZ483" i="3"/>
  <c r="AE483" i="3"/>
  <c r="V483" i="3"/>
  <c r="O483" i="3"/>
  <c r="BE482" i="3"/>
  <c r="AZ482" i="3"/>
  <c r="AE482" i="3"/>
  <c r="V482" i="3"/>
  <c r="O482" i="3" s="1"/>
  <c r="BE481" i="3"/>
  <c r="AZ481" i="3"/>
  <c r="AE481" i="3"/>
  <c r="O481" i="3" s="1"/>
  <c r="V481" i="3"/>
  <c r="BE480" i="3"/>
  <c r="AZ480" i="3"/>
  <c r="AE480" i="3"/>
  <c r="V480" i="3"/>
  <c r="O480" i="3"/>
  <c r="BE479" i="3"/>
  <c r="AZ479" i="3"/>
  <c r="AE479" i="3"/>
  <c r="V479" i="3"/>
  <c r="O479" i="3"/>
  <c r="BE478" i="3"/>
  <c r="AZ478" i="3"/>
  <c r="AE478" i="3"/>
  <c r="V478" i="3"/>
  <c r="O478" i="3"/>
  <c r="BE477" i="3"/>
  <c r="AZ477" i="3"/>
  <c r="AE477" i="3"/>
  <c r="O477" i="3" s="1"/>
  <c r="V477" i="3"/>
  <c r="BE476" i="3"/>
  <c r="AZ476" i="3"/>
  <c r="O476" i="3" s="1"/>
  <c r="AE476" i="3"/>
  <c r="V476" i="3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/>
  <c r="BE472" i="3"/>
  <c r="AZ472" i="3"/>
  <c r="AE472" i="3"/>
  <c r="V472" i="3"/>
  <c r="O472" i="3" s="1"/>
  <c r="BE471" i="3"/>
  <c r="AZ471" i="3"/>
  <c r="AE471" i="3"/>
  <c r="V471" i="3"/>
  <c r="O471" i="3"/>
  <c r="BE470" i="3"/>
  <c r="AZ470" i="3"/>
  <c r="AE470" i="3"/>
  <c r="V470" i="3"/>
  <c r="O470" i="3" s="1"/>
  <c r="BE469" i="3"/>
  <c r="AZ469" i="3"/>
  <c r="AE469" i="3"/>
  <c r="O469" i="3" s="1"/>
  <c r="V469" i="3"/>
  <c r="BE468" i="3"/>
  <c r="AZ468" i="3"/>
  <c r="AE468" i="3"/>
  <c r="V468" i="3"/>
  <c r="O468" i="3"/>
  <c r="BE467" i="3"/>
  <c r="AZ467" i="3"/>
  <c r="AE467" i="3"/>
  <c r="V467" i="3"/>
  <c r="O467" i="3"/>
  <c r="BE466" i="3"/>
  <c r="AZ466" i="3"/>
  <c r="AE466" i="3"/>
  <c r="V466" i="3"/>
  <c r="O466" i="3"/>
  <c r="BE465" i="3"/>
  <c r="AZ465" i="3"/>
  <c r="AE465" i="3"/>
  <c r="O465" i="3" s="1"/>
  <c r="V465" i="3"/>
  <c r="BE464" i="3"/>
  <c r="AZ464" i="3"/>
  <c r="O464" i="3" s="1"/>
  <c r="AE464" i="3"/>
  <c r="V464" i="3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/>
  <c r="BE460" i="3"/>
  <c r="AZ460" i="3"/>
  <c r="AE460" i="3"/>
  <c r="V460" i="3"/>
  <c r="O460" i="3" s="1"/>
  <c r="BE459" i="3"/>
  <c r="AZ459" i="3"/>
  <c r="AE459" i="3"/>
  <c r="V459" i="3"/>
  <c r="O459" i="3"/>
  <c r="BE458" i="3"/>
  <c r="AZ458" i="3"/>
  <c r="AE458" i="3"/>
  <c r="V458" i="3"/>
  <c r="O458" i="3" s="1"/>
  <c r="BE457" i="3"/>
  <c r="AZ457" i="3"/>
  <c r="AE457" i="3"/>
  <c r="O457" i="3" s="1"/>
  <c r="V457" i="3"/>
  <c r="BE456" i="3"/>
  <c r="AZ456" i="3"/>
  <c r="AE456" i="3"/>
  <c r="V456" i="3"/>
  <c r="O456" i="3"/>
  <c r="BE455" i="3"/>
  <c r="AZ455" i="3"/>
  <c r="AE455" i="3"/>
  <c r="V455" i="3"/>
  <c r="O455" i="3"/>
  <c r="BE454" i="3"/>
  <c r="AZ454" i="3"/>
  <c r="AE454" i="3"/>
  <c r="V454" i="3"/>
  <c r="O454" i="3"/>
  <c r="BE453" i="3"/>
  <c r="AZ453" i="3"/>
  <c r="AE453" i="3"/>
  <c r="O453" i="3" s="1"/>
  <c r="V453" i="3"/>
  <c r="BE452" i="3"/>
  <c r="AZ452" i="3"/>
  <c r="O452" i="3" s="1"/>
  <c r="AE452" i="3"/>
  <c r="V452" i="3"/>
  <c r="BE451" i="3"/>
  <c r="AZ451" i="3"/>
  <c r="AE451" i="3"/>
  <c r="V451" i="3"/>
  <c r="O451" i="3" s="1"/>
  <c r="BE450" i="3"/>
  <c r="AZ450" i="3"/>
  <c r="AE450" i="3"/>
  <c r="V450" i="3"/>
  <c r="O450" i="3" s="1"/>
  <c r="BE449" i="3"/>
  <c r="AZ449" i="3"/>
  <c r="AE449" i="3"/>
  <c r="V449" i="3"/>
  <c r="O449" i="3"/>
  <c r="BE448" i="3"/>
  <c r="AZ448" i="3"/>
  <c r="AE448" i="3"/>
  <c r="V448" i="3"/>
  <c r="O448" i="3" s="1"/>
  <c r="BE447" i="3"/>
  <c r="AZ447" i="3"/>
  <c r="AE447" i="3"/>
  <c r="V447" i="3"/>
  <c r="O447" i="3"/>
  <c r="BE446" i="3"/>
  <c r="AZ446" i="3"/>
  <c r="AE446" i="3"/>
  <c r="V446" i="3"/>
  <c r="O446" i="3" s="1"/>
  <c r="BE445" i="3"/>
  <c r="AZ445" i="3"/>
  <c r="AE445" i="3"/>
  <c r="O445" i="3" s="1"/>
  <c r="V445" i="3"/>
  <c r="BE444" i="3"/>
  <c r="AZ444" i="3"/>
  <c r="AE444" i="3"/>
  <c r="V444" i="3"/>
  <c r="O444" i="3"/>
  <c r="BE443" i="3"/>
  <c r="AZ443" i="3"/>
  <c r="AE443" i="3"/>
  <c r="V443" i="3"/>
  <c r="O443" i="3"/>
  <c r="BE442" i="3"/>
  <c r="AZ442" i="3"/>
  <c r="AE442" i="3"/>
  <c r="V442" i="3"/>
  <c r="O442" i="3"/>
  <c r="BE441" i="3"/>
  <c r="AZ441" i="3"/>
  <c r="AE441" i="3"/>
  <c r="V441" i="3"/>
  <c r="BE440" i="3"/>
  <c r="AZ440" i="3"/>
  <c r="O440" i="3" s="1"/>
  <c r="AE440" i="3"/>
  <c r="V440" i="3"/>
  <c r="BE439" i="3"/>
  <c r="AZ439" i="3"/>
  <c r="AE439" i="3"/>
  <c r="V439" i="3"/>
  <c r="O439" i="3" s="1"/>
  <c r="BE438" i="3"/>
  <c r="AZ438" i="3"/>
  <c r="AE438" i="3"/>
  <c r="V438" i="3"/>
  <c r="O438" i="3" s="1"/>
  <c r="BE437" i="3"/>
  <c r="AZ437" i="3"/>
  <c r="AE437" i="3"/>
  <c r="V437" i="3"/>
  <c r="O437" i="3"/>
  <c r="BE436" i="3"/>
  <c r="AZ436" i="3"/>
  <c r="AE436" i="3"/>
  <c r="V436" i="3"/>
  <c r="O436" i="3" s="1"/>
  <c r="BE435" i="3"/>
  <c r="AZ435" i="3"/>
  <c r="AE435" i="3"/>
  <c r="V435" i="3"/>
  <c r="O435" i="3"/>
  <c r="BE434" i="3"/>
  <c r="AZ434" i="3"/>
  <c r="AE434" i="3"/>
  <c r="V434" i="3"/>
  <c r="O434" i="3" s="1"/>
  <c r="BE433" i="3"/>
  <c r="AZ433" i="3"/>
  <c r="AE433" i="3"/>
  <c r="O433" i="3" s="1"/>
  <c r="V433" i="3"/>
  <c r="BE432" i="3"/>
  <c r="AZ432" i="3"/>
  <c r="AE432" i="3"/>
  <c r="V432" i="3"/>
  <c r="O432" i="3"/>
  <c r="BE431" i="3"/>
  <c r="AZ431" i="3"/>
  <c r="AE431" i="3"/>
  <c r="V431" i="3"/>
  <c r="O431" i="3"/>
  <c r="BE430" i="3"/>
  <c r="AZ430" i="3"/>
  <c r="AE430" i="3"/>
  <c r="V430" i="3"/>
  <c r="O430" i="3"/>
  <c r="BE429" i="3"/>
  <c r="AZ429" i="3"/>
  <c r="AE429" i="3"/>
  <c r="O429" i="3" s="1"/>
  <c r="V429" i="3"/>
  <c r="BE428" i="3"/>
  <c r="AZ428" i="3"/>
  <c r="O428" i="3" s="1"/>
  <c r="AE428" i="3"/>
  <c r="V428" i="3"/>
  <c r="BE427" i="3"/>
  <c r="AZ427" i="3"/>
  <c r="AE427" i="3"/>
  <c r="V427" i="3"/>
  <c r="O427" i="3" s="1"/>
  <c r="BE426" i="3"/>
  <c r="AZ426" i="3"/>
  <c r="AE426" i="3"/>
  <c r="V426" i="3"/>
  <c r="O426" i="3" s="1"/>
  <c r="BE425" i="3"/>
  <c r="AZ425" i="3"/>
  <c r="AE425" i="3"/>
  <c r="V425" i="3"/>
  <c r="O425" i="3"/>
  <c r="BE424" i="3"/>
  <c r="AZ424" i="3"/>
  <c r="AE424" i="3"/>
  <c r="V424" i="3"/>
  <c r="O424" i="3" s="1"/>
  <c r="BE423" i="3"/>
  <c r="AZ423" i="3"/>
  <c r="AE423" i="3"/>
  <c r="V423" i="3"/>
  <c r="O423" i="3"/>
  <c r="BE422" i="3"/>
  <c r="AZ422" i="3"/>
  <c r="AE422" i="3"/>
  <c r="V422" i="3"/>
  <c r="BE421" i="3"/>
  <c r="AZ421" i="3"/>
  <c r="AE421" i="3"/>
  <c r="O421" i="3" s="1"/>
  <c r="V421" i="3"/>
  <c r="BE420" i="3"/>
  <c r="AZ420" i="3"/>
  <c r="AE420" i="3"/>
  <c r="V420" i="3"/>
  <c r="O420" i="3"/>
  <c r="BE419" i="3"/>
  <c r="AZ419" i="3"/>
  <c r="AE419" i="3"/>
  <c r="V419" i="3"/>
  <c r="O419" i="3"/>
  <c r="BE418" i="3"/>
  <c r="AZ418" i="3"/>
  <c r="AE418" i="3"/>
  <c r="V418" i="3"/>
  <c r="O418" i="3"/>
  <c r="BE417" i="3"/>
  <c r="AZ417" i="3"/>
  <c r="AE417" i="3"/>
  <c r="O417" i="3" s="1"/>
  <c r="V417" i="3"/>
  <c r="BE416" i="3"/>
  <c r="AZ416" i="3"/>
  <c r="O416" i="3" s="1"/>
  <c r="AE416" i="3"/>
  <c r="V416" i="3"/>
  <c r="BE415" i="3"/>
  <c r="AZ415" i="3"/>
  <c r="AE415" i="3"/>
  <c r="V415" i="3"/>
  <c r="O415" i="3" s="1"/>
  <c r="BE414" i="3"/>
  <c r="AZ414" i="3"/>
  <c r="AE414" i="3"/>
  <c r="V414" i="3"/>
  <c r="O414" i="3" s="1"/>
  <c r="BE413" i="3"/>
  <c r="AZ413" i="3"/>
  <c r="AE413" i="3"/>
  <c r="V413" i="3"/>
  <c r="O413" i="3"/>
  <c r="BE412" i="3"/>
  <c r="AZ412" i="3"/>
  <c r="AE412" i="3"/>
  <c r="V412" i="3"/>
  <c r="O412" i="3" s="1"/>
  <c r="BE411" i="3"/>
  <c r="AZ411" i="3"/>
  <c r="AE411" i="3"/>
  <c r="V411" i="3"/>
  <c r="O411" i="3"/>
  <c r="BE410" i="3"/>
  <c r="AZ410" i="3"/>
  <c r="AE410" i="3"/>
  <c r="V410" i="3"/>
  <c r="O410" i="3" s="1"/>
  <c r="BE409" i="3"/>
  <c r="AZ409" i="3"/>
  <c r="AE409" i="3"/>
  <c r="O409" i="3" s="1"/>
  <c r="V409" i="3"/>
  <c r="BE408" i="3"/>
  <c r="AZ408" i="3"/>
  <c r="AE408" i="3"/>
  <c r="V408" i="3"/>
  <c r="O408" i="3"/>
  <c r="BE407" i="3"/>
  <c r="AZ407" i="3"/>
  <c r="AE407" i="3"/>
  <c r="V407" i="3"/>
  <c r="O407" i="3"/>
  <c r="BE406" i="3"/>
  <c r="AZ406" i="3"/>
  <c r="AE406" i="3"/>
  <c r="V406" i="3"/>
  <c r="O406" i="3"/>
  <c r="BE405" i="3"/>
  <c r="AZ405" i="3"/>
  <c r="AE405" i="3"/>
  <c r="V405" i="3"/>
  <c r="BE404" i="3"/>
  <c r="AZ404" i="3"/>
  <c r="O404" i="3" s="1"/>
  <c r="AE404" i="3"/>
  <c r="V404" i="3"/>
  <c r="BE403" i="3"/>
  <c r="AZ403" i="3"/>
  <c r="AE403" i="3"/>
  <c r="V403" i="3"/>
  <c r="O403" i="3" s="1"/>
  <c r="BE402" i="3"/>
  <c r="AZ402" i="3"/>
  <c r="AE402" i="3"/>
  <c r="V402" i="3"/>
  <c r="O402" i="3" s="1"/>
  <c r="BE401" i="3"/>
  <c r="AZ401" i="3"/>
  <c r="AE401" i="3"/>
  <c r="V401" i="3"/>
  <c r="O401" i="3"/>
  <c r="BE400" i="3"/>
  <c r="AZ400" i="3"/>
  <c r="AE400" i="3"/>
  <c r="V400" i="3"/>
  <c r="O400" i="3" s="1"/>
  <c r="BE399" i="3"/>
  <c r="AZ399" i="3"/>
  <c r="AE399" i="3"/>
  <c r="V399" i="3"/>
  <c r="O399" i="3"/>
  <c r="BE398" i="3"/>
  <c r="AZ398" i="3"/>
  <c r="AE398" i="3"/>
  <c r="V398" i="3"/>
  <c r="O398" i="3" s="1"/>
  <c r="BE397" i="3"/>
  <c r="AZ397" i="3"/>
  <c r="AE397" i="3"/>
  <c r="O397" i="3" s="1"/>
  <c r="V397" i="3"/>
  <c r="BE396" i="3"/>
  <c r="AZ396" i="3"/>
  <c r="AE396" i="3"/>
  <c r="V396" i="3"/>
  <c r="O396" i="3"/>
  <c r="BE395" i="3"/>
  <c r="AZ395" i="3"/>
  <c r="AE395" i="3"/>
  <c r="V395" i="3"/>
  <c r="O395" i="3"/>
  <c r="BE394" i="3"/>
  <c r="AZ394" i="3"/>
  <c r="AE394" i="3"/>
  <c r="V394" i="3"/>
  <c r="O394" i="3"/>
  <c r="BE393" i="3"/>
  <c r="AZ393" i="3"/>
  <c r="AE393" i="3"/>
  <c r="V393" i="3"/>
  <c r="BE392" i="3"/>
  <c r="AZ392" i="3"/>
  <c r="O392" i="3" s="1"/>
  <c r="AE392" i="3"/>
  <c r="V392" i="3"/>
  <c r="BE391" i="3"/>
  <c r="AZ391" i="3"/>
  <c r="AE391" i="3"/>
  <c r="V391" i="3"/>
  <c r="O391" i="3" s="1"/>
  <c r="BE390" i="3"/>
  <c r="AZ390" i="3"/>
  <c r="AE390" i="3"/>
  <c r="V390" i="3"/>
  <c r="O390" i="3" s="1"/>
  <c r="BE389" i="3"/>
  <c r="AZ389" i="3"/>
  <c r="AE389" i="3"/>
  <c r="V389" i="3"/>
  <c r="O389" i="3"/>
  <c r="BE388" i="3"/>
  <c r="AZ388" i="3"/>
  <c r="AE388" i="3"/>
  <c r="V388" i="3"/>
  <c r="O388" i="3" s="1"/>
  <c r="BE387" i="3"/>
  <c r="AZ387" i="3"/>
  <c r="AE387" i="3"/>
  <c r="V387" i="3"/>
  <c r="O387" i="3"/>
  <c r="BE386" i="3"/>
  <c r="AZ386" i="3"/>
  <c r="AE386" i="3"/>
  <c r="V386" i="3"/>
  <c r="BE385" i="3"/>
  <c r="AZ385" i="3"/>
  <c r="AE385" i="3"/>
  <c r="O385" i="3" s="1"/>
  <c r="V385" i="3"/>
  <c r="BE384" i="3"/>
  <c r="AZ384" i="3"/>
  <c r="AE384" i="3"/>
  <c r="V384" i="3"/>
  <c r="O384" i="3"/>
  <c r="BE383" i="3"/>
  <c r="AZ383" i="3"/>
  <c r="AE383" i="3"/>
  <c r="V383" i="3"/>
  <c r="O383" i="3"/>
  <c r="BE382" i="3"/>
  <c r="AZ382" i="3"/>
  <c r="AE382" i="3"/>
  <c r="V382" i="3"/>
  <c r="O382" i="3"/>
  <c r="BE381" i="3"/>
  <c r="AZ381" i="3"/>
  <c r="AE381" i="3"/>
  <c r="V381" i="3"/>
  <c r="BE380" i="3"/>
  <c r="AZ380" i="3"/>
  <c r="O380" i="3" s="1"/>
  <c r="AE380" i="3"/>
  <c r="V380" i="3"/>
  <c r="BE379" i="3"/>
  <c r="AZ379" i="3"/>
  <c r="AE379" i="3"/>
  <c r="V379" i="3"/>
  <c r="O379" i="3" s="1"/>
  <c r="BE378" i="3"/>
  <c r="AZ378" i="3"/>
  <c r="AE378" i="3"/>
  <c r="V378" i="3"/>
  <c r="O378" i="3" s="1"/>
  <c r="BE377" i="3"/>
  <c r="AZ377" i="3"/>
  <c r="AE377" i="3"/>
  <c r="V377" i="3"/>
  <c r="O377" i="3"/>
  <c r="BE376" i="3"/>
  <c r="AZ376" i="3"/>
  <c r="AE376" i="3"/>
  <c r="V376" i="3"/>
  <c r="O376" i="3" s="1"/>
  <c r="BE375" i="3"/>
  <c r="AZ375" i="3"/>
  <c r="AE375" i="3"/>
  <c r="V375" i="3"/>
  <c r="O375" i="3"/>
  <c r="BE374" i="3"/>
  <c r="AZ374" i="3"/>
  <c r="AE374" i="3"/>
  <c r="V374" i="3"/>
  <c r="BE373" i="3"/>
  <c r="AZ373" i="3"/>
  <c r="AE373" i="3"/>
  <c r="O373" i="3" s="1"/>
  <c r="V373" i="3"/>
  <c r="BE372" i="3"/>
  <c r="AZ372" i="3"/>
  <c r="AE372" i="3"/>
  <c r="V372" i="3"/>
  <c r="O372" i="3"/>
  <c r="BE371" i="3"/>
  <c r="AZ371" i="3"/>
  <c r="AE371" i="3"/>
  <c r="V371" i="3"/>
  <c r="O371" i="3"/>
  <c r="BE370" i="3"/>
  <c r="AZ370" i="3"/>
  <c r="AE370" i="3"/>
  <c r="V370" i="3"/>
  <c r="O370" i="3"/>
  <c r="BE369" i="3"/>
  <c r="AZ369" i="3"/>
  <c r="AE369" i="3"/>
  <c r="V369" i="3"/>
  <c r="BE368" i="3"/>
  <c r="AZ368" i="3"/>
  <c r="O368" i="3" s="1"/>
  <c r="AE368" i="3"/>
  <c r="V368" i="3"/>
  <c r="BE367" i="3"/>
  <c r="AZ367" i="3"/>
  <c r="AE367" i="3"/>
  <c r="V367" i="3"/>
  <c r="O367" i="3" s="1"/>
  <c r="BE366" i="3"/>
  <c r="AZ366" i="3"/>
  <c r="AE366" i="3"/>
  <c r="V366" i="3"/>
  <c r="O366" i="3" s="1"/>
  <c r="BE365" i="3"/>
  <c r="AZ365" i="3"/>
  <c r="AE365" i="3"/>
  <c r="V365" i="3"/>
  <c r="O365" i="3"/>
  <c r="BE364" i="3"/>
  <c r="AZ364" i="3"/>
  <c r="AE364" i="3"/>
  <c r="V364" i="3"/>
  <c r="O364" i="3" s="1"/>
  <c r="BE363" i="3"/>
  <c r="AZ363" i="3"/>
  <c r="AE363" i="3"/>
  <c r="V363" i="3"/>
  <c r="O363" i="3"/>
  <c r="BE362" i="3"/>
  <c r="AZ362" i="3"/>
  <c r="AE362" i="3"/>
  <c r="V362" i="3"/>
  <c r="BE361" i="3"/>
  <c r="AZ361" i="3"/>
  <c r="AE361" i="3"/>
  <c r="O361" i="3" s="1"/>
  <c r="V361" i="3"/>
  <c r="BE360" i="3"/>
  <c r="AZ360" i="3"/>
  <c r="AE360" i="3"/>
  <c r="V360" i="3"/>
  <c r="O360" i="3"/>
  <c r="BE359" i="3"/>
  <c r="AZ359" i="3"/>
  <c r="AE359" i="3"/>
  <c r="V359" i="3"/>
  <c r="O359" i="3"/>
  <c r="BE358" i="3"/>
  <c r="AZ358" i="3"/>
  <c r="AE358" i="3"/>
  <c r="V358" i="3"/>
  <c r="O358" i="3"/>
  <c r="BE357" i="3"/>
  <c r="AZ357" i="3"/>
  <c r="AE357" i="3"/>
  <c r="O357" i="3" s="1"/>
  <c r="V357" i="3"/>
  <c r="BE356" i="3"/>
  <c r="AZ356" i="3"/>
  <c r="O356" i="3" s="1"/>
  <c r="AE356" i="3"/>
  <c r="V356" i="3"/>
  <c r="BE355" i="3"/>
  <c r="AZ355" i="3"/>
  <c r="AE355" i="3"/>
  <c r="V355" i="3"/>
  <c r="O355" i="3" s="1"/>
  <c r="BE354" i="3"/>
  <c r="AZ354" i="3"/>
  <c r="AE354" i="3"/>
  <c r="V354" i="3"/>
  <c r="O354" i="3" s="1"/>
  <c r="BE353" i="3"/>
  <c r="AZ353" i="3"/>
  <c r="AE353" i="3"/>
  <c r="V353" i="3"/>
  <c r="O353" i="3"/>
  <c r="BE352" i="3"/>
  <c r="AZ352" i="3"/>
  <c r="AE352" i="3"/>
  <c r="V352" i="3"/>
  <c r="O352" i="3" s="1"/>
  <c r="BE351" i="3"/>
  <c r="AZ351" i="3"/>
  <c r="AE351" i="3"/>
  <c r="V351" i="3"/>
  <c r="O351" i="3"/>
  <c r="BE350" i="3"/>
  <c r="AZ350" i="3"/>
  <c r="AE350" i="3"/>
  <c r="V350" i="3"/>
  <c r="BE349" i="3"/>
  <c r="AZ349" i="3"/>
  <c r="AE349" i="3"/>
  <c r="O349" i="3" s="1"/>
  <c r="V349" i="3"/>
  <c r="BE348" i="3"/>
  <c r="AZ348" i="3"/>
  <c r="AE348" i="3"/>
  <c r="V348" i="3"/>
  <c r="O348" i="3"/>
  <c r="BE347" i="3"/>
  <c r="AZ347" i="3"/>
  <c r="AE347" i="3"/>
  <c r="V347" i="3"/>
  <c r="O347" i="3"/>
  <c r="BE346" i="3"/>
  <c r="AZ346" i="3"/>
  <c r="AE346" i="3"/>
  <c r="V346" i="3"/>
  <c r="O346" i="3"/>
  <c r="BE345" i="3"/>
  <c r="AZ345" i="3"/>
  <c r="AE345" i="3"/>
  <c r="O345" i="3" s="1"/>
  <c r="V345" i="3"/>
  <c r="BE344" i="3"/>
  <c r="AZ344" i="3"/>
  <c r="O344" i="3" s="1"/>
  <c r="AE344" i="3"/>
  <c r="V344" i="3"/>
  <c r="BE343" i="3"/>
  <c r="AZ343" i="3"/>
  <c r="AE343" i="3"/>
  <c r="V343" i="3"/>
  <c r="O343" i="3" s="1"/>
  <c r="BE342" i="3"/>
  <c r="AZ342" i="3"/>
  <c r="AE342" i="3"/>
  <c r="V342" i="3"/>
  <c r="O342" i="3" s="1"/>
  <c r="BE341" i="3"/>
  <c r="AZ341" i="3"/>
  <c r="AE341" i="3"/>
  <c r="V341" i="3"/>
  <c r="O341" i="3"/>
  <c r="BE340" i="3"/>
  <c r="AZ340" i="3"/>
  <c r="AE340" i="3"/>
  <c r="V340" i="3"/>
  <c r="O340" i="3" s="1"/>
  <c r="BE339" i="3"/>
  <c r="AZ339" i="3"/>
  <c r="AE339" i="3"/>
  <c r="V339" i="3"/>
  <c r="O339" i="3"/>
  <c r="BE338" i="3"/>
  <c r="AZ338" i="3"/>
  <c r="AE338" i="3"/>
  <c r="V338" i="3"/>
  <c r="O338" i="3" s="1"/>
  <c r="BE337" i="3"/>
  <c r="AZ337" i="3"/>
  <c r="AE337" i="3"/>
  <c r="O337" i="3" s="1"/>
  <c r="V337" i="3"/>
  <c r="BE336" i="3"/>
  <c r="AZ336" i="3"/>
  <c r="AE336" i="3"/>
  <c r="V336" i="3"/>
  <c r="O336" i="3"/>
  <c r="BE335" i="3"/>
  <c r="AZ335" i="3"/>
  <c r="AE335" i="3"/>
  <c r="V335" i="3"/>
  <c r="O335" i="3"/>
  <c r="BE334" i="3"/>
  <c r="AZ334" i="3"/>
  <c r="AE334" i="3"/>
  <c r="V334" i="3"/>
  <c r="O334" i="3"/>
  <c r="BE333" i="3"/>
  <c r="AZ333" i="3"/>
  <c r="AE333" i="3"/>
  <c r="O333" i="3" s="1"/>
  <c r="V333" i="3"/>
  <c r="BE332" i="3"/>
  <c r="AZ332" i="3"/>
  <c r="O332" i="3" s="1"/>
  <c r="AE332" i="3"/>
  <c r="V332" i="3"/>
  <c r="BE331" i="3"/>
  <c r="AZ331" i="3"/>
  <c r="AE331" i="3"/>
  <c r="V331" i="3"/>
  <c r="O331" i="3" s="1"/>
  <c r="BE330" i="3"/>
  <c r="AZ330" i="3"/>
  <c r="AE330" i="3"/>
  <c r="V330" i="3"/>
  <c r="O330" i="3" s="1"/>
  <c r="BE329" i="3"/>
  <c r="AZ329" i="3"/>
  <c r="AE329" i="3"/>
  <c r="V329" i="3"/>
  <c r="O329" i="3"/>
  <c r="BE328" i="3"/>
  <c r="AZ328" i="3"/>
  <c r="AE328" i="3"/>
  <c r="V328" i="3"/>
  <c r="O328" i="3" s="1"/>
  <c r="BE327" i="3"/>
  <c r="AZ327" i="3"/>
  <c r="AE327" i="3"/>
  <c r="V327" i="3"/>
  <c r="O327" i="3"/>
  <c r="BE326" i="3"/>
  <c r="AZ326" i="3"/>
  <c r="AE326" i="3"/>
  <c r="V326" i="3"/>
  <c r="O326" i="3" s="1"/>
  <c r="BE325" i="3"/>
  <c r="AZ325" i="3"/>
  <c r="AE325" i="3"/>
  <c r="O325" i="3" s="1"/>
  <c r="V325" i="3"/>
  <c r="BE324" i="3"/>
  <c r="AZ324" i="3"/>
  <c r="AE324" i="3"/>
  <c r="V324" i="3"/>
  <c r="O324" i="3"/>
  <c r="BE323" i="3"/>
  <c r="AZ323" i="3"/>
  <c r="AE323" i="3"/>
  <c r="V323" i="3"/>
  <c r="O323" i="3"/>
  <c r="BE322" i="3"/>
  <c r="AZ322" i="3"/>
  <c r="AE322" i="3"/>
  <c r="V322" i="3"/>
  <c r="O322" i="3"/>
  <c r="BE321" i="3"/>
  <c r="AZ321" i="3"/>
  <c r="AE321" i="3"/>
  <c r="O321" i="3" s="1"/>
  <c r="V321" i="3"/>
  <c r="BE320" i="3"/>
  <c r="AZ320" i="3"/>
  <c r="O320" i="3" s="1"/>
  <c r="AE320" i="3"/>
  <c r="V320" i="3"/>
  <c r="BE319" i="3"/>
  <c r="AZ319" i="3"/>
  <c r="AE319" i="3"/>
  <c r="V319" i="3"/>
  <c r="O319" i="3" s="1"/>
  <c r="BE318" i="3"/>
  <c r="AZ318" i="3"/>
  <c r="AE318" i="3"/>
  <c r="V318" i="3"/>
  <c r="O318" i="3" s="1"/>
  <c r="BE317" i="3"/>
  <c r="AZ317" i="3"/>
  <c r="AE317" i="3"/>
  <c r="V317" i="3"/>
  <c r="O317" i="3"/>
  <c r="BE316" i="3"/>
  <c r="AZ316" i="3"/>
  <c r="AE316" i="3"/>
  <c r="V316" i="3"/>
  <c r="O316" i="3" s="1"/>
  <c r="BE315" i="3"/>
  <c r="AZ315" i="3"/>
  <c r="AE315" i="3"/>
  <c r="V315" i="3"/>
  <c r="O315" i="3"/>
  <c r="BE314" i="3"/>
  <c r="AZ314" i="3"/>
  <c r="AE314" i="3"/>
  <c r="V314" i="3"/>
  <c r="O314" i="3" s="1"/>
  <c r="BE313" i="3"/>
  <c r="AZ313" i="3"/>
  <c r="AE313" i="3"/>
  <c r="O313" i="3" s="1"/>
  <c r="V313" i="3"/>
  <c r="BE312" i="3"/>
  <c r="AZ312" i="3"/>
  <c r="AE312" i="3"/>
  <c r="V312" i="3"/>
  <c r="O312" i="3"/>
  <c r="BE311" i="3"/>
  <c r="AZ311" i="3"/>
  <c r="AE311" i="3"/>
  <c r="V311" i="3"/>
  <c r="O311" i="3"/>
  <c r="BE310" i="3"/>
  <c r="AZ310" i="3"/>
  <c r="AE310" i="3"/>
  <c r="V310" i="3"/>
  <c r="O310" i="3"/>
  <c r="BE309" i="3"/>
  <c r="AZ309" i="3"/>
  <c r="AE309" i="3"/>
  <c r="O309" i="3" s="1"/>
  <c r="V309" i="3"/>
  <c r="BE308" i="3"/>
  <c r="AZ308" i="3"/>
  <c r="O308" i="3" s="1"/>
  <c r="AE308" i="3"/>
  <c r="V308" i="3"/>
  <c r="BE307" i="3"/>
  <c r="AZ307" i="3"/>
  <c r="AE307" i="3"/>
  <c r="V307" i="3"/>
  <c r="O307" i="3" s="1"/>
  <c r="BE306" i="3"/>
  <c r="AZ306" i="3"/>
  <c r="AE306" i="3"/>
  <c r="V306" i="3"/>
  <c r="O306" i="3" s="1"/>
  <c r="BE305" i="3"/>
  <c r="AZ305" i="3"/>
  <c r="AE305" i="3"/>
  <c r="V305" i="3"/>
  <c r="O305" i="3"/>
  <c r="BE304" i="3"/>
  <c r="AZ304" i="3"/>
  <c r="AE304" i="3"/>
  <c r="V304" i="3"/>
  <c r="O304" i="3" s="1"/>
  <c r="BE303" i="3"/>
  <c r="AZ303" i="3"/>
  <c r="AE303" i="3"/>
  <c r="V303" i="3"/>
  <c r="O303" i="3"/>
  <c r="BE302" i="3"/>
  <c r="AZ302" i="3"/>
  <c r="AE302" i="3"/>
  <c r="V302" i="3"/>
  <c r="O302" i="3" s="1"/>
  <c r="BE301" i="3"/>
  <c r="AZ301" i="3"/>
  <c r="AE301" i="3"/>
  <c r="O301" i="3" s="1"/>
  <c r="V301" i="3"/>
  <c r="BE300" i="3"/>
  <c r="AZ300" i="3"/>
  <c r="AE300" i="3"/>
  <c r="V300" i="3"/>
  <c r="O300" i="3"/>
  <c r="BE299" i="3"/>
  <c r="AZ299" i="3"/>
  <c r="AE299" i="3"/>
  <c r="V299" i="3"/>
  <c r="O299" i="3"/>
  <c r="BE298" i="3"/>
  <c r="AZ298" i="3"/>
  <c r="AE298" i="3"/>
  <c r="V298" i="3"/>
  <c r="O298" i="3"/>
  <c r="BE297" i="3"/>
  <c r="AZ297" i="3"/>
  <c r="AE297" i="3"/>
  <c r="V297" i="3"/>
  <c r="BE296" i="3"/>
  <c r="AZ296" i="3"/>
  <c r="O296" i="3" s="1"/>
  <c r="AE296" i="3"/>
  <c r="V296" i="3"/>
  <c r="BE295" i="3"/>
  <c r="AZ295" i="3"/>
  <c r="AE295" i="3"/>
  <c r="V295" i="3"/>
  <c r="O295" i="3" s="1"/>
  <c r="BE294" i="3"/>
  <c r="AZ294" i="3"/>
  <c r="AE294" i="3"/>
  <c r="V294" i="3"/>
  <c r="O294" i="3" s="1"/>
  <c r="BE293" i="3"/>
  <c r="AZ293" i="3"/>
  <c r="AE293" i="3"/>
  <c r="V293" i="3"/>
  <c r="O293" i="3"/>
  <c r="BE292" i="3"/>
  <c r="AZ292" i="3"/>
  <c r="AE292" i="3"/>
  <c r="V292" i="3"/>
  <c r="O292" i="3" s="1"/>
  <c r="BE291" i="3"/>
  <c r="AZ291" i="3"/>
  <c r="AE291" i="3"/>
  <c r="V291" i="3"/>
  <c r="O291" i="3"/>
  <c r="BE290" i="3"/>
  <c r="AZ290" i="3"/>
  <c r="AE290" i="3"/>
  <c r="V290" i="3"/>
  <c r="O290" i="3" s="1"/>
  <c r="BE289" i="3"/>
  <c r="AZ289" i="3"/>
  <c r="AE289" i="3"/>
  <c r="O289" i="3" s="1"/>
  <c r="V289" i="3"/>
  <c r="BE288" i="3"/>
  <c r="AZ288" i="3"/>
  <c r="AE288" i="3"/>
  <c r="V288" i="3"/>
  <c r="O288" i="3"/>
  <c r="BE287" i="3"/>
  <c r="AZ287" i="3"/>
  <c r="AE287" i="3"/>
  <c r="V287" i="3"/>
  <c r="O287" i="3"/>
  <c r="BE286" i="3"/>
  <c r="AZ286" i="3"/>
  <c r="AE286" i="3"/>
  <c r="V286" i="3"/>
  <c r="O286" i="3"/>
  <c r="BE285" i="3"/>
  <c r="AZ285" i="3"/>
  <c r="AE285" i="3"/>
  <c r="O285" i="3" s="1"/>
  <c r="V285" i="3"/>
  <c r="BE284" i="3"/>
  <c r="AZ284" i="3"/>
  <c r="O284" i="3" s="1"/>
  <c r="AE284" i="3"/>
  <c r="V284" i="3"/>
  <c r="BE283" i="3"/>
  <c r="AZ283" i="3"/>
  <c r="AE283" i="3"/>
  <c r="V283" i="3"/>
  <c r="O283" i="3" s="1"/>
  <c r="BE282" i="3"/>
  <c r="AZ282" i="3"/>
  <c r="AE282" i="3"/>
  <c r="V282" i="3"/>
  <c r="O282" i="3" s="1"/>
  <c r="BE281" i="3"/>
  <c r="AZ281" i="3"/>
  <c r="AE281" i="3"/>
  <c r="V281" i="3"/>
  <c r="O281" i="3"/>
  <c r="BE280" i="3"/>
  <c r="AZ280" i="3"/>
  <c r="AE280" i="3"/>
  <c r="V280" i="3"/>
  <c r="O280" i="3" s="1"/>
  <c r="BE279" i="3"/>
  <c r="AZ279" i="3"/>
  <c r="AE279" i="3"/>
  <c r="V279" i="3"/>
  <c r="O279" i="3"/>
  <c r="BE278" i="3"/>
  <c r="AZ278" i="3"/>
  <c r="AE278" i="3"/>
  <c r="V278" i="3"/>
  <c r="BE277" i="3"/>
  <c r="AZ277" i="3"/>
  <c r="AE277" i="3"/>
  <c r="O277" i="3" s="1"/>
  <c r="V277" i="3"/>
  <c r="BE276" i="3"/>
  <c r="AZ276" i="3"/>
  <c r="AE276" i="3"/>
  <c r="V276" i="3"/>
  <c r="O276" i="3"/>
  <c r="BE275" i="3"/>
  <c r="AZ275" i="3"/>
  <c r="AE275" i="3"/>
  <c r="V275" i="3"/>
  <c r="O275" i="3"/>
  <c r="BE274" i="3"/>
  <c r="AZ274" i="3"/>
  <c r="AE274" i="3"/>
  <c r="V274" i="3"/>
  <c r="O274" i="3"/>
  <c r="BE273" i="3"/>
  <c r="AZ273" i="3"/>
  <c r="AE273" i="3"/>
  <c r="O273" i="3" s="1"/>
  <c r="V273" i="3"/>
  <c r="BE272" i="3"/>
  <c r="AZ272" i="3"/>
  <c r="O272" i="3" s="1"/>
  <c r="AE272" i="3"/>
  <c r="V272" i="3"/>
  <c r="BE271" i="3"/>
  <c r="AZ271" i="3"/>
  <c r="AE271" i="3"/>
  <c r="V271" i="3"/>
  <c r="O271" i="3" s="1"/>
  <c r="BE270" i="3"/>
  <c r="AZ270" i="3"/>
  <c r="AE270" i="3"/>
  <c r="V270" i="3"/>
  <c r="O270" i="3" s="1"/>
  <c r="BE269" i="3"/>
  <c r="AZ269" i="3"/>
  <c r="AE269" i="3"/>
  <c r="V269" i="3"/>
  <c r="O269" i="3"/>
  <c r="BE268" i="3"/>
  <c r="AZ268" i="3"/>
  <c r="AE268" i="3"/>
  <c r="V268" i="3"/>
  <c r="O268" i="3" s="1"/>
  <c r="BE267" i="3"/>
  <c r="AZ267" i="3"/>
  <c r="AE267" i="3"/>
  <c r="V267" i="3"/>
  <c r="O267" i="3"/>
  <c r="BE266" i="3"/>
  <c r="AZ266" i="3"/>
  <c r="AE266" i="3"/>
  <c r="V266" i="3"/>
  <c r="O266" i="3" s="1"/>
  <c r="BE265" i="3"/>
  <c r="AZ265" i="3"/>
  <c r="AE265" i="3"/>
  <c r="O265" i="3" s="1"/>
  <c r="V265" i="3"/>
  <c r="BE264" i="3"/>
  <c r="AZ264" i="3"/>
  <c r="AE264" i="3"/>
  <c r="V264" i="3"/>
  <c r="O264" i="3"/>
  <c r="BE263" i="3"/>
  <c r="AZ263" i="3"/>
  <c r="AE263" i="3"/>
  <c r="V263" i="3"/>
  <c r="O263" i="3"/>
  <c r="BE262" i="3"/>
  <c r="AZ262" i="3"/>
  <c r="AE262" i="3"/>
  <c r="V262" i="3"/>
  <c r="O262" i="3"/>
  <c r="BE261" i="3"/>
  <c r="AZ261" i="3"/>
  <c r="AE261" i="3"/>
  <c r="V261" i="3"/>
  <c r="BE260" i="3"/>
  <c r="AZ260" i="3"/>
  <c r="O260" i="3" s="1"/>
  <c r="AE260" i="3"/>
  <c r="V260" i="3"/>
  <c r="BE259" i="3"/>
  <c r="AZ259" i="3"/>
  <c r="AE259" i="3"/>
  <c r="V259" i="3"/>
  <c r="O259" i="3" s="1"/>
  <c r="BE258" i="3"/>
  <c r="AZ258" i="3"/>
  <c r="AE258" i="3"/>
  <c r="V258" i="3"/>
  <c r="O258" i="3" s="1"/>
  <c r="BE257" i="3"/>
  <c r="AZ257" i="3"/>
  <c r="AE257" i="3"/>
  <c r="V257" i="3"/>
  <c r="O257" i="3"/>
  <c r="BE256" i="3"/>
  <c r="AZ256" i="3"/>
  <c r="AE256" i="3"/>
  <c r="V256" i="3"/>
  <c r="O256" i="3" s="1"/>
  <c r="BE255" i="3"/>
  <c r="AZ255" i="3"/>
  <c r="AE255" i="3"/>
  <c r="V255" i="3"/>
  <c r="O255" i="3"/>
  <c r="BE254" i="3"/>
  <c r="AZ254" i="3"/>
  <c r="AE254" i="3"/>
  <c r="V254" i="3"/>
  <c r="O254" i="3" s="1"/>
  <c r="BE253" i="3"/>
  <c r="AZ253" i="3"/>
  <c r="AE253" i="3"/>
  <c r="O253" i="3" s="1"/>
  <c r="V253" i="3"/>
  <c r="BE252" i="3"/>
  <c r="AZ252" i="3"/>
  <c r="AE252" i="3"/>
  <c r="V252" i="3"/>
  <c r="O252" i="3"/>
  <c r="BE251" i="3"/>
  <c r="AZ251" i="3"/>
  <c r="AE251" i="3"/>
  <c r="V251" i="3"/>
  <c r="O251" i="3"/>
  <c r="BE250" i="3"/>
  <c r="AZ250" i="3"/>
  <c r="AE250" i="3"/>
  <c r="V250" i="3"/>
  <c r="O250" i="3"/>
  <c r="BE249" i="3"/>
  <c r="AZ249" i="3"/>
  <c r="AE249" i="3"/>
  <c r="V249" i="3"/>
  <c r="BE248" i="3"/>
  <c r="AZ248" i="3"/>
  <c r="O248" i="3" s="1"/>
  <c r="AE248" i="3"/>
  <c r="V248" i="3"/>
  <c r="BE247" i="3"/>
  <c r="AZ247" i="3"/>
  <c r="AE247" i="3"/>
  <c r="V247" i="3"/>
  <c r="O247" i="3" s="1"/>
  <c r="BE246" i="3"/>
  <c r="AZ246" i="3"/>
  <c r="AE246" i="3"/>
  <c r="V246" i="3"/>
  <c r="O246" i="3" s="1"/>
  <c r="BE245" i="3"/>
  <c r="AZ245" i="3"/>
  <c r="AE245" i="3"/>
  <c r="V245" i="3"/>
  <c r="O245" i="3"/>
  <c r="BE244" i="3"/>
  <c r="AZ244" i="3"/>
  <c r="AE244" i="3"/>
  <c r="V244" i="3"/>
  <c r="O244" i="3" s="1"/>
  <c r="BE243" i="3"/>
  <c r="AZ243" i="3"/>
  <c r="AE243" i="3"/>
  <c r="V243" i="3"/>
  <c r="O243" i="3"/>
  <c r="BE242" i="3"/>
  <c r="AZ242" i="3"/>
  <c r="AE242" i="3"/>
  <c r="V242" i="3"/>
  <c r="BE241" i="3"/>
  <c r="AZ241" i="3"/>
  <c r="AE241" i="3"/>
  <c r="O241" i="3" s="1"/>
  <c r="V241" i="3"/>
  <c r="BE240" i="3"/>
  <c r="AZ240" i="3"/>
  <c r="AE240" i="3"/>
  <c r="V240" i="3"/>
  <c r="O240" i="3"/>
  <c r="BE239" i="3"/>
  <c r="AZ239" i="3"/>
  <c r="AE239" i="3"/>
  <c r="V239" i="3"/>
  <c r="O239" i="3"/>
  <c r="BE238" i="3"/>
  <c r="AZ238" i="3"/>
  <c r="AE238" i="3"/>
  <c r="V238" i="3"/>
  <c r="O238" i="3"/>
  <c r="BE237" i="3"/>
  <c r="AZ237" i="3"/>
  <c r="AE237" i="3"/>
  <c r="V237" i="3"/>
  <c r="BE236" i="3"/>
  <c r="AZ236" i="3"/>
  <c r="O236" i="3" s="1"/>
  <c r="AE236" i="3"/>
  <c r="V236" i="3"/>
  <c r="BE235" i="3"/>
  <c r="AZ235" i="3"/>
  <c r="AE235" i="3"/>
  <c r="V235" i="3"/>
  <c r="O235" i="3" s="1"/>
  <c r="BE234" i="3"/>
  <c r="AZ234" i="3"/>
  <c r="AE234" i="3"/>
  <c r="V234" i="3"/>
  <c r="O234" i="3" s="1"/>
  <c r="BE233" i="3"/>
  <c r="AZ233" i="3"/>
  <c r="AE233" i="3"/>
  <c r="V233" i="3"/>
  <c r="O233" i="3"/>
  <c r="BE232" i="3"/>
  <c r="AZ232" i="3"/>
  <c r="AE232" i="3"/>
  <c r="V232" i="3"/>
  <c r="O232" i="3" s="1"/>
  <c r="BE231" i="3"/>
  <c r="AZ231" i="3"/>
  <c r="AE231" i="3"/>
  <c r="V231" i="3"/>
  <c r="O231" i="3"/>
  <c r="BE230" i="3"/>
  <c r="AZ230" i="3"/>
  <c r="AE230" i="3"/>
  <c r="V230" i="3"/>
  <c r="BE229" i="3"/>
  <c r="AZ229" i="3"/>
  <c r="AE229" i="3"/>
  <c r="O229" i="3" s="1"/>
  <c r="V229" i="3"/>
  <c r="BE228" i="3"/>
  <c r="AZ228" i="3"/>
  <c r="AE228" i="3"/>
  <c r="V228" i="3"/>
  <c r="O228" i="3"/>
  <c r="BE227" i="3"/>
  <c r="AZ227" i="3"/>
  <c r="AE227" i="3"/>
  <c r="V227" i="3"/>
  <c r="O227" i="3"/>
  <c r="BE226" i="3"/>
  <c r="AZ226" i="3"/>
  <c r="AE226" i="3"/>
  <c r="V226" i="3"/>
  <c r="O226" i="3"/>
  <c r="BE225" i="3"/>
  <c r="AZ225" i="3"/>
  <c r="AE225" i="3"/>
  <c r="V225" i="3"/>
  <c r="BE224" i="3"/>
  <c r="AZ224" i="3"/>
  <c r="O224" i="3" s="1"/>
  <c r="AE224" i="3"/>
  <c r="V224" i="3"/>
  <c r="BE223" i="3"/>
  <c r="AZ223" i="3"/>
  <c r="AE223" i="3"/>
  <c r="V223" i="3"/>
  <c r="O223" i="3" s="1"/>
  <c r="BE222" i="3"/>
  <c r="AZ222" i="3"/>
  <c r="AE222" i="3"/>
  <c r="V222" i="3"/>
  <c r="O222" i="3" s="1"/>
  <c r="BE221" i="3"/>
  <c r="AZ221" i="3"/>
  <c r="AE221" i="3"/>
  <c r="V221" i="3"/>
  <c r="O221" i="3"/>
  <c r="BE220" i="3"/>
  <c r="AZ220" i="3"/>
  <c r="AE220" i="3"/>
  <c r="V220" i="3"/>
  <c r="O220" i="3" s="1"/>
  <c r="BE219" i="3"/>
  <c r="AZ219" i="3"/>
  <c r="AE219" i="3"/>
  <c r="V219" i="3"/>
  <c r="O219" i="3"/>
  <c r="BE218" i="3"/>
  <c r="AZ218" i="3"/>
  <c r="AE218" i="3"/>
  <c r="V218" i="3"/>
  <c r="BE217" i="3"/>
  <c r="AZ217" i="3"/>
  <c r="AE217" i="3"/>
  <c r="O217" i="3" s="1"/>
  <c r="V217" i="3"/>
  <c r="BE216" i="3"/>
  <c r="AZ216" i="3"/>
  <c r="AE216" i="3"/>
  <c r="V216" i="3"/>
  <c r="O216" i="3"/>
  <c r="BE215" i="3"/>
  <c r="AZ215" i="3"/>
  <c r="AE215" i="3"/>
  <c r="V215" i="3"/>
  <c r="O215" i="3"/>
  <c r="BE214" i="3"/>
  <c r="AZ214" i="3"/>
  <c r="AE214" i="3"/>
  <c r="V214" i="3"/>
  <c r="O214" i="3"/>
  <c r="BE213" i="3"/>
  <c r="AZ213" i="3"/>
  <c r="AE213" i="3"/>
  <c r="O213" i="3" s="1"/>
  <c r="V213" i="3"/>
  <c r="BE212" i="3"/>
  <c r="AZ212" i="3"/>
  <c r="O212" i="3" s="1"/>
  <c r="AE212" i="3"/>
  <c r="V212" i="3"/>
  <c r="BE211" i="3"/>
  <c r="AZ211" i="3"/>
  <c r="AE211" i="3"/>
  <c r="V211" i="3"/>
  <c r="O211" i="3" s="1"/>
  <c r="BE210" i="3"/>
  <c r="AZ210" i="3"/>
  <c r="AE210" i="3"/>
  <c r="V210" i="3"/>
  <c r="O210" i="3" s="1"/>
  <c r="BE209" i="3"/>
  <c r="AZ209" i="3"/>
  <c r="AE209" i="3"/>
  <c r="V209" i="3"/>
  <c r="O209" i="3"/>
  <c r="BE208" i="3"/>
  <c r="AZ208" i="3"/>
  <c r="AE208" i="3"/>
  <c r="V208" i="3"/>
  <c r="O208" i="3" s="1"/>
  <c r="BE207" i="3"/>
  <c r="AZ207" i="3"/>
  <c r="AE207" i="3"/>
  <c r="V207" i="3"/>
  <c r="O207" i="3"/>
  <c r="BE206" i="3"/>
  <c r="AZ206" i="3"/>
  <c r="AE206" i="3"/>
  <c r="V206" i="3"/>
  <c r="BE205" i="3"/>
  <c r="AZ205" i="3"/>
  <c r="AE205" i="3"/>
  <c r="O205" i="3" s="1"/>
  <c r="V205" i="3"/>
  <c r="BE204" i="3"/>
  <c r="AZ204" i="3"/>
  <c r="AE204" i="3"/>
  <c r="V204" i="3"/>
  <c r="O204" i="3"/>
  <c r="BE203" i="3"/>
  <c r="AZ203" i="3"/>
  <c r="AE203" i="3"/>
  <c r="V203" i="3"/>
  <c r="O203" i="3"/>
  <c r="BE202" i="3"/>
  <c r="AZ202" i="3"/>
  <c r="AE202" i="3"/>
  <c r="V202" i="3"/>
  <c r="O202" i="3"/>
  <c r="BE201" i="3"/>
  <c r="AZ201" i="3"/>
  <c r="AE201" i="3"/>
  <c r="O201" i="3" s="1"/>
  <c r="V201" i="3"/>
  <c r="BE200" i="3"/>
  <c r="AZ200" i="3"/>
  <c r="O200" i="3" s="1"/>
  <c r="AE200" i="3"/>
  <c r="V200" i="3"/>
  <c r="BE199" i="3"/>
  <c r="AZ199" i="3"/>
  <c r="AE199" i="3"/>
  <c r="V199" i="3"/>
  <c r="O199" i="3" s="1"/>
  <c r="BE198" i="3"/>
  <c r="AZ198" i="3"/>
  <c r="AE198" i="3"/>
  <c r="V198" i="3"/>
  <c r="O198" i="3" s="1"/>
  <c r="BE197" i="3"/>
  <c r="AZ197" i="3"/>
  <c r="AE197" i="3"/>
  <c r="V197" i="3"/>
  <c r="O197" i="3"/>
  <c r="BE196" i="3"/>
  <c r="AZ196" i="3"/>
  <c r="AE196" i="3"/>
  <c r="V196" i="3"/>
  <c r="O196" i="3" s="1"/>
  <c r="BE195" i="3"/>
  <c r="AZ195" i="3"/>
  <c r="AE195" i="3"/>
  <c r="V195" i="3"/>
  <c r="O195" i="3"/>
  <c r="BE194" i="3"/>
  <c r="AZ194" i="3"/>
  <c r="AE194" i="3"/>
  <c r="V194" i="3"/>
  <c r="O194" i="3" s="1"/>
  <c r="BE193" i="3"/>
  <c r="AZ193" i="3"/>
  <c r="AE193" i="3"/>
  <c r="O193" i="3" s="1"/>
  <c r="V193" i="3"/>
  <c r="BE192" i="3"/>
  <c r="AZ192" i="3"/>
  <c r="AE192" i="3"/>
  <c r="V192" i="3"/>
  <c r="O192" i="3"/>
  <c r="BE191" i="3"/>
  <c r="AZ191" i="3"/>
  <c r="AE191" i="3"/>
  <c r="V191" i="3"/>
  <c r="O191" i="3"/>
  <c r="BE190" i="3"/>
  <c r="AZ190" i="3"/>
  <c r="AE190" i="3"/>
  <c r="V190" i="3"/>
  <c r="O190" i="3"/>
  <c r="BE189" i="3"/>
  <c r="AZ189" i="3"/>
  <c r="AE189" i="3"/>
  <c r="O189" i="3" s="1"/>
  <c r="V189" i="3"/>
  <c r="BE188" i="3"/>
  <c r="AZ188" i="3"/>
  <c r="O188" i="3" s="1"/>
  <c r="AE188" i="3"/>
  <c r="V188" i="3"/>
  <c r="BE187" i="3"/>
  <c r="AZ187" i="3"/>
  <c r="AE187" i="3"/>
  <c r="V187" i="3"/>
  <c r="O187" i="3" s="1"/>
  <c r="BE186" i="3"/>
  <c r="AZ186" i="3"/>
  <c r="AE186" i="3"/>
  <c r="V186" i="3"/>
  <c r="O186" i="3" s="1"/>
  <c r="BE185" i="3"/>
  <c r="AZ185" i="3"/>
  <c r="AE185" i="3"/>
  <c r="V185" i="3"/>
  <c r="O185" i="3"/>
  <c r="BE184" i="3"/>
  <c r="AZ184" i="3"/>
  <c r="AE184" i="3"/>
  <c r="V184" i="3"/>
  <c r="O184" i="3" s="1"/>
  <c r="BE183" i="3"/>
  <c r="AZ183" i="3"/>
  <c r="AE183" i="3"/>
  <c r="V183" i="3"/>
  <c r="O183" i="3"/>
  <c r="BE182" i="3"/>
  <c r="AZ182" i="3"/>
  <c r="AE182" i="3"/>
  <c r="V182" i="3"/>
  <c r="O182" i="3" s="1"/>
  <c r="BE181" i="3"/>
  <c r="AZ181" i="3"/>
  <c r="AE181" i="3"/>
  <c r="O181" i="3" s="1"/>
  <c r="V181" i="3"/>
  <c r="BE180" i="3"/>
  <c r="AZ180" i="3"/>
  <c r="AE180" i="3"/>
  <c r="V180" i="3"/>
  <c r="O180" i="3"/>
  <c r="BE179" i="3"/>
  <c r="AZ179" i="3"/>
  <c r="AE179" i="3"/>
  <c r="V179" i="3"/>
  <c r="O179" i="3"/>
  <c r="BE178" i="3"/>
  <c r="AZ178" i="3"/>
  <c r="AE178" i="3"/>
  <c r="V178" i="3"/>
  <c r="O178" i="3"/>
  <c r="BE177" i="3"/>
  <c r="AZ177" i="3"/>
  <c r="AE177" i="3"/>
  <c r="O177" i="3" s="1"/>
  <c r="V177" i="3"/>
  <c r="BE176" i="3"/>
  <c r="AZ176" i="3"/>
  <c r="O176" i="3" s="1"/>
  <c r="AE176" i="3"/>
  <c r="V176" i="3"/>
  <c r="BE175" i="3"/>
  <c r="AZ175" i="3"/>
  <c r="AE175" i="3"/>
  <c r="V175" i="3"/>
  <c r="O175" i="3" s="1"/>
  <c r="BE174" i="3"/>
  <c r="AZ174" i="3"/>
  <c r="AE174" i="3"/>
  <c r="V174" i="3"/>
  <c r="O174" i="3" s="1"/>
  <c r="BE173" i="3"/>
  <c r="AZ173" i="3"/>
  <c r="AE173" i="3"/>
  <c r="V173" i="3"/>
  <c r="O173" i="3"/>
  <c r="BE172" i="3"/>
  <c r="AZ172" i="3"/>
  <c r="AE172" i="3"/>
  <c r="V172" i="3"/>
  <c r="O172" i="3" s="1"/>
  <c r="BE171" i="3"/>
  <c r="AZ171" i="3"/>
  <c r="AE171" i="3"/>
  <c r="V171" i="3"/>
  <c r="O171" i="3"/>
  <c r="BE170" i="3"/>
  <c r="AZ170" i="3"/>
  <c r="AE170" i="3"/>
  <c r="V170" i="3"/>
  <c r="O170" i="3" s="1"/>
  <c r="BE169" i="3"/>
  <c r="AZ169" i="3"/>
  <c r="AE169" i="3"/>
  <c r="O169" i="3" s="1"/>
  <c r="V169" i="3"/>
  <c r="BE168" i="3"/>
  <c r="AZ168" i="3"/>
  <c r="AE168" i="3"/>
  <c r="V168" i="3"/>
  <c r="O168" i="3"/>
  <c r="BE167" i="3"/>
  <c r="AZ167" i="3"/>
  <c r="AE167" i="3"/>
  <c r="V167" i="3"/>
  <c r="O167" i="3"/>
  <c r="BE166" i="3"/>
  <c r="AZ166" i="3"/>
  <c r="AE166" i="3"/>
  <c r="V166" i="3"/>
  <c r="O166" i="3"/>
  <c r="BE165" i="3"/>
  <c r="AZ165" i="3"/>
  <c r="AE165" i="3"/>
  <c r="O165" i="3" s="1"/>
  <c r="V165" i="3"/>
  <c r="BE164" i="3"/>
  <c r="AZ164" i="3"/>
  <c r="O164" i="3" s="1"/>
  <c r="AE164" i="3"/>
  <c r="V164" i="3"/>
  <c r="BE163" i="3"/>
  <c r="AZ163" i="3"/>
  <c r="AE163" i="3"/>
  <c r="V163" i="3"/>
  <c r="O163" i="3" s="1"/>
  <c r="BE162" i="3"/>
  <c r="AZ162" i="3"/>
  <c r="AE162" i="3"/>
  <c r="V162" i="3"/>
  <c r="O162" i="3" s="1"/>
  <c r="BE161" i="3"/>
  <c r="AZ161" i="3"/>
  <c r="AE161" i="3"/>
  <c r="V161" i="3"/>
  <c r="O161" i="3"/>
  <c r="BE160" i="3"/>
  <c r="AZ160" i="3"/>
  <c r="AE160" i="3"/>
  <c r="V160" i="3"/>
  <c r="O160" i="3" s="1"/>
  <c r="BE159" i="3"/>
  <c r="AZ159" i="3"/>
  <c r="AE159" i="3"/>
  <c r="V159" i="3"/>
  <c r="O159" i="3"/>
  <c r="BE158" i="3"/>
  <c r="AZ158" i="3"/>
  <c r="AE158" i="3"/>
  <c r="V158" i="3"/>
  <c r="O158" i="3" s="1"/>
  <c r="BE157" i="3"/>
  <c r="AZ157" i="3"/>
  <c r="AE157" i="3"/>
  <c r="O157" i="3" s="1"/>
  <c r="V157" i="3"/>
  <c r="BE156" i="3"/>
  <c r="AZ156" i="3"/>
  <c r="AE156" i="3"/>
  <c r="V156" i="3"/>
  <c r="O156" i="3"/>
  <c r="BE155" i="3"/>
  <c r="AZ155" i="3"/>
  <c r="AE155" i="3"/>
  <c r="V155" i="3"/>
  <c r="O155" i="3"/>
  <c r="BE154" i="3"/>
  <c r="AZ154" i="3"/>
  <c r="AE154" i="3"/>
  <c r="V154" i="3"/>
  <c r="O154" i="3"/>
  <c r="BE153" i="3"/>
  <c r="AZ153" i="3"/>
  <c r="AE153" i="3"/>
  <c r="V153" i="3"/>
  <c r="BE152" i="3"/>
  <c r="AZ152" i="3"/>
  <c r="O152" i="3" s="1"/>
  <c r="AE152" i="3"/>
  <c r="V152" i="3"/>
  <c r="BE151" i="3"/>
  <c r="AZ151" i="3"/>
  <c r="AE151" i="3"/>
  <c r="V151" i="3"/>
  <c r="O151" i="3" s="1"/>
  <c r="BE150" i="3"/>
  <c r="AZ150" i="3"/>
  <c r="AE150" i="3"/>
  <c r="V150" i="3"/>
  <c r="O150" i="3" s="1"/>
  <c r="BE149" i="3"/>
  <c r="AZ149" i="3"/>
  <c r="AE149" i="3"/>
  <c r="V149" i="3"/>
  <c r="O149" i="3"/>
  <c r="BE148" i="3"/>
  <c r="AZ148" i="3"/>
  <c r="AE148" i="3"/>
  <c r="V148" i="3"/>
  <c r="O148" i="3" s="1"/>
  <c r="BE147" i="3"/>
  <c r="AZ147" i="3"/>
  <c r="AE147" i="3"/>
  <c r="V147" i="3"/>
  <c r="O147" i="3"/>
  <c r="BE146" i="3"/>
  <c r="AZ146" i="3"/>
  <c r="AE146" i="3"/>
  <c r="V146" i="3"/>
  <c r="O146" i="3" s="1"/>
  <c r="BE145" i="3"/>
  <c r="AZ145" i="3"/>
  <c r="AE145" i="3"/>
  <c r="O145" i="3" s="1"/>
  <c r="V145" i="3"/>
  <c r="BE144" i="3"/>
  <c r="AZ144" i="3"/>
  <c r="AE144" i="3"/>
  <c r="V144" i="3"/>
  <c r="O144" i="3"/>
  <c r="BE143" i="3"/>
  <c r="AZ143" i="3"/>
  <c r="AE143" i="3"/>
  <c r="V143" i="3"/>
  <c r="O143" i="3"/>
  <c r="BE142" i="3"/>
  <c r="AZ142" i="3"/>
  <c r="AE142" i="3"/>
  <c r="V142" i="3"/>
  <c r="O142" i="3"/>
  <c r="BE141" i="3"/>
  <c r="AZ141" i="3"/>
  <c r="AE141" i="3"/>
  <c r="O141" i="3" s="1"/>
  <c r="V141" i="3"/>
  <c r="BE140" i="3"/>
  <c r="AZ140" i="3"/>
  <c r="O140" i="3" s="1"/>
  <c r="AE140" i="3"/>
  <c r="V140" i="3"/>
  <c r="BE139" i="3"/>
  <c r="AZ139" i="3"/>
  <c r="AE139" i="3"/>
  <c r="V139" i="3"/>
  <c r="O139" i="3" s="1"/>
  <c r="BE138" i="3"/>
  <c r="AZ138" i="3"/>
  <c r="AE138" i="3"/>
  <c r="V138" i="3"/>
  <c r="O138" i="3" s="1"/>
  <c r="BE137" i="3"/>
  <c r="AZ137" i="3"/>
  <c r="AE137" i="3"/>
  <c r="V137" i="3"/>
  <c r="O137" i="3"/>
  <c r="BE136" i="3"/>
  <c r="AZ136" i="3"/>
  <c r="AE136" i="3"/>
  <c r="V136" i="3"/>
  <c r="O136" i="3" s="1"/>
  <c r="BE135" i="3"/>
  <c r="AZ135" i="3"/>
  <c r="AE135" i="3"/>
  <c r="V135" i="3"/>
  <c r="O135" i="3"/>
  <c r="BE134" i="3"/>
  <c r="AZ134" i="3"/>
  <c r="AE134" i="3"/>
  <c r="V134" i="3"/>
  <c r="BE133" i="3"/>
  <c r="AZ133" i="3"/>
  <c r="AE133" i="3"/>
  <c r="O133" i="3" s="1"/>
  <c r="V133" i="3"/>
  <c r="BE132" i="3"/>
  <c r="AZ132" i="3"/>
  <c r="AE132" i="3"/>
  <c r="V132" i="3"/>
  <c r="O132" i="3"/>
  <c r="BE131" i="3"/>
  <c r="AZ131" i="3"/>
  <c r="AE131" i="3"/>
  <c r="V131" i="3"/>
  <c r="O131" i="3"/>
  <c r="BE130" i="3"/>
  <c r="AZ130" i="3"/>
  <c r="AE130" i="3"/>
  <c r="V130" i="3"/>
  <c r="O130" i="3"/>
  <c r="BE129" i="3"/>
  <c r="AZ129" i="3"/>
  <c r="AE129" i="3"/>
  <c r="O129" i="3" s="1"/>
  <c r="V129" i="3"/>
  <c r="BE128" i="3"/>
  <c r="AZ128" i="3"/>
  <c r="AE128" i="3"/>
  <c r="V128" i="3"/>
  <c r="O128" i="3" s="1"/>
  <c r="BE127" i="3"/>
  <c r="AZ127" i="3"/>
  <c r="AE127" i="3"/>
  <c r="V127" i="3"/>
  <c r="O127" i="3" s="1"/>
  <c r="BE126" i="3"/>
  <c r="AZ126" i="3"/>
  <c r="AE126" i="3"/>
  <c r="V126" i="3"/>
  <c r="O126" i="3" s="1"/>
  <c r="BE125" i="3"/>
  <c r="AZ125" i="3"/>
  <c r="AE125" i="3"/>
  <c r="V125" i="3"/>
  <c r="O125" i="3"/>
  <c r="BE124" i="3"/>
  <c r="AZ124" i="3"/>
  <c r="AE124" i="3"/>
  <c r="V124" i="3"/>
  <c r="O124" i="3" s="1"/>
  <c r="BE123" i="3"/>
  <c r="AZ123" i="3"/>
  <c r="AE123" i="3"/>
  <c r="V123" i="3"/>
  <c r="O123" i="3"/>
  <c r="BE122" i="3"/>
  <c r="AZ122" i="3"/>
  <c r="AE122" i="3"/>
  <c r="V122" i="3"/>
  <c r="O122" i="3" s="1"/>
  <c r="BE121" i="3"/>
  <c r="AZ121" i="3"/>
  <c r="AE121" i="3"/>
  <c r="O121" i="3" s="1"/>
  <c r="V121" i="3"/>
  <c r="BE120" i="3"/>
  <c r="AZ120" i="3"/>
  <c r="AE120" i="3"/>
  <c r="V120" i="3"/>
  <c r="O120" i="3"/>
  <c r="BE119" i="3"/>
  <c r="AZ119" i="3"/>
  <c r="AE119" i="3"/>
  <c r="V119" i="3"/>
  <c r="O119" i="3"/>
  <c r="BE118" i="3"/>
  <c r="AZ118" i="3"/>
  <c r="AE118" i="3"/>
  <c r="V118" i="3"/>
  <c r="O118" i="3"/>
  <c r="BE117" i="3"/>
  <c r="AZ117" i="3"/>
  <c r="AE117" i="3"/>
  <c r="V117" i="3"/>
  <c r="BE116" i="3"/>
  <c r="AZ116" i="3"/>
  <c r="AE116" i="3"/>
  <c r="V116" i="3"/>
  <c r="O116" i="3" s="1"/>
  <c r="BE115" i="3"/>
  <c r="AZ115" i="3"/>
  <c r="AE115" i="3"/>
  <c r="V115" i="3"/>
  <c r="O115" i="3" s="1"/>
  <c r="BE114" i="3"/>
  <c r="AZ114" i="3"/>
  <c r="AE114" i="3"/>
  <c r="V114" i="3"/>
  <c r="O114" i="3" s="1"/>
  <c r="BE113" i="3"/>
  <c r="AZ113" i="3"/>
  <c r="AE113" i="3"/>
  <c r="V113" i="3"/>
  <c r="O113" i="3"/>
  <c r="BE112" i="3"/>
  <c r="AZ112" i="3"/>
  <c r="AE112" i="3"/>
  <c r="V112" i="3"/>
  <c r="O112" i="3" s="1"/>
  <c r="BE111" i="3"/>
  <c r="AZ111" i="3"/>
  <c r="AE111" i="3"/>
  <c r="V111" i="3"/>
  <c r="O111" i="3"/>
  <c r="BE110" i="3"/>
  <c r="AZ110" i="3"/>
  <c r="AE110" i="3"/>
  <c r="V110" i="3"/>
  <c r="O110" i="3" s="1"/>
  <c r="BE109" i="3"/>
  <c r="AZ109" i="3"/>
  <c r="AE109" i="3"/>
  <c r="O109" i="3" s="1"/>
  <c r="V109" i="3"/>
  <c r="BE108" i="3"/>
  <c r="AZ108" i="3"/>
  <c r="AE108" i="3"/>
  <c r="V108" i="3"/>
  <c r="O108" i="3"/>
  <c r="BE107" i="3"/>
  <c r="AZ107" i="3"/>
  <c r="AE107" i="3"/>
  <c r="V107" i="3"/>
  <c r="O107" i="3"/>
  <c r="BE106" i="3"/>
  <c r="AZ106" i="3"/>
  <c r="AE106" i="3"/>
  <c r="V106" i="3"/>
  <c r="O106" i="3"/>
  <c r="BE105" i="3"/>
  <c r="AZ105" i="3"/>
  <c r="AE105" i="3"/>
  <c r="V105" i="3"/>
  <c r="BE104" i="3"/>
  <c r="AZ104" i="3"/>
  <c r="AE104" i="3"/>
  <c r="V104" i="3"/>
  <c r="BE103" i="3"/>
  <c r="AZ103" i="3"/>
  <c r="AE103" i="3"/>
  <c r="V103" i="3"/>
  <c r="O103" i="3" s="1"/>
  <c r="BE102" i="3"/>
  <c r="AZ102" i="3"/>
  <c r="AE102" i="3"/>
  <c r="V102" i="3"/>
  <c r="O102" i="3" s="1"/>
  <c r="BE101" i="3"/>
  <c r="AZ101" i="3"/>
  <c r="AE101" i="3"/>
  <c r="V101" i="3"/>
  <c r="O101" i="3"/>
  <c r="BE100" i="3"/>
  <c r="AZ100" i="3"/>
  <c r="AE100" i="3"/>
  <c r="V100" i="3"/>
  <c r="O100" i="3" s="1"/>
  <c r="BE99" i="3"/>
  <c r="AZ99" i="3"/>
  <c r="AE99" i="3"/>
  <c r="V99" i="3"/>
  <c r="O99" i="3"/>
  <c r="BE98" i="3"/>
  <c r="AZ98" i="3"/>
  <c r="AE98" i="3"/>
  <c r="V98" i="3"/>
  <c r="BE97" i="3"/>
  <c r="AZ97" i="3"/>
  <c r="AE97" i="3"/>
  <c r="O97" i="3" s="1"/>
  <c r="V97" i="3"/>
  <c r="BE96" i="3"/>
  <c r="AZ96" i="3"/>
  <c r="AE96" i="3"/>
  <c r="V96" i="3"/>
  <c r="O96" i="3"/>
  <c r="BE95" i="3"/>
  <c r="AZ95" i="3"/>
  <c r="AE95" i="3"/>
  <c r="V95" i="3"/>
  <c r="O95" i="3"/>
  <c r="AZ94" i="3"/>
  <c r="AE94" i="3"/>
  <c r="V94" i="3"/>
  <c r="O94" i="3"/>
  <c r="BE93" i="3"/>
  <c r="AZ93" i="3"/>
  <c r="AE93" i="3"/>
  <c r="V93" i="3"/>
  <c r="BE92" i="3"/>
  <c r="AZ92" i="3"/>
  <c r="AE92" i="3"/>
  <c r="O92" i="3" s="1"/>
  <c r="V92" i="3"/>
  <c r="BE91" i="3"/>
  <c r="AZ91" i="3"/>
  <c r="AE91" i="3"/>
  <c r="V91" i="3"/>
  <c r="O91" i="3"/>
  <c r="BE90" i="3"/>
  <c r="AZ90" i="3"/>
  <c r="AE90" i="3"/>
  <c r="V90" i="3"/>
  <c r="O90" i="3"/>
  <c r="BE89" i="3"/>
  <c r="AZ89" i="3"/>
  <c r="AE89" i="3"/>
  <c r="V89" i="3"/>
  <c r="O89" i="3"/>
  <c r="BE88" i="3"/>
  <c r="AZ88" i="3"/>
  <c r="AE88" i="3"/>
  <c r="O88" i="3" s="1"/>
  <c r="V88" i="3"/>
  <c r="BE87" i="3"/>
  <c r="AZ87" i="3"/>
  <c r="AE87" i="3"/>
  <c r="V87" i="3"/>
  <c r="O87" i="3" s="1"/>
  <c r="BE86" i="3"/>
  <c r="AZ86" i="3"/>
  <c r="AE86" i="3"/>
  <c r="V86" i="3"/>
  <c r="O86" i="3" s="1"/>
  <c r="BE85" i="3"/>
  <c r="AZ85" i="3"/>
  <c r="AE85" i="3"/>
  <c r="V85" i="3"/>
  <c r="O85" i="3" s="1"/>
  <c r="BE84" i="3"/>
  <c r="AZ84" i="3"/>
  <c r="AE84" i="3"/>
  <c r="V84" i="3"/>
  <c r="O84" i="3"/>
  <c r="BE83" i="3"/>
  <c r="AZ83" i="3"/>
  <c r="AE83" i="3"/>
  <c r="V83" i="3"/>
  <c r="O83" i="3" s="1"/>
  <c r="BE82" i="3"/>
  <c r="AZ82" i="3"/>
  <c r="AE82" i="3"/>
  <c r="V82" i="3"/>
  <c r="O82" i="3"/>
  <c r="BE81" i="3"/>
  <c r="AZ81" i="3"/>
  <c r="AE81" i="3"/>
  <c r="V81" i="3"/>
  <c r="BE80" i="3"/>
  <c r="AZ80" i="3"/>
  <c r="AE80" i="3"/>
  <c r="O80" i="3" s="1"/>
  <c r="V80" i="3"/>
  <c r="BE79" i="3"/>
  <c r="AZ79" i="3"/>
  <c r="AE79" i="3"/>
  <c r="V79" i="3"/>
  <c r="O79" i="3"/>
  <c r="BE78" i="3"/>
  <c r="AZ78" i="3"/>
  <c r="AE78" i="3"/>
  <c r="V78" i="3"/>
  <c r="O78" i="3"/>
  <c r="BE77" i="3"/>
  <c r="AZ77" i="3"/>
  <c r="AE77" i="3"/>
  <c r="V77" i="3"/>
  <c r="O77" i="3"/>
  <c r="BE76" i="3"/>
  <c r="AZ76" i="3"/>
  <c r="AE76" i="3"/>
  <c r="O76" i="3" s="1"/>
  <c r="V76" i="3"/>
  <c r="BE75" i="3"/>
  <c r="AZ75" i="3"/>
  <c r="AE75" i="3"/>
  <c r="V75" i="3"/>
  <c r="O75" i="3" s="1"/>
  <c r="BE74" i="3"/>
  <c r="AZ74" i="3"/>
  <c r="AE74" i="3"/>
  <c r="V74" i="3"/>
  <c r="O74" i="3" s="1"/>
  <c r="BE73" i="3"/>
  <c r="AZ73" i="3"/>
  <c r="AE73" i="3"/>
  <c r="V73" i="3"/>
  <c r="O73" i="3" s="1"/>
  <c r="BE72" i="3"/>
  <c r="AZ72" i="3"/>
  <c r="AE72" i="3"/>
  <c r="V72" i="3"/>
  <c r="O72" i="3"/>
  <c r="BE71" i="3"/>
  <c r="AZ71" i="3"/>
  <c r="AE71" i="3"/>
  <c r="V71" i="3"/>
  <c r="O71" i="3" s="1"/>
  <c r="BE70" i="3"/>
  <c r="AZ70" i="3"/>
  <c r="AE70" i="3"/>
  <c r="V70" i="3"/>
  <c r="O70" i="3"/>
  <c r="BE69" i="3"/>
  <c r="AZ69" i="3"/>
  <c r="AE69" i="3"/>
  <c r="V69" i="3"/>
  <c r="O69" i="3" s="1"/>
  <c r="BE68" i="3"/>
  <c r="AZ68" i="3"/>
  <c r="AE68" i="3"/>
  <c r="O68" i="3" s="1"/>
  <c r="V68" i="3"/>
  <c r="BE67" i="3"/>
  <c r="AZ67" i="3"/>
  <c r="AE67" i="3"/>
  <c r="V67" i="3"/>
  <c r="O67" i="3"/>
  <c r="BE66" i="3"/>
  <c r="AZ66" i="3"/>
  <c r="AE66" i="3"/>
  <c r="V66" i="3"/>
  <c r="O66" i="3"/>
  <c r="BE65" i="3"/>
  <c r="AZ65" i="3"/>
  <c r="AE65" i="3"/>
  <c r="V65" i="3"/>
  <c r="O65" i="3"/>
  <c r="BE64" i="3"/>
  <c r="AZ64" i="3"/>
  <c r="AE64" i="3"/>
  <c r="O64" i="3" s="1"/>
  <c r="V64" i="3"/>
  <c r="BE63" i="3"/>
  <c r="AZ63" i="3"/>
  <c r="AE63" i="3"/>
  <c r="V63" i="3"/>
  <c r="BE62" i="3"/>
  <c r="AZ62" i="3"/>
  <c r="AE62" i="3"/>
  <c r="V62" i="3"/>
  <c r="O62" i="3" s="1"/>
  <c r="BE61" i="3"/>
  <c r="AZ61" i="3"/>
  <c r="AE61" i="3"/>
  <c r="V61" i="3"/>
  <c r="O61" i="3" s="1"/>
  <c r="BE60" i="3"/>
  <c r="AZ60" i="3"/>
  <c r="AE60" i="3"/>
  <c r="V60" i="3"/>
  <c r="O60" i="3"/>
  <c r="BE59" i="3"/>
  <c r="AZ59" i="3"/>
  <c r="AE59" i="3"/>
  <c r="V59" i="3"/>
  <c r="O59" i="3" s="1"/>
  <c r="BE58" i="3"/>
  <c r="AZ58" i="3"/>
  <c r="AE58" i="3"/>
  <c r="V58" i="3"/>
  <c r="O58" i="3"/>
  <c r="BE57" i="3"/>
  <c r="AZ57" i="3"/>
  <c r="AE57" i="3"/>
  <c r="V57" i="3"/>
  <c r="O57" i="3" s="1"/>
  <c r="BE56" i="3"/>
  <c r="AZ56" i="3"/>
  <c r="AE56" i="3"/>
  <c r="O56" i="3" s="1"/>
  <c r="V56" i="3"/>
  <c r="BE55" i="3"/>
  <c r="AZ55" i="3"/>
  <c r="AE55" i="3"/>
  <c r="V55" i="3"/>
  <c r="O55" i="3"/>
  <c r="BE54" i="3"/>
  <c r="AZ54" i="3"/>
  <c r="AE54" i="3"/>
  <c r="V54" i="3"/>
  <c r="O54" i="3"/>
  <c r="BE53" i="3"/>
  <c r="AZ53" i="3"/>
  <c r="AE53" i="3"/>
  <c r="V53" i="3"/>
  <c r="O53" i="3"/>
  <c r="BE52" i="3"/>
  <c r="AZ52" i="3"/>
  <c r="AE52" i="3"/>
  <c r="O52" i="3" s="1"/>
  <c r="V52" i="3"/>
  <c r="BE51" i="3"/>
  <c r="AZ51" i="3"/>
  <c r="AE51" i="3"/>
  <c r="V51" i="3"/>
  <c r="BE50" i="3"/>
  <c r="AZ50" i="3"/>
  <c r="AE50" i="3"/>
  <c r="V50" i="3"/>
  <c r="O50" i="3" s="1"/>
  <c r="BE49" i="3"/>
  <c r="AZ49" i="3"/>
  <c r="AE49" i="3"/>
  <c r="V49" i="3"/>
  <c r="O49" i="3" s="1"/>
  <c r="BE48" i="3"/>
  <c r="AZ48" i="3"/>
  <c r="AE48" i="3"/>
  <c r="V48" i="3"/>
  <c r="O48" i="3"/>
  <c r="BE47" i="3"/>
  <c r="AZ47" i="3"/>
  <c r="AE47" i="3"/>
  <c r="V47" i="3"/>
  <c r="O47" i="3" s="1"/>
  <c r="BE46" i="3"/>
  <c r="AZ46" i="3"/>
  <c r="AE46" i="3"/>
  <c r="V46" i="3"/>
  <c r="O46" i="3"/>
  <c r="BE45" i="3"/>
  <c r="AZ45" i="3"/>
  <c r="AE45" i="3"/>
  <c r="V45" i="3"/>
  <c r="O45" i="3" s="1"/>
  <c r="BE44" i="3"/>
  <c r="AZ44" i="3"/>
  <c r="AE44" i="3"/>
  <c r="O44" i="3" s="1"/>
  <c r="V44" i="3"/>
  <c r="BE43" i="3"/>
  <c r="AZ43" i="3"/>
  <c r="AE43" i="3"/>
  <c r="V43" i="3"/>
  <c r="O43" i="3"/>
  <c r="BE42" i="3"/>
  <c r="AZ42" i="3"/>
  <c r="AE42" i="3"/>
  <c r="V42" i="3"/>
  <c r="O42" i="3"/>
  <c r="BE41" i="3"/>
  <c r="AZ41" i="3"/>
  <c r="AE41" i="3"/>
  <c r="V41" i="3"/>
  <c r="O41" i="3"/>
  <c r="BE40" i="3"/>
  <c r="AZ40" i="3"/>
  <c r="AE40" i="3"/>
  <c r="O40" i="3" s="1"/>
  <c r="V40" i="3"/>
  <c r="BE39" i="3"/>
  <c r="AZ39" i="3"/>
  <c r="AE39" i="3"/>
  <c r="V39" i="3"/>
  <c r="BE38" i="3"/>
  <c r="AZ38" i="3"/>
  <c r="AE38" i="3"/>
  <c r="V38" i="3"/>
  <c r="O38" i="3" s="1"/>
  <c r="BE37" i="3"/>
  <c r="AZ37" i="3"/>
  <c r="AE37" i="3"/>
  <c r="V37" i="3"/>
  <c r="O37" i="3" s="1"/>
  <c r="BE36" i="3"/>
  <c r="AZ36" i="3"/>
  <c r="AE36" i="3"/>
  <c r="V36" i="3"/>
  <c r="O36" i="3"/>
  <c r="BE35" i="3"/>
  <c r="AZ35" i="3"/>
  <c r="AE35" i="3"/>
  <c r="V35" i="3"/>
  <c r="O35" i="3" s="1"/>
  <c r="BE34" i="3"/>
  <c r="AZ34" i="3"/>
  <c r="AE34" i="3"/>
  <c r="V34" i="3"/>
  <c r="O34" i="3"/>
  <c r="BE33" i="3"/>
  <c r="AZ33" i="3"/>
  <c r="AE33" i="3"/>
  <c r="V33" i="3"/>
  <c r="O33" i="3" s="1"/>
  <c r="BE32" i="3"/>
  <c r="AZ32" i="3"/>
  <c r="AE32" i="3"/>
  <c r="O32" i="3" s="1"/>
  <c r="V32" i="3"/>
  <c r="BE31" i="3"/>
  <c r="AZ31" i="3"/>
  <c r="AE31" i="3"/>
  <c r="V31" i="3"/>
  <c r="O31" i="3"/>
  <c r="BE30" i="3"/>
  <c r="AZ30" i="3"/>
  <c r="AE30" i="3"/>
  <c r="V30" i="3"/>
  <c r="O30" i="3"/>
  <c r="BE29" i="3"/>
  <c r="AZ29" i="3"/>
  <c r="AE29" i="3"/>
  <c r="V29" i="3"/>
  <c r="O29" i="3"/>
  <c r="BE28" i="3"/>
  <c r="AZ28" i="3"/>
  <c r="AE28" i="3"/>
  <c r="V28" i="3"/>
  <c r="BE27" i="3"/>
  <c r="AZ27" i="3"/>
  <c r="AE27" i="3"/>
  <c r="V27" i="3"/>
  <c r="O27" i="3" s="1"/>
  <c r="BE26" i="3"/>
  <c r="AZ26" i="3"/>
  <c r="AE26" i="3"/>
  <c r="V26" i="3"/>
  <c r="O26" i="3" s="1"/>
  <c r="BE25" i="3"/>
  <c r="AZ25" i="3"/>
  <c r="AE25" i="3"/>
  <c r="V25" i="3"/>
  <c r="O25" i="3" s="1"/>
  <c r="BE24" i="3"/>
  <c r="AZ24" i="3"/>
  <c r="AE24" i="3"/>
  <c r="V24" i="3"/>
  <c r="O24" i="3"/>
  <c r="BE23" i="3"/>
  <c r="AZ23" i="3"/>
  <c r="AE23" i="3"/>
  <c r="V23" i="3"/>
  <c r="O23" i="3" s="1"/>
  <c r="BE22" i="3"/>
  <c r="AZ22" i="3"/>
  <c r="AE22" i="3"/>
  <c r="V22" i="3"/>
  <c r="O22" i="3"/>
  <c r="BE21" i="3"/>
  <c r="AZ21" i="3"/>
  <c r="AE21" i="3"/>
  <c r="V21" i="3"/>
  <c r="O21" i="3" s="1"/>
  <c r="BE20" i="3"/>
  <c r="AZ20" i="3"/>
  <c r="AE20" i="3"/>
  <c r="O20" i="3" s="1"/>
  <c r="V20" i="3"/>
  <c r="BE19" i="3"/>
  <c r="AZ19" i="3"/>
  <c r="AE19" i="3"/>
  <c r="V19" i="3"/>
  <c r="O19" i="3"/>
  <c r="BE18" i="3"/>
  <c r="AZ18" i="3"/>
  <c r="AE18" i="3"/>
  <c r="V18" i="3"/>
  <c r="O18" i="3"/>
  <c r="BE17" i="3"/>
  <c r="AZ17" i="3"/>
  <c r="AE17" i="3"/>
  <c r="V17" i="3"/>
  <c r="O17" i="3"/>
  <c r="BE16" i="3"/>
  <c r="AZ16" i="3"/>
  <c r="AE16" i="3"/>
  <c r="O16" i="3" s="1"/>
  <c r="V16" i="3"/>
  <c r="BE15" i="3"/>
  <c r="AZ15" i="3"/>
  <c r="AE15" i="3"/>
  <c r="V15" i="3"/>
  <c r="O15" i="3" s="1"/>
  <c r="BE14" i="3"/>
  <c r="AZ14" i="3"/>
  <c r="AE14" i="3"/>
  <c r="V14" i="3"/>
  <c r="O14" i="3" s="1"/>
  <c r="BE13" i="3"/>
  <c r="AZ13" i="3"/>
  <c r="AE13" i="3"/>
  <c r="V13" i="3"/>
  <c r="O13" i="3" s="1"/>
  <c r="BE12" i="3"/>
  <c r="AZ12" i="3"/>
  <c r="AE12" i="3"/>
  <c r="V12" i="3"/>
  <c r="O12" i="3"/>
  <c r="BE11" i="3"/>
  <c r="AZ11" i="3"/>
  <c r="AE11" i="3"/>
  <c r="V11" i="3"/>
  <c r="O11" i="3" s="1"/>
  <c r="BE10" i="3"/>
  <c r="AZ10" i="3"/>
  <c r="AE10" i="3"/>
  <c r="V10" i="3"/>
  <c r="O10" i="3"/>
  <c r="BE9" i="3"/>
  <c r="AZ9" i="3"/>
  <c r="AE9" i="3"/>
  <c r="V9" i="3"/>
  <c r="BE8" i="3"/>
  <c r="AZ8" i="3"/>
  <c r="AE8" i="3"/>
  <c r="O8" i="3" s="1"/>
  <c r="V8" i="3"/>
  <c r="BE7" i="3"/>
  <c r="AZ7" i="3"/>
  <c r="AE7" i="3"/>
  <c r="V7" i="3"/>
  <c r="O7" i="3"/>
  <c r="BE6" i="3"/>
  <c r="AZ6" i="3"/>
  <c r="AE6" i="3"/>
  <c r="V6" i="3"/>
  <c r="O6" i="3"/>
  <c r="BE5" i="3"/>
  <c r="AZ5" i="3"/>
  <c r="AE5" i="3"/>
  <c r="V5" i="3"/>
  <c r="O5" i="3"/>
  <c r="BE4" i="3"/>
  <c r="AZ4" i="3"/>
  <c r="AE4" i="3"/>
  <c r="O4" i="3" s="1"/>
  <c r="V4" i="3"/>
  <c r="BE3" i="3"/>
  <c r="AZ3" i="3"/>
  <c r="AE3" i="3"/>
  <c r="V3" i="3"/>
  <c r="O3" i="3" s="1"/>
  <c r="AE2" i="3"/>
  <c r="V2" i="3"/>
  <c r="O2" i="3"/>
  <c r="BG684" i="2"/>
  <c r="BB684" i="2"/>
  <c r="AG684" i="2"/>
  <c r="X684" i="2"/>
  <c r="BG683" i="2"/>
  <c r="BB683" i="2"/>
  <c r="AG683" i="2"/>
  <c r="X683" i="2"/>
  <c r="AG682" i="2"/>
  <c r="X682" i="2"/>
  <c r="Q682" i="2" s="1"/>
  <c r="AG681" i="2"/>
  <c r="X681" i="2"/>
  <c r="BG680" i="2"/>
  <c r="BB680" i="2"/>
  <c r="AG680" i="2"/>
  <c r="X680" i="2"/>
  <c r="AG679" i="2"/>
  <c r="X679" i="2"/>
  <c r="AG678" i="2"/>
  <c r="X678" i="2"/>
  <c r="X677" i="2"/>
  <c r="X676" i="2"/>
  <c r="X675" i="2"/>
  <c r="X674" i="2"/>
  <c r="Q674" i="2"/>
  <c r="BG673" i="2"/>
  <c r="BB673" i="2"/>
  <c r="AG673" i="2"/>
  <c r="X673" i="2"/>
  <c r="Q673" i="2"/>
  <c r="BG672" i="2"/>
  <c r="BB672" i="2"/>
  <c r="AG672" i="2"/>
  <c r="X672" i="2"/>
  <c r="Q672" i="2"/>
  <c r="BG671" i="2"/>
  <c r="BB671" i="2"/>
  <c r="AG671" i="2"/>
  <c r="X671" i="2"/>
  <c r="Q671" i="2"/>
  <c r="BG670" i="2"/>
  <c r="BB670" i="2"/>
  <c r="AG670" i="2"/>
  <c r="X670" i="2"/>
  <c r="Q670" i="2"/>
  <c r="BG669" i="2"/>
  <c r="BB669" i="2"/>
  <c r="AG669" i="2"/>
  <c r="X669" i="2"/>
  <c r="Q669" i="2"/>
  <c r="BG668" i="2"/>
  <c r="BB668" i="2"/>
  <c r="AG668" i="2"/>
  <c r="X668" i="2"/>
  <c r="Q668" i="2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Q664" i="2"/>
  <c r="BG663" i="2"/>
  <c r="BB663" i="2"/>
  <c r="AG663" i="2"/>
  <c r="X663" i="2"/>
  <c r="Q663" i="2"/>
  <c r="BG662" i="2"/>
  <c r="BB662" i="2"/>
  <c r="AG662" i="2"/>
  <c r="X662" i="2"/>
  <c r="Q662" i="2"/>
  <c r="BG660" i="2"/>
  <c r="BB660" i="2"/>
  <c r="AG660" i="2"/>
  <c r="X660" i="2"/>
  <c r="BG659" i="2"/>
  <c r="BB659" i="2"/>
  <c r="AG659" i="2"/>
  <c r="X659" i="2"/>
  <c r="AG658" i="2"/>
  <c r="X658" i="2"/>
  <c r="AG657" i="2"/>
  <c r="X657" i="2"/>
  <c r="BG656" i="2"/>
  <c r="BB656" i="2"/>
  <c r="AG656" i="2"/>
  <c r="X656" i="2"/>
  <c r="BG655" i="2"/>
  <c r="BB655" i="2"/>
  <c r="AG655" i="2"/>
  <c r="X655" i="2"/>
  <c r="BG654" i="2"/>
  <c r="BB654" i="2"/>
  <c r="AG654" i="2"/>
  <c r="X654" i="2"/>
  <c r="BG653" i="2"/>
  <c r="BB653" i="2"/>
  <c r="AG653" i="2"/>
  <c r="X653" i="2"/>
  <c r="BG633" i="2"/>
  <c r="BB633" i="2"/>
  <c r="AG633" i="2"/>
  <c r="X633" i="2"/>
  <c r="AG632" i="2"/>
  <c r="X632" i="2"/>
  <c r="BG631" i="2"/>
  <c r="BB631" i="2"/>
  <c r="AG631" i="2"/>
  <c r="X631" i="2"/>
  <c r="BG630" i="2"/>
  <c r="BB630" i="2"/>
  <c r="AG630" i="2"/>
  <c r="X630" i="2"/>
  <c r="BG629" i="2"/>
  <c r="BB629" i="2"/>
  <c r="AG629" i="2"/>
  <c r="X629" i="2"/>
  <c r="BG628" i="2"/>
  <c r="BB628" i="2"/>
  <c r="AG628" i="2"/>
  <c r="X628" i="2"/>
  <c r="BG627" i="2"/>
  <c r="BB627" i="2"/>
  <c r="AG627" i="2"/>
  <c r="X627" i="2"/>
  <c r="BG626" i="2"/>
  <c r="BB626" i="2"/>
  <c r="AG626" i="2"/>
  <c r="X626" i="2"/>
  <c r="BG625" i="2"/>
  <c r="BB625" i="2"/>
  <c r="AG625" i="2"/>
  <c r="X625" i="2"/>
  <c r="BG624" i="2"/>
  <c r="BB624" i="2"/>
  <c r="AG624" i="2"/>
  <c r="X624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AG620" i="2"/>
  <c r="X620" i="2"/>
  <c r="BG619" i="2"/>
  <c r="BB619" i="2"/>
  <c r="AG619" i="2"/>
  <c r="X619" i="2"/>
  <c r="BG618" i="2"/>
  <c r="BB618" i="2"/>
  <c r="AG618" i="2"/>
  <c r="X618" i="2"/>
  <c r="Q617" i="2"/>
  <c r="BG616" i="2"/>
  <c r="BB616" i="2"/>
  <c r="AG616" i="2"/>
  <c r="X616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Q611" i="2" s="1"/>
  <c r="BG610" i="2"/>
  <c r="BB610" i="2"/>
  <c r="AG610" i="2"/>
  <c r="X610" i="2"/>
  <c r="BG609" i="2"/>
  <c r="BB609" i="2"/>
  <c r="AG609" i="2"/>
  <c r="X609" i="2"/>
  <c r="BG608" i="2"/>
  <c r="BB608" i="2"/>
  <c r="AG608" i="2"/>
  <c r="X608" i="2"/>
  <c r="BG607" i="2"/>
  <c r="BB607" i="2"/>
  <c r="AG607" i="2"/>
  <c r="X607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BG603" i="2"/>
  <c r="BB603" i="2"/>
  <c r="AG603" i="2"/>
  <c r="X603" i="2"/>
  <c r="BG602" i="2"/>
  <c r="BB602" i="2"/>
  <c r="AG602" i="2"/>
  <c r="X602" i="2"/>
  <c r="BG601" i="2"/>
  <c r="BB601" i="2"/>
  <c r="AG601" i="2"/>
  <c r="X601" i="2"/>
  <c r="BG600" i="2"/>
  <c r="BB600" i="2"/>
  <c r="AG600" i="2"/>
  <c r="X600" i="2"/>
  <c r="BG599" i="2"/>
  <c r="BB599" i="2"/>
  <c r="AG599" i="2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BG594" i="2"/>
  <c r="BB594" i="2"/>
  <c r="AG594" i="2"/>
  <c r="X594" i="2"/>
  <c r="AG593" i="2"/>
  <c r="X593" i="2"/>
  <c r="AG592" i="2"/>
  <c r="X592" i="2"/>
  <c r="BG590" i="2"/>
  <c r="BB590" i="2"/>
  <c r="AG590" i="2"/>
  <c r="X590" i="2"/>
  <c r="BG589" i="2"/>
  <c r="BB589" i="2"/>
  <c r="AG589" i="2"/>
  <c r="X589" i="2"/>
  <c r="BG588" i="2"/>
  <c r="BB588" i="2"/>
  <c r="AG588" i="2"/>
  <c r="X588" i="2"/>
  <c r="AG587" i="2"/>
  <c r="X587" i="2"/>
  <c r="Q587" i="2" s="1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AG577" i="2"/>
  <c r="X577" i="2"/>
  <c r="Q577" i="2" s="1"/>
  <c r="AG576" i="2"/>
  <c r="X576" i="2"/>
  <c r="BG575" i="2"/>
  <c r="BB575" i="2"/>
  <c r="AG575" i="2"/>
  <c r="X575" i="2"/>
  <c r="BG574" i="2"/>
  <c r="BB574" i="2"/>
  <c r="AG574" i="2"/>
  <c r="X574" i="2"/>
  <c r="BG573" i="2"/>
  <c r="BB573" i="2"/>
  <c r="AG573" i="2"/>
  <c r="X573" i="2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Q530" i="2" s="1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BG363" i="2"/>
  <c r="BB363" i="2"/>
  <c r="AG363" i="2"/>
  <c r="X363" i="2"/>
  <c r="BG362" i="2"/>
  <c r="BB362" i="2"/>
  <c r="AG362" i="2"/>
  <c r="X362" i="2"/>
  <c r="Q362" i="2" s="1"/>
  <c r="BG361" i="2"/>
  <c r="BB361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Q338" i="2" s="1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318" i="2"/>
  <c r="BB318" i="2"/>
  <c r="AG318" i="2"/>
  <c r="X318" i="2"/>
  <c r="BG317" i="2"/>
  <c r="BB317" i="2"/>
  <c r="AG317" i="2"/>
  <c r="X317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BG305" i="2"/>
  <c r="BB305" i="2"/>
  <c r="AG305" i="2"/>
  <c r="X305" i="2"/>
  <c r="Q305" i="2" s="1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Q302" i="2" s="1"/>
  <c r="BG301" i="2"/>
  <c r="BB301" i="2"/>
  <c r="AG301" i="2"/>
  <c r="X301" i="2"/>
  <c r="BG300" i="2"/>
  <c r="BB300" i="2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Q283" i="2" s="1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X183" i="2"/>
  <c r="Q183" i="2" s="1"/>
  <c r="AG182" i="2"/>
  <c r="X182" i="2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Q107" i="2" s="1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V654" i="1"/>
  <c r="O654" i="1" s="1"/>
  <c r="BE653" i="1"/>
  <c r="AZ653" i="1"/>
  <c r="AE653" i="1"/>
  <c r="V653" i="1"/>
  <c r="O653" i="1"/>
  <c r="BE652" i="1"/>
  <c r="AZ652" i="1"/>
  <c r="AE652" i="1"/>
  <c r="V652" i="1"/>
  <c r="O652" i="1"/>
  <c r="BE651" i="1"/>
  <c r="AZ651" i="1"/>
  <c r="AE651" i="1"/>
  <c r="V651" i="1"/>
  <c r="O651" i="1" s="1"/>
  <c r="BE650" i="1"/>
  <c r="AZ650" i="1"/>
  <c r="AE650" i="1"/>
  <c r="V650" i="1"/>
  <c r="BE649" i="1"/>
  <c r="AZ649" i="1"/>
  <c r="AE649" i="1"/>
  <c r="V649" i="1"/>
  <c r="O649" i="1" s="1"/>
  <c r="BE648" i="1"/>
  <c r="AZ648" i="1"/>
  <c r="AE648" i="1"/>
  <c r="V648" i="1"/>
  <c r="O648" i="1"/>
  <c r="BE647" i="1"/>
  <c r="AZ647" i="1"/>
  <c r="AE647" i="1"/>
  <c r="V647" i="1"/>
  <c r="O647" i="1"/>
  <c r="BE646" i="1"/>
  <c r="AZ646" i="1"/>
  <c r="AE646" i="1"/>
  <c r="V646" i="1"/>
  <c r="O646" i="1" s="1"/>
  <c r="BE645" i="1"/>
  <c r="AZ645" i="1"/>
  <c r="AE645" i="1"/>
  <c r="O645" i="1" s="1"/>
  <c r="V645" i="1"/>
  <c r="BE644" i="1"/>
  <c r="AZ644" i="1"/>
  <c r="AE644" i="1"/>
  <c r="O644" i="1" s="1"/>
  <c r="V644" i="1"/>
  <c r="BE643" i="1"/>
  <c r="AZ643" i="1"/>
  <c r="AE643" i="1"/>
  <c r="V643" i="1"/>
  <c r="O643" i="1" s="1"/>
  <c r="BE642" i="1"/>
  <c r="AZ642" i="1"/>
  <c r="AE642" i="1"/>
  <c r="V642" i="1"/>
  <c r="O642" i="1" s="1"/>
  <c r="BE641" i="1"/>
  <c r="AZ641" i="1"/>
  <c r="AE641" i="1"/>
  <c r="V641" i="1"/>
  <c r="O641" i="1"/>
  <c r="BE640" i="1"/>
  <c r="AZ640" i="1"/>
  <c r="AE640" i="1"/>
  <c r="V640" i="1"/>
  <c r="O640" i="1"/>
  <c r="BE639" i="1"/>
  <c r="AZ639" i="1"/>
  <c r="AE639" i="1"/>
  <c r="V639" i="1"/>
  <c r="O639" i="1" s="1"/>
  <c r="BE638" i="1"/>
  <c r="AZ638" i="1"/>
  <c r="AE638" i="1"/>
  <c r="V638" i="1"/>
  <c r="BE637" i="1"/>
  <c r="AZ637" i="1"/>
  <c r="AE637" i="1"/>
  <c r="V637" i="1"/>
  <c r="O637" i="1" s="1"/>
  <c r="BE636" i="1"/>
  <c r="AZ636" i="1"/>
  <c r="AE636" i="1"/>
  <c r="V636" i="1"/>
  <c r="O636" i="1"/>
  <c r="BE635" i="1"/>
  <c r="AZ635" i="1"/>
  <c r="AE635" i="1"/>
  <c r="V635" i="1"/>
  <c r="O635" i="1"/>
  <c r="BE634" i="1"/>
  <c r="AZ634" i="1"/>
  <c r="AE634" i="1"/>
  <c r="V634" i="1"/>
  <c r="O634" i="1"/>
  <c r="BE633" i="1"/>
  <c r="AZ633" i="1"/>
  <c r="AE633" i="1"/>
  <c r="V633" i="1"/>
  <c r="BE632" i="1"/>
  <c r="AZ632" i="1"/>
  <c r="AE632" i="1"/>
  <c r="O632" i="1" s="1"/>
  <c r="V632" i="1"/>
  <c r="BE631" i="1"/>
  <c r="AZ631" i="1"/>
  <c r="AE631" i="1"/>
  <c r="V631" i="1"/>
  <c r="BE630" i="1"/>
  <c r="AZ630" i="1"/>
  <c r="AE630" i="1"/>
  <c r="V630" i="1"/>
  <c r="O630" i="1" s="1"/>
  <c r="BE629" i="1"/>
  <c r="AZ629" i="1"/>
  <c r="AE629" i="1"/>
  <c r="V629" i="1"/>
  <c r="O629" i="1" s="1"/>
  <c r="BE628" i="1"/>
  <c r="AZ628" i="1"/>
  <c r="AE628" i="1"/>
  <c r="V628" i="1"/>
  <c r="O628" i="1"/>
  <c r="BE627" i="1"/>
  <c r="AZ627" i="1"/>
  <c r="AE627" i="1"/>
  <c r="V627" i="1"/>
  <c r="O627" i="1" s="1"/>
  <c r="BE626" i="1"/>
  <c r="AZ626" i="1"/>
  <c r="AE626" i="1"/>
  <c r="V626" i="1"/>
  <c r="O626" i="1" s="1"/>
  <c r="BE625" i="1"/>
  <c r="AZ625" i="1"/>
  <c r="AE625" i="1"/>
  <c r="V625" i="1"/>
  <c r="O625" i="1" s="1"/>
  <c r="BE624" i="1"/>
  <c r="AZ624" i="1"/>
  <c r="AE624" i="1"/>
  <c r="V624" i="1"/>
  <c r="O624" i="1"/>
  <c r="BE623" i="1"/>
  <c r="AZ623" i="1"/>
  <c r="AE623" i="1"/>
  <c r="V623" i="1"/>
  <c r="O623" i="1"/>
  <c r="BE622" i="1"/>
  <c r="AZ622" i="1"/>
  <c r="AE622" i="1"/>
  <c r="V622" i="1"/>
  <c r="O622" i="1"/>
  <c r="BE621" i="1"/>
  <c r="AZ621" i="1"/>
  <c r="AE621" i="1"/>
  <c r="O621" i="1" s="1"/>
  <c r="V621" i="1"/>
  <c r="BE620" i="1"/>
  <c r="AZ620" i="1"/>
  <c r="AE620" i="1"/>
  <c r="O620" i="1" s="1"/>
  <c r="V620" i="1"/>
  <c r="BE619" i="1"/>
  <c r="AZ619" i="1"/>
  <c r="AE619" i="1"/>
  <c r="V619" i="1"/>
  <c r="BE618" i="1"/>
  <c r="AZ618" i="1"/>
  <c r="AE618" i="1"/>
  <c r="V618" i="1"/>
  <c r="O618" i="1" s="1"/>
  <c r="BE617" i="1"/>
  <c r="AZ617" i="1"/>
  <c r="AE617" i="1"/>
  <c r="V617" i="1"/>
  <c r="O617" i="1"/>
  <c r="BE616" i="1"/>
  <c r="AZ616" i="1"/>
  <c r="AE616" i="1"/>
  <c r="V616" i="1"/>
  <c r="O616" i="1"/>
  <c r="BE615" i="1"/>
  <c r="AZ615" i="1"/>
  <c r="AE615" i="1"/>
  <c r="V615" i="1"/>
  <c r="O615" i="1" s="1"/>
  <c r="BE614" i="1"/>
  <c r="AZ614" i="1"/>
  <c r="AE614" i="1"/>
  <c r="V614" i="1"/>
  <c r="BE613" i="1"/>
  <c r="AZ613" i="1"/>
  <c r="AE613" i="1"/>
  <c r="V613" i="1"/>
  <c r="O613" i="1" s="1"/>
  <c r="BE612" i="1"/>
  <c r="AZ612" i="1"/>
  <c r="AE612" i="1"/>
  <c r="V612" i="1"/>
  <c r="O612" i="1" s="1"/>
  <c r="BE611" i="1"/>
  <c r="AZ611" i="1"/>
  <c r="AE611" i="1"/>
  <c r="V611" i="1"/>
  <c r="O611" i="1"/>
  <c r="BE610" i="1"/>
  <c r="AZ610" i="1"/>
  <c r="AE610" i="1"/>
  <c r="V610" i="1"/>
  <c r="O610" i="1"/>
  <c r="BE609" i="1"/>
  <c r="AZ609" i="1"/>
  <c r="O609" i="1" s="1"/>
  <c r="AE609" i="1"/>
  <c r="V609" i="1"/>
  <c r="BE608" i="1"/>
  <c r="AZ608" i="1"/>
  <c r="AE608" i="1"/>
  <c r="O608" i="1" s="1"/>
  <c r="V608" i="1"/>
  <c r="BE607" i="1"/>
  <c r="AZ607" i="1"/>
  <c r="AE607" i="1"/>
  <c r="V607" i="1"/>
  <c r="O607" i="1" s="1"/>
  <c r="BE606" i="1"/>
  <c r="AZ606" i="1"/>
  <c r="AE606" i="1"/>
  <c r="V606" i="1"/>
  <c r="O606" i="1" s="1"/>
  <c r="BE605" i="1"/>
  <c r="AZ605" i="1"/>
  <c r="AE605" i="1"/>
  <c r="V605" i="1"/>
  <c r="O605" i="1"/>
  <c r="BE604" i="1"/>
  <c r="AZ604" i="1"/>
  <c r="AE604" i="1"/>
  <c r="V604" i="1"/>
  <c r="O604" i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 s="1"/>
  <c r="BE600" i="1"/>
  <c r="AZ600" i="1"/>
  <c r="AE600" i="1"/>
  <c r="V600" i="1"/>
  <c r="O600" i="1" s="1"/>
  <c r="BE599" i="1"/>
  <c r="AZ599" i="1"/>
  <c r="AE599" i="1"/>
  <c r="V599" i="1"/>
  <c r="O599" i="1"/>
  <c r="BE598" i="1"/>
  <c r="AZ598" i="1"/>
  <c r="AE598" i="1"/>
  <c r="V598" i="1"/>
  <c r="O598" i="1"/>
  <c r="BE597" i="1"/>
  <c r="AZ597" i="1"/>
  <c r="O597" i="1" s="1"/>
  <c r="AE597" i="1"/>
  <c r="V597" i="1"/>
  <c r="BE596" i="1"/>
  <c r="AZ596" i="1"/>
  <c r="AE596" i="1"/>
  <c r="O596" i="1" s="1"/>
  <c r="V596" i="1"/>
  <c r="BE595" i="1"/>
  <c r="AZ595" i="1"/>
  <c r="AE595" i="1"/>
  <c r="V595" i="1"/>
  <c r="BE594" i="1"/>
  <c r="AZ594" i="1"/>
  <c r="AE594" i="1"/>
  <c r="V594" i="1"/>
  <c r="O594" i="1" s="1"/>
  <c r="BE593" i="1"/>
  <c r="AZ593" i="1"/>
  <c r="AE593" i="1"/>
  <c r="V593" i="1"/>
  <c r="O593" i="1" s="1"/>
  <c r="BE592" i="1"/>
  <c r="AZ592" i="1"/>
  <c r="AE592" i="1"/>
  <c r="V592" i="1"/>
  <c r="O592" i="1"/>
  <c r="BE591" i="1"/>
  <c r="AZ591" i="1"/>
  <c r="AE591" i="1"/>
  <c r="V591" i="1"/>
  <c r="O591" i="1" s="1"/>
  <c r="BE590" i="1"/>
  <c r="AZ590" i="1"/>
  <c r="AE590" i="1"/>
  <c r="V590" i="1"/>
  <c r="BE589" i="1"/>
  <c r="AZ589" i="1"/>
  <c r="AE589" i="1"/>
  <c r="V589" i="1"/>
  <c r="O589" i="1" s="1"/>
  <c r="BE588" i="1"/>
  <c r="AZ588" i="1"/>
  <c r="AE588" i="1"/>
  <c r="V588" i="1"/>
  <c r="O588" i="1"/>
  <c r="BE587" i="1"/>
  <c r="AZ587" i="1"/>
  <c r="AE587" i="1"/>
  <c r="V587" i="1"/>
  <c r="O587" i="1"/>
  <c r="BE586" i="1"/>
  <c r="AZ586" i="1"/>
  <c r="AE586" i="1"/>
  <c r="V586" i="1"/>
  <c r="O586" i="1"/>
  <c r="BE585" i="1"/>
  <c r="AZ585" i="1"/>
  <c r="O585" i="1" s="1"/>
  <c r="AE585" i="1"/>
  <c r="V585" i="1"/>
  <c r="BE584" i="1"/>
  <c r="AZ584" i="1"/>
  <c r="AE584" i="1"/>
  <c r="O584" i="1" s="1"/>
  <c r="V584" i="1"/>
  <c r="BE583" i="1"/>
  <c r="AZ583" i="1"/>
  <c r="AE583" i="1"/>
  <c r="V583" i="1"/>
  <c r="O583" i="1" s="1"/>
  <c r="BE582" i="1"/>
  <c r="AZ582" i="1"/>
  <c r="AE582" i="1"/>
  <c r="V582" i="1"/>
  <c r="O582" i="1" s="1"/>
  <c r="O581" i="1"/>
  <c r="BE580" i="1"/>
  <c r="AZ580" i="1"/>
  <c r="AE580" i="1"/>
  <c r="V580" i="1"/>
  <c r="O580" i="1" s="1"/>
  <c r="BE579" i="1"/>
  <c r="AZ579" i="1"/>
  <c r="AE579" i="1"/>
  <c r="V579" i="1"/>
  <c r="O579" i="1"/>
  <c r="BE578" i="1"/>
  <c r="AZ578" i="1"/>
  <c r="AE578" i="1"/>
  <c r="V578" i="1"/>
  <c r="O578" i="1"/>
  <c r="BE577" i="1"/>
  <c r="AZ577" i="1"/>
  <c r="O577" i="1" s="1"/>
  <c r="AE577" i="1"/>
  <c r="V577" i="1"/>
  <c r="BE576" i="1"/>
  <c r="AZ576" i="1"/>
  <c r="AE576" i="1"/>
  <c r="O576" i="1" s="1"/>
  <c r="V576" i="1"/>
  <c r="BE575" i="1"/>
  <c r="AZ575" i="1"/>
  <c r="AE575" i="1"/>
  <c r="V575" i="1"/>
  <c r="O575" i="1" s="1"/>
  <c r="BE574" i="1"/>
  <c r="AZ574" i="1"/>
  <c r="AE574" i="1"/>
  <c r="V574" i="1"/>
  <c r="O574" i="1" s="1"/>
  <c r="BE573" i="1"/>
  <c r="AZ573" i="1"/>
  <c r="AE573" i="1"/>
  <c r="V573" i="1"/>
  <c r="O573" i="1"/>
  <c r="BE572" i="1"/>
  <c r="AZ572" i="1"/>
  <c r="AE572" i="1"/>
  <c r="V572" i="1"/>
  <c r="O572" i="1"/>
  <c r="BE571" i="1"/>
  <c r="AZ571" i="1"/>
  <c r="AE571" i="1"/>
  <c r="V571" i="1"/>
  <c r="O571" i="1" s="1"/>
  <c r="BE570" i="1"/>
  <c r="AZ570" i="1"/>
  <c r="AE570" i="1"/>
  <c r="V570" i="1"/>
  <c r="O570" i="1" s="1"/>
  <c r="BE569" i="1"/>
  <c r="AZ569" i="1"/>
  <c r="AE569" i="1"/>
  <c r="V569" i="1"/>
  <c r="O569" i="1" s="1"/>
  <c r="BE567" i="1"/>
  <c r="AZ567" i="1"/>
  <c r="AE567" i="1"/>
  <c r="V567" i="1"/>
  <c r="O567" i="1" s="1"/>
  <c r="BE566" i="1"/>
  <c r="AZ566" i="1"/>
  <c r="AE566" i="1"/>
  <c r="V566" i="1"/>
  <c r="O566" i="1"/>
  <c r="BE565" i="1"/>
  <c r="AZ565" i="1"/>
  <c r="AE565" i="1"/>
  <c r="V565" i="1"/>
  <c r="O565" i="1"/>
  <c r="BE564" i="1"/>
  <c r="AZ564" i="1"/>
  <c r="O564" i="1" s="1"/>
  <c r="AE564" i="1"/>
  <c r="V564" i="1"/>
  <c r="BE563" i="1"/>
  <c r="AZ563" i="1"/>
  <c r="AE563" i="1"/>
  <c r="O563" i="1" s="1"/>
  <c r="V563" i="1"/>
  <c r="BE562" i="1"/>
  <c r="AZ562" i="1"/>
  <c r="AE562" i="1"/>
  <c r="V562" i="1"/>
  <c r="BE561" i="1"/>
  <c r="AZ561" i="1"/>
  <c r="AE561" i="1"/>
  <c r="V561" i="1"/>
  <c r="O561" i="1" s="1"/>
  <c r="BE560" i="1"/>
  <c r="AZ560" i="1"/>
  <c r="AE560" i="1"/>
  <c r="V560" i="1"/>
  <c r="O560" i="1"/>
  <c r="BE559" i="1"/>
  <c r="AZ559" i="1"/>
  <c r="AE559" i="1"/>
  <c r="V559" i="1"/>
  <c r="O559" i="1"/>
  <c r="BE558" i="1"/>
  <c r="AZ558" i="1"/>
  <c r="AE558" i="1"/>
  <c r="V558" i="1"/>
  <c r="O558" i="1" s="1"/>
  <c r="BE557" i="1"/>
  <c r="AZ557" i="1"/>
  <c r="AE557" i="1"/>
  <c r="V557" i="1"/>
  <c r="O557" i="1" s="1"/>
  <c r="BE556" i="1"/>
  <c r="AZ556" i="1"/>
  <c r="AE556" i="1"/>
  <c r="V556" i="1"/>
  <c r="O556" i="1" s="1"/>
  <c r="BE555" i="1"/>
  <c r="AZ555" i="1"/>
  <c r="AE555" i="1"/>
  <c r="V555" i="1"/>
  <c r="O555" i="1"/>
  <c r="BE554" i="1"/>
  <c r="AZ554" i="1"/>
  <c r="AE554" i="1"/>
  <c r="V554" i="1"/>
  <c r="O554" i="1"/>
  <c r="BE553" i="1"/>
  <c r="AZ553" i="1"/>
  <c r="AE553" i="1"/>
  <c r="V553" i="1"/>
  <c r="O553" i="1"/>
  <c r="BE552" i="1"/>
  <c r="AZ552" i="1"/>
  <c r="O552" i="1" s="1"/>
  <c r="AE552" i="1"/>
  <c r="V552" i="1"/>
  <c r="BE551" i="1"/>
  <c r="AZ551" i="1"/>
  <c r="AE551" i="1"/>
  <c r="O551" i="1" s="1"/>
  <c r="V551" i="1"/>
  <c r="BE550" i="1"/>
  <c r="AZ550" i="1"/>
  <c r="AE550" i="1"/>
  <c r="V550" i="1"/>
  <c r="O550" i="1" s="1"/>
  <c r="BE549" i="1"/>
  <c r="AZ549" i="1"/>
  <c r="AE549" i="1"/>
  <c r="V549" i="1"/>
  <c r="O549" i="1" s="1"/>
  <c r="BE548" i="1"/>
  <c r="AZ548" i="1"/>
  <c r="AE548" i="1"/>
  <c r="V548" i="1"/>
  <c r="O548" i="1" s="1"/>
  <c r="BE547" i="1"/>
  <c r="AZ547" i="1"/>
  <c r="AE547" i="1"/>
  <c r="V547" i="1"/>
  <c r="O547" i="1"/>
  <c r="BE546" i="1"/>
  <c r="AZ546" i="1"/>
  <c r="AE546" i="1"/>
  <c r="V546" i="1"/>
  <c r="O546" i="1" s="1"/>
  <c r="BE545" i="1"/>
  <c r="AZ545" i="1"/>
  <c r="AE545" i="1"/>
  <c r="V545" i="1"/>
  <c r="BE544" i="1"/>
  <c r="AZ544" i="1"/>
  <c r="AE544" i="1"/>
  <c r="V544" i="1"/>
  <c r="O544" i="1" s="1"/>
  <c r="BE543" i="1"/>
  <c r="AZ543" i="1"/>
  <c r="AE543" i="1"/>
  <c r="V543" i="1"/>
  <c r="O543" i="1" s="1"/>
  <c r="BE542" i="1"/>
  <c r="AZ542" i="1"/>
  <c r="AE542" i="1"/>
  <c r="V542" i="1"/>
  <c r="O542" i="1"/>
  <c r="BE541" i="1"/>
  <c r="AZ541" i="1"/>
  <c r="AE541" i="1"/>
  <c r="V541" i="1"/>
  <c r="O541" i="1"/>
  <c r="BE540" i="1"/>
  <c r="AZ540" i="1"/>
  <c r="O540" i="1" s="1"/>
  <c r="AE540" i="1"/>
  <c r="V540" i="1"/>
  <c r="BE539" i="1"/>
  <c r="AZ539" i="1"/>
  <c r="AE539" i="1"/>
  <c r="O539" i="1" s="1"/>
  <c r="V539" i="1"/>
  <c r="BE538" i="1"/>
  <c r="AZ538" i="1"/>
  <c r="AE538" i="1"/>
  <c r="V538" i="1"/>
  <c r="O538" i="1" s="1"/>
  <c r="BE537" i="1"/>
  <c r="AZ537" i="1"/>
  <c r="AE537" i="1"/>
  <c r="V537" i="1"/>
  <c r="O537" i="1" s="1"/>
  <c r="BE536" i="1"/>
  <c r="AZ536" i="1"/>
  <c r="AE536" i="1"/>
  <c r="V536" i="1"/>
  <c r="O536" i="1"/>
  <c r="BE535" i="1"/>
  <c r="AZ535" i="1"/>
  <c r="AE535" i="1"/>
  <c r="V535" i="1"/>
  <c r="O535" i="1"/>
  <c r="BE534" i="1"/>
  <c r="AZ534" i="1"/>
  <c r="AE534" i="1"/>
  <c r="V534" i="1"/>
  <c r="O534" i="1" s="1"/>
  <c r="BE533" i="1"/>
  <c r="AZ533" i="1"/>
  <c r="AE533" i="1"/>
  <c r="V533" i="1"/>
  <c r="O533" i="1" s="1"/>
  <c r="BE532" i="1"/>
  <c r="AZ532" i="1"/>
  <c r="AE532" i="1"/>
  <c r="V532" i="1"/>
  <c r="O532" i="1" s="1"/>
  <c r="BE531" i="1"/>
  <c r="AZ531" i="1"/>
  <c r="AE531" i="1"/>
  <c r="V531" i="1"/>
  <c r="O531" i="1"/>
  <c r="BE530" i="1"/>
  <c r="AZ530" i="1"/>
  <c r="AE530" i="1"/>
  <c r="V530" i="1"/>
  <c r="O530" i="1"/>
  <c r="BE529" i="1"/>
  <c r="AZ529" i="1"/>
  <c r="AE529" i="1"/>
  <c r="V529" i="1"/>
  <c r="O529" i="1"/>
  <c r="BE528" i="1"/>
  <c r="AZ528" i="1"/>
  <c r="O528" i="1" s="1"/>
  <c r="AE528" i="1"/>
  <c r="V528" i="1"/>
  <c r="BE527" i="1"/>
  <c r="AZ527" i="1"/>
  <c r="AE527" i="1"/>
  <c r="O527" i="1" s="1"/>
  <c r="V527" i="1"/>
  <c r="BE526" i="1"/>
  <c r="AZ526" i="1"/>
  <c r="AE526" i="1"/>
  <c r="V526" i="1"/>
  <c r="BE525" i="1"/>
  <c r="AZ525" i="1"/>
  <c r="AE525" i="1"/>
  <c r="V525" i="1"/>
  <c r="O525" i="1" s="1"/>
  <c r="BE524" i="1"/>
  <c r="AZ524" i="1"/>
  <c r="AE524" i="1"/>
  <c r="V524" i="1"/>
  <c r="O524" i="1" s="1"/>
  <c r="BE523" i="1"/>
  <c r="AZ523" i="1"/>
  <c r="AE523" i="1"/>
  <c r="V523" i="1"/>
  <c r="O523" i="1"/>
  <c r="BE522" i="1"/>
  <c r="AZ522" i="1"/>
  <c r="AE522" i="1"/>
  <c r="V522" i="1"/>
  <c r="O522" i="1" s="1"/>
  <c r="BE521" i="1"/>
  <c r="AZ521" i="1"/>
  <c r="AE521" i="1"/>
  <c r="V521" i="1"/>
  <c r="O521" i="1" s="1"/>
  <c r="BE520" i="1"/>
  <c r="AZ520" i="1"/>
  <c r="AE520" i="1"/>
  <c r="V520" i="1"/>
  <c r="O520" i="1" s="1"/>
  <c r="BE519" i="1"/>
  <c r="AZ519" i="1"/>
  <c r="AE519" i="1"/>
  <c r="V519" i="1"/>
  <c r="O519" i="1"/>
  <c r="BE518" i="1"/>
  <c r="AZ518" i="1"/>
  <c r="AE518" i="1"/>
  <c r="V518" i="1"/>
  <c r="O518" i="1"/>
  <c r="BE517" i="1"/>
  <c r="AZ517" i="1"/>
  <c r="AE517" i="1"/>
  <c r="V517" i="1"/>
  <c r="O517" i="1"/>
  <c r="BE516" i="1"/>
  <c r="AZ516" i="1"/>
  <c r="O516" i="1" s="1"/>
  <c r="AE516" i="1"/>
  <c r="V516" i="1"/>
  <c r="BE515" i="1"/>
  <c r="AZ515" i="1"/>
  <c r="AE515" i="1"/>
  <c r="V515" i="1"/>
  <c r="BE514" i="1"/>
  <c r="AZ514" i="1"/>
  <c r="AE514" i="1"/>
  <c r="V514" i="1"/>
  <c r="O514" i="1" s="1"/>
  <c r="BE513" i="1"/>
  <c r="AZ513" i="1"/>
  <c r="AE513" i="1"/>
  <c r="V513" i="1"/>
  <c r="O513" i="1" s="1"/>
  <c r="BE512" i="1"/>
  <c r="AZ512" i="1"/>
  <c r="AE512" i="1"/>
  <c r="V512" i="1"/>
  <c r="O512" i="1"/>
  <c r="BE511" i="1"/>
  <c r="AZ511" i="1"/>
  <c r="AE511" i="1"/>
  <c r="V511" i="1"/>
  <c r="O511" i="1"/>
  <c r="BE510" i="1"/>
  <c r="AZ510" i="1"/>
  <c r="AE510" i="1"/>
  <c r="V510" i="1"/>
  <c r="O510" i="1" s="1"/>
  <c r="BE509" i="1"/>
  <c r="AZ509" i="1"/>
  <c r="AE509" i="1"/>
  <c r="V509" i="1"/>
  <c r="BE508" i="1"/>
  <c r="AZ508" i="1"/>
  <c r="AE508" i="1"/>
  <c r="V508" i="1"/>
  <c r="O508" i="1" s="1"/>
  <c r="BE507" i="1"/>
  <c r="AZ507" i="1"/>
  <c r="AE507" i="1"/>
  <c r="V507" i="1"/>
  <c r="O507" i="1" s="1"/>
  <c r="BE506" i="1"/>
  <c r="AZ506" i="1"/>
  <c r="AE506" i="1"/>
  <c r="V506" i="1"/>
  <c r="O506" i="1"/>
  <c r="BE505" i="1"/>
  <c r="AZ505" i="1"/>
  <c r="AE505" i="1"/>
  <c r="V505" i="1"/>
  <c r="O505" i="1"/>
  <c r="BE504" i="1"/>
  <c r="AZ504" i="1"/>
  <c r="O504" i="1" s="1"/>
  <c r="AE504" i="1"/>
  <c r="V504" i="1"/>
  <c r="BE503" i="1"/>
  <c r="AZ503" i="1"/>
  <c r="AE503" i="1"/>
  <c r="O503" i="1" s="1"/>
  <c r="V503" i="1"/>
  <c r="BE502" i="1"/>
  <c r="AZ502" i="1"/>
  <c r="AE502" i="1"/>
  <c r="V502" i="1"/>
  <c r="O502" i="1" s="1"/>
  <c r="BE501" i="1"/>
  <c r="AZ501" i="1"/>
  <c r="AE501" i="1"/>
  <c r="V501" i="1"/>
  <c r="O501" i="1" s="1"/>
  <c r="BE500" i="1"/>
  <c r="AZ500" i="1"/>
  <c r="AE500" i="1"/>
  <c r="V500" i="1"/>
  <c r="O500" i="1"/>
  <c r="BE499" i="1"/>
  <c r="AZ499" i="1"/>
  <c r="AE499" i="1"/>
  <c r="V499" i="1"/>
  <c r="O499" i="1"/>
  <c r="BE498" i="1"/>
  <c r="AZ498" i="1"/>
  <c r="AE498" i="1"/>
  <c r="V498" i="1"/>
  <c r="O498" i="1" s="1"/>
  <c r="BE497" i="1"/>
  <c r="AZ497" i="1"/>
  <c r="AE497" i="1"/>
  <c r="V497" i="1"/>
  <c r="O497" i="1" s="1"/>
  <c r="BE496" i="1"/>
  <c r="AZ496" i="1"/>
  <c r="AE496" i="1"/>
  <c r="V496" i="1"/>
  <c r="BE495" i="1"/>
  <c r="AZ495" i="1"/>
  <c r="AE495" i="1"/>
  <c r="V495" i="1"/>
  <c r="O495" i="1"/>
  <c r="BE494" i="1"/>
  <c r="AZ494" i="1"/>
  <c r="AE494" i="1"/>
  <c r="V494" i="1"/>
  <c r="O494" i="1"/>
  <c r="BE493" i="1"/>
  <c r="AZ493" i="1"/>
  <c r="AE493" i="1"/>
  <c r="V493" i="1"/>
  <c r="O493" i="1"/>
  <c r="BE492" i="1"/>
  <c r="AZ492" i="1"/>
  <c r="O492" i="1" s="1"/>
  <c r="AE492" i="1"/>
  <c r="V492" i="1"/>
  <c r="BE491" i="1"/>
  <c r="AZ491" i="1"/>
  <c r="AE491" i="1"/>
  <c r="O491" i="1" s="1"/>
  <c r="V491" i="1"/>
  <c r="BE490" i="1"/>
  <c r="AZ490" i="1"/>
  <c r="AE490" i="1"/>
  <c r="V490" i="1"/>
  <c r="BE489" i="1"/>
  <c r="AZ489" i="1"/>
  <c r="AE489" i="1"/>
  <c r="V489" i="1"/>
  <c r="O489" i="1" s="1"/>
  <c r="BE488" i="1"/>
  <c r="AZ488" i="1"/>
  <c r="AE488" i="1"/>
  <c r="V488" i="1"/>
  <c r="O488" i="1" s="1"/>
  <c r="BE487" i="1"/>
  <c r="AZ487" i="1"/>
  <c r="AE487" i="1"/>
  <c r="V487" i="1"/>
  <c r="O487" i="1"/>
  <c r="BE486" i="1"/>
  <c r="AZ486" i="1"/>
  <c r="AE486" i="1"/>
  <c r="V486" i="1"/>
  <c r="O486" i="1" s="1"/>
  <c r="BE485" i="1"/>
  <c r="AZ485" i="1"/>
  <c r="AE485" i="1"/>
  <c r="V485" i="1"/>
  <c r="BE484" i="1"/>
  <c r="AZ484" i="1"/>
  <c r="AE484" i="1"/>
  <c r="V484" i="1"/>
  <c r="O484" i="1" s="1"/>
  <c r="BE483" i="1"/>
  <c r="AZ483" i="1"/>
  <c r="AE483" i="1"/>
  <c r="V483" i="1"/>
  <c r="O483" i="1"/>
  <c r="BE482" i="1"/>
  <c r="AZ482" i="1"/>
  <c r="AE482" i="1"/>
  <c r="V482" i="1"/>
  <c r="O482" i="1"/>
  <c r="BE481" i="1"/>
  <c r="AZ481" i="1"/>
  <c r="AE481" i="1"/>
  <c r="V481" i="1"/>
  <c r="O481" i="1"/>
  <c r="BE480" i="1"/>
  <c r="AZ480" i="1"/>
  <c r="O480" i="1" s="1"/>
  <c r="AE480" i="1"/>
  <c r="V480" i="1"/>
  <c r="BE479" i="1"/>
  <c r="AZ479" i="1"/>
  <c r="AE479" i="1"/>
  <c r="V479" i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V476" i="1"/>
  <c r="O476" i="1"/>
  <c r="BE475" i="1"/>
  <c r="AZ475" i="1"/>
  <c r="AE475" i="1"/>
  <c r="V475" i="1"/>
  <c r="O475" i="1"/>
  <c r="BE474" i="1"/>
  <c r="AZ474" i="1"/>
  <c r="AE474" i="1"/>
  <c r="V474" i="1"/>
  <c r="O474" i="1" s="1"/>
  <c r="BE473" i="1"/>
  <c r="AZ473" i="1"/>
  <c r="AE473" i="1"/>
  <c r="V473" i="1"/>
  <c r="BE472" i="1"/>
  <c r="AZ472" i="1"/>
  <c r="AE472" i="1"/>
  <c r="V472" i="1"/>
  <c r="O472" i="1" s="1"/>
  <c r="BE471" i="1"/>
  <c r="AZ471" i="1"/>
  <c r="AE471" i="1"/>
  <c r="V471" i="1"/>
  <c r="O471" i="1" s="1"/>
  <c r="BE470" i="1"/>
  <c r="AZ470" i="1"/>
  <c r="AE470" i="1"/>
  <c r="V470" i="1"/>
  <c r="O470" i="1"/>
  <c r="BE469" i="1"/>
  <c r="AZ469" i="1"/>
  <c r="AE469" i="1"/>
  <c r="V469" i="1"/>
  <c r="O469" i="1"/>
  <c r="BE468" i="1"/>
  <c r="AZ468" i="1"/>
  <c r="O468" i="1" s="1"/>
  <c r="AE468" i="1"/>
  <c r="V468" i="1"/>
  <c r="BE467" i="1"/>
  <c r="AZ467" i="1"/>
  <c r="AE467" i="1"/>
  <c r="V467" i="1"/>
  <c r="BE466" i="1"/>
  <c r="AZ466" i="1"/>
  <c r="AE466" i="1"/>
  <c r="V466" i="1"/>
  <c r="BE465" i="1"/>
  <c r="AZ465" i="1"/>
  <c r="AE465" i="1"/>
  <c r="V465" i="1"/>
  <c r="O465" i="1" s="1"/>
  <c r="BE464" i="1"/>
  <c r="AZ464" i="1"/>
  <c r="AE464" i="1"/>
  <c r="V464" i="1"/>
  <c r="O464" i="1"/>
  <c r="BE463" i="1"/>
  <c r="AZ463" i="1"/>
  <c r="AE463" i="1"/>
  <c r="V463" i="1"/>
  <c r="O463" i="1"/>
  <c r="BE462" i="1"/>
  <c r="AZ462" i="1"/>
  <c r="AE462" i="1"/>
  <c r="V462" i="1"/>
  <c r="O462" i="1" s="1"/>
  <c r="BE461" i="1"/>
  <c r="AZ461" i="1"/>
  <c r="AE461" i="1"/>
  <c r="V461" i="1"/>
  <c r="BE460" i="1"/>
  <c r="AZ460" i="1"/>
  <c r="AE460" i="1"/>
  <c r="V460" i="1"/>
  <c r="BE459" i="1"/>
  <c r="AZ459" i="1"/>
  <c r="AE459" i="1"/>
  <c r="V459" i="1"/>
  <c r="O459" i="1"/>
  <c r="BE458" i="1"/>
  <c r="AZ458" i="1"/>
  <c r="AE458" i="1"/>
  <c r="V458" i="1"/>
  <c r="O458" i="1"/>
  <c r="BE457" i="1"/>
  <c r="AZ457" i="1"/>
  <c r="AE457" i="1"/>
  <c r="V457" i="1"/>
  <c r="O457" i="1"/>
  <c r="BE456" i="1"/>
  <c r="AZ456" i="1"/>
  <c r="O456" i="1" s="1"/>
  <c r="AE456" i="1"/>
  <c r="V456" i="1"/>
  <c r="BE455" i="1"/>
  <c r="AZ455" i="1"/>
  <c r="AE455" i="1"/>
  <c r="V455" i="1"/>
  <c r="O455" i="1" s="1"/>
  <c r="BE454" i="1"/>
  <c r="AZ454" i="1"/>
  <c r="AE454" i="1"/>
  <c r="V454" i="1"/>
  <c r="BE453" i="1"/>
  <c r="AZ453" i="1"/>
  <c r="AE453" i="1"/>
  <c r="V453" i="1"/>
  <c r="O453" i="1" s="1"/>
  <c r="BE452" i="1"/>
  <c r="AZ452" i="1"/>
  <c r="AE452" i="1"/>
  <c r="V452" i="1"/>
  <c r="O452" i="1" s="1"/>
  <c r="BE451" i="1"/>
  <c r="AZ451" i="1"/>
  <c r="AE451" i="1"/>
  <c r="V451" i="1"/>
  <c r="O451" i="1"/>
  <c r="BE450" i="1"/>
  <c r="AZ450" i="1"/>
  <c r="AE450" i="1"/>
  <c r="O450" i="1" s="1"/>
  <c r="V450" i="1"/>
  <c r="BE449" i="1"/>
  <c r="AZ449" i="1"/>
  <c r="AE449" i="1"/>
  <c r="V449" i="1"/>
  <c r="O449" i="1" s="1"/>
  <c r="BE448" i="1"/>
  <c r="AZ448" i="1"/>
  <c r="AE448" i="1"/>
  <c r="V448" i="1"/>
  <c r="O448" i="1" s="1"/>
  <c r="BE447" i="1"/>
  <c r="AZ447" i="1"/>
  <c r="AE447" i="1"/>
  <c r="O447" i="1" s="1"/>
  <c r="V447" i="1"/>
  <c r="BE446" i="1"/>
  <c r="AZ446" i="1"/>
  <c r="AE446" i="1"/>
  <c r="V446" i="1"/>
  <c r="O446" i="1"/>
  <c r="BE445" i="1"/>
  <c r="AZ445" i="1"/>
  <c r="AE445" i="1"/>
  <c r="V445" i="1"/>
  <c r="O445" i="1"/>
  <c r="BE444" i="1"/>
  <c r="AZ444" i="1"/>
  <c r="O444" i="1" s="1"/>
  <c r="AE444" i="1"/>
  <c r="V444" i="1"/>
  <c r="BE443" i="1"/>
  <c r="AZ443" i="1"/>
  <c r="AE443" i="1"/>
  <c r="V443" i="1"/>
  <c r="O443" i="1" s="1"/>
  <c r="BE442" i="1"/>
  <c r="AZ442" i="1"/>
  <c r="AE442" i="1"/>
  <c r="V442" i="1"/>
  <c r="BE441" i="1"/>
  <c r="AZ441" i="1"/>
  <c r="AE441" i="1"/>
  <c r="V441" i="1"/>
  <c r="O441" i="1" s="1"/>
  <c r="BE440" i="1"/>
  <c r="AZ440" i="1"/>
  <c r="AE440" i="1"/>
  <c r="V440" i="1"/>
  <c r="O440" i="1"/>
  <c r="BE439" i="1"/>
  <c r="AZ439" i="1"/>
  <c r="AE439" i="1"/>
  <c r="V439" i="1"/>
  <c r="O439" i="1"/>
  <c r="BE438" i="1"/>
  <c r="AZ438" i="1"/>
  <c r="AE438" i="1"/>
  <c r="V438" i="1"/>
  <c r="O438" i="1" s="1"/>
  <c r="BE437" i="1"/>
  <c r="AZ437" i="1"/>
  <c r="AE437" i="1"/>
  <c r="V437" i="1"/>
  <c r="BE436" i="1"/>
  <c r="AZ436" i="1"/>
  <c r="AE436" i="1"/>
  <c r="V436" i="1"/>
  <c r="O436" i="1" s="1"/>
  <c r="BE435" i="1"/>
  <c r="AZ435" i="1"/>
  <c r="AE435" i="1"/>
  <c r="V435" i="1"/>
  <c r="O435" i="1" s="1"/>
  <c r="BE434" i="1"/>
  <c r="AZ434" i="1"/>
  <c r="AE434" i="1"/>
  <c r="V434" i="1"/>
  <c r="O434" i="1"/>
  <c r="BE433" i="1"/>
  <c r="AZ433" i="1"/>
  <c r="AE433" i="1"/>
  <c r="V433" i="1"/>
  <c r="O433" i="1"/>
  <c r="BE432" i="1"/>
  <c r="AZ432" i="1"/>
  <c r="O432" i="1" s="1"/>
  <c r="AE432" i="1"/>
  <c r="V432" i="1"/>
  <c r="BE431" i="1"/>
  <c r="AZ431" i="1"/>
  <c r="AE431" i="1"/>
  <c r="V431" i="1"/>
  <c r="BE430" i="1"/>
  <c r="AZ430" i="1"/>
  <c r="AE430" i="1"/>
  <c r="V430" i="1"/>
  <c r="O430" i="1" s="1"/>
  <c r="BE429" i="1"/>
  <c r="AZ429" i="1"/>
  <c r="AE429" i="1"/>
  <c r="V429" i="1"/>
  <c r="O429" i="1" s="1"/>
  <c r="BE428" i="1"/>
  <c r="AZ428" i="1"/>
  <c r="AE428" i="1"/>
  <c r="V428" i="1"/>
  <c r="O428" i="1"/>
  <c r="BE427" i="1"/>
  <c r="AZ427" i="1"/>
  <c r="AE427" i="1"/>
  <c r="V427" i="1"/>
  <c r="O427" i="1"/>
  <c r="BE426" i="1"/>
  <c r="AZ426" i="1"/>
  <c r="AE426" i="1"/>
  <c r="V426" i="1"/>
  <c r="O426" i="1" s="1"/>
  <c r="BE425" i="1"/>
  <c r="AZ425" i="1"/>
  <c r="AE425" i="1"/>
  <c r="V425" i="1"/>
  <c r="O425" i="1" s="1"/>
  <c r="BE424" i="1"/>
  <c r="AZ424" i="1"/>
  <c r="AE424" i="1"/>
  <c r="V424" i="1"/>
  <c r="BE423" i="1"/>
  <c r="AZ423" i="1"/>
  <c r="AE423" i="1"/>
  <c r="V423" i="1"/>
  <c r="O423" i="1" s="1"/>
  <c r="BE422" i="1"/>
  <c r="AZ422" i="1"/>
  <c r="AE422" i="1"/>
  <c r="V422" i="1"/>
  <c r="O422" i="1"/>
  <c r="BE421" i="1"/>
  <c r="AZ421" i="1"/>
  <c r="AE421" i="1"/>
  <c r="V421" i="1"/>
  <c r="O421" i="1"/>
  <c r="BE420" i="1"/>
  <c r="AZ420" i="1"/>
  <c r="O420" i="1" s="1"/>
  <c r="AE420" i="1"/>
  <c r="V420" i="1"/>
  <c r="BE419" i="1"/>
  <c r="AZ419" i="1"/>
  <c r="AE419" i="1"/>
  <c r="V419" i="1"/>
  <c r="O419" i="1" s="1"/>
  <c r="BE418" i="1"/>
  <c r="AZ418" i="1"/>
  <c r="AE418" i="1"/>
  <c r="V418" i="1"/>
  <c r="BE417" i="1"/>
  <c r="AZ417" i="1"/>
  <c r="AE417" i="1"/>
  <c r="V417" i="1"/>
  <c r="O417" i="1" s="1"/>
  <c r="BE416" i="1"/>
  <c r="AZ416" i="1"/>
  <c r="AE416" i="1"/>
  <c r="V416" i="1"/>
  <c r="O416" i="1" s="1"/>
  <c r="BE415" i="1"/>
  <c r="AZ415" i="1"/>
  <c r="AE415" i="1"/>
  <c r="V415" i="1"/>
  <c r="O415" i="1"/>
  <c r="BE414" i="1"/>
  <c r="AZ414" i="1"/>
  <c r="AE414" i="1"/>
  <c r="V414" i="1"/>
  <c r="O414" i="1" s="1"/>
  <c r="BE413" i="1"/>
  <c r="AZ413" i="1"/>
  <c r="AE413" i="1"/>
  <c r="V413" i="1"/>
  <c r="O413" i="1" s="1"/>
  <c r="BE412" i="1"/>
  <c r="AZ412" i="1"/>
  <c r="AE412" i="1"/>
  <c r="V412" i="1"/>
  <c r="BE411" i="1"/>
  <c r="AZ411" i="1"/>
  <c r="AE411" i="1"/>
  <c r="V411" i="1"/>
  <c r="O411" i="1"/>
  <c r="BE410" i="1"/>
  <c r="AZ410" i="1"/>
  <c r="AE410" i="1"/>
  <c r="V410" i="1"/>
  <c r="O410" i="1" s="1"/>
  <c r="BE409" i="1"/>
  <c r="AZ409" i="1"/>
  <c r="AE409" i="1"/>
  <c r="V409" i="1"/>
  <c r="O409" i="1"/>
  <c r="BE408" i="1"/>
  <c r="AZ408" i="1"/>
  <c r="O408" i="1" s="1"/>
  <c r="AE408" i="1"/>
  <c r="V408" i="1"/>
  <c r="BE407" i="1"/>
  <c r="AZ407" i="1"/>
  <c r="AE407" i="1"/>
  <c r="V407" i="1"/>
  <c r="O407" i="1" s="1"/>
  <c r="BE406" i="1"/>
  <c r="AZ406" i="1"/>
  <c r="AE406" i="1"/>
  <c r="V406" i="1"/>
  <c r="O406" i="1" s="1"/>
  <c r="BE405" i="1"/>
  <c r="AZ405" i="1"/>
  <c r="AE405" i="1"/>
  <c r="V405" i="1"/>
  <c r="O405" i="1"/>
  <c r="BE404" i="1"/>
  <c r="AZ404" i="1"/>
  <c r="AE404" i="1"/>
  <c r="V404" i="1"/>
  <c r="O404" i="1" s="1"/>
  <c r="BE403" i="1"/>
  <c r="AZ403" i="1"/>
  <c r="AE403" i="1"/>
  <c r="V403" i="1"/>
  <c r="O403" i="1"/>
  <c r="BE402" i="1"/>
  <c r="AZ402" i="1"/>
  <c r="AE402" i="1"/>
  <c r="V402" i="1"/>
  <c r="BE401" i="1"/>
  <c r="AZ401" i="1"/>
  <c r="AE401" i="1"/>
  <c r="V401" i="1"/>
  <c r="BE400" i="1"/>
  <c r="AZ400" i="1"/>
  <c r="AE400" i="1"/>
  <c r="V400" i="1"/>
  <c r="O400" i="1" s="1"/>
  <c r="BE399" i="1"/>
  <c r="AZ399" i="1"/>
  <c r="AE399" i="1"/>
  <c r="V399" i="1"/>
  <c r="O399" i="1"/>
  <c r="BE398" i="1"/>
  <c r="AZ398" i="1"/>
  <c r="AE398" i="1"/>
  <c r="V398" i="1"/>
  <c r="O398" i="1" s="1"/>
  <c r="BE397" i="1"/>
  <c r="AZ397" i="1"/>
  <c r="AE397" i="1"/>
  <c r="V397" i="1"/>
  <c r="O397" i="1"/>
  <c r="BE396" i="1"/>
  <c r="AZ396" i="1"/>
  <c r="O396" i="1" s="1"/>
  <c r="AE396" i="1"/>
  <c r="V396" i="1"/>
  <c r="BE395" i="1"/>
  <c r="AZ395" i="1"/>
  <c r="AE395" i="1"/>
  <c r="V395" i="1"/>
  <c r="O395" i="1" s="1"/>
  <c r="BE394" i="1"/>
  <c r="AZ394" i="1"/>
  <c r="AE394" i="1"/>
  <c r="V394" i="1"/>
  <c r="O394" i="1" s="1"/>
  <c r="BE393" i="1"/>
  <c r="AZ393" i="1"/>
  <c r="AE393" i="1"/>
  <c r="O393" i="1" s="1"/>
  <c r="V393" i="1"/>
  <c r="BE392" i="1"/>
  <c r="AZ392" i="1"/>
  <c r="AE392" i="1"/>
  <c r="V392" i="1"/>
  <c r="O392" i="1" s="1"/>
  <c r="BE391" i="1"/>
  <c r="AZ391" i="1"/>
  <c r="AE391" i="1"/>
  <c r="V391" i="1"/>
  <c r="O391" i="1"/>
  <c r="BE390" i="1"/>
  <c r="AZ390" i="1"/>
  <c r="AE390" i="1"/>
  <c r="V390" i="1"/>
  <c r="O390" i="1"/>
  <c r="BE389" i="1"/>
  <c r="AZ389" i="1"/>
  <c r="AE389" i="1"/>
  <c r="V389" i="1"/>
  <c r="O389" i="1" s="1"/>
  <c r="BE388" i="1"/>
  <c r="AZ388" i="1"/>
  <c r="AE388" i="1"/>
  <c r="O388" i="1" s="1"/>
  <c r="V388" i="1"/>
  <c r="BE387" i="1"/>
  <c r="AZ387" i="1"/>
  <c r="AE387" i="1"/>
  <c r="V387" i="1"/>
  <c r="O387" i="1" s="1"/>
  <c r="BE386" i="1"/>
  <c r="AZ386" i="1"/>
  <c r="AE386" i="1"/>
  <c r="V386" i="1"/>
  <c r="O386" i="1" s="1"/>
  <c r="BE385" i="1"/>
  <c r="AZ385" i="1"/>
  <c r="AE385" i="1"/>
  <c r="V385" i="1"/>
  <c r="O385" i="1"/>
  <c r="BE384" i="1"/>
  <c r="AZ384" i="1"/>
  <c r="O384" i="1" s="1"/>
  <c r="AE384" i="1"/>
  <c r="V384" i="1"/>
  <c r="BE383" i="1"/>
  <c r="AZ383" i="1"/>
  <c r="AE383" i="1"/>
  <c r="O383" i="1" s="1"/>
  <c r="V383" i="1"/>
  <c r="BE382" i="1"/>
  <c r="AZ382" i="1"/>
  <c r="AE382" i="1"/>
  <c r="V382" i="1"/>
  <c r="O382" i="1" s="1"/>
  <c r="BE381" i="1"/>
  <c r="AZ381" i="1"/>
  <c r="AE381" i="1"/>
  <c r="V381" i="1"/>
  <c r="O381" i="1"/>
  <c r="BE380" i="1"/>
  <c r="AZ380" i="1"/>
  <c r="AE380" i="1"/>
  <c r="V380" i="1"/>
  <c r="O380" i="1" s="1"/>
  <c r="BE379" i="1"/>
  <c r="AZ379" i="1"/>
  <c r="AE379" i="1"/>
  <c r="V379" i="1"/>
  <c r="O379" i="1"/>
  <c r="BE378" i="1"/>
  <c r="AZ378" i="1"/>
  <c r="AE378" i="1"/>
  <c r="O378" i="1" s="1"/>
  <c r="V378" i="1"/>
  <c r="BE377" i="1"/>
  <c r="AZ377" i="1"/>
  <c r="AE377" i="1"/>
  <c r="V377" i="1"/>
  <c r="O377" i="1" s="1"/>
  <c r="BE376" i="1"/>
  <c r="AZ376" i="1"/>
  <c r="AE376" i="1"/>
  <c r="V376" i="1"/>
  <c r="O376" i="1"/>
  <c r="BE375" i="1"/>
  <c r="AZ375" i="1"/>
  <c r="AE375" i="1"/>
  <c r="V375" i="1"/>
  <c r="O375" i="1" s="1"/>
  <c r="BE374" i="1"/>
  <c r="AZ374" i="1"/>
  <c r="AE374" i="1"/>
  <c r="V374" i="1"/>
  <c r="O374" i="1"/>
  <c r="BE373" i="1"/>
  <c r="AZ373" i="1"/>
  <c r="AE373" i="1"/>
  <c r="O373" i="1" s="1"/>
  <c r="V373" i="1"/>
  <c r="BE372" i="1"/>
  <c r="AZ372" i="1"/>
  <c r="AE372" i="1"/>
  <c r="V372" i="1"/>
  <c r="O372" i="1"/>
  <c r="BE371" i="1"/>
  <c r="AZ371" i="1"/>
  <c r="AE371" i="1"/>
  <c r="V371" i="1"/>
  <c r="O371" i="1" s="1"/>
  <c r="BE370" i="1"/>
  <c r="AZ370" i="1"/>
  <c r="AE370" i="1"/>
  <c r="V370" i="1"/>
  <c r="BE369" i="1"/>
  <c r="AZ369" i="1"/>
  <c r="AE369" i="1"/>
  <c r="V369" i="1"/>
  <c r="O369" i="1"/>
  <c r="BE368" i="1"/>
  <c r="AZ368" i="1"/>
  <c r="AE368" i="1"/>
  <c r="O368" i="1" s="1"/>
  <c r="V368" i="1"/>
  <c r="BE367" i="1"/>
  <c r="AZ367" i="1"/>
  <c r="AE367" i="1"/>
  <c r="V367" i="1"/>
  <c r="O367" i="1" s="1"/>
  <c r="BE366" i="1"/>
  <c r="AZ366" i="1"/>
  <c r="AE366" i="1"/>
  <c r="V366" i="1"/>
  <c r="O366" i="1" s="1"/>
  <c r="BE365" i="1"/>
  <c r="AZ365" i="1"/>
  <c r="AE365" i="1"/>
  <c r="V365" i="1"/>
  <c r="BE364" i="1"/>
  <c r="AZ364" i="1"/>
  <c r="AE364" i="1"/>
  <c r="V364" i="1"/>
  <c r="O364" i="1"/>
  <c r="BE363" i="1"/>
  <c r="AZ363" i="1"/>
  <c r="AE363" i="1"/>
  <c r="O363" i="1" s="1"/>
  <c r="V363" i="1"/>
  <c r="BE362" i="1"/>
  <c r="AZ362" i="1"/>
  <c r="AE362" i="1"/>
  <c r="V362" i="1"/>
  <c r="O362" i="1" s="1"/>
  <c r="BE361" i="1"/>
  <c r="AZ361" i="1"/>
  <c r="AE361" i="1"/>
  <c r="V361" i="1"/>
  <c r="O361" i="1" s="1"/>
  <c r="BE360" i="1"/>
  <c r="AZ360" i="1"/>
  <c r="AE360" i="1"/>
  <c r="V360" i="1"/>
  <c r="O360" i="1"/>
  <c r="BE359" i="1"/>
  <c r="AZ359" i="1"/>
  <c r="AE359" i="1"/>
  <c r="V359" i="1"/>
  <c r="O359" i="1" s="1"/>
  <c r="BE358" i="1"/>
  <c r="AZ358" i="1"/>
  <c r="AE358" i="1"/>
  <c r="V358" i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AE355" i="1"/>
  <c r="V355" i="1"/>
  <c r="O355" i="1"/>
  <c r="BE354" i="1"/>
  <c r="AZ354" i="1"/>
  <c r="AE354" i="1"/>
  <c r="V354" i="1"/>
  <c r="O354" i="1" s="1"/>
  <c r="BE353" i="1"/>
  <c r="AZ353" i="1"/>
  <c r="AE353" i="1"/>
  <c r="V353" i="1"/>
  <c r="BE352" i="1"/>
  <c r="AZ352" i="1"/>
  <c r="AE352" i="1"/>
  <c r="V352" i="1"/>
  <c r="O352" i="1" s="1"/>
  <c r="BE351" i="1"/>
  <c r="AZ351" i="1"/>
  <c r="AE351" i="1"/>
  <c r="V351" i="1"/>
  <c r="O351" i="1" s="1"/>
  <c r="BE350" i="1"/>
  <c r="AZ350" i="1"/>
  <c r="AE350" i="1"/>
  <c r="V350" i="1"/>
  <c r="O350" i="1"/>
  <c r="BE349" i="1"/>
  <c r="AZ349" i="1"/>
  <c r="AE349" i="1"/>
  <c r="V349" i="1"/>
  <c r="O349" i="1" s="1"/>
  <c r="BE348" i="1"/>
  <c r="AZ348" i="1"/>
  <c r="O348" i="1" s="1"/>
  <c r="AE348" i="1"/>
  <c r="V348" i="1"/>
  <c r="BE347" i="1"/>
  <c r="AZ347" i="1"/>
  <c r="AE347" i="1"/>
  <c r="V347" i="1"/>
  <c r="O347" i="1"/>
  <c r="BE346" i="1"/>
  <c r="AZ346" i="1"/>
  <c r="AE346" i="1"/>
  <c r="V346" i="1"/>
  <c r="BE345" i="1"/>
  <c r="AZ345" i="1"/>
  <c r="AE345" i="1"/>
  <c r="V345" i="1"/>
  <c r="O345" i="1"/>
  <c r="BE344" i="1"/>
  <c r="AZ344" i="1"/>
  <c r="AE344" i="1"/>
  <c r="V344" i="1"/>
  <c r="O344" i="1" s="1"/>
  <c r="BE343" i="1"/>
  <c r="AZ343" i="1"/>
  <c r="AE343" i="1"/>
  <c r="V343" i="1"/>
  <c r="O343" i="1"/>
  <c r="BE342" i="1"/>
  <c r="AZ342" i="1"/>
  <c r="AE342" i="1"/>
  <c r="V342" i="1"/>
  <c r="O342" i="1"/>
  <c r="BE341" i="1"/>
  <c r="AZ341" i="1"/>
  <c r="AE341" i="1"/>
  <c r="V341" i="1"/>
  <c r="BE340" i="1"/>
  <c r="AZ340" i="1"/>
  <c r="AE340" i="1"/>
  <c r="V340" i="1"/>
  <c r="O340" i="1"/>
  <c r="BE339" i="1"/>
  <c r="AZ339" i="1"/>
  <c r="AE339" i="1"/>
  <c r="V339" i="1"/>
  <c r="O339" i="1" s="1"/>
  <c r="BE338" i="1"/>
  <c r="AZ338" i="1"/>
  <c r="AE338" i="1"/>
  <c r="V338" i="1"/>
  <c r="O338" i="1"/>
  <c r="BE337" i="1"/>
  <c r="AZ337" i="1"/>
  <c r="AE337" i="1"/>
  <c r="V337" i="1"/>
  <c r="O337" i="1"/>
  <c r="BE336" i="1"/>
  <c r="AZ336" i="1"/>
  <c r="O336" i="1" s="1"/>
  <c r="AE336" i="1"/>
  <c r="V336" i="1"/>
  <c r="BE335" i="1"/>
  <c r="AZ335" i="1"/>
  <c r="AE335" i="1"/>
  <c r="V335" i="1"/>
  <c r="O335" i="1"/>
  <c r="BE334" i="1"/>
  <c r="AZ334" i="1"/>
  <c r="AE334" i="1"/>
  <c r="V334" i="1"/>
  <c r="BE333" i="1"/>
  <c r="AZ333" i="1"/>
  <c r="O333" i="1" s="1"/>
  <c r="AE333" i="1"/>
  <c r="V333" i="1"/>
  <c r="BE332" i="1"/>
  <c r="AZ332" i="1"/>
  <c r="AE332" i="1"/>
  <c r="V332" i="1"/>
  <c r="O332" i="1"/>
  <c r="BE331" i="1"/>
  <c r="AZ331" i="1"/>
  <c r="AE331" i="1"/>
  <c r="V331" i="1"/>
  <c r="O331" i="1" s="1"/>
  <c r="BE330" i="1"/>
  <c r="AZ330" i="1"/>
  <c r="AE330" i="1"/>
  <c r="V330" i="1"/>
  <c r="O330" i="1"/>
  <c r="BE329" i="1"/>
  <c r="AZ329" i="1"/>
  <c r="AE329" i="1"/>
  <c r="V329" i="1"/>
  <c r="BE328" i="1"/>
  <c r="AZ328" i="1"/>
  <c r="O328" i="1" s="1"/>
  <c r="AE328" i="1"/>
  <c r="V328" i="1"/>
  <c r="BE327" i="1"/>
  <c r="AZ327" i="1"/>
  <c r="AE327" i="1"/>
  <c r="V327" i="1"/>
  <c r="O327" i="1"/>
  <c r="BE326" i="1"/>
  <c r="AZ326" i="1"/>
  <c r="AE326" i="1"/>
  <c r="V326" i="1"/>
  <c r="O326" i="1" s="1"/>
  <c r="BE325" i="1"/>
  <c r="AZ325" i="1"/>
  <c r="AE325" i="1"/>
  <c r="V325" i="1"/>
  <c r="O325" i="1"/>
  <c r="BE324" i="1"/>
  <c r="AZ324" i="1"/>
  <c r="AE324" i="1"/>
  <c r="V324" i="1"/>
  <c r="O324" i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O321" i="1" s="1"/>
  <c r="V321" i="1"/>
  <c r="BE320" i="1"/>
  <c r="AZ320" i="1"/>
  <c r="AE320" i="1"/>
  <c r="V320" i="1"/>
  <c r="O320" i="1" s="1"/>
  <c r="BE319" i="1"/>
  <c r="AZ319" i="1"/>
  <c r="AE319" i="1"/>
  <c r="V319" i="1"/>
  <c r="O319" i="1" s="1"/>
  <c r="BE318" i="1"/>
  <c r="AZ318" i="1"/>
  <c r="AE318" i="1"/>
  <c r="V318" i="1"/>
  <c r="O318" i="1"/>
  <c r="BE317" i="1"/>
  <c r="AZ317" i="1"/>
  <c r="AE317" i="1"/>
  <c r="V317" i="1"/>
  <c r="O317" i="1" s="1"/>
  <c r="BE316" i="1"/>
  <c r="AZ316" i="1"/>
  <c r="AE316" i="1"/>
  <c r="O316" i="1" s="1"/>
  <c r="V316" i="1"/>
  <c r="BE315" i="1"/>
  <c r="AZ315" i="1"/>
  <c r="AE315" i="1"/>
  <c r="V315" i="1"/>
  <c r="O315" i="1" s="1"/>
  <c r="BE314" i="1"/>
  <c r="AZ314" i="1"/>
  <c r="AE314" i="1"/>
  <c r="V314" i="1"/>
  <c r="O314" i="1" s="1"/>
  <c r="BE313" i="1"/>
  <c r="AZ313" i="1"/>
  <c r="AE313" i="1"/>
  <c r="V313" i="1"/>
  <c r="O313" i="1"/>
  <c r="BE312" i="1"/>
  <c r="AZ312" i="1"/>
  <c r="AE312" i="1"/>
  <c r="V312" i="1"/>
  <c r="O312" i="1" s="1"/>
  <c r="BE311" i="1"/>
  <c r="AZ311" i="1"/>
  <c r="O311" i="1" s="1"/>
  <c r="AE311" i="1"/>
  <c r="V311" i="1"/>
  <c r="BE310" i="1"/>
  <c r="AZ310" i="1"/>
  <c r="AE310" i="1"/>
  <c r="V310" i="1"/>
  <c r="O310" i="1"/>
  <c r="BE309" i="1"/>
  <c r="AZ309" i="1"/>
  <c r="AE309" i="1"/>
  <c r="V309" i="1"/>
  <c r="O309" i="1" s="1"/>
  <c r="BE308" i="1"/>
  <c r="AZ308" i="1"/>
  <c r="AE308" i="1"/>
  <c r="V308" i="1"/>
  <c r="O308" i="1"/>
  <c r="BE307" i="1"/>
  <c r="AZ307" i="1"/>
  <c r="AE307" i="1"/>
  <c r="V307" i="1"/>
  <c r="O307" i="1"/>
  <c r="BE306" i="1"/>
  <c r="AZ306" i="1"/>
  <c r="AE306" i="1"/>
  <c r="V306" i="1"/>
  <c r="O306" i="1" s="1"/>
  <c r="BE305" i="1"/>
  <c r="AZ305" i="1"/>
  <c r="AE305" i="1"/>
  <c r="V305" i="1"/>
  <c r="O305" i="1"/>
  <c r="BE304" i="1"/>
  <c r="AZ304" i="1"/>
  <c r="AE304" i="1"/>
  <c r="O304" i="1" s="1"/>
  <c r="V304" i="1"/>
  <c r="BE303" i="1"/>
  <c r="AZ303" i="1"/>
  <c r="AE303" i="1"/>
  <c r="V303" i="1"/>
  <c r="O303" i="1" s="1"/>
  <c r="BE302" i="1"/>
  <c r="AZ302" i="1"/>
  <c r="AE302" i="1"/>
  <c r="V302" i="1"/>
  <c r="O302" i="1" s="1"/>
  <c r="BE301" i="1"/>
  <c r="AZ301" i="1"/>
  <c r="AE301" i="1"/>
  <c r="V301" i="1"/>
  <c r="O301" i="1"/>
  <c r="BE300" i="1"/>
  <c r="AZ300" i="1"/>
  <c r="AE300" i="1"/>
  <c r="V300" i="1"/>
  <c r="O300" i="1" s="1"/>
  <c r="BE299" i="1"/>
  <c r="AZ299" i="1"/>
  <c r="O299" i="1" s="1"/>
  <c r="AE299" i="1"/>
  <c r="V299" i="1"/>
  <c r="BE298" i="1"/>
  <c r="AZ298" i="1"/>
  <c r="AE298" i="1"/>
  <c r="V298" i="1"/>
  <c r="O298" i="1"/>
  <c r="BE297" i="1"/>
  <c r="AZ297" i="1"/>
  <c r="AE297" i="1"/>
  <c r="V297" i="1"/>
  <c r="O297" i="1" s="1"/>
  <c r="BE296" i="1"/>
  <c r="AZ296" i="1"/>
  <c r="AE296" i="1"/>
  <c r="V296" i="1"/>
  <c r="O296" i="1"/>
  <c r="BE295" i="1"/>
  <c r="AZ295" i="1"/>
  <c r="AE295" i="1"/>
  <c r="V295" i="1"/>
  <c r="O295" i="1"/>
  <c r="BE294" i="1"/>
  <c r="AZ294" i="1"/>
  <c r="AE294" i="1"/>
  <c r="V294" i="1"/>
  <c r="O294" i="1" s="1"/>
  <c r="BE293" i="1"/>
  <c r="AZ293" i="1"/>
  <c r="AE293" i="1"/>
  <c r="V293" i="1"/>
  <c r="O293" i="1"/>
  <c r="BE292" i="1"/>
  <c r="AZ292" i="1"/>
  <c r="AE292" i="1"/>
  <c r="O292" i="1" s="1"/>
  <c r="V292" i="1"/>
  <c r="BE291" i="1"/>
  <c r="AZ291" i="1"/>
  <c r="AE291" i="1"/>
  <c r="V291" i="1"/>
  <c r="O291" i="1" s="1"/>
  <c r="BE290" i="1"/>
  <c r="AZ290" i="1"/>
  <c r="AE290" i="1"/>
  <c r="V290" i="1"/>
  <c r="O290" i="1" s="1"/>
  <c r="BE289" i="1"/>
  <c r="AZ289" i="1"/>
  <c r="AE289" i="1"/>
  <c r="V289" i="1"/>
  <c r="O289" i="1"/>
  <c r="BE288" i="1"/>
  <c r="AZ288" i="1"/>
  <c r="AE288" i="1"/>
  <c r="V288" i="1"/>
  <c r="O288" i="1" s="1"/>
  <c r="BE287" i="1"/>
  <c r="AZ287" i="1"/>
  <c r="O287" i="1" s="1"/>
  <c r="AE287" i="1"/>
  <c r="V287" i="1"/>
  <c r="BE286" i="1"/>
  <c r="AZ286" i="1"/>
  <c r="AE286" i="1"/>
  <c r="V286" i="1"/>
  <c r="O286" i="1"/>
  <c r="BE285" i="1"/>
  <c r="AZ285" i="1"/>
  <c r="AE285" i="1"/>
  <c r="V285" i="1"/>
  <c r="O285" i="1" s="1"/>
  <c r="BE284" i="1"/>
  <c r="AZ284" i="1"/>
  <c r="AE284" i="1"/>
  <c r="V284" i="1"/>
  <c r="O284" i="1"/>
  <c r="BE283" i="1"/>
  <c r="AZ283" i="1"/>
  <c r="AE283" i="1"/>
  <c r="V283" i="1"/>
  <c r="O283" i="1"/>
  <c r="BE282" i="1"/>
  <c r="AZ282" i="1"/>
  <c r="AE282" i="1"/>
  <c r="V282" i="1"/>
  <c r="O282" i="1" s="1"/>
  <c r="BE281" i="1"/>
  <c r="AZ281" i="1"/>
  <c r="AE281" i="1"/>
  <c r="V281" i="1"/>
  <c r="O281" i="1"/>
  <c r="BE280" i="1"/>
  <c r="AZ280" i="1"/>
  <c r="AE280" i="1"/>
  <c r="O280" i="1" s="1"/>
  <c r="V280" i="1"/>
  <c r="BE279" i="1"/>
  <c r="AZ279" i="1"/>
  <c r="AE279" i="1"/>
  <c r="V279" i="1"/>
  <c r="O279" i="1" s="1"/>
  <c r="BE278" i="1"/>
  <c r="AZ278" i="1"/>
  <c r="AE278" i="1"/>
  <c r="V278" i="1"/>
  <c r="O278" i="1" s="1"/>
  <c r="BE277" i="1"/>
  <c r="AZ277" i="1"/>
  <c r="AE277" i="1"/>
  <c r="V277" i="1"/>
  <c r="O277" i="1"/>
  <c r="BE276" i="1"/>
  <c r="AZ276" i="1"/>
  <c r="AE276" i="1"/>
  <c r="V276" i="1"/>
  <c r="O276" i="1" s="1"/>
  <c r="BE275" i="1"/>
  <c r="AZ275" i="1"/>
  <c r="O275" i="1" s="1"/>
  <c r="AE275" i="1"/>
  <c r="V275" i="1"/>
  <c r="BE274" i="1"/>
  <c r="AZ274" i="1"/>
  <c r="AE274" i="1"/>
  <c r="V274" i="1"/>
  <c r="O274" i="1"/>
  <c r="BE273" i="1"/>
  <c r="AZ273" i="1"/>
  <c r="AE273" i="1"/>
  <c r="V273" i="1"/>
  <c r="O273" i="1" s="1"/>
  <c r="BE272" i="1"/>
  <c r="AZ272" i="1"/>
  <c r="AE272" i="1"/>
  <c r="V272" i="1"/>
  <c r="O272" i="1"/>
  <c r="BE271" i="1"/>
  <c r="AZ271" i="1"/>
  <c r="AE271" i="1"/>
  <c r="V271" i="1"/>
  <c r="O271" i="1"/>
  <c r="BE270" i="1"/>
  <c r="AZ270" i="1"/>
  <c r="AE270" i="1"/>
  <c r="V270" i="1"/>
  <c r="O270" i="1" s="1"/>
  <c r="BE269" i="1"/>
  <c r="AZ269" i="1"/>
  <c r="AE269" i="1"/>
  <c r="V269" i="1"/>
  <c r="O269" i="1"/>
  <c r="BE268" i="1"/>
  <c r="AZ268" i="1"/>
  <c r="AE268" i="1"/>
  <c r="O268" i="1" s="1"/>
  <c r="V268" i="1"/>
  <c r="BE267" i="1"/>
  <c r="AZ267" i="1"/>
  <c r="AE267" i="1"/>
  <c r="V267" i="1"/>
  <c r="O267" i="1" s="1"/>
  <c r="BE266" i="1"/>
  <c r="AZ266" i="1"/>
  <c r="AE266" i="1"/>
  <c r="V266" i="1"/>
  <c r="O266" i="1" s="1"/>
  <c r="BE265" i="1"/>
  <c r="AZ265" i="1"/>
  <c r="AE265" i="1"/>
  <c r="V265" i="1"/>
  <c r="O265" i="1"/>
  <c r="BE264" i="1"/>
  <c r="AZ264" i="1"/>
  <c r="AE264" i="1"/>
  <c r="V264" i="1"/>
  <c r="O264" i="1" s="1"/>
  <c r="BE263" i="1"/>
  <c r="AZ263" i="1"/>
  <c r="O263" i="1" s="1"/>
  <c r="AE263" i="1"/>
  <c r="V263" i="1"/>
  <c r="BE262" i="1"/>
  <c r="AZ262" i="1"/>
  <c r="AE262" i="1"/>
  <c r="V262" i="1"/>
  <c r="O262" i="1"/>
  <c r="BE261" i="1"/>
  <c r="AZ261" i="1"/>
  <c r="AE261" i="1"/>
  <c r="V261" i="1"/>
  <c r="O261" i="1" s="1"/>
  <c r="BE260" i="1"/>
  <c r="AZ260" i="1"/>
  <c r="AE260" i="1"/>
  <c r="V260" i="1"/>
  <c r="O260" i="1" s="1"/>
  <c r="BE259" i="1"/>
  <c r="AZ259" i="1"/>
  <c r="AE259" i="1"/>
  <c r="V259" i="1"/>
  <c r="O259" i="1"/>
  <c r="BE258" i="1"/>
  <c r="AZ258" i="1"/>
  <c r="AE258" i="1"/>
  <c r="V258" i="1"/>
  <c r="O258" i="1" s="1"/>
  <c r="BE257" i="1"/>
  <c r="AZ257" i="1"/>
  <c r="AE257" i="1"/>
  <c r="V257" i="1"/>
  <c r="O257" i="1"/>
  <c r="BE256" i="1"/>
  <c r="AZ256" i="1"/>
  <c r="AE256" i="1"/>
  <c r="O256" i="1" s="1"/>
  <c r="V256" i="1"/>
  <c r="BE255" i="1"/>
  <c r="AZ255" i="1"/>
  <c r="AE255" i="1"/>
  <c r="V255" i="1"/>
  <c r="O255" i="1" s="1"/>
  <c r="BE254" i="1"/>
  <c r="AZ254" i="1"/>
  <c r="AE254" i="1"/>
  <c r="V254" i="1"/>
  <c r="O254" i="1" s="1"/>
  <c r="BE253" i="1"/>
  <c r="AZ253" i="1"/>
  <c r="AE253" i="1"/>
  <c r="V253" i="1"/>
  <c r="O253" i="1"/>
  <c r="BE252" i="1"/>
  <c r="AZ252" i="1"/>
  <c r="AE252" i="1"/>
  <c r="V252" i="1"/>
  <c r="O252" i="1" s="1"/>
  <c r="BE251" i="1"/>
  <c r="AZ251" i="1"/>
  <c r="O251" i="1" s="1"/>
  <c r="AE251" i="1"/>
  <c r="V251" i="1"/>
  <c r="BE250" i="1"/>
  <c r="AZ250" i="1"/>
  <c r="AE250" i="1"/>
  <c r="V250" i="1"/>
  <c r="O250" i="1"/>
  <c r="BE249" i="1"/>
  <c r="AZ249" i="1"/>
  <c r="AE249" i="1"/>
  <c r="V249" i="1"/>
  <c r="O249" i="1" s="1"/>
  <c r="BE248" i="1"/>
  <c r="AZ248" i="1"/>
  <c r="AE248" i="1"/>
  <c r="V248" i="1"/>
  <c r="O248" i="1" s="1"/>
  <c r="BE247" i="1"/>
  <c r="AZ247" i="1"/>
  <c r="AE247" i="1"/>
  <c r="V247" i="1"/>
  <c r="O247" i="1"/>
  <c r="BE246" i="1"/>
  <c r="AZ246" i="1"/>
  <c r="AE246" i="1"/>
  <c r="V246" i="1"/>
  <c r="O246" i="1" s="1"/>
  <c r="BE245" i="1"/>
  <c r="AZ245" i="1"/>
  <c r="AE245" i="1"/>
  <c r="V245" i="1"/>
  <c r="O245" i="1"/>
  <c r="BE244" i="1"/>
  <c r="AZ244" i="1"/>
  <c r="AE244" i="1"/>
  <c r="O244" i="1" s="1"/>
  <c r="V244" i="1"/>
  <c r="BE243" i="1"/>
  <c r="AZ243" i="1"/>
  <c r="AE243" i="1"/>
  <c r="V243" i="1"/>
  <c r="O243" i="1" s="1"/>
  <c r="BE242" i="1"/>
  <c r="AZ242" i="1"/>
  <c r="AE242" i="1"/>
  <c r="V242" i="1"/>
  <c r="O242" i="1" s="1"/>
  <c r="BE241" i="1"/>
  <c r="AZ241" i="1"/>
  <c r="AE241" i="1"/>
  <c r="V241" i="1"/>
  <c r="O241" i="1"/>
  <c r="BE240" i="1"/>
  <c r="AZ240" i="1"/>
  <c r="AE240" i="1"/>
  <c r="V240" i="1"/>
  <c r="O240" i="1" s="1"/>
  <c r="BE239" i="1"/>
  <c r="AZ239" i="1"/>
  <c r="O239" i="1" s="1"/>
  <c r="AE239" i="1"/>
  <c r="V239" i="1"/>
  <c r="BE238" i="1"/>
  <c r="AZ238" i="1"/>
  <c r="AE238" i="1"/>
  <c r="V238" i="1"/>
  <c r="O238" i="1"/>
  <c r="BE237" i="1"/>
  <c r="AZ237" i="1"/>
  <c r="AE237" i="1"/>
  <c r="V237" i="1"/>
  <c r="O237" i="1" s="1"/>
  <c r="BE236" i="1"/>
  <c r="AZ236" i="1"/>
  <c r="AE236" i="1"/>
  <c r="V236" i="1"/>
  <c r="O236" i="1" s="1"/>
  <c r="BE235" i="1"/>
  <c r="AZ235" i="1"/>
  <c r="AE235" i="1"/>
  <c r="V235" i="1"/>
  <c r="O235" i="1"/>
  <c r="BE234" i="1"/>
  <c r="AZ234" i="1"/>
  <c r="AE234" i="1"/>
  <c r="V234" i="1"/>
  <c r="O234" i="1" s="1"/>
  <c r="BE233" i="1"/>
  <c r="AZ233" i="1"/>
  <c r="AE233" i="1"/>
  <c r="V233" i="1"/>
  <c r="O233" i="1"/>
  <c r="BE232" i="1"/>
  <c r="AZ232" i="1"/>
  <c r="AE232" i="1"/>
  <c r="O232" i="1" s="1"/>
  <c r="V232" i="1"/>
  <c r="BE231" i="1"/>
  <c r="AZ231" i="1"/>
  <c r="AE231" i="1"/>
  <c r="V231" i="1"/>
  <c r="O231" i="1" s="1"/>
  <c r="BE230" i="1"/>
  <c r="AZ230" i="1"/>
  <c r="AE230" i="1"/>
  <c r="V230" i="1"/>
  <c r="O230" i="1" s="1"/>
  <c r="BE229" i="1"/>
  <c r="AZ229" i="1"/>
  <c r="AE229" i="1"/>
  <c r="V229" i="1"/>
  <c r="O229" i="1"/>
  <c r="BE228" i="1"/>
  <c r="AZ228" i="1"/>
  <c r="AE228" i="1"/>
  <c r="V228" i="1"/>
  <c r="O228" i="1" s="1"/>
  <c r="BE227" i="1"/>
  <c r="AZ227" i="1"/>
  <c r="O227" i="1" s="1"/>
  <c r="AE227" i="1"/>
  <c r="V227" i="1"/>
  <c r="BE226" i="1"/>
  <c r="AZ226" i="1"/>
  <c r="AE226" i="1"/>
  <c r="V226" i="1"/>
  <c r="O226" i="1"/>
  <c r="BE225" i="1"/>
  <c r="AZ225" i="1"/>
  <c r="AE225" i="1"/>
  <c r="V225" i="1"/>
  <c r="O225" i="1" s="1"/>
  <c r="BE224" i="1"/>
  <c r="AZ224" i="1"/>
  <c r="AE224" i="1"/>
  <c r="V224" i="1"/>
  <c r="O224" i="1" s="1"/>
  <c r="BE223" i="1"/>
  <c r="AZ223" i="1"/>
  <c r="AE223" i="1"/>
  <c r="V223" i="1"/>
  <c r="O223" i="1"/>
  <c r="BE222" i="1"/>
  <c r="AZ222" i="1"/>
  <c r="AE222" i="1"/>
  <c r="V222" i="1"/>
  <c r="O222" i="1" s="1"/>
  <c r="BE221" i="1"/>
  <c r="AZ221" i="1"/>
  <c r="AE221" i="1"/>
  <c r="V221" i="1"/>
  <c r="O221" i="1"/>
  <c r="BE220" i="1"/>
  <c r="AZ220" i="1"/>
  <c r="AE220" i="1"/>
  <c r="O220" i="1" s="1"/>
  <c r="V220" i="1"/>
  <c r="BE219" i="1"/>
  <c r="AZ219" i="1"/>
  <c r="AE219" i="1"/>
  <c r="V219" i="1"/>
  <c r="O219" i="1" s="1"/>
  <c r="BE218" i="1"/>
  <c r="AZ218" i="1"/>
  <c r="AE218" i="1"/>
  <c r="V218" i="1"/>
  <c r="O218" i="1" s="1"/>
  <c r="BE217" i="1"/>
  <c r="AZ217" i="1"/>
  <c r="AE217" i="1"/>
  <c r="V217" i="1"/>
  <c r="O217" i="1"/>
  <c r="BE216" i="1"/>
  <c r="AZ216" i="1"/>
  <c r="AE216" i="1"/>
  <c r="V216" i="1"/>
  <c r="O216" i="1" s="1"/>
  <c r="BE215" i="1"/>
  <c r="AZ215" i="1"/>
  <c r="O215" i="1" s="1"/>
  <c r="AE215" i="1"/>
  <c r="V215" i="1"/>
  <c r="BE214" i="1"/>
  <c r="AZ214" i="1"/>
  <c r="AE214" i="1"/>
  <c r="V214" i="1"/>
  <c r="O214" i="1"/>
  <c r="BE213" i="1"/>
  <c r="AZ213" i="1"/>
  <c r="AE213" i="1"/>
  <c r="V213" i="1"/>
  <c r="O213" i="1" s="1"/>
  <c r="BE212" i="1"/>
  <c r="AZ212" i="1"/>
  <c r="AE212" i="1"/>
  <c r="V212" i="1"/>
  <c r="O212" i="1" s="1"/>
  <c r="BE211" i="1"/>
  <c r="AZ211" i="1"/>
  <c r="AE211" i="1"/>
  <c r="V211" i="1"/>
  <c r="O211" i="1"/>
  <c r="BE210" i="1"/>
  <c r="AZ210" i="1"/>
  <c r="AE210" i="1"/>
  <c r="V210" i="1"/>
  <c r="O210" i="1"/>
  <c r="BE209" i="1"/>
  <c r="AZ209" i="1"/>
  <c r="AE209" i="1"/>
  <c r="V209" i="1"/>
  <c r="O209" i="1"/>
  <c r="BE208" i="1"/>
  <c r="AZ208" i="1"/>
  <c r="AE208" i="1"/>
  <c r="O208" i="1" s="1"/>
  <c r="V208" i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AE205" i="1"/>
  <c r="V205" i="1"/>
  <c r="O205" i="1"/>
  <c r="BE204" i="1"/>
  <c r="AZ204" i="1"/>
  <c r="AE204" i="1"/>
  <c r="V204" i="1"/>
  <c r="O204" i="1" s="1"/>
  <c r="BE203" i="1"/>
  <c r="AZ203" i="1"/>
  <c r="O203" i="1" s="1"/>
  <c r="AE203" i="1"/>
  <c r="V203" i="1"/>
  <c r="BE202" i="1"/>
  <c r="AZ202" i="1"/>
  <c r="AE202" i="1"/>
  <c r="V202" i="1"/>
  <c r="O202" i="1"/>
  <c r="BE201" i="1"/>
  <c r="AZ201" i="1"/>
  <c r="AE201" i="1"/>
  <c r="V201" i="1"/>
  <c r="O201" i="1" s="1"/>
  <c r="BE200" i="1"/>
  <c r="AZ200" i="1"/>
  <c r="AE200" i="1"/>
  <c r="V200" i="1"/>
  <c r="O200" i="1" s="1"/>
  <c r="BE199" i="1"/>
  <c r="AZ199" i="1"/>
  <c r="AE199" i="1"/>
  <c r="V199" i="1"/>
  <c r="O199" i="1"/>
  <c r="BE198" i="1"/>
  <c r="AZ198" i="1"/>
  <c r="AE198" i="1"/>
  <c r="V198" i="1"/>
  <c r="O198" i="1"/>
  <c r="BE197" i="1"/>
  <c r="AZ197" i="1"/>
  <c r="AE197" i="1"/>
  <c r="V197" i="1"/>
  <c r="O197" i="1"/>
  <c r="BE196" i="1"/>
  <c r="AZ196" i="1"/>
  <c r="AE196" i="1"/>
  <c r="O196" i="1" s="1"/>
  <c r="V196" i="1"/>
  <c r="BE195" i="1"/>
  <c r="AZ195" i="1"/>
  <c r="AE195" i="1"/>
  <c r="V195" i="1"/>
  <c r="O195" i="1" s="1"/>
  <c r="BE194" i="1"/>
  <c r="AZ194" i="1"/>
  <c r="AE194" i="1"/>
  <c r="V194" i="1"/>
  <c r="O194" i="1" s="1"/>
  <c r="BE193" i="1"/>
  <c r="AZ193" i="1"/>
  <c r="AE193" i="1"/>
  <c r="V193" i="1"/>
  <c r="O193" i="1"/>
  <c r="BE192" i="1"/>
  <c r="AZ192" i="1"/>
  <c r="AE192" i="1"/>
  <c r="V192" i="1"/>
  <c r="O192" i="1" s="1"/>
  <c r="BE191" i="1"/>
  <c r="AZ191" i="1"/>
  <c r="O191" i="1" s="1"/>
  <c r="AE191" i="1"/>
  <c r="V191" i="1"/>
  <c r="BE190" i="1"/>
  <c r="AZ190" i="1"/>
  <c r="AE190" i="1"/>
  <c r="V190" i="1"/>
  <c r="O190" i="1"/>
  <c r="BE189" i="1"/>
  <c r="AZ189" i="1"/>
  <c r="AE189" i="1"/>
  <c r="V189" i="1"/>
  <c r="O189" i="1" s="1"/>
  <c r="BE188" i="1"/>
  <c r="AZ188" i="1"/>
  <c r="AE188" i="1"/>
  <c r="V188" i="1"/>
  <c r="O188" i="1" s="1"/>
  <c r="BE187" i="1"/>
  <c r="AZ187" i="1"/>
  <c r="AE187" i="1"/>
  <c r="V187" i="1"/>
  <c r="O187" i="1"/>
  <c r="BE186" i="1"/>
  <c r="AZ186" i="1"/>
  <c r="AE186" i="1"/>
  <c r="V186" i="1"/>
  <c r="O186" i="1"/>
  <c r="BE185" i="1"/>
  <c r="AZ185" i="1"/>
  <c r="AE185" i="1"/>
  <c r="V185" i="1"/>
  <c r="O185" i="1"/>
  <c r="BE184" i="1"/>
  <c r="AZ184" i="1"/>
  <c r="AE184" i="1"/>
  <c r="O184" i="1" s="1"/>
  <c r="V184" i="1"/>
  <c r="BE183" i="1"/>
  <c r="AZ183" i="1"/>
  <c r="AE183" i="1"/>
  <c r="V183" i="1"/>
  <c r="O183" i="1" s="1"/>
  <c r="BE182" i="1"/>
  <c r="AZ182" i="1"/>
  <c r="AE182" i="1"/>
  <c r="V182" i="1"/>
  <c r="O182" i="1" s="1"/>
  <c r="BE181" i="1"/>
  <c r="AZ181" i="1"/>
  <c r="AE181" i="1"/>
  <c r="V181" i="1"/>
  <c r="O181" i="1"/>
  <c r="BE180" i="1"/>
  <c r="AZ180" i="1"/>
  <c r="AE180" i="1"/>
  <c r="V180" i="1"/>
  <c r="O180" i="1" s="1"/>
  <c r="BE179" i="1"/>
  <c r="AZ179" i="1"/>
  <c r="O179" i="1" s="1"/>
  <c r="AE179" i="1"/>
  <c r="V179" i="1"/>
  <c r="BE178" i="1"/>
  <c r="AZ178" i="1"/>
  <c r="AE178" i="1"/>
  <c r="V178" i="1"/>
  <c r="O178" i="1"/>
  <c r="BE177" i="1"/>
  <c r="AZ177" i="1"/>
  <c r="AE177" i="1"/>
  <c r="V177" i="1"/>
  <c r="O177" i="1" s="1"/>
  <c r="BE176" i="1"/>
  <c r="AZ176" i="1"/>
  <c r="AE176" i="1"/>
  <c r="V176" i="1"/>
  <c r="O176" i="1" s="1"/>
  <c r="BE175" i="1"/>
  <c r="AZ175" i="1"/>
  <c r="AE175" i="1"/>
  <c r="V175" i="1"/>
  <c r="O175" i="1"/>
  <c r="BE174" i="1"/>
  <c r="AZ174" i="1"/>
  <c r="AE174" i="1"/>
  <c r="V174" i="1"/>
  <c r="O174" i="1"/>
  <c r="BE173" i="1"/>
  <c r="AZ173" i="1"/>
  <c r="AE173" i="1"/>
  <c r="V173" i="1"/>
  <c r="O173" i="1"/>
  <c r="BE172" i="1"/>
  <c r="AZ172" i="1"/>
  <c r="AE172" i="1"/>
  <c r="O172" i="1" s="1"/>
  <c r="V172" i="1"/>
  <c r="BE171" i="1"/>
  <c r="AZ171" i="1"/>
  <c r="AE171" i="1"/>
  <c r="V171" i="1"/>
  <c r="O171" i="1" s="1"/>
  <c r="BE170" i="1"/>
  <c r="AZ170" i="1"/>
  <c r="AE170" i="1"/>
  <c r="V170" i="1"/>
  <c r="O170" i="1" s="1"/>
  <c r="BE169" i="1"/>
  <c r="AZ169" i="1"/>
  <c r="AE169" i="1"/>
  <c r="V169" i="1"/>
  <c r="O169" i="1"/>
  <c r="BE168" i="1"/>
  <c r="AZ168" i="1"/>
  <c r="AE168" i="1"/>
  <c r="V168" i="1"/>
  <c r="O168" i="1" s="1"/>
  <c r="BE167" i="1"/>
  <c r="AZ167" i="1"/>
  <c r="O167" i="1" s="1"/>
  <c r="AE167" i="1"/>
  <c r="V167" i="1"/>
  <c r="BE166" i="1"/>
  <c r="AZ166" i="1"/>
  <c r="AE166" i="1"/>
  <c r="V166" i="1"/>
  <c r="O166" i="1"/>
  <c r="BE165" i="1"/>
  <c r="AZ165" i="1"/>
  <c r="AE165" i="1"/>
  <c r="V165" i="1"/>
  <c r="O165" i="1" s="1"/>
  <c r="BE164" i="1"/>
  <c r="AZ164" i="1"/>
  <c r="AE164" i="1"/>
  <c r="V164" i="1"/>
  <c r="O164" i="1" s="1"/>
  <c r="BE163" i="1"/>
  <c r="AZ163" i="1"/>
  <c r="AE163" i="1"/>
  <c r="V163" i="1"/>
  <c r="O163" i="1"/>
  <c r="BE162" i="1"/>
  <c r="AZ162" i="1"/>
  <c r="AE162" i="1"/>
  <c r="V162" i="1"/>
  <c r="O162" i="1"/>
  <c r="BE161" i="1"/>
  <c r="AZ161" i="1"/>
  <c r="AE161" i="1"/>
  <c r="V161" i="1"/>
  <c r="O161" i="1"/>
  <c r="BE160" i="1"/>
  <c r="AZ160" i="1"/>
  <c r="AE160" i="1"/>
  <c r="O160" i="1" s="1"/>
  <c r="V160" i="1"/>
  <c r="BE159" i="1"/>
  <c r="AZ159" i="1"/>
  <c r="AE159" i="1"/>
  <c r="V159" i="1"/>
  <c r="O159" i="1" s="1"/>
  <c r="BE158" i="1"/>
  <c r="AZ158" i="1"/>
  <c r="AE158" i="1"/>
  <c r="V158" i="1"/>
  <c r="O158" i="1" s="1"/>
  <c r="BE157" i="1"/>
  <c r="AZ157" i="1"/>
  <c r="AE157" i="1"/>
  <c r="V157" i="1"/>
  <c r="O157" i="1"/>
  <c r="BE156" i="1"/>
  <c r="AZ156" i="1"/>
  <c r="AE156" i="1"/>
  <c r="V156" i="1"/>
  <c r="O156" i="1" s="1"/>
  <c r="BE155" i="1"/>
  <c r="AZ155" i="1"/>
  <c r="O155" i="1" s="1"/>
  <c r="AE155" i="1"/>
  <c r="V155" i="1"/>
  <c r="BE154" i="1"/>
  <c r="AZ154" i="1"/>
  <c r="AE154" i="1"/>
  <c r="V154" i="1"/>
  <c r="O154" i="1"/>
  <c r="BE153" i="1"/>
  <c r="AZ153" i="1"/>
  <c r="AE153" i="1"/>
  <c r="V153" i="1"/>
  <c r="O153" i="1" s="1"/>
  <c r="BE152" i="1"/>
  <c r="AZ152" i="1"/>
  <c r="AE152" i="1"/>
  <c r="V152" i="1"/>
  <c r="O152" i="1" s="1"/>
  <c r="BE151" i="1"/>
  <c r="AZ151" i="1"/>
  <c r="AE151" i="1"/>
  <c r="V151" i="1"/>
  <c r="O151" i="1"/>
  <c r="BE150" i="1"/>
  <c r="AZ150" i="1"/>
  <c r="AE150" i="1"/>
  <c r="V150" i="1"/>
  <c r="O150" i="1"/>
  <c r="BE149" i="1"/>
  <c r="AZ149" i="1"/>
  <c r="AE149" i="1"/>
  <c r="V149" i="1"/>
  <c r="O149" i="1"/>
  <c r="BE148" i="1"/>
  <c r="AZ148" i="1"/>
  <c r="AE148" i="1"/>
  <c r="O148" i="1" s="1"/>
  <c r="V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AE145" i="1"/>
  <c r="V145" i="1"/>
  <c r="O145" i="1"/>
  <c r="BE144" i="1"/>
  <c r="AZ144" i="1"/>
  <c r="AE144" i="1"/>
  <c r="V144" i="1"/>
  <c r="O144" i="1" s="1"/>
  <c r="BE143" i="1"/>
  <c r="AZ143" i="1"/>
  <c r="O143" i="1" s="1"/>
  <c r="AE143" i="1"/>
  <c r="V143" i="1"/>
  <c r="BE142" i="1"/>
  <c r="AZ142" i="1"/>
  <c r="AE142" i="1"/>
  <c r="V142" i="1"/>
  <c r="O142" i="1"/>
  <c r="BE141" i="1"/>
  <c r="AZ141" i="1"/>
  <c r="AE141" i="1"/>
  <c r="V141" i="1"/>
  <c r="O141" i="1" s="1"/>
  <c r="BE140" i="1"/>
  <c r="AZ140" i="1"/>
  <c r="AE140" i="1"/>
  <c r="V140" i="1"/>
  <c r="O140" i="1" s="1"/>
  <c r="BE139" i="1"/>
  <c r="AZ139" i="1"/>
  <c r="AE139" i="1"/>
  <c r="V139" i="1"/>
  <c r="O139" i="1"/>
  <c r="BE138" i="1"/>
  <c r="AZ138" i="1"/>
  <c r="AE138" i="1"/>
  <c r="V138" i="1"/>
  <c r="O138" i="1"/>
  <c r="BE137" i="1"/>
  <c r="AZ137" i="1"/>
  <c r="AE137" i="1"/>
  <c r="V137" i="1"/>
  <c r="O137" i="1"/>
  <c r="BE136" i="1"/>
  <c r="AZ136" i="1"/>
  <c r="AE136" i="1"/>
  <c r="O136" i="1" s="1"/>
  <c r="V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AE133" i="1"/>
  <c r="V133" i="1"/>
  <c r="O133" i="1"/>
  <c r="BE132" i="1"/>
  <c r="AZ132" i="1"/>
  <c r="AE132" i="1"/>
  <c r="V132" i="1"/>
  <c r="O132" i="1" s="1"/>
  <c r="BE131" i="1"/>
  <c r="AZ131" i="1"/>
  <c r="O131" i="1" s="1"/>
  <c r="AE131" i="1"/>
  <c r="V131" i="1"/>
  <c r="BE130" i="1"/>
  <c r="AZ130" i="1"/>
  <c r="AE130" i="1"/>
  <c r="V130" i="1"/>
  <c r="O130" i="1"/>
  <c r="BE129" i="1"/>
  <c r="AZ129" i="1"/>
  <c r="AE129" i="1"/>
  <c r="V129" i="1"/>
  <c r="O129" i="1" s="1"/>
  <c r="BE128" i="1"/>
  <c r="AZ128" i="1"/>
  <c r="AE128" i="1"/>
  <c r="V128" i="1"/>
  <c r="O128" i="1" s="1"/>
  <c r="BE127" i="1"/>
  <c r="AZ127" i="1"/>
  <c r="AE127" i="1"/>
  <c r="V127" i="1"/>
  <c r="O127" i="1"/>
  <c r="BE126" i="1"/>
  <c r="AZ126" i="1"/>
  <c r="AE126" i="1"/>
  <c r="V126" i="1"/>
  <c r="O126" i="1"/>
  <c r="BE125" i="1"/>
  <c r="AZ125" i="1"/>
  <c r="AE125" i="1"/>
  <c r="V125" i="1"/>
  <c r="O125" i="1"/>
  <c r="BE124" i="1"/>
  <c r="AZ124" i="1"/>
  <c r="AE124" i="1"/>
  <c r="O124" i="1" s="1"/>
  <c r="V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AE121" i="1"/>
  <c r="V121" i="1"/>
  <c r="O121" i="1"/>
  <c r="BE120" i="1"/>
  <c r="AZ120" i="1"/>
  <c r="AE120" i="1"/>
  <c r="V120" i="1"/>
  <c r="O120" i="1" s="1"/>
  <c r="BE119" i="1"/>
  <c r="AZ119" i="1"/>
  <c r="O119" i="1" s="1"/>
  <c r="AE119" i="1"/>
  <c r="V119" i="1"/>
  <c r="BE118" i="1"/>
  <c r="AZ118" i="1"/>
  <c r="AE118" i="1"/>
  <c r="V118" i="1"/>
  <c r="O118" i="1"/>
  <c r="BE117" i="1"/>
  <c r="AZ117" i="1"/>
  <c r="AE117" i="1"/>
  <c r="V117" i="1"/>
  <c r="O117" i="1" s="1"/>
  <c r="BE116" i="1"/>
  <c r="AZ116" i="1"/>
  <c r="AE116" i="1"/>
  <c r="V116" i="1"/>
  <c r="O116" i="1" s="1"/>
  <c r="BE115" i="1"/>
  <c r="AZ115" i="1"/>
  <c r="AE115" i="1"/>
  <c r="V115" i="1"/>
  <c r="O115" i="1"/>
  <c r="BE114" i="1"/>
  <c r="AZ114" i="1"/>
  <c r="AE114" i="1"/>
  <c r="V114" i="1"/>
  <c r="O114" i="1"/>
  <c r="BE113" i="1"/>
  <c r="AZ113" i="1"/>
  <c r="AE113" i="1"/>
  <c r="V113" i="1"/>
  <c r="O113" i="1"/>
  <c r="BE112" i="1"/>
  <c r="AZ112" i="1"/>
  <c r="AE112" i="1"/>
  <c r="O112" i="1" s="1"/>
  <c r="V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AE109" i="1"/>
  <c r="V109" i="1"/>
  <c r="O109" i="1"/>
  <c r="BE108" i="1"/>
  <c r="AZ108" i="1"/>
  <c r="AE108" i="1"/>
  <c r="V108" i="1"/>
  <c r="O108" i="1" s="1"/>
  <c r="BE107" i="1"/>
  <c r="AZ107" i="1"/>
  <c r="AE107" i="1"/>
  <c r="V107" i="1"/>
  <c r="O107" i="1"/>
  <c r="BE106" i="1"/>
  <c r="AZ106" i="1"/>
  <c r="AE106" i="1"/>
  <c r="V106" i="1"/>
  <c r="O106" i="1"/>
  <c r="BE105" i="1"/>
  <c r="AZ105" i="1"/>
  <c r="AE105" i="1"/>
  <c r="V105" i="1"/>
  <c r="O105" i="1" s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O102" i="1"/>
  <c r="BE101" i="1"/>
  <c r="AZ101" i="1"/>
  <c r="AE101" i="1"/>
  <c r="V101" i="1"/>
  <c r="O101" i="1"/>
  <c r="BE100" i="1"/>
  <c r="AZ100" i="1"/>
  <c r="AE100" i="1"/>
  <c r="O100" i="1" s="1"/>
  <c r="V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/>
  <c r="BE96" i="1"/>
  <c r="AZ96" i="1"/>
  <c r="AE96" i="1"/>
  <c r="V96" i="1"/>
  <c r="O96" i="1"/>
  <c r="BE95" i="1"/>
  <c r="AZ95" i="1"/>
  <c r="AE95" i="1"/>
  <c r="O95" i="1" s="1"/>
  <c r="V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AE92" i="1"/>
  <c r="V92" i="1"/>
  <c r="O92" i="1"/>
  <c r="BE91" i="1"/>
  <c r="AZ91" i="1"/>
  <c r="AE91" i="1"/>
  <c r="V91" i="1"/>
  <c r="O91" i="1" s="1"/>
  <c r="BE90" i="1"/>
  <c r="AZ90" i="1"/>
  <c r="AE90" i="1"/>
  <c r="V90" i="1"/>
  <c r="O90" i="1"/>
  <c r="BE89" i="1"/>
  <c r="AZ89" i="1"/>
  <c r="AE89" i="1"/>
  <c r="V89" i="1"/>
  <c r="O89" i="1"/>
  <c r="BE88" i="1"/>
  <c r="AZ88" i="1"/>
  <c r="AE88" i="1"/>
  <c r="V88" i="1"/>
  <c r="O88" i="1" s="1"/>
  <c r="BE87" i="1"/>
  <c r="AZ87" i="1"/>
  <c r="AE87" i="1"/>
  <c r="V87" i="1"/>
  <c r="O87" i="1" s="1"/>
  <c r="BE86" i="1"/>
  <c r="AZ86" i="1"/>
  <c r="AE86" i="1"/>
  <c r="V86" i="1"/>
  <c r="O86" i="1"/>
  <c r="BE85" i="1"/>
  <c r="AZ85" i="1"/>
  <c r="AE85" i="1"/>
  <c r="V85" i="1"/>
  <c r="O85" i="1"/>
  <c r="BE84" i="1"/>
  <c r="AZ84" i="1"/>
  <c r="AE84" i="1"/>
  <c r="V84" i="1"/>
  <c r="O84" i="1"/>
  <c r="BE83" i="1"/>
  <c r="AZ83" i="1"/>
  <c r="AE83" i="1"/>
  <c r="O83" i="1" s="1"/>
  <c r="V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AE80" i="1"/>
  <c r="V80" i="1"/>
  <c r="O80" i="1"/>
  <c r="BE79" i="1"/>
  <c r="AZ79" i="1"/>
  <c r="AE79" i="1"/>
  <c r="V79" i="1"/>
  <c r="O79" i="1" s="1"/>
  <c r="BE78" i="1"/>
  <c r="AZ78" i="1"/>
  <c r="AE78" i="1"/>
  <c r="V78" i="1"/>
  <c r="O78" i="1"/>
  <c r="BE77" i="1"/>
  <c r="AZ77" i="1"/>
  <c r="AE77" i="1"/>
  <c r="V77" i="1"/>
  <c r="O77" i="1"/>
  <c r="BE76" i="1"/>
  <c r="AZ76" i="1"/>
  <c r="AE76" i="1"/>
  <c r="V76" i="1"/>
  <c r="O76" i="1" s="1"/>
  <c r="BE75" i="1"/>
  <c r="AZ75" i="1"/>
  <c r="AE75" i="1"/>
  <c r="V75" i="1"/>
  <c r="O75" i="1" s="1"/>
  <c r="BE74" i="1"/>
  <c r="AZ74" i="1"/>
  <c r="AE74" i="1"/>
  <c r="V74" i="1"/>
  <c r="O74" i="1"/>
  <c r="BE73" i="1"/>
  <c r="AZ73" i="1"/>
  <c r="AE73" i="1"/>
  <c r="V73" i="1"/>
  <c r="O73" i="1"/>
  <c r="BE72" i="1"/>
  <c r="AZ72" i="1"/>
  <c r="AE72" i="1"/>
  <c r="V72" i="1"/>
  <c r="O72" i="1"/>
  <c r="BE71" i="1"/>
  <c r="AZ71" i="1"/>
  <c r="AE71" i="1"/>
  <c r="O71" i="1" s="1"/>
  <c r="V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V68" i="1"/>
  <c r="O68" i="1"/>
  <c r="BE67" i="1"/>
  <c r="AZ67" i="1"/>
  <c r="AE67" i="1"/>
  <c r="V67" i="1"/>
  <c r="O67" i="1" s="1"/>
  <c r="BE66" i="1"/>
  <c r="AZ66" i="1"/>
  <c r="AE66" i="1"/>
  <c r="V66" i="1"/>
  <c r="O66" i="1"/>
  <c r="BE65" i="1"/>
  <c r="AZ65" i="1"/>
  <c r="AE65" i="1"/>
  <c r="V65" i="1"/>
  <c r="O65" i="1"/>
  <c r="BE64" i="1"/>
  <c r="AZ64" i="1"/>
  <c r="AE64" i="1"/>
  <c r="V64" i="1"/>
  <c r="O64" i="1" s="1"/>
  <c r="BE63" i="1"/>
  <c r="AZ63" i="1"/>
  <c r="AE63" i="1"/>
  <c r="V63" i="1"/>
  <c r="O63" i="1" s="1"/>
  <c r="BE62" i="1"/>
  <c r="AZ62" i="1"/>
  <c r="AE62" i="1"/>
  <c r="V62" i="1"/>
  <c r="O62" i="1"/>
  <c r="BE61" i="1"/>
  <c r="AZ61" i="1"/>
  <c r="AE61" i="1"/>
  <c r="V61" i="1"/>
  <c r="O61" i="1"/>
  <c r="BE60" i="1"/>
  <c r="AZ60" i="1"/>
  <c r="AE60" i="1"/>
  <c r="V60" i="1"/>
  <c r="O60" i="1"/>
  <c r="BE59" i="1"/>
  <c r="AZ59" i="1"/>
  <c r="AE59" i="1"/>
  <c r="O59" i="1" s="1"/>
  <c r="V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AE56" i="1"/>
  <c r="V56" i="1"/>
  <c r="O56" i="1"/>
  <c r="BE55" i="1"/>
  <c r="AZ55" i="1"/>
  <c r="AE55" i="1"/>
  <c r="V55" i="1"/>
  <c r="O55" i="1" s="1"/>
  <c r="BE54" i="1"/>
  <c r="AZ54" i="1"/>
  <c r="AE54" i="1"/>
  <c r="V54" i="1"/>
  <c r="O54" i="1"/>
  <c r="BE53" i="1"/>
  <c r="AZ53" i="1"/>
  <c r="AE53" i="1"/>
  <c r="V53" i="1"/>
  <c r="O53" i="1"/>
  <c r="BE52" i="1"/>
  <c r="AZ52" i="1"/>
  <c r="AE52" i="1"/>
  <c r="V52" i="1"/>
  <c r="O52" i="1" s="1"/>
  <c r="BE51" i="1"/>
  <c r="AZ51" i="1"/>
  <c r="AE51" i="1"/>
  <c r="V51" i="1"/>
  <c r="O51" i="1" s="1"/>
  <c r="BE50" i="1"/>
  <c r="AZ50" i="1"/>
  <c r="AE50" i="1"/>
  <c r="V50" i="1"/>
  <c r="O50" i="1"/>
  <c r="BE49" i="1"/>
  <c r="AZ49" i="1"/>
  <c r="AE49" i="1"/>
  <c r="V49" i="1"/>
  <c r="O49" i="1"/>
  <c r="BE48" i="1"/>
  <c r="AZ48" i="1"/>
  <c r="AE48" i="1"/>
  <c r="V48" i="1"/>
  <c r="O48" i="1"/>
  <c r="BE47" i="1"/>
  <c r="AZ47" i="1"/>
  <c r="AE47" i="1"/>
  <c r="O47" i="1" s="1"/>
  <c r="V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V43" i="1"/>
  <c r="O43" i="1" s="1"/>
  <c r="BE42" i="1"/>
  <c r="AZ42" i="1"/>
  <c r="AE42" i="1"/>
  <c r="V42" i="1"/>
  <c r="O42" i="1"/>
  <c r="BE41" i="1"/>
  <c r="AZ41" i="1"/>
  <c r="AE41" i="1"/>
  <c r="V41" i="1"/>
  <c r="O41" i="1"/>
  <c r="BE40" i="1"/>
  <c r="AZ40" i="1"/>
  <c r="AE40" i="1"/>
  <c r="V40" i="1"/>
  <c r="O40" i="1" s="1"/>
  <c r="BE39" i="1"/>
  <c r="AZ39" i="1"/>
  <c r="AE39" i="1"/>
  <c r="V39" i="1"/>
  <c r="O39" i="1"/>
  <c r="BE38" i="1"/>
  <c r="AZ38" i="1"/>
  <c r="AE38" i="1"/>
  <c r="V38" i="1"/>
  <c r="O38" i="1"/>
  <c r="BE37" i="1"/>
  <c r="AZ37" i="1"/>
  <c r="AE37" i="1"/>
  <c r="V37" i="1"/>
  <c r="O37" i="1"/>
  <c r="AE36" i="1"/>
  <c r="V36" i="1"/>
  <c r="O36" i="1" s="1"/>
  <c r="BE35" i="1"/>
  <c r="AZ35" i="1"/>
  <c r="AE35" i="1"/>
  <c r="V35" i="1"/>
  <c r="O35" i="1" s="1"/>
  <c r="BE34" i="1"/>
  <c r="AZ34" i="1"/>
  <c r="AE34" i="1"/>
  <c r="V34" i="1"/>
  <c r="O34" i="1"/>
  <c r="BE33" i="1"/>
  <c r="AZ33" i="1"/>
  <c r="AE33" i="1"/>
  <c r="V33" i="1"/>
  <c r="O33" i="1" s="1"/>
  <c r="BE32" i="1"/>
  <c r="AZ32" i="1"/>
  <c r="O32" i="1" s="1"/>
  <c r="AE32" i="1"/>
  <c r="V32" i="1"/>
  <c r="BE31" i="1"/>
  <c r="AZ31" i="1"/>
  <c r="AE31" i="1"/>
  <c r="V31" i="1"/>
  <c r="O31" i="1"/>
  <c r="BE30" i="1"/>
  <c r="AZ30" i="1"/>
  <c r="AE30" i="1"/>
  <c r="V30" i="1"/>
  <c r="O30" i="1" s="1"/>
  <c r="BE29" i="1"/>
  <c r="AZ29" i="1"/>
  <c r="AE29" i="1"/>
  <c r="V29" i="1"/>
  <c r="O29" i="1"/>
  <c r="BE28" i="1"/>
  <c r="AZ28" i="1"/>
  <c r="AE28" i="1"/>
  <c r="V28" i="1"/>
  <c r="O28" i="1"/>
  <c r="BE27" i="1"/>
  <c r="AZ27" i="1"/>
  <c r="AE27" i="1"/>
  <c r="V27" i="1"/>
  <c r="O27" i="1"/>
  <c r="BE26" i="1"/>
  <c r="AZ26" i="1"/>
  <c r="AE26" i="1"/>
  <c r="V26" i="1"/>
  <c r="O26" i="1"/>
  <c r="BE25" i="1"/>
  <c r="AZ25" i="1"/>
  <c r="AE25" i="1"/>
  <c r="O25" i="1" s="1"/>
  <c r="V25" i="1"/>
  <c r="BE24" i="1"/>
  <c r="AZ24" i="1"/>
  <c r="AE24" i="1"/>
  <c r="V24" i="1"/>
  <c r="O24" i="1"/>
  <c r="BE23" i="1"/>
  <c r="AZ23" i="1"/>
  <c r="AE23" i="1"/>
  <c r="V23" i="1"/>
  <c r="O23" i="1" s="1"/>
  <c r="BE22" i="1"/>
  <c r="AZ22" i="1"/>
  <c r="AE22" i="1"/>
  <c r="V22" i="1"/>
  <c r="O22" i="1"/>
  <c r="BE21" i="1"/>
  <c r="AZ21" i="1"/>
  <c r="AE21" i="1"/>
  <c r="V21" i="1"/>
  <c r="O21" i="1" s="1"/>
  <c r="BE20" i="1"/>
  <c r="AZ20" i="1"/>
  <c r="O20" i="1" s="1"/>
  <c r="AE20" i="1"/>
  <c r="V20" i="1"/>
  <c r="BE19" i="1"/>
  <c r="AZ19" i="1"/>
  <c r="AE19" i="1"/>
  <c r="V19" i="1"/>
  <c r="O19" i="1"/>
  <c r="BE18" i="1"/>
  <c r="AZ18" i="1"/>
  <c r="AE18" i="1"/>
  <c r="V18" i="1"/>
  <c r="O18" i="1" s="1"/>
  <c r="BE17" i="1"/>
  <c r="AZ17" i="1"/>
  <c r="AE17" i="1"/>
  <c r="V17" i="1"/>
  <c r="O17" i="1"/>
  <c r="BE16" i="1"/>
  <c r="AZ16" i="1"/>
  <c r="AE16" i="1"/>
  <c r="V16" i="1"/>
  <c r="O16" i="1"/>
  <c r="BE15" i="1"/>
  <c r="AZ15" i="1"/>
  <c r="AE15" i="1"/>
  <c r="V15" i="1"/>
  <c r="O15" i="1"/>
  <c r="BE14" i="1"/>
  <c r="AZ14" i="1"/>
  <c r="AE14" i="1"/>
  <c r="V14" i="1"/>
  <c r="O14" i="1"/>
  <c r="BE13" i="1"/>
  <c r="AZ13" i="1"/>
  <c r="AE13" i="1"/>
  <c r="O13" i="1" s="1"/>
  <c r="V13" i="1"/>
  <c r="BE12" i="1"/>
  <c r="AZ12" i="1"/>
  <c r="AE12" i="1"/>
  <c r="V12" i="1"/>
  <c r="O12" i="1"/>
  <c r="BE11" i="1"/>
  <c r="AZ11" i="1"/>
  <c r="AE11" i="1"/>
  <c r="V11" i="1"/>
  <c r="O11" i="1" s="1"/>
  <c r="BE10" i="1"/>
  <c r="AZ10" i="1"/>
  <c r="AE10" i="1"/>
  <c r="V10" i="1"/>
  <c r="O10" i="1"/>
  <c r="BE9" i="1"/>
  <c r="AZ9" i="1"/>
  <c r="AE9" i="1"/>
  <c r="V9" i="1"/>
  <c r="O9" i="1" s="1"/>
  <c r="BE8" i="1"/>
  <c r="AZ8" i="1"/>
  <c r="O8" i="1" s="1"/>
  <c r="AE8" i="1"/>
  <c r="V8" i="1"/>
  <c r="BE7" i="1"/>
  <c r="AZ7" i="1"/>
  <c r="AE7" i="1"/>
  <c r="V7" i="1"/>
  <c r="O7" i="1"/>
  <c r="BE6" i="1"/>
  <c r="AZ6" i="1"/>
  <c r="AE6" i="1"/>
  <c r="V6" i="1"/>
  <c r="O6" i="1" s="1"/>
  <c r="BE5" i="1"/>
  <c r="AZ5" i="1"/>
  <c r="AE5" i="1"/>
  <c r="V5" i="1"/>
  <c r="O5" i="1"/>
  <c r="AE4" i="1"/>
  <c r="V4" i="1"/>
  <c r="O4" i="1"/>
  <c r="Q56" i="2" l="1"/>
  <c r="Q442" i="2"/>
  <c r="Q319" i="2"/>
  <c r="Q416" i="2"/>
  <c r="Q425" i="2"/>
  <c r="Q440" i="2"/>
  <c r="Q67" i="2"/>
  <c r="Q101" i="2"/>
  <c r="Q104" i="2"/>
  <c r="Q509" i="2"/>
  <c r="Q27" i="2"/>
  <c r="Q399" i="2"/>
  <c r="Q46" i="2"/>
  <c r="Q348" i="2"/>
  <c r="Q59" i="2"/>
  <c r="Q400" i="2"/>
  <c r="Q412" i="2"/>
  <c r="Q259" i="2"/>
  <c r="Q271" i="2"/>
  <c r="Q277" i="2"/>
  <c r="Q280" i="2"/>
  <c r="Q436" i="2"/>
  <c r="Q624" i="2"/>
  <c r="Q96" i="2"/>
  <c r="Q123" i="2"/>
  <c r="Q126" i="2"/>
  <c r="Q544" i="2"/>
  <c r="Q91" i="2"/>
  <c r="Q680" i="2"/>
  <c r="Q307" i="2"/>
  <c r="Q365" i="2"/>
  <c r="Q368" i="2"/>
  <c r="Q413" i="2"/>
  <c r="Q217" i="2"/>
  <c r="Q223" i="2"/>
  <c r="Q229" i="2"/>
  <c r="Q241" i="2"/>
  <c r="Q253" i="2"/>
  <c r="Q301" i="2"/>
  <c r="Q382" i="2"/>
  <c r="Q601" i="2"/>
  <c r="Q616" i="2"/>
  <c r="Q620" i="2"/>
  <c r="Q79" i="2"/>
  <c r="Q85" i="2"/>
  <c r="Q100" i="2"/>
  <c r="Q190" i="2"/>
  <c r="Q196" i="2"/>
  <c r="Q295" i="2"/>
  <c r="Q454" i="2"/>
  <c r="Q466" i="2"/>
  <c r="Q472" i="2"/>
  <c r="Q526" i="2"/>
  <c r="Q12" i="2"/>
  <c r="Q18" i="2"/>
  <c r="Q181" i="2"/>
  <c r="Q343" i="2"/>
  <c r="Q352" i="2"/>
  <c r="Q358" i="2"/>
  <c r="Q556" i="2"/>
  <c r="Q584" i="2"/>
  <c r="Q588" i="2"/>
  <c r="Q592" i="2"/>
  <c r="Q599" i="2"/>
  <c r="Q605" i="2"/>
  <c r="Q224" i="2"/>
  <c r="Q236" i="2"/>
  <c r="Q392" i="2"/>
  <c r="Q452" i="2"/>
  <c r="Q476" i="2"/>
  <c r="Q494" i="2"/>
  <c r="Q7" i="2"/>
  <c r="Q25" i="2"/>
  <c r="Q350" i="2"/>
  <c r="Q356" i="2"/>
  <c r="Q488" i="2"/>
  <c r="Q497" i="2"/>
  <c r="Q518" i="2"/>
  <c r="Q533" i="2"/>
  <c r="Q548" i="2"/>
  <c r="Q557" i="2"/>
  <c r="Q572" i="2"/>
  <c r="Q579" i="2"/>
  <c r="Q606" i="2"/>
  <c r="Q110" i="2"/>
  <c r="Q119" i="2"/>
  <c r="Q122" i="2"/>
  <c r="Q149" i="2"/>
  <c r="Q207" i="2"/>
  <c r="Q366" i="2"/>
  <c r="Q369" i="2"/>
  <c r="Q309" i="2"/>
  <c r="Q318" i="2"/>
  <c r="Q330" i="2"/>
  <c r="Q339" i="2"/>
  <c r="Q345" i="2"/>
  <c r="Q384" i="2"/>
  <c r="Q387" i="2"/>
  <c r="Q390" i="2"/>
  <c r="Q619" i="2"/>
  <c r="Q195" i="2"/>
  <c r="Q201" i="2"/>
  <c r="Q471" i="2"/>
  <c r="Q495" i="2"/>
  <c r="Q132" i="2"/>
  <c r="Q144" i="2"/>
  <c r="Q156" i="2"/>
  <c r="Q162" i="2"/>
  <c r="Q174" i="2"/>
  <c r="Q177" i="2"/>
  <c r="Q180" i="2"/>
  <c r="Q486" i="2"/>
  <c r="Q510" i="2"/>
  <c r="Q516" i="2"/>
  <c r="Q543" i="2"/>
  <c r="Q623" i="2"/>
  <c r="Q681" i="2"/>
  <c r="Q15" i="2"/>
  <c r="Q30" i="2"/>
  <c r="Q63" i="2"/>
  <c r="Q69" i="2"/>
  <c r="Q72" i="2"/>
  <c r="Q189" i="2"/>
  <c r="Q228" i="2"/>
  <c r="Q249" i="2"/>
  <c r="Q252" i="2"/>
  <c r="Q308" i="2"/>
  <c r="Q320" i="2"/>
  <c r="Q329" i="2"/>
  <c r="Q364" i="2"/>
  <c r="Q418" i="2"/>
  <c r="Q424" i="2"/>
  <c r="Q483" i="2"/>
  <c r="Q489" i="2"/>
  <c r="Q500" i="2"/>
  <c r="Q562" i="2"/>
  <c r="Q568" i="2"/>
  <c r="Q578" i="2"/>
  <c r="Q627" i="2"/>
  <c r="Q24" i="2"/>
  <c r="Q34" i="2"/>
  <c r="Q40" i="2"/>
  <c r="Q64" i="2"/>
  <c r="Q168" i="2"/>
  <c r="Q192" i="2"/>
  <c r="Q222" i="2"/>
  <c r="Q246" i="2"/>
  <c r="Q258" i="2"/>
  <c r="Q276" i="2"/>
  <c r="Q291" i="2"/>
  <c r="Q344" i="2"/>
  <c r="Q353" i="2"/>
  <c r="Q359" i="2"/>
  <c r="Q380" i="2"/>
  <c r="Q386" i="2"/>
  <c r="Q492" i="2"/>
  <c r="Q507" i="2"/>
  <c r="Q519" i="2"/>
  <c r="Q545" i="2"/>
  <c r="Q593" i="2"/>
  <c r="Q10" i="2"/>
  <c r="Q52" i="2"/>
  <c r="Q55" i="2"/>
  <c r="Q73" i="2"/>
  <c r="Q106" i="2"/>
  <c r="Q139" i="2"/>
  <c r="Q205" i="2"/>
  <c r="Q282" i="2"/>
  <c r="Q374" i="2"/>
  <c r="Q536" i="2"/>
  <c r="Q542" i="2"/>
  <c r="Q31" i="2"/>
  <c r="Q130" i="2"/>
  <c r="Q211" i="2"/>
  <c r="Q235" i="2"/>
  <c r="Q247" i="2"/>
  <c r="Q256" i="2"/>
  <c r="Q324" i="2"/>
  <c r="Q398" i="2"/>
  <c r="Q404" i="2"/>
  <c r="Q460" i="2"/>
  <c r="Q478" i="2"/>
  <c r="Q484" i="2"/>
  <c r="Q531" i="2"/>
  <c r="Q560" i="2"/>
  <c r="Q597" i="2"/>
  <c r="Q306" i="2"/>
  <c r="Q528" i="2"/>
  <c r="Q554" i="2"/>
  <c r="Q569" i="2"/>
  <c r="Q582" i="2"/>
  <c r="Q609" i="2"/>
  <c r="Q622" i="2"/>
  <c r="Q625" i="2"/>
  <c r="Q62" i="2"/>
  <c r="Q98" i="2"/>
  <c r="Q113" i="2"/>
  <c r="Q125" i="2"/>
  <c r="Q202" i="2"/>
  <c r="Q265" i="2"/>
  <c r="Q274" i="2"/>
  <c r="Q289" i="2"/>
  <c r="Q342" i="2"/>
  <c r="Q428" i="2"/>
  <c r="Q446" i="2"/>
  <c r="Q449" i="2"/>
  <c r="Q502" i="2"/>
  <c r="Q505" i="2"/>
  <c r="Q514" i="2"/>
  <c r="Q520" i="2"/>
  <c r="Q11" i="2"/>
  <c r="Q23" i="2"/>
  <c r="Q47" i="2"/>
  <c r="Q68" i="2"/>
  <c r="Q137" i="2"/>
  <c r="Q178" i="2"/>
  <c r="Q212" i="2"/>
  <c r="Q313" i="2"/>
  <c r="Q408" i="2"/>
  <c r="Q458" i="2"/>
  <c r="Q473" i="2"/>
  <c r="Q552" i="2"/>
  <c r="Q555" i="2"/>
  <c r="Q561" i="2"/>
  <c r="Q564" i="2"/>
  <c r="Q567" i="2"/>
  <c r="Q583" i="2"/>
  <c r="Q598" i="2"/>
  <c r="Q604" i="2"/>
  <c r="Q676" i="2"/>
  <c r="Q32" i="2"/>
  <c r="Q35" i="2"/>
  <c r="Q131" i="2"/>
  <c r="Q134" i="2"/>
  <c r="Q143" i="2"/>
  <c r="Q155" i="2"/>
  <c r="Q218" i="2"/>
  <c r="Q221" i="2"/>
  <c r="Q242" i="2"/>
  <c r="Q245" i="2"/>
  <c r="Q248" i="2"/>
  <c r="Q254" i="2"/>
  <c r="Q351" i="2"/>
  <c r="Q354" i="2"/>
  <c r="Q420" i="2"/>
  <c r="Q464" i="2"/>
  <c r="Q485" i="2"/>
  <c r="Q558" i="2"/>
  <c r="Q580" i="2"/>
  <c r="Q595" i="2"/>
  <c r="Q613" i="2"/>
  <c r="Q626" i="2"/>
  <c r="Q629" i="2"/>
  <c r="Q632" i="2"/>
  <c r="Q78" i="2"/>
  <c r="Q84" i="2"/>
  <c r="Q90" i="2"/>
  <c r="Q161" i="2"/>
  <c r="Q167" i="2"/>
  <c r="Q179" i="2"/>
  <c r="Q260" i="2"/>
  <c r="Q272" i="2"/>
  <c r="Q334" i="2"/>
  <c r="Q337" i="2"/>
  <c r="Q429" i="2"/>
  <c r="Q432" i="2"/>
  <c r="Q435" i="2"/>
  <c r="Q541" i="2"/>
  <c r="Q684" i="2"/>
  <c r="Q6" i="2"/>
  <c r="Q33" i="2"/>
  <c r="Q45" i="2"/>
  <c r="Q57" i="2"/>
  <c r="Q81" i="2"/>
  <c r="Q108" i="2"/>
  <c r="Q114" i="2"/>
  <c r="Q117" i="2"/>
  <c r="Q120" i="2"/>
  <c r="Q173" i="2"/>
  <c r="Q284" i="2"/>
  <c r="Q290" i="2"/>
  <c r="Q293" i="2"/>
  <c r="Q296" i="2"/>
  <c r="Q340" i="2"/>
  <c r="Q376" i="2"/>
  <c r="Q426" i="2"/>
  <c r="Q512" i="2"/>
  <c r="Q524" i="2"/>
  <c r="Q633" i="2"/>
  <c r="Q17" i="2"/>
  <c r="Q39" i="2"/>
  <c r="Q42" i="2"/>
  <c r="Q50" i="2"/>
  <c r="Q76" i="2"/>
  <c r="Q87" i="2"/>
  <c r="Q118" i="2"/>
  <c r="Q121" i="2"/>
  <c r="Q124" i="2"/>
  <c r="Q146" i="2"/>
  <c r="Q152" i="2"/>
  <c r="Q163" i="2"/>
  <c r="Q197" i="2"/>
  <c r="Q214" i="2"/>
  <c r="Q231" i="2"/>
  <c r="Q270" i="2"/>
  <c r="Q273" i="2"/>
  <c r="Q287" i="2"/>
  <c r="Q298" i="2"/>
  <c r="Q312" i="2"/>
  <c r="Q315" i="2"/>
  <c r="Q421" i="2"/>
  <c r="Q538" i="2"/>
  <c r="Q574" i="2"/>
  <c r="Q20" i="2"/>
  <c r="Q28" i="2"/>
  <c r="Q138" i="2"/>
  <c r="Q141" i="2"/>
  <c r="Q206" i="2"/>
  <c r="Q209" i="2"/>
  <c r="Q220" i="2"/>
  <c r="Q279" i="2"/>
  <c r="Q323" i="2"/>
  <c r="Q410" i="2"/>
  <c r="Q438" i="2"/>
  <c r="Q455" i="2"/>
  <c r="Q508" i="2"/>
  <c r="Q522" i="2"/>
  <c r="Q566" i="2"/>
  <c r="Q586" i="2"/>
  <c r="Q590" i="2"/>
  <c r="Q614" i="2"/>
  <c r="Q683" i="2"/>
  <c r="Q9" i="2"/>
  <c r="Q54" i="2"/>
  <c r="Q116" i="2"/>
  <c r="Q127" i="2"/>
  <c r="Q166" i="2"/>
  <c r="Q172" i="2"/>
  <c r="Q200" i="2"/>
  <c r="Q203" i="2"/>
  <c r="Q234" i="2"/>
  <c r="Q237" i="2"/>
  <c r="Q240" i="2"/>
  <c r="Q251" i="2"/>
  <c r="Q262" i="2"/>
  <c r="Q268" i="2"/>
  <c r="Q391" i="2"/>
  <c r="Q402" i="2"/>
  <c r="Q444" i="2"/>
  <c r="Q461" i="2"/>
  <c r="Q48" i="2"/>
  <c r="Q51" i="2"/>
  <c r="Q65" i="2"/>
  <c r="Q82" i="2"/>
  <c r="Q93" i="2"/>
  <c r="Q102" i="2"/>
  <c r="Q105" i="2"/>
  <c r="Q158" i="2"/>
  <c r="Q175" i="2"/>
  <c r="Q243" i="2"/>
  <c r="Q257" i="2"/>
  <c r="Q285" i="2"/>
  <c r="Q288" i="2"/>
  <c r="Q332" i="2"/>
  <c r="Q335" i="2"/>
  <c r="Q346" i="2"/>
  <c r="Q377" i="2"/>
  <c r="Q388" i="2"/>
  <c r="Q411" i="2"/>
  <c r="Q430" i="2"/>
  <c r="Q433" i="2"/>
  <c r="Q447" i="2"/>
  <c r="Q467" i="2"/>
  <c r="Q539" i="2"/>
  <c r="Q550" i="2"/>
  <c r="Q618" i="2"/>
  <c r="Q26" i="2"/>
  <c r="Q29" i="2"/>
  <c r="Q37" i="2"/>
  <c r="Q74" i="2"/>
  <c r="Q88" i="2"/>
  <c r="Q136" i="2"/>
  <c r="Q150" i="2"/>
  <c r="Q153" i="2"/>
  <c r="Q164" i="2"/>
  <c r="Q184" i="2"/>
  <c r="Q187" i="2"/>
  <c r="Q198" i="2"/>
  <c r="Q215" i="2"/>
  <c r="Q226" i="2"/>
  <c r="Q232" i="2"/>
  <c r="Q299" i="2"/>
  <c r="Q310" i="2"/>
  <c r="Q316" i="2"/>
  <c r="Q327" i="2"/>
  <c r="Q349" i="2"/>
  <c r="Q360" i="2"/>
  <c r="Q363" i="2"/>
  <c r="Q383" i="2"/>
  <c r="Q394" i="2"/>
  <c r="Q450" i="2"/>
  <c r="Q470" i="2"/>
  <c r="Q506" i="2"/>
  <c r="Q523" i="2"/>
  <c r="Q575" i="2"/>
  <c r="Q612" i="2"/>
  <c r="Q60" i="2"/>
  <c r="Q77" i="2"/>
  <c r="Q80" i="2"/>
  <c r="Q83" i="2"/>
  <c r="Q128" i="2"/>
  <c r="Q266" i="2"/>
  <c r="Q269" i="2"/>
  <c r="Q355" i="2"/>
  <c r="Q375" i="2"/>
  <c r="Q414" i="2"/>
  <c r="Q417" i="2"/>
  <c r="Q445" i="2"/>
  <c r="Q459" i="2"/>
  <c r="Q479" i="2"/>
  <c r="Q630" i="2"/>
  <c r="Q678" i="2"/>
  <c r="Q66" i="2"/>
  <c r="Q71" i="2"/>
  <c r="Q97" i="2"/>
  <c r="Q103" i="2"/>
  <c r="Q142" i="2"/>
  <c r="Q145" i="2"/>
  <c r="Q148" i="2"/>
  <c r="Q159" i="2"/>
  <c r="Q170" i="2"/>
  <c r="Q176" i="2"/>
  <c r="Q193" i="2"/>
  <c r="Q204" i="2"/>
  <c r="Q210" i="2"/>
  <c r="Q213" i="2"/>
  <c r="Q216" i="2"/>
  <c r="Q238" i="2"/>
  <c r="Q244" i="2"/>
  <c r="Q255" i="2"/>
  <c r="Q294" i="2"/>
  <c r="Q300" i="2"/>
  <c r="Q322" i="2"/>
  <c r="Q347" i="2"/>
  <c r="Q378" i="2"/>
  <c r="Q381" i="2"/>
  <c r="Q389" i="2"/>
  <c r="Q395" i="2"/>
  <c r="Q406" i="2"/>
  <c r="Q451" i="2"/>
  <c r="Q462" i="2"/>
  <c r="Q465" i="2"/>
  <c r="Q468" i="2"/>
  <c r="Q482" i="2"/>
  <c r="Q493" i="2"/>
  <c r="Q498" i="2"/>
  <c r="Q501" i="2"/>
  <c r="Q534" i="2"/>
  <c r="Q540" i="2"/>
  <c r="Q602" i="2"/>
  <c r="Q607" i="2"/>
  <c r="Q610" i="2"/>
  <c r="Q5" i="2"/>
  <c r="Q13" i="2"/>
  <c r="Q41" i="2"/>
  <c r="Q44" i="2"/>
  <c r="Q49" i="2"/>
  <c r="Q86" i="2"/>
  <c r="Q151" i="2"/>
  <c r="Q165" i="2"/>
  <c r="Q185" i="2"/>
  <c r="Q199" i="2"/>
  <c r="Q230" i="2"/>
  <c r="Q233" i="2"/>
  <c r="Q286" i="2"/>
  <c r="Q314" i="2"/>
  <c r="Q317" i="2"/>
  <c r="Q325" i="2"/>
  <c r="Q423" i="2"/>
  <c r="Q434" i="2"/>
  <c r="Q437" i="2"/>
  <c r="Q448" i="2"/>
  <c r="Q504" i="2"/>
  <c r="Q565" i="2"/>
  <c r="Q570" i="2"/>
  <c r="Q573" i="2"/>
  <c r="Q576" i="2"/>
  <c r="Q679" i="2"/>
  <c r="Q19" i="2"/>
  <c r="Q22" i="2"/>
  <c r="Q58" i="2"/>
  <c r="Q61" i="2"/>
  <c r="Q109" i="2"/>
  <c r="Q112" i="2"/>
  <c r="Q140" i="2"/>
  <c r="Q208" i="2"/>
  <c r="Q219" i="2"/>
  <c r="Q264" i="2"/>
  <c r="Q278" i="2"/>
  <c r="Q281" i="2"/>
  <c r="Q292" i="2"/>
  <c r="Q303" i="2"/>
  <c r="Q370" i="2"/>
  <c r="Q401" i="2"/>
  <c r="Q457" i="2"/>
  <c r="Q513" i="2"/>
  <c r="Q594" i="2"/>
  <c r="Q628" i="2"/>
  <c r="Q653" i="2"/>
  <c r="Q8" i="2"/>
  <c r="Q89" i="2"/>
  <c r="Q95" i="2"/>
  <c r="Q115" i="2"/>
  <c r="Q129" i="2"/>
  <c r="Q154" i="2"/>
  <c r="Q157" i="2"/>
  <c r="Q160" i="2"/>
  <c r="Q182" i="2"/>
  <c r="Q188" i="2"/>
  <c r="Q191" i="2"/>
  <c r="Q194" i="2"/>
  <c r="Q250" i="2"/>
  <c r="Q267" i="2"/>
  <c r="Q328" i="2"/>
  <c r="Q331" i="2"/>
  <c r="Q379" i="2"/>
  <c r="Q463" i="2"/>
  <c r="Q474" i="2"/>
  <c r="Q480" i="2"/>
  <c r="Q496" i="2"/>
  <c r="Q499" i="2"/>
  <c r="Q527" i="2"/>
  <c r="Q532" i="2"/>
  <c r="Q535" i="2"/>
  <c r="Q546" i="2"/>
  <c r="Q600" i="2"/>
  <c r="Q631" i="2"/>
  <c r="O341" i="1"/>
  <c r="O346" i="1"/>
  <c r="O412" i="1"/>
  <c r="O442" i="1"/>
  <c r="O461" i="1"/>
  <c r="Q75" i="2"/>
  <c r="Q111" i="2"/>
  <c r="Q147" i="2"/>
  <c r="Q239" i="2"/>
  <c r="Q275" i="2"/>
  <c r="Q311" i="2"/>
  <c r="Q336" i="2"/>
  <c r="Q372" i="2"/>
  <c r="O329" i="1"/>
  <c r="O334" i="1"/>
  <c r="O402" i="1"/>
  <c r="O418" i="1"/>
  <c r="O437" i="1"/>
  <c r="O467" i="1"/>
  <c r="O562" i="1"/>
  <c r="Q14" i="2"/>
  <c r="Q36" i="2"/>
  <c r="Q53" i="2"/>
  <c r="Q92" i="2"/>
  <c r="Q490" i="2"/>
  <c r="Q677" i="2"/>
  <c r="O424" i="1"/>
  <c r="O454" i="1"/>
  <c r="O473" i="1"/>
  <c r="Q304" i="2"/>
  <c r="Q326" i="2"/>
  <c r="Q396" i="2"/>
  <c r="Q521" i="2"/>
  <c r="O619" i="1"/>
  <c r="O638" i="1"/>
  <c r="Q70" i="2"/>
  <c r="O365" i="1"/>
  <c r="O370" i="1"/>
  <c r="O460" i="1"/>
  <c r="O479" i="1"/>
  <c r="O490" i="1"/>
  <c r="O509" i="1"/>
  <c r="O595" i="1"/>
  <c r="O614" i="1"/>
  <c r="O633" i="1"/>
  <c r="Q4" i="2"/>
  <c r="Q21" i="2"/>
  <c r="Q43" i="2"/>
  <c r="Q99" i="2"/>
  <c r="Q135" i="2"/>
  <c r="Q171" i="2"/>
  <c r="Q227" i="2"/>
  <c r="Q263" i="2"/>
  <c r="O353" i="1"/>
  <c r="O358" i="1"/>
  <c r="O401" i="1"/>
  <c r="O466" i="1"/>
  <c r="O485" i="1"/>
  <c r="O590" i="1"/>
  <c r="O650" i="1"/>
  <c r="Q341" i="2"/>
  <c r="O431" i="1"/>
  <c r="O496" i="1"/>
  <c r="O515" i="1"/>
  <c r="O526" i="1"/>
  <c r="O545" i="1"/>
  <c r="O631" i="1"/>
  <c r="Q16" i="2"/>
  <c r="Q38" i="2"/>
  <c r="Q94" i="2"/>
  <c r="Q133" i="2"/>
  <c r="Q169" i="2"/>
  <c r="Q186" i="2"/>
  <c r="Q225" i="2"/>
  <c r="Q261" i="2"/>
  <c r="Q297" i="2"/>
  <c r="Q422" i="2"/>
  <c r="Q456" i="2"/>
  <c r="Q321" i="2"/>
  <c r="Q367" i="2"/>
  <c r="Q409" i="2"/>
  <c r="Q443" i="2"/>
  <c r="Q477" i="2"/>
  <c r="Q511" i="2"/>
  <c r="Q553" i="2"/>
  <c r="Q589" i="2"/>
  <c r="Q615" i="2"/>
  <c r="O9" i="3"/>
  <c r="O28" i="3"/>
  <c r="O39" i="3"/>
  <c r="O134" i="3"/>
  <c r="O153" i="3"/>
  <c r="O278" i="3"/>
  <c r="O297" i="3"/>
  <c r="O422" i="3"/>
  <c r="O441" i="3"/>
  <c r="O567" i="3"/>
  <c r="Q373" i="2"/>
  <c r="Q407" i="2"/>
  <c r="Q441" i="2"/>
  <c r="Q475" i="2"/>
  <c r="Q517" i="2"/>
  <c r="Q551" i="2"/>
  <c r="Q357" i="2"/>
  <c r="Q415" i="2"/>
  <c r="Q491" i="2"/>
  <c r="Q525" i="2"/>
  <c r="Q559" i="2"/>
  <c r="Q581" i="2"/>
  <c r="Q608" i="2"/>
  <c r="O105" i="3"/>
  <c r="O230" i="3"/>
  <c r="O249" i="3"/>
  <c r="O374" i="3"/>
  <c r="O393" i="3"/>
  <c r="O518" i="3"/>
  <c r="O537" i="3"/>
  <c r="O623" i="3"/>
  <c r="O642" i="3"/>
  <c r="Q397" i="2"/>
  <c r="Q431" i="2"/>
  <c r="Q655" i="2"/>
  <c r="Q657" i="2"/>
  <c r="Q654" i="2"/>
  <c r="Q656" i="2"/>
  <c r="Q675" i="2"/>
  <c r="Q659" i="2"/>
  <c r="Q658" i="2"/>
  <c r="Q660" i="2"/>
  <c r="O51" i="3"/>
  <c r="Q371" i="2"/>
  <c r="Q405" i="2"/>
  <c r="Q439" i="2"/>
  <c r="Q481" i="2"/>
  <c r="Q515" i="2"/>
  <c r="Q549" i="2"/>
  <c r="Q603" i="2"/>
  <c r="O81" i="3"/>
  <c r="O206" i="3"/>
  <c r="O225" i="3"/>
  <c r="O350" i="3"/>
  <c r="O369" i="3"/>
  <c r="O494" i="3"/>
  <c r="O513" i="3"/>
  <c r="O599" i="3"/>
  <c r="O618" i="3"/>
  <c r="Q403" i="2"/>
  <c r="Q547" i="2"/>
  <c r="Q621" i="2"/>
  <c r="O98" i="3"/>
  <c r="O117" i="3"/>
  <c r="O242" i="3"/>
  <c r="O261" i="3"/>
  <c r="O386" i="3"/>
  <c r="O405" i="3"/>
  <c r="O530" i="3"/>
  <c r="O549" i="3"/>
  <c r="Q333" i="2"/>
  <c r="Q361" i="2"/>
  <c r="Q385" i="2"/>
  <c r="Q419" i="2"/>
  <c r="Q453" i="2"/>
  <c r="Q487" i="2"/>
  <c r="Q529" i="2"/>
  <c r="Q563" i="2"/>
  <c r="Q585" i="2"/>
  <c r="Q596" i="2"/>
  <c r="O63" i="3"/>
  <c r="Q393" i="2"/>
  <c r="Q427" i="2"/>
  <c r="Q469" i="2"/>
  <c r="Q503" i="2"/>
  <c r="Q537" i="2"/>
  <c r="Q571" i="2"/>
  <c r="O93" i="3"/>
  <c r="O104" i="3"/>
  <c r="O218" i="3"/>
  <c r="O237" i="3"/>
  <c r="O362" i="3"/>
  <c r="O381" i="3"/>
  <c r="O506" i="3"/>
  <c r="O525" i="3"/>
  <c r="O611" i="3"/>
  <c r="O6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<sst xmlns="http://schemas.openxmlformats.org/spreadsheetml/2006/main" count="10458" uniqueCount="2303">
  <si>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</si>
  <si>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</si>
  <si>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</si>
  <si>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</si>
  <si>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</si>
  <si>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</si>
  <si>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</si>
  <si>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</si>
  <si>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</si>
  <si>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</si>
  <si>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</si>
  <si>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</si>
  <si>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</si>
  <si>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</si>
  <si>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</si>
  <si>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</si>
  <si>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</si>
  <si>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</si>
  <si>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</si>
  <si>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</si>
  <si>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</si>
  <si>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</si>
  <si>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</si>
  <si>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</si>
  <si>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</si>
  <si>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</si>
  <si>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</si>
  <si>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</si>
  <si>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</si>
  <si>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</si>
  <si>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</si>
  <si>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</si>
  <si>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</si>
  <si>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</si>
  <si>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</si>
  <si>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</si>
  <si>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</si>
  <si>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</si>
  <si>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</si>
  <si>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</si>
  <si>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</si>
  <si>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</si>
  <si>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</si>
  <si>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</si>
  <si>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</si>
  <si>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</si>
  <si>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</si>
  <si>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</si>
  <si>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</si>
  <si>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</si>
  <si>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</si>
  <si>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</si>
  <si>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</si>
  <si>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</si>
  <si>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</si>
  <si>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</si>
  <si>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</si>
  <si>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</si>
  <si>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</si>
  <si>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</si>
  <si>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</si>
  <si>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</si>
  <si>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</si>
  <si>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</si>
  <si>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</si>
  <si>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</si>
  <si>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</si>
  <si>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</si>
  <si>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</si>
  <si>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</si>
  <si>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</si>
  <si>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</si>
  <si>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</si>
  <si>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</si>
  <si>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</si>
  <si>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</si>
  <si>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</si>
  <si>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</si>
  <si>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</si>
  <si>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</si>
  <si>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</si>
  <si>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</si>
  <si>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</si>
  <si>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</si>
  <si>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</si>
  <si>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</si>
  <si>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</si>
  <si>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</si>
  <si>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</si>
  <si>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</si>
  <si>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</si>
  <si>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</si>
  <si>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</si>
  <si>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</si>
  <si>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</si>
  <si>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</si>
  <si>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</si>
  <si>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</si>
  <si>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</si>
  <si>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</si>
  <si>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</si>
  <si>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</si>
  <si>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</si>
  <si>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</si>
  <si>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</si>
  <si>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</si>
  <si>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</si>
  <si>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</si>
  <si>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</si>
  <si>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</si>
  <si>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</si>
  <si>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</si>
  <si>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</si>
  <si>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</si>
  <si>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</si>
  <si>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</si>
  <si>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</si>
  <si>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</si>
  <si>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</si>
  <si>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</si>
  <si>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</si>
  <si>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</si>
  <si>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</si>
  <si>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</si>
  <si>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</si>
  <si>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</si>
  <si>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</si>
  <si>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</si>
  <si>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</si>
  <si>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</si>
  <si>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</si>
  <si>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</si>
  <si>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</si>
  <si>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</si>
  <si>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</si>
  <si>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</si>
  <si>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</si>
  <si>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</si>
  <si>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</si>
  <si>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</si>
  <si>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</si>
  <si>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</si>
  <si>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</si>
  <si>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</si>
  <si>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</si>
  <si>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</si>
  <si>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</si>
  <si>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</si>
  <si>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</si>
  <si>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</si>
  <si>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</si>
  <si>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</si>
  <si>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</si>
  <si>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</si>
  <si>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</si>
  <si>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</si>
  <si>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</si>
  <si>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</si>
  <si>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</si>
  <si>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</si>
  <si>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</si>
  <si>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</si>
  <si>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</si>
  <si>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</si>
  <si>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</si>
  <si>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</si>
  <si>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</si>
  <si>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</si>
  <si>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</si>
  <si>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</si>
  <si>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</si>
  <si>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</si>
  <si>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</si>
  <si>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</si>
  <si>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</si>
  <si>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</si>
  <si>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</si>
  <si>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</si>
  <si>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</si>
  <si>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</si>
  <si>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</si>
  <si>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</si>
  <si>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</si>
  <si>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</si>
  <si>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</si>
  <si>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</si>
  <si>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</si>
  <si>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</si>
  <si>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</si>
  <si>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</si>
  <si>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</si>
  <si>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</si>
  <si>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</si>
  <si>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</si>
  <si>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</si>
  <si>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</si>
  <si>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</si>
  <si>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</si>
  <si>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</si>
  <si>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</si>
  <si>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</si>
  <si>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</si>
  <si>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</si>
  <si>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</si>
  <si>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</si>
  <si>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</si>
  <si>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</si>
  <si>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</si>
  <si>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</si>
  <si>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</si>
  <si>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</si>
  <si>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</si>
  <si>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</si>
  <si>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</si>
  <si>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</si>
  <si>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</si>
  <si>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</si>
  <si>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</si>
  <si>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</si>
  <si>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</si>
  <si>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</si>
  <si>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</si>
  <si>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</si>
  <si>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</si>
  <si>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</si>
  <si>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</si>
  <si>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</si>
  <si>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</si>
  <si>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</si>
  <si>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</si>
  <si>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</si>
  <si>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</si>
  <si>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</si>
  <si>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</si>
  <si>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</si>
  <si>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</si>
  <si>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</si>
  <si>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</si>
  <si>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</si>
  <si>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</si>
  <si>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</si>
  <si>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</si>
  <si>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</si>
  <si>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</si>
  <si>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</si>
  <si>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</si>
  <si>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</si>
  <si>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</si>
  <si>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</si>
  <si>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</si>
  <si>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</si>
  <si>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</si>
  <si>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</si>
  <si>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</si>
  <si>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</si>
  <si>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</si>
  <si>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</si>
  <si>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</si>
  <si>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</si>
  <si>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</si>
  <si>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</si>
  <si>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</si>
  <si>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</si>
  <si>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</si>
  <si>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</si>
  <si>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</si>
  <si>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</si>
  <si>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</si>
  <si>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</si>
  <si>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</si>
  <si>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</si>
  <si>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</si>
  <si>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</si>
  <si>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</si>
  <si>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</si>
  <si>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</si>
  <si>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</si>
  <si>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</si>
  <si>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</si>
  <si>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</si>
  <si>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</si>
  <si>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</si>
  <si>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</si>
  <si>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</si>
  <si>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</si>
  <si>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</si>
  <si>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</si>
  <si>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</si>
  <si>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</si>
  <si>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</si>
  <si>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</si>
  <si>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</si>
  <si>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</si>
  <si>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</si>
  <si>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</si>
  <si>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</si>
  <si>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</si>
  <si>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</si>
  <si>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</si>
  <si>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</si>
  <si>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</si>
  <si>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</si>
  <si>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</si>
  <si>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</si>
  <si>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</si>
  <si>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</si>
  <si>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</si>
  <si>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</si>
  <si>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</si>
  <si>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</si>
  <si>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</si>
  <si>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</si>
  <si>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</si>
  <si>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</si>
  <si>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</si>
  <si>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</si>
  <si>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</si>
  <si>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</si>
  <si>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</si>
  <si>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</si>
  <si>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</si>
  <si>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</si>
  <si>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</si>
  <si>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</si>
  <si>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</si>
  <si>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</si>
  <si>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</si>
  <si>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</si>
  <si>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</si>
  <si>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</si>
  <si>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</si>
  <si>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</si>
  <si>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</si>
  <si>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</si>
  <si>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</si>
  <si>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</si>
  <si>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</si>
  <si>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</si>
  <si>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</si>
  <si>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</si>
  <si>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</si>
  <si>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</si>
  <si>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</si>
  <si>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</si>
  <si>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</si>
  <si>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</si>
  <si>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</si>
  <si>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</si>
  <si>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</si>
  <si>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</si>
  <si>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</si>
  <si>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</si>
  <si>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</si>
  <si>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</si>
  <si>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</si>
  <si>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</si>
  <si>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</si>
  <si>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</si>
  <si>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</si>
  <si>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</si>
  <si>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</si>
  <si>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</si>
  <si>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</si>
  <si>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</si>
  <si>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</si>
  <si>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</si>
  <si>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</si>
  <si>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</si>
  <si>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</si>
  <si>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</si>
  <si>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</si>
  <si>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</si>
  <si>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</si>
  <si>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</si>
  <si>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</si>
  <si>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</si>
  <si>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</si>
  <si>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</si>
  <si>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</si>
  <si>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</si>
  <si>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</si>
  <si>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</si>
  <si>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</si>
  <si>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</si>
  <si>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</si>
  <si>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</si>
  <si>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</si>
  <si>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</si>
  <si>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</si>
  <si>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</si>
  <si>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</si>
  <si>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</si>
  <si>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</si>
  <si>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</si>
  <si>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</si>
  <si>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</si>
  <si>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</si>
  <si>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</si>
  <si>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</si>
  <si>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</si>
  <si>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</si>
  <si>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</si>
  <si>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</si>
  <si>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</si>
  <si>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</si>
  <si>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</si>
  <si>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</si>
  <si>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</si>
  <si>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</si>
  <si>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</si>
  <si>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</si>
  <si>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</si>
  <si>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</si>
  <si>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</si>
  <si>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</si>
  <si>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</si>
  <si>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</si>
  <si>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</si>
  <si>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</si>
  <si>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</si>
  <si>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</si>
  <si>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</si>
  <si>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</si>
  <si>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</si>
  <si>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</si>
  <si>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</si>
  <si>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</si>
  <si>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</si>
  <si>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</si>
  <si>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</si>
  <si>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</si>
  <si>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</si>
  <si>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</si>
  <si>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</si>
  <si>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</si>
  <si>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</si>
  <si>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</si>
  <si>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</si>
  <si>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</si>
  <si>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</si>
  <si>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</si>
  <si>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</si>
  <si>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</si>
  <si>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</si>
  <si>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</si>
  <si>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</si>
  <si>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</si>
  <si>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</si>
  <si>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</si>
  <si>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</si>
  <si>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</si>
  <si>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</si>
  <si>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</si>
  <si>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</si>
  <si>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</si>
  <si>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</si>
  <si>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</si>
  <si>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</si>
  <si>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</si>
  <si>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</si>
  <si>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</si>
  <si>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</si>
  <si>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</si>
  <si>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</si>
  <si>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</si>
  <si>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</si>
  <si>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</si>
  <si>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</si>
  <si>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</si>
  <si>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</si>
  <si>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</si>
  <si>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</si>
  <si>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</si>
  <si>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</si>
  <si>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</si>
  <si>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</si>
  <si>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</si>
  <si>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</si>
  <si>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</si>
  <si>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</si>
  <si>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</si>
  <si>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</si>
  <si>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</si>
  <si>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</si>
  <si>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</si>
  <si>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</si>
  <si>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</si>
  <si>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</si>
  <si>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</si>
  <si>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</si>
  <si>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</si>
  <si>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</si>
  <si>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</si>
  <si>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</si>
  <si>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</si>
  <si>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</si>
  <si>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</si>
  <si>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</si>
  <si>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</si>
  <si>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</si>
  <si>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</si>
  <si>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</si>
  <si>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</si>
  <si>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</si>
  <si>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</si>
  <si>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</si>
  <si>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</si>
  <si>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</si>
  <si>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</si>
  <si>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</si>
  <si>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</si>
  <si>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</si>
  <si>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</si>
  <si>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</si>
  <si>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</si>
  <si>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</si>
  <si>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</si>
  <si>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</si>
  <si>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</si>
  <si>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</si>
  <si>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</si>
  <si>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</si>
  <si>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</si>
  <si>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</si>
  <si>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</si>
  <si>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</si>
  <si>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</si>
  <si>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</si>
  <si>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</si>
  <si>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</si>
  <si>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</si>
  <si>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</si>
  <si>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</si>
  <si>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</si>
  <si>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</si>
  <si>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</si>
  <si>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</si>
  <si>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</si>
  <si>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</si>
  <si>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</si>
  <si>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</si>
  <si>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</si>
  <si>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</si>
  <si>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</si>
  <si>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</si>
  <si>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</si>
  <si>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</si>
  <si>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</si>
  <si>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</si>
  <si>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</si>
  <si>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</si>
  <si>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</si>
  <si>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</si>
  <si>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</si>
  <si>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</si>
  <si>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</si>
  <si>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</si>
  <si>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</si>
  <si>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</si>
  <si>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</si>
  <si>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</si>
  <si>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</si>
  <si>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</si>
  <si>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</si>
  <si>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</si>
  <si>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</si>
  <si>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</si>
  <si>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</si>
  <si>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</si>
  <si>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</si>
  <si>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</si>
  <si>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</si>
  <si>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</si>
  <si>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</si>
  <si>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</si>
  <si>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</si>
  <si>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</si>
  <si>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</si>
  <si>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</si>
  <si>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</si>
  <si>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</si>
  <si>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</si>
  <si>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</si>
  <si>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</si>
  <si>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</si>
  <si>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</si>
  <si>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</si>
  <si>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</si>
  <si>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</si>
  <si>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</si>
  <si>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</si>
  <si>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</si>
  <si>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</si>
  <si>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</si>
  <si>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</si>
  <si>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</si>
  <si>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</si>
  <si>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</si>
  <si>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</si>
  <si>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</si>
  <si>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</si>
  <si>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</si>
  <si>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</si>
  <si>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</si>
  <si>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</si>
  <si>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</si>
  <si>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</si>
  <si>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</si>
  <si>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</si>
  <si>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</si>
  <si>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</si>
  <si>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</si>
  <si>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</si>
  <si>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</si>
  <si>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</si>
  <si>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</si>
  <si>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</si>
  <si>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</si>
  <si>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</si>
  <si>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</si>
  <si>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</si>
  <si>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</si>
  <si>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</si>
  <si>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</si>
  <si>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</si>
  <si>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</si>
  <si>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</si>
  <si>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</si>
  <si>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</si>
  <si>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</si>
  <si>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</si>
  <si>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</si>
  <si>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</si>
  <si>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</si>
  <si>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</si>
  <si>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</si>
  <si>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</si>
  <si>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</si>
  <si>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</si>
  <si>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</si>
  <si>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</si>
  <si>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</si>
  <si>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</si>
  <si>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</si>
  <si>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</si>
  <si>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</si>
  <si>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</si>
  <si>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</si>
  <si>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</si>
  <si>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</si>
  <si>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</si>
  <si>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</si>
  <si>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</si>
  <si>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</si>
  <si>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</si>
  <si>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</si>
  <si>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</si>
  <si>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</si>
  <si>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</si>
  <si>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</si>
  <si>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</si>
  <si>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</si>
  <si>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</si>
  <si>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</si>
  <si>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</si>
  <si>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</si>
  <si>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</si>
  <si>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</si>
  <si>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</si>
  <si>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</si>
  <si>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</si>
  <si>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</si>
  <si>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</si>
  <si>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</si>
  <si>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</si>
  <si>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</si>
  <si>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</si>
  <si>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</si>
  <si>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</si>
  <si>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</si>
  <si>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</si>
  <si>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</si>
  <si>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</si>
  <si>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</si>
  <si>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</si>
  <si>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</si>
  <si>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</si>
  <si>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</si>
  <si>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</si>
  <si>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</si>
  <si>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</si>
  <si>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</si>
  <si>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</si>
  <si>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</si>
  <si>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</si>
  <si>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</si>
  <si>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</si>
  <si>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</si>
  <si>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</si>
  <si>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</si>
  <si>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</si>
  <si>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</si>
  <si>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</si>
  <si>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</si>
  <si>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</si>
  <si>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</si>
  <si>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</si>
  <si>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</si>
  <si>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</si>
  <si>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</si>
  <si>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</si>
  <si>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</si>
  <si>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</si>
  <si>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</si>
  <si>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</si>
  <si>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</si>
  <si>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</si>
  <si>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</si>
  <si>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</si>
  <si>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</si>
  <si>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</si>
  <si>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</si>
  <si>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</si>
  <si>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</si>
  <si>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</si>
  <si>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</si>
  <si>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</si>
  <si>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</si>
  <si>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</si>
  <si>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</si>
  <si>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</si>
  <si>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</si>
  <si>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</si>
  <si>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</si>
  <si>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</si>
  <si>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</si>
  <si>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</si>
  <si>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</si>
  <si>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</si>
  <si>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</si>
  <si>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</si>
  <si>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</si>
  <si>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</si>
  <si>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</si>
  <si>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</si>
  <si>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</si>
  <si>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</si>
  <si>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</si>
  <si>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</si>
  <si>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</si>
  <si>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</si>
  <si>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</si>
  <si>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</si>
  <si>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</si>
  <si>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</si>
  <si>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</si>
  <si>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</si>
  <si>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</si>
  <si>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</si>
  <si>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</si>
  <si>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</si>
  <si>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</si>
  <si>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</si>
  <si>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</si>
  <si>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</si>
  <si>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</si>
  <si>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</si>
  <si>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</si>
  <si>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</si>
  <si>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</si>
  <si>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</si>
  <si>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</si>
  <si>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</si>
  <si>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</si>
  <si>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</si>
  <si>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</si>
  <si>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</si>
  <si>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</si>
  <si>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</si>
  <si>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</si>
  <si>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</si>
  <si>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</si>
  <si>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</si>
  <si>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</si>
  <si>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</si>
  <si>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</si>
  <si>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</si>
  <si>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</si>
  <si>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</si>
  <si>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</si>
  <si>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</si>
  <si>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</si>
  <si>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</si>
  <si>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</si>
  <si>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</si>
  <si>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</si>
  <si>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</si>
  <si>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</si>
  <si>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</si>
  <si>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</si>
  <si>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</si>
  <si>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</si>
  <si>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</si>
  <si>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</si>
  <si>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</si>
  <si>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</si>
  <si>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</si>
  <si>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</si>
  <si>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</si>
  <si>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</si>
  <si>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</si>
  <si>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</si>
  <si>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</si>
  <si>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</si>
  <si>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</si>
  <si>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</si>
  <si>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</si>
  <si>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</si>
  <si>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</si>
  <si>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</si>
  <si>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</si>
  <si>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</si>
  <si>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</si>
  <si>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</si>
  <si>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</si>
  <si>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</si>
  <si>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</si>
  <si>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</si>
  <si>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</si>
  <si>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</si>
  <si>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</si>
  <si>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</si>
  <si>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</si>
  <si>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</si>
  <si>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</si>
  <si>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</si>
  <si>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</si>
  <si>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</si>
  <si>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</si>
  <si>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</si>
  <si>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</si>
  <si>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</si>
  <si>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</si>
  <si>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</si>
  <si>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</si>
  <si>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</si>
  <si>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</si>
  <si>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</si>
  <si>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</si>
  <si>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</si>
  <si>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</si>
  <si>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</si>
  <si>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</si>
  <si>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</si>
  <si>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</si>
  <si>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</si>
  <si>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</si>
  <si>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</si>
  <si>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</si>
  <si>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</si>
  <si>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</si>
  <si>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</si>
  <si>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</si>
  <si>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</si>
  <si>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</si>
  <si>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</si>
  <si>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</si>
  <si>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</si>
  <si>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</si>
  <si>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</si>
  <si>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</si>
  <si>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</si>
  <si>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</si>
  <si>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</si>
  <si>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</si>
  <si>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</si>
  <si>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</si>
  <si>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</si>
  <si>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</si>
  <si>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</si>
  <si>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</si>
  <si>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</si>
  <si>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</si>
  <si>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</si>
  <si>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</si>
  <si>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</si>
  <si>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</si>
  <si>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</si>
  <si>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</si>
  <si>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</si>
  <si>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</si>
  <si>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</si>
  <si>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</si>
  <si>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</si>
  <si>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</si>
  <si>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</si>
  <si>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</si>
  <si>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</si>
  <si>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</si>
  <si>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</si>
  <si>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</si>
  <si>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</si>
  <si>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</si>
  <si>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</si>
  <si>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</si>
  <si>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</si>
  <si>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</si>
  <si>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</si>
  <si>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</si>
  <si>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</si>
  <si>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</si>
  <si>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</si>
  <si>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</si>
  <si>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</si>
  <si>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</si>
  <si>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</si>
  <si>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</si>
  <si>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</si>
  <si>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</si>
  <si>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</si>
  <si>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</si>
  <si>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</si>
  <si>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</si>
  <si>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</si>
  <si>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</si>
  <si>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</si>
  <si>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</si>
  <si>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</si>
  <si>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</si>
  <si>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</si>
  <si>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</si>
  <si>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</si>
  <si>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</si>
  <si>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</si>
  <si>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</si>
  <si>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</si>
  <si>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</si>
  <si>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</si>
  <si>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</si>
  <si>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</si>
  <si>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</si>
  <si>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</si>
  <si>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</si>
  <si>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</si>
  <si>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</si>
  <si>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</si>
  <si>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</si>
  <si>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</si>
  <si>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</si>
  <si>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</si>
  <si>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</si>
  <si>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</si>
  <si>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</si>
  <si>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</si>
  <si>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</si>
  <si>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</si>
  <si>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</si>
  <si>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</si>
  <si>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</si>
  <si>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</si>
  <si>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</si>
  <si>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</si>
  <si>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</si>
  <si>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</si>
  <si>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</si>
  <si>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</si>
  <si>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</si>
  <si>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</si>
  <si>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</si>
  <si>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</si>
  <si>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</si>
  <si>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</si>
  <si>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</si>
  <si>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</si>
  <si>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</si>
  <si>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</si>
  <si>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</si>
  <si>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</si>
  <si>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</si>
  <si>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</si>
  <si>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</si>
  <si>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</si>
  <si>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</si>
  <si>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</si>
  <si>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</si>
  <si>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</si>
  <si>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</si>
  <si>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</si>
  <si>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</si>
  <si>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</si>
  <si>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</si>
  <si>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</si>
  <si>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</si>
  <si>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</si>
  <si>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</si>
  <si>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</si>
  <si>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</si>
  <si>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</si>
  <si>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</si>
  <si>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</si>
  <si>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</si>
  <si>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</si>
  <si>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</si>
  <si>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</si>
  <si>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</si>
  <si>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</si>
  <si>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</si>
  <si>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</si>
  <si>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</si>
  <si>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</si>
  <si>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</si>
  <si>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</si>
  <si>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</si>
  <si>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</si>
  <si>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</si>
  <si>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</si>
  <si>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</si>
  <si>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</si>
  <si>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</si>
  <si>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</si>
  <si>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</si>
  <si>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</si>
  <si>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</si>
  <si>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</si>
  <si>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</si>
  <si>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</si>
  <si>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</si>
  <si>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</si>
  <si>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</si>
  <si>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</si>
  <si>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</si>
  <si>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</si>
  <si>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</si>
  <si>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</si>
  <si>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</si>
  <si>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</si>
  <si>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</si>
  <si>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</si>
  <si>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</si>
  <si>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</si>
  <si>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</si>
  <si>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</si>
  <si>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</si>
  <si>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</si>
  <si>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</si>
  <si>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</si>
  <si>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</si>
  <si>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</si>
  <si>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</si>
  <si>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</si>
  <si>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</si>
  <si>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</si>
  <si>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</si>
  <si>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</si>
  <si>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</si>
  <si>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</si>
  <si>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</si>
  <si>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</si>
  <si>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</si>
  <si>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</si>
  <si>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</si>
  <si>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</si>
  <si>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</si>
  <si>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</si>
  <si>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</si>
  <si>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</si>
  <si>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</si>
  <si>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</si>
  <si>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</si>
  <si>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</si>
  <si>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</si>
  <si>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</si>
  <si>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</si>
  <si>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</si>
  <si>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</si>
  <si>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</si>
  <si>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</si>
  <si>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</si>
  <si>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</si>
  <si>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</si>
  <si>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</si>
  <si>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</si>
  <si>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</si>
  <si>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</si>
  <si>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</si>
  <si>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</si>
  <si>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</si>
  <si>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</si>
  <si>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</si>
  <si>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</si>
  <si>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</si>
  <si>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</si>
  <si>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</si>
  <si>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</si>
  <si>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</si>
  <si>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</si>
  <si>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</si>
  <si>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</si>
  <si>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</si>
  <si>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</si>
  <si>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</si>
  <si>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</si>
  <si>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</si>
  <si>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</si>
  <si>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</si>
  <si>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</si>
  <si>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</si>
  <si>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</si>
  <si>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</si>
  <si>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</si>
  <si>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</si>
  <si>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</si>
  <si>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</si>
  <si>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</si>
  <si>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</si>
  <si>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</si>
  <si>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</si>
  <si>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</si>
  <si>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</si>
  <si>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</si>
  <si>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</si>
  <si>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</si>
  <si>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</si>
  <si>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</si>
  <si>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</si>
  <si>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</si>
  <si>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</si>
  <si>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</si>
  <si>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</si>
  <si>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</si>
  <si>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</si>
  <si>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</si>
  <si>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</si>
  <si>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</si>
  <si>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</si>
  <si>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</si>
  <si>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</si>
  <si>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</si>
  <si>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</si>
  <si>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</si>
  <si>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</si>
  <si>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</si>
  <si>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</si>
  <si>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</si>
  <si>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</si>
  <si>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</si>
  <si>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</si>
  <si>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</si>
  <si>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</si>
  <si>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</si>
  <si>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</si>
  <si>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</si>
  <si>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</si>
  <si>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</si>
  <si>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</si>
  <si>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</si>
  <si>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</si>
  <si>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</si>
  <si>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</si>
  <si>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</si>
  <si>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</si>
  <si>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</si>
  <si>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</si>
  <si>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</si>
  <si>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</si>
  <si>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</si>
  <si>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</si>
  <si>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</si>
  <si>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</si>
  <si>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</si>
  <si>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</si>
  <si>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</si>
  <si>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</si>
  <si>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</si>
  <si>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</si>
  <si>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</si>
  <si>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</si>
  <si>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</si>
  <si>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</si>
  <si>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</si>
  <si>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</si>
  <si>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</si>
  <si>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</si>
  <si>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</si>
  <si>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</si>
  <si>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</si>
  <si>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</si>
  <si>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</si>
  <si>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</si>
  <si>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</si>
  <si>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</si>
  <si>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</si>
  <si>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</si>
  <si>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</si>
  <si>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</si>
  <si>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</si>
  <si>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</si>
  <si>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</si>
  <si>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</si>
  <si>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</si>
  <si>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</si>
  <si>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</si>
  <si>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</si>
  <si>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</si>
  <si>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</si>
  <si>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</si>
  <si>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</si>
  <si>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</si>
  <si>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</si>
  <si>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</si>
  <si>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</si>
  <si>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</si>
  <si>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</si>
  <si>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</si>
  <si>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</si>
  <si>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</si>
  <si>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</si>
  <si>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</si>
  <si>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</si>
  <si>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</si>
  <si>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</si>
  <si>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</si>
  <si>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</si>
  <si>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</si>
  <si>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</si>
  <si>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</si>
  <si>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</si>
  <si>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</si>
  <si>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</si>
  <si>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</si>
  <si>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</si>
  <si>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</si>
  <si>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</si>
  <si>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</si>
  <si>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</si>
  <si>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</si>
  <si>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</si>
  <si>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</si>
  <si>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</si>
  <si>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</si>
  <si>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</si>
  <si>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</si>
  <si>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</si>
  <si>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</si>
  <si>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</si>
  <si>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</si>
  <si>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</si>
  <si>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</si>
  <si>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</si>
  <si>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</si>
  <si>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</si>
  <si>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</si>
  <si>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</si>
  <si>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</si>
  <si>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</si>
  <si>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</si>
  <si>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</si>
  <si>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</si>
  <si>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</si>
  <si>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</si>
  <si>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</si>
  <si>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</si>
  <si>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</si>
  <si>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</si>
  <si>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</si>
  <si>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</si>
  <si>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</si>
  <si>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</si>
  <si>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</si>
  <si>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</si>
  <si>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</si>
  <si>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</si>
  <si>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</si>
  <si>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</si>
  <si>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</si>
  <si>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</si>
  <si>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</si>
  <si>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</si>
  <si>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</si>
  <si>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</si>
  <si>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</si>
  <si>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</si>
  <si>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</si>
  <si>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</si>
  <si>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</si>
  <si>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</si>
  <si>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</si>
  <si>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</si>
  <si>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</si>
  <si>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</si>
  <si>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</si>
  <si>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</si>
  <si>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</si>
  <si>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</si>
  <si>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</si>
  <si>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</si>
  <si>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</si>
  <si>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</si>
  <si>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</si>
  <si>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</si>
  <si>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</si>
  <si>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</si>
  <si>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</si>
  <si>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</si>
  <si>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</si>
  <si>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</si>
  <si>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</si>
  <si>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</si>
  <si>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</si>
  <si>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</si>
  <si>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</si>
  <si>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</si>
  <si>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</si>
  <si>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</si>
  <si>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</si>
  <si>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</si>
  <si>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</si>
  <si>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</si>
  <si>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</si>
  <si>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</si>
  <si>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</si>
  <si>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</si>
  <si>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</si>
  <si>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</si>
  <si>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</si>
  <si>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</si>
  <si>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</si>
  <si>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</si>
  <si>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</si>
  <si>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</si>
  <si>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</si>
  <si>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</si>
  <si>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</si>
  <si>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</si>
  <si>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</si>
  <si>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</si>
  <si>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</si>
  <si>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</si>
  <si>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</si>
  <si>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</si>
  <si>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</si>
  <si>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</si>
  <si>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</si>
  <si>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</si>
  <si>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</si>
  <si>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</si>
  <si>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</si>
  <si>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</si>
  <si>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</si>
  <si>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</si>
  <si>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</si>
  <si>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</si>
  <si>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</si>
  <si>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</si>
  <si>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</si>
  <si>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</si>
  <si>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</si>
  <si>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</si>
  <si>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</si>
  <si>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</si>
  <si>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</si>
  <si>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</si>
  <si>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</si>
  <si>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</si>
  <si>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</si>
  <si>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</si>
  <si>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</si>
  <si>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</si>
  <si>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</si>
  <si>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</si>
  <si>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</si>
  <si>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</si>
  <si>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</si>
  <si>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</si>
  <si>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</si>
  <si>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</si>
  <si>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</si>
  <si>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</si>
  <si>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</si>
  <si>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</si>
  <si>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</si>
  <si>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</si>
  <si>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</si>
  <si>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</si>
  <si>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</si>
  <si>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</si>
  <si>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</si>
  <si>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</si>
  <si>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</si>
  <si>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</si>
  <si>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</si>
  <si>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</si>
  <si>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</si>
  <si>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</si>
  <si>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</si>
  <si>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</si>
  <si>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</si>
  <si>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</si>
  <si>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</si>
  <si>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</si>
  <si>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</si>
  <si>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</si>
  <si>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</si>
  <si>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</si>
  <si>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</si>
  <si>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</si>
  <si>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</si>
  <si>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</si>
  <si>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</si>
  <si>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</si>
  <si>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</si>
  <si>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</si>
  <si>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</si>
  <si>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</si>
  <si>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</si>
  <si>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</si>
  <si>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</si>
  <si>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</si>
  <si>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</si>
  <si>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</si>
  <si>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</si>
  <si>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</si>
  <si>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</si>
  <si>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</si>
  <si>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</si>
  <si>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</si>
  <si>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</si>
  <si>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</si>
  <si>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</si>
  <si>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</si>
  <si>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</si>
  <si>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</si>
  <si>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</si>
  <si>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</si>
  <si>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</si>
  <si>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</si>
  <si>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</si>
  <si>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</si>
  <si>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</si>
  <si>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</si>
  <si>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</si>
  <si>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</si>
  <si>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</si>
  <si>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</si>
  <si>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</si>
  <si>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</si>
  <si>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</si>
  <si>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</si>
  <si>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</si>
  <si>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</si>
  <si>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</si>
  <si>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</si>
  <si>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</si>
  <si>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</si>
  <si>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</si>
  <si>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</si>
  <si>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</si>
  <si>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</si>
  <si>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</si>
  <si>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</si>
  <si>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PC / 투명 (DEXCOWIN 로고)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</si>
  <si>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</si>
  <si>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</si>
  <si>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</si>
  <si>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</si>
  <si>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</si>
  <si>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</si>
  <si>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</si>
  <si>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</si>
  <si>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</si>
  <si>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</si>
  <si>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</si>
  <si>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</si>
  <si>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</si>
  <si>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</si>
  <si>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</si>
  <si>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</si>
  <si>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</si>
  <si>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</si>
  <si>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</si>
  <si>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</si>
  <si>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</si>
  <si>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</si>
  <si>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</si>
  <si>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</si>
  <si>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</si>
  <si>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</si>
  <si>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</si>
  <si>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</si>
  <si>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</si>
  <si>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</si>
  <si>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</si>
  <si>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</si>
  <si>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</si>
  <si>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</si>
  <si>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</si>
  <si>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</si>
  <si>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</si>
  <si>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</si>
  <si>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</si>
  <si>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</si>
  <si>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</si>
  <si>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</si>
  <si>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</si>
  <si>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</si>
  <si>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</si>
  <si>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</si>
  <si>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</si>
  <si>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</si>
  <si>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</si>
  <si>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</si>
  <si>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</si>
  <si>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</si>
  <si>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</si>
  <si>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</si>
  <si>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</si>
  <si>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</si>
  <si>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</si>
  <si>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</si>
  <si>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</si>
  <si>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</si>
  <si>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</si>
  <si>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</si>
  <si>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</si>
  <si>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</si>
  <si>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</si>
  <si>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</si>
  <si>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</si>
  <si>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</si>
  <si>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</si>
  <si>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</si>
  <si>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</si>
  <si>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</si>
  <si>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</si>
  <si>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</si>
  <si>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</si>
  <si>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</si>
  <si>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</si>
  <si>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</si>
  <si>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</si>
  <si>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</si>
  <si>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</si>
  <si>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</si>
  <si>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</si>
  <si>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</si>
  <si>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</si>
  <si>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</si>
  <si>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</si>
  <si>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</si>
  <si>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</si>
  <si>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</si>
  <si>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</si>
  <si>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</si>
  <si>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</si>
  <si>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</si>
  <si>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</si>
  <si>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</si>
  <si>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</si>
  <si>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</si>
  <si>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</si>
  <si>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</si>
  <si>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</si>
  <si>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</si>
  <si>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</si>
  <si>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</si>
  <si>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</si>
  <si>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</si>
  <si>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</si>
  <si>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</si>
  <si>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</si>
  <si>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</si>
  <si>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</si>
  <si>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</si>
  <si>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</si>
  <si>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</si>
  <si>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</si>
  <si>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</si>
  <si>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</si>
  <si>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</si>
  <si>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</si>
  <si>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</si>
  <si>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</si>
  <si>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</si>
  <si>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</si>
  <si>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</si>
  <si>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</si>
  <si>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</si>
  <si>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</si>
  <si>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</si>
  <si>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</si>
  <si>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</si>
  <si>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</si>
  <si>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</si>
  <si>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</si>
  <si>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</si>
  <si>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</si>
  <si>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</si>
  <si>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</si>
  <si>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</si>
  <si>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</si>
  <si>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</si>
  <si>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</si>
  <si>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</si>
  <si>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</si>
  <si>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</si>
  <si>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</si>
  <si>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</si>
  <si>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</si>
  <si>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</si>
  <si>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</si>
  <si>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</si>
  <si>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</si>
  <si>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</si>
  <si>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</si>
  <si>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</si>
  <si>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</si>
  <si>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</si>
  <si>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</si>
  <si>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</si>
  <si>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</si>
  <si>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</si>
  <si>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</si>
  <si>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</si>
  <si>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</si>
  <si>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</si>
  <si>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</si>
  <si>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</si>
  <si>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</si>
  <si>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</si>
  <si>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</si>
  <si>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</si>
  <si>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</si>
  <si>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</si>
  <si>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</si>
  <si>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</si>
  <si>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</si>
  <si>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</si>
  <si>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</si>
  <si>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</si>
  <si>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</si>
  <si>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</si>
  <si>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</si>
  <si>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</si>
  <si>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</si>
  <si>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</si>
  <si>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</si>
  <si>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</si>
  <si>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</si>
  <si>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</si>
  <si>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</si>
  <si>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</si>
  <si>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</si>
  <si>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</si>
  <si>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</si>
  <si>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</si>
  <si>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</si>
  <si>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</si>
  <si>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</si>
  <si>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</si>
  <si>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</si>
  <si>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</si>
  <si>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</si>
  <si>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</si>
  <si>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</si>
  <si>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</si>
  <si>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</si>
  <si>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</si>
  <si>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</si>
  <si>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</si>
  <si>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</si>
  <si>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</si>
  <si>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</si>
  <si>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</si>
  <si>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</si>
  <si>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</si>
  <si>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</si>
  <si>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</si>
  <si>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</si>
  <si>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</si>
  <si>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</si>
  <si>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</si>
  <si>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</si>
  <si>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</si>
  <si>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</si>
  <si>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</si>
  <si>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</si>
  <si>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</si>
  <si>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</si>
  <si>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</si>
  <si>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</si>
  <si>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</si>
  <si>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</si>
  <si>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</si>
  <si>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</si>
  <si>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</si>
  <si>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</si>
  <si>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</si>
  <si>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</si>
  <si>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</si>
  <si>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</si>
  <si>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</si>
  <si>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</si>
  <si>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</si>
  <si>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</si>
  <si>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</si>
  <si>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</si>
  <si>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</si>
  <si>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</si>
  <si>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</si>
  <si>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</si>
  <si>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</si>
  <si>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</si>
  <si>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</si>
  <si>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</si>
  <si>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</si>
  <si>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</si>
  <si>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</si>
  <si>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</si>
  <si>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</si>
  <si>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</si>
  <si>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</si>
  <si>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</si>
  <si>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</si>
  <si>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</si>
  <si>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</si>
  <si>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</si>
  <si>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</si>
  <si>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</si>
  <si>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</si>
  <si>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</si>
  <si>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</si>
  <si>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</si>
  <si>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</si>
  <si>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</si>
  <si>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</si>
  <si>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</si>
  <si>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</si>
  <si>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</si>
  <si>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</si>
  <si>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</si>
  <si>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</si>
  <si>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</si>
  <si>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</si>
  <si>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</si>
  <si>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</si>
  <si>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</si>
  <si>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</si>
  <si>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</si>
  <si>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</si>
  <si>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</si>
  <si>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</si>
  <si>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</si>
  <si>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</si>
  <si>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</si>
  <si>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</si>
  <si>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</si>
  <si>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</si>
  <si>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</si>
  <si>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</si>
  <si>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</si>
  <si>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</si>
  <si>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</si>
  <si>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</si>
  <si>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</si>
  <si>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</si>
  <si>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</si>
  <si>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</si>
  <si>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</si>
  <si>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</si>
  <si>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</si>
  <si>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</si>
  <si>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</si>
  <si>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</si>
  <si>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</si>
  <si>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</si>
  <si>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</si>
  <si>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</si>
  <si>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</si>
  <si>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</si>
  <si>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</si>
  <si>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</si>
  <si>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</si>
  <si>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</si>
  <si>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</si>
  <si>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</si>
  <si>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</si>
  <si>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</si>
  <si>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</si>
  <si>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</si>
  <si>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</si>
  <si>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</si>
  <si>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</si>
  <si>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</si>
  <si>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</si>
  <si>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</si>
  <si>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</si>
  <si>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</si>
  <si>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</si>
  <si>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</si>
  <si>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</si>
  <si>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</si>
  <si>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</si>
  <si>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</si>
  <si>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</si>
  <si>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</si>
  <si>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</si>
  <si>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</si>
  <si>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</si>
  <si>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</si>
  <si>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</si>
  <si>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</si>
  <si>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</si>
  <si>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</si>
  <si>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</si>
  <si>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</si>
  <si>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</si>
  <si>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</si>
  <si>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</si>
  <si>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</si>
  <si>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</si>
  <si>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</si>
  <si>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</si>
  <si>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</si>
  <si>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</si>
  <si>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</si>
  <si>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</si>
  <si>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</si>
  <si>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</si>
  <si>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</si>
  <si>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</si>
  <si>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</si>
  <si>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</si>
  <si>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</si>
  <si>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</si>
  <si>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</si>
  <si>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</si>
  <si>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</si>
  <si>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</si>
  <si>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</si>
  <si>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</si>
  <si>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</si>
  <si>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</si>
  <si>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</si>
  <si>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</si>
  <si>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</si>
  <si>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</si>
  <si>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</si>
  <si>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</si>
  <si>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</si>
  <si>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</si>
  <si>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</si>
  <si>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</si>
  <si>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</si>
  <si>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</si>
  <si>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</si>
  <si>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</si>
  <si>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</si>
  <si>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</si>
  <si>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</si>
  <si>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</si>
  <si>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</si>
  <si>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</si>
  <si>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</si>
  <si>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</si>
  <si>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</si>
  <si>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</si>
  <si>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</si>
  <si>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</si>
  <si>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</si>
  <si>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</si>
  <si>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</si>
  <si>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</si>
  <si>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</si>
  <si>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</si>
  <si>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</si>
  <si>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</si>
  <si>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</si>
  <si>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</si>
  <si>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</si>
  <si>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</si>
  <si>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</si>
  <si>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</si>
  <si>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</si>
  <si>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</si>
  <si>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</si>
  <si>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</si>
  <si>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</si>
  <si>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</si>
  <si>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</si>
  <si>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</si>
  <si>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</si>
  <si>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</si>
  <si>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</si>
  <si>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</si>
  <si>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</si>
  <si>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</si>
  <si>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</si>
  <si>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</si>
  <si>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</si>
  <si>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</si>
  <si>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</si>
  <si>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</si>
  <si>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</si>
  <si>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</si>
  <si>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</si>
  <si>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</si>
  <si>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</si>
  <si>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</si>
  <si>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</si>
  <si>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</si>
  <si>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</si>
  <si>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</si>
  <si>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</si>
  <si>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</si>
  <si>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</si>
  <si>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</si>
  <si>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</si>
  <si>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</si>
  <si>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</si>
  <si>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</si>
  <si>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</si>
  <si>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</si>
  <si>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</si>
  <si>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</si>
  <si>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</si>
  <si>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</si>
  <si>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</si>
  <si>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</si>
  <si>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</si>
  <si>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</si>
  <si>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</si>
  <si>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</si>
  <si>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</si>
  <si>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</si>
  <si>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</si>
  <si>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</si>
  <si>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</si>
  <si>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</si>
  <si>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</si>
  <si>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</si>
  <si>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</si>
  <si>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</si>
  <si>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</si>
  <si>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</si>
  <si>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</si>
  <si>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</si>
  <si>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</si>
  <si>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</si>
  <si>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</si>
  <si>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</si>
  <si>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</si>
  <si>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</si>
  <si>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</si>
  <si>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</si>
  <si>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</si>
  <si>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</si>
  <si>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</si>
  <si>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</si>
  <si>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</si>
  <si>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</si>
  <si>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</si>
  <si>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</si>
  <si>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</si>
  <si>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</si>
  <si>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</si>
  <si>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</si>
  <si>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</si>
  <si>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</si>
  <si>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</si>
  <si>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</si>
  <si>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</si>
  <si>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</si>
  <si>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</si>
  <si>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</si>
  <si>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</si>
  <si>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</si>
  <si>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</si>
  <si>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</si>
  <si>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</si>
  <si>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</si>
  <si>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</si>
  <si>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</si>
  <si>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</si>
  <si>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</si>
  <si>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</si>
  <si>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</si>
  <si>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</si>
  <si>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</si>
  <si>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</si>
  <si>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</si>
  <si>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</si>
  <si>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</si>
  <si>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</si>
  <si>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</si>
  <si>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</si>
  <si>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</si>
  <si>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</si>
  <si>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</si>
  <si>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</si>
  <si>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</si>
  <si>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</si>
  <si>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</si>
  <si>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</si>
  <si>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</si>
  <si>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</si>
  <si>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</si>
  <si>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</si>
  <si>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</si>
  <si>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</si>
  <si>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</si>
  <si>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</si>
  <si>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</si>
  <si>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</si>
  <si>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</si>
  <si>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</si>
  <si>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</si>
  <si>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</si>
  <si>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</si>
  <si>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</si>
  <si>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</si>
  <si>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</si>
  <si>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</si>
  <si>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</si>
  <si>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</si>
  <si>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</si>
  <si>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</si>
  <si>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</si>
  <si>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</si>
  <si>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</si>
  <si>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</si>
  <si>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</si>
  <si>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</si>
  <si>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</si>
  <si>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</si>
  <si>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</si>
  <si>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</si>
  <si>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</si>
  <si>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</si>
  <si>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</si>
  <si>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</si>
  <si>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</si>
  <si>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</si>
  <si>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</si>
  <si>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</si>
  <si>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</si>
  <si>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</si>
  <si>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</si>
  <si>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</si>
  <si>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</si>
  <si>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</si>
  <si>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</si>
  <si>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</si>
  <si>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</si>
  <si>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</si>
  <si>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</si>
  <si>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</si>
  <si>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</si>
  <si>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</si>
  <si>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</si>
  <si>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</si>
  <si>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</si>
  <si>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</si>
  <si>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</si>
  <si>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</si>
  <si>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</si>
  <si>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</si>
  <si>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</si>
  <si>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</si>
  <si>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</si>
  <si>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</si>
  <si>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</si>
  <si>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</si>
  <si>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</si>
  <si>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</si>
  <si>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</si>
  <si>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</si>
  <si>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</si>
  <si>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</si>
  <si>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</si>
  <si>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</si>
  <si>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</si>
  <si>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</si>
  <si>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</si>
  <si>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</si>
  <si>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</si>
  <si>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</si>
  <si>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</si>
  <si>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</si>
  <si>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</si>
  <si>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</si>
  <si>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</si>
  <si>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</si>
  <si>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</si>
  <si>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</si>
  <si>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</si>
  <si>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</si>
  <si>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</si>
  <si>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</si>
  <si>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</si>
  <si>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</si>
  <si>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</si>
  <si>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</si>
  <si>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</si>
  <si>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</si>
  <si>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</si>
  <si>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</si>
  <si>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</si>
  <si>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</si>
  <si>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</si>
  <si>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</si>
  <si>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</si>
  <si>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</si>
  <si>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</si>
  <si>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</si>
  <si>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</si>
  <si>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</si>
  <si>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</si>
  <si>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</si>
  <si>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</si>
  <si>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</si>
  <si>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</si>
  <si>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</si>
  <si>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</si>
  <si>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</si>
  <si>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</si>
  <si>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</si>
  <si>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</si>
  <si>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</si>
  <si>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</si>
  <si>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</si>
  <si>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</si>
  <si>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</si>
  <si>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</si>
  <si>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</si>
  <si>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</si>
  <si>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</si>
  <si>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</si>
  <si>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</si>
  <si>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</si>
  <si>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</si>
  <si>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</si>
  <si>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</si>
  <si>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</si>
  <si>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</si>
  <si>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</si>
  <si>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</si>
  <si>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</si>
  <si>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</si>
  <si>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</si>
  <si>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</si>
  <si>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</si>
  <si>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</si>
  <si>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</si>
  <si>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</si>
  <si>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</si>
  <si>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</si>
  <si>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</si>
  <si>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</si>
  <si>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</si>
  <si>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</si>
  <si>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</si>
  <si>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</si>
  <si>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</si>
  <si>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</si>
  <si>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</si>
  <si>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</si>
  <si>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</si>
  <si>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</si>
  <si>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</si>
  <si>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</si>
  <si>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</si>
  <si>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</si>
  <si>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</si>
  <si>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</si>
  <si>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</si>
  <si>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</si>
  <si>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</si>
  <si>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</si>
  <si>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</si>
  <si>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</si>
  <si>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</si>
  <si>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</si>
  <si>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</si>
  <si>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</si>
  <si>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</si>
  <si>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</si>
  <si>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</si>
  <si>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</si>
  <si>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</si>
  <si>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</si>
  <si>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</si>
  <si>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</si>
  <si>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</si>
  <si>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</si>
  <si>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</si>
  <si>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</si>
  <si>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</si>
  <si>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</si>
  <si>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</si>
  <si>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</si>
  <si>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</si>
  <si>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</si>
  <si>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</si>
  <si>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</si>
  <si>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</si>
  <si>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</si>
  <si>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</si>
  <si>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</si>
  <si>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</si>
  <si>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</si>
  <si>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</si>
  <si>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</si>
  <si>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</si>
  <si>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</si>
  <si>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</si>
  <si>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</si>
  <si>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</si>
  <si>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</si>
  <si>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</si>
  <si>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</si>
  <si>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</si>
  <si>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</si>
  <si>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</si>
  <si>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</si>
  <si>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</si>
  <si>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</si>
  <si>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</si>
  <si>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</si>
  <si>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</si>
  <si>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</si>
  <si>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</si>
  <si>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</si>
  <si>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</si>
  <si>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</si>
  <si>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</si>
  <si>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</si>
  <si>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</si>
  <si>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</si>
  <si>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</si>
  <si>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COCOON, ADX6000FB 가방 [로고 O]</t>
  </si>
  <si>
    <t>67-PR-0093</t>
  </si>
  <si>
    <t>ADX6000 내부폼 상판 [47x36.5x2.5 mm] (뱅가드 46F용)</t>
  </si>
  <si>
    <t>6-PR-0369</t>
  </si>
  <si>
    <t>ADX6000 내부폼 중판 [47x36.5x5.5 mm] (뱅가드 46F용)</t>
  </si>
  <si>
    <t>6-PR-0370</t>
  </si>
  <si>
    <t>ADX6000 내부폼 하판 [47x36.5x7.5 mm] (뱅가드 46F용)</t>
  </si>
  <si>
    <t>6-PR-0371</t>
  </si>
  <si>
    <t>Battery Pack [21.0V 5셀]</t>
  </si>
  <si>
    <t>ADX6000 Battery Pack (사급자재)</t>
  </si>
  <si>
    <t>6-PR-0372</t>
  </si>
  <si>
    <t>혼합</t>
  </si>
  <si>
    <t>히팅 패드+방열팬 구형</t>
  </si>
  <si>
    <t>히팅 싱크 + 방열팬 (구형)</t>
  </si>
  <si>
    <t>46-AA-0001</t>
  </si>
  <si>
    <t>히팅 싱크 + 방열팬 (신형)</t>
  </si>
  <si>
    <t>46-AA-0002</t>
  </si>
  <si>
    <t>배터리 [60C 950mA]</t>
  </si>
  <si>
    <t>60C 950mA</t>
  </si>
  <si>
    <t>DX3000V 기본 배터리 [PF435060 60C 950mA]</t>
  </si>
  <si>
    <t>3-PR-0228</t>
  </si>
  <si>
    <t>배터리 거치대 사출 SETS T</t>
  </si>
  <si>
    <t>D-910 크래들 TOP 사출</t>
  </si>
  <si>
    <t>348-AR-0001</t>
  </si>
  <si>
    <t>DX3000, ADX4001W</t>
  </si>
  <si>
    <t>배터리 거치대 사출 SETS B</t>
  </si>
  <si>
    <t>D-910 크래들 BOTTOM 사출</t>
  </si>
  <si>
    <t>348-AR-0002</t>
  </si>
  <si>
    <t>34678-PR-0277</t>
  </si>
  <si>
    <t>34678-PR-0278</t>
  </si>
  <si>
    <t>PLATTZ 330N 센서 하네스 1번 (배터리팩 4핀)</t>
  </si>
  <si>
    <t>34678-PR-0279</t>
  </si>
  <si>
    <t>PLATTZ 330N 센서 하네스 2번 (전원 스위치 2핀)</t>
  </si>
  <si>
    <t>34678-PR-0280</t>
  </si>
  <si>
    <t>PLATTZ 330N 센서 하네스 3번 (FLAT 24핀)</t>
  </si>
  <si>
    <t>34678-PR-0281</t>
  </si>
  <si>
    <t>PLATTZ 330N 센서 하네스 4번 (8핀)</t>
  </si>
  <si>
    <t>34678-PR-0282</t>
  </si>
  <si>
    <t>PLATTZ 330N 센서 하네스 5번 (인터페이스 케이블)</t>
  </si>
  <si>
    <t>34678-PR-0283</t>
  </si>
  <si>
    <t>PLATTZ 330N 센서 고무 RUBBER</t>
  </si>
  <si>
    <t>34678-PR-0284</t>
  </si>
  <si>
    <t>17.0V 5A SMPS (85W) [DEX-A085-M]</t>
  </si>
  <si>
    <t>3-PR-0229</t>
  </si>
  <si>
    <t>3-PR-0230</t>
  </si>
  <si>
    <t>스킨가드 구형 (납작)</t>
  </si>
  <si>
    <t>6-PR-0373</t>
  </si>
  <si>
    <t>3-PR-0231</t>
  </si>
  <si>
    <t xml:space="preserve">BODY LEFT 사출
(리모컨 포트 가이드+FRONT PORT 스티커) 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</si>
  <si>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</si>
  <si>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</si>
  <si>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</si>
  <si>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스프레이 하기 전엔 사용 불가능한 원재료 -&gt; 스프레이 후 DX3000 배터리커버 (G)가 됨</t>
  </si>
  <si>
    <t>스킨가드 부속품</t>
  </si>
  <si>
    <t>ADX4000W 20cm CONE과 동일</t>
    <phoneticPr fontId="130" type="noConversion"/>
  </si>
  <si>
    <t>4-AR-0062</t>
    <phoneticPr fontId="130" type="noConversion"/>
  </si>
  <si>
    <t>ADX6000 스킨가드 브라켓</t>
    <phoneticPr fontId="130" type="noConversion"/>
  </si>
  <si>
    <t>ADX6000 스킨가드 환봉</t>
  </si>
  <si>
    <t>ADX6000 스킨가드 구형</t>
  </si>
  <si>
    <t>SOLO LCD WINDOW [iM3 로고]</t>
    <phoneticPr fontId="130" type="noConversion"/>
  </si>
  <si>
    <t>SOLO LCD WINDOW</t>
    <phoneticPr fontId="130" type="noConversion"/>
  </si>
  <si>
    <t>8-AR-0739</t>
    <phoneticPr fontId="130" type="noConversion"/>
  </si>
  <si>
    <t>8-AR-0286</t>
    <phoneticPr fontId="130" type="noConversion"/>
  </si>
  <si>
    <t>SOLO CTR BD (Ver 1.0.0)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</si>
</sst>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5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E2EFDA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rgb="FFCCE5FF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52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68" borderId="26" xfId="0" applyFont="1" applyFill="1" applyBorder="1">
      <alignment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0" fontId="127" fillId="69" borderId="26" xfId="0" applyFont="1" applyFill="1" applyBorder="1" applyAlignment="1"/>
    <xf numFmtId="0" fontId="0" fillId="69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177" fontId="34" fillId="0" borderId="10" xfId="215" applyNumberFormat="1" applyFont="1" applyBorder="1" applyAlignment="1">
      <alignment horizontal="left" vertical="center"/>
    </xf>
    <xf numFmtId="0" fontId="5" fillId="25" borderId="26" xfId="232" applyFont="1" applyFill="1" applyBorder="1" applyAlignment="1">
      <alignment horizontal="left" vertical="center"/>
    </xf>
    <xf numFmtId="0" fontId="5" fillId="70" borderId="26" xfId="0" applyFont="1" applyFill="1" applyBorder="1" applyAlignment="1">
      <alignment horizontal="left" vertical="center"/>
    </xf>
    <xf numFmtId="14" fontId="5" fillId="0" borderId="10" xfId="0" applyNumberFormat="1" applyFont="1" applyBorder="1">
      <alignment vertical="center"/>
    </xf>
    <xf numFmtId="179" fontId="5" fillId="0" borderId="10" xfId="0" applyNumberFormat="1" applyFont="1" applyBorder="1">
      <alignment vertical="center"/>
    </xf>
    <xf numFmtId="0" fontId="34" fillId="0" borderId="10" xfId="0" applyFont="1" applyBorder="1">
      <alignment vertical="center"/>
    </xf>
    <xf numFmtId="179" fontId="34" fillId="0" borderId="10" xfId="0" applyNumberFormat="1" applyFont="1" applyBorder="1">
      <alignment vertical="center"/>
    </xf>
    <xf numFmtId="0" fontId="123" fillId="72" borderId="26" xfId="3384" applyFont="1" applyFill="1" applyBorder="1" applyAlignment="1">
      <alignment horizontal="left" vertical="center"/>
    </xf>
    <xf numFmtId="0" fontId="0" fillId="0" borderId="26" xfId="0" applyBorder="1" applyAlignment="1"/>
    <xf numFmtId="0" fontId="123" fillId="0" borderId="26" xfId="0" applyFont="1" applyBorder="1" applyAlignment="1">
      <alignment horizontal="left" vertical="center"/>
    </xf>
    <xf numFmtId="0" fontId="0" fillId="0" borderId="26" xfId="0" applyBorder="1">
      <alignment vertical="center"/>
    </xf>
    <xf numFmtId="0" fontId="123" fillId="0" borderId="10" xfId="3384" applyFont="1" applyBorder="1" applyAlignment="1">
      <alignment horizontal="left" vertical="center"/>
    </xf>
    <xf numFmtId="0" fontId="123" fillId="0" borderId="10" xfId="0" applyFont="1" applyBorder="1" applyAlignment="1">
      <alignment horizontal="left" vertical="center"/>
    </xf>
    <xf numFmtId="49" fontId="123" fillId="0" borderId="26" xfId="0" applyNumberFormat="1" applyFont="1" applyBorder="1" applyAlignment="1">
      <alignment horizontal="left" vertical="center"/>
    </xf>
    <xf numFmtId="177" fontId="132" fillId="0" borderId="25" xfId="215" applyNumberFormat="1" applyFont="1" applyBorder="1" applyAlignment="1">
      <alignment horizontal="right" vertical="center" wrapText="1"/>
    </xf>
    <xf numFmtId="0" fontId="5" fillId="0" borderId="26" xfId="0" applyFont="1" applyBorder="1" applyAlignment="1">
      <alignment horizontal="left" vertical="center"/>
    </xf>
    <xf numFmtId="49" fontId="123" fillId="0" borderId="10" xfId="0" applyNumberFormat="1" applyFont="1" applyBorder="1" applyAlignment="1">
      <alignment horizontal="left" vertical="center"/>
    </xf>
    <xf numFmtId="178" fontId="132" fillId="0" borderId="25" xfId="215" applyNumberFormat="1" applyFont="1" applyBorder="1" applyAlignment="1">
      <alignment horizontal="left" vertical="center" wrapText="1"/>
    </xf>
    <xf numFmtId="0" fontId="123" fillId="0" borderId="0" xfId="0" applyFont="1" applyAlignment="1">
      <alignment horizontal="left" vertical="center"/>
    </xf>
    <xf numFmtId="0" fontId="5" fillId="73" borderId="26" xfId="232" applyFont="1" applyFill="1" applyBorder="1" applyAlignment="1">
      <alignment horizontal="left" vertical="center"/>
    </xf>
    <xf numFmtId="178" fontId="5" fillId="72" borderId="10" xfId="215" applyNumberFormat="1" applyFont="1" applyFill="1" applyBorder="1" applyAlignment="1">
      <alignment horizontal="center" vertical="center"/>
    </xf>
    <xf numFmtId="178" fontId="132" fillId="72" borderId="25" xfId="215" applyNumberFormat="1" applyFont="1" applyFill="1" applyBorder="1" applyAlignment="1">
      <alignment horizontal="right" vertical="center" wrapText="1"/>
    </xf>
    <xf numFmtId="178" fontId="132" fillId="72" borderId="25" xfId="215" applyNumberFormat="1" applyFont="1" applyFill="1" applyBorder="1" applyAlignment="1">
      <alignment horizontal="left" vertical="center" wrapText="1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7" fillId="74" borderId="26" xfId="0" applyFont="1" applyFill="1" applyBorder="1" applyAlignment="1"/>
    <xf numFmtId="0" fontId="127" fillId="0" borderId="26" xfId="0" applyFont="1" applyFill="1" applyBorder="1" applyAlignment="1"/>
    <xf numFmtId="178" fontId="132" fillId="0" borderId="25" xfId="215" applyNumberFormat="1" applyFont="1" applyFill="1" applyBorder="1" applyAlignment="1">
      <alignment horizontal="right" vertical="center" wrapText="1"/>
    </xf>
    <xf numFmtId="0" fontId="5" fillId="72" borderId="10" xfId="215" applyFont="1" applyFill="1" applyBorder="1" applyAlignment="1">
      <alignment horizontal="center" vertical="center"/>
    </xf>
    <xf numFmtId="14" fontId="5" fillId="72" borderId="10" xfId="215" applyNumberFormat="1" applyFont="1" applyFill="1" applyBorder="1">
      <alignment vertical="center"/>
    </xf>
    <xf numFmtId="0" fontId="5" fillId="71" borderId="10" xfId="215" applyFont="1" applyFill="1" applyBorder="1">
      <alignment vertical="center"/>
    </xf>
    <xf numFmtId="0" fontId="0" fillId="0" borderId="26" xfId="0" applyFill="1" applyBorder="1" applyAlignment="1"/>
    <xf numFmtId="0" fontId="123" fillId="0" borderId="26" xfId="0" applyFont="1" applyFill="1" applyBorder="1">
      <alignment vertical="center"/>
    </xf>
    <xf numFmtId="0" fontId="123" fillId="0" borderId="26" xfId="0" applyFont="1" applyFill="1" applyBorder="1" applyAlignment="1">
      <alignment horizontal="left" vertical="center"/>
    </xf>
    <xf numFmtId="0" fontId="127" fillId="0" borderId="26" xfId="0" applyFont="1" applyBorder="1">
      <alignment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7" width="9" style="1" customWidth="1"/>
    <col min="68" max="16384" width="9" style="1"/>
  </cols>
  <sheetData>
    <row r="1" spans="1:58" ht="27" customHeight="1">
      <c r="B1" s="2"/>
      <c r="C1" s="132" t="s">
        <v>0</v>
      </c>
      <c r="D1" s="133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38" t="s">
        <v>15</v>
      </c>
      <c r="Q3" s="135"/>
      <c r="R3" s="135"/>
      <c r="S3" s="135"/>
      <c r="T3" s="135"/>
      <c r="U3" s="136"/>
      <c r="V3" s="34" t="s">
        <v>16</v>
      </c>
      <c r="W3" s="139" t="s">
        <v>17</v>
      </c>
      <c r="X3" s="140"/>
      <c r="Y3" s="140"/>
      <c r="Z3" s="140"/>
      <c r="AA3" s="140"/>
      <c r="AB3" s="140"/>
      <c r="AC3" s="140"/>
      <c r="AD3" s="141"/>
      <c r="AE3" s="34" t="s">
        <v>18</v>
      </c>
      <c r="AF3" s="134" t="s">
        <v>19</v>
      </c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6"/>
      <c r="AZ3" s="33" t="s">
        <v>20</v>
      </c>
      <c r="BA3" s="137" t="s">
        <v>21</v>
      </c>
      <c r="BB3" s="135"/>
      <c r="BC3" s="135"/>
      <c r="BD3" s="136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84"/>
  <sheetViews>
    <sheetView showGridLines="0" tabSelected="1" zoomScale="85" zoomScaleNormal="85" workbookViewId="0">
      <pane xSplit="4" ySplit="3" topLeftCell="E217" activePane="bottomRight" state="frozen"/>
      <selection pane="topRight" activeCell="E1" sqref="E1"/>
      <selection pane="bottomLeft" activeCell="A5" sqref="A5"/>
      <selection pane="bottomRight" activeCell="F217" sqref="F217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9" width="9" style="1" customWidth="1"/>
    <col min="70" max="16384" width="9" style="1"/>
  </cols>
  <sheetData>
    <row r="1" spans="1:60" ht="27" customHeight="1">
      <c r="B1" s="2"/>
      <c r="C1" s="132" t="s">
        <v>965</v>
      </c>
      <c r="D1" s="133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38" t="s">
        <v>15</v>
      </c>
      <c r="S3" s="135"/>
      <c r="T3" s="135"/>
      <c r="U3" s="135"/>
      <c r="V3" s="135"/>
      <c r="W3" s="136"/>
      <c r="X3" s="34" t="s">
        <v>16</v>
      </c>
      <c r="Y3" s="139" t="s">
        <v>17</v>
      </c>
      <c r="Z3" s="140"/>
      <c r="AA3" s="140"/>
      <c r="AB3" s="140"/>
      <c r="AC3" s="140"/>
      <c r="AD3" s="140"/>
      <c r="AE3" s="140"/>
      <c r="AF3" s="141"/>
      <c r="AG3" s="34" t="s">
        <v>18</v>
      </c>
      <c r="AH3" s="134" t="s">
        <v>19</v>
      </c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33" t="s">
        <v>20</v>
      </c>
      <c r="BC3" s="137" t="s">
        <v>21</v>
      </c>
      <c r="BD3" s="135"/>
      <c r="BE3" s="135"/>
      <c r="BF3" s="136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61" t="s">
        <v>25</v>
      </c>
      <c r="E4" s="11" t="s">
        <v>26</v>
      </c>
      <c r="F4" s="118" t="s">
        <v>25</v>
      </c>
      <c r="G4" s="118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61" t="s">
        <v>28</v>
      </c>
      <c r="E5" s="11"/>
      <c r="F5" s="118" t="s">
        <v>28</v>
      </c>
      <c r="G5" s="118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61" t="s">
        <v>28</v>
      </c>
      <c r="E6" s="11"/>
      <c r="F6" s="118" t="s">
        <v>28</v>
      </c>
      <c r="G6" s="118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61" t="s">
        <v>29</v>
      </c>
      <c r="E7" s="11"/>
      <c r="F7" s="118" t="s">
        <v>29</v>
      </c>
      <c r="G7" s="118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61" t="s">
        <v>32</v>
      </c>
      <c r="E8" s="11"/>
      <c r="F8" s="118" t="s">
        <v>971</v>
      </c>
      <c r="G8" s="118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61" t="s">
        <v>33</v>
      </c>
      <c r="E9" s="11"/>
      <c r="F9" s="118" t="s">
        <v>973</v>
      </c>
      <c r="G9" s="118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61" t="s">
        <v>35</v>
      </c>
      <c r="E10" s="11"/>
      <c r="F10" s="118" t="s">
        <v>975</v>
      </c>
      <c r="G10" s="118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61" t="s">
        <v>36</v>
      </c>
      <c r="E11" s="11"/>
      <c r="F11" s="118" t="s">
        <v>977</v>
      </c>
      <c r="G11" s="118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61" t="s">
        <v>37</v>
      </c>
      <c r="E12" s="11"/>
      <c r="F12" s="118" t="s">
        <v>979</v>
      </c>
      <c r="G12" s="118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61" t="s">
        <v>38</v>
      </c>
      <c r="E13" s="11"/>
      <c r="F13" s="118" t="s">
        <v>981</v>
      </c>
      <c r="G13" s="118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61" t="s">
        <v>40</v>
      </c>
      <c r="E14" s="11" t="s">
        <v>26</v>
      </c>
      <c r="F14" s="118" t="s">
        <v>40</v>
      </c>
      <c r="G14" s="118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61" t="s">
        <v>28</v>
      </c>
      <c r="E15" s="11"/>
      <c r="F15" s="118" t="s">
        <v>984</v>
      </c>
      <c r="G15" s="118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61" t="s">
        <v>32</v>
      </c>
      <c r="E16" s="11"/>
      <c r="F16" s="118" t="s">
        <v>986</v>
      </c>
      <c r="G16" s="118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61" t="s">
        <v>41</v>
      </c>
      <c r="E17" s="11"/>
      <c r="F17" s="118" t="s">
        <v>41</v>
      </c>
      <c r="G17" s="118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61" t="s">
        <v>33</v>
      </c>
      <c r="E18" s="11"/>
      <c r="F18" s="118" t="s">
        <v>989</v>
      </c>
      <c r="G18" s="118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61" t="s">
        <v>35</v>
      </c>
      <c r="E19" s="11"/>
      <c r="F19" s="118" t="s">
        <v>991</v>
      </c>
      <c r="G19" s="118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61" t="s">
        <v>42</v>
      </c>
      <c r="E20" s="11"/>
      <c r="F20" s="118" t="s">
        <v>42</v>
      </c>
      <c r="G20" s="118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61" t="s">
        <v>37</v>
      </c>
      <c r="E21" s="11"/>
      <c r="F21" s="118" t="s">
        <v>994</v>
      </c>
      <c r="G21" s="118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61" t="s">
        <v>38</v>
      </c>
      <c r="E22" s="11"/>
      <c r="F22" s="118" t="s">
        <v>996</v>
      </c>
      <c r="G22" s="118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61" t="s">
        <v>45</v>
      </c>
      <c r="E23" s="11" t="s">
        <v>46</v>
      </c>
      <c r="F23" s="118" t="s">
        <v>998</v>
      </c>
      <c r="G23" s="118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61" t="s">
        <v>45</v>
      </c>
      <c r="E24" s="11" t="s">
        <v>49</v>
      </c>
      <c r="F24" s="118" t="s">
        <v>1000</v>
      </c>
      <c r="G24" s="118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61" t="s">
        <v>45</v>
      </c>
      <c r="E25" s="11" t="s">
        <v>51</v>
      </c>
      <c r="F25" s="118" t="s">
        <v>1002</v>
      </c>
      <c r="G25" s="118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61" t="s">
        <v>45</v>
      </c>
      <c r="E26" s="11" t="s">
        <v>53</v>
      </c>
      <c r="F26" s="118" t="s">
        <v>1004</v>
      </c>
      <c r="G26" s="118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61" t="s">
        <v>45</v>
      </c>
      <c r="E27" s="11" t="s">
        <v>54</v>
      </c>
      <c r="F27" s="118" t="s">
        <v>1006</v>
      </c>
      <c r="G27" s="118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61" t="s">
        <v>45</v>
      </c>
      <c r="E28" s="11" t="s">
        <v>57</v>
      </c>
      <c r="F28" s="118" t="s">
        <v>1008</v>
      </c>
      <c r="G28" s="118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61" t="s">
        <v>60</v>
      </c>
      <c r="E29" s="11" t="s">
        <v>58</v>
      </c>
      <c r="F29" s="118" t="s">
        <v>1010</v>
      </c>
      <c r="G29" s="118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61" t="s">
        <v>60</v>
      </c>
      <c r="E30" s="11" t="s">
        <v>62</v>
      </c>
      <c r="F30" s="118" t="s">
        <v>1012</v>
      </c>
      <c r="G30" s="118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61" t="s">
        <v>60</v>
      </c>
      <c r="E31" s="11" t="s">
        <v>62</v>
      </c>
      <c r="F31" s="118" t="s">
        <v>1014</v>
      </c>
      <c r="G31" s="118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61" t="s">
        <v>1017</v>
      </c>
      <c r="E32" s="11" t="s">
        <v>62</v>
      </c>
      <c r="F32" s="118" t="s">
        <v>1012</v>
      </c>
      <c r="G32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61" t="s">
        <v>65</v>
      </c>
      <c r="E33" s="11" t="s">
        <v>66</v>
      </c>
      <c r="F33" s="118" t="s">
        <v>1018</v>
      </c>
      <c r="G33" s="118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61" t="s">
        <v>69</v>
      </c>
      <c r="E34" s="11" t="s">
        <v>70</v>
      </c>
      <c r="F34" s="118" t="s">
        <v>1020</v>
      </c>
      <c r="G34" s="118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61" t="s">
        <v>69</v>
      </c>
      <c r="E35" s="11" t="s">
        <v>72</v>
      </c>
      <c r="F35" s="118" t="s">
        <v>1022</v>
      </c>
      <c r="G35" s="118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61" t="s">
        <v>69</v>
      </c>
      <c r="E36" s="11" t="s">
        <v>73</v>
      </c>
      <c r="F36" s="118" t="s">
        <v>1024</v>
      </c>
      <c r="G36" s="118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61" t="s">
        <v>77</v>
      </c>
      <c r="E37" s="11" t="s">
        <v>78</v>
      </c>
      <c r="F37" s="118" t="s">
        <v>1026</v>
      </c>
      <c r="G37" s="118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61" t="s">
        <v>79</v>
      </c>
      <c r="E38" s="11" t="s">
        <v>80</v>
      </c>
      <c r="F38" s="118" t="s">
        <v>1028</v>
      </c>
      <c r="G38" s="118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118" t="s">
        <v>1030</v>
      </c>
      <c r="G39" s="118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61" t="s">
        <v>83</v>
      </c>
      <c r="E40" s="11" t="s">
        <v>84</v>
      </c>
      <c r="F40" s="118" t="s">
        <v>1032</v>
      </c>
      <c r="G40" s="118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61" t="s">
        <v>85</v>
      </c>
      <c r="E41" s="11" t="s">
        <v>86</v>
      </c>
      <c r="F41" s="118" t="s">
        <v>1034</v>
      </c>
      <c r="G41" s="118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61" t="s">
        <v>87</v>
      </c>
      <c r="E42" s="11" t="s">
        <v>88</v>
      </c>
      <c r="F42" s="118" t="s">
        <v>88</v>
      </c>
      <c r="G42" s="118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61" t="s">
        <v>89</v>
      </c>
      <c r="E43" s="11" t="s">
        <v>1037</v>
      </c>
      <c r="F43" s="118" t="s">
        <v>1038</v>
      </c>
      <c r="G43" s="118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61" t="s">
        <v>1040</v>
      </c>
      <c r="E44" s="11" t="s">
        <v>92</v>
      </c>
      <c r="F44" s="118" t="s">
        <v>1041</v>
      </c>
      <c r="G44" s="118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61" t="s">
        <v>93</v>
      </c>
      <c r="E45" s="11" t="s">
        <v>94</v>
      </c>
      <c r="F45" s="118" t="s">
        <v>1043</v>
      </c>
      <c r="G45" s="118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61" t="s">
        <v>97</v>
      </c>
      <c r="E46" s="11" t="s">
        <v>98</v>
      </c>
      <c r="F46" s="118" t="s">
        <v>1045</v>
      </c>
      <c r="G46" s="118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61" t="s">
        <v>99</v>
      </c>
      <c r="E47" s="11" t="s">
        <v>100</v>
      </c>
      <c r="F47" s="118" t="s">
        <v>1047</v>
      </c>
      <c r="G47" s="118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61" t="s">
        <v>102</v>
      </c>
      <c r="E48" s="11" t="s">
        <v>103</v>
      </c>
      <c r="F48" s="118" t="s">
        <v>1049</v>
      </c>
      <c r="G48" s="118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61" t="s">
        <v>105</v>
      </c>
      <c r="E49" s="11" t="s">
        <v>106</v>
      </c>
      <c r="F49" s="118" t="s">
        <v>1051</v>
      </c>
      <c r="G49" s="118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61" t="s">
        <v>105</v>
      </c>
      <c r="E50" s="11" t="s">
        <v>108</v>
      </c>
      <c r="F50" s="118" t="s">
        <v>1053</v>
      </c>
      <c r="G50" s="118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118" t="s">
        <v>1055</v>
      </c>
      <c r="G51" s="118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61" t="s">
        <v>105</v>
      </c>
      <c r="E52" s="11" t="s">
        <v>108</v>
      </c>
      <c r="F52" s="118" t="s">
        <v>1057</v>
      </c>
      <c r="G52" s="118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61" t="s">
        <v>112</v>
      </c>
      <c r="E53" s="11" t="s">
        <v>113</v>
      </c>
      <c r="F53" s="118" t="s">
        <v>1059</v>
      </c>
      <c r="G53" s="118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61" t="s">
        <v>112</v>
      </c>
      <c r="E54" s="11" t="s">
        <v>115</v>
      </c>
      <c r="F54" s="118" t="s">
        <v>1061</v>
      </c>
      <c r="G54" s="118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61" t="s">
        <v>117</v>
      </c>
      <c r="E55" s="11" t="s">
        <v>118</v>
      </c>
      <c r="F55" s="118" t="s">
        <v>1063</v>
      </c>
      <c r="G55" s="118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61" t="s">
        <v>121</v>
      </c>
      <c r="E56" s="11" t="s">
        <v>122</v>
      </c>
      <c r="F56" s="118" t="s">
        <v>1065</v>
      </c>
      <c r="G56" s="118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61" t="s">
        <v>124</v>
      </c>
      <c r="E57" s="11" t="s">
        <v>125</v>
      </c>
      <c r="F57" s="118" t="s">
        <v>1067</v>
      </c>
      <c r="G57" s="118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61" t="s">
        <v>126</v>
      </c>
      <c r="E58" s="11" t="s">
        <v>127</v>
      </c>
      <c r="F58" s="118" t="s">
        <v>1069</v>
      </c>
      <c r="G58" s="118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61" t="s">
        <v>130</v>
      </c>
      <c r="E59" s="11"/>
      <c r="F59" s="118" t="s">
        <v>1071</v>
      </c>
      <c r="G59" s="118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61" t="s">
        <v>133</v>
      </c>
      <c r="E60" s="11" t="s">
        <v>1073</v>
      </c>
      <c r="F60" s="118" t="s">
        <v>1074</v>
      </c>
      <c r="G60" s="118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61" t="s">
        <v>130</v>
      </c>
      <c r="E61" s="11" t="s">
        <v>135</v>
      </c>
      <c r="F61" s="118" t="s">
        <v>1076</v>
      </c>
      <c r="G61" s="118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61" t="s">
        <v>130</v>
      </c>
      <c r="E62" s="11" t="s">
        <v>1078</v>
      </c>
      <c r="F62" s="118" t="s">
        <v>1079</v>
      </c>
      <c r="G62" s="118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61" t="s">
        <v>130</v>
      </c>
      <c r="E63" s="11"/>
      <c r="F63" s="118" t="s">
        <v>1081</v>
      </c>
      <c r="G63" s="118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61" t="s">
        <v>130</v>
      </c>
      <c r="E64" s="11" t="s">
        <v>135</v>
      </c>
      <c r="F64" s="118" t="s">
        <v>1083</v>
      </c>
      <c r="G64" s="118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61" t="s">
        <v>130</v>
      </c>
      <c r="E65" s="11" t="s">
        <v>136</v>
      </c>
      <c r="F65" s="118" t="s">
        <v>1085</v>
      </c>
      <c r="G65" s="118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61" t="s">
        <v>137</v>
      </c>
      <c r="E66" s="11" t="s">
        <v>138</v>
      </c>
      <c r="F66" s="118" t="s">
        <v>1087</v>
      </c>
      <c r="G66" s="118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61" t="s">
        <v>139</v>
      </c>
      <c r="E67" s="11" t="s">
        <v>27</v>
      </c>
      <c r="F67" s="118" t="s">
        <v>1089</v>
      </c>
      <c r="G67" s="118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61" t="s">
        <v>139</v>
      </c>
      <c r="E68" s="11" t="s">
        <v>27</v>
      </c>
      <c r="F68" s="118" t="s">
        <v>1091</v>
      </c>
      <c r="G68" s="118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61" t="s">
        <v>137</v>
      </c>
      <c r="E69" s="11" t="s">
        <v>1093</v>
      </c>
      <c r="F69" s="118" t="s">
        <v>1094</v>
      </c>
      <c r="G69" s="118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61" t="s">
        <v>137</v>
      </c>
      <c r="E70" s="11" t="s">
        <v>138</v>
      </c>
      <c r="F70" s="118" t="s">
        <v>1096</v>
      </c>
      <c r="G70" s="118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61" t="s">
        <v>139</v>
      </c>
      <c r="E71" s="11" t="s">
        <v>27</v>
      </c>
      <c r="F71" s="118" t="s">
        <v>1098</v>
      </c>
      <c r="G71" s="118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61" t="s">
        <v>141</v>
      </c>
      <c r="E72" s="11" t="s">
        <v>58</v>
      </c>
      <c r="F72" s="118" t="s">
        <v>141</v>
      </c>
      <c r="G72" s="118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61" t="s">
        <v>142</v>
      </c>
      <c r="E73" s="11" t="s">
        <v>62</v>
      </c>
      <c r="F73" s="118" t="s">
        <v>1101</v>
      </c>
      <c r="G73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61" t="s">
        <v>142</v>
      </c>
      <c r="E74" s="11" t="s">
        <v>62</v>
      </c>
      <c r="F74" s="118" t="s">
        <v>1103</v>
      </c>
      <c r="G74" s="118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61" t="s">
        <v>142</v>
      </c>
      <c r="E75" s="11" t="s">
        <v>62</v>
      </c>
      <c r="F75" s="118" t="s">
        <v>1105</v>
      </c>
      <c r="G75" s="118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61" t="s">
        <v>143</v>
      </c>
      <c r="E76" s="11" t="s">
        <v>62</v>
      </c>
      <c r="F76" s="118" t="s">
        <v>1107</v>
      </c>
      <c r="G76" s="118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61" t="s">
        <v>145</v>
      </c>
      <c r="E77" s="11" t="s">
        <v>146</v>
      </c>
      <c r="F77" s="118" t="s">
        <v>1109</v>
      </c>
      <c r="G77" s="118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61" t="s">
        <v>145</v>
      </c>
      <c r="E78" s="11" t="s">
        <v>146</v>
      </c>
      <c r="F78" s="118" t="s">
        <v>1111</v>
      </c>
      <c r="G78" s="118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61" t="s">
        <v>145</v>
      </c>
      <c r="E79" s="11" t="s">
        <v>146</v>
      </c>
      <c r="F79" s="118" t="s">
        <v>1113</v>
      </c>
      <c r="G79" s="118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61" t="s">
        <v>145</v>
      </c>
      <c r="E80" s="11" t="s">
        <v>146</v>
      </c>
      <c r="F80" s="118" t="s">
        <v>1115</v>
      </c>
      <c r="G80" s="118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61" t="s">
        <v>1117</v>
      </c>
      <c r="E81" s="11" t="s">
        <v>149</v>
      </c>
      <c r="F81" s="118" t="s">
        <v>1118</v>
      </c>
      <c r="G81" s="118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61" t="s">
        <v>150</v>
      </c>
      <c r="E82" s="11" t="s">
        <v>146</v>
      </c>
      <c r="F82" s="118" t="s">
        <v>1120</v>
      </c>
      <c r="G82" s="118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61" t="s">
        <v>150</v>
      </c>
      <c r="E83" s="11" t="s">
        <v>146</v>
      </c>
      <c r="F83" s="118" t="s">
        <v>1122</v>
      </c>
      <c r="G83" s="118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61" t="s">
        <v>150</v>
      </c>
      <c r="E84" s="11" t="s">
        <v>146</v>
      </c>
      <c r="F84" s="118" t="s">
        <v>1124</v>
      </c>
      <c r="G84" s="118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61" t="s">
        <v>152</v>
      </c>
      <c r="E85" s="11"/>
      <c r="F85" s="118" t="s">
        <v>1126</v>
      </c>
      <c r="G85" s="118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61" t="s">
        <v>152</v>
      </c>
      <c r="E86" s="11" t="s">
        <v>153</v>
      </c>
      <c r="F86" s="118" t="s">
        <v>1128</v>
      </c>
      <c r="G86" s="118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61" t="s">
        <v>154</v>
      </c>
      <c r="E87" s="11"/>
      <c r="F87" s="118" t="s">
        <v>1130</v>
      </c>
      <c r="G87" s="118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61" t="s">
        <v>156</v>
      </c>
      <c r="E88" s="11" t="s">
        <v>157</v>
      </c>
      <c r="F88" s="118" t="s">
        <v>1132</v>
      </c>
      <c r="G88" s="118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61" t="s">
        <v>156</v>
      </c>
      <c r="E89" s="11" t="s">
        <v>159</v>
      </c>
      <c r="F89" s="118" t="s">
        <v>1134</v>
      </c>
      <c r="G89" s="118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61" t="s">
        <v>156</v>
      </c>
      <c r="E90" s="11" t="s">
        <v>160</v>
      </c>
      <c r="F90" s="118" t="s">
        <v>1136</v>
      </c>
      <c r="G90" s="118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61" t="s">
        <v>162</v>
      </c>
      <c r="E91" s="11" t="s">
        <v>163</v>
      </c>
      <c r="F91" s="118" t="s">
        <v>1138</v>
      </c>
      <c r="G91" s="118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61" t="s">
        <v>164</v>
      </c>
      <c r="E92" s="11"/>
      <c r="F92" s="118" t="s">
        <v>1140</v>
      </c>
      <c r="G92" s="118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61" t="s">
        <v>166</v>
      </c>
      <c r="E93" s="11"/>
      <c r="F93" s="118" t="s">
        <v>1142</v>
      </c>
      <c r="G93" s="118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61" t="s">
        <v>167</v>
      </c>
      <c r="E94" s="11" t="s">
        <v>1144</v>
      </c>
      <c r="F94" s="118" t="s">
        <v>1145</v>
      </c>
      <c r="G94" s="118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61" t="s">
        <v>170</v>
      </c>
      <c r="E95" s="11"/>
      <c r="F95" s="118" t="s">
        <v>1147</v>
      </c>
      <c r="G95" s="118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61" t="s">
        <v>169</v>
      </c>
      <c r="E96" s="11"/>
      <c r="F96" s="118" t="s">
        <v>1149</v>
      </c>
      <c r="G96" s="118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61" t="s">
        <v>170</v>
      </c>
      <c r="E97" s="11" t="s">
        <v>1151</v>
      </c>
      <c r="F97" s="118" t="s">
        <v>1152</v>
      </c>
      <c r="G97" s="118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61" t="s">
        <v>171</v>
      </c>
      <c r="E98" s="11"/>
      <c r="F98" s="118" t="s">
        <v>1154</v>
      </c>
      <c r="G98" s="118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61" t="s">
        <v>1156</v>
      </c>
      <c r="E99" s="11"/>
      <c r="F99" s="118" t="s">
        <v>1157</v>
      </c>
      <c r="G99" s="118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61" t="s">
        <v>1159</v>
      </c>
      <c r="E100" s="11"/>
      <c r="F100" s="118" t="s">
        <v>1160</v>
      </c>
      <c r="G100" s="118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61" t="s">
        <v>1162</v>
      </c>
      <c r="E101" s="11" t="s">
        <v>176</v>
      </c>
      <c r="F101" s="118" t="s">
        <v>1163</v>
      </c>
      <c r="G101" s="118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61" t="s">
        <v>177</v>
      </c>
      <c r="E102" s="11"/>
      <c r="F102" s="118" t="s">
        <v>1165</v>
      </c>
      <c r="G102" s="118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61" t="s">
        <v>178</v>
      </c>
      <c r="E103" s="11" t="s">
        <v>179</v>
      </c>
      <c r="F103" s="118" t="s">
        <v>1167</v>
      </c>
      <c r="G103" s="118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61" t="s">
        <v>180</v>
      </c>
      <c r="E104" s="11"/>
      <c r="F104" s="118" t="s">
        <v>1169</v>
      </c>
      <c r="G104" s="118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61" t="s">
        <v>181</v>
      </c>
      <c r="E105" s="11"/>
      <c r="F105" s="118" t="s">
        <v>1171</v>
      </c>
      <c r="G105" s="118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61" t="s">
        <v>182</v>
      </c>
      <c r="E106" s="11"/>
      <c r="F106" s="118" t="s">
        <v>1173</v>
      </c>
      <c r="G106" s="118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61" t="s">
        <v>183</v>
      </c>
      <c r="E107" s="11"/>
      <c r="F107" s="118" t="s">
        <v>1175</v>
      </c>
      <c r="G107" s="118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61" t="s">
        <v>184</v>
      </c>
      <c r="E108" s="11"/>
      <c r="F108" s="118" t="s">
        <v>1177</v>
      </c>
      <c r="G108" s="118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61" t="s">
        <v>185</v>
      </c>
      <c r="E109" s="11"/>
      <c r="F109" s="118" t="s">
        <v>1179</v>
      </c>
      <c r="G109" s="118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61" t="s">
        <v>186</v>
      </c>
      <c r="E110" s="11" t="s">
        <v>179</v>
      </c>
      <c r="F110" s="118" t="s">
        <v>1181</v>
      </c>
      <c r="G110" s="118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61" t="s">
        <v>188</v>
      </c>
      <c r="E111" s="11" t="s">
        <v>189</v>
      </c>
      <c r="F111" s="118" t="s">
        <v>1183</v>
      </c>
      <c r="G111" s="118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61" t="s">
        <v>191</v>
      </c>
      <c r="E112" s="11" t="s">
        <v>192</v>
      </c>
      <c r="F112" s="118" t="s">
        <v>1185</v>
      </c>
      <c r="G112" s="118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61" t="s">
        <v>194</v>
      </c>
      <c r="E113" s="11" t="s">
        <v>195</v>
      </c>
      <c r="F113" s="118" t="s">
        <v>1187</v>
      </c>
      <c r="G113" s="118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61" t="s">
        <v>196</v>
      </c>
      <c r="E114" s="11" t="s">
        <v>197</v>
      </c>
      <c r="F114" s="118" t="s">
        <v>1189</v>
      </c>
      <c r="G114" s="118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61" t="s">
        <v>198</v>
      </c>
      <c r="E115" s="11" t="s">
        <v>199</v>
      </c>
      <c r="F115" s="118" t="s">
        <v>1191</v>
      </c>
      <c r="G115" s="118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61" t="s">
        <v>200</v>
      </c>
      <c r="E116" s="11" t="s">
        <v>201</v>
      </c>
      <c r="F116" s="118" t="s">
        <v>1193</v>
      </c>
      <c r="G116" s="118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61" t="s">
        <v>202</v>
      </c>
      <c r="E117" s="11" t="s">
        <v>203</v>
      </c>
      <c r="F117" s="118" t="s">
        <v>1195</v>
      </c>
      <c r="G117" s="118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61" t="s">
        <v>205</v>
      </c>
      <c r="E118" s="11" t="s">
        <v>206</v>
      </c>
      <c r="F118" s="118" t="s">
        <v>1197</v>
      </c>
      <c r="G118" s="118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61" t="s">
        <v>208</v>
      </c>
      <c r="E119" s="11"/>
      <c r="F119" s="118" t="s">
        <v>1199</v>
      </c>
      <c r="G119" s="118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61" t="s">
        <v>209</v>
      </c>
      <c r="E120" s="11" t="s">
        <v>210</v>
      </c>
      <c r="F120" s="118" t="s">
        <v>1201</v>
      </c>
      <c r="G120" s="118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61" t="s">
        <v>209</v>
      </c>
      <c r="E121" s="11" t="s">
        <v>206</v>
      </c>
      <c r="F121" s="118" t="s">
        <v>1203</v>
      </c>
      <c r="G121" s="118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61" t="s">
        <v>212</v>
      </c>
      <c r="E122" s="11" t="s">
        <v>210</v>
      </c>
      <c r="F122" s="118" t="s">
        <v>1205</v>
      </c>
      <c r="G122" s="118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61" t="s">
        <v>212</v>
      </c>
      <c r="E123" s="11" t="s">
        <v>206</v>
      </c>
      <c r="F123" s="118" t="s">
        <v>1207</v>
      </c>
      <c r="G123" s="118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61" t="s">
        <v>213</v>
      </c>
      <c r="E124" s="11" t="s">
        <v>214</v>
      </c>
      <c r="F124" s="118" t="s">
        <v>1209</v>
      </c>
      <c r="G124" s="118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61" t="s">
        <v>216</v>
      </c>
      <c r="E125" s="11" t="s">
        <v>217</v>
      </c>
      <c r="F125" s="118" t="s">
        <v>1211</v>
      </c>
      <c r="G125" s="118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61" t="s">
        <v>218</v>
      </c>
      <c r="E126" s="11" t="s">
        <v>217</v>
      </c>
      <c r="F126" s="118" t="s">
        <v>1213</v>
      </c>
      <c r="G126" s="118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61" t="s">
        <v>219</v>
      </c>
      <c r="E127" s="11" t="s">
        <v>217</v>
      </c>
      <c r="F127" s="118" t="s">
        <v>1215</v>
      </c>
      <c r="G127" s="118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61" t="s">
        <v>220</v>
      </c>
      <c r="E128" s="11" t="s">
        <v>215</v>
      </c>
      <c r="F128" s="118" t="s">
        <v>1217</v>
      </c>
      <c r="G128" s="118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61" t="s">
        <v>221</v>
      </c>
      <c r="E129" s="11" t="s">
        <v>222</v>
      </c>
      <c r="F129" s="118" t="s">
        <v>1219</v>
      </c>
      <c r="G129" s="118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61" t="s">
        <v>221</v>
      </c>
      <c r="E130" s="11" t="s">
        <v>206</v>
      </c>
      <c r="F130" s="118" t="s">
        <v>1221</v>
      </c>
      <c r="G130" s="118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61" t="s">
        <v>223</v>
      </c>
      <c r="E131" s="11" t="s">
        <v>206</v>
      </c>
      <c r="F131" s="118" t="s">
        <v>1223</v>
      </c>
      <c r="G131" s="118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61" t="s">
        <v>224</v>
      </c>
      <c r="E132" s="11" t="s">
        <v>225</v>
      </c>
      <c r="F132" s="118" t="s">
        <v>1225</v>
      </c>
      <c r="G132" s="118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61" t="s">
        <v>226</v>
      </c>
      <c r="E133" s="11" t="s">
        <v>215</v>
      </c>
      <c r="F133" s="118" t="s">
        <v>1227</v>
      </c>
      <c r="G133" s="118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61" t="s">
        <v>229</v>
      </c>
      <c r="E134" s="11" t="s">
        <v>222</v>
      </c>
      <c r="F134" s="118" t="s">
        <v>1229</v>
      </c>
      <c r="G134" s="119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233</v>
      </c>
      <c r="C135" s="89" t="s">
        <v>132</v>
      </c>
      <c r="D135" s="61" t="s">
        <v>234</v>
      </c>
      <c r="E135" s="11" t="s">
        <v>235</v>
      </c>
      <c r="F135" s="118" t="s">
        <v>1231</v>
      </c>
      <c r="G135" s="118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233</v>
      </c>
      <c r="C136" s="89" t="s">
        <v>132</v>
      </c>
      <c r="D136" s="61" t="s">
        <v>236</v>
      </c>
      <c r="E136" s="11" t="s">
        <v>237</v>
      </c>
      <c r="F136" s="118" t="s">
        <v>1233</v>
      </c>
      <c r="G136" s="127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233</v>
      </c>
      <c r="C137" s="89" t="s">
        <v>132</v>
      </c>
      <c r="D137" s="61" t="s">
        <v>238</v>
      </c>
      <c r="E137" s="11" t="s">
        <v>237</v>
      </c>
      <c r="F137" s="127" t="s">
        <v>1235</v>
      </c>
      <c r="G137" s="127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233</v>
      </c>
      <c r="C138" s="89" t="s">
        <v>132</v>
      </c>
      <c r="D138" s="61" t="s">
        <v>239</v>
      </c>
      <c r="E138" s="11" t="s">
        <v>237</v>
      </c>
      <c r="F138" s="127" t="s">
        <v>1237</v>
      </c>
      <c r="G138" s="127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61" t="s">
        <v>240</v>
      </c>
      <c r="E139" s="11" t="s">
        <v>237</v>
      </c>
      <c r="F139" s="118" t="s">
        <v>1239</v>
      </c>
      <c r="G139" s="118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6" t="s">
        <v>233</v>
      </c>
      <c r="C140" s="89" t="s">
        <v>132</v>
      </c>
      <c r="D140" s="61" t="s">
        <v>241</v>
      </c>
      <c r="E140" s="11"/>
      <c r="F140" s="118" t="s">
        <v>1241</v>
      </c>
      <c r="G140" s="118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6" t="s">
        <v>155</v>
      </c>
      <c r="C141" s="89" t="s">
        <v>132</v>
      </c>
      <c r="D141" s="61" t="s">
        <v>156</v>
      </c>
      <c r="E141" s="11" t="s">
        <v>242</v>
      </c>
      <c r="F141" s="118" t="s">
        <v>1243</v>
      </c>
      <c r="G141" s="118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6" t="s">
        <v>155</v>
      </c>
      <c r="C142" s="89" t="s">
        <v>132</v>
      </c>
      <c r="D142" s="61" t="s">
        <v>156</v>
      </c>
      <c r="E142" s="11" t="s">
        <v>243</v>
      </c>
      <c r="F142" s="118" t="s">
        <v>1245</v>
      </c>
      <c r="G142" s="118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6" t="s">
        <v>244</v>
      </c>
      <c r="C143" s="89" t="s">
        <v>132</v>
      </c>
      <c r="D143" s="61" t="s">
        <v>245</v>
      </c>
      <c r="E143" s="11" t="s">
        <v>246</v>
      </c>
      <c r="F143" s="118" t="s">
        <v>1247</v>
      </c>
      <c r="G143" s="118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244</v>
      </c>
      <c r="C144" s="89" t="s">
        <v>132</v>
      </c>
      <c r="D144" s="61" t="s">
        <v>248</v>
      </c>
      <c r="E144" s="11" t="s">
        <v>246</v>
      </c>
      <c r="F144" s="118" t="s">
        <v>1249</v>
      </c>
      <c r="G144" s="118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249</v>
      </c>
      <c r="C145" s="89" t="s">
        <v>44</v>
      </c>
      <c r="D145" s="61" t="s">
        <v>1251</v>
      </c>
      <c r="E145" s="11" t="s">
        <v>251</v>
      </c>
      <c r="F145" s="118" t="s">
        <v>1252</v>
      </c>
      <c r="G145" s="118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249</v>
      </c>
      <c r="C146" s="89" t="s">
        <v>132</v>
      </c>
      <c r="D146" s="61" t="s">
        <v>1254</v>
      </c>
      <c r="E146" s="11" t="s">
        <v>251</v>
      </c>
      <c r="F146" s="118" t="s">
        <v>1255</v>
      </c>
      <c r="G146" s="118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8" t="s">
        <v>172</v>
      </c>
      <c r="C147" s="89" t="s">
        <v>48</v>
      </c>
      <c r="D147" s="61" t="s">
        <v>253</v>
      </c>
      <c r="E147" s="11"/>
      <c r="F147" s="118" t="s">
        <v>1257</v>
      </c>
      <c r="G147" s="118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8" t="s">
        <v>172</v>
      </c>
      <c r="C148" s="89" t="s">
        <v>48</v>
      </c>
      <c r="D148" s="61" t="s">
        <v>254</v>
      </c>
      <c r="E148" s="11"/>
      <c r="F148" s="118" t="s">
        <v>1259</v>
      </c>
      <c r="G148" s="118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172</v>
      </c>
      <c r="C149" s="89" t="s">
        <v>48</v>
      </c>
      <c r="D149" s="61" t="s">
        <v>256</v>
      </c>
      <c r="E149" s="11"/>
      <c r="F149" s="118" t="s">
        <v>1261</v>
      </c>
      <c r="G149" s="118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172</v>
      </c>
      <c r="C150" s="89" t="s">
        <v>48</v>
      </c>
      <c r="D150" s="61" t="s">
        <v>257</v>
      </c>
      <c r="E150" s="11"/>
      <c r="F150" s="118" t="s">
        <v>1263</v>
      </c>
      <c r="G150" s="118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6" t="s">
        <v>172</v>
      </c>
      <c r="C151" s="89" t="s">
        <v>48</v>
      </c>
      <c r="D151" s="61" t="s">
        <v>258</v>
      </c>
      <c r="E151" s="11"/>
      <c r="F151" s="118" t="s">
        <v>1265</v>
      </c>
      <c r="G151" s="118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6" t="s">
        <v>172</v>
      </c>
      <c r="C152" s="89" t="s">
        <v>48</v>
      </c>
      <c r="D152" s="61" t="s">
        <v>259</v>
      </c>
      <c r="E152" s="11"/>
      <c r="F152" s="118" t="s">
        <v>1267</v>
      </c>
      <c r="G152" s="118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61" t="s">
        <v>260</v>
      </c>
      <c r="E153" s="11"/>
      <c r="F153" s="118" t="s">
        <v>1269</v>
      </c>
      <c r="G153" s="118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61" t="s">
        <v>261</v>
      </c>
      <c r="E154" s="11"/>
      <c r="F154" s="118" t="s">
        <v>1271</v>
      </c>
      <c r="G154" s="118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120</v>
      </c>
      <c r="C155" s="89" t="s">
        <v>48</v>
      </c>
      <c r="D155" s="61" t="s">
        <v>194</v>
      </c>
      <c r="E155" s="11" t="s">
        <v>262</v>
      </c>
      <c r="F155" s="118" t="s">
        <v>1273</v>
      </c>
      <c r="G155" s="118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120</v>
      </c>
      <c r="C156" s="89" t="s">
        <v>48</v>
      </c>
      <c r="D156" s="61" t="s">
        <v>263</v>
      </c>
      <c r="E156" s="11" t="s">
        <v>264</v>
      </c>
      <c r="F156" s="118" t="s">
        <v>1275</v>
      </c>
      <c r="G156" s="118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120</v>
      </c>
      <c r="C157" s="89" t="s">
        <v>48</v>
      </c>
      <c r="D157" s="61" t="s">
        <v>265</v>
      </c>
      <c r="E157" s="11" t="s">
        <v>266</v>
      </c>
      <c r="F157" s="118" t="s">
        <v>1277</v>
      </c>
      <c r="G157" s="118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120</v>
      </c>
      <c r="C158" s="89" t="s">
        <v>48</v>
      </c>
      <c r="D158" s="61" t="s">
        <v>196</v>
      </c>
      <c r="E158" s="11" t="s">
        <v>267</v>
      </c>
      <c r="F158" s="118" t="s">
        <v>1279</v>
      </c>
      <c r="G158" s="118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61" t="s">
        <v>198</v>
      </c>
      <c r="E159" s="11" t="s">
        <v>268</v>
      </c>
      <c r="F159" s="118" t="s">
        <v>1281</v>
      </c>
      <c r="G159" s="118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61" t="s">
        <v>200</v>
      </c>
      <c r="E160" s="11" t="s">
        <v>269</v>
      </c>
      <c r="F160" s="118" t="s">
        <v>1283</v>
      </c>
      <c r="G160" s="118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61" t="s">
        <v>270</v>
      </c>
      <c r="E161" s="11" t="s">
        <v>271</v>
      </c>
      <c r="F161" s="118" t="s">
        <v>1285</v>
      </c>
      <c r="G161" s="118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61" t="s">
        <v>272</v>
      </c>
      <c r="E162" s="11" t="s">
        <v>273</v>
      </c>
      <c r="F162" s="118" t="s">
        <v>1287</v>
      </c>
      <c r="G162" s="118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61" t="s">
        <v>274</v>
      </c>
      <c r="E163" s="11" t="s">
        <v>275</v>
      </c>
      <c r="F163" s="118" t="s">
        <v>1289</v>
      </c>
      <c r="G163" s="118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187</v>
      </c>
      <c r="C164" s="89" t="s">
        <v>48</v>
      </c>
      <c r="D164" s="61" t="s">
        <v>276</v>
      </c>
      <c r="E164" s="11" t="s">
        <v>277</v>
      </c>
      <c r="F164" s="118" t="s">
        <v>1291</v>
      </c>
      <c r="G164" s="118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customHeight="1">
      <c r="A165" s="9"/>
      <c r="B165" s="16" t="s">
        <v>204</v>
      </c>
      <c r="C165" s="89" t="s">
        <v>48</v>
      </c>
      <c r="D165" s="61" t="s">
        <v>278</v>
      </c>
      <c r="E165" s="11" t="s">
        <v>279</v>
      </c>
      <c r="F165" s="118" t="s">
        <v>1293</v>
      </c>
      <c r="G165" s="118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204</v>
      </c>
      <c r="C166" s="89" t="s">
        <v>48</v>
      </c>
      <c r="D166" s="61" t="s">
        <v>280</v>
      </c>
      <c r="E166" s="11" t="s">
        <v>281</v>
      </c>
      <c r="F166" s="118" t="s">
        <v>1295</v>
      </c>
      <c r="G166" s="118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204</v>
      </c>
      <c r="C167" s="89" t="s">
        <v>48</v>
      </c>
      <c r="D167" s="61" t="s">
        <v>282</v>
      </c>
      <c r="E167" s="11" t="s">
        <v>206</v>
      </c>
      <c r="F167" s="118" t="s">
        <v>1297</v>
      </c>
      <c r="G167" s="118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204</v>
      </c>
      <c r="C168" s="89" t="s">
        <v>48</v>
      </c>
      <c r="D168" s="61" t="s">
        <v>216</v>
      </c>
      <c r="E168" s="11" t="s">
        <v>279</v>
      </c>
      <c r="F168" s="118" t="s">
        <v>1299</v>
      </c>
      <c r="G168" s="118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61" t="s">
        <v>283</v>
      </c>
      <c r="E169" s="11" t="s">
        <v>206</v>
      </c>
      <c r="F169" s="118" t="s">
        <v>1301</v>
      </c>
      <c r="G169" s="118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1" t="s">
        <v>284</v>
      </c>
      <c r="E170" s="11" t="s">
        <v>237</v>
      </c>
      <c r="F170" s="127" t="s">
        <v>1303</v>
      </c>
      <c r="G170" s="127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customHeight="1">
      <c r="A171" s="9"/>
      <c r="B171" s="16" t="s">
        <v>204</v>
      </c>
      <c r="C171" s="89" t="s">
        <v>48</v>
      </c>
      <c r="D171" s="61" t="s">
        <v>285</v>
      </c>
      <c r="E171" s="11" t="s">
        <v>279</v>
      </c>
      <c r="F171" s="118" t="s">
        <v>1305</v>
      </c>
      <c r="G171" s="118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1" t="s">
        <v>286</v>
      </c>
      <c r="E172" s="11" t="s">
        <v>287</v>
      </c>
      <c r="F172" s="127" t="s">
        <v>1307</v>
      </c>
      <c r="G172" s="127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customHeight="1">
      <c r="A173" s="9"/>
      <c r="B173" s="16" t="s">
        <v>204</v>
      </c>
      <c r="C173" s="89" t="s">
        <v>48</v>
      </c>
      <c r="D173" s="61" t="s">
        <v>288</v>
      </c>
      <c r="E173" s="11" t="s">
        <v>281</v>
      </c>
      <c r="F173" s="118" t="s">
        <v>1309</v>
      </c>
      <c r="G173" s="118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2"/>
      <c r="U173" s="42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61" t="s">
        <v>289</v>
      </c>
      <c r="E174" s="11" t="s">
        <v>290</v>
      </c>
      <c r="F174" s="118" t="s">
        <v>1311</v>
      </c>
      <c r="G174" s="118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61" t="s">
        <v>291</v>
      </c>
      <c r="E175" s="11" t="s">
        <v>281</v>
      </c>
      <c r="F175" s="118" t="s">
        <v>1313</v>
      </c>
      <c r="G175" s="118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61" t="s">
        <v>1315</v>
      </c>
      <c r="E176" s="11" t="s">
        <v>281</v>
      </c>
      <c r="F176" s="118" t="s">
        <v>1316</v>
      </c>
      <c r="G176" s="118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61" t="s">
        <v>293</v>
      </c>
      <c r="E177" s="11" t="s">
        <v>206</v>
      </c>
      <c r="F177" s="118" t="s">
        <v>1318</v>
      </c>
      <c r="G177" s="118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61" t="s">
        <v>294</v>
      </c>
      <c r="E178" s="11" t="s">
        <v>206</v>
      </c>
      <c r="F178" s="118" t="s">
        <v>1320</v>
      </c>
      <c r="G178" s="118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61" t="s">
        <v>295</v>
      </c>
      <c r="E179" s="11" t="s">
        <v>279</v>
      </c>
      <c r="F179" s="118" t="s">
        <v>1322</v>
      </c>
      <c r="G179" s="118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61" t="s">
        <v>296</v>
      </c>
      <c r="E180" s="11" t="s">
        <v>287</v>
      </c>
      <c r="F180" s="118" t="s">
        <v>1324</v>
      </c>
      <c r="G180" s="118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61" t="s">
        <v>297</v>
      </c>
      <c r="E181" s="11" t="s">
        <v>281</v>
      </c>
      <c r="F181" s="118" t="s">
        <v>1326</v>
      </c>
      <c r="G181" s="118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2"/>
      <c r="U181" s="42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61" t="s">
        <v>1328</v>
      </c>
      <c r="E182" s="11" t="s">
        <v>290</v>
      </c>
      <c r="F182" s="118" t="s">
        <v>1329</v>
      </c>
      <c r="G182" s="118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 t="shared" si="16"/>
        <v>288</v>
      </c>
      <c r="R182" s="42"/>
      <c r="S182" s="15"/>
      <c r="T182" s="42"/>
      <c r="U182" s="15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customHeight="1">
      <c r="A183" s="9"/>
      <c r="B183" s="16" t="s">
        <v>204</v>
      </c>
      <c r="C183" s="89" t="s">
        <v>48</v>
      </c>
      <c r="D183" s="61" t="s">
        <v>299</v>
      </c>
      <c r="E183" s="11" t="s">
        <v>281</v>
      </c>
      <c r="F183" s="118" t="s">
        <v>1331</v>
      </c>
      <c r="G183" s="118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customHeight="1">
      <c r="A184" s="9"/>
      <c r="B184" s="16" t="s">
        <v>300</v>
      </c>
      <c r="C184" s="89" t="s">
        <v>48</v>
      </c>
      <c r="D184" s="61" t="s">
        <v>301</v>
      </c>
      <c r="E184" s="11" t="s">
        <v>302</v>
      </c>
      <c r="F184" s="118" t="s">
        <v>1333</v>
      </c>
      <c r="G184" s="118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61" t="s">
        <v>303</v>
      </c>
      <c r="E185" s="11" t="s">
        <v>304</v>
      </c>
      <c r="F185" s="118" t="s">
        <v>1335</v>
      </c>
      <c r="G185" s="118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61" t="s">
        <v>305</v>
      </c>
      <c r="E186" s="11" t="s">
        <v>206</v>
      </c>
      <c r="F186" s="118" t="s">
        <v>1337</v>
      </c>
      <c r="G186" s="118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61" t="s">
        <v>306</v>
      </c>
      <c r="E187" s="11" t="s">
        <v>307</v>
      </c>
      <c r="F187" s="118" t="s">
        <v>1339</v>
      </c>
      <c r="G187" s="118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61" t="s">
        <v>308</v>
      </c>
      <c r="E188" s="11" t="s">
        <v>307</v>
      </c>
      <c r="F188" s="118" t="s">
        <v>1341</v>
      </c>
      <c r="G188" s="118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customHeight="1">
      <c r="A189" s="9"/>
      <c r="B189" s="16" t="s">
        <v>204</v>
      </c>
      <c r="C189" s="89" t="s">
        <v>48</v>
      </c>
      <c r="D189" s="61" t="s">
        <v>309</v>
      </c>
      <c r="E189" s="11" t="s">
        <v>206</v>
      </c>
      <c r="F189" s="127" t="s">
        <v>1343</v>
      </c>
      <c r="G189" s="127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61" t="s">
        <v>310</v>
      </c>
      <c r="E190" s="11" t="s">
        <v>1345</v>
      </c>
      <c r="F190" s="118" t="s">
        <v>1346</v>
      </c>
      <c r="G190" s="118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customHeight="1">
      <c r="A191" s="9"/>
      <c r="B191" s="16" t="s">
        <v>204</v>
      </c>
      <c r="C191" s="89" t="s">
        <v>48</v>
      </c>
      <c r="D191" s="61" t="s">
        <v>312</v>
      </c>
      <c r="E191" s="11" t="s">
        <v>1348</v>
      </c>
      <c r="F191" s="118" t="s">
        <v>1349</v>
      </c>
      <c r="G191" s="118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1" t="s">
        <v>313</v>
      </c>
      <c r="E192" s="11" t="s">
        <v>1351</v>
      </c>
      <c r="F192" s="127" t="s">
        <v>1352</v>
      </c>
      <c r="G192" s="127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customHeight="1">
      <c r="A193" s="9"/>
      <c r="B193" s="16" t="s">
        <v>233</v>
      </c>
      <c r="C193" s="89" t="s">
        <v>48</v>
      </c>
      <c r="D193" s="61" t="s">
        <v>315</v>
      </c>
      <c r="E193" s="11" t="s">
        <v>316</v>
      </c>
      <c r="F193" s="118" t="s">
        <v>1354</v>
      </c>
      <c r="G193" s="118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customHeight="1">
      <c r="A194" s="9"/>
      <c r="B194" s="16" t="s">
        <v>233</v>
      </c>
      <c r="C194" s="89" t="s">
        <v>48</v>
      </c>
      <c r="D194" s="61" t="s">
        <v>315</v>
      </c>
      <c r="E194" s="11" t="s">
        <v>318</v>
      </c>
      <c r="F194" s="118" t="s">
        <v>1356</v>
      </c>
      <c r="G194" s="118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customHeight="1">
      <c r="A195" s="9"/>
      <c r="B195" s="16" t="s">
        <v>233</v>
      </c>
      <c r="C195" s="89" t="s">
        <v>48</v>
      </c>
      <c r="D195" s="61" t="s">
        <v>319</v>
      </c>
      <c r="E195" s="11" t="s">
        <v>233</v>
      </c>
      <c r="F195" s="118" t="s">
        <v>1358</v>
      </c>
      <c r="G195" s="118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customHeight="1">
      <c r="A196" s="9"/>
      <c r="B196" s="16" t="s">
        <v>233</v>
      </c>
      <c r="C196" s="89" t="s">
        <v>48</v>
      </c>
      <c r="D196" s="61" t="s">
        <v>320</v>
      </c>
      <c r="E196" s="11" t="s">
        <v>321</v>
      </c>
      <c r="F196" s="118" t="s">
        <v>1360</v>
      </c>
      <c r="G196" s="118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customHeight="1">
      <c r="A197" s="9"/>
      <c r="B197" s="16" t="s">
        <v>233</v>
      </c>
      <c r="C197" s="89" t="s">
        <v>48</v>
      </c>
      <c r="D197" s="61" t="s">
        <v>322</v>
      </c>
      <c r="E197" s="11" t="s">
        <v>323</v>
      </c>
      <c r="F197" s="118" t="s">
        <v>1362</v>
      </c>
      <c r="G197" s="118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customHeight="1">
      <c r="A198" s="9"/>
      <c r="B198" s="16" t="s">
        <v>233</v>
      </c>
      <c r="C198" s="89" t="s">
        <v>48</v>
      </c>
      <c r="D198" s="61" t="s">
        <v>324</v>
      </c>
      <c r="E198" s="11" t="s">
        <v>325</v>
      </c>
      <c r="F198" s="118" t="s">
        <v>1364</v>
      </c>
      <c r="G198" s="118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customHeight="1">
      <c r="A199" s="9"/>
      <c r="B199" s="16" t="s">
        <v>233</v>
      </c>
      <c r="C199" s="89" t="s">
        <v>48</v>
      </c>
      <c r="D199" s="61" t="s">
        <v>326</v>
      </c>
      <c r="E199" s="11" t="s">
        <v>327</v>
      </c>
      <c r="F199" s="118" t="s">
        <v>1366</v>
      </c>
      <c r="G199" s="118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customHeight="1">
      <c r="A200" s="9"/>
      <c r="B200" s="16" t="s">
        <v>155</v>
      </c>
      <c r="C200" s="89" t="s">
        <v>48</v>
      </c>
      <c r="D200" s="61" t="s">
        <v>328</v>
      </c>
      <c r="E200" s="11" t="s">
        <v>329</v>
      </c>
      <c r="F200" s="118" t="s">
        <v>1368</v>
      </c>
      <c r="G200" s="118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customHeight="1">
      <c r="A201" s="9"/>
      <c r="B201" s="16" t="s">
        <v>330</v>
      </c>
      <c r="C201" s="89" t="s">
        <v>48</v>
      </c>
      <c r="D201" s="61" t="s">
        <v>331</v>
      </c>
      <c r="E201" s="11" t="s">
        <v>330</v>
      </c>
      <c r="F201" s="118" t="s">
        <v>1370</v>
      </c>
      <c r="G201" s="118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customHeight="1">
      <c r="A202" s="9"/>
      <c r="B202" s="16" t="s">
        <v>330</v>
      </c>
      <c r="C202" s="89" t="s">
        <v>48</v>
      </c>
      <c r="D202" s="61" t="s">
        <v>333</v>
      </c>
      <c r="E202" s="11" t="s">
        <v>330</v>
      </c>
      <c r="F202" s="118" t="s">
        <v>1372</v>
      </c>
      <c r="G202" s="118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customHeight="1">
      <c r="A203" s="9"/>
      <c r="B203" s="16" t="s">
        <v>334</v>
      </c>
      <c r="C203" s="89" t="s">
        <v>48</v>
      </c>
      <c r="D203" s="61" t="s">
        <v>335</v>
      </c>
      <c r="E203" s="11" t="s">
        <v>336</v>
      </c>
      <c r="F203" s="118" t="s">
        <v>1374</v>
      </c>
      <c r="G203" s="118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customHeight="1">
      <c r="A204" s="9"/>
      <c r="B204" s="16" t="s">
        <v>489</v>
      </c>
      <c r="C204" s="89" t="s">
        <v>48</v>
      </c>
      <c r="D204" s="61" t="s">
        <v>1376</v>
      </c>
      <c r="E204" s="11" t="s">
        <v>1377</v>
      </c>
      <c r="F204" s="118" t="s">
        <v>1378</v>
      </c>
      <c r="G204" s="117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customHeight="1">
      <c r="A205" s="9"/>
      <c r="B205" s="16" t="s">
        <v>337</v>
      </c>
      <c r="C205" s="89" t="s">
        <v>48</v>
      </c>
      <c r="D205" s="61" t="s">
        <v>338</v>
      </c>
      <c r="E205" s="11" t="s">
        <v>337</v>
      </c>
      <c r="F205" s="118" t="s">
        <v>1380</v>
      </c>
      <c r="G205" s="118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customHeight="1">
      <c r="A206" s="9"/>
      <c r="B206" s="16" t="s">
        <v>337</v>
      </c>
      <c r="C206" s="89" t="s">
        <v>48</v>
      </c>
      <c r="D206" s="61" t="s">
        <v>340</v>
      </c>
      <c r="E206" s="11" t="s">
        <v>337</v>
      </c>
      <c r="F206" s="118" t="s">
        <v>1382</v>
      </c>
      <c r="G206" s="118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249</v>
      </c>
      <c r="C207" s="89" t="s">
        <v>48</v>
      </c>
      <c r="D207" s="61" t="s">
        <v>1384</v>
      </c>
      <c r="E207" s="11" t="s">
        <v>251</v>
      </c>
      <c r="F207" s="118" t="s">
        <v>1385</v>
      </c>
      <c r="G207" s="118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343</v>
      </c>
      <c r="C208" s="89" t="s">
        <v>48</v>
      </c>
      <c r="D208" s="61" t="s">
        <v>343</v>
      </c>
      <c r="E208" s="11" t="s">
        <v>344</v>
      </c>
      <c r="F208" s="118" t="s">
        <v>1387</v>
      </c>
      <c r="G208" s="118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204</v>
      </c>
      <c r="C209" s="89" t="s">
        <v>48</v>
      </c>
      <c r="D209" s="61" t="s">
        <v>288</v>
      </c>
      <c r="E209" s="11" t="s">
        <v>222</v>
      </c>
      <c r="F209" s="118" t="s">
        <v>1389</v>
      </c>
      <c r="G209" s="118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204</v>
      </c>
      <c r="C210" s="89" t="s">
        <v>48</v>
      </c>
      <c r="D210" s="61" t="s">
        <v>289</v>
      </c>
      <c r="E210" s="11" t="s">
        <v>222</v>
      </c>
      <c r="F210" s="118" t="s">
        <v>1391</v>
      </c>
      <c r="G210" s="118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204</v>
      </c>
      <c r="C211" s="89" t="s">
        <v>48</v>
      </c>
      <c r="D211" s="61" t="s">
        <v>291</v>
      </c>
      <c r="E211" s="11" t="s">
        <v>222</v>
      </c>
      <c r="F211" s="118" t="s">
        <v>1393</v>
      </c>
      <c r="G211" s="118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204</v>
      </c>
      <c r="C212" s="89" t="s">
        <v>48</v>
      </c>
      <c r="D212" s="61" t="s">
        <v>1315</v>
      </c>
      <c r="E212" s="11" t="s">
        <v>346</v>
      </c>
      <c r="F212" s="118" t="s">
        <v>1395</v>
      </c>
      <c r="G212" s="127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customHeight="1">
      <c r="A213" s="9"/>
      <c r="B213" s="16" t="s">
        <v>204</v>
      </c>
      <c r="C213" s="89" t="s">
        <v>48</v>
      </c>
      <c r="D213" s="61" t="s">
        <v>216</v>
      </c>
      <c r="E213" s="11" t="s">
        <v>347</v>
      </c>
      <c r="F213" s="118" t="s">
        <v>1397</v>
      </c>
      <c r="G213" s="118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customHeight="1">
      <c r="A214" s="9"/>
      <c r="B214" s="16" t="s">
        <v>204</v>
      </c>
      <c r="C214" s="89" t="s">
        <v>48</v>
      </c>
      <c r="D214" s="61" t="s">
        <v>285</v>
      </c>
      <c r="E214" s="11" t="s">
        <v>347</v>
      </c>
      <c r="F214" s="118" t="s">
        <v>1399</v>
      </c>
      <c r="G214" s="118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customHeight="1">
      <c r="A215" s="9"/>
      <c r="B215" s="16" t="s">
        <v>204</v>
      </c>
      <c r="C215" s="89" t="s">
        <v>48</v>
      </c>
      <c r="D215" s="61" t="s">
        <v>286</v>
      </c>
      <c r="E215" s="11" t="s">
        <v>206</v>
      </c>
      <c r="F215" s="118" t="s">
        <v>1401</v>
      </c>
      <c r="G215" s="118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customHeight="1">
      <c r="A216" s="9"/>
      <c r="B216" s="16" t="s">
        <v>204</v>
      </c>
      <c r="C216" s="89" t="s">
        <v>48</v>
      </c>
      <c r="D216" s="61" t="s">
        <v>297</v>
      </c>
      <c r="E216" s="11" t="s">
        <v>222</v>
      </c>
      <c r="F216" s="118" t="s">
        <v>1403</v>
      </c>
      <c r="G216" s="118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customHeight="1">
      <c r="A217" s="9"/>
      <c r="B217" s="18" t="s">
        <v>172</v>
      </c>
      <c r="C217" s="89" t="s">
        <v>50</v>
      </c>
      <c r="D217" s="61" t="s">
        <v>349</v>
      </c>
      <c r="E217" s="11"/>
      <c r="F217" s="118" t="s">
        <v>2302</v>
      </c>
      <c r="G217" s="118" t="s">
        <v>1405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customHeight="1">
      <c r="A218" s="9"/>
      <c r="B218" s="18" t="s">
        <v>172</v>
      </c>
      <c r="C218" s="89" t="s">
        <v>50</v>
      </c>
      <c r="D218" s="61" t="s">
        <v>350</v>
      </c>
      <c r="E218" s="11"/>
      <c r="F218" s="118" t="s">
        <v>1406</v>
      </c>
      <c r="G218" s="118" t="s">
        <v>1407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customHeight="1">
      <c r="A219" s="9"/>
      <c r="B219" s="16" t="s">
        <v>172</v>
      </c>
      <c r="C219" s="89" t="s">
        <v>50</v>
      </c>
      <c r="D219" s="61" t="s">
        <v>351</v>
      </c>
      <c r="E219" s="11"/>
      <c r="F219" s="118" t="s">
        <v>1408</v>
      </c>
      <c r="G219" s="118" t="s">
        <v>1409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customHeight="1">
      <c r="A220" s="9"/>
      <c r="B220" s="16" t="s">
        <v>172</v>
      </c>
      <c r="C220" s="89" t="s">
        <v>50</v>
      </c>
      <c r="D220" s="61" t="s">
        <v>352</v>
      </c>
      <c r="E220" s="11"/>
      <c r="F220" s="118" t="s">
        <v>1410</v>
      </c>
      <c r="G220" s="118" t="s">
        <v>1411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customHeight="1">
      <c r="A221" s="9"/>
      <c r="B221" s="16" t="s">
        <v>172</v>
      </c>
      <c r="C221" s="89" t="s">
        <v>50</v>
      </c>
      <c r="D221" s="61" t="s">
        <v>353</v>
      </c>
      <c r="E221" s="11"/>
      <c r="F221" s="118" t="s">
        <v>1412</v>
      </c>
      <c r="G221" s="118" t="s">
        <v>1413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customHeight="1">
      <c r="A222" s="9"/>
      <c r="B222" s="16" t="s">
        <v>172</v>
      </c>
      <c r="C222" s="89" t="s">
        <v>50</v>
      </c>
      <c r="D222" s="61" t="s">
        <v>354</v>
      </c>
      <c r="E222" s="11"/>
      <c r="F222" s="118" t="s">
        <v>1414</v>
      </c>
      <c r="G222" s="118" t="s">
        <v>1415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customHeight="1">
      <c r="A223" s="9"/>
      <c r="B223" s="16" t="s">
        <v>172</v>
      </c>
      <c r="C223" s="89" t="s">
        <v>50</v>
      </c>
      <c r="D223" s="61" t="s">
        <v>355</v>
      </c>
      <c r="E223" s="11"/>
      <c r="F223" s="118" t="s">
        <v>1416</v>
      </c>
      <c r="G223" s="118" t="s">
        <v>1417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customHeight="1">
      <c r="A224" s="9"/>
      <c r="B224" s="16" t="s">
        <v>204</v>
      </c>
      <c r="C224" s="92" t="s">
        <v>50</v>
      </c>
      <c r="D224" s="61" t="s">
        <v>364</v>
      </c>
      <c r="E224" s="11" t="s">
        <v>365</v>
      </c>
      <c r="F224" s="118" t="s">
        <v>1418</v>
      </c>
      <c r="G224" s="118" t="s">
        <v>1419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customHeight="1">
      <c r="A225" s="9"/>
      <c r="B225" s="16" t="s">
        <v>204</v>
      </c>
      <c r="C225" s="92" t="s">
        <v>50</v>
      </c>
      <c r="D225" s="61" t="s">
        <v>366</v>
      </c>
      <c r="E225" s="11" t="s">
        <v>365</v>
      </c>
      <c r="F225" s="118" t="s">
        <v>1420</v>
      </c>
      <c r="G225" s="118" t="s">
        <v>1421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customHeight="1">
      <c r="A226" s="9"/>
      <c r="B226" s="16" t="s">
        <v>204</v>
      </c>
      <c r="C226" s="92" t="s">
        <v>50</v>
      </c>
      <c r="D226" s="61" t="s">
        <v>367</v>
      </c>
      <c r="E226" s="11" t="s">
        <v>368</v>
      </c>
      <c r="F226" s="118" t="s">
        <v>1422</v>
      </c>
      <c r="G226" s="118" t="s">
        <v>1423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customHeight="1">
      <c r="A227" s="9"/>
      <c r="B227" s="16" t="s">
        <v>204</v>
      </c>
      <c r="C227" s="92" t="s">
        <v>50</v>
      </c>
      <c r="D227" s="61" t="s">
        <v>369</v>
      </c>
      <c r="E227" s="11" t="s">
        <v>365</v>
      </c>
      <c r="F227" s="118" t="s">
        <v>1424</v>
      </c>
      <c r="G227" s="118" t="s">
        <v>1425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customHeight="1">
      <c r="A228" s="9"/>
      <c r="B228" s="16" t="s">
        <v>204</v>
      </c>
      <c r="C228" s="92" t="s">
        <v>50</v>
      </c>
      <c r="D228" s="61" t="s">
        <v>370</v>
      </c>
      <c r="E228" s="11" t="s">
        <v>365</v>
      </c>
      <c r="F228" s="118" t="s">
        <v>1426</v>
      </c>
      <c r="G228" s="118" t="s">
        <v>1427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customHeight="1">
      <c r="A229" s="9"/>
      <c r="B229" s="16" t="s">
        <v>204</v>
      </c>
      <c r="C229" s="92" t="s">
        <v>50</v>
      </c>
      <c r="D229" s="61" t="s">
        <v>371</v>
      </c>
      <c r="E229" s="11" t="s">
        <v>365</v>
      </c>
      <c r="F229" s="118" t="s">
        <v>1428</v>
      </c>
      <c r="G229" s="118" t="s">
        <v>1429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customHeight="1">
      <c r="A230" s="9"/>
      <c r="B230" s="16" t="s">
        <v>204</v>
      </c>
      <c r="C230" s="92" t="s">
        <v>50</v>
      </c>
      <c r="D230" s="61" t="s">
        <v>372</v>
      </c>
      <c r="E230" s="11" t="s">
        <v>373</v>
      </c>
      <c r="F230" s="118" t="s">
        <v>1430</v>
      </c>
      <c r="G230" s="118" t="s">
        <v>1431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customHeight="1">
      <c r="A231" s="9"/>
      <c r="B231" s="16" t="s">
        <v>204</v>
      </c>
      <c r="C231" s="92" t="s">
        <v>50</v>
      </c>
      <c r="D231" s="61" t="s">
        <v>205</v>
      </c>
      <c r="E231" s="11" t="s">
        <v>373</v>
      </c>
      <c r="F231" s="118" t="s">
        <v>1432</v>
      </c>
      <c r="G231" s="118" t="s">
        <v>1433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customHeight="1">
      <c r="A232" s="9"/>
      <c r="B232" s="16" t="s">
        <v>204</v>
      </c>
      <c r="C232" s="92" t="s">
        <v>50</v>
      </c>
      <c r="D232" s="61" t="s">
        <v>375</v>
      </c>
      <c r="E232" s="11" t="s">
        <v>373</v>
      </c>
      <c r="F232" s="118" t="s">
        <v>1434</v>
      </c>
      <c r="G232" s="118" t="s">
        <v>1435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customHeight="1">
      <c r="A233" s="9"/>
      <c r="B233" s="16" t="s">
        <v>204</v>
      </c>
      <c r="C233" s="92" t="s">
        <v>50</v>
      </c>
      <c r="D233" s="61" t="s">
        <v>376</v>
      </c>
      <c r="E233" s="11" t="s">
        <v>373</v>
      </c>
      <c r="F233" s="118" t="s">
        <v>1436</v>
      </c>
      <c r="G233" s="118" t="s">
        <v>1437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customHeight="1">
      <c r="A234" s="9"/>
      <c r="B234" s="16" t="s">
        <v>204</v>
      </c>
      <c r="C234" s="92" t="s">
        <v>50</v>
      </c>
      <c r="D234" s="61" t="s">
        <v>377</v>
      </c>
      <c r="E234" s="11" t="s">
        <v>365</v>
      </c>
      <c r="F234" s="118" t="s">
        <v>1438</v>
      </c>
      <c r="G234" s="118" t="s">
        <v>1439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customHeight="1">
      <c r="A235" s="9"/>
      <c r="B235" s="16" t="s">
        <v>204</v>
      </c>
      <c r="C235" s="92" t="s">
        <v>50</v>
      </c>
      <c r="D235" s="61" t="s">
        <v>378</v>
      </c>
      <c r="E235" s="11" t="s">
        <v>368</v>
      </c>
      <c r="F235" s="118" t="s">
        <v>1440</v>
      </c>
      <c r="G235" s="118" t="s">
        <v>1441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customHeight="1">
      <c r="A236" s="9"/>
      <c r="B236" s="16" t="s">
        <v>204</v>
      </c>
      <c r="C236" s="92" t="s">
        <v>50</v>
      </c>
      <c r="D236" s="61" t="s">
        <v>379</v>
      </c>
      <c r="E236" s="11" t="s">
        <v>368</v>
      </c>
      <c r="F236" s="118" t="s">
        <v>1442</v>
      </c>
      <c r="G236" s="118" t="s">
        <v>1443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customHeight="1">
      <c r="A237" s="9"/>
      <c r="B237" s="16" t="s">
        <v>204</v>
      </c>
      <c r="C237" s="92" t="s">
        <v>50</v>
      </c>
      <c r="D237" s="61" t="s">
        <v>380</v>
      </c>
      <c r="E237" s="11" t="s">
        <v>373</v>
      </c>
      <c r="F237" s="118" t="s">
        <v>1444</v>
      </c>
      <c r="G237" s="118" t="s">
        <v>1445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customHeight="1">
      <c r="A238" s="9"/>
      <c r="B238" s="16" t="s">
        <v>204</v>
      </c>
      <c r="C238" s="92" t="s">
        <v>50</v>
      </c>
      <c r="D238" s="61" t="s">
        <v>381</v>
      </c>
      <c r="E238" s="11" t="s">
        <v>382</v>
      </c>
      <c r="F238" s="127" t="s">
        <v>1446</v>
      </c>
      <c r="G238" s="127" t="s">
        <v>1447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 t="shared" si="30"/>
        <v>0</v>
      </c>
      <c r="BC238" s="1"/>
      <c r="BD238" s="43"/>
      <c r="BE238" s="1"/>
      <c r="BF238" s="43"/>
      <c r="BG238" s="1">
        <f t="shared" si="31"/>
        <v>0</v>
      </c>
    </row>
    <row r="239" spans="1:59" s="8" customFormat="1" ht="21.95" customHeight="1">
      <c r="A239" s="9"/>
      <c r="B239" s="16" t="s">
        <v>204</v>
      </c>
      <c r="C239" s="92" t="s">
        <v>50</v>
      </c>
      <c r="D239" s="61" t="s">
        <v>383</v>
      </c>
      <c r="E239" s="11" t="s">
        <v>384</v>
      </c>
      <c r="F239" s="118" t="s">
        <v>1448</v>
      </c>
      <c r="G239" s="118" t="s">
        <v>1449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61" t="s">
        <v>385</v>
      </c>
      <c r="E240" s="11" t="s">
        <v>368</v>
      </c>
      <c r="F240" s="118" t="s">
        <v>1450</v>
      </c>
      <c r="G240" s="118" t="s">
        <v>1451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61" t="s">
        <v>386</v>
      </c>
      <c r="E241" s="11"/>
      <c r="F241" s="118" t="s">
        <v>1452</v>
      </c>
      <c r="G241" s="118" t="s">
        <v>1453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61" t="s">
        <v>1454</v>
      </c>
      <c r="E242" s="11" t="s">
        <v>365</v>
      </c>
      <c r="F242" s="118" t="s">
        <v>1455</v>
      </c>
      <c r="G242" s="118" t="s">
        <v>1456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1.95" customHeight="1">
      <c r="A243" s="9"/>
      <c r="B243" s="16" t="s">
        <v>233</v>
      </c>
      <c r="C243" s="92" t="s">
        <v>50</v>
      </c>
      <c r="D243" s="61" t="s">
        <v>388</v>
      </c>
      <c r="E243" s="11" t="s">
        <v>389</v>
      </c>
      <c r="F243" s="118" t="s">
        <v>1457</v>
      </c>
      <c r="G243" s="118" t="s">
        <v>1458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1.95" customHeight="1">
      <c r="A244" s="9"/>
      <c r="B244" s="16" t="s">
        <v>233</v>
      </c>
      <c r="C244" s="92" t="s">
        <v>50</v>
      </c>
      <c r="D244" s="61" t="s">
        <v>390</v>
      </c>
      <c r="E244" s="11" t="s">
        <v>1459</v>
      </c>
      <c r="F244" s="118" t="s">
        <v>2298</v>
      </c>
      <c r="G244" s="151" t="s">
        <v>2300</v>
      </c>
      <c r="H244" s="20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1.95" customHeight="1">
      <c r="A245" s="9"/>
      <c r="B245" s="16" t="s">
        <v>233</v>
      </c>
      <c r="C245" s="92" t="s">
        <v>50</v>
      </c>
      <c r="D245" s="61" t="s">
        <v>390</v>
      </c>
      <c r="E245" s="11" t="s">
        <v>1460</v>
      </c>
      <c r="F245" s="118" t="s">
        <v>2299</v>
      </c>
      <c r="G245" s="118" t="s">
        <v>2301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1.95" customHeight="1">
      <c r="A246" s="9"/>
      <c r="B246" s="16" t="s">
        <v>233</v>
      </c>
      <c r="C246" s="92" t="s">
        <v>50</v>
      </c>
      <c r="D246" s="61" t="s">
        <v>392</v>
      </c>
      <c r="E246" s="11" t="s">
        <v>389</v>
      </c>
      <c r="F246" s="118" t="s">
        <v>1461</v>
      </c>
      <c r="G246" s="118" t="s">
        <v>1462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1.95" customHeight="1">
      <c r="A247" s="9"/>
      <c r="B247" s="16" t="s">
        <v>233</v>
      </c>
      <c r="C247" s="92" t="s">
        <v>50</v>
      </c>
      <c r="D247" s="61" t="s">
        <v>393</v>
      </c>
      <c r="E247" s="11" t="s">
        <v>394</v>
      </c>
      <c r="F247" s="118" t="s">
        <v>1463</v>
      </c>
      <c r="G247" s="118" t="s">
        <v>1464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1.95" customHeight="1">
      <c r="A248" s="9"/>
      <c r="B248" s="16" t="s">
        <v>233</v>
      </c>
      <c r="C248" s="92" t="s">
        <v>50</v>
      </c>
      <c r="D248" s="61" t="s">
        <v>395</v>
      </c>
      <c r="E248" s="11" t="s">
        <v>389</v>
      </c>
      <c r="F248" s="118" t="s">
        <v>1465</v>
      </c>
      <c r="G248" s="118" t="s">
        <v>1466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1.95" customHeight="1">
      <c r="A249" s="9"/>
      <c r="B249" s="16" t="s">
        <v>396</v>
      </c>
      <c r="C249" s="92" t="s">
        <v>50</v>
      </c>
      <c r="D249" s="61" t="s">
        <v>397</v>
      </c>
      <c r="E249" s="11" t="s">
        <v>398</v>
      </c>
      <c r="F249" s="118" t="s">
        <v>1467</v>
      </c>
      <c r="G249" s="118" t="s">
        <v>1468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1.95" customHeight="1">
      <c r="A250" s="9"/>
      <c r="B250" s="16" t="s">
        <v>155</v>
      </c>
      <c r="C250" s="89" t="s">
        <v>50</v>
      </c>
      <c r="D250" s="61" t="s">
        <v>399</v>
      </c>
      <c r="E250" s="11" t="s">
        <v>400</v>
      </c>
      <c r="F250" s="118" t="s">
        <v>1469</v>
      </c>
      <c r="G250" s="118" t="s">
        <v>1470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1.95" customHeight="1">
      <c r="A251" s="9"/>
      <c r="B251" s="16" t="s">
        <v>330</v>
      </c>
      <c r="C251" s="89" t="s">
        <v>50</v>
      </c>
      <c r="D251" s="61" t="s">
        <v>331</v>
      </c>
      <c r="E251" s="11" t="s">
        <v>401</v>
      </c>
      <c r="F251" s="118" t="s">
        <v>1471</v>
      </c>
      <c r="G251" s="118" t="s">
        <v>1472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1.95" customHeight="1">
      <c r="A252" s="9"/>
      <c r="B252" s="16" t="s">
        <v>204</v>
      </c>
      <c r="C252" s="89" t="s">
        <v>402</v>
      </c>
      <c r="D252" s="61" t="s">
        <v>403</v>
      </c>
      <c r="E252" s="11" t="s">
        <v>404</v>
      </c>
      <c r="F252" s="118" t="s">
        <v>1473</v>
      </c>
      <c r="G252" s="118" t="s">
        <v>1474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1.95" customHeight="1">
      <c r="A253" s="9"/>
      <c r="B253" s="16" t="s">
        <v>233</v>
      </c>
      <c r="C253" s="89" t="s">
        <v>402</v>
      </c>
      <c r="D253" s="61" t="s">
        <v>405</v>
      </c>
      <c r="E253" s="11" t="s">
        <v>406</v>
      </c>
      <c r="F253" s="118" t="s">
        <v>1475</v>
      </c>
      <c r="G253" s="118" t="s">
        <v>1476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1.95" customHeight="1">
      <c r="A254" s="9"/>
      <c r="B254" s="16" t="s">
        <v>172</v>
      </c>
      <c r="C254" s="89" t="s">
        <v>402</v>
      </c>
      <c r="D254" s="61" t="s">
        <v>408</v>
      </c>
      <c r="E254" s="11" t="s">
        <v>409</v>
      </c>
      <c r="F254" s="118" t="s">
        <v>1477</v>
      </c>
      <c r="G254" s="118" t="s">
        <v>1478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1.95" customHeight="1">
      <c r="A255" s="9"/>
      <c r="B255" s="16" t="s">
        <v>155</v>
      </c>
      <c r="C255" s="89" t="s">
        <v>402</v>
      </c>
      <c r="D255" s="61" t="s">
        <v>410</v>
      </c>
      <c r="E255" s="11" t="s">
        <v>411</v>
      </c>
      <c r="F255" s="118" t="s">
        <v>1479</v>
      </c>
      <c r="G255" s="118" t="s">
        <v>1480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1.95" customHeight="1">
      <c r="A256" s="9"/>
      <c r="B256" s="16" t="s">
        <v>172</v>
      </c>
      <c r="C256" s="89" t="s">
        <v>140</v>
      </c>
      <c r="D256" s="61" t="s">
        <v>414</v>
      </c>
      <c r="E256" s="11"/>
      <c r="F256" s="118" t="s">
        <v>1481</v>
      </c>
      <c r="G256" s="118" t="s">
        <v>1482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1.95" customHeight="1">
      <c r="A257" s="9"/>
      <c r="B257" s="16" t="s">
        <v>172</v>
      </c>
      <c r="C257" s="89" t="s">
        <v>140</v>
      </c>
      <c r="D257" s="61" t="s">
        <v>415</v>
      </c>
      <c r="E257" s="11"/>
      <c r="F257" s="118" t="s">
        <v>1483</v>
      </c>
      <c r="G257" s="118" t="s">
        <v>1484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1.95" customHeight="1">
      <c r="A258" s="9"/>
      <c r="B258" s="16" t="s">
        <v>172</v>
      </c>
      <c r="C258" s="89" t="s">
        <v>140</v>
      </c>
      <c r="D258" s="61" t="s">
        <v>416</v>
      </c>
      <c r="E258" s="11"/>
      <c r="F258" s="118" t="s">
        <v>1485</v>
      </c>
      <c r="G258" s="118" t="s">
        <v>1486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1.95" customHeight="1">
      <c r="A259" s="9"/>
      <c r="B259" s="16" t="s">
        <v>172</v>
      </c>
      <c r="C259" s="89" t="s">
        <v>140</v>
      </c>
      <c r="D259" s="61" t="s">
        <v>417</v>
      </c>
      <c r="E259" s="11"/>
      <c r="F259" s="118" t="s">
        <v>1487</v>
      </c>
      <c r="G259" s="118" t="s">
        <v>1488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1.95" customHeight="1">
      <c r="A260" s="9"/>
      <c r="B260" s="16" t="s">
        <v>172</v>
      </c>
      <c r="C260" s="89" t="s">
        <v>140</v>
      </c>
      <c r="D260" s="61" t="s">
        <v>418</v>
      </c>
      <c r="E260" s="11"/>
      <c r="F260" s="118" t="s">
        <v>1489</v>
      </c>
      <c r="G260" s="127" t="s">
        <v>1490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1.95" customHeight="1">
      <c r="A261" s="9"/>
      <c r="B261" s="16" t="s">
        <v>172</v>
      </c>
      <c r="C261" s="89" t="s">
        <v>140</v>
      </c>
      <c r="D261" s="61" t="s">
        <v>419</v>
      </c>
      <c r="E261" s="11"/>
      <c r="F261" s="118" t="s">
        <v>1491</v>
      </c>
      <c r="G261" s="118" t="s">
        <v>1492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1.95" customHeight="1">
      <c r="A262" s="9"/>
      <c r="B262" s="16" t="s">
        <v>172</v>
      </c>
      <c r="C262" s="89" t="s">
        <v>140</v>
      </c>
      <c r="D262" s="61" t="s">
        <v>421</v>
      </c>
      <c r="E262" s="11"/>
      <c r="F262" s="118" t="s">
        <v>1493</v>
      </c>
      <c r="G262" s="118" t="s">
        <v>1494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1.95" customHeight="1">
      <c r="A263" s="9"/>
      <c r="B263" s="16" t="s">
        <v>172</v>
      </c>
      <c r="C263" s="89" t="s">
        <v>140</v>
      </c>
      <c r="D263" s="61" t="s">
        <v>423</v>
      </c>
      <c r="E263" s="11"/>
      <c r="F263" s="118" t="s">
        <v>1495</v>
      </c>
      <c r="G263" s="118" t="s">
        <v>1496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1.95" customHeight="1">
      <c r="A264" s="9"/>
      <c r="B264" s="16" t="s">
        <v>172</v>
      </c>
      <c r="C264" s="89" t="s">
        <v>140</v>
      </c>
      <c r="D264" s="61" t="s">
        <v>425</v>
      </c>
      <c r="E264" s="11"/>
      <c r="F264" s="118" t="s">
        <v>1497</v>
      </c>
      <c r="G264" s="118" t="s">
        <v>1498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customHeight="1">
      <c r="A265" s="9"/>
      <c r="B265" s="16" t="s">
        <v>172</v>
      </c>
      <c r="C265" s="89" t="s">
        <v>140</v>
      </c>
      <c r="D265" s="61" t="s">
        <v>1499</v>
      </c>
      <c r="E265" s="11"/>
      <c r="F265" s="118" t="s">
        <v>1500</v>
      </c>
      <c r="G265" s="118" t="s">
        <v>1501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customHeight="1">
      <c r="A266" s="9"/>
      <c r="B266" s="16" t="s">
        <v>172</v>
      </c>
      <c r="C266" s="89" t="s">
        <v>140</v>
      </c>
      <c r="D266" s="61" t="s">
        <v>427</v>
      </c>
      <c r="E266" s="11"/>
      <c r="F266" s="118" t="s">
        <v>1502</v>
      </c>
      <c r="G266" s="118" t="s">
        <v>1503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customHeight="1">
      <c r="A267" s="9"/>
      <c r="B267" s="16" t="s">
        <v>187</v>
      </c>
      <c r="C267" s="89" t="s">
        <v>140</v>
      </c>
      <c r="D267" s="61" t="s">
        <v>1504</v>
      </c>
      <c r="E267" s="11" t="s">
        <v>429</v>
      </c>
      <c r="F267" s="118" t="s">
        <v>1505</v>
      </c>
      <c r="G267" s="118" t="s">
        <v>1506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customHeight="1">
      <c r="A268" s="9"/>
      <c r="B268" s="16" t="s">
        <v>187</v>
      </c>
      <c r="C268" s="89" t="s">
        <v>140</v>
      </c>
      <c r="D268" s="61" t="s">
        <v>1507</v>
      </c>
      <c r="E268" s="11" t="s">
        <v>432</v>
      </c>
      <c r="F268" s="118" t="s">
        <v>1508</v>
      </c>
      <c r="G268" s="118" t="s">
        <v>1509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customHeight="1">
      <c r="A269" s="9"/>
      <c r="B269" s="16" t="s">
        <v>120</v>
      </c>
      <c r="C269" s="89" t="s">
        <v>140</v>
      </c>
      <c r="D269" s="61" t="s">
        <v>433</v>
      </c>
      <c r="E269" s="11" t="s">
        <v>434</v>
      </c>
      <c r="F269" s="118" t="s">
        <v>1510</v>
      </c>
      <c r="G269" s="118" t="s">
        <v>1511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customHeight="1">
      <c r="A270" s="9"/>
      <c r="B270" s="16" t="s">
        <v>120</v>
      </c>
      <c r="C270" s="89" t="s">
        <v>140</v>
      </c>
      <c r="D270" s="61" t="s">
        <v>435</v>
      </c>
      <c r="E270" s="11"/>
      <c r="F270" s="118" t="s">
        <v>1512</v>
      </c>
      <c r="G270" s="118" t="s">
        <v>1513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120</v>
      </c>
      <c r="C271" s="89" t="s">
        <v>140</v>
      </c>
      <c r="D271" s="61" t="s">
        <v>436</v>
      </c>
      <c r="E271" s="11"/>
      <c r="F271" s="127" t="s">
        <v>1514</v>
      </c>
      <c r="G271" s="127" t="s">
        <v>1515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customHeight="1">
      <c r="A272" s="9"/>
      <c r="B272" s="16" t="s">
        <v>120</v>
      </c>
      <c r="C272" s="89" t="s">
        <v>140</v>
      </c>
      <c r="D272" s="61" t="s">
        <v>437</v>
      </c>
      <c r="E272" s="11"/>
      <c r="F272" s="118" t="s">
        <v>1516</v>
      </c>
      <c r="G272" s="118" t="s">
        <v>1517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customHeight="1">
      <c r="A273" s="9"/>
      <c r="B273" s="16" t="s">
        <v>120</v>
      </c>
      <c r="C273" s="89" t="s">
        <v>140</v>
      </c>
      <c r="D273" s="61" t="s">
        <v>438</v>
      </c>
      <c r="E273" s="11"/>
      <c r="F273" s="118" t="s">
        <v>1518</v>
      </c>
      <c r="G273" s="118" t="s">
        <v>1519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customHeight="1">
      <c r="A274" s="9"/>
      <c r="B274" s="16" t="s">
        <v>120</v>
      </c>
      <c r="C274" s="89" t="s">
        <v>140</v>
      </c>
      <c r="D274" s="61" t="s">
        <v>439</v>
      </c>
      <c r="E274" s="11"/>
      <c r="F274" s="118" t="s">
        <v>1520</v>
      </c>
      <c r="G274" s="118" t="s">
        <v>1521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customHeight="1">
      <c r="A275" s="9"/>
      <c r="B275" s="16" t="s">
        <v>120</v>
      </c>
      <c r="C275" s="89" t="s">
        <v>140</v>
      </c>
      <c r="D275" s="61" t="s">
        <v>440</v>
      </c>
      <c r="E275" s="11"/>
      <c r="F275" s="118" t="s">
        <v>1522</v>
      </c>
      <c r="G275" s="118" t="s">
        <v>1523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customHeight="1">
      <c r="A276" s="9"/>
      <c r="B276" s="16" t="s">
        <v>204</v>
      </c>
      <c r="C276" s="89" t="s">
        <v>140</v>
      </c>
      <c r="D276" s="61" t="s">
        <v>441</v>
      </c>
      <c r="E276" s="11" t="s">
        <v>206</v>
      </c>
      <c r="F276" s="118" t="s">
        <v>1524</v>
      </c>
      <c r="G276" s="118" t="s">
        <v>1525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customHeight="1">
      <c r="A277" s="9"/>
      <c r="B277" s="16" t="s">
        <v>204</v>
      </c>
      <c r="C277" s="89" t="s">
        <v>140</v>
      </c>
      <c r="D277" s="61" t="s">
        <v>442</v>
      </c>
      <c r="E277" s="11" t="s">
        <v>206</v>
      </c>
      <c r="F277" s="118" t="s">
        <v>1526</v>
      </c>
      <c r="G277" s="118" t="s">
        <v>1527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customHeight="1">
      <c r="A278" s="9"/>
      <c r="B278" s="16" t="s">
        <v>204</v>
      </c>
      <c r="C278" s="89" t="s">
        <v>140</v>
      </c>
      <c r="D278" s="61" t="s">
        <v>205</v>
      </c>
      <c r="E278" s="11" t="s">
        <v>206</v>
      </c>
      <c r="F278" s="118" t="s">
        <v>1528</v>
      </c>
      <c r="G278" s="118" t="s">
        <v>1529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customHeight="1">
      <c r="A279" s="9"/>
      <c r="B279" s="16" t="s">
        <v>204</v>
      </c>
      <c r="C279" s="89" t="s">
        <v>140</v>
      </c>
      <c r="D279" s="61" t="s">
        <v>278</v>
      </c>
      <c r="E279" s="11" t="s">
        <v>206</v>
      </c>
      <c r="F279" s="118" t="s">
        <v>1530</v>
      </c>
      <c r="G279" s="118" t="s">
        <v>1531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customHeight="1">
      <c r="A280" s="9"/>
      <c r="B280" s="16" t="s">
        <v>204</v>
      </c>
      <c r="C280" s="89" t="s">
        <v>140</v>
      </c>
      <c r="D280" s="61" t="s">
        <v>280</v>
      </c>
      <c r="E280" s="11" t="s">
        <v>206</v>
      </c>
      <c r="F280" s="118" t="s">
        <v>1532</v>
      </c>
      <c r="G280" s="118" t="s">
        <v>1533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customHeight="1">
      <c r="A281" s="9"/>
      <c r="B281" s="16" t="s">
        <v>204</v>
      </c>
      <c r="C281" s="89" t="s">
        <v>140</v>
      </c>
      <c r="D281" s="61" t="s">
        <v>213</v>
      </c>
      <c r="E281" s="11" t="s">
        <v>206</v>
      </c>
      <c r="F281" s="118" t="s">
        <v>1534</v>
      </c>
      <c r="G281" s="118" t="s">
        <v>1535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customHeight="1">
      <c r="A282" s="9"/>
      <c r="B282" s="16" t="s">
        <v>204</v>
      </c>
      <c r="C282" s="89" t="s">
        <v>140</v>
      </c>
      <c r="D282" s="61" t="s">
        <v>445</v>
      </c>
      <c r="E282" s="11" t="s">
        <v>206</v>
      </c>
      <c r="F282" s="118" t="s">
        <v>1536</v>
      </c>
      <c r="G282" s="118" t="s">
        <v>1537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customHeight="1">
      <c r="A283" s="9"/>
      <c r="B283" s="16" t="s">
        <v>204</v>
      </c>
      <c r="C283" s="89" t="s">
        <v>140</v>
      </c>
      <c r="D283" s="61" t="s">
        <v>446</v>
      </c>
      <c r="E283" s="11" t="s">
        <v>237</v>
      </c>
      <c r="F283" s="118" t="s">
        <v>1538</v>
      </c>
      <c r="G283" s="118" t="s">
        <v>1539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customHeight="1">
      <c r="A284" s="9"/>
      <c r="B284" s="16" t="s">
        <v>204</v>
      </c>
      <c r="C284" s="89" t="s">
        <v>140</v>
      </c>
      <c r="D284" s="61" t="s">
        <v>447</v>
      </c>
      <c r="E284" s="11" t="s">
        <v>237</v>
      </c>
      <c r="F284" s="118" t="s">
        <v>1540</v>
      </c>
      <c r="G284" s="118" t="s">
        <v>1541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customHeight="1">
      <c r="A285" s="9"/>
      <c r="B285" s="16" t="s">
        <v>204</v>
      </c>
      <c r="C285" s="89" t="s">
        <v>140</v>
      </c>
      <c r="D285" s="61" t="s">
        <v>220</v>
      </c>
      <c r="E285" s="11" t="s">
        <v>215</v>
      </c>
      <c r="F285" s="118" t="s">
        <v>1542</v>
      </c>
      <c r="G285" s="118" t="s">
        <v>1543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customHeight="1">
      <c r="A286" s="9"/>
      <c r="B286" s="16" t="s">
        <v>204</v>
      </c>
      <c r="C286" s="89" t="s">
        <v>140</v>
      </c>
      <c r="D286" s="61" t="s">
        <v>449</v>
      </c>
      <c r="E286" s="11" t="s">
        <v>206</v>
      </c>
      <c r="F286" s="118" t="s">
        <v>1544</v>
      </c>
      <c r="G286" s="118" t="s">
        <v>1545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customHeight="1">
      <c r="A287" s="9"/>
      <c r="B287" s="16" t="s">
        <v>204</v>
      </c>
      <c r="C287" s="89" t="s">
        <v>140</v>
      </c>
      <c r="D287" s="61" t="s">
        <v>450</v>
      </c>
      <c r="E287" s="11" t="s">
        <v>206</v>
      </c>
      <c r="F287" s="118" t="s">
        <v>1546</v>
      </c>
      <c r="G287" s="118" t="s">
        <v>1547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customHeight="1">
      <c r="A288" s="9"/>
      <c r="B288" s="16" t="s">
        <v>204</v>
      </c>
      <c r="C288" s="89" t="s">
        <v>140</v>
      </c>
      <c r="D288" s="61" t="s">
        <v>216</v>
      </c>
      <c r="E288" s="11" t="s">
        <v>217</v>
      </c>
      <c r="F288" s="118" t="s">
        <v>1397</v>
      </c>
      <c r="G288" s="118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customHeight="1">
      <c r="A289" s="9"/>
      <c r="B289" s="16" t="s">
        <v>204</v>
      </c>
      <c r="C289" s="89" t="s">
        <v>140</v>
      </c>
      <c r="D289" s="61" t="s">
        <v>451</v>
      </c>
      <c r="E289" s="11" t="s">
        <v>206</v>
      </c>
      <c r="F289" s="118" t="s">
        <v>1548</v>
      </c>
      <c r="G289" s="118" t="s">
        <v>1549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customHeight="1">
      <c r="A290" s="9"/>
      <c r="B290" s="16" t="s">
        <v>204</v>
      </c>
      <c r="C290" s="89" t="s">
        <v>140</v>
      </c>
      <c r="D290" s="61" t="s">
        <v>218</v>
      </c>
      <c r="E290" s="11" t="s">
        <v>217</v>
      </c>
      <c r="F290" s="118" t="s">
        <v>1550</v>
      </c>
      <c r="G290" s="118" t="s">
        <v>1551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customHeight="1">
      <c r="A291" s="9"/>
      <c r="B291" s="16" t="s">
        <v>204</v>
      </c>
      <c r="C291" s="89" t="s">
        <v>140</v>
      </c>
      <c r="D291" s="61" t="s">
        <v>1552</v>
      </c>
      <c r="E291" s="11" t="s">
        <v>206</v>
      </c>
      <c r="F291" s="118" t="s">
        <v>1553</v>
      </c>
      <c r="G291" s="118" t="s">
        <v>1554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customHeight="1">
      <c r="A292" s="9"/>
      <c r="B292" s="16" t="s">
        <v>204</v>
      </c>
      <c r="C292" s="89" t="s">
        <v>140</v>
      </c>
      <c r="D292" s="61" t="s">
        <v>454</v>
      </c>
      <c r="E292" s="11" t="s">
        <v>217</v>
      </c>
      <c r="F292" s="118" t="s">
        <v>1555</v>
      </c>
      <c r="G292" s="118" t="s">
        <v>1556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61" t="s">
        <v>455</v>
      </c>
      <c r="E293" s="11" t="s">
        <v>206</v>
      </c>
      <c r="F293" s="118" t="s">
        <v>1557</v>
      </c>
      <c r="G293" s="118" t="s">
        <v>1558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61" t="s">
        <v>456</v>
      </c>
      <c r="E294" s="11" t="s">
        <v>217</v>
      </c>
      <c r="F294" s="118" t="s">
        <v>1559</v>
      </c>
      <c r="G294" s="118" t="s">
        <v>1560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61" t="s">
        <v>457</v>
      </c>
      <c r="E295" s="11" t="s">
        <v>458</v>
      </c>
      <c r="F295" s="118" t="s">
        <v>1561</v>
      </c>
      <c r="G295" s="118" t="s">
        <v>1562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61" t="s">
        <v>459</v>
      </c>
      <c r="E296" s="11" t="s">
        <v>206</v>
      </c>
      <c r="F296" s="118" t="s">
        <v>1563</v>
      </c>
      <c r="G296" s="118" t="s">
        <v>1564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61" t="s">
        <v>460</v>
      </c>
      <c r="E297" s="11" t="s">
        <v>215</v>
      </c>
      <c r="F297" s="118" t="s">
        <v>1565</v>
      </c>
      <c r="G297" s="118" t="s">
        <v>1566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61" t="s">
        <v>461</v>
      </c>
      <c r="E298" s="11" t="s">
        <v>215</v>
      </c>
      <c r="F298" s="118" t="s">
        <v>1567</v>
      </c>
      <c r="G298" s="118" t="s">
        <v>1568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61" t="s">
        <v>221</v>
      </c>
      <c r="E299" s="11" t="s">
        <v>215</v>
      </c>
      <c r="F299" s="118" t="s">
        <v>1569</v>
      </c>
      <c r="G299" s="118" t="s">
        <v>2294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 t="shared" si="32"/>
        <v>118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61" t="s">
        <v>223</v>
      </c>
      <c r="E300" s="11" t="s">
        <v>215</v>
      </c>
      <c r="F300" s="118" t="s">
        <v>1570</v>
      </c>
      <c r="G300" s="118" t="s">
        <v>1571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customHeight="1">
      <c r="A301" s="9"/>
      <c r="B301" s="16" t="s">
        <v>155</v>
      </c>
      <c r="C301" s="89" t="s">
        <v>140</v>
      </c>
      <c r="D301" s="61" t="s">
        <v>462</v>
      </c>
      <c r="E301" s="11"/>
      <c r="F301" s="118" t="s">
        <v>1572</v>
      </c>
      <c r="G301" s="118" t="s">
        <v>1573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customHeight="1">
      <c r="A302" s="9"/>
      <c r="B302" s="16" t="s">
        <v>155</v>
      </c>
      <c r="C302" s="89" t="s">
        <v>140</v>
      </c>
      <c r="D302" s="61" t="s">
        <v>463</v>
      </c>
      <c r="E302" s="11"/>
      <c r="F302" s="118" t="s">
        <v>1574</v>
      </c>
      <c r="G302" s="118" t="s">
        <v>1575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464</v>
      </c>
      <c r="C303" s="89" t="s">
        <v>140</v>
      </c>
      <c r="D303" s="61" t="s">
        <v>465</v>
      </c>
      <c r="E303" s="11" t="s">
        <v>466</v>
      </c>
      <c r="F303" s="118" t="s">
        <v>1576</v>
      </c>
      <c r="G303" s="118" t="s">
        <v>1577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464</v>
      </c>
      <c r="C304" s="89" t="s">
        <v>140</v>
      </c>
      <c r="D304" s="61" t="s">
        <v>468</v>
      </c>
      <c r="E304" s="11" t="s">
        <v>469</v>
      </c>
      <c r="F304" s="118" t="s">
        <v>1578</v>
      </c>
      <c r="G304" s="118" t="s">
        <v>1579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470</v>
      </c>
      <c r="C305" s="89" t="s">
        <v>140</v>
      </c>
      <c r="D305" s="61" t="s">
        <v>471</v>
      </c>
      <c r="E305" s="11"/>
      <c r="F305" s="118" t="s">
        <v>1580</v>
      </c>
      <c r="G305" s="118" t="s">
        <v>1581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472</v>
      </c>
      <c r="C306" s="89" t="s">
        <v>140</v>
      </c>
      <c r="D306" s="61" t="s">
        <v>473</v>
      </c>
      <c r="E306" s="11" t="s">
        <v>474</v>
      </c>
      <c r="F306" s="118" t="s">
        <v>1582</v>
      </c>
      <c r="G306" s="118" t="s">
        <v>1583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472</v>
      </c>
      <c r="C307" s="89" t="s">
        <v>140</v>
      </c>
      <c r="D307" s="61" t="s">
        <v>475</v>
      </c>
      <c r="E307" s="11" t="s">
        <v>476</v>
      </c>
      <c r="F307" s="118" t="s">
        <v>1584</v>
      </c>
      <c r="G307" s="118" t="s">
        <v>1585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477</v>
      </c>
      <c r="C308" s="89" t="s">
        <v>140</v>
      </c>
      <c r="D308" s="61" t="s">
        <v>478</v>
      </c>
      <c r="E308" s="11"/>
      <c r="F308" s="118" t="s">
        <v>1586</v>
      </c>
      <c r="G308" s="118" t="s">
        <v>1587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477</v>
      </c>
      <c r="C309" s="89" t="s">
        <v>140</v>
      </c>
      <c r="D309" s="61" t="s">
        <v>479</v>
      </c>
      <c r="E309" s="11"/>
      <c r="F309" s="118" t="s">
        <v>1588</v>
      </c>
      <c r="G309" s="118" t="s">
        <v>1589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477</v>
      </c>
      <c r="C310" s="89" t="s">
        <v>140</v>
      </c>
      <c r="D310" s="61" t="s">
        <v>480</v>
      </c>
      <c r="E310" s="11" t="s">
        <v>481</v>
      </c>
      <c r="F310" s="118" t="s">
        <v>1590</v>
      </c>
      <c r="G310" s="118" t="s">
        <v>1591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483</v>
      </c>
      <c r="C311" s="89" t="s">
        <v>140</v>
      </c>
      <c r="D311" s="61" t="s">
        <v>484</v>
      </c>
      <c r="E311" s="11" t="s">
        <v>485</v>
      </c>
      <c r="F311" s="118" t="s">
        <v>1592</v>
      </c>
      <c r="G311" s="118" t="s">
        <v>1593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486</v>
      </c>
      <c r="C312" s="89" t="s">
        <v>140</v>
      </c>
      <c r="D312" s="61" t="s">
        <v>487</v>
      </c>
      <c r="E312" s="11"/>
      <c r="F312" s="118" t="s">
        <v>1594</v>
      </c>
      <c r="G312" s="118" t="s">
        <v>1595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486</v>
      </c>
      <c r="C313" s="89" t="s">
        <v>140</v>
      </c>
      <c r="D313" s="61" t="s">
        <v>488</v>
      </c>
      <c r="E313" s="11"/>
      <c r="F313" s="118" t="s">
        <v>1596</v>
      </c>
      <c r="G313" s="118" t="s">
        <v>1597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489</v>
      </c>
      <c r="C314" s="89" t="s">
        <v>140</v>
      </c>
      <c r="D314" s="61" t="s">
        <v>490</v>
      </c>
      <c r="E314" s="11" t="s">
        <v>206</v>
      </c>
      <c r="F314" s="118" t="s">
        <v>1598</v>
      </c>
      <c r="G314" s="118" t="s">
        <v>1599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244</v>
      </c>
      <c r="C315" s="89" t="s">
        <v>140</v>
      </c>
      <c r="D315" s="61" t="s">
        <v>491</v>
      </c>
      <c r="E315" s="11" t="s">
        <v>492</v>
      </c>
      <c r="F315" s="127" t="s">
        <v>1600</v>
      </c>
      <c r="G315" s="127" t="s">
        <v>1601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customHeight="1">
      <c r="A316" s="9"/>
      <c r="B316" s="16" t="s">
        <v>244</v>
      </c>
      <c r="C316" s="89" t="s">
        <v>140</v>
      </c>
      <c r="D316" s="61" t="s">
        <v>1602</v>
      </c>
      <c r="E316" s="11" t="s">
        <v>492</v>
      </c>
      <c r="F316" s="118" t="s">
        <v>1603</v>
      </c>
      <c r="G316" s="118" t="s">
        <v>1604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customHeight="1">
      <c r="A317" s="9"/>
      <c r="B317" s="16" t="s">
        <v>172</v>
      </c>
      <c r="C317" s="89" t="s">
        <v>1605</v>
      </c>
      <c r="D317" s="61" t="s">
        <v>1606</v>
      </c>
      <c r="E317" s="11"/>
      <c r="F317" s="118" t="s">
        <v>1607</v>
      </c>
      <c r="G317" s="118" t="s">
        <v>1608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customHeight="1">
      <c r="A318" s="9"/>
      <c r="B318" s="16" t="s">
        <v>172</v>
      </c>
      <c r="C318" s="89" t="s">
        <v>494</v>
      </c>
      <c r="D318" s="61" t="s">
        <v>498</v>
      </c>
      <c r="E318" s="11" t="s">
        <v>499</v>
      </c>
      <c r="F318" s="127" t="s">
        <v>1609</v>
      </c>
      <c r="G318" s="127" t="s">
        <v>1610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customHeight="1">
      <c r="A319" s="9"/>
      <c r="B319" s="16" t="s">
        <v>172</v>
      </c>
      <c r="C319" s="89" t="s">
        <v>52</v>
      </c>
      <c r="D319" s="61" t="s">
        <v>502</v>
      </c>
      <c r="E319" s="11"/>
      <c r="F319" s="118" t="s">
        <v>1611</v>
      </c>
      <c r="G319" s="118" t="s">
        <v>1612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customHeight="1">
      <c r="A320" s="9"/>
      <c r="B320" s="16" t="s">
        <v>172</v>
      </c>
      <c r="C320" s="89" t="s">
        <v>52</v>
      </c>
      <c r="D320" s="61" t="s">
        <v>416</v>
      </c>
      <c r="E320" s="11"/>
      <c r="F320" s="118" t="s">
        <v>1613</v>
      </c>
      <c r="G320" s="118" t="s">
        <v>1614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customHeight="1">
      <c r="A321" s="9"/>
      <c r="B321" s="16" t="s">
        <v>172</v>
      </c>
      <c r="C321" s="89" t="s">
        <v>52</v>
      </c>
      <c r="D321" s="61" t="s">
        <v>503</v>
      </c>
      <c r="E321" s="11"/>
      <c r="F321" s="118" t="s">
        <v>1615</v>
      </c>
      <c r="G321" s="118" t="s">
        <v>1616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customHeight="1">
      <c r="A322" s="9"/>
      <c r="B322" s="16" t="s">
        <v>172</v>
      </c>
      <c r="C322" s="89" t="s">
        <v>52</v>
      </c>
      <c r="D322" s="61" t="s">
        <v>504</v>
      </c>
      <c r="E322" s="11"/>
      <c r="F322" s="118" t="s">
        <v>1617</v>
      </c>
      <c r="G322" s="118" t="s">
        <v>1618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customHeight="1">
      <c r="A323" s="9"/>
      <c r="B323" s="16" t="s">
        <v>172</v>
      </c>
      <c r="C323" s="89" t="s">
        <v>52</v>
      </c>
      <c r="D323" s="61" t="s">
        <v>505</v>
      </c>
      <c r="E323" s="11"/>
      <c r="F323" s="118" t="s">
        <v>1619</v>
      </c>
      <c r="G323" s="118" t="s">
        <v>1620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customHeight="1">
      <c r="A324" s="9"/>
      <c r="B324" s="16" t="s">
        <v>172</v>
      </c>
      <c r="C324" s="89" t="s">
        <v>52</v>
      </c>
      <c r="D324" s="61" t="s">
        <v>506</v>
      </c>
      <c r="E324" s="11"/>
      <c r="F324" s="118" t="s">
        <v>1621</v>
      </c>
      <c r="G324" s="118" t="s">
        <v>1622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customHeight="1">
      <c r="A325" s="9"/>
      <c r="B325" s="16" t="s">
        <v>120</v>
      </c>
      <c r="C325" s="89" t="s">
        <v>507</v>
      </c>
      <c r="D325" s="61" t="s">
        <v>1623</v>
      </c>
      <c r="E325" s="11" t="s">
        <v>509</v>
      </c>
      <c r="F325" s="127" t="s">
        <v>1624</v>
      </c>
      <c r="G325" s="127" t="s">
        <v>1625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customHeight="1">
      <c r="A326" s="9"/>
      <c r="B326" s="16" t="s">
        <v>120</v>
      </c>
      <c r="C326" s="89" t="s">
        <v>1605</v>
      </c>
      <c r="D326" s="61" t="s">
        <v>194</v>
      </c>
      <c r="E326" s="11" t="s">
        <v>510</v>
      </c>
      <c r="F326" s="127" t="s">
        <v>1626</v>
      </c>
      <c r="G326" s="127" t="s">
        <v>1627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customHeight="1">
      <c r="A327" s="9"/>
      <c r="B327" s="16" t="s">
        <v>120</v>
      </c>
      <c r="C327" s="89" t="s">
        <v>1605</v>
      </c>
      <c r="D327" s="61" t="s">
        <v>263</v>
      </c>
      <c r="E327" s="11" t="s">
        <v>511</v>
      </c>
      <c r="F327" s="118" t="s">
        <v>1628</v>
      </c>
      <c r="G327" s="118" t="s">
        <v>1629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customHeight="1">
      <c r="A328" s="9"/>
      <c r="B328" s="16" t="s">
        <v>120</v>
      </c>
      <c r="C328" s="89" t="s">
        <v>52</v>
      </c>
      <c r="D328" s="61" t="s">
        <v>265</v>
      </c>
      <c r="E328" s="11" t="s">
        <v>512</v>
      </c>
      <c r="F328" s="118" t="s">
        <v>1630</v>
      </c>
      <c r="G328" s="118" t="s">
        <v>1631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customHeight="1">
      <c r="A329" s="9"/>
      <c r="B329" s="16" t="s">
        <v>120</v>
      </c>
      <c r="C329" s="89" t="s">
        <v>52</v>
      </c>
      <c r="D329" s="61" t="s">
        <v>198</v>
      </c>
      <c r="E329" s="11" t="s">
        <v>513</v>
      </c>
      <c r="F329" s="118" t="s">
        <v>1632</v>
      </c>
      <c r="G329" s="118" t="s">
        <v>1633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customHeight="1">
      <c r="A330" s="9"/>
      <c r="B330" s="16" t="s">
        <v>120</v>
      </c>
      <c r="C330" s="89" t="s">
        <v>494</v>
      </c>
      <c r="D330" s="61" t="s">
        <v>514</v>
      </c>
      <c r="E330" s="11" t="s">
        <v>515</v>
      </c>
      <c r="F330" s="118" t="s">
        <v>1634</v>
      </c>
      <c r="G330" s="118" t="s">
        <v>1635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customHeight="1">
      <c r="A331" s="9"/>
      <c r="B331" s="16" t="s">
        <v>120</v>
      </c>
      <c r="C331" s="89" t="s">
        <v>494</v>
      </c>
      <c r="D331" s="61" t="s">
        <v>200</v>
      </c>
      <c r="E331" s="11" t="s">
        <v>516</v>
      </c>
      <c r="F331" s="118" t="s">
        <v>1636</v>
      </c>
      <c r="G331" s="118" t="s">
        <v>1637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customHeight="1">
      <c r="A332" s="9"/>
      <c r="B332" s="16" t="s">
        <v>120</v>
      </c>
      <c r="C332" s="89" t="s">
        <v>494</v>
      </c>
      <c r="D332" s="61" t="s">
        <v>517</v>
      </c>
      <c r="E332" s="11" t="s">
        <v>518</v>
      </c>
      <c r="F332" s="127" t="s">
        <v>1638</v>
      </c>
      <c r="G332" s="127" t="s">
        <v>1639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customHeight="1">
      <c r="A333" s="9"/>
      <c r="B333" s="16" t="s">
        <v>120</v>
      </c>
      <c r="C333" s="89" t="s">
        <v>494</v>
      </c>
      <c r="D333" s="61" t="s">
        <v>519</v>
      </c>
      <c r="E333" s="11" t="s">
        <v>520</v>
      </c>
      <c r="F333" s="118" t="s">
        <v>1640</v>
      </c>
      <c r="G333" s="118" t="s">
        <v>1641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customHeight="1">
      <c r="A334" s="9"/>
      <c r="B334" s="16" t="s">
        <v>120</v>
      </c>
      <c r="C334" s="89" t="s">
        <v>52</v>
      </c>
      <c r="D334" s="61" t="s">
        <v>270</v>
      </c>
      <c r="E334" s="11" t="s">
        <v>521</v>
      </c>
      <c r="F334" s="118" t="s">
        <v>1642</v>
      </c>
      <c r="G334" s="118" t="s">
        <v>1643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customHeight="1">
      <c r="A335" s="9"/>
      <c r="B335" s="16" t="s">
        <v>120</v>
      </c>
      <c r="C335" s="89" t="s">
        <v>494</v>
      </c>
      <c r="D335" s="61" t="s">
        <v>522</v>
      </c>
      <c r="E335" s="11" t="s">
        <v>523</v>
      </c>
      <c r="F335" s="118" t="s">
        <v>1644</v>
      </c>
      <c r="G335" s="118" t="s">
        <v>1645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customHeight="1">
      <c r="A336" s="9"/>
      <c r="B336" s="16" t="s">
        <v>120</v>
      </c>
      <c r="C336" s="89" t="s">
        <v>52</v>
      </c>
      <c r="D336" s="61" t="s">
        <v>524</v>
      </c>
      <c r="E336" s="11" t="s">
        <v>525</v>
      </c>
      <c r="F336" s="118" t="s">
        <v>1646</v>
      </c>
      <c r="G336" s="118" t="s">
        <v>1647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customHeight="1">
      <c r="A337" s="9"/>
      <c r="B337" s="16" t="s">
        <v>187</v>
      </c>
      <c r="C337" s="89" t="s">
        <v>494</v>
      </c>
      <c r="D337" s="61" t="s">
        <v>526</v>
      </c>
      <c r="E337" s="11" t="s">
        <v>499</v>
      </c>
      <c r="F337" s="118" t="s">
        <v>1648</v>
      </c>
      <c r="G337" s="118" t="s">
        <v>1649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customHeight="1">
      <c r="A338" s="9"/>
      <c r="B338" s="16" t="s">
        <v>528</v>
      </c>
      <c r="C338" s="89" t="s">
        <v>494</v>
      </c>
      <c r="D338" s="61" t="s">
        <v>529</v>
      </c>
      <c r="E338" s="11" t="s">
        <v>499</v>
      </c>
      <c r="F338" s="118" t="s">
        <v>1650</v>
      </c>
      <c r="G338" s="118" t="s">
        <v>1651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customHeight="1">
      <c r="A339" s="9"/>
      <c r="B339" s="16" t="s">
        <v>204</v>
      </c>
      <c r="C339" s="89" t="s">
        <v>52</v>
      </c>
      <c r="D339" s="61" t="s">
        <v>530</v>
      </c>
      <c r="E339" s="11" t="s">
        <v>531</v>
      </c>
      <c r="F339" s="118" t="s">
        <v>1652</v>
      </c>
      <c r="G339" s="118" t="s">
        <v>1653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customHeight="1">
      <c r="A340" s="9"/>
      <c r="B340" s="16" t="s">
        <v>204</v>
      </c>
      <c r="C340" s="89" t="s">
        <v>52</v>
      </c>
      <c r="D340" s="61" t="s">
        <v>532</v>
      </c>
      <c r="E340" s="11" t="s">
        <v>531</v>
      </c>
      <c r="F340" s="118" t="s">
        <v>1654</v>
      </c>
      <c r="G340" s="118" t="s">
        <v>1655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customHeight="1">
      <c r="A341" s="9"/>
      <c r="B341" s="16" t="s">
        <v>204</v>
      </c>
      <c r="C341" s="89" t="s">
        <v>52</v>
      </c>
      <c r="D341" s="61" t="s">
        <v>533</v>
      </c>
      <c r="E341" s="11" t="s">
        <v>1656</v>
      </c>
      <c r="F341" s="118" t="s">
        <v>1657</v>
      </c>
      <c r="G341" s="118" t="s">
        <v>1658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customHeight="1">
      <c r="A342" s="9"/>
      <c r="B342" s="16" t="s">
        <v>204</v>
      </c>
      <c r="C342" s="89" t="s">
        <v>52</v>
      </c>
      <c r="D342" s="61" t="s">
        <v>536</v>
      </c>
      <c r="E342" s="11" t="s">
        <v>537</v>
      </c>
      <c r="F342" s="118" t="s">
        <v>1659</v>
      </c>
      <c r="G342" s="118" t="s">
        <v>1660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customHeight="1">
      <c r="A343" s="9"/>
      <c r="B343" s="16" t="s">
        <v>204</v>
      </c>
      <c r="C343" s="89" t="s">
        <v>52</v>
      </c>
      <c r="D343" s="61" t="s">
        <v>538</v>
      </c>
      <c r="E343" s="11" t="s">
        <v>531</v>
      </c>
      <c r="F343" s="118" t="s">
        <v>1661</v>
      </c>
      <c r="G343" s="118" t="s">
        <v>1662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customHeight="1">
      <c r="A344" s="9"/>
      <c r="B344" s="16" t="s">
        <v>204</v>
      </c>
      <c r="C344" s="89" t="s">
        <v>52</v>
      </c>
      <c r="D344" s="61" t="s">
        <v>539</v>
      </c>
      <c r="E344" s="11" t="s">
        <v>531</v>
      </c>
      <c r="F344" s="118" t="s">
        <v>1663</v>
      </c>
      <c r="G344" s="118" t="s">
        <v>1664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customHeight="1">
      <c r="A345" s="9"/>
      <c r="B345" s="16" t="s">
        <v>204</v>
      </c>
      <c r="C345" s="89" t="s">
        <v>52</v>
      </c>
      <c r="D345" s="61" t="s">
        <v>540</v>
      </c>
      <c r="E345" s="11" t="s">
        <v>531</v>
      </c>
      <c r="F345" s="118" t="s">
        <v>1665</v>
      </c>
      <c r="G345" s="118" t="s">
        <v>1666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customHeight="1">
      <c r="A346" s="9"/>
      <c r="B346" s="16" t="s">
        <v>204</v>
      </c>
      <c r="C346" s="89" t="s">
        <v>52</v>
      </c>
      <c r="D346" s="61" t="s">
        <v>541</v>
      </c>
      <c r="E346" s="11" t="s">
        <v>531</v>
      </c>
      <c r="F346" s="118" t="s">
        <v>1667</v>
      </c>
      <c r="G346" s="118" t="s">
        <v>1668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customHeight="1">
      <c r="A347" s="9"/>
      <c r="B347" s="16" t="s">
        <v>204</v>
      </c>
      <c r="C347" s="89" t="s">
        <v>52</v>
      </c>
      <c r="D347" s="61" t="s">
        <v>542</v>
      </c>
      <c r="E347" s="11" t="s">
        <v>206</v>
      </c>
      <c r="F347" s="118" t="s">
        <v>1669</v>
      </c>
      <c r="G347" s="118" t="s">
        <v>1670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customHeight="1">
      <c r="A348" s="9"/>
      <c r="B348" s="16" t="s">
        <v>204</v>
      </c>
      <c r="C348" s="89" t="s">
        <v>52</v>
      </c>
      <c r="D348" s="61" t="s">
        <v>543</v>
      </c>
      <c r="E348" s="11" t="s">
        <v>531</v>
      </c>
      <c r="F348" s="118" t="s">
        <v>1671</v>
      </c>
      <c r="G348" s="118" t="s">
        <v>1672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customHeight="1">
      <c r="A349" s="9"/>
      <c r="B349" s="16" t="s">
        <v>204</v>
      </c>
      <c r="C349" s="89" t="s">
        <v>52</v>
      </c>
      <c r="D349" s="61" t="s">
        <v>544</v>
      </c>
      <c r="E349" s="11" t="s">
        <v>531</v>
      </c>
      <c r="F349" s="118" t="s">
        <v>1673</v>
      </c>
      <c r="G349" s="118" t="s">
        <v>1674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customHeight="1">
      <c r="A350" s="9"/>
      <c r="B350" s="16" t="s">
        <v>204</v>
      </c>
      <c r="C350" s="89" t="s">
        <v>52</v>
      </c>
      <c r="D350" s="61" t="s">
        <v>545</v>
      </c>
      <c r="E350" s="11" t="s">
        <v>531</v>
      </c>
      <c r="F350" s="118" t="s">
        <v>1675</v>
      </c>
      <c r="G350" s="118" t="s">
        <v>1676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customHeight="1">
      <c r="A351" s="9"/>
      <c r="B351" s="16" t="s">
        <v>204</v>
      </c>
      <c r="C351" s="89" t="s">
        <v>52</v>
      </c>
      <c r="D351" s="61" t="s">
        <v>546</v>
      </c>
      <c r="E351" s="11" t="s">
        <v>531</v>
      </c>
      <c r="F351" s="118" t="s">
        <v>1677</v>
      </c>
      <c r="G351" s="118" t="s">
        <v>1678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customHeight="1">
      <c r="A352" s="9"/>
      <c r="B352" s="16" t="s">
        <v>204</v>
      </c>
      <c r="C352" s="89" t="s">
        <v>52</v>
      </c>
      <c r="D352" s="61" t="s">
        <v>547</v>
      </c>
      <c r="E352" s="11" t="s">
        <v>531</v>
      </c>
      <c r="F352" s="127" t="s">
        <v>1679</v>
      </c>
      <c r="G352" s="127" t="s">
        <v>1680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customHeight="1">
      <c r="A353" s="9"/>
      <c r="B353" s="16" t="s">
        <v>204</v>
      </c>
      <c r="C353" s="89" t="s">
        <v>52</v>
      </c>
      <c r="D353" s="61" t="s">
        <v>548</v>
      </c>
      <c r="E353" s="11" t="s">
        <v>531</v>
      </c>
      <c r="F353" s="118" t="s">
        <v>1681</v>
      </c>
      <c r="G353" s="118" t="s">
        <v>1682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customHeight="1">
      <c r="A354" s="9"/>
      <c r="B354" s="16" t="s">
        <v>204</v>
      </c>
      <c r="C354" s="89" t="s">
        <v>52</v>
      </c>
      <c r="D354" s="61" t="s">
        <v>549</v>
      </c>
      <c r="E354" s="11" t="s">
        <v>550</v>
      </c>
      <c r="F354" s="118" t="s">
        <v>1683</v>
      </c>
      <c r="G354" s="118" t="s">
        <v>1684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customHeight="1">
      <c r="A355" s="9"/>
      <c r="B355" s="16" t="s">
        <v>204</v>
      </c>
      <c r="C355" s="89" t="s">
        <v>52</v>
      </c>
      <c r="D355" s="61" t="s">
        <v>551</v>
      </c>
      <c r="E355" s="11" t="s">
        <v>531</v>
      </c>
      <c r="F355" s="118" t="s">
        <v>1685</v>
      </c>
      <c r="G355" s="118" t="s">
        <v>1686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customHeight="1">
      <c r="A356" s="9"/>
      <c r="B356" s="16" t="s">
        <v>204</v>
      </c>
      <c r="C356" s="89" t="s">
        <v>52</v>
      </c>
      <c r="D356" s="61" t="s">
        <v>552</v>
      </c>
      <c r="E356" s="11" t="s">
        <v>206</v>
      </c>
      <c r="F356" s="118" t="s">
        <v>1687</v>
      </c>
      <c r="G356" s="118" t="s">
        <v>1688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customHeight="1">
      <c r="A357" s="9"/>
      <c r="B357" s="16" t="s">
        <v>233</v>
      </c>
      <c r="C357" s="89" t="s">
        <v>52</v>
      </c>
      <c r="D357" s="61" t="s">
        <v>553</v>
      </c>
      <c r="E357" s="11" t="s">
        <v>554</v>
      </c>
      <c r="F357" s="118" t="s">
        <v>1689</v>
      </c>
      <c r="G357" s="118" t="s">
        <v>1690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customHeight="1">
      <c r="A358" s="9"/>
      <c r="B358" s="16" t="s">
        <v>233</v>
      </c>
      <c r="C358" s="89" t="s">
        <v>52</v>
      </c>
      <c r="D358" s="61" t="s">
        <v>555</v>
      </c>
      <c r="E358" s="11" t="s">
        <v>554</v>
      </c>
      <c r="F358" s="118" t="s">
        <v>1691</v>
      </c>
      <c r="G358" s="118" t="s">
        <v>1692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customHeight="1">
      <c r="A359" s="9"/>
      <c r="B359" s="16" t="s">
        <v>233</v>
      </c>
      <c r="C359" s="89" t="s">
        <v>52</v>
      </c>
      <c r="D359" s="61" t="s">
        <v>556</v>
      </c>
      <c r="E359" s="11" t="s">
        <v>554</v>
      </c>
      <c r="F359" s="118" t="s">
        <v>1693</v>
      </c>
      <c r="G359" s="118" t="s">
        <v>1694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customHeight="1">
      <c r="A360" s="9"/>
      <c r="B360" s="16" t="s">
        <v>233</v>
      </c>
      <c r="C360" s="89" t="s">
        <v>52</v>
      </c>
      <c r="D360" s="61" t="s">
        <v>557</v>
      </c>
      <c r="E360" s="11" t="s">
        <v>235</v>
      </c>
      <c r="F360" s="118" t="s">
        <v>1695</v>
      </c>
      <c r="G360" s="118" t="s">
        <v>1696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customHeight="1">
      <c r="A361" s="9"/>
      <c r="B361" s="16" t="s">
        <v>233</v>
      </c>
      <c r="C361" s="89" t="s">
        <v>52</v>
      </c>
      <c r="D361" s="61" t="s">
        <v>559</v>
      </c>
      <c r="E361" s="11" t="s">
        <v>560</v>
      </c>
      <c r="F361" s="127" t="s">
        <v>1697</v>
      </c>
      <c r="G361" s="127" t="s">
        <v>1698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 t="shared" si="42"/>
        <v>0</v>
      </c>
      <c r="BC361" s="1"/>
      <c r="BD361" s="43"/>
      <c r="BE361" s="1"/>
      <c r="BF361" s="43"/>
      <c r="BG361" s="1">
        <f t="shared" si="43"/>
        <v>0</v>
      </c>
    </row>
    <row r="362" spans="1:59" s="8" customFormat="1" ht="22.5" customHeight="1">
      <c r="A362" s="9"/>
      <c r="B362" s="16" t="s">
        <v>249</v>
      </c>
      <c r="C362" s="89" t="s">
        <v>52</v>
      </c>
      <c r="D362" s="61" t="s">
        <v>561</v>
      </c>
      <c r="E362" s="11" t="s">
        <v>562</v>
      </c>
      <c r="F362" s="118" t="s">
        <v>1699</v>
      </c>
      <c r="G362" s="118" t="s">
        <v>1700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customHeight="1">
      <c r="A363" s="9"/>
      <c r="B363" s="16" t="s">
        <v>155</v>
      </c>
      <c r="C363" s="89" t="s">
        <v>52</v>
      </c>
      <c r="D363" s="61" t="s">
        <v>564</v>
      </c>
      <c r="E363" s="11" t="s">
        <v>565</v>
      </c>
      <c r="F363" s="118" t="s">
        <v>1701</v>
      </c>
      <c r="G363" s="118" t="s">
        <v>1702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customHeight="1">
      <c r="A364" s="9"/>
      <c r="B364" s="16" t="s">
        <v>155</v>
      </c>
      <c r="C364" s="89" t="s">
        <v>52</v>
      </c>
      <c r="D364" s="61" t="s">
        <v>1703</v>
      </c>
      <c r="E364" s="11" t="s">
        <v>565</v>
      </c>
      <c r="F364" s="118" t="s">
        <v>1704</v>
      </c>
      <c r="G364" s="119" t="s">
        <v>1705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customHeight="1">
      <c r="A365" s="9"/>
      <c r="B365" s="16" t="s">
        <v>155</v>
      </c>
      <c r="C365" s="89" t="s">
        <v>52</v>
      </c>
      <c r="D365" s="61" t="s">
        <v>567</v>
      </c>
      <c r="E365" s="11" t="s">
        <v>565</v>
      </c>
      <c r="F365" s="118" t="s">
        <v>1706</v>
      </c>
      <c r="G365" s="118" t="s">
        <v>1707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customHeight="1">
      <c r="A366" s="9"/>
      <c r="B366" s="16" t="s">
        <v>155</v>
      </c>
      <c r="C366" s="89" t="s">
        <v>52</v>
      </c>
      <c r="D366" s="61" t="s">
        <v>568</v>
      </c>
      <c r="E366" s="11" t="s">
        <v>569</v>
      </c>
      <c r="F366" s="118" t="s">
        <v>1708</v>
      </c>
      <c r="G366" s="118" t="s">
        <v>1709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customHeight="1">
      <c r="A367" s="9"/>
      <c r="B367" s="16" t="s">
        <v>330</v>
      </c>
      <c r="C367" s="89" t="s">
        <v>52</v>
      </c>
      <c r="D367" s="61" t="s">
        <v>333</v>
      </c>
      <c r="E367" s="11" t="s">
        <v>330</v>
      </c>
      <c r="F367" s="118" t="s">
        <v>1710</v>
      </c>
      <c r="G367" s="118" t="s">
        <v>1711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customHeight="1">
      <c r="A368" s="9"/>
      <c r="B368" s="16" t="s">
        <v>570</v>
      </c>
      <c r="C368" s="89" t="s">
        <v>52</v>
      </c>
      <c r="D368" s="61" t="s">
        <v>571</v>
      </c>
      <c r="E368" s="11" t="s">
        <v>562</v>
      </c>
      <c r="F368" s="127" t="s">
        <v>1712</v>
      </c>
      <c r="G368" s="127" t="s">
        <v>1713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customHeight="1">
      <c r="A369" s="9"/>
      <c r="B369" s="16" t="s">
        <v>472</v>
      </c>
      <c r="C369" s="89" t="s">
        <v>52</v>
      </c>
      <c r="D369" s="61" t="s">
        <v>1714</v>
      </c>
      <c r="E369" s="11" t="s">
        <v>573</v>
      </c>
      <c r="F369" s="118" t="s">
        <v>1715</v>
      </c>
      <c r="G369" s="118" t="s">
        <v>1716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customHeight="1">
      <c r="A370" s="9"/>
      <c r="B370" s="16" t="s">
        <v>574</v>
      </c>
      <c r="C370" s="89" t="s">
        <v>494</v>
      </c>
      <c r="D370" s="61" t="s">
        <v>1717</v>
      </c>
      <c r="E370" s="11"/>
      <c r="F370" s="118" t="s">
        <v>1718</v>
      </c>
      <c r="G370" s="118" t="s">
        <v>1719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customHeight="1">
      <c r="A371" s="9"/>
      <c r="B371" s="16" t="s">
        <v>574</v>
      </c>
      <c r="C371" s="89" t="s">
        <v>494</v>
      </c>
      <c r="D371" s="61" t="s">
        <v>577</v>
      </c>
      <c r="E371" s="11" t="s">
        <v>578</v>
      </c>
      <c r="F371" s="118" t="s">
        <v>1720</v>
      </c>
      <c r="G371" s="118" t="s">
        <v>1721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customHeight="1">
      <c r="A372" s="9"/>
      <c r="B372" s="16" t="s">
        <v>244</v>
      </c>
      <c r="C372" s="89" t="s">
        <v>52</v>
      </c>
      <c r="D372" s="61" t="s">
        <v>579</v>
      </c>
      <c r="E372" s="11" t="s">
        <v>246</v>
      </c>
      <c r="F372" s="118" t="s">
        <v>1722</v>
      </c>
      <c r="G372" s="118" t="s">
        <v>1723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customHeight="1">
      <c r="A373" s="9"/>
      <c r="B373" s="16" t="s">
        <v>244</v>
      </c>
      <c r="C373" s="89" t="s">
        <v>52</v>
      </c>
      <c r="D373" s="61" t="s">
        <v>580</v>
      </c>
      <c r="E373" s="11" t="s">
        <v>246</v>
      </c>
      <c r="F373" s="118" t="s">
        <v>1724</v>
      </c>
      <c r="G373" s="118" t="s">
        <v>1725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customHeight="1">
      <c r="A374" s="9"/>
      <c r="B374" s="16" t="s">
        <v>581</v>
      </c>
      <c r="C374" s="89" t="s">
        <v>44</v>
      </c>
      <c r="D374" s="61" t="s">
        <v>582</v>
      </c>
      <c r="E374" s="11" t="s">
        <v>583</v>
      </c>
      <c r="F374" s="118" t="s">
        <v>1726</v>
      </c>
      <c r="G374" s="118" t="s">
        <v>1727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customHeight="1">
      <c r="A375" s="9"/>
      <c r="B375" s="16" t="s">
        <v>581</v>
      </c>
      <c r="C375" s="89" t="s">
        <v>132</v>
      </c>
      <c r="D375" s="61" t="s">
        <v>585</v>
      </c>
      <c r="E375" s="11" t="s">
        <v>583</v>
      </c>
      <c r="F375" s="118" t="s">
        <v>1728</v>
      </c>
      <c r="G375" s="118" t="s">
        <v>1729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customHeight="1">
      <c r="A376" s="9"/>
      <c r="B376" s="16" t="s">
        <v>581</v>
      </c>
      <c r="C376" s="89" t="s">
        <v>48</v>
      </c>
      <c r="D376" s="61" t="s">
        <v>585</v>
      </c>
      <c r="E376" s="11" t="s">
        <v>586</v>
      </c>
      <c r="F376" s="118" t="s">
        <v>1730</v>
      </c>
      <c r="G376" s="118" t="s">
        <v>1731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customHeight="1">
      <c r="A377" s="9"/>
      <c r="B377" s="16" t="s">
        <v>581</v>
      </c>
      <c r="C377" s="89" t="s">
        <v>48</v>
      </c>
      <c r="D377" s="61" t="s">
        <v>587</v>
      </c>
      <c r="E377" s="11" t="s">
        <v>586</v>
      </c>
      <c r="F377" s="118" t="s">
        <v>1732</v>
      </c>
      <c r="G377" s="118" t="s">
        <v>1733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customHeight="1">
      <c r="A378" s="9"/>
      <c r="B378" s="16" t="s">
        <v>581</v>
      </c>
      <c r="C378" s="89" t="s">
        <v>132</v>
      </c>
      <c r="D378" s="61" t="s">
        <v>588</v>
      </c>
      <c r="E378" s="11" t="s">
        <v>583</v>
      </c>
      <c r="F378" s="118" t="s">
        <v>1734</v>
      </c>
      <c r="G378" s="118" t="s">
        <v>1735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customHeight="1">
      <c r="A379" s="9"/>
      <c r="B379" s="16" t="s">
        <v>581</v>
      </c>
      <c r="C379" s="89" t="s">
        <v>52</v>
      </c>
      <c r="D379" s="61" t="s">
        <v>582</v>
      </c>
      <c r="E379" s="11" t="s">
        <v>944</v>
      </c>
      <c r="F379" s="118" t="s">
        <v>1736</v>
      </c>
      <c r="G379" s="118" t="s">
        <v>1737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customHeight="1">
      <c r="A380" s="9"/>
      <c r="B380" s="16" t="s">
        <v>581</v>
      </c>
      <c r="C380" s="89" t="s">
        <v>52</v>
      </c>
      <c r="D380" s="61" t="s">
        <v>587</v>
      </c>
      <c r="E380" s="11" t="s">
        <v>590</v>
      </c>
      <c r="F380" s="118" t="s">
        <v>1738</v>
      </c>
      <c r="G380" s="118" t="s">
        <v>1739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customHeight="1">
      <c r="A381" s="9"/>
      <c r="B381" s="16" t="s">
        <v>591</v>
      </c>
      <c r="C381" s="92" t="s">
        <v>151</v>
      </c>
      <c r="D381" s="61" t="s">
        <v>592</v>
      </c>
      <c r="E381" s="11" t="s">
        <v>593</v>
      </c>
      <c r="F381" s="118" t="s">
        <v>1740</v>
      </c>
      <c r="G381" s="118" t="s">
        <v>1741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customHeight="1">
      <c r="A382" s="9"/>
      <c r="B382" s="16" t="s">
        <v>591</v>
      </c>
      <c r="C382" s="92" t="s">
        <v>151</v>
      </c>
      <c r="D382" s="61" t="s">
        <v>595</v>
      </c>
      <c r="E382" s="11" t="s">
        <v>596</v>
      </c>
      <c r="F382" s="118" t="s">
        <v>1742</v>
      </c>
      <c r="G382" s="118" t="s">
        <v>1743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customHeight="1">
      <c r="A383" s="9"/>
      <c r="B383" s="16" t="s">
        <v>591</v>
      </c>
      <c r="C383" s="92" t="s">
        <v>151</v>
      </c>
      <c r="D383" s="61" t="s">
        <v>1744</v>
      </c>
      <c r="E383" s="11" t="s">
        <v>598</v>
      </c>
      <c r="F383" s="118" t="s">
        <v>1745</v>
      </c>
      <c r="G383" s="118" t="s">
        <v>1746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customHeight="1">
      <c r="A384" s="9"/>
      <c r="B384" s="16" t="s">
        <v>591</v>
      </c>
      <c r="C384" s="92" t="s">
        <v>151</v>
      </c>
      <c r="D384" s="61" t="s">
        <v>599</v>
      </c>
      <c r="E384" s="11" t="s">
        <v>596</v>
      </c>
      <c r="F384" s="118" t="s">
        <v>1747</v>
      </c>
      <c r="G384" s="118" t="s">
        <v>1748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customHeight="1">
      <c r="A385" s="9"/>
      <c r="B385" s="16" t="s">
        <v>591</v>
      </c>
      <c r="C385" s="92" t="s">
        <v>151</v>
      </c>
      <c r="D385" s="61" t="s">
        <v>600</v>
      </c>
      <c r="E385" s="11" t="s">
        <v>601</v>
      </c>
      <c r="F385" s="118" t="s">
        <v>1749</v>
      </c>
      <c r="G385" s="118" t="s">
        <v>1750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customHeight="1">
      <c r="A386" s="9"/>
      <c r="B386" s="16" t="s">
        <v>591</v>
      </c>
      <c r="C386" s="92" t="s">
        <v>151</v>
      </c>
      <c r="D386" s="61" t="s">
        <v>602</v>
      </c>
      <c r="E386" s="11" t="s">
        <v>603</v>
      </c>
      <c r="F386" s="118" t="s">
        <v>1751</v>
      </c>
      <c r="G386" s="118" t="s">
        <v>1752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customHeight="1">
      <c r="A387" s="9"/>
      <c r="B387" s="16" t="s">
        <v>591</v>
      </c>
      <c r="C387" s="92" t="s">
        <v>151</v>
      </c>
      <c r="D387" s="61" t="s">
        <v>604</v>
      </c>
      <c r="E387" s="11" t="s">
        <v>605</v>
      </c>
      <c r="F387" s="118" t="s">
        <v>1753</v>
      </c>
      <c r="G387" s="118" t="s">
        <v>1754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customHeight="1">
      <c r="A388" s="9"/>
      <c r="B388" s="16" t="s">
        <v>606</v>
      </c>
      <c r="C388" s="92" t="s">
        <v>151</v>
      </c>
      <c r="D388" s="61" t="s">
        <v>607</v>
      </c>
      <c r="E388" s="11" t="s">
        <v>608</v>
      </c>
      <c r="F388" s="118" t="s">
        <v>1755</v>
      </c>
      <c r="G388" s="118" t="s">
        <v>1756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customHeight="1">
      <c r="A389" s="9"/>
      <c r="B389" s="16" t="s">
        <v>606</v>
      </c>
      <c r="C389" s="92" t="s">
        <v>151</v>
      </c>
      <c r="D389" s="61" t="s">
        <v>609</v>
      </c>
      <c r="E389" s="11" t="s">
        <v>610</v>
      </c>
      <c r="F389" s="118" t="s">
        <v>1757</v>
      </c>
      <c r="G389" s="118" t="s">
        <v>1758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customHeight="1">
      <c r="A390" s="9"/>
      <c r="B390" s="16" t="s">
        <v>606</v>
      </c>
      <c r="C390" s="89" t="s">
        <v>52</v>
      </c>
      <c r="D390" s="61" t="s">
        <v>611</v>
      </c>
      <c r="E390" s="11" t="s">
        <v>612</v>
      </c>
      <c r="F390" s="118" t="s">
        <v>1759</v>
      </c>
      <c r="G390" s="118" t="s">
        <v>1760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customHeight="1">
      <c r="A391" s="9"/>
      <c r="B391" s="16" t="s">
        <v>606</v>
      </c>
      <c r="C391" s="89" t="s">
        <v>52</v>
      </c>
      <c r="D391" s="61" t="s">
        <v>613</v>
      </c>
      <c r="E391" s="11" t="s">
        <v>614</v>
      </c>
      <c r="F391" s="118" t="s">
        <v>1761</v>
      </c>
      <c r="G391" s="118" t="s">
        <v>1762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customHeight="1">
      <c r="A392" s="9"/>
      <c r="B392" s="16" t="s">
        <v>606</v>
      </c>
      <c r="C392" s="92" t="s">
        <v>151</v>
      </c>
      <c r="D392" s="61" t="s">
        <v>615</v>
      </c>
      <c r="E392" s="11" t="s">
        <v>593</v>
      </c>
      <c r="F392" s="118" t="s">
        <v>1763</v>
      </c>
      <c r="G392" s="118" t="s">
        <v>1764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customHeight="1">
      <c r="A393" s="9"/>
      <c r="B393" s="16" t="s">
        <v>606</v>
      </c>
      <c r="C393" s="92" t="s">
        <v>151</v>
      </c>
      <c r="D393" s="61" t="s">
        <v>615</v>
      </c>
      <c r="E393" s="11" t="s">
        <v>616</v>
      </c>
      <c r="F393" s="118" t="s">
        <v>1765</v>
      </c>
      <c r="G393" s="118" t="s">
        <v>1766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customHeight="1">
      <c r="A394" s="9"/>
      <c r="B394" s="16" t="s">
        <v>617</v>
      </c>
      <c r="C394" s="92" t="s">
        <v>151</v>
      </c>
      <c r="D394" s="61" t="s">
        <v>618</v>
      </c>
      <c r="E394" s="11"/>
      <c r="F394" s="118" t="s">
        <v>1767</v>
      </c>
      <c r="G394" s="127" t="s">
        <v>1768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customHeight="1">
      <c r="A395" s="9"/>
      <c r="B395" s="16" t="s">
        <v>619</v>
      </c>
      <c r="C395" s="89" t="s">
        <v>44</v>
      </c>
      <c r="D395" s="61" t="s">
        <v>620</v>
      </c>
      <c r="E395" s="11" t="s">
        <v>621</v>
      </c>
      <c r="F395" s="118" t="s">
        <v>1769</v>
      </c>
      <c r="G395" s="118" t="s">
        <v>1770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customHeight="1">
      <c r="A396" s="9"/>
      <c r="B396" s="16" t="s">
        <v>120</v>
      </c>
      <c r="C396" s="92" t="s">
        <v>151</v>
      </c>
      <c r="D396" s="61" t="s">
        <v>622</v>
      </c>
      <c r="E396" s="11"/>
      <c r="F396" s="118" t="s">
        <v>622</v>
      </c>
      <c r="G396" s="118" t="s">
        <v>1771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customHeight="1">
      <c r="A397" s="9"/>
      <c r="B397" s="16" t="s">
        <v>120</v>
      </c>
      <c r="C397" s="89" t="s">
        <v>140</v>
      </c>
      <c r="D397" s="61" t="s">
        <v>623</v>
      </c>
      <c r="E397" s="11" t="s">
        <v>624</v>
      </c>
      <c r="F397" s="118" t="s">
        <v>1772</v>
      </c>
      <c r="G397" s="118" t="s">
        <v>1773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customHeight="1">
      <c r="A398" s="9"/>
      <c r="B398" s="16" t="s">
        <v>120</v>
      </c>
      <c r="C398" s="89" t="s">
        <v>140</v>
      </c>
      <c r="D398" s="61" t="s">
        <v>623</v>
      </c>
      <c r="E398" s="11" t="s">
        <v>626</v>
      </c>
      <c r="F398" s="118" t="s">
        <v>1774</v>
      </c>
      <c r="G398" s="118" t="s">
        <v>1775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customHeight="1">
      <c r="A399" s="9"/>
      <c r="B399" s="16" t="s">
        <v>120</v>
      </c>
      <c r="C399" s="89" t="s">
        <v>140</v>
      </c>
      <c r="D399" s="61" t="s">
        <v>623</v>
      </c>
      <c r="E399" s="11" t="s">
        <v>628</v>
      </c>
      <c r="F399" s="118" t="s">
        <v>1776</v>
      </c>
      <c r="G399" s="118" t="s">
        <v>1777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customHeight="1">
      <c r="A400" s="9"/>
      <c r="B400" s="16" t="s">
        <v>120</v>
      </c>
      <c r="C400" s="89" t="s">
        <v>52</v>
      </c>
      <c r="D400" s="61" t="s">
        <v>629</v>
      </c>
      <c r="E400" s="11"/>
      <c r="F400" s="118" t="s">
        <v>629</v>
      </c>
      <c r="G400" s="118" t="s">
        <v>1778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customHeight="1">
      <c r="A401" s="9"/>
      <c r="B401" s="16" t="s">
        <v>172</v>
      </c>
      <c r="C401" s="92" t="s">
        <v>151</v>
      </c>
      <c r="D401" s="61" t="s">
        <v>630</v>
      </c>
      <c r="E401" s="11" t="s">
        <v>631</v>
      </c>
      <c r="F401" s="118" t="s">
        <v>1779</v>
      </c>
      <c r="G401" s="118" t="s">
        <v>1780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customHeight="1">
      <c r="A402" s="9"/>
      <c r="B402" s="16" t="s">
        <v>632</v>
      </c>
      <c r="C402" s="89" t="s">
        <v>52</v>
      </c>
      <c r="D402" s="61" t="s">
        <v>638</v>
      </c>
      <c r="E402" s="11"/>
      <c r="F402" s="118" t="s">
        <v>1781</v>
      </c>
      <c r="G402" s="118" t="s">
        <v>1782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customHeight="1">
      <c r="A403" s="9"/>
      <c r="B403" s="16" t="s">
        <v>632</v>
      </c>
      <c r="C403" s="89" t="s">
        <v>52</v>
      </c>
      <c r="D403" s="61" t="s">
        <v>640</v>
      </c>
      <c r="E403" s="11"/>
      <c r="F403" s="118" t="s">
        <v>1783</v>
      </c>
      <c r="G403" s="118" t="s">
        <v>1784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customHeight="1">
      <c r="A404" s="9"/>
      <c r="B404" s="16" t="s">
        <v>641</v>
      </c>
      <c r="C404" s="89" t="s">
        <v>44</v>
      </c>
      <c r="D404" s="61" t="s">
        <v>642</v>
      </c>
      <c r="E404" s="11"/>
      <c r="F404" s="118" t="s">
        <v>1785</v>
      </c>
      <c r="G404" s="118" t="s">
        <v>1786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customHeight="1">
      <c r="A405" s="9"/>
      <c r="B405" s="16" t="s">
        <v>641</v>
      </c>
      <c r="C405" s="89" t="s">
        <v>643</v>
      </c>
      <c r="D405" s="61" t="s">
        <v>642</v>
      </c>
      <c r="E405" s="11"/>
      <c r="F405" s="118" t="s">
        <v>1787</v>
      </c>
      <c r="G405" s="118" t="s">
        <v>1788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customHeight="1">
      <c r="A406" s="9"/>
      <c r="B406" s="16" t="s">
        <v>641</v>
      </c>
      <c r="C406" s="89" t="s">
        <v>132</v>
      </c>
      <c r="D406" s="61" t="s">
        <v>644</v>
      </c>
      <c r="E406" s="11" t="s">
        <v>645</v>
      </c>
      <c r="F406" s="118" t="s">
        <v>1789</v>
      </c>
      <c r="G406" s="118" t="s">
        <v>1790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customHeight="1">
      <c r="A407" s="9"/>
      <c r="B407" s="16" t="s">
        <v>641</v>
      </c>
      <c r="C407" s="89" t="s">
        <v>132</v>
      </c>
      <c r="D407" s="61" t="s">
        <v>644</v>
      </c>
      <c r="E407" s="11" t="s">
        <v>646</v>
      </c>
      <c r="F407" s="127" t="s">
        <v>1791</v>
      </c>
      <c r="G407" s="127" t="s">
        <v>1792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customHeight="1">
      <c r="A408" s="9"/>
      <c r="B408" s="16" t="s">
        <v>641</v>
      </c>
      <c r="C408" s="89" t="s">
        <v>140</v>
      </c>
      <c r="D408" s="61" t="s">
        <v>644</v>
      </c>
      <c r="E408" s="11" t="s">
        <v>645</v>
      </c>
      <c r="F408" s="118" t="s">
        <v>1793</v>
      </c>
      <c r="G408" s="118" t="s">
        <v>1794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customHeight="1">
      <c r="A409" s="9"/>
      <c r="B409" s="16" t="s">
        <v>641</v>
      </c>
      <c r="C409" s="89" t="s">
        <v>140</v>
      </c>
      <c r="D409" s="61" t="s">
        <v>644</v>
      </c>
      <c r="E409" s="11" t="s">
        <v>647</v>
      </c>
      <c r="F409" s="118" t="s">
        <v>1795</v>
      </c>
      <c r="G409" s="118" t="s">
        <v>1796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customHeight="1">
      <c r="A410" s="9"/>
      <c r="B410" s="16" t="s">
        <v>641</v>
      </c>
      <c r="C410" s="89" t="s">
        <v>48</v>
      </c>
      <c r="D410" s="61" t="s">
        <v>648</v>
      </c>
      <c r="E410" s="11" t="s">
        <v>649</v>
      </c>
      <c r="F410" s="118" t="s">
        <v>1797</v>
      </c>
      <c r="G410" s="118" t="s">
        <v>1798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customHeight="1">
      <c r="A411" s="9"/>
      <c r="B411" s="16" t="s">
        <v>641</v>
      </c>
      <c r="C411" s="89" t="s">
        <v>48</v>
      </c>
      <c r="D411" s="61" t="s">
        <v>650</v>
      </c>
      <c r="E411" s="11" t="s">
        <v>649</v>
      </c>
      <c r="F411" s="118" t="s">
        <v>1799</v>
      </c>
      <c r="G411" s="118" t="s">
        <v>1800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customHeight="1">
      <c r="A412" s="9"/>
      <c r="B412" s="16" t="s">
        <v>641</v>
      </c>
      <c r="C412" s="89" t="s">
        <v>48</v>
      </c>
      <c r="D412" s="61" t="s">
        <v>648</v>
      </c>
      <c r="E412" s="11" t="s">
        <v>651</v>
      </c>
      <c r="F412" s="118" t="s">
        <v>1801</v>
      </c>
      <c r="G412" s="118" t="s">
        <v>1802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customHeight="1">
      <c r="A413" s="9"/>
      <c r="B413" s="16" t="s">
        <v>641</v>
      </c>
      <c r="C413" s="89" t="s">
        <v>48</v>
      </c>
      <c r="D413" s="61" t="s">
        <v>650</v>
      </c>
      <c r="E413" s="11" t="s">
        <v>651</v>
      </c>
      <c r="F413" s="118" t="s">
        <v>1803</v>
      </c>
      <c r="G413" s="118" t="s">
        <v>1804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customHeight="1">
      <c r="A414" s="9"/>
      <c r="B414" s="16" t="s">
        <v>641</v>
      </c>
      <c r="C414" s="89" t="s">
        <v>652</v>
      </c>
      <c r="D414" s="61" t="s">
        <v>653</v>
      </c>
      <c r="E414" s="11"/>
      <c r="F414" s="118" t="s">
        <v>1805</v>
      </c>
      <c r="G414" s="118" t="s">
        <v>1806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customHeight="1">
      <c r="A415" s="9"/>
      <c r="B415" s="16" t="s">
        <v>641</v>
      </c>
      <c r="C415" s="89" t="s">
        <v>652</v>
      </c>
      <c r="D415" s="61" t="s">
        <v>654</v>
      </c>
      <c r="E415" s="11"/>
      <c r="F415" s="118" t="s">
        <v>1807</v>
      </c>
      <c r="G415" s="118" t="s">
        <v>1808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customHeight="1">
      <c r="A416" s="9"/>
      <c r="B416" s="16" t="s">
        <v>641</v>
      </c>
      <c r="C416" s="89" t="s">
        <v>652</v>
      </c>
      <c r="D416" s="61" t="s">
        <v>655</v>
      </c>
      <c r="E416" s="11"/>
      <c r="F416" s="118" t="s">
        <v>1809</v>
      </c>
      <c r="G416" s="118" t="s">
        <v>1810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customHeight="1">
      <c r="A417" s="9"/>
      <c r="B417" s="16" t="s">
        <v>641</v>
      </c>
      <c r="C417" s="89" t="s">
        <v>151</v>
      </c>
      <c r="D417" s="61" t="s">
        <v>660</v>
      </c>
      <c r="E417" s="11" t="s">
        <v>1811</v>
      </c>
      <c r="F417" s="118" t="s">
        <v>1812</v>
      </c>
      <c r="G417" s="118" t="s">
        <v>1813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customHeight="1">
      <c r="A418" s="9"/>
      <c r="B418" s="16" t="s">
        <v>641</v>
      </c>
      <c r="C418" s="89" t="s">
        <v>151</v>
      </c>
      <c r="D418" s="61" t="s">
        <v>662</v>
      </c>
      <c r="E418" s="11" t="s">
        <v>663</v>
      </c>
      <c r="F418" s="118" t="s">
        <v>1814</v>
      </c>
      <c r="G418" s="118" t="s">
        <v>1815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customHeight="1">
      <c r="A419" s="9"/>
      <c r="B419" s="16" t="s">
        <v>641</v>
      </c>
      <c r="C419" s="89" t="s">
        <v>151</v>
      </c>
      <c r="D419" s="61" t="s">
        <v>664</v>
      </c>
      <c r="E419" s="11" t="s">
        <v>665</v>
      </c>
      <c r="F419" s="118" t="s">
        <v>1816</v>
      </c>
      <c r="G419" s="118" t="s">
        <v>1817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customHeight="1">
      <c r="A420" s="9"/>
      <c r="B420" s="16" t="s">
        <v>666</v>
      </c>
      <c r="C420" s="89" t="s">
        <v>151</v>
      </c>
      <c r="D420" s="61" t="s">
        <v>667</v>
      </c>
      <c r="E420" s="11" t="s">
        <v>668</v>
      </c>
      <c r="F420" s="118" t="s">
        <v>1818</v>
      </c>
      <c r="G420" s="118" t="s">
        <v>1819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customHeight="1">
      <c r="A421" s="9"/>
      <c r="B421" s="16" t="s">
        <v>666</v>
      </c>
      <c r="C421" s="89" t="s">
        <v>151</v>
      </c>
      <c r="D421" s="61" t="s">
        <v>670</v>
      </c>
      <c r="E421" s="11" t="s">
        <v>671</v>
      </c>
      <c r="F421" s="118" t="s">
        <v>1820</v>
      </c>
      <c r="G421" s="118" t="s">
        <v>1821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customHeight="1">
      <c r="A422" s="9"/>
      <c r="B422" s="16" t="s">
        <v>666</v>
      </c>
      <c r="C422" s="89" t="s">
        <v>151</v>
      </c>
      <c r="D422" s="61" t="s">
        <v>672</v>
      </c>
      <c r="E422" s="11" t="s">
        <v>673</v>
      </c>
      <c r="F422" s="118" t="s">
        <v>1822</v>
      </c>
      <c r="G422" s="118" t="s">
        <v>1823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customHeight="1">
      <c r="A423" s="9"/>
      <c r="B423" s="16" t="s">
        <v>674</v>
      </c>
      <c r="C423" s="89" t="s">
        <v>44</v>
      </c>
      <c r="D423" s="61" t="s">
        <v>675</v>
      </c>
      <c r="E423" s="11" t="s">
        <v>676</v>
      </c>
      <c r="F423" s="118" t="s">
        <v>1824</v>
      </c>
      <c r="G423" s="118" t="s">
        <v>1825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customHeight="1">
      <c r="A424" s="9"/>
      <c r="B424" s="16" t="s">
        <v>674</v>
      </c>
      <c r="C424" s="89" t="s">
        <v>44</v>
      </c>
      <c r="D424" s="61" t="s">
        <v>678</v>
      </c>
      <c r="E424" s="11" t="s">
        <v>679</v>
      </c>
      <c r="F424" s="118" t="s">
        <v>1826</v>
      </c>
      <c r="G424" s="118" t="s">
        <v>1827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customHeight="1">
      <c r="A425" s="9"/>
      <c r="B425" s="16" t="s">
        <v>674</v>
      </c>
      <c r="C425" s="89" t="s">
        <v>48</v>
      </c>
      <c r="D425" s="61" t="s">
        <v>675</v>
      </c>
      <c r="E425" s="11" t="s">
        <v>680</v>
      </c>
      <c r="F425" s="118" t="s">
        <v>1828</v>
      </c>
      <c r="G425" s="118" t="s">
        <v>1829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customHeight="1">
      <c r="A426" s="9"/>
      <c r="B426" s="16" t="s">
        <v>674</v>
      </c>
      <c r="C426" s="89" t="s">
        <v>48</v>
      </c>
      <c r="D426" s="61" t="s">
        <v>678</v>
      </c>
      <c r="E426" s="11" t="s">
        <v>681</v>
      </c>
      <c r="F426" s="118" t="s">
        <v>1830</v>
      </c>
      <c r="G426" s="118" t="s">
        <v>1831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customHeight="1">
      <c r="A427" s="9"/>
      <c r="B427" s="16" t="s">
        <v>674</v>
      </c>
      <c r="C427" s="89" t="s">
        <v>50</v>
      </c>
      <c r="D427" s="61" t="s">
        <v>682</v>
      </c>
      <c r="E427" s="11" t="s">
        <v>683</v>
      </c>
      <c r="F427" s="118" t="s">
        <v>1832</v>
      </c>
      <c r="G427" s="118" t="s">
        <v>1833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customHeight="1">
      <c r="A428" s="9"/>
      <c r="B428" s="16" t="s">
        <v>674</v>
      </c>
      <c r="C428" s="89" t="s">
        <v>50</v>
      </c>
      <c r="D428" s="61" t="s">
        <v>685</v>
      </c>
      <c r="E428" s="11" t="s">
        <v>686</v>
      </c>
      <c r="F428" s="118" t="s">
        <v>1834</v>
      </c>
      <c r="G428" s="118" t="s">
        <v>1835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customHeight="1">
      <c r="A429" s="9"/>
      <c r="B429" s="16" t="s">
        <v>674</v>
      </c>
      <c r="C429" s="89" t="s">
        <v>494</v>
      </c>
      <c r="D429" s="61" t="s">
        <v>675</v>
      </c>
      <c r="E429" s="11"/>
      <c r="F429" s="118" t="s">
        <v>1836</v>
      </c>
      <c r="G429" s="118" t="s">
        <v>1837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customHeight="1">
      <c r="A430" s="9"/>
      <c r="B430" s="16" t="s">
        <v>674</v>
      </c>
      <c r="C430" s="89" t="s">
        <v>151</v>
      </c>
      <c r="D430" s="61" t="s">
        <v>689</v>
      </c>
      <c r="E430" s="11"/>
      <c r="F430" s="118" t="s">
        <v>1838</v>
      </c>
      <c r="G430" s="118" t="s">
        <v>1839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customHeight="1">
      <c r="A431" s="9"/>
      <c r="B431" s="16" t="s">
        <v>674</v>
      </c>
      <c r="C431" s="89" t="s">
        <v>151</v>
      </c>
      <c r="D431" s="61" t="s">
        <v>690</v>
      </c>
      <c r="E431" s="11" t="s">
        <v>691</v>
      </c>
      <c r="F431" s="118" t="s">
        <v>1840</v>
      </c>
      <c r="G431" s="118" t="s">
        <v>1841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customHeight="1">
      <c r="A432" s="9"/>
      <c r="B432" s="16" t="s">
        <v>674</v>
      </c>
      <c r="C432" s="89" t="s">
        <v>151</v>
      </c>
      <c r="D432" s="61" t="s">
        <v>693</v>
      </c>
      <c r="E432" s="11" t="s">
        <v>694</v>
      </c>
      <c r="F432" s="118" t="s">
        <v>1842</v>
      </c>
      <c r="G432" s="118" t="s">
        <v>1843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customHeight="1">
      <c r="A433" s="9"/>
      <c r="B433" s="16" t="s">
        <v>674</v>
      </c>
      <c r="C433" s="89" t="s">
        <v>151</v>
      </c>
      <c r="D433" s="61" t="s">
        <v>695</v>
      </c>
      <c r="E433" s="11" t="s">
        <v>696</v>
      </c>
      <c r="F433" s="118" t="s">
        <v>1844</v>
      </c>
      <c r="G433" s="118" t="s">
        <v>1845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customHeight="1">
      <c r="A434" s="9"/>
      <c r="B434" s="16" t="s">
        <v>674</v>
      </c>
      <c r="C434" s="89" t="s">
        <v>151</v>
      </c>
      <c r="D434" s="61" t="s">
        <v>697</v>
      </c>
      <c r="E434" s="11" t="s">
        <v>698</v>
      </c>
      <c r="F434" s="118" t="s">
        <v>1846</v>
      </c>
      <c r="G434" s="118" t="s">
        <v>1847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customHeight="1">
      <c r="A435" s="9"/>
      <c r="B435" s="16" t="s">
        <v>674</v>
      </c>
      <c r="C435" s="89" t="s">
        <v>151</v>
      </c>
      <c r="D435" s="61" t="s">
        <v>699</v>
      </c>
      <c r="E435" s="11"/>
      <c r="F435" s="118" t="s">
        <v>1848</v>
      </c>
      <c r="G435" s="118" t="s">
        <v>1849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customHeight="1">
      <c r="A436" s="9"/>
      <c r="B436" s="16" t="s">
        <v>674</v>
      </c>
      <c r="C436" s="89" t="s">
        <v>151</v>
      </c>
      <c r="D436" s="61" t="s">
        <v>700</v>
      </c>
      <c r="E436" s="11"/>
      <c r="F436" s="118" t="s">
        <v>1850</v>
      </c>
      <c r="G436" s="118" t="s">
        <v>1851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customHeight="1">
      <c r="A437" s="9"/>
      <c r="B437" s="16" t="s">
        <v>674</v>
      </c>
      <c r="C437" s="89" t="s">
        <v>151</v>
      </c>
      <c r="D437" s="61" t="s">
        <v>702</v>
      </c>
      <c r="E437" s="11" t="s">
        <v>703</v>
      </c>
      <c r="F437" s="118" t="s">
        <v>1852</v>
      </c>
      <c r="G437" s="118" t="s">
        <v>1853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customHeight="1">
      <c r="A438" s="9"/>
      <c r="B438" s="16" t="s">
        <v>704</v>
      </c>
      <c r="C438" s="89" t="s">
        <v>52</v>
      </c>
      <c r="D438" s="61" t="s">
        <v>705</v>
      </c>
      <c r="E438" s="11" t="s">
        <v>706</v>
      </c>
      <c r="F438" s="118" t="s">
        <v>1854</v>
      </c>
      <c r="G438" s="118" t="s">
        <v>1855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customHeight="1">
      <c r="A439" s="9"/>
      <c r="B439" s="16" t="s">
        <v>704</v>
      </c>
      <c r="C439" s="89" t="s">
        <v>52</v>
      </c>
      <c r="D439" s="61" t="s">
        <v>707</v>
      </c>
      <c r="E439" s="11" t="s">
        <v>708</v>
      </c>
      <c r="F439" s="118" t="s">
        <v>1856</v>
      </c>
      <c r="G439" s="118" t="s">
        <v>1857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customHeight="1">
      <c r="A440" s="9"/>
      <c r="B440" s="16" t="s">
        <v>704</v>
      </c>
      <c r="C440" s="89" t="s">
        <v>52</v>
      </c>
      <c r="D440" s="61" t="s">
        <v>709</v>
      </c>
      <c r="E440" s="11" t="s">
        <v>710</v>
      </c>
      <c r="F440" s="118" t="s">
        <v>1858</v>
      </c>
      <c r="G440" s="118" t="s">
        <v>1859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customHeight="1">
      <c r="A441" s="9"/>
      <c r="B441" s="16" t="s">
        <v>704</v>
      </c>
      <c r="C441" s="89" t="s">
        <v>151</v>
      </c>
      <c r="D441" s="61" t="s">
        <v>711</v>
      </c>
      <c r="E441" s="11" t="s">
        <v>712</v>
      </c>
      <c r="F441" s="118" t="s">
        <v>1860</v>
      </c>
      <c r="G441" s="118" t="s">
        <v>1861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customHeight="1">
      <c r="A442" s="9"/>
      <c r="B442" s="16" t="s">
        <v>713</v>
      </c>
      <c r="C442" s="89" t="s">
        <v>50</v>
      </c>
      <c r="D442" s="61" t="s">
        <v>714</v>
      </c>
      <c r="E442" s="11"/>
      <c r="F442" s="127" t="s">
        <v>1862</v>
      </c>
      <c r="G442" s="127" t="s">
        <v>1863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customHeight="1">
      <c r="A443" s="9"/>
      <c r="B443" s="16" t="s">
        <v>715</v>
      </c>
      <c r="C443" s="89" t="s">
        <v>151</v>
      </c>
      <c r="D443" s="61" t="s">
        <v>724</v>
      </c>
      <c r="E443" s="11" t="s">
        <v>725</v>
      </c>
      <c r="F443" s="118" t="s">
        <v>1864</v>
      </c>
      <c r="G443" s="118" t="s">
        <v>1865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customHeight="1">
      <c r="A444" s="9"/>
      <c r="B444" s="16" t="s">
        <v>728</v>
      </c>
      <c r="C444" s="89" t="s">
        <v>151</v>
      </c>
      <c r="D444" s="61" t="s">
        <v>729</v>
      </c>
      <c r="E444" s="11" t="s">
        <v>730</v>
      </c>
      <c r="F444" s="118" t="s">
        <v>1866</v>
      </c>
      <c r="G444" s="118" t="s">
        <v>1867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customHeight="1">
      <c r="A445" s="9"/>
      <c r="B445" s="16" t="s">
        <v>728</v>
      </c>
      <c r="C445" s="89" t="s">
        <v>151</v>
      </c>
      <c r="D445" s="61" t="s">
        <v>729</v>
      </c>
      <c r="E445" s="11" t="s">
        <v>732</v>
      </c>
      <c r="F445" s="118" t="s">
        <v>1868</v>
      </c>
      <c r="G445" s="118" t="s">
        <v>1869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customHeight="1">
      <c r="A446" s="9"/>
      <c r="B446" s="16" t="s">
        <v>728</v>
      </c>
      <c r="C446" s="89" t="s">
        <v>151</v>
      </c>
      <c r="D446" s="61" t="s">
        <v>729</v>
      </c>
      <c r="E446" s="11" t="s">
        <v>734</v>
      </c>
      <c r="F446" s="118" t="s">
        <v>1870</v>
      </c>
      <c r="G446" s="118" t="s">
        <v>1871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customHeight="1">
      <c r="A447" s="9"/>
      <c r="B447" s="16" t="s">
        <v>735</v>
      </c>
      <c r="C447" s="89" t="s">
        <v>132</v>
      </c>
      <c r="D447" s="61" t="s">
        <v>736</v>
      </c>
      <c r="E447" s="11" t="s">
        <v>1872</v>
      </c>
      <c r="F447" s="118" t="s">
        <v>1873</v>
      </c>
      <c r="G447" s="118" t="s">
        <v>1874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customHeight="1">
      <c r="A448" s="9"/>
      <c r="B448" s="16" t="s">
        <v>735</v>
      </c>
      <c r="C448" s="89" t="s">
        <v>132</v>
      </c>
      <c r="D448" s="61" t="s">
        <v>738</v>
      </c>
      <c r="E448" s="11" t="s">
        <v>739</v>
      </c>
      <c r="F448" s="118" t="s">
        <v>1875</v>
      </c>
      <c r="G448" s="118" t="s">
        <v>1876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customHeight="1">
      <c r="A449" s="9"/>
      <c r="B449" s="16" t="s">
        <v>740</v>
      </c>
      <c r="C449" s="89" t="s">
        <v>132</v>
      </c>
      <c r="D449" s="61" t="s">
        <v>741</v>
      </c>
      <c r="E449" s="11"/>
      <c r="F449" s="118" t="s">
        <v>1877</v>
      </c>
      <c r="G449" s="118" t="s">
        <v>1878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customHeight="1">
      <c r="A450" s="9"/>
      <c r="B450" s="16" t="s">
        <v>742</v>
      </c>
      <c r="C450" s="89" t="s">
        <v>52</v>
      </c>
      <c r="D450" s="61" t="s">
        <v>750</v>
      </c>
      <c r="E450" s="11" t="s">
        <v>752</v>
      </c>
      <c r="F450" s="118" t="s">
        <v>1879</v>
      </c>
      <c r="G450" s="118" t="s">
        <v>1880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customHeight="1">
      <c r="A451" s="9"/>
      <c r="B451" s="16" t="s">
        <v>161</v>
      </c>
      <c r="C451" s="89" t="s">
        <v>52</v>
      </c>
      <c r="D451" s="61" t="s">
        <v>753</v>
      </c>
      <c r="E451" s="11"/>
      <c r="F451" s="118" t="s">
        <v>1881</v>
      </c>
      <c r="G451" s="118" t="s">
        <v>1882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customHeight="1">
      <c r="A452" s="9"/>
      <c r="B452" s="16" t="s">
        <v>161</v>
      </c>
      <c r="C452" s="89" t="s">
        <v>754</v>
      </c>
      <c r="D452" s="61" t="s">
        <v>1883</v>
      </c>
      <c r="E452" s="11"/>
      <c r="F452" s="118" t="s">
        <v>1884</v>
      </c>
      <c r="G452" s="118" t="s">
        <v>1885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customHeight="1">
      <c r="A453" s="9"/>
      <c r="B453" s="16" t="s">
        <v>161</v>
      </c>
      <c r="C453" s="89" t="s">
        <v>140</v>
      </c>
      <c r="D453" s="61" t="s">
        <v>1886</v>
      </c>
      <c r="E453" s="11"/>
      <c r="F453" s="118" t="s">
        <v>1887</v>
      </c>
      <c r="G453" s="118" t="s">
        <v>1888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customHeight="1">
      <c r="A454" s="9"/>
      <c r="B454" s="16" t="s">
        <v>755</v>
      </c>
      <c r="C454" s="89" t="s">
        <v>754</v>
      </c>
      <c r="D454" s="61" t="s">
        <v>756</v>
      </c>
      <c r="E454" s="11"/>
      <c r="F454" s="118" t="s">
        <v>1889</v>
      </c>
      <c r="G454" s="118" t="s">
        <v>1890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customHeight="1">
      <c r="A455" s="9"/>
      <c r="B455" s="16" t="s">
        <v>755</v>
      </c>
      <c r="C455" s="89" t="s">
        <v>132</v>
      </c>
      <c r="D455" s="61" t="s">
        <v>758</v>
      </c>
      <c r="E455" s="11"/>
      <c r="F455" s="118" t="s">
        <v>1891</v>
      </c>
      <c r="G455" s="118" t="s">
        <v>1892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customHeight="1">
      <c r="A456" s="9"/>
      <c r="B456" s="16" t="s">
        <v>755</v>
      </c>
      <c r="C456" s="89" t="s">
        <v>132</v>
      </c>
      <c r="D456" s="61" t="s">
        <v>759</v>
      </c>
      <c r="E456" s="11"/>
      <c r="F456" s="118" t="s">
        <v>1893</v>
      </c>
      <c r="G456" s="118" t="s">
        <v>1894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customHeight="1">
      <c r="A457" s="9"/>
      <c r="B457" s="16" t="s">
        <v>755</v>
      </c>
      <c r="C457" s="89" t="s">
        <v>140</v>
      </c>
      <c r="D457" s="61" t="s">
        <v>758</v>
      </c>
      <c r="E457" s="11"/>
      <c r="F457" s="118" t="s">
        <v>1895</v>
      </c>
      <c r="G457" s="118" t="s">
        <v>1896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customHeight="1">
      <c r="A458" s="9"/>
      <c r="B458" s="16" t="s">
        <v>755</v>
      </c>
      <c r="C458" s="89" t="s">
        <v>52</v>
      </c>
      <c r="D458" s="61" t="s">
        <v>760</v>
      </c>
      <c r="E458" s="11"/>
      <c r="F458" s="118" t="s">
        <v>1897</v>
      </c>
      <c r="G458" s="118" t="s">
        <v>1898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customHeight="1">
      <c r="A459" s="9"/>
      <c r="B459" s="16" t="s">
        <v>755</v>
      </c>
      <c r="C459" s="89" t="s">
        <v>52</v>
      </c>
      <c r="D459" s="61" t="s">
        <v>761</v>
      </c>
      <c r="E459" s="11"/>
      <c r="F459" s="118" t="s">
        <v>1899</v>
      </c>
      <c r="G459" s="118" t="s">
        <v>1900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customHeight="1">
      <c r="A460" s="9"/>
      <c r="B460" s="16" t="s">
        <v>755</v>
      </c>
      <c r="C460" s="89" t="s">
        <v>52</v>
      </c>
      <c r="D460" s="61" t="s">
        <v>762</v>
      </c>
      <c r="E460" s="11"/>
      <c r="F460" s="118" t="s">
        <v>1901</v>
      </c>
      <c r="G460" s="118" t="s">
        <v>1902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customHeight="1">
      <c r="A461" s="9"/>
      <c r="B461" s="16" t="s">
        <v>755</v>
      </c>
      <c r="C461" s="89" t="s">
        <v>52</v>
      </c>
      <c r="D461" s="61" t="s">
        <v>763</v>
      </c>
      <c r="E461" s="11" t="s">
        <v>764</v>
      </c>
      <c r="F461" s="118" t="s">
        <v>1903</v>
      </c>
      <c r="G461" s="118" t="s">
        <v>1904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customHeight="1">
      <c r="A462" s="9"/>
      <c r="B462" s="16" t="s">
        <v>755</v>
      </c>
      <c r="C462" s="89" t="s">
        <v>52</v>
      </c>
      <c r="D462" s="61" t="s">
        <v>763</v>
      </c>
      <c r="E462" s="11" t="s">
        <v>765</v>
      </c>
      <c r="F462" s="118" t="s">
        <v>1905</v>
      </c>
      <c r="G462" s="118" t="s">
        <v>1906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customHeight="1">
      <c r="A463" s="9"/>
      <c r="B463" s="16" t="s">
        <v>769</v>
      </c>
      <c r="C463" s="89" t="s">
        <v>494</v>
      </c>
      <c r="D463" s="61" t="s">
        <v>770</v>
      </c>
      <c r="E463" s="11"/>
      <c r="F463" s="118" t="s">
        <v>1907</v>
      </c>
      <c r="G463" s="118" t="s">
        <v>1908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customHeight="1">
      <c r="A464" s="9"/>
      <c r="B464" s="16" t="s">
        <v>772</v>
      </c>
      <c r="C464" s="89" t="s">
        <v>151</v>
      </c>
      <c r="D464" s="61" t="s">
        <v>772</v>
      </c>
      <c r="E464" s="11"/>
      <c r="F464" s="118" t="s">
        <v>1909</v>
      </c>
      <c r="G464" s="118" t="s">
        <v>1910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customHeight="1">
      <c r="A465" s="9"/>
      <c r="B465" s="16" t="s">
        <v>774</v>
      </c>
      <c r="C465" s="89" t="s">
        <v>151</v>
      </c>
      <c r="D465" s="61" t="s">
        <v>775</v>
      </c>
      <c r="E465" s="11"/>
      <c r="F465" s="118" t="s">
        <v>1911</v>
      </c>
      <c r="G465" s="118" t="s">
        <v>1912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customHeight="1">
      <c r="A466" s="9"/>
      <c r="B466" s="16" t="s">
        <v>776</v>
      </c>
      <c r="C466" s="89" t="s">
        <v>151</v>
      </c>
      <c r="D466" s="61" t="s">
        <v>777</v>
      </c>
      <c r="E466" s="11"/>
      <c r="F466" s="118" t="s">
        <v>1913</v>
      </c>
      <c r="G466" s="118" t="s">
        <v>1914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customHeight="1">
      <c r="A467" s="9"/>
      <c r="B467" s="16" t="s">
        <v>101</v>
      </c>
      <c r="C467" s="89" t="s">
        <v>151</v>
      </c>
      <c r="D467" s="61" t="s">
        <v>778</v>
      </c>
      <c r="E467" s="11"/>
      <c r="F467" s="118" t="s">
        <v>1915</v>
      </c>
      <c r="G467" s="118" t="s">
        <v>1916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customHeight="1">
      <c r="A468" s="9"/>
      <c r="B468" s="16" t="s">
        <v>101</v>
      </c>
      <c r="C468" s="89" t="s">
        <v>151</v>
      </c>
      <c r="D468" s="61" t="s">
        <v>780</v>
      </c>
      <c r="E468" s="11"/>
      <c r="F468" s="118" t="s">
        <v>1917</v>
      </c>
      <c r="G468" s="118" t="s">
        <v>1918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customHeight="1">
      <c r="A469" s="9"/>
      <c r="B469" s="16" t="s">
        <v>101</v>
      </c>
      <c r="C469" s="89" t="s">
        <v>151</v>
      </c>
      <c r="D469" s="61" t="s">
        <v>781</v>
      </c>
      <c r="E469" s="11"/>
      <c r="F469" s="118" t="s">
        <v>1919</v>
      </c>
      <c r="G469" s="118" t="s">
        <v>1920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customHeight="1">
      <c r="A470" s="9"/>
      <c r="B470" s="16" t="s">
        <v>101</v>
      </c>
      <c r="C470" s="89" t="s">
        <v>151</v>
      </c>
      <c r="D470" s="61" t="s">
        <v>782</v>
      </c>
      <c r="E470" s="11"/>
      <c r="F470" s="118" t="s">
        <v>1921</v>
      </c>
      <c r="G470" s="118" t="s">
        <v>1922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customHeight="1">
      <c r="A471" s="9"/>
      <c r="B471" s="16" t="s">
        <v>101</v>
      </c>
      <c r="C471" s="89" t="s">
        <v>151</v>
      </c>
      <c r="D471" s="61" t="s">
        <v>784</v>
      </c>
      <c r="E471" s="11"/>
      <c r="F471" s="118" t="s">
        <v>1923</v>
      </c>
      <c r="G471" s="118" t="s">
        <v>1924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customHeight="1">
      <c r="A472" s="9"/>
      <c r="B472" s="16" t="s">
        <v>101</v>
      </c>
      <c r="C472" s="89" t="s">
        <v>151</v>
      </c>
      <c r="D472" s="61" t="s">
        <v>785</v>
      </c>
      <c r="E472" s="11"/>
      <c r="F472" s="118" t="s">
        <v>1925</v>
      </c>
      <c r="G472" s="118" t="s">
        <v>1926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customHeight="1">
      <c r="A473" s="9"/>
      <c r="B473" s="16" t="s">
        <v>101</v>
      </c>
      <c r="C473" s="89" t="s">
        <v>151</v>
      </c>
      <c r="D473" s="61" t="s">
        <v>786</v>
      </c>
      <c r="E473" s="11"/>
      <c r="F473" s="118" t="s">
        <v>786</v>
      </c>
      <c r="G473" s="118" t="s">
        <v>1927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customHeight="1">
      <c r="A474" s="9"/>
      <c r="B474" s="16" t="s">
        <v>101</v>
      </c>
      <c r="C474" s="89" t="s">
        <v>151</v>
      </c>
      <c r="D474" s="61" t="s">
        <v>787</v>
      </c>
      <c r="E474" s="11"/>
      <c r="F474" s="118" t="s">
        <v>787</v>
      </c>
      <c r="G474" s="118" t="s">
        <v>1928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customHeight="1">
      <c r="A475" s="9"/>
      <c r="B475" s="16" t="s">
        <v>101</v>
      </c>
      <c r="C475" s="89" t="s">
        <v>151</v>
      </c>
      <c r="D475" s="61" t="s">
        <v>788</v>
      </c>
      <c r="E475" s="11"/>
      <c r="F475" s="118" t="s">
        <v>788</v>
      </c>
      <c r="G475" s="118" t="s">
        <v>1929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customHeight="1">
      <c r="A476" s="9"/>
      <c r="B476" s="16" t="s">
        <v>101</v>
      </c>
      <c r="C476" s="89" t="s">
        <v>151</v>
      </c>
      <c r="D476" s="61" t="s">
        <v>789</v>
      </c>
      <c r="E476" s="11" t="s">
        <v>790</v>
      </c>
      <c r="F476" s="118" t="s">
        <v>1930</v>
      </c>
      <c r="G476" s="118" t="s">
        <v>1931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customHeight="1">
      <c r="A477" s="9"/>
      <c r="B477" s="16" t="s">
        <v>101</v>
      </c>
      <c r="C477" s="89" t="s">
        <v>151</v>
      </c>
      <c r="D477" s="61" t="s">
        <v>792</v>
      </c>
      <c r="E477" s="11" t="s">
        <v>793</v>
      </c>
      <c r="F477" s="118" t="s">
        <v>1932</v>
      </c>
      <c r="G477" s="118" t="s">
        <v>1933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customHeight="1">
      <c r="A478" s="9"/>
      <c r="B478" s="16" t="s">
        <v>330</v>
      </c>
      <c r="C478" s="89" t="s">
        <v>151</v>
      </c>
      <c r="D478" s="61" t="s">
        <v>794</v>
      </c>
      <c r="E478" s="11" t="s">
        <v>330</v>
      </c>
      <c r="F478" s="118" t="s">
        <v>794</v>
      </c>
      <c r="G478" s="118" t="s">
        <v>1934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customHeight="1">
      <c r="A479" s="9"/>
      <c r="B479" s="16" t="s">
        <v>801</v>
      </c>
      <c r="C479" s="89"/>
      <c r="D479" s="61" t="s">
        <v>803</v>
      </c>
      <c r="E479" s="11"/>
      <c r="F479" s="118" t="s">
        <v>1935</v>
      </c>
      <c r="G479" s="118" t="s">
        <v>1936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customHeight="1">
      <c r="A480" s="9"/>
      <c r="B480" s="16" t="s">
        <v>811</v>
      </c>
      <c r="C480" s="89" t="s">
        <v>140</v>
      </c>
      <c r="D480" s="61" t="s">
        <v>1937</v>
      </c>
      <c r="E480" s="11" t="s">
        <v>813</v>
      </c>
      <c r="F480" s="118" t="s">
        <v>1938</v>
      </c>
      <c r="G480" s="118" t="s">
        <v>1939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customHeight="1">
      <c r="A481" s="9"/>
      <c r="B481" s="16" t="s">
        <v>811</v>
      </c>
      <c r="C481" s="89" t="s">
        <v>132</v>
      </c>
      <c r="D481" s="61" t="s">
        <v>1937</v>
      </c>
      <c r="E481" s="11"/>
      <c r="F481" s="118" t="s">
        <v>1940</v>
      </c>
      <c r="G481" s="118" t="s">
        <v>1941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customHeight="1">
      <c r="A482" s="9"/>
      <c r="B482" s="16" t="s">
        <v>811</v>
      </c>
      <c r="C482" s="89" t="s">
        <v>140</v>
      </c>
      <c r="D482" s="61" t="s">
        <v>1942</v>
      </c>
      <c r="E482" s="11" t="s">
        <v>815</v>
      </c>
      <c r="F482" s="118" t="s">
        <v>1943</v>
      </c>
      <c r="G482" s="118" t="s">
        <v>1944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customHeight="1">
      <c r="A483" s="9"/>
      <c r="B483" s="16" t="s">
        <v>334</v>
      </c>
      <c r="C483" s="89" t="s">
        <v>44</v>
      </c>
      <c r="D483" s="61" t="s">
        <v>818</v>
      </c>
      <c r="E483" s="11"/>
      <c r="F483" s="118" t="s">
        <v>1945</v>
      </c>
      <c r="G483" s="118" t="s">
        <v>1946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customHeight="1">
      <c r="A484" s="9"/>
      <c r="B484" s="16" t="s">
        <v>808</v>
      </c>
      <c r="C484" s="89" t="s">
        <v>151</v>
      </c>
      <c r="D484" s="61" t="s">
        <v>820</v>
      </c>
      <c r="E484" s="11"/>
      <c r="F484" s="118" t="s">
        <v>820</v>
      </c>
      <c r="G484" s="118" t="s">
        <v>1947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customHeight="1">
      <c r="A485" s="9"/>
      <c r="B485" s="16" t="s">
        <v>808</v>
      </c>
      <c r="C485" s="89" t="s">
        <v>52</v>
      </c>
      <c r="D485" s="61" t="s">
        <v>821</v>
      </c>
      <c r="E485" s="11"/>
      <c r="F485" s="118" t="s">
        <v>1948</v>
      </c>
      <c r="G485" s="118" t="s">
        <v>1949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customHeight="1">
      <c r="A486" s="9"/>
      <c r="B486" s="16" t="s">
        <v>808</v>
      </c>
      <c r="C486" s="89" t="s">
        <v>52</v>
      </c>
      <c r="D486" s="61" t="s">
        <v>822</v>
      </c>
      <c r="E486" s="11"/>
      <c r="F486" s="118" t="s">
        <v>1950</v>
      </c>
      <c r="G486" s="118" t="s">
        <v>1951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customHeight="1">
      <c r="A487" s="9"/>
      <c r="B487" s="16" t="s">
        <v>808</v>
      </c>
      <c r="C487" s="89" t="s">
        <v>52</v>
      </c>
      <c r="D487" s="61" t="s">
        <v>823</v>
      </c>
      <c r="E487" s="11"/>
      <c r="F487" s="118" t="s">
        <v>1952</v>
      </c>
      <c r="G487" s="118" t="s">
        <v>1953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customHeight="1">
      <c r="A488" s="9"/>
      <c r="B488" s="16" t="s">
        <v>808</v>
      </c>
      <c r="C488" s="89" t="s">
        <v>52</v>
      </c>
      <c r="D488" s="61" t="s">
        <v>824</v>
      </c>
      <c r="E488" s="11"/>
      <c r="F488" s="118" t="s">
        <v>1954</v>
      </c>
      <c r="G488" s="118" t="s">
        <v>1955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customHeight="1">
      <c r="A489" s="9"/>
      <c r="B489" s="16" t="s">
        <v>808</v>
      </c>
      <c r="C489" s="89" t="s">
        <v>52</v>
      </c>
      <c r="D489" s="61" t="s">
        <v>825</v>
      </c>
      <c r="E489" s="11"/>
      <c r="F489" s="118" t="s">
        <v>1956</v>
      </c>
      <c r="G489" s="118" t="s">
        <v>1957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customHeight="1">
      <c r="A490" s="9"/>
      <c r="B490" s="16" t="s">
        <v>808</v>
      </c>
      <c r="C490" s="89" t="s">
        <v>52</v>
      </c>
      <c r="D490" s="61" t="s">
        <v>826</v>
      </c>
      <c r="E490" s="11"/>
      <c r="F490" s="118" t="s">
        <v>1958</v>
      </c>
      <c r="G490" s="118" t="s">
        <v>1959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customHeight="1">
      <c r="A491" s="9"/>
      <c r="B491" s="16" t="s">
        <v>808</v>
      </c>
      <c r="C491" s="89" t="s">
        <v>52</v>
      </c>
      <c r="D491" s="61" t="s">
        <v>827</v>
      </c>
      <c r="E491" s="11"/>
      <c r="F491" s="118" t="s">
        <v>1960</v>
      </c>
      <c r="G491" s="118" t="s">
        <v>1961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customHeight="1">
      <c r="A492" s="9"/>
      <c r="B492" s="16" t="s">
        <v>808</v>
      </c>
      <c r="C492" s="89" t="s">
        <v>52</v>
      </c>
      <c r="D492" s="61" t="s">
        <v>828</v>
      </c>
      <c r="E492" s="11"/>
      <c r="F492" s="118" t="s">
        <v>1962</v>
      </c>
      <c r="G492" s="118" t="s">
        <v>1963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customHeight="1">
      <c r="A493" s="9"/>
      <c r="B493" s="16" t="s">
        <v>808</v>
      </c>
      <c r="C493" s="89" t="s">
        <v>52</v>
      </c>
      <c r="D493" s="61" t="s">
        <v>829</v>
      </c>
      <c r="E493" s="11"/>
      <c r="F493" s="118" t="s">
        <v>1964</v>
      </c>
      <c r="G493" s="118" t="s">
        <v>1965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customHeight="1">
      <c r="A494" s="9"/>
      <c r="B494" s="16" t="s">
        <v>830</v>
      </c>
      <c r="C494" s="89" t="s">
        <v>494</v>
      </c>
      <c r="D494" s="61" t="s">
        <v>830</v>
      </c>
      <c r="E494" s="11"/>
      <c r="F494" s="118" t="s">
        <v>830</v>
      </c>
      <c r="G494" s="118" t="s">
        <v>1966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customHeight="1">
      <c r="A495" s="9"/>
      <c r="B495" s="16" t="s">
        <v>831</v>
      </c>
      <c r="C495" s="89" t="s">
        <v>52</v>
      </c>
      <c r="D495" s="61" t="s">
        <v>832</v>
      </c>
      <c r="E495" s="11"/>
      <c r="F495" s="118" t="s">
        <v>832</v>
      </c>
      <c r="G495" s="118" t="s">
        <v>1967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customHeight="1">
      <c r="A496" s="9"/>
      <c r="B496" s="16" t="s">
        <v>570</v>
      </c>
      <c r="C496" s="89" t="s">
        <v>52</v>
      </c>
      <c r="D496" s="61" t="s">
        <v>833</v>
      </c>
      <c r="E496" s="11"/>
      <c r="F496" s="118" t="s">
        <v>833</v>
      </c>
      <c r="G496" s="118" t="s">
        <v>1968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customHeight="1">
      <c r="A497" s="9"/>
      <c r="B497" s="16" t="s">
        <v>204</v>
      </c>
      <c r="C497" s="89" t="s">
        <v>52</v>
      </c>
      <c r="D497" s="61" t="s">
        <v>834</v>
      </c>
      <c r="E497" s="11"/>
      <c r="F497" s="118" t="s">
        <v>1969</v>
      </c>
      <c r="G497" s="118" t="s">
        <v>1970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customHeight="1">
      <c r="A498" s="9"/>
      <c r="B498" s="16" t="s">
        <v>233</v>
      </c>
      <c r="C498" s="89" t="s">
        <v>494</v>
      </c>
      <c r="D498" s="61" t="s">
        <v>835</v>
      </c>
      <c r="E498" s="11"/>
      <c r="F498" s="118" t="s">
        <v>1971</v>
      </c>
      <c r="G498" s="118" t="s">
        <v>1972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customHeight="1">
      <c r="A499" s="9"/>
      <c r="B499" s="16" t="s">
        <v>836</v>
      </c>
      <c r="C499" s="89" t="s">
        <v>151</v>
      </c>
      <c r="D499" s="61" t="s">
        <v>837</v>
      </c>
      <c r="E499" s="11"/>
      <c r="F499" s="118" t="s">
        <v>1973</v>
      </c>
      <c r="G499" s="118" t="s">
        <v>1974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customHeight="1">
      <c r="A500" s="9"/>
      <c r="B500" s="16" t="s">
        <v>836</v>
      </c>
      <c r="C500" s="89" t="s">
        <v>151</v>
      </c>
      <c r="D500" s="61" t="s">
        <v>838</v>
      </c>
      <c r="E500" s="11"/>
      <c r="F500" s="118" t="s">
        <v>1975</v>
      </c>
      <c r="G500" s="118" t="s">
        <v>1976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customHeight="1">
      <c r="A501" s="9"/>
      <c r="B501" s="16" t="s">
        <v>836</v>
      </c>
      <c r="C501" s="89" t="s">
        <v>151</v>
      </c>
      <c r="D501" s="61" t="s">
        <v>839</v>
      </c>
      <c r="E501" s="11"/>
      <c r="F501" s="118" t="s">
        <v>1977</v>
      </c>
      <c r="G501" s="118" t="s">
        <v>1978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customHeight="1">
      <c r="A502" s="9"/>
      <c r="B502" s="16" t="s">
        <v>836</v>
      </c>
      <c r="C502" s="89" t="s">
        <v>151</v>
      </c>
      <c r="D502" s="61" t="s">
        <v>841</v>
      </c>
      <c r="E502" s="11"/>
      <c r="F502" s="118" t="s">
        <v>1979</v>
      </c>
      <c r="G502" s="118" t="s">
        <v>1980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customHeight="1">
      <c r="A503" s="9"/>
      <c r="B503" s="16" t="s">
        <v>836</v>
      </c>
      <c r="C503" s="89" t="s">
        <v>151</v>
      </c>
      <c r="D503" s="61" t="s">
        <v>842</v>
      </c>
      <c r="E503" s="11"/>
      <c r="F503" s="118" t="s">
        <v>1981</v>
      </c>
      <c r="G503" s="118" t="s">
        <v>1982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customHeight="1">
      <c r="A504" s="9"/>
      <c r="B504" s="16" t="s">
        <v>836</v>
      </c>
      <c r="C504" s="89" t="s">
        <v>151</v>
      </c>
      <c r="D504" s="61" t="s">
        <v>843</v>
      </c>
      <c r="E504" s="11"/>
      <c r="F504" s="118" t="s">
        <v>1983</v>
      </c>
      <c r="G504" s="118" t="s">
        <v>1984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customHeight="1">
      <c r="A505" s="9"/>
      <c r="B505" s="16" t="s">
        <v>836</v>
      </c>
      <c r="C505" s="89" t="s">
        <v>151</v>
      </c>
      <c r="D505" s="61" t="s">
        <v>844</v>
      </c>
      <c r="E505" s="11" t="s">
        <v>845</v>
      </c>
      <c r="F505" s="118" t="s">
        <v>1985</v>
      </c>
      <c r="G505" s="118" t="s">
        <v>1986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customHeight="1">
      <c r="A506" s="9"/>
      <c r="B506" s="16" t="s">
        <v>846</v>
      </c>
      <c r="C506" s="89" t="s">
        <v>151</v>
      </c>
      <c r="D506" s="61" t="s">
        <v>847</v>
      </c>
      <c r="E506" s="11" t="s">
        <v>848</v>
      </c>
      <c r="F506" s="118" t="s">
        <v>1987</v>
      </c>
      <c r="G506" s="118" t="s">
        <v>1988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customHeight="1">
      <c r="A507" s="9"/>
      <c r="B507" s="16" t="s">
        <v>846</v>
      </c>
      <c r="C507" s="89" t="s">
        <v>151</v>
      </c>
      <c r="D507" s="61" t="s">
        <v>849</v>
      </c>
      <c r="E507" s="11"/>
      <c r="F507" s="118" t="s">
        <v>849</v>
      </c>
      <c r="G507" s="118" t="s">
        <v>1989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customHeight="1">
      <c r="A508" s="9"/>
      <c r="B508" s="16" t="s">
        <v>850</v>
      </c>
      <c r="C508" s="89" t="s">
        <v>151</v>
      </c>
      <c r="D508" s="61" t="s">
        <v>851</v>
      </c>
      <c r="E508" s="11"/>
      <c r="F508" s="118" t="s">
        <v>851</v>
      </c>
      <c r="G508" s="118" t="s">
        <v>1990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customHeight="1">
      <c r="A509" s="9"/>
      <c r="B509" s="16" t="s">
        <v>161</v>
      </c>
      <c r="C509" s="89" t="s">
        <v>151</v>
      </c>
      <c r="D509" s="61" t="s">
        <v>852</v>
      </c>
      <c r="E509" s="11" t="s">
        <v>853</v>
      </c>
      <c r="F509" s="118" t="s">
        <v>1991</v>
      </c>
      <c r="G509" s="118" t="s">
        <v>1992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customHeight="1">
      <c r="A510" s="9"/>
      <c r="B510" s="16" t="s">
        <v>854</v>
      </c>
      <c r="C510" s="89" t="s">
        <v>140</v>
      </c>
      <c r="D510" s="61" t="s">
        <v>855</v>
      </c>
      <c r="E510" s="11" t="s">
        <v>856</v>
      </c>
      <c r="F510" s="118" t="s">
        <v>1993</v>
      </c>
      <c r="G510" s="118" t="s">
        <v>1994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customHeight="1">
      <c r="A511" s="9"/>
      <c r="B511" s="16" t="s">
        <v>489</v>
      </c>
      <c r="C511" s="89" t="s">
        <v>132</v>
      </c>
      <c r="D511" s="61" t="s">
        <v>857</v>
      </c>
      <c r="E511" s="11" t="s">
        <v>858</v>
      </c>
      <c r="F511" s="118" t="s">
        <v>1995</v>
      </c>
      <c r="G511" s="118" t="s">
        <v>1996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customHeight="1">
      <c r="A512" s="9">
        <v>999</v>
      </c>
      <c r="B512" s="16" t="s">
        <v>204</v>
      </c>
      <c r="C512" s="89" t="s">
        <v>132</v>
      </c>
      <c r="D512" s="61" t="s">
        <v>862</v>
      </c>
      <c r="E512" s="11" t="s">
        <v>861</v>
      </c>
      <c r="F512" s="118" t="s">
        <v>1997</v>
      </c>
      <c r="G512" s="118" t="s">
        <v>1998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customHeight="1">
      <c r="A513" s="9">
        <v>999</v>
      </c>
      <c r="B513" s="16" t="s">
        <v>334</v>
      </c>
      <c r="C513" s="89" t="s">
        <v>151</v>
      </c>
      <c r="D513" s="61" t="s">
        <v>863</v>
      </c>
      <c r="E513" s="11" t="s">
        <v>861</v>
      </c>
      <c r="F513" s="118" t="s">
        <v>1999</v>
      </c>
      <c r="G513" s="118" t="s">
        <v>2000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customHeight="1">
      <c r="A514" s="9">
        <v>32</v>
      </c>
      <c r="B514" s="16" t="s">
        <v>129</v>
      </c>
      <c r="C514" s="89" t="s">
        <v>52</v>
      </c>
      <c r="D514" s="61" t="s">
        <v>130</v>
      </c>
      <c r="E514" s="11" t="s">
        <v>864</v>
      </c>
      <c r="F514" s="118" t="s">
        <v>2001</v>
      </c>
      <c r="G514" s="118" t="s">
        <v>2002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customHeight="1">
      <c r="A515" s="9">
        <v>60</v>
      </c>
      <c r="B515" s="18" t="s">
        <v>129</v>
      </c>
      <c r="C515" s="89" t="s">
        <v>52</v>
      </c>
      <c r="D515" s="61" t="s">
        <v>169</v>
      </c>
      <c r="E515" s="11" t="s">
        <v>865</v>
      </c>
      <c r="F515" s="118" t="s">
        <v>2003</v>
      </c>
      <c r="G515" s="118" t="s">
        <v>2004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customHeight="1">
      <c r="A516" s="9">
        <v>999</v>
      </c>
      <c r="B516" s="16" t="s">
        <v>68</v>
      </c>
      <c r="C516" s="89" t="s">
        <v>50</v>
      </c>
      <c r="D516" s="61" t="s">
        <v>69</v>
      </c>
      <c r="E516" s="11" t="s">
        <v>866</v>
      </c>
      <c r="F516" s="118" t="s">
        <v>2005</v>
      </c>
      <c r="G516" s="118" t="s">
        <v>2006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customHeight="1">
      <c r="A517" s="9">
        <v>999</v>
      </c>
      <c r="B517" s="16" t="s">
        <v>34</v>
      </c>
      <c r="C517" s="89" t="s">
        <v>50</v>
      </c>
      <c r="D517" s="61" t="s">
        <v>867</v>
      </c>
      <c r="E517" s="11" t="s">
        <v>868</v>
      </c>
      <c r="F517" s="118" t="s">
        <v>2007</v>
      </c>
      <c r="G517" s="118" t="s">
        <v>2008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customHeight="1">
      <c r="A518" s="9">
        <v>999</v>
      </c>
      <c r="B518" s="18" t="s">
        <v>62</v>
      </c>
      <c r="C518" s="92" t="s">
        <v>50</v>
      </c>
      <c r="D518" s="61" t="s">
        <v>869</v>
      </c>
      <c r="E518" s="11" t="s">
        <v>62</v>
      </c>
      <c r="F518" s="118" t="s">
        <v>2009</v>
      </c>
      <c r="G518" s="118" t="s">
        <v>2010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customHeight="1">
      <c r="A519" s="9">
        <v>999</v>
      </c>
      <c r="B519" s="18" t="s">
        <v>62</v>
      </c>
      <c r="C519" s="92" t="s">
        <v>50</v>
      </c>
      <c r="D519" s="61" t="s">
        <v>870</v>
      </c>
      <c r="E519" s="11" t="s">
        <v>62</v>
      </c>
      <c r="F519" s="118" t="s">
        <v>2011</v>
      </c>
      <c r="G519" s="118" t="s">
        <v>2012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customHeight="1">
      <c r="A520" s="9">
        <v>999</v>
      </c>
      <c r="B520" s="18" t="s">
        <v>62</v>
      </c>
      <c r="C520" s="92" t="s">
        <v>50</v>
      </c>
      <c r="D520" s="61" t="s">
        <v>871</v>
      </c>
      <c r="E520" s="11" t="s">
        <v>62</v>
      </c>
      <c r="F520" s="118" t="s">
        <v>2013</v>
      </c>
      <c r="G520" s="118" t="s">
        <v>2014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customHeight="1">
      <c r="A521" s="9">
        <v>999</v>
      </c>
      <c r="B521" s="16" t="s">
        <v>155</v>
      </c>
      <c r="C521" s="89" t="s">
        <v>50</v>
      </c>
      <c r="D521" s="61" t="s">
        <v>872</v>
      </c>
      <c r="E521" s="11" t="s">
        <v>873</v>
      </c>
      <c r="F521" s="118" t="s">
        <v>2015</v>
      </c>
      <c r="G521" s="118" t="s">
        <v>2016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customHeight="1">
      <c r="A522" s="9">
        <v>999</v>
      </c>
      <c r="B522" s="18" t="s">
        <v>172</v>
      </c>
      <c r="C522" s="89" t="s">
        <v>48</v>
      </c>
      <c r="D522" s="61" t="s">
        <v>874</v>
      </c>
      <c r="E522" s="11"/>
      <c r="F522" s="118" t="s">
        <v>2017</v>
      </c>
      <c r="G522" s="118" t="s">
        <v>2018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customHeight="1">
      <c r="A523" s="9">
        <v>999</v>
      </c>
      <c r="B523" s="18" t="s">
        <v>187</v>
      </c>
      <c r="C523" s="89" t="s">
        <v>132</v>
      </c>
      <c r="D523" s="61" t="s">
        <v>276</v>
      </c>
      <c r="E523" s="11"/>
      <c r="F523" s="118" t="s">
        <v>2019</v>
      </c>
      <c r="G523" s="118" t="s">
        <v>2020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customHeight="1">
      <c r="A524" s="9">
        <v>999</v>
      </c>
      <c r="B524" s="18" t="s">
        <v>204</v>
      </c>
      <c r="C524" s="89" t="s">
        <v>132</v>
      </c>
      <c r="D524" s="61" t="s">
        <v>282</v>
      </c>
      <c r="E524" s="11" t="s">
        <v>210</v>
      </c>
      <c r="F524" s="118" t="s">
        <v>2021</v>
      </c>
      <c r="G524" s="118" t="s">
        <v>2022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customHeight="1">
      <c r="A525" s="9">
        <v>999</v>
      </c>
      <c r="B525" s="18" t="s">
        <v>120</v>
      </c>
      <c r="C525" s="89" t="s">
        <v>132</v>
      </c>
      <c r="D525" s="61" t="s">
        <v>878</v>
      </c>
      <c r="E525" s="11"/>
      <c r="F525" s="118" t="s">
        <v>2023</v>
      </c>
      <c r="G525" s="118" t="s">
        <v>2024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customHeight="1">
      <c r="A526" s="9">
        <v>999</v>
      </c>
      <c r="B526" s="16" t="s">
        <v>120</v>
      </c>
      <c r="C526" s="89" t="s">
        <v>48</v>
      </c>
      <c r="D526" s="61" t="s">
        <v>881</v>
      </c>
      <c r="E526" s="11" t="s">
        <v>882</v>
      </c>
      <c r="F526" s="118" t="s">
        <v>2025</v>
      </c>
      <c r="G526" s="118" t="s">
        <v>2026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customHeight="1">
      <c r="A527" s="9">
        <v>999</v>
      </c>
      <c r="B527" s="16" t="s">
        <v>120</v>
      </c>
      <c r="C527" s="89" t="s">
        <v>48</v>
      </c>
      <c r="D527" s="61" t="s">
        <v>883</v>
      </c>
      <c r="E527" s="11" t="s">
        <v>884</v>
      </c>
      <c r="F527" s="118" t="s">
        <v>2027</v>
      </c>
      <c r="G527" s="118" t="s">
        <v>2028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customHeight="1">
      <c r="A528" s="9">
        <v>999</v>
      </c>
      <c r="B528" s="16" t="s">
        <v>172</v>
      </c>
      <c r="C528" s="89" t="s">
        <v>48</v>
      </c>
      <c r="D528" s="61" t="s">
        <v>415</v>
      </c>
      <c r="E528" s="11"/>
      <c r="F528" s="118" t="s">
        <v>1483</v>
      </c>
      <c r="G528" s="118" t="s">
        <v>1484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customHeight="1">
      <c r="A529" s="9"/>
      <c r="B529" s="16" t="s">
        <v>172</v>
      </c>
      <c r="C529" s="89" t="s">
        <v>52</v>
      </c>
      <c r="D529" s="61" t="s">
        <v>497</v>
      </c>
      <c r="E529" s="11"/>
      <c r="F529" s="118" t="s">
        <v>2029</v>
      </c>
      <c r="G529" s="118" t="s">
        <v>2030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customHeight="1">
      <c r="A530" s="9"/>
      <c r="B530" s="16" t="s">
        <v>172</v>
      </c>
      <c r="C530" s="89" t="s">
        <v>52</v>
      </c>
      <c r="D530" s="61" t="s">
        <v>886</v>
      </c>
      <c r="E530" s="11"/>
      <c r="F530" s="118" t="s">
        <v>2031</v>
      </c>
      <c r="G530" s="118" t="s">
        <v>2032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customHeight="1">
      <c r="A531" s="9"/>
      <c r="B531" s="16" t="s">
        <v>172</v>
      </c>
      <c r="C531" s="89" t="s">
        <v>52</v>
      </c>
      <c r="D531" s="61" t="s">
        <v>887</v>
      </c>
      <c r="E531" s="11"/>
      <c r="F531" s="118" t="s">
        <v>2033</v>
      </c>
      <c r="G531" s="118" t="s">
        <v>2034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customHeight="1">
      <c r="A532" s="9"/>
      <c r="B532" s="16" t="s">
        <v>172</v>
      </c>
      <c r="C532" s="89" t="s">
        <v>494</v>
      </c>
      <c r="D532" s="61" t="s">
        <v>498</v>
      </c>
      <c r="E532" s="11"/>
      <c r="F532" s="118" t="s">
        <v>2035</v>
      </c>
      <c r="G532" s="118" t="s">
        <v>2036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customHeight="1">
      <c r="A533" s="9"/>
      <c r="B533" s="16" t="s">
        <v>172</v>
      </c>
      <c r="C533" s="89" t="s">
        <v>1605</v>
      </c>
      <c r="D533" s="61" t="s">
        <v>888</v>
      </c>
      <c r="E533" s="11"/>
      <c r="F533" s="118" t="s">
        <v>2037</v>
      </c>
      <c r="G533" s="118" t="s">
        <v>2038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customHeight="1">
      <c r="A534" s="9"/>
      <c r="B534" s="16" t="s">
        <v>172</v>
      </c>
      <c r="C534" s="89" t="s">
        <v>52</v>
      </c>
      <c r="D534" s="61" t="s">
        <v>889</v>
      </c>
      <c r="E534" s="11"/>
      <c r="F534" s="118" t="s">
        <v>2039</v>
      </c>
      <c r="G534" s="118" t="s">
        <v>2040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customHeight="1">
      <c r="A535" s="9"/>
      <c r="B535" s="16" t="s">
        <v>172</v>
      </c>
      <c r="C535" s="89" t="s">
        <v>1605</v>
      </c>
      <c r="D535" s="61" t="s">
        <v>500</v>
      </c>
      <c r="E535" s="11" t="s">
        <v>578</v>
      </c>
      <c r="F535" s="118" t="s">
        <v>2041</v>
      </c>
      <c r="G535" s="118" t="s">
        <v>2042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customHeight="1">
      <c r="A536" s="9"/>
      <c r="B536" s="16" t="s">
        <v>172</v>
      </c>
      <c r="C536" s="89" t="s">
        <v>52</v>
      </c>
      <c r="D536" s="61" t="s">
        <v>892</v>
      </c>
      <c r="E536" s="11" t="s">
        <v>894</v>
      </c>
      <c r="F536" s="118" t="s">
        <v>2043</v>
      </c>
      <c r="G536" s="118" t="s">
        <v>2044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customHeight="1">
      <c r="A537" s="9"/>
      <c r="B537" s="16" t="s">
        <v>172</v>
      </c>
      <c r="C537" s="89" t="s">
        <v>52</v>
      </c>
      <c r="D537" s="61" t="s">
        <v>895</v>
      </c>
      <c r="E537" s="11"/>
      <c r="F537" s="118" t="s">
        <v>2045</v>
      </c>
      <c r="G537" s="118" t="s">
        <v>2046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customHeight="1">
      <c r="A538" s="9"/>
      <c r="B538" s="16" t="s">
        <v>172</v>
      </c>
      <c r="C538" s="89" t="s">
        <v>52</v>
      </c>
      <c r="D538" s="61" t="s">
        <v>896</v>
      </c>
      <c r="E538" s="11"/>
      <c r="F538" s="118" t="s">
        <v>2047</v>
      </c>
      <c r="G538" s="118" t="s">
        <v>2048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customHeight="1">
      <c r="A539" s="9"/>
      <c r="B539" s="16" t="s">
        <v>172</v>
      </c>
      <c r="C539" s="89" t="s">
        <v>52</v>
      </c>
      <c r="D539" s="61" t="s">
        <v>897</v>
      </c>
      <c r="E539" s="11"/>
      <c r="F539" s="118" t="s">
        <v>2049</v>
      </c>
      <c r="G539" s="118" t="s">
        <v>2050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customHeight="1">
      <c r="A540" s="9"/>
      <c r="B540" s="16" t="s">
        <v>172</v>
      </c>
      <c r="C540" s="89" t="s">
        <v>52</v>
      </c>
      <c r="D540" s="61" t="s">
        <v>900</v>
      </c>
      <c r="E540" s="11" t="s">
        <v>737</v>
      </c>
      <c r="F540" s="118" t="s">
        <v>2051</v>
      </c>
      <c r="G540" s="118" t="s">
        <v>2052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customHeight="1">
      <c r="A541" s="9"/>
      <c r="B541" s="16" t="s">
        <v>172</v>
      </c>
      <c r="C541" s="89" t="s">
        <v>52</v>
      </c>
      <c r="D541" s="61" t="s">
        <v>900</v>
      </c>
      <c r="E541" s="11" t="s">
        <v>136</v>
      </c>
      <c r="F541" s="118" t="s">
        <v>2053</v>
      </c>
      <c r="G541" s="118" t="s">
        <v>2054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customHeight="1">
      <c r="A542" s="9"/>
      <c r="B542" s="16" t="s">
        <v>120</v>
      </c>
      <c r="C542" s="89" t="s">
        <v>52</v>
      </c>
      <c r="D542" s="61" t="s">
        <v>901</v>
      </c>
      <c r="E542" s="11" t="s">
        <v>902</v>
      </c>
      <c r="F542" s="118" t="s">
        <v>2055</v>
      </c>
      <c r="G542" s="118" t="s">
        <v>2056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customHeight="1">
      <c r="A543" s="9"/>
      <c r="B543" s="16" t="s">
        <v>120</v>
      </c>
      <c r="C543" s="89" t="s">
        <v>52</v>
      </c>
      <c r="D543" s="61" t="s">
        <v>202</v>
      </c>
      <c r="E543" s="11" t="s">
        <v>903</v>
      </c>
      <c r="F543" s="118" t="s">
        <v>2057</v>
      </c>
      <c r="G543" s="118" t="s">
        <v>2058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customHeight="1">
      <c r="A544" s="9"/>
      <c r="B544" s="16" t="s">
        <v>120</v>
      </c>
      <c r="C544" s="89" t="s">
        <v>494</v>
      </c>
      <c r="D544" s="61" t="s">
        <v>904</v>
      </c>
      <c r="E544" s="11" t="s">
        <v>905</v>
      </c>
      <c r="F544" s="118" t="s">
        <v>2059</v>
      </c>
      <c r="G544" s="118" t="s">
        <v>2060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customHeight="1">
      <c r="A545" s="9"/>
      <c r="B545" s="16" t="s">
        <v>120</v>
      </c>
      <c r="C545" s="89" t="s">
        <v>52</v>
      </c>
      <c r="D545" s="61" t="s">
        <v>881</v>
      </c>
      <c r="E545" s="11" t="s">
        <v>906</v>
      </c>
      <c r="F545" s="118" t="s">
        <v>2061</v>
      </c>
      <c r="G545" s="118" t="s">
        <v>2062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customHeight="1">
      <c r="A546" s="9"/>
      <c r="B546" s="16" t="s">
        <v>120</v>
      </c>
      <c r="C546" s="89" t="s">
        <v>52</v>
      </c>
      <c r="D546" s="61" t="s">
        <v>907</v>
      </c>
      <c r="E546" s="11" t="s">
        <v>908</v>
      </c>
      <c r="F546" s="118" t="s">
        <v>2063</v>
      </c>
      <c r="G546" s="118" t="s">
        <v>2064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customHeight="1">
      <c r="A547" s="9"/>
      <c r="B547" s="16" t="s">
        <v>120</v>
      </c>
      <c r="C547" s="89" t="s">
        <v>52</v>
      </c>
      <c r="D547" s="61" t="s">
        <v>909</v>
      </c>
      <c r="E547" s="11" t="s">
        <v>910</v>
      </c>
      <c r="F547" s="118" t="s">
        <v>2065</v>
      </c>
      <c r="G547" s="118" t="s">
        <v>2066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customHeight="1">
      <c r="A548" s="9"/>
      <c r="B548" s="16" t="s">
        <v>120</v>
      </c>
      <c r="C548" s="89" t="s">
        <v>52</v>
      </c>
      <c r="D548" s="61" t="s">
        <v>911</v>
      </c>
      <c r="E548" s="11" t="s">
        <v>525</v>
      </c>
      <c r="F548" s="118" t="s">
        <v>2067</v>
      </c>
      <c r="G548" s="118" t="s">
        <v>2068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customHeight="1">
      <c r="A549" s="9"/>
      <c r="B549" s="16" t="s">
        <v>120</v>
      </c>
      <c r="C549" s="89" t="s">
        <v>52</v>
      </c>
      <c r="D549" s="61" t="s">
        <v>912</v>
      </c>
      <c r="E549" s="11" t="s">
        <v>913</v>
      </c>
      <c r="F549" s="118" t="s">
        <v>2069</v>
      </c>
      <c r="G549" s="118" t="s">
        <v>2070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customHeight="1">
      <c r="A550" s="9"/>
      <c r="B550" s="16" t="s">
        <v>120</v>
      </c>
      <c r="C550" s="89" t="s">
        <v>52</v>
      </c>
      <c r="D550" s="61" t="s">
        <v>914</v>
      </c>
      <c r="E550" s="11" t="s">
        <v>915</v>
      </c>
      <c r="F550" s="118" t="s">
        <v>2071</v>
      </c>
      <c r="G550" s="118" t="s">
        <v>2072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customHeight="1">
      <c r="A551" s="9"/>
      <c r="B551" s="16" t="s">
        <v>528</v>
      </c>
      <c r="C551" s="89" t="s">
        <v>494</v>
      </c>
      <c r="D551" s="61" t="s">
        <v>918</v>
      </c>
      <c r="E551" s="11" t="s">
        <v>917</v>
      </c>
      <c r="F551" s="118" t="s">
        <v>2073</v>
      </c>
      <c r="G551" s="118" t="s">
        <v>2074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customHeight="1">
      <c r="A552" s="9"/>
      <c r="B552" s="16" t="s">
        <v>204</v>
      </c>
      <c r="C552" s="89" t="s">
        <v>52</v>
      </c>
      <c r="D552" s="61" t="s">
        <v>919</v>
      </c>
      <c r="E552" s="11" t="s">
        <v>531</v>
      </c>
      <c r="F552" s="118" t="s">
        <v>2075</v>
      </c>
      <c r="G552" s="118" t="s">
        <v>2076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customHeight="1">
      <c r="A553" s="9"/>
      <c r="B553" s="16" t="s">
        <v>204</v>
      </c>
      <c r="C553" s="89" t="s">
        <v>52</v>
      </c>
      <c r="D553" s="61" t="s">
        <v>920</v>
      </c>
      <c r="E553" s="11" t="s">
        <v>531</v>
      </c>
      <c r="F553" s="118" t="s">
        <v>2077</v>
      </c>
      <c r="G553" s="118" t="s">
        <v>2078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customHeight="1">
      <c r="A554" s="9"/>
      <c r="B554" s="16" t="s">
        <v>204</v>
      </c>
      <c r="C554" s="89" t="s">
        <v>52</v>
      </c>
      <c r="D554" s="61" t="s">
        <v>921</v>
      </c>
      <c r="E554" s="11" t="s">
        <v>531</v>
      </c>
      <c r="F554" s="118" t="s">
        <v>2079</v>
      </c>
      <c r="G554" s="118" t="s">
        <v>2080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customHeight="1">
      <c r="A555" s="9"/>
      <c r="B555" s="16" t="s">
        <v>204</v>
      </c>
      <c r="C555" s="89" t="s">
        <v>52</v>
      </c>
      <c r="D555" s="61" t="s">
        <v>922</v>
      </c>
      <c r="E555" s="11" t="s">
        <v>923</v>
      </c>
      <c r="F555" s="118" t="s">
        <v>2081</v>
      </c>
      <c r="G555" s="118" t="s">
        <v>2082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customHeight="1">
      <c r="A556" s="9"/>
      <c r="B556" s="16" t="s">
        <v>204</v>
      </c>
      <c r="C556" s="89" t="s">
        <v>52</v>
      </c>
      <c r="D556" s="61" t="s">
        <v>924</v>
      </c>
      <c r="E556" s="11" t="s">
        <v>531</v>
      </c>
      <c r="F556" s="118" t="s">
        <v>2083</v>
      </c>
      <c r="G556" s="118" t="s">
        <v>2084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customHeight="1">
      <c r="A557" s="9"/>
      <c r="B557" s="16" t="s">
        <v>233</v>
      </c>
      <c r="C557" s="89" t="s">
        <v>52</v>
      </c>
      <c r="D557" s="61" t="s">
        <v>405</v>
      </c>
      <c r="E557" s="11" t="s">
        <v>925</v>
      </c>
      <c r="F557" s="118" t="s">
        <v>2085</v>
      </c>
      <c r="G557" s="118" t="s">
        <v>2086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customHeight="1">
      <c r="A558" s="9"/>
      <c r="B558" s="16" t="s">
        <v>155</v>
      </c>
      <c r="C558" s="89" t="s">
        <v>52</v>
      </c>
      <c r="D558" s="120" t="s">
        <v>931</v>
      </c>
      <c r="E558" s="11" t="s">
        <v>565</v>
      </c>
      <c r="F558" s="121" t="s">
        <v>1704</v>
      </c>
      <c r="G558" s="121" t="s">
        <v>1705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customHeight="1">
      <c r="A559" s="9"/>
      <c r="B559" s="16" t="s">
        <v>155</v>
      </c>
      <c r="C559" s="89" t="s">
        <v>52</v>
      </c>
      <c r="D559" s="61" t="s">
        <v>932</v>
      </c>
      <c r="E559" s="11" t="s">
        <v>569</v>
      </c>
      <c r="F559" s="118" t="s">
        <v>2087</v>
      </c>
      <c r="G559" s="118" t="s">
        <v>2088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customHeight="1">
      <c r="A560" s="9"/>
      <c r="B560" s="16" t="s">
        <v>155</v>
      </c>
      <c r="C560" s="89" t="s">
        <v>52</v>
      </c>
      <c r="D560" s="61" t="s">
        <v>933</v>
      </c>
      <c r="E560" s="11" t="s">
        <v>565</v>
      </c>
      <c r="F560" s="118" t="s">
        <v>2089</v>
      </c>
      <c r="G560" s="118" t="s">
        <v>2090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customHeight="1">
      <c r="A561" s="9"/>
      <c r="B561" s="16" t="s">
        <v>330</v>
      </c>
      <c r="C561" s="89" t="s">
        <v>52</v>
      </c>
      <c r="D561" s="61" t="s">
        <v>934</v>
      </c>
      <c r="E561" s="11" t="s">
        <v>330</v>
      </c>
      <c r="F561" s="118" t="s">
        <v>2091</v>
      </c>
      <c r="G561" s="118" t="s">
        <v>2092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customHeight="1">
      <c r="A562" s="9"/>
      <c r="B562" s="16" t="s">
        <v>330</v>
      </c>
      <c r="C562" s="89" t="s">
        <v>52</v>
      </c>
      <c r="D562" s="61" t="s">
        <v>935</v>
      </c>
      <c r="E562" s="11"/>
      <c r="F562" s="118" t="s">
        <v>2093</v>
      </c>
      <c r="G562" s="118" t="s">
        <v>2094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customHeight="1">
      <c r="A563" s="9"/>
      <c r="B563" s="16" t="s">
        <v>574</v>
      </c>
      <c r="C563" s="89" t="s">
        <v>52</v>
      </c>
      <c r="D563" s="61" t="s">
        <v>577</v>
      </c>
      <c r="E563" s="11"/>
      <c r="F563" s="118" t="s">
        <v>2095</v>
      </c>
      <c r="G563" s="118" t="s">
        <v>2096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customHeight="1">
      <c r="A564" s="9"/>
      <c r="B564" s="16" t="s">
        <v>574</v>
      </c>
      <c r="C564" s="89" t="s">
        <v>494</v>
      </c>
      <c r="D564" s="61" t="s">
        <v>577</v>
      </c>
      <c r="E564" s="11"/>
      <c r="F564" s="118" t="s">
        <v>2097</v>
      </c>
      <c r="G564" s="118" t="s">
        <v>2098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customHeight="1">
      <c r="A565" s="9"/>
      <c r="B565" s="16" t="s">
        <v>574</v>
      </c>
      <c r="C565" s="89" t="s">
        <v>494</v>
      </c>
      <c r="D565" s="61" t="s">
        <v>577</v>
      </c>
      <c r="E565" s="11" t="s">
        <v>936</v>
      </c>
      <c r="F565" s="118" t="s">
        <v>2099</v>
      </c>
      <c r="G565" s="118" t="s">
        <v>2100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customHeight="1">
      <c r="A566" s="9"/>
      <c r="B566" s="16" t="s">
        <v>244</v>
      </c>
      <c r="C566" s="89" t="s">
        <v>52</v>
      </c>
      <c r="D566" s="61" t="s">
        <v>937</v>
      </c>
      <c r="E566" s="11" t="s">
        <v>246</v>
      </c>
      <c r="F566" s="118" t="s">
        <v>2101</v>
      </c>
      <c r="G566" s="118" t="s">
        <v>2102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customHeight="1">
      <c r="A567" s="9"/>
      <c r="B567" s="16" t="s">
        <v>244</v>
      </c>
      <c r="C567" s="89" t="s">
        <v>52</v>
      </c>
      <c r="D567" s="61" t="s">
        <v>938</v>
      </c>
      <c r="E567" s="11" t="s">
        <v>246</v>
      </c>
      <c r="F567" s="118" t="s">
        <v>2103</v>
      </c>
      <c r="G567" s="118" t="s">
        <v>2104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customHeight="1">
      <c r="A568" s="9">
        <v>999</v>
      </c>
      <c r="B568" s="16" t="s">
        <v>204</v>
      </c>
      <c r="C568" s="89" t="s">
        <v>52</v>
      </c>
      <c r="D568" s="61" t="s">
        <v>939</v>
      </c>
      <c r="E568" s="11" t="s">
        <v>940</v>
      </c>
      <c r="F568" s="118" t="s">
        <v>2105</v>
      </c>
      <c r="G568" s="118" t="s">
        <v>2106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customHeight="1">
      <c r="A569" s="9">
        <v>999</v>
      </c>
      <c r="B569" s="16" t="s">
        <v>204</v>
      </c>
      <c r="C569" s="89" t="s">
        <v>52</v>
      </c>
      <c r="D569" s="61" t="s">
        <v>941</v>
      </c>
      <c r="E569" s="11" t="s">
        <v>940</v>
      </c>
      <c r="F569" s="118" t="s">
        <v>2107</v>
      </c>
      <c r="G569" s="118" t="s">
        <v>2108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customHeight="1">
      <c r="A570" s="9">
        <v>999</v>
      </c>
      <c r="B570" s="16" t="s">
        <v>942</v>
      </c>
      <c r="C570" s="89" t="s">
        <v>494</v>
      </c>
      <c r="D570" s="61" t="s">
        <v>943</v>
      </c>
      <c r="E570" s="11" t="s">
        <v>944</v>
      </c>
      <c r="F570" s="118" t="s">
        <v>2109</v>
      </c>
      <c r="G570" s="118" t="s">
        <v>2110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customHeight="1">
      <c r="A571" s="9">
        <v>999</v>
      </c>
      <c r="B571" s="16" t="s">
        <v>942</v>
      </c>
      <c r="C571" s="89" t="s">
        <v>494</v>
      </c>
      <c r="D571" s="61" t="s">
        <v>946</v>
      </c>
      <c r="E571" s="11"/>
      <c r="F571" s="118" t="s">
        <v>2111</v>
      </c>
      <c r="G571" s="118" t="s">
        <v>2112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customHeight="1">
      <c r="A572" s="9">
        <v>999</v>
      </c>
      <c r="B572" s="16" t="s">
        <v>926</v>
      </c>
      <c r="C572" s="89" t="s">
        <v>132</v>
      </c>
      <c r="D572" s="61" t="s">
        <v>954</v>
      </c>
      <c r="E572" s="11"/>
      <c r="F572" s="118" t="s">
        <v>1706</v>
      </c>
      <c r="G572" s="118" t="s">
        <v>1707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1.95" customHeight="1">
      <c r="A573" s="9"/>
      <c r="B573" s="18" t="s">
        <v>204</v>
      </c>
      <c r="C573" s="89" t="s">
        <v>132</v>
      </c>
      <c r="D573" s="122" t="s">
        <v>213</v>
      </c>
      <c r="E573" s="35" t="s">
        <v>215</v>
      </c>
      <c r="F573" s="118" t="s">
        <v>2113</v>
      </c>
      <c r="G573" s="118" t="s">
        <v>2114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1.95" customHeight="1">
      <c r="A574" s="9"/>
      <c r="B574" s="18" t="s">
        <v>204</v>
      </c>
      <c r="C574" s="89" t="s">
        <v>132</v>
      </c>
      <c r="D574" s="122" t="s">
        <v>2115</v>
      </c>
      <c r="E574" s="35" t="s">
        <v>210</v>
      </c>
      <c r="F574" s="118" t="s">
        <v>2116</v>
      </c>
      <c r="G574" s="118" t="s">
        <v>2117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1.95" customHeight="1">
      <c r="A575" s="9"/>
      <c r="B575" s="18" t="s">
        <v>204</v>
      </c>
      <c r="C575" s="89" t="s">
        <v>132</v>
      </c>
      <c r="D575" s="122" t="s">
        <v>2118</v>
      </c>
      <c r="E575" s="35" t="s">
        <v>222</v>
      </c>
      <c r="F575" s="118" t="s">
        <v>2119</v>
      </c>
      <c r="G575" s="118" t="s">
        <v>2120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1.95" customHeight="1">
      <c r="A576" s="9"/>
      <c r="B576" s="16" t="s">
        <v>204</v>
      </c>
      <c r="C576" s="89" t="s">
        <v>48</v>
      </c>
      <c r="D576" s="122" t="s">
        <v>278</v>
      </c>
      <c r="E576" s="35" t="s">
        <v>2121</v>
      </c>
      <c r="F576" s="118" t="s">
        <v>2122</v>
      </c>
      <c r="G576" s="118" t="s">
        <v>2123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customHeight="1">
      <c r="A577" s="9"/>
      <c r="B577" s="16" t="s">
        <v>204</v>
      </c>
      <c r="C577" s="89" t="s">
        <v>48</v>
      </c>
      <c r="D577" s="122" t="s">
        <v>280</v>
      </c>
      <c r="E577" s="35" t="s">
        <v>2121</v>
      </c>
      <c r="F577" s="118" t="s">
        <v>2124</v>
      </c>
      <c r="G577" s="118" t="s">
        <v>2125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customHeight="1">
      <c r="A578" s="9"/>
      <c r="B578" s="16" t="s">
        <v>204</v>
      </c>
      <c r="C578" s="89" t="s">
        <v>48</v>
      </c>
      <c r="D578" s="122" t="s">
        <v>298</v>
      </c>
      <c r="E578" s="35" t="s">
        <v>290</v>
      </c>
      <c r="F578" s="118" t="s">
        <v>2126</v>
      </c>
      <c r="G578" s="118" t="s">
        <v>2127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customHeight="1">
      <c r="A579" s="9"/>
      <c r="B579" s="16" t="s">
        <v>204</v>
      </c>
      <c r="C579" s="89" t="s">
        <v>48</v>
      </c>
      <c r="D579" s="122" t="s">
        <v>301</v>
      </c>
      <c r="E579" s="35" t="s">
        <v>206</v>
      </c>
      <c r="F579" s="118" t="s">
        <v>2128</v>
      </c>
      <c r="G579" s="118" t="s">
        <v>2129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customHeight="1">
      <c r="A580" s="9"/>
      <c r="B580" s="16" t="s">
        <v>204</v>
      </c>
      <c r="C580" s="89" t="s">
        <v>48</v>
      </c>
      <c r="D580" s="122" t="s">
        <v>295</v>
      </c>
      <c r="E580" s="35" t="s">
        <v>348</v>
      </c>
      <c r="F580" s="118" t="s">
        <v>2130</v>
      </c>
      <c r="G580" s="118" t="s">
        <v>2131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customHeight="1">
      <c r="A581" s="9"/>
      <c r="B581" s="16" t="s">
        <v>204</v>
      </c>
      <c r="C581" s="89" t="s">
        <v>48</v>
      </c>
      <c r="D581" s="122" t="s">
        <v>296</v>
      </c>
      <c r="E581" s="35" t="s">
        <v>347</v>
      </c>
      <c r="F581" s="118" t="s">
        <v>2132</v>
      </c>
      <c r="G581" s="118" t="s">
        <v>2133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customHeight="1">
      <c r="A582" s="9"/>
      <c r="B582" s="16" t="s">
        <v>120</v>
      </c>
      <c r="C582" s="92" t="s">
        <v>50</v>
      </c>
      <c r="D582" s="122" t="s">
        <v>356</v>
      </c>
      <c r="E582" s="35" t="s">
        <v>2134</v>
      </c>
      <c r="F582" s="118" t="s">
        <v>2135</v>
      </c>
      <c r="G582" s="118" t="s">
        <v>2136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customHeight="1">
      <c r="A583" s="9"/>
      <c r="B583" s="16" t="s">
        <v>120</v>
      </c>
      <c r="C583" s="92" t="s">
        <v>50</v>
      </c>
      <c r="D583" s="122" t="s">
        <v>358</v>
      </c>
      <c r="E583" s="35" t="s">
        <v>2137</v>
      </c>
      <c r="F583" s="118" t="s">
        <v>2138</v>
      </c>
      <c r="G583" s="118" t="s">
        <v>2139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customHeight="1">
      <c r="A584" s="9"/>
      <c r="B584" s="16" t="s">
        <v>120</v>
      </c>
      <c r="C584" s="92" t="s">
        <v>50</v>
      </c>
      <c r="D584" s="122" t="s">
        <v>360</v>
      </c>
      <c r="E584" s="35" t="s">
        <v>361</v>
      </c>
      <c r="F584" s="118" t="s">
        <v>2140</v>
      </c>
      <c r="G584" s="118" t="s">
        <v>2141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customHeight="1">
      <c r="A585" s="9"/>
      <c r="B585" s="16" t="s">
        <v>120</v>
      </c>
      <c r="C585" s="92" t="s">
        <v>50</v>
      </c>
      <c r="D585" s="122" t="s">
        <v>2142</v>
      </c>
      <c r="E585" s="35" t="s">
        <v>2143</v>
      </c>
      <c r="F585" s="118" t="s">
        <v>2144</v>
      </c>
      <c r="G585" s="118" t="s">
        <v>2145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customHeight="1">
      <c r="A586" s="9"/>
      <c r="B586" s="16" t="s">
        <v>120</v>
      </c>
      <c r="C586" s="92" t="s">
        <v>50</v>
      </c>
      <c r="D586" s="122" t="s">
        <v>2146</v>
      </c>
      <c r="E586" s="35" t="s">
        <v>2147</v>
      </c>
      <c r="F586" s="118" t="s">
        <v>2148</v>
      </c>
      <c r="G586" s="118" t="s">
        <v>2149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 t="shared" si="63"/>
        <v>0</v>
      </c>
      <c r="R586" s="42"/>
      <c r="S586" s="15"/>
      <c r="T586" s="15"/>
      <c r="U586" s="42"/>
      <c r="V586" s="15"/>
      <c r="W586" s="42"/>
      <c r="X586" s="15">
        <f t="shared" si="64"/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 t="shared" si="65"/>
        <v>0</v>
      </c>
      <c r="AH586" s="15"/>
      <c r="AI586" s="15"/>
      <c r="AJ586" s="108"/>
      <c r="AK586" s="108"/>
      <c r="AL586" s="108"/>
      <c r="AM586" s="108"/>
      <c r="AN586" s="108"/>
      <c r="AO586" s="108"/>
      <c r="AP586" s="108"/>
      <c r="AQ586" s="108"/>
      <c r="AR586" s="108"/>
      <c r="AS586" s="108"/>
      <c r="AT586" s="108"/>
      <c r="AU586" s="108"/>
      <c r="AV586" s="108"/>
      <c r="AW586" s="108"/>
      <c r="AX586" s="108"/>
      <c r="AY586" s="108"/>
      <c r="AZ586" s="108"/>
      <c r="BA586" s="108"/>
      <c r="BB586" s="108"/>
      <c r="BC586" s="108"/>
      <c r="BD586" s="108"/>
      <c r="BE586" s="108"/>
      <c r="BF586" s="108"/>
      <c r="BG586" s="108"/>
    </row>
    <row r="587" spans="1:59" s="8" customFormat="1" ht="21.95" customHeight="1">
      <c r="A587" s="9"/>
      <c r="B587" s="16" t="s">
        <v>477</v>
      </c>
      <c r="C587" s="89" t="s">
        <v>140</v>
      </c>
      <c r="D587" s="122" t="s">
        <v>2150</v>
      </c>
      <c r="E587" s="35" t="s">
        <v>2151</v>
      </c>
      <c r="F587" s="118" t="s">
        <v>2152</v>
      </c>
      <c r="G587" s="118" t="s">
        <v>2153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customHeight="1">
      <c r="A588" s="9"/>
      <c r="B588" s="18" t="s">
        <v>172</v>
      </c>
      <c r="C588" s="89" t="s">
        <v>494</v>
      </c>
      <c r="D588" s="122" t="s">
        <v>253</v>
      </c>
      <c r="E588" s="35"/>
      <c r="F588" s="118" t="s">
        <v>2154</v>
      </c>
      <c r="G588" s="118" t="s">
        <v>2155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customHeight="1">
      <c r="A589" s="9"/>
      <c r="B589" s="18" t="s">
        <v>172</v>
      </c>
      <c r="C589" s="89" t="s">
        <v>52</v>
      </c>
      <c r="D589" s="122" t="s">
        <v>495</v>
      </c>
      <c r="E589" s="35" t="s">
        <v>496</v>
      </c>
      <c r="F589" s="127" t="s">
        <v>2156</v>
      </c>
      <c r="G589" s="127" t="s">
        <v>2157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customHeight="1">
      <c r="A590" s="9"/>
      <c r="B590" s="16" t="s">
        <v>172</v>
      </c>
      <c r="C590" s="89" t="s">
        <v>494</v>
      </c>
      <c r="D590" s="122" t="s">
        <v>500</v>
      </c>
      <c r="E590" s="35" t="s">
        <v>501</v>
      </c>
      <c r="F590" s="118" t="s">
        <v>2158</v>
      </c>
      <c r="G590" s="118" t="s">
        <v>2159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customHeight="1">
      <c r="A591" s="9"/>
      <c r="B591" s="16" t="s">
        <v>120</v>
      </c>
      <c r="C591" s="89" t="s">
        <v>1605</v>
      </c>
      <c r="D591" s="122" t="s">
        <v>2160</v>
      </c>
      <c r="E591" s="35" t="s">
        <v>2161</v>
      </c>
      <c r="F591" s="118" t="s">
        <v>2162</v>
      </c>
      <c r="G591" s="118" t="s">
        <v>2163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customHeight="1">
      <c r="A592" s="9"/>
      <c r="B592" s="16" t="s">
        <v>120</v>
      </c>
      <c r="C592" s="89" t="s">
        <v>52</v>
      </c>
      <c r="D592" s="122" t="s">
        <v>2164</v>
      </c>
      <c r="E592" s="35"/>
      <c r="F592" s="118" t="s">
        <v>2165</v>
      </c>
      <c r="G592" s="118" t="s">
        <v>2166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 t="shared" ref="Q592:Q633" si="66"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 t="shared" ref="X592:X616" si="67"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 t="shared" ref="AG592:AG616" si="68">(Y592+AA592+AC592+AE592)</f>
        <v>0</v>
      </c>
      <c r="AH592" s="15"/>
      <c r="AI592" s="15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</row>
    <row r="593" spans="1:59" s="8" customFormat="1" ht="22.5" customHeight="1">
      <c r="A593" s="9"/>
      <c r="B593" s="16" t="s">
        <v>204</v>
      </c>
      <c r="C593" s="89" t="s">
        <v>52</v>
      </c>
      <c r="D593" s="122" t="s">
        <v>2167</v>
      </c>
      <c r="E593" s="35"/>
      <c r="F593" s="127" t="s">
        <v>2168</v>
      </c>
      <c r="G593" s="127" t="s">
        <v>2169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/>
      <c r="B594" s="16" t="s">
        <v>204</v>
      </c>
      <c r="C594" s="89" t="s">
        <v>52</v>
      </c>
      <c r="D594" s="122" t="s">
        <v>533</v>
      </c>
      <c r="E594" s="35" t="s">
        <v>534</v>
      </c>
      <c r="F594" s="118" t="s">
        <v>2170</v>
      </c>
      <c r="G594" s="118" t="s">
        <v>2171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1.95" customHeight="1">
      <c r="A595" s="9"/>
      <c r="B595" s="16" t="s">
        <v>343</v>
      </c>
      <c r="C595" s="89" t="s">
        <v>52</v>
      </c>
      <c r="D595" s="122" t="s">
        <v>343</v>
      </c>
      <c r="E595" s="35"/>
      <c r="F595" s="118" t="s">
        <v>1387</v>
      </c>
      <c r="G595" s="118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1.95" customHeight="1">
      <c r="A596" s="9"/>
      <c r="B596" s="16" t="s">
        <v>632</v>
      </c>
      <c r="C596" s="89" t="s">
        <v>151</v>
      </c>
      <c r="D596" s="122" t="s">
        <v>2172</v>
      </c>
      <c r="E596" s="35"/>
      <c r="F596" s="118" t="s">
        <v>1783</v>
      </c>
      <c r="G596" s="118" t="s">
        <v>1784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1.95" customHeight="1">
      <c r="A597" s="9"/>
      <c r="B597" s="16" t="s">
        <v>632</v>
      </c>
      <c r="C597" s="89" t="s">
        <v>132</v>
      </c>
      <c r="D597" s="122" t="s">
        <v>634</v>
      </c>
      <c r="E597" s="35"/>
      <c r="F597" s="118" t="s">
        <v>2173</v>
      </c>
      <c r="G597" s="118" t="s">
        <v>2174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1.95" customHeight="1">
      <c r="A598" s="9"/>
      <c r="B598" s="16" t="s">
        <v>632</v>
      </c>
      <c r="C598" s="89" t="s">
        <v>132</v>
      </c>
      <c r="D598" s="122" t="s">
        <v>636</v>
      </c>
      <c r="E598" s="35"/>
      <c r="F598" s="118" t="s">
        <v>2175</v>
      </c>
      <c r="G598" s="118" t="s">
        <v>2176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customHeight="1">
      <c r="A599" s="9"/>
      <c r="B599" s="16" t="s">
        <v>632</v>
      </c>
      <c r="C599" s="89" t="s">
        <v>48</v>
      </c>
      <c r="D599" s="122" t="s">
        <v>636</v>
      </c>
      <c r="E599" s="35"/>
      <c r="F599" s="118" t="s">
        <v>2177</v>
      </c>
      <c r="G599" s="118" t="s">
        <v>2178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customHeight="1">
      <c r="A600" s="9"/>
      <c r="B600" s="16" t="s">
        <v>674</v>
      </c>
      <c r="C600" s="89" t="s">
        <v>52</v>
      </c>
      <c r="D600" s="122" t="s">
        <v>675</v>
      </c>
      <c r="E600" s="35"/>
      <c r="F600" s="118" t="s">
        <v>2179</v>
      </c>
      <c r="G600" s="118" t="s">
        <v>2180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customHeight="1">
      <c r="A601" s="9"/>
      <c r="B601" s="16" t="s">
        <v>674</v>
      </c>
      <c r="C601" s="89" t="s">
        <v>494</v>
      </c>
      <c r="D601" s="122" t="s">
        <v>688</v>
      </c>
      <c r="E601" s="35"/>
      <c r="F601" s="118" t="s">
        <v>2181</v>
      </c>
      <c r="G601" s="118" t="s">
        <v>2182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customHeight="1">
      <c r="A602" s="9"/>
      <c r="B602" s="16" t="s">
        <v>674</v>
      </c>
      <c r="C602" s="89" t="s">
        <v>151</v>
      </c>
      <c r="D602" s="122" t="s">
        <v>701</v>
      </c>
      <c r="E602" s="35"/>
      <c r="F602" s="118" t="s">
        <v>2183</v>
      </c>
      <c r="G602" s="118" t="s">
        <v>2184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customHeight="1">
      <c r="A603" s="9"/>
      <c r="B603" s="16" t="s">
        <v>715</v>
      </c>
      <c r="C603" s="89" t="s">
        <v>132</v>
      </c>
      <c r="D603" s="122" t="s">
        <v>716</v>
      </c>
      <c r="E603" s="35" t="s">
        <v>717</v>
      </c>
      <c r="F603" s="118" t="s">
        <v>2185</v>
      </c>
      <c r="G603" s="118" t="s">
        <v>2186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customHeight="1">
      <c r="A604" s="9"/>
      <c r="B604" s="16" t="s">
        <v>715</v>
      </c>
      <c r="C604" s="89" t="s">
        <v>132</v>
      </c>
      <c r="D604" s="122" t="s">
        <v>719</v>
      </c>
      <c r="E604" s="35" t="s">
        <v>720</v>
      </c>
      <c r="F604" s="118" t="s">
        <v>2187</v>
      </c>
      <c r="G604" s="118" t="s">
        <v>2188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customHeight="1">
      <c r="A605" s="9"/>
      <c r="B605" s="16" t="s">
        <v>715</v>
      </c>
      <c r="C605" s="89" t="s">
        <v>48</v>
      </c>
      <c r="D605" s="122" t="s">
        <v>716</v>
      </c>
      <c r="E605" s="35" t="s">
        <v>721</v>
      </c>
      <c r="F605" s="118" t="s">
        <v>2189</v>
      </c>
      <c r="G605" s="118" t="s">
        <v>2190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customHeight="1">
      <c r="A606" s="9"/>
      <c r="B606" s="16" t="s">
        <v>715</v>
      </c>
      <c r="C606" s="89" t="s">
        <v>48</v>
      </c>
      <c r="D606" s="122" t="s">
        <v>719</v>
      </c>
      <c r="E606" s="35" t="s">
        <v>723</v>
      </c>
      <c r="F606" s="118" t="s">
        <v>2191</v>
      </c>
      <c r="G606" s="118" t="s">
        <v>2192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customHeight="1">
      <c r="A607" s="9"/>
      <c r="B607" s="16" t="s">
        <v>715</v>
      </c>
      <c r="C607" s="89" t="s">
        <v>151</v>
      </c>
      <c r="D607" s="122" t="s">
        <v>726</v>
      </c>
      <c r="E607" s="35" t="s">
        <v>727</v>
      </c>
      <c r="F607" s="118" t="s">
        <v>2193</v>
      </c>
      <c r="G607" s="118" t="s">
        <v>2194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customHeight="1">
      <c r="A608" s="9"/>
      <c r="B608" s="16" t="s">
        <v>742</v>
      </c>
      <c r="C608" s="89" t="s">
        <v>151</v>
      </c>
      <c r="D608" s="122" t="s">
        <v>743</v>
      </c>
      <c r="E608" s="35" t="s">
        <v>744</v>
      </c>
      <c r="F608" s="118" t="s">
        <v>2195</v>
      </c>
      <c r="G608" s="118" t="s">
        <v>2196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customHeight="1">
      <c r="A609" s="9"/>
      <c r="B609" s="16" t="s">
        <v>742</v>
      </c>
      <c r="C609" s="89" t="s">
        <v>151</v>
      </c>
      <c r="D609" s="122" t="s">
        <v>743</v>
      </c>
      <c r="E609" s="35" t="s">
        <v>744</v>
      </c>
      <c r="F609" s="118" t="s">
        <v>2197</v>
      </c>
      <c r="G609" s="118" t="s">
        <v>2198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customHeight="1">
      <c r="A610" s="9"/>
      <c r="B610" s="16" t="s">
        <v>742</v>
      </c>
      <c r="C610" s="89" t="s">
        <v>151</v>
      </c>
      <c r="D610" s="122" t="s">
        <v>747</v>
      </c>
      <c r="E610" s="35" t="s">
        <v>748</v>
      </c>
      <c r="F610" s="118" t="s">
        <v>2199</v>
      </c>
      <c r="G610" s="118" t="s">
        <v>2200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customHeight="1">
      <c r="A611" s="9"/>
      <c r="B611" s="16" t="s">
        <v>742</v>
      </c>
      <c r="C611" s="89" t="s">
        <v>151</v>
      </c>
      <c r="D611" s="122" t="s">
        <v>747</v>
      </c>
      <c r="E611" s="35" t="s">
        <v>748</v>
      </c>
      <c r="F611" s="118" t="s">
        <v>2201</v>
      </c>
      <c r="G611" s="118" t="s">
        <v>2202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customHeight="1">
      <c r="A612" s="9"/>
      <c r="B612" s="16" t="s">
        <v>742</v>
      </c>
      <c r="C612" s="89" t="s">
        <v>151</v>
      </c>
      <c r="D612" s="122" t="s">
        <v>747</v>
      </c>
      <c r="E612" s="35" t="s">
        <v>749</v>
      </c>
      <c r="F612" s="118" t="s">
        <v>2203</v>
      </c>
      <c r="G612" s="118" t="s">
        <v>2204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customHeight="1">
      <c r="A613" s="9"/>
      <c r="B613" s="16" t="s">
        <v>742</v>
      </c>
      <c r="C613" s="89" t="s">
        <v>151</v>
      </c>
      <c r="D613" s="122" t="s">
        <v>747</v>
      </c>
      <c r="E613" s="35" t="s">
        <v>749</v>
      </c>
      <c r="F613" s="118" t="s">
        <v>2205</v>
      </c>
      <c r="G613" s="118" t="s">
        <v>2206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customHeight="1">
      <c r="A614" s="9"/>
      <c r="B614" s="16" t="s">
        <v>742</v>
      </c>
      <c r="C614" s="89" t="s">
        <v>52</v>
      </c>
      <c r="D614" s="122" t="s">
        <v>750</v>
      </c>
      <c r="E614" s="35" t="s">
        <v>751</v>
      </c>
      <c r="F614" s="118" t="s">
        <v>2207</v>
      </c>
      <c r="G614" s="118" t="s">
        <v>2208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13.5" customHeight="1">
      <c r="A615" s="9"/>
      <c r="B615" s="16" t="s">
        <v>742</v>
      </c>
      <c r="C615" s="89" t="s">
        <v>52</v>
      </c>
      <c r="D615" s="122" t="s">
        <v>750</v>
      </c>
      <c r="E615" s="35" t="s">
        <v>751</v>
      </c>
      <c r="F615" s="118" t="s">
        <v>2209</v>
      </c>
      <c r="G615" s="118" t="s">
        <v>2210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customHeight="1">
      <c r="A616" s="9"/>
      <c r="B616" s="16" t="s">
        <v>808</v>
      </c>
      <c r="C616" s="89" t="s">
        <v>151</v>
      </c>
      <c r="D616" s="122" t="s">
        <v>819</v>
      </c>
      <c r="E616" s="35"/>
      <c r="F616" s="118" t="s">
        <v>2211</v>
      </c>
      <c r="G616" s="118" t="s">
        <v>2212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customHeight="1">
      <c r="A617" s="9">
        <v>999</v>
      </c>
      <c r="B617" s="18" t="s">
        <v>172</v>
      </c>
      <c r="C617" s="89" t="s">
        <v>140</v>
      </c>
      <c r="D617" s="122" t="s">
        <v>875</v>
      </c>
      <c r="E617" s="35"/>
      <c r="F617" s="118" t="s">
        <v>2213</v>
      </c>
      <c r="G617" s="118" t="s">
        <v>2214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customHeight="1">
      <c r="A618" s="9"/>
      <c r="B618" s="18" t="s">
        <v>172</v>
      </c>
      <c r="C618" s="89" t="s">
        <v>52</v>
      </c>
      <c r="D618" s="122" t="s">
        <v>253</v>
      </c>
      <c r="E618" s="35"/>
      <c r="F618" s="118" t="s">
        <v>2215</v>
      </c>
      <c r="G618" s="118" t="s">
        <v>2216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customHeight="1">
      <c r="A619" s="9"/>
      <c r="B619" s="18" t="s">
        <v>172</v>
      </c>
      <c r="C619" s="89" t="s">
        <v>52</v>
      </c>
      <c r="D619" s="122" t="s">
        <v>885</v>
      </c>
      <c r="E619" s="35"/>
      <c r="F619" s="118" t="s">
        <v>2217</v>
      </c>
      <c r="G619" s="118" t="s">
        <v>2218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>
        <v>999</v>
      </c>
      <c r="B620" s="16" t="s">
        <v>204</v>
      </c>
      <c r="C620" s="89" t="s">
        <v>52</v>
      </c>
      <c r="D620" s="122" t="s">
        <v>2219</v>
      </c>
      <c r="E620" s="35"/>
      <c r="F620" s="118" t="s">
        <v>2220</v>
      </c>
      <c r="G620" s="118" t="s">
        <v>2221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customHeight="1">
      <c r="A621" s="9"/>
      <c r="B621" s="16" t="s">
        <v>172</v>
      </c>
      <c r="C621" s="89" t="s">
        <v>52</v>
      </c>
      <c r="D621" s="122" t="s">
        <v>890</v>
      </c>
      <c r="E621" s="35"/>
      <c r="F621" s="118" t="s">
        <v>2222</v>
      </c>
      <c r="G621" s="118" t="s">
        <v>2223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customHeight="1">
      <c r="A622" s="9">
        <v>999</v>
      </c>
      <c r="B622" s="16" t="s">
        <v>120</v>
      </c>
      <c r="C622" s="89" t="s">
        <v>48</v>
      </c>
      <c r="D622" s="122" t="s">
        <v>265</v>
      </c>
      <c r="E622" s="35" t="s">
        <v>880</v>
      </c>
      <c r="F622" s="118" t="s">
        <v>2224</v>
      </c>
      <c r="G622" s="118" t="s">
        <v>2225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22" t="s">
        <v>892</v>
      </c>
      <c r="E623" s="35" t="s">
        <v>893</v>
      </c>
      <c r="F623" s="118" t="s">
        <v>2043</v>
      </c>
      <c r="G623" s="118" t="s">
        <v>2044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customHeight="1">
      <c r="A624" s="9"/>
      <c r="B624" s="16" t="s">
        <v>172</v>
      </c>
      <c r="C624" s="89" t="s">
        <v>52</v>
      </c>
      <c r="D624" s="122" t="s">
        <v>898</v>
      </c>
      <c r="E624" s="35" t="s">
        <v>899</v>
      </c>
      <c r="F624" s="118" t="s">
        <v>2226</v>
      </c>
      <c r="G624" s="118" t="s">
        <v>2227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customHeight="1">
      <c r="A625" s="9"/>
      <c r="B625" s="16" t="s">
        <v>187</v>
      </c>
      <c r="C625" s="89" t="s">
        <v>494</v>
      </c>
      <c r="D625" s="122" t="s">
        <v>916</v>
      </c>
      <c r="E625" s="35" t="s">
        <v>917</v>
      </c>
      <c r="F625" s="118" t="s">
        <v>1648</v>
      </c>
      <c r="G625" s="118" t="s">
        <v>1649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customHeight="1">
      <c r="A626" s="9">
        <v>999</v>
      </c>
      <c r="B626" s="16" t="s">
        <v>926</v>
      </c>
      <c r="C626" s="89" t="s">
        <v>132</v>
      </c>
      <c r="D626" s="122" t="s">
        <v>953</v>
      </c>
      <c r="E626" s="35"/>
      <c r="F626" s="118" t="s">
        <v>2228</v>
      </c>
      <c r="G626" s="118" t="s">
        <v>2229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customHeight="1">
      <c r="A627" s="9"/>
      <c r="B627" s="16" t="s">
        <v>204</v>
      </c>
      <c r="C627" s="89" t="s">
        <v>52</v>
      </c>
      <c r="D627" s="122" t="s">
        <v>535</v>
      </c>
      <c r="E627" s="35" t="s">
        <v>210</v>
      </c>
      <c r="F627" s="118" t="s">
        <v>2168</v>
      </c>
      <c r="G627" s="118" t="s">
        <v>2169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customHeight="1">
      <c r="A628" s="9"/>
      <c r="B628" s="16" t="s">
        <v>755</v>
      </c>
      <c r="C628" s="89" t="s">
        <v>151</v>
      </c>
      <c r="D628" s="122" t="s">
        <v>763</v>
      </c>
      <c r="E628" s="35" t="s">
        <v>767</v>
      </c>
      <c r="F628" s="118" t="s">
        <v>1903</v>
      </c>
      <c r="G628" s="118" t="s">
        <v>1904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customHeight="1">
      <c r="A629" s="9"/>
      <c r="B629" s="16" t="s">
        <v>755</v>
      </c>
      <c r="C629" s="89" t="s">
        <v>151</v>
      </c>
      <c r="D629" s="122" t="s">
        <v>763</v>
      </c>
      <c r="E629" s="35" t="s">
        <v>768</v>
      </c>
      <c r="F629" s="118" t="s">
        <v>1905</v>
      </c>
      <c r="G629" s="118" t="s">
        <v>1906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customHeight="1">
      <c r="A630" s="9"/>
      <c r="B630" s="16" t="s">
        <v>330</v>
      </c>
      <c r="C630" s="89" t="s">
        <v>52</v>
      </c>
      <c r="D630" s="122" t="s">
        <v>795</v>
      </c>
      <c r="E630" s="35" t="s">
        <v>796</v>
      </c>
      <c r="F630" s="118" t="s">
        <v>1710</v>
      </c>
      <c r="G630" s="118" t="s">
        <v>1711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customHeight="1">
      <c r="A631" s="9">
        <v>999</v>
      </c>
      <c r="B631" s="16" t="s">
        <v>204</v>
      </c>
      <c r="C631" s="89" t="s">
        <v>132</v>
      </c>
      <c r="D631" s="122" t="s">
        <v>2230</v>
      </c>
      <c r="E631" s="35" t="s">
        <v>2231</v>
      </c>
      <c r="F631" s="118" t="s">
        <v>2232</v>
      </c>
      <c r="G631" s="118" t="s">
        <v>2233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customHeight="1">
      <c r="A632" s="9"/>
      <c r="B632" s="16" t="s">
        <v>204</v>
      </c>
      <c r="C632" s="89" t="s">
        <v>190</v>
      </c>
      <c r="D632" s="122" t="s">
        <v>410</v>
      </c>
      <c r="E632" s="35" t="s">
        <v>346</v>
      </c>
      <c r="F632" s="118" t="s">
        <v>2234</v>
      </c>
      <c r="G632" s="118" t="s">
        <v>2235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customHeight="1">
      <c r="A633" s="9"/>
      <c r="B633" s="18" t="s">
        <v>172</v>
      </c>
      <c r="C633" s="89" t="s">
        <v>140</v>
      </c>
      <c r="D633" s="122" t="s">
        <v>253</v>
      </c>
      <c r="E633" s="35" t="s">
        <v>413</v>
      </c>
      <c r="F633" s="118" t="s">
        <v>2213</v>
      </c>
      <c r="G633" s="118" t="s">
        <v>2214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customHeight="1">
      <c r="A634" s="15"/>
      <c r="B634" s="109"/>
      <c r="C634" s="123" t="s">
        <v>2236</v>
      </c>
      <c r="D634" s="122"/>
      <c r="E634" s="35"/>
      <c r="F634" s="118" t="s">
        <v>2237</v>
      </c>
      <c r="G634" s="118" t="s">
        <v>2238</v>
      </c>
      <c r="H634" s="15"/>
      <c r="I634" s="108"/>
      <c r="J634" s="108"/>
      <c r="K634" s="15"/>
      <c r="L634" s="15"/>
      <c r="M634" s="15"/>
      <c r="N634" s="108"/>
      <c r="O634" s="108"/>
      <c r="P634" s="108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21"/>
      <c r="B635" s="18"/>
      <c r="C635" s="92"/>
      <c r="D635" s="118" t="s">
        <v>633</v>
      </c>
      <c r="E635" s="35"/>
      <c r="F635" s="118" t="s">
        <v>2173</v>
      </c>
      <c r="G635" s="118" t="s">
        <v>2174</v>
      </c>
      <c r="H635" s="96"/>
      <c r="I635" s="21"/>
      <c r="J635" s="21"/>
      <c r="K635" s="112"/>
      <c r="L635" s="112"/>
      <c r="M635" s="20"/>
      <c r="N635" s="21"/>
      <c r="O635" s="21"/>
      <c r="P635" s="21"/>
      <c r="Q635" s="20"/>
      <c r="R635" s="20"/>
      <c r="S635" s="113"/>
      <c r="T635" s="114"/>
      <c r="U635" s="115"/>
      <c r="V635" s="114"/>
      <c r="W635" s="115"/>
      <c r="X635" s="114"/>
      <c r="Y635" s="114"/>
      <c r="Z635" s="115"/>
      <c r="AA635" s="114"/>
      <c r="AB635" s="115"/>
      <c r="AC635" s="114"/>
      <c r="AD635" s="115"/>
      <c r="AE635" s="114"/>
      <c r="AF635" s="115"/>
      <c r="AG635" s="114"/>
      <c r="AH635" s="114"/>
      <c r="AI635" s="113"/>
      <c r="AJ635" s="114"/>
      <c r="AK635" s="113"/>
      <c r="AL635" s="114"/>
      <c r="AM635" s="113"/>
      <c r="AN635" s="114"/>
      <c r="AO635" s="113"/>
      <c r="AP635" s="114"/>
      <c r="AQ635" s="113"/>
      <c r="AR635" s="114"/>
      <c r="AS635" s="113"/>
      <c r="AT635" s="114"/>
      <c r="AU635" s="113"/>
      <c r="AV635" s="114"/>
      <c r="AW635" s="113"/>
      <c r="AX635" s="114"/>
      <c r="AY635" s="113"/>
      <c r="AZ635" s="114"/>
      <c r="BA635" s="113"/>
      <c r="BB635" s="114"/>
      <c r="BC635" s="114"/>
      <c r="BD635" s="115"/>
      <c r="BE635" s="114"/>
      <c r="BF635" s="115"/>
      <c r="BG635" s="114"/>
    </row>
    <row r="636" spans="1:59" s="8" customFormat="1" ht="22.5" customHeight="1">
      <c r="A636" s="21"/>
      <c r="B636" s="18"/>
      <c r="C636" s="92"/>
      <c r="D636" s="118" t="s">
        <v>633</v>
      </c>
      <c r="E636" s="35"/>
      <c r="F636" s="118" t="s">
        <v>1791</v>
      </c>
      <c r="G636" s="118" t="s">
        <v>1792</v>
      </c>
      <c r="H636" s="96"/>
      <c r="I636" s="21"/>
      <c r="J636" s="21"/>
      <c r="K636" s="112"/>
      <c r="L636" s="112"/>
      <c r="M636" s="20"/>
      <c r="N636" s="21"/>
      <c r="O636" s="21"/>
      <c r="P636" s="21"/>
      <c r="Q636" s="20"/>
      <c r="R636" s="20"/>
      <c r="S636" s="113"/>
      <c r="T636" s="114"/>
      <c r="U636" s="115"/>
      <c r="V636" s="114"/>
      <c r="W636" s="115"/>
      <c r="X636" s="114"/>
      <c r="Y636" s="114"/>
      <c r="Z636" s="115"/>
      <c r="AA636" s="114"/>
      <c r="AB636" s="115"/>
      <c r="AC636" s="114"/>
      <c r="AD636" s="115"/>
      <c r="AE636" s="114"/>
      <c r="AF636" s="115"/>
      <c r="AG636" s="114"/>
      <c r="AH636" s="114"/>
      <c r="AI636" s="113"/>
      <c r="AJ636" s="114"/>
      <c r="AK636" s="113"/>
      <c r="AL636" s="114"/>
      <c r="AM636" s="113"/>
      <c r="AN636" s="114"/>
      <c r="AO636" s="113"/>
      <c r="AP636" s="114"/>
      <c r="AQ636" s="113"/>
      <c r="AR636" s="114"/>
      <c r="AS636" s="113"/>
      <c r="AT636" s="114"/>
      <c r="AU636" s="113"/>
      <c r="AV636" s="114"/>
      <c r="AW636" s="113"/>
      <c r="AX636" s="114"/>
      <c r="AY636" s="113"/>
      <c r="AZ636" s="114"/>
      <c r="BA636" s="113"/>
      <c r="BB636" s="114"/>
      <c r="BC636" s="114"/>
      <c r="BD636" s="115"/>
      <c r="BE636" s="114"/>
      <c r="BF636" s="115"/>
      <c r="BG636" s="114"/>
    </row>
    <row r="637" spans="1:59" s="8" customFormat="1" ht="22.5" customHeight="1">
      <c r="A637" s="21"/>
      <c r="B637" s="18"/>
      <c r="C637" s="92"/>
      <c r="D637" s="118" t="s">
        <v>633</v>
      </c>
      <c r="E637" s="35"/>
      <c r="F637" s="118" t="s">
        <v>1785</v>
      </c>
      <c r="G637" s="118" t="s">
        <v>1786</v>
      </c>
      <c r="H637" s="96"/>
      <c r="I637" s="21"/>
      <c r="J637" s="21"/>
      <c r="K637" s="112"/>
      <c r="L637" s="112"/>
      <c r="M637" s="20"/>
      <c r="N637" s="21"/>
      <c r="O637" s="21"/>
      <c r="P637" s="21"/>
      <c r="Q637" s="20"/>
      <c r="R637" s="20"/>
      <c r="S637" s="113"/>
      <c r="T637" s="114"/>
      <c r="U637" s="115"/>
      <c r="V637" s="114"/>
      <c r="W637" s="115"/>
      <c r="X637" s="114"/>
      <c r="Y637" s="114"/>
      <c r="Z637" s="115"/>
      <c r="AA637" s="114"/>
      <c r="AB637" s="115"/>
      <c r="AC637" s="114"/>
      <c r="AD637" s="115"/>
      <c r="AE637" s="114"/>
      <c r="AF637" s="115"/>
      <c r="AG637" s="114"/>
      <c r="AH637" s="114"/>
      <c r="AI637" s="113"/>
      <c r="AJ637" s="114"/>
      <c r="AK637" s="113"/>
      <c r="AL637" s="114"/>
      <c r="AM637" s="113"/>
      <c r="AN637" s="114"/>
      <c r="AO637" s="113"/>
      <c r="AP637" s="114"/>
      <c r="AQ637" s="113"/>
      <c r="AR637" s="114"/>
      <c r="AS637" s="113"/>
      <c r="AT637" s="114"/>
      <c r="AU637" s="113"/>
      <c r="AV637" s="114"/>
      <c r="AW637" s="113"/>
      <c r="AX637" s="114"/>
      <c r="AY637" s="113"/>
      <c r="AZ637" s="114"/>
      <c r="BA637" s="113"/>
      <c r="BB637" s="114"/>
      <c r="BC637" s="114"/>
      <c r="BD637" s="115"/>
      <c r="BE637" s="114"/>
      <c r="BF637" s="115"/>
      <c r="BG637" s="114"/>
    </row>
    <row r="638" spans="1:59" s="8" customFormat="1" ht="22.5" customHeight="1">
      <c r="A638" s="21"/>
      <c r="B638" s="18"/>
      <c r="C638" s="92"/>
      <c r="D638" s="118" t="s">
        <v>635</v>
      </c>
      <c r="E638" s="35"/>
      <c r="F638" s="118" t="s">
        <v>2175</v>
      </c>
      <c r="G638" s="118" t="s">
        <v>2176</v>
      </c>
      <c r="H638" s="96"/>
      <c r="I638" s="21"/>
      <c r="J638" s="21"/>
      <c r="K638" s="112"/>
      <c r="L638" s="112"/>
      <c r="M638" s="20"/>
      <c r="N638" s="21"/>
      <c r="O638" s="21"/>
      <c r="P638" s="21"/>
      <c r="Q638" s="20"/>
      <c r="R638" s="20"/>
      <c r="S638" s="113"/>
      <c r="T638" s="114"/>
      <c r="U638" s="115"/>
      <c r="V638" s="114"/>
      <c r="W638" s="115"/>
      <c r="X638" s="114"/>
      <c r="Y638" s="114"/>
      <c r="Z638" s="115"/>
      <c r="AA638" s="114"/>
      <c r="AB638" s="115"/>
      <c r="AC638" s="114"/>
      <c r="AD638" s="115"/>
      <c r="AE638" s="114"/>
      <c r="AF638" s="115"/>
      <c r="AG638" s="114"/>
      <c r="AH638" s="114"/>
      <c r="AI638" s="113"/>
      <c r="AJ638" s="114"/>
      <c r="AK638" s="113"/>
      <c r="AL638" s="114"/>
      <c r="AM638" s="113"/>
      <c r="AN638" s="114"/>
      <c r="AO638" s="113"/>
      <c r="AP638" s="114"/>
      <c r="AQ638" s="113"/>
      <c r="AR638" s="114"/>
      <c r="AS638" s="113"/>
      <c r="AT638" s="114"/>
      <c r="AU638" s="113"/>
      <c r="AV638" s="114"/>
      <c r="AW638" s="113"/>
      <c r="AX638" s="114"/>
      <c r="AY638" s="113"/>
      <c r="AZ638" s="114"/>
      <c r="BA638" s="113"/>
      <c r="BB638" s="114"/>
      <c r="BC638" s="114"/>
      <c r="BD638" s="115"/>
      <c r="BE638" s="114"/>
      <c r="BF638" s="115"/>
      <c r="BG638" s="114"/>
    </row>
    <row r="639" spans="1:59" s="8" customFormat="1" ht="22.5" customHeight="1">
      <c r="A639" s="21"/>
      <c r="B639" s="18"/>
      <c r="C639" s="92"/>
      <c r="D639" s="118" t="s">
        <v>635</v>
      </c>
      <c r="E639" s="35"/>
      <c r="F639" s="118" t="s">
        <v>1791</v>
      </c>
      <c r="G639" s="118" t="s">
        <v>1792</v>
      </c>
      <c r="H639" s="96"/>
      <c r="I639" s="21"/>
      <c r="J639" s="21"/>
      <c r="K639" s="112"/>
      <c r="L639" s="112"/>
      <c r="M639" s="20"/>
      <c r="N639" s="21"/>
      <c r="O639" s="21"/>
      <c r="P639" s="21"/>
      <c r="Q639" s="20"/>
      <c r="R639" s="20"/>
      <c r="S639" s="113"/>
      <c r="T639" s="114"/>
      <c r="U639" s="115"/>
      <c r="V639" s="114"/>
      <c r="W639" s="115"/>
      <c r="X639" s="114"/>
      <c r="Y639" s="114"/>
      <c r="Z639" s="115"/>
      <c r="AA639" s="114"/>
      <c r="AB639" s="115"/>
      <c r="AC639" s="114"/>
      <c r="AD639" s="115"/>
      <c r="AE639" s="114"/>
      <c r="AF639" s="115"/>
      <c r="AG639" s="114"/>
      <c r="AH639" s="114"/>
      <c r="AI639" s="113"/>
      <c r="AJ639" s="114"/>
      <c r="AK639" s="113"/>
      <c r="AL639" s="114"/>
      <c r="AM639" s="113"/>
      <c r="AN639" s="114"/>
      <c r="AO639" s="113"/>
      <c r="AP639" s="114"/>
      <c r="AQ639" s="113"/>
      <c r="AR639" s="114"/>
      <c r="AS639" s="113"/>
      <c r="AT639" s="114"/>
      <c r="AU639" s="113"/>
      <c r="AV639" s="114"/>
      <c r="AW639" s="113"/>
      <c r="AX639" s="114"/>
      <c r="AY639" s="113"/>
      <c r="AZ639" s="114"/>
      <c r="BA639" s="113"/>
      <c r="BB639" s="114"/>
      <c r="BC639" s="114"/>
      <c r="BD639" s="115"/>
      <c r="BE639" s="114"/>
      <c r="BF639" s="115"/>
      <c r="BG639" s="114"/>
    </row>
    <row r="640" spans="1:59" s="8" customFormat="1" ht="22.5" customHeight="1">
      <c r="A640" s="21"/>
      <c r="B640" s="18"/>
      <c r="C640" s="92"/>
      <c r="D640" s="118" t="s">
        <v>635</v>
      </c>
      <c r="E640" s="35"/>
      <c r="F640" s="118" t="s">
        <v>1785</v>
      </c>
      <c r="G640" s="118" t="s">
        <v>1786</v>
      </c>
      <c r="H640" s="96"/>
      <c r="I640" s="21"/>
      <c r="J640" s="21"/>
      <c r="K640" s="112"/>
      <c r="L640" s="112"/>
      <c r="M640" s="20"/>
      <c r="N640" s="21"/>
      <c r="O640" s="21"/>
      <c r="P640" s="21"/>
      <c r="Q640" s="20"/>
      <c r="R640" s="20"/>
      <c r="S640" s="113"/>
      <c r="T640" s="114"/>
      <c r="U640" s="115"/>
      <c r="V640" s="114"/>
      <c r="W640" s="115"/>
      <c r="X640" s="114"/>
      <c r="Y640" s="114"/>
      <c r="Z640" s="115"/>
      <c r="AA640" s="114"/>
      <c r="AB640" s="115"/>
      <c r="AC640" s="114"/>
      <c r="AD640" s="115"/>
      <c r="AE640" s="114"/>
      <c r="AF640" s="115"/>
      <c r="AG640" s="114"/>
      <c r="AH640" s="114"/>
      <c r="AI640" s="113"/>
      <c r="AJ640" s="114"/>
      <c r="AK640" s="113"/>
      <c r="AL640" s="114"/>
      <c r="AM640" s="113"/>
      <c r="AN640" s="114"/>
      <c r="AO640" s="113"/>
      <c r="AP640" s="114"/>
      <c r="AQ640" s="113"/>
      <c r="AR640" s="114"/>
      <c r="AS640" s="113"/>
      <c r="AT640" s="114"/>
      <c r="AU640" s="113"/>
      <c r="AV640" s="114"/>
      <c r="AW640" s="113"/>
      <c r="AX640" s="114"/>
      <c r="AY640" s="113"/>
      <c r="AZ640" s="114"/>
      <c r="BA640" s="113"/>
      <c r="BB640" s="114"/>
      <c r="BC640" s="114"/>
      <c r="BD640" s="115"/>
      <c r="BE640" s="114"/>
      <c r="BF640" s="115"/>
      <c r="BG640" s="114"/>
    </row>
    <row r="641" spans="1:59" s="8" customFormat="1" ht="22.5" customHeight="1">
      <c r="A641" s="21"/>
      <c r="B641" s="18"/>
      <c r="C641" s="92"/>
      <c r="D641" s="118" t="s">
        <v>637</v>
      </c>
      <c r="E641" s="124"/>
      <c r="F641" s="118" t="s">
        <v>2239</v>
      </c>
      <c r="G641" s="118" t="s">
        <v>2240</v>
      </c>
      <c r="H641" s="96"/>
      <c r="I641" s="21"/>
      <c r="J641" s="21"/>
      <c r="K641" s="112"/>
      <c r="L641" s="112"/>
      <c r="M641" s="20"/>
      <c r="N641" s="21"/>
      <c r="O641" s="21"/>
      <c r="P641" s="21"/>
      <c r="Q641" s="20"/>
      <c r="R641" s="20"/>
      <c r="S641" s="113"/>
      <c r="T641" s="114"/>
      <c r="U641" s="115"/>
      <c r="V641" s="114"/>
      <c r="W641" s="115"/>
      <c r="X641" s="114"/>
      <c r="Y641" s="114"/>
      <c r="Z641" s="115"/>
      <c r="AA641" s="114"/>
      <c r="AB641" s="115"/>
      <c r="AC641" s="114"/>
      <c r="AD641" s="115"/>
      <c r="AE641" s="114"/>
      <c r="AF641" s="115"/>
      <c r="AG641" s="114"/>
      <c r="AH641" s="114"/>
      <c r="AI641" s="113"/>
      <c r="AJ641" s="114"/>
      <c r="AK641" s="113"/>
      <c r="AL641" s="114"/>
      <c r="AM641" s="113"/>
      <c r="AN641" s="114"/>
      <c r="AO641" s="113"/>
      <c r="AP641" s="114"/>
      <c r="AQ641" s="113"/>
      <c r="AR641" s="114"/>
      <c r="AS641" s="113"/>
      <c r="AT641" s="114"/>
      <c r="AU641" s="113"/>
      <c r="AV641" s="114"/>
      <c r="AW641" s="113"/>
      <c r="AX641" s="114"/>
      <c r="AY641" s="113"/>
      <c r="AZ641" s="114"/>
      <c r="BA641" s="113"/>
      <c r="BB641" s="114"/>
      <c r="BC641" s="114"/>
      <c r="BD641" s="115"/>
      <c r="BE641" s="114"/>
      <c r="BF641" s="115"/>
      <c r="BG641" s="114"/>
    </row>
    <row r="642" spans="1:59" s="8" customFormat="1" ht="22.5" customHeight="1">
      <c r="A642" s="21"/>
      <c r="B642" s="18"/>
      <c r="C642" s="92"/>
      <c r="D642" s="118" t="s">
        <v>637</v>
      </c>
      <c r="E642" s="124"/>
      <c r="F642" s="118" t="s">
        <v>1797</v>
      </c>
      <c r="G642" s="118" t="s">
        <v>1798</v>
      </c>
      <c r="H642" s="96"/>
      <c r="I642" s="21"/>
      <c r="J642" s="21"/>
      <c r="K642" s="112"/>
      <c r="L642" s="112"/>
      <c r="M642" s="20"/>
      <c r="N642" s="21"/>
      <c r="O642" s="21"/>
      <c r="P642" s="21"/>
      <c r="Q642" s="20"/>
      <c r="R642" s="20"/>
      <c r="S642" s="113"/>
      <c r="T642" s="114"/>
      <c r="U642" s="115"/>
      <c r="V642" s="114"/>
      <c r="W642" s="115"/>
      <c r="X642" s="114"/>
      <c r="Y642" s="114"/>
      <c r="Z642" s="115"/>
      <c r="AA642" s="114"/>
      <c r="AB642" s="115"/>
      <c r="AC642" s="114"/>
      <c r="AD642" s="115"/>
      <c r="AE642" s="114"/>
      <c r="AF642" s="115"/>
      <c r="AG642" s="114"/>
      <c r="AH642" s="114"/>
      <c r="AI642" s="113"/>
      <c r="AJ642" s="114"/>
      <c r="AK642" s="113"/>
      <c r="AL642" s="114"/>
      <c r="AM642" s="113"/>
      <c r="AN642" s="114"/>
      <c r="AO642" s="113"/>
      <c r="AP642" s="114"/>
      <c r="AQ642" s="113"/>
      <c r="AR642" s="114"/>
      <c r="AS642" s="113"/>
      <c r="AT642" s="114"/>
      <c r="AU642" s="113"/>
      <c r="AV642" s="114"/>
      <c r="AW642" s="113"/>
      <c r="AX642" s="114"/>
      <c r="AY642" s="113"/>
      <c r="AZ642" s="114"/>
      <c r="BA642" s="113"/>
      <c r="BB642" s="114"/>
      <c r="BC642" s="114"/>
      <c r="BD642" s="115"/>
      <c r="BE642" s="114"/>
      <c r="BF642" s="115"/>
      <c r="BG642" s="114"/>
    </row>
    <row r="643" spans="1:59" s="8" customFormat="1" ht="22.5" customHeight="1">
      <c r="A643" s="21"/>
      <c r="B643" s="18"/>
      <c r="C643" s="92"/>
      <c r="D643" s="118" t="s">
        <v>637</v>
      </c>
      <c r="E643" s="124"/>
      <c r="F643" s="118" t="s">
        <v>1799</v>
      </c>
      <c r="G643" s="118" t="s">
        <v>1800</v>
      </c>
      <c r="H643" s="96"/>
      <c r="I643" s="21"/>
      <c r="J643" s="21"/>
      <c r="K643" s="112"/>
      <c r="L643" s="112"/>
      <c r="M643" s="20"/>
      <c r="N643" s="21"/>
      <c r="O643" s="21"/>
      <c r="P643" s="21"/>
      <c r="Q643" s="20"/>
      <c r="R643" s="20"/>
      <c r="S643" s="113"/>
      <c r="T643" s="114"/>
      <c r="U643" s="115"/>
      <c r="V643" s="114"/>
      <c r="W643" s="115"/>
      <c r="X643" s="114"/>
      <c r="Y643" s="114"/>
      <c r="Z643" s="115"/>
      <c r="AA643" s="114"/>
      <c r="AB643" s="115"/>
      <c r="AC643" s="114"/>
      <c r="AD643" s="115"/>
      <c r="AE643" s="114"/>
      <c r="AF643" s="115"/>
      <c r="AG643" s="114"/>
      <c r="AH643" s="114"/>
      <c r="AI643" s="113"/>
      <c r="AJ643" s="114"/>
      <c r="AK643" s="113"/>
      <c r="AL643" s="114"/>
      <c r="AM643" s="113"/>
      <c r="AN643" s="114"/>
      <c r="AO643" s="113"/>
      <c r="AP643" s="114"/>
      <c r="AQ643" s="113"/>
      <c r="AR643" s="114"/>
      <c r="AS643" s="113"/>
      <c r="AT643" s="114"/>
      <c r="AU643" s="113"/>
      <c r="AV643" s="114"/>
      <c r="AW643" s="113"/>
      <c r="AX643" s="114"/>
      <c r="AY643" s="113"/>
      <c r="AZ643" s="114"/>
      <c r="BA643" s="113"/>
      <c r="BB643" s="114"/>
      <c r="BC643" s="114"/>
      <c r="BD643" s="115"/>
      <c r="BE643" s="114"/>
      <c r="BF643" s="115"/>
      <c r="BG643" s="114"/>
    </row>
    <row r="644" spans="1:59" s="8" customFormat="1" ht="22.5" customHeight="1">
      <c r="A644" s="21"/>
      <c r="B644" s="18"/>
      <c r="C644" s="92"/>
      <c r="D644" s="118" t="s">
        <v>637</v>
      </c>
      <c r="E644" s="124"/>
      <c r="F644" s="118" t="s">
        <v>1787</v>
      </c>
      <c r="G644" s="118" t="s">
        <v>1788</v>
      </c>
      <c r="H644" s="96"/>
      <c r="I644" s="21"/>
      <c r="J644" s="21"/>
      <c r="K644" s="112"/>
      <c r="L644" s="112"/>
      <c r="M644" s="20"/>
      <c r="N644" s="21"/>
      <c r="O644" s="21"/>
      <c r="P644" s="21"/>
      <c r="Q644" s="20"/>
      <c r="R644" s="20"/>
      <c r="S644" s="113"/>
      <c r="T644" s="114"/>
      <c r="U644" s="115"/>
      <c r="V644" s="114"/>
      <c r="W644" s="115"/>
      <c r="X644" s="114"/>
      <c r="Y644" s="114"/>
      <c r="Z644" s="115"/>
      <c r="AA644" s="114"/>
      <c r="AB644" s="115"/>
      <c r="AC644" s="114"/>
      <c r="AD644" s="115"/>
      <c r="AE644" s="114"/>
      <c r="AF644" s="115"/>
      <c r="AG644" s="114"/>
      <c r="AH644" s="114"/>
      <c r="AI644" s="113"/>
      <c r="AJ644" s="114"/>
      <c r="AK644" s="113"/>
      <c r="AL644" s="114"/>
      <c r="AM644" s="113"/>
      <c r="AN644" s="114"/>
      <c r="AO644" s="113"/>
      <c r="AP644" s="114"/>
      <c r="AQ644" s="113"/>
      <c r="AR644" s="114"/>
      <c r="AS644" s="113"/>
      <c r="AT644" s="114"/>
      <c r="AU644" s="113"/>
      <c r="AV644" s="114"/>
      <c r="AW644" s="113"/>
      <c r="AX644" s="114"/>
      <c r="AY644" s="113"/>
      <c r="AZ644" s="114"/>
      <c r="BA644" s="113"/>
      <c r="BB644" s="114"/>
      <c r="BC644" s="114"/>
      <c r="BD644" s="115"/>
      <c r="BE644" s="114"/>
      <c r="BF644" s="115"/>
      <c r="BG644" s="114"/>
    </row>
    <row r="645" spans="1:59" s="8" customFormat="1" ht="22.5" customHeight="1">
      <c r="A645" s="21"/>
      <c r="B645" s="18"/>
      <c r="C645" s="92"/>
      <c r="D645" s="118" t="s">
        <v>635</v>
      </c>
      <c r="E645" s="35"/>
      <c r="F645" s="118" t="s">
        <v>2177</v>
      </c>
      <c r="G645" s="118" t="s">
        <v>2178</v>
      </c>
      <c r="H645" s="96"/>
      <c r="I645" s="21"/>
      <c r="J645" s="21"/>
      <c r="K645" s="112"/>
      <c r="L645" s="112"/>
      <c r="M645" s="20"/>
      <c r="N645" s="21"/>
      <c r="O645" s="21"/>
      <c r="P645" s="21"/>
      <c r="Q645" s="20"/>
      <c r="R645" s="20"/>
      <c r="S645" s="113"/>
      <c r="T645" s="114"/>
      <c r="U645" s="115"/>
      <c r="V645" s="114"/>
      <c r="W645" s="115"/>
      <c r="X645" s="114"/>
      <c r="Y645" s="114"/>
      <c r="Z645" s="115"/>
      <c r="AA645" s="114"/>
      <c r="AB645" s="115"/>
      <c r="AC645" s="114"/>
      <c r="AD645" s="115"/>
      <c r="AE645" s="114"/>
      <c r="AF645" s="115"/>
      <c r="AG645" s="114"/>
      <c r="AH645" s="114"/>
      <c r="AI645" s="113"/>
      <c r="AJ645" s="114"/>
      <c r="AK645" s="113"/>
      <c r="AL645" s="114"/>
      <c r="AM645" s="113"/>
      <c r="AN645" s="114"/>
      <c r="AO645" s="113"/>
      <c r="AP645" s="114"/>
      <c r="AQ645" s="113"/>
      <c r="AR645" s="114"/>
      <c r="AS645" s="113"/>
      <c r="AT645" s="114"/>
      <c r="AU645" s="113"/>
      <c r="AV645" s="114"/>
      <c r="AW645" s="113"/>
      <c r="AX645" s="114"/>
      <c r="AY645" s="113"/>
      <c r="AZ645" s="114"/>
      <c r="BA645" s="113"/>
      <c r="BB645" s="114"/>
      <c r="BC645" s="114"/>
      <c r="BD645" s="115"/>
      <c r="BE645" s="114"/>
      <c r="BF645" s="115"/>
      <c r="BG645" s="114"/>
    </row>
    <row r="646" spans="1:59" s="8" customFormat="1" ht="22.5" customHeight="1">
      <c r="A646" s="21"/>
      <c r="B646" s="18"/>
      <c r="C646" s="92"/>
      <c r="D646" s="118" t="s">
        <v>635</v>
      </c>
      <c r="E646" s="35"/>
      <c r="F646" s="118" t="s">
        <v>1801</v>
      </c>
      <c r="G646" s="118" t="s">
        <v>1802</v>
      </c>
      <c r="H646" s="96"/>
      <c r="I646" s="21"/>
      <c r="J646" s="21"/>
      <c r="K646" s="112"/>
      <c r="L646" s="112"/>
      <c r="M646" s="20"/>
      <c r="N646" s="21"/>
      <c r="O646" s="21"/>
      <c r="P646" s="21"/>
      <c r="Q646" s="20"/>
      <c r="R646" s="20"/>
      <c r="S646" s="113"/>
      <c r="T646" s="114"/>
      <c r="U646" s="115"/>
      <c r="V646" s="114"/>
      <c r="W646" s="115"/>
      <c r="X646" s="114"/>
      <c r="Y646" s="114"/>
      <c r="Z646" s="115"/>
      <c r="AA646" s="114"/>
      <c r="AB646" s="115"/>
      <c r="AC646" s="114"/>
      <c r="AD646" s="115"/>
      <c r="AE646" s="114"/>
      <c r="AF646" s="115"/>
      <c r="AG646" s="114"/>
      <c r="AH646" s="114"/>
      <c r="AI646" s="113"/>
      <c r="AJ646" s="114"/>
      <c r="AK646" s="113"/>
      <c r="AL646" s="114"/>
      <c r="AM646" s="113"/>
      <c r="AN646" s="114"/>
      <c r="AO646" s="113"/>
      <c r="AP646" s="114"/>
      <c r="AQ646" s="113"/>
      <c r="AR646" s="114"/>
      <c r="AS646" s="113"/>
      <c r="AT646" s="114"/>
      <c r="AU646" s="113"/>
      <c r="AV646" s="114"/>
      <c r="AW646" s="113"/>
      <c r="AX646" s="114"/>
      <c r="AY646" s="113"/>
      <c r="AZ646" s="114"/>
      <c r="BA646" s="113"/>
      <c r="BB646" s="114"/>
      <c r="BC646" s="114"/>
      <c r="BD646" s="115"/>
      <c r="BE646" s="114"/>
      <c r="BF646" s="115"/>
      <c r="BG646" s="114"/>
    </row>
    <row r="647" spans="1:59" s="8" customFormat="1" ht="22.5" customHeight="1">
      <c r="A647" s="21"/>
      <c r="B647" s="18"/>
      <c r="C647" s="92"/>
      <c r="D647" s="118" t="s">
        <v>635</v>
      </c>
      <c r="E647" s="124"/>
      <c r="F647" s="118" t="s">
        <v>1803</v>
      </c>
      <c r="G647" s="118" t="s">
        <v>1804</v>
      </c>
      <c r="H647" s="96"/>
      <c r="I647" s="21"/>
      <c r="J647" s="21"/>
      <c r="K647" s="112"/>
      <c r="L647" s="112"/>
      <c r="M647" s="20"/>
      <c r="N647" s="21"/>
      <c r="O647" s="21"/>
      <c r="P647" s="21"/>
      <c r="Q647" s="20"/>
      <c r="R647" s="20"/>
      <c r="S647" s="113"/>
      <c r="T647" s="114"/>
      <c r="U647" s="115"/>
      <c r="V647" s="114"/>
      <c r="W647" s="115"/>
      <c r="X647" s="114"/>
      <c r="Y647" s="114"/>
      <c r="Z647" s="115"/>
      <c r="AA647" s="114"/>
      <c r="AB647" s="115"/>
      <c r="AC647" s="114"/>
      <c r="AD647" s="115"/>
      <c r="AE647" s="114"/>
      <c r="AF647" s="115"/>
      <c r="AG647" s="114"/>
      <c r="AH647" s="114"/>
      <c r="AI647" s="113"/>
      <c r="AJ647" s="114"/>
      <c r="AK647" s="113"/>
      <c r="AL647" s="114"/>
      <c r="AM647" s="113"/>
      <c r="AN647" s="114"/>
      <c r="AO647" s="113"/>
      <c r="AP647" s="114"/>
      <c r="AQ647" s="113"/>
      <c r="AR647" s="114"/>
      <c r="AS647" s="113"/>
      <c r="AT647" s="114"/>
      <c r="AU647" s="113"/>
      <c r="AV647" s="114"/>
      <c r="AW647" s="113"/>
      <c r="AX647" s="114"/>
      <c r="AY647" s="113"/>
      <c r="AZ647" s="114"/>
      <c r="BA647" s="113"/>
      <c r="BB647" s="114"/>
      <c r="BC647" s="114"/>
      <c r="BD647" s="115"/>
      <c r="BE647" s="114"/>
      <c r="BF647" s="115"/>
      <c r="BG647" s="114"/>
    </row>
    <row r="648" spans="1:59" s="8" customFormat="1" ht="22.5" customHeight="1">
      <c r="A648" s="21"/>
      <c r="B648" s="18"/>
      <c r="C648" s="92"/>
      <c r="D648" s="118" t="s">
        <v>635</v>
      </c>
      <c r="E648" s="124"/>
      <c r="F648" s="118" t="s">
        <v>1787</v>
      </c>
      <c r="G648" s="118" t="s">
        <v>1788</v>
      </c>
      <c r="H648" s="96"/>
      <c r="I648" s="21"/>
      <c r="J648" s="21"/>
      <c r="K648" s="112"/>
      <c r="L648" s="112"/>
      <c r="M648" s="20"/>
      <c r="N648" s="21"/>
      <c r="O648" s="21"/>
      <c r="P648" s="21"/>
      <c r="Q648" s="20"/>
      <c r="R648" s="20"/>
      <c r="S648" s="113"/>
      <c r="T648" s="114"/>
      <c r="U648" s="115"/>
      <c r="V648" s="114"/>
      <c r="W648" s="115"/>
      <c r="X648" s="114"/>
      <c r="Y648" s="114"/>
      <c r="Z648" s="115"/>
      <c r="AA648" s="114"/>
      <c r="AB648" s="115"/>
      <c r="AC648" s="114"/>
      <c r="AD648" s="115"/>
      <c r="AE648" s="114"/>
      <c r="AF648" s="115"/>
      <c r="AG648" s="114"/>
      <c r="AH648" s="114"/>
      <c r="AI648" s="113"/>
      <c r="AJ648" s="114"/>
      <c r="AK648" s="113"/>
      <c r="AL648" s="114"/>
      <c r="AM648" s="113"/>
      <c r="AN648" s="114"/>
      <c r="AO648" s="113"/>
      <c r="AP648" s="114"/>
      <c r="AQ648" s="113"/>
      <c r="AR648" s="114"/>
      <c r="AS648" s="113"/>
      <c r="AT648" s="114"/>
      <c r="AU648" s="113"/>
      <c r="AV648" s="114"/>
      <c r="AW648" s="113"/>
      <c r="AX648" s="114"/>
      <c r="AY648" s="113"/>
      <c r="AZ648" s="114"/>
      <c r="BA648" s="113"/>
      <c r="BB648" s="114"/>
      <c r="BC648" s="114"/>
      <c r="BD648" s="115"/>
      <c r="BE648" s="114"/>
      <c r="BF648" s="115"/>
      <c r="BG648" s="114"/>
    </row>
    <row r="649" spans="1:59" s="8" customFormat="1" ht="22.5" customHeight="1">
      <c r="A649" s="21"/>
      <c r="B649" s="18"/>
      <c r="C649" s="92"/>
      <c r="D649" s="118" t="s">
        <v>637</v>
      </c>
      <c r="E649" s="122"/>
      <c r="F649" s="118" t="s">
        <v>2239</v>
      </c>
      <c r="G649" s="118" t="s">
        <v>2240</v>
      </c>
      <c r="H649" s="96"/>
      <c r="I649" s="21"/>
      <c r="J649" s="21"/>
      <c r="K649" s="112"/>
      <c r="L649" s="112"/>
      <c r="M649" s="20"/>
      <c r="N649" s="21"/>
      <c r="O649" s="21"/>
      <c r="P649" s="21"/>
      <c r="Q649" s="20"/>
      <c r="R649" s="20"/>
      <c r="S649" s="113"/>
      <c r="T649" s="114"/>
      <c r="U649" s="115"/>
      <c r="V649" s="114"/>
      <c r="W649" s="115"/>
      <c r="X649" s="114"/>
      <c r="Y649" s="114"/>
      <c r="Z649" s="115"/>
      <c r="AA649" s="114"/>
      <c r="AB649" s="115"/>
      <c r="AC649" s="114"/>
      <c r="AD649" s="115"/>
      <c r="AE649" s="114"/>
      <c r="AF649" s="115"/>
      <c r="AG649" s="114"/>
      <c r="AH649" s="114"/>
      <c r="AI649" s="113"/>
      <c r="AJ649" s="114"/>
      <c r="AK649" s="113"/>
      <c r="AL649" s="114"/>
      <c r="AM649" s="113"/>
      <c r="AN649" s="114"/>
      <c r="AO649" s="113"/>
      <c r="AP649" s="114"/>
      <c r="AQ649" s="113"/>
      <c r="AR649" s="114"/>
      <c r="AS649" s="113"/>
      <c r="AT649" s="114"/>
      <c r="AU649" s="113"/>
      <c r="AV649" s="114"/>
      <c r="AW649" s="113"/>
      <c r="AX649" s="114"/>
      <c r="AY649" s="113"/>
      <c r="AZ649" s="114"/>
      <c r="BA649" s="113"/>
      <c r="BB649" s="114"/>
      <c r="BC649" s="114"/>
      <c r="BD649" s="115"/>
      <c r="BE649" s="114"/>
      <c r="BF649" s="115"/>
      <c r="BG649" s="114"/>
    </row>
    <row r="650" spans="1:59" s="8" customFormat="1" ht="22.5" customHeight="1">
      <c r="A650" s="21"/>
      <c r="B650" s="18"/>
      <c r="C650" s="92"/>
      <c r="D650" s="118" t="s">
        <v>637</v>
      </c>
      <c r="E650" s="125"/>
      <c r="F650" s="118" t="s">
        <v>1805</v>
      </c>
      <c r="G650" s="118" t="s">
        <v>1806</v>
      </c>
      <c r="H650" s="96"/>
      <c r="I650" s="21"/>
      <c r="J650" s="21"/>
      <c r="K650" s="112"/>
      <c r="L650" s="112"/>
      <c r="M650" s="20"/>
      <c r="N650" s="21"/>
      <c r="O650" s="21"/>
      <c r="P650" s="21"/>
      <c r="Q650" s="20"/>
      <c r="R650" s="20"/>
      <c r="S650" s="113"/>
      <c r="T650" s="114"/>
      <c r="U650" s="115"/>
      <c r="V650" s="114"/>
      <c r="W650" s="115"/>
      <c r="X650" s="114"/>
      <c r="Y650" s="114"/>
      <c r="Z650" s="115"/>
      <c r="AA650" s="114"/>
      <c r="AB650" s="115"/>
      <c r="AC650" s="114"/>
      <c r="AD650" s="115"/>
      <c r="AE650" s="114"/>
      <c r="AF650" s="115"/>
      <c r="AG650" s="114"/>
      <c r="AH650" s="114"/>
      <c r="AI650" s="113"/>
      <c r="AJ650" s="114"/>
      <c r="AK650" s="113"/>
      <c r="AL650" s="114"/>
      <c r="AM650" s="113"/>
      <c r="AN650" s="114"/>
      <c r="AO650" s="113"/>
      <c r="AP650" s="114"/>
      <c r="AQ650" s="113"/>
      <c r="AR650" s="114"/>
      <c r="AS650" s="113"/>
      <c r="AT650" s="114"/>
      <c r="AU650" s="113"/>
      <c r="AV650" s="114"/>
      <c r="AW650" s="113"/>
      <c r="AX650" s="114"/>
      <c r="AY650" s="113"/>
      <c r="AZ650" s="114"/>
      <c r="BA650" s="113"/>
      <c r="BB650" s="114"/>
      <c r="BC650" s="114"/>
      <c r="BD650" s="115"/>
      <c r="BE650" s="114"/>
      <c r="BF650" s="115"/>
      <c r="BG650" s="114"/>
    </row>
    <row r="651" spans="1:59" s="8" customFormat="1" ht="22.5" customHeight="1">
      <c r="A651" s="21"/>
      <c r="B651" s="18"/>
      <c r="C651" s="92"/>
      <c r="D651" s="118" t="s">
        <v>637</v>
      </c>
      <c r="E651" s="122"/>
      <c r="F651" s="118" t="s">
        <v>1807</v>
      </c>
      <c r="G651" s="118" t="s">
        <v>1808</v>
      </c>
      <c r="H651" s="96"/>
      <c r="I651" s="21"/>
      <c r="J651" s="21"/>
      <c r="K651" s="112"/>
      <c r="L651" s="112"/>
      <c r="M651" s="20"/>
      <c r="N651" s="21"/>
      <c r="O651" s="21"/>
      <c r="P651" s="21"/>
      <c r="Q651" s="20"/>
      <c r="R651" s="20"/>
      <c r="S651" s="113"/>
      <c r="T651" s="114"/>
      <c r="U651" s="115"/>
      <c r="V651" s="114"/>
      <c r="W651" s="115"/>
      <c r="X651" s="114"/>
      <c r="Y651" s="114"/>
      <c r="Z651" s="115"/>
      <c r="AA651" s="114"/>
      <c r="AB651" s="115"/>
      <c r="AC651" s="114"/>
      <c r="AD651" s="115"/>
      <c r="AE651" s="114"/>
      <c r="AF651" s="115"/>
      <c r="AG651" s="114"/>
      <c r="AH651" s="114"/>
      <c r="AI651" s="113"/>
      <c r="AJ651" s="114"/>
      <c r="AK651" s="113"/>
      <c r="AL651" s="114"/>
      <c r="AM651" s="113"/>
      <c r="AN651" s="114"/>
      <c r="AO651" s="113"/>
      <c r="AP651" s="114"/>
      <c r="AQ651" s="113"/>
      <c r="AR651" s="114"/>
      <c r="AS651" s="113"/>
      <c r="AT651" s="114"/>
      <c r="AU651" s="113"/>
      <c r="AV651" s="114"/>
      <c r="AW651" s="113"/>
      <c r="AX651" s="114"/>
      <c r="AY651" s="113"/>
      <c r="AZ651" s="114"/>
      <c r="BA651" s="113"/>
      <c r="BB651" s="114"/>
      <c r="BC651" s="114"/>
      <c r="BD651" s="115"/>
      <c r="BE651" s="114"/>
      <c r="BF651" s="115"/>
      <c r="BG651" s="114"/>
    </row>
    <row r="652" spans="1:59" s="8" customFormat="1" ht="22.5" customHeight="1">
      <c r="A652" s="21"/>
      <c r="B652" s="18"/>
      <c r="C652" s="92"/>
      <c r="D652" s="118" t="s">
        <v>637</v>
      </c>
      <c r="E652" s="122"/>
      <c r="F652" s="118" t="s">
        <v>1809</v>
      </c>
      <c r="G652" s="118" t="s">
        <v>1810</v>
      </c>
      <c r="H652" s="96"/>
      <c r="I652" s="21"/>
      <c r="J652" s="21"/>
      <c r="K652" s="112"/>
      <c r="L652" s="112"/>
      <c r="M652" s="20"/>
      <c r="N652" s="21"/>
      <c r="O652" s="21"/>
      <c r="P652" s="21"/>
      <c r="Q652" s="20"/>
      <c r="R652" s="20"/>
      <c r="S652" s="113"/>
      <c r="T652" s="114"/>
      <c r="U652" s="115"/>
      <c r="V652" s="114"/>
      <c r="W652" s="115"/>
      <c r="X652" s="114"/>
      <c r="Y652" s="114"/>
      <c r="Z652" s="115"/>
      <c r="AA652" s="114"/>
      <c r="AB652" s="115"/>
      <c r="AC652" s="114"/>
      <c r="AD652" s="115"/>
      <c r="AE652" s="114"/>
      <c r="AF652" s="115"/>
      <c r="AG652" s="114"/>
      <c r="AH652" s="114"/>
      <c r="AI652" s="113"/>
      <c r="AJ652" s="114"/>
      <c r="AK652" s="113"/>
      <c r="AL652" s="114"/>
      <c r="AM652" s="113"/>
      <c r="AN652" s="114"/>
      <c r="AO652" s="113"/>
      <c r="AP652" s="114"/>
      <c r="AQ652" s="113"/>
      <c r="AR652" s="114"/>
      <c r="AS652" s="113"/>
      <c r="AT652" s="114"/>
      <c r="AU652" s="113"/>
      <c r="AV652" s="114"/>
      <c r="AW652" s="113"/>
      <c r="AX652" s="114"/>
      <c r="AY652" s="113"/>
      <c r="AZ652" s="114"/>
      <c r="BA652" s="113"/>
      <c r="BB652" s="114"/>
      <c r="BC652" s="114"/>
      <c r="BD652" s="115"/>
      <c r="BE652" s="114"/>
      <c r="BF652" s="115"/>
      <c r="BG652" s="114"/>
    </row>
    <row r="653" spans="1:59" s="8" customFormat="1" ht="22.5" customHeight="1">
      <c r="A653" s="9"/>
      <c r="B653" s="16" t="s">
        <v>641</v>
      </c>
      <c r="C653" s="89" t="s">
        <v>52</v>
      </c>
      <c r="D653" s="126" t="s">
        <v>656</v>
      </c>
      <c r="E653" s="126" t="s">
        <v>657</v>
      </c>
      <c r="F653" s="126" t="s">
        <v>2241</v>
      </c>
      <c r="G653" s="126" t="s">
        <v>2242</v>
      </c>
      <c r="H653" s="95"/>
      <c r="I653" s="9"/>
      <c r="J653" s="9" t="s">
        <v>247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/>
      <c r="B654" s="16" t="s">
        <v>641</v>
      </c>
      <c r="C654" s="89" t="s">
        <v>52</v>
      </c>
      <c r="D654" s="126" t="s">
        <v>656</v>
      </c>
      <c r="E654" s="126" t="s">
        <v>658</v>
      </c>
      <c r="F654" s="126" t="s">
        <v>2243</v>
      </c>
      <c r="G654" s="126" t="s">
        <v>2244</v>
      </c>
      <c r="H654" s="95"/>
      <c r="I654" s="9"/>
      <c r="J654" s="9" t="s">
        <v>247</v>
      </c>
      <c r="K654" s="14"/>
      <c r="L654" s="14"/>
      <c r="M654" s="12"/>
      <c r="N654" s="9"/>
      <c r="O654" s="9"/>
      <c r="P654" s="9"/>
      <c r="Q654" s="38">
        <f>M653+X653-AG653-BB653</f>
        <v>0</v>
      </c>
      <c r="R654" s="12"/>
      <c r="S654" s="42"/>
      <c r="T654" s="15"/>
      <c r="U654" s="44"/>
      <c r="V654" s="15"/>
      <c r="W654" s="44"/>
      <c r="X654" s="15">
        <f>R653+T653+V653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(Y653+AA653+AC653+AE653)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AH653+AJ653+AL653+AN653+AP653+AR653+AT653+AV653+AX653+AZ653</f>
        <v>0</v>
      </c>
      <c r="BC654" s="15"/>
      <c r="BD654" s="44"/>
      <c r="BE654" s="15"/>
      <c r="BF654" s="44"/>
      <c r="BG654" s="15">
        <f>(BC653+BE653)</f>
        <v>0</v>
      </c>
    </row>
    <row r="655" spans="1:59" s="8" customFormat="1" ht="22.5" customHeight="1">
      <c r="A655" s="9"/>
      <c r="B655" s="16" t="s">
        <v>641</v>
      </c>
      <c r="C655" s="89" t="s">
        <v>52</v>
      </c>
      <c r="D655" s="126" t="s">
        <v>656</v>
      </c>
      <c r="E655" s="126" t="s">
        <v>659</v>
      </c>
      <c r="F655" s="126" t="s">
        <v>2245</v>
      </c>
      <c r="G655" s="126" t="s">
        <v>2246</v>
      </c>
      <c r="H655" s="95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>M653+X653-AG653-BB653</f>
        <v>0</v>
      </c>
      <c r="R655" s="12"/>
      <c r="S655" s="42"/>
      <c r="T655" s="15"/>
      <c r="U655" s="44"/>
      <c r="V655" s="15"/>
      <c r="W655" s="44"/>
      <c r="X655" s="15">
        <f>R653+T653+V653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(Y653+AA653+AC653+AE653)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AH653+AJ653+AL653+AN653+AP653+AR653+AT653+AV653+AX653+AZ653</f>
        <v>0</v>
      </c>
      <c r="BC655" s="15"/>
      <c r="BD655" s="44"/>
      <c r="BE655" s="15"/>
      <c r="BF655" s="44"/>
      <c r="BG655" s="15">
        <f>(BC653+BE653)</f>
        <v>0</v>
      </c>
    </row>
    <row r="656" spans="1:59" s="8" customFormat="1" ht="22.5" customHeight="1">
      <c r="A656" s="9"/>
      <c r="B656" s="16" t="s">
        <v>204</v>
      </c>
      <c r="C656" s="89" t="s">
        <v>132</v>
      </c>
      <c r="D656" s="126" t="s">
        <v>2247</v>
      </c>
      <c r="E656" s="126" t="s">
        <v>861</v>
      </c>
      <c r="F656" s="126" t="s">
        <v>2248</v>
      </c>
      <c r="G656" s="126" t="s">
        <v>2249</v>
      </c>
      <c r="H656" s="12"/>
      <c r="I656" s="9"/>
      <c r="J656" s="9" t="s">
        <v>207</v>
      </c>
      <c r="K656" s="14"/>
      <c r="L656" s="14"/>
      <c r="M656" s="12">
        <v>200</v>
      </c>
      <c r="N656" s="9"/>
      <c r="O656" s="9"/>
      <c r="P656" s="9"/>
      <c r="Q656" s="38">
        <f>M653+X653-AG653-BB653</f>
        <v>0</v>
      </c>
      <c r="R656" s="12"/>
      <c r="S656" s="42"/>
      <c r="T656" s="15"/>
      <c r="U656" s="44"/>
      <c r="V656" s="15"/>
      <c r="W656" s="44"/>
      <c r="X656" s="15">
        <f>R653+T653+V653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(Y653+AA653+AC653+AE653)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AH653+AJ653+AL653+AN653+AP653+AR653+AT653+AV653+AX653+AZ653</f>
        <v>0</v>
      </c>
      <c r="BC656" s="15"/>
      <c r="BD656" s="44"/>
      <c r="BE656" s="15"/>
      <c r="BF656" s="44"/>
      <c r="BG656" s="15">
        <f>(BC653+BE653)</f>
        <v>0</v>
      </c>
    </row>
    <row r="657" spans="1:59" s="8" customFormat="1" ht="22.5" customHeight="1">
      <c r="A657" s="9"/>
      <c r="B657" s="16" t="s">
        <v>2250</v>
      </c>
      <c r="C657" s="89" t="s">
        <v>140</v>
      </c>
      <c r="D657" s="126" t="s">
        <v>2251</v>
      </c>
      <c r="E657" s="126"/>
      <c r="F657" s="126" t="s">
        <v>2252</v>
      </c>
      <c r="G657" s="126" t="s">
        <v>2253</v>
      </c>
      <c r="H657" s="96"/>
      <c r="I657" s="9"/>
      <c r="J657" s="9"/>
      <c r="K657" s="14"/>
      <c r="L657" s="14"/>
      <c r="M657" s="12">
        <v>53</v>
      </c>
      <c r="N657" s="9"/>
      <c r="O657" s="9"/>
      <c r="P657" s="9"/>
      <c r="Q657" s="38">
        <f>M653+X653-AG653-BB653</f>
        <v>0</v>
      </c>
      <c r="R657" s="12"/>
      <c r="S657" s="42"/>
      <c r="T657" s="15"/>
      <c r="U657" s="44"/>
      <c r="V657" s="15"/>
      <c r="W657" s="44"/>
      <c r="X657" s="15">
        <f>R653+T653+V653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(Y653+AA653+AC653+AE653)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/>
      <c r="BC657" s="15"/>
      <c r="BD657" s="44"/>
      <c r="BE657" s="15"/>
      <c r="BF657" s="44"/>
      <c r="BG657" s="15"/>
    </row>
    <row r="658" spans="1:59" s="8" customFormat="1" ht="22.5" customHeight="1">
      <c r="A658" s="9"/>
      <c r="B658" s="16" t="s">
        <v>2250</v>
      </c>
      <c r="C658" s="89" t="s">
        <v>140</v>
      </c>
      <c r="D658" s="126" t="s">
        <v>2251</v>
      </c>
      <c r="E658" s="126"/>
      <c r="F658" s="126" t="s">
        <v>2254</v>
      </c>
      <c r="G658" s="126" t="s">
        <v>2255</v>
      </c>
      <c r="H658" s="96"/>
      <c r="I658" s="9"/>
      <c r="J658" s="9"/>
      <c r="K658" s="14"/>
      <c r="L658" s="14"/>
      <c r="M658" s="12">
        <v>125</v>
      </c>
      <c r="N658" s="9"/>
      <c r="O658" s="9"/>
      <c r="P658" s="9"/>
      <c r="Q658" s="38">
        <f>M653+X653-AG653-BB653</f>
        <v>0</v>
      </c>
      <c r="R658" s="12"/>
      <c r="S658" s="42"/>
      <c r="T658" s="15"/>
      <c r="U658" s="44"/>
      <c r="V658" s="15"/>
      <c r="W658" s="44"/>
      <c r="X658" s="15">
        <f>R653+T653+V653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(Y653+AA653+AC653+AE653)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/>
      <c r="BC658" s="15"/>
      <c r="BD658" s="44"/>
      <c r="BE658" s="15"/>
      <c r="BF658" s="44"/>
      <c r="BG658" s="15"/>
    </row>
    <row r="659" spans="1:59" s="8" customFormat="1" ht="22.5" customHeight="1">
      <c r="A659" s="9"/>
      <c r="B659" s="16" t="s">
        <v>581</v>
      </c>
      <c r="C659" s="89" t="s">
        <v>132</v>
      </c>
      <c r="D659" s="126" t="s">
        <v>2256</v>
      </c>
      <c r="E659" s="126" t="s">
        <v>2257</v>
      </c>
      <c r="F659" s="126" t="s">
        <v>2258</v>
      </c>
      <c r="G659" s="126" t="s">
        <v>2259</v>
      </c>
      <c r="H659" s="95"/>
      <c r="I659" s="9"/>
      <c r="J659" s="9" t="s">
        <v>584</v>
      </c>
      <c r="K659" s="14"/>
      <c r="L659" s="14"/>
      <c r="M659" s="12">
        <v>89</v>
      </c>
      <c r="N659" s="9"/>
      <c r="O659" s="9"/>
      <c r="P659" s="9"/>
      <c r="Q659" s="38">
        <f>M653+X653-AG653-BB653</f>
        <v>0</v>
      </c>
      <c r="R659" s="12"/>
      <c r="S659" s="42"/>
      <c r="T659" s="15"/>
      <c r="U659" s="44"/>
      <c r="V659" s="15"/>
      <c r="W659" s="44"/>
      <c r="X659" s="15">
        <f>R653+T653+V653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(Y653+AA653+AC653+AE653)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AH653+AJ653+AL653+AN653+AP653+AR653+AT653+AV653+AX653+AZ653</f>
        <v>0</v>
      </c>
      <c r="BC659" s="15"/>
      <c r="BD659" s="44"/>
      <c r="BE659" s="15"/>
      <c r="BF659" s="44"/>
      <c r="BG659" s="15">
        <f>(BC653+BE653)</f>
        <v>0</v>
      </c>
    </row>
    <row r="660" spans="1:59" s="8" customFormat="1" ht="22.5" customHeight="1">
      <c r="A660" s="9"/>
      <c r="B660" s="129" t="s">
        <v>204</v>
      </c>
      <c r="C660" s="130" t="s">
        <v>44</v>
      </c>
      <c r="D660" s="131" t="s">
        <v>2260</v>
      </c>
      <c r="E660" s="126"/>
      <c r="F660" s="126" t="s">
        <v>2261</v>
      </c>
      <c r="G660" s="126" t="s">
        <v>2262</v>
      </c>
      <c r="H660" s="95"/>
      <c r="I660" s="9"/>
      <c r="J660" s="9" t="s">
        <v>817</v>
      </c>
      <c r="K660" s="14"/>
      <c r="L660" s="14"/>
      <c r="M660" s="12"/>
      <c r="N660" s="9"/>
      <c r="O660" s="9"/>
      <c r="P660" s="9"/>
      <c r="Q660" s="38">
        <f>M653+X653-AG653-BB653</f>
        <v>0</v>
      </c>
      <c r="R660" s="12"/>
      <c r="S660" s="42"/>
      <c r="T660" s="15"/>
      <c r="U660" s="44"/>
      <c r="V660" s="15"/>
      <c r="W660" s="44"/>
      <c r="X660" s="15">
        <f>R653+T653+V653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(Y653+AA653+AC653+AE653)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AH653+AJ653+AL653+AN653+AP653+AR653+AT653+AV653+AX653+AZ653</f>
        <v>0</v>
      </c>
      <c r="BC660" s="15"/>
      <c r="BD660" s="44"/>
      <c r="BE660" s="15"/>
      <c r="BF660" s="44"/>
      <c r="BG660" s="15">
        <f>(BC653+BE653)</f>
        <v>0</v>
      </c>
    </row>
    <row r="661" spans="1:59" s="8" customFormat="1" ht="22.5" customHeight="1">
      <c r="A661" s="9"/>
      <c r="B661" s="129"/>
      <c r="C661" s="130" t="s">
        <v>2263</v>
      </c>
      <c r="D661" s="131" t="s">
        <v>2264</v>
      </c>
      <c r="E661" s="126"/>
      <c r="F661" s="126" t="s">
        <v>2265</v>
      </c>
      <c r="G661" s="126" t="s">
        <v>2266</v>
      </c>
      <c r="H661" s="95"/>
      <c r="I661" s="9"/>
      <c r="J661" s="9"/>
      <c r="K661" s="14"/>
      <c r="L661" s="14"/>
      <c r="M661" s="12"/>
      <c r="N661" s="9"/>
      <c r="O661" s="9"/>
      <c r="P661" s="9"/>
      <c r="Q661" s="38"/>
      <c r="R661" s="12"/>
      <c r="S661" s="42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799</v>
      </c>
      <c r="C662" s="89"/>
      <c r="D662" s="126" t="s">
        <v>800</v>
      </c>
      <c r="E662" s="126" t="s">
        <v>48</v>
      </c>
      <c r="F662" s="126" t="s">
        <v>800</v>
      </c>
      <c r="G662" s="126" t="s">
        <v>2267</v>
      </c>
      <c r="H662" s="95"/>
      <c r="I662" s="9"/>
      <c r="J662" s="9" t="s">
        <v>687</v>
      </c>
      <c r="K662" s="14"/>
      <c r="L662" s="14"/>
      <c r="M662" s="12"/>
      <c r="N662" s="9"/>
      <c r="O662" s="9"/>
      <c r="P662" s="9"/>
      <c r="Q662" s="38">
        <f>M652+X652-AG652-BB652</f>
        <v>0</v>
      </c>
      <c r="R662" s="12"/>
      <c r="S662" s="42"/>
      <c r="T662" s="15"/>
      <c r="U662" s="44"/>
      <c r="V662" s="15"/>
      <c r="W662" s="44"/>
      <c r="X662" s="15">
        <f>R652+T652+V652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(Y652+AA652+AC652+AE652)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AH652+AJ652+AL652+AN652+AP652+AR652+AT652+AV652+AX652+AZ652</f>
        <v>0</v>
      </c>
      <c r="BC662" s="15"/>
      <c r="BD662" s="44"/>
      <c r="BE662" s="15"/>
      <c r="BF662" s="44"/>
      <c r="BG662" s="15">
        <f>(BC652+BE652)</f>
        <v>0</v>
      </c>
    </row>
    <row r="663" spans="1:59" s="8" customFormat="1" ht="22.5" customHeight="1">
      <c r="A663" s="9"/>
      <c r="B663" s="16" t="s">
        <v>801</v>
      </c>
      <c r="C663" s="89"/>
      <c r="D663" s="126" t="s">
        <v>802</v>
      </c>
      <c r="E663" s="126"/>
      <c r="F663" s="126" t="s">
        <v>802</v>
      </c>
      <c r="G663" s="126" t="s">
        <v>2268</v>
      </c>
      <c r="H663" s="95"/>
      <c r="I663" s="9"/>
      <c r="J663" s="9" t="s">
        <v>687</v>
      </c>
      <c r="K663" s="14"/>
      <c r="L663" s="14"/>
      <c r="M663" s="12"/>
      <c r="N663" s="9"/>
      <c r="O663" s="9"/>
      <c r="P663" s="9"/>
      <c r="Q663" s="38">
        <f>M652+X652-AG652-BB652</f>
        <v>0</v>
      </c>
      <c r="R663" s="12"/>
      <c r="S663" s="42"/>
      <c r="T663" s="15"/>
      <c r="U663" s="44"/>
      <c r="V663" s="15"/>
      <c r="W663" s="44"/>
      <c r="X663" s="15">
        <f>R652+T652+V652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(Y652+AA652+AC652+AE652)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AH652+AJ652+AL652+AN652+AP652+AR652+AT652+AV652+AX652+AZ652</f>
        <v>0</v>
      </c>
      <c r="BC663" s="15"/>
      <c r="BD663" s="44"/>
      <c r="BE663" s="15"/>
      <c r="BF663" s="44"/>
      <c r="BG663" s="15">
        <f>(BC652+BE652)</f>
        <v>0</v>
      </c>
    </row>
    <row r="664" spans="1:59" s="8" customFormat="1" ht="22.5" customHeight="1">
      <c r="A664" s="9"/>
      <c r="B664" s="16" t="s">
        <v>120</v>
      </c>
      <c r="C664" s="89"/>
      <c r="D664" s="126" t="s">
        <v>947</v>
      </c>
      <c r="E664" s="126"/>
      <c r="F664" s="126" t="s">
        <v>2269</v>
      </c>
      <c r="G664" s="126" t="s">
        <v>2270</v>
      </c>
      <c r="H664" s="12"/>
      <c r="I664" s="9"/>
      <c r="J664" s="9" t="s">
        <v>67</v>
      </c>
      <c r="K664" s="14"/>
      <c r="L664" s="14"/>
      <c r="M664" s="12"/>
      <c r="N664" s="9"/>
      <c r="O664" s="9"/>
      <c r="P664" s="9"/>
      <c r="Q664" s="38">
        <f>M652+X652-AG652-BB652</f>
        <v>0</v>
      </c>
      <c r="R664" s="12"/>
      <c r="S664" s="42"/>
      <c r="T664" s="15"/>
      <c r="U664" s="44"/>
      <c r="V664" s="15"/>
      <c r="W664" s="44"/>
      <c r="X664" s="15">
        <f>R652+T652+V652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(Y652+AA652+AC652+AE652)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AH652+AJ652+AL652+AN652+AP652+AR652+AT652+AV652+AX652+AZ652</f>
        <v>0</v>
      </c>
      <c r="BC664" s="15"/>
      <c r="BD664" s="44"/>
      <c r="BE664" s="15"/>
      <c r="BF664" s="44"/>
      <c r="BG664" s="15">
        <f>(BC652+BE652)</f>
        <v>0</v>
      </c>
    </row>
    <row r="665" spans="1:59" s="8" customFormat="1" ht="22.5" customHeight="1">
      <c r="A665" s="9"/>
      <c r="B665" s="16" t="s">
        <v>120</v>
      </c>
      <c r="C665" s="89"/>
      <c r="D665" s="126" t="s">
        <v>948</v>
      </c>
      <c r="E665" s="126"/>
      <c r="F665" s="126" t="s">
        <v>2271</v>
      </c>
      <c r="G665" s="126" t="s">
        <v>2272</v>
      </c>
      <c r="H665" s="12"/>
      <c r="I665" s="9"/>
      <c r="J665" s="9" t="s">
        <v>67</v>
      </c>
      <c r="K665" s="14"/>
      <c r="L665" s="14"/>
      <c r="M665" s="12"/>
      <c r="N665" s="9"/>
      <c r="O665" s="9"/>
      <c r="P665" s="9"/>
      <c r="Q665" s="38">
        <f>M652+X652-AG652-BB652</f>
        <v>0</v>
      </c>
      <c r="R665" s="12"/>
      <c r="S665" s="42"/>
      <c r="T665" s="15"/>
      <c r="U665" s="44"/>
      <c r="V665" s="15"/>
      <c r="W665" s="44"/>
      <c r="X665" s="15">
        <f>R652+T652+V652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(Y652+AA652+AC652+AE652)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AH652+AJ652+AL652+AN652+AP652+AR652+AT652+AV652+AX652+AZ652</f>
        <v>0</v>
      </c>
      <c r="BC665" s="15"/>
      <c r="BD665" s="44"/>
      <c r="BE665" s="15"/>
      <c r="BF665" s="44"/>
      <c r="BG665" s="15">
        <f>(BC652+BE652)</f>
        <v>0</v>
      </c>
    </row>
    <row r="666" spans="1:59" s="8" customFormat="1" ht="22.5" customHeight="1">
      <c r="A666" s="9"/>
      <c r="B666" s="16" t="s">
        <v>120</v>
      </c>
      <c r="C666" s="89"/>
      <c r="D666" s="126" t="s">
        <v>949</v>
      </c>
      <c r="E666" s="126"/>
      <c r="F666" s="126" t="s">
        <v>2273</v>
      </c>
      <c r="G666" s="126" t="s">
        <v>2274</v>
      </c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>M652+X652-AG652-BB652</f>
        <v>0</v>
      </c>
      <c r="R666" s="12"/>
      <c r="S666" s="42"/>
      <c r="T666" s="15"/>
      <c r="U666" s="44"/>
      <c r="V666" s="15"/>
      <c r="W666" s="44"/>
      <c r="X666" s="15">
        <f>R652+T652+V652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(Y652+AA652+AC652+AE652)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AH652+AJ652+AL652+AN652+AP652+AR652+AT652+AV652+AX652+AZ652</f>
        <v>0</v>
      </c>
      <c r="BC666" s="15"/>
      <c r="BD666" s="44"/>
      <c r="BE666" s="15"/>
      <c r="BF666" s="44"/>
      <c r="BG666" s="15">
        <f>(BC652+BE652)</f>
        <v>0</v>
      </c>
    </row>
    <row r="667" spans="1:59" s="8" customFormat="1" ht="22.5" customHeight="1">
      <c r="A667" s="9"/>
      <c r="B667" s="16" t="s">
        <v>120</v>
      </c>
      <c r="C667" s="89"/>
      <c r="D667" s="126" t="s">
        <v>950</v>
      </c>
      <c r="E667" s="126"/>
      <c r="F667" s="126" t="s">
        <v>2275</v>
      </c>
      <c r="G667" s="126" t="s">
        <v>2276</v>
      </c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>M652+X652-AG652-BB652</f>
        <v>0</v>
      </c>
      <c r="R667" s="12"/>
      <c r="S667" s="42"/>
      <c r="T667" s="15"/>
      <c r="U667" s="44"/>
      <c r="V667" s="15"/>
      <c r="W667" s="44"/>
      <c r="X667" s="15">
        <f>R652+T652+V652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(Y652+AA652+AC652+AE652)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>AH652+AJ652+AL652+AN652+AP652+AR652+AT652+AV652+AX652+AZ652</f>
        <v>0</v>
      </c>
      <c r="BC667" s="15"/>
      <c r="BD667" s="44"/>
      <c r="BE667" s="15"/>
      <c r="BF667" s="44"/>
      <c r="BG667" s="15">
        <f>(BC652+BE652)</f>
        <v>0</v>
      </c>
    </row>
    <row r="668" spans="1:59" s="8" customFormat="1" ht="22.5" customHeight="1">
      <c r="A668" s="9"/>
      <c r="B668" s="16" t="s">
        <v>120</v>
      </c>
      <c r="C668" s="89"/>
      <c r="D668" s="126" t="s">
        <v>951</v>
      </c>
      <c r="E668" s="126"/>
      <c r="F668" s="126" t="s">
        <v>2277</v>
      </c>
      <c r="G668" s="126" t="s">
        <v>2278</v>
      </c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>M652+X652-AG652-BB652</f>
        <v>0</v>
      </c>
      <c r="R668" s="12"/>
      <c r="S668" s="42"/>
      <c r="T668" s="15"/>
      <c r="U668" s="44"/>
      <c r="V668" s="15"/>
      <c r="W668" s="44"/>
      <c r="X668" s="15">
        <f>R652+T652+V652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(Y652+AA652+AC652+AE652)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>AH652+AJ652+AL652+AN652+AP652+AR652+AT652+AV652+AX652+AZ652</f>
        <v>0</v>
      </c>
      <c r="BC668" s="15"/>
      <c r="BD668" s="44"/>
      <c r="BE668" s="15"/>
      <c r="BF668" s="44"/>
      <c r="BG668" s="15">
        <f>(BC652+BE652)</f>
        <v>0</v>
      </c>
    </row>
    <row r="669" spans="1:59" s="8" customFormat="1" ht="22.5" customHeight="1">
      <c r="A669" s="9"/>
      <c r="B669" s="16" t="s">
        <v>330</v>
      </c>
      <c r="C669" s="89"/>
      <c r="D669" s="126" t="s">
        <v>952</v>
      </c>
      <c r="E669" s="126"/>
      <c r="F669" s="126" t="s">
        <v>2279</v>
      </c>
      <c r="G669" s="126" t="s">
        <v>2280</v>
      </c>
      <c r="H669" s="12"/>
      <c r="I669" s="9"/>
      <c r="J669" s="9" t="s">
        <v>467</v>
      </c>
      <c r="K669" s="14"/>
      <c r="L669" s="14"/>
      <c r="M669" s="12"/>
      <c r="N669" s="9"/>
      <c r="O669" s="9"/>
      <c r="P669" s="9"/>
      <c r="Q669" s="38">
        <f>M652+X652-AG652-BB652</f>
        <v>0</v>
      </c>
      <c r="R669" s="12"/>
      <c r="S669" s="42"/>
      <c r="T669" s="15"/>
      <c r="U669" s="44"/>
      <c r="V669" s="15"/>
      <c r="W669" s="44"/>
      <c r="X669" s="15">
        <f>R652+T652+V652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(Y652+AA652+AC652+AE652)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>AH652+AJ652+AL652+AN652+AP652+AR652+AT652+AV652+AX652+AZ652</f>
        <v>0</v>
      </c>
      <c r="BC669" s="15"/>
      <c r="BD669" s="44"/>
      <c r="BE669" s="15"/>
      <c r="BF669" s="44"/>
      <c r="BG669" s="15">
        <f>(BC652+BE652)</f>
        <v>0</v>
      </c>
    </row>
    <row r="670" spans="1:59" s="8" customFormat="1" ht="22.5" customHeight="1">
      <c r="A670" s="9"/>
      <c r="B670" s="16" t="s">
        <v>606</v>
      </c>
      <c r="C670" s="89"/>
      <c r="D670" s="126" t="s">
        <v>955</v>
      </c>
      <c r="E670" s="126" t="s">
        <v>956</v>
      </c>
      <c r="F670" s="126" t="s">
        <v>2281</v>
      </c>
      <c r="G670" s="126" t="s">
        <v>2282</v>
      </c>
      <c r="H670" s="12"/>
      <c r="I670" s="9"/>
      <c r="J670" s="9" t="s">
        <v>957</v>
      </c>
      <c r="K670" s="14"/>
      <c r="L670" s="14"/>
      <c r="M670" s="12"/>
      <c r="N670" s="9"/>
      <c r="O670" s="9"/>
      <c r="P670" s="9"/>
      <c r="Q670" s="38">
        <f>M652+X652-AG652-BB652</f>
        <v>0</v>
      </c>
      <c r="R670" s="12"/>
      <c r="S670" s="42"/>
      <c r="T670" s="15"/>
      <c r="U670" s="44"/>
      <c r="V670" s="15"/>
      <c r="W670" s="44"/>
      <c r="X670" s="15">
        <f>R652+T652+V652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(Y652+AA652+AC652+AE652)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>AH652+AJ652+AL652+AN652+AP652+AR652+AT652+AV652+AX652+AZ652</f>
        <v>0</v>
      </c>
      <c r="BC670" s="15"/>
      <c r="BD670" s="44"/>
      <c r="BE670" s="15"/>
      <c r="BF670" s="44"/>
      <c r="BG670" s="15">
        <f>(BC652+BE652)</f>
        <v>0</v>
      </c>
    </row>
    <row r="671" spans="1:59" s="8" customFormat="1" ht="22.5" customHeight="1">
      <c r="A671" s="9"/>
      <c r="B671" s="16" t="s">
        <v>120</v>
      </c>
      <c r="C671" s="89"/>
      <c r="D671" s="126" t="s">
        <v>958</v>
      </c>
      <c r="E671" s="126"/>
      <c r="F671" s="126" t="s">
        <v>958</v>
      </c>
      <c r="G671" s="126" t="s">
        <v>2283</v>
      </c>
      <c r="H671" s="12"/>
      <c r="I671" s="9"/>
      <c r="J671" s="9" t="s">
        <v>67</v>
      </c>
      <c r="K671" s="14"/>
      <c r="L671" s="14"/>
      <c r="M671" s="12"/>
      <c r="N671" s="9"/>
      <c r="O671" s="9"/>
      <c r="P671" s="9"/>
      <c r="Q671" s="38">
        <f>M652+X652-AG652-BB652</f>
        <v>0</v>
      </c>
      <c r="R671" s="12"/>
      <c r="S671" s="42"/>
      <c r="T671" s="15"/>
      <c r="U671" s="44"/>
      <c r="V671" s="15"/>
      <c r="W671" s="44"/>
      <c r="X671" s="15">
        <f>R652+T652+V652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(Y652+AA652+AC652+AE652)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AH652+AJ652+AL652+AN652+AP652+AR652+AT652+AV652+AX652+AZ652</f>
        <v>0</v>
      </c>
      <c r="BC671" s="15"/>
      <c r="BD671" s="44"/>
      <c r="BE671" s="15"/>
      <c r="BF671" s="44"/>
      <c r="BG671" s="15">
        <f>(BC652+BE652)</f>
        <v>0</v>
      </c>
    </row>
    <row r="672" spans="1:59" s="8" customFormat="1" ht="22.5" customHeight="1">
      <c r="A672" s="9"/>
      <c r="B672" s="16" t="s">
        <v>959</v>
      </c>
      <c r="C672" s="89"/>
      <c r="D672" s="126" t="s">
        <v>960</v>
      </c>
      <c r="E672" s="126" t="s">
        <v>961</v>
      </c>
      <c r="F672" s="126" t="s">
        <v>2284</v>
      </c>
      <c r="G672" s="126" t="s">
        <v>2285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>M652+X652-AG652-BB652</f>
        <v>0</v>
      </c>
      <c r="R672" s="12"/>
      <c r="S672" s="42"/>
      <c r="T672" s="15"/>
      <c r="U672" s="44"/>
      <c r="V672" s="15"/>
      <c r="W672" s="44"/>
      <c r="X672" s="15">
        <f>R652+T652+V652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(Y652+AA652+AC652+AE652)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AH652+AJ652+AL652+AN652+AP652+AR652+AT652+AV652+AX652+AZ652</f>
        <v>0</v>
      </c>
      <c r="BC672" s="15"/>
      <c r="BD672" s="44"/>
      <c r="BE672" s="15"/>
      <c r="BF672" s="44"/>
      <c r="BG672" s="15">
        <f>(BC652+BE652)</f>
        <v>0</v>
      </c>
    </row>
    <row r="673" spans="1:59" s="8" customFormat="1" ht="22.5" customHeight="1">
      <c r="A673" s="9"/>
      <c r="B673" s="16" t="s">
        <v>962</v>
      </c>
      <c r="C673" s="89"/>
      <c r="D673" s="126" t="s">
        <v>963</v>
      </c>
      <c r="E673" s="126"/>
      <c r="F673" s="126" t="s">
        <v>963</v>
      </c>
      <c r="G673" s="126" t="s">
        <v>2286</v>
      </c>
      <c r="H673" s="12"/>
      <c r="I673" s="9"/>
      <c r="J673" s="9" t="s">
        <v>964</v>
      </c>
      <c r="K673" s="14"/>
      <c r="L673" s="14"/>
      <c r="M673" s="12"/>
      <c r="N673" s="9"/>
      <c r="O673" s="9"/>
      <c r="P673" s="9"/>
      <c r="Q673" s="38">
        <f>M652+X652-AG652-BB652</f>
        <v>0</v>
      </c>
      <c r="R673" s="12"/>
      <c r="S673" s="42"/>
      <c r="T673" s="15"/>
      <c r="U673" s="44"/>
      <c r="V673" s="15"/>
      <c r="W673" s="44"/>
      <c r="X673" s="15">
        <f>R652+T652+V652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(Y652+AA652+AC652+AE652)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AH652+AJ652+AL652+AN652+AP652+AR652+AT652+AV652+AX652+AZ652</f>
        <v>0</v>
      </c>
      <c r="BC673" s="15"/>
      <c r="BD673" s="44"/>
      <c r="BE673" s="15"/>
      <c r="BF673" s="44"/>
      <c r="BG673" s="15">
        <f>(BC652+BE652)</f>
        <v>0</v>
      </c>
    </row>
    <row r="674" spans="1:59">
      <c r="A674" s="21"/>
      <c r="B674" s="18"/>
      <c r="C674" s="92"/>
      <c r="D674" s="118" t="s">
        <v>637</v>
      </c>
      <c r="E674" s="122"/>
      <c r="F674" s="118" t="s">
        <v>1787</v>
      </c>
      <c r="G674" s="118" t="s">
        <v>1788</v>
      </c>
      <c r="H674" s="96"/>
      <c r="I674" s="21"/>
      <c r="J674" s="21"/>
      <c r="K674" s="112"/>
      <c r="L674" s="112"/>
      <c r="M674" s="20"/>
      <c r="N674" s="21"/>
      <c r="O674" s="21"/>
      <c r="P674" s="21"/>
      <c r="Q674" s="38">
        <f>M652+X652-AG652-BB652</f>
        <v>0</v>
      </c>
      <c r="R674" s="12"/>
      <c r="S674" s="42"/>
      <c r="T674" s="15"/>
      <c r="U674" s="44"/>
      <c r="V674" s="15"/>
      <c r="W674" s="44"/>
      <c r="X674" s="15">
        <f>R652+T652+V652</f>
        <v>0</v>
      </c>
      <c r="Y674" s="114"/>
      <c r="Z674" s="115"/>
      <c r="AA674" s="114"/>
      <c r="AB674" s="115"/>
      <c r="AC674" s="114"/>
      <c r="AD674" s="115"/>
      <c r="AE674" s="114"/>
      <c r="AF674" s="115"/>
      <c r="AG674" s="114"/>
      <c r="AH674" s="114"/>
      <c r="AI674" s="113"/>
      <c r="AJ674" s="114"/>
      <c r="AK674" s="113"/>
      <c r="AL674" s="114"/>
      <c r="AM674" s="113"/>
      <c r="AN674" s="114"/>
      <c r="AO674" s="113"/>
      <c r="AP674" s="114"/>
      <c r="AQ674" s="113"/>
      <c r="AR674" s="114"/>
      <c r="AS674" s="113"/>
      <c r="AT674" s="114"/>
      <c r="AU674" s="113"/>
      <c r="AV674" s="114"/>
      <c r="AW674" s="113"/>
      <c r="AX674" s="114"/>
      <c r="AY674" s="113"/>
      <c r="AZ674" s="114"/>
      <c r="BA674" s="113"/>
      <c r="BB674" s="114"/>
      <c r="BC674" s="114"/>
      <c r="BD674" s="115"/>
      <c r="BE674" s="114"/>
      <c r="BF674" s="115"/>
      <c r="BG674" s="114"/>
    </row>
    <row r="675" spans="1:59">
      <c r="A675" s="21"/>
      <c r="B675" s="18"/>
      <c r="C675" s="92"/>
      <c r="D675" s="118" t="s">
        <v>2287</v>
      </c>
      <c r="E675" s="124" t="s">
        <v>206</v>
      </c>
      <c r="F675" s="118" t="s">
        <v>1671</v>
      </c>
      <c r="G675" s="118" t="s">
        <v>1672</v>
      </c>
      <c r="H675" s="96"/>
      <c r="I675" s="21"/>
      <c r="J675" s="21"/>
      <c r="K675" s="112"/>
      <c r="L675" s="112"/>
      <c r="M675" s="12">
        <v>78</v>
      </c>
      <c r="N675" s="21"/>
      <c r="O675" s="21"/>
      <c r="P675" s="21"/>
      <c r="Q675" s="38">
        <f>M653+X653-AG653-BB653</f>
        <v>0</v>
      </c>
      <c r="R675" s="12"/>
      <c r="S675" s="42"/>
      <c r="T675" s="15"/>
      <c r="U675" s="44"/>
      <c r="V675" s="15"/>
      <c r="W675" s="44"/>
      <c r="X675" s="15">
        <f>R653+T653+V653</f>
        <v>0</v>
      </c>
      <c r="Y675" s="114"/>
      <c r="Z675" s="115"/>
      <c r="AA675" s="114"/>
      <c r="AB675" s="115"/>
      <c r="AC675" s="114"/>
      <c r="AD675" s="115"/>
      <c r="AE675" s="114"/>
      <c r="AF675" s="115"/>
      <c r="AG675" s="114"/>
      <c r="AH675" s="114"/>
      <c r="AI675" s="113"/>
      <c r="AJ675" s="114"/>
      <c r="AK675" s="113"/>
      <c r="AL675" s="114"/>
      <c r="AM675" s="113"/>
      <c r="AN675" s="114"/>
      <c r="AO675" s="113"/>
      <c r="AP675" s="114"/>
      <c r="AQ675" s="113"/>
      <c r="AR675" s="114"/>
      <c r="AS675" s="113"/>
      <c r="AT675" s="114"/>
      <c r="AU675" s="113"/>
      <c r="AV675" s="114"/>
      <c r="AW675" s="113"/>
      <c r="AX675" s="114"/>
      <c r="AY675" s="113"/>
      <c r="AZ675" s="114"/>
      <c r="BA675" s="113"/>
      <c r="BB675" s="114"/>
      <c r="BC675" s="114"/>
      <c r="BD675" s="115"/>
      <c r="BE675" s="114"/>
      <c r="BF675" s="115"/>
      <c r="BG675" s="114"/>
    </row>
    <row r="676" spans="1:59">
      <c r="A676" s="21"/>
      <c r="B676" s="18"/>
      <c r="C676" s="92"/>
      <c r="D676" s="118" t="s">
        <v>2287</v>
      </c>
      <c r="E676" s="124" t="s">
        <v>206</v>
      </c>
      <c r="F676" s="118" t="s">
        <v>1687</v>
      </c>
      <c r="G676" s="118" t="s">
        <v>1688</v>
      </c>
      <c r="H676" s="96"/>
      <c r="I676" s="21"/>
      <c r="J676" s="21"/>
      <c r="K676" s="112"/>
      <c r="L676" s="112"/>
      <c r="M676" s="12">
        <v>78</v>
      </c>
      <c r="N676" s="21"/>
      <c r="O676" s="21"/>
      <c r="P676" s="21"/>
      <c r="Q676" s="38">
        <f>M654+X654-AG654-BB654</f>
        <v>0</v>
      </c>
      <c r="R676" s="12"/>
      <c r="S676" s="42"/>
      <c r="T676" s="15"/>
      <c r="U676" s="44"/>
      <c r="V676" s="15"/>
      <c r="W676" s="44"/>
      <c r="X676" s="15">
        <f>R654+T654+V654</f>
        <v>0</v>
      </c>
      <c r="Y676" s="114"/>
      <c r="Z676" s="115"/>
      <c r="AA676" s="114"/>
      <c r="AB676" s="115"/>
      <c r="AC676" s="114"/>
      <c r="AD676" s="115"/>
      <c r="AE676" s="114"/>
      <c r="AF676" s="115"/>
      <c r="AG676" s="114"/>
      <c r="AH676" s="114"/>
      <c r="AI676" s="113"/>
      <c r="AJ676" s="114"/>
      <c r="AK676" s="113"/>
      <c r="AL676" s="114"/>
      <c r="AM676" s="113"/>
      <c r="AN676" s="114"/>
      <c r="AO676" s="113"/>
      <c r="AP676" s="114"/>
      <c r="AQ676" s="113"/>
      <c r="AR676" s="114"/>
      <c r="AS676" s="113"/>
      <c r="AT676" s="114"/>
      <c r="AU676" s="113"/>
      <c r="AV676" s="114"/>
      <c r="AW676" s="113"/>
      <c r="AX676" s="114"/>
      <c r="AY676" s="113"/>
      <c r="AZ676" s="114"/>
      <c r="BA676" s="113"/>
      <c r="BB676" s="114"/>
      <c r="BC676" s="114"/>
      <c r="BD676" s="115"/>
      <c r="BE676" s="114"/>
      <c r="BF676" s="115"/>
      <c r="BG676" s="114"/>
    </row>
    <row r="677" spans="1:59">
      <c r="A677" s="21"/>
      <c r="B677" s="18"/>
      <c r="C677" s="92"/>
      <c r="D677" s="118" t="s">
        <v>2287</v>
      </c>
      <c r="E677" s="124" t="s">
        <v>206</v>
      </c>
      <c r="F677" s="118" t="s">
        <v>1720</v>
      </c>
      <c r="G677" s="118" t="s">
        <v>1721</v>
      </c>
      <c r="H677" s="96"/>
      <c r="I677" s="21"/>
      <c r="J677" s="21"/>
      <c r="K677" s="112"/>
      <c r="L677" s="112"/>
      <c r="M677" s="12">
        <v>78</v>
      </c>
      <c r="N677" s="21"/>
      <c r="O677" s="21"/>
      <c r="P677" s="21"/>
      <c r="Q677" s="38">
        <f>M655+X655-AG655-BB655</f>
        <v>0</v>
      </c>
      <c r="R677" s="12"/>
      <c r="S677" s="42"/>
      <c r="T677" s="15"/>
      <c r="U677" s="44"/>
      <c r="V677" s="15"/>
      <c r="W677" s="44"/>
      <c r="X677" s="15">
        <f>R655+T655+V655</f>
        <v>0</v>
      </c>
      <c r="Y677" s="114"/>
      <c r="Z677" s="115"/>
      <c r="AA677" s="114"/>
      <c r="AB677" s="115"/>
      <c r="AC677" s="114"/>
      <c r="AD677" s="115"/>
      <c r="AE677" s="114"/>
      <c r="AF677" s="115"/>
      <c r="AG677" s="114"/>
      <c r="AH677" s="114"/>
      <c r="AI677" s="113"/>
      <c r="AJ677" s="114"/>
      <c r="AK677" s="113"/>
      <c r="AL677" s="114"/>
      <c r="AM677" s="113"/>
      <c r="AN677" s="114"/>
      <c r="AO677" s="113"/>
      <c r="AP677" s="114"/>
      <c r="AQ677" s="113"/>
      <c r="AR677" s="114"/>
      <c r="AS677" s="113"/>
      <c r="AT677" s="114"/>
      <c r="AU677" s="113"/>
      <c r="AV677" s="114"/>
      <c r="AW677" s="113"/>
      <c r="AX677" s="114"/>
      <c r="AY677" s="113"/>
      <c r="AZ677" s="114"/>
      <c r="BA677" s="113"/>
      <c r="BB677" s="114"/>
      <c r="BC677" s="114"/>
      <c r="BD677" s="115"/>
      <c r="BE677" s="114"/>
      <c r="BF677" s="115"/>
      <c r="BG677" s="114"/>
    </row>
    <row r="678" spans="1:59" ht="16.5" customHeight="1">
      <c r="A678" s="9"/>
      <c r="B678" s="16" t="s">
        <v>204</v>
      </c>
      <c r="C678" s="105" t="s">
        <v>140</v>
      </c>
      <c r="D678" s="61" t="s">
        <v>2288</v>
      </c>
      <c r="E678" s="110" t="s">
        <v>206</v>
      </c>
      <c r="F678" s="106" t="s">
        <v>2289</v>
      </c>
      <c r="G678" s="107"/>
      <c r="H678" s="96"/>
      <c r="I678" s="9"/>
      <c r="J678" s="9" t="s">
        <v>207</v>
      </c>
      <c r="K678" s="14"/>
      <c r="L678" s="14"/>
      <c r="M678" s="12">
        <v>110</v>
      </c>
      <c r="N678" s="9"/>
      <c r="O678" s="9"/>
      <c r="P678" s="9"/>
      <c r="Q678" s="38" t="e">
        <f t="shared" ref="Q678:Q684" si="75">M678+X678-AG678-BB678</f>
        <v>#REF!</v>
      </c>
      <c r="R678" s="12"/>
      <c r="S678" s="42"/>
      <c r="T678" s="15"/>
      <c r="U678" s="44"/>
      <c r="V678" s="15"/>
      <c r="W678" s="44"/>
      <c r="X678" s="15" t="e">
        <f>#REF!+#REF!+#REF!</f>
        <v>#REF!</v>
      </c>
      <c r="Y678" s="15"/>
      <c r="Z678" s="44"/>
      <c r="AA678" s="15"/>
      <c r="AB678" s="44"/>
      <c r="AC678" s="15"/>
      <c r="AD678" s="44"/>
      <c r="AE678" s="15"/>
      <c r="AF678" s="44"/>
      <c r="AG678" s="15" t="e">
        <f>(#REF!+#REF!+#REF!+#REF!)</f>
        <v>#REF!</v>
      </c>
      <c r="AH678" s="15"/>
      <c r="AI678" s="42"/>
      <c r="AJ678" s="15"/>
      <c r="AK678" s="42"/>
      <c r="AL678" s="15"/>
      <c r="AM678" s="42"/>
      <c r="AN678" s="15"/>
      <c r="AO678" s="42"/>
      <c r="AP678" s="15"/>
      <c r="AQ678" s="42"/>
      <c r="AR678" s="15"/>
      <c r="AS678" s="42"/>
      <c r="AT678" s="15"/>
      <c r="AU678" s="42"/>
      <c r="AV678" s="15"/>
      <c r="AW678" s="42"/>
      <c r="AX678" s="15"/>
      <c r="AY678" s="42"/>
      <c r="AZ678" s="15"/>
      <c r="BA678" s="42"/>
      <c r="BB678" s="15"/>
      <c r="BC678" s="15"/>
      <c r="BD678" s="44"/>
      <c r="BE678" s="15"/>
      <c r="BF678" s="44"/>
      <c r="BG678" s="15"/>
    </row>
    <row r="679" spans="1:59" ht="16.5" customHeight="1">
      <c r="A679" s="9"/>
      <c r="B679" s="129" t="s">
        <v>204</v>
      </c>
      <c r="C679" s="130" t="s">
        <v>140</v>
      </c>
      <c r="D679" s="116" t="s">
        <v>2290</v>
      </c>
      <c r="E679" s="128" t="s">
        <v>215</v>
      </c>
      <c r="F679" s="142" t="s">
        <v>2293</v>
      </c>
      <c r="G679" s="142" t="s">
        <v>2294</v>
      </c>
      <c r="H679" s="145"/>
      <c r="I679" s="145"/>
      <c r="J679" s="145" t="s">
        <v>207</v>
      </c>
      <c r="K679" s="146"/>
      <c r="L679" s="146"/>
      <c r="M679" s="147">
        <v>16</v>
      </c>
      <c r="N679" s="9"/>
      <c r="O679" s="9"/>
      <c r="P679" s="9"/>
      <c r="Q679" s="38" t="e">
        <f t="shared" si="75"/>
        <v>#REF!</v>
      </c>
      <c r="R679" s="15">
        <v>0</v>
      </c>
      <c r="S679" s="15">
        <v>0</v>
      </c>
      <c r="T679" s="15"/>
      <c r="U679" s="44"/>
      <c r="V679" s="15"/>
      <c r="W679" s="44"/>
      <c r="X679" s="15" t="e">
        <f>#REF!+#REF!+#REF!</f>
        <v>#REF!</v>
      </c>
      <c r="Y679" s="15"/>
      <c r="Z679" s="44"/>
      <c r="AA679" s="15"/>
      <c r="AB679" s="44"/>
      <c r="AC679" s="15"/>
      <c r="AD679" s="44"/>
      <c r="AE679" s="15"/>
      <c r="AF679" s="44"/>
      <c r="AG679" s="15" t="e">
        <f>(#REF!+#REF!+#REF!+#REF!)</f>
        <v>#REF!</v>
      </c>
      <c r="AH679" s="15"/>
      <c r="AI679" s="42"/>
      <c r="AJ679" s="15"/>
      <c r="AK679" s="42"/>
      <c r="AL679" s="15"/>
      <c r="AM679" s="42"/>
      <c r="AN679" s="15"/>
      <c r="AO679" s="42"/>
      <c r="AP679" s="15"/>
      <c r="AQ679" s="42"/>
      <c r="AR679" s="15"/>
      <c r="AS679" s="42"/>
      <c r="AT679" s="15"/>
      <c r="AU679" s="42"/>
      <c r="AV679" s="15"/>
      <c r="AW679" s="42"/>
      <c r="AX679" s="15"/>
      <c r="AY679" s="42"/>
      <c r="AZ679" s="15"/>
      <c r="BA679" s="42"/>
      <c r="BB679" s="15"/>
      <c r="BC679" s="15"/>
      <c r="BD679" s="44"/>
      <c r="BE679" s="15"/>
      <c r="BF679" s="44"/>
      <c r="BG679" s="15"/>
    </row>
    <row r="680" spans="1:59">
      <c r="A680" s="9"/>
      <c r="B680" s="18" t="s">
        <v>204</v>
      </c>
      <c r="C680" s="105" t="s">
        <v>132</v>
      </c>
      <c r="D680" s="61" t="s">
        <v>213</v>
      </c>
      <c r="E680" s="111" t="s">
        <v>206</v>
      </c>
      <c r="F680" s="104" t="s">
        <v>2291</v>
      </c>
      <c r="G680" s="104"/>
      <c r="H680" s="96"/>
      <c r="I680" s="21"/>
      <c r="J680" s="21" t="s">
        <v>207</v>
      </c>
      <c r="K680" s="14"/>
      <c r="L680" s="14"/>
      <c r="M680" s="12">
        <v>0</v>
      </c>
      <c r="N680" s="9"/>
      <c r="O680" s="9"/>
      <c r="P680" s="9"/>
      <c r="Q680" s="38" t="e">
        <f t="shared" si="75"/>
        <v>#REF!</v>
      </c>
      <c r="R680" s="12"/>
      <c r="S680" s="42"/>
      <c r="T680" s="15"/>
      <c r="U680" s="44"/>
      <c r="V680" s="15"/>
      <c r="W680" s="44"/>
      <c r="X680" s="15" t="e">
        <f>#REF!+#REF!+#REF!</f>
        <v>#REF!</v>
      </c>
      <c r="Y680" s="15"/>
      <c r="Z680" s="44"/>
      <c r="AA680" s="15"/>
      <c r="AB680" s="44"/>
      <c r="AC680" s="15"/>
      <c r="AD680" s="44"/>
      <c r="AE680" s="15"/>
      <c r="AF680" s="44"/>
      <c r="AG680" s="15" t="e">
        <f>(#REF!+#REF!+#REF!+#REF!)</f>
        <v>#REF!</v>
      </c>
      <c r="AH680" s="15"/>
      <c r="AI680" s="42"/>
      <c r="AJ680" s="15"/>
      <c r="AK680" s="42"/>
      <c r="AL680" s="15"/>
      <c r="AM680" s="42"/>
      <c r="AN680" s="15"/>
      <c r="AO680" s="42"/>
      <c r="AP680" s="15"/>
      <c r="AQ680" s="42"/>
      <c r="AR680" s="15"/>
      <c r="AS680" s="42"/>
      <c r="AT680" s="15"/>
      <c r="AU680" s="42"/>
      <c r="AV680" s="15"/>
      <c r="AW680" s="42"/>
      <c r="AX680" s="15"/>
      <c r="AY680" s="42"/>
      <c r="AZ680" s="15"/>
      <c r="BA680" s="42"/>
      <c r="BB680" s="15" t="e">
        <f>#REF!+#REF!+#REF!+#REF!+#REF!+#REF!+#REF!+#REF!+#REF!+#REF!</f>
        <v>#REF!</v>
      </c>
      <c r="BC680" s="15"/>
      <c r="BD680" s="44"/>
      <c r="BE680" s="15"/>
      <c r="BF680" s="44"/>
      <c r="BG680" s="15" t="e">
        <f>(#REF!+#REF!)</f>
        <v>#REF!</v>
      </c>
    </row>
    <row r="681" spans="1:59" ht="16.5" customHeight="1">
      <c r="A681" s="9"/>
      <c r="B681" s="16"/>
      <c r="C681" s="144" t="s">
        <v>48</v>
      </c>
      <c r="D681" s="61" t="s">
        <v>74</v>
      </c>
      <c r="E681" s="13" t="s">
        <v>75</v>
      </c>
      <c r="F681" s="143" t="s">
        <v>74</v>
      </c>
      <c r="G681" s="148"/>
      <c r="H681" s="95"/>
      <c r="I681" s="9"/>
      <c r="J681" s="9" t="s">
        <v>67</v>
      </c>
      <c r="K681" s="14"/>
      <c r="L681" s="14"/>
      <c r="M681" s="12">
        <v>1000</v>
      </c>
      <c r="N681" s="9"/>
      <c r="O681" s="9"/>
      <c r="P681" s="9"/>
      <c r="Q681" s="38" t="e">
        <f t="shared" si="75"/>
        <v>#REF!</v>
      </c>
      <c r="R681" s="12"/>
      <c r="S681" s="42"/>
      <c r="T681" s="15"/>
      <c r="U681" s="44"/>
      <c r="V681" s="15"/>
      <c r="W681" s="44"/>
      <c r="X681" s="15" t="e">
        <f>#REF!+#REF!+#REF!</f>
        <v>#REF!</v>
      </c>
      <c r="Y681" s="15"/>
      <c r="Z681" s="44"/>
      <c r="AA681" s="15"/>
      <c r="AB681" s="44"/>
      <c r="AC681" s="15"/>
      <c r="AD681" s="44"/>
      <c r="AE681" s="15"/>
      <c r="AF681" s="44"/>
      <c r="AG681" s="15" t="e">
        <f>(#REF!+#REF!+#REF!+#REF!)</f>
        <v>#REF!</v>
      </c>
      <c r="AH681" s="15"/>
      <c r="AI681" s="42"/>
      <c r="AJ681" s="15"/>
      <c r="AK681" s="42"/>
      <c r="AL681" s="15"/>
      <c r="AM681" s="42"/>
      <c r="AN681" s="15"/>
      <c r="AO681" s="42"/>
      <c r="AP681" s="15"/>
      <c r="AQ681" s="42"/>
      <c r="AR681" s="15"/>
      <c r="AS681" s="42"/>
      <c r="AT681" s="15"/>
      <c r="AU681" s="42"/>
      <c r="AV681" s="15"/>
      <c r="AW681" s="42"/>
      <c r="AX681" s="15"/>
      <c r="AY681" s="42"/>
      <c r="AZ681" s="15"/>
      <c r="BA681" s="42"/>
      <c r="BB681" s="15"/>
      <c r="BC681" s="15"/>
      <c r="BD681" s="44"/>
      <c r="BE681" s="15"/>
      <c r="BF681" s="44"/>
      <c r="BG681" s="15"/>
    </row>
    <row r="682" spans="1:59" ht="16.5" customHeight="1">
      <c r="A682" s="9"/>
      <c r="B682" s="16" t="s">
        <v>926</v>
      </c>
      <c r="C682" s="144" t="s">
        <v>52</v>
      </c>
      <c r="D682" s="61" t="s">
        <v>2292</v>
      </c>
      <c r="E682" s="13"/>
      <c r="F682" s="143" t="s">
        <v>2295</v>
      </c>
      <c r="G682" s="148"/>
      <c r="H682" s="96"/>
      <c r="I682" s="9"/>
      <c r="J682" s="9"/>
      <c r="K682" s="14"/>
      <c r="L682" s="14"/>
      <c r="M682" s="12">
        <v>299</v>
      </c>
      <c r="N682" s="9"/>
      <c r="O682" s="9"/>
      <c r="P682" s="9"/>
      <c r="Q682" s="38" t="e">
        <f t="shared" si="75"/>
        <v>#REF!</v>
      </c>
      <c r="R682" s="12"/>
      <c r="S682" s="42"/>
      <c r="T682" s="15"/>
      <c r="U682" s="44"/>
      <c r="V682" s="15"/>
      <c r="W682" s="44"/>
      <c r="X682" s="15" t="e">
        <f>#REF!+#REF!+#REF!</f>
        <v>#REF!</v>
      </c>
      <c r="Y682" s="15"/>
      <c r="Z682" s="44"/>
      <c r="AA682" s="15"/>
      <c r="AB682" s="44"/>
      <c r="AC682" s="15"/>
      <c r="AD682" s="44"/>
      <c r="AE682" s="15"/>
      <c r="AF682" s="44"/>
      <c r="AG682" s="15" t="e">
        <f>(#REF!+#REF!+#REF!+#REF!)</f>
        <v>#REF!</v>
      </c>
      <c r="AH682" s="15"/>
      <c r="AI682" s="42"/>
      <c r="AJ682" s="15"/>
      <c r="AK682" s="42"/>
      <c r="AL682" s="15"/>
      <c r="AM682" s="42"/>
      <c r="AN682" s="15"/>
      <c r="AO682" s="42"/>
      <c r="AP682" s="15"/>
      <c r="AQ682" s="42"/>
      <c r="AR682" s="15"/>
      <c r="AS682" s="42"/>
      <c r="AT682" s="15"/>
      <c r="AU682" s="42"/>
      <c r="AV682" s="15"/>
      <c r="AW682" s="42"/>
      <c r="AX682" s="15"/>
      <c r="AY682" s="42"/>
      <c r="AZ682" s="15"/>
      <c r="BA682" s="42"/>
      <c r="BB682" s="15"/>
      <c r="BC682" s="15"/>
      <c r="BD682" s="44"/>
      <c r="BE682" s="15"/>
      <c r="BF682" s="44"/>
      <c r="BG682" s="15"/>
    </row>
    <row r="683" spans="1:59" ht="16.5">
      <c r="A683" s="9"/>
      <c r="B683" s="16" t="s">
        <v>926</v>
      </c>
      <c r="C683" s="144" t="s">
        <v>52</v>
      </c>
      <c r="D683" s="61" t="s">
        <v>960</v>
      </c>
      <c r="E683" s="13" t="s">
        <v>565</v>
      </c>
      <c r="F683" s="143" t="s">
        <v>2296</v>
      </c>
      <c r="G683" s="149"/>
      <c r="H683" s="96"/>
      <c r="I683" s="9"/>
      <c r="J683" s="9" t="s">
        <v>566</v>
      </c>
      <c r="K683" s="14"/>
      <c r="L683" s="14"/>
      <c r="M683" s="12">
        <v>320</v>
      </c>
      <c r="N683" s="9"/>
      <c r="O683" s="9"/>
      <c r="P683" s="9"/>
      <c r="Q683" s="38" t="e">
        <f t="shared" si="75"/>
        <v>#REF!</v>
      </c>
      <c r="R683" s="12"/>
      <c r="S683" s="42"/>
      <c r="T683" s="15"/>
      <c r="U683" s="44"/>
      <c r="V683" s="15"/>
      <c r="W683" s="44"/>
      <c r="X683" s="15" t="e">
        <f>#REF!+#REF!+#REF!</f>
        <v>#REF!</v>
      </c>
      <c r="Y683" s="15"/>
      <c r="Z683" s="44"/>
      <c r="AA683" s="15"/>
      <c r="AB683" s="44"/>
      <c r="AC683" s="15"/>
      <c r="AD683" s="44"/>
      <c r="AE683" s="15"/>
      <c r="AF683" s="44"/>
      <c r="AG683" s="15" t="e">
        <f>(#REF!+#REF!+#REF!+#REF!)</f>
        <v>#REF!</v>
      </c>
      <c r="AH683" s="15"/>
      <c r="AI683" s="42"/>
      <c r="AJ683" s="15"/>
      <c r="AK683" s="42"/>
      <c r="AL683" s="15"/>
      <c r="AM683" s="42"/>
      <c r="AN683" s="15"/>
      <c r="AO683" s="42"/>
      <c r="AP683" s="15"/>
      <c r="AQ683" s="42"/>
      <c r="AR683" s="15"/>
      <c r="AS683" s="42"/>
      <c r="AT683" s="15"/>
      <c r="AU683" s="42"/>
      <c r="AV683" s="15"/>
      <c r="AW683" s="42"/>
      <c r="AX683" s="15"/>
      <c r="AY683" s="42"/>
      <c r="AZ683" s="15"/>
      <c r="BA683" s="42"/>
      <c r="BB683" s="15" t="e">
        <f>#REF!+#REF!+#REF!+#REF!+#REF!+#REF!+#REF!+#REF!+#REF!+#REF!</f>
        <v>#REF!</v>
      </c>
      <c r="BC683" s="15"/>
      <c r="BD683" s="44"/>
      <c r="BE683" s="15"/>
      <c r="BF683" s="44"/>
      <c r="BG683" s="15" t="e">
        <f>(#REF!+#REF!)</f>
        <v>#REF!</v>
      </c>
    </row>
    <row r="684" spans="1:59" ht="16.5">
      <c r="A684" s="9"/>
      <c r="B684" s="16" t="s">
        <v>926</v>
      </c>
      <c r="C684" s="144" t="s">
        <v>52</v>
      </c>
      <c r="D684" s="61" t="s">
        <v>930</v>
      </c>
      <c r="E684" s="13"/>
      <c r="F684" s="143" t="s">
        <v>2297</v>
      </c>
      <c r="G684" s="150"/>
      <c r="H684" s="96"/>
      <c r="I684" s="9"/>
      <c r="J684" s="9" t="s">
        <v>566</v>
      </c>
      <c r="K684" s="14"/>
      <c r="L684" s="14"/>
      <c r="M684" s="12">
        <v>23</v>
      </c>
      <c r="N684" s="9"/>
      <c r="O684" s="9"/>
      <c r="P684" s="9"/>
      <c r="Q684" s="38" t="e">
        <f t="shared" si="75"/>
        <v>#REF!</v>
      </c>
      <c r="R684" s="12"/>
      <c r="S684" s="42"/>
      <c r="T684" s="15"/>
      <c r="U684" s="44"/>
      <c r="V684" s="15"/>
      <c r="W684" s="44"/>
      <c r="X684" s="15" t="e">
        <f>#REF!+#REF!+#REF!</f>
        <v>#REF!</v>
      </c>
      <c r="Y684" s="15"/>
      <c r="Z684" s="44"/>
      <c r="AA684" s="15"/>
      <c r="AB684" s="44"/>
      <c r="AC684" s="15"/>
      <c r="AD684" s="44"/>
      <c r="AE684" s="15"/>
      <c r="AF684" s="44"/>
      <c r="AG684" s="15" t="e">
        <f>(#REF!+#REF!+#REF!+#REF!)</f>
        <v>#REF!</v>
      </c>
      <c r="AH684" s="15"/>
      <c r="AI684" s="42"/>
      <c r="AJ684" s="15"/>
      <c r="AK684" s="42"/>
      <c r="AL684" s="15"/>
      <c r="AM684" s="42"/>
      <c r="AN684" s="15"/>
      <c r="AO684" s="42"/>
      <c r="AP684" s="15"/>
      <c r="AQ684" s="42"/>
      <c r="AR684" s="15"/>
      <c r="AS684" s="42"/>
      <c r="AT684" s="15"/>
      <c r="AU684" s="42"/>
      <c r="AV684" s="15"/>
      <c r="AW684" s="42"/>
      <c r="AX684" s="15"/>
      <c r="AY684" s="42"/>
      <c r="AZ684" s="15"/>
      <c r="BA684" s="42"/>
      <c r="BB684" s="15" t="e">
        <f>#REF!+#REF!+#REF!+#REF!+#REF!+#REF!+#REF!+#REF!+#REF!+#REF!</f>
        <v>#REF!</v>
      </c>
      <c r="BC684" s="15"/>
      <c r="BD684" s="44"/>
      <c r="BE684" s="15"/>
      <c r="BF684" s="44"/>
      <c r="BG684" s="15" t="e">
        <f>(#REF!+#REF!)</f>
        <v>#REF!</v>
      </c>
    </row>
  </sheetData>
  <autoFilter ref="A3:BG684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4:BG684">
      <sortCondition sortBy="cellColor" ref="C3:C684" dxfId="12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3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38" t="s">
        <v>15</v>
      </c>
      <c r="Q1" s="135"/>
      <c r="R1" s="135"/>
      <c r="S1" s="135"/>
      <c r="T1" s="135"/>
      <c r="U1" s="136"/>
      <c r="V1" s="34" t="s">
        <v>16</v>
      </c>
      <c r="W1" s="139" t="s">
        <v>17</v>
      </c>
      <c r="X1" s="140"/>
      <c r="Y1" s="140"/>
      <c r="Z1" s="140"/>
      <c r="AA1" s="140"/>
      <c r="AB1" s="140"/>
      <c r="AC1" s="140"/>
      <c r="AD1" s="141"/>
      <c r="AE1" s="34" t="s">
        <v>18</v>
      </c>
      <c r="AF1" s="134" t="s">
        <v>19</v>
      </c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6"/>
      <c r="AZ1" s="33" t="s">
        <v>20</v>
      </c>
      <c r="BA1" s="137" t="s">
        <v>21</v>
      </c>
      <c r="BB1" s="135"/>
      <c r="BC1" s="135"/>
      <c r="BD1" s="136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1499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1811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2026-05-26T06:59:50Z</dcterms:modified>
  <cp:version>9.114.127.49115</cp:version>
</cp:coreProperties>
</file>