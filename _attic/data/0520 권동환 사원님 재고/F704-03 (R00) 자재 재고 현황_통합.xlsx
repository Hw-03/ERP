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90" firstSheet="0" activeTab="1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26.05월_수정본" sheetId="2" state="visible" r:id="rId2"/>
    <sheet xmlns:r="http://schemas.openxmlformats.org/officeDocument/2006/relationships" name="수정본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Fill" hidden="1">#REF!</definedName>
    <definedName name="ex" hidden="1">[1]부품표!$A$4:$A$4</definedName>
    <definedName name="ss" hidden="1">#REF!</definedName>
    <definedName name="고객사">[2]통합!$I$3:$J$8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>#REF!</definedName>
    <definedName name="출고월">#REF!</definedName>
    <definedName name="출고월모델">[2]통합!$AA$11:$AA$1665</definedName>
    <definedName name="타입">[2]타입!$C$4:$F$211</definedName>
    <definedName name="현황">#REF!</definedName>
    <definedName name="_Fill" localSheetId="0" hidden="1">#REF!</definedName>
    <definedName name="ss" localSheetId="0" hidden="1">#REF!</definedName>
    <definedName name="모델" localSheetId="0">#REF!</definedName>
    <definedName name="ㅇㅇ" localSheetId="0" hidden="1">#REF!</definedName>
    <definedName name="출고요청월" localSheetId="0">#REF!</definedName>
    <definedName name="출고월" localSheetId="0">#REF!</definedName>
    <definedName name="현황" localSheetId="0">#REF!</definedName>
    <definedName name="_xlnm._FilterDatabase" localSheetId="0" hidden="1">'전체'!$A$3:$BE$654</definedName>
    <definedName name="_Fill" localSheetId="1" hidden="1">#REF!</definedName>
    <definedName name="ss" localSheetId="1" hidden="1">#REF!</definedName>
    <definedName name="모델" localSheetId="1">#REF!</definedName>
    <definedName name="ㅇㅇ" localSheetId="1" hidden="1">#REF!</definedName>
    <definedName name="출고요청월" localSheetId="1">#REF!</definedName>
    <definedName name="출고월" localSheetId="1">#REF!</definedName>
    <definedName name="현황" localSheetId="1">#REF!</definedName>
    <definedName name="_xlnm._FilterDatabase" localSheetId="1" hidden="1">'26.05월_수정본'!$A$3:$BE$586</definedName>
  </definedNames>
  <calcPr calcId="191029" fullCalcOnLoad="1"/>
</workbook>
</file>

<file path=xl/styles.xml><?xml version="1.0" encoding="utf-8"?>
<styleSheet xmlns="http://schemas.openxmlformats.org/spreadsheetml/2006/main">
  <numFmts count="34">
    <numFmt numFmtId="164" formatCode="yy&quot;년&quot;\ mm&quot;월&quot;\ &quot;자재 입/출고 관리대장&quot;"/>
    <numFmt numFmtId="165" formatCode="yyyy\-mm\-dd"/>
    <numFmt numFmtId="166" formatCode="yy/mm/dd\(aaa\)"/>
    <numFmt numFmtId="167" formatCode="m&quot;/&quot;d;@"/>
    <numFmt numFmtId="168" formatCode="[Red][&lt;=150]##0;[Black][&gt;=150]##0"/>
    <numFmt numFmtId="169" formatCode="&quot;COCOON&quot;\ General"/>
    <numFmt numFmtId="170" formatCode="0_);[Red]\(0\)"/>
    <numFmt numFmtId="171" formatCode="m&quot;월&quot;\ d&quot;일&quot;;@"/>
    <numFmt numFmtId="172" formatCode="0&quot; &quot;"/>
    <numFmt numFmtId="173" formatCode="General_)"/>
    <numFmt numFmtId="174" formatCode="&quot;$&quot;\ #,##0;&quot;$&quot;\ \-#,##0"/>
    <numFmt numFmtId="175" formatCode="0.000"/>
    <numFmt numFmtId="176" formatCode="_ * #,##0.00_)&quot;£&quot;_ ;_ * \(#,##0.00\)&quot;£&quot;_ ;_ * &quot;-&quot;??_)&quot;£&quot;_ ;_ @_ "/>
    <numFmt numFmtId="177" formatCode="_ * #,##0.00_)_£_ ;_ * \(#,##0.00\)_£_ ;_ * &quot;-&quot;??_)_£_ ;_ @_ "/>
    <numFmt numFmtId="178" formatCode="0.000%"/>
    <numFmt numFmtId="179" formatCode="0.0000%"/>
    <numFmt numFmtId="180" formatCode="0.00_)"/>
    <numFmt numFmtId="181" formatCode="_-* #,##0\ _F_-;\-* #,##0\ _F_-;_-* &quot;-&quot;\ _F_-;_-@_-"/>
    <numFmt numFmtId="182" formatCode="#,##0\ &quot;F&quot;;[Red]\-#,##0\ &quot;F&quot;"/>
    <numFmt numFmtId="183" formatCode="#,##0.00\ &quot;F&quot;;\-#,##0.00\ &quot;F&quot;"/>
    <numFmt numFmtId="184" formatCode="_(* #,##0.0000_);_(* \(#,##0.0000\);_(* &quot;-&quot;??_);_(@_)"/>
    <numFmt numFmtId="185" formatCode="_ * #,##0_ ;_ * \-#,##0_ ;_ * &quot;-&quot;_ ;_ @_ "/>
    <numFmt numFmtId="186" formatCode="_ * #,##0_ ;_ * &quot;₩&quot;\-#,##0_ ;_ * &quot;-&quot;_ ;_ @_ "/>
    <numFmt numFmtId="187" formatCode="_ * #,##0.00_ ;_ * &quot;₩&quot;\-#,##0.00_ ;_ * &quot;-&quot;??_ ;_ @_ "/>
    <numFmt numFmtId="188" formatCode="_(* #,##0.0_);_(* \(#,##0.0\);_(* &quot;-&quot;_);_(@_)"/>
    <numFmt numFmtId="189" formatCode="_ * #,##0.00_ ;_ * \-#,##0.00_ ;_ * &quot;-&quot;??_ ;_ @_ "/>
    <numFmt numFmtId="190" formatCode="_-&quot;₩&quot;* #,##0_-;&quot;₩&quot;\!\-&quot;₩&quot;* #,##0_-;_-&quot;₩&quot;* &quot;-&quot;_-;_-@_-"/>
    <numFmt numFmtId="191" formatCode="_ &quot;₩&quot;* #,##0_ ;_ &quot;₩&quot;* &quot;₩&quot;\-#,##0_ ;_ &quot;₩&quot;* &quot;-&quot;_ ;_ @_ "/>
    <numFmt numFmtId="192" formatCode="_ &quot;₩&quot;* #,##0.00_ ;_ &quot;₩&quot;* &quot;₩&quot;\-#,##0.00_ ;_ &quot;₩&quot;* &quot;-&quot;??_ ;_ @_ "/>
    <numFmt numFmtId="193" formatCode="_(* #,##0_);_(* \(#,##0\);_(* &quot;-&quot;??_);_(@_)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(* #,##0.0_);_(* \(#,##0.0\);_(* &quot;-&quot;??_);_(@_)"/>
    <numFmt numFmtId="197" formatCode="_(* #,##0.00_);_(* \(#,##0.00\);_(* &quot;-&quot;_);_(@_)"/>
  </numFmts>
  <fonts count="142">
    <font>
      <name val="맑은 고딕"/>
      <color theme="1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돋움"/>
      <charset val="129"/>
      <family val="3"/>
      <color rgb="FF000000"/>
      <sz val="11"/>
    </font>
    <font>
      <name val="굴림체"/>
      <charset val="129"/>
      <family val="3"/>
      <color rgb="FF000000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FFFF"/>
      <sz val="11"/>
    </font>
    <font>
      <name val="맑은 고딕"/>
      <charset val="129"/>
      <family val="3"/>
      <b val="1"/>
      <color rgb="FFFF9900"/>
      <sz val="11"/>
    </font>
    <font>
      <name val="맑은 고딕"/>
      <charset val="129"/>
      <family val="3"/>
      <color rgb="FF800080"/>
      <sz val="11"/>
    </font>
    <font>
      <name val="맑은 고딕"/>
      <charset val="129"/>
      <family val="3"/>
      <color rgb="FF993300"/>
      <sz val="11"/>
    </font>
    <font>
      <name val="맑은 고딕"/>
      <charset val="129"/>
      <family val="3"/>
      <i val="1"/>
      <color rgb="FF808080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FF99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333399"/>
      <sz val="11"/>
    </font>
    <font>
      <name val="맑은 고딕"/>
      <charset val="129"/>
      <family val="3"/>
      <b val="1"/>
      <color rgb="FF003366"/>
      <sz val="18"/>
    </font>
    <font>
      <name val="맑은 고딕"/>
      <charset val="129"/>
      <family val="3"/>
      <b val="1"/>
      <color rgb="FF003366"/>
      <sz val="15"/>
    </font>
    <font>
      <name val="맑은 고딕"/>
      <charset val="129"/>
      <family val="3"/>
      <b val="1"/>
      <color rgb="FF003366"/>
      <sz val="13"/>
    </font>
    <font>
      <name val="맑은 고딕"/>
      <charset val="129"/>
      <family val="3"/>
      <b val="1"/>
      <color rgb="FF003366"/>
      <sz val="11"/>
    </font>
    <font>
      <name val="맑은 고딕"/>
      <charset val="129"/>
      <family val="3"/>
      <color rgb="FF008000"/>
      <sz val="11"/>
    </font>
    <font>
      <name val="맑은 고딕"/>
      <charset val="129"/>
      <family val="3"/>
      <b val="1"/>
      <color rgb="FF333333"/>
      <sz val="11"/>
    </font>
    <font>
      <name val="굴림체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color rgb="FF9C0006"/>
      <sz val="11"/>
    </font>
    <font>
      <name val="새굴림"/>
      <charset val="129"/>
      <family val="1"/>
      <color rgb="FF0000FF"/>
      <sz val="11"/>
      <u val="single"/>
    </font>
    <font>
      <name val="굴림체"/>
      <charset val="129"/>
      <family val="3"/>
      <color theme="10"/>
      <sz val="10"/>
      <u val="single"/>
    </font>
    <font>
      <name val="바탕체"/>
      <charset val="129"/>
      <family val="1"/>
      <color rgb="FF000000"/>
      <sz val="12"/>
    </font>
    <font>
      <name val="Courier"/>
      <color rgb="FF000000"/>
      <sz val="10"/>
    </font>
    <font>
      <name val="Courier"/>
      <color rgb="FF000000"/>
      <sz val="12"/>
    </font>
    <font>
      <name val="¹ÙÅÁÃ¼"/>
      <charset val="129"/>
      <family val="3"/>
      <color rgb="FF000000"/>
      <sz val="12"/>
    </font>
    <font>
      <name val="바탕체"/>
      <charset val="129"/>
      <family val="1"/>
      <color rgb="FF000000"/>
      <sz val="11"/>
    </font>
    <font>
      <name val="Times New Roman"/>
      <family val="1"/>
      <color rgb="FF000000"/>
      <sz val="9"/>
    </font>
    <font>
      <name val="Arial"/>
      <family val="2"/>
      <color rgb="FF000000"/>
      <sz val="10"/>
    </font>
    <font>
      <name val="굴림체"/>
      <charset val="129"/>
      <family val="3"/>
      <color rgb="FF000000"/>
      <sz val="11"/>
    </font>
    <font>
      <name val="MS Sans Serif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2"/>
    </font>
    <font>
      <name val="Helv"/>
      <b val="1"/>
      <i val="1"/>
      <color rgb="FF000000"/>
      <sz val="16"/>
    </font>
    <font>
      <name val="Helv"/>
      <b val="1"/>
      <color rgb="FF000000"/>
      <sz val="11"/>
    </font>
    <font>
      <name val="돋움"/>
      <charset val="129"/>
      <family val="3"/>
      <color rgb="FF0000FF"/>
      <sz val="11"/>
      <u val="single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800080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11"/>
    </font>
    <font>
      <name val="Calibri"/>
      <family val="2"/>
      <color rgb="FF008000"/>
      <sz val="11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Calibri"/>
      <family val="2"/>
      <color rgb="FF333399"/>
      <sz val="11"/>
    </font>
    <font>
      <name val="Calibri"/>
      <family val="2"/>
      <color rgb="FFFF9900"/>
      <sz val="11"/>
    </font>
    <font>
      <name val="Calibri"/>
      <family val="2"/>
      <color rgb="FF993300"/>
      <sz val="11"/>
    </font>
    <font>
      <name val="Calibri"/>
      <family val="2"/>
      <b val="1"/>
      <color rgb="FF333333"/>
      <sz val="11"/>
    </font>
    <font>
      <name val="Cambria"/>
      <family val="1"/>
      <b val="1"/>
      <color rgb="FF003366"/>
      <sz val="18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맑은 고딕"/>
      <charset val="129"/>
      <family val="3"/>
      <color theme="1"/>
      <sz val="10"/>
      <scheme val="minor"/>
    </font>
    <font>
      <name val="Verdana"/>
      <family val="2"/>
      <color rgb="FF000000"/>
      <sz val="12"/>
    </font>
    <font>
      <name val="宋体"/>
      <charset val="129"/>
      <color rgb="FF000000"/>
      <sz val="12"/>
    </font>
    <font>
      <name val="돋움"/>
      <charset val="129"/>
      <family val="3"/>
      <color rgb="FF0000FF"/>
      <sz val="8.300000000000001"/>
      <u val="single"/>
    </font>
    <font>
      <name val="Helv"/>
      <b val="1"/>
      <color rgb="FF000000"/>
      <sz val="10"/>
    </font>
    <font>
      <name val="新細明體"/>
      <charset val="129"/>
      <family val="1"/>
      <color rgb="FF000000"/>
      <sz val="12"/>
    </font>
    <font>
      <name val="Courier"/>
      <color rgb="FF000000"/>
      <sz val="1"/>
    </font>
    <font>
      <name val="바탕체"/>
      <charset val="129"/>
      <family val="1"/>
      <color rgb="FF800080"/>
      <sz val="12"/>
      <u val="single"/>
    </font>
    <font>
      <name val="굴림체"/>
      <charset val="129"/>
      <family val="3"/>
      <color rgb="FF000000"/>
      <sz val="18"/>
    </font>
    <font>
      <name val="Verdana"/>
      <family val="2"/>
      <color rgb="FF000000"/>
      <sz val="14"/>
    </font>
    <font>
      <name val="Times New Roman"/>
      <family val="1"/>
      <color rgb="FF000000"/>
      <sz val="8"/>
    </font>
    <font>
      <name val="Helv"/>
      <color rgb="FF000000"/>
      <sz val="10"/>
    </font>
    <font>
      <name val="官帕眉"/>
      <charset val="129"/>
      <family val="3"/>
      <color rgb="FF000000"/>
      <sz val="12"/>
    </font>
    <font>
      <name val="¹UAAA¼"/>
      <charset val="129"/>
      <family val="3"/>
      <color rgb="FF000000"/>
      <sz val="12"/>
    </font>
    <font>
      <name val="Times New Roman"/>
      <family val="1"/>
      <color rgb="FF000000"/>
      <sz val="12"/>
    </font>
    <font>
      <name val="돋움"/>
      <charset val="129"/>
      <family val="3"/>
      <color rgb="FF800080"/>
      <sz val="11"/>
      <u val="single"/>
    </font>
    <font>
      <name val="Lucida Console"/>
      <family val="3"/>
      <color rgb="FF000000"/>
      <sz val="10"/>
    </font>
    <font>
      <name val="μ¸¿o"/>
      <charset val="129"/>
      <family val="3"/>
      <color rgb="FF000000"/>
      <sz val="11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8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theme="0"/>
      <sz val="8"/>
      <scheme val="minor"/>
    </font>
    <font>
      <name val="맑은 고딕"/>
      <charset val="129"/>
      <family val="3"/>
      <color rgb="FFFF0000"/>
      <sz val="8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rgb="FFFA7D00"/>
      <sz val="8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b val="1"/>
      <color rgb="FFFA7D00"/>
      <sz val="8"/>
      <scheme val="minor"/>
    </font>
    <font>
      <name val="맑은 고딕"/>
      <charset val="129"/>
      <family val="3"/>
      <color rgb="FF9C0006"/>
      <sz val="8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0006"/>
      <sz val="8"/>
      <scheme val="minor"/>
    </font>
    <font>
      <name val="맑은 고딕"/>
      <charset val="129"/>
      <family val="3"/>
      <color rgb="FF9C6500"/>
      <sz val="8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color rgb="FF9C6500"/>
      <sz val="8"/>
      <scheme val="minor"/>
    </font>
    <font>
      <name val="맑은 고딕"/>
      <charset val="129"/>
      <family val="3"/>
      <i val="1"/>
      <color rgb="FF7F7F7F"/>
      <sz val="8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i val="1"/>
      <color rgb="FF7F7F7F"/>
      <sz val="8"/>
      <scheme val="minor"/>
    </font>
    <font>
      <name val="맑은 고딕"/>
      <charset val="129"/>
      <family val="3"/>
      <b val="1"/>
      <color theme="0"/>
      <sz val="8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theme="0"/>
      <sz val="8"/>
      <scheme val="minor"/>
    </font>
    <font>
      <name val="맑은 고딕"/>
      <charset val="129"/>
      <family val="3"/>
      <color rgb="FFFA7D00"/>
      <sz val="8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color rgb="FFFA7D00"/>
      <sz val="8"/>
      <scheme val="minor"/>
    </font>
    <font>
      <name val="맑은 고딕"/>
      <charset val="129"/>
      <family val="3"/>
      <b val="1"/>
      <color theme="1"/>
      <sz val="8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rgb="FF3F3F76"/>
      <sz val="8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color rgb="FF3F3F76"/>
      <sz val="8"/>
      <scheme val="minor"/>
    </font>
    <font>
      <name val="맑은 고딕"/>
      <charset val="129"/>
      <family val="3"/>
      <b val="1"/>
      <color theme="3"/>
      <sz val="15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8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color rgb="FF006100"/>
      <sz val="8"/>
      <scheme val="minor"/>
    </font>
    <font>
      <name val="맑은 고딕"/>
      <charset val="129"/>
      <family val="3"/>
      <b val="1"/>
      <color rgb="FF3F3F3F"/>
      <sz val="8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b val="1"/>
      <color rgb="FF3F3F3F"/>
      <sz val="8"/>
      <scheme val="minor"/>
    </font>
    <font>
      <name val="굴림체"/>
      <charset val="129"/>
      <family val="3"/>
      <b val="1"/>
      <color rgb="FF000000"/>
      <sz val="22"/>
      <u val="single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1"/>
      <sz val="11"/>
      <u val="single"/>
    </font>
    <font>
      <name val="맑은 고딕"/>
      <charset val="129"/>
      <family val="3"/>
      <color theme="1"/>
      <sz val="11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rgb="FF000000"/>
      <sz val="9"/>
      <scheme val="minor"/>
    </font>
    <font>
      <name val="돋움"/>
      <charset val="129"/>
      <family val="3"/>
      <sz val="8"/>
    </font>
    <font>
      <name val="굴림체"/>
      <charset val="129"/>
      <family val="3"/>
      <color rgb="FFFF0000"/>
      <sz val="10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10"/>
    </font>
    <font>
      <name val="굴림체"/>
      <charset val="129"/>
      <family val="3"/>
      <sz val="10"/>
    </font>
  </fonts>
  <fills count="68">
    <fill>
      <patternFill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"/>
        <bgColor rgb="FFFFFFFF"/>
      </patternFill>
    </fill>
    <fill>
      <patternFill patternType="solid">
        <fgColor theme="4" tint="0.5999633777886288"/>
        <bgColor rgb="FFFFFFFF"/>
      </patternFill>
    </fill>
    <fill>
      <patternFill patternType="solid">
        <fgColor theme="4" tint="0.3999755851924192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"/>
        <bgColor rgb="FFFFFFFF"/>
      </patternFill>
    </fill>
    <fill>
      <patternFill patternType="solid">
        <fgColor theme="5" tint="0.5999633777886288"/>
        <bgColor rgb="FFFFFFFF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"/>
        <bgColor rgb="FFFFFFFF"/>
      </patternFill>
    </fill>
    <fill>
      <patternFill patternType="solid">
        <fgColor theme="6" tint="0.5999633777886288"/>
        <bgColor rgb="FFFFFFFF"/>
      </patternFill>
    </fill>
    <fill>
      <patternFill patternType="solid">
        <fgColor theme="6" tint="0.3999755851924192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"/>
        <bgColor rgb="FFFFFFFF"/>
      </patternFill>
    </fill>
    <fill>
      <patternFill patternType="solid">
        <fgColor theme="7" tint="0.5999633777886288"/>
        <bgColor rgb="FFFFFFFF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"/>
        <bgColor rgb="FFFFFFFF"/>
      </patternFill>
    </fill>
    <fill>
      <patternFill patternType="solid">
        <fgColor theme="8" tint="0.5999633777886288"/>
        <bgColor rgb="FFFFFFFF"/>
      </patternFill>
    </fill>
    <fill>
      <patternFill patternType="solid">
        <fgColor theme="8" tint="0.3999755851924192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"/>
        <bgColor rgb="FFFFFFFF"/>
      </patternFill>
    </fill>
    <fill>
      <patternFill patternType="solid">
        <fgColor theme="9" tint="0.5999633777886288"/>
        <bgColor rgb="FFFFFFFF"/>
      </patternFill>
    </fill>
    <fill>
      <patternFill patternType="solid">
        <fgColor theme="9" tint="0.3999755851924192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"/>
        <bgColor rgb="FFFFFF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42" fontId="130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30" fillId="0" borderId="0" applyAlignment="1">
      <alignment vertical="center"/>
    </xf>
    <xf numFmtId="0" fontId="2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2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172" fontId="26" fillId="0" borderId="0" applyAlignment="1">
      <alignment vertical="center"/>
    </xf>
    <xf numFmtId="0" fontId="27" fillId="24" borderId="0" applyAlignment="1">
      <alignment vertical="center"/>
    </xf>
    <xf numFmtId="172" fontId="26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2" borderId="0" applyAlignment="1">
      <alignment vertical="center"/>
    </xf>
    <xf numFmtId="0" fontId="5" fillId="3" borderId="0" applyAlignment="1">
      <alignment vertical="center"/>
    </xf>
    <xf numFmtId="0" fontId="5" fillId="4" borderId="0" applyAlignment="1">
      <alignment vertical="center"/>
    </xf>
    <xf numFmtId="0" fontId="5" fillId="5" borderId="0" applyAlignment="1">
      <alignment vertical="center"/>
    </xf>
    <xf numFmtId="0" fontId="5" fillId="6" borderId="0" applyAlignment="1">
      <alignment vertical="center"/>
    </xf>
    <xf numFmtId="0" fontId="5" fillId="7" borderId="0" applyAlignment="1">
      <alignment vertical="center"/>
    </xf>
    <xf numFmtId="0" fontId="5" fillId="8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5" borderId="0" applyAlignment="1">
      <alignment vertical="center"/>
    </xf>
    <xf numFmtId="0" fontId="5" fillId="8" borderId="0" applyAlignment="1">
      <alignment vertical="center"/>
    </xf>
    <xf numFmtId="0" fontId="5" fillId="11" borderId="0" applyAlignment="1">
      <alignment vertical="center"/>
    </xf>
    <xf numFmtId="0" fontId="10" fillId="12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10" fillId="16" borderId="0" applyAlignment="1">
      <alignment vertical="center"/>
    </xf>
    <xf numFmtId="0" fontId="10" fillId="17" borderId="0" applyAlignment="1">
      <alignment vertical="center"/>
    </xf>
    <xf numFmtId="0" fontId="10" fillId="18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9" borderId="0" applyAlignment="1">
      <alignment vertical="center"/>
    </xf>
    <xf numFmtId="0" fontId="9" fillId="0" borderId="0" applyAlignment="1">
      <alignment vertical="center"/>
    </xf>
    <xf numFmtId="0" fontId="11" fillId="20" borderId="1" applyAlignment="1">
      <alignment vertical="center"/>
    </xf>
    <xf numFmtId="0" fontId="12" fillId="3" borderId="0" applyAlignment="1">
      <alignment vertical="center"/>
    </xf>
    <xf numFmtId="0" fontId="5" fillId="21" borderId="2" applyAlignment="1">
      <alignment vertical="center"/>
    </xf>
    <xf numFmtId="0" fontId="13" fillId="22" borderId="0" applyAlignment="1">
      <alignment vertical="center"/>
    </xf>
    <xf numFmtId="0" fontId="14" fillId="0" borderId="0" applyAlignment="1">
      <alignment vertical="center"/>
    </xf>
    <xf numFmtId="0" fontId="15" fillId="23" borderId="3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9" fillId="0" borderId="0" applyAlignment="1">
      <alignment vertical="center"/>
    </xf>
    <xf numFmtId="0" fontId="20" fillId="0" borderId="6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3" fillId="4" borderId="0" applyAlignment="1">
      <alignment vertical="center"/>
    </xf>
    <xf numFmtId="0" fontId="24" fillId="20" borderId="9" applyAlignment="1">
      <alignment vertical="center"/>
    </xf>
    <xf numFmtId="42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4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42" fontId="7" fillId="0" borderId="0" applyAlignment="1">
      <alignment vertical="center"/>
    </xf>
    <xf numFmtId="42" fontId="8" fillId="0" borderId="0" applyAlignment="1">
      <alignment vertical="center"/>
    </xf>
    <xf numFmtId="0" fontId="4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173" fontId="31" fillId="0" borderId="0" applyAlignment="1">
      <alignment vertical="center"/>
    </xf>
    <xf numFmtId="0" fontId="44" fillId="2" borderId="0" applyAlignment="1">
      <alignment vertical="center"/>
    </xf>
    <xf numFmtId="0" fontId="44" fillId="3" borderId="0" applyAlignment="1">
      <alignment vertical="center"/>
    </xf>
    <xf numFmtId="0" fontId="44" fillId="4" borderId="0" applyAlignment="1">
      <alignment vertical="center"/>
    </xf>
    <xf numFmtId="0" fontId="44" fillId="5" borderId="0" applyAlignment="1">
      <alignment vertical="center"/>
    </xf>
    <xf numFmtId="0" fontId="44" fillId="6" borderId="0" applyAlignment="1">
      <alignment vertical="center"/>
    </xf>
    <xf numFmtId="0" fontId="44" fillId="7" borderId="0" applyAlignment="1">
      <alignment vertical="center"/>
    </xf>
    <xf numFmtId="0" fontId="44" fillId="8" borderId="0" applyAlignment="1">
      <alignment vertical="center"/>
    </xf>
    <xf numFmtId="0" fontId="44" fillId="9" borderId="0" applyAlignment="1">
      <alignment vertical="center"/>
    </xf>
    <xf numFmtId="0" fontId="44" fillId="10" borderId="0" applyAlignment="1">
      <alignment vertical="center"/>
    </xf>
    <xf numFmtId="0" fontId="44" fillId="5" borderId="0" applyAlignment="1">
      <alignment vertical="center"/>
    </xf>
    <xf numFmtId="0" fontId="44" fillId="8" borderId="0" applyAlignment="1">
      <alignment vertical="center"/>
    </xf>
    <xf numFmtId="0" fontId="44" fillId="11" borderId="0" applyAlignment="1">
      <alignment vertical="center"/>
    </xf>
    <xf numFmtId="0" fontId="45" fillId="12" borderId="0" applyAlignment="1">
      <alignment vertical="center"/>
    </xf>
    <xf numFmtId="0" fontId="45" fillId="9" borderId="0" applyAlignment="1">
      <alignment vertical="center"/>
    </xf>
    <xf numFmtId="0" fontId="45" fillId="10" borderId="0" applyAlignment="1">
      <alignment vertical="center"/>
    </xf>
    <xf numFmtId="0" fontId="45" fillId="13" borderId="0" applyAlignment="1">
      <alignment vertical="center"/>
    </xf>
    <xf numFmtId="0" fontId="45" fillId="14" borderId="0" applyAlignment="1">
      <alignment vertical="center"/>
    </xf>
    <xf numFmtId="0" fontId="45" fillId="15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173" fontId="32" fillId="0" borderId="0" applyAlignment="1">
      <alignment vertical="center"/>
    </xf>
    <xf numFmtId="41" fontId="7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41" fontId="8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42" fontId="8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5" fillId="18" borderId="0" applyAlignment="1">
      <alignment vertical="center"/>
    </xf>
    <xf numFmtId="0" fontId="45" fillId="13" borderId="0" applyAlignment="1">
      <alignment vertical="center"/>
    </xf>
    <xf numFmtId="0" fontId="45" fillId="14" borderId="0" applyAlignment="1">
      <alignment vertical="center"/>
    </xf>
    <xf numFmtId="0" fontId="45" fillId="19" borderId="0" applyAlignment="1">
      <alignment vertical="center"/>
    </xf>
    <xf numFmtId="0" fontId="46" fillId="3" borderId="0" applyAlignment="1">
      <alignment vertical="center"/>
    </xf>
    <xf numFmtId="0" fontId="33" fillId="0" borderId="0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5" fontId="35" fillId="0" borderId="0" applyAlignment="1">
      <alignment vertical="center"/>
    </xf>
    <xf numFmtId="0" fontId="36" fillId="0" borderId="0" applyAlignment="1">
      <alignment vertical="center"/>
    </xf>
    <xf numFmtId="176" fontId="36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47" fillId="20" borderId="1" applyAlignment="1">
      <alignment vertical="center"/>
    </xf>
    <xf numFmtId="0" fontId="48" fillId="23" borderId="3" applyAlignment="1">
      <alignment vertical="center"/>
    </xf>
    <xf numFmtId="0" fontId="36" fillId="0" borderId="0" applyAlignment="1">
      <alignment vertical="center"/>
    </xf>
    <xf numFmtId="174" fontId="34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73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14" fontId="36" fillId="0" borderId="0" applyAlignment="1">
      <alignment vertical="center"/>
    </xf>
    <xf numFmtId="38" fontId="38" fillId="0" borderId="13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49" fillId="0" borderId="0" applyAlignment="1">
      <alignment vertical="center"/>
    </xf>
    <xf numFmtId="0" fontId="50" fillId="4" borderId="0" applyAlignment="1">
      <alignment vertical="center"/>
    </xf>
    <xf numFmtId="38" fontId="39" fillId="20" borderId="0" applyAlignment="1">
      <alignment vertical="center"/>
    </xf>
    <xf numFmtId="0" fontId="40" fillId="0" borderId="12" applyAlignment="1">
      <alignment horizontal="left" vertical="center"/>
    </xf>
    <xf numFmtId="0" fontId="40" fillId="0" borderId="11" applyAlignment="1">
      <alignment horizontal="left" vertical="center"/>
    </xf>
    <xf numFmtId="0" fontId="51" fillId="0" borderId="6" applyAlignment="1">
      <alignment vertical="center"/>
    </xf>
    <xf numFmtId="0" fontId="52" fillId="0" borderId="7" applyAlignment="1">
      <alignment vertical="center"/>
    </xf>
    <xf numFmtId="0" fontId="53" fillId="0" borderId="8" applyAlignment="1">
      <alignment vertical="center"/>
    </xf>
    <xf numFmtId="0" fontId="53" fillId="0" borderId="0" applyAlignment="1">
      <alignment vertical="center"/>
    </xf>
    <xf numFmtId="0" fontId="54" fillId="7" borderId="1" applyAlignment="1">
      <alignment vertical="center"/>
    </xf>
    <xf numFmtId="10" fontId="39" fillId="21" borderId="10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55" fillId="0" borderId="4" applyAlignment="1">
      <alignment vertical="center"/>
    </xf>
    <xf numFmtId="41" fontId="36" fillId="0" borderId="0" applyAlignment="1">
      <alignment vertical="center"/>
    </xf>
    <xf numFmtId="43" fontId="36" fillId="0" borderId="0" applyAlignment="1">
      <alignment vertical="center"/>
    </xf>
    <xf numFmtId="178" fontId="37" fillId="0" borderId="0" applyAlignment="1">
      <alignment vertical="center"/>
    </xf>
    <xf numFmtId="179" fontId="37" fillId="0" borderId="0" applyAlignment="1">
      <alignment vertical="center"/>
    </xf>
    <xf numFmtId="0" fontId="56" fillId="22" borderId="0" applyAlignment="1">
      <alignment vertical="center"/>
    </xf>
    <xf numFmtId="180" fontId="41" fillId="0" borderId="0" applyAlignment="1">
      <alignment vertical="center"/>
    </xf>
    <xf numFmtId="0" fontId="36" fillId="0" borderId="0" applyAlignment="1">
      <alignment vertical="center"/>
    </xf>
    <xf numFmtId="0" fontId="36" fillId="21" borderId="2" applyAlignment="1">
      <alignment vertical="center"/>
    </xf>
    <xf numFmtId="0" fontId="57" fillId="20" borderId="9" applyAlignment="1">
      <alignment vertical="center"/>
    </xf>
    <xf numFmtId="176" fontId="36" fillId="0" borderId="0" applyAlignment="1">
      <alignment vertical="center"/>
    </xf>
    <xf numFmtId="181" fontId="36" fillId="0" borderId="0" applyAlignment="1">
      <alignment vertical="center"/>
    </xf>
    <xf numFmtId="10" fontId="36" fillId="0" borderId="0" applyAlignment="1">
      <alignment vertical="center"/>
    </xf>
    <xf numFmtId="182" fontId="36" fillId="0" borderId="0" applyAlignment="1">
      <alignment vertical="center"/>
    </xf>
    <xf numFmtId="174" fontId="34" fillId="0" borderId="0" applyAlignment="1">
      <alignment vertical="center"/>
    </xf>
    <xf numFmtId="173" fontId="35" fillId="0" borderId="0" applyAlignment="1">
      <alignment vertical="center"/>
    </xf>
    <xf numFmtId="174" fontId="34" fillId="0" borderId="0" applyAlignment="1">
      <alignment vertical="center"/>
    </xf>
    <xf numFmtId="177" fontId="36" fillId="0" borderId="0" applyAlignment="1">
      <alignment vertical="center"/>
    </xf>
    <xf numFmtId="173" fontId="35" fillId="0" borderId="0" applyAlignment="1">
      <alignment vertical="center"/>
    </xf>
    <xf numFmtId="0" fontId="42" fillId="0" borderId="0" applyAlignment="1">
      <alignment vertical="center"/>
    </xf>
    <xf numFmtId="49" fontId="36" fillId="0" borderId="0" applyAlignment="1">
      <alignment vertical="center"/>
    </xf>
    <xf numFmtId="182" fontId="36" fillId="0" borderId="0" applyAlignment="1">
      <alignment vertical="center"/>
    </xf>
    <xf numFmtId="183" fontId="36" fillId="0" borderId="0" applyAlignment="1">
      <alignment vertical="center"/>
    </xf>
    <xf numFmtId="0" fontId="58" fillId="0" borderId="0" applyAlignment="1">
      <alignment vertical="center"/>
    </xf>
    <xf numFmtId="0" fontId="59" fillId="0" borderId="5" applyAlignment="1">
      <alignment vertical="center"/>
    </xf>
    <xf numFmtId="0" fontId="60" fillId="0" borderId="0" applyAlignment="1">
      <alignment vertical="center"/>
    </xf>
    <xf numFmtId="41" fontId="8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41" fontId="7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29" fillId="0" borderId="0" applyAlignment="1" applyProtection="1">
      <alignment vertical="top"/>
      <protection locked="0" hidden="0"/>
    </xf>
    <xf numFmtId="41" fontId="7" fillId="0" borderId="0" applyAlignment="1">
      <alignment vertical="center"/>
    </xf>
    <xf numFmtId="0" fontId="7" fillId="0" borderId="0" applyAlignment="1">
      <alignment vertical="center"/>
    </xf>
    <xf numFmtId="0" fontId="43" fillId="0" borderId="0" applyAlignment="1" applyProtection="1">
      <alignment vertical="top"/>
      <protection locked="0" hidden="0"/>
    </xf>
    <xf numFmtId="41" fontId="7" fillId="0" borderId="0" applyAlignment="1">
      <alignment vertical="center"/>
    </xf>
    <xf numFmtId="0" fontId="8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7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73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30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9" fontId="74" fillId="0" borderId="0" applyAlignment="1">
      <alignment vertical="center"/>
    </xf>
    <xf numFmtId="0" fontId="79" fillId="33" borderId="0" applyAlignment="1">
      <alignment vertical="center"/>
    </xf>
    <xf numFmtId="0" fontId="4" fillId="33" borderId="0" applyAlignment="1">
      <alignment vertical="center"/>
    </xf>
    <xf numFmtId="0" fontId="79" fillId="33" borderId="0" applyAlignment="1">
      <alignment vertical="center"/>
    </xf>
    <xf numFmtId="0" fontId="80" fillId="33" borderId="0" applyAlignment="1">
      <alignment vertical="center"/>
    </xf>
    <xf numFmtId="0" fontId="79" fillId="37" borderId="0" applyAlignment="1">
      <alignment vertical="center"/>
    </xf>
    <xf numFmtId="0" fontId="4" fillId="37" borderId="0" applyAlignment="1">
      <alignment vertical="center"/>
    </xf>
    <xf numFmtId="0" fontId="79" fillId="37" borderId="0" applyAlignment="1">
      <alignment vertical="center"/>
    </xf>
    <xf numFmtId="0" fontId="80" fillId="37" borderId="0" applyAlignment="1">
      <alignment vertical="center"/>
    </xf>
    <xf numFmtId="0" fontId="79" fillId="41" borderId="0" applyAlignment="1">
      <alignment vertical="center"/>
    </xf>
    <xf numFmtId="0" fontId="4" fillId="41" borderId="0" applyAlignment="1">
      <alignment vertical="center"/>
    </xf>
    <xf numFmtId="0" fontId="79" fillId="41" borderId="0" applyAlignment="1">
      <alignment vertical="center"/>
    </xf>
    <xf numFmtId="0" fontId="80" fillId="41" borderId="0" applyAlignment="1">
      <alignment vertical="center"/>
    </xf>
    <xf numFmtId="0" fontId="79" fillId="45" borderId="0" applyAlignment="1">
      <alignment vertical="center"/>
    </xf>
    <xf numFmtId="0" fontId="4" fillId="45" borderId="0" applyAlignment="1">
      <alignment vertical="center"/>
    </xf>
    <xf numFmtId="0" fontId="79" fillId="45" borderId="0" applyAlignment="1">
      <alignment vertical="center"/>
    </xf>
    <xf numFmtId="0" fontId="80" fillId="45" borderId="0" applyAlignment="1">
      <alignment vertical="center"/>
    </xf>
    <xf numFmtId="0" fontId="79" fillId="49" borderId="0" applyAlignment="1">
      <alignment vertical="center"/>
    </xf>
    <xf numFmtId="0" fontId="4" fillId="49" borderId="0" applyAlignment="1">
      <alignment vertical="center"/>
    </xf>
    <xf numFmtId="0" fontId="79" fillId="49" borderId="0" applyAlignment="1">
      <alignment vertical="center"/>
    </xf>
    <xf numFmtId="0" fontId="80" fillId="49" borderId="0" applyAlignment="1">
      <alignment vertical="center"/>
    </xf>
    <xf numFmtId="0" fontId="79" fillId="53" borderId="0" applyAlignment="1">
      <alignment vertical="center"/>
    </xf>
    <xf numFmtId="0" fontId="4" fillId="53" borderId="0" applyAlignment="1">
      <alignment vertical="center"/>
    </xf>
    <xf numFmtId="0" fontId="79" fillId="53" borderId="0" applyAlignment="1">
      <alignment vertical="center"/>
    </xf>
    <xf numFmtId="0" fontId="80" fillId="53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2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3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4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6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5" fillId="7" borderId="0" applyAlignment="1">
      <alignment vertical="center"/>
    </xf>
    <xf numFmtId="0" fontId="79" fillId="34" borderId="0" applyAlignment="1">
      <alignment vertical="center"/>
    </xf>
    <xf numFmtId="0" fontId="4" fillId="34" borderId="0" applyAlignment="1">
      <alignment vertical="center"/>
    </xf>
    <xf numFmtId="0" fontId="79" fillId="34" borderId="0" applyAlignment="1">
      <alignment vertical="center"/>
    </xf>
    <xf numFmtId="0" fontId="80" fillId="34" borderId="0" applyAlignment="1">
      <alignment vertical="center"/>
    </xf>
    <xf numFmtId="0" fontId="79" fillId="38" borderId="0" applyAlignment="1">
      <alignment vertical="center"/>
    </xf>
    <xf numFmtId="0" fontId="4" fillId="38" borderId="0" applyAlignment="1">
      <alignment vertical="center"/>
    </xf>
    <xf numFmtId="0" fontId="79" fillId="38" borderId="0" applyAlignment="1">
      <alignment vertical="center"/>
    </xf>
    <xf numFmtId="0" fontId="80" fillId="38" borderId="0" applyAlignment="1">
      <alignment vertical="center"/>
    </xf>
    <xf numFmtId="0" fontId="79" fillId="42" borderId="0" applyAlignment="1">
      <alignment vertical="center"/>
    </xf>
    <xf numFmtId="0" fontId="4" fillId="42" borderId="0" applyAlignment="1">
      <alignment vertical="center"/>
    </xf>
    <xf numFmtId="0" fontId="79" fillId="42" borderId="0" applyAlignment="1">
      <alignment vertical="center"/>
    </xf>
    <xf numFmtId="0" fontId="80" fillId="42" borderId="0" applyAlignment="1">
      <alignment vertical="center"/>
    </xf>
    <xf numFmtId="0" fontId="79" fillId="46" borderId="0" applyAlignment="1">
      <alignment vertical="center"/>
    </xf>
    <xf numFmtId="0" fontId="4" fillId="46" borderId="0" applyAlignment="1">
      <alignment vertical="center"/>
    </xf>
    <xf numFmtId="0" fontId="79" fillId="46" borderId="0" applyAlignment="1">
      <alignment vertical="center"/>
    </xf>
    <xf numFmtId="0" fontId="80" fillId="46" borderId="0" applyAlignment="1">
      <alignment vertical="center"/>
    </xf>
    <xf numFmtId="0" fontId="79" fillId="50" borderId="0" applyAlignment="1">
      <alignment vertical="center"/>
    </xf>
    <xf numFmtId="0" fontId="4" fillId="50" borderId="0" applyAlignment="1">
      <alignment vertical="center"/>
    </xf>
    <xf numFmtId="0" fontId="79" fillId="50" borderId="0" applyAlignment="1">
      <alignment vertical="center"/>
    </xf>
    <xf numFmtId="0" fontId="80" fillId="50" borderId="0" applyAlignment="1">
      <alignment vertical="center"/>
    </xf>
    <xf numFmtId="0" fontId="79" fillId="54" borderId="0" applyAlignment="1">
      <alignment vertical="center"/>
    </xf>
    <xf numFmtId="0" fontId="4" fillId="54" borderId="0" applyAlignment="1">
      <alignment vertical="center"/>
    </xf>
    <xf numFmtId="0" fontId="79" fillId="54" borderId="0" applyAlignment="1">
      <alignment vertical="center"/>
    </xf>
    <xf numFmtId="0" fontId="80" fillId="54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9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10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5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8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5" fillId="11" borderId="0" applyAlignment="1">
      <alignment vertical="center"/>
    </xf>
    <xf numFmtId="0" fontId="81" fillId="35" borderId="0" applyAlignment="1">
      <alignment vertical="center"/>
    </xf>
    <xf numFmtId="0" fontId="82" fillId="35" borderId="0" applyAlignment="1">
      <alignment vertical="center"/>
    </xf>
    <xf numFmtId="0" fontId="81" fillId="35" borderId="0" applyAlignment="1">
      <alignment vertical="center"/>
    </xf>
    <xf numFmtId="0" fontId="83" fillId="35" borderId="0" applyAlignment="1">
      <alignment vertical="center"/>
    </xf>
    <xf numFmtId="0" fontId="81" fillId="39" borderId="0" applyAlignment="1">
      <alignment vertical="center"/>
    </xf>
    <xf numFmtId="0" fontId="82" fillId="39" borderId="0" applyAlignment="1">
      <alignment vertical="center"/>
    </xf>
    <xf numFmtId="0" fontId="81" fillId="39" borderId="0" applyAlignment="1">
      <alignment vertical="center"/>
    </xf>
    <xf numFmtId="0" fontId="83" fillId="39" borderId="0" applyAlignment="1">
      <alignment vertical="center"/>
    </xf>
    <xf numFmtId="0" fontId="81" fillId="43" borderId="0" applyAlignment="1">
      <alignment vertical="center"/>
    </xf>
    <xf numFmtId="0" fontId="82" fillId="43" borderId="0" applyAlignment="1">
      <alignment vertical="center"/>
    </xf>
    <xf numFmtId="0" fontId="81" fillId="43" borderId="0" applyAlignment="1">
      <alignment vertical="center"/>
    </xf>
    <xf numFmtId="0" fontId="83" fillId="43" borderId="0" applyAlignment="1">
      <alignment vertical="center"/>
    </xf>
    <xf numFmtId="0" fontId="81" fillId="47" borderId="0" applyAlignment="1">
      <alignment vertical="center"/>
    </xf>
    <xf numFmtId="0" fontId="82" fillId="47" borderId="0" applyAlignment="1">
      <alignment vertical="center"/>
    </xf>
    <xf numFmtId="0" fontId="81" fillId="47" borderId="0" applyAlignment="1">
      <alignment vertical="center"/>
    </xf>
    <xf numFmtId="0" fontId="83" fillId="47" borderId="0" applyAlignment="1">
      <alignment vertical="center"/>
    </xf>
    <xf numFmtId="0" fontId="81" fillId="51" borderId="0" applyAlignment="1">
      <alignment vertical="center"/>
    </xf>
    <xf numFmtId="0" fontId="82" fillId="51" borderId="0" applyAlignment="1">
      <alignment vertical="center"/>
    </xf>
    <xf numFmtId="0" fontId="81" fillId="51" borderId="0" applyAlignment="1">
      <alignment vertical="center"/>
    </xf>
    <xf numFmtId="0" fontId="83" fillId="51" borderId="0" applyAlignment="1">
      <alignment vertical="center"/>
    </xf>
    <xf numFmtId="0" fontId="81" fillId="55" borderId="0" applyAlignment="1">
      <alignment vertical="center"/>
    </xf>
    <xf numFmtId="0" fontId="82" fillId="55" borderId="0" applyAlignment="1">
      <alignment vertical="center"/>
    </xf>
    <xf numFmtId="0" fontId="81" fillId="55" borderId="0" applyAlignment="1">
      <alignment vertical="center"/>
    </xf>
    <xf numFmtId="0" fontId="83" fillId="55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12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0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81" fillId="32" borderId="0" applyAlignment="1">
      <alignment vertical="center"/>
    </xf>
    <xf numFmtId="0" fontId="82" fillId="32" borderId="0" applyAlignment="1">
      <alignment vertical="center"/>
    </xf>
    <xf numFmtId="0" fontId="81" fillId="32" borderId="0" applyAlignment="1">
      <alignment vertical="center"/>
    </xf>
    <xf numFmtId="0" fontId="83" fillId="32" borderId="0" applyAlignment="1">
      <alignment vertical="center"/>
    </xf>
    <xf numFmtId="0" fontId="81" fillId="36" borderId="0" applyAlignment="1">
      <alignment vertical="center"/>
    </xf>
    <xf numFmtId="0" fontId="82" fillId="36" borderId="0" applyAlignment="1">
      <alignment vertical="center"/>
    </xf>
    <xf numFmtId="0" fontId="81" fillId="36" borderId="0" applyAlignment="1">
      <alignment vertical="center"/>
    </xf>
    <xf numFmtId="0" fontId="83" fillId="36" borderId="0" applyAlignment="1">
      <alignment vertical="center"/>
    </xf>
    <xf numFmtId="0" fontId="81" fillId="40" borderId="0" applyAlignment="1">
      <alignment vertical="center"/>
    </xf>
    <xf numFmtId="0" fontId="82" fillId="40" borderId="0" applyAlignment="1">
      <alignment vertical="center"/>
    </xf>
    <xf numFmtId="0" fontId="81" fillId="40" borderId="0" applyAlignment="1">
      <alignment vertical="center"/>
    </xf>
    <xf numFmtId="0" fontId="83" fillId="40" borderId="0" applyAlignment="1">
      <alignment vertical="center"/>
    </xf>
    <xf numFmtId="0" fontId="81" fillId="44" borderId="0" applyAlignment="1">
      <alignment vertical="center"/>
    </xf>
    <xf numFmtId="0" fontId="82" fillId="44" borderId="0" applyAlignment="1">
      <alignment vertical="center"/>
    </xf>
    <xf numFmtId="0" fontId="81" fillId="44" borderId="0" applyAlignment="1">
      <alignment vertical="center"/>
    </xf>
    <xf numFmtId="0" fontId="83" fillId="44" borderId="0" applyAlignment="1">
      <alignment vertical="center"/>
    </xf>
    <xf numFmtId="0" fontId="81" fillId="48" borderId="0" applyAlignment="1">
      <alignment vertical="center"/>
    </xf>
    <xf numFmtId="0" fontId="82" fillId="48" borderId="0" applyAlignment="1">
      <alignment vertical="center"/>
    </xf>
    <xf numFmtId="0" fontId="81" fillId="48" borderId="0" applyAlignment="1">
      <alignment vertical="center"/>
    </xf>
    <xf numFmtId="0" fontId="83" fillId="48" borderId="0" applyAlignment="1">
      <alignment vertical="center"/>
    </xf>
    <xf numFmtId="0" fontId="18" fillId="7" borderId="1" applyAlignment="1">
      <alignment vertical="center"/>
    </xf>
    <xf numFmtId="0" fontId="81" fillId="52" borderId="0" applyAlignment="1">
      <alignment vertical="center"/>
    </xf>
    <xf numFmtId="0" fontId="82" fillId="52" borderId="0" applyAlignment="1">
      <alignment vertical="center"/>
    </xf>
    <xf numFmtId="0" fontId="81" fillId="52" borderId="0" applyAlignment="1">
      <alignment vertical="center"/>
    </xf>
    <xf numFmtId="0" fontId="83" fillId="52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6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8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4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9" fillId="0" borderId="0" applyAlignment="1">
      <alignment vertical="center"/>
    </xf>
    <xf numFmtId="0" fontId="84" fillId="0" borderId="0" applyAlignment="1">
      <alignment vertical="center"/>
    </xf>
    <xf numFmtId="0" fontId="85" fillId="0" borderId="0" applyAlignment="1">
      <alignment vertical="center"/>
    </xf>
    <xf numFmtId="0" fontId="84" fillId="0" borderId="0" applyAlignment="1">
      <alignment vertical="center"/>
    </xf>
    <xf numFmtId="0" fontId="9" fillId="0" borderId="0" applyAlignment="1">
      <alignment vertical="center"/>
    </xf>
    <xf numFmtId="0" fontId="86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89" fillId="30" borderId="17" applyAlignment="1">
      <alignment vertical="center"/>
    </xf>
    <xf numFmtId="184" fontId="36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8" fillId="0" borderId="0" applyAlignment="1" applyProtection="1">
      <alignment vertical="center"/>
      <protection locked="0" hidden="0"/>
    </xf>
    <xf numFmtId="184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3" fillId="22" borderId="0" applyAlignment="1">
      <alignment vertical="center"/>
    </xf>
    <xf numFmtId="0" fontId="17" fillId="0" borderId="5" applyAlignment="1">
      <alignment vertical="center"/>
    </xf>
    <xf numFmtId="0" fontId="90" fillId="28" borderId="0" applyAlignment="1">
      <alignment vertical="center"/>
    </xf>
    <xf numFmtId="0" fontId="91" fillId="28" borderId="0" applyAlignment="1">
      <alignment vertical="center"/>
    </xf>
    <xf numFmtId="0" fontId="90" fillId="28" borderId="0" applyAlignment="1">
      <alignment vertical="center"/>
    </xf>
    <xf numFmtId="0" fontId="92" fillId="28" borderId="0" applyAlignment="1">
      <alignment vertical="center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67" fillId="0" borderId="0" applyAlignment="1" applyProtection="1">
      <alignment vertical="center"/>
      <protection locked="0" hidden="0"/>
    </xf>
    <xf numFmtId="0" fontId="36" fillId="0" borderId="0" applyAlignment="1" applyProtection="1">
      <alignment vertical="center"/>
      <protection locked="0" hidden="0"/>
    </xf>
    <xf numFmtId="0" fontId="36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5" fillId="21" borderId="21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6" fillId="21" borderId="21" applyAlignment="1">
      <alignment vertical="center"/>
    </xf>
    <xf numFmtId="9" fontId="36" fillId="0" borderId="0" applyAlignment="1">
      <alignment vertical="center"/>
    </xf>
    <xf numFmtId="9" fontId="7" fillId="0" borderId="0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93" fillId="29" borderId="0" applyAlignment="1">
      <alignment vertical="center"/>
    </xf>
    <xf numFmtId="0" fontId="94" fillId="29" borderId="0" applyAlignment="1">
      <alignment vertical="center"/>
    </xf>
    <xf numFmtId="0" fontId="93" fillId="29" borderId="0" applyAlignment="1">
      <alignment vertical="center"/>
    </xf>
    <xf numFmtId="0" fontId="95" fillId="29" borderId="0" applyAlignment="1">
      <alignment vertical="center"/>
    </xf>
    <xf numFmtId="0" fontId="75" fillId="0" borderId="0" applyAlignment="1">
      <alignment vertical="center"/>
    </xf>
    <xf numFmtId="0" fontId="36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69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96" fillId="0" borderId="0" applyAlignment="1">
      <alignment vertical="center"/>
    </xf>
    <xf numFmtId="0" fontId="97" fillId="0" borderId="0" applyAlignment="1">
      <alignment vertical="center"/>
    </xf>
    <xf numFmtId="0" fontId="96" fillId="0" borderId="0" applyAlignment="1">
      <alignment vertical="center"/>
    </xf>
    <xf numFmtId="0" fontId="98" fillId="0" borderId="0" applyAlignment="1">
      <alignment vertical="center"/>
    </xf>
    <xf numFmtId="0" fontId="99" fillId="31" borderId="20" applyAlignment="1">
      <alignment vertical="center"/>
    </xf>
    <xf numFmtId="0" fontId="100" fillId="31" borderId="20" applyAlignment="1">
      <alignment vertical="center"/>
    </xf>
    <xf numFmtId="0" fontId="99" fillId="31" borderId="20" applyAlignment="1">
      <alignment vertical="center"/>
    </xf>
    <xf numFmtId="0" fontId="101" fillId="31" borderId="20" applyAlignment="1">
      <alignment vertical="center"/>
    </xf>
    <xf numFmtId="38" fontId="30" fillId="0" borderId="0" applyAlignment="1">
      <alignment vertical="center"/>
    </xf>
    <xf numFmtId="41" fontId="22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0" fontId="36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185" fontId="30" fillId="0" borderId="0" applyAlignment="1">
      <alignment vertical="center"/>
    </xf>
    <xf numFmtId="0" fontId="102" fillId="0" borderId="19" applyAlignment="1">
      <alignment vertical="center"/>
    </xf>
    <xf numFmtId="0" fontId="103" fillId="0" borderId="19" applyAlignment="1">
      <alignment vertical="center"/>
    </xf>
    <xf numFmtId="0" fontId="102" fillId="0" borderId="19" applyAlignment="1">
      <alignment vertical="center"/>
    </xf>
    <xf numFmtId="0" fontId="104" fillId="0" borderId="19" applyAlignment="1">
      <alignment vertical="center"/>
    </xf>
    <xf numFmtId="0" fontId="76" fillId="0" borderId="0" applyAlignment="1" applyProtection="1">
      <alignment vertical="top"/>
      <protection locked="0" hidden="0"/>
    </xf>
    <xf numFmtId="186" fontId="73" fillId="0" borderId="0" applyAlignment="1">
      <alignment vertical="center"/>
    </xf>
    <xf numFmtId="187" fontId="73" fillId="0" borderId="0" applyAlignment="1">
      <alignment vertical="center"/>
    </xf>
    <xf numFmtId="0" fontId="105" fillId="0" borderId="22" applyAlignment="1">
      <alignment vertical="center"/>
    </xf>
    <xf numFmtId="0" fontId="106" fillId="0" borderId="22" applyAlignment="1">
      <alignment vertical="center"/>
    </xf>
    <xf numFmtId="0" fontId="105" fillId="0" borderId="22" applyAlignment="1">
      <alignment vertical="center"/>
    </xf>
    <xf numFmtId="0" fontId="107" fillId="0" borderId="22" applyAlignment="1">
      <alignment vertical="center"/>
    </xf>
    <xf numFmtId="0" fontId="77" fillId="0" borderId="0" applyAlignment="1">
      <alignment vertical="center"/>
    </xf>
    <xf numFmtId="0" fontId="108" fillId="7" borderId="17" applyAlignment="1">
      <alignment vertical="center"/>
    </xf>
    <xf numFmtId="0" fontId="109" fillId="7" borderId="17" applyAlignment="1">
      <alignment vertical="center"/>
    </xf>
    <xf numFmtId="0" fontId="108" fillId="7" borderId="17" applyAlignment="1">
      <alignment vertical="center"/>
    </xf>
    <xf numFmtId="0" fontId="110" fillId="7" borderId="17" applyAlignment="1">
      <alignment vertical="center"/>
    </xf>
    <xf numFmtId="4" fontId="36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67" fillId="0" borderId="0" applyAlignment="1" applyProtection="1">
      <alignment vertical="center"/>
      <protection locked="0" hidden="0"/>
    </xf>
    <xf numFmtId="4" fontId="36" fillId="0" borderId="0" applyAlignment="1" applyProtection="1">
      <alignment vertical="center"/>
      <protection locked="0" hidden="0"/>
    </xf>
    <xf numFmtId="188" fontId="36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8" fillId="0" borderId="0" applyAlignment="1" applyProtection="1">
      <alignment vertical="center"/>
      <protection locked="0" hidden="0"/>
    </xf>
    <xf numFmtId="188" fontId="36" fillId="0" borderId="0" applyAlignment="1" applyProtection="1">
      <alignment vertical="center"/>
      <protection locked="0" hidden="0"/>
    </xf>
    <xf numFmtId="0" fontId="20" fillId="0" borderId="6" applyAlignment="1">
      <alignment vertical="center"/>
    </xf>
    <xf numFmtId="0" fontId="111" fillId="0" borderId="14" applyAlignment="1">
      <alignment vertical="center"/>
    </xf>
    <xf numFmtId="0" fontId="112" fillId="0" borderId="14" applyAlignment="1">
      <alignment vertical="center"/>
    </xf>
    <xf numFmtId="0" fontId="111" fillId="0" borderId="14" applyAlignment="1">
      <alignment vertical="center"/>
    </xf>
    <xf numFmtId="0" fontId="112" fillId="0" borderId="14" applyAlignment="1">
      <alignment vertical="center"/>
    </xf>
    <xf numFmtId="0" fontId="113" fillId="0" borderId="15" applyAlignment="1">
      <alignment vertical="center"/>
    </xf>
    <xf numFmtId="0" fontId="114" fillId="0" borderId="15" applyAlignment="1">
      <alignment vertical="center"/>
    </xf>
    <xf numFmtId="0" fontId="113" fillId="0" borderId="15" applyAlignment="1">
      <alignment vertical="center"/>
    </xf>
    <xf numFmtId="0" fontId="114" fillId="0" borderId="15" applyAlignment="1">
      <alignment vertical="center"/>
    </xf>
    <xf numFmtId="0" fontId="115" fillId="0" borderId="16" applyAlignment="1">
      <alignment vertical="center"/>
    </xf>
    <xf numFmtId="0" fontId="116" fillId="0" borderId="16" applyAlignment="1">
      <alignment vertical="center"/>
    </xf>
    <xf numFmtId="0" fontId="115" fillId="0" borderId="16" applyAlignment="1">
      <alignment vertical="center"/>
    </xf>
    <xf numFmtId="0" fontId="116" fillId="0" borderId="16" applyAlignment="1">
      <alignment vertical="center"/>
    </xf>
    <xf numFmtId="0" fontId="115" fillId="0" borderId="0" applyAlignment="1">
      <alignment vertical="center"/>
    </xf>
    <xf numFmtId="0" fontId="116" fillId="0" borderId="0" applyAlignment="1">
      <alignment vertical="center"/>
    </xf>
    <xf numFmtId="0" fontId="115" fillId="0" borderId="0" applyAlignment="1">
      <alignment vertical="center"/>
    </xf>
    <xf numFmtId="0" fontId="116" fillId="0" borderId="0" applyAlignment="1">
      <alignment vertical="center"/>
    </xf>
    <xf numFmtId="0" fontId="117" fillId="0" borderId="0" applyAlignment="1">
      <alignment vertical="center"/>
    </xf>
    <xf numFmtId="0" fontId="117" fillId="0" borderId="0" applyAlignment="1">
      <alignment vertical="center"/>
    </xf>
    <xf numFmtId="0" fontId="118" fillId="27" borderId="0" applyAlignment="1">
      <alignment vertical="center"/>
    </xf>
    <xf numFmtId="0" fontId="119" fillId="27" borderId="0" applyAlignment="1">
      <alignment vertical="center"/>
    </xf>
    <xf numFmtId="0" fontId="118" fillId="27" borderId="0" applyAlignment="1">
      <alignment vertical="center"/>
    </xf>
    <xf numFmtId="0" fontId="120" fillId="27" borderId="0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0" fontId="12" fillId="3" borderId="0" applyAlignment="1">
      <alignment vertical="center"/>
    </xf>
    <xf numFmtId="185" fontId="75" fillId="0" borderId="0" applyAlignment="1">
      <alignment vertical="center"/>
    </xf>
    <xf numFmtId="0" fontId="73" fillId="0" borderId="0" applyAlignment="1">
      <alignment vertical="center"/>
    </xf>
    <xf numFmtId="185" fontId="75" fillId="0" borderId="0" applyAlignment="1">
      <alignment vertical="center"/>
    </xf>
    <xf numFmtId="189" fontId="75" fillId="0" borderId="0" applyAlignment="1">
      <alignment vertical="center"/>
    </xf>
    <xf numFmtId="185" fontId="63" fillId="0" borderId="0" applyAlignment="1">
      <alignment vertical="center"/>
    </xf>
    <xf numFmtId="189" fontId="63" fillId="0" borderId="0" applyAlignment="1">
      <alignment vertical="center"/>
    </xf>
    <xf numFmtId="0" fontId="121" fillId="30" borderId="18" applyAlignment="1">
      <alignment vertical="center"/>
    </xf>
    <xf numFmtId="0" fontId="122" fillId="30" borderId="18" applyAlignment="1">
      <alignment vertical="center"/>
    </xf>
    <xf numFmtId="0" fontId="121" fillId="30" borderId="18" applyAlignment="1">
      <alignment vertical="center"/>
    </xf>
    <xf numFmtId="0" fontId="123" fillId="30" borderId="18" applyAlignment="1">
      <alignment vertical="center"/>
    </xf>
    <xf numFmtId="0" fontId="36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190" fontId="7" fillId="0" borderId="0" applyAlignment="1">
      <alignment vertical="center"/>
    </xf>
    <xf numFmtId="0" fontId="36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42" fontId="7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91" fontId="73" fillId="0" borderId="0" applyAlignment="1">
      <alignment vertical="center"/>
    </xf>
    <xf numFmtId="192" fontId="73" fillId="0" borderId="0" applyAlignment="1">
      <alignment vertical="center"/>
    </xf>
    <xf numFmtId="0" fontId="36" fillId="0" borderId="0" applyAlignment="1">
      <alignment vertical="center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193" fontId="8" fillId="0" borderId="0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36" fillId="0" borderId="0" applyAlignment="1">
      <alignment vertical="center"/>
    </xf>
    <xf numFmtId="0" fontId="79" fillId="0" borderId="0" applyAlignment="1">
      <alignment vertical="center"/>
    </xf>
    <xf numFmtId="0" fontId="7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36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36" fillId="0" borderId="0" applyAlignment="1">
      <alignment vertical="center"/>
    </xf>
    <xf numFmtId="0" fontId="4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70" fillId="0" borderId="0" applyAlignment="1">
      <alignment vertical="center"/>
    </xf>
    <xf numFmtId="0" fontId="62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0" fillId="0" borderId="0" applyAlignment="1">
      <alignment vertical="center"/>
    </xf>
    <xf numFmtId="0" fontId="80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64" fillId="0" borderId="0" applyAlignment="1" applyProtection="1">
      <alignment vertical="top"/>
      <protection locked="0" hidden="0"/>
    </xf>
    <xf numFmtId="0" fontId="36" fillId="0" borderId="0" applyAlignment="1">
      <alignment vertical="center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14" fillId="0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0" fontId="23" fillId="4" borderId="0" applyAlignment="1">
      <alignment vertical="center"/>
    </xf>
    <xf numFmtId="194" fontId="66" fillId="0" borderId="0" applyAlignment="1">
      <alignment vertical="center"/>
    </xf>
    <xf numFmtId="194" fontId="36" fillId="0" borderId="0" applyAlignment="1">
      <alignment vertical="center"/>
    </xf>
    <xf numFmtId="195" fontId="66" fillId="0" borderId="0" applyAlignment="1">
      <alignment vertical="center"/>
    </xf>
    <xf numFmtId="0" fontId="36" fillId="0" borderId="0" applyAlignment="1">
      <alignment vertical="center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196" fontId="8" fillId="0" borderId="0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197" fontId="8" fillId="0" borderId="0" applyAlignment="1" applyProtection="1">
      <alignment vertical="center"/>
      <protection locked="0" hidden="0"/>
    </xf>
    <xf numFmtId="0" fontId="36" fillId="0" borderId="0" applyAlignment="1">
      <alignment vertical="center"/>
    </xf>
    <xf numFmtId="0" fontId="19" fillId="0" borderId="0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20" fillId="0" borderId="6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3" fillId="0" borderId="0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16" fillId="0" borderId="4" applyAlignment="1">
      <alignment vertical="center"/>
    </xf>
    <xf numFmtId="0" fontId="74" fillId="0" borderId="0" applyAlignment="1">
      <alignment vertical="center"/>
    </xf>
    <xf numFmtId="0" fontId="78" fillId="0" borderId="0" applyAlignment="1">
      <alignment vertical="center"/>
    </xf>
    <xf numFmtId="0" fontId="36" fillId="0" borderId="0" applyAlignment="1">
      <alignment vertical="center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71" fillId="0" borderId="0" applyAlignment="1" applyProtection="1">
      <alignment horizontal="center" vertical="center" wrapText="1"/>
      <protection locked="0" hidden="0"/>
    </xf>
    <xf numFmtId="0" fontId="36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65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189" fontId="72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37" fillId="0" borderId="23" applyAlignment="1">
      <alignment horizontal="left"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4" fillId="33" borderId="0" applyAlignment="1">
      <alignment vertical="center"/>
    </xf>
    <xf numFmtId="0" fontId="4" fillId="37" borderId="0" applyAlignment="1">
      <alignment vertical="center"/>
    </xf>
    <xf numFmtId="0" fontId="4" fillId="41" borderId="0" applyAlignment="1">
      <alignment vertical="center"/>
    </xf>
    <xf numFmtId="0" fontId="4" fillId="45" borderId="0" applyAlignment="1">
      <alignment vertical="center"/>
    </xf>
    <xf numFmtId="0" fontId="4" fillId="49" borderId="0" applyAlignment="1">
      <alignment vertical="center"/>
    </xf>
    <xf numFmtId="0" fontId="4" fillId="53" borderId="0" applyAlignment="1">
      <alignment vertical="center"/>
    </xf>
    <xf numFmtId="0" fontId="4" fillId="34" borderId="0" applyAlignment="1">
      <alignment vertical="center"/>
    </xf>
    <xf numFmtId="0" fontId="4" fillId="38" borderId="0" applyAlignment="1">
      <alignment vertical="center"/>
    </xf>
    <xf numFmtId="0" fontId="4" fillId="42" borderId="0" applyAlignment="1">
      <alignment vertical="center"/>
    </xf>
    <xf numFmtId="0" fontId="4" fillId="46" borderId="0" applyAlignment="1">
      <alignment vertical="center"/>
    </xf>
    <xf numFmtId="0" fontId="4" fillId="50" borderId="0" applyAlignment="1">
      <alignment vertical="center"/>
    </xf>
    <xf numFmtId="0" fontId="4" fillId="54" borderId="0" applyAlignment="1">
      <alignment vertical="center"/>
    </xf>
    <xf numFmtId="0" fontId="82" fillId="35" borderId="0" applyAlignment="1">
      <alignment vertical="center"/>
    </xf>
    <xf numFmtId="0" fontId="82" fillId="39" borderId="0" applyAlignment="1">
      <alignment vertical="center"/>
    </xf>
    <xf numFmtId="0" fontId="82" fillId="43" borderId="0" applyAlignment="1">
      <alignment vertical="center"/>
    </xf>
    <xf numFmtId="0" fontId="82" fillId="47" borderId="0" applyAlignment="1">
      <alignment vertical="center"/>
    </xf>
    <xf numFmtId="0" fontId="82" fillId="51" borderId="0" applyAlignment="1">
      <alignment vertical="center"/>
    </xf>
    <xf numFmtId="0" fontId="82" fillId="55" borderId="0" applyAlignment="1">
      <alignment vertical="center"/>
    </xf>
    <xf numFmtId="0" fontId="82" fillId="32" borderId="0" applyAlignment="1">
      <alignment vertical="center"/>
    </xf>
    <xf numFmtId="0" fontId="82" fillId="36" borderId="0" applyAlignment="1">
      <alignment vertical="center"/>
    </xf>
    <xf numFmtId="0" fontId="82" fillId="40" borderId="0" applyAlignment="1">
      <alignment vertical="center"/>
    </xf>
    <xf numFmtId="0" fontId="82" fillId="44" borderId="0" applyAlignment="1">
      <alignment vertical="center"/>
    </xf>
    <xf numFmtId="0" fontId="82" fillId="48" borderId="0" applyAlignment="1">
      <alignment vertical="center"/>
    </xf>
    <xf numFmtId="0" fontId="82" fillId="52" borderId="0" applyAlignment="1">
      <alignment vertical="center"/>
    </xf>
    <xf numFmtId="0" fontId="85" fillId="0" borderId="0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91" fillId="28" borderId="0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4" fillId="21" borderId="21" applyAlignment="1">
      <alignment vertical="center"/>
    </xf>
    <xf numFmtId="0" fontId="7" fillId="21" borderId="2" applyAlignment="1">
      <alignment vertical="center"/>
    </xf>
    <xf numFmtId="0" fontId="5" fillId="21" borderId="21" applyAlignment="1">
      <alignment vertical="center"/>
    </xf>
    <xf numFmtId="0" fontId="6" fillId="21" borderId="21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94" fillId="29" borderId="0" applyAlignment="1">
      <alignment vertical="center"/>
    </xf>
    <xf numFmtId="0" fontId="97" fillId="0" borderId="0" applyAlignment="1">
      <alignment vertical="center"/>
    </xf>
    <xf numFmtId="0" fontId="100" fillId="31" borderId="20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03" fillId="0" borderId="19" applyAlignment="1">
      <alignment vertical="center"/>
    </xf>
    <xf numFmtId="0" fontId="106" fillId="0" borderId="2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09" fillId="7" borderId="17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2" fillId="0" borderId="14" applyAlignment="1">
      <alignment vertical="center"/>
    </xf>
    <xf numFmtId="0" fontId="114" fillId="0" borderId="15" applyAlignment="1">
      <alignment vertical="center"/>
    </xf>
    <xf numFmtId="0" fontId="116" fillId="0" borderId="16" applyAlignment="1">
      <alignment vertical="center"/>
    </xf>
    <xf numFmtId="0" fontId="116" fillId="0" borderId="0" applyAlignment="1">
      <alignment vertical="center"/>
    </xf>
    <xf numFmtId="0" fontId="117" fillId="0" borderId="0" applyAlignment="1">
      <alignment vertical="center"/>
    </xf>
    <xf numFmtId="0" fontId="119" fillId="27" borderId="0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22" fillId="30" borderId="18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67" fillId="0" borderId="24" applyAlignment="1" applyProtection="1">
      <alignment vertical="center"/>
      <protection locked="0" hidden="0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80" fillId="0" borderId="0" applyAlignment="1">
      <alignment vertical="center"/>
    </xf>
    <xf numFmtId="0" fontId="61" fillId="0" borderId="0" applyAlignment="1">
      <alignment vertical="center"/>
    </xf>
    <xf numFmtId="42" fontId="61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7" fillId="0" borderId="0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0" borderId="0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87" fillId="30" borderId="17" applyAlignment="1">
      <alignment vertical="center"/>
    </xf>
    <xf numFmtId="0" fontId="88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88" fillId="30" borderId="17" applyAlignment="1">
      <alignment vertical="center"/>
    </xf>
    <xf numFmtId="0" fontId="87" fillId="30" borderId="17" applyAlignment="1">
      <alignment vertical="center"/>
    </xf>
    <xf numFmtId="0" fontId="11" fillId="20" borderId="1" applyAlignment="1">
      <alignment vertical="center"/>
    </xf>
    <xf numFmtId="0" fontId="89" fillId="30" borderId="17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5" fillId="23" borderId="3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47" fillId="20" borderId="1" applyAlignment="1">
      <alignment vertical="center"/>
    </xf>
    <xf numFmtId="0" fontId="48" fillId="23" borderId="3" applyAlignment="1">
      <alignment vertical="center"/>
    </xf>
    <xf numFmtId="0" fontId="40" fillId="0" borderId="11" applyAlignment="1">
      <alignment horizontal="left" vertical="center"/>
    </xf>
    <xf numFmtId="0" fontId="54" fillId="7" borderId="1" applyAlignment="1">
      <alignment vertical="center"/>
    </xf>
    <xf numFmtId="10" fontId="39" fillId="21" borderId="10" applyAlignment="1">
      <alignment vertical="center"/>
    </xf>
    <xf numFmtId="0" fontId="36" fillId="21" borderId="2" applyAlignment="1">
      <alignment vertical="center"/>
    </xf>
    <xf numFmtId="0" fontId="57" fillId="20" borderId="9" applyAlignment="1">
      <alignment vertical="center"/>
    </xf>
    <xf numFmtId="0" fontId="59" fillId="0" borderId="5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1" fillId="20" borderId="1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5" fillId="21" borderId="2" applyAlignment="1">
      <alignment vertical="center"/>
    </xf>
    <xf numFmtId="0" fontId="5" fillId="21" borderId="2" applyAlignment="1">
      <alignment vertical="center"/>
    </xf>
    <xf numFmtId="0" fontId="7" fillId="21" borderId="2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7" fillId="21" borderId="2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7" fillId="0" borderId="5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18" fillId="7" borderId="1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24" fillId="20" borderId="9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0" fontId="54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36" fillId="0" borderId="0" applyAlignment="1">
      <alignment vertical="center"/>
    </xf>
    <xf numFmtId="0" fontId="7" fillId="0" borderId="0" applyAlignment="1">
      <alignment vertical="center"/>
    </xf>
    <xf numFmtId="41" fontId="36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5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4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54" fillId="7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11" fillId="20" borderId="1" applyAlignment="1">
      <alignment vertical="center"/>
    </xf>
    <xf numFmtId="0" fontId="11" fillId="20" borderId="1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  <xf numFmtId="0" fontId="128" fillId="0" borderId="0" applyAlignment="1">
      <alignment vertical="center"/>
    </xf>
    <xf numFmtId="0" fontId="129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130" fillId="0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37" fillId="0" borderId="0" applyAlignment="1" pivotButton="0" quotePrefix="0" xfId="215">
      <alignment vertical="center"/>
    </xf>
    <xf numFmtId="164" fontId="124" fillId="0" borderId="0" applyAlignment="1" pivotButton="0" quotePrefix="0" xfId="215">
      <alignment horizontal="center" vertical="center"/>
    </xf>
    <xf numFmtId="0" fontId="25" fillId="0" borderId="0" applyAlignment="1" pivotButton="0" quotePrefix="0" xfId="0">
      <alignment vertical="center"/>
    </xf>
    <xf numFmtId="0" fontId="8" fillId="0" borderId="0" applyAlignment="1" pivotButton="0" quotePrefix="0" xfId="215">
      <alignment vertical="top"/>
    </xf>
    <xf numFmtId="165" fontId="37" fillId="0" borderId="0" applyAlignment="1" pivotButton="0" quotePrefix="0" xfId="215">
      <alignment horizontal="left" vertical="center"/>
    </xf>
    <xf numFmtId="0" fontId="37" fillId="0" borderId="0" applyAlignment="1" pivotButton="0" quotePrefix="0" xfId="215">
      <alignment vertical="center" wrapText="1"/>
    </xf>
    <xf numFmtId="0" fontId="37" fillId="0" borderId="0" applyAlignment="1" pivotButton="0" quotePrefix="0" xfId="215">
      <alignment horizontal="left" vertical="center" wrapText="1"/>
    </xf>
    <xf numFmtId="0" fontId="37" fillId="0" borderId="0" applyAlignment="1" pivotButton="0" quotePrefix="0" xfId="215">
      <alignment horizontal="center" vertical="center"/>
    </xf>
    <xf numFmtId="0" fontId="8" fillId="0" borderId="10" applyAlignment="1" pivotButton="0" quotePrefix="0" xfId="215">
      <alignment horizontal="center" vertical="center"/>
    </xf>
    <xf numFmtId="166" fontId="8" fillId="0" borderId="10" applyAlignment="1" pivotButton="0" quotePrefix="0" xfId="215">
      <alignment horizontal="left" vertical="center"/>
    </xf>
    <xf numFmtId="0" fontId="8" fillId="0" borderId="10" applyAlignment="1" pivotButton="0" quotePrefix="0" xfId="232">
      <alignment horizontal="left" vertical="center"/>
    </xf>
    <xf numFmtId="0" fontId="8" fillId="0" borderId="10" applyAlignment="1" pivotButton="0" quotePrefix="0" xfId="215">
      <alignment vertical="center"/>
    </xf>
    <xf numFmtId="0" fontId="8" fillId="25" borderId="10" applyAlignment="1" pivotButton="0" quotePrefix="0" xfId="232">
      <alignment horizontal="left" vertical="center"/>
    </xf>
    <xf numFmtId="14" fontId="8" fillId="0" borderId="10" applyAlignment="1" pivotButton="0" quotePrefix="0" xfId="215">
      <alignment vertical="center"/>
    </xf>
    <xf numFmtId="0" fontId="37" fillId="0" borderId="10" applyAlignment="1" pivotButton="0" quotePrefix="0" xfId="215">
      <alignment vertical="center"/>
    </xf>
    <xf numFmtId="0" fontId="37" fillId="0" borderId="10" applyAlignment="1" pivotButton="0" quotePrefix="0" xfId="215">
      <alignment vertical="center"/>
    </xf>
    <xf numFmtId="166" fontId="8" fillId="0" borderId="10" applyAlignment="1" pivotButton="0" quotePrefix="0" xfId="215">
      <alignment horizontal="center" vertical="center"/>
    </xf>
    <xf numFmtId="49" fontId="126" fillId="62" borderId="10" applyAlignment="1" pivotButton="0" quotePrefix="0" xfId="3384">
      <alignment horizontal="left" vertical="center"/>
    </xf>
    <xf numFmtId="166" fontId="8" fillId="0" borderId="10" applyAlignment="1" pivotButton="0" quotePrefix="0" xfId="0">
      <alignment horizontal="center" vertical="center"/>
    </xf>
    <xf numFmtId="0" fontId="8" fillId="62" borderId="10" applyAlignment="1" pivotButton="0" quotePrefix="0" xfId="0">
      <alignment horizontal="left" vertical="center"/>
    </xf>
    <xf numFmtId="0" fontId="8" fillId="0" borderId="1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8" fillId="25" borderId="10" applyAlignment="1" pivotButton="0" quotePrefix="0" xfId="232">
      <alignment horizontal="left" vertical="center" wrapText="1"/>
    </xf>
    <xf numFmtId="49" fontId="8" fillId="0" borderId="10" applyAlignment="1" pivotButton="0" quotePrefix="0" xfId="215">
      <alignment horizontal="center" vertical="center"/>
    </xf>
    <xf numFmtId="14" fontId="37" fillId="0" borderId="10" applyAlignment="1" pivotButton="0" quotePrefix="0" xfId="215">
      <alignment vertical="center"/>
    </xf>
    <xf numFmtId="0" fontId="8" fillId="26" borderId="10" applyAlignment="1" pivotButton="0" quotePrefix="0" xfId="215">
      <alignment horizontal="center" vertical="center"/>
    </xf>
    <xf numFmtId="165" fontId="8" fillId="26" borderId="10" applyAlignment="1" pivotButton="0" quotePrefix="0" xfId="215">
      <alignment horizontal="center" vertical="center" wrapText="1"/>
    </xf>
    <xf numFmtId="0" fontId="8" fillId="26" borderId="10" applyAlignment="1" pivotButton="0" quotePrefix="0" xfId="215">
      <alignment horizontal="center" vertical="center" wrapText="1"/>
    </xf>
    <xf numFmtId="0" fontId="8" fillId="56" borderId="10" applyAlignment="1" pivotButton="0" quotePrefix="0" xfId="215">
      <alignment horizontal="center" vertical="center" wrapText="1"/>
    </xf>
    <xf numFmtId="165" fontId="8" fillId="26" borderId="10" applyAlignment="1" pivotButton="0" quotePrefix="0" xfId="7991">
      <alignment horizontal="center" vertical="center" wrapText="1"/>
    </xf>
    <xf numFmtId="0" fontId="8" fillId="56" borderId="10" applyAlignment="1" pivotButton="0" quotePrefix="0" xfId="215">
      <alignment horizontal="center" vertical="center"/>
    </xf>
    <xf numFmtId="0" fontId="8" fillId="26" borderId="27" applyAlignment="1" pivotButton="0" quotePrefix="0" xfId="215">
      <alignment horizontal="center" vertical="center"/>
    </xf>
    <xf numFmtId="165" fontId="8" fillId="56" borderId="10" applyAlignment="1" pivotButton="0" quotePrefix="0" xfId="7991">
      <alignment horizontal="center" vertical="center" wrapText="1"/>
    </xf>
    <xf numFmtId="0" fontId="8" fillId="6" borderId="27" applyAlignment="1" pivotButton="0" quotePrefix="0" xfId="0">
      <alignment horizontal="center" vertical="center" wrapText="1"/>
    </xf>
    <xf numFmtId="0" fontId="8" fillId="57" borderId="2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left" vertical="center"/>
    </xf>
    <xf numFmtId="0" fontId="8" fillId="64" borderId="10" applyAlignment="1" pivotButton="0" quotePrefix="0" xfId="215">
      <alignment horizontal="center" vertical="center"/>
    </xf>
    <xf numFmtId="0" fontId="124" fillId="0" borderId="0" applyAlignment="1" pivotButton="0" quotePrefix="0" xfId="215">
      <alignment horizontal="center" vertical="center"/>
    </xf>
    <xf numFmtId="0" fontId="8" fillId="26" borderId="27" applyAlignment="1" pivotButton="0" quotePrefix="0" xfId="215">
      <alignment horizontal="center" vertical="center"/>
    </xf>
    <xf numFmtId="0" fontId="8" fillId="61" borderId="10" applyAlignment="1" pivotButton="0" quotePrefix="0" xfId="215">
      <alignment vertical="center"/>
    </xf>
    <xf numFmtId="0" fontId="37" fillId="0" borderId="0" applyAlignment="1" pivotButton="0" quotePrefix="0" xfId="215">
      <alignment vertical="center"/>
    </xf>
    <xf numFmtId="0" fontId="8" fillId="0" borderId="0" applyAlignment="1" pivotButton="0" quotePrefix="0" xfId="215">
      <alignment horizontal="center" vertical="center"/>
    </xf>
    <xf numFmtId="167" fontId="124" fillId="0" borderId="0" applyAlignment="1" pivotButton="0" quotePrefix="0" xfId="215">
      <alignment horizontal="center" vertical="center"/>
    </xf>
    <xf numFmtId="167" fontId="25" fillId="0" borderId="0" applyAlignment="1" pivotButton="0" quotePrefix="0" xfId="0">
      <alignment vertical="center"/>
    </xf>
    <xf numFmtId="167" fontId="8" fillId="0" borderId="10" applyAlignment="1" pivotButton="0" quotePrefix="0" xfId="215">
      <alignment vertical="center"/>
    </xf>
    <xf numFmtId="167" fontId="37" fillId="0" borderId="0" applyAlignment="1" pivotButton="0" quotePrefix="0" xfId="215">
      <alignment vertical="center"/>
    </xf>
    <xf numFmtId="167" fontId="37" fillId="0" borderId="10" applyAlignment="1" pivotButton="0" quotePrefix="0" xfId="215">
      <alignment vertical="center"/>
    </xf>
    <xf numFmtId="167" fontId="8" fillId="0" borderId="0" applyAlignment="1" pivotButton="0" quotePrefix="0" xfId="215">
      <alignment vertical="center"/>
    </xf>
    <xf numFmtId="0" fontId="8" fillId="65" borderId="10" applyAlignment="1" pivotButton="0" quotePrefix="0" xfId="215">
      <alignment horizontal="center" vertical="center"/>
    </xf>
    <xf numFmtId="166" fontId="8" fillId="65" borderId="10" applyAlignment="1" pivotButton="0" quotePrefix="0" xfId="215">
      <alignment horizontal="center" vertical="center"/>
    </xf>
    <xf numFmtId="0" fontId="8" fillId="67" borderId="10" applyAlignment="1" pivotButton="0" quotePrefix="0" xfId="232">
      <alignment horizontal="left" vertical="center"/>
    </xf>
    <xf numFmtId="0" fontId="8" fillId="65" borderId="10" applyAlignment="1" pivotButton="0" quotePrefix="0" xfId="215">
      <alignment vertical="center"/>
    </xf>
    <xf numFmtId="14" fontId="8" fillId="65" borderId="10" applyAlignment="1" pivotButton="0" quotePrefix="0" xfId="215">
      <alignment vertical="center"/>
    </xf>
    <xf numFmtId="168" fontId="8" fillId="66" borderId="10" applyAlignment="1" pivotButton="0" quotePrefix="0" xfId="215">
      <alignment vertical="center"/>
    </xf>
    <xf numFmtId="167" fontId="8" fillId="65" borderId="10" applyAlignment="1" pivotButton="0" quotePrefix="0" xfId="215">
      <alignment vertical="center"/>
    </xf>
    <xf numFmtId="0" fontId="37" fillId="65" borderId="10" applyAlignment="1" pivotButton="0" quotePrefix="0" xfId="215">
      <alignment vertical="center"/>
    </xf>
    <xf numFmtId="167" fontId="37" fillId="65" borderId="10" applyAlignment="1" pivotButton="0" quotePrefix="0" xfId="215">
      <alignment vertical="center"/>
    </xf>
    <xf numFmtId="0" fontId="37" fillId="65" borderId="10" applyAlignment="1" pivotButton="0" quotePrefix="0" xfId="215">
      <alignment vertical="center"/>
    </xf>
    <xf numFmtId="0" fontId="8" fillId="26" borderId="26" applyAlignment="1" pivotButton="0" quotePrefix="0" xfId="215">
      <alignment horizontal="center" vertical="center" wrapText="1"/>
    </xf>
    <xf numFmtId="0" fontId="126" fillId="62" borderId="26" applyAlignment="1" pivotButton="0" quotePrefix="0" xfId="3384">
      <alignment horizontal="left" vertical="center"/>
    </xf>
    <xf numFmtId="0" fontId="126" fillId="0" borderId="26" applyAlignment="1" pivotButton="0" quotePrefix="0" xfId="3384">
      <alignment horizontal="justify" vertical="center"/>
    </xf>
    <xf numFmtId="49" fontId="126" fillId="62" borderId="26" applyAlignment="1" pivotButton="0" quotePrefix="0" xfId="0">
      <alignment horizontal="left" vertical="center"/>
    </xf>
    <xf numFmtId="49" fontId="126" fillId="62" borderId="26" applyAlignment="1" pivotButton="0" quotePrefix="0" xfId="3384">
      <alignment horizontal="left" vertical="center"/>
    </xf>
    <xf numFmtId="0" fontId="126" fillId="62" borderId="26" applyAlignment="1" pivotButton="0" quotePrefix="0" xfId="3384">
      <alignment vertical="center"/>
    </xf>
    <xf numFmtId="0" fontId="126" fillId="0" borderId="26" applyAlignment="1" pivotButton="0" quotePrefix="0" xfId="3384">
      <alignment horizontal="left" vertical="center"/>
    </xf>
    <xf numFmtId="0" fontId="127" fillId="62" borderId="26" applyAlignment="1" pivotButton="0" quotePrefix="0" xfId="3384">
      <alignment vertical="center" wrapText="1"/>
    </xf>
    <xf numFmtId="0" fontId="126" fillId="62" borderId="26" applyAlignment="1" pivotButton="0" quotePrefix="0" xfId="3384">
      <alignment vertical="center" wrapText="1"/>
    </xf>
    <xf numFmtId="0" fontId="126" fillId="62" borderId="26" applyAlignment="1" pivotButton="0" quotePrefix="0" xfId="3384">
      <alignment horizontal="left" vertical="center" wrapText="1"/>
    </xf>
    <xf numFmtId="0" fontId="126" fillId="62" borderId="26" applyAlignment="1" pivotButton="0" quotePrefix="0" xfId="0">
      <alignment horizontal="left" vertical="center"/>
    </xf>
    <xf numFmtId="0" fontId="126" fillId="0" borderId="26" applyAlignment="1" pivotButton="0" quotePrefix="0" xfId="0">
      <alignment vertical="center"/>
    </xf>
    <xf numFmtId="0" fontId="126" fillId="62" borderId="26" applyAlignment="1" pivotButton="0" quotePrefix="0" xfId="0">
      <alignment vertical="center"/>
    </xf>
    <xf numFmtId="0" fontId="126" fillId="62" borderId="26" applyAlignment="1" pivotButton="0" quotePrefix="0" xfId="8154">
      <alignment horizontal="left" vertical="center"/>
    </xf>
    <xf numFmtId="169" fontId="126" fillId="0" borderId="26" applyAlignment="1" pivotButton="0" quotePrefix="0" xfId="8154">
      <alignment horizontal="left" vertical="center"/>
    </xf>
    <xf numFmtId="169" fontId="134" fillId="25" borderId="26" applyAlignment="1" pivotButton="0" quotePrefix="0" xfId="232">
      <alignment horizontal="left" vertical="center"/>
    </xf>
    <xf numFmtId="169" fontId="133" fillId="0" borderId="26" applyAlignment="1" pivotButton="0" quotePrefix="0" xfId="8154">
      <alignment horizontal="left" vertical="center"/>
    </xf>
    <xf numFmtId="169" fontId="126" fillId="62" borderId="26" applyAlignment="1" pivotButton="0" quotePrefix="0" xfId="8154">
      <alignment horizontal="left" vertical="center"/>
    </xf>
    <xf numFmtId="169" fontId="126" fillId="62" borderId="26" applyAlignment="1" pivotButton="0" quotePrefix="0" xfId="3384">
      <alignment vertical="center"/>
    </xf>
    <xf numFmtId="0" fontId="126" fillId="0" borderId="26" applyAlignment="1" pivotButton="0" quotePrefix="0" xfId="8154">
      <alignment horizontal="left" vertical="center"/>
    </xf>
    <xf numFmtId="0" fontId="126" fillId="63" borderId="26" applyAlignment="1" pivotButton="0" quotePrefix="0" xfId="3384">
      <alignment horizontal="left" vertical="center"/>
    </xf>
    <xf numFmtId="169" fontId="126" fillId="0" borderId="26" applyAlignment="1" pivotButton="0" quotePrefix="0" xfId="3384">
      <alignment horizontal="left" vertical="center"/>
    </xf>
    <xf numFmtId="169" fontId="126" fillId="62" borderId="26" applyAlignment="1" pivotButton="0" quotePrefix="0" xfId="3384">
      <alignment horizontal="left" vertical="center"/>
    </xf>
    <xf numFmtId="49" fontId="126" fillId="0" borderId="26" applyAlignment="1" pivotButton="0" quotePrefix="0" xfId="3384">
      <alignment horizontal="left" vertical="center" shrinkToFit="1"/>
    </xf>
    <xf numFmtId="49" fontId="126" fillId="0" borderId="26" applyAlignment="1" pivotButton="0" quotePrefix="0" xfId="3384">
      <alignment horizontal="left" vertical="center"/>
    </xf>
    <xf numFmtId="0" fontId="126" fillId="0" borderId="26" applyAlignment="1" pivotButton="0" quotePrefix="0" xfId="8155">
      <alignment vertical="center"/>
    </xf>
    <xf numFmtId="0" fontId="126" fillId="0" borderId="26" applyAlignment="1" pivotButton="0" quotePrefix="0" xfId="3384">
      <alignment vertical="center"/>
    </xf>
    <xf numFmtId="0" fontId="126" fillId="0" borderId="26" applyAlignment="1" pivotButton="0" quotePrefix="0" xfId="3384">
      <alignment vertical="center" wrapText="1"/>
    </xf>
    <xf numFmtId="0" fontId="126" fillId="0" borderId="26" applyAlignment="1" pivotButton="0" quotePrefix="0" xfId="8155">
      <alignment vertical="center" wrapText="1"/>
    </xf>
    <xf numFmtId="0" fontId="134" fillId="0" borderId="26" applyAlignment="1" pivotButton="0" quotePrefix="0" xfId="3384">
      <alignment horizontal="left" vertical="center"/>
    </xf>
    <xf numFmtId="49" fontId="126" fillId="62" borderId="30" applyAlignment="1" pivotButton="0" quotePrefix="0" xfId="3384">
      <alignment horizontal="left" vertical="center"/>
    </xf>
    <xf numFmtId="49" fontId="126" fillId="62" borderId="26" applyAlignment="1" pivotButton="0" quotePrefix="0" xfId="3384">
      <alignment horizontal="left" vertical="center" shrinkToFit="1"/>
    </xf>
    <xf numFmtId="49" fontId="126" fillId="63" borderId="26" applyAlignment="1" pivotButton="0" quotePrefix="0" xfId="3384">
      <alignment horizontal="left" vertical="center"/>
    </xf>
    <xf numFmtId="0" fontId="126" fillId="66" borderId="26" applyAlignment="1" pivotButton="0" quotePrefix="0" xfId="3384">
      <alignment horizontal="left" vertical="center"/>
    </xf>
    <xf numFmtId="166" fontId="138" fillId="0" borderId="25" applyAlignment="1" pivotButton="0" quotePrefix="0" xfId="215">
      <alignment horizontal="right" vertical="center" wrapText="1"/>
    </xf>
    <xf numFmtId="0" fontId="137" fillId="0" borderId="0" applyAlignment="1" pivotButton="0" quotePrefix="0" xfId="0">
      <alignment horizontal="right" vertical="center" wrapText="1"/>
    </xf>
    <xf numFmtId="165" fontId="138" fillId="26" borderId="28" applyAlignment="1" pivotButton="0" quotePrefix="0" xfId="215">
      <alignment horizontal="right" vertical="center" wrapText="1"/>
    </xf>
    <xf numFmtId="166" fontId="138" fillId="0" borderId="25" applyAlignment="1" pivotButton="0" quotePrefix="0" xfId="0">
      <alignment horizontal="right" vertical="center" wrapText="1"/>
    </xf>
    <xf numFmtId="166" fontId="138" fillId="65" borderId="25" applyAlignment="1" pivotButton="0" quotePrefix="0" xfId="215">
      <alignment horizontal="right" vertical="center" wrapText="1"/>
    </xf>
    <xf numFmtId="165" fontId="138" fillId="0" borderId="0" applyAlignment="1" pivotButton="0" quotePrefix="0" xfId="215">
      <alignment horizontal="right" vertical="center" wrapText="1"/>
    </xf>
    <xf numFmtId="0" fontId="140" fillId="0" borderId="10" applyAlignment="1" pivotButton="0" quotePrefix="0" xfId="215">
      <alignment vertical="center"/>
    </xf>
    <xf numFmtId="0" fontId="140" fillId="0" borderId="10" applyAlignment="1" pivotButton="0" quotePrefix="0" xfId="0">
      <alignment vertical="center"/>
    </xf>
    <xf numFmtId="0" fontId="126" fillId="0" borderId="0" applyAlignment="1" pivotButton="0" quotePrefix="0" xfId="3384">
      <alignment vertical="center"/>
    </xf>
    <xf numFmtId="0" fontId="8" fillId="0" borderId="10" applyAlignment="1" pivotButton="0" quotePrefix="0" xfId="0">
      <alignment horizontal="left" vertical="center" wrapText="1"/>
    </xf>
    <xf numFmtId="0" fontId="134" fillId="0" borderId="0" applyAlignment="1" pivotButton="0" quotePrefix="0" xfId="548">
      <alignment vertical="center"/>
    </xf>
    <xf numFmtId="170" fontId="37" fillId="0" borderId="0" applyAlignment="1" pivotButton="0" quotePrefix="0" xfId="215">
      <alignment vertical="center"/>
    </xf>
    <xf numFmtId="170" fontId="37" fillId="0" borderId="10" applyAlignment="1" pivotButton="0" quotePrefix="0" xfId="215">
      <alignment vertical="center"/>
    </xf>
    <xf numFmtId="170" fontId="37" fillId="65" borderId="10" applyAlignment="1" pivotButton="0" quotePrefix="0" xfId="215">
      <alignment vertical="center"/>
    </xf>
    <xf numFmtId="164" fontId="124" fillId="0" borderId="0" applyAlignment="1" pivotButton="0" quotePrefix="0" xfId="215">
      <alignment horizontal="center" vertical="center"/>
    </xf>
    <xf numFmtId="0" fontId="8" fillId="58" borderId="10" applyAlignment="1" pivotButton="0" quotePrefix="0" xfId="0">
      <alignment horizontal="center" vertical="center"/>
    </xf>
    <xf numFmtId="0" fontId="8" fillId="59" borderId="28" applyAlignment="1" pivotButton="0" quotePrefix="0" xfId="0">
      <alignment horizontal="center" vertical="center"/>
    </xf>
    <xf numFmtId="0" fontId="8" fillId="59" borderId="29" applyAlignment="1" pivotButton="0" quotePrefix="0" xfId="0">
      <alignment horizontal="center" vertical="center"/>
    </xf>
    <xf numFmtId="0" fontId="8" fillId="59" borderId="30" applyAlignment="1" pivotButton="0" quotePrefix="0" xfId="0">
      <alignment horizontal="center" vertical="center"/>
    </xf>
    <xf numFmtId="0" fontId="8" fillId="60" borderId="25" applyAlignment="1" pivotButton="0" quotePrefix="0" xfId="0">
      <alignment horizontal="center" vertical="center"/>
    </xf>
    <xf numFmtId="171" fontId="8" fillId="60" borderId="11" applyAlignment="1" pivotButton="0" quotePrefix="0" xfId="0">
      <alignment horizontal="center" vertical="center"/>
    </xf>
    <xf numFmtId="0" fontId="8" fillId="60" borderId="11" applyAlignment="1" pivotButton="0" quotePrefix="0" xfId="0">
      <alignment horizontal="center" vertical="center"/>
    </xf>
    <xf numFmtId="171" fontId="8" fillId="60" borderId="26" applyAlignment="1" pivotButton="0" quotePrefix="0" xfId="0">
      <alignment horizontal="center" vertical="center"/>
    </xf>
    <xf numFmtId="0" fontId="8" fillId="59" borderId="10" applyAlignment="1" pivotButton="0" quotePrefix="0" xfId="0">
      <alignment horizontal="center" vertical="center"/>
    </xf>
    <xf numFmtId="165" fontId="37" fillId="0" borderId="0" applyAlignment="1" pivotButton="0" quotePrefix="0" xfId="215">
      <alignment horizontal="left" vertical="center"/>
    </xf>
    <xf numFmtId="165" fontId="138" fillId="0" borderId="0" applyAlignment="1" pivotButton="0" quotePrefix="0" xfId="215">
      <alignment horizontal="right" vertical="center" wrapText="1"/>
    </xf>
    <xf numFmtId="167" fontId="37" fillId="0" borderId="0" applyAlignment="1" pivotButton="0" quotePrefix="0" xfId="215">
      <alignment vertical="center"/>
    </xf>
    <xf numFmtId="170" fontId="37" fillId="0" borderId="0" applyAlignment="1" pivotButton="0" quotePrefix="0" xfId="215">
      <alignment vertical="center"/>
    </xf>
    <xf numFmtId="167" fontId="8" fillId="0" borderId="0" applyAlignment="1" pivotButton="0" quotePrefix="0" xfId="215">
      <alignment vertical="center"/>
    </xf>
    <xf numFmtId="0" fontId="0" fillId="0" borderId="0" pivotButton="0" quotePrefix="0" xfId="0"/>
    <xf numFmtId="164" fontId="124" fillId="0" borderId="0" applyAlignment="1" pivotButton="0" quotePrefix="0" xfId="215">
      <alignment horizontal="center" vertical="center"/>
    </xf>
    <xf numFmtId="167" fontId="124" fillId="0" borderId="0" applyAlignment="1" pivotButton="0" quotePrefix="0" xfId="215">
      <alignment horizontal="center" vertical="center"/>
    </xf>
    <xf numFmtId="167" fontId="25" fillId="0" borderId="0" applyAlignment="1" pivotButton="0" quotePrefix="0" xfId="0">
      <alignment vertical="center"/>
    </xf>
    <xf numFmtId="165" fontId="8" fillId="26" borderId="10" applyAlignment="1" pivotButton="0" quotePrefix="0" xfId="215">
      <alignment horizontal="center" vertical="center" wrapText="1"/>
    </xf>
    <xf numFmtId="165" fontId="138" fillId="26" borderId="28" applyAlignment="1" pivotButton="0" quotePrefix="0" xfId="215">
      <alignment horizontal="right" vertical="center" wrapText="1"/>
    </xf>
    <xf numFmtId="165" fontId="8" fillId="26" borderId="10" applyAlignment="1" pivotButton="0" quotePrefix="0" xfId="7991">
      <alignment horizontal="center" vertical="center" wrapText="1"/>
    </xf>
    <xf numFmtId="165" fontId="8" fillId="56" borderId="10" applyAlignment="1" pivotButton="0" quotePrefix="0" xfId="7991">
      <alignment horizontal="center" vertical="center" wrapText="1"/>
    </xf>
    <xf numFmtId="0" fontId="0" fillId="0" borderId="11" pivotButton="0" quotePrefix="0" xfId="0"/>
    <xf numFmtId="0" fontId="0" fillId="0" borderId="26" pivotButton="0" quotePrefix="0" xfId="0"/>
    <xf numFmtId="0" fontId="8" fillId="59" borderId="2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8" fillId="60" borderId="10" applyAlignment="1" pivotButton="0" quotePrefix="0" xfId="0">
      <alignment horizontal="center" vertical="center"/>
    </xf>
    <xf numFmtId="166" fontId="8" fillId="0" borderId="10" applyAlignment="1" pivotButton="0" quotePrefix="0" xfId="215">
      <alignment horizontal="center" vertical="center"/>
    </xf>
    <xf numFmtId="166" fontId="138" fillId="0" borderId="25" applyAlignment="1" pivotButton="0" quotePrefix="0" xfId="215">
      <alignment horizontal="right" vertical="center" wrapText="1"/>
    </xf>
    <xf numFmtId="167" fontId="8" fillId="0" borderId="10" applyAlignment="1" pivotButton="0" quotePrefix="0" xfId="215">
      <alignment vertical="center"/>
    </xf>
    <xf numFmtId="167" fontId="37" fillId="0" borderId="10" applyAlignment="1" pivotButton="0" quotePrefix="0" xfId="215">
      <alignment vertical="center"/>
    </xf>
    <xf numFmtId="170" fontId="37" fillId="0" borderId="10" applyAlignment="1" pivotButton="0" quotePrefix="0" xfId="215">
      <alignment vertical="center"/>
    </xf>
    <xf numFmtId="166" fontId="8" fillId="0" borderId="10" applyAlignment="1" pivotButton="0" quotePrefix="0" xfId="0">
      <alignment horizontal="center" vertical="center"/>
    </xf>
    <xf numFmtId="166" fontId="138" fillId="0" borderId="25" applyAlignment="1" pivotButton="0" quotePrefix="0" xfId="0">
      <alignment horizontal="right" vertical="center" wrapText="1"/>
    </xf>
    <xf numFmtId="169" fontId="126" fillId="0" borderId="26" applyAlignment="1" pivotButton="0" quotePrefix="0" xfId="8154">
      <alignment horizontal="left" vertical="center"/>
    </xf>
    <xf numFmtId="169" fontId="134" fillId="25" borderId="26" applyAlignment="1" pivotButton="0" quotePrefix="0" xfId="232">
      <alignment horizontal="left" vertical="center"/>
    </xf>
    <xf numFmtId="169" fontId="126" fillId="62" borderId="26" applyAlignment="1" pivotButton="0" quotePrefix="0" xfId="8154">
      <alignment horizontal="left" vertical="center"/>
    </xf>
    <xf numFmtId="166" fontId="8" fillId="0" borderId="10" applyAlignment="1" pivotButton="0" quotePrefix="0" xfId="215">
      <alignment horizontal="left" vertical="center"/>
    </xf>
    <xf numFmtId="169" fontId="126" fillId="0" borderId="26" applyAlignment="1" pivotButton="0" quotePrefix="0" xfId="3384">
      <alignment horizontal="left" vertical="center"/>
    </xf>
    <xf numFmtId="169" fontId="126" fillId="62" borderId="26" applyAlignment="1" pivotButton="0" quotePrefix="0" xfId="3384">
      <alignment horizontal="left" vertical="center"/>
    </xf>
    <xf numFmtId="169" fontId="133" fillId="0" borderId="26" applyAlignment="1" pivotButton="0" quotePrefix="0" xfId="8154">
      <alignment horizontal="left" vertical="center"/>
    </xf>
    <xf numFmtId="169" fontId="126" fillId="62" borderId="26" applyAlignment="1" pivotButton="0" quotePrefix="0" xfId="3384">
      <alignment vertical="center"/>
    </xf>
    <xf numFmtId="166" fontId="8" fillId="65" borderId="10" applyAlignment="1" pivotButton="0" quotePrefix="0" xfId="215">
      <alignment horizontal="center" vertical="center"/>
    </xf>
    <xf numFmtId="166" fontId="138" fillId="65" borderId="25" applyAlignment="1" pivotButton="0" quotePrefix="0" xfId="215">
      <alignment horizontal="right" vertical="center" wrapText="1"/>
    </xf>
    <xf numFmtId="168" fontId="8" fillId="66" borderId="10" applyAlignment="1" pivotButton="0" quotePrefix="0" xfId="215">
      <alignment vertical="center"/>
    </xf>
    <xf numFmtId="167" fontId="8" fillId="65" borderId="10" applyAlignment="1" pivotButton="0" quotePrefix="0" xfId="215">
      <alignment vertical="center"/>
    </xf>
    <xf numFmtId="167" fontId="37" fillId="65" borderId="10" applyAlignment="1" pivotButton="0" quotePrefix="0" xfId="215">
      <alignment vertical="center"/>
    </xf>
    <xf numFmtId="170" fontId="37" fillId="65" borderId="10" applyAlignment="1" pivotButton="0" quotePrefix="0" xfId="215">
      <alignment vertical="center"/>
    </xf>
  </cellXfs>
  <cellStyles count="8157">
    <cellStyle name="표준" xfId="0" builtinId="0"/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강조색1 2" xfId="91"/>
    <cellStyle name="강조색1 3" xfId="92"/>
    <cellStyle name="강조색1 4" xfId="93"/>
    <cellStyle name="강조색1 5" xfId="94"/>
    <cellStyle name="강조색1 6" xfId="95"/>
    <cellStyle name="강조색2 2" xfId="96"/>
    <cellStyle name="강조색2 3" xfId="97"/>
    <cellStyle name="강조색2 4" xfId="98"/>
    <cellStyle name="강조색2 5" xfId="99"/>
    <cellStyle name="강조색2 6" xfId="100"/>
    <cellStyle name="강조색3 2" xfId="101"/>
    <cellStyle name="강조색3 3" xfId="102"/>
    <cellStyle name="강조색3 4" xfId="103"/>
    <cellStyle name="강조색3 5" xfId="104"/>
    <cellStyle name="강조색3 6" xfId="105"/>
    <cellStyle name="강조색4 2" xfId="106"/>
    <cellStyle name="강조색4 3" xfId="107"/>
    <cellStyle name="강조색4 4" xfId="108"/>
    <cellStyle name="강조색4 5" xfId="109"/>
    <cellStyle name="강조색4 6" xfId="110"/>
    <cellStyle name="강조색5 2" xfId="111"/>
    <cellStyle name="강조색5 3" xfId="112"/>
    <cellStyle name="강조색5 4" xfId="113"/>
    <cellStyle name="강조색5 5" xfId="114"/>
    <cellStyle name="강조색5 6" xfId="115"/>
    <cellStyle name="강조색6 2" xfId="116"/>
    <cellStyle name="강조색6 3" xfId="117"/>
    <cellStyle name="강조색6 4" xfId="118"/>
    <cellStyle name="강조색6 5" xfId="119"/>
    <cellStyle name="강조색6 6" xfId="120"/>
    <cellStyle name="경고문 2" xfId="121"/>
    <cellStyle name="경고문 3" xfId="122"/>
    <cellStyle name="경고문 4" xfId="123"/>
    <cellStyle name="경고문 5" xfId="124"/>
    <cellStyle name="경고문 6" xfId="125"/>
    <cellStyle name="계산 2" xfId="126"/>
    <cellStyle name="계산 3" xfId="127"/>
    <cellStyle name="계산 4" xfId="128"/>
    <cellStyle name="계산 5" xfId="129"/>
    <cellStyle name="계산 6" xfId="130"/>
    <cellStyle name="나쁨 2" xfId="131"/>
    <cellStyle name="나쁨 3" xfId="132"/>
    <cellStyle name="나쁨 4" xfId="133"/>
    <cellStyle name="나쁨 5" xfId="134"/>
    <cellStyle name="나쁨 6" xfId="135"/>
    <cellStyle name="메모 2" xfId="136"/>
    <cellStyle name="메모 3" xfId="137"/>
    <cellStyle name="메모 4" xfId="138"/>
    <cellStyle name="메모 5" xfId="139"/>
    <cellStyle name="메모 6" xfId="140"/>
    <cellStyle name="보통 2" xfId="141"/>
    <cellStyle name="보통 3" xfId="142"/>
    <cellStyle name="보통 4" xfId="143"/>
    <cellStyle name="보통 5" xfId="144"/>
    <cellStyle name="보통 6" xfId="145"/>
    <cellStyle name="설명 텍스트 2" xfId="146"/>
    <cellStyle name="설명 텍스트 3" xfId="147"/>
    <cellStyle name="설명 텍스트 4" xfId="148"/>
    <cellStyle name="설명 텍스트 5" xfId="149"/>
    <cellStyle name="설명 텍스트 6" xfId="150"/>
    <cellStyle name="셀 확인 2" xfId="151"/>
    <cellStyle name="셀 확인 3" xfId="152"/>
    <cellStyle name="셀 확인 4" xfId="153"/>
    <cellStyle name="셀 확인 5" xfId="154"/>
    <cellStyle name="셀 확인 6" xfId="155"/>
    <cellStyle name="연결된 셀 2" xfId="156"/>
    <cellStyle name="연결된 셀 3" xfId="157"/>
    <cellStyle name="연결된 셀 4" xfId="158"/>
    <cellStyle name="연결된 셀 5" xfId="159"/>
    <cellStyle name="연결된 셀 6" xfId="160"/>
    <cellStyle name="요약 2" xfId="161"/>
    <cellStyle name="요약 3" xfId="162"/>
    <cellStyle name="요약 4" xfId="163"/>
    <cellStyle name="요약 5" xfId="164"/>
    <cellStyle name="요약 6" xfId="165"/>
    <cellStyle name="입력 2" xfId="166"/>
    <cellStyle name="입력 3" xfId="167"/>
    <cellStyle name="입력 4" xfId="168"/>
    <cellStyle name="입력 5" xfId="169"/>
    <cellStyle name="입력 6" xfId="170"/>
    <cellStyle name="제목 1 2" xfId="171"/>
    <cellStyle name="제목 1 3" xfId="172"/>
    <cellStyle name="제목 1 4" xfId="173"/>
    <cellStyle name="제목 1 5" xfId="174"/>
    <cellStyle name="제목 1 6" xfId="175"/>
    <cellStyle name="제목 2 2" xfId="176"/>
    <cellStyle name="제목 2 3" xfId="177"/>
    <cellStyle name="제목 2 4" xfId="178"/>
    <cellStyle name="제목 2 5" xfId="179"/>
    <cellStyle name="제목 2 6" xfId="180"/>
    <cellStyle name="제목 3 2" xfId="181"/>
    <cellStyle name="제목 3 3" xfId="182"/>
    <cellStyle name="제목 3 4" xfId="183"/>
    <cellStyle name="제목 3 5" xfId="184"/>
    <cellStyle name="제목 3 6" xfId="185"/>
    <cellStyle name="제목 4 2" xfId="186"/>
    <cellStyle name="제목 4 3" xfId="187"/>
    <cellStyle name="제목 4 4" xfId="188"/>
    <cellStyle name="제목 4 5" xfId="189"/>
    <cellStyle name="제목 4 6" xfId="190"/>
    <cellStyle name="제목 5" xfId="191"/>
    <cellStyle name="제목 6" xfId="192"/>
    <cellStyle name="제목 7" xfId="193"/>
    <cellStyle name="제목 8" xfId="194"/>
    <cellStyle name="제목 9" xfId="195"/>
    <cellStyle name="좋음 2" xfId="196"/>
    <cellStyle name="좋음 3" xfId="197"/>
    <cellStyle name="좋음 4" xfId="198"/>
    <cellStyle name="좋음 5" xfId="199"/>
    <cellStyle name="좋음 6" xfId="200"/>
    <cellStyle name="출력 2" xfId="201"/>
    <cellStyle name="출력 3" xfId="202"/>
    <cellStyle name="출력 4" xfId="203"/>
    <cellStyle name="출력 5" xfId="204"/>
    <cellStyle name="출력 6" xfId="205"/>
    <cellStyle name="통화 [0] 2" xfId="206"/>
    <cellStyle name="표준 10" xfId="207"/>
    <cellStyle name="표준 11" xfId="208"/>
    <cellStyle name="표준 12" xfId="209"/>
    <cellStyle name="표준 13" xfId="210"/>
    <cellStyle name="표준 14" xfId="211"/>
    <cellStyle name="표준 15" xfId="212"/>
    <cellStyle name="표준 16" xfId="213"/>
    <cellStyle name="표준 17" xfId="214"/>
    <cellStyle name="표준 2" xfId="215"/>
    <cellStyle name="표준 3" xfId="216"/>
    <cellStyle name="표준 3 10" xfId="217"/>
    <cellStyle name="표준 3 2" xfId="218"/>
    <cellStyle name="표준 3 3" xfId="219"/>
    <cellStyle name="표준 3 4" xfId="220"/>
    <cellStyle name="표준 3 5" xfId="221"/>
    <cellStyle name="표준 3 6" xfId="222"/>
    <cellStyle name="표준 3 7" xfId="223"/>
    <cellStyle name="표준 3 8" xfId="224"/>
    <cellStyle name="표준 3 9" xfId="225"/>
    <cellStyle name="표준 4" xfId="226"/>
    <cellStyle name="표준 5" xfId="227"/>
    <cellStyle name="표준 6" xfId="228"/>
    <cellStyle name="표준 7" xfId="229"/>
    <cellStyle name="표준 8" xfId="230"/>
    <cellStyle name="표준 9" xfId="231"/>
    <cellStyle name="표준_Sheet1" xfId="232"/>
    <cellStyle name="cf1" xfId="233"/>
    <cellStyle name="cf2" xfId="234"/>
    <cellStyle name="cf3" xfId="235"/>
    <cellStyle name="Standard_Tabelle1_November_November_November_November_January_February_February_March" xfId="236"/>
    <cellStyle name="표준 18" xfId="237"/>
    <cellStyle name="20% - 강조색1 7" xfId="238"/>
    <cellStyle name="20% - 강조색2 7" xfId="239"/>
    <cellStyle name="20% - 강조색3 7" xfId="240"/>
    <cellStyle name="20% - 강조색4 7" xfId="241"/>
    <cellStyle name="20% - 강조색5 7" xfId="242"/>
    <cellStyle name="20% - 강조색6 7" xfId="243"/>
    <cellStyle name="40% - 강조색1 7" xfId="244"/>
    <cellStyle name="40% - 강조색2 7" xfId="245"/>
    <cellStyle name="40% - 강조색3 7" xfId="246"/>
    <cellStyle name="40% - 강조색4 7" xfId="247"/>
    <cellStyle name="40% - 강조색5 7" xfId="248"/>
    <cellStyle name="40% - 강조색6 7" xfId="249"/>
    <cellStyle name="60% - 강조색1 7" xfId="250"/>
    <cellStyle name="60% - 강조색2 7" xfId="251"/>
    <cellStyle name="60% - 강조색3 7" xfId="252"/>
    <cellStyle name="60% - 강조색4 7" xfId="253"/>
    <cellStyle name="60% - 강조색5 7" xfId="254"/>
    <cellStyle name="60% - 강조색6 7" xfId="255"/>
    <cellStyle name="강조색1 7" xfId="256"/>
    <cellStyle name="강조색2 7" xfId="257"/>
    <cellStyle name="강조색3 7" xfId="258"/>
    <cellStyle name="강조색4 7" xfId="259"/>
    <cellStyle name="강조색5 7" xfId="260"/>
    <cellStyle name="강조색6 7" xfId="261"/>
    <cellStyle name="경고문 7" xfId="262"/>
    <cellStyle name="계산 7" xfId="263"/>
    <cellStyle name="나쁨 7" xfId="264"/>
    <cellStyle name="메모 7" xfId="265"/>
    <cellStyle name="보통 7" xfId="266"/>
    <cellStyle name="설명 텍스트 7" xfId="267"/>
    <cellStyle name="셀 확인 7" xfId="268"/>
    <cellStyle name="연결된 셀 7" xfId="269"/>
    <cellStyle name="요약 7" xfId="270"/>
    <cellStyle name="입력 7" xfId="271"/>
    <cellStyle name="제목 10" xfId="272"/>
    <cellStyle name="제목 1 7" xfId="273"/>
    <cellStyle name="제목 2 7" xfId="274"/>
    <cellStyle name="제목 3 7" xfId="275"/>
    <cellStyle name="제목 4 7" xfId="276"/>
    <cellStyle name="좋음 7" xfId="277"/>
    <cellStyle name="출력 7" xfId="278"/>
    <cellStyle name="통화 [0] 3" xfId="279"/>
    <cellStyle name="쉼표 [0] 2" xfId="280"/>
    <cellStyle name="통화 [0] 2 2" xfId="281"/>
    <cellStyle name="표준 2 2" xfId="282"/>
    <cellStyle name="하이퍼링크 2" xfId="283"/>
    <cellStyle name="표준 3 2 2" xfId="284"/>
    <cellStyle name="통화 [0] 3 2" xfId="285"/>
    <cellStyle name="통화 [0] 2 3" xfId="286"/>
    <cellStyle name="표준 2 3" xfId="287"/>
    <cellStyle name="??&amp;O?&amp;H?_x0001__x0010_?_x0007__x0001__x0001_" xfId="288"/>
    <cellStyle name="??&amp;O?&amp;H?_x0008__x000f__x0007_?_x0007__x0001__x0001_" xfId="289"/>
    <cellStyle name="≤汰?수)_영업외수지" xfId="290"/>
    <cellStyle name="•W€_DEVSCH" xfId="291"/>
    <cellStyle name="20% - Accent1" xfId="292"/>
    <cellStyle name="20% - Accent2" xfId="293"/>
    <cellStyle name="20% - Accent3" xfId="294"/>
    <cellStyle name="20% - Accent4" xfId="295"/>
    <cellStyle name="20% - Accent5" xfId="296"/>
    <cellStyle name="20% - Accent6" xfId="297"/>
    <cellStyle name="40% - Accent1" xfId="298"/>
    <cellStyle name="40% - Accent2" xfId="299"/>
    <cellStyle name="40% - Accent3" xfId="300"/>
    <cellStyle name="40% - Accent4" xfId="301"/>
    <cellStyle name="40% - Accent5" xfId="302"/>
    <cellStyle name="40% - Accent6" xfId="303"/>
    <cellStyle name="60% - Accent1" xfId="304"/>
    <cellStyle name="60% - Accent2" xfId="305"/>
    <cellStyle name="60% - Accent3" xfId="306"/>
    <cellStyle name="60% - Accent4" xfId="307"/>
    <cellStyle name="60% - Accent5" xfId="308"/>
    <cellStyle name="60% - Accent6" xfId="309"/>
    <cellStyle name="咬訌裝?INCOM1" xfId="310"/>
    <cellStyle name="咬訌裝?INCOM10" xfId="311"/>
    <cellStyle name="咬訌裝?INCOM2" xfId="312"/>
    <cellStyle name="咬訌裝?INCOM3" xfId="313"/>
    <cellStyle name="咬訌裝?INCOM4" xfId="314"/>
    <cellStyle name="咬訌裝?INCOM5" xfId="315"/>
    <cellStyle name="咬訌裝?INCOM6" xfId="316"/>
    <cellStyle name="咬訌裝?INCOM7" xfId="317"/>
    <cellStyle name="咬訌裝?INCOM8" xfId="318"/>
    <cellStyle name="咬訌裝?INCOM9" xfId="319"/>
    <cellStyle name="咬訌裝?PRIB11" xfId="320"/>
    <cellStyle name="쉼표 [0] 3" xfId="321"/>
    <cellStyle name="쉼표 [0] 2 10" xfId="322"/>
    <cellStyle name="쉼표 [0] 2 11" xfId="323"/>
    <cellStyle name="쉼표 [0] 2 12" xfId="324"/>
    <cellStyle name="쉼표 [0] 2 13" xfId="325"/>
    <cellStyle name="쉼표 [0] 2 14" xfId="326"/>
    <cellStyle name="쉼표 [0] 2 15" xfId="327"/>
    <cellStyle name="쉼표 [0] 2 16" xfId="328"/>
    <cellStyle name="쉼표 [0] 2 17" xfId="329"/>
    <cellStyle name="쉼표 [0] 2 18" xfId="330"/>
    <cellStyle name="쉼표 [0] 2 19" xfId="331"/>
    <cellStyle name="쉼표 [0] 2 2" xfId="332"/>
    <cellStyle name="쉼표 [0] 2 20" xfId="333"/>
    <cellStyle name="쉼표 [0] 2 21" xfId="334"/>
    <cellStyle name="쉼표 [0] 2 3" xfId="335"/>
    <cellStyle name="쉼표 [0] 2 4" xfId="336"/>
    <cellStyle name="쉼표 [0] 2 5" xfId="337"/>
    <cellStyle name="쉼표 [0] 2 6" xfId="338"/>
    <cellStyle name="쉼표 [0] 2 7" xfId="339"/>
    <cellStyle name="쉼표 [0] 2 8" xfId="340"/>
    <cellStyle name="쉼표 [0] 2 9" xfId="341"/>
    <cellStyle name="콤마 [0]_  F A X - 3월 " xfId="342"/>
    <cellStyle name="콤마_  F A X - 3월 " xfId="343"/>
    <cellStyle name="통화 [0] 10" xfId="344"/>
    <cellStyle name="통화 [0] 2 10" xfId="345"/>
    <cellStyle name="통화 [0] 2 11" xfId="346"/>
    <cellStyle name="통화 [0] 2 12" xfId="347"/>
    <cellStyle name="통화 [0] 2 13" xfId="348"/>
    <cellStyle name="통화 [0] 2 14" xfId="349"/>
    <cellStyle name="통화 [0] 2 15" xfId="350"/>
    <cellStyle name="통화 [0] 2 16" xfId="351"/>
    <cellStyle name="통화 [0] 2 17" xfId="352"/>
    <cellStyle name="통화 [0] 2 18" xfId="353"/>
    <cellStyle name="통화 [0] 2 19" xfId="354"/>
    <cellStyle name="통화 [0] 2 20" xfId="355"/>
    <cellStyle name="통화 [0] 2 21" xfId="356"/>
    <cellStyle name="통화 [0] 2 4" xfId="357"/>
    <cellStyle name="통화 [0] 2 5" xfId="358"/>
    <cellStyle name="통화 [0] 2 6" xfId="359"/>
    <cellStyle name="통화 [0] 2 7" xfId="360"/>
    <cellStyle name="통화 [0] 2 8" xfId="361"/>
    <cellStyle name="통화 [0] 2 9" xfId="362"/>
    <cellStyle name="통화 [0] 20" xfId="363"/>
    <cellStyle name="통화 [0] 27" xfId="364"/>
    <cellStyle name="통화 [0] 38" xfId="365"/>
    <cellStyle name="통화 [0] 41" xfId="366"/>
    <cellStyle name="표준 2 4" xfId="367"/>
    <cellStyle name="표준 2 10" xfId="368"/>
    <cellStyle name="표준 2 11" xfId="369"/>
    <cellStyle name="표준 2 12" xfId="370"/>
    <cellStyle name="표준 2 13" xfId="371"/>
    <cellStyle name="표준 2 14" xfId="372"/>
    <cellStyle name="표준 2 15" xfId="373"/>
    <cellStyle name="표준 2 16" xfId="374"/>
    <cellStyle name="표준 2 17" xfId="375"/>
    <cellStyle name="표준 2 18" xfId="376"/>
    <cellStyle name="표준 2 19" xfId="377"/>
    <cellStyle name="표준 2 20" xfId="378"/>
    <cellStyle name="표준 2 21" xfId="379"/>
    <cellStyle name="표준 2 4 2" xfId="380"/>
    <cellStyle name="표준 2 5" xfId="381"/>
    <cellStyle name="표준 2 6" xfId="382"/>
    <cellStyle name="표준 2 7" xfId="383"/>
    <cellStyle name="표준 2 8" xfId="384"/>
    <cellStyle name="표준 2 9" xfId="385"/>
    <cellStyle name="표준 63" xfId="386"/>
    <cellStyle name="하이퍼링크 2 2" xfId="387"/>
    <cellStyle name="하이퍼링크 2 10" xfId="388"/>
    <cellStyle name="하이퍼링크 2 11" xfId="389"/>
    <cellStyle name="하이퍼링크 2 12" xfId="390"/>
    <cellStyle name="하이퍼링크 2 13" xfId="391"/>
    <cellStyle name="하이퍼링크 2 14" xfId="392"/>
    <cellStyle name="하이퍼링크 2 15" xfId="393"/>
    <cellStyle name="하이퍼링크 2 16" xfId="394"/>
    <cellStyle name="하이퍼링크 2 17" xfId="395"/>
    <cellStyle name="하이퍼링크 2 18" xfId="396"/>
    <cellStyle name="하이퍼링크 2 19" xfId="397"/>
    <cellStyle name="하이퍼링크 2 2 2" xfId="398"/>
    <cellStyle name="하이퍼링크 2 20" xfId="399"/>
    <cellStyle name="하이퍼링크 2 21" xfId="400"/>
    <cellStyle name="하이퍼링크 2 3" xfId="401"/>
    <cellStyle name="하이퍼링크 2 4" xfId="402"/>
    <cellStyle name="하이퍼링크 2 5" xfId="403"/>
    <cellStyle name="하이퍼링크 2 6" xfId="404"/>
    <cellStyle name="하이퍼링크 2 7" xfId="405"/>
    <cellStyle name="하이퍼링크 2 8" xfId="406"/>
    <cellStyle name="하이퍼링크 2 9" xfId="407"/>
    <cellStyle name="하이퍼링크 4" xfId="408"/>
    <cellStyle name="Accent1" xfId="409"/>
    <cellStyle name="Accent2" xfId="410"/>
    <cellStyle name="Accent3" xfId="411"/>
    <cellStyle name="Accent4" xfId="412"/>
    <cellStyle name="Accent5" xfId="413"/>
    <cellStyle name="Accent6" xfId="414"/>
    <cellStyle name="Bad" xfId="415"/>
    <cellStyle name="Ç¥ÁØ_2-2" xfId="416"/>
    <cellStyle name="Calc Currency (0)" xfId="417"/>
    <cellStyle name="Calc Currency (2)" xfId="418"/>
    <cellStyle name="Calc Percent (0)" xfId="419"/>
    <cellStyle name="Calc Percent (1)" xfId="420"/>
    <cellStyle name="Calc Percent (2)" xfId="421"/>
    <cellStyle name="Calc Units (0)" xfId="422"/>
    <cellStyle name="Calc Units (1)" xfId="423"/>
    <cellStyle name="Calc Units (2)" xfId="424"/>
    <cellStyle name="Calculation" xfId="425"/>
    <cellStyle name="Check Cell" xfId="426"/>
    <cellStyle name="Comma [0]_ SG&amp;A Bridge " xfId="427"/>
    <cellStyle name="Comma [00]" xfId="428"/>
    <cellStyle name="Comma_ SG&amp;A Bridge " xfId="429"/>
    <cellStyle name="Currency [0]_ SG&amp;A Bridge " xfId="430"/>
    <cellStyle name="Currency [00]" xfId="431"/>
    <cellStyle name="Currency_ SG&amp;A Bridge " xfId="432"/>
    <cellStyle name="Currency1" xfId="433"/>
    <cellStyle name="Date Short" xfId="434"/>
    <cellStyle name="DELTA" xfId="435"/>
    <cellStyle name="Enter Currency (0)" xfId="436"/>
    <cellStyle name="Enter Currency (2)" xfId="437"/>
    <cellStyle name="Enter Units (0)" xfId="438"/>
    <cellStyle name="Enter Units (1)" xfId="439"/>
    <cellStyle name="Enter Units (2)" xfId="440"/>
    <cellStyle name="Explanatory Text" xfId="441"/>
    <cellStyle name="Good" xfId="442"/>
    <cellStyle name="Grey" xfId="443"/>
    <cellStyle name="Header1" xfId="444"/>
    <cellStyle name="Header2" xfId="445"/>
    <cellStyle name="Heading 1" xfId="446"/>
    <cellStyle name="Heading 2" xfId="447"/>
    <cellStyle name="Heading 3" xfId="448"/>
    <cellStyle name="Heading 4" xfId="449"/>
    <cellStyle name="Input" xfId="450"/>
    <cellStyle name="Input [yellow]" xfId="451"/>
    <cellStyle name="Link Currency (0)" xfId="452"/>
    <cellStyle name="Link Currency (2)" xfId="453"/>
    <cellStyle name="Link Units (0)" xfId="454"/>
    <cellStyle name="Link Units (1)" xfId="455"/>
    <cellStyle name="Link Units (2)" xfId="456"/>
    <cellStyle name="Linked Cell" xfId="457"/>
    <cellStyle name="Millares [0]_PERSONAL" xfId="458"/>
    <cellStyle name="Millares_PERSONAL" xfId="459"/>
    <cellStyle name="Moneda [0]_CONTENCION CONDELL 25.051" xfId="460"/>
    <cellStyle name="Moneda_CONTENCION CONDELL 25.051" xfId="461"/>
    <cellStyle name="Neutral" xfId="462"/>
    <cellStyle name="Normal - Style1" xfId="463"/>
    <cellStyle name="Normal_ SG&amp;A Bridge " xfId="464"/>
    <cellStyle name="Note" xfId="465"/>
    <cellStyle name="Output" xfId="466"/>
    <cellStyle name="Percent [0]" xfId="467"/>
    <cellStyle name="Percent [00]" xfId="468"/>
    <cellStyle name="Percent [2]" xfId="469"/>
    <cellStyle name="Percent_#6 Temps &amp; Contractors" xfId="470"/>
    <cellStyle name="PrePop Currency (0)" xfId="471"/>
    <cellStyle name="PrePop Currency (2)" xfId="472"/>
    <cellStyle name="PrePop Units (0)" xfId="473"/>
    <cellStyle name="PrePop Units (1)" xfId="474"/>
    <cellStyle name="PrePop Units (2)" xfId="475"/>
    <cellStyle name="subhead" xfId="476"/>
    <cellStyle name="Text Indent A" xfId="477"/>
    <cellStyle name="Text Indent B" xfId="478"/>
    <cellStyle name="Text Indent C" xfId="479"/>
    <cellStyle name="Title" xfId="480"/>
    <cellStyle name="Total" xfId="481"/>
    <cellStyle name="Warning Text" xfId="482"/>
    <cellStyle name="쉼표 [0] 2 22" xfId="483"/>
    <cellStyle name="하이퍼링크 2 22" xfId="484"/>
    <cellStyle name="쉼표 [0] 6" xfId="485"/>
    <cellStyle name="하이퍼링크 2 2 6" xfId="486"/>
    <cellStyle name="표준 2 4 7" xfId="487"/>
    <cellStyle name="하이퍼링크 2 26" xfId="488"/>
    <cellStyle name="표준 2 4 6" xfId="489"/>
    <cellStyle name="하이퍼링크 2 27" xfId="490"/>
    <cellStyle name="표준 2 22" xfId="491"/>
    <cellStyle name="하이퍼링크 2 2 4" xfId="492"/>
    <cellStyle name="하이퍼링크 2 2 7" xfId="493"/>
    <cellStyle name="표준 2 25" xfId="494"/>
    <cellStyle name="표준 2 24" xfId="495"/>
    <cellStyle name="하이퍼링크 2 24" xfId="496"/>
    <cellStyle name="표준 2 4 3" xfId="497"/>
    <cellStyle name="하이퍼링크 2 23" xfId="498"/>
    <cellStyle name="표준 2 4 4" xfId="499"/>
    <cellStyle name="표준 2 4 5" xfId="500"/>
    <cellStyle name="하이퍼링크 2 2 3" xfId="501"/>
    <cellStyle name="표준 2 23" xfId="502"/>
    <cellStyle name="하이퍼링크 2 2 5" xfId="503"/>
    <cellStyle name="쉼표 [0] 5" xfId="504"/>
    <cellStyle name="표준 2 26" xfId="505"/>
    <cellStyle name="하이퍼링크 2 25" xfId="506"/>
    <cellStyle name="쉼표 [0] 8" xfId="507"/>
    <cellStyle name="표준 3 11" xfId="508"/>
    <cellStyle name="표준 14 2" xfId="509"/>
    <cellStyle name="표준 16 2" xfId="510"/>
    <cellStyle name="표준 2 9 2" xfId="511"/>
    <cellStyle name="표준 6 2" xfId="512"/>
    <cellStyle name="표준 11 2" xfId="513"/>
    <cellStyle name="표준 2 27" xfId="514"/>
    <cellStyle name="표준 12 2" xfId="515"/>
    <cellStyle name="표준 4 2" xfId="516"/>
    <cellStyle name="표준 3 3 2" xfId="517"/>
    <cellStyle name="표준 8 2" xfId="518"/>
    <cellStyle name="표준 9 2" xfId="519"/>
    <cellStyle name="표준 10 2" xfId="520"/>
    <cellStyle name="표준 7 2" xfId="521"/>
    <cellStyle name="표준 2 9 3" xfId="522"/>
    <cellStyle name="표준 6 3" xfId="523"/>
    <cellStyle name="표준 11 3" xfId="524"/>
    <cellStyle name="표준 2 29" xfId="525"/>
    <cellStyle name="표준 2 28" xfId="526"/>
    <cellStyle name="표준 11 4" xfId="527"/>
    <cellStyle name="표준 6 4" xfId="528"/>
    <cellStyle name="표준 2 9 4" xfId="529"/>
    <cellStyle name="표준 12 3" xfId="530"/>
    <cellStyle name="표준 3 3 3" xfId="531"/>
    <cellStyle name="표준 8 3" xfId="532"/>
    <cellStyle name="표준 9 3" xfId="533"/>
    <cellStyle name="표준 10 3" xfId="534"/>
    <cellStyle name="표준 7 3" xfId="535"/>
    <cellStyle name="표준 12 4" xfId="536"/>
    <cellStyle name="표준 3 3 4" xfId="537"/>
    <cellStyle name="표준 8 4" xfId="538"/>
    <cellStyle name="표준 9 4" xfId="539"/>
    <cellStyle name="표준 10 4" xfId="540"/>
    <cellStyle name="표준 7 4" xfId="541"/>
    <cellStyle name="표준 86" xfId="542"/>
    <cellStyle name="?" xfId="543"/>
    <cellStyle name="??" xfId="544"/>
    <cellStyle name="??_x000c_돥?_x000d_|?_x0001_??_x0007__x0001__x0001_" xfId="545"/>
    <cellStyle name="??_x000c_둄_x001b__x000d_|?_x0001_??_x0007__x0001__x0001_" xfId="546"/>
    <cellStyle name="??&amp;" xfId="547"/>
    <cellStyle name="??&amp;O" xfId="548"/>
    <cellStyle name="??&amp;O?" xfId="549"/>
    <cellStyle name="??&amp;O?&amp;H" xfId="550"/>
    <cellStyle name="??&amp;O?&amp;H?_x0008_" xfId="551"/>
    <cellStyle name="??&amp;O?&amp;H?_x0008__x000f_" xfId="552"/>
    <cellStyle name="??&amp;O?&amp;H?_x0008__x000f__x0007_?" xfId="553"/>
    <cellStyle name="??&amp;O?&amp;H?_x0008__x000f__x0007_?_x0007__x0001__x0001_ 10" xfId="554"/>
    <cellStyle name="??&amp;O?&amp;H?_x0008__x000f__x0007_?_x0007__x0001__x0001_ 11" xfId="555"/>
    <cellStyle name="??&amp;O?&amp;H?_x0008__x000f__x0007_?_x0007__x0001__x0001_ 12" xfId="556"/>
    <cellStyle name="??&amp;O?&amp;H?_x0008__x000f__x0007_?_x0007__x0001__x0001_ 13" xfId="557"/>
    <cellStyle name="??&amp;O?&amp;H?_x0008__x000f__x0007_?_x0007__x0001__x0001_ 14" xfId="558"/>
    <cellStyle name="??&amp;O?&amp;H?_x0008__x000f__x0007_?_x0007__x0001__x0001_ 15" xfId="559"/>
    <cellStyle name="??&amp;O?&amp;H?_x0008__x000f__x0007_?_x0007__x0001__x0001_ 16" xfId="560"/>
    <cellStyle name="??&amp;O?&amp;H?_x0008__x000f__x0007_?_x0007__x0001__x0001_ 17" xfId="561"/>
    <cellStyle name="??&amp;O?&amp;H?_x0008__x000f__x0007_?_x0007__x0001__x0001_ 18" xfId="562"/>
    <cellStyle name="??&amp;O?&amp;H?_x0008__x000f__x0007_?_x0007__x0001__x0001_ 2" xfId="563"/>
    <cellStyle name="??&amp;O?&amp;H?_x0008__x000f__x0007_?_x0007__x0001__x0001_ 3" xfId="564"/>
    <cellStyle name="??&amp;O?&amp;H?_x0008__x000f__x0007_?_x0007__x0001__x0001_ 4" xfId="565"/>
    <cellStyle name="??&amp;O?&amp;H?_x0008__x000f__x0007_?_x0007__x0001__x0001_ 5" xfId="566"/>
    <cellStyle name="??&amp;O?&amp;H?_x0008__x000f__x0007_?_x0007__x0001__x0001_ 6" xfId="567"/>
    <cellStyle name="??&amp;O?&amp;H?_x0008__x000f__x0007_?_x0007__x0001__x0001_ 7" xfId="568"/>
    <cellStyle name="??&amp;O?&amp;H?_x0008__x000f__x0007_?_x0007__x0001__x0001_ 8" xfId="569"/>
    <cellStyle name="??&amp;O?&amp;H?_x0008__x000f__x0007_?_x0007__x0001__x0001_ 9" xfId="570"/>
    <cellStyle name="??&amp;O?&amp;H?_x0008_??_x0007__x0001__x0001_" xfId="571"/>
    <cellStyle name="??&amp;O?&amp;H?_x0008_??_x0007__x0001__x0001_ 10" xfId="572"/>
    <cellStyle name="??&amp;O?&amp;H?_x0008_??_x0007__x0001__x0001_ 11" xfId="573"/>
    <cellStyle name="??&amp;O?&amp;H?_x0008_??_x0007__x0001__x0001_ 12" xfId="574"/>
    <cellStyle name="??&amp;O?&amp;H?_x0008_??_x0007__x0001__x0001_ 13" xfId="575"/>
    <cellStyle name="??&amp;O?&amp;H?_x0008_??_x0007__x0001__x0001_ 14" xfId="576"/>
    <cellStyle name="??&amp;O?&amp;H?_x0008_??_x0007__x0001__x0001_ 15" xfId="577"/>
    <cellStyle name="??&amp;O?&amp;H?_x0008_??_x0007__x0001__x0001_ 16" xfId="578"/>
    <cellStyle name="??&amp;O?&amp;H?_x0008_??_x0007__x0001__x0001_ 17" xfId="579"/>
    <cellStyle name="??&amp;O?&amp;H?_x0008_??_x0007__x0001__x0001_ 18" xfId="580"/>
    <cellStyle name="??&amp;O?&amp;H?_x0008_??_x0007__x0001__x0001_ 19" xfId="581"/>
    <cellStyle name="??&amp;O?&amp;H?_x0008_??_x0007__x0001__x0001_ 2" xfId="582"/>
    <cellStyle name="??&amp;O?&amp;H?_x0008_??_x0007__x0001__x0001_ 2 10" xfId="583"/>
    <cellStyle name="??&amp;O?&amp;H?_x0008_??_x0007__x0001__x0001_ 2 11" xfId="584"/>
    <cellStyle name="??&amp;O?&amp;H?_x0008_??_x0007__x0001__x0001_ 2 12" xfId="585"/>
    <cellStyle name="??&amp;O?&amp;H?_x0008_??_x0007__x0001__x0001_ 2 13" xfId="586"/>
    <cellStyle name="??&amp;O?&amp;H?_x0008_??_x0007__x0001__x0001_ 2 14" xfId="587"/>
    <cellStyle name="??&amp;O?&amp;H?_x0008_??_x0007__x0001__x0001_ 2 15" xfId="588"/>
    <cellStyle name="??&amp;O?&amp;H?_x0008_??_x0007__x0001__x0001_ 2 16" xfId="589"/>
    <cellStyle name="??&amp;O?&amp;H?_x0008_??_x0007__x0001__x0001_ 2 17" xfId="590"/>
    <cellStyle name="??&amp;O?&amp;H?_x0008_??_x0007__x0001__x0001_ 2 18" xfId="591"/>
    <cellStyle name="??&amp;O?&amp;H?_x0008_??_x0007__x0001__x0001_ 2 2" xfId="592"/>
    <cellStyle name="??&amp;O?&amp;H?_x0008_??_x0007__x0001__x0001_ 2 3" xfId="593"/>
    <cellStyle name="??&amp;O?&amp;H?_x0008_??_x0007__x0001__x0001_ 2 4" xfId="594"/>
    <cellStyle name="??&amp;O?&amp;H?_x0008_??_x0007__x0001__x0001_ 2 5" xfId="595"/>
    <cellStyle name="??&amp;O?&amp;H?_x0008_??_x0007__x0001__x0001_ 2 6" xfId="596"/>
    <cellStyle name="??&amp;O?&amp;H?_x0008_??_x0007__x0001__x0001_ 2 7" xfId="597"/>
    <cellStyle name="??&amp;O?&amp;H?_x0008_??_x0007__x0001__x0001_ 2 8" xfId="598"/>
    <cellStyle name="??&amp;O?&amp;H?_x0008_??_x0007__x0001__x0001_ 2 9" xfId="599"/>
    <cellStyle name="??&amp;O?&amp;H?_x0008_??_x0007__x0001__x0001_ 2_BMB_UGA NEXT(audio_DPP2 Ver1.0)2008.xx.xx" xfId="600"/>
    <cellStyle name="??&amp;O?&amp;H?_x0008_??_x0007__x0001__x0001_ 3" xfId="601"/>
    <cellStyle name="??&amp;O?&amp;H?_x0008_??_x0007__x0001__x0001_ 4" xfId="602"/>
    <cellStyle name="??&amp;O?&amp;H?_x0008_??_x0007__x0001__x0001_ 5" xfId="603"/>
    <cellStyle name="??&amp;O?&amp;H?_x0008_??_x0007__x0001__x0001_ 6" xfId="604"/>
    <cellStyle name="??&amp;O?&amp;H?_x0008_??_x0007__x0001__x0001_ 7" xfId="605"/>
    <cellStyle name="??&amp;O?&amp;H?_x0008_??_x0007__x0001__x0001_ 8" xfId="606"/>
    <cellStyle name="??&amp;O?&amp;H?_x0008_??_x0007__x0001__x0001_ 9" xfId="607"/>
    <cellStyle name="??&amp;O?&amp;H?_x0008_??_x0007__x0001__x0001__101.OEM_품번대장" xfId="608"/>
    <cellStyle name="??&amp;O?&amp;H?_x0008__x000f__x0007_?_x0007__x0001__x0001__BMB_UGA NEXT(audio_DPP2 Ver1.0)2008.xx.xx" xfId="609"/>
    <cellStyle name="??&amp;O?&amp;H_05-09-27-5" xfId="610"/>
    <cellStyle name="??&amp;O龡&amp;H?_x0008__x000f__x0007_?_x0007__x0001__x0001_" xfId="611"/>
    <cellStyle name="??&amp;O龡&amp;H?_x0008_??_x0007__x0001__x0001_" xfId="612"/>
    <cellStyle name="_05-09-27-5" xfId="613"/>
    <cellStyle name="≫o±O[0]_≫a×U " xfId="614"/>
    <cellStyle name="≫o±O_≫a×U " xfId="615"/>
    <cellStyle name="¹eºÐA²_±aA¸" xfId="616"/>
    <cellStyle name="20% - 강조색1 2 2" xfId="617"/>
    <cellStyle name="20% - 강조색1 3 2" xfId="618"/>
    <cellStyle name="20% - 강조색1 4 2" xfId="619"/>
    <cellStyle name="20% - 강조색1 6 2" xfId="620"/>
    <cellStyle name="20% - 강조색2 2 2" xfId="621"/>
    <cellStyle name="20% - 강조색2 3 2" xfId="622"/>
    <cellStyle name="20% - 강조색2 4 2" xfId="623"/>
    <cellStyle name="20% - 강조색2 6 2" xfId="624"/>
    <cellStyle name="20% - 강조색3 2 2" xfId="625"/>
    <cellStyle name="20% - 강조색3 3 2" xfId="626"/>
    <cellStyle name="20% - 강조색3 4 2" xfId="627"/>
    <cellStyle name="20% - 강조색3 6 2" xfId="628"/>
    <cellStyle name="20% - 강조색4 2 2" xfId="629"/>
    <cellStyle name="20% - 강조색4 3 2" xfId="630"/>
    <cellStyle name="20% - 강조색4 4 2" xfId="631"/>
    <cellStyle name="20% - 강조색4 6 2" xfId="632"/>
    <cellStyle name="20% - 강조색5 2 2" xfId="633"/>
    <cellStyle name="20% - 강조색5 3 2" xfId="634"/>
    <cellStyle name="20% - 강조색5 4 2" xfId="635"/>
    <cellStyle name="20% - 강조색5 6 2" xfId="636"/>
    <cellStyle name="20% - 강조색6 2 2" xfId="637"/>
    <cellStyle name="20% - 강조색6 3 2" xfId="638"/>
    <cellStyle name="20% - 강조색6 4 2" xfId="639"/>
    <cellStyle name="20% - 강조색6 6 2" xfId="640"/>
    <cellStyle name="20% - 强调文字颜色 1" xfId="641"/>
    <cellStyle name="20% - 强调文字颜色 1 10" xfId="642"/>
    <cellStyle name="20% - 强调文字颜色 1 11" xfId="643"/>
    <cellStyle name="20% - 强调文字颜色 1 12" xfId="644"/>
    <cellStyle name="20% - 强调文字颜色 1 13" xfId="645"/>
    <cellStyle name="20% - 强调文字颜色 1 14" xfId="646"/>
    <cellStyle name="20% - 强调文字颜色 1 15" xfId="647"/>
    <cellStyle name="20% - 强调文字颜色 1 16" xfId="648"/>
    <cellStyle name="20% - 强调文字颜色 1 17" xfId="649"/>
    <cellStyle name="20% - 强调文字颜色 1 18" xfId="650"/>
    <cellStyle name="20% - 强调文字颜色 1 2" xfId="651"/>
    <cellStyle name="20% - 强调文字颜色 1 3" xfId="652"/>
    <cellStyle name="20% - 强调文字颜色 1 4" xfId="653"/>
    <cellStyle name="20% - 强调文字颜色 1 5" xfId="654"/>
    <cellStyle name="20% - 强调文字颜色 1 6" xfId="655"/>
    <cellStyle name="20% - 强调文字颜色 1 7" xfId="656"/>
    <cellStyle name="20% - 强调文字颜色 1 8" xfId="657"/>
    <cellStyle name="20% - 强调文字颜色 1 9" xfId="658"/>
    <cellStyle name="20% - 强调文字颜色 2" xfId="659"/>
    <cellStyle name="20% - 强调文字颜色 2 10" xfId="660"/>
    <cellStyle name="20% - 强调文字颜色 2 11" xfId="661"/>
    <cellStyle name="20% - 强调文字颜色 2 12" xfId="662"/>
    <cellStyle name="20% - 强调文字颜色 2 13" xfId="663"/>
    <cellStyle name="20% - 强调文字颜色 2 14" xfId="664"/>
    <cellStyle name="20% - 强调文字颜色 2 15" xfId="665"/>
    <cellStyle name="20% - 强调文字颜色 2 16" xfId="666"/>
    <cellStyle name="20% - 强调文字颜色 2 17" xfId="667"/>
    <cellStyle name="20% - 强调文字颜色 2 18" xfId="668"/>
    <cellStyle name="20% - 强调文字颜色 2 2" xfId="669"/>
    <cellStyle name="20% - 强调文字颜色 2 3" xfId="670"/>
    <cellStyle name="20% - 强调文字颜色 2 4" xfId="671"/>
    <cellStyle name="20% - 强调文字颜色 2 5" xfId="672"/>
    <cellStyle name="20% - 强调文字颜色 2 6" xfId="673"/>
    <cellStyle name="20% - 强调文字颜色 2 7" xfId="674"/>
    <cellStyle name="20% - 强调文字颜色 2 8" xfId="675"/>
    <cellStyle name="20% - 强调文字颜色 2 9" xfId="676"/>
    <cellStyle name="20% - 强调文字颜色 3" xfId="677"/>
    <cellStyle name="20% - 强调文字颜色 3 10" xfId="678"/>
    <cellStyle name="20% - 强调文字颜色 3 11" xfId="679"/>
    <cellStyle name="20% - 强调文字颜色 3 12" xfId="680"/>
    <cellStyle name="20% - 强调文字颜色 3 13" xfId="681"/>
    <cellStyle name="20% - 强调文字颜色 3 14" xfId="682"/>
    <cellStyle name="20% - 强调文字颜色 3 15" xfId="683"/>
    <cellStyle name="20% - 强调文字颜色 3 16" xfId="684"/>
    <cellStyle name="20% - 强调文字颜色 3 17" xfId="685"/>
    <cellStyle name="20% - 强调文字颜色 3 18" xfId="686"/>
    <cellStyle name="20% - 强调文字颜色 3 2" xfId="687"/>
    <cellStyle name="20% - 强调文字颜色 3 3" xfId="688"/>
    <cellStyle name="20% - 强调文字颜色 3 4" xfId="689"/>
    <cellStyle name="20% - 强调文字颜色 3 5" xfId="690"/>
    <cellStyle name="20% - 强调文字颜色 3 6" xfId="691"/>
    <cellStyle name="20% - 强调文字颜色 3 7" xfId="692"/>
    <cellStyle name="20% - 强调文字颜色 3 8" xfId="693"/>
    <cellStyle name="20% - 强调文字颜色 3 9" xfId="694"/>
    <cellStyle name="20% - 强调文字颜色 4" xfId="695"/>
    <cellStyle name="20% - 强调文字颜色 4 10" xfId="696"/>
    <cellStyle name="20% - 强调文字颜色 4 11" xfId="697"/>
    <cellStyle name="20% - 强调文字颜色 4 12" xfId="698"/>
    <cellStyle name="20% - 强调文字颜色 4 13" xfId="699"/>
    <cellStyle name="20% - 强调文字颜色 4 14" xfId="700"/>
    <cellStyle name="20% - 强调文字颜色 4 15" xfId="701"/>
    <cellStyle name="20% - 强调文字颜色 4 16" xfId="702"/>
    <cellStyle name="20% - 强调文字颜色 4 17" xfId="703"/>
    <cellStyle name="20% - 强调文字颜色 4 18" xfId="704"/>
    <cellStyle name="20% - 强调文字颜色 4 2" xfId="705"/>
    <cellStyle name="20% - 强调文字颜色 4 3" xfId="706"/>
    <cellStyle name="20% - 强调文字颜色 4 4" xfId="707"/>
    <cellStyle name="20% - 强调文字颜色 4 5" xfId="708"/>
    <cellStyle name="20% - 强调文字颜色 4 6" xfId="709"/>
    <cellStyle name="20% - 强调文字颜色 4 7" xfId="710"/>
    <cellStyle name="20% - 强调文字颜色 4 8" xfId="711"/>
    <cellStyle name="20% - 强调文字颜色 4 9" xfId="712"/>
    <cellStyle name="20% - 强调文字颜色 5" xfId="713"/>
    <cellStyle name="20% - 强调文字颜色 5 10" xfId="714"/>
    <cellStyle name="20% - 强调文字颜色 5 11" xfId="715"/>
    <cellStyle name="20% - 强调文字颜色 5 12" xfId="716"/>
    <cellStyle name="20% - 强调文字颜色 5 13" xfId="717"/>
    <cellStyle name="20% - 强调文字颜色 5 14" xfId="718"/>
    <cellStyle name="20% - 强调文字颜色 5 15" xfId="719"/>
    <cellStyle name="20% - 强调文字颜色 5 16" xfId="720"/>
    <cellStyle name="20% - 强调文字颜色 5 17" xfId="721"/>
    <cellStyle name="20% - 强调文字颜色 5 18" xfId="722"/>
    <cellStyle name="20% - 强调文字颜色 5 2" xfId="723"/>
    <cellStyle name="20% - 强调文字颜色 5 3" xfId="724"/>
    <cellStyle name="20% - 强调文字颜色 5 4" xfId="725"/>
    <cellStyle name="20% - 强调文字颜色 5 5" xfId="726"/>
    <cellStyle name="20% - 强调文字颜色 5 6" xfId="727"/>
    <cellStyle name="20% - 强调文字颜色 5 7" xfId="728"/>
    <cellStyle name="20% - 强调文字颜色 5 8" xfId="729"/>
    <cellStyle name="20% - 强调文字颜色 5 9" xfId="730"/>
    <cellStyle name="20% - 强调文字颜色 6" xfId="731"/>
    <cellStyle name="20% - 强调文字颜色 6 10" xfId="732"/>
    <cellStyle name="20% - 强调文字颜色 6 11" xfId="733"/>
    <cellStyle name="20% - 强调文字颜色 6 12" xfId="734"/>
    <cellStyle name="20% - 强调文字颜色 6 13" xfId="735"/>
    <cellStyle name="20% - 强调文字颜色 6 14" xfId="736"/>
    <cellStyle name="20% - 强调文字颜色 6 15" xfId="737"/>
    <cellStyle name="20% - 强调文字颜色 6 16" xfId="738"/>
    <cellStyle name="20% - 强调文字颜色 6 17" xfId="739"/>
    <cellStyle name="20% - 强调文字颜色 6 18" xfId="740"/>
    <cellStyle name="20% - 强调文字颜色 6 2" xfId="741"/>
    <cellStyle name="20% - 强调文字颜色 6 3" xfId="742"/>
    <cellStyle name="20% - 强调文字颜色 6 4" xfId="743"/>
    <cellStyle name="20% - 强调文字颜色 6 5" xfId="744"/>
    <cellStyle name="20% - 强调文字颜色 6 6" xfId="745"/>
    <cellStyle name="20% - 强调文字颜色 6 7" xfId="746"/>
    <cellStyle name="20% - 强调文字颜色 6 8" xfId="747"/>
    <cellStyle name="20% - 强调文字颜色 6 9" xfId="748"/>
    <cellStyle name="40% - 강조색1 2 2" xfId="749"/>
    <cellStyle name="40% - 강조색1 3 2" xfId="750"/>
    <cellStyle name="40% - 강조색1 4 2" xfId="751"/>
    <cellStyle name="40% - 강조색1 6 2" xfId="752"/>
    <cellStyle name="40% - 강조색2 2 2" xfId="753"/>
    <cellStyle name="40% - 강조색2 3 2" xfId="754"/>
    <cellStyle name="40% - 강조색2 4 2" xfId="755"/>
    <cellStyle name="40% - 강조색2 6 2" xfId="756"/>
    <cellStyle name="40% - 강조색3 2 2" xfId="757"/>
    <cellStyle name="40% - 강조색3 3 2" xfId="758"/>
    <cellStyle name="40% - 강조색3 4 2" xfId="759"/>
    <cellStyle name="40% - 강조색3 6 2" xfId="760"/>
    <cellStyle name="40% - 강조색4 2 2" xfId="761"/>
    <cellStyle name="40% - 강조색4 3 2" xfId="762"/>
    <cellStyle name="40% - 강조색4 4 2" xfId="763"/>
    <cellStyle name="40% - 강조색4 6 2" xfId="764"/>
    <cellStyle name="40% - 강조색5 2 2" xfId="765"/>
    <cellStyle name="40% - 강조색5 3 2" xfId="766"/>
    <cellStyle name="40% - 강조색5 4 2" xfId="767"/>
    <cellStyle name="40% - 강조색5 6 2" xfId="768"/>
    <cellStyle name="40% - 강조색6 2 2" xfId="769"/>
    <cellStyle name="40% - 강조색6 3 2" xfId="770"/>
    <cellStyle name="40% - 강조색6 4 2" xfId="771"/>
    <cellStyle name="40% - 강조색6 6 2" xfId="772"/>
    <cellStyle name="40% - 强调文字颜色 1" xfId="773"/>
    <cellStyle name="40% - 强调文字颜色 1 10" xfId="774"/>
    <cellStyle name="40% - 强调文字颜色 1 11" xfId="775"/>
    <cellStyle name="40% - 强调文字颜色 1 12" xfId="776"/>
    <cellStyle name="40% - 强调文字颜色 1 13" xfId="777"/>
    <cellStyle name="40% - 强调文字颜色 1 14" xfId="778"/>
    <cellStyle name="40% - 强调文字颜色 1 15" xfId="779"/>
    <cellStyle name="40% - 强调文字颜色 1 16" xfId="780"/>
    <cellStyle name="40% - 强调文字颜色 1 17" xfId="781"/>
    <cellStyle name="40% - 强调文字颜色 1 18" xfId="782"/>
    <cellStyle name="40% - 强调文字颜色 1 2" xfId="783"/>
    <cellStyle name="40% - 强调文字颜色 1 3" xfId="784"/>
    <cellStyle name="40% - 强调文字颜色 1 4" xfId="785"/>
    <cellStyle name="40% - 强调文字颜色 1 5" xfId="786"/>
    <cellStyle name="40% - 强调文字颜色 1 6" xfId="787"/>
    <cellStyle name="40% - 强调文字颜色 1 7" xfId="788"/>
    <cellStyle name="40% - 强调文字颜色 1 8" xfId="789"/>
    <cellStyle name="40% - 强调文字颜色 1 9" xfId="790"/>
    <cellStyle name="40% - 强调文字颜色 2" xfId="791"/>
    <cellStyle name="40% - 强调文字颜色 2 10" xfId="792"/>
    <cellStyle name="40% - 强调文字颜色 2 11" xfId="793"/>
    <cellStyle name="40% - 强调文字颜色 2 12" xfId="794"/>
    <cellStyle name="40% - 强调文字颜色 2 13" xfId="795"/>
    <cellStyle name="40% - 强调文字颜色 2 14" xfId="796"/>
    <cellStyle name="40% - 强调文字颜色 2 15" xfId="797"/>
    <cellStyle name="40% - 强调文字颜色 2 16" xfId="798"/>
    <cellStyle name="40% - 强调文字颜色 2 17" xfId="799"/>
    <cellStyle name="40% - 强调文字颜色 2 18" xfId="800"/>
    <cellStyle name="40% - 强调文字颜色 2 2" xfId="801"/>
    <cellStyle name="40% - 强调文字颜色 2 3" xfId="802"/>
    <cellStyle name="40% - 强调文字颜色 2 4" xfId="803"/>
    <cellStyle name="40% - 强调文字颜色 2 5" xfId="804"/>
    <cellStyle name="40% - 强调文字颜色 2 6" xfId="805"/>
    <cellStyle name="40% - 强调文字颜色 2 7" xfId="806"/>
    <cellStyle name="40% - 强调文字颜色 2 8" xfId="807"/>
    <cellStyle name="40% - 强调文字颜色 2 9" xfId="808"/>
    <cellStyle name="40% - 强调文字颜色 3" xfId="809"/>
    <cellStyle name="40% - 强调文字颜色 3 10" xfId="810"/>
    <cellStyle name="40% - 强调文字颜色 3 11" xfId="811"/>
    <cellStyle name="40% - 强调文字颜色 3 12" xfId="812"/>
    <cellStyle name="40% - 强调文字颜色 3 13" xfId="813"/>
    <cellStyle name="40% - 强调文字颜色 3 14" xfId="814"/>
    <cellStyle name="40% - 强调文字颜色 3 15" xfId="815"/>
    <cellStyle name="40% - 强调文字颜色 3 16" xfId="816"/>
    <cellStyle name="40% - 强调文字颜色 3 17" xfId="817"/>
    <cellStyle name="40% - 强调文字颜色 3 18" xfId="818"/>
    <cellStyle name="40% - 强调文字颜色 3 2" xfId="819"/>
    <cellStyle name="40% - 强调文字颜色 3 3" xfId="820"/>
    <cellStyle name="40% - 强调文字颜色 3 4" xfId="821"/>
    <cellStyle name="40% - 强调文字颜色 3 5" xfId="822"/>
    <cellStyle name="40% - 强调文字颜色 3 6" xfId="823"/>
    <cellStyle name="40% - 强调文字颜色 3 7" xfId="824"/>
    <cellStyle name="40% - 强调文字颜色 3 8" xfId="825"/>
    <cellStyle name="40% - 强调文字颜色 3 9" xfId="826"/>
    <cellStyle name="40% - 强调文字颜色 4" xfId="827"/>
    <cellStyle name="40% - 强调文字颜色 4 10" xfId="828"/>
    <cellStyle name="40% - 强调文字颜色 4 11" xfId="829"/>
    <cellStyle name="40% - 强调文字颜色 4 12" xfId="830"/>
    <cellStyle name="40% - 强调文字颜色 4 13" xfId="831"/>
    <cellStyle name="40% - 强调文字颜色 4 14" xfId="832"/>
    <cellStyle name="40% - 强调文字颜色 4 15" xfId="833"/>
    <cellStyle name="40% - 强调文字颜色 4 16" xfId="834"/>
    <cellStyle name="40% - 强调文字颜色 4 17" xfId="835"/>
    <cellStyle name="40% - 强调文字颜色 4 18" xfId="836"/>
    <cellStyle name="40% - 强调文字颜色 4 2" xfId="837"/>
    <cellStyle name="40% - 强调文字颜色 4 3" xfId="838"/>
    <cellStyle name="40% - 强调文字颜色 4 4" xfId="839"/>
    <cellStyle name="40% - 强调文字颜色 4 5" xfId="840"/>
    <cellStyle name="40% - 强调文字颜色 4 6" xfId="841"/>
    <cellStyle name="40% - 强调文字颜色 4 7" xfId="842"/>
    <cellStyle name="40% - 强调文字颜色 4 8" xfId="843"/>
    <cellStyle name="40% - 强调文字颜色 4 9" xfId="844"/>
    <cellStyle name="40% - 强调文字颜色 5" xfId="845"/>
    <cellStyle name="40% - 强调文字颜色 5 10" xfId="846"/>
    <cellStyle name="40% - 强调文字颜色 5 11" xfId="847"/>
    <cellStyle name="40% - 强调文字颜色 5 12" xfId="848"/>
    <cellStyle name="40% - 强调文字颜色 5 13" xfId="849"/>
    <cellStyle name="40% - 强调文字颜色 5 14" xfId="850"/>
    <cellStyle name="40% - 强调文字颜色 5 15" xfId="851"/>
    <cellStyle name="40% - 强调文字颜色 5 16" xfId="852"/>
    <cellStyle name="40% - 强调文字颜色 5 17" xfId="853"/>
    <cellStyle name="40% - 强调文字颜色 5 18" xfId="854"/>
    <cellStyle name="40% - 强调文字颜色 5 2" xfId="855"/>
    <cellStyle name="40% - 强调文字颜色 5 3" xfId="856"/>
    <cellStyle name="40% - 强调文字颜色 5 4" xfId="857"/>
    <cellStyle name="40% - 强调文字颜色 5 5" xfId="858"/>
    <cellStyle name="40% - 强调文字颜色 5 6" xfId="859"/>
    <cellStyle name="40% - 强调文字颜色 5 7" xfId="860"/>
    <cellStyle name="40% - 强调文字颜色 5 8" xfId="861"/>
    <cellStyle name="40% - 强调文字颜色 5 9" xfId="862"/>
    <cellStyle name="40% - 强调文字颜色 6" xfId="863"/>
    <cellStyle name="40% - 强调文字颜色 6 10" xfId="864"/>
    <cellStyle name="40% - 强调文字颜色 6 11" xfId="865"/>
    <cellStyle name="40% - 强调文字颜色 6 12" xfId="866"/>
    <cellStyle name="40% - 强调文字颜色 6 13" xfId="867"/>
    <cellStyle name="40% - 强调文字颜色 6 14" xfId="868"/>
    <cellStyle name="40% - 强调文字颜色 6 15" xfId="869"/>
    <cellStyle name="40% - 强调文字颜色 6 16" xfId="870"/>
    <cellStyle name="40% - 强调文字颜色 6 17" xfId="871"/>
    <cellStyle name="40% - 强调文字颜色 6 18" xfId="872"/>
    <cellStyle name="40% - 强调文字颜色 6 2" xfId="873"/>
    <cellStyle name="40% - 强调文字颜色 6 3" xfId="874"/>
    <cellStyle name="40% - 强调文字颜色 6 4" xfId="875"/>
    <cellStyle name="40% - 强调文字颜色 6 5" xfId="876"/>
    <cellStyle name="40% - 强调文字颜色 6 6" xfId="877"/>
    <cellStyle name="40% - 强调文字颜色 6 7" xfId="878"/>
    <cellStyle name="40% - 强调文字颜色 6 8" xfId="879"/>
    <cellStyle name="40% - 强调文字颜色 6 9" xfId="880"/>
    <cellStyle name="60% - 강조색1 2 2" xfId="881"/>
    <cellStyle name="60% - 강조색1 3 2" xfId="882"/>
    <cellStyle name="60% - 강조색1 4 2" xfId="883"/>
    <cellStyle name="60% - 강조색1 6 2" xfId="884"/>
    <cellStyle name="60% - 강조색2 2 2" xfId="885"/>
    <cellStyle name="60% - 강조색2 3 2" xfId="886"/>
    <cellStyle name="60% - 강조색2 4 2" xfId="887"/>
    <cellStyle name="60% - 강조색2 6 2" xfId="888"/>
    <cellStyle name="60% - 강조색3 2 2" xfId="889"/>
    <cellStyle name="60% - 강조색3 3 2" xfId="890"/>
    <cellStyle name="60% - 강조색3 4 2" xfId="891"/>
    <cellStyle name="60% - 강조색3 6 2" xfId="892"/>
    <cellStyle name="60% - 강조색4 2 2" xfId="893"/>
    <cellStyle name="60% - 강조색4 3 2" xfId="894"/>
    <cellStyle name="60% - 강조색4 4 2" xfId="895"/>
    <cellStyle name="60% - 강조색4 6 2" xfId="896"/>
    <cellStyle name="60% - 강조색5 2 2" xfId="897"/>
    <cellStyle name="60% - 강조색5 3 2" xfId="898"/>
    <cellStyle name="60% - 강조색5 4 2" xfId="899"/>
    <cellStyle name="60% - 강조색5 6 2" xfId="900"/>
    <cellStyle name="60% - 강조색6 2 2" xfId="901"/>
    <cellStyle name="60% - 강조색6 3 2" xfId="902"/>
    <cellStyle name="60% - 강조색6 4 2" xfId="903"/>
    <cellStyle name="60% - 강조색6 6 2" xfId="904"/>
    <cellStyle name="60% - 强调文字颜色 1" xfId="905"/>
    <cellStyle name="60% - 强调文字颜色 1 10" xfId="906"/>
    <cellStyle name="60% - 强调文字颜色 1 11" xfId="907"/>
    <cellStyle name="60% - 强调文字颜色 1 12" xfId="908"/>
    <cellStyle name="60% - 强调文字颜色 1 13" xfId="909"/>
    <cellStyle name="60% - 强调文字颜色 1 14" xfId="910"/>
    <cellStyle name="60% - 强调文字颜色 1 15" xfId="911"/>
    <cellStyle name="60% - 强调文字颜色 1 16" xfId="912"/>
    <cellStyle name="60% - 强调文字颜色 1 17" xfId="913"/>
    <cellStyle name="60% - 强调文字颜色 1 18" xfId="914"/>
    <cellStyle name="60% - 强调文字颜色 1 2" xfId="915"/>
    <cellStyle name="60% - 强调文字颜色 1 3" xfId="916"/>
    <cellStyle name="60% - 强调文字颜色 1 4" xfId="917"/>
    <cellStyle name="60% - 强调文字颜色 1 5" xfId="918"/>
    <cellStyle name="60% - 强调文字颜色 1 6" xfId="919"/>
    <cellStyle name="60% - 强调文字颜色 1 7" xfId="920"/>
    <cellStyle name="60% - 强调文字颜色 1 8" xfId="921"/>
    <cellStyle name="60% - 强调文字颜色 1 9" xfId="922"/>
    <cellStyle name="60% - 强调文字颜色 2" xfId="923"/>
    <cellStyle name="60% - 强调文字颜色 2 10" xfId="924"/>
    <cellStyle name="60% - 强调文字颜色 2 11" xfId="925"/>
    <cellStyle name="60% - 强调文字颜色 2 12" xfId="926"/>
    <cellStyle name="60% - 强调文字颜色 2 13" xfId="927"/>
    <cellStyle name="60% - 强调文字颜色 2 14" xfId="928"/>
    <cellStyle name="60% - 强调文字颜色 2 15" xfId="929"/>
    <cellStyle name="60% - 强调文字颜色 2 16" xfId="930"/>
    <cellStyle name="60% - 强调文字颜色 2 17" xfId="931"/>
    <cellStyle name="60% - 强调文字颜色 2 18" xfId="932"/>
    <cellStyle name="60% - 强调文字颜色 2 2" xfId="933"/>
    <cellStyle name="60% - 强调文字颜色 2 3" xfId="934"/>
    <cellStyle name="60% - 强调文字颜色 2 4" xfId="935"/>
    <cellStyle name="60% - 强调文字颜色 2 5" xfId="936"/>
    <cellStyle name="60% - 强调文字颜色 2 6" xfId="937"/>
    <cellStyle name="60% - 强调文字颜色 2 7" xfId="938"/>
    <cellStyle name="60% - 强调文字颜色 2 8" xfId="939"/>
    <cellStyle name="60% - 强调文字颜色 2 9" xfId="940"/>
    <cellStyle name="60% - 强调文字颜色 3" xfId="941"/>
    <cellStyle name="60% - 强调文字颜色 3 10" xfId="942"/>
    <cellStyle name="60% - 强调文字颜色 3 11" xfId="943"/>
    <cellStyle name="60% - 强调文字颜色 3 12" xfId="944"/>
    <cellStyle name="60% - 强调文字颜色 3 13" xfId="945"/>
    <cellStyle name="60% - 强调文字颜色 3 14" xfId="946"/>
    <cellStyle name="60% - 强调文字颜色 3 15" xfId="947"/>
    <cellStyle name="60% - 强调文字颜色 3 16" xfId="948"/>
    <cellStyle name="60% - 强调文字颜色 3 17" xfId="949"/>
    <cellStyle name="60% - 强调文字颜色 3 18" xfId="950"/>
    <cellStyle name="60% - 强调文字颜色 3 2" xfId="951"/>
    <cellStyle name="60% - 强调文字颜色 3 3" xfId="952"/>
    <cellStyle name="60% - 强调文字颜色 3 4" xfId="953"/>
    <cellStyle name="60% - 强调文字颜色 3 5" xfId="954"/>
    <cellStyle name="60% - 强调文字颜色 3 6" xfId="955"/>
    <cellStyle name="60% - 强调文字颜色 3 7" xfId="956"/>
    <cellStyle name="60% - 强调文字颜色 3 8" xfId="957"/>
    <cellStyle name="60% - 强调文字颜色 3 9" xfId="958"/>
    <cellStyle name="60% - 强调文字颜色 4" xfId="959"/>
    <cellStyle name="60% - 强调文字颜色 4 10" xfId="960"/>
    <cellStyle name="60% - 强调文字颜色 4 11" xfId="961"/>
    <cellStyle name="60% - 强调文字颜色 4 12" xfId="962"/>
    <cellStyle name="60% - 强调文字颜色 4 13" xfId="963"/>
    <cellStyle name="60% - 强调文字颜色 4 14" xfId="964"/>
    <cellStyle name="60% - 强调文字颜色 4 15" xfId="965"/>
    <cellStyle name="60% - 强调文字颜色 4 16" xfId="966"/>
    <cellStyle name="60% - 强调文字颜色 4 17" xfId="967"/>
    <cellStyle name="60% - 强调文字颜色 4 18" xfId="968"/>
    <cellStyle name="60% - 强调文字颜色 4 2" xfId="969"/>
    <cellStyle name="60% - 强调文字颜色 4 3" xfId="970"/>
    <cellStyle name="60% - 强调文字颜色 4 4" xfId="971"/>
    <cellStyle name="60% - 强调文字颜色 4 5" xfId="972"/>
    <cellStyle name="60% - 强调文字颜色 4 6" xfId="973"/>
    <cellStyle name="60% - 强调文字颜色 4 7" xfId="974"/>
    <cellStyle name="60% - 强调文字颜色 4 8" xfId="975"/>
    <cellStyle name="60% - 强调文字颜色 4 9" xfId="976"/>
    <cellStyle name="60% - 强调文字颜色 5" xfId="977"/>
    <cellStyle name="60% - 强调文字颜色 5 10" xfId="978"/>
    <cellStyle name="60% - 强调文字颜色 5 11" xfId="979"/>
    <cellStyle name="60% - 强调文字颜色 5 12" xfId="980"/>
    <cellStyle name="60% - 强调文字颜色 5 13" xfId="981"/>
    <cellStyle name="60% - 强调文字颜色 5 14" xfId="982"/>
    <cellStyle name="60% - 强调文字颜色 5 15" xfId="983"/>
    <cellStyle name="60% - 强调文字颜色 5 16" xfId="984"/>
    <cellStyle name="60% - 强调文字颜色 5 17" xfId="985"/>
    <cellStyle name="60% - 强调文字颜色 5 18" xfId="986"/>
    <cellStyle name="60% - 强调文字颜色 5 2" xfId="987"/>
    <cellStyle name="60% - 强调文字颜色 5 3" xfId="988"/>
    <cellStyle name="60% - 强调文字颜色 5 4" xfId="989"/>
    <cellStyle name="60% - 强调文字颜色 5 5" xfId="990"/>
    <cellStyle name="60% - 强调文字颜色 5 6" xfId="991"/>
    <cellStyle name="60% - 强调文字颜色 5 7" xfId="992"/>
    <cellStyle name="60% - 强调文字颜色 5 8" xfId="993"/>
    <cellStyle name="60% - 强调文字颜色 5 9" xfId="994"/>
    <cellStyle name="60% - 强调文字颜色 6" xfId="995"/>
    <cellStyle name="60% - 强调文字颜色 6 10" xfId="996"/>
    <cellStyle name="60% - 强调文字颜色 6 11" xfId="997"/>
    <cellStyle name="60% - 强调文字颜色 6 12" xfId="998"/>
    <cellStyle name="60% - 强调文字颜色 6 13" xfId="999"/>
    <cellStyle name="60% - 强调文字颜色 6 14" xfId="1000"/>
    <cellStyle name="60% - 强调文字颜色 6 15" xfId="1001"/>
    <cellStyle name="60% - 强调文字颜色 6 16" xfId="1002"/>
    <cellStyle name="60% - 强调文字颜色 6 17" xfId="1003"/>
    <cellStyle name="60% - 强调文字颜色 6 18" xfId="1004"/>
    <cellStyle name="60% - 强调文字颜色 6 2" xfId="1005"/>
    <cellStyle name="60% - 强调文字颜色 6 3" xfId="1006"/>
    <cellStyle name="60% - 强调文字颜色 6 4" xfId="1007"/>
    <cellStyle name="60% - 强调文字颜色 6 5" xfId="1008"/>
    <cellStyle name="60% - 强调文字颜色 6 6" xfId="1009"/>
    <cellStyle name="60% - 强调文字颜色 6 7" xfId="1010"/>
    <cellStyle name="60% - 强调文字颜色 6 8" xfId="1011"/>
    <cellStyle name="60% - 强调文字颜色 6 9" xfId="1012"/>
    <cellStyle name="7" xfId="1013"/>
    <cellStyle name="7_04HTS재료비030902_63342" xfId="1014"/>
    <cellStyle name="7_04HTS재료비030902_63342_05-07-01 06년재료비" xfId="1015"/>
    <cellStyle name="7_04HTS재료비030902_63342_05-07-01 06년재료비_(Q80)05-07-12 06년재료비" xfId="1016"/>
    <cellStyle name="7_04HTS재료비030902_63342_05-07-01 06년재료비_(Q80)05-07-12 06년재료비_05-07-18 06년 HA 재료비_41184" xfId="1017"/>
    <cellStyle name="7_04HTS재료비030902_63342_05-07-01 06년재료비_(Q80)05-07-12 06년재료비_05-07-18 06년 HA 재료비_41184_05-08-29 9월1주차HA_41184_김정" xfId="1018"/>
    <cellStyle name="7_04HTS재료비030902_63342_05-07-01 06년재료비_(Q80)05-07-12 06년재료비_05-07-18 06년 HA 재료비_41184_05-08-29 9월1주차HA_41184_김정_개발회의(week21)_KMS-350" xfId="1019"/>
    <cellStyle name="7_04HTS재료비030902_63342_05-07-01 06년재료비_(Q80)05-07-12 06년재료비_05-07-18 06년 HA 재료비_41184_개발회의(week21)_KMS-350" xfId="1020"/>
    <cellStyle name="7_04HTS재료비030902_63342_05-07-01 06년재료비_(Q80)05-07-12 06년재료비_05-08-29 9월1주차HA_41184_김정" xfId="1021"/>
    <cellStyle name="7_04HTS재료비030902_63342_05-07-01 06년재료비_(Q80)05-07-12 06년재료비_05-08-29 9월1주차HA_41184_김정_개발회의(week21)_KMS-350" xfId="1022"/>
    <cellStyle name="7_04HTS재료비030902_63342_05-07-01 06년재료비_(Q80)05-07-12 06년재료비_개발회의(week21)_KMS-350" xfId="1023"/>
    <cellStyle name="7_04HTS재료비030902_63342_05-07-01 06년재료비_(R1500)05-07-19 재료비" xfId="1024"/>
    <cellStyle name="7_04HTS재료비030902_63342_05-07-01 06년재료비_(R1500)05-07-19 재료비_05-08-29 9월1주차HA_41184_김정" xfId="1025"/>
    <cellStyle name="7_04HTS재료비030902_63342_05-07-01 06년재료비_(R1500)05-07-19 재료비_05-08-29 9월1주차HA_41184_김정_개발회의(week21)_KMS-350" xfId="1026"/>
    <cellStyle name="7_04HTS재료비030902_63342_05-07-01 06년재료비_(R1500)05-07-19 재료비_개발회의(week21)_KMS-350" xfId="1027"/>
    <cellStyle name="7_04HTS재료비030902_63342_05-07-01 06년재료비_05-07-12 06년재료비(Q120)" xfId="1028"/>
    <cellStyle name="7_04HTS재료비030902_63342_05-07-01 06년재료비_05-07-12 06년재료비(Q120)_05-07-18 06년 HA 재료비_41184" xfId="1029"/>
    <cellStyle name="7_04HTS재료비030902_63342_05-07-01 06년재료비_05-07-12 06년재료비(Q120)_05-07-18 06년 HA 재료비_41184_05-08-29 9월1주차HA_41184_김정" xfId="1030"/>
    <cellStyle name="7_04HTS재료비030902_63342_05-07-01 06년재료비_05-07-12 06년재료비(Q120)_05-07-18 06년 HA 재료비_41184_05-08-29 9월1주차HA_41184_김정_개발회의(week21)_KMS-350" xfId="1031"/>
    <cellStyle name="7_04HTS재료비030902_63342_05-07-01 06년재료비_05-07-12 06년재료비(Q120)_05-07-18 06년 HA 재료비_41184_개발회의(week21)_KMS-350" xfId="1032"/>
    <cellStyle name="7_04HTS재료비030902_63342_05-07-01 06년재료비_05-07-12 06년재료비(Q120)_05-08-29 9월1주차HA_41184_김정" xfId="1033"/>
    <cellStyle name="7_04HTS재료비030902_63342_05-07-01 06년재료비_05-07-12 06년재료비(Q120)_05-08-29 9월1주차HA_41184_김정_개발회의(week21)_KMS-350" xfId="1034"/>
    <cellStyle name="7_04HTS재료비030902_63342_05-07-01 06년재료비_05-07-12 06년재료비(Q120)_개발회의(week21)_KMS-350" xfId="1035"/>
    <cellStyle name="7_04HTS재료비030902_63342_05-07-01 06년재료비_05-07-14 06년재료비" xfId="1036"/>
    <cellStyle name="7_04HTS재료비030902_63342_05-07-01 06년재료비_05-07-14 06년재료비_05-07-18 06년 HA 재료비_41184" xfId="1037"/>
    <cellStyle name="7_04HTS재료비030902_63342_05-07-01 06년재료비_05-07-14 06년재료비_05-07-18 06년 HA 재료비_41184_05-08-29 9월1주차HA_41184_김정" xfId="1038"/>
    <cellStyle name="7_04HTS재료비030902_63342_05-07-01 06년재료비_05-07-14 06년재료비_05-07-18 06년 HA 재료비_41184_05-08-29 9월1주차HA_41184_김정_개발회의(week21)_KMS-350" xfId="1039"/>
    <cellStyle name="7_04HTS재료비030902_63342_05-07-01 06년재료비_05-07-14 06년재료비_05-07-18 06년 HA 재료비_41184_개발회의(week21)_KMS-350" xfId="1040"/>
    <cellStyle name="7_04HTS재료비030902_63342_05-07-01 06년재료비_05-07-14 06년재료비_05-08-29 9월1주차HA_41184_김정" xfId="1041"/>
    <cellStyle name="7_04HTS재료비030902_63342_05-07-01 06년재료비_05-07-14 06년재료비_05-08-29 9월1주차HA_41184_김정_개발회의(week21)_KMS-350" xfId="1042"/>
    <cellStyle name="7_04HTS재료비030902_63342_05-07-01 06년재료비_05-07-14 06년재료비_개발회의(week21)_KMS-350" xfId="1043"/>
    <cellStyle name="7_04HTS재료비030902_63342_05-07-01 06년재료비_05-07-15 06년재료비 기구스피커" xfId="1044"/>
    <cellStyle name="7_04HTS재료비030902_63342_05-07-01 06년재료비_05-07-15 06년재료비 기구스피커_05-07-18 06년 HA 재료비_41184" xfId="1045"/>
    <cellStyle name="7_04HTS재료비030902_63342_05-07-01 06년재료비_05-07-15 06년재료비 기구스피커_05-07-18 06년 HA 재료비_41184_05-08-29 9월1주차HA_41184_김정" xfId="1046"/>
    <cellStyle name="7_04HTS재료비030902_63342_05-07-01 06년재료비_05-07-15 06년재료비 기구스피커_05-07-18 06년 HA 재료비_41184_05-08-29 9월1주차HA_41184_김정_개발회의(week21)_KMS-350" xfId="1047"/>
    <cellStyle name="7_04HTS재료비030902_63342_05-07-01 06년재료비_05-07-15 06년재료비 기구스피커_05-07-18 06년 HA 재료비_41184_개발회의(week21)_KMS-350" xfId="1048"/>
    <cellStyle name="7_04HTS재료비030902_63342_05-07-01 06년재료비_05-07-15 06년재료비 기구스피커_05-08-29 9월1주차HA_41184_김정" xfId="1049"/>
    <cellStyle name="7_04HTS재료비030902_63342_05-07-01 06년재료비_05-07-15 06년재료비 기구스피커_05-08-29 9월1주차HA_41184_김정_개발회의(week21)_KMS-350" xfId="1050"/>
    <cellStyle name="7_04HTS재료비030902_63342_05-07-01 06년재료비_05-07-15 06년재료비 기구스피커_개발회의(week21)_KMS-350" xfId="1051"/>
    <cellStyle name="7_04HTS재료비030902_63342_05-07-01 06년재료비_05-07-18 06년 HA 재료비" xfId="1052"/>
    <cellStyle name="7_04HTS재료비030902_63342_05-07-01 06년재료비_05-07-18 06년 HA 재료비_05-07-18 06년 HA 재료비_41184" xfId="1053"/>
    <cellStyle name="7_04HTS재료비030902_63342_05-07-01 06년재료비_05-07-18 06년 HA 재료비_05-07-18 06년 HA 재료비_41184_05-08-29 9월1주차HA_41184_김정" xfId="1054"/>
    <cellStyle name="7_04HTS재료비030902_63342_05-07-01 06년재료비_05-07-18 06년 HA 재료비_05-07-18 06년 HA 재료비_41184_05-08-29 9월1주차HA_41184_김정_개발회의(week21)_KMS-350" xfId="1055"/>
    <cellStyle name="7_04HTS재료비030902_63342_05-07-01 06년재료비_05-07-18 06년 HA 재료비_05-07-18 06년 HA 재료비_41184_개발회의(week21)_KMS-350" xfId="1056"/>
    <cellStyle name="7_04HTS재료비030902_63342_05-07-01 06년재료비_05-07-18 06년 HA 재료비_05-08-29 9월1주차HA_41184_김정" xfId="1057"/>
    <cellStyle name="7_04HTS재료비030902_63342_05-07-01 06년재료비_05-07-18 06년 HA 재료비_05-08-29 9월1주차HA_41184_김정_개발회의(week21)_KMS-350" xfId="1058"/>
    <cellStyle name="7_04HTS재료비030902_63342_05-07-01 06년재료비_05-07-18 06년 HA 재료비_41184" xfId="1059"/>
    <cellStyle name="7_04HTS재료비030902_63342_05-07-01 06년재료비_05-07-18 06년 HA 재료비_41184_05-08-29 9월1주차HA_41184_김정" xfId="1060"/>
    <cellStyle name="7_04HTS재료비030902_63342_05-07-01 06년재료비_05-07-18 06년 HA 재료비_41184_05-08-29 9월1주차HA_41184_김정_개발회의(week21)_KMS-350" xfId="1061"/>
    <cellStyle name="7_04HTS재료비030902_63342_05-07-01 06년재료비_05-07-18 06년 HA 재료비_41184_개발회의(week21)_KMS-350" xfId="1062"/>
    <cellStyle name="7_04HTS재료비030902_63342_05-07-01 06년재료비_05-07-18 06년 HA 재료비_개발회의(week21)_KMS-350" xfId="1063"/>
    <cellStyle name="7_04HTS재료비030902_63342_05-07-01 06년재료비_05-07-23 06년 HA 재료비" xfId="1064"/>
    <cellStyle name="7_04HTS재료비030902_63342_05-07-01 06년재료비_05-07-23 06년 HA 재료비_05-08-29 9월1주차HA_41184_김정" xfId="1065"/>
    <cellStyle name="7_04HTS재료비030902_63342_05-07-01 06년재료비_05-07-23 06년 HA 재료비_05-08-29 9월1주차HA_41184_김정_개발회의(week21)_KMS-350" xfId="1066"/>
    <cellStyle name="7_04HTS재료비030902_63342_05-07-01 06년재료비_05-07-23 06년 HA 재료비_개발회의(week21)_KMS-350" xfId="1067"/>
    <cellStyle name="7_04HTS재료비030902_63342_05-07-01 06년재료비_05-07-25 06년 HA 재료비_H2000" xfId="1068"/>
    <cellStyle name="7_04HTS재료비030902_63342_05-07-01 06년재료비_05-07-25 06년 HA 재료비_H2000_05-08-29 9월1주차HA_41184_김정" xfId="1069"/>
    <cellStyle name="7_04HTS재료비030902_63342_05-07-01 06년재료비_05-07-25 06년 HA 재료비_H2000_05-08-29 9월1주차HA_41184_김정_개발회의(week21)_KMS-350" xfId="1070"/>
    <cellStyle name="7_04HTS재료비030902_63342_05-07-01 06년재료비_05-07-25 06년 HA 재료비_H2000_개발회의(week21)_KMS-350" xfId="1071"/>
    <cellStyle name="7_04HTS재료비030902_63342_05-07-01 06년재료비_05-07-26 06년 HA 재료비_41184" xfId="1072"/>
    <cellStyle name="7_04HTS재료비030902_63342_05-07-01 06년재료비_05-07-26 06년 HA 재료비_41184_05-08-29 9월1주차HA_41184_김정" xfId="1073"/>
    <cellStyle name="7_04HTS재료비030902_63342_05-07-01 06년재료비_05-07-26 06년 HA 재료비_41184_05-08-29 9월1주차HA_41184_김정_개발회의(week21)_KMS-350" xfId="1074"/>
    <cellStyle name="7_04HTS재료비030902_63342_05-07-01 06년재료비_05-07-26 06년 HA 재료비_41184_개발회의(week21)_KMS-350" xfId="1075"/>
    <cellStyle name="7_04HTS재료비030902_63342_05-07-01 06년재료비_05-07-26 06년 HA 재료비1" xfId="1076"/>
    <cellStyle name="7_04HTS재료비030902_63342_05-07-01 06년재료비_05-07-26 06년 HA 재료비1_05-08-29 9월1주차HA_41184_김정" xfId="1077"/>
    <cellStyle name="7_04HTS재료비030902_63342_05-07-01 06년재료비_05-07-26 06년 HA 재료비1_05-08-29 9월1주차HA_41184_김정_개발회의(week21)_KMS-350" xfId="1078"/>
    <cellStyle name="7_04HTS재료비030902_63342_05-07-01 06년재료비_05-07-26 06년 HA 재료비1_개발회의(week21)_KMS-350" xfId="1079"/>
    <cellStyle name="7_04HTS재료비030902_63342_05-07-01 06년재료비_05-08-29 9월1주차HA_41184_김정" xfId="1080"/>
    <cellStyle name="7_04HTS재료비030902_63342_05-07-01 06년재료비_05-08-29 9월1주차HA_41184_김정_개발회의(week21)_KMS-350" xfId="1081"/>
    <cellStyle name="7_04HTS재료비030902_63342_05-07-01 06년재료비_05-12-26 12월4주차HA" xfId="1082"/>
    <cellStyle name="7_04HTS재료비030902_63342_05-07-01 06년재료비_05-12-26 12월4주차HA_개발회의(week21)_KMS-350" xfId="1083"/>
    <cellStyle name="7_04HTS재료비030902_63342_05-07-01 06년재료비_개발회의(week21)_KMS-350" xfId="1084"/>
    <cellStyle name="7_04HTS재료비030902_63342_05-07-05 06년재료비_41184" xfId="1085"/>
    <cellStyle name="7_04HTS재료비030902_63342_05-07-05 06년재료비_41184_(Q80)05-07-12 06년재료비" xfId="1086"/>
    <cellStyle name="7_04HTS재료비030902_63342_05-07-05 06년재료비_41184_(Q80)05-07-12 06년재료비_05-07-18 06년 HA 재료비_41184" xfId="1087"/>
    <cellStyle name="7_04HTS재료비030902_63342_05-07-05 06년재료비_41184_(Q80)05-07-12 06년재료비_05-07-18 06년 HA 재료비_41184_05-08-29 9월1주차HA_41184_김정" xfId="1088"/>
    <cellStyle name="7_04HTS재료비030902_63342_05-07-05 06년재료비_41184_(Q80)05-07-12 06년재료비_05-07-18 06년 HA 재료비_41184_05-08-29 9월1주차HA_41184_김정_개발회의(week21)_KMS-350" xfId="1089"/>
    <cellStyle name="7_04HTS재료비030902_63342_05-07-05 06년재료비_41184_(Q80)05-07-12 06년재료비_05-07-18 06년 HA 재료비_41184_개발회의(week21)_KMS-350" xfId="1090"/>
    <cellStyle name="7_04HTS재료비030902_63342_05-07-05 06년재료비_41184_(Q80)05-07-12 06년재료비_05-08-29 9월1주차HA_41184_김정" xfId="1091"/>
    <cellStyle name="7_04HTS재료비030902_63342_05-07-05 06년재료비_41184_(Q80)05-07-12 06년재료비_05-08-29 9월1주차HA_41184_김정_개발회의(week21)_KMS-350" xfId="1092"/>
    <cellStyle name="7_04HTS재료비030902_63342_05-07-05 06년재료비_41184_(Q80)05-07-12 06년재료비_개발회의(week21)_KMS-350" xfId="1093"/>
    <cellStyle name="7_04HTS재료비030902_63342_05-07-05 06년재료비_41184_(R1500)05-07-19 재료비" xfId="1094"/>
    <cellStyle name="7_04HTS재료비030902_63342_05-07-05 06년재료비_41184_(R1500)05-07-19 재료비_05-08-29 9월1주차HA_41184_김정" xfId="1095"/>
    <cellStyle name="7_04HTS재료비030902_63342_05-07-05 06년재료비_41184_(R1500)05-07-19 재료비_05-08-29 9월1주차HA_41184_김정_개발회의(week21)_KMS-350" xfId="1096"/>
    <cellStyle name="7_04HTS재료비030902_63342_05-07-05 06년재료비_41184_(R1500)05-07-19 재료비_개발회의(week21)_KMS-350" xfId="1097"/>
    <cellStyle name="7_04HTS재료비030902_63342_05-07-05 06년재료비_41184_05-07-12 06년재료비(Q120)" xfId="1098"/>
    <cellStyle name="7_04HTS재료비030902_63342_05-07-05 06년재료비_41184_05-07-12 06년재료비(Q120)_05-07-18 06년 HA 재료비_41184" xfId="1099"/>
    <cellStyle name="7_04HTS재료비030902_63342_05-07-05 06년재료비_41184_05-07-12 06년재료비(Q120)_05-07-18 06년 HA 재료비_41184_05-08-29 9월1주차HA_41184_김정" xfId="1100"/>
    <cellStyle name="7_04HTS재료비030902_63342_05-07-05 06년재료비_41184_05-07-12 06년재료비(Q120)_05-07-18 06년 HA 재료비_41184_05-08-29 9월1주차HA_41184_김정_개발회의(week21)_KMS-350" xfId="1101"/>
    <cellStyle name="7_04HTS재료비030902_63342_05-07-05 06년재료비_41184_05-07-12 06년재료비(Q120)_05-07-18 06년 HA 재료비_41184_개발회의(week21)_KMS-350" xfId="1102"/>
    <cellStyle name="7_04HTS재료비030902_63342_05-07-05 06년재료비_41184_05-07-12 06년재료비(Q120)_05-08-29 9월1주차HA_41184_김정" xfId="1103"/>
    <cellStyle name="7_04HTS재료비030902_63342_05-07-05 06년재료비_41184_05-07-12 06년재료비(Q120)_05-08-29 9월1주차HA_41184_김정_개발회의(week21)_KMS-350" xfId="1104"/>
    <cellStyle name="7_04HTS재료비030902_63342_05-07-05 06년재료비_41184_05-07-12 06년재료비(Q120)_개발회의(week21)_KMS-350" xfId="1105"/>
    <cellStyle name="7_04HTS재료비030902_63342_05-07-05 06년재료비_41184_05-07-14 06년재료비" xfId="1106"/>
    <cellStyle name="7_04HTS재료비030902_63342_05-07-05 06년재료비_41184_05-07-14 06년재료비_05-07-18 06년 HA 재료비_41184" xfId="1107"/>
    <cellStyle name="7_04HTS재료비030902_63342_05-07-05 06년재료비_41184_05-07-14 06년재료비_05-07-18 06년 HA 재료비_41184_05-08-29 9월1주차HA_41184_김정" xfId="1108"/>
    <cellStyle name="7_04HTS재료비030902_63342_05-07-05 06년재료비_41184_05-07-14 06년재료비_05-07-18 06년 HA 재료비_41184_05-08-29 9월1주차HA_41184_김정_개발회의(week21)_KMS-350" xfId="1109"/>
    <cellStyle name="7_04HTS재료비030902_63342_05-07-05 06년재료비_41184_05-07-14 06년재료비_05-07-18 06년 HA 재료비_41184_개발회의(week21)_KMS-350" xfId="1110"/>
    <cellStyle name="7_04HTS재료비030902_63342_05-07-05 06년재료비_41184_05-07-14 06년재료비_05-08-29 9월1주차HA_41184_김정" xfId="1111"/>
    <cellStyle name="7_04HTS재료비030902_63342_05-07-05 06년재료비_41184_05-07-14 06년재료비_05-08-29 9월1주차HA_41184_김정_개발회의(week21)_KMS-350" xfId="1112"/>
    <cellStyle name="7_04HTS재료비030902_63342_05-07-05 06년재료비_41184_05-07-14 06년재료비_개발회의(week21)_KMS-350" xfId="1113"/>
    <cellStyle name="7_04HTS재료비030902_63342_05-07-05 06년재료비_41184_05-07-15 06년재료비 기구스피커" xfId="1114"/>
    <cellStyle name="7_04HTS재료비030902_63342_05-07-05 06년재료비_41184_05-07-15 06년재료비 기구스피커_05-07-18 06년 HA 재료비_41184" xfId="1115"/>
    <cellStyle name="7_04HTS재료비030902_63342_05-07-05 06년재료비_41184_05-07-15 06년재료비 기구스피커_05-07-18 06년 HA 재료비_41184_05-08-29 9월1주차HA_41184_김정" xfId="1116"/>
    <cellStyle name="7_04HTS재료비030902_63342_05-07-05 06년재료비_41184_05-07-15 06년재료비 기구스피커_05-07-18 06년 HA 재료비_41184_05-08-29 9월1주차HA_41184_김정_개발회의(week21)_KMS-350" xfId="1117"/>
    <cellStyle name="7_04HTS재료비030902_63342_05-07-05 06년재료비_41184_05-07-15 06년재료비 기구스피커_05-07-18 06년 HA 재료비_41184_개발회의(week21)_KMS-350" xfId="1118"/>
    <cellStyle name="7_04HTS재료비030902_63342_05-07-05 06년재료비_41184_05-07-15 06년재료비 기구스피커_05-08-29 9월1주차HA_41184_김정" xfId="1119"/>
    <cellStyle name="7_04HTS재료비030902_63342_05-07-05 06년재료비_41184_05-07-15 06년재료비 기구스피커_05-08-29 9월1주차HA_41184_김정_개발회의(week21)_KMS-350" xfId="1120"/>
    <cellStyle name="7_04HTS재료비030902_63342_05-07-05 06년재료비_41184_05-07-15 06년재료비 기구스피커_개발회의(week21)_KMS-350" xfId="1121"/>
    <cellStyle name="7_04HTS재료비030902_63342_05-07-05 06년재료비_41184_05-07-18 06년 HA 재료비" xfId="1122"/>
    <cellStyle name="7_04HTS재료비030902_63342_05-07-05 06년재료비_41184_05-07-18 06년 HA 재료비_05-07-18 06년 HA 재료비_41184" xfId="1123"/>
    <cellStyle name="7_04HTS재료비030902_63342_05-07-05 06년재료비_41184_05-07-18 06년 HA 재료비_05-07-18 06년 HA 재료비_41184_05-08-29 9월1주차HA_41184_김정" xfId="1124"/>
    <cellStyle name="7_04HTS재료비030902_63342_05-07-05 06년재료비_41184_05-07-18 06년 HA 재료비_05-07-18 06년 HA 재료비_41184_05-08-29 9월1주차HA_41184_김정_개발회의(week21)_KMS-350" xfId="1125"/>
    <cellStyle name="7_04HTS재료비030902_63342_05-07-05 06년재료비_41184_05-07-18 06년 HA 재료비_05-07-18 06년 HA 재료비_41184_개발회의(week21)_KMS-350" xfId="1126"/>
    <cellStyle name="7_04HTS재료비030902_63342_05-07-05 06년재료비_41184_05-07-18 06년 HA 재료비_05-08-29 9월1주차HA_41184_김정" xfId="1127"/>
    <cellStyle name="7_04HTS재료비030902_63342_05-07-05 06년재료비_41184_05-07-18 06년 HA 재료비_05-08-29 9월1주차HA_41184_김정_개발회의(week21)_KMS-350" xfId="1128"/>
    <cellStyle name="7_04HTS재료비030902_63342_05-07-05 06년재료비_41184_05-07-18 06년 HA 재료비_41184" xfId="1129"/>
    <cellStyle name="7_04HTS재료비030902_63342_05-07-05 06년재료비_41184_05-07-18 06년 HA 재료비_41184_05-08-29 9월1주차HA_41184_김정" xfId="1130"/>
    <cellStyle name="7_04HTS재료비030902_63342_05-07-05 06년재료비_41184_05-07-18 06년 HA 재료비_41184_05-08-29 9월1주차HA_41184_김정_개발회의(week21)_KMS-350" xfId="1131"/>
    <cellStyle name="7_04HTS재료비030902_63342_05-07-05 06년재료비_41184_05-07-18 06년 HA 재료비_41184_개발회의(week21)_KMS-350" xfId="1132"/>
    <cellStyle name="7_04HTS재료비030902_63342_05-07-05 06년재료비_41184_05-07-18 06년 HA 재료비_개발회의(week21)_KMS-350" xfId="1133"/>
    <cellStyle name="7_04HTS재료비030902_63342_05-07-05 06년재료비_41184_05-07-23 06년 HA 재료비" xfId="1134"/>
    <cellStyle name="7_04HTS재료비030902_63342_05-07-05 06년재료비_41184_05-07-23 06년 HA 재료비_05-08-29 9월1주차HA_41184_김정" xfId="1135"/>
    <cellStyle name="7_04HTS재료비030902_63342_05-07-05 06년재료비_41184_05-07-23 06년 HA 재료비_05-08-29 9월1주차HA_41184_김정_개발회의(week21)_KMS-350" xfId="1136"/>
    <cellStyle name="7_04HTS재료비030902_63342_05-07-05 06년재료비_41184_05-07-23 06년 HA 재료비_개발회의(week21)_KMS-350" xfId="1137"/>
    <cellStyle name="7_04HTS재료비030902_63342_05-07-05 06년재료비_41184_05-07-25 06년 HA 재료비_H2000" xfId="1138"/>
    <cellStyle name="7_04HTS재료비030902_63342_05-07-05 06년재료비_41184_05-07-25 06년 HA 재료비_H2000_05-08-29 9월1주차HA_41184_김정" xfId="1139"/>
    <cellStyle name="7_04HTS재료비030902_63342_05-07-05 06년재료비_41184_05-07-25 06년 HA 재료비_H2000_05-08-29 9월1주차HA_41184_김정_개발회의(week21)_KMS-350" xfId="1140"/>
    <cellStyle name="7_04HTS재료비030902_63342_05-07-05 06년재료비_41184_05-07-25 06년 HA 재료비_H2000_개발회의(week21)_KMS-350" xfId="1141"/>
    <cellStyle name="7_04HTS재료비030902_63342_05-07-05 06년재료비_41184_05-07-26 06년 HA 재료비_41184" xfId="1142"/>
    <cellStyle name="7_04HTS재료비030902_63342_05-07-05 06년재료비_41184_05-07-26 06년 HA 재료비_41184_05-08-29 9월1주차HA_41184_김정" xfId="1143"/>
    <cellStyle name="7_04HTS재료비030902_63342_05-07-05 06년재료비_41184_05-07-26 06년 HA 재료비_41184_05-08-29 9월1주차HA_41184_김정_개발회의(week21)_KMS-350" xfId="1144"/>
    <cellStyle name="7_04HTS재료비030902_63342_05-07-05 06년재료비_41184_05-07-26 06년 HA 재료비_41184_개발회의(week21)_KMS-350" xfId="1145"/>
    <cellStyle name="7_04HTS재료비030902_63342_05-07-05 06년재료비_41184_05-07-26 06년 HA 재료비1" xfId="1146"/>
    <cellStyle name="7_04HTS재료비030902_63342_05-07-05 06년재료비_41184_05-07-26 06년 HA 재료비1_05-08-29 9월1주차HA_41184_김정" xfId="1147"/>
    <cellStyle name="7_04HTS재료비030902_63342_05-07-05 06년재료비_41184_05-07-26 06년 HA 재료비1_05-08-29 9월1주차HA_41184_김정_개발회의(week21)_KMS-350" xfId="1148"/>
    <cellStyle name="7_04HTS재료비030902_63342_05-07-05 06년재료비_41184_05-07-26 06년 HA 재료비1_개발회의(week21)_KMS-350" xfId="1149"/>
    <cellStyle name="7_04HTS재료비030902_63342_05-07-05 06년재료비_41184_05-08-29 9월1주차HA_41184_김정" xfId="1150"/>
    <cellStyle name="7_04HTS재료비030902_63342_05-07-05 06년재료비_41184_05-08-29 9월1주차HA_41184_김정_개발회의(week21)_KMS-350" xfId="1151"/>
    <cellStyle name="7_04HTS재료비030902_63342_05-07-05 06년재료비_41184_개발회의(week21)_KMS-350" xfId="1152"/>
    <cellStyle name="7_04HTS재료비030902_63342_05-07-18 06년 HA 재료비_41184" xfId="1153"/>
    <cellStyle name="7_04HTS재료비030902_63342_05-07-18 06년 HA 재료비_41184_05-08-29 9월1주차HA_41184_김정" xfId="1154"/>
    <cellStyle name="7_04HTS재료비030902_63342_05-07-18 06년 HA 재료비_41184_05-08-29 9월1주차HA_41184_김정_개발회의(week21)_KMS-350" xfId="1155"/>
    <cellStyle name="7_04HTS재료비030902_63342_05-07-18 06년 HA 재료비_41184_개발회의(week21)_KMS-350" xfId="1156"/>
    <cellStyle name="7_04HTS재료비030902_63342_05-08-29 9월1주차HA_41184_김정" xfId="1157"/>
    <cellStyle name="7_04HTS재료비030902_63342_05-08-29 9월1주차HA_41184_김정_개발회의(week21)_KMS-350" xfId="1158"/>
    <cellStyle name="7_04HTS재료비030902_63342_05-12-26 12월4주차HA" xfId="1159"/>
    <cellStyle name="7_04HTS재료비030902_63342_05-12-26 12월4주차HA_개발회의(week21)_KMS-350" xfId="1160"/>
    <cellStyle name="7_04HTS재료비030902_63342_개발회의(week21)_KMS-350" xfId="1161"/>
    <cellStyle name="7_04HTS재료비030902_63342_자재비절감(회의)-050110_63342" xfId="1162"/>
    <cellStyle name="7_04HTS재료비030902_63342_자재비절감(회의)-050110_63342_05-07-01 06년재료비" xfId="1163"/>
    <cellStyle name="7_04HTS재료비030902_63342_자재비절감(회의)-050110_63342_05-07-01 06년재료비_(Q80)05-07-12 06년재료비" xfId="1164"/>
    <cellStyle name="7_04HTS재료비030902_63342_자재비절감(회의)-050110_63342_05-07-01 06년재료비_(Q80)05-07-12 06년재료비_05-07-18 06년 HA 재료비_41184" xfId="1165"/>
    <cellStyle name="7_04HTS재료비030902_63342_자재비절감(회의)-050110_63342_05-07-01 06년재료비_(Q80)05-07-12 06년재료비_05-07-18 06년 HA 재료비_41184_05-08-29 9월1주차HA_41184_김정" xfId="1166"/>
    <cellStyle name="7_04HTS재료비030902_63342_자재비절감(회의)-050110_63342_05-07-01 06년재료비_(Q80)05-07-12 06년재료비_05-07-18 06년 HA 재료비_41184_05-08-29 9월1주차HA_41184_김정_개발회의(week21)_KMS-350" xfId="1167"/>
    <cellStyle name="7_04HTS재료비030902_63342_자재비절감(회의)-050110_63342_05-07-01 06년재료비_(Q80)05-07-12 06년재료비_05-07-18 06년 HA 재료비_41184_개발회의(week21)_KMS-350" xfId="1168"/>
    <cellStyle name="7_04HTS재료비030902_63342_자재비절감(회의)-050110_63342_05-07-01 06년재료비_(Q80)05-07-12 06년재료비_05-08-29 9월1주차HA_41184_김정" xfId="1169"/>
    <cellStyle name="7_04HTS재료비030902_63342_자재비절감(회의)-050110_63342_05-07-01 06년재료비_(Q80)05-07-12 06년재료비_05-08-29 9월1주차HA_41184_김정_개발회의(week21)_KMS-350" xfId="1170"/>
    <cellStyle name="7_04HTS재료비030902_63342_자재비절감(회의)-050110_63342_05-07-01 06년재료비_(Q80)05-07-12 06년재료비_개발회의(week21)_KMS-350" xfId="1171"/>
    <cellStyle name="7_04HTS재료비030902_63342_자재비절감(회의)-050110_63342_05-07-01 06년재료비_(R1500)05-07-19 재료비" xfId="1172"/>
    <cellStyle name="7_04HTS재료비030902_63342_자재비절감(회의)-050110_63342_05-07-01 06년재료비_(R1500)05-07-19 재료비_05-08-29 9월1주차HA_41184_김정" xfId="1173"/>
    <cellStyle name="7_04HTS재료비030902_63342_자재비절감(회의)-050110_63342_05-07-01 06년재료비_(R1500)05-07-19 재료비_05-08-29 9월1주차HA_41184_김정_개발회의(week21)_KMS-350" xfId="1174"/>
    <cellStyle name="7_04HTS재료비030902_63342_자재비절감(회의)-050110_63342_05-07-01 06년재료비_(R1500)05-07-19 재료비_개발회의(week21)_KMS-350" xfId="1175"/>
    <cellStyle name="7_04HTS재료비030902_63342_자재비절감(회의)-050110_63342_05-07-01 06년재료비_05-07-12 06년재료비(Q120)" xfId="1176"/>
    <cellStyle name="7_04HTS재료비030902_63342_자재비절감(회의)-050110_63342_05-07-01 06년재료비_05-07-12 06년재료비(Q120)_05-07-18 06년 HA 재료비_41184" xfId="1177"/>
    <cellStyle name="7_04HTS재료비030902_63342_자재비절감(회의)-050110_63342_05-07-01 06년재료비_05-07-12 06년재료비(Q120)_05-07-18 06년 HA 재료비_41184_05-08-29 9월1주차HA_41184_김정" xfId="1178"/>
    <cellStyle name="7_04HTS재료비030902_63342_자재비절감(회의)-050110_63342_05-07-01 06년재료비_05-07-12 06년재료비(Q120)_05-07-18 06년 HA 재료비_41184_05-08-29 9월1주차HA_41184_김정_개발회의(week21)_KMS-350" xfId="1179"/>
    <cellStyle name="7_04HTS재료비030902_63342_자재비절감(회의)-050110_63342_05-07-01 06년재료비_05-07-12 06년재료비(Q120)_05-07-18 06년 HA 재료비_41184_개발회의(week21)_KMS-350" xfId="1180"/>
    <cellStyle name="7_04HTS재료비030902_63342_자재비절감(회의)-050110_63342_05-07-01 06년재료비_05-07-12 06년재료비(Q120)_05-08-29 9월1주차HA_41184_김정" xfId="1181"/>
    <cellStyle name="7_04HTS재료비030902_63342_자재비절감(회의)-050110_63342_05-07-01 06년재료비_05-07-12 06년재료비(Q120)_05-08-29 9월1주차HA_41184_김정_개발회의(week21)_KMS-350" xfId="1182"/>
    <cellStyle name="7_04HTS재료비030902_63342_자재비절감(회의)-050110_63342_05-07-01 06년재료비_05-07-12 06년재료비(Q120)_개발회의(week21)_KMS-350" xfId="1183"/>
    <cellStyle name="7_04HTS재료비030902_63342_자재비절감(회의)-050110_63342_05-07-01 06년재료비_05-07-14 06년재료비" xfId="1184"/>
    <cellStyle name="7_04HTS재료비030902_63342_자재비절감(회의)-050110_63342_05-07-01 06년재료비_05-07-14 06년재료비_05-07-18 06년 HA 재료비_41184" xfId="1185"/>
    <cellStyle name="7_04HTS재료비030902_63342_자재비절감(회의)-050110_63342_05-07-01 06년재료비_05-07-14 06년재료비_05-07-18 06년 HA 재료비_41184_05-08-29 9월1주차HA_41184_김정" xfId="1186"/>
    <cellStyle name="7_04HTS재료비030902_63342_자재비절감(회의)-050110_63342_05-07-01 06년재료비_05-07-14 06년재료비_05-07-18 06년 HA 재료비_41184_05-08-29 9월1주차HA_41184_김정_개발회의(week21)_KMS-350" xfId="1187"/>
    <cellStyle name="7_04HTS재료비030902_63342_자재비절감(회의)-050110_63342_05-07-01 06년재료비_05-07-14 06년재료비_05-07-18 06년 HA 재료비_41184_개발회의(week21)_KMS-350" xfId="1188"/>
    <cellStyle name="7_04HTS재료비030902_63342_자재비절감(회의)-050110_63342_05-07-01 06년재료비_05-07-14 06년재료비_05-08-29 9월1주차HA_41184_김정" xfId="1189"/>
    <cellStyle name="7_04HTS재료비030902_63342_자재비절감(회의)-050110_63342_05-07-01 06년재료비_05-07-14 06년재료비_05-08-29 9월1주차HA_41184_김정_개발회의(week21)_KMS-350" xfId="1190"/>
    <cellStyle name="7_04HTS재료비030902_63342_자재비절감(회의)-050110_63342_05-07-01 06년재료비_05-07-14 06년재료비_개발회의(week21)_KMS-350" xfId="1191"/>
    <cellStyle name="7_04HTS재료비030902_63342_자재비절감(회의)-050110_63342_05-07-01 06년재료비_05-07-15 06년재료비 기구스피커" xfId="1192"/>
    <cellStyle name="7_04HTS재료비030902_63342_자재비절감(회의)-050110_63342_05-07-01 06년재료비_05-07-15 06년재료비 기구스피커_05-07-18 06년 HA 재료비_41184" xfId="1193"/>
    <cellStyle name="7_04HTS재료비030902_63342_자재비절감(회의)-050110_63342_05-07-01 06년재료비_05-07-15 06년재료비 기구스피커_05-07-18 06년 HA 재료비_41184_05-08-29 9월1주차HA_41184_김정" xfId="1194"/>
    <cellStyle name="7_04HTS재료비030902_63342_자재비절감(회의)-050110_63342_05-07-01 06년재료비_05-07-15 06년재료비 기구스피커_05-07-18 06년 HA 재료비_41184_05-08-29 9월1주차HA_41184_김정_개발회의(week21)_KMS-350" xfId="1195"/>
    <cellStyle name="7_04HTS재료비030902_63342_자재비절감(회의)-050110_63342_05-07-01 06년재료비_05-07-15 06년재료비 기구스피커_05-07-18 06년 HA 재료비_41184_개발회의(week21)_KMS-350" xfId="1196"/>
    <cellStyle name="7_04HTS재료비030902_63342_자재비절감(회의)-050110_63342_05-07-01 06년재료비_05-07-15 06년재료비 기구스피커_05-08-29 9월1주차HA_41184_김정" xfId="1197"/>
    <cellStyle name="7_04HTS재료비030902_63342_자재비절감(회의)-050110_63342_05-07-01 06년재료비_05-07-15 06년재료비 기구스피커_05-08-29 9월1주차HA_41184_김정_개발회의(week21)_KMS-350" xfId="1198"/>
    <cellStyle name="7_04HTS재료비030902_63342_자재비절감(회의)-050110_63342_05-07-01 06년재료비_05-07-15 06년재료비 기구스피커_개발회의(week21)_KMS-350" xfId="1199"/>
    <cellStyle name="7_04HTS재료비030902_63342_자재비절감(회의)-050110_63342_05-07-01 06년재료비_05-07-18 06년 HA 재료비" xfId="1200"/>
    <cellStyle name="7_04HTS재료비030902_63342_자재비절감(회의)-050110_63342_05-07-01 06년재료비_05-07-18 06년 HA 재료비_05-07-18 06년 HA 재료비_41184" xfId="1201"/>
    <cellStyle name="7_04HTS재료비030902_63342_자재비절감(회의)-050110_63342_05-07-01 06년재료비_05-07-18 06년 HA 재료비_05-07-18 06년 HA 재료비_41184_05-08-29 9월1주차HA_41184_김정" xfId="1202"/>
    <cellStyle name="7_04HTS재료비030902_63342_자재비절감(회의)-050110_63342_05-07-01 06년재료비_05-07-18 06년 HA 재료비_05-07-18 06년 HA 재료비_41184_05-08-29 9월1주차HA_41184_김정_개발회의(week21)_KMS-350" xfId="1203"/>
    <cellStyle name="7_04HTS재료비030902_63342_자재비절감(회의)-050110_63342_05-07-01 06년재료비_05-07-18 06년 HA 재료비_05-07-18 06년 HA 재료비_41184_개발회의(week21)_KMS-350" xfId="1204"/>
    <cellStyle name="7_04HTS재료비030902_63342_자재비절감(회의)-050110_63342_05-07-01 06년재료비_05-07-18 06년 HA 재료비_05-08-29 9월1주차HA_41184_김정" xfId="1205"/>
    <cellStyle name="7_04HTS재료비030902_63342_자재비절감(회의)-050110_63342_05-07-01 06년재료비_05-07-18 06년 HA 재료비_05-08-29 9월1주차HA_41184_김정_개발회의(week21)_KMS-350" xfId="1206"/>
    <cellStyle name="7_04HTS재료비030902_63342_자재비절감(회의)-050110_63342_05-07-01 06년재료비_05-07-18 06년 HA 재료비_41184" xfId="1207"/>
    <cellStyle name="7_04HTS재료비030902_63342_자재비절감(회의)-050110_63342_05-07-01 06년재료비_05-07-18 06년 HA 재료비_41184_05-08-29 9월1주차HA_41184_김정" xfId="1208"/>
    <cellStyle name="7_04HTS재료비030902_63342_자재비절감(회의)-050110_63342_05-07-01 06년재료비_05-07-18 06년 HA 재료비_41184_05-08-29 9월1주차HA_41184_김정_개발회의(week21)_KMS-350" xfId="1209"/>
    <cellStyle name="7_04HTS재료비030902_63342_자재비절감(회의)-050110_63342_05-07-01 06년재료비_05-07-18 06년 HA 재료비_41184_개발회의(week21)_KMS-350" xfId="1210"/>
    <cellStyle name="7_04HTS재료비030902_63342_자재비절감(회의)-050110_63342_05-07-01 06년재료비_05-07-18 06년 HA 재료비_개발회의(week21)_KMS-350" xfId="1211"/>
    <cellStyle name="7_04HTS재료비030902_63342_자재비절감(회의)-050110_63342_05-07-01 06년재료비_05-07-23 06년 HA 재료비" xfId="1212"/>
    <cellStyle name="7_04HTS재료비030902_63342_자재비절감(회의)-050110_63342_05-07-01 06년재료비_05-07-23 06년 HA 재료비_05-08-29 9월1주차HA_41184_김정" xfId="1213"/>
    <cellStyle name="7_04HTS재료비030902_63342_자재비절감(회의)-050110_63342_05-07-01 06년재료비_05-07-23 06년 HA 재료비_05-08-29 9월1주차HA_41184_김정_개발회의(week21)_KMS-350" xfId="1214"/>
    <cellStyle name="7_04HTS재료비030902_63342_자재비절감(회의)-050110_63342_05-07-01 06년재료비_05-07-23 06년 HA 재료비_개발회의(week21)_KMS-350" xfId="1215"/>
    <cellStyle name="7_04HTS재료비030902_63342_자재비절감(회의)-050110_63342_05-07-01 06년재료비_05-07-25 06년 HA 재료비_H2000" xfId="1216"/>
    <cellStyle name="7_04HTS재료비030902_63342_자재비절감(회의)-050110_63342_05-07-01 06년재료비_05-07-25 06년 HA 재료비_H2000_05-08-29 9월1주차HA_41184_김정" xfId="1217"/>
    <cellStyle name="7_04HTS재료비030902_63342_자재비절감(회의)-050110_63342_05-07-01 06년재료비_05-07-25 06년 HA 재료비_H2000_05-08-29 9월1주차HA_41184_김정_개발회의(week21)_KMS-350" xfId="1218"/>
    <cellStyle name="7_04HTS재료비030902_63342_자재비절감(회의)-050110_63342_05-07-01 06년재료비_05-07-25 06년 HA 재료비_H2000_개발회의(week21)_KMS-350" xfId="1219"/>
    <cellStyle name="7_04HTS재료비030902_63342_자재비절감(회의)-050110_63342_05-07-01 06년재료비_05-07-26 06년 HA 재료비_41184" xfId="1220"/>
    <cellStyle name="7_04HTS재료비030902_63342_자재비절감(회의)-050110_63342_05-07-01 06년재료비_05-07-26 06년 HA 재료비_41184_05-08-29 9월1주차HA_41184_김정" xfId="1221"/>
    <cellStyle name="7_04HTS재료비030902_63342_자재비절감(회의)-050110_63342_05-07-01 06년재료비_05-07-26 06년 HA 재료비_41184_05-08-29 9월1주차HA_41184_김정_개발회의(week21)_KMS-350" xfId="1222"/>
    <cellStyle name="7_04HTS재료비030902_63342_자재비절감(회의)-050110_63342_05-07-01 06년재료비_05-07-26 06년 HA 재료비_41184_개발회의(week21)_KMS-350" xfId="1223"/>
    <cellStyle name="7_04HTS재료비030902_63342_자재비절감(회의)-050110_63342_05-07-01 06년재료비_05-07-26 06년 HA 재료비1" xfId="1224"/>
    <cellStyle name="7_04HTS재료비030902_63342_자재비절감(회의)-050110_63342_05-07-01 06년재료비_05-07-26 06년 HA 재료비1_05-08-29 9월1주차HA_41184_김정" xfId="1225"/>
    <cellStyle name="7_04HTS재료비030902_63342_자재비절감(회의)-050110_63342_05-07-01 06년재료비_05-07-26 06년 HA 재료비1_05-08-29 9월1주차HA_41184_김정_개발회의(week21)_KMS-350" xfId="1226"/>
    <cellStyle name="7_04HTS재료비030902_63342_자재비절감(회의)-050110_63342_05-07-01 06년재료비_05-07-26 06년 HA 재료비1_개발회의(week21)_KMS-350" xfId="1227"/>
    <cellStyle name="7_04HTS재료비030902_63342_자재비절감(회의)-050110_63342_05-07-01 06년재료비_05-08-29 9월1주차HA_41184_김정" xfId="1228"/>
    <cellStyle name="7_04HTS재료비030902_63342_자재비절감(회의)-050110_63342_05-07-01 06년재료비_05-08-29 9월1주차HA_41184_김정_개발회의(week21)_KMS-350" xfId="1229"/>
    <cellStyle name="7_04HTS재료비030902_63342_자재비절감(회의)-050110_63342_05-07-01 06년재료비_개발회의(week21)_KMS-350" xfId="1230"/>
    <cellStyle name="7_04HTS재료비030902_63342_자재비절감(회의)-050110_63342_05-07-05 06년재료비_41184" xfId="1231"/>
    <cellStyle name="7_04HTS재료비030902_63342_자재비절감(회의)-050110_63342_05-07-05 06년재료비_41184_(Q80)05-07-12 06년재료비" xfId="1232"/>
    <cellStyle name="7_04HTS재료비030902_63342_자재비절감(회의)-050110_63342_05-07-05 06년재료비_41184_(Q80)05-07-12 06년재료비_05-07-18 06년 HA 재료비_41184" xfId="1233"/>
    <cellStyle name="7_04HTS재료비030902_63342_자재비절감(회의)-050110_63342_05-07-05 06년재료비_41184_(Q80)05-07-12 06년재료비_05-07-18 06년 HA 재료비_41184_05-08-29 9월1주차HA_41184_김정" xfId="1234"/>
    <cellStyle name="7_04HTS재료비030902_63342_자재비절감(회의)-050110_63342_05-07-05 06년재료비_41184_(Q80)05-07-12 06년재료비_05-07-18 06년 HA 재료비_41184_05-08-29 9월1주차HA_41184_김정_개발회의(week21)_KMS-350" xfId="1235"/>
    <cellStyle name="7_04HTS재료비030902_63342_자재비절감(회의)-050110_63342_05-07-05 06년재료비_41184_(Q80)05-07-12 06년재료비_05-07-18 06년 HA 재료비_41184_개발회의(week21)_KMS-350" xfId="1236"/>
    <cellStyle name="7_04HTS재료비030902_63342_자재비절감(회의)-050110_63342_05-07-05 06년재료비_41184_(Q80)05-07-12 06년재료비_05-08-29 9월1주차HA_41184_김정" xfId="1237"/>
    <cellStyle name="7_04HTS재료비030902_63342_자재비절감(회의)-050110_63342_05-07-05 06년재료비_41184_(Q80)05-07-12 06년재료비_05-08-29 9월1주차HA_41184_김정_개발회의(week21)_KMS-350" xfId="1238"/>
    <cellStyle name="7_04HTS재료비030902_63342_자재비절감(회의)-050110_63342_05-07-05 06년재료비_41184_(Q80)05-07-12 06년재료비_개발회의(week21)_KMS-350" xfId="1239"/>
    <cellStyle name="7_04HTS재료비030902_63342_자재비절감(회의)-050110_63342_05-07-05 06년재료비_41184_(R1500)05-07-19 재료비" xfId="1240"/>
    <cellStyle name="7_04HTS재료비030902_63342_자재비절감(회의)-050110_63342_05-07-05 06년재료비_41184_(R1500)05-07-19 재료비_05-08-29 9월1주차HA_41184_김정" xfId="1241"/>
    <cellStyle name="7_04HTS재료비030902_63342_자재비절감(회의)-050110_63342_05-07-05 06년재료비_41184_(R1500)05-07-19 재료비_05-08-29 9월1주차HA_41184_김정_개발회의(week21)_KMS-350" xfId="1242"/>
    <cellStyle name="7_04HTS재료비030902_63342_자재비절감(회의)-050110_63342_05-07-05 06년재료비_41184_(R1500)05-07-19 재료비_개발회의(week21)_KMS-350" xfId="1243"/>
    <cellStyle name="7_04HTS재료비030902_63342_자재비절감(회의)-050110_63342_05-07-05 06년재료비_41184_05-07-12 06년재료비(Q120)" xfId="1244"/>
    <cellStyle name="7_04HTS재료비030902_63342_자재비절감(회의)-050110_63342_05-07-05 06년재료비_41184_05-07-12 06년재료비(Q120)_05-07-18 06년 HA 재료비_41184" xfId="1245"/>
    <cellStyle name="7_04HTS재료비030902_63342_자재비절감(회의)-050110_63342_05-07-05 06년재료비_41184_05-07-12 06년재료비(Q120)_05-07-18 06년 HA 재료비_41184_05-08-29 9월1주차HA_41184_김정" xfId="1246"/>
    <cellStyle name="7_04HTS재료비030902_63342_자재비절감(회의)-050110_63342_05-07-05 06년재료비_41184_05-07-12 06년재료비(Q120)_05-07-18 06년 HA 재료비_41184_05-08-29 9월1주차HA_41184_김정_개발회의(week21)_KMS-350" xfId="1247"/>
    <cellStyle name="7_04HTS재료비030902_63342_자재비절감(회의)-050110_63342_05-07-05 06년재료비_41184_05-07-12 06년재료비(Q120)_05-07-18 06년 HA 재료비_41184_개발회의(week21)_KMS-350" xfId="1248"/>
    <cellStyle name="7_04HTS재료비030902_63342_자재비절감(회의)-050110_63342_05-07-05 06년재료비_41184_05-07-12 06년재료비(Q120)_05-08-29 9월1주차HA_41184_김정" xfId="1249"/>
    <cellStyle name="7_04HTS재료비030902_63342_자재비절감(회의)-050110_63342_05-07-05 06년재료비_41184_05-07-12 06년재료비(Q120)_05-08-29 9월1주차HA_41184_김정_개발회의(week21)_KMS-350" xfId="1250"/>
    <cellStyle name="7_04HTS재료비030902_63342_자재비절감(회의)-050110_63342_05-07-05 06년재료비_41184_05-07-12 06년재료비(Q120)_개발회의(week21)_KMS-350" xfId="1251"/>
    <cellStyle name="7_04HTS재료비030902_63342_자재비절감(회의)-050110_63342_05-07-05 06년재료비_41184_05-07-14 06년재료비" xfId="1252"/>
    <cellStyle name="7_04HTS재료비030902_63342_자재비절감(회의)-050110_63342_05-07-05 06년재료비_41184_05-07-14 06년재료비_05-07-18 06년 HA 재료비_41184" xfId="1253"/>
    <cellStyle name="7_04HTS재료비030902_63342_자재비절감(회의)-050110_63342_05-07-05 06년재료비_41184_05-07-14 06년재료비_05-07-18 06년 HA 재료비_41184_05-08-29 9월1주차HA_41184_김정" xfId="1254"/>
    <cellStyle name="7_04HTS재료비030902_63342_자재비절감(회의)-050110_63342_05-07-05 06년재료비_41184_05-07-14 06년재료비_05-07-18 06년 HA 재료비_41184_05-08-29 9월1주차HA_41184_김정_개발회의(week21)_KMS-350" xfId="1255"/>
    <cellStyle name="7_04HTS재료비030902_63342_자재비절감(회의)-050110_63342_05-07-05 06년재료비_41184_05-07-14 06년재료비_05-07-18 06년 HA 재료비_41184_개발회의(week21)_KMS-350" xfId="1256"/>
    <cellStyle name="7_04HTS재료비030902_63342_자재비절감(회의)-050110_63342_05-07-05 06년재료비_41184_05-07-14 06년재료비_05-08-29 9월1주차HA_41184_김정" xfId="1257"/>
    <cellStyle name="7_04HTS재료비030902_63342_자재비절감(회의)-050110_63342_05-07-05 06년재료비_41184_05-07-14 06년재료비_05-08-29 9월1주차HA_41184_김정_개발회의(week21)_KMS-350" xfId="1258"/>
    <cellStyle name="7_04HTS재료비030902_63342_자재비절감(회의)-050110_63342_05-07-05 06년재료비_41184_05-07-14 06년재료비_개발회의(week21)_KMS-350" xfId="1259"/>
    <cellStyle name="7_04HTS재료비030902_63342_자재비절감(회의)-050110_63342_05-07-05 06년재료비_41184_05-07-15 06년재료비 기구스피커" xfId="1260"/>
    <cellStyle name="7_04HTS재료비030902_63342_자재비절감(회의)-050110_63342_05-07-05 06년재료비_41184_05-07-15 06년재료비 기구스피커_05-07-18 06년 HA 재료비_41184" xfId="1261"/>
    <cellStyle name="7_04HTS재료비030902_63342_자재비절감(회의)-050110_63342_05-07-05 06년재료비_41184_05-07-15 06년재료비 기구스피커_05-07-18 06년 HA 재료비_41184_05-08-29 9월1주차HA_41184_김정" xfId="1262"/>
    <cellStyle name="7_04HTS재료비030902_63342_자재비절감(회의)-050110_63342_05-07-05 06년재료비_41184_05-07-15 06년재료비 기구스피커_05-07-18 06년 HA 재료비_41184_05-08-29 9월1주차HA_41184_김정_개발회의(week21)_KMS-350" xfId="1263"/>
    <cellStyle name="7_04HTS재료비030902_63342_자재비절감(회의)-050110_63342_05-07-05 06년재료비_41184_05-07-15 06년재료비 기구스피커_05-07-18 06년 HA 재료비_41184_개발회의(week21)_KMS-350" xfId="1264"/>
    <cellStyle name="7_04HTS재료비030902_63342_자재비절감(회의)-050110_63342_05-07-05 06년재료비_41184_05-07-15 06년재료비 기구스피커_05-08-29 9월1주차HA_41184_김정" xfId="1265"/>
    <cellStyle name="7_04HTS재료비030902_63342_자재비절감(회의)-050110_63342_05-07-05 06년재료비_41184_05-07-15 06년재료비 기구스피커_05-08-29 9월1주차HA_41184_김정_개발회의(week21)_KMS-350" xfId="1266"/>
    <cellStyle name="7_04HTS재료비030902_63342_자재비절감(회의)-050110_63342_05-07-05 06년재료비_41184_05-07-15 06년재료비 기구스피커_개발회의(week21)_KMS-350" xfId="1267"/>
    <cellStyle name="7_04HTS재료비030902_63342_자재비절감(회의)-050110_63342_05-07-05 06년재료비_41184_05-07-18 06년 HA 재료비" xfId="1268"/>
    <cellStyle name="7_04HTS재료비030902_63342_자재비절감(회의)-050110_63342_05-07-05 06년재료비_41184_05-07-18 06년 HA 재료비_05-07-18 06년 HA 재료비_41184" xfId="1269"/>
    <cellStyle name="7_04HTS재료비030902_63342_자재비절감(회의)-050110_63342_05-07-05 06년재료비_41184_05-07-18 06년 HA 재료비_05-07-18 06년 HA 재료비_41184_05-08-29 9월1주차HA_41184_김정" xfId="1270"/>
    <cellStyle name="7_04HTS재료비030902_63342_자재비절감(회의)-050110_63342_05-07-05 06년재료비_41184_05-07-18 06년 HA 재료비_05-07-18 06년 HA 재료비_41184_05-08-29 9월1주차HA_41184_김정_개발회의(week21)_KMS-350" xfId="1271"/>
    <cellStyle name="7_04HTS재료비030902_63342_자재비절감(회의)-050110_63342_05-07-05 06년재료비_41184_05-07-18 06년 HA 재료비_05-07-18 06년 HA 재료비_41184_개발회의(week21)_KMS-350" xfId="1272"/>
    <cellStyle name="7_04HTS재료비030902_63342_자재비절감(회의)-050110_63342_05-07-05 06년재료비_41184_05-07-18 06년 HA 재료비_05-08-29 9월1주차HA_41184_김정" xfId="1273"/>
    <cellStyle name="7_04HTS재료비030902_63342_자재비절감(회의)-050110_63342_05-07-05 06년재료비_41184_05-07-18 06년 HA 재료비_05-08-29 9월1주차HA_41184_김정_개발회의(week21)_KMS-350" xfId="1274"/>
    <cellStyle name="7_04HTS재료비030902_63342_자재비절감(회의)-050110_63342_05-07-05 06년재료비_41184_05-07-18 06년 HA 재료비_41184" xfId="1275"/>
    <cellStyle name="7_04HTS재료비030902_63342_자재비절감(회의)-050110_63342_05-07-05 06년재료비_41184_05-07-18 06년 HA 재료비_41184_05-08-29 9월1주차HA_41184_김정" xfId="1276"/>
    <cellStyle name="7_04HTS재료비030902_63342_자재비절감(회의)-050110_63342_05-07-05 06년재료비_41184_05-07-18 06년 HA 재료비_41184_05-08-29 9월1주차HA_41184_김정_개발회의(week21)_KMS-350" xfId="1277"/>
    <cellStyle name="7_04HTS재료비030902_63342_자재비절감(회의)-050110_63342_05-07-05 06년재료비_41184_05-07-18 06년 HA 재료비_41184_개발회의(week21)_KMS-350" xfId="1278"/>
    <cellStyle name="7_04HTS재료비030902_63342_자재비절감(회의)-050110_63342_05-07-05 06년재료비_41184_05-07-18 06년 HA 재료비_개발회의(week21)_KMS-350" xfId="1279"/>
    <cellStyle name="7_04HTS재료비030902_63342_자재비절감(회의)-050110_63342_05-07-05 06년재료비_41184_05-07-23 06년 HA 재료비" xfId="1280"/>
    <cellStyle name="7_04HTS재료비030902_63342_자재비절감(회의)-050110_63342_05-07-05 06년재료비_41184_05-07-23 06년 HA 재료비_05-08-29 9월1주차HA_41184_김정" xfId="1281"/>
    <cellStyle name="7_04HTS재료비030902_63342_자재비절감(회의)-050110_63342_05-07-05 06년재료비_41184_05-07-23 06년 HA 재료비_05-08-29 9월1주차HA_41184_김정_개발회의(week21)_KMS-350" xfId="1282"/>
    <cellStyle name="7_04HTS재료비030902_63342_자재비절감(회의)-050110_63342_05-07-05 06년재료비_41184_05-07-23 06년 HA 재료비_개발회의(week21)_KMS-350" xfId="1283"/>
    <cellStyle name="7_04HTS재료비030902_63342_자재비절감(회의)-050110_63342_05-07-05 06년재료비_41184_05-07-25 06년 HA 재료비_H2000" xfId="1284"/>
    <cellStyle name="7_04HTS재료비030902_63342_자재비절감(회의)-050110_63342_05-07-05 06년재료비_41184_05-07-25 06년 HA 재료비_H2000_05-08-29 9월1주차HA_41184_김정" xfId="1285"/>
    <cellStyle name="7_04HTS재료비030902_63342_자재비절감(회의)-050110_63342_05-07-05 06년재료비_41184_05-07-25 06년 HA 재료비_H2000_05-08-29 9월1주차HA_41184_김정_개발회의(week21)_KMS-350" xfId="1286"/>
    <cellStyle name="7_04HTS재료비030902_63342_자재비절감(회의)-050110_63342_05-07-05 06년재료비_41184_05-07-25 06년 HA 재료비_H2000_개발회의(week21)_KMS-350" xfId="1287"/>
    <cellStyle name="7_04HTS재료비030902_63342_자재비절감(회의)-050110_63342_05-07-05 06년재료비_41184_05-07-26 06년 HA 재료비_41184" xfId="1288"/>
    <cellStyle name="7_04HTS재료비030902_63342_자재비절감(회의)-050110_63342_05-07-05 06년재료비_41184_05-07-26 06년 HA 재료비_41184_05-08-29 9월1주차HA_41184_김정" xfId="1289"/>
    <cellStyle name="7_04HTS재료비030902_63342_자재비절감(회의)-050110_63342_05-07-05 06년재료비_41184_05-07-26 06년 HA 재료비_41184_05-08-29 9월1주차HA_41184_김정_개발회의(week21)_KMS-350" xfId="1290"/>
    <cellStyle name="7_04HTS재료비030902_63342_자재비절감(회의)-050110_63342_05-07-05 06년재료비_41184_05-07-26 06년 HA 재료비_41184_개발회의(week21)_KMS-350" xfId="1291"/>
    <cellStyle name="7_04HTS재료비030902_63342_자재비절감(회의)-050110_63342_05-07-05 06년재료비_41184_05-07-26 06년 HA 재료비1" xfId="1292"/>
    <cellStyle name="7_04HTS재료비030902_63342_자재비절감(회의)-050110_63342_05-07-05 06년재료비_41184_05-07-26 06년 HA 재료비1_05-08-29 9월1주차HA_41184_김정" xfId="1293"/>
    <cellStyle name="7_04HTS재료비030902_63342_자재비절감(회의)-050110_63342_05-07-05 06년재료비_41184_05-07-26 06년 HA 재료비1_05-08-29 9월1주차HA_41184_김정_개발회의(week21)_KMS-350" xfId="1294"/>
    <cellStyle name="7_04HTS재료비030902_63342_자재비절감(회의)-050110_63342_05-07-05 06년재료비_41184_05-07-26 06년 HA 재료비1_개발회의(week21)_KMS-350" xfId="1295"/>
    <cellStyle name="7_04HTS재료비030902_63342_자재비절감(회의)-050110_63342_05-07-05 06년재료비_41184_05-08-29 9월1주차HA_41184_김정" xfId="1296"/>
    <cellStyle name="7_04HTS재료비030902_63342_자재비절감(회의)-050110_63342_05-07-05 06년재료비_41184_05-08-29 9월1주차HA_41184_김정_개발회의(week21)_KMS-350" xfId="1297"/>
    <cellStyle name="7_04HTS재료비030902_63342_자재비절감(회의)-050110_63342_05-07-05 06년재료비_41184_개발회의(week21)_KMS-350" xfId="1298"/>
    <cellStyle name="7_04HTS재료비030902_63342_자재비절감(회의)-050110_63342_05-07-18 06년 HA 재료비_41184" xfId="1299"/>
    <cellStyle name="7_04HTS재료비030902_63342_자재비절감(회의)-050110_63342_05-07-18 06년 HA 재료비_41184_05-08-29 9월1주차HA_41184_김정" xfId="1300"/>
    <cellStyle name="7_04HTS재료비030902_63342_자재비절감(회의)-050110_63342_05-07-18 06년 HA 재료비_41184_05-08-29 9월1주차HA_41184_김정_개발회의(week21)_KMS-350" xfId="1301"/>
    <cellStyle name="7_04HTS재료비030902_63342_자재비절감(회의)-050110_63342_05-07-18 06년 HA 재료비_41184_개발회의(week21)_KMS-350" xfId="1302"/>
    <cellStyle name="7_04HTS재료비030902_63342_자재비절감(회의)-050110_63342_05-08-29 9월1주차HA_41184_김정" xfId="1303"/>
    <cellStyle name="7_04HTS재료비030902_63342_자재비절감(회의)-050110_63342_05-08-29 9월1주차HA_41184_김정_개발회의(week21)_KMS-350" xfId="1304"/>
    <cellStyle name="7_04HTS재료비030902_63342_자재비절감(회의)-050110_63342_개발회의(week21)_KMS-350" xfId="1305"/>
    <cellStyle name="7_04HTS재료비030902_63342_mini재료비-041001" xfId="1306"/>
    <cellStyle name="7_04HTS재료비030902_63342_mini재료비-041001_05-07-01 06년재료비" xfId="1307"/>
    <cellStyle name="7_04HTS재료비030902_63342_mini재료비-041001_05-07-01 06년재료비_(Q80)05-07-12 06년재료비" xfId="1308"/>
    <cellStyle name="7_04HTS재료비030902_63342_mini재료비-041001_05-07-01 06년재료비_(Q80)05-07-12 06년재료비_05-07-18 06년 HA 재료비_41184" xfId="1309"/>
    <cellStyle name="7_04HTS재료비030902_63342_mini재료비-041001_05-07-01 06년재료비_(Q80)05-07-12 06년재료비_05-07-18 06년 HA 재료비_41184_05-08-29 9월1주차HA_41184_김정" xfId="1310"/>
    <cellStyle name="7_04HTS재료비030902_63342_mini재료비-041001_05-07-01 06년재료비_(Q80)05-07-12 06년재료비_05-07-18 06년 HA 재료비_41184_05-08-29 9월1주차HA_41184_김정_개발회의(week21)_KMS-350" xfId="1311"/>
    <cellStyle name="7_04HTS재료비030902_63342_mini재료비-041001_05-07-01 06년재료비_(Q80)05-07-12 06년재료비_05-07-18 06년 HA 재료비_41184_개발회의(week21)_KMS-350" xfId="1312"/>
    <cellStyle name="7_04HTS재료비030902_63342_mini재료비-041001_05-07-01 06년재료비_(Q80)05-07-12 06년재료비_05-08-29 9월1주차HA_41184_김정" xfId="1313"/>
    <cellStyle name="7_04HTS재료비030902_63342_mini재료비-041001_05-07-01 06년재료비_(Q80)05-07-12 06년재료비_05-08-29 9월1주차HA_41184_김정_개발회의(week21)_KMS-350" xfId="1314"/>
    <cellStyle name="7_04HTS재료비030902_63342_mini재료비-041001_05-07-01 06년재료비_(Q80)05-07-12 06년재료비_개발회의(week21)_KMS-350" xfId="1315"/>
    <cellStyle name="7_04HTS재료비030902_63342_mini재료비-041001_05-07-01 06년재료비_(R1500)05-07-19 재료비" xfId="1316"/>
    <cellStyle name="7_04HTS재료비030902_63342_mini재료비-041001_05-07-01 06년재료비_(R1500)05-07-19 재료비_05-08-29 9월1주차HA_41184_김정" xfId="1317"/>
    <cellStyle name="7_04HTS재료비030902_63342_mini재료비-041001_05-07-01 06년재료비_(R1500)05-07-19 재료비_05-08-29 9월1주차HA_41184_김정_개발회의(week21)_KMS-350" xfId="1318"/>
    <cellStyle name="7_04HTS재료비030902_63342_mini재료비-041001_05-07-01 06년재료비_(R1500)05-07-19 재료비_개발회의(week21)_KMS-350" xfId="1319"/>
    <cellStyle name="7_04HTS재료비030902_63342_mini재료비-041001_05-07-01 06년재료비_05-07-12 06년재료비(Q120)" xfId="1320"/>
    <cellStyle name="7_04HTS재료비030902_63342_mini재료비-041001_05-07-01 06년재료비_05-07-12 06년재료비(Q120)_05-07-18 06년 HA 재료비_41184" xfId="1321"/>
    <cellStyle name="7_04HTS재료비030902_63342_mini재료비-041001_05-07-01 06년재료비_05-07-12 06년재료비(Q120)_05-07-18 06년 HA 재료비_41184_05-08-29 9월1주차HA_41184_김정" xfId="1322"/>
    <cellStyle name="7_04HTS재료비030902_63342_mini재료비-041001_05-07-01 06년재료비_05-07-12 06년재료비(Q120)_05-07-18 06년 HA 재료비_41184_05-08-29 9월1주차HA_41184_김정_개발회의(week21)_KMS-350" xfId="1323"/>
    <cellStyle name="7_04HTS재료비030902_63342_mini재료비-041001_05-07-01 06년재료비_05-07-12 06년재료비(Q120)_05-07-18 06년 HA 재료비_41184_개발회의(week21)_KMS-350" xfId="1324"/>
    <cellStyle name="7_04HTS재료비030902_63342_mini재료비-041001_05-07-01 06년재료비_05-07-12 06년재료비(Q120)_05-08-29 9월1주차HA_41184_김정" xfId="1325"/>
    <cellStyle name="7_04HTS재료비030902_63342_mini재료비-041001_05-07-01 06년재료비_05-07-12 06년재료비(Q120)_05-08-29 9월1주차HA_41184_김정_개발회의(week21)_KMS-350" xfId="1326"/>
    <cellStyle name="7_04HTS재료비030902_63342_mini재료비-041001_05-07-01 06년재료비_05-07-12 06년재료비(Q120)_개발회의(week21)_KMS-350" xfId="1327"/>
    <cellStyle name="7_04HTS재료비030902_63342_mini재료비-041001_05-07-01 06년재료비_05-07-14 06년재료비" xfId="1328"/>
    <cellStyle name="7_04HTS재료비030902_63342_mini재료비-041001_05-07-01 06년재료비_05-07-14 06년재료비_05-07-18 06년 HA 재료비_41184" xfId="1329"/>
    <cellStyle name="7_04HTS재료비030902_63342_mini재료비-041001_05-07-01 06년재료비_05-07-14 06년재료비_05-07-18 06년 HA 재료비_41184_05-08-29 9월1주차HA_41184_김정" xfId="1330"/>
    <cellStyle name="7_04HTS재료비030902_63342_mini재료비-041001_05-07-01 06년재료비_05-07-14 06년재료비_05-07-18 06년 HA 재료비_41184_05-08-29 9월1주차HA_41184_김정_개발회의(week21)_KMS-350" xfId="1331"/>
    <cellStyle name="7_04HTS재료비030902_63342_mini재료비-041001_05-07-01 06년재료비_05-07-14 06년재료비_05-07-18 06년 HA 재료비_41184_개발회의(week21)_KMS-350" xfId="1332"/>
    <cellStyle name="7_04HTS재료비030902_63342_mini재료비-041001_05-07-01 06년재료비_05-07-14 06년재료비_05-08-29 9월1주차HA_41184_김정" xfId="1333"/>
    <cellStyle name="7_04HTS재료비030902_63342_mini재료비-041001_05-07-01 06년재료비_05-07-14 06년재료비_05-08-29 9월1주차HA_41184_김정_개발회의(week21)_KMS-350" xfId="1334"/>
    <cellStyle name="7_04HTS재료비030902_63342_mini재료비-041001_05-07-01 06년재료비_05-07-14 06년재료비_개발회의(week21)_KMS-350" xfId="1335"/>
    <cellStyle name="7_04HTS재료비030902_63342_mini재료비-041001_05-07-01 06년재료비_05-07-15 06년재료비 기구스피커" xfId="1336"/>
    <cellStyle name="7_04HTS재료비030902_63342_mini재료비-041001_05-07-01 06년재료비_05-07-15 06년재료비 기구스피커_05-07-18 06년 HA 재료비_41184" xfId="1337"/>
    <cellStyle name="7_04HTS재료비030902_63342_mini재료비-041001_05-07-01 06년재료비_05-07-15 06년재료비 기구스피커_05-07-18 06년 HA 재료비_41184_05-08-29 9월1주차HA_41184_김정" xfId="1338"/>
    <cellStyle name="7_04HTS재료비030902_63342_mini재료비-041001_05-07-01 06년재료비_05-07-15 06년재료비 기구스피커_05-07-18 06년 HA 재료비_41184_05-08-29 9월1주차HA_41184_김정_개발회의(week21)_KMS-350" xfId="1339"/>
    <cellStyle name="7_04HTS재료비030902_63342_mini재료비-041001_05-07-01 06년재료비_05-07-15 06년재료비 기구스피커_05-07-18 06년 HA 재료비_41184_개발회의(week21)_KMS-350" xfId="1340"/>
    <cellStyle name="7_04HTS재료비030902_63342_mini재료비-041001_05-07-01 06년재료비_05-07-15 06년재료비 기구스피커_05-08-29 9월1주차HA_41184_김정" xfId="1341"/>
    <cellStyle name="7_04HTS재료비030902_63342_mini재료비-041001_05-07-01 06년재료비_05-07-15 06년재료비 기구스피커_05-08-29 9월1주차HA_41184_김정_개발회의(week21)_KMS-350" xfId="1342"/>
    <cellStyle name="7_04HTS재료비030902_63342_mini재료비-041001_05-07-01 06년재료비_05-07-15 06년재료비 기구스피커_개발회의(week21)_KMS-350" xfId="1343"/>
    <cellStyle name="7_04HTS재료비030902_63342_mini재료비-041001_05-07-01 06년재료비_05-07-18 06년 HA 재료비" xfId="1344"/>
    <cellStyle name="7_04HTS재료비030902_63342_mini재료비-041001_05-07-01 06년재료비_05-07-18 06년 HA 재료비_05-07-18 06년 HA 재료비_41184" xfId="1345"/>
    <cellStyle name="7_04HTS재료비030902_63342_mini재료비-041001_05-07-01 06년재료비_05-07-18 06년 HA 재료비_05-07-18 06년 HA 재료비_41184_05-08-29 9월1주차HA_41184_김정" xfId="1346"/>
    <cellStyle name="7_04HTS재료비030902_63342_mini재료비-041001_05-07-01 06년재료비_05-07-18 06년 HA 재료비_05-07-18 06년 HA 재료비_41184_05-08-29 9월1주차HA_41184_김정_개발회의(week21)_KMS-350" xfId="1347"/>
    <cellStyle name="7_04HTS재료비030902_63342_mini재료비-041001_05-07-01 06년재료비_05-07-18 06년 HA 재료비_05-07-18 06년 HA 재료비_41184_개발회의(week21)_KMS-350" xfId="1348"/>
    <cellStyle name="7_04HTS재료비030902_63342_mini재료비-041001_05-07-01 06년재료비_05-07-18 06년 HA 재료비_05-08-29 9월1주차HA_41184_김정" xfId="1349"/>
    <cellStyle name="7_04HTS재료비030902_63342_mini재료비-041001_05-07-01 06년재료비_05-07-18 06년 HA 재료비_05-08-29 9월1주차HA_41184_김정_개발회의(week21)_KMS-350" xfId="1350"/>
    <cellStyle name="7_04HTS재료비030902_63342_mini재료비-041001_05-07-01 06년재료비_05-07-18 06년 HA 재료비_41184" xfId="1351"/>
    <cellStyle name="7_04HTS재료비030902_63342_mini재료비-041001_05-07-01 06년재료비_05-07-18 06년 HA 재료비_41184_05-08-29 9월1주차HA_41184_김정" xfId="1352"/>
    <cellStyle name="7_04HTS재료비030902_63342_mini재료비-041001_05-07-01 06년재료비_05-07-18 06년 HA 재료비_41184_05-08-29 9월1주차HA_41184_김정_개발회의(week21)_KMS-350" xfId="1353"/>
    <cellStyle name="7_04HTS재료비030902_63342_mini재료비-041001_05-07-01 06년재료비_05-07-18 06년 HA 재료비_41184_개발회의(week21)_KMS-350" xfId="1354"/>
    <cellStyle name="7_04HTS재료비030902_63342_mini재료비-041001_05-07-01 06년재료비_05-07-18 06년 HA 재료비_개발회의(week21)_KMS-350" xfId="1355"/>
    <cellStyle name="7_04HTS재료비030902_63342_mini재료비-041001_05-07-01 06년재료비_05-07-23 06년 HA 재료비" xfId="1356"/>
    <cellStyle name="7_04HTS재료비030902_63342_mini재료비-041001_05-07-01 06년재료비_05-07-23 06년 HA 재료비_05-08-29 9월1주차HA_41184_김정" xfId="1357"/>
    <cellStyle name="7_04HTS재료비030902_63342_mini재료비-041001_05-07-01 06년재료비_05-07-23 06년 HA 재료비_05-08-29 9월1주차HA_41184_김정_개발회의(week21)_KMS-350" xfId="1358"/>
    <cellStyle name="7_04HTS재료비030902_63342_mini재료비-041001_05-07-01 06년재료비_05-07-23 06년 HA 재료비_개발회의(week21)_KMS-350" xfId="1359"/>
    <cellStyle name="7_04HTS재료비030902_63342_mini재료비-041001_05-07-01 06년재료비_05-07-25 06년 HA 재료비_H2000" xfId="1360"/>
    <cellStyle name="7_04HTS재료비030902_63342_mini재료비-041001_05-07-01 06년재료비_05-07-25 06년 HA 재료비_H2000_05-08-29 9월1주차HA_41184_김정" xfId="1361"/>
    <cellStyle name="7_04HTS재료비030902_63342_mini재료비-041001_05-07-01 06년재료비_05-07-25 06년 HA 재료비_H2000_05-08-29 9월1주차HA_41184_김정_개발회의(week21)_KMS-350" xfId="1362"/>
    <cellStyle name="7_04HTS재료비030902_63342_mini재료비-041001_05-07-01 06년재료비_05-07-25 06년 HA 재료비_H2000_개발회의(week21)_KMS-350" xfId="1363"/>
    <cellStyle name="7_04HTS재료비030902_63342_mini재료비-041001_05-07-01 06년재료비_05-07-26 06년 HA 재료비_41184" xfId="1364"/>
    <cellStyle name="7_04HTS재료비030902_63342_mini재료비-041001_05-07-01 06년재료비_05-07-26 06년 HA 재료비_41184_05-08-29 9월1주차HA_41184_김정" xfId="1365"/>
    <cellStyle name="7_04HTS재료비030902_63342_mini재료비-041001_05-07-01 06년재료비_05-07-26 06년 HA 재료비_41184_05-08-29 9월1주차HA_41184_김정_개발회의(week21)_KMS-350" xfId="1366"/>
    <cellStyle name="7_04HTS재료비030902_63342_mini재료비-041001_05-07-01 06년재료비_05-07-26 06년 HA 재료비_41184_개발회의(week21)_KMS-350" xfId="1367"/>
    <cellStyle name="7_04HTS재료비030902_63342_mini재료비-041001_05-07-01 06년재료비_05-07-26 06년 HA 재료비1" xfId="1368"/>
    <cellStyle name="7_04HTS재료비030902_63342_mini재료비-041001_05-07-01 06년재료비_05-07-26 06년 HA 재료비1_05-08-29 9월1주차HA_41184_김정" xfId="1369"/>
    <cellStyle name="7_04HTS재료비030902_63342_mini재료비-041001_05-07-01 06년재료비_05-07-26 06년 HA 재료비1_05-08-29 9월1주차HA_41184_김정_개발회의(week21)_KMS-350" xfId="1370"/>
    <cellStyle name="7_04HTS재료비030902_63342_mini재료비-041001_05-07-01 06년재료비_05-07-26 06년 HA 재료비1_개발회의(week21)_KMS-350" xfId="1371"/>
    <cellStyle name="7_04HTS재료비030902_63342_mini재료비-041001_05-07-01 06년재료비_05-08-29 9월1주차HA_41184_김정" xfId="1372"/>
    <cellStyle name="7_04HTS재료비030902_63342_mini재료비-041001_05-07-01 06년재료비_05-08-29 9월1주차HA_41184_김정_개발회의(week21)_KMS-350" xfId="1373"/>
    <cellStyle name="7_04HTS재료비030902_63342_mini재료비-041001_05-07-01 06년재료비_개발회의(week21)_KMS-350" xfId="1374"/>
    <cellStyle name="7_04HTS재료비030902_63342_mini재료비-041001_05-07-05 06년재료비_41184" xfId="1375"/>
    <cellStyle name="7_04HTS재료비030902_63342_mini재료비-041001_05-07-05 06년재료비_41184_(Q80)05-07-12 06년재료비" xfId="1376"/>
    <cellStyle name="7_04HTS재료비030902_63342_mini재료비-041001_05-07-05 06년재료비_41184_(Q80)05-07-12 06년재료비_05-07-18 06년 HA 재료비_41184" xfId="1377"/>
    <cellStyle name="7_04HTS재료비030902_63342_mini재료비-041001_05-07-05 06년재료비_41184_(Q80)05-07-12 06년재료비_05-07-18 06년 HA 재료비_41184_05-08-29 9월1주차HA_41184_김정" xfId="1378"/>
    <cellStyle name="7_04HTS재료비030902_63342_mini재료비-041001_05-07-05 06년재료비_41184_(Q80)05-07-12 06년재료비_05-07-18 06년 HA 재료비_41184_05-08-29 9월1주차HA_41184_김정_개발회의(week21)_KMS-350" xfId="1379"/>
    <cellStyle name="7_04HTS재료비030902_63342_mini재료비-041001_05-07-05 06년재료비_41184_(Q80)05-07-12 06년재료비_05-07-18 06년 HA 재료비_41184_개발회의(week21)_KMS-350" xfId="1380"/>
    <cellStyle name="7_04HTS재료비030902_63342_mini재료비-041001_05-07-05 06년재료비_41184_(Q80)05-07-12 06년재료비_05-08-29 9월1주차HA_41184_김정" xfId="1381"/>
    <cellStyle name="7_04HTS재료비030902_63342_mini재료비-041001_05-07-05 06년재료비_41184_(Q80)05-07-12 06년재료비_05-08-29 9월1주차HA_41184_김정_개발회의(week21)_KMS-350" xfId="1382"/>
    <cellStyle name="7_04HTS재료비030902_63342_mini재료비-041001_05-07-05 06년재료비_41184_(Q80)05-07-12 06년재료비_개발회의(week21)_KMS-350" xfId="1383"/>
    <cellStyle name="7_04HTS재료비030902_63342_mini재료비-041001_05-07-05 06년재료비_41184_(R1500)05-07-19 재료비" xfId="1384"/>
    <cellStyle name="7_04HTS재료비030902_63342_mini재료비-041001_05-07-05 06년재료비_41184_(R1500)05-07-19 재료비_05-08-29 9월1주차HA_41184_김정" xfId="1385"/>
    <cellStyle name="7_04HTS재료비030902_63342_mini재료비-041001_05-07-05 06년재료비_41184_(R1500)05-07-19 재료비_05-08-29 9월1주차HA_41184_김정_개발회의(week21)_KMS-350" xfId="1386"/>
    <cellStyle name="7_04HTS재료비030902_63342_mini재료비-041001_05-07-05 06년재료비_41184_(R1500)05-07-19 재료비_개발회의(week21)_KMS-350" xfId="1387"/>
    <cellStyle name="7_04HTS재료비030902_63342_mini재료비-041001_05-07-05 06년재료비_41184_05-07-12 06년재료비(Q120)" xfId="1388"/>
    <cellStyle name="7_04HTS재료비030902_63342_mini재료비-041001_05-07-05 06년재료비_41184_05-07-12 06년재료비(Q120)_05-07-18 06년 HA 재료비_41184" xfId="1389"/>
    <cellStyle name="7_04HTS재료비030902_63342_mini재료비-041001_05-07-05 06년재료비_41184_05-07-12 06년재료비(Q120)_05-07-18 06년 HA 재료비_41184_05-08-29 9월1주차HA_41184_김정" xfId="1390"/>
    <cellStyle name="7_04HTS재료비030902_63342_mini재료비-041001_05-07-05 06년재료비_41184_05-07-12 06년재료비(Q120)_05-07-18 06년 HA 재료비_41184_05-08-29 9월1주차HA_41184_김정_개발회의(week21)_KMS-350" xfId="1391"/>
    <cellStyle name="7_04HTS재료비030902_63342_mini재료비-041001_05-07-05 06년재료비_41184_05-07-12 06년재료비(Q120)_05-07-18 06년 HA 재료비_41184_개발회의(week21)_KMS-350" xfId="1392"/>
    <cellStyle name="7_04HTS재료비030902_63342_mini재료비-041001_05-07-05 06년재료비_41184_05-07-12 06년재료비(Q120)_05-08-29 9월1주차HA_41184_김정" xfId="1393"/>
    <cellStyle name="7_04HTS재료비030902_63342_mini재료비-041001_05-07-05 06년재료비_41184_05-07-12 06년재료비(Q120)_05-08-29 9월1주차HA_41184_김정_개발회의(week21)_KMS-350" xfId="1394"/>
    <cellStyle name="7_04HTS재료비030902_63342_mini재료비-041001_05-07-05 06년재료비_41184_05-07-12 06년재료비(Q120)_개발회의(week21)_KMS-350" xfId="1395"/>
    <cellStyle name="7_04HTS재료비030902_63342_mini재료비-041001_05-07-05 06년재료비_41184_05-07-14 06년재료비" xfId="1396"/>
    <cellStyle name="7_04HTS재료비030902_63342_mini재료비-041001_05-07-05 06년재료비_41184_05-07-14 06년재료비_05-07-18 06년 HA 재료비_41184" xfId="1397"/>
    <cellStyle name="7_04HTS재료비030902_63342_mini재료비-041001_05-07-05 06년재료비_41184_05-07-14 06년재료비_05-07-18 06년 HA 재료비_41184_05-08-29 9월1주차HA_41184_김정" xfId="1398"/>
    <cellStyle name="7_04HTS재료비030902_63342_mini재료비-041001_05-07-05 06년재료비_41184_05-07-14 06년재료비_05-07-18 06년 HA 재료비_41184_05-08-29 9월1주차HA_41184_김정_개발회의(week21)_KMS-350" xfId="1399"/>
    <cellStyle name="7_04HTS재료비030902_63342_mini재료비-041001_05-07-05 06년재료비_41184_05-07-14 06년재료비_05-07-18 06년 HA 재료비_41184_개발회의(week21)_KMS-350" xfId="1400"/>
    <cellStyle name="7_04HTS재료비030902_63342_mini재료비-041001_05-07-05 06년재료비_41184_05-07-14 06년재료비_05-08-29 9월1주차HA_41184_김정" xfId="1401"/>
    <cellStyle name="7_04HTS재료비030902_63342_mini재료비-041001_05-07-05 06년재료비_41184_05-07-14 06년재료비_05-08-29 9월1주차HA_41184_김정_개발회의(week21)_KMS-350" xfId="1402"/>
    <cellStyle name="7_04HTS재료비030902_63342_mini재료비-041001_05-07-05 06년재료비_41184_05-07-14 06년재료비_개발회의(week21)_KMS-350" xfId="1403"/>
    <cellStyle name="7_04HTS재료비030902_63342_mini재료비-041001_05-07-05 06년재료비_41184_05-07-15 06년재료비 기구스피커" xfId="1404"/>
    <cellStyle name="7_04HTS재료비030902_63342_mini재료비-041001_05-07-05 06년재료비_41184_05-07-15 06년재료비 기구스피커_05-07-18 06년 HA 재료비_41184" xfId="1405"/>
    <cellStyle name="7_04HTS재료비030902_63342_mini재료비-041001_05-07-05 06년재료비_41184_05-07-15 06년재료비 기구스피커_05-07-18 06년 HA 재료비_41184_05-08-29 9월1주차HA_41184_김정" xfId="1406"/>
    <cellStyle name="7_04HTS재료비030902_63342_mini재료비-041001_05-07-05 06년재료비_41184_05-07-15 06년재료비 기구스피커_05-07-18 06년 HA 재료비_41184_05-08-29 9월1주차HA_41184_김정_개발회의(week21)_KMS-350" xfId="1407"/>
    <cellStyle name="7_04HTS재료비030902_63342_mini재료비-041001_05-07-05 06년재료비_41184_05-07-15 06년재료비 기구스피커_05-07-18 06년 HA 재료비_41184_개발회의(week21)_KMS-350" xfId="1408"/>
    <cellStyle name="7_04HTS재료비030902_63342_mini재료비-041001_05-07-05 06년재료비_41184_05-07-15 06년재료비 기구스피커_05-08-29 9월1주차HA_41184_김정" xfId="1409"/>
    <cellStyle name="7_04HTS재료비030902_63342_mini재료비-041001_05-07-05 06년재료비_41184_05-07-15 06년재료비 기구스피커_05-08-29 9월1주차HA_41184_김정_개발회의(week21)_KMS-350" xfId="1410"/>
    <cellStyle name="7_04HTS재료비030902_63342_mini재료비-041001_05-07-05 06년재료비_41184_05-07-15 06년재료비 기구스피커_개발회의(week21)_KMS-350" xfId="1411"/>
    <cellStyle name="7_04HTS재료비030902_63342_mini재료비-041001_05-07-05 06년재료비_41184_05-07-18 06년 HA 재료비" xfId="1412"/>
    <cellStyle name="7_04HTS재료비030902_63342_mini재료비-041001_05-07-05 06년재료비_41184_05-07-18 06년 HA 재료비_05-07-18 06년 HA 재료비_41184" xfId="1413"/>
    <cellStyle name="7_04HTS재료비030902_63342_mini재료비-041001_05-07-05 06년재료비_41184_05-07-18 06년 HA 재료비_05-07-18 06년 HA 재료비_41184_05-08-29 9월1주차HA_41184_김정" xfId="1414"/>
    <cellStyle name="7_04HTS재료비030902_63342_mini재료비-041001_05-07-05 06년재료비_41184_05-07-18 06년 HA 재료비_05-07-18 06년 HA 재료비_41184_05-08-29 9월1주차HA_41184_김정_개발회의(week21)_KMS-350" xfId="1415"/>
    <cellStyle name="7_04HTS재료비030902_63342_mini재료비-041001_05-07-05 06년재료비_41184_05-07-18 06년 HA 재료비_05-07-18 06년 HA 재료비_41184_개발회의(week21)_KMS-350" xfId="1416"/>
    <cellStyle name="7_04HTS재료비030902_63342_mini재료비-041001_05-07-05 06년재료비_41184_05-07-18 06년 HA 재료비_05-08-29 9월1주차HA_41184_김정" xfId="1417"/>
    <cellStyle name="7_04HTS재료비030902_63342_mini재료비-041001_05-07-05 06년재료비_41184_05-07-18 06년 HA 재료비_05-08-29 9월1주차HA_41184_김정_개발회의(week21)_KMS-350" xfId="1418"/>
    <cellStyle name="7_04HTS재료비030902_63342_mini재료비-041001_05-07-05 06년재료비_41184_05-07-18 06년 HA 재료비_41184" xfId="1419"/>
    <cellStyle name="7_04HTS재료비030902_63342_mini재료비-041001_05-07-05 06년재료비_41184_05-07-18 06년 HA 재료비_41184_05-08-29 9월1주차HA_41184_김정" xfId="1420"/>
    <cellStyle name="7_04HTS재료비030902_63342_mini재료비-041001_05-07-05 06년재료비_41184_05-07-18 06년 HA 재료비_41184_05-08-29 9월1주차HA_41184_김정_개발회의(week21)_KMS-350" xfId="1421"/>
    <cellStyle name="7_04HTS재료비030902_63342_mini재료비-041001_05-07-05 06년재료비_41184_05-07-18 06년 HA 재료비_41184_개발회의(week21)_KMS-350" xfId="1422"/>
    <cellStyle name="7_04HTS재료비030902_63342_mini재료비-041001_05-07-05 06년재료비_41184_05-07-18 06년 HA 재료비_개발회의(week21)_KMS-350" xfId="1423"/>
    <cellStyle name="7_04HTS재료비030902_63342_mini재료비-041001_05-07-05 06년재료비_41184_05-07-23 06년 HA 재료비" xfId="1424"/>
    <cellStyle name="7_04HTS재료비030902_63342_mini재료비-041001_05-07-05 06년재료비_41184_05-07-23 06년 HA 재료비_05-08-29 9월1주차HA_41184_김정" xfId="1425"/>
    <cellStyle name="7_04HTS재료비030902_63342_mini재료비-041001_05-07-05 06년재료비_41184_05-07-23 06년 HA 재료비_05-08-29 9월1주차HA_41184_김정_개발회의(week21)_KMS-350" xfId="1426"/>
    <cellStyle name="7_04HTS재료비030902_63342_mini재료비-041001_05-07-05 06년재료비_41184_05-07-23 06년 HA 재료비_개발회의(week21)_KMS-350" xfId="1427"/>
    <cellStyle name="7_04HTS재료비030902_63342_mini재료비-041001_05-07-05 06년재료비_41184_05-07-25 06년 HA 재료비_H2000" xfId="1428"/>
    <cellStyle name="7_04HTS재료비030902_63342_mini재료비-041001_05-07-05 06년재료비_41184_05-07-25 06년 HA 재료비_H2000_05-08-29 9월1주차HA_41184_김정" xfId="1429"/>
    <cellStyle name="7_04HTS재료비030902_63342_mini재료비-041001_05-07-05 06년재료비_41184_05-07-25 06년 HA 재료비_H2000_05-08-29 9월1주차HA_41184_김정_개발회의(week21)_KMS-350" xfId="1430"/>
    <cellStyle name="7_04HTS재료비030902_63342_mini재료비-041001_05-07-05 06년재료비_41184_05-07-25 06년 HA 재료비_H2000_개발회의(week21)_KMS-350" xfId="1431"/>
    <cellStyle name="7_04HTS재료비030902_63342_mini재료비-041001_05-07-05 06년재료비_41184_05-07-26 06년 HA 재료비_41184" xfId="1432"/>
    <cellStyle name="7_04HTS재료비030902_63342_mini재료비-041001_05-07-05 06년재료비_41184_05-07-26 06년 HA 재료비_41184_05-08-29 9월1주차HA_41184_김정" xfId="1433"/>
    <cellStyle name="7_04HTS재료비030902_63342_mini재료비-041001_05-07-05 06년재료비_41184_05-07-26 06년 HA 재료비_41184_05-08-29 9월1주차HA_41184_김정_개발회의(week21)_KMS-350" xfId="1434"/>
    <cellStyle name="7_04HTS재료비030902_63342_mini재료비-041001_05-07-05 06년재료비_41184_05-07-26 06년 HA 재료비_41184_개발회의(week21)_KMS-350" xfId="1435"/>
    <cellStyle name="7_04HTS재료비030902_63342_mini재료비-041001_05-07-05 06년재료비_41184_05-07-26 06년 HA 재료비1" xfId="1436"/>
    <cellStyle name="7_04HTS재료비030902_63342_mini재료비-041001_05-07-05 06년재료비_41184_05-07-26 06년 HA 재료비1_05-08-29 9월1주차HA_41184_김정" xfId="1437"/>
    <cellStyle name="7_04HTS재료비030902_63342_mini재료비-041001_05-07-05 06년재료비_41184_05-07-26 06년 HA 재료비1_05-08-29 9월1주차HA_41184_김정_개발회의(week21)_KMS-350" xfId="1438"/>
    <cellStyle name="7_04HTS재료비030902_63342_mini재료비-041001_05-07-05 06년재료비_41184_05-07-26 06년 HA 재료비1_개발회의(week21)_KMS-350" xfId="1439"/>
    <cellStyle name="7_04HTS재료비030902_63342_mini재료비-041001_05-07-05 06년재료비_41184_05-08-29 9월1주차HA_41184_김정" xfId="1440"/>
    <cellStyle name="7_04HTS재료비030902_63342_mini재료비-041001_05-07-05 06년재료비_41184_05-08-29 9월1주차HA_41184_김정_개발회의(week21)_KMS-350" xfId="1441"/>
    <cellStyle name="7_04HTS재료비030902_63342_mini재료비-041001_05-07-05 06년재료비_41184_개발회의(week21)_KMS-350" xfId="1442"/>
    <cellStyle name="7_04HTS재료비030902_63342_mini재료비-041001_05-07-18 06년 HA 재료비_41184" xfId="1443"/>
    <cellStyle name="7_04HTS재료비030902_63342_mini재료비-041001_05-07-18 06년 HA 재료비_41184_05-08-29 9월1주차HA_41184_김정" xfId="1444"/>
    <cellStyle name="7_04HTS재료비030902_63342_mini재료비-041001_05-07-18 06년 HA 재료비_41184_05-08-29 9월1주차HA_41184_김정_개발회의(week21)_KMS-350" xfId="1445"/>
    <cellStyle name="7_04HTS재료비030902_63342_mini재료비-041001_05-07-18 06년 HA 재료비_41184_개발회의(week21)_KMS-350" xfId="1446"/>
    <cellStyle name="7_04HTS재료비030902_63342_mini재료비-041001_05-08-29 9월1주차HA_41184_김정" xfId="1447"/>
    <cellStyle name="7_04HTS재료비030902_63342_mini재료비-041001_05-08-29 9월1주차HA_41184_김정_개발회의(week21)_KMS-350" xfId="1448"/>
    <cellStyle name="7_04HTS재료비030902_63342_mini재료비-041001_개발회의(week21)_KMS-350" xfId="1449"/>
    <cellStyle name="7_05-07-01 06년재료비" xfId="1450"/>
    <cellStyle name="7_05-07-01 06년재료비_(Q80)05-07-12 06년재료비" xfId="1451"/>
    <cellStyle name="7_05-07-01 06년재료비_(Q80)05-07-12 06년재료비_05-07-18 06년 HA 재료비_41184" xfId="1452"/>
    <cellStyle name="7_05-07-01 06년재료비_(Q80)05-07-12 06년재료비_05-07-18 06년 HA 재료비_41184_05-08-29 9월1주차HA_41184_김정" xfId="1453"/>
    <cellStyle name="7_05-07-01 06년재료비_(Q80)05-07-12 06년재료비_05-07-18 06년 HA 재료비_41184_05-08-29 9월1주차HA_41184_김정_개발회의(week21)_KMS-350" xfId="1454"/>
    <cellStyle name="7_05-07-01 06년재료비_(Q80)05-07-12 06년재료비_05-07-18 06년 HA 재료비_41184_개발회의(week21)_KMS-350" xfId="1455"/>
    <cellStyle name="7_05-07-01 06년재료비_(Q80)05-07-12 06년재료비_05-08-29 9월1주차HA_41184_김정" xfId="1456"/>
    <cellStyle name="7_05-07-01 06년재료비_(Q80)05-07-12 06년재료비_05-08-29 9월1주차HA_41184_김정_개발회의(week21)_KMS-350" xfId="1457"/>
    <cellStyle name="7_05-07-01 06년재료비_(Q80)05-07-12 06년재료비_개발회의(week21)_KMS-350" xfId="1458"/>
    <cellStyle name="7_05-07-01 06년재료비_(R1500)05-07-19 재료비" xfId="1459"/>
    <cellStyle name="7_05-07-01 06년재료비_(R1500)05-07-19 재료비_05-08-29 9월1주차HA_41184_김정" xfId="1460"/>
    <cellStyle name="7_05-07-01 06년재료비_(R1500)05-07-19 재료비_05-08-29 9월1주차HA_41184_김정_개발회의(week21)_KMS-350" xfId="1461"/>
    <cellStyle name="7_05-07-01 06년재료비_(R1500)05-07-19 재료비_개발회의(week21)_KMS-350" xfId="1462"/>
    <cellStyle name="7_05-07-01 06년재료비_05-07-12 06년재료비(Q120)" xfId="1463"/>
    <cellStyle name="7_05-07-01 06년재료비_05-07-12 06년재료비(Q120)_05-07-18 06년 HA 재료비_41184" xfId="1464"/>
    <cellStyle name="7_05-07-01 06년재료비_05-07-12 06년재료비(Q120)_05-07-18 06년 HA 재료비_41184_05-08-29 9월1주차HA_41184_김정" xfId="1465"/>
    <cellStyle name="7_05-07-01 06년재료비_05-07-12 06년재료비(Q120)_05-07-18 06년 HA 재료비_41184_05-08-29 9월1주차HA_41184_김정_개발회의(week21)_KMS-350" xfId="1466"/>
    <cellStyle name="7_05-07-01 06년재료비_05-07-12 06년재료비(Q120)_05-07-18 06년 HA 재료비_41184_개발회의(week21)_KMS-350" xfId="1467"/>
    <cellStyle name="7_05-07-01 06년재료비_05-07-12 06년재료비(Q120)_05-08-29 9월1주차HA_41184_김정" xfId="1468"/>
    <cellStyle name="7_05-07-01 06년재료비_05-07-12 06년재료비(Q120)_05-08-29 9월1주차HA_41184_김정_개발회의(week21)_KMS-350" xfId="1469"/>
    <cellStyle name="7_05-07-01 06년재료비_05-07-12 06년재료비(Q120)_개발회의(week21)_KMS-350" xfId="1470"/>
    <cellStyle name="7_05-07-01 06년재료비_05-07-14 06년재료비" xfId="1471"/>
    <cellStyle name="7_05-07-01 06년재료비_05-07-14 06년재료비_05-07-18 06년 HA 재료비_41184" xfId="1472"/>
    <cellStyle name="7_05-07-01 06년재료비_05-07-14 06년재료비_05-07-18 06년 HA 재료비_41184_05-08-29 9월1주차HA_41184_김정" xfId="1473"/>
    <cellStyle name="7_05-07-01 06년재료비_05-07-14 06년재료비_05-07-18 06년 HA 재료비_41184_05-08-29 9월1주차HA_41184_김정_개발회의(week21)_KMS-350" xfId="1474"/>
    <cellStyle name="7_05-07-01 06년재료비_05-07-14 06년재료비_05-07-18 06년 HA 재료비_41184_개발회의(week21)_KMS-350" xfId="1475"/>
    <cellStyle name="7_05-07-01 06년재료비_05-07-14 06년재료비_05-08-29 9월1주차HA_41184_김정" xfId="1476"/>
    <cellStyle name="7_05-07-01 06년재료비_05-07-14 06년재료비_05-08-29 9월1주차HA_41184_김정_개발회의(week21)_KMS-350" xfId="1477"/>
    <cellStyle name="7_05-07-01 06년재료비_05-07-14 06년재료비_개발회의(week21)_KMS-350" xfId="1478"/>
    <cellStyle name="7_05-07-01 06년재료비_05-07-15 06년재료비 기구스피커" xfId="1479"/>
    <cellStyle name="7_05-07-01 06년재료비_05-07-15 06년재료비 기구스피커_05-07-18 06년 HA 재료비_41184" xfId="1480"/>
    <cellStyle name="7_05-07-01 06년재료비_05-07-15 06년재료비 기구스피커_05-07-18 06년 HA 재료비_41184_05-08-29 9월1주차HA_41184_김정" xfId="1481"/>
    <cellStyle name="7_05-07-01 06년재료비_05-07-15 06년재료비 기구스피커_05-07-18 06년 HA 재료비_41184_05-08-29 9월1주차HA_41184_김정_개발회의(week21)_KMS-350" xfId="1482"/>
    <cellStyle name="7_05-07-01 06년재료비_05-07-15 06년재료비 기구스피커_05-07-18 06년 HA 재료비_41184_개발회의(week21)_KMS-350" xfId="1483"/>
    <cellStyle name="7_05-07-01 06년재료비_05-07-15 06년재료비 기구스피커_05-08-29 9월1주차HA_41184_김정" xfId="1484"/>
    <cellStyle name="7_05-07-01 06년재료비_05-07-15 06년재료비 기구스피커_05-08-29 9월1주차HA_41184_김정_개발회의(week21)_KMS-350" xfId="1485"/>
    <cellStyle name="7_05-07-01 06년재료비_05-07-15 06년재료비 기구스피커_개발회의(week21)_KMS-350" xfId="1486"/>
    <cellStyle name="7_05-07-01 06년재료비_05-07-18 06년 HA 재료비" xfId="1487"/>
    <cellStyle name="7_05-07-01 06년재료비_05-07-18 06년 HA 재료비_05-07-18 06년 HA 재료비_41184" xfId="1488"/>
    <cellStyle name="7_05-07-01 06년재료비_05-07-18 06년 HA 재료비_05-07-18 06년 HA 재료비_41184_05-08-29 9월1주차HA_41184_김정" xfId="1489"/>
    <cellStyle name="7_05-07-01 06년재료비_05-07-18 06년 HA 재료비_05-07-18 06년 HA 재료비_41184_05-08-29 9월1주차HA_41184_김정_개발회의(week21)_KMS-350" xfId="1490"/>
    <cellStyle name="7_05-07-01 06년재료비_05-07-18 06년 HA 재료비_05-07-18 06년 HA 재료비_41184_개발회의(week21)_KMS-350" xfId="1491"/>
    <cellStyle name="7_05-07-01 06년재료비_05-07-18 06년 HA 재료비_05-08-29 9월1주차HA_41184_김정" xfId="1492"/>
    <cellStyle name="7_05-07-01 06년재료비_05-07-18 06년 HA 재료비_05-08-29 9월1주차HA_41184_김정_개발회의(week21)_KMS-350" xfId="1493"/>
    <cellStyle name="7_05-07-01 06년재료비_05-07-18 06년 HA 재료비_41184" xfId="1494"/>
    <cellStyle name="7_05-07-01 06년재료비_05-07-18 06년 HA 재료비_41184_05-08-29 9월1주차HA_41184_김정" xfId="1495"/>
    <cellStyle name="7_05-07-01 06년재료비_05-07-18 06년 HA 재료비_41184_05-08-29 9월1주차HA_41184_김정_개발회의(week21)_KMS-350" xfId="1496"/>
    <cellStyle name="7_05-07-01 06년재료비_05-07-18 06년 HA 재료비_41184_개발회의(week21)_KMS-350" xfId="1497"/>
    <cellStyle name="7_05-07-01 06년재료비_05-07-18 06년 HA 재료비_개발회의(week21)_KMS-350" xfId="1498"/>
    <cellStyle name="7_05-07-01 06년재료비_05-07-23 06년 HA 재료비" xfId="1499"/>
    <cellStyle name="7_05-07-01 06년재료비_05-07-23 06년 HA 재료비_05-08-29 9월1주차HA_41184_김정" xfId="1500"/>
    <cellStyle name="7_05-07-01 06년재료비_05-07-23 06년 HA 재료비_05-08-29 9월1주차HA_41184_김정_개발회의(week21)_KMS-350" xfId="1501"/>
    <cellStyle name="7_05-07-01 06년재료비_05-07-23 06년 HA 재료비_개발회의(week21)_KMS-350" xfId="1502"/>
    <cellStyle name="7_05-07-01 06년재료비_05-07-25 06년 HA 재료비_H2000" xfId="1503"/>
    <cellStyle name="7_05-07-01 06년재료비_05-07-25 06년 HA 재료비_H2000_05-08-29 9월1주차HA_41184_김정" xfId="1504"/>
    <cellStyle name="7_05-07-01 06년재료비_05-07-25 06년 HA 재료비_H2000_05-08-29 9월1주차HA_41184_김정_개발회의(week21)_KMS-350" xfId="1505"/>
    <cellStyle name="7_05-07-01 06년재료비_05-07-25 06년 HA 재료비_H2000_개발회의(week21)_KMS-350" xfId="1506"/>
    <cellStyle name="7_05-07-01 06년재료비_05-07-26 06년 HA 재료비_41184" xfId="1507"/>
    <cellStyle name="7_05-07-01 06년재료비_05-07-26 06년 HA 재료비_41184_05-08-29 9월1주차HA_41184_김정" xfId="1508"/>
    <cellStyle name="7_05-07-01 06년재료비_05-07-26 06년 HA 재료비_41184_05-08-29 9월1주차HA_41184_김정_개발회의(week21)_KMS-350" xfId="1509"/>
    <cellStyle name="7_05-07-01 06년재료비_05-07-26 06년 HA 재료비_41184_개발회의(week21)_KMS-350" xfId="1510"/>
    <cellStyle name="7_05-07-01 06년재료비_05-07-26 06년 HA 재료비1" xfId="1511"/>
    <cellStyle name="7_05-07-01 06년재료비_05-07-26 06년 HA 재료비1_05-08-29 9월1주차HA_41184_김정" xfId="1512"/>
    <cellStyle name="7_05-07-01 06년재료비_05-07-26 06년 HA 재료비1_05-08-29 9월1주차HA_41184_김정_개발회의(week21)_KMS-350" xfId="1513"/>
    <cellStyle name="7_05-07-01 06년재료비_05-07-26 06년 HA 재료비1_개발회의(week21)_KMS-350" xfId="1514"/>
    <cellStyle name="7_05-07-01 06년재료비_05-08-29 9월1주차HA_41184_김정" xfId="1515"/>
    <cellStyle name="7_05-07-01 06년재료비_05-08-29 9월1주차HA_41184_김정_개발회의(week21)_KMS-350" xfId="1516"/>
    <cellStyle name="7_05-07-01 06년재료비_개발회의(week21)_KMS-350" xfId="1517"/>
    <cellStyle name="7_05-07-05 06년재료비_41184" xfId="1518"/>
    <cellStyle name="7_05-07-05 06년재료비_41184_(Q80)05-07-12 06년재료비" xfId="1519"/>
    <cellStyle name="7_05-07-05 06년재료비_41184_(Q80)05-07-12 06년재료비_05-07-18 06년 HA 재료비_41184" xfId="1520"/>
    <cellStyle name="7_05-07-05 06년재료비_41184_(Q80)05-07-12 06년재료비_05-07-18 06년 HA 재료비_41184_05-08-29 9월1주차HA_41184_김정" xfId="1521"/>
    <cellStyle name="7_05-07-05 06년재료비_41184_(Q80)05-07-12 06년재료비_05-07-18 06년 HA 재료비_41184_05-08-29 9월1주차HA_41184_김정_개발회의(week21)_KMS-350" xfId="1522"/>
    <cellStyle name="7_05-07-05 06년재료비_41184_(Q80)05-07-12 06년재료비_05-07-18 06년 HA 재료비_41184_개발회의(week21)_KMS-350" xfId="1523"/>
    <cellStyle name="7_05-07-05 06년재료비_41184_(Q80)05-07-12 06년재료비_05-08-29 9월1주차HA_41184_김정" xfId="1524"/>
    <cellStyle name="7_05-07-05 06년재료비_41184_(Q80)05-07-12 06년재료비_05-08-29 9월1주차HA_41184_김정_개발회의(week21)_KMS-350" xfId="1525"/>
    <cellStyle name="7_05-07-05 06년재료비_41184_(Q80)05-07-12 06년재료비_개발회의(week21)_KMS-350" xfId="1526"/>
    <cellStyle name="7_05-07-05 06년재료비_41184_(R1500)05-07-19 재료비" xfId="1527"/>
    <cellStyle name="7_05-07-05 06년재료비_41184_(R1500)05-07-19 재료비_05-08-29 9월1주차HA_41184_김정" xfId="1528"/>
    <cellStyle name="7_05-07-05 06년재료비_41184_(R1500)05-07-19 재료비_05-08-29 9월1주차HA_41184_김정_개발회의(week21)_KMS-350" xfId="1529"/>
    <cellStyle name="7_05-07-05 06년재료비_41184_(R1500)05-07-19 재료비_개발회의(week21)_KMS-350" xfId="1530"/>
    <cellStyle name="7_05-07-05 06년재료비_41184_05-07-12 06년재료비(Q120)" xfId="1531"/>
    <cellStyle name="7_05-07-05 06년재료비_41184_05-07-12 06년재료비(Q120)_05-07-18 06년 HA 재료비_41184" xfId="1532"/>
    <cellStyle name="7_05-07-05 06년재료비_41184_05-07-12 06년재료비(Q120)_05-07-18 06년 HA 재료비_41184_05-08-29 9월1주차HA_41184_김정" xfId="1533"/>
    <cellStyle name="7_05-07-05 06년재료비_41184_05-07-12 06년재료비(Q120)_05-07-18 06년 HA 재료비_41184_05-08-29 9월1주차HA_41184_김정_개발회의(week21)_KMS-350" xfId="1534"/>
    <cellStyle name="7_05-07-05 06년재료비_41184_05-07-12 06년재료비(Q120)_05-07-18 06년 HA 재료비_41184_개발회의(week21)_KMS-350" xfId="1535"/>
    <cellStyle name="7_05-07-05 06년재료비_41184_05-07-12 06년재료비(Q120)_05-08-29 9월1주차HA_41184_김정" xfId="1536"/>
    <cellStyle name="7_05-07-05 06년재료비_41184_05-07-12 06년재료비(Q120)_05-08-29 9월1주차HA_41184_김정_개발회의(week21)_KMS-350" xfId="1537"/>
    <cellStyle name="7_05-07-05 06년재료비_41184_05-07-12 06년재료비(Q120)_개발회의(week21)_KMS-350" xfId="1538"/>
    <cellStyle name="7_05-07-05 06년재료비_41184_05-07-14 06년재료비" xfId="1539"/>
    <cellStyle name="7_05-07-05 06년재료비_41184_05-07-14 06년재료비_05-07-18 06년 HA 재료비_41184" xfId="1540"/>
    <cellStyle name="7_05-07-05 06년재료비_41184_05-07-14 06년재료비_05-07-18 06년 HA 재료비_41184_05-08-29 9월1주차HA_41184_김정" xfId="1541"/>
    <cellStyle name="7_05-07-05 06년재료비_41184_05-07-14 06년재료비_05-07-18 06년 HA 재료비_41184_05-08-29 9월1주차HA_41184_김정_개발회의(week21)_KMS-350" xfId="1542"/>
    <cellStyle name="7_05-07-05 06년재료비_41184_05-07-14 06년재료비_05-07-18 06년 HA 재료비_41184_개발회의(week21)_KMS-350" xfId="1543"/>
    <cellStyle name="7_05-07-05 06년재료비_41184_05-07-14 06년재료비_05-08-29 9월1주차HA_41184_김정" xfId="1544"/>
    <cellStyle name="7_05-07-05 06년재료비_41184_05-07-14 06년재료비_05-08-29 9월1주차HA_41184_김정_개발회의(week21)_KMS-350" xfId="1545"/>
    <cellStyle name="7_05-07-05 06년재료비_41184_05-07-14 06년재료비_개발회의(week21)_KMS-350" xfId="1546"/>
    <cellStyle name="7_05-07-05 06년재료비_41184_05-07-15 06년재료비 기구스피커" xfId="1547"/>
    <cellStyle name="7_05-07-05 06년재료비_41184_05-07-15 06년재료비 기구스피커_05-07-18 06년 HA 재료비_41184" xfId="1548"/>
    <cellStyle name="7_05-07-05 06년재료비_41184_05-07-15 06년재료비 기구스피커_05-07-18 06년 HA 재료비_41184_05-08-29 9월1주차HA_41184_김정" xfId="1549"/>
    <cellStyle name="7_05-07-05 06년재료비_41184_05-07-15 06년재료비 기구스피커_05-07-18 06년 HA 재료비_41184_05-08-29 9월1주차HA_41184_김정_개발회의(week21)_KMS-350" xfId="1550"/>
    <cellStyle name="7_05-07-05 06년재료비_41184_05-07-15 06년재료비 기구스피커_05-07-18 06년 HA 재료비_41184_개발회의(week21)_KMS-350" xfId="1551"/>
    <cellStyle name="7_05-07-05 06년재료비_41184_05-07-15 06년재료비 기구스피커_05-08-29 9월1주차HA_41184_김정" xfId="1552"/>
    <cellStyle name="7_05-07-05 06년재료비_41184_05-07-15 06년재료비 기구스피커_05-08-29 9월1주차HA_41184_김정_개발회의(week21)_KMS-350" xfId="1553"/>
    <cellStyle name="7_05-07-05 06년재료비_41184_05-07-15 06년재료비 기구스피커_개발회의(week21)_KMS-350" xfId="1554"/>
    <cellStyle name="7_05-07-05 06년재료비_41184_05-07-18 06년 HA 재료비" xfId="1555"/>
    <cellStyle name="7_05-07-05 06년재료비_41184_05-07-18 06년 HA 재료비_05-07-18 06년 HA 재료비_41184" xfId="1556"/>
    <cellStyle name="7_05-07-05 06년재료비_41184_05-07-18 06년 HA 재료비_05-07-18 06년 HA 재료비_41184_05-08-29 9월1주차HA_41184_김정" xfId="1557"/>
    <cellStyle name="7_05-07-05 06년재료비_41184_05-07-18 06년 HA 재료비_05-07-18 06년 HA 재료비_41184_05-08-29 9월1주차HA_41184_김정_개발회의(week21)_KMS-350" xfId="1558"/>
    <cellStyle name="7_05-07-05 06년재료비_41184_05-07-18 06년 HA 재료비_05-07-18 06년 HA 재료비_41184_개발회의(week21)_KMS-350" xfId="1559"/>
    <cellStyle name="7_05-07-05 06년재료비_41184_05-07-18 06년 HA 재료비_05-08-29 9월1주차HA_41184_김정" xfId="1560"/>
    <cellStyle name="7_05-07-05 06년재료비_41184_05-07-18 06년 HA 재료비_05-08-29 9월1주차HA_41184_김정_개발회의(week21)_KMS-350" xfId="1561"/>
    <cellStyle name="7_05-07-05 06년재료비_41184_05-07-18 06년 HA 재료비_41184" xfId="1562"/>
    <cellStyle name="7_05-07-05 06년재료비_41184_05-07-18 06년 HA 재료비_41184_05-08-29 9월1주차HA_41184_김정" xfId="1563"/>
    <cellStyle name="7_05-07-05 06년재료비_41184_05-07-18 06년 HA 재료비_41184_05-08-29 9월1주차HA_41184_김정_개발회의(week21)_KMS-350" xfId="1564"/>
    <cellStyle name="7_05-07-05 06년재료비_41184_05-07-18 06년 HA 재료비_41184_개발회의(week21)_KMS-350" xfId="1565"/>
    <cellStyle name="7_05-07-05 06년재료비_41184_05-07-18 06년 HA 재료비_개발회의(week21)_KMS-350" xfId="1566"/>
    <cellStyle name="7_05-07-05 06년재료비_41184_05-07-23 06년 HA 재료비" xfId="1567"/>
    <cellStyle name="7_05-07-05 06년재료비_41184_05-07-23 06년 HA 재료비_05-08-29 9월1주차HA_41184_김정" xfId="1568"/>
    <cellStyle name="7_05-07-05 06년재료비_41184_05-07-23 06년 HA 재료비_05-08-29 9월1주차HA_41184_김정_개발회의(week21)_KMS-350" xfId="1569"/>
    <cellStyle name="7_05-07-05 06년재료비_41184_05-07-23 06년 HA 재료비_개발회의(week21)_KMS-350" xfId="1570"/>
    <cellStyle name="7_05-07-05 06년재료비_41184_05-07-25 06년 HA 재료비_H2000" xfId="1571"/>
    <cellStyle name="7_05-07-05 06년재료비_41184_05-07-25 06년 HA 재료비_H2000_05-08-29 9월1주차HA_41184_김정" xfId="1572"/>
    <cellStyle name="7_05-07-05 06년재료비_41184_05-07-25 06년 HA 재료비_H2000_05-08-29 9월1주차HA_41184_김정_개발회의(week21)_KMS-350" xfId="1573"/>
    <cellStyle name="7_05-07-05 06년재료비_41184_05-07-25 06년 HA 재료비_H2000_개발회의(week21)_KMS-350" xfId="1574"/>
    <cellStyle name="7_05-07-05 06년재료비_41184_05-07-26 06년 HA 재료비_41184" xfId="1575"/>
    <cellStyle name="7_05-07-05 06년재료비_41184_05-07-26 06년 HA 재료비_41184_05-08-29 9월1주차HA_41184_김정" xfId="1576"/>
    <cellStyle name="7_05-07-05 06년재료비_41184_05-07-26 06년 HA 재료비_41184_05-08-29 9월1주차HA_41184_김정_개발회의(week21)_KMS-350" xfId="1577"/>
    <cellStyle name="7_05-07-05 06년재료비_41184_05-07-26 06년 HA 재료비_41184_개발회의(week21)_KMS-350" xfId="1578"/>
    <cellStyle name="7_05-07-05 06년재료비_41184_05-07-26 06년 HA 재료비1" xfId="1579"/>
    <cellStyle name="7_05-07-05 06년재료비_41184_05-07-26 06년 HA 재료비1_05-08-29 9월1주차HA_41184_김정" xfId="1580"/>
    <cellStyle name="7_05-07-05 06년재료비_41184_05-07-26 06년 HA 재료비1_05-08-29 9월1주차HA_41184_김정_개발회의(week21)_KMS-350" xfId="1581"/>
    <cellStyle name="7_05-07-05 06년재료비_41184_05-07-26 06년 HA 재료비1_개발회의(week21)_KMS-350" xfId="1582"/>
    <cellStyle name="7_05-07-05 06년재료비_41184_05-08-29 9월1주차HA_41184_김정" xfId="1583"/>
    <cellStyle name="7_05-07-05 06년재료비_41184_05-08-29 9월1주차HA_41184_김정_개발회의(week21)_KMS-350" xfId="1584"/>
    <cellStyle name="7_05-07-05 06년재료비_41184_개발회의(week21)_KMS-350" xfId="1585"/>
    <cellStyle name="7_05-07-18 06년 HA 재료비_41184" xfId="1586"/>
    <cellStyle name="7_05-07-18 06년 HA 재료비_41184_05-08-29 9월1주차HA_41184_김정" xfId="1587"/>
    <cellStyle name="7_05-07-18 06년 HA 재료비_41184_05-08-29 9월1주차HA_41184_김정_개발회의(week21)_KMS-350" xfId="1588"/>
    <cellStyle name="7_05-07-18 06년 HA 재료비_41184_개발회의(week21)_KMS-350" xfId="1589"/>
    <cellStyle name="7_05-08-29 9월1주차HA_41184_김정" xfId="1590"/>
    <cellStyle name="7_05-08-29 9월1주차HA_41184_김정_개발회의(week21)_KMS-350" xfId="1591"/>
    <cellStyle name="7_05-12-26 12월4주차HA" xfId="1592"/>
    <cellStyle name="7_05-12-26 12월4주차HA_개발회의(week21)_KMS-350" xfId="1593"/>
    <cellStyle name="7_개발회의(week21)_KMS-350" xfId="1594"/>
    <cellStyle name="7_자재비절감(회의)-050110_63342" xfId="1595"/>
    <cellStyle name="7_자재비절감(회의)-050110_63342_05-07-01 06년재료비" xfId="1596"/>
    <cellStyle name="7_자재비절감(회의)-050110_63342_05-07-01 06년재료비_(Q80)05-07-12 06년재료비" xfId="1597"/>
    <cellStyle name="7_자재비절감(회의)-050110_63342_05-07-01 06년재료비_(Q80)05-07-12 06년재료비_05-07-18 06년 HA 재료비_41184" xfId="1598"/>
    <cellStyle name="7_자재비절감(회의)-050110_63342_05-07-01 06년재료비_(Q80)05-07-12 06년재료비_05-07-18 06년 HA 재료비_41184_05-08-29 9월1주차HA_41184_김정" xfId="1599"/>
    <cellStyle name="7_자재비절감(회의)-050110_63342_05-07-01 06년재료비_(Q80)05-07-12 06년재료비_05-07-18 06년 HA 재료비_41184_05-08-29 9월1주차HA_41184_김정_개발회의(week21)_KMS-350" xfId="1600"/>
    <cellStyle name="7_자재비절감(회의)-050110_63342_05-07-01 06년재료비_(Q80)05-07-12 06년재료비_05-07-18 06년 HA 재료비_41184_개발회의(week21)_KMS-350" xfId="1601"/>
    <cellStyle name="7_자재비절감(회의)-050110_63342_05-07-01 06년재료비_(Q80)05-07-12 06년재료비_05-08-29 9월1주차HA_41184_김정" xfId="1602"/>
    <cellStyle name="7_자재비절감(회의)-050110_63342_05-07-01 06년재료비_(Q80)05-07-12 06년재료비_05-08-29 9월1주차HA_41184_김정_개발회의(week21)_KMS-350" xfId="1603"/>
    <cellStyle name="7_자재비절감(회의)-050110_63342_05-07-01 06년재료비_(Q80)05-07-12 06년재료비_개발회의(week21)_KMS-350" xfId="1604"/>
    <cellStyle name="7_자재비절감(회의)-050110_63342_05-07-01 06년재료비_(R1500)05-07-19 재료비" xfId="1605"/>
    <cellStyle name="7_자재비절감(회의)-050110_63342_05-07-01 06년재료비_(R1500)05-07-19 재료비_05-08-29 9월1주차HA_41184_김정" xfId="1606"/>
    <cellStyle name="7_자재비절감(회의)-050110_63342_05-07-01 06년재료비_(R1500)05-07-19 재료비_05-08-29 9월1주차HA_41184_김정_개발회의(week21)_KMS-350" xfId="1607"/>
    <cellStyle name="7_자재비절감(회의)-050110_63342_05-07-01 06년재료비_(R1500)05-07-19 재료비_개발회의(week21)_KMS-350" xfId="1608"/>
    <cellStyle name="7_자재비절감(회의)-050110_63342_05-07-01 06년재료비_05-07-12 06년재료비(Q120)" xfId="1609"/>
    <cellStyle name="7_자재비절감(회의)-050110_63342_05-07-01 06년재료비_05-07-12 06년재료비(Q120)_05-07-18 06년 HA 재료비_41184" xfId="1610"/>
    <cellStyle name="7_자재비절감(회의)-050110_63342_05-07-01 06년재료비_05-07-12 06년재료비(Q120)_05-07-18 06년 HA 재료비_41184_05-08-29 9월1주차HA_41184_김정" xfId="1611"/>
    <cellStyle name="7_자재비절감(회의)-050110_63342_05-07-01 06년재료비_05-07-12 06년재료비(Q120)_05-07-18 06년 HA 재료비_41184_05-08-29 9월1주차HA_41184_김정_개발회의(week21)_KMS-350" xfId="1612"/>
    <cellStyle name="7_자재비절감(회의)-050110_63342_05-07-01 06년재료비_05-07-12 06년재료비(Q120)_05-07-18 06년 HA 재료비_41184_개발회의(week21)_KMS-350" xfId="1613"/>
    <cellStyle name="7_자재비절감(회의)-050110_63342_05-07-01 06년재료비_05-07-12 06년재료비(Q120)_05-08-29 9월1주차HA_41184_김정" xfId="1614"/>
    <cellStyle name="7_자재비절감(회의)-050110_63342_05-07-01 06년재료비_05-07-12 06년재료비(Q120)_05-08-29 9월1주차HA_41184_김정_개발회의(week21)_KMS-350" xfId="1615"/>
    <cellStyle name="7_자재비절감(회의)-050110_63342_05-07-01 06년재료비_05-07-12 06년재료비(Q120)_개발회의(week21)_KMS-350" xfId="1616"/>
    <cellStyle name="7_자재비절감(회의)-050110_63342_05-07-01 06년재료비_05-07-14 06년재료비" xfId="1617"/>
    <cellStyle name="7_자재비절감(회의)-050110_63342_05-07-01 06년재료비_05-07-14 06년재료비_05-07-18 06년 HA 재료비_41184" xfId="1618"/>
    <cellStyle name="7_자재비절감(회의)-050110_63342_05-07-01 06년재료비_05-07-14 06년재료비_05-07-18 06년 HA 재료비_41184_05-08-29 9월1주차HA_41184_김정" xfId="1619"/>
    <cellStyle name="7_자재비절감(회의)-050110_63342_05-07-01 06년재료비_05-07-14 06년재료비_05-07-18 06년 HA 재료비_41184_05-08-29 9월1주차HA_41184_김정_개발회의(week21)_KMS-350" xfId="1620"/>
    <cellStyle name="7_자재비절감(회의)-050110_63342_05-07-01 06년재료비_05-07-14 06년재료비_05-07-18 06년 HA 재료비_41184_개발회의(week21)_KMS-350" xfId="1621"/>
    <cellStyle name="7_자재비절감(회의)-050110_63342_05-07-01 06년재료비_05-07-14 06년재료비_05-08-29 9월1주차HA_41184_김정" xfId="1622"/>
    <cellStyle name="7_자재비절감(회의)-050110_63342_05-07-01 06년재료비_05-07-14 06년재료비_05-08-29 9월1주차HA_41184_김정_개발회의(week21)_KMS-350" xfId="1623"/>
    <cellStyle name="7_자재비절감(회의)-050110_63342_05-07-01 06년재료비_05-07-14 06년재료비_개발회의(week21)_KMS-350" xfId="1624"/>
    <cellStyle name="7_자재비절감(회의)-050110_63342_05-07-01 06년재료비_05-07-15 06년재료비 기구스피커" xfId="1625"/>
    <cellStyle name="7_자재비절감(회의)-050110_63342_05-07-01 06년재료비_05-07-15 06년재료비 기구스피커_05-07-18 06년 HA 재료비_41184" xfId="1626"/>
    <cellStyle name="7_자재비절감(회의)-050110_63342_05-07-01 06년재료비_05-07-15 06년재료비 기구스피커_05-07-18 06년 HA 재료비_41184_05-08-29 9월1주차HA_41184_김정" xfId="1627"/>
    <cellStyle name="7_자재비절감(회의)-050110_63342_05-07-01 06년재료비_05-07-15 06년재료비 기구스피커_05-07-18 06년 HA 재료비_41184_05-08-29 9월1주차HA_41184_김정_개발회의(week21)_KMS-350" xfId="1628"/>
    <cellStyle name="7_자재비절감(회의)-050110_63342_05-07-01 06년재료비_05-07-15 06년재료비 기구스피커_05-07-18 06년 HA 재료비_41184_개발회의(week21)_KMS-350" xfId="1629"/>
    <cellStyle name="7_자재비절감(회의)-050110_63342_05-07-01 06년재료비_05-07-15 06년재료비 기구스피커_05-08-29 9월1주차HA_41184_김정" xfId="1630"/>
    <cellStyle name="7_자재비절감(회의)-050110_63342_05-07-01 06년재료비_05-07-15 06년재료비 기구스피커_05-08-29 9월1주차HA_41184_김정_개발회의(week21)_KMS-350" xfId="1631"/>
    <cellStyle name="7_자재비절감(회의)-050110_63342_05-07-01 06년재료비_05-07-15 06년재료비 기구스피커_개발회의(week21)_KMS-350" xfId="1632"/>
    <cellStyle name="7_자재비절감(회의)-050110_63342_05-07-01 06년재료비_05-07-18 06년 HA 재료비" xfId="1633"/>
    <cellStyle name="7_자재비절감(회의)-050110_63342_05-07-01 06년재료비_05-07-18 06년 HA 재료비_05-07-18 06년 HA 재료비_41184" xfId="1634"/>
    <cellStyle name="7_자재비절감(회의)-050110_63342_05-07-01 06년재료비_05-07-18 06년 HA 재료비_05-07-18 06년 HA 재료비_41184_05-08-29 9월1주차HA_41184_김정" xfId="1635"/>
    <cellStyle name="7_자재비절감(회의)-050110_63342_05-07-01 06년재료비_05-07-18 06년 HA 재료비_05-07-18 06년 HA 재료비_41184_05-08-29 9월1주차HA_41184_김정_개발회의(week21)_KMS-350" xfId="1636"/>
    <cellStyle name="7_자재비절감(회의)-050110_63342_05-07-01 06년재료비_05-07-18 06년 HA 재료비_05-07-18 06년 HA 재료비_41184_개발회의(week21)_KMS-350" xfId="1637"/>
    <cellStyle name="7_자재비절감(회의)-050110_63342_05-07-01 06년재료비_05-07-18 06년 HA 재료비_05-08-29 9월1주차HA_41184_김정" xfId="1638"/>
    <cellStyle name="7_자재비절감(회의)-050110_63342_05-07-01 06년재료비_05-07-18 06년 HA 재료비_05-08-29 9월1주차HA_41184_김정_개발회의(week21)_KMS-350" xfId="1639"/>
    <cellStyle name="7_자재비절감(회의)-050110_63342_05-07-01 06년재료비_05-07-18 06년 HA 재료비_41184" xfId="1640"/>
    <cellStyle name="7_자재비절감(회의)-050110_63342_05-07-01 06년재료비_05-07-18 06년 HA 재료비_41184_05-08-29 9월1주차HA_41184_김정" xfId="1641"/>
    <cellStyle name="7_자재비절감(회의)-050110_63342_05-07-01 06년재료비_05-07-18 06년 HA 재료비_41184_05-08-29 9월1주차HA_41184_김정_개발회의(week21)_KMS-350" xfId="1642"/>
    <cellStyle name="7_자재비절감(회의)-050110_63342_05-07-01 06년재료비_05-07-18 06년 HA 재료비_41184_개발회의(week21)_KMS-350" xfId="1643"/>
    <cellStyle name="7_자재비절감(회의)-050110_63342_05-07-01 06년재료비_05-07-18 06년 HA 재료비_개발회의(week21)_KMS-350" xfId="1644"/>
    <cellStyle name="7_자재비절감(회의)-050110_63342_05-07-01 06년재료비_05-07-23 06년 HA 재료비" xfId="1645"/>
    <cellStyle name="7_자재비절감(회의)-050110_63342_05-07-01 06년재료비_05-07-23 06년 HA 재료비_05-08-29 9월1주차HA_41184_김정" xfId="1646"/>
    <cellStyle name="7_자재비절감(회의)-050110_63342_05-07-01 06년재료비_05-07-23 06년 HA 재료비_05-08-29 9월1주차HA_41184_김정_개발회의(week21)_KMS-350" xfId="1647"/>
    <cellStyle name="7_자재비절감(회의)-050110_63342_05-07-01 06년재료비_05-07-23 06년 HA 재료비_개발회의(week21)_KMS-350" xfId="1648"/>
    <cellStyle name="7_자재비절감(회의)-050110_63342_05-07-01 06년재료비_05-07-25 06년 HA 재료비_H2000" xfId="1649"/>
    <cellStyle name="7_자재비절감(회의)-050110_63342_05-07-01 06년재료비_05-07-25 06년 HA 재료비_H2000_05-08-29 9월1주차HA_41184_김정" xfId="1650"/>
    <cellStyle name="7_자재비절감(회의)-050110_63342_05-07-01 06년재료비_05-07-25 06년 HA 재료비_H2000_05-08-29 9월1주차HA_41184_김정_개발회의(week21)_KMS-350" xfId="1651"/>
    <cellStyle name="7_자재비절감(회의)-050110_63342_05-07-01 06년재료비_05-07-25 06년 HA 재료비_H2000_개발회의(week21)_KMS-350" xfId="1652"/>
    <cellStyle name="7_자재비절감(회의)-050110_63342_05-07-01 06년재료비_05-07-26 06년 HA 재료비_41184" xfId="1653"/>
    <cellStyle name="7_자재비절감(회의)-050110_63342_05-07-01 06년재료비_05-07-26 06년 HA 재료비_41184_05-08-29 9월1주차HA_41184_김정" xfId="1654"/>
    <cellStyle name="7_자재비절감(회의)-050110_63342_05-07-01 06년재료비_05-07-26 06년 HA 재료비_41184_05-08-29 9월1주차HA_41184_김정_개발회의(week21)_KMS-350" xfId="1655"/>
    <cellStyle name="7_자재비절감(회의)-050110_63342_05-07-01 06년재료비_05-07-26 06년 HA 재료비_41184_개발회의(week21)_KMS-350" xfId="1656"/>
    <cellStyle name="7_자재비절감(회의)-050110_63342_05-07-01 06년재료비_05-07-26 06년 HA 재료비1" xfId="1657"/>
    <cellStyle name="7_자재비절감(회의)-050110_63342_05-07-01 06년재료비_05-07-26 06년 HA 재료비1_05-08-29 9월1주차HA_41184_김정" xfId="1658"/>
    <cellStyle name="7_자재비절감(회의)-050110_63342_05-07-01 06년재료비_05-07-26 06년 HA 재료비1_05-08-29 9월1주차HA_41184_김정_개발회의(week21)_KMS-350" xfId="1659"/>
    <cellStyle name="7_자재비절감(회의)-050110_63342_05-07-01 06년재료비_05-07-26 06년 HA 재료비1_개발회의(week21)_KMS-350" xfId="1660"/>
    <cellStyle name="7_자재비절감(회의)-050110_63342_05-07-01 06년재료비_05-08-29 9월1주차HA_41184_김정" xfId="1661"/>
    <cellStyle name="7_자재비절감(회의)-050110_63342_05-07-01 06년재료비_05-08-29 9월1주차HA_41184_김정_개발회의(week21)_KMS-350" xfId="1662"/>
    <cellStyle name="7_자재비절감(회의)-050110_63342_05-07-01 06년재료비_개발회의(week21)_KMS-350" xfId="1663"/>
    <cellStyle name="7_자재비절감(회의)-050110_63342_05-07-05 06년재료비_41184" xfId="1664"/>
    <cellStyle name="7_자재비절감(회의)-050110_63342_05-07-05 06년재료비_41184_(Q80)05-07-12 06년재료비" xfId="1665"/>
    <cellStyle name="7_자재비절감(회의)-050110_63342_05-07-05 06년재료비_41184_(Q80)05-07-12 06년재료비_05-07-18 06년 HA 재료비_41184" xfId="1666"/>
    <cellStyle name="7_자재비절감(회의)-050110_63342_05-07-05 06년재료비_41184_(Q80)05-07-12 06년재료비_05-07-18 06년 HA 재료비_41184_05-08-29 9월1주차HA_41184_김정" xfId="1667"/>
    <cellStyle name="7_자재비절감(회의)-050110_63342_05-07-05 06년재료비_41184_(Q80)05-07-12 06년재료비_05-07-18 06년 HA 재료비_41184_05-08-29 9월1주차HA_41184_김정_개발회의(week21)_KMS-350" xfId="1668"/>
    <cellStyle name="7_자재비절감(회의)-050110_63342_05-07-05 06년재료비_41184_(Q80)05-07-12 06년재료비_05-07-18 06년 HA 재료비_41184_개발회의(week21)_KMS-350" xfId="1669"/>
    <cellStyle name="7_자재비절감(회의)-050110_63342_05-07-05 06년재료비_41184_(Q80)05-07-12 06년재료비_05-08-29 9월1주차HA_41184_김정" xfId="1670"/>
    <cellStyle name="7_자재비절감(회의)-050110_63342_05-07-05 06년재료비_41184_(Q80)05-07-12 06년재료비_05-08-29 9월1주차HA_41184_김정_개발회의(week21)_KMS-350" xfId="1671"/>
    <cellStyle name="7_자재비절감(회의)-050110_63342_05-07-05 06년재료비_41184_(Q80)05-07-12 06년재료비_개발회의(week21)_KMS-350" xfId="1672"/>
    <cellStyle name="7_자재비절감(회의)-050110_63342_05-07-05 06년재료비_41184_(R1500)05-07-19 재료비" xfId="1673"/>
    <cellStyle name="7_자재비절감(회의)-050110_63342_05-07-05 06년재료비_41184_(R1500)05-07-19 재료비_05-08-29 9월1주차HA_41184_김정" xfId="1674"/>
    <cellStyle name="7_자재비절감(회의)-050110_63342_05-07-05 06년재료비_41184_(R1500)05-07-19 재료비_05-08-29 9월1주차HA_41184_김정_개발회의(week21)_KMS-350" xfId="1675"/>
    <cellStyle name="7_자재비절감(회의)-050110_63342_05-07-05 06년재료비_41184_(R1500)05-07-19 재료비_개발회의(week21)_KMS-350" xfId="1676"/>
    <cellStyle name="7_자재비절감(회의)-050110_63342_05-07-05 06년재료비_41184_05-07-12 06년재료비(Q120)" xfId="1677"/>
    <cellStyle name="7_자재비절감(회의)-050110_63342_05-07-05 06년재료비_41184_05-07-12 06년재료비(Q120)_05-07-18 06년 HA 재료비_41184" xfId="1678"/>
    <cellStyle name="7_자재비절감(회의)-050110_63342_05-07-05 06년재료비_41184_05-07-12 06년재료비(Q120)_05-07-18 06년 HA 재료비_41184_05-08-29 9월1주차HA_41184_김정" xfId="1679"/>
    <cellStyle name="7_자재비절감(회의)-050110_63342_05-07-05 06년재료비_41184_05-07-12 06년재료비(Q120)_05-07-18 06년 HA 재료비_41184_05-08-29 9월1주차HA_41184_김정_개발회의(week21)_KMS-350" xfId="1680"/>
    <cellStyle name="7_자재비절감(회의)-050110_63342_05-07-05 06년재료비_41184_05-07-12 06년재료비(Q120)_05-07-18 06년 HA 재료비_41184_개발회의(week21)_KMS-350" xfId="1681"/>
    <cellStyle name="7_자재비절감(회의)-050110_63342_05-07-05 06년재료비_41184_05-07-12 06년재료비(Q120)_05-08-29 9월1주차HA_41184_김정" xfId="1682"/>
    <cellStyle name="7_자재비절감(회의)-050110_63342_05-07-05 06년재료비_41184_05-07-12 06년재료비(Q120)_05-08-29 9월1주차HA_41184_김정_개발회의(week21)_KMS-350" xfId="1683"/>
    <cellStyle name="7_자재비절감(회의)-050110_63342_05-07-05 06년재료비_41184_05-07-12 06년재료비(Q120)_개발회의(week21)_KMS-350" xfId="1684"/>
    <cellStyle name="7_자재비절감(회의)-050110_63342_05-07-05 06년재료비_41184_05-07-14 06년재료비" xfId="1685"/>
    <cellStyle name="7_자재비절감(회의)-050110_63342_05-07-05 06년재료비_41184_05-07-14 06년재료비_05-07-18 06년 HA 재료비_41184" xfId="1686"/>
    <cellStyle name="7_자재비절감(회의)-050110_63342_05-07-05 06년재료비_41184_05-07-14 06년재료비_05-07-18 06년 HA 재료비_41184_05-08-29 9월1주차HA_41184_김정" xfId="1687"/>
    <cellStyle name="7_자재비절감(회의)-050110_63342_05-07-05 06년재료비_41184_05-07-14 06년재료비_05-07-18 06년 HA 재료비_41184_05-08-29 9월1주차HA_41184_김정_개발회의(week21)_KMS-350" xfId="1688"/>
    <cellStyle name="7_자재비절감(회의)-050110_63342_05-07-05 06년재료비_41184_05-07-14 06년재료비_05-07-18 06년 HA 재료비_41184_개발회의(week21)_KMS-350" xfId="1689"/>
    <cellStyle name="7_자재비절감(회의)-050110_63342_05-07-05 06년재료비_41184_05-07-14 06년재료비_05-08-29 9월1주차HA_41184_김정" xfId="1690"/>
    <cellStyle name="7_자재비절감(회의)-050110_63342_05-07-05 06년재료비_41184_05-07-14 06년재료비_05-08-29 9월1주차HA_41184_김정_개발회의(week21)_KMS-350" xfId="1691"/>
    <cellStyle name="7_자재비절감(회의)-050110_63342_05-07-05 06년재료비_41184_05-07-14 06년재료비_개발회의(week21)_KMS-350" xfId="1692"/>
    <cellStyle name="7_자재비절감(회의)-050110_63342_05-07-05 06년재료비_41184_05-07-15 06년재료비 기구스피커" xfId="1693"/>
    <cellStyle name="7_자재비절감(회의)-050110_63342_05-07-05 06년재료비_41184_05-07-15 06년재료비 기구스피커_05-07-18 06년 HA 재료비_41184" xfId="1694"/>
    <cellStyle name="7_자재비절감(회의)-050110_63342_05-07-05 06년재료비_41184_05-07-15 06년재료비 기구스피커_05-07-18 06년 HA 재료비_41184_05-08-29 9월1주차HA_41184_김정" xfId="1695"/>
    <cellStyle name="7_자재비절감(회의)-050110_63342_05-07-05 06년재료비_41184_05-07-15 06년재료비 기구스피커_05-07-18 06년 HA 재료비_41184_05-08-29 9월1주차HA_41184_김정_개발회의(week21)_KMS-350" xfId="1696"/>
    <cellStyle name="7_자재비절감(회의)-050110_63342_05-07-05 06년재료비_41184_05-07-15 06년재료비 기구스피커_05-07-18 06년 HA 재료비_41184_개발회의(week21)_KMS-350" xfId="1697"/>
    <cellStyle name="7_자재비절감(회의)-050110_63342_05-07-05 06년재료비_41184_05-07-15 06년재료비 기구스피커_05-08-29 9월1주차HA_41184_김정" xfId="1698"/>
    <cellStyle name="7_자재비절감(회의)-050110_63342_05-07-05 06년재료비_41184_05-07-15 06년재료비 기구스피커_05-08-29 9월1주차HA_41184_김정_개발회의(week21)_KMS-350" xfId="1699"/>
    <cellStyle name="7_자재비절감(회의)-050110_63342_05-07-05 06년재료비_41184_05-07-15 06년재료비 기구스피커_개발회의(week21)_KMS-350" xfId="1700"/>
    <cellStyle name="7_자재비절감(회의)-050110_63342_05-07-05 06년재료비_41184_05-07-18 06년 HA 재료비" xfId="1701"/>
    <cellStyle name="7_자재비절감(회의)-050110_63342_05-07-05 06년재료비_41184_05-07-18 06년 HA 재료비_05-07-18 06년 HA 재료비_41184" xfId="1702"/>
    <cellStyle name="7_자재비절감(회의)-050110_63342_05-07-05 06년재료비_41184_05-07-18 06년 HA 재료비_05-07-18 06년 HA 재료비_41184_05-08-29 9월1주차HA_41184_김정" xfId="1703"/>
    <cellStyle name="7_자재비절감(회의)-050110_63342_05-07-05 06년재료비_41184_05-07-18 06년 HA 재료비_05-07-18 06년 HA 재료비_41184_05-08-29 9월1주차HA_41184_김정_개발회의(week21)_KMS-350" xfId="1704"/>
    <cellStyle name="7_자재비절감(회의)-050110_63342_05-07-05 06년재료비_41184_05-07-18 06년 HA 재료비_05-07-18 06년 HA 재료비_41184_개발회의(week21)_KMS-350" xfId="1705"/>
    <cellStyle name="7_자재비절감(회의)-050110_63342_05-07-05 06년재료비_41184_05-07-18 06년 HA 재료비_05-08-29 9월1주차HA_41184_김정" xfId="1706"/>
    <cellStyle name="7_자재비절감(회의)-050110_63342_05-07-05 06년재료비_41184_05-07-18 06년 HA 재료비_05-08-29 9월1주차HA_41184_김정_개발회의(week21)_KMS-350" xfId="1707"/>
    <cellStyle name="7_자재비절감(회의)-050110_63342_05-07-05 06년재료비_41184_05-07-18 06년 HA 재료비_41184" xfId="1708"/>
    <cellStyle name="7_자재비절감(회의)-050110_63342_05-07-05 06년재료비_41184_05-07-18 06년 HA 재료비_41184_05-08-29 9월1주차HA_41184_김정" xfId="1709"/>
    <cellStyle name="7_자재비절감(회의)-050110_63342_05-07-05 06년재료비_41184_05-07-18 06년 HA 재료비_41184_05-08-29 9월1주차HA_41184_김정_개발회의(week21)_KMS-350" xfId="1710"/>
    <cellStyle name="7_자재비절감(회의)-050110_63342_05-07-05 06년재료비_41184_05-07-18 06년 HA 재료비_41184_개발회의(week21)_KMS-350" xfId="1711"/>
    <cellStyle name="7_자재비절감(회의)-050110_63342_05-07-05 06년재료비_41184_05-07-18 06년 HA 재료비_개발회의(week21)_KMS-350" xfId="1712"/>
    <cellStyle name="7_자재비절감(회의)-050110_63342_05-07-05 06년재료비_41184_05-07-23 06년 HA 재료비" xfId="1713"/>
    <cellStyle name="7_자재비절감(회의)-050110_63342_05-07-05 06년재료비_41184_05-07-23 06년 HA 재료비_05-08-29 9월1주차HA_41184_김정" xfId="1714"/>
    <cellStyle name="7_자재비절감(회의)-050110_63342_05-07-05 06년재료비_41184_05-07-23 06년 HA 재료비_05-08-29 9월1주차HA_41184_김정_개발회의(week21)_KMS-350" xfId="1715"/>
    <cellStyle name="7_자재비절감(회의)-050110_63342_05-07-05 06년재료비_41184_05-07-23 06년 HA 재료비_개발회의(week21)_KMS-350" xfId="1716"/>
    <cellStyle name="7_자재비절감(회의)-050110_63342_05-07-05 06년재료비_41184_05-07-25 06년 HA 재료비_H2000" xfId="1717"/>
    <cellStyle name="7_자재비절감(회의)-050110_63342_05-07-05 06년재료비_41184_05-07-25 06년 HA 재료비_H2000_05-08-29 9월1주차HA_41184_김정" xfId="1718"/>
    <cellStyle name="7_자재비절감(회의)-050110_63342_05-07-05 06년재료비_41184_05-07-25 06년 HA 재료비_H2000_05-08-29 9월1주차HA_41184_김정_개발회의(week21)_KMS-350" xfId="1719"/>
    <cellStyle name="7_자재비절감(회의)-050110_63342_05-07-05 06년재료비_41184_05-07-25 06년 HA 재료비_H2000_개발회의(week21)_KMS-350" xfId="1720"/>
    <cellStyle name="7_자재비절감(회의)-050110_63342_05-07-05 06년재료비_41184_05-07-26 06년 HA 재료비_41184" xfId="1721"/>
    <cellStyle name="7_자재비절감(회의)-050110_63342_05-07-05 06년재료비_41184_05-07-26 06년 HA 재료비_41184_05-08-29 9월1주차HA_41184_김정" xfId="1722"/>
    <cellStyle name="7_자재비절감(회의)-050110_63342_05-07-05 06년재료비_41184_05-07-26 06년 HA 재료비_41184_05-08-29 9월1주차HA_41184_김정_개발회의(week21)_KMS-350" xfId="1723"/>
    <cellStyle name="7_자재비절감(회의)-050110_63342_05-07-05 06년재료비_41184_05-07-26 06년 HA 재료비_41184_개발회의(week21)_KMS-350" xfId="1724"/>
    <cellStyle name="7_자재비절감(회의)-050110_63342_05-07-05 06년재료비_41184_05-07-26 06년 HA 재료비1" xfId="1725"/>
    <cellStyle name="7_자재비절감(회의)-050110_63342_05-07-05 06년재료비_41184_05-07-26 06년 HA 재료비1_05-08-29 9월1주차HA_41184_김정" xfId="1726"/>
    <cellStyle name="7_자재비절감(회의)-050110_63342_05-07-05 06년재료비_41184_05-07-26 06년 HA 재료비1_05-08-29 9월1주차HA_41184_김정_개발회의(week21)_KMS-350" xfId="1727"/>
    <cellStyle name="7_자재비절감(회의)-050110_63342_05-07-05 06년재료비_41184_05-07-26 06년 HA 재료비1_개발회의(week21)_KMS-350" xfId="1728"/>
    <cellStyle name="7_자재비절감(회의)-050110_63342_05-07-05 06년재료비_41184_05-08-29 9월1주차HA_41184_김정" xfId="1729"/>
    <cellStyle name="7_자재비절감(회의)-050110_63342_05-07-05 06년재료비_41184_05-08-29 9월1주차HA_41184_김정_개발회의(week21)_KMS-350" xfId="1730"/>
    <cellStyle name="7_자재비절감(회의)-050110_63342_05-07-05 06년재료비_41184_개발회의(week21)_KMS-350" xfId="1731"/>
    <cellStyle name="7_자재비절감(회의)-050110_63342_05-07-18 06년 HA 재료비_41184" xfId="1732"/>
    <cellStyle name="7_자재비절감(회의)-050110_63342_05-07-18 06년 HA 재료비_41184_05-08-29 9월1주차HA_41184_김정" xfId="1733"/>
    <cellStyle name="7_자재비절감(회의)-050110_63342_05-07-18 06년 HA 재료비_41184_05-08-29 9월1주차HA_41184_김정_개발회의(week21)_KMS-350" xfId="1734"/>
    <cellStyle name="7_자재비절감(회의)-050110_63342_05-07-18 06년 HA 재료비_41184_개발회의(week21)_KMS-350" xfId="1735"/>
    <cellStyle name="7_자재비절감(회의)-050110_63342_05-08-29 9월1주차HA_41184_김정" xfId="1736"/>
    <cellStyle name="7_자재비절감(회의)-050110_63342_05-08-29 9월1주차HA_41184_김정_개발회의(week21)_KMS-350" xfId="1737"/>
    <cellStyle name="7_자재비절감(회의)-050110_63342_개발회의(week21)_KMS-350" xfId="1738"/>
    <cellStyle name="7_재료비CM350_1216" xfId="1739"/>
    <cellStyle name="7_재료비CM350_1216_04HTS재료비030902_63342" xfId="1740"/>
    <cellStyle name="7_재료비CM350_1216_04HTS재료비030902_63342_05-07-01 06년재료비" xfId="1741"/>
    <cellStyle name="7_재료비CM350_1216_04HTS재료비030902_63342_05-07-01 06년재료비_(Q80)05-07-12 06년재료비" xfId="1742"/>
    <cellStyle name="7_재료비CM350_1216_04HTS재료비030902_63342_05-07-01 06년재료비_(Q80)05-07-12 06년재료비_05-07-18 06년 HA 재료비_41184" xfId="1743"/>
    <cellStyle name="7_재료비CM350_1216_04HTS재료비030902_63342_05-07-01 06년재료비_(Q80)05-07-12 06년재료비_05-07-18 06년 HA 재료비_41184_05-08-29 9월1주차HA_41184_김정" xfId="1744"/>
    <cellStyle name="7_재료비CM350_1216_04HTS재료비030902_63342_05-07-01 06년재료비_(Q80)05-07-12 06년재료비_05-07-18 06년 HA 재료비_41184_05-08-29 9월1주차HA_41184_김정_개발회의(week21)_KMS-350" xfId="1745"/>
    <cellStyle name="7_재료비CM350_1216_04HTS재료비030902_63342_05-07-01 06년재료비_(Q80)05-07-12 06년재료비_05-07-18 06년 HA 재료비_41184_개발회의(week21)_KMS-350" xfId="1746"/>
    <cellStyle name="7_재료비CM350_1216_04HTS재료비030902_63342_05-07-01 06년재료비_(Q80)05-07-12 06년재료비_05-08-29 9월1주차HA_41184_김정" xfId="1747"/>
    <cellStyle name="7_재료비CM350_1216_04HTS재료비030902_63342_05-07-01 06년재료비_(Q80)05-07-12 06년재료비_05-08-29 9월1주차HA_41184_김정_개발회의(week21)_KMS-350" xfId="1748"/>
    <cellStyle name="7_재료비CM350_1216_04HTS재료비030902_63342_05-07-01 06년재료비_(Q80)05-07-12 06년재료비_개발회의(week21)_KMS-350" xfId="1749"/>
    <cellStyle name="7_재료비CM350_1216_04HTS재료비030902_63342_05-07-01 06년재료비_(R1500)05-07-19 재료비" xfId="1750"/>
    <cellStyle name="7_재료비CM350_1216_04HTS재료비030902_63342_05-07-01 06년재료비_(R1500)05-07-19 재료비_05-08-29 9월1주차HA_41184_김정" xfId="1751"/>
    <cellStyle name="7_재료비CM350_1216_04HTS재료비030902_63342_05-07-01 06년재료비_(R1500)05-07-19 재료비_05-08-29 9월1주차HA_41184_김정_개발회의(week21)_KMS-350" xfId="1752"/>
    <cellStyle name="7_재료비CM350_1216_04HTS재료비030902_63342_05-07-01 06년재료비_(R1500)05-07-19 재료비_개발회의(week21)_KMS-350" xfId="1753"/>
    <cellStyle name="7_재료비CM350_1216_04HTS재료비030902_63342_05-07-01 06년재료비_05-07-12 06년재료비(Q120)" xfId="1754"/>
    <cellStyle name="7_재료비CM350_1216_04HTS재료비030902_63342_05-07-01 06년재료비_05-07-12 06년재료비(Q120)_05-07-18 06년 HA 재료비_41184" xfId="1755"/>
    <cellStyle name="7_재료비CM350_1216_04HTS재료비030902_63342_05-07-01 06년재료비_05-07-12 06년재료비(Q120)_05-07-18 06년 HA 재료비_41184_05-08-29 9월1주차HA_41184_김정" xfId="1756"/>
    <cellStyle name="7_재료비CM350_1216_04HTS재료비030902_63342_05-07-01 06년재료비_05-07-12 06년재료비(Q120)_05-07-18 06년 HA 재료비_41184_05-08-29 9월1주차HA_41184_김정_개발회의(week21)_KMS-350" xfId="1757"/>
    <cellStyle name="7_재료비CM350_1216_04HTS재료비030902_63342_05-07-01 06년재료비_05-07-12 06년재료비(Q120)_05-07-18 06년 HA 재료비_41184_개발회의(week21)_KMS-350" xfId="1758"/>
    <cellStyle name="7_재료비CM350_1216_04HTS재료비030902_63342_05-07-01 06년재료비_05-07-12 06년재료비(Q120)_05-08-29 9월1주차HA_41184_김정" xfId="1759"/>
    <cellStyle name="7_재료비CM350_1216_04HTS재료비030902_63342_05-07-01 06년재료비_05-07-12 06년재료비(Q120)_05-08-29 9월1주차HA_41184_김정_개발회의(week21)_KMS-350" xfId="1760"/>
    <cellStyle name="7_재료비CM350_1216_04HTS재료비030902_63342_05-07-01 06년재료비_05-07-12 06년재료비(Q120)_개발회의(week21)_KMS-350" xfId="1761"/>
    <cellStyle name="7_재료비CM350_1216_04HTS재료비030902_63342_05-07-01 06년재료비_05-07-14 06년재료비" xfId="1762"/>
    <cellStyle name="7_재료비CM350_1216_04HTS재료비030902_63342_05-07-01 06년재료비_05-07-14 06년재료비_05-07-18 06년 HA 재료비_41184" xfId="1763"/>
    <cellStyle name="7_재료비CM350_1216_04HTS재료비030902_63342_05-07-01 06년재료비_05-07-14 06년재료비_05-07-18 06년 HA 재료비_41184_05-08-29 9월1주차HA_41184_김정" xfId="1764"/>
    <cellStyle name="7_재료비CM350_1216_04HTS재료비030902_63342_05-07-01 06년재료비_05-07-14 06년재료비_05-07-18 06년 HA 재료비_41184_05-08-29 9월1주차HA_41184_김정_개발회의(week21)_KMS-350" xfId="1765"/>
    <cellStyle name="7_재료비CM350_1216_04HTS재료비030902_63342_05-07-01 06년재료비_05-07-14 06년재료비_05-07-18 06년 HA 재료비_41184_개발회의(week21)_KMS-350" xfId="1766"/>
    <cellStyle name="7_재료비CM350_1216_04HTS재료비030902_63342_05-07-01 06년재료비_05-07-14 06년재료비_05-08-29 9월1주차HA_41184_김정" xfId="1767"/>
    <cellStyle name="7_재료비CM350_1216_04HTS재료비030902_63342_05-07-01 06년재료비_05-07-14 06년재료비_05-08-29 9월1주차HA_41184_김정_개발회의(week21)_KMS-350" xfId="1768"/>
    <cellStyle name="7_재료비CM350_1216_04HTS재료비030902_63342_05-07-01 06년재료비_05-07-14 06년재료비_개발회의(week21)_KMS-350" xfId="1769"/>
    <cellStyle name="7_재료비CM350_1216_04HTS재료비030902_63342_05-07-01 06년재료비_05-07-15 06년재료비 기구스피커" xfId="1770"/>
    <cellStyle name="7_재료비CM350_1216_04HTS재료비030902_63342_05-07-01 06년재료비_05-07-15 06년재료비 기구스피커_05-07-18 06년 HA 재료비_41184" xfId="1771"/>
    <cellStyle name="7_재료비CM350_1216_04HTS재료비030902_63342_05-07-01 06년재료비_05-07-15 06년재료비 기구스피커_05-07-18 06년 HA 재료비_41184_05-08-29 9월1주차HA_41184_김정" xfId="1772"/>
    <cellStyle name="7_재료비CM350_1216_04HTS재료비030902_63342_05-07-01 06년재료비_05-07-15 06년재료비 기구스피커_05-07-18 06년 HA 재료비_41184_05-08-29 9월1주차HA_41184_김정_개발회의(week21)_KMS-350" xfId="1773"/>
    <cellStyle name="7_재료비CM350_1216_04HTS재료비030902_63342_05-07-01 06년재료비_05-07-15 06년재료비 기구스피커_05-07-18 06년 HA 재료비_41184_개발회의(week21)_KMS-350" xfId="1774"/>
    <cellStyle name="7_재료비CM350_1216_04HTS재료비030902_63342_05-07-01 06년재료비_05-07-15 06년재료비 기구스피커_05-08-29 9월1주차HA_41184_김정" xfId="1775"/>
    <cellStyle name="7_재료비CM350_1216_04HTS재료비030902_63342_05-07-01 06년재료비_05-07-15 06년재료비 기구스피커_05-08-29 9월1주차HA_41184_김정_개발회의(week21)_KMS-350" xfId="1776"/>
    <cellStyle name="7_재료비CM350_1216_04HTS재료비030902_63342_05-07-01 06년재료비_05-07-15 06년재료비 기구스피커_개발회의(week21)_KMS-350" xfId="1777"/>
    <cellStyle name="7_재료비CM350_1216_04HTS재료비030902_63342_05-07-01 06년재료비_05-07-18 06년 HA 재료비" xfId="1778"/>
    <cellStyle name="7_재료비CM350_1216_04HTS재료비030902_63342_05-07-01 06년재료비_05-07-18 06년 HA 재료비_05-07-18 06년 HA 재료비_41184" xfId="1779"/>
    <cellStyle name="7_재료비CM350_1216_04HTS재료비030902_63342_05-07-01 06년재료비_05-07-18 06년 HA 재료비_05-07-18 06년 HA 재료비_41184_05-08-29 9월1주차HA_41184_김정" xfId="1780"/>
    <cellStyle name="7_재료비CM350_1216_04HTS재료비030902_63342_05-07-01 06년재료비_05-07-18 06년 HA 재료비_05-07-18 06년 HA 재료비_41184_05-08-29 9월1주차HA_41184_김정_개발회의(week21)_KMS-350" xfId="1781"/>
    <cellStyle name="7_재료비CM350_1216_04HTS재료비030902_63342_05-07-01 06년재료비_05-07-18 06년 HA 재료비_05-07-18 06년 HA 재료비_41184_개발회의(week21)_KMS-350" xfId="1782"/>
    <cellStyle name="7_재료비CM350_1216_04HTS재료비030902_63342_05-07-01 06년재료비_05-07-18 06년 HA 재료비_05-08-29 9월1주차HA_41184_김정" xfId="1783"/>
    <cellStyle name="7_재료비CM350_1216_04HTS재료비030902_63342_05-07-01 06년재료비_05-07-18 06년 HA 재료비_05-08-29 9월1주차HA_41184_김정_개발회의(week21)_KMS-350" xfId="1784"/>
    <cellStyle name="7_재료비CM350_1216_04HTS재료비030902_63342_05-07-01 06년재료비_05-07-18 06년 HA 재료비_41184" xfId="1785"/>
    <cellStyle name="7_재료비CM350_1216_04HTS재료비030902_63342_05-07-01 06년재료비_05-07-18 06년 HA 재료비_41184_05-08-29 9월1주차HA_41184_김정" xfId="1786"/>
    <cellStyle name="7_재료비CM350_1216_04HTS재료비030902_63342_05-07-01 06년재료비_05-07-18 06년 HA 재료비_41184_05-08-29 9월1주차HA_41184_김정_개발회의(week21)_KMS-350" xfId="1787"/>
    <cellStyle name="7_재료비CM350_1216_04HTS재료비030902_63342_05-07-01 06년재료비_05-07-18 06년 HA 재료비_41184_개발회의(week21)_KMS-350" xfId="1788"/>
    <cellStyle name="7_재료비CM350_1216_04HTS재료비030902_63342_05-07-01 06년재료비_05-07-18 06년 HA 재료비_개발회의(week21)_KMS-350" xfId="1789"/>
    <cellStyle name="7_재료비CM350_1216_04HTS재료비030902_63342_05-07-01 06년재료비_05-07-23 06년 HA 재료비" xfId="1790"/>
    <cellStyle name="7_재료비CM350_1216_04HTS재료비030902_63342_05-07-01 06년재료비_05-07-23 06년 HA 재료비_05-08-29 9월1주차HA_41184_김정" xfId="1791"/>
    <cellStyle name="7_재료비CM350_1216_04HTS재료비030902_63342_05-07-01 06년재료비_05-07-23 06년 HA 재료비_05-08-29 9월1주차HA_41184_김정_개발회의(week21)_KMS-350" xfId="1792"/>
    <cellStyle name="7_재료비CM350_1216_04HTS재료비030902_63342_05-07-01 06년재료비_05-07-23 06년 HA 재료비_개발회의(week21)_KMS-350" xfId="1793"/>
    <cellStyle name="7_재료비CM350_1216_04HTS재료비030902_63342_05-07-01 06년재료비_05-07-25 06년 HA 재료비_H2000" xfId="1794"/>
    <cellStyle name="7_재료비CM350_1216_04HTS재료비030902_63342_05-07-01 06년재료비_05-07-25 06년 HA 재료비_H2000_05-08-29 9월1주차HA_41184_김정" xfId="1795"/>
    <cellStyle name="7_재료비CM350_1216_04HTS재료비030902_63342_05-07-01 06년재료비_05-07-25 06년 HA 재료비_H2000_05-08-29 9월1주차HA_41184_김정_개발회의(week21)_KMS-350" xfId="1796"/>
    <cellStyle name="7_재료비CM350_1216_04HTS재료비030902_63342_05-07-01 06년재료비_05-07-25 06년 HA 재료비_H2000_개발회의(week21)_KMS-350" xfId="1797"/>
    <cellStyle name="7_재료비CM350_1216_04HTS재료비030902_63342_05-07-01 06년재료비_05-07-26 06년 HA 재료비_41184" xfId="1798"/>
    <cellStyle name="7_재료비CM350_1216_04HTS재료비030902_63342_05-07-01 06년재료비_05-07-26 06년 HA 재료비_41184_05-08-29 9월1주차HA_41184_김정" xfId="1799"/>
    <cellStyle name="7_재료비CM350_1216_04HTS재료비030902_63342_05-07-01 06년재료비_05-07-26 06년 HA 재료비_41184_05-08-29 9월1주차HA_41184_김정_개발회의(week21)_KMS-350" xfId="1800"/>
    <cellStyle name="7_재료비CM350_1216_04HTS재료비030902_63342_05-07-01 06년재료비_05-07-26 06년 HA 재료비_41184_개발회의(week21)_KMS-350" xfId="1801"/>
    <cellStyle name="7_재료비CM350_1216_04HTS재료비030902_63342_05-07-01 06년재료비_05-07-26 06년 HA 재료비1" xfId="1802"/>
    <cellStyle name="7_재료비CM350_1216_04HTS재료비030902_63342_05-07-01 06년재료비_05-07-26 06년 HA 재료비1_05-08-29 9월1주차HA_41184_김정" xfId="1803"/>
    <cellStyle name="7_재료비CM350_1216_04HTS재료비030902_63342_05-07-01 06년재료비_05-07-26 06년 HA 재료비1_05-08-29 9월1주차HA_41184_김정_개발회의(week21)_KMS-350" xfId="1804"/>
    <cellStyle name="7_재료비CM350_1216_04HTS재료비030902_63342_05-07-01 06년재료비_05-07-26 06년 HA 재료비1_개발회의(week21)_KMS-350" xfId="1805"/>
    <cellStyle name="7_재료비CM350_1216_04HTS재료비030902_63342_05-07-01 06년재료비_05-08-29 9월1주차HA_41184_김정" xfId="1806"/>
    <cellStyle name="7_재료비CM350_1216_04HTS재료비030902_63342_05-07-01 06년재료비_05-08-29 9월1주차HA_41184_김정_개발회의(week21)_KMS-350" xfId="1807"/>
    <cellStyle name="7_재료비CM350_1216_04HTS재료비030902_63342_05-07-01 06년재료비_개발회의(week21)_KMS-350" xfId="1808"/>
    <cellStyle name="7_재료비CM350_1216_04HTS재료비030902_63342_05-07-05 06년재료비_41184" xfId="1809"/>
    <cellStyle name="7_재료비CM350_1216_04HTS재료비030902_63342_05-07-05 06년재료비_41184_(Q80)05-07-12 06년재료비" xfId="1810"/>
    <cellStyle name="7_재료비CM350_1216_04HTS재료비030902_63342_05-07-05 06년재료비_41184_(Q80)05-07-12 06년재료비_05-07-18 06년 HA 재료비_41184" xfId="1811"/>
    <cellStyle name="7_재료비CM350_1216_04HTS재료비030902_63342_05-07-05 06년재료비_41184_(Q80)05-07-12 06년재료비_05-07-18 06년 HA 재료비_41184_05-08-29 9월1주차HA_41184_김정" xfId="1812"/>
    <cellStyle name="7_재료비CM350_1216_04HTS재료비030902_63342_05-07-05 06년재료비_41184_(Q80)05-07-12 06년재료비_05-07-18 06년 HA 재료비_41184_05-08-29 9월1주차HA_41184_김정_개발회의(week21)_KMS-350" xfId="1813"/>
    <cellStyle name="7_재료비CM350_1216_04HTS재료비030902_63342_05-07-05 06년재료비_41184_(Q80)05-07-12 06년재료비_05-07-18 06년 HA 재료비_41184_개발회의(week21)_KMS-350" xfId="1814"/>
    <cellStyle name="7_재료비CM350_1216_04HTS재료비030902_63342_05-07-05 06년재료비_41184_(Q80)05-07-12 06년재료비_05-08-29 9월1주차HA_41184_김정" xfId="1815"/>
    <cellStyle name="7_재료비CM350_1216_04HTS재료비030902_63342_05-07-05 06년재료비_41184_(Q80)05-07-12 06년재료비_05-08-29 9월1주차HA_41184_김정_개발회의(week21)_KMS-350" xfId="1816"/>
    <cellStyle name="7_재료비CM350_1216_04HTS재료비030902_63342_05-07-05 06년재료비_41184_(Q80)05-07-12 06년재료비_개발회의(week21)_KMS-350" xfId="1817"/>
    <cellStyle name="7_재료비CM350_1216_04HTS재료비030902_63342_05-07-05 06년재료비_41184_(R1500)05-07-19 재료비" xfId="1818"/>
    <cellStyle name="7_재료비CM350_1216_04HTS재료비030902_63342_05-07-05 06년재료비_41184_(R1500)05-07-19 재료비_05-08-29 9월1주차HA_41184_김정" xfId="1819"/>
    <cellStyle name="7_재료비CM350_1216_04HTS재료비030902_63342_05-07-05 06년재료비_41184_(R1500)05-07-19 재료비_05-08-29 9월1주차HA_41184_김정_개발회의(week21)_KMS-350" xfId="1820"/>
    <cellStyle name="7_재료비CM350_1216_04HTS재료비030902_63342_05-07-05 06년재료비_41184_(R1500)05-07-19 재료비_개발회의(week21)_KMS-350" xfId="1821"/>
    <cellStyle name="7_재료비CM350_1216_04HTS재료비030902_63342_05-07-05 06년재료비_41184_05-07-12 06년재료비(Q120)" xfId="1822"/>
    <cellStyle name="7_재료비CM350_1216_04HTS재료비030902_63342_05-07-05 06년재료비_41184_05-07-12 06년재료비(Q120)_05-07-18 06년 HA 재료비_41184" xfId="1823"/>
    <cellStyle name="7_재료비CM350_1216_04HTS재료비030902_63342_05-07-05 06년재료비_41184_05-07-12 06년재료비(Q120)_05-07-18 06년 HA 재료비_41184_05-08-29 9월1주차HA_41184_김정" xfId="1824"/>
    <cellStyle name="7_재료비CM350_1216_04HTS재료비030902_63342_05-07-05 06년재료비_41184_05-07-12 06년재료비(Q120)_05-07-18 06년 HA 재료비_41184_05-08-29 9월1주차HA_41184_김정_개발회의(week21)_KMS-350" xfId="1825"/>
    <cellStyle name="7_재료비CM350_1216_04HTS재료비030902_63342_05-07-05 06년재료비_41184_05-07-12 06년재료비(Q120)_05-07-18 06년 HA 재료비_41184_개발회의(week21)_KMS-350" xfId="1826"/>
    <cellStyle name="7_재료비CM350_1216_04HTS재료비030902_63342_05-07-05 06년재료비_41184_05-07-12 06년재료비(Q120)_05-08-29 9월1주차HA_41184_김정" xfId="1827"/>
    <cellStyle name="7_재료비CM350_1216_04HTS재료비030902_63342_05-07-05 06년재료비_41184_05-07-12 06년재료비(Q120)_05-08-29 9월1주차HA_41184_김정_개발회의(week21)_KMS-350" xfId="1828"/>
    <cellStyle name="7_재료비CM350_1216_04HTS재료비030902_63342_05-07-05 06년재료비_41184_05-07-12 06년재료비(Q120)_개발회의(week21)_KMS-350" xfId="1829"/>
    <cellStyle name="7_재료비CM350_1216_04HTS재료비030902_63342_05-07-05 06년재료비_41184_05-07-14 06년재료비" xfId="1830"/>
    <cellStyle name="7_재료비CM350_1216_04HTS재료비030902_63342_05-07-05 06년재료비_41184_05-07-14 06년재료비_05-07-18 06년 HA 재료비_41184" xfId="1831"/>
    <cellStyle name="7_재료비CM350_1216_04HTS재료비030902_63342_05-07-05 06년재료비_41184_05-07-14 06년재료비_05-07-18 06년 HA 재료비_41184_05-08-29 9월1주차HA_41184_김정" xfId="1832"/>
    <cellStyle name="7_재료비CM350_1216_04HTS재료비030902_63342_05-07-05 06년재료비_41184_05-07-14 06년재료비_05-07-18 06년 HA 재료비_41184_05-08-29 9월1주차HA_41184_김정_개발회의(week21)_KMS-350" xfId="1833"/>
    <cellStyle name="7_재료비CM350_1216_04HTS재료비030902_63342_05-07-05 06년재료비_41184_05-07-14 06년재료비_05-07-18 06년 HA 재료비_41184_개발회의(week21)_KMS-350" xfId="1834"/>
    <cellStyle name="7_재료비CM350_1216_04HTS재료비030902_63342_05-07-05 06년재료비_41184_05-07-14 06년재료비_05-08-29 9월1주차HA_41184_김정" xfId="1835"/>
    <cellStyle name="7_재료비CM350_1216_04HTS재료비030902_63342_05-07-05 06년재료비_41184_05-07-14 06년재료비_05-08-29 9월1주차HA_41184_김정_개발회의(week21)_KMS-350" xfId="1836"/>
    <cellStyle name="7_재료비CM350_1216_04HTS재료비030902_63342_05-07-05 06년재료비_41184_05-07-14 06년재료비_개발회의(week21)_KMS-350" xfId="1837"/>
    <cellStyle name="7_재료비CM350_1216_04HTS재료비030902_63342_05-07-05 06년재료비_41184_05-07-15 06년재료비 기구스피커" xfId="1838"/>
    <cellStyle name="7_재료비CM350_1216_04HTS재료비030902_63342_05-07-05 06년재료비_41184_05-07-15 06년재료비 기구스피커_05-07-18 06년 HA 재료비_41184" xfId="1839"/>
    <cellStyle name="7_재료비CM350_1216_04HTS재료비030902_63342_05-07-05 06년재료비_41184_05-07-15 06년재료비 기구스피커_05-07-18 06년 HA 재료비_41184_05-08-29 9월1주차HA_41184_김정" xfId="1840"/>
    <cellStyle name="7_재료비CM350_1216_04HTS재료비030902_63342_05-07-05 06년재료비_41184_05-07-15 06년재료비 기구스피커_05-07-18 06년 HA 재료비_41184_05-08-29 9월1주차HA_41184_김정_개발회의(week21)_KMS-350" xfId="1841"/>
    <cellStyle name="7_재료비CM350_1216_04HTS재료비030902_63342_05-07-05 06년재료비_41184_05-07-15 06년재료비 기구스피커_05-07-18 06년 HA 재료비_41184_개발회의(week21)_KMS-350" xfId="1842"/>
    <cellStyle name="7_재료비CM350_1216_04HTS재료비030902_63342_05-07-05 06년재료비_41184_05-07-15 06년재료비 기구스피커_05-08-29 9월1주차HA_41184_김정" xfId="1843"/>
    <cellStyle name="7_재료비CM350_1216_04HTS재료비030902_63342_05-07-05 06년재료비_41184_05-07-15 06년재료비 기구스피커_05-08-29 9월1주차HA_41184_김정_개발회의(week21)_KMS-350" xfId="1844"/>
    <cellStyle name="7_재료비CM350_1216_04HTS재료비030902_63342_05-07-05 06년재료비_41184_05-07-15 06년재료비 기구스피커_개발회의(week21)_KMS-350" xfId="1845"/>
    <cellStyle name="7_재료비CM350_1216_04HTS재료비030902_63342_05-07-05 06년재료비_41184_05-07-18 06년 HA 재료비" xfId="1846"/>
    <cellStyle name="7_재료비CM350_1216_04HTS재료비030902_63342_05-07-05 06년재료비_41184_05-07-18 06년 HA 재료비_05-07-18 06년 HA 재료비_41184" xfId="1847"/>
    <cellStyle name="7_재료비CM350_1216_04HTS재료비030902_63342_05-07-05 06년재료비_41184_05-07-18 06년 HA 재료비_05-07-18 06년 HA 재료비_41184_05-08-29 9월1주차HA_41184_김정" xfId="1848"/>
    <cellStyle name="7_재료비CM350_1216_04HTS재료비030902_63342_05-07-05 06년재료비_41184_05-07-18 06년 HA 재료비_05-07-18 06년 HA 재료비_41184_05-08-29 9월1주차HA_41184_김정_개발회의(week21)_KMS-350" xfId="1849"/>
    <cellStyle name="7_재료비CM350_1216_04HTS재료비030902_63342_05-07-05 06년재료비_41184_05-07-18 06년 HA 재료비_05-07-18 06년 HA 재료비_41184_개발회의(week21)_KMS-350" xfId="1850"/>
    <cellStyle name="7_재료비CM350_1216_04HTS재료비030902_63342_05-07-05 06년재료비_41184_05-07-18 06년 HA 재료비_05-08-29 9월1주차HA_41184_김정" xfId="1851"/>
    <cellStyle name="7_재료비CM350_1216_04HTS재료비030902_63342_05-07-05 06년재료비_41184_05-07-18 06년 HA 재료비_05-08-29 9월1주차HA_41184_김정_개발회의(week21)_KMS-350" xfId="1852"/>
    <cellStyle name="7_재료비CM350_1216_04HTS재료비030902_63342_05-07-05 06년재료비_41184_05-07-18 06년 HA 재료비_41184" xfId="1853"/>
    <cellStyle name="7_재료비CM350_1216_04HTS재료비030902_63342_05-07-05 06년재료비_41184_05-07-18 06년 HA 재료비_41184_05-08-29 9월1주차HA_41184_김정" xfId="1854"/>
    <cellStyle name="7_재료비CM350_1216_04HTS재료비030902_63342_05-07-05 06년재료비_41184_05-07-18 06년 HA 재료비_41184_05-08-29 9월1주차HA_41184_김정_개발회의(week21)_KMS-350" xfId="1855"/>
    <cellStyle name="7_재료비CM350_1216_04HTS재료비030902_63342_05-07-05 06년재료비_41184_05-07-18 06년 HA 재료비_41184_개발회의(week21)_KMS-350" xfId="1856"/>
    <cellStyle name="7_재료비CM350_1216_04HTS재료비030902_63342_05-07-05 06년재료비_41184_05-07-18 06년 HA 재료비_개발회의(week21)_KMS-350" xfId="1857"/>
    <cellStyle name="7_재료비CM350_1216_04HTS재료비030902_63342_05-07-05 06년재료비_41184_05-07-23 06년 HA 재료비" xfId="1858"/>
    <cellStyle name="7_재료비CM350_1216_04HTS재료비030902_63342_05-07-05 06년재료비_41184_05-07-23 06년 HA 재료비_05-08-29 9월1주차HA_41184_김정" xfId="1859"/>
    <cellStyle name="7_재료비CM350_1216_04HTS재료비030902_63342_05-07-05 06년재료비_41184_05-07-23 06년 HA 재료비_05-08-29 9월1주차HA_41184_김정_개발회의(week21)_KMS-350" xfId="1860"/>
    <cellStyle name="7_재료비CM350_1216_04HTS재료비030902_63342_05-07-05 06년재료비_41184_05-07-23 06년 HA 재료비_개발회의(week21)_KMS-350" xfId="1861"/>
    <cellStyle name="7_재료비CM350_1216_04HTS재료비030902_63342_05-07-05 06년재료비_41184_05-07-25 06년 HA 재료비_H2000" xfId="1862"/>
    <cellStyle name="7_재료비CM350_1216_04HTS재료비030902_63342_05-07-05 06년재료비_41184_05-07-25 06년 HA 재료비_H2000_05-08-29 9월1주차HA_41184_김정" xfId="1863"/>
    <cellStyle name="7_재료비CM350_1216_04HTS재료비030902_63342_05-07-05 06년재료비_41184_05-07-25 06년 HA 재료비_H2000_05-08-29 9월1주차HA_41184_김정_개발회의(week21)_KMS-350" xfId="1864"/>
    <cellStyle name="7_재료비CM350_1216_04HTS재료비030902_63342_05-07-05 06년재료비_41184_05-07-25 06년 HA 재료비_H2000_개발회의(week21)_KMS-350" xfId="1865"/>
    <cellStyle name="7_재료비CM350_1216_04HTS재료비030902_63342_05-07-05 06년재료비_41184_05-07-26 06년 HA 재료비_41184" xfId="1866"/>
    <cellStyle name="7_재료비CM350_1216_04HTS재료비030902_63342_05-07-05 06년재료비_41184_05-07-26 06년 HA 재료비_41184_05-08-29 9월1주차HA_41184_김정" xfId="1867"/>
    <cellStyle name="7_재료비CM350_1216_04HTS재료비030902_63342_05-07-05 06년재료비_41184_05-07-26 06년 HA 재료비_41184_05-08-29 9월1주차HA_41184_김정_개발회의(week21)_KMS-350" xfId="1868"/>
    <cellStyle name="7_재료비CM350_1216_04HTS재료비030902_63342_05-07-05 06년재료비_41184_05-07-26 06년 HA 재료비_41184_개발회의(week21)_KMS-350" xfId="1869"/>
    <cellStyle name="7_재료비CM350_1216_04HTS재료비030902_63342_05-07-05 06년재료비_41184_05-07-26 06년 HA 재료비1" xfId="1870"/>
    <cellStyle name="7_재료비CM350_1216_04HTS재료비030902_63342_05-07-05 06년재료비_41184_05-07-26 06년 HA 재료비1_05-08-29 9월1주차HA_41184_김정" xfId="1871"/>
    <cellStyle name="7_재료비CM350_1216_04HTS재료비030902_63342_05-07-05 06년재료비_41184_05-07-26 06년 HA 재료비1_05-08-29 9월1주차HA_41184_김정_개발회의(week21)_KMS-350" xfId="1872"/>
    <cellStyle name="7_재료비CM350_1216_04HTS재료비030902_63342_05-07-05 06년재료비_41184_05-07-26 06년 HA 재료비1_개발회의(week21)_KMS-350" xfId="1873"/>
    <cellStyle name="7_재료비CM350_1216_04HTS재료비030902_63342_05-07-05 06년재료비_41184_05-08-29 9월1주차HA_41184_김정" xfId="1874"/>
    <cellStyle name="7_재료비CM350_1216_04HTS재료비030902_63342_05-07-05 06년재료비_41184_05-08-29 9월1주차HA_41184_김정_개발회의(week21)_KMS-350" xfId="1875"/>
    <cellStyle name="7_재료비CM350_1216_04HTS재료비030902_63342_05-07-05 06년재료비_41184_개발회의(week21)_KMS-350" xfId="1876"/>
    <cellStyle name="7_재료비CM350_1216_04HTS재료비030902_63342_05-07-18 06년 HA 재료비_41184" xfId="1877"/>
    <cellStyle name="7_재료비CM350_1216_04HTS재료비030902_63342_05-07-18 06년 HA 재료비_41184_05-08-29 9월1주차HA_41184_김정" xfId="1878"/>
    <cellStyle name="7_재료비CM350_1216_04HTS재료비030902_63342_05-07-18 06년 HA 재료비_41184_05-08-29 9월1주차HA_41184_김정_개발회의(week21)_KMS-350" xfId="1879"/>
    <cellStyle name="7_재료비CM350_1216_04HTS재료비030902_63342_05-07-18 06년 HA 재료비_41184_개발회의(week21)_KMS-350" xfId="1880"/>
    <cellStyle name="7_재료비CM350_1216_04HTS재료비030902_63342_05-08-29 9월1주차HA_41184_김정" xfId="1881"/>
    <cellStyle name="7_재료비CM350_1216_04HTS재료비030902_63342_05-08-29 9월1주차HA_41184_김정_개발회의(week21)_KMS-350" xfId="1882"/>
    <cellStyle name="7_재료비CM350_1216_04HTS재료비030902_63342_개발회의(week21)_KMS-350" xfId="1883"/>
    <cellStyle name="7_재료비CM350_1216_04HTS재료비030902_63342_자재비절감(회의)-050110_63342" xfId="1884"/>
    <cellStyle name="7_재료비CM350_1216_04HTS재료비030902_63342_자재비절감(회의)-050110_63342_05-07-01 06년재료비" xfId="1885"/>
    <cellStyle name="7_재료비CM350_1216_04HTS재료비030902_63342_자재비절감(회의)-050110_63342_05-07-01 06년재료비_(Q80)05-07-12 06년재료비" xfId="1886"/>
    <cellStyle name="7_재료비CM350_1216_04HTS재료비030902_63342_자재비절감(회의)-050110_63342_05-07-01 06년재료비_(Q80)05-07-12 06년재료비_05-07-18 06년 HA 재료비_41184" xfId="1887"/>
    <cellStyle name="7_재료비CM350_1216_04HTS재료비030902_63342_자재비절감(회의)-050110_63342_05-07-01 06년재료비_(Q80)05-07-12 06년재료비_05-07-18 06년 HA 재료비_41184_05-08-29 9월1주차HA_41184_김정" xfId="1888"/>
    <cellStyle name="7_재료비CM350_1216_04HTS재료비030902_63342_자재비절감(회의)-050110_63342_05-07-01 06년재료비_(Q80)05-07-12 06년재료비_05-07-18 06년 HA 재료비_41184_05-08-29 9월1주차HA_41184_김정_개발회의(week21)_KMS-350" xfId="1889"/>
    <cellStyle name="7_재료비CM350_1216_04HTS재료비030902_63342_자재비절감(회의)-050110_63342_05-07-01 06년재료비_(Q80)05-07-12 06년재료비_05-07-18 06년 HA 재료비_41184_개발회의(week21)_KMS-350" xfId="1890"/>
    <cellStyle name="7_재료비CM350_1216_04HTS재료비030902_63342_자재비절감(회의)-050110_63342_05-07-01 06년재료비_(Q80)05-07-12 06년재료비_05-08-29 9월1주차HA_41184_김정" xfId="1891"/>
    <cellStyle name="7_재료비CM350_1216_04HTS재료비030902_63342_자재비절감(회의)-050110_63342_05-07-01 06년재료비_(Q80)05-07-12 06년재료비_05-08-29 9월1주차HA_41184_김정_개발회의(week21)_KMS-350" xfId="1892"/>
    <cellStyle name="7_재료비CM350_1216_04HTS재료비030902_63342_자재비절감(회의)-050110_63342_05-07-01 06년재료비_(Q80)05-07-12 06년재료비_개발회의(week21)_KMS-350" xfId="1893"/>
    <cellStyle name="7_재료비CM350_1216_04HTS재료비030902_63342_자재비절감(회의)-050110_63342_05-07-01 06년재료비_(R1500)05-07-19 재료비" xfId="1894"/>
    <cellStyle name="7_재료비CM350_1216_04HTS재료비030902_63342_자재비절감(회의)-050110_63342_05-07-01 06년재료비_(R1500)05-07-19 재료비_05-08-29 9월1주차HA_41184_김정" xfId="1895"/>
    <cellStyle name="7_재료비CM350_1216_04HTS재료비030902_63342_자재비절감(회의)-050110_63342_05-07-01 06년재료비_(R1500)05-07-19 재료비_05-08-29 9월1주차HA_41184_김정_개발회의(week21)_KMS-350" xfId="1896"/>
    <cellStyle name="7_재료비CM350_1216_04HTS재료비030902_63342_자재비절감(회의)-050110_63342_05-07-01 06년재료비_(R1500)05-07-19 재료비_개발회의(week21)_KMS-350" xfId="1897"/>
    <cellStyle name="7_재료비CM350_1216_04HTS재료비030902_63342_자재비절감(회의)-050110_63342_05-07-01 06년재료비_05-07-12 06년재료비(Q120)" xfId="1898"/>
    <cellStyle name="7_재료비CM350_1216_04HTS재료비030902_63342_자재비절감(회의)-050110_63342_05-07-01 06년재료비_05-07-12 06년재료비(Q120)_05-07-18 06년 HA 재료비_41184" xfId="1899"/>
    <cellStyle name="7_재료비CM350_1216_04HTS재료비030902_63342_자재비절감(회의)-050110_63342_05-07-01 06년재료비_05-07-12 06년재료비(Q120)_05-07-18 06년 HA 재료비_41184_05-08-29 9월1주차HA_41184_김정" xfId="1900"/>
    <cellStyle name="7_재료비CM350_1216_04HTS재료비030902_63342_자재비절감(회의)-050110_63342_05-07-01 06년재료비_05-07-12 06년재료비(Q120)_05-07-18 06년 HA 재료비_41184_05-08-29 9월1주차HA_41184_김정_개발회의(week21)_KMS-350" xfId="1901"/>
    <cellStyle name="7_재료비CM350_1216_04HTS재료비030902_63342_자재비절감(회의)-050110_63342_05-07-01 06년재료비_05-07-12 06년재료비(Q120)_05-07-18 06년 HA 재료비_41184_개발회의(week21)_KMS-350" xfId="1902"/>
    <cellStyle name="7_재료비CM350_1216_04HTS재료비030902_63342_자재비절감(회의)-050110_63342_05-07-01 06년재료비_05-07-12 06년재료비(Q120)_05-08-29 9월1주차HA_41184_김정" xfId="1903"/>
    <cellStyle name="7_재료비CM350_1216_04HTS재료비030902_63342_자재비절감(회의)-050110_63342_05-07-01 06년재료비_05-07-12 06년재료비(Q120)_05-08-29 9월1주차HA_41184_김정_개발회의(week21)_KMS-350" xfId="1904"/>
    <cellStyle name="7_재료비CM350_1216_04HTS재료비030902_63342_자재비절감(회의)-050110_63342_05-07-01 06년재료비_05-07-12 06년재료비(Q120)_개발회의(week21)_KMS-350" xfId="1905"/>
    <cellStyle name="7_재료비CM350_1216_04HTS재료비030902_63342_자재비절감(회의)-050110_63342_05-07-01 06년재료비_05-07-14 06년재료비" xfId="1906"/>
    <cellStyle name="7_재료비CM350_1216_04HTS재료비030902_63342_자재비절감(회의)-050110_63342_05-07-01 06년재료비_05-07-14 06년재료비_05-07-18 06년 HA 재료비_41184" xfId="1907"/>
    <cellStyle name="7_재료비CM350_1216_04HTS재료비030902_63342_자재비절감(회의)-050110_63342_05-07-01 06년재료비_05-07-14 06년재료비_05-07-18 06년 HA 재료비_41184_05-08-29 9월1주차HA_41184_김정" xfId="1908"/>
    <cellStyle name="7_재료비CM350_1216_04HTS재료비030902_63342_자재비절감(회의)-050110_63342_05-07-01 06년재료비_05-07-14 06년재료비_05-07-18 06년 HA 재료비_41184_05-08-29 9월1주차HA_41184_김정_개발회의(week21)_KMS-350" xfId="1909"/>
    <cellStyle name="7_재료비CM350_1216_04HTS재료비030902_63342_자재비절감(회의)-050110_63342_05-07-01 06년재료비_05-07-14 06년재료비_05-07-18 06년 HA 재료비_41184_개발회의(week21)_KMS-350" xfId="1910"/>
    <cellStyle name="7_재료비CM350_1216_04HTS재료비030902_63342_자재비절감(회의)-050110_63342_05-07-01 06년재료비_05-07-14 06년재료비_05-08-29 9월1주차HA_41184_김정" xfId="1911"/>
    <cellStyle name="7_재료비CM350_1216_04HTS재료비030902_63342_자재비절감(회의)-050110_63342_05-07-01 06년재료비_05-07-14 06년재료비_05-08-29 9월1주차HA_41184_김정_개발회의(week21)_KMS-350" xfId="1912"/>
    <cellStyle name="7_재료비CM350_1216_04HTS재료비030902_63342_자재비절감(회의)-050110_63342_05-07-01 06년재료비_05-07-14 06년재료비_개발회의(week21)_KMS-350" xfId="1913"/>
    <cellStyle name="7_재료비CM350_1216_04HTS재료비030902_63342_자재비절감(회의)-050110_63342_05-07-01 06년재료비_05-07-15 06년재료비 기구스피커" xfId="1914"/>
    <cellStyle name="7_재료비CM350_1216_04HTS재료비030902_63342_자재비절감(회의)-050110_63342_05-07-01 06년재료비_05-07-15 06년재료비 기구스피커_05-07-18 06년 HA 재료비_41184" xfId="1915"/>
    <cellStyle name="7_재료비CM350_1216_04HTS재료비030902_63342_자재비절감(회의)-050110_63342_05-07-01 06년재료비_05-07-15 06년재료비 기구스피커_05-07-18 06년 HA 재료비_41184_05-08-29 9월1주차HA_41184_김정" xfId="1916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/>
    <cellStyle name="7_재료비CM350_1216_04HTS재료비030902_63342_자재비절감(회의)-050110_63342_05-07-01 06년재료비_05-07-15 06년재료비 기구스피커_05-07-18 06년 HA 재료비_41184_개발회의(week21)_KMS-350" xfId="1918"/>
    <cellStyle name="7_재료비CM350_1216_04HTS재료비030902_63342_자재비절감(회의)-050110_63342_05-07-01 06년재료비_05-07-15 06년재료비 기구스피커_05-08-29 9월1주차HA_41184_김정" xfId="1919"/>
    <cellStyle name="7_재료비CM350_1216_04HTS재료비030902_63342_자재비절감(회의)-050110_63342_05-07-01 06년재료비_05-07-15 06년재료비 기구스피커_05-08-29 9월1주차HA_41184_김정_개발회의(week21)_KMS-350" xfId="1920"/>
    <cellStyle name="7_재료비CM350_1216_04HTS재료비030902_63342_자재비절감(회의)-050110_63342_05-07-01 06년재료비_05-07-15 06년재료비 기구스피커_개발회의(week21)_KMS-350" xfId="1921"/>
    <cellStyle name="7_재료비CM350_1216_04HTS재료비030902_63342_자재비절감(회의)-050110_63342_05-07-01 06년재료비_05-07-18 06년 HA 재료비" xfId="1922"/>
    <cellStyle name="7_재료비CM350_1216_04HTS재료비030902_63342_자재비절감(회의)-050110_63342_05-07-01 06년재료비_05-07-18 06년 HA 재료비_05-07-18 06년 HA 재료비_41184" xfId="1923"/>
    <cellStyle name="7_재료비CM350_1216_04HTS재료비030902_63342_자재비절감(회의)-050110_63342_05-07-01 06년재료비_05-07-18 06년 HA 재료비_05-07-18 06년 HA 재료비_41184_05-08-29 9월1주차HA_41184_김정" xfId="1924"/>
    <cellStyle name="7_재료비CM350_1216_04HTS재료비030902_63342_자재비절감(회의)-050110_63342_05-07-01 06년재료비_05-07-18 06년 HA 재료비_05-07-18 06년 HA 재료비_41184_05-08-29 9월1주차HA_41184_김정_개발회의(week21)_KMS-350" xfId="1925"/>
    <cellStyle name="7_재료비CM350_1216_04HTS재료비030902_63342_자재비절감(회의)-050110_63342_05-07-01 06년재료비_05-07-18 06년 HA 재료비_05-07-18 06년 HA 재료비_41184_개발회의(week21)_KMS-350" xfId="1926"/>
    <cellStyle name="7_재료비CM350_1216_04HTS재료비030902_63342_자재비절감(회의)-050110_63342_05-07-01 06년재료비_05-07-18 06년 HA 재료비_05-08-29 9월1주차HA_41184_김정" xfId="1927"/>
    <cellStyle name="7_재료비CM350_1216_04HTS재료비030902_63342_자재비절감(회의)-050110_63342_05-07-01 06년재료비_05-07-18 06년 HA 재료비_05-08-29 9월1주차HA_41184_김정_개발회의(week21)_KMS-350" xfId="1928"/>
    <cellStyle name="7_재료비CM350_1216_04HTS재료비030902_63342_자재비절감(회의)-050110_63342_05-07-01 06년재료비_05-07-18 06년 HA 재료비_41184" xfId="1929"/>
    <cellStyle name="7_재료비CM350_1216_04HTS재료비030902_63342_자재비절감(회의)-050110_63342_05-07-01 06년재료비_05-07-18 06년 HA 재료비_41184_05-08-29 9월1주차HA_41184_김정" xfId="1930"/>
    <cellStyle name="7_재료비CM350_1216_04HTS재료비030902_63342_자재비절감(회의)-050110_63342_05-07-01 06년재료비_05-07-18 06년 HA 재료비_41184_05-08-29 9월1주차HA_41184_김정_개발회의(week21)_KMS-350" xfId="1931"/>
    <cellStyle name="7_재료비CM350_1216_04HTS재료비030902_63342_자재비절감(회의)-050110_63342_05-07-01 06년재료비_05-07-18 06년 HA 재료비_41184_개발회의(week21)_KMS-350" xfId="1932"/>
    <cellStyle name="7_재료비CM350_1216_04HTS재료비030902_63342_자재비절감(회의)-050110_63342_05-07-01 06년재료비_05-07-18 06년 HA 재료비_개발회의(week21)_KMS-350" xfId="1933"/>
    <cellStyle name="7_재료비CM350_1216_04HTS재료비030902_63342_자재비절감(회의)-050110_63342_05-07-01 06년재료비_05-07-23 06년 HA 재료비" xfId="1934"/>
    <cellStyle name="7_재료비CM350_1216_04HTS재료비030902_63342_자재비절감(회의)-050110_63342_05-07-01 06년재료비_05-07-23 06년 HA 재료비_05-08-29 9월1주차HA_41184_김정" xfId="1935"/>
    <cellStyle name="7_재료비CM350_1216_04HTS재료비030902_63342_자재비절감(회의)-050110_63342_05-07-01 06년재료비_05-07-23 06년 HA 재료비_05-08-29 9월1주차HA_41184_김정_개발회의(week21)_KMS-350" xfId="1936"/>
    <cellStyle name="7_재료비CM350_1216_04HTS재료비030902_63342_자재비절감(회의)-050110_63342_05-07-01 06년재료비_05-07-23 06년 HA 재료비_개발회의(week21)_KMS-350" xfId="1937"/>
    <cellStyle name="7_재료비CM350_1216_04HTS재료비030902_63342_자재비절감(회의)-050110_63342_05-07-01 06년재료비_05-07-25 06년 HA 재료비_H2000" xfId="1938"/>
    <cellStyle name="7_재료비CM350_1216_04HTS재료비030902_63342_자재비절감(회의)-050110_63342_05-07-01 06년재료비_05-07-25 06년 HA 재료비_H2000_05-08-29 9월1주차HA_41184_김정" xfId="1939"/>
    <cellStyle name="7_재료비CM350_1216_04HTS재료비030902_63342_자재비절감(회의)-050110_63342_05-07-01 06년재료비_05-07-25 06년 HA 재료비_H2000_05-08-29 9월1주차HA_41184_김정_개발회의(week21)_KMS-350" xfId="1940"/>
    <cellStyle name="7_재료비CM350_1216_04HTS재료비030902_63342_자재비절감(회의)-050110_63342_05-07-01 06년재료비_05-07-25 06년 HA 재료비_H2000_개발회의(week21)_KMS-350" xfId="1941"/>
    <cellStyle name="7_재료비CM350_1216_04HTS재료비030902_63342_자재비절감(회의)-050110_63342_05-07-01 06년재료비_05-07-26 06년 HA 재료비_41184" xfId="1942"/>
    <cellStyle name="7_재료비CM350_1216_04HTS재료비030902_63342_자재비절감(회의)-050110_63342_05-07-01 06년재료비_05-07-26 06년 HA 재료비_41184_05-08-29 9월1주차HA_41184_김정" xfId="1943"/>
    <cellStyle name="7_재료비CM350_1216_04HTS재료비030902_63342_자재비절감(회의)-050110_63342_05-07-01 06년재료비_05-07-26 06년 HA 재료비_41184_05-08-29 9월1주차HA_41184_김정_개발회의(week21)_KMS-350" xfId="1944"/>
    <cellStyle name="7_재료비CM350_1216_04HTS재료비030902_63342_자재비절감(회의)-050110_63342_05-07-01 06년재료비_05-07-26 06년 HA 재료비_41184_개발회의(week21)_KMS-350" xfId="1945"/>
    <cellStyle name="7_재료비CM350_1216_04HTS재료비030902_63342_자재비절감(회의)-050110_63342_05-07-01 06년재료비_05-07-26 06년 HA 재료비1" xfId="1946"/>
    <cellStyle name="7_재료비CM350_1216_04HTS재료비030902_63342_자재비절감(회의)-050110_63342_05-07-01 06년재료비_05-07-26 06년 HA 재료비1_05-08-29 9월1주차HA_41184_김정" xfId="1947"/>
    <cellStyle name="7_재료비CM350_1216_04HTS재료비030902_63342_자재비절감(회의)-050110_63342_05-07-01 06년재료비_05-07-26 06년 HA 재료비1_05-08-29 9월1주차HA_41184_김정_개발회의(week21)_KMS-350" xfId="1948"/>
    <cellStyle name="7_재료비CM350_1216_04HTS재료비030902_63342_자재비절감(회의)-050110_63342_05-07-01 06년재료비_05-07-26 06년 HA 재료비1_개발회의(week21)_KMS-350" xfId="1949"/>
    <cellStyle name="7_재료비CM350_1216_04HTS재료비030902_63342_자재비절감(회의)-050110_63342_05-07-01 06년재료비_05-08-29 9월1주차HA_41184_김정" xfId="1950"/>
    <cellStyle name="7_재료비CM350_1216_04HTS재료비030902_63342_자재비절감(회의)-050110_63342_05-07-01 06년재료비_05-08-29 9월1주차HA_41184_김정_개발회의(week21)_KMS-350" xfId="1951"/>
    <cellStyle name="7_재료비CM350_1216_04HTS재료비030902_63342_자재비절감(회의)-050110_63342_05-07-01 06년재료비_개발회의(week21)_KMS-350" xfId="1952"/>
    <cellStyle name="7_재료비CM350_1216_04HTS재료비030902_63342_자재비절감(회의)-050110_63342_05-07-05 06년재료비_41184" xfId="1953"/>
    <cellStyle name="7_재료비CM350_1216_04HTS재료비030902_63342_자재비절감(회의)-050110_63342_05-07-05 06년재료비_41184_(Q80)05-07-12 06년재료비" xfId="1954"/>
    <cellStyle name="7_재료비CM350_1216_04HTS재료비030902_63342_자재비절감(회의)-050110_63342_05-07-05 06년재료비_41184_(Q80)05-07-12 06년재료비_05-07-18 06년 HA 재료비_41184" xfId="1955"/>
    <cellStyle name="7_재료비CM350_1216_04HTS재료비030902_63342_자재비절감(회의)-050110_63342_05-07-05 06년재료비_41184_(Q80)05-07-12 06년재료비_05-07-18 06년 HA 재료비_41184_05-08-29 9월1주차HA_41184_김정" xfId="1956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/>
    <cellStyle name="7_재료비CM350_1216_04HTS재료비030902_63342_자재비절감(회의)-050110_63342_05-07-05 06년재료비_41184_(Q80)05-07-12 06년재료비_05-07-18 06년 HA 재료비_41184_개발회의(week21)_KMS-350" xfId="1958"/>
    <cellStyle name="7_재료비CM350_1216_04HTS재료비030902_63342_자재비절감(회의)-050110_63342_05-07-05 06년재료비_41184_(Q80)05-07-12 06년재료비_05-08-29 9월1주차HA_41184_김정" xfId="1959"/>
    <cellStyle name="7_재료비CM350_1216_04HTS재료비030902_63342_자재비절감(회의)-050110_63342_05-07-05 06년재료비_41184_(Q80)05-07-12 06년재료비_05-08-29 9월1주차HA_41184_김정_개발회의(week21)_KMS-350" xfId="1960"/>
    <cellStyle name="7_재료비CM350_1216_04HTS재료비030902_63342_자재비절감(회의)-050110_63342_05-07-05 06년재료비_41184_(Q80)05-07-12 06년재료비_개발회의(week21)_KMS-350" xfId="1961"/>
    <cellStyle name="7_재료비CM350_1216_04HTS재료비030902_63342_자재비절감(회의)-050110_63342_05-07-05 06년재료비_41184_(R1500)05-07-19 재료비" xfId="1962"/>
    <cellStyle name="7_재료비CM350_1216_04HTS재료비030902_63342_자재비절감(회의)-050110_63342_05-07-05 06년재료비_41184_(R1500)05-07-19 재료비_05-08-29 9월1주차HA_41184_김정" xfId="1963"/>
    <cellStyle name="7_재료비CM350_1216_04HTS재료비030902_63342_자재비절감(회의)-050110_63342_05-07-05 06년재료비_41184_(R1500)05-07-19 재료비_05-08-29 9월1주차HA_41184_김정_개발회의(week21)_KMS-350" xfId="1964"/>
    <cellStyle name="7_재료비CM350_1216_04HTS재료비030902_63342_자재비절감(회의)-050110_63342_05-07-05 06년재료비_41184_(R1500)05-07-19 재료비_개발회의(week21)_KMS-350" xfId="1965"/>
    <cellStyle name="7_재료비CM350_1216_04HTS재료비030902_63342_자재비절감(회의)-050110_63342_05-07-05 06년재료비_41184_05-07-12 06년재료비(Q120)" xfId="1966"/>
    <cellStyle name="7_재료비CM350_1216_04HTS재료비030902_63342_자재비절감(회의)-050110_63342_05-07-05 06년재료비_41184_05-07-12 06년재료비(Q120)_05-07-18 06년 HA 재료비_41184" xfId="1967"/>
    <cellStyle name="7_재료비CM350_1216_04HTS재료비030902_63342_자재비절감(회의)-050110_63342_05-07-05 06년재료비_41184_05-07-12 06년재료비(Q120)_05-07-18 06년 HA 재료비_41184_05-08-29 9월1주차HA_41184_김정" xfId="1968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/>
    <cellStyle name="7_재료비CM350_1216_04HTS재료비030902_63342_자재비절감(회의)-050110_63342_05-07-05 06년재료비_41184_05-07-12 06년재료비(Q120)_05-07-18 06년 HA 재료비_41184_개발회의(week21)_KMS-350" xfId="1970"/>
    <cellStyle name="7_재료비CM350_1216_04HTS재료비030902_63342_자재비절감(회의)-050110_63342_05-07-05 06년재료비_41184_05-07-12 06년재료비(Q120)_05-08-29 9월1주차HA_41184_김정" xfId="1971"/>
    <cellStyle name="7_재료비CM350_1216_04HTS재료비030902_63342_자재비절감(회의)-050110_63342_05-07-05 06년재료비_41184_05-07-12 06년재료비(Q120)_05-08-29 9월1주차HA_41184_김정_개발회의(week21)_KMS-350" xfId="1972"/>
    <cellStyle name="7_재료비CM350_1216_04HTS재료비030902_63342_자재비절감(회의)-050110_63342_05-07-05 06년재료비_41184_05-07-12 06년재료비(Q120)_개발회의(week21)_KMS-350" xfId="1973"/>
    <cellStyle name="7_재료비CM350_1216_04HTS재료비030902_63342_자재비절감(회의)-050110_63342_05-07-05 06년재료비_41184_05-07-14 06년재료비" xfId="1974"/>
    <cellStyle name="7_재료비CM350_1216_04HTS재료비030902_63342_자재비절감(회의)-050110_63342_05-07-05 06년재료비_41184_05-07-14 06년재료비_05-07-18 06년 HA 재료비_41184" xfId="1975"/>
    <cellStyle name="7_재료비CM350_1216_04HTS재료비030902_63342_자재비절감(회의)-050110_63342_05-07-05 06년재료비_41184_05-07-14 06년재료비_05-07-18 06년 HA 재료비_41184_05-08-29 9월1주차HA_41184_김정" xfId="1976"/>
    <cellStyle name="7_재료비CM350_1216_04HTS재료비030902_63342_자재비절감(회의)-050110_63342_05-07-05 06년재료비_41184_05-07-14 06년재료비_05-07-18 06년 HA 재료비_41184_05-08-29 9월1주차HA_41184_김정_개발회의(week21)_KMS-350" xfId="1977"/>
    <cellStyle name="7_재료비CM350_1216_04HTS재료비030902_63342_자재비절감(회의)-050110_63342_05-07-05 06년재료비_41184_05-07-14 06년재료비_05-07-18 06년 HA 재료비_41184_개발회의(week21)_KMS-350" xfId="1978"/>
    <cellStyle name="7_재료비CM350_1216_04HTS재료비030902_63342_자재비절감(회의)-050110_63342_05-07-05 06년재료비_41184_05-07-14 06년재료비_05-08-29 9월1주차HA_41184_김정" xfId="1979"/>
    <cellStyle name="7_재료비CM350_1216_04HTS재료비030902_63342_자재비절감(회의)-050110_63342_05-07-05 06년재료비_41184_05-07-14 06년재료비_05-08-29 9월1주차HA_41184_김정_개발회의(week21)_KMS-350" xfId="1980"/>
    <cellStyle name="7_재료비CM350_1216_04HTS재료비030902_63342_자재비절감(회의)-050110_63342_05-07-05 06년재료비_41184_05-07-14 06년재료비_개발회의(week21)_KMS-350" xfId="1981"/>
    <cellStyle name="7_재료비CM350_1216_04HTS재료비030902_63342_자재비절감(회의)-050110_63342_05-07-05 06년재료비_41184_05-07-15 06년재료비 기구스피커" xfId="1982"/>
    <cellStyle name="7_재료비CM350_1216_04HTS재료비030902_63342_자재비절감(회의)-050110_63342_05-07-05 06년재료비_41184_05-07-15 06년재료비 기구스피커_05-07-18 06년 HA 재료비_41184" xfId="1983"/>
    <cellStyle name="7_재료비CM350_1216_04HTS재료비030902_63342_자재비절감(회의)-050110_63342_05-07-05 06년재료비_41184_05-07-15 06년재료비 기구스피커_05-07-18 06년 HA 재료비_41184_05-08-29 9월1주차HA_41184_김정" xfId="1984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/>
    <cellStyle name="7_재료비CM350_1216_04HTS재료비030902_63342_자재비절감(회의)-050110_63342_05-07-05 06년재료비_41184_05-07-15 06년재료비 기구스피커_05-07-18 06년 HA 재료비_41184_개발회의(week21)_KMS-350" xfId="1986"/>
    <cellStyle name="7_재료비CM350_1216_04HTS재료비030902_63342_자재비절감(회의)-050110_63342_05-07-05 06년재료비_41184_05-07-15 06년재료비 기구스피커_05-08-29 9월1주차HA_41184_김정" xfId="1987"/>
    <cellStyle name="7_재료비CM350_1216_04HTS재료비030902_63342_자재비절감(회의)-050110_63342_05-07-05 06년재료비_41184_05-07-15 06년재료비 기구스피커_05-08-29 9월1주차HA_41184_김정_개발회의(week21)_KMS-350" xfId="1988"/>
    <cellStyle name="7_재료비CM350_1216_04HTS재료비030902_63342_자재비절감(회의)-050110_63342_05-07-05 06년재료비_41184_05-07-15 06년재료비 기구스피커_개발회의(week21)_KMS-350" xfId="1989"/>
    <cellStyle name="7_재료비CM350_1216_04HTS재료비030902_63342_자재비절감(회의)-050110_63342_05-07-05 06년재료비_41184_05-07-18 06년 HA 재료비" xfId="1990"/>
    <cellStyle name="7_재료비CM350_1216_04HTS재료비030902_63342_자재비절감(회의)-050110_63342_05-07-05 06년재료비_41184_05-07-18 06년 HA 재료비_05-07-18 06년 HA 재료비_41184" xfId="1991"/>
    <cellStyle name="7_재료비CM350_1216_04HTS재료비030902_63342_자재비절감(회의)-050110_63342_05-07-05 06년재료비_41184_05-07-18 06년 HA 재료비_05-07-18 06년 HA 재료비_41184_05-08-29 9월1주차HA_41184_김정" xfId="1992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/>
    <cellStyle name="7_재료비CM350_1216_04HTS재료비030902_63342_자재비절감(회의)-050110_63342_05-07-05 06년재료비_41184_05-07-18 06년 HA 재료비_05-07-18 06년 HA 재료비_41184_개발회의(week21)_KMS-350" xfId="1994"/>
    <cellStyle name="7_재료비CM350_1216_04HTS재료비030902_63342_자재비절감(회의)-050110_63342_05-07-05 06년재료비_41184_05-07-18 06년 HA 재료비_05-08-29 9월1주차HA_41184_김정" xfId="1995"/>
    <cellStyle name="7_재료비CM350_1216_04HTS재료비030902_63342_자재비절감(회의)-050110_63342_05-07-05 06년재료비_41184_05-07-18 06년 HA 재료비_05-08-29 9월1주차HA_41184_김정_개발회의(week21)_KMS-350" xfId="1996"/>
    <cellStyle name="7_재료비CM350_1216_04HTS재료비030902_63342_자재비절감(회의)-050110_63342_05-07-05 06년재료비_41184_05-07-18 06년 HA 재료비_41184" xfId="1997"/>
    <cellStyle name="7_재료비CM350_1216_04HTS재료비030902_63342_자재비절감(회의)-050110_63342_05-07-05 06년재료비_41184_05-07-18 06년 HA 재료비_41184_05-08-29 9월1주차HA_41184_김정" xfId="1998"/>
    <cellStyle name="7_재료비CM350_1216_04HTS재료비030902_63342_자재비절감(회의)-050110_63342_05-07-05 06년재료비_41184_05-07-18 06년 HA 재료비_41184_05-08-29 9월1주차HA_41184_김정_개발회의(week21)_KMS-350" xfId="1999"/>
    <cellStyle name="7_재료비CM350_1216_04HTS재료비030902_63342_자재비절감(회의)-050110_63342_05-07-05 06년재료비_41184_05-07-18 06년 HA 재료비_41184_개발회의(week21)_KMS-350" xfId="2000"/>
    <cellStyle name="7_재료비CM350_1216_04HTS재료비030902_63342_자재비절감(회의)-050110_63342_05-07-05 06년재료비_41184_05-07-18 06년 HA 재료비_개발회의(week21)_KMS-350" xfId="2001"/>
    <cellStyle name="7_재료비CM350_1216_04HTS재료비030902_63342_자재비절감(회의)-050110_63342_05-07-05 06년재료비_41184_05-07-23 06년 HA 재료비" xfId="2002"/>
    <cellStyle name="7_재료비CM350_1216_04HTS재료비030902_63342_자재비절감(회의)-050110_63342_05-07-05 06년재료비_41184_05-07-23 06년 HA 재료비_05-08-29 9월1주차HA_41184_김정" xfId="2003"/>
    <cellStyle name="7_재료비CM350_1216_04HTS재료비030902_63342_자재비절감(회의)-050110_63342_05-07-05 06년재료비_41184_05-07-23 06년 HA 재료비_05-08-29 9월1주차HA_41184_김정_개발회의(week21)_KMS-350" xfId="2004"/>
    <cellStyle name="7_재료비CM350_1216_04HTS재료비030902_63342_자재비절감(회의)-050110_63342_05-07-05 06년재료비_41184_05-07-23 06년 HA 재료비_개발회의(week21)_KMS-350" xfId="2005"/>
    <cellStyle name="7_재료비CM350_1216_04HTS재료비030902_63342_자재비절감(회의)-050110_63342_05-07-05 06년재료비_41184_05-07-25 06년 HA 재료비_H2000" xfId="2006"/>
    <cellStyle name="7_재료비CM350_1216_04HTS재료비030902_63342_자재비절감(회의)-050110_63342_05-07-05 06년재료비_41184_05-07-25 06년 HA 재료비_H2000_05-08-29 9월1주차HA_41184_김정" xfId="2007"/>
    <cellStyle name="7_재료비CM350_1216_04HTS재료비030902_63342_자재비절감(회의)-050110_63342_05-07-05 06년재료비_41184_05-07-25 06년 HA 재료비_H2000_05-08-29 9월1주차HA_41184_김정_개발회의(week21)_KMS-350" xfId="2008"/>
    <cellStyle name="7_재료비CM350_1216_04HTS재료비030902_63342_자재비절감(회의)-050110_63342_05-07-05 06년재료비_41184_05-07-25 06년 HA 재료비_H2000_개발회의(week21)_KMS-350" xfId="2009"/>
    <cellStyle name="7_재료비CM350_1216_04HTS재료비030902_63342_자재비절감(회의)-050110_63342_05-07-05 06년재료비_41184_05-07-26 06년 HA 재료비_41184" xfId="2010"/>
    <cellStyle name="7_재료비CM350_1216_04HTS재료비030902_63342_자재비절감(회의)-050110_63342_05-07-05 06년재료비_41184_05-07-26 06년 HA 재료비_41184_05-08-29 9월1주차HA_41184_김정" xfId="2011"/>
    <cellStyle name="7_재료비CM350_1216_04HTS재료비030902_63342_자재비절감(회의)-050110_63342_05-07-05 06년재료비_41184_05-07-26 06년 HA 재료비_41184_05-08-29 9월1주차HA_41184_김정_개발회의(week21)_KMS-350" xfId="2012"/>
    <cellStyle name="7_재료비CM350_1216_04HTS재료비030902_63342_자재비절감(회의)-050110_63342_05-07-05 06년재료비_41184_05-07-26 06년 HA 재료비_41184_개발회의(week21)_KMS-350" xfId="2013"/>
    <cellStyle name="7_재료비CM350_1216_04HTS재료비030902_63342_자재비절감(회의)-050110_63342_05-07-05 06년재료비_41184_05-07-26 06년 HA 재료비1" xfId="2014"/>
    <cellStyle name="7_재료비CM350_1216_04HTS재료비030902_63342_자재비절감(회의)-050110_63342_05-07-05 06년재료비_41184_05-07-26 06년 HA 재료비1_05-08-29 9월1주차HA_41184_김정" xfId="2015"/>
    <cellStyle name="7_재료비CM350_1216_04HTS재료비030902_63342_자재비절감(회의)-050110_63342_05-07-05 06년재료비_41184_05-07-26 06년 HA 재료비1_05-08-29 9월1주차HA_41184_김정_개발회의(week21)_KMS-350" xfId="2016"/>
    <cellStyle name="7_재료비CM350_1216_04HTS재료비030902_63342_자재비절감(회의)-050110_63342_05-07-05 06년재료비_41184_05-07-26 06년 HA 재료비1_개발회의(week21)_KMS-350" xfId="2017"/>
    <cellStyle name="7_재료비CM350_1216_04HTS재료비030902_63342_자재비절감(회의)-050110_63342_05-07-05 06년재료비_41184_05-08-29 9월1주차HA_41184_김정" xfId="2018"/>
    <cellStyle name="7_재료비CM350_1216_04HTS재료비030902_63342_자재비절감(회의)-050110_63342_05-07-05 06년재료비_41184_05-08-29 9월1주차HA_41184_김정_개발회의(week21)_KMS-350" xfId="2019"/>
    <cellStyle name="7_재료비CM350_1216_04HTS재료비030902_63342_자재비절감(회의)-050110_63342_05-07-05 06년재료비_41184_개발회의(week21)_KMS-350" xfId="2020"/>
    <cellStyle name="7_재료비CM350_1216_04HTS재료비030902_63342_자재비절감(회의)-050110_63342_05-07-18 06년 HA 재료비_41184" xfId="2021"/>
    <cellStyle name="7_재료비CM350_1216_04HTS재료비030902_63342_자재비절감(회의)-050110_63342_05-07-18 06년 HA 재료비_41184_05-08-29 9월1주차HA_41184_김정" xfId="2022"/>
    <cellStyle name="7_재료비CM350_1216_04HTS재료비030902_63342_자재비절감(회의)-050110_63342_05-07-18 06년 HA 재료비_41184_05-08-29 9월1주차HA_41184_김정_개발회의(week21)_KMS-350" xfId="2023"/>
    <cellStyle name="7_재료비CM350_1216_04HTS재료비030902_63342_자재비절감(회의)-050110_63342_05-07-18 06년 HA 재료비_41184_개발회의(week21)_KMS-350" xfId="2024"/>
    <cellStyle name="7_재료비CM350_1216_04HTS재료비030902_63342_자재비절감(회의)-050110_63342_05-08-29 9월1주차HA_41184_김정" xfId="2025"/>
    <cellStyle name="7_재료비CM350_1216_04HTS재료비030902_63342_자재비절감(회의)-050110_63342_05-08-29 9월1주차HA_41184_김정_개발회의(week21)_KMS-350" xfId="2026"/>
    <cellStyle name="7_재료비CM350_1216_04HTS재료비030902_63342_자재비절감(회의)-050110_63342_개발회의(week21)_KMS-350" xfId="2027"/>
    <cellStyle name="7_재료비CM350_1216_04HTS재료비030902_63342_mini재료비-041001" xfId="2028"/>
    <cellStyle name="7_재료비CM350_1216_04HTS재료비030902_63342_mini재료비-041001_05-07-01 06년재료비" xfId="2029"/>
    <cellStyle name="7_재료비CM350_1216_04HTS재료비030902_63342_mini재료비-041001_05-07-01 06년재료비_(Q80)05-07-12 06년재료비" xfId="2030"/>
    <cellStyle name="7_재료비CM350_1216_04HTS재료비030902_63342_mini재료비-041001_05-07-01 06년재료비_(Q80)05-07-12 06년재료비_05-07-18 06년 HA 재료비_41184" xfId="2031"/>
    <cellStyle name="7_재료비CM350_1216_04HTS재료비030902_63342_mini재료비-041001_05-07-01 06년재료비_(Q80)05-07-12 06년재료비_05-07-18 06년 HA 재료비_41184_05-08-29 9월1주차HA_41184_김정" xfId="2032"/>
    <cellStyle name="7_재료비CM350_1216_04HTS재료비030902_63342_mini재료비-041001_05-07-01 06년재료비_(Q80)05-07-12 06년재료비_05-07-18 06년 HA 재료비_41184_05-08-29 9월1주차HA_41184_김정_개발회의(week21)_KMS-350" xfId="2033"/>
    <cellStyle name="7_재료비CM350_1216_04HTS재료비030902_63342_mini재료비-041001_05-07-01 06년재료비_(Q80)05-07-12 06년재료비_05-07-18 06년 HA 재료비_41184_개발회의(week21)_KMS-350" xfId="2034"/>
    <cellStyle name="7_재료비CM350_1216_04HTS재료비030902_63342_mini재료비-041001_05-07-01 06년재료비_(Q80)05-07-12 06년재료비_05-08-29 9월1주차HA_41184_김정" xfId="2035"/>
    <cellStyle name="7_재료비CM350_1216_04HTS재료비030902_63342_mini재료비-041001_05-07-01 06년재료비_(Q80)05-07-12 06년재료비_05-08-29 9월1주차HA_41184_김정_개발회의(week21)_KMS-350" xfId="2036"/>
    <cellStyle name="7_재료비CM350_1216_04HTS재료비030902_63342_mini재료비-041001_05-07-01 06년재료비_(Q80)05-07-12 06년재료비_개발회의(week21)_KMS-350" xfId="2037"/>
    <cellStyle name="7_재료비CM350_1216_04HTS재료비030902_63342_mini재료비-041001_05-07-01 06년재료비_(R1500)05-07-19 재료비" xfId="2038"/>
    <cellStyle name="7_재료비CM350_1216_04HTS재료비030902_63342_mini재료비-041001_05-07-01 06년재료비_(R1500)05-07-19 재료비_05-08-29 9월1주차HA_41184_김정" xfId="2039"/>
    <cellStyle name="7_재료비CM350_1216_04HTS재료비030902_63342_mini재료비-041001_05-07-01 06년재료비_(R1500)05-07-19 재료비_05-08-29 9월1주차HA_41184_김정_개발회의(week21)_KMS-350" xfId="2040"/>
    <cellStyle name="7_재료비CM350_1216_04HTS재료비030902_63342_mini재료비-041001_05-07-01 06년재료비_(R1500)05-07-19 재료비_개발회의(week21)_KMS-350" xfId="2041"/>
    <cellStyle name="7_재료비CM350_1216_04HTS재료비030902_63342_mini재료비-041001_05-07-01 06년재료비_05-07-12 06년재료비(Q120)" xfId="2042"/>
    <cellStyle name="7_재료비CM350_1216_04HTS재료비030902_63342_mini재료비-041001_05-07-01 06년재료비_05-07-12 06년재료비(Q120)_05-07-18 06년 HA 재료비_41184" xfId="2043"/>
    <cellStyle name="7_재료비CM350_1216_04HTS재료비030902_63342_mini재료비-041001_05-07-01 06년재료비_05-07-12 06년재료비(Q120)_05-07-18 06년 HA 재료비_41184_05-08-29 9월1주차HA_41184_김정" xfId="2044"/>
    <cellStyle name="7_재료비CM350_1216_04HTS재료비030902_63342_mini재료비-041001_05-07-01 06년재료비_05-07-12 06년재료비(Q120)_05-07-18 06년 HA 재료비_41184_05-08-29 9월1주차HA_41184_김정_개발회의(week21)_KMS-350" xfId="2045"/>
    <cellStyle name="7_재료비CM350_1216_04HTS재료비030902_63342_mini재료비-041001_05-07-01 06년재료비_05-07-12 06년재료비(Q120)_05-07-18 06년 HA 재료비_41184_개발회의(week21)_KMS-350" xfId="2046"/>
    <cellStyle name="7_재료비CM350_1216_04HTS재료비030902_63342_mini재료비-041001_05-07-01 06년재료비_05-07-12 06년재료비(Q120)_05-08-29 9월1주차HA_41184_김정" xfId="2047"/>
    <cellStyle name="7_재료비CM350_1216_04HTS재료비030902_63342_mini재료비-041001_05-07-01 06년재료비_05-07-12 06년재료비(Q120)_05-08-29 9월1주차HA_41184_김정_개발회의(week21)_KMS-350" xfId="2048"/>
    <cellStyle name="7_재료비CM350_1216_04HTS재료비030902_63342_mini재료비-041001_05-07-01 06년재료비_05-07-12 06년재료비(Q120)_개발회의(week21)_KMS-350" xfId="2049"/>
    <cellStyle name="7_재료비CM350_1216_04HTS재료비030902_63342_mini재료비-041001_05-07-01 06년재료비_05-07-14 06년재료비" xfId="2050"/>
    <cellStyle name="7_재료비CM350_1216_04HTS재료비030902_63342_mini재료비-041001_05-07-01 06년재료비_05-07-14 06년재료비_05-07-18 06년 HA 재료비_41184" xfId="2051"/>
    <cellStyle name="7_재료비CM350_1216_04HTS재료비030902_63342_mini재료비-041001_05-07-01 06년재료비_05-07-14 06년재료비_05-07-18 06년 HA 재료비_41184_05-08-29 9월1주차HA_41184_김정" xfId="2052"/>
    <cellStyle name="7_재료비CM350_1216_04HTS재료비030902_63342_mini재료비-041001_05-07-01 06년재료비_05-07-14 06년재료비_05-07-18 06년 HA 재료비_41184_05-08-29 9월1주차HA_41184_김정_개발회의(week21)_KMS-350" xfId="2053"/>
    <cellStyle name="7_재료비CM350_1216_04HTS재료비030902_63342_mini재료비-041001_05-07-01 06년재료비_05-07-14 06년재료비_05-07-18 06년 HA 재료비_41184_개발회의(week21)_KMS-350" xfId="2054"/>
    <cellStyle name="7_재료비CM350_1216_04HTS재료비030902_63342_mini재료비-041001_05-07-01 06년재료비_05-07-14 06년재료비_05-08-29 9월1주차HA_41184_김정" xfId="2055"/>
    <cellStyle name="7_재료비CM350_1216_04HTS재료비030902_63342_mini재료비-041001_05-07-01 06년재료비_05-07-14 06년재료비_05-08-29 9월1주차HA_41184_김정_개발회의(week21)_KMS-350" xfId="2056"/>
    <cellStyle name="7_재료비CM350_1216_04HTS재료비030902_63342_mini재료비-041001_05-07-01 06년재료비_05-07-14 06년재료비_개발회의(week21)_KMS-350" xfId="2057"/>
    <cellStyle name="7_재료비CM350_1216_04HTS재료비030902_63342_mini재료비-041001_05-07-01 06년재료비_05-07-15 06년재료비 기구스피커" xfId="2058"/>
    <cellStyle name="7_재료비CM350_1216_04HTS재료비030902_63342_mini재료비-041001_05-07-01 06년재료비_05-07-15 06년재료비 기구스피커_05-07-18 06년 HA 재료비_41184" xfId="2059"/>
    <cellStyle name="7_재료비CM350_1216_04HTS재료비030902_63342_mini재료비-041001_05-07-01 06년재료비_05-07-15 06년재료비 기구스피커_05-07-18 06년 HA 재료비_41184_05-08-29 9월1주차HA_41184_김정" xfId="2060"/>
    <cellStyle name="7_재료비CM350_1216_04HTS재료비030902_63342_mini재료비-041001_05-07-01 06년재료비_05-07-15 06년재료비 기구스피커_05-07-18 06년 HA 재료비_41184_05-08-29 9월1주차HA_41184_김정_개발회의(week21)_KMS-350" xfId="2061"/>
    <cellStyle name="7_재료비CM350_1216_04HTS재료비030902_63342_mini재료비-041001_05-07-01 06년재료비_05-07-15 06년재료비 기구스피커_05-07-18 06년 HA 재료비_41184_개발회의(week21)_KMS-350" xfId="2062"/>
    <cellStyle name="7_재료비CM350_1216_04HTS재료비030902_63342_mini재료비-041001_05-07-01 06년재료비_05-07-15 06년재료비 기구스피커_05-08-29 9월1주차HA_41184_김정" xfId="2063"/>
    <cellStyle name="7_재료비CM350_1216_04HTS재료비030902_63342_mini재료비-041001_05-07-01 06년재료비_05-07-15 06년재료비 기구스피커_05-08-29 9월1주차HA_41184_김정_개발회의(week21)_KMS-350" xfId="2064"/>
    <cellStyle name="7_재료비CM350_1216_04HTS재료비030902_63342_mini재료비-041001_05-07-01 06년재료비_05-07-15 06년재료비 기구스피커_개발회의(week21)_KMS-350" xfId="2065"/>
    <cellStyle name="7_재료비CM350_1216_04HTS재료비030902_63342_mini재료비-041001_05-07-01 06년재료비_05-07-18 06년 HA 재료비" xfId="2066"/>
    <cellStyle name="7_재료비CM350_1216_04HTS재료비030902_63342_mini재료비-041001_05-07-01 06년재료비_05-07-18 06년 HA 재료비_05-07-18 06년 HA 재료비_41184" xfId="2067"/>
    <cellStyle name="7_재료비CM350_1216_04HTS재료비030902_63342_mini재료비-041001_05-07-01 06년재료비_05-07-18 06년 HA 재료비_05-07-18 06년 HA 재료비_41184_05-08-29 9월1주차HA_41184_김정" xfId="2068"/>
    <cellStyle name="7_재료비CM350_1216_04HTS재료비030902_63342_mini재료비-041001_05-07-01 06년재료비_05-07-18 06년 HA 재료비_05-07-18 06년 HA 재료비_41184_05-08-29 9월1주차HA_41184_김정_개발회의(week21)_KMS-350" xfId="2069"/>
    <cellStyle name="7_재료비CM350_1216_04HTS재료비030902_63342_mini재료비-041001_05-07-01 06년재료비_05-07-18 06년 HA 재료비_05-07-18 06년 HA 재료비_41184_개발회의(week21)_KMS-350" xfId="2070"/>
    <cellStyle name="7_재료비CM350_1216_04HTS재료비030902_63342_mini재료비-041001_05-07-01 06년재료비_05-07-18 06년 HA 재료비_05-08-29 9월1주차HA_41184_김정" xfId="2071"/>
    <cellStyle name="7_재료비CM350_1216_04HTS재료비030902_63342_mini재료비-041001_05-07-01 06년재료비_05-07-18 06년 HA 재료비_05-08-29 9월1주차HA_41184_김정_개발회의(week21)_KMS-350" xfId="2072"/>
    <cellStyle name="7_재료비CM350_1216_04HTS재료비030902_63342_mini재료비-041001_05-07-01 06년재료비_05-07-18 06년 HA 재료비_41184" xfId="2073"/>
    <cellStyle name="7_재료비CM350_1216_04HTS재료비030902_63342_mini재료비-041001_05-07-01 06년재료비_05-07-18 06년 HA 재료비_41184_05-08-29 9월1주차HA_41184_김정" xfId="2074"/>
    <cellStyle name="7_재료비CM350_1216_04HTS재료비030902_63342_mini재료비-041001_05-07-01 06년재료비_05-07-18 06년 HA 재료비_41184_05-08-29 9월1주차HA_41184_김정_개발회의(week21)_KMS-350" xfId="2075"/>
    <cellStyle name="7_재료비CM350_1216_04HTS재료비030902_63342_mini재료비-041001_05-07-01 06년재료비_05-07-18 06년 HA 재료비_41184_개발회의(week21)_KMS-350" xfId="2076"/>
    <cellStyle name="7_재료비CM350_1216_04HTS재료비030902_63342_mini재료비-041001_05-07-01 06년재료비_05-07-18 06년 HA 재료비_개발회의(week21)_KMS-350" xfId="2077"/>
    <cellStyle name="7_재료비CM350_1216_04HTS재료비030902_63342_mini재료비-041001_05-07-01 06년재료비_05-07-23 06년 HA 재료비" xfId="2078"/>
    <cellStyle name="7_재료비CM350_1216_04HTS재료비030902_63342_mini재료비-041001_05-07-01 06년재료비_05-07-23 06년 HA 재료비_05-08-29 9월1주차HA_41184_김정" xfId="2079"/>
    <cellStyle name="7_재료비CM350_1216_04HTS재료비030902_63342_mini재료비-041001_05-07-01 06년재료비_05-07-23 06년 HA 재료비_05-08-29 9월1주차HA_41184_김정_개발회의(week21)_KMS-350" xfId="2080"/>
    <cellStyle name="7_재료비CM350_1216_04HTS재료비030902_63342_mini재료비-041001_05-07-01 06년재료비_05-07-23 06년 HA 재료비_개발회의(week21)_KMS-350" xfId="2081"/>
    <cellStyle name="7_재료비CM350_1216_04HTS재료비030902_63342_mini재료비-041001_05-07-01 06년재료비_05-07-25 06년 HA 재료비_H2000" xfId="2082"/>
    <cellStyle name="7_재료비CM350_1216_04HTS재료비030902_63342_mini재료비-041001_05-07-01 06년재료비_05-07-25 06년 HA 재료비_H2000_05-08-29 9월1주차HA_41184_김정" xfId="2083"/>
    <cellStyle name="7_재료비CM350_1216_04HTS재료비030902_63342_mini재료비-041001_05-07-01 06년재료비_05-07-25 06년 HA 재료비_H2000_05-08-29 9월1주차HA_41184_김정_개발회의(week21)_KMS-350" xfId="2084"/>
    <cellStyle name="7_재료비CM350_1216_04HTS재료비030902_63342_mini재료비-041001_05-07-01 06년재료비_05-07-25 06년 HA 재료비_H2000_개발회의(week21)_KMS-350" xfId="2085"/>
    <cellStyle name="7_재료비CM350_1216_04HTS재료비030902_63342_mini재료비-041001_05-07-01 06년재료비_05-07-26 06년 HA 재료비_41184" xfId="2086"/>
    <cellStyle name="7_재료비CM350_1216_04HTS재료비030902_63342_mini재료비-041001_05-07-01 06년재료비_05-07-26 06년 HA 재료비_41184_05-08-29 9월1주차HA_41184_김정" xfId="2087"/>
    <cellStyle name="7_재료비CM350_1216_04HTS재료비030902_63342_mini재료비-041001_05-07-01 06년재료비_05-07-26 06년 HA 재료비_41184_05-08-29 9월1주차HA_41184_김정_개발회의(week21)_KMS-350" xfId="2088"/>
    <cellStyle name="7_재료비CM350_1216_04HTS재료비030902_63342_mini재료비-041001_05-07-01 06년재료비_05-07-26 06년 HA 재료비_41184_개발회의(week21)_KMS-350" xfId="2089"/>
    <cellStyle name="7_재료비CM350_1216_04HTS재료비030902_63342_mini재료비-041001_05-07-01 06년재료비_05-07-26 06년 HA 재료비1" xfId="2090"/>
    <cellStyle name="7_재료비CM350_1216_04HTS재료비030902_63342_mini재료비-041001_05-07-01 06년재료비_05-07-26 06년 HA 재료비1_05-08-29 9월1주차HA_41184_김정" xfId="2091"/>
    <cellStyle name="7_재료비CM350_1216_04HTS재료비030902_63342_mini재료비-041001_05-07-01 06년재료비_05-07-26 06년 HA 재료비1_05-08-29 9월1주차HA_41184_김정_개발회의(week21)_KMS-350" xfId="2092"/>
    <cellStyle name="7_재료비CM350_1216_04HTS재료비030902_63342_mini재료비-041001_05-07-01 06년재료비_05-07-26 06년 HA 재료비1_개발회의(week21)_KMS-350" xfId="2093"/>
    <cellStyle name="7_재료비CM350_1216_04HTS재료비030902_63342_mini재료비-041001_05-07-01 06년재료비_05-08-29 9월1주차HA_41184_김정" xfId="2094"/>
    <cellStyle name="7_재료비CM350_1216_04HTS재료비030902_63342_mini재료비-041001_05-07-01 06년재료비_05-08-29 9월1주차HA_41184_김정_개발회의(week21)_KMS-350" xfId="2095"/>
    <cellStyle name="7_재료비CM350_1216_04HTS재료비030902_63342_mini재료비-041001_05-07-01 06년재료비_개발회의(week21)_KMS-350" xfId="2096"/>
    <cellStyle name="7_재료비CM350_1216_04HTS재료비030902_63342_mini재료비-041001_05-07-05 06년재료비_41184" xfId="2097"/>
    <cellStyle name="7_재료비CM350_1216_04HTS재료비030902_63342_mini재료비-041001_05-07-05 06년재료비_41184_(Q80)05-07-12 06년재료비" xfId="2098"/>
    <cellStyle name="7_재료비CM350_1216_04HTS재료비030902_63342_mini재료비-041001_05-07-05 06년재료비_41184_(Q80)05-07-12 06년재료비_05-07-18 06년 HA 재료비_41184" xfId="2099"/>
    <cellStyle name="7_재료비CM350_1216_04HTS재료비030902_63342_mini재료비-041001_05-07-05 06년재료비_41184_(Q80)05-07-12 06년재료비_05-07-18 06년 HA 재료비_41184_05-08-29 9월1주차HA_41184_김정" xfId="2100"/>
    <cellStyle name="7_재료비CM350_1216_04HTS재료비030902_63342_mini재료비-041001_05-07-05 06년재료비_41184_(Q80)05-07-12 06년재료비_05-07-18 06년 HA 재료비_41184_05-08-29 9월1주차HA_41184_김정_개발회의(week21)_KMS-350" xfId="2101"/>
    <cellStyle name="7_재료비CM350_1216_04HTS재료비030902_63342_mini재료비-041001_05-07-05 06년재료비_41184_(Q80)05-07-12 06년재료비_05-07-18 06년 HA 재료비_41184_개발회의(week21)_KMS-350" xfId="2102"/>
    <cellStyle name="7_재료비CM350_1216_04HTS재료비030902_63342_mini재료비-041001_05-07-05 06년재료비_41184_(Q80)05-07-12 06년재료비_05-08-29 9월1주차HA_41184_김정" xfId="2103"/>
    <cellStyle name="7_재료비CM350_1216_04HTS재료비030902_63342_mini재료비-041001_05-07-05 06년재료비_41184_(Q80)05-07-12 06년재료비_05-08-29 9월1주차HA_41184_김정_개발회의(week21)_KMS-350" xfId="2104"/>
    <cellStyle name="7_재료비CM350_1216_04HTS재료비030902_63342_mini재료비-041001_05-07-05 06년재료비_41184_(Q80)05-07-12 06년재료비_개발회의(week21)_KMS-350" xfId="2105"/>
    <cellStyle name="7_재료비CM350_1216_04HTS재료비030902_63342_mini재료비-041001_05-07-05 06년재료비_41184_(R1500)05-07-19 재료비" xfId="2106"/>
    <cellStyle name="7_재료비CM350_1216_04HTS재료비030902_63342_mini재료비-041001_05-07-05 06년재료비_41184_(R1500)05-07-19 재료비_05-08-29 9월1주차HA_41184_김정" xfId="2107"/>
    <cellStyle name="7_재료비CM350_1216_04HTS재료비030902_63342_mini재료비-041001_05-07-05 06년재료비_41184_(R1500)05-07-19 재료비_05-08-29 9월1주차HA_41184_김정_개발회의(week21)_KMS-350" xfId="2108"/>
    <cellStyle name="7_재료비CM350_1216_04HTS재료비030902_63342_mini재료비-041001_05-07-05 06년재료비_41184_(R1500)05-07-19 재료비_개발회의(week21)_KMS-350" xfId="2109"/>
    <cellStyle name="7_재료비CM350_1216_04HTS재료비030902_63342_mini재료비-041001_05-07-05 06년재료비_41184_05-07-12 06년재료비(Q120)" xfId="2110"/>
    <cellStyle name="7_재료비CM350_1216_04HTS재료비030902_63342_mini재료비-041001_05-07-05 06년재료비_41184_05-07-12 06년재료비(Q120)_05-07-18 06년 HA 재료비_41184" xfId="2111"/>
    <cellStyle name="7_재료비CM350_1216_04HTS재료비030902_63342_mini재료비-041001_05-07-05 06년재료비_41184_05-07-12 06년재료비(Q120)_05-07-18 06년 HA 재료비_41184_05-08-29 9월1주차HA_41184_김정" xfId="2112"/>
    <cellStyle name="7_재료비CM350_1216_04HTS재료비030902_63342_mini재료비-041001_05-07-05 06년재료비_41184_05-07-12 06년재료비(Q120)_05-07-18 06년 HA 재료비_41184_05-08-29 9월1주차HA_41184_김정_개발회의(week21)_KMS-350" xfId="2113"/>
    <cellStyle name="7_재료비CM350_1216_04HTS재료비030902_63342_mini재료비-041001_05-07-05 06년재료비_41184_05-07-12 06년재료비(Q120)_05-07-18 06년 HA 재료비_41184_개발회의(week21)_KMS-350" xfId="2114"/>
    <cellStyle name="7_재료비CM350_1216_04HTS재료비030902_63342_mini재료비-041001_05-07-05 06년재료비_41184_05-07-12 06년재료비(Q120)_05-08-29 9월1주차HA_41184_김정" xfId="2115"/>
    <cellStyle name="7_재료비CM350_1216_04HTS재료비030902_63342_mini재료비-041001_05-07-05 06년재료비_41184_05-07-12 06년재료비(Q120)_05-08-29 9월1주차HA_41184_김정_개발회의(week21)_KMS-350" xfId="2116"/>
    <cellStyle name="7_재료비CM350_1216_04HTS재료비030902_63342_mini재료비-041001_05-07-05 06년재료비_41184_05-07-12 06년재료비(Q120)_개발회의(week21)_KMS-350" xfId="2117"/>
    <cellStyle name="7_재료비CM350_1216_04HTS재료비030902_63342_mini재료비-041001_05-07-05 06년재료비_41184_05-07-14 06년재료비" xfId="2118"/>
    <cellStyle name="7_재료비CM350_1216_04HTS재료비030902_63342_mini재료비-041001_05-07-05 06년재료비_41184_05-07-14 06년재료비_05-07-18 06년 HA 재료비_41184" xfId="2119"/>
    <cellStyle name="7_재료비CM350_1216_04HTS재료비030902_63342_mini재료비-041001_05-07-05 06년재료비_41184_05-07-14 06년재료비_05-07-18 06년 HA 재료비_41184_05-08-29 9월1주차HA_41184_김정" xfId="2120"/>
    <cellStyle name="7_재료비CM350_1216_04HTS재료비030902_63342_mini재료비-041001_05-07-05 06년재료비_41184_05-07-14 06년재료비_05-07-18 06년 HA 재료비_41184_05-08-29 9월1주차HA_41184_김정_개발회의(week21)_KMS-350" xfId="2121"/>
    <cellStyle name="7_재료비CM350_1216_04HTS재료비030902_63342_mini재료비-041001_05-07-05 06년재료비_41184_05-07-14 06년재료비_05-07-18 06년 HA 재료비_41184_개발회의(week21)_KMS-350" xfId="2122"/>
    <cellStyle name="7_재료비CM350_1216_04HTS재료비030902_63342_mini재료비-041001_05-07-05 06년재료비_41184_05-07-14 06년재료비_05-08-29 9월1주차HA_41184_김정" xfId="2123"/>
    <cellStyle name="7_재료비CM350_1216_04HTS재료비030902_63342_mini재료비-041001_05-07-05 06년재료비_41184_05-07-14 06년재료비_05-08-29 9월1주차HA_41184_김정_개발회의(week21)_KMS-350" xfId="2124"/>
    <cellStyle name="7_재료비CM350_1216_04HTS재료비030902_63342_mini재료비-041001_05-07-05 06년재료비_41184_05-07-14 06년재료비_개발회의(week21)_KMS-350" xfId="2125"/>
    <cellStyle name="7_재료비CM350_1216_04HTS재료비030902_63342_mini재료비-041001_05-07-05 06년재료비_41184_05-07-15 06년재료비 기구스피커" xfId="2126"/>
    <cellStyle name="7_재료비CM350_1216_04HTS재료비030902_63342_mini재료비-041001_05-07-05 06년재료비_41184_05-07-15 06년재료비 기구스피커_05-07-18 06년 HA 재료비_41184" xfId="2127"/>
    <cellStyle name="7_재료비CM350_1216_04HTS재료비030902_63342_mini재료비-041001_05-07-05 06년재료비_41184_05-07-15 06년재료비 기구스피커_05-07-18 06년 HA 재료비_41184_05-08-29 9월1주차HA_41184_김정" xfId="2128"/>
    <cellStyle name="7_재료비CM350_1216_04HTS재료비030902_63342_mini재료비-041001_05-07-05 06년재료비_41184_05-07-15 06년재료비 기구스피커_05-07-18 06년 HA 재료비_41184_05-08-29 9월1주차HA_41184_김정_개발회의(week21)_KMS-350" xfId="2129"/>
    <cellStyle name="7_재료비CM350_1216_04HTS재료비030902_63342_mini재료비-041001_05-07-05 06년재료비_41184_05-07-15 06년재료비 기구스피커_05-07-18 06년 HA 재료비_41184_개발회의(week21)_KMS-350" xfId="2130"/>
    <cellStyle name="7_재료비CM350_1216_04HTS재료비030902_63342_mini재료비-041001_05-07-05 06년재료비_41184_05-07-15 06년재료비 기구스피커_05-08-29 9월1주차HA_41184_김정" xfId="2131"/>
    <cellStyle name="7_재료비CM350_1216_04HTS재료비030902_63342_mini재료비-041001_05-07-05 06년재료비_41184_05-07-15 06년재료비 기구스피커_05-08-29 9월1주차HA_41184_김정_개발회의(week21)_KMS-350" xfId="2132"/>
    <cellStyle name="7_재료비CM350_1216_04HTS재료비030902_63342_mini재료비-041001_05-07-05 06년재료비_41184_05-07-15 06년재료비 기구스피커_개발회의(week21)_KMS-350" xfId="2133"/>
    <cellStyle name="7_재료비CM350_1216_04HTS재료비030902_63342_mini재료비-041001_05-07-05 06년재료비_41184_05-07-18 06년 HA 재료비" xfId="2134"/>
    <cellStyle name="7_재료비CM350_1216_04HTS재료비030902_63342_mini재료비-041001_05-07-05 06년재료비_41184_05-07-18 06년 HA 재료비_05-07-18 06년 HA 재료비_41184" xfId="2135"/>
    <cellStyle name="7_재료비CM350_1216_04HTS재료비030902_63342_mini재료비-041001_05-07-05 06년재료비_41184_05-07-18 06년 HA 재료비_05-07-18 06년 HA 재료비_41184_05-08-29 9월1주차HA_41184_김정" xfId="2136"/>
    <cellStyle name="7_재료비CM350_1216_04HTS재료비030902_63342_mini재료비-041001_05-07-05 06년재료비_41184_05-07-18 06년 HA 재료비_05-07-18 06년 HA 재료비_41184_05-08-29 9월1주차HA_41184_김정_개발회의(week21)_KMS-350" xfId="2137"/>
    <cellStyle name="7_재료비CM350_1216_04HTS재료비030902_63342_mini재료비-041001_05-07-05 06년재료비_41184_05-07-18 06년 HA 재료비_05-07-18 06년 HA 재료비_41184_개발회의(week21)_KMS-350" xfId="2138"/>
    <cellStyle name="7_재료비CM350_1216_04HTS재료비030902_63342_mini재료비-041001_05-07-05 06년재료비_41184_05-07-18 06년 HA 재료비_05-08-29 9월1주차HA_41184_김정" xfId="2139"/>
    <cellStyle name="7_재료비CM350_1216_04HTS재료비030902_63342_mini재료비-041001_05-07-05 06년재료비_41184_05-07-18 06년 HA 재료비_05-08-29 9월1주차HA_41184_김정_개발회의(week21)_KMS-350" xfId="2140"/>
    <cellStyle name="7_재료비CM350_1216_04HTS재료비030902_63342_mini재료비-041001_05-07-05 06년재료비_41184_05-07-18 06년 HA 재료비_41184" xfId="2141"/>
    <cellStyle name="7_재료비CM350_1216_04HTS재료비030902_63342_mini재료비-041001_05-07-05 06년재료비_41184_05-07-18 06년 HA 재료비_41184_05-08-29 9월1주차HA_41184_김정" xfId="2142"/>
    <cellStyle name="7_재료비CM350_1216_04HTS재료비030902_63342_mini재료비-041001_05-07-05 06년재료비_41184_05-07-18 06년 HA 재료비_41184_05-08-29 9월1주차HA_41184_김정_개발회의(week21)_KMS-350" xfId="2143"/>
    <cellStyle name="7_재료비CM350_1216_04HTS재료비030902_63342_mini재료비-041001_05-07-05 06년재료비_41184_05-07-18 06년 HA 재료비_41184_개발회의(week21)_KMS-350" xfId="2144"/>
    <cellStyle name="7_재료비CM350_1216_04HTS재료비030902_63342_mini재료비-041001_05-07-05 06년재료비_41184_05-07-18 06년 HA 재료비_개발회의(week21)_KMS-350" xfId="2145"/>
    <cellStyle name="7_재료비CM350_1216_04HTS재료비030902_63342_mini재료비-041001_05-07-05 06년재료비_41184_05-07-23 06년 HA 재료비" xfId="2146"/>
    <cellStyle name="7_재료비CM350_1216_04HTS재료비030902_63342_mini재료비-041001_05-07-05 06년재료비_41184_05-07-23 06년 HA 재료비_05-08-29 9월1주차HA_41184_김정" xfId="2147"/>
    <cellStyle name="7_재료비CM350_1216_04HTS재료비030902_63342_mini재료비-041001_05-07-05 06년재료비_41184_05-07-23 06년 HA 재료비_05-08-29 9월1주차HA_41184_김정_개발회의(week21)_KMS-350" xfId="2148"/>
    <cellStyle name="7_재료비CM350_1216_04HTS재료비030902_63342_mini재료비-041001_05-07-05 06년재료비_41184_05-07-23 06년 HA 재료비_개발회의(week21)_KMS-350" xfId="2149"/>
    <cellStyle name="7_재료비CM350_1216_04HTS재료비030902_63342_mini재료비-041001_05-07-05 06년재료비_41184_05-07-25 06년 HA 재료비_H2000" xfId="2150"/>
    <cellStyle name="7_재료비CM350_1216_04HTS재료비030902_63342_mini재료비-041001_05-07-05 06년재료비_41184_05-07-25 06년 HA 재료비_H2000_05-08-29 9월1주차HA_41184_김정" xfId="2151"/>
    <cellStyle name="7_재료비CM350_1216_04HTS재료비030902_63342_mini재료비-041001_05-07-05 06년재료비_41184_05-07-25 06년 HA 재료비_H2000_05-08-29 9월1주차HA_41184_김정_개발회의(week21)_KMS-350" xfId="2152"/>
    <cellStyle name="7_재료비CM350_1216_04HTS재료비030902_63342_mini재료비-041001_05-07-05 06년재료비_41184_05-07-25 06년 HA 재료비_H2000_개발회의(week21)_KMS-350" xfId="2153"/>
    <cellStyle name="7_재료비CM350_1216_04HTS재료비030902_63342_mini재료비-041001_05-07-05 06년재료비_41184_05-07-26 06년 HA 재료비_41184" xfId="2154"/>
    <cellStyle name="7_재료비CM350_1216_04HTS재료비030902_63342_mini재료비-041001_05-07-05 06년재료비_41184_05-07-26 06년 HA 재료비_41184_05-08-29 9월1주차HA_41184_김정" xfId="2155"/>
    <cellStyle name="7_재료비CM350_1216_04HTS재료비030902_63342_mini재료비-041001_05-07-05 06년재료비_41184_05-07-26 06년 HA 재료비_41184_05-08-29 9월1주차HA_41184_김정_개발회의(week21)_KMS-350" xfId="2156"/>
    <cellStyle name="7_재료비CM350_1216_04HTS재료비030902_63342_mini재료비-041001_05-07-05 06년재료비_41184_05-07-26 06년 HA 재료비_41184_개발회의(week21)_KMS-350" xfId="2157"/>
    <cellStyle name="7_재료비CM350_1216_04HTS재료비030902_63342_mini재료비-041001_05-07-05 06년재료비_41184_05-07-26 06년 HA 재료비1" xfId="2158"/>
    <cellStyle name="7_재료비CM350_1216_04HTS재료비030902_63342_mini재료비-041001_05-07-05 06년재료비_41184_05-07-26 06년 HA 재료비1_05-08-29 9월1주차HA_41184_김정" xfId="2159"/>
    <cellStyle name="7_재료비CM350_1216_04HTS재료비030902_63342_mini재료비-041001_05-07-05 06년재료비_41184_05-07-26 06년 HA 재료비1_05-08-29 9월1주차HA_41184_김정_개발회의(week21)_KMS-350" xfId="2160"/>
    <cellStyle name="7_재료비CM350_1216_04HTS재료비030902_63342_mini재료비-041001_05-07-05 06년재료비_41184_05-07-26 06년 HA 재료비1_개발회의(week21)_KMS-350" xfId="2161"/>
    <cellStyle name="7_재료비CM350_1216_04HTS재료비030902_63342_mini재료비-041001_05-07-05 06년재료비_41184_05-08-29 9월1주차HA_41184_김정" xfId="2162"/>
    <cellStyle name="7_재료비CM350_1216_04HTS재료비030902_63342_mini재료비-041001_05-07-05 06년재료비_41184_05-08-29 9월1주차HA_41184_김정_개발회의(week21)_KMS-350" xfId="2163"/>
    <cellStyle name="7_재료비CM350_1216_04HTS재료비030902_63342_mini재료비-041001_05-07-05 06년재료비_41184_개발회의(week21)_KMS-350" xfId="2164"/>
    <cellStyle name="7_재료비CM350_1216_04HTS재료비030902_63342_mini재료비-041001_05-07-18 06년 HA 재료비_41184" xfId="2165"/>
    <cellStyle name="7_재료비CM350_1216_04HTS재료비030902_63342_mini재료비-041001_05-07-18 06년 HA 재료비_41184_05-08-29 9월1주차HA_41184_김정" xfId="2166"/>
    <cellStyle name="7_재료비CM350_1216_04HTS재료비030902_63342_mini재료비-041001_05-07-18 06년 HA 재료비_41184_05-08-29 9월1주차HA_41184_김정_개발회의(week21)_KMS-350" xfId="2167"/>
    <cellStyle name="7_재료비CM350_1216_04HTS재료비030902_63342_mini재료비-041001_05-07-18 06년 HA 재료비_41184_개발회의(week21)_KMS-350" xfId="2168"/>
    <cellStyle name="7_재료비CM350_1216_04HTS재료비030902_63342_mini재료비-041001_05-08-29 9월1주차HA_41184_김정" xfId="2169"/>
    <cellStyle name="7_재료비CM350_1216_04HTS재료비030902_63342_mini재료비-041001_05-08-29 9월1주차HA_41184_김정_개발회의(week21)_KMS-350" xfId="2170"/>
    <cellStyle name="7_재료비CM350_1216_04HTS재료비030902_63342_mini재료비-041001_개발회의(week21)_KMS-350" xfId="2171"/>
    <cellStyle name="7_재료비CM350_1216_05-07-01 06년재료비" xfId="2172"/>
    <cellStyle name="7_재료비CM350_1216_05-07-01 06년재료비_(Q80)05-07-12 06년재료비" xfId="2173"/>
    <cellStyle name="7_재료비CM350_1216_05-07-01 06년재료비_(Q80)05-07-12 06년재료비_05-07-18 06년 HA 재료비_41184" xfId="2174"/>
    <cellStyle name="7_재료비CM350_1216_05-07-01 06년재료비_(Q80)05-07-12 06년재료비_05-07-18 06년 HA 재료비_41184_05-08-29 9월1주차HA_41184_김정" xfId="2175"/>
    <cellStyle name="7_재료비CM350_1216_05-07-01 06년재료비_(Q80)05-07-12 06년재료비_05-07-18 06년 HA 재료비_41184_05-08-29 9월1주차HA_41184_김정_개발회의(week21)_KMS-350" xfId="2176"/>
    <cellStyle name="7_재료비CM350_1216_05-07-01 06년재료비_(Q80)05-07-12 06년재료비_05-07-18 06년 HA 재료비_41184_개발회의(week21)_KMS-350" xfId="2177"/>
    <cellStyle name="7_재료비CM350_1216_05-07-01 06년재료비_(Q80)05-07-12 06년재료비_05-08-29 9월1주차HA_41184_김정" xfId="2178"/>
    <cellStyle name="7_재료비CM350_1216_05-07-01 06년재료비_(Q80)05-07-12 06년재료비_05-08-29 9월1주차HA_41184_김정_개발회의(week21)_KMS-350" xfId="2179"/>
    <cellStyle name="7_재료비CM350_1216_05-07-01 06년재료비_(Q80)05-07-12 06년재료비_개발회의(week21)_KMS-350" xfId="2180"/>
    <cellStyle name="7_재료비CM350_1216_05-07-01 06년재료비_(R1500)05-07-19 재료비" xfId="2181"/>
    <cellStyle name="7_재료비CM350_1216_05-07-01 06년재료비_(R1500)05-07-19 재료비_05-08-29 9월1주차HA_41184_김정" xfId="2182"/>
    <cellStyle name="7_재료비CM350_1216_05-07-01 06년재료비_(R1500)05-07-19 재료비_05-08-29 9월1주차HA_41184_김정_개발회의(week21)_KMS-350" xfId="2183"/>
    <cellStyle name="7_재료비CM350_1216_05-07-01 06년재료비_(R1500)05-07-19 재료비_개발회의(week21)_KMS-350" xfId="2184"/>
    <cellStyle name="7_재료비CM350_1216_05-07-01 06년재료비_05-07-12 06년재료비(Q120)" xfId="2185"/>
    <cellStyle name="7_재료비CM350_1216_05-07-01 06년재료비_05-07-12 06년재료비(Q120)_05-07-18 06년 HA 재료비_41184" xfId="2186"/>
    <cellStyle name="7_재료비CM350_1216_05-07-01 06년재료비_05-07-12 06년재료비(Q120)_05-07-18 06년 HA 재료비_41184_05-08-29 9월1주차HA_41184_김정" xfId="2187"/>
    <cellStyle name="7_재료비CM350_1216_05-07-01 06년재료비_05-07-12 06년재료비(Q120)_05-07-18 06년 HA 재료비_41184_05-08-29 9월1주차HA_41184_김정_개발회의(week21)_KMS-350" xfId="2188"/>
    <cellStyle name="7_재료비CM350_1216_05-07-01 06년재료비_05-07-12 06년재료비(Q120)_05-07-18 06년 HA 재료비_41184_개발회의(week21)_KMS-350" xfId="2189"/>
    <cellStyle name="7_재료비CM350_1216_05-07-01 06년재료비_05-07-12 06년재료비(Q120)_05-08-29 9월1주차HA_41184_김정" xfId="2190"/>
    <cellStyle name="7_재료비CM350_1216_05-07-01 06년재료비_05-07-12 06년재료비(Q120)_05-08-29 9월1주차HA_41184_김정_개발회의(week21)_KMS-350" xfId="2191"/>
    <cellStyle name="7_재료비CM350_1216_05-07-01 06년재료비_05-07-12 06년재료비(Q120)_개발회의(week21)_KMS-350" xfId="2192"/>
    <cellStyle name="7_재료비CM350_1216_05-07-01 06년재료비_05-07-14 06년재료비" xfId="2193"/>
    <cellStyle name="7_재료비CM350_1216_05-07-01 06년재료비_05-07-14 06년재료비_05-07-18 06년 HA 재료비_41184" xfId="2194"/>
    <cellStyle name="7_재료비CM350_1216_05-07-01 06년재료비_05-07-14 06년재료비_05-07-18 06년 HA 재료비_41184_05-08-29 9월1주차HA_41184_김정" xfId="2195"/>
    <cellStyle name="7_재료비CM350_1216_05-07-01 06년재료비_05-07-14 06년재료비_05-07-18 06년 HA 재료비_41184_05-08-29 9월1주차HA_41184_김정_개발회의(week21)_KMS-350" xfId="2196"/>
    <cellStyle name="7_재료비CM350_1216_05-07-01 06년재료비_05-07-14 06년재료비_05-07-18 06년 HA 재료비_41184_개발회의(week21)_KMS-350" xfId="2197"/>
    <cellStyle name="7_재료비CM350_1216_05-07-01 06년재료비_05-07-14 06년재료비_05-08-29 9월1주차HA_41184_김정" xfId="2198"/>
    <cellStyle name="7_재료비CM350_1216_05-07-01 06년재료비_05-07-14 06년재료비_05-08-29 9월1주차HA_41184_김정_개발회의(week21)_KMS-350" xfId="2199"/>
    <cellStyle name="7_재료비CM350_1216_05-07-01 06년재료비_05-07-14 06년재료비_개발회의(week21)_KMS-350" xfId="2200"/>
    <cellStyle name="7_재료비CM350_1216_05-07-01 06년재료비_05-07-15 06년재료비 기구스피커" xfId="2201"/>
    <cellStyle name="7_재료비CM350_1216_05-07-01 06년재료비_05-07-15 06년재료비 기구스피커_05-07-18 06년 HA 재료비_41184" xfId="2202"/>
    <cellStyle name="7_재료비CM350_1216_05-07-01 06년재료비_05-07-15 06년재료비 기구스피커_05-07-18 06년 HA 재료비_41184_05-08-29 9월1주차HA_41184_김정" xfId="2203"/>
    <cellStyle name="7_재료비CM350_1216_05-07-01 06년재료비_05-07-15 06년재료비 기구스피커_05-07-18 06년 HA 재료비_41184_05-08-29 9월1주차HA_41184_김정_개발회의(week21)_KMS-350" xfId="2204"/>
    <cellStyle name="7_재료비CM350_1216_05-07-01 06년재료비_05-07-15 06년재료비 기구스피커_05-07-18 06년 HA 재료비_41184_개발회의(week21)_KMS-350" xfId="2205"/>
    <cellStyle name="7_재료비CM350_1216_05-07-01 06년재료비_05-07-15 06년재료비 기구스피커_05-08-29 9월1주차HA_41184_김정" xfId="2206"/>
    <cellStyle name="7_재료비CM350_1216_05-07-01 06년재료비_05-07-15 06년재료비 기구스피커_05-08-29 9월1주차HA_41184_김정_개발회의(week21)_KMS-350" xfId="2207"/>
    <cellStyle name="7_재료비CM350_1216_05-07-01 06년재료비_05-07-15 06년재료비 기구스피커_개발회의(week21)_KMS-350" xfId="2208"/>
    <cellStyle name="7_재료비CM350_1216_05-07-01 06년재료비_05-07-18 06년 HA 재료비" xfId="2209"/>
    <cellStyle name="7_재료비CM350_1216_05-07-01 06년재료비_05-07-18 06년 HA 재료비_05-07-18 06년 HA 재료비_41184" xfId="2210"/>
    <cellStyle name="7_재료비CM350_1216_05-07-01 06년재료비_05-07-18 06년 HA 재료비_05-07-18 06년 HA 재료비_41184_05-08-29 9월1주차HA_41184_김정" xfId="2211"/>
    <cellStyle name="7_재료비CM350_1216_05-07-01 06년재료비_05-07-18 06년 HA 재료비_05-07-18 06년 HA 재료비_41184_05-08-29 9월1주차HA_41184_김정_개발회의(week21)_KMS-350" xfId="2212"/>
    <cellStyle name="7_재료비CM350_1216_05-07-01 06년재료비_05-07-18 06년 HA 재료비_05-07-18 06년 HA 재료비_41184_개발회의(week21)_KMS-350" xfId="2213"/>
    <cellStyle name="7_재료비CM350_1216_05-07-01 06년재료비_05-07-18 06년 HA 재료비_05-08-29 9월1주차HA_41184_김정" xfId="2214"/>
    <cellStyle name="7_재료비CM350_1216_05-07-01 06년재료비_05-07-18 06년 HA 재료비_05-08-29 9월1주차HA_41184_김정_개발회의(week21)_KMS-350" xfId="2215"/>
    <cellStyle name="7_재료비CM350_1216_05-07-01 06년재료비_05-07-18 06년 HA 재료비_41184" xfId="2216"/>
    <cellStyle name="7_재료비CM350_1216_05-07-01 06년재료비_05-07-18 06년 HA 재료비_41184_05-08-29 9월1주차HA_41184_김정" xfId="2217"/>
    <cellStyle name="7_재료비CM350_1216_05-07-01 06년재료비_05-07-18 06년 HA 재료비_41184_05-08-29 9월1주차HA_41184_김정_개발회의(week21)_KMS-350" xfId="2218"/>
    <cellStyle name="7_재료비CM350_1216_05-07-01 06년재료비_05-07-18 06년 HA 재료비_41184_개발회의(week21)_KMS-350" xfId="2219"/>
    <cellStyle name="7_재료비CM350_1216_05-07-01 06년재료비_05-07-18 06년 HA 재료비_개발회의(week21)_KMS-350" xfId="2220"/>
    <cellStyle name="7_재료비CM350_1216_05-07-01 06년재료비_05-07-23 06년 HA 재료비" xfId="2221"/>
    <cellStyle name="7_재료비CM350_1216_05-07-01 06년재료비_05-07-23 06년 HA 재료비_05-08-29 9월1주차HA_41184_김정" xfId="2222"/>
    <cellStyle name="7_재료비CM350_1216_05-07-01 06년재료비_05-07-23 06년 HA 재료비_05-08-29 9월1주차HA_41184_김정_개발회의(week21)_KMS-350" xfId="2223"/>
    <cellStyle name="7_재료비CM350_1216_05-07-01 06년재료비_05-07-23 06년 HA 재료비_개발회의(week21)_KMS-350" xfId="2224"/>
    <cellStyle name="7_재료비CM350_1216_05-07-01 06년재료비_05-07-25 06년 HA 재료비_H2000" xfId="2225"/>
    <cellStyle name="7_재료비CM350_1216_05-07-01 06년재료비_05-07-25 06년 HA 재료비_H2000_05-08-29 9월1주차HA_41184_김정" xfId="2226"/>
    <cellStyle name="7_재료비CM350_1216_05-07-01 06년재료비_05-07-25 06년 HA 재료비_H2000_05-08-29 9월1주차HA_41184_김정_개발회의(week21)_KMS-350" xfId="2227"/>
    <cellStyle name="7_재료비CM350_1216_05-07-01 06년재료비_05-07-25 06년 HA 재료비_H2000_개발회의(week21)_KMS-350" xfId="2228"/>
    <cellStyle name="7_재료비CM350_1216_05-07-01 06년재료비_05-07-26 06년 HA 재료비_41184" xfId="2229"/>
    <cellStyle name="7_재료비CM350_1216_05-07-01 06년재료비_05-07-26 06년 HA 재료비_41184_05-08-29 9월1주차HA_41184_김정" xfId="2230"/>
    <cellStyle name="7_재료비CM350_1216_05-07-01 06년재료비_05-07-26 06년 HA 재료비_41184_05-08-29 9월1주차HA_41184_김정_개발회의(week21)_KMS-350" xfId="2231"/>
    <cellStyle name="7_재료비CM350_1216_05-07-01 06년재료비_05-07-26 06년 HA 재료비_41184_개발회의(week21)_KMS-350" xfId="2232"/>
    <cellStyle name="7_재료비CM350_1216_05-07-01 06년재료비_05-07-26 06년 HA 재료비1" xfId="2233"/>
    <cellStyle name="7_재료비CM350_1216_05-07-01 06년재료비_05-07-26 06년 HA 재료비1_05-08-29 9월1주차HA_41184_김정" xfId="2234"/>
    <cellStyle name="7_재료비CM350_1216_05-07-01 06년재료비_05-07-26 06년 HA 재료비1_05-08-29 9월1주차HA_41184_김정_개발회의(week21)_KMS-350" xfId="2235"/>
    <cellStyle name="7_재료비CM350_1216_05-07-01 06년재료비_05-07-26 06년 HA 재료비1_개발회의(week21)_KMS-350" xfId="2236"/>
    <cellStyle name="7_재료비CM350_1216_05-07-01 06년재료비_05-08-29 9월1주차HA_41184_김정" xfId="2237"/>
    <cellStyle name="7_재료비CM350_1216_05-07-01 06년재료비_05-08-29 9월1주차HA_41184_김정_개발회의(week21)_KMS-350" xfId="2238"/>
    <cellStyle name="7_재료비CM350_1216_05-07-01 06년재료비_개발회의(week21)_KMS-350" xfId="2239"/>
    <cellStyle name="7_재료비CM350_1216_05-07-05 06년재료비_41184" xfId="2240"/>
    <cellStyle name="7_재료비CM350_1216_05-07-05 06년재료비_41184_(Q80)05-07-12 06년재료비" xfId="2241"/>
    <cellStyle name="7_재료비CM350_1216_05-07-05 06년재료비_41184_(Q80)05-07-12 06년재료비_05-07-18 06년 HA 재료비_41184" xfId="2242"/>
    <cellStyle name="7_재료비CM350_1216_05-07-05 06년재료비_41184_(Q80)05-07-12 06년재료비_05-07-18 06년 HA 재료비_41184_05-08-29 9월1주차HA_41184_김정" xfId="2243"/>
    <cellStyle name="7_재료비CM350_1216_05-07-05 06년재료비_41184_(Q80)05-07-12 06년재료비_05-07-18 06년 HA 재료비_41184_05-08-29 9월1주차HA_41184_김정_개발회의(week21)_KMS-350" xfId="2244"/>
    <cellStyle name="7_재료비CM350_1216_05-07-05 06년재료비_41184_(Q80)05-07-12 06년재료비_05-07-18 06년 HA 재료비_41184_개발회의(week21)_KMS-350" xfId="2245"/>
    <cellStyle name="7_재료비CM350_1216_05-07-05 06년재료비_41184_(Q80)05-07-12 06년재료비_05-08-29 9월1주차HA_41184_김정" xfId="2246"/>
    <cellStyle name="7_재료비CM350_1216_05-07-05 06년재료비_41184_(Q80)05-07-12 06년재료비_05-08-29 9월1주차HA_41184_김정_개발회의(week21)_KMS-350" xfId="2247"/>
    <cellStyle name="7_재료비CM350_1216_05-07-05 06년재료비_41184_(Q80)05-07-12 06년재료비_개발회의(week21)_KMS-350" xfId="2248"/>
    <cellStyle name="7_재료비CM350_1216_05-07-05 06년재료비_41184_(R1500)05-07-19 재료비" xfId="2249"/>
    <cellStyle name="7_재료비CM350_1216_05-07-05 06년재료비_41184_(R1500)05-07-19 재료비_05-08-29 9월1주차HA_41184_김정" xfId="2250"/>
    <cellStyle name="7_재료비CM350_1216_05-07-05 06년재료비_41184_(R1500)05-07-19 재료비_05-08-29 9월1주차HA_41184_김정_개발회의(week21)_KMS-350" xfId="2251"/>
    <cellStyle name="7_재료비CM350_1216_05-07-05 06년재료비_41184_(R1500)05-07-19 재료비_개발회의(week21)_KMS-350" xfId="2252"/>
    <cellStyle name="7_재료비CM350_1216_05-07-05 06년재료비_41184_05-07-12 06년재료비(Q120)" xfId="2253"/>
    <cellStyle name="7_재료비CM350_1216_05-07-05 06년재료비_41184_05-07-12 06년재료비(Q120)_05-07-18 06년 HA 재료비_41184" xfId="2254"/>
    <cellStyle name="7_재료비CM350_1216_05-07-05 06년재료비_41184_05-07-12 06년재료비(Q120)_05-07-18 06년 HA 재료비_41184_05-08-29 9월1주차HA_41184_김정" xfId="2255"/>
    <cellStyle name="7_재료비CM350_1216_05-07-05 06년재료비_41184_05-07-12 06년재료비(Q120)_05-07-18 06년 HA 재료비_41184_05-08-29 9월1주차HA_41184_김정_개발회의(week21)_KMS-350" xfId="2256"/>
    <cellStyle name="7_재료비CM350_1216_05-07-05 06년재료비_41184_05-07-12 06년재료비(Q120)_05-07-18 06년 HA 재료비_41184_개발회의(week21)_KMS-350" xfId="2257"/>
    <cellStyle name="7_재료비CM350_1216_05-07-05 06년재료비_41184_05-07-12 06년재료비(Q120)_05-08-29 9월1주차HA_41184_김정" xfId="2258"/>
    <cellStyle name="7_재료비CM350_1216_05-07-05 06년재료비_41184_05-07-12 06년재료비(Q120)_05-08-29 9월1주차HA_41184_김정_개발회의(week21)_KMS-350" xfId="2259"/>
    <cellStyle name="7_재료비CM350_1216_05-07-05 06년재료비_41184_05-07-12 06년재료비(Q120)_개발회의(week21)_KMS-350" xfId="2260"/>
    <cellStyle name="7_재료비CM350_1216_05-07-05 06년재료비_41184_05-07-14 06년재료비" xfId="2261"/>
    <cellStyle name="7_재료비CM350_1216_05-07-05 06년재료비_41184_05-07-14 06년재료비_05-07-18 06년 HA 재료비_41184" xfId="2262"/>
    <cellStyle name="7_재료비CM350_1216_05-07-05 06년재료비_41184_05-07-14 06년재료비_05-07-18 06년 HA 재료비_41184_05-08-29 9월1주차HA_41184_김정" xfId="2263"/>
    <cellStyle name="7_재료비CM350_1216_05-07-05 06년재료비_41184_05-07-14 06년재료비_05-07-18 06년 HA 재료비_41184_05-08-29 9월1주차HA_41184_김정_개발회의(week21)_KMS-350" xfId="2264"/>
    <cellStyle name="7_재료비CM350_1216_05-07-05 06년재료비_41184_05-07-14 06년재료비_05-07-18 06년 HA 재료비_41184_개발회의(week21)_KMS-350" xfId="2265"/>
    <cellStyle name="7_재료비CM350_1216_05-07-05 06년재료비_41184_05-07-14 06년재료비_05-08-29 9월1주차HA_41184_김정" xfId="2266"/>
    <cellStyle name="7_재료비CM350_1216_05-07-05 06년재료비_41184_05-07-14 06년재료비_05-08-29 9월1주차HA_41184_김정_개발회의(week21)_KMS-350" xfId="2267"/>
    <cellStyle name="7_재료비CM350_1216_05-07-05 06년재료비_41184_05-07-14 06년재료비_개발회의(week21)_KMS-350" xfId="2268"/>
    <cellStyle name="7_재료비CM350_1216_05-07-05 06년재료비_41184_05-07-15 06년재료비 기구스피커" xfId="2269"/>
    <cellStyle name="7_재료비CM350_1216_05-07-05 06년재료비_41184_05-07-15 06년재료비 기구스피커_05-07-18 06년 HA 재료비_41184" xfId="2270"/>
    <cellStyle name="7_재료비CM350_1216_05-07-05 06년재료비_41184_05-07-15 06년재료비 기구스피커_05-07-18 06년 HA 재료비_41184_05-08-29 9월1주차HA_41184_김정" xfId="2271"/>
    <cellStyle name="7_재료비CM350_1216_05-07-05 06년재료비_41184_05-07-15 06년재료비 기구스피커_05-07-18 06년 HA 재료비_41184_05-08-29 9월1주차HA_41184_김정_개발회의(week21)_KMS-350" xfId="2272"/>
    <cellStyle name="7_재료비CM350_1216_05-07-05 06년재료비_41184_05-07-15 06년재료비 기구스피커_05-07-18 06년 HA 재료비_41184_개발회의(week21)_KMS-350" xfId="2273"/>
    <cellStyle name="7_재료비CM350_1216_05-07-05 06년재료비_41184_05-07-15 06년재료비 기구스피커_05-08-29 9월1주차HA_41184_김정" xfId="2274"/>
    <cellStyle name="7_재료비CM350_1216_05-07-05 06년재료비_41184_05-07-15 06년재료비 기구스피커_05-08-29 9월1주차HA_41184_김정_개발회의(week21)_KMS-350" xfId="2275"/>
    <cellStyle name="7_재료비CM350_1216_05-07-05 06년재료비_41184_05-07-15 06년재료비 기구스피커_개발회의(week21)_KMS-350" xfId="2276"/>
    <cellStyle name="7_재료비CM350_1216_05-07-05 06년재료비_41184_05-07-18 06년 HA 재료비" xfId="2277"/>
    <cellStyle name="7_재료비CM350_1216_05-07-05 06년재료비_41184_05-07-18 06년 HA 재료비_05-07-18 06년 HA 재료비_41184" xfId="2278"/>
    <cellStyle name="7_재료비CM350_1216_05-07-05 06년재료비_41184_05-07-18 06년 HA 재료비_05-07-18 06년 HA 재료비_41184_05-08-29 9월1주차HA_41184_김정" xfId="2279"/>
    <cellStyle name="7_재료비CM350_1216_05-07-05 06년재료비_41184_05-07-18 06년 HA 재료비_05-07-18 06년 HA 재료비_41184_05-08-29 9월1주차HA_41184_김정_개발회의(week21)_KMS-350" xfId="2280"/>
    <cellStyle name="7_재료비CM350_1216_05-07-05 06년재료비_41184_05-07-18 06년 HA 재료비_05-07-18 06년 HA 재료비_41184_개발회의(week21)_KMS-350" xfId="2281"/>
    <cellStyle name="7_재료비CM350_1216_05-07-05 06년재료비_41184_05-07-18 06년 HA 재료비_05-08-29 9월1주차HA_41184_김정" xfId="2282"/>
    <cellStyle name="7_재료비CM350_1216_05-07-05 06년재료비_41184_05-07-18 06년 HA 재료비_05-08-29 9월1주차HA_41184_김정_개발회의(week21)_KMS-350" xfId="2283"/>
    <cellStyle name="7_재료비CM350_1216_05-07-05 06년재료비_41184_05-07-18 06년 HA 재료비_41184" xfId="2284"/>
    <cellStyle name="7_재료비CM350_1216_05-07-05 06년재료비_41184_05-07-18 06년 HA 재료비_41184_05-08-29 9월1주차HA_41184_김정" xfId="2285"/>
    <cellStyle name="7_재료비CM350_1216_05-07-05 06년재료비_41184_05-07-18 06년 HA 재료비_41184_05-08-29 9월1주차HA_41184_김정_개발회의(week21)_KMS-350" xfId="2286"/>
    <cellStyle name="7_재료비CM350_1216_05-07-05 06년재료비_41184_05-07-18 06년 HA 재료비_41184_개발회의(week21)_KMS-350" xfId="2287"/>
    <cellStyle name="7_재료비CM350_1216_05-07-05 06년재료비_41184_05-07-18 06년 HA 재료비_개발회의(week21)_KMS-350" xfId="2288"/>
    <cellStyle name="7_재료비CM350_1216_05-07-05 06년재료비_41184_05-07-23 06년 HA 재료비" xfId="2289"/>
    <cellStyle name="7_재료비CM350_1216_05-07-05 06년재료비_41184_05-07-23 06년 HA 재료비_05-08-29 9월1주차HA_41184_김정" xfId="2290"/>
    <cellStyle name="7_재료비CM350_1216_05-07-05 06년재료비_41184_05-07-23 06년 HA 재료비_05-08-29 9월1주차HA_41184_김정_개발회의(week21)_KMS-350" xfId="2291"/>
    <cellStyle name="7_재료비CM350_1216_05-07-05 06년재료비_41184_05-07-23 06년 HA 재료비_개발회의(week21)_KMS-350" xfId="2292"/>
    <cellStyle name="7_재료비CM350_1216_05-07-05 06년재료비_41184_05-07-25 06년 HA 재료비_H2000" xfId="2293"/>
    <cellStyle name="7_재료비CM350_1216_05-07-05 06년재료비_41184_05-07-25 06년 HA 재료비_H2000_05-08-29 9월1주차HA_41184_김정" xfId="2294"/>
    <cellStyle name="7_재료비CM350_1216_05-07-05 06년재료비_41184_05-07-25 06년 HA 재료비_H2000_05-08-29 9월1주차HA_41184_김정_개발회의(week21)_KMS-350" xfId="2295"/>
    <cellStyle name="7_재료비CM350_1216_05-07-05 06년재료비_41184_05-07-25 06년 HA 재료비_H2000_개발회의(week21)_KMS-350" xfId="2296"/>
    <cellStyle name="7_재료비CM350_1216_05-07-05 06년재료비_41184_05-07-26 06년 HA 재료비_41184" xfId="2297"/>
    <cellStyle name="7_재료비CM350_1216_05-07-05 06년재료비_41184_05-07-26 06년 HA 재료비_41184_05-08-29 9월1주차HA_41184_김정" xfId="2298"/>
    <cellStyle name="7_재료비CM350_1216_05-07-05 06년재료비_41184_05-07-26 06년 HA 재료비_41184_05-08-29 9월1주차HA_41184_김정_개발회의(week21)_KMS-350" xfId="2299"/>
    <cellStyle name="7_재료비CM350_1216_05-07-05 06년재료비_41184_05-07-26 06년 HA 재료비_41184_개발회의(week21)_KMS-350" xfId="2300"/>
    <cellStyle name="7_재료비CM350_1216_05-07-05 06년재료비_41184_05-07-26 06년 HA 재료비1" xfId="2301"/>
    <cellStyle name="7_재료비CM350_1216_05-07-05 06년재료비_41184_05-07-26 06년 HA 재료비1_05-08-29 9월1주차HA_41184_김정" xfId="2302"/>
    <cellStyle name="7_재료비CM350_1216_05-07-05 06년재료비_41184_05-07-26 06년 HA 재료비1_05-08-29 9월1주차HA_41184_김정_개발회의(week21)_KMS-350" xfId="2303"/>
    <cellStyle name="7_재료비CM350_1216_05-07-05 06년재료비_41184_05-07-26 06년 HA 재료비1_개발회의(week21)_KMS-350" xfId="2304"/>
    <cellStyle name="7_재료비CM350_1216_05-07-05 06년재료비_41184_05-08-29 9월1주차HA_41184_김정" xfId="2305"/>
    <cellStyle name="7_재료비CM350_1216_05-07-05 06년재료비_41184_05-08-29 9월1주차HA_41184_김정_개발회의(week21)_KMS-350" xfId="2306"/>
    <cellStyle name="7_재료비CM350_1216_05-07-05 06년재료비_41184_개발회의(week21)_KMS-350" xfId="2307"/>
    <cellStyle name="7_재료비CM350_1216_05-07-18 06년 HA 재료비_41184" xfId="2308"/>
    <cellStyle name="7_재료비CM350_1216_05-07-18 06년 HA 재료비_41184_05-08-29 9월1주차HA_41184_김정" xfId="2309"/>
    <cellStyle name="7_재료비CM350_1216_05-07-18 06년 HA 재료비_41184_05-08-29 9월1주차HA_41184_김정_개발회의(week21)_KMS-350" xfId="2310"/>
    <cellStyle name="7_재료비CM350_1216_05-07-18 06년 HA 재료비_41184_개발회의(week21)_KMS-350" xfId="2311"/>
    <cellStyle name="7_재료비CM350_1216_05-08-29 9월1주차HA_41184_김정" xfId="2312"/>
    <cellStyle name="7_재료비CM350_1216_05-08-29 9월1주차HA_41184_김정_개발회의(week21)_KMS-350" xfId="2313"/>
    <cellStyle name="7_재료비CM350_1216_개발회의(week21)_KMS-350" xfId="2314"/>
    <cellStyle name="7_재료비CM350_1216_자재비절감(회의)-050110_63342" xfId="2315"/>
    <cellStyle name="7_재료비CM350_1216_자재비절감(회의)-050110_63342_05-07-01 06년재료비" xfId="2316"/>
    <cellStyle name="7_재료비CM350_1216_자재비절감(회의)-050110_63342_05-07-01 06년재료비_(Q80)05-07-12 06년재료비" xfId="2317"/>
    <cellStyle name="7_재료비CM350_1216_자재비절감(회의)-050110_63342_05-07-01 06년재료비_(Q80)05-07-12 06년재료비_05-07-18 06년 HA 재료비_41184" xfId="2318"/>
    <cellStyle name="7_재료비CM350_1216_자재비절감(회의)-050110_63342_05-07-01 06년재료비_(Q80)05-07-12 06년재료비_05-07-18 06년 HA 재료비_41184_05-08-29 9월1주차HA_41184_김정" xfId="2319"/>
    <cellStyle name="7_재료비CM350_1216_자재비절감(회의)-050110_63342_05-07-01 06년재료비_(Q80)05-07-12 06년재료비_05-07-18 06년 HA 재료비_41184_05-08-29 9월1주차HA_41184_김정_개발회의(week21)_KMS-350" xfId="2320"/>
    <cellStyle name="7_재료비CM350_1216_자재비절감(회의)-050110_63342_05-07-01 06년재료비_(Q80)05-07-12 06년재료비_05-07-18 06년 HA 재료비_41184_개발회의(week21)_KMS-350" xfId="2321"/>
    <cellStyle name="7_재료비CM350_1216_자재비절감(회의)-050110_63342_05-07-01 06년재료비_(Q80)05-07-12 06년재료비_05-08-29 9월1주차HA_41184_김정" xfId="2322"/>
    <cellStyle name="7_재료비CM350_1216_자재비절감(회의)-050110_63342_05-07-01 06년재료비_(Q80)05-07-12 06년재료비_05-08-29 9월1주차HA_41184_김정_개발회의(week21)_KMS-350" xfId="2323"/>
    <cellStyle name="7_재료비CM350_1216_자재비절감(회의)-050110_63342_05-07-01 06년재료비_(Q80)05-07-12 06년재료비_개발회의(week21)_KMS-350" xfId="2324"/>
    <cellStyle name="7_재료비CM350_1216_자재비절감(회의)-050110_63342_05-07-01 06년재료비_(R1500)05-07-19 재료비" xfId="2325"/>
    <cellStyle name="7_재료비CM350_1216_자재비절감(회의)-050110_63342_05-07-01 06년재료비_(R1500)05-07-19 재료비_05-08-29 9월1주차HA_41184_김정" xfId="2326"/>
    <cellStyle name="7_재료비CM350_1216_자재비절감(회의)-050110_63342_05-07-01 06년재료비_(R1500)05-07-19 재료비_05-08-29 9월1주차HA_41184_김정_개발회의(week21)_KMS-350" xfId="2327"/>
    <cellStyle name="7_재료비CM350_1216_자재비절감(회의)-050110_63342_05-07-01 06년재료비_(R1500)05-07-19 재료비_개발회의(week21)_KMS-350" xfId="2328"/>
    <cellStyle name="7_재료비CM350_1216_자재비절감(회의)-050110_63342_05-07-01 06년재료비_05-07-12 06년재료비(Q120)" xfId="2329"/>
    <cellStyle name="7_재료비CM350_1216_자재비절감(회의)-050110_63342_05-07-01 06년재료비_05-07-12 06년재료비(Q120)_05-07-18 06년 HA 재료비_41184" xfId="2330"/>
    <cellStyle name="7_재료비CM350_1216_자재비절감(회의)-050110_63342_05-07-01 06년재료비_05-07-12 06년재료비(Q120)_05-07-18 06년 HA 재료비_41184_05-08-29 9월1주차HA_41184_김정" xfId="2331"/>
    <cellStyle name="7_재료비CM350_1216_자재비절감(회의)-050110_63342_05-07-01 06년재료비_05-07-12 06년재료비(Q120)_05-07-18 06년 HA 재료비_41184_05-08-29 9월1주차HA_41184_김정_개발회의(week21)_KMS-350" xfId="2332"/>
    <cellStyle name="7_재료비CM350_1216_자재비절감(회의)-050110_63342_05-07-01 06년재료비_05-07-12 06년재료비(Q120)_05-07-18 06년 HA 재료비_41184_개발회의(week21)_KMS-350" xfId="2333"/>
    <cellStyle name="7_재료비CM350_1216_자재비절감(회의)-050110_63342_05-07-01 06년재료비_05-07-12 06년재료비(Q120)_05-08-29 9월1주차HA_41184_김정" xfId="2334"/>
    <cellStyle name="7_재료비CM350_1216_자재비절감(회의)-050110_63342_05-07-01 06년재료비_05-07-12 06년재료비(Q120)_05-08-29 9월1주차HA_41184_김정_개발회의(week21)_KMS-350" xfId="2335"/>
    <cellStyle name="7_재료비CM350_1216_자재비절감(회의)-050110_63342_05-07-01 06년재료비_05-07-12 06년재료비(Q120)_개발회의(week21)_KMS-350" xfId="2336"/>
    <cellStyle name="7_재료비CM350_1216_자재비절감(회의)-050110_63342_05-07-01 06년재료비_05-07-14 06년재료비" xfId="2337"/>
    <cellStyle name="7_재료비CM350_1216_자재비절감(회의)-050110_63342_05-07-01 06년재료비_05-07-14 06년재료비_05-07-18 06년 HA 재료비_41184" xfId="2338"/>
    <cellStyle name="7_재료비CM350_1216_자재비절감(회의)-050110_63342_05-07-01 06년재료비_05-07-14 06년재료비_05-07-18 06년 HA 재료비_41184_05-08-29 9월1주차HA_41184_김정" xfId="2339"/>
    <cellStyle name="7_재료비CM350_1216_자재비절감(회의)-050110_63342_05-07-01 06년재료비_05-07-14 06년재료비_05-07-18 06년 HA 재료비_41184_05-08-29 9월1주차HA_41184_김정_개발회의(week21)_KMS-350" xfId="2340"/>
    <cellStyle name="7_재료비CM350_1216_자재비절감(회의)-050110_63342_05-07-01 06년재료비_05-07-14 06년재료비_05-07-18 06년 HA 재료비_41184_개발회의(week21)_KMS-350" xfId="2341"/>
    <cellStyle name="7_재료비CM350_1216_자재비절감(회의)-050110_63342_05-07-01 06년재료비_05-07-14 06년재료비_05-08-29 9월1주차HA_41184_김정" xfId="2342"/>
    <cellStyle name="7_재료비CM350_1216_자재비절감(회의)-050110_63342_05-07-01 06년재료비_05-07-14 06년재료비_05-08-29 9월1주차HA_41184_김정_개발회의(week21)_KMS-350" xfId="2343"/>
    <cellStyle name="7_재료비CM350_1216_자재비절감(회의)-050110_63342_05-07-01 06년재료비_05-07-14 06년재료비_개발회의(week21)_KMS-350" xfId="2344"/>
    <cellStyle name="7_재료비CM350_1216_자재비절감(회의)-050110_63342_05-07-01 06년재료비_05-07-15 06년재료비 기구스피커" xfId="2345"/>
    <cellStyle name="7_재료비CM350_1216_자재비절감(회의)-050110_63342_05-07-01 06년재료비_05-07-15 06년재료비 기구스피커_05-07-18 06년 HA 재료비_41184" xfId="2346"/>
    <cellStyle name="7_재료비CM350_1216_자재비절감(회의)-050110_63342_05-07-01 06년재료비_05-07-15 06년재료비 기구스피커_05-07-18 06년 HA 재료비_41184_05-08-29 9월1주차HA_41184_김정" xfId="2347"/>
    <cellStyle name="7_재료비CM350_1216_자재비절감(회의)-050110_63342_05-07-01 06년재료비_05-07-15 06년재료비 기구스피커_05-07-18 06년 HA 재료비_41184_05-08-29 9월1주차HA_41184_김정_개발회의(week21)_KMS-350" xfId="2348"/>
    <cellStyle name="7_재료비CM350_1216_자재비절감(회의)-050110_63342_05-07-01 06년재료비_05-07-15 06년재료비 기구스피커_05-07-18 06년 HA 재료비_41184_개발회의(week21)_KMS-350" xfId="2349"/>
    <cellStyle name="7_재료비CM350_1216_자재비절감(회의)-050110_63342_05-07-01 06년재료비_05-07-15 06년재료비 기구스피커_05-08-29 9월1주차HA_41184_김정" xfId="2350"/>
    <cellStyle name="7_재료비CM350_1216_자재비절감(회의)-050110_63342_05-07-01 06년재료비_05-07-15 06년재료비 기구스피커_05-08-29 9월1주차HA_41184_김정_개발회의(week21)_KMS-350" xfId="2351"/>
    <cellStyle name="7_재료비CM350_1216_자재비절감(회의)-050110_63342_05-07-01 06년재료비_05-07-15 06년재료비 기구스피커_개발회의(week21)_KMS-350" xfId="2352"/>
    <cellStyle name="7_재료비CM350_1216_자재비절감(회의)-050110_63342_05-07-01 06년재료비_05-07-18 06년 HA 재료비" xfId="2353"/>
    <cellStyle name="7_재료비CM350_1216_자재비절감(회의)-050110_63342_05-07-01 06년재료비_05-07-18 06년 HA 재료비_05-07-18 06년 HA 재료비_41184" xfId="2354"/>
    <cellStyle name="7_재료비CM350_1216_자재비절감(회의)-050110_63342_05-07-01 06년재료비_05-07-18 06년 HA 재료비_05-07-18 06년 HA 재료비_41184_05-08-29 9월1주차HA_41184_김정" xfId="2355"/>
    <cellStyle name="7_재료비CM350_1216_자재비절감(회의)-050110_63342_05-07-01 06년재료비_05-07-18 06년 HA 재료비_05-07-18 06년 HA 재료비_41184_05-08-29 9월1주차HA_41184_김정_개발회의(week21)_KMS-350" xfId="2356"/>
    <cellStyle name="7_재료비CM350_1216_자재비절감(회의)-050110_63342_05-07-01 06년재료비_05-07-18 06년 HA 재료비_05-07-18 06년 HA 재료비_41184_개발회의(week21)_KMS-350" xfId="2357"/>
    <cellStyle name="7_재료비CM350_1216_자재비절감(회의)-050110_63342_05-07-01 06년재료비_05-07-18 06년 HA 재료비_05-08-29 9월1주차HA_41184_김정" xfId="2358"/>
    <cellStyle name="7_재료비CM350_1216_자재비절감(회의)-050110_63342_05-07-01 06년재료비_05-07-18 06년 HA 재료비_05-08-29 9월1주차HA_41184_김정_개발회의(week21)_KMS-350" xfId="2359"/>
    <cellStyle name="7_재료비CM350_1216_자재비절감(회의)-050110_63342_05-07-01 06년재료비_05-07-18 06년 HA 재료비_41184" xfId="2360"/>
    <cellStyle name="7_재료비CM350_1216_자재비절감(회의)-050110_63342_05-07-01 06년재료비_05-07-18 06년 HA 재료비_41184_05-08-29 9월1주차HA_41184_김정" xfId="2361"/>
    <cellStyle name="7_재료비CM350_1216_자재비절감(회의)-050110_63342_05-07-01 06년재료비_05-07-18 06년 HA 재료비_41184_05-08-29 9월1주차HA_41184_김정_개발회의(week21)_KMS-350" xfId="2362"/>
    <cellStyle name="7_재료비CM350_1216_자재비절감(회의)-050110_63342_05-07-01 06년재료비_05-07-18 06년 HA 재료비_41184_개발회의(week21)_KMS-350" xfId="2363"/>
    <cellStyle name="7_재료비CM350_1216_자재비절감(회의)-050110_63342_05-07-01 06년재료비_05-07-18 06년 HA 재료비_개발회의(week21)_KMS-350" xfId="2364"/>
    <cellStyle name="7_재료비CM350_1216_자재비절감(회의)-050110_63342_05-07-01 06년재료비_05-07-23 06년 HA 재료비" xfId="2365"/>
    <cellStyle name="7_재료비CM350_1216_자재비절감(회의)-050110_63342_05-07-01 06년재료비_05-07-23 06년 HA 재료비_05-08-29 9월1주차HA_41184_김정" xfId="2366"/>
    <cellStyle name="7_재료비CM350_1216_자재비절감(회의)-050110_63342_05-07-01 06년재료비_05-07-23 06년 HA 재료비_05-08-29 9월1주차HA_41184_김정_개발회의(week21)_KMS-350" xfId="2367"/>
    <cellStyle name="7_재료비CM350_1216_자재비절감(회의)-050110_63342_05-07-01 06년재료비_05-07-23 06년 HA 재료비_개발회의(week21)_KMS-350" xfId="2368"/>
    <cellStyle name="7_재료비CM350_1216_자재비절감(회의)-050110_63342_05-07-01 06년재료비_05-07-25 06년 HA 재료비_H2000" xfId="2369"/>
    <cellStyle name="7_재료비CM350_1216_자재비절감(회의)-050110_63342_05-07-01 06년재료비_05-07-25 06년 HA 재료비_H2000_05-08-29 9월1주차HA_41184_김정" xfId="2370"/>
    <cellStyle name="7_재료비CM350_1216_자재비절감(회의)-050110_63342_05-07-01 06년재료비_05-07-25 06년 HA 재료비_H2000_05-08-29 9월1주차HA_41184_김정_개발회의(week21)_KMS-350" xfId="2371"/>
    <cellStyle name="7_재료비CM350_1216_자재비절감(회의)-050110_63342_05-07-01 06년재료비_05-07-25 06년 HA 재료비_H2000_개발회의(week21)_KMS-350" xfId="2372"/>
    <cellStyle name="7_재료비CM350_1216_자재비절감(회의)-050110_63342_05-07-01 06년재료비_05-07-26 06년 HA 재료비_41184" xfId="2373"/>
    <cellStyle name="7_재료비CM350_1216_자재비절감(회의)-050110_63342_05-07-01 06년재료비_05-07-26 06년 HA 재료비_41184_05-08-29 9월1주차HA_41184_김정" xfId="2374"/>
    <cellStyle name="7_재료비CM350_1216_자재비절감(회의)-050110_63342_05-07-01 06년재료비_05-07-26 06년 HA 재료비_41184_05-08-29 9월1주차HA_41184_김정_개발회의(week21)_KMS-350" xfId="2375"/>
    <cellStyle name="7_재료비CM350_1216_자재비절감(회의)-050110_63342_05-07-01 06년재료비_05-07-26 06년 HA 재료비_41184_개발회의(week21)_KMS-350" xfId="2376"/>
    <cellStyle name="7_재료비CM350_1216_자재비절감(회의)-050110_63342_05-07-01 06년재료비_05-07-26 06년 HA 재료비1" xfId="2377"/>
    <cellStyle name="7_재료비CM350_1216_자재비절감(회의)-050110_63342_05-07-01 06년재료비_05-07-26 06년 HA 재료비1_05-08-29 9월1주차HA_41184_김정" xfId="2378"/>
    <cellStyle name="7_재료비CM350_1216_자재비절감(회의)-050110_63342_05-07-01 06년재료비_05-07-26 06년 HA 재료비1_05-08-29 9월1주차HA_41184_김정_개발회의(week21)_KMS-350" xfId="2379"/>
    <cellStyle name="7_재료비CM350_1216_자재비절감(회의)-050110_63342_05-07-01 06년재료비_05-07-26 06년 HA 재료비1_개발회의(week21)_KMS-350" xfId="2380"/>
    <cellStyle name="7_재료비CM350_1216_자재비절감(회의)-050110_63342_05-07-01 06년재료비_05-08-29 9월1주차HA_41184_김정" xfId="2381"/>
    <cellStyle name="7_재료비CM350_1216_자재비절감(회의)-050110_63342_05-07-01 06년재료비_05-08-29 9월1주차HA_41184_김정_개발회의(week21)_KMS-350" xfId="2382"/>
    <cellStyle name="7_재료비CM350_1216_자재비절감(회의)-050110_63342_05-07-01 06년재료비_개발회의(week21)_KMS-350" xfId="2383"/>
    <cellStyle name="7_재료비CM350_1216_자재비절감(회의)-050110_63342_05-07-05 06년재료비_41184" xfId="2384"/>
    <cellStyle name="7_재료비CM350_1216_자재비절감(회의)-050110_63342_05-07-05 06년재료비_41184_(Q80)05-07-12 06년재료비" xfId="2385"/>
    <cellStyle name="7_재료비CM350_1216_자재비절감(회의)-050110_63342_05-07-05 06년재료비_41184_(Q80)05-07-12 06년재료비_05-07-18 06년 HA 재료비_41184" xfId="2386"/>
    <cellStyle name="7_재료비CM350_1216_자재비절감(회의)-050110_63342_05-07-05 06년재료비_41184_(Q80)05-07-12 06년재료비_05-07-18 06년 HA 재료비_41184_05-08-29 9월1주차HA_41184_김정" xfId="2387"/>
    <cellStyle name="7_재료비CM350_1216_자재비절감(회의)-050110_63342_05-07-05 06년재료비_41184_(Q80)05-07-12 06년재료비_05-07-18 06년 HA 재료비_41184_05-08-29 9월1주차HA_41184_김정_개발회의(week21)_KMS-350" xfId="2388"/>
    <cellStyle name="7_재료비CM350_1216_자재비절감(회의)-050110_63342_05-07-05 06년재료비_41184_(Q80)05-07-12 06년재료비_05-07-18 06년 HA 재료비_41184_개발회의(week21)_KMS-350" xfId="2389"/>
    <cellStyle name="7_재료비CM350_1216_자재비절감(회의)-050110_63342_05-07-05 06년재료비_41184_(Q80)05-07-12 06년재료비_05-08-29 9월1주차HA_41184_김정" xfId="2390"/>
    <cellStyle name="7_재료비CM350_1216_자재비절감(회의)-050110_63342_05-07-05 06년재료비_41184_(Q80)05-07-12 06년재료비_05-08-29 9월1주차HA_41184_김정_개발회의(week21)_KMS-350" xfId="2391"/>
    <cellStyle name="7_재료비CM350_1216_자재비절감(회의)-050110_63342_05-07-05 06년재료비_41184_(Q80)05-07-12 06년재료비_개발회의(week21)_KMS-350" xfId="2392"/>
    <cellStyle name="7_재료비CM350_1216_자재비절감(회의)-050110_63342_05-07-05 06년재료비_41184_(R1500)05-07-19 재료비" xfId="2393"/>
    <cellStyle name="7_재료비CM350_1216_자재비절감(회의)-050110_63342_05-07-05 06년재료비_41184_(R1500)05-07-19 재료비_05-08-29 9월1주차HA_41184_김정" xfId="2394"/>
    <cellStyle name="7_재료비CM350_1216_자재비절감(회의)-050110_63342_05-07-05 06년재료비_41184_(R1500)05-07-19 재료비_05-08-29 9월1주차HA_41184_김정_개발회의(week21)_KMS-350" xfId="2395"/>
    <cellStyle name="7_재료비CM350_1216_자재비절감(회의)-050110_63342_05-07-05 06년재료비_41184_(R1500)05-07-19 재료비_개발회의(week21)_KMS-350" xfId="2396"/>
    <cellStyle name="7_재료비CM350_1216_자재비절감(회의)-050110_63342_05-07-05 06년재료비_41184_05-07-12 06년재료비(Q120)" xfId="2397"/>
    <cellStyle name="7_재료비CM350_1216_자재비절감(회의)-050110_63342_05-07-05 06년재료비_41184_05-07-12 06년재료비(Q120)_05-07-18 06년 HA 재료비_41184" xfId="2398"/>
    <cellStyle name="7_재료비CM350_1216_자재비절감(회의)-050110_63342_05-07-05 06년재료비_41184_05-07-12 06년재료비(Q120)_05-07-18 06년 HA 재료비_41184_05-08-29 9월1주차HA_41184_김정" xfId="2399"/>
    <cellStyle name="7_재료비CM350_1216_자재비절감(회의)-050110_63342_05-07-05 06년재료비_41184_05-07-12 06년재료비(Q120)_05-07-18 06년 HA 재료비_41184_05-08-29 9월1주차HA_41184_김정_개발회의(week21)_KMS-350" xfId="2400"/>
    <cellStyle name="7_재료비CM350_1216_자재비절감(회의)-050110_63342_05-07-05 06년재료비_41184_05-07-12 06년재료비(Q120)_05-07-18 06년 HA 재료비_41184_개발회의(week21)_KMS-350" xfId="2401"/>
    <cellStyle name="7_재료비CM350_1216_자재비절감(회의)-050110_63342_05-07-05 06년재료비_41184_05-07-12 06년재료비(Q120)_05-08-29 9월1주차HA_41184_김정" xfId="2402"/>
    <cellStyle name="7_재료비CM350_1216_자재비절감(회의)-050110_63342_05-07-05 06년재료비_41184_05-07-12 06년재료비(Q120)_05-08-29 9월1주차HA_41184_김정_개발회의(week21)_KMS-350" xfId="2403"/>
    <cellStyle name="7_재료비CM350_1216_자재비절감(회의)-050110_63342_05-07-05 06년재료비_41184_05-07-12 06년재료비(Q120)_개발회의(week21)_KMS-350" xfId="2404"/>
    <cellStyle name="7_재료비CM350_1216_자재비절감(회의)-050110_63342_05-07-05 06년재료비_41184_05-07-14 06년재료비" xfId="2405"/>
    <cellStyle name="7_재료비CM350_1216_자재비절감(회의)-050110_63342_05-07-05 06년재료비_41184_05-07-14 06년재료비_05-07-18 06년 HA 재료비_41184" xfId="2406"/>
    <cellStyle name="7_재료비CM350_1216_자재비절감(회의)-050110_63342_05-07-05 06년재료비_41184_05-07-14 06년재료비_05-07-18 06년 HA 재료비_41184_05-08-29 9월1주차HA_41184_김정" xfId="2407"/>
    <cellStyle name="7_재료비CM350_1216_자재비절감(회의)-050110_63342_05-07-05 06년재료비_41184_05-07-14 06년재료비_05-07-18 06년 HA 재료비_41184_05-08-29 9월1주차HA_41184_김정_개발회의(week21)_KMS-350" xfId="2408"/>
    <cellStyle name="7_재료비CM350_1216_자재비절감(회의)-050110_63342_05-07-05 06년재료비_41184_05-07-14 06년재료비_05-07-18 06년 HA 재료비_41184_개발회의(week21)_KMS-350" xfId="2409"/>
    <cellStyle name="7_재료비CM350_1216_자재비절감(회의)-050110_63342_05-07-05 06년재료비_41184_05-07-14 06년재료비_05-08-29 9월1주차HA_41184_김정" xfId="2410"/>
    <cellStyle name="7_재료비CM350_1216_자재비절감(회의)-050110_63342_05-07-05 06년재료비_41184_05-07-14 06년재료비_05-08-29 9월1주차HA_41184_김정_개발회의(week21)_KMS-350" xfId="2411"/>
    <cellStyle name="7_재료비CM350_1216_자재비절감(회의)-050110_63342_05-07-05 06년재료비_41184_05-07-14 06년재료비_개발회의(week21)_KMS-350" xfId="2412"/>
    <cellStyle name="7_재료비CM350_1216_자재비절감(회의)-050110_63342_05-07-05 06년재료비_41184_05-07-15 06년재료비 기구스피커" xfId="2413"/>
    <cellStyle name="7_재료비CM350_1216_자재비절감(회의)-050110_63342_05-07-05 06년재료비_41184_05-07-15 06년재료비 기구스피커_05-07-18 06년 HA 재료비_41184" xfId="2414"/>
    <cellStyle name="7_재료비CM350_1216_자재비절감(회의)-050110_63342_05-07-05 06년재료비_41184_05-07-15 06년재료비 기구스피커_05-07-18 06년 HA 재료비_41184_05-08-29 9월1주차HA_41184_김정" xfId="2415"/>
    <cellStyle name="7_재료비CM350_1216_자재비절감(회의)-050110_63342_05-07-05 06년재료비_41184_05-07-15 06년재료비 기구스피커_05-07-18 06년 HA 재료비_41184_05-08-29 9월1주차HA_41184_김정_개발회의(week21)_KMS-350" xfId="2416"/>
    <cellStyle name="7_재료비CM350_1216_자재비절감(회의)-050110_63342_05-07-05 06년재료비_41184_05-07-15 06년재료비 기구스피커_05-07-18 06년 HA 재료비_41184_개발회의(week21)_KMS-350" xfId="2417"/>
    <cellStyle name="7_재료비CM350_1216_자재비절감(회의)-050110_63342_05-07-05 06년재료비_41184_05-07-15 06년재료비 기구스피커_05-08-29 9월1주차HA_41184_김정" xfId="2418"/>
    <cellStyle name="7_재료비CM350_1216_자재비절감(회의)-050110_63342_05-07-05 06년재료비_41184_05-07-15 06년재료비 기구스피커_05-08-29 9월1주차HA_41184_김정_개발회의(week21)_KMS-350" xfId="2419"/>
    <cellStyle name="7_재료비CM350_1216_자재비절감(회의)-050110_63342_05-07-05 06년재료비_41184_05-07-15 06년재료비 기구스피커_개발회의(week21)_KMS-350" xfId="2420"/>
    <cellStyle name="7_재료비CM350_1216_자재비절감(회의)-050110_63342_05-07-05 06년재료비_41184_05-07-18 06년 HA 재료비" xfId="2421"/>
    <cellStyle name="7_재료비CM350_1216_자재비절감(회의)-050110_63342_05-07-05 06년재료비_41184_05-07-18 06년 HA 재료비_05-07-18 06년 HA 재료비_41184" xfId="2422"/>
    <cellStyle name="7_재료비CM350_1216_자재비절감(회의)-050110_63342_05-07-05 06년재료비_41184_05-07-18 06년 HA 재료비_05-07-18 06년 HA 재료비_41184_05-08-29 9월1주차HA_41184_김정" xfId="2423"/>
    <cellStyle name="7_재료비CM350_1216_자재비절감(회의)-050110_63342_05-07-05 06년재료비_41184_05-07-18 06년 HA 재료비_05-07-18 06년 HA 재료비_41184_05-08-29 9월1주차HA_41184_김정_개발회의(week21)_KMS-350" xfId="2424"/>
    <cellStyle name="7_재료비CM350_1216_자재비절감(회의)-050110_63342_05-07-05 06년재료비_41184_05-07-18 06년 HA 재료비_05-07-18 06년 HA 재료비_41184_개발회의(week21)_KMS-350" xfId="2425"/>
    <cellStyle name="7_재료비CM350_1216_자재비절감(회의)-050110_63342_05-07-05 06년재료비_41184_05-07-18 06년 HA 재료비_05-08-29 9월1주차HA_41184_김정" xfId="2426"/>
    <cellStyle name="7_재료비CM350_1216_자재비절감(회의)-050110_63342_05-07-05 06년재료비_41184_05-07-18 06년 HA 재료비_05-08-29 9월1주차HA_41184_김정_개발회의(week21)_KMS-350" xfId="2427"/>
    <cellStyle name="7_재료비CM350_1216_자재비절감(회의)-050110_63342_05-07-05 06년재료비_41184_05-07-18 06년 HA 재료비_41184" xfId="2428"/>
    <cellStyle name="7_재료비CM350_1216_자재비절감(회의)-050110_63342_05-07-05 06년재료비_41184_05-07-18 06년 HA 재료비_41184_05-08-29 9월1주차HA_41184_김정" xfId="2429"/>
    <cellStyle name="7_재료비CM350_1216_자재비절감(회의)-050110_63342_05-07-05 06년재료비_41184_05-07-18 06년 HA 재료비_41184_05-08-29 9월1주차HA_41184_김정_개발회의(week21)_KMS-350" xfId="2430"/>
    <cellStyle name="7_재료비CM350_1216_자재비절감(회의)-050110_63342_05-07-05 06년재료비_41184_05-07-18 06년 HA 재료비_41184_개발회의(week21)_KMS-350" xfId="2431"/>
    <cellStyle name="7_재료비CM350_1216_자재비절감(회의)-050110_63342_05-07-05 06년재료비_41184_05-07-18 06년 HA 재료비_개발회의(week21)_KMS-350" xfId="2432"/>
    <cellStyle name="7_재료비CM350_1216_자재비절감(회의)-050110_63342_05-07-05 06년재료비_41184_05-07-23 06년 HA 재료비" xfId="2433"/>
    <cellStyle name="7_재료비CM350_1216_자재비절감(회의)-050110_63342_05-07-05 06년재료비_41184_05-07-23 06년 HA 재료비_05-08-29 9월1주차HA_41184_김정" xfId="2434"/>
    <cellStyle name="7_재료비CM350_1216_자재비절감(회의)-050110_63342_05-07-05 06년재료비_41184_05-07-23 06년 HA 재료비_05-08-29 9월1주차HA_41184_김정_개발회의(week21)_KMS-350" xfId="2435"/>
    <cellStyle name="7_재료비CM350_1216_자재비절감(회의)-050110_63342_05-07-05 06년재료비_41184_05-07-23 06년 HA 재료비_개발회의(week21)_KMS-350" xfId="2436"/>
    <cellStyle name="7_재료비CM350_1216_자재비절감(회의)-050110_63342_05-07-05 06년재료비_41184_05-07-25 06년 HA 재료비_H2000" xfId="2437"/>
    <cellStyle name="7_재료비CM350_1216_자재비절감(회의)-050110_63342_05-07-05 06년재료비_41184_05-07-25 06년 HA 재료비_H2000_05-08-29 9월1주차HA_41184_김정" xfId="2438"/>
    <cellStyle name="7_재료비CM350_1216_자재비절감(회의)-050110_63342_05-07-05 06년재료비_41184_05-07-25 06년 HA 재료비_H2000_05-08-29 9월1주차HA_41184_김정_개발회의(week21)_KMS-350" xfId="2439"/>
    <cellStyle name="7_재료비CM350_1216_자재비절감(회의)-050110_63342_05-07-05 06년재료비_41184_05-07-25 06년 HA 재료비_H2000_개발회의(week21)_KMS-350" xfId="2440"/>
    <cellStyle name="7_재료비CM350_1216_자재비절감(회의)-050110_63342_05-07-05 06년재료비_41184_05-07-26 06년 HA 재료비_41184" xfId="2441"/>
    <cellStyle name="7_재료비CM350_1216_자재비절감(회의)-050110_63342_05-07-05 06년재료비_41184_05-07-26 06년 HA 재료비_41184_05-08-29 9월1주차HA_41184_김정" xfId="2442"/>
    <cellStyle name="7_재료비CM350_1216_자재비절감(회의)-050110_63342_05-07-05 06년재료비_41184_05-07-26 06년 HA 재료비_41184_05-08-29 9월1주차HA_41184_김정_개발회의(week21)_KMS-350" xfId="2443"/>
    <cellStyle name="7_재료비CM350_1216_자재비절감(회의)-050110_63342_05-07-05 06년재료비_41184_05-07-26 06년 HA 재료비_41184_개발회의(week21)_KMS-350" xfId="2444"/>
    <cellStyle name="7_재료비CM350_1216_자재비절감(회의)-050110_63342_05-07-05 06년재료비_41184_05-07-26 06년 HA 재료비1" xfId="2445"/>
    <cellStyle name="7_재료비CM350_1216_자재비절감(회의)-050110_63342_05-07-05 06년재료비_41184_05-07-26 06년 HA 재료비1_05-08-29 9월1주차HA_41184_김정" xfId="2446"/>
    <cellStyle name="7_재료비CM350_1216_자재비절감(회의)-050110_63342_05-07-05 06년재료비_41184_05-07-26 06년 HA 재료비1_05-08-29 9월1주차HA_41184_김정_개발회의(week21)_KMS-350" xfId="2447"/>
    <cellStyle name="7_재료비CM350_1216_자재비절감(회의)-050110_63342_05-07-05 06년재료비_41184_05-07-26 06년 HA 재료비1_개발회의(week21)_KMS-350" xfId="2448"/>
    <cellStyle name="7_재료비CM350_1216_자재비절감(회의)-050110_63342_05-07-05 06년재료비_41184_05-08-29 9월1주차HA_41184_김정" xfId="2449"/>
    <cellStyle name="7_재료비CM350_1216_자재비절감(회의)-050110_63342_05-07-05 06년재료비_41184_05-08-29 9월1주차HA_41184_김정_개발회의(week21)_KMS-350" xfId="2450"/>
    <cellStyle name="7_재료비CM350_1216_자재비절감(회의)-050110_63342_05-07-05 06년재료비_41184_개발회의(week21)_KMS-350" xfId="2451"/>
    <cellStyle name="7_재료비CM350_1216_자재비절감(회의)-050110_63342_05-07-18 06년 HA 재료비_41184" xfId="2452"/>
    <cellStyle name="7_재료비CM350_1216_자재비절감(회의)-050110_63342_05-07-18 06년 HA 재료비_41184_05-08-29 9월1주차HA_41184_김정" xfId="2453"/>
    <cellStyle name="7_재료비CM350_1216_자재비절감(회의)-050110_63342_05-07-18 06년 HA 재료비_41184_05-08-29 9월1주차HA_41184_김정_개발회의(week21)_KMS-350" xfId="2454"/>
    <cellStyle name="7_재료비CM350_1216_자재비절감(회의)-050110_63342_05-07-18 06년 HA 재료비_41184_개발회의(week21)_KMS-350" xfId="2455"/>
    <cellStyle name="7_재료비CM350_1216_자재비절감(회의)-050110_63342_05-08-29 9월1주차HA_41184_김정" xfId="2456"/>
    <cellStyle name="7_재료비CM350_1216_자재비절감(회의)-050110_63342_05-08-29 9월1주차HA_41184_김정_개발회의(week21)_KMS-350" xfId="2457"/>
    <cellStyle name="7_재료비CM350_1216_자재비절감(회의)-050110_63342_개발회의(week21)_KMS-350" xfId="2458"/>
    <cellStyle name="7_재료비CM350_1216_mini재료비-041001" xfId="2459"/>
    <cellStyle name="7_재료비CM350_1216_mini재료비-041001_05-07-01 06년재료비" xfId="2460"/>
    <cellStyle name="7_재료비CM350_1216_mini재료비-041001_05-07-01 06년재료비_(Q80)05-07-12 06년재료비" xfId="2461"/>
    <cellStyle name="7_재료비CM350_1216_mini재료비-041001_05-07-01 06년재료비_(Q80)05-07-12 06년재료비_05-07-18 06년 HA 재료비_41184" xfId="2462"/>
    <cellStyle name="7_재료비CM350_1216_mini재료비-041001_05-07-01 06년재료비_(Q80)05-07-12 06년재료비_05-07-18 06년 HA 재료비_41184_05-08-29 9월1주차HA_41184_김정" xfId="2463"/>
    <cellStyle name="7_재료비CM350_1216_mini재료비-041001_05-07-01 06년재료비_(Q80)05-07-12 06년재료비_05-07-18 06년 HA 재료비_41184_05-08-29 9월1주차HA_41184_김정_개발회의(week21)_KMS-350" xfId="2464"/>
    <cellStyle name="7_재료비CM350_1216_mini재료비-041001_05-07-01 06년재료비_(Q80)05-07-12 06년재료비_05-07-18 06년 HA 재료비_41184_개발회의(week21)_KMS-350" xfId="2465"/>
    <cellStyle name="7_재료비CM350_1216_mini재료비-041001_05-07-01 06년재료비_(Q80)05-07-12 06년재료비_05-08-29 9월1주차HA_41184_김정" xfId="2466"/>
    <cellStyle name="7_재료비CM350_1216_mini재료비-041001_05-07-01 06년재료비_(Q80)05-07-12 06년재료비_05-08-29 9월1주차HA_41184_김정_개발회의(week21)_KMS-350" xfId="2467"/>
    <cellStyle name="7_재료비CM350_1216_mini재료비-041001_05-07-01 06년재료비_(Q80)05-07-12 06년재료비_개발회의(week21)_KMS-350" xfId="2468"/>
    <cellStyle name="7_재료비CM350_1216_mini재료비-041001_05-07-01 06년재료비_(R1500)05-07-19 재료비" xfId="2469"/>
    <cellStyle name="7_재료비CM350_1216_mini재료비-041001_05-07-01 06년재료비_(R1500)05-07-19 재료비_05-08-29 9월1주차HA_41184_김정" xfId="2470"/>
    <cellStyle name="7_재료비CM350_1216_mini재료비-041001_05-07-01 06년재료비_(R1500)05-07-19 재료비_05-08-29 9월1주차HA_41184_김정_개발회의(week21)_KMS-350" xfId="2471"/>
    <cellStyle name="7_재료비CM350_1216_mini재료비-041001_05-07-01 06년재료비_(R1500)05-07-19 재료비_개발회의(week21)_KMS-350" xfId="2472"/>
    <cellStyle name="7_재료비CM350_1216_mini재료비-041001_05-07-01 06년재료비_05-07-12 06년재료비(Q120)" xfId="2473"/>
    <cellStyle name="7_재료비CM350_1216_mini재료비-041001_05-07-01 06년재료비_05-07-12 06년재료비(Q120)_05-07-18 06년 HA 재료비_41184" xfId="2474"/>
    <cellStyle name="7_재료비CM350_1216_mini재료비-041001_05-07-01 06년재료비_05-07-12 06년재료비(Q120)_05-07-18 06년 HA 재료비_41184_05-08-29 9월1주차HA_41184_김정" xfId="2475"/>
    <cellStyle name="7_재료비CM350_1216_mini재료비-041001_05-07-01 06년재료비_05-07-12 06년재료비(Q120)_05-07-18 06년 HA 재료비_41184_05-08-29 9월1주차HA_41184_김정_개발회의(week21)_KMS-350" xfId="2476"/>
    <cellStyle name="7_재료비CM350_1216_mini재료비-041001_05-07-01 06년재료비_05-07-12 06년재료비(Q120)_05-07-18 06년 HA 재료비_41184_개발회의(week21)_KMS-350" xfId="2477"/>
    <cellStyle name="7_재료비CM350_1216_mini재료비-041001_05-07-01 06년재료비_05-07-12 06년재료비(Q120)_05-08-29 9월1주차HA_41184_김정" xfId="2478"/>
    <cellStyle name="7_재료비CM350_1216_mini재료비-041001_05-07-01 06년재료비_05-07-12 06년재료비(Q120)_05-08-29 9월1주차HA_41184_김정_개발회의(week21)_KMS-350" xfId="2479"/>
    <cellStyle name="7_재료비CM350_1216_mini재료비-041001_05-07-01 06년재료비_05-07-12 06년재료비(Q120)_개발회의(week21)_KMS-350" xfId="2480"/>
    <cellStyle name="7_재료비CM350_1216_mini재료비-041001_05-07-01 06년재료비_05-07-14 06년재료비" xfId="2481"/>
    <cellStyle name="7_재료비CM350_1216_mini재료비-041001_05-07-01 06년재료비_05-07-14 06년재료비_05-07-18 06년 HA 재료비_41184" xfId="2482"/>
    <cellStyle name="7_재료비CM350_1216_mini재료비-041001_05-07-01 06년재료비_05-07-14 06년재료비_05-07-18 06년 HA 재료비_41184_05-08-29 9월1주차HA_41184_김정" xfId="2483"/>
    <cellStyle name="7_재료비CM350_1216_mini재료비-041001_05-07-01 06년재료비_05-07-14 06년재료비_05-07-18 06년 HA 재료비_41184_05-08-29 9월1주차HA_41184_김정_개발회의(week21)_KMS-350" xfId="2484"/>
    <cellStyle name="7_재료비CM350_1216_mini재료비-041001_05-07-01 06년재료비_05-07-14 06년재료비_05-07-18 06년 HA 재료비_41184_개발회의(week21)_KMS-350" xfId="2485"/>
    <cellStyle name="7_재료비CM350_1216_mini재료비-041001_05-07-01 06년재료비_05-07-14 06년재료비_05-08-29 9월1주차HA_41184_김정" xfId="2486"/>
    <cellStyle name="7_재료비CM350_1216_mini재료비-041001_05-07-01 06년재료비_05-07-14 06년재료비_05-08-29 9월1주차HA_41184_김정_개발회의(week21)_KMS-350" xfId="2487"/>
    <cellStyle name="7_재료비CM350_1216_mini재료비-041001_05-07-01 06년재료비_05-07-14 06년재료비_개발회의(week21)_KMS-350" xfId="2488"/>
    <cellStyle name="7_재료비CM350_1216_mini재료비-041001_05-07-01 06년재료비_05-07-15 06년재료비 기구스피커" xfId="2489"/>
    <cellStyle name="7_재료비CM350_1216_mini재료비-041001_05-07-01 06년재료비_05-07-15 06년재료비 기구스피커_05-07-18 06년 HA 재료비_41184" xfId="2490"/>
    <cellStyle name="7_재료비CM350_1216_mini재료비-041001_05-07-01 06년재료비_05-07-15 06년재료비 기구스피커_05-07-18 06년 HA 재료비_41184_05-08-29 9월1주차HA_41184_김정" xfId="2491"/>
    <cellStyle name="7_재료비CM350_1216_mini재료비-041001_05-07-01 06년재료비_05-07-15 06년재료비 기구스피커_05-07-18 06년 HA 재료비_41184_05-08-29 9월1주차HA_41184_김정_개발회의(week21)_KMS-350" xfId="2492"/>
    <cellStyle name="7_재료비CM350_1216_mini재료비-041001_05-07-01 06년재료비_05-07-15 06년재료비 기구스피커_05-07-18 06년 HA 재료비_41184_개발회의(week21)_KMS-350" xfId="2493"/>
    <cellStyle name="7_재료비CM350_1216_mini재료비-041001_05-07-01 06년재료비_05-07-15 06년재료비 기구스피커_05-08-29 9월1주차HA_41184_김정" xfId="2494"/>
    <cellStyle name="7_재료비CM350_1216_mini재료비-041001_05-07-01 06년재료비_05-07-15 06년재료비 기구스피커_05-08-29 9월1주차HA_41184_김정_개발회의(week21)_KMS-350" xfId="2495"/>
    <cellStyle name="7_재료비CM350_1216_mini재료비-041001_05-07-01 06년재료비_05-07-15 06년재료비 기구스피커_개발회의(week21)_KMS-350" xfId="2496"/>
    <cellStyle name="7_재료비CM350_1216_mini재료비-041001_05-07-01 06년재료비_05-07-18 06년 HA 재료비" xfId="2497"/>
    <cellStyle name="7_재료비CM350_1216_mini재료비-041001_05-07-01 06년재료비_05-07-18 06년 HA 재료비_05-07-18 06년 HA 재료비_41184" xfId="2498"/>
    <cellStyle name="7_재료비CM350_1216_mini재료비-041001_05-07-01 06년재료비_05-07-18 06년 HA 재료비_05-07-18 06년 HA 재료비_41184_05-08-29 9월1주차HA_41184_김정" xfId="2499"/>
    <cellStyle name="7_재료비CM350_1216_mini재료비-041001_05-07-01 06년재료비_05-07-18 06년 HA 재료비_05-07-18 06년 HA 재료비_41184_05-08-29 9월1주차HA_41184_김정_개발회의(week21)_KMS-350" xfId="2500"/>
    <cellStyle name="7_재료비CM350_1216_mini재료비-041001_05-07-01 06년재료비_05-07-18 06년 HA 재료비_05-07-18 06년 HA 재료비_41184_개발회의(week21)_KMS-350" xfId="2501"/>
    <cellStyle name="7_재료비CM350_1216_mini재료비-041001_05-07-01 06년재료비_05-07-18 06년 HA 재료비_05-08-29 9월1주차HA_41184_김정" xfId="2502"/>
    <cellStyle name="7_재료비CM350_1216_mini재료비-041001_05-07-01 06년재료비_05-07-18 06년 HA 재료비_05-08-29 9월1주차HA_41184_김정_개발회의(week21)_KMS-350" xfId="2503"/>
    <cellStyle name="7_재료비CM350_1216_mini재료비-041001_05-07-01 06년재료비_05-07-18 06년 HA 재료비_41184" xfId="2504"/>
    <cellStyle name="7_재료비CM350_1216_mini재료비-041001_05-07-01 06년재료비_05-07-18 06년 HA 재료비_41184_05-08-29 9월1주차HA_41184_김정" xfId="2505"/>
    <cellStyle name="7_재료비CM350_1216_mini재료비-041001_05-07-01 06년재료비_05-07-18 06년 HA 재료비_41184_05-08-29 9월1주차HA_41184_김정_개발회의(week21)_KMS-350" xfId="2506"/>
    <cellStyle name="7_재료비CM350_1216_mini재료비-041001_05-07-01 06년재료비_05-07-18 06년 HA 재료비_41184_개발회의(week21)_KMS-350" xfId="2507"/>
    <cellStyle name="7_재료비CM350_1216_mini재료비-041001_05-07-01 06년재료비_05-07-18 06년 HA 재료비_개발회의(week21)_KMS-350" xfId="2508"/>
    <cellStyle name="7_재료비CM350_1216_mini재료비-041001_05-07-01 06년재료비_05-07-23 06년 HA 재료비" xfId="2509"/>
    <cellStyle name="7_재료비CM350_1216_mini재료비-041001_05-07-01 06년재료비_05-07-23 06년 HA 재료비_05-08-29 9월1주차HA_41184_김정" xfId="2510"/>
    <cellStyle name="7_재료비CM350_1216_mini재료비-041001_05-07-01 06년재료비_05-07-23 06년 HA 재료비_05-08-29 9월1주차HA_41184_김정_개발회의(week21)_KMS-350" xfId="2511"/>
    <cellStyle name="7_재료비CM350_1216_mini재료비-041001_05-07-01 06년재료비_05-07-23 06년 HA 재료비_개발회의(week21)_KMS-350" xfId="2512"/>
    <cellStyle name="7_재료비CM350_1216_mini재료비-041001_05-07-01 06년재료비_05-07-25 06년 HA 재료비_H2000" xfId="2513"/>
    <cellStyle name="7_재료비CM350_1216_mini재료비-041001_05-07-01 06년재료비_05-07-25 06년 HA 재료비_H2000_05-08-29 9월1주차HA_41184_김정" xfId="2514"/>
    <cellStyle name="7_재료비CM350_1216_mini재료비-041001_05-07-01 06년재료비_05-07-25 06년 HA 재료비_H2000_05-08-29 9월1주차HA_41184_김정_개발회의(week21)_KMS-350" xfId="2515"/>
    <cellStyle name="7_재료비CM350_1216_mini재료비-041001_05-07-01 06년재료비_05-07-25 06년 HA 재료비_H2000_개발회의(week21)_KMS-350" xfId="2516"/>
    <cellStyle name="7_재료비CM350_1216_mini재료비-041001_05-07-01 06년재료비_05-07-26 06년 HA 재료비_41184" xfId="2517"/>
    <cellStyle name="7_재료비CM350_1216_mini재료비-041001_05-07-01 06년재료비_05-07-26 06년 HA 재료비_41184_05-08-29 9월1주차HA_41184_김정" xfId="2518"/>
    <cellStyle name="7_재료비CM350_1216_mini재료비-041001_05-07-01 06년재료비_05-07-26 06년 HA 재료비_41184_05-08-29 9월1주차HA_41184_김정_개발회의(week21)_KMS-350" xfId="2519"/>
    <cellStyle name="7_재료비CM350_1216_mini재료비-041001_05-07-01 06년재료비_05-07-26 06년 HA 재료비_41184_개발회의(week21)_KMS-350" xfId="2520"/>
    <cellStyle name="7_재료비CM350_1216_mini재료비-041001_05-07-01 06년재료비_05-07-26 06년 HA 재료비1" xfId="2521"/>
    <cellStyle name="7_재료비CM350_1216_mini재료비-041001_05-07-01 06년재료비_05-07-26 06년 HA 재료비1_05-08-29 9월1주차HA_41184_김정" xfId="2522"/>
    <cellStyle name="7_재료비CM350_1216_mini재료비-041001_05-07-01 06년재료비_05-07-26 06년 HA 재료비1_05-08-29 9월1주차HA_41184_김정_개발회의(week21)_KMS-350" xfId="2523"/>
    <cellStyle name="7_재료비CM350_1216_mini재료비-041001_05-07-01 06년재료비_05-07-26 06년 HA 재료비1_개발회의(week21)_KMS-350" xfId="2524"/>
    <cellStyle name="7_재료비CM350_1216_mini재료비-041001_05-07-01 06년재료비_05-08-29 9월1주차HA_41184_김정" xfId="2525"/>
    <cellStyle name="7_재료비CM350_1216_mini재료비-041001_05-07-01 06년재료비_05-08-29 9월1주차HA_41184_김정_개발회의(week21)_KMS-350" xfId="2526"/>
    <cellStyle name="7_재료비CM350_1216_mini재료비-041001_05-07-01 06년재료비_개발회의(week21)_KMS-350" xfId="2527"/>
    <cellStyle name="7_재료비CM350_1216_mini재료비-041001_05-07-05 06년재료비_41184" xfId="2528"/>
    <cellStyle name="7_재료비CM350_1216_mini재료비-041001_05-07-05 06년재료비_41184_(Q80)05-07-12 06년재료비" xfId="2529"/>
    <cellStyle name="7_재료비CM350_1216_mini재료비-041001_05-07-05 06년재료비_41184_(Q80)05-07-12 06년재료비_05-07-18 06년 HA 재료비_41184" xfId="2530"/>
    <cellStyle name="7_재료비CM350_1216_mini재료비-041001_05-07-05 06년재료비_41184_(Q80)05-07-12 06년재료비_05-07-18 06년 HA 재료비_41184_05-08-29 9월1주차HA_41184_김정" xfId="2531"/>
    <cellStyle name="7_재료비CM350_1216_mini재료비-041001_05-07-05 06년재료비_41184_(Q80)05-07-12 06년재료비_05-07-18 06년 HA 재료비_41184_05-08-29 9월1주차HA_41184_김정_개발회의(week21)_KMS-350" xfId="2532"/>
    <cellStyle name="7_재료비CM350_1216_mini재료비-041001_05-07-05 06년재료비_41184_(Q80)05-07-12 06년재료비_05-07-18 06년 HA 재료비_41184_개발회의(week21)_KMS-350" xfId="2533"/>
    <cellStyle name="7_재료비CM350_1216_mini재료비-041001_05-07-05 06년재료비_41184_(Q80)05-07-12 06년재료비_05-08-29 9월1주차HA_41184_김정" xfId="2534"/>
    <cellStyle name="7_재료비CM350_1216_mini재료비-041001_05-07-05 06년재료비_41184_(Q80)05-07-12 06년재료비_05-08-29 9월1주차HA_41184_김정_개발회의(week21)_KMS-350" xfId="2535"/>
    <cellStyle name="7_재료비CM350_1216_mini재료비-041001_05-07-05 06년재료비_41184_(Q80)05-07-12 06년재료비_개발회의(week21)_KMS-350" xfId="2536"/>
    <cellStyle name="7_재료비CM350_1216_mini재료비-041001_05-07-05 06년재료비_41184_(R1500)05-07-19 재료비" xfId="2537"/>
    <cellStyle name="7_재료비CM350_1216_mini재료비-041001_05-07-05 06년재료비_41184_(R1500)05-07-19 재료비_05-08-29 9월1주차HA_41184_김정" xfId="2538"/>
    <cellStyle name="7_재료비CM350_1216_mini재료비-041001_05-07-05 06년재료비_41184_(R1500)05-07-19 재료비_05-08-29 9월1주차HA_41184_김정_개발회의(week21)_KMS-350" xfId="2539"/>
    <cellStyle name="7_재료비CM350_1216_mini재료비-041001_05-07-05 06년재료비_41184_(R1500)05-07-19 재료비_개발회의(week21)_KMS-350" xfId="2540"/>
    <cellStyle name="7_재료비CM350_1216_mini재료비-041001_05-07-05 06년재료비_41184_05-07-12 06년재료비(Q120)" xfId="2541"/>
    <cellStyle name="7_재료비CM350_1216_mini재료비-041001_05-07-05 06년재료비_41184_05-07-12 06년재료비(Q120)_05-07-18 06년 HA 재료비_41184" xfId="2542"/>
    <cellStyle name="7_재료비CM350_1216_mini재료비-041001_05-07-05 06년재료비_41184_05-07-12 06년재료비(Q120)_05-07-18 06년 HA 재료비_41184_05-08-29 9월1주차HA_41184_김정" xfId="2543"/>
    <cellStyle name="7_재료비CM350_1216_mini재료비-041001_05-07-05 06년재료비_41184_05-07-12 06년재료비(Q120)_05-07-18 06년 HA 재료비_41184_05-08-29 9월1주차HA_41184_김정_개발회의(week21)_KMS-350" xfId="2544"/>
    <cellStyle name="7_재료비CM350_1216_mini재료비-041001_05-07-05 06년재료비_41184_05-07-12 06년재료비(Q120)_05-07-18 06년 HA 재료비_41184_개발회의(week21)_KMS-350" xfId="2545"/>
    <cellStyle name="7_재료비CM350_1216_mini재료비-041001_05-07-05 06년재료비_41184_05-07-12 06년재료비(Q120)_05-08-29 9월1주차HA_41184_김정" xfId="2546"/>
    <cellStyle name="7_재료비CM350_1216_mini재료비-041001_05-07-05 06년재료비_41184_05-07-12 06년재료비(Q120)_05-08-29 9월1주차HA_41184_김정_개발회의(week21)_KMS-350" xfId="2547"/>
    <cellStyle name="7_재료비CM350_1216_mini재료비-041001_05-07-05 06년재료비_41184_05-07-12 06년재료비(Q120)_개발회의(week21)_KMS-350" xfId="2548"/>
    <cellStyle name="7_재료비CM350_1216_mini재료비-041001_05-07-05 06년재료비_41184_05-07-14 06년재료비" xfId="2549"/>
    <cellStyle name="7_재료비CM350_1216_mini재료비-041001_05-07-05 06년재료비_41184_05-07-14 06년재료비_05-07-18 06년 HA 재료비_41184" xfId="2550"/>
    <cellStyle name="7_재료비CM350_1216_mini재료비-041001_05-07-05 06년재료비_41184_05-07-14 06년재료비_05-07-18 06년 HA 재료비_41184_05-08-29 9월1주차HA_41184_김정" xfId="2551"/>
    <cellStyle name="7_재료비CM350_1216_mini재료비-041001_05-07-05 06년재료비_41184_05-07-14 06년재료비_05-07-18 06년 HA 재료비_41184_05-08-29 9월1주차HA_41184_김정_개발회의(week21)_KMS-350" xfId="2552"/>
    <cellStyle name="7_재료비CM350_1216_mini재료비-041001_05-07-05 06년재료비_41184_05-07-14 06년재료비_05-07-18 06년 HA 재료비_41184_개발회의(week21)_KMS-350" xfId="2553"/>
    <cellStyle name="7_재료비CM350_1216_mini재료비-041001_05-07-05 06년재료비_41184_05-07-14 06년재료비_05-08-29 9월1주차HA_41184_김정" xfId="2554"/>
    <cellStyle name="7_재료비CM350_1216_mini재료비-041001_05-07-05 06년재료비_41184_05-07-14 06년재료비_05-08-29 9월1주차HA_41184_김정_개발회의(week21)_KMS-350" xfId="2555"/>
    <cellStyle name="7_재료비CM350_1216_mini재료비-041001_05-07-05 06년재료비_41184_05-07-14 06년재료비_개발회의(week21)_KMS-350" xfId="2556"/>
    <cellStyle name="7_재료비CM350_1216_mini재료비-041001_05-07-05 06년재료비_41184_05-07-15 06년재료비 기구스피커" xfId="2557"/>
    <cellStyle name="7_재료비CM350_1216_mini재료비-041001_05-07-05 06년재료비_41184_05-07-15 06년재료비 기구스피커_05-07-18 06년 HA 재료비_41184" xfId="2558"/>
    <cellStyle name="7_재료비CM350_1216_mini재료비-041001_05-07-05 06년재료비_41184_05-07-15 06년재료비 기구스피커_05-07-18 06년 HA 재료비_41184_05-08-29 9월1주차HA_41184_김정" xfId="2559"/>
    <cellStyle name="7_재료비CM350_1216_mini재료비-041001_05-07-05 06년재료비_41184_05-07-15 06년재료비 기구스피커_05-07-18 06년 HA 재료비_41184_05-08-29 9월1주차HA_41184_김정_개발회의(week21)_KMS-350" xfId="2560"/>
    <cellStyle name="7_재료비CM350_1216_mini재료비-041001_05-07-05 06년재료비_41184_05-07-15 06년재료비 기구스피커_05-07-18 06년 HA 재료비_41184_개발회의(week21)_KMS-350" xfId="2561"/>
    <cellStyle name="7_재료비CM350_1216_mini재료비-041001_05-07-05 06년재료비_41184_05-07-15 06년재료비 기구스피커_05-08-29 9월1주차HA_41184_김정" xfId="2562"/>
    <cellStyle name="7_재료비CM350_1216_mini재료비-041001_05-07-05 06년재료비_41184_05-07-15 06년재료비 기구스피커_05-08-29 9월1주차HA_41184_김정_개발회의(week21)_KMS-350" xfId="2563"/>
    <cellStyle name="7_재료비CM350_1216_mini재료비-041001_05-07-05 06년재료비_41184_05-07-15 06년재료비 기구스피커_개발회의(week21)_KMS-350" xfId="2564"/>
    <cellStyle name="7_재료비CM350_1216_mini재료비-041001_05-07-05 06년재료비_41184_05-07-18 06년 HA 재료비" xfId="2565"/>
    <cellStyle name="7_재료비CM350_1216_mini재료비-041001_05-07-05 06년재료비_41184_05-07-18 06년 HA 재료비_05-07-18 06년 HA 재료비_41184" xfId="2566"/>
    <cellStyle name="7_재료비CM350_1216_mini재료비-041001_05-07-05 06년재료비_41184_05-07-18 06년 HA 재료비_05-07-18 06년 HA 재료비_41184_05-08-29 9월1주차HA_41184_김정" xfId="2567"/>
    <cellStyle name="7_재료비CM350_1216_mini재료비-041001_05-07-05 06년재료비_41184_05-07-18 06년 HA 재료비_05-07-18 06년 HA 재료비_41184_05-08-29 9월1주차HA_41184_김정_개발회의(week21)_KMS-350" xfId="2568"/>
    <cellStyle name="7_재료비CM350_1216_mini재료비-041001_05-07-05 06년재료비_41184_05-07-18 06년 HA 재료비_05-07-18 06년 HA 재료비_41184_개발회의(week21)_KMS-350" xfId="2569"/>
    <cellStyle name="7_재료비CM350_1216_mini재료비-041001_05-07-05 06년재료비_41184_05-07-18 06년 HA 재료비_05-08-29 9월1주차HA_41184_김정" xfId="2570"/>
    <cellStyle name="7_재료비CM350_1216_mini재료비-041001_05-07-05 06년재료비_41184_05-07-18 06년 HA 재료비_05-08-29 9월1주차HA_41184_김정_개발회의(week21)_KMS-350" xfId="2571"/>
    <cellStyle name="7_재료비CM350_1216_mini재료비-041001_05-07-05 06년재료비_41184_05-07-18 06년 HA 재료비_41184" xfId="2572"/>
    <cellStyle name="7_재료비CM350_1216_mini재료비-041001_05-07-05 06년재료비_41184_05-07-18 06년 HA 재료비_41184_05-08-29 9월1주차HA_41184_김정" xfId="2573"/>
    <cellStyle name="7_재료비CM350_1216_mini재료비-041001_05-07-05 06년재료비_41184_05-07-18 06년 HA 재료비_41184_05-08-29 9월1주차HA_41184_김정_개발회의(week21)_KMS-350" xfId="2574"/>
    <cellStyle name="7_재료비CM350_1216_mini재료비-041001_05-07-05 06년재료비_41184_05-07-18 06년 HA 재료비_41184_개발회의(week21)_KMS-350" xfId="2575"/>
    <cellStyle name="7_재료비CM350_1216_mini재료비-041001_05-07-05 06년재료비_41184_05-07-18 06년 HA 재료비_개발회의(week21)_KMS-350" xfId="2576"/>
    <cellStyle name="7_재료비CM350_1216_mini재료비-041001_05-07-05 06년재료비_41184_05-07-23 06년 HA 재료비" xfId="2577"/>
    <cellStyle name="7_재료비CM350_1216_mini재료비-041001_05-07-05 06년재료비_41184_05-07-23 06년 HA 재료비_05-08-29 9월1주차HA_41184_김정" xfId="2578"/>
    <cellStyle name="7_재료비CM350_1216_mini재료비-041001_05-07-05 06년재료비_41184_05-07-23 06년 HA 재료비_05-08-29 9월1주차HA_41184_김정_개발회의(week21)_KMS-350" xfId="2579"/>
    <cellStyle name="7_재료비CM350_1216_mini재료비-041001_05-07-05 06년재료비_41184_05-07-23 06년 HA 재료비_개발회의(week21)_KMS-350" xfId="2580"/>
    <cellStyle name="7_재료비CM350_1216_mini재료비-041001_05-07-05 06년재료비_41184_05-07-25 06년 HA 재료비_H2000" xfId="2581"/>
    <cellStyle name="7_재료비CM350_1216_mini재료비-041001_05-07-05 06년재료비_41184_05-07-25 06년 HA 재료비_H2000_05-08-29 9월1주차HA_41184_김정" xfId="2582"/>
    <cellStyle name="7_재료비CM350_1216_mini재료비-041001_05-07-05 06년재료비_41184_05-07-25 06년 HA 재료비_H2000_05-08-29 9월1주차HA_41184_김정_개발회의(week21)_KMS-350" xfId="2583"/>
    <cellStyle name="7_재료비CM350_1216_mini재료비-041001_05-07-05 06년재료비_41184_05-07-25 06년 HA 재료비_H2000_개발회의(week21)_KMS-350" xfId="2584"/>
    <cellStyle name="7_재료비CM350_1216_mini재료비-041001_05-07-05 06년재료비_41184_05-07-26 06년 HA 재료비_41184" xfId="2585"/>
    <cellStyle name="7_재료비CM350_1216_mini재료비-041001_05-07-05 06년재료비_41184_05-07-26 06년 HA 재료비_41184_05-08-29 9월1주차HA_41184_김정" xfId="2586"/>
    <cellStyle name="7_재료비CM350_1216_mini재료비-041001_05-07-05 06년재료비_41184_05-07-26 06년 HA 재료비_41184_05-08-29 9월1주차HA_41184_김정_개발회의(week21)_KMS-350" xfId="2587"/>
    <cellStyle name="7_재료비CM350_1216_mini재료비-041001_05-07-05 06년재료비_41184_05-07-26 06년 HA 재료비_41184_개발회의(week21)_KMS-350" xfId="2588"/>
    <cellStyle name="7_재료비CM350_1216_mini재료비-041001_05-07-05 06년재료비_41184_05-07-26 06년 HA 재료비1" xfId="2589"/>
    <cellStyle name="7_재료비CM350_1216_mini재료비-041001_05-07-05 06년재료비_41184_05-07-26 06년 HA 재료비1_05-08-29 9월1주차HA_41184_김정" xfId="2590"/>
    <cellStyle name="7_재료비CM350_1216_mini재료비-041001_05-07-05 06년재료비_41184_05-07-26 06년 HA 재료비1_05-08-29 9월1주차HA_41184_김정_개발회의(week21)_KMS-350" xfId="2591"/>
    <cellStyle name="7_재료비CM350_1216_mini재료비-041001_05-07-05 06년재료비_41184_05-07-26 06년 HA 재료비1_개발회의(week21)_KMS-350" xfId="2592"/>
    <cellStyle name="7_재료비CM350_1216_mini재료비-041001_05-07-05 06년재료비_41184_05-08-29 9월1주차HA_41184_김정" xfId="2593"/>
    <cellStyle name="7_재료비CM350_1216_mini재료비-041001_05-07-05 06년재료비_41184_05-08-29 9월1주차HA_41184_김정_개발회의(week21)_KMS-350" xfId="2594"/>
    <cellStyle name="7_재료비CM350_1216_mini재료비-041001_05-07-05 06년재료비_41184_개발회의(week21)_KMS-350" xfId="2595"/>
    <cellStyle name="7_재료비CM350_1216_mini재료비-041001_05-07-18 06년 HA 재료비_41184" xfId="2596"/>
    <cellStyle name="7_재료비CM350_1216_mini재료비-041001_05-07-18 06년 HA 재료비_41184_05-08-29 9월1주차HA_41184_김정" xfId="2597"/>
    <cellStyle name="7_재료비CM350_1216_mini재료비-041001_05-07-18 06년 HA 재료비_41184_05-08-29 9월1주차HA_41184_김정_개발회의(week21)_KMS-350" xfId="2598"/>
    <cellStyle name="7_재료비CM350_1216_mini재료비-041001_05-07-18 06년 HA 재료비_41184_개발회의(week21)_KMS-350" xfId="2599"/>
    <cellStyle name="7_재료비CM350_1216_mini재료비-041001_05-08-29 9월1주차HA_41184_김정" xfId="2600"/>
    <cellStyle name="7_재료비CM350_1216_mini재료비-041001_05-08-29 9월1주차HA_41184_김정_개발회의(week21)_KMS-350" xfId="2601"/>
    <cellStyle name="7_재료비CM350_1216_mini재료비-041001_개발회의(week21)_KMS-350" xfId="2602"/>
    <cellStyle name="7_mini재료비-041001" xfId="2603"/>
    <cellStyle name="7_mini재료비-041001_05-07-01 06년재료비" xfId="2604"/>
    <cellStyle name="7_mini재료비-041001_05-07-01 06년재료비_(Q80)05-07-12 06년재료비" xfId="2605"/>
    <cellStyle name="7_mini재료비-041001_05-07-01 06년재료비_(Q80)05-07-12 06년재료비_05-07-18 06년 HA 재료비_41184" xfId="2606"/>
    <cellStyle name="7_mini재료비-041001_05-07-01 06년재료비_(Q80)05-07-12 06년재료비_05-07-18 06년 HA 재료비_41184_05-08-29 9월1주차HA_41184_김정" xfId="2607"/>
    <cellStyle name="7_mini재료비-041001_05-07-01 06년재료비_(Q80)05-07-12 06년재료비_05-07-18 06년 HA 재료비_41184_05-08-29 9월1주차HA_41184_김정_개발회의(week21)_KMS-350" xfId="2608"/>
    <cellStyle name="7_mini재료비-041001_05-07-01 06년재료비_(Q80)05-07-12 06년재료비_05-07-18 06년 HA 재료비_41184_개발회의(week21)_KMS-350" xfId="2609"/>
    <cellStyle name="7_mini재료비-041001_05-07-01 06년재료비_(Q80)05-07-12 06년재료비_05-08-29 9월1주차HA_41184_김정" xfId="2610"/>
    <cellStyle name="7_mini재료비-041001_05-07-01 06년재료비_(Q80)05-07-12 06년재료비_05-08-29 9월1주차HA_41184_김정_개발회의(week21)_KMS-350" xfId="2611"/>
    <cellStyle name="7_mini재료비-041001_05-07-01 06년재료비_(Q80)05-07-12 06년재료비_개발회의(week21)_KMS-350" xfId="2612"/>
    <cellStyle name="7_mini재료비-041001_05-07-01 06년재료비_(R1500)05-07-19 재료비" xfId="2613"/>
    <cellStyle name="7_mini재료비-041001_05-07-01 06년재료비_(R1500)05-07-19 재료비_05-08-29 9월1주차HA_41184_김정" xfId="2614"/>
    <cellStyle name="7_mini재료비-041001_05-07-01 06년재료비_(R1500)05-07-19 재료비_05-08-29 9월1주차HA_41184_김정_개발회의(week21)_KMS-350" xfId="2615"/>
    <cellStyle name="7_mini재료비-041001_05-07-01 06년재료비_(R1500)05-07-19 재료비_개발회의(week21)_KMS-350" xfId="2616"/>
    <cellStyle name="7_mini재료비-041001_05-07-01 06년재료비_05-07-12 06년재료비(Q120)" xfId="2617"/>
    <cellStyle name="7_mini재료비-041001_05-07-01 06년재료비_05-07-12 06년재료비(Q120)_05-07-18 06년 HA 재료비_41184" xfId="2618"/>
    <cellStyle name="7_mini재료비-041001_05-07-01 06년재료비_05-07-12 06년재료비(Q120)_05-07-18 06년 HA 재료비_41184_05-08-29 9월1주차HA_41184_김정" xfId="2619"/>
    <cellStyle name="7_mini재료비-041001_05-07-01 06년재료비_05-07-12 06년재료비(Q120)_05-07-18 06년 HA 재료비_41184_05-08-29 9월1주차HA_41184_김정_개발회의(week21)_KMS-350" xfId="2620"/>
    <cellStyle name="7_mini재료비-041001_05-07-01 06년재료비_05-07-12 06년재료비(Q120)_05-07-18 06년 HA 재료비_41184_개발회의(week21)_KMS-350" xfId="2621"/>
    <cellStyle name="7_mini재료비-041001_05-07-01 06년재료비_05-07-12 06년재료비(Q120)_05-08-29 9월1주차HA_41184_김정" xfId="2622"/>
    <cellStyle name="7_mini재료비-041001_05-07-01 06년재료비_05-07-12 06년재료비(Q120)_05-08-29 9월1주차HA_41184_김정_개발회의(week21)_KMS-350" xfId="2623"/>
    <cellStyle name="7_mini재료비-041001_05-07-01 06년재료비_05-07-12 06년재료비(Q120)_개발회의(week21)_KMS-350" xfId="2624"/>
    <cellStyle name="7_mini재료비-041001_05-07-01 06년재료비_05-07-14 06년재료비" xfId="2625"/>
    <cellStyle name="7_mini재료비-041001_05-07-01 06년재료비_05-07-14 06년재료비_05-07-18 06년 HA 재료비_41184" xfId="2626"/>
    <cellStyle name="7_mini재료비-041001_05-07-01 06년재료비_05-07-14 06년재료비_05-07-18 06년 HA 재료비_41184_05-08-29 9월1주차HA_41184_김정" xfId="2627"/>
    <cellStyle name="7_mini재료비-041001_05-07-01 06년재료비_05-07-14 06년재료비_05-07-18 06년 HA 재료비_41184_05-08-29 9월1주차HA_41184_김정_개발회의(week21)_KMS-350" xfId="2628"/>
    <cellStyle name="7_mini재료비-041001_05-07-01 06년재료비_05-07-14 06년재료비_05-07-18 06년 HA 재료비_41184_개발회의(week21)_KMS-350" xfId="2629"/>
    <cellStyle name="7_mini재료비-041001_05-07-01 06년재료비_05-07-14 06년재료비_05-08-29 9월1주차HA_41184_김정" xfId="2630"/>
    <cellStyle name="7_mini재료비-041001_05-07-01 06년재료비_05-07-14 06년재료비_05-08-29 9월1주차HA_41184_김정_개발회의(week21)_KMS-350" xfId="2631"/>
    <cellStyle name="7_mini재료비-041001_05-07-01 06년재료비_05-07-14 06년재료비_개발회의(week21)_KMS-350" xfId="2632"/>
    <cellStyle name="7_mini재료비-041001_05-07-01 06년재료비_05-07-15 06년재료비 기구스피커" xfId="2633"/>
    <cellStyle name="7_mini재료비-041001_05-07-01 06년재료비_05-07-15 06년재료비 기구스피커_05-07-18 06년 HA 재료비_41184" xfId="2634"/>
    <cellStyle name="7_mini재료비-041001_05-07-01 06년재료비_05-07-15 06년재료비 기구스피커_05-07-18 06년 HA 재료비_41184_05-08-29 9월1주차HA_41184_김정" xfId="2635"/>
    <cellStyle name="7_mini재료비-041001_05-07-01 06년재료비_05-07-15 06년재료비 기구스피커_05-07-18 06년 HA 재료비_41184_05-08-29 9월1주차HA_41184_김정_개발회의(week21)_KMS-350" xfId="2636"/>
    <cellStyle name="7_mini재료비-041001_05-07-01 06년재료비_05-07-15 06년재료비 기구스피커_05-07-18 06년 HA 재료비_41184_개발회의(week21)_KMS-350" xfId="2637"/>
    <cellStyle name="7_mini재료비-041001_05-07-01 06년재료비_05-07-15 06년재료비 기구스피커_05-08-29 9월1주차HA_41184_김정" xfId="2638"/>
    <cellStyle name="7_mini재료비-041001_05-07-01 06년재료비_05-07-15 06년재료비 기구스피커_05-08-29 9월1주차HA_41184_김정_개발회의(week21)_KMS-350" xfId="2639"/>
    <cellStyle name="7_mini재료비-041001_05-07-01 06년재료비_05-07-15 06년재료비 기구스피커_개발회의(week21)_KMS-350" xfId="2640"/>
    <cellStyle name="7_mini재료비-041001_05-07-01 06년재료비_05-07-18 06년 HA 재료비" xfId="2641"/>
    <cellStyle name="7_mini재료비-041001_05-07-01 06년재료비_05-07-18 06년 HA 재료비_05-07-18 06년 HA 재료비_41184" xfId="2642"/>
    <cellStyle name="7_mini재료비-041001_05-07-01 06년재료비_05-07-18 06년 HA 재료비_05-07-18 06년 HA 재료비_41184_05-08-29 9월1주차HA_41184_김정" xfId="2643"/>
    <cellStyle name="7_mini재료비-041001_05-07-01 06년재료비_05-07-18 06년 HA 재료비_05-07-18 06년 HA 재료비_41184_05-08-29 9월1주차HA_41184_김정_개발회의(week21)_KMS-350" xfId="2644"/>
    <cellStyle name="7_mini재료비-041001_05-07-01 06년재료비_05-07-18 06년 HA 재료비_05-07-18 06년 HA 재료비_41184_개발회의(week21)_KMS-350" xfId="2645"/>
    <cellStyle name="7_mini재료비-041001_05-07-01 06년재료비_05-07-18 06년 HA 재료비_05-08-29 9월1주차HA_41184_김정" xfId="2646"/>
    <cellStyle name="7_mini재료비-041001_05-07-01 06년재료비_05-07-18 06년 HA 재료비_05-08-29 9월1주차HA_41184_김정_개발회의(week21)_KMS-350" xfId="2647"/>
    <cellStyle name="7_mini재료비-041001_05-07-01 06년재료비_05-07-18 06년 HA 재료비_41184" xfId="2648"/>
    <cellStyle name="7_mini재료비-041001_05-07-01 06년재료비_05-07-18 06년 HA 재료비_41184_05-08-29 9월1주차HA_41184_김정" xfId="2649"/>
    <cellStyle name="7_mini재료비-041001_05-07-01 06년재료비_05-07-18 06년 HA 재료비_41184_05-08-29 9월1주차HA_41184_김정_개발회의(week21)_KMS-350" xfId="2650"/>
    <cellStyle name="7_mini재료비-041001_05-07-01 06년재료비_05-07-18 06년 HA 재료비_41184_개발회의(week21)_KMS-350" xfId="2651"/>
    <cellStyle name="7_mini재료비-041001_05-07-01 06년재료비_05-07-18 06년 HA 재료비_개발회의(week21)_KMS-350" xfId="2652"/>
    <cellStyle name="7_mini재료비-041001_05-07-01 06년재료비_05-07-23 06년 HA 재료비" xfId="2653"/>
    <cellStyle name="7_mini재료비-041001_05-07-01 06년재료비_05-07-23 06년 HA 재료비_05-08-29 9월1주차HA_41184_김정" xfId="2654"/>
    <cellStyle name="7_mini재료비-041001_05-07-01 06년재료비_05-07-23 06년 HA 재료비_05-08-29 9월1주차HA_41184_김정_개발회의(week21)_KMS-350" xfId="2655"/>
    <cellStyle name="7_mini재료비-041001_05-07-01 06년재료비_05-07-23 06년 HA 재료비_개발회의(week21)_KMS-350" xfId="2656"/>
    <cellStyle name="7_mini재료비-041001_05-07-01 06년재료비_05-07-25 06년 HA 재료비_H2000" xfId="2657"/>
    <cellStyle name="7_mini재료비-041001_05-07-01 06년재료비_05-07-25 06년 HA 재료비_H2000_05-08-29 9월1주차HA_41184_김정" xfId="2658"/>
    <cellStyle name="7_mini재료비-041001_05-07-01 06년재료비_05-07-25 06년 HA 재료비_H2000_05-08-29 9월1주차HA_41184_김정_개발회의(week21)_KMS-350" xfId="2659"/>
    <cellStyle name="7_mini재료비-041001_05-07-01 06년재료비_05-07-25 06년 HA 재료비_H2000_개발회의(week21)_KMS-350" xfId="2660"/>
    <cellStyle name="7_mini재료비-041001_05-07-01 06년재료비_05-07-26 06년 HA 재료비_41184" xfId="2661"/>
    <cellStyle name="7_mini재료비-041001_05-07-01 06년재료비_05-07-26 06년 HA 재료비_41184_05-08-29 9월1주차HA_41184_김정" xfId="2662"/>
    <cellStyle name="7_mini재료비-041001_05-07-01 06년재료비_05-07-26 06년 HA 재료비_41184_05-08-29 9월1주차HA_41184_김정_개발회의(week21)_KMS-350" xfId="2663"/>
    <cellStyle name="7_mini재료비-041001_05-07-01 06년재료비_05-07-26 06년 HA 재료비_41184_개발회의(week21)_KMS-350" xfId="2664"/>
    <cellStyle name="7_mini재료비-041001_05-07-01 06년재료비_05-07-26 06년 HA 재료비1" xfId="2665"/>
    <cellStyle name="7_mini재료비-041001_05-07-01 06년재료비_05-07-26 06년 HA 재료비1_05-08-29 9월1주차HA_41184_김정" xfId="2666"/>
    <cellStyle name="7_mini재료비-041001_05-07-01 06년재료비_05-07-26 06년 HA 재료비1_05-08-29 9월1주차HA_41184_김정_개발회의(week21)_KMS-350" xfId="2667"/>
    <cellStyle name="7_mini재료비-041001_05-07-01 06년재료비_05-07-26 06년 HA 재료비1_개발회의(week21)_KMS-350" xfId="2668"/>
    <cellStyle name="7_mini재료비-041001_05-07-01 06년재료비_05-08-29 9월1주차HA_41184_김정" xfId="2669"/>
    <cellStyle name="7_mini재료비-041001_05-07-01 06년재료비_05-08-29 9월1주차HA_41184_김정_개발회의(week21)_KMS-350" xfId="2670"/>
    <cellStyle name="7_mini재료비-041001_05-07-01 06년재료비_개발회의(week21)_KMS-350" xfId="2671"/>
    <cellStyle name="7_mini재료비-041001_05-07-05 06년재료비_41184" xfId="2672"/>
    <cellStyle name="7_mini재료비-041001_05-07-05 06년재료비_41184_(Q80)05-07-12 06년재료비" xfId="2673"/>
    <cellStyle name="7_mini재료비-041001_05-07-05 06년재료비_41184_(Q80)05-07-12 06년재료비_05-07-18 06년 HA 재료비_41184" xfId="2674"/>
    <cellStyle name="7_mini재료비-041001_05-07-05 06년재료비_41184_(Q80)05-07-12 06년재료비_05-07-18 06년 HA 재료비_41184_05-08-29 9월1주차HA_41184_김정" xfId="2675"/>
    <cellStyle name="7_mini재료비-041001_05-07-05 06년재료비_41184_(Q80)05-07-12 06년재료비_05-07-18 06년 HA 재료비_41184_05-08-29 9월1주차HA_41184_김정_개발회의(week21)_KMS-350" xfId="2676"/>
    <cellStyle name="7_mini재료비-041001_05-07-05 06년재료비_41184_(Q80)05-07-12 06년재료비_05-07-18 06년 HA 재료비_41184_개발회의(week21)_KMS-350" xfId="2677"/>
    <cellStyle name="7_mini재료비-041001_05-07-05 06년재료비_41184_(Q80)05-07-12 06년재료비_05-08-29 9월1주차HA_41184_김정" xfId="2678"/>
    <cellStyle name="7_mini재료비-041001_05-07-05 06년재료비_41184_(Q80)05-07-12 06년재료비_05-08-29 9월1주차HA_41184_김정_개발회의(week21)_KMS-350" xfId="2679"/>
    <cellStyle name="7_mini재료비-041001_05-07-05 06년재료비_41184_(Q80)05-07-12 06년재료비_개발회의(week21)_KMS-350" xfId="2680"/>
    <cellStyle name="7_mini재료비-041001_05-07-05 06년재료비_41184_(R1500)05-07-19 재료비" xfId="2681"/>
    <cellStyle name="7_mini재료비-041001_05-07-05 06년재료비_41184_(R1500)05-07-19 재료비_05-08-29 9월1주차HA_41184_김정" xfId="2682"/>
    <cellStyle name="7_mini재료비-041001_05-07-05 06년재료비_41184_(R1500)05-07-19 재료비_05-08-29 9월1주차HA_41184_김정_개발회의(week21)_KMS-350" xfId="2683"/>
    <cellStyle name="7_mini재료비-041001_05-07-05 06년재료비_41184_(R1500)05-07-19 재료비_개발회의(week21)_KMS-350" xfId="2684"/>
    <cellStyle name="7_mini재료비-041001_05-07-05 06년재료비_41184_05-07-12 06년재료비(Q120)" xfId="2685"/>
    <cellStyle name="7_mini재료비-041001_05-07-05 06년재료비_41184_05-07-12 06년재료비(Q120)_05-07-18 06년 HA 재료비_41184" xfId="2686"/>
    <cellStyle name="7_mini재료비-041001_05-07-05 06년재료비_41184_05-07-12 06년재료비(Q120)_05-07-18 06년 HA 재료비_41184_05-08-29 9월1주차HA_41184_김정" xfId="2687"/>
    <cellStyle name="7_mini재료비-041001_05-07-05 06년재료비_41184_05-07-12 06년재료비(Q120)_05-07-18 06년 HA 재료비_41184_05-08-29 9월1주차HA_41184_김정_개발회의(week21)_KMS-350" xfId="2688"/>
    <cellStyle name="7_mini재료비-041001_05-07-05 06년재료비_41184_05-07-12 06년재료비(Q120)_05-07-18 06년 HA 재료비_41184_개발회의(week21)_KMS-350" xfId="2689"/>
    <cellStyle name="7_mini재료비-041001_05-07-05 06년재료비_41184_05-07-12 06년재료비(Q120)_05-08-29 9월1주차HA_41184_김정" xfId="2690"/>
    <cellStyle name="7_mini재료비-041001_05-07-05 06년재료비_41184_05-07-12 06년재료비(Q120)_05-08-29 9월1주차HA_41184_김정_개발회의(week21)_KMS-350" xfId="2691"/>
    <cellStyle name="7_mini재료비-041001_05-07-05 06년재료비_41184_05-07-12 06년재료비(Q120)_개발회의(week21)_KMS-350" xfId="2692"/>
    <cellStyle name="7_mini재료비-041001_05-07-05 06년재료비_41184_05-07-14 06년재료비" xfId="2693"/>
    <cellStyle name="7_mini재료비-041001_05-07-05 06년재료비_41184_05-07-14 06년재료비_05-07-18 06년 HA 재료비_41184" xfId="2694"/>
    <cellStyle name="7_mini재료비-041001_05-07-05 06년재료비_41184_05-07-14 06년재료비_05-07-18 06년 HA 재료비_41184_05-08-29 9월1주차HA_41184_김정" xfId="2695"/>
    <cellStyle name="7_mini재료비-041001_05-07-05 06년재료비_41184_05-07-14 06년재료비_05-07-18 06년 HA 재료비_41184_05-08-29 9월1주차HA_41184_김정_개발회의(week21)_KMS-350" xfId="2696"/>
    <cellStyle name="7_mini재료비-041001_05-07-05 06년재료비_41184_05-07-14 06년재료비_05-07-18 06년 HA 재료비_41184_개발회의(week21)_KMS-350" xfId="2697"/>
    <cellStyle name="7_mini재료비-041001_05-07-05 06년재료비_41184_05-07-14 06년재료비_05-08-29 9월1주차HA_41184_김정" xfId="2698"/>
    <cellStyle name="7_mini재료비-041001_05-07-05 06년재료비_41184_05-07-14 06년재료비_05-08-29 9월1주차HA_41184_김정_개발회의(week21)_KMS-350" xfId="2699"/>
    <cellStyle name="7_mini재료비-041001_05-07-05 06년재료비_41184_05-07-14 06년재료비_개발회의(week21)_KMS-350" xfId="2700"/>
    <cellStyle name="7_mini재료비-041001_05-07-05 06년재료비_41184_05-07-15 06년재료비 기구스피커" xfId="2701"/>
    <cellStyle name="7_mini재료비-041001_05-07-05 06년재료비_41184_05-07-15 06년재료비 기구스피커_05-07-18 06년 HA 재료비_41184" xfId="2702"/>
    <cellStyle name="7_mini재료비-041001_05-07-05 06년재료비_41184_05-07-15 06년재료비 기구스피커_05-07-18 06년 HA 재료비_41184_05-08-29 9월1주차HA_41184_김정" xfId="2703"/>
    <cellStyle name="7_mini재료비-041001_05-07-05 06년재료비_41184_05-07-15 06년재료비 기구스피커_05-07-18 06년 HA 재료비_41184_05-08-29 9월1주차HA_41184_김정_개발회의(week21)_KMS-350" xfId="2704"/>
    <cellStyle name="7_mini재료비-041001_05-07-05 06년재료비_41184_05-07-15 06년재료비 기구스피커_05-07-18 06년 HA 재료비_41184_개발회의(week21)_KMS-350" xfId="2705"/>
    <cellStyle name="7_mini재료비-041001_05-07-05 06년재료비_41184_05-07-15 06년재료비 기구스피커_05-08-29 9월1주차HA_41184_김정" xfId="2706"/>
    <cellStyle name="7_mini재료비-041001_05-07-05 06년재료비_41184_05-07-15 06년재료비 기구스피커_05-08-29 9월1주차HA_41184_김정_개발회의(week21)_KMS-350" xfId="2707"/>
    <cellStyle name="7_mini재료비-041001_05-07-05 06년재료비_41184_05-07-15 06년재료비 기구스피커_개발회의(week21)_KMS-350" xfId="2708"/>
    <cellStyle name="7_mini재료비-041001_05-07-05 06년재료비_41184_05-07-18 06년 HA 재료비" xfId="2709"/>
    <cellStyle name="7_mini재료비-041001_05-07-05 06년재료비_41184_05-07-18 06년 HA 재료비_05-07-18 06년 HA 재료비_41184" xfId="2710"/>
    <cellStyle name="7_mini재료비-041001_05-07-05 06년재료비_41184_05-07-18 06년 HA 재료비_05-07-18 06년 HA 재료비_41184_05-08-29 9월1주차HA_41184_김정" xfId="2711"/>
    <cellStyle name="7_mini재료비-041001_05-07-05 06년재료비_41184_05-07-18 06년 HA 재료비_05-07-18 06년 HA 재료비_41184_05-08-29 9월1주차HA_41184_김정_개발회의(week21)_KMS-350" xfId="2712"/>
    <cellStyle name="7_mini재료비-041001_05-07-05 06년재료비_41184_05-07-18 06년 HA 재료비_05-07-18 06년 HA 재료비_41184_개발회의(week21)_KMS-350" xfId="2713"/>
    <cellStyle name="7_mini재료비-041001_05-07-05 06년재료비_41184_05-07-18 06년 HA 재료비_05-08-29 9월1주차HA_41184_김정" xfId="2714"/>
    <cellStyle name="7_mini재료비-041001_05-07-05 06년재료비_41184_05-07-18 06년 HA 재료비_05-08-29 9월1주차HA_41184_김정_개발회의(week21)_KMS-350" xfId="2715"/>
    <cellStyle name="7_mini재료비-041001_05-07-05 06년재료비_41184_05-07-18 06년 HA 재료비_41184" xfId="2716"/>
    <cellStyle name="7_mini재료비-041001_05-07-05 06년재료비_41184_05-07-18 06년 HA 재료비_41184_05-08-29 9월1주차HA_41184_김정" xfId="2717"/>
    <cellStyle name="7_mini재료비-041001_05-07-05 06년재료비_41184_05-07-18 06년 HA 재료비_41184_05-08-29 9월1주차HA_41184_김정_개발회의(week21)_KMS-350" xfId="2718"/>
    <cellStyle name="7_mini재료비-041001_05-07-05 06년재료비_41184_05-07-18 06년 HA 재료비_41184_개발회의(week21)_KMS-350" xfId="2719"/>
    <cellStyle name="7_mini재료비-041001_05-07-05 06년재료비_41184_05-07-18 06년 HA 재료비_개발회의(week21)_KMS-350" xfId="2720"/>
    <cellStyle name="7_mini재료비-041001_05-07-05 06년재료비_41184_05-07-23 06년 HA 재료비" xfId="2721"/>
    <cellStyle name="7_mini재료비-041001_05-07-05 06년재료비_41184_05-07-23 06년 HA 재료비_05-08-29 9월1주차HA_41184_김정" xfId="2722"/>
    <cellStyle name="7_mini재료비-041001_05-07-05 06년재료비_41184_05-07-23 06년 HA 재료비_05-08-29 9월1주차HA_41184_김정_개발회의(week21)_KMS-350" xfId="2723"/>
    <cellStyle name="7_mini재료비-041001_05-07-05 06년재료비_41184_05-07-23 06년 HA 재료비_개발회의(week21)_KMS-350" xfId="2724"/>
    <cellStyle name="7_mini재료비-041001_05-07-05 06년재료비_41184_05-07-25 06년 HA 재료비_H2000" xfId="2725"/>
    <cellStyle name="7_mini재료비-041001_05-07-05 06년재료비_41184_05-07-25 06년 HA 재료비_H2000_05-08-29 9월1주차HA_41184_김정" xfId="2726"/>
    <cellStyle name="7_mini재료비-041001_05-07-05 06년재료비_41184_05-07-25 06년 HA 재료비_H2000_05-08-29 9월1주차HA_41184_김정_개발회의(week21)_KMS-350" xfId="2727"/>
    <cellStyle name="7_mini재료비-041001_05-07-05 06년재료비_41184_05-07-25 06년 HA 재료비_H2000_개발회의(week21)_KMS-350" xfId="2728"/>
    <cellStyle name="7_mini재료비-041001_05-07-05 06년재료비_41184_05-07-26 06년 HA 재료비_41184" xfId="2729"/>
    <cellStyle name="7_mini재료비-041001_05-07-05 06년재료비_41184_05-07-26 06년 HA 재료비_41184_05-08-29 9월1주차HA_41184_김정" xfId="2730"/>
    <cellStyle name="7_mini재료비-041001_05-07-05 06년재료비_41184_05-07-26 06년 HA 재료비_41184_05-08-29 9월1주차HA_41184_김정_개발회의(week21)_KMS-350" xfId="2731"/>
    <cellStyle name="7_mini재료비-041001_05-07-05 06년재료비_41184_05-07-26 06년 HA 재료비_41184_개발회의(week21)_KMS-350" xfId="2732"/>
    <cellStyle name="7_mini재료비-041001_05-07-05 06년재료비_41184_05-07-26 06년 HA 재료비1" xfId="2733"/>
    <cellStyle name="7_mini재료비-041001_05-07-05 06년재료비_41184_05-07-26 06년 HA 재료비1_05-08-29 9월1주차HA_41184_김정" xfId="2734"/>
    <cellStyle name="7_mini재료비-041001_05-07-05 06년재료비_41184_05-07-26 06년 HA 재료비1_05-08-29 9월1주차HA_41184_김정_개발회의(week21)_KMS-350" xfId="2735"/>
    <cellStyle name="7_mini재료비-041001_05-07-05 06년재료비_41184_05-07-26 06년 HA 재료비1_개발회의(week21)_KMS-350" xfId="2736"/>
    <cellStyle name="7_mini재료비-041001_05-07-05 06년재료비_41184_05-08-29 9월1주차HA_41184_김정" xfId="2737"/>
    <cellStyle name="7_mini재료비-041001_05-07-05 06년재료비_41184_05-08-29 9월1주차HA_41184_김정_개발회의(week21)_KMS-350" xfId="2738"/>
    <cellStyle name="7_mini재료비-041001_05-07-05 06년재료비_41184_개발회의(week21)_KMS-350" xfId="2739"/>
    <cellStyle name="7_mini재료비-041001_05-07-18 06년 HA 재료비_41184" xfId="2740"/>
    <cellStyle name="7_mini재료비-041001_05-07-18 06년 HA 재료비_41184_05-08-29 9월1주차HA_41184_김정" xfId="2741"/>
    <cellStyle name="7_mini재료비-041001_05-07-18 06년 HA 재료비_41184_05-08-29 9월1주차HA_41184_김정_개발회의(week21)_KMS-350" xfId="2742"/>
    <cellStyle name="7_mini재료비-041001_05-07-18 06년 HA 재료비_41184_개발회의(week21)_KMS-350" xfId="2743"/>
    <cellStyle name="7_mini재료비-041001_05-08-29 9월1주차HA_41184_김정" xfId="2744"/>
    <cellStyle name="7_mini재료비-041001_05-08-29 9월1주차HA_41184_김정_개발회의(week21)_KMS-350" xfId="2745"/>
    <cellStyle name="7_mini재료비-041001_개발회의(week21)_KMS-350" xfId="2746"/>
    <cellStyle name="강조색1 2 2" xfId="2747"/>
    <cellStyle name="강조색1 3 2" xfId="2748"/>
    <cellStyle name="강조색1 4 2" xfId="2749"/>
    <cellStyle name="강조색1 6 2" xfId="2750"/>
    <cellStyle name="강조색2 2 2" xfId="2751"/>
    <cellStyle name="강조색2 3 2" xfId="2752"/>
    <cellStyle name="강조색2 4 2" xfId="2753"/>
    <cellStyle name="강조색2 6 2" xfId="2754"/>
    <cellStyle name="강조색3 2 2" xfId="2755"/>
    <cellStyle name="강조색3 3 2" xfId="2756"/>
    <cellStyle name="강조색3 4 2" xfId="2757"/>
    <cellStyle name="강조색3 6 2" xfId="2758"/>
    <cellStyle name="강조색4 2 2" xfId="2759"/>
    <cellStyle name="강조색4 3 2" xfId="2760"/>
    <cellStyle name="강조색4 4 2" xfId="2761"/>
    <cellStyle name="강조색4 6 2" xfId="2762"/>
    <cellStyle name="강조색5 2 2" xfId="2763"/>
    <cellStyle name="강조색5 3 2" xfId="2764"/>
    <cellStyle name="강조색5 4 2" xfId="2765"/>
    <cellStyle name="강조색5 6 2" xfId="2766"/>
    <cellStyle name="입력 5 6" xfId="2767"/>
    <cellStyle name="강조색6 2 2" xfId="2768"/>
    <cellStyle name="강조색6 3 2" xfId="2769"/>
    <cellStyle name="강조색6 4 2" xfId="2770"/>
    <cellStyle name="강조색6 6 2" xfId="2771"/>
    <cellStyle name="强调文字颜色 1" xfId="2772"/>
    <cellStyle name="强调文字颜色 1 10" xfId="2773"/>
    <cellStyle name="强调文字颜色 1 11" xfId="2774"/>
    <cellStyle name="强调文字颜色 1 12" xfId="2775"/>
    <cellStyle name="强调文字颜色 1 13" xfId="2776"/>
    <cellStyle name="强调文字颜色 1 14" xfId="2777"/>
    <cellStyle name="强调文字颜色 1 15" xfId="2778"/>
    <cellStyle name="强调文字颜色 1 16" xfId="2779"/>
    <cellStyle name="强调文字颜色 1 17" xfId="2780"/>
    <cellStyle name="强调文字颜色 1 18" xfId="2781"/>
    <cellStyle name="强调文字颜色 1 2" xfId="2782"/>
    <cellStyle name="强调文字颜色 1 3" xfId="2783"/>
    <cellStyle name="强调文字颜色 1 4" xfId="2784"/>
    <cellStyle name="强调文字颜色 1 5" xfId="2785"/>
    <cellStyle name="强调文字颜色 1 6" xfId="2786"/>
    <cellStyle name="强调文字颜色 1 7" xfId="2787"/>
    <cellStyle name="强调文字颜色 1 8" xfId="2788"/>
    <cellStyle name="强调文字颜色 1 9" xfId="2789"/>
    <cellStyle name="强调文字颜色 2" xfId="2790"/>
    <cellStyle name="强调文字颜色 2 10" xfId="2791"/>
    <cellStyle name="强调文字颜色 2 11" xfId="2792"/>
    <cellStyle name="强调文字颜色 2 12" xfId="2793"/>
    <cellStyle name="强调文字颜色 2 13" xfId="2794"/>
    <cellStyle name="强调文字颜色 2 14" xfId="2795"/>
    <cellStyle name="强调文字颜色 2 15" xfId="2796"/>
    <cellStyle name="强调文字颜色 2 16" xfId="2797"/>
    <cellStyle name="强调文字颜色 2 17" xfId="2798"/>
    <cellStyle name="强调文字颜色 2 18" xfId="2799"/>
    <cellStyle name="强调文字颜色 2 2" xfId="2800"/>
    <cellStyle name="强调文字颜色 2 3" xfId="2801"/>
    <cellStyle name="强调文字颜色 2 4" xfId="2802"/>
    <cellStyle name="强调文字颜色 2 5" xfId="2803"/>
    <cellStyle name="强调文字颜色 2 6" xfId="2804"/>
    <cellStyle name="强调文字颜色 2 7" xfId="2805"/>
    <cellStyle name="强调文字颜色 2 8" xfId="2806"/>
    <cellStyle name="强调文字颜色 2 9" xfId="2807"/>
    <cellStyle name="强调文字颜色 3" xfId="2808"/>
    <cellStyle name="强调文字颜色 3 10" xfId="2809"/>
    <cellStyle name="强调文字颜色 3 11" xfId="2810"/>
    <cellStyle name="强调文字颜色 3 12" xfId="2811"/>
    <cellStyle name="强调文字颜色 3 13" xfId="2812"/>
    <cellStyle name="强调文字颜色 3 14" xfId="2813"/>
    <cellStyle name="强调文字颜色 3 15" xfId="2814"/>
    <cellStyle name="强调文字颜色 3 16" xfId="2815"/>
    <cellStyle name="强调文字颜色 3 17" xfId="2816"/>
    <cellStyle name="强调文字颜色 3 18" xfId="2817"/>
    <cellStyle name="强调文字颜色 3 2" xfId="2818"/>
    <cellStyle name="强调文字颜色 3 3" xfId="2819"/>
    <cellStyle name="强调文字颜色 3 4" xfId="2820"/>
    <cellStyle name="强调文字颜色 3 5" xfId="2821"/>
    <cellStyle name="强调文字颜色 3 6" xfId="2822"/>
    <cellStyle name="强调文字颜色 3 7" xfId="2823"/>
    <cellStyle name="强调文字颜色 3 8" xfId="2824"/>
    <cellStyle name="强调文字颜色 3 9" xfId="2825"/>
    <cellStyle name="强调文字颜色 4" xfId="2826"/>
    <cellStyle name="强调文字颜色 4 10" xfId="2827"/>
    <cellStyle name="强调文字颜色 4 11" xfId="2828"/>
    <cellStyle name="强调文字颜色 4 12" xfId="2829"/>
    <cellStyle name="强调文字颜色 4 13" xfId="2830"/>
    <cellStyle name="强调文字颜色 4 14" xfId="2831"/>
    <cellStyle name="强调文字颜色 4 15" xfId="2832"/>
    <cellStyle name="强调文字颜色 4 16" xfId="2833"/>
    <cellStyle name="强调文字颜色 4 17" xfId="2834"/>
    <cellStyle name="强调文字颜色 4 18" xfId="2835"/>
    <cellStyle name="强调文字颜色 4 2" xfId="2836"/>
    <cellStyle name="强调文字颜色 4 3" xfId="2837"/>
    <cellStyle name="强调文字颜色 4 4" xfId="2838"/>
    <cellStyle name="强调文字颜色 4 5" xfId="2839"/>
    <cellStyle name="强调文字颜色 4 6" xfId="2840"/>
    <cellStyle name="强调文字颜色 4 7" xfId="2841"/>
    <cellStyle name="强调文字颜色 4 8" xfId="2842"/>
    <cellStyle name="强调文字颜色 4 9" xfId="2843"/>
    <cellStyle name="强调文字颜色 5" xfId="2844"/>
    <cellStyle name="强调文字颜色 5 10" xfId="2845"/>
    <cellStyle name="强调文字颜色 5 11" xfId="2846"/>
    <cellStyle name="强调文字颜色 5 12" xfId="2847"/>
    <cellStyle name="强调文字颜色 5 13" xfId="2848"/>
    <cellStyle name="强调文字颜色 5 14" xfId="2849"/>
    <cellStyle name="强调文字颜色 5 15" xfId="2850"/>
    <cellStyle name="强调文字颜色 5 16" xfId="2851"/>
    <cellStyle name="强调文字颜色 5 17" xfId="2852"/>
    <cellStyle name="强调文字颜色 5 18" xfId="2853"/>
    <cellStyle name="强调文字颜色 5 2" xfId="2854"/>
    <cellStyle name="强调文字颜色 5 3" xfId="2855"/>
    <cellStyle name="强调文字颜色 5 4" xfId="2856"/>
    <cellStyle name="强调文字颜色 5 5" xfId="2857"/>
    <cellStyle name="强调文字颜色 5 6" xfId="2858"/>
    <cellStyle name="强调文字颜色 5 7" xfId="2859"/>
    <cellStyle name="强调文字颜色 5 8" xfId="2860"/>
    <cellStyle name="强调文字颜色 5 9" xfId="2861"/>
    <cellStyle name="强调文字颜色 6" xfId="2862"/>
    <cellStyle name="强调文字颜色 6 10" xfId="2863"/>
    <cellStyle name="强调文字颜色 6 11" xfId="2864"/>
    <cellStyle name="强调文字颜色 6 12" xfId="2865"/>
    <cellStyle name="强调文字颜色 6 13" xfId="2866"/>
    <cellStyle name="强调文字颜色 6 14" xfId="2867"/>
    <cellStyle name="强调文字颜色 6 15" xfId="2868"/>
    <cellStyle name="强调文字颜色 6 16" xfId="2869"/>
    <cellStyle name="强调文字颜色 6 17" xfId="2870"/>
    <cellStyle name="强调文字颜色 6 18" xfId="2871"/>
    <cellStyle name="强调文字颜色 6 2" xfId="2872"/>
    <cellStyle name="强调文字颜色 6 3" xfId="2873"/>
    <cellStyle name="强调文字颜色 6 4" xfId="2874"/>
    <cellStyle name="强调文字颜色 6 5" xfId="2875"/>
    <cellStyle name="强调文字颜色 6 6" xfId="2876"/>
    <cellStyle name="强调文字颜色 6 7" xfId="2877"/>
    <cellStyle name="强调文字颜色 6 8" xfId="2878"/>
    <cellStyle name="强调文字颜色 6 9" xfId="2879"/>
    <cellStyle name="경고문 2 4" xfId="2880"/>
    <cellStyle name="경고문 2 2" xfId="2881"/>
    <cellStyle name="경고문 3 2" xfId="2882"/>
    <cellStyle name="경고문 4 2" xfId="2883"/>
    <cellStyle name="경고문 5 2" xfId="2884"/>
    <cellStyle name="경고문 6 2" xfId="2885"/>
    <cellStyle name="警告文本" xfId="2886"/>
    <cellStyle name="警告文本 10" xfId="2887"/>
    <cellStyle name="警告文本 11" xfId="2888"/>
    <cellStyle name="警告文本 12" xfId="2889"/>
    <cellStyle name="警告文本 13" xfId="2890"/>
    <cellStyle name="警告文本 14" xfId="2891"/>
    <cellStyle name="警告文本 15" xfId="2892"/>
    <cellStyle name="警告文本 16" xfId="2893"/>
    <cellStyle name="警告文本 17" xfId="2894"/>
    <cellStyle name="警告文本 18" xfId="2895"/>
    <cellStyle name="警告文本 2" xfId="2896"/>
    <cellStyle name="警告文本 3" xfId="2897"/>
    <cellStyle name="警告文本 4" xfId="2898"/>
    <cellStyle name="警告文本 5" xfId="2899"/>
    <cellStyle name="警告文本 6" xfId="2900"/>
    <cellStyle name="警告文本 7" xfId="2901"/>
    <cellStyle name="警告文本 8" xfId="2902"/>
    <cellStyle name="警告文本 9" xfId="2903"/>
    <cellStyle name="입력 2 8" xfId="2904"/>
    <cellStyle name="입력 11" xfId="2905"/>
    <cellStyle name="계산 2 2" xfId="2906"/>
    <cellStyle name="계산 3 2" xfId="2907"/>
    <cellStyle name="계산 4 2" xfId="2908"/>
    <cellStyle name="계산 6 2" xfId="2909"/>
    <cellStyle name="고정소숫점" xfId="2910"/>
    <cellStyle name="고정소숫점 10" xfId="2911"/>
    <cellStyle name="고정소숫점 11" xfId="2912"/>
    <cellStyle name="고정소숫점 12" xfId="2913"/>
    <cellStyle name="고정소숫점 13" xfId="2914"/>
    <cellStyle name="고정소숫점 14" xfId="2915"/>
    <cellStyle name="고정소숫점 15" xfId="2916"/>
    <cellStyle name="고정소숫점 16" xfId="2917"/>
    <cellStyle name="고정소숫점 17" xfId="2918"/>
    <cellStyle name="고정소숫점 18" xfId="2919"/>
    <cellStyle name="고정소숫점 2" xfId="2920"/>
    <cellStyle name="고정소숫점 3" xfId="2921"/>
    <cellStyle name="고정소숫점 4" xfId="2922"/>
    <cellStyle name="고정소숫점 5" xfId="2923"/>
    <cellStyle name="고정소숫점 6" xfId="2924"/>
    <cellStyle name="고정소숫점 7" xfId="2925"/>
    <cellStyle name="고정소숫점 8" xfId="2926"/>
    <cellStyle name="고정소숫점 9" xfId="2927"/>
    <cellStyle name="고정소숫점_BMB_UGA NEXT(audio_DPP2 Ver1.0)2008.xx.xx" xfId="2928"/>
    <cellStyle name="고정출력1" xfId="2929"/>
    <cellStyle name="고정출력1 10" xfId="2930"/>
    <cellStyle name="고정출력1 11" xfId="2931"/>
    <cellStyle name="고정출력1 12" xfId="2932"/>
    <cellStyle name="고정출력1 13" xfId="2933"/>
    <cellStyle name="고정출력1 14" xfId="2934"/>
    <cellStyle name="고정출력1 15" xfId="2935"/>
    <cellStyle name="고정출력1 16" xfId="2936"/>
    <cellStyle name="고정출력1 17" xfId="2937"/>
    <cellStyle name="고정출력1 18" xfId="2938"/>
    <cellStyle name="고정출력1 2" xfId="2939"/>
    <cellStyle name="고정출력1 3" xfId="2940"/>
    <cellStyle name="고정출력1 4" xfId="2941"/>
    <cellStyle name="고정출력1 5" xfId="2942"/>
    <cellStyle name="고정출력1 6" xfId="2943"/>
    <cellStyle name="고정출력1 7" xfId="2944"/>
    <cellStyle name="고정출력1 8" xfId="2945"/>
    <cellStyle name="고정출력1 9" xfId="2946"/>
    <cellStyle name="고정출력1_BMB_UGA NEXT(audio_DPP2 Ver1.0)2008.xx.xx" xfId="2947"/>
    <cellStyle name="고정출력2" xfId="2948"/>
    <cellStyle name="고정출력2 10" xfId="2949"/>
    <cellStyle name="고정출력2 11" xfId="2950"/>
    <cellStyle name="고정출력2 12" xfId="2951"/>
    <cellStyle name="고정출력2 13" xfId="2952"/>
    <cellStyle name="고정출력2 14" xfId="2953"/>
    <cellStyle name="고정출력2 15" xfId="2954"/>
    <cellStyle name="고정출력2 16" xfId="2955"/>
    <cellStyle name="고정출력2 17" xfId="2956"/>
    <cellStyle name="고정출력2 18" xfId="2957"/>
    <cellStyle name="고정출력2 2" xfId="2958"/>
    <cellStyle name="고정출력2 3" xfId="2959"/>
    <cellStyle name="고정출력2 4" xfId="2960"/>
    <cellStyle name="고정출력2 5" xfId="2961"/>
    <cellStyle name="고정출력2 6" xfId="2962"/>
    <cellStyle name="고정출력2 7" xfId="2963"/>
    <cellStyle name="고정출력2 8" xfId="2964"/>
    <cellStyle name="고정출력2 9" xfId="2965"/>
    <cellStyle name="고정출력2_BMB_UGA NEXT(audio_DPP2 Ver1.0)2008.xx.xx" xfId="2966"/>
    <cellStyle name="适中" xfId="2967"/>
    <cellStyle name="适中 10" xfId="2968"/>
    <cellStyle name="适中 11" xfId="2969"/>
    <cellStyle name="适中 12" xfId="2970"/>
    <cellStyle name="适中 13" xfId="2971"/>
    <cellStyle name="适中 14" xfId="2972"/>
    <cellStyle name="适中 15" xfId="2973"/>
    <cellStyle name="适中 16" xfId="2974"/>
    <cellStyle name="适中 17" xfId="2975"/>
    <cellStyle name="适中 18" xfId="2976"/>
    <cellStyle name="适中 2" xfId="2977"/>
    <cellStyle name="适中 3" xfId="2978"/>
    <cellStyle name="适中 4" xfId="2979"/>
    <cellStyle name="适中 5" xfId="2980"/>
    <cellStyle name="适中 6" xfId="2981"/>
    <cellStyle name="适中 7" xfId="2982"/>
    <cellStyle name="适中 8" xfId="2983"/>
    <cellStyle name="适中 9" xfId="2984"/>
    <cellStyle name="요약 5 6" xfId="2985"/>
    <cellStyle name="나쁨 2 2" xfId="2986"/>
    <cellStyle name="나쁨 3 2" xfId="2987"/>
    <cellStyle name="나쁨 4 2" xfId="2988"/>
    <cellStyle name="나쁨 6 2" xfId="2989"/>
    <cellStyle name="날짜" xfId="2990"/>
    <cellStyle name="날짜 10" xfId="2991"/>
    <cellStyle name="날짜 11" xfId="2992"/>
    <cellStyle name="날짜 12" xfId="2993"/>
    <cellStyle name="날짜 13" xfId="2994"/>
    <cellStyle name="날짜 14" xfId="2995"/>
    <cellStyle name="날짜 15" xfId="2996"/>
    <cellStyle name="날짜 16" xfId="2997"/>
    <cellStyle name="날짜 17" xfId="2998"/>
    <cellStyle name="날짜 18" xfId="2999"/>
    <cellStyle name="날짜 2" xfId="3000"/>
    <cellStyle name="날짜 3" xfId="3001"/>
    <cellStyle name="날짜 4" xfId="3002"/>
    <cellStyle name="날짜 5" xfId="3003"/>
    <cellStyle name="날짜 6" xfId="3004"/>
    <cellStyle name="날짜 7" xfId="3005"/>
    <cellStyle name="날짜 8" xfId="3006"/>
    <cellStyle name="날짜 9" xfId="3007"/>
    <cellStyle name="날짜_BMB_UGA NEXT(audio_DPP2 Ver1.0)2008.xx.xx" xfId="3008"/>
    <cellStyle name="달러" xfId="3009"/>
    <cellStyle name="달러 10" xfId="3010"/>
    <cellStyle name="달러 11" xfId="3011"/>
    <cellStyle name="달러 12" xfId="3012"/>
    <cellStyle name="달러 13" xfId="3013"/>
    <cellStyle name="달러 14" xfId="3014"/>
    <cellStyle name="달러 15" xfId="3015"/>
    <cellStyle name="달러 16" xfId="3016"/>
    <cellStyle name="달러 17" xfId="3017"/>
    <cellStyle name="달러 18" xfId="3018"/>
    <cellStyle name="달러 2" xfId="3019"/>
    <cellStyle name="달러 3" xfId="3020"/>
    <cellStyle name="달러 4" xfId="3021"/>
    <cellStyle name="달러 5" xfId="3022"/>
    <cellStyle name="달러 6" xfId="3023"/>
    <cellStyle name="달러 7" xfId="3024"/>
    <cellStyle name="달러 8" xfId="3025"/>
    <cellStyle name="달러 9" xfId="3026"/>
    <cellStyle name="달러_BMB_UGA NEXT(audio_DPP2 Ver1.0)2008.xx.xx" xfId="3027"/>
    <cellStyle name="뒤에 오는 하이퍼링크" xfId="3028"/>
    <cellStyle name="뒤에 오는 하이퍼링크 10" xfId="3029"/>
    <cellStyle name="뒤에 오는 하이퍼링크 11" xfId="3030"/>
    <cellStyle name="뒤에 오는 하이퍼링크 12" xfId="3031"/>
    <cellStyle name="뒤에 오는 하이퍼링크 13" xfId="3032"/>
    <cellStyle name="뒤에 오는 하이퍼링크 14" xfId="3033"/>
    <cellStyle name="뒤에 오는 하이퍼링크 15" xfId="3034"/>
    <cellStyle name="뒤에 오는 하이퍼링크 16" xfId="3035"/>
    <cellStyle name="뒤에 오는 하이퍼링크 17" xfId="3036"/>
    <cellStyle name="뒤에 오는 하이퍼링크 18" xfId="3037"/>
    <cellStyle name="뒤에 오는 하이퍼링크 2" xfId="3038"/>
    <cellStyle name="뒤에 오는 하이퍼링크 3" xfId="3039"/>
    <cellStyle name="뒤에 오는 하이퍼링크 4" xfId="3040"/>
    <cellStyle name="뒤에 오는 하이퍼링크 5" xfId="3041"/>
    <cellStyle name="뒤에 오는 하이퍼링크 6" xfId="3042"/>
    <cellStyle name="뒤에 오는 하이퍼링크 7" xfId="3043"/>
    <cellStyle name="뒤에 오는 하이퍼링크 8" xfId="3044"/>
    <cellStyle name="뒤에 오는 하이퍼링크 9" xfId="3045"/>
    <cellStyle name="뒤에 오는 하이퍼링크_BMB_UGA NEXT(audio_DPP2 Ver1.0)2008.xx.xx" xfId="3046"/>
    <cellStyle name="메모 10" xfId="3047"/>
    <cellStyle name="메모 2 6" xfId="3048"/>
    <cellStyle name="메모 2 2" xfId="3049"/>
    <cellStyle name="메모 2 3" xfId="3050"/>
    <cellStyle name="메모 3 3" xfId="3051"/>
    <cellStyle name="메모 4 3" xfId="3052"/>
    <cellStyle name="메모 5 3" xfId="3053"/>
    <cellStyle name="메모 6 2" xfId="3054"/>
    <cellStyle name="백분율 2" xfId="3055"/>
    <cellStyle name="백분율 4" xfId="3056"/>
    <cellStyle name="요약 2 8" xfId="3057"/>
    <cellStyle name="요약 11" xfId="3058"/>
    <cellStyle name="보통 2 2" xfId="3059"/>
    <cellStyle name="보통 3 2" xfId="3060"/>
    <cellStyle name="보통 4 2" xfId="3061"/>
    <cellStyle name="보통 6 2" xfId="3062"/>
    <cellStyle name="普通_ 新MODEL 日 程" xfId="3063"/>
    <cellStyle name="부제목" xfId="3064"/>
    <cellStyle name="부제목 10" xfId="3065"/>
    <cellStyle name="부제목 11" xfId="3066"/>
    <cellStyle name="부제목 12" xfId="3067"/>
    <cellStyle name="부제목 13" xfId="3068"/>
    <cellStyle name="부제목 14" xfId="3069"/>
    <cellStyle name="부제목 15" xfId="3070"/>
    <cellStyle name="부제목 16" xfId="3071"/>
    <cellStyle name="부제목 17" xfId="3072"/>
    <cellStyle name="부제목 18" xfId="3073"/>
    <cellStyle name="부제목 2" xfId="3074"/>
    <cellStyle name="부제목 3" xfId="3075"/>
    <cellStyle name="부제목 4" xfId="3076"/>
    <cellStyle name="부제목 5" xfId="3077"/>
    <cellStyle name="부제목 6" xfId="3078"/>
    <cellStyle name="부제목 7" xfId="3079"/>
    <cellStyle name="부제목 8" xfId="3080"/>
    <cellStyle name="부제목 9" xfId="3081"/>
    <cellStyle name="부제목_BMB_UGA NEXT(audio_DPP2 Ver1.0)2008.xx.xx" xfId="3082"/>
    <cellStyle name="뷭?_BOOKSHIP" xfId="3083"/>
    <cellStyle name="常规_1008" xfId="3084"/>
    <cellStyle name="새귑[0]_롤痰삠悧 " xfId="3085"/>
    <cellStyle name="새귑_롤痰삠悧 " xfId="3086"/>
    <cellStyle name="설명 텍스트 2 2" xfId="3087"/>
    <cellStyle name="설명 텍스트 3 2" xfId="3088"/>
    <cellStyle name="설명 텍스트 4 2" xfId="3089"/>
    <cellStyle name="설명 텍스트 6 2" xfId="3090"/>
    <cellStyle name="셀 확인 2 2" xfId="3091"/>
    <cellStyle name="셀 확인 3 2" xfId="3092"/>
    <cellStyle name="셀 확인 4 2" xfId="3093"/>
    <cellStyle name="셀 확인 6 2" xfId="3094"/>
    <cellStyle name="쉼표 [0] 16" xfId="3095"/>
    <cellStyle name="쉼표 [0] 2 23" xfId="3096"/>
    <cellStyle name="쉼표 [0] 2 10 3" xfId="3097"/>
    <cellStyle name="쉼표 [0] 2 10 2" xfId="3098"/>
    <cellStyle name="쉼표 [0] 2 11 3" xfId="3099"/>
    <cellStyle name="쉼표 [0] 2 11 2" xfId="3100"/>
    <cellStyle name="쉼표 [0] 2 12 3" xfId="3101"/>
    <cellStyle name="쉼표 [0] 2 12 2" xfId="3102"/>
    <cellStyle name="쉼표 [0] 2 13 3" xfId="3103"/>
    <cellStyle name="쉼표 [0] 2 13 2" xfId="3104"/>
    <cellStyle name="쉼표 [0] 2 14 3" xfId="3105"/>
    <cellStyle name="쉼표 [0] 2 14 2" xfId="3106"/>
    <cellStyle name="쉼표 [0] 2 15 3" xfId="3107"/>
    <cellStyle name="쉼표 [0] 2 15 2" xfId="3108"/>
    <cellStyle name="쉼표 [0] 2 16 3" xfId="3109"/>
    <cellStyle name="쉼표 [0] 2 16 2" xfId="3110"/>
    <cellStyle name="쉼표 [0] 2 17 3" xfId="3111"/>
    <cellStyle name="쉼표 [0] 2 17 2" xfId="3112"/>
    <cellStyle name="쉼표 [0] 2 18 3" xfId="3113"/>
    <cellStyle name="쉼표 [0] 2 18 2" xfId="3114"/>
    <cellStyle name="쉼표 [0] 2 2 3" xfId="3115"/>
    <cellStyle name="쉼표 [0] 2 2 2" xfId="3116"/>
    <cellStyle name="쉼표 [0] 2 3 3" xfId="3117"/>
    <cellStyle name="쉼표 [0] 2 3 2" xfId="3118"/>
    <cellStyle name="쉼표 [0] 2 4 3" xfId="3119"/>
    <cellStyle name="쉼표 [0] 2 4 2" xfId="3120"/>
    <cellStyle name="쉼표 [0] 2 5 3" xfId="3121"/>
    <cellStyle name="쉼표 [0] 2 5 2" xfId="3122"/>
    <cellStyle name="쉼표 [0] 2 6 3" xfId="3123"/>
    <cellStyle name="쉼표 [0] 2 6 2" xfId="3124"/>
    <cellStyle name="쉼표 [0] 2 7 3" xfId="3125"/>
    <cellStyle name="쉼표 [0] 2 7 2" xfId="3126"/>
    <cellStyle name="쉼표 [0] 2 8 3" xfId="3127"/>
    <cellStyle name="쉼표 [0] 2 8 2" xfId="3128"/>
    <cellStyle name="쉼표 [0] 2 9 3" xfId="3129"/>
    <cellStyle name="쉼표 [0] 2 9 2" xfId="3130"/>
    <cellStyle name="스타일 1" xfId="3131"/>
    <cellStyle name="스타일 1 10" xfId="3132"/>
    <cellStyle name="스타일 1 11" xfId="3133"/>
    <cellStyle name="스타일 1 12" xfId="3134"/>
    <cellStyle name="스타일 1 13" xfId="3135"/>
    <cellStyle name="스타일 1 14" xfId="3136"/>
    <cellStyle name="스타일 1 15" xfId="3137"/>
    <cellStyle name="스타일 1 16" xfId="3138"/>
    <cellStyle name="스타일 1 17" xfId="3139"/>
    <cellStyle name="스타일 1 18" xfId="3140"/>
    <cellStyle name="스타일 1 2" xfId="3141"/>
    <cellStyle name="스타일 1 3" xfId="3142"/>
    <cellStyle name="스타일 1 4" xfId="3143"/>
    <cellStyle name="스타일 1 5" xfId="3144"/>
    <cellStyle name="스타일 1 6" xfId="3145"/>
    <cellStyle name="스타일 1 7" xfId="3146"/>
    <cellStyle name="스타일 1 8" xfId="3147"/>
    <cellStyle name="스타일 1 9" xfId="3148"/>
    <cellStyle name="연결된 셀 2 2" xfId="3149"/>
    <cellStyle name="연결된 셀 3 2" xfId="3150"/>
    <cellStyle name="연결된 셀 4 2" xfId="3151"/>
    <cellStyle name="연결된 셀 6 2" xfId="3152"/>
    <cellStyle name="열어본 하이퍼링크" xfId="3153"/>
    <cellStyle name="霓付 [0]_  辆  钦  " xfId="3154"/>
    <cellStyle name="霓付_  辆  钦  " xfId="3155"/>
    <cellStyle name="요약 2 2" xfId="3156"/>
    <cellStyle name="요약 3 2" xfId="3157"/>
    <cellStyle name="요약 4 2" xfId="3158"/>
    <cellStyle name="요약 6 2" xfId="3159"/>
    <cellStyle name="一般_CYCLONE VENDOR FILE  EE " xfId="3160"/>
    <cellStyle name="입력 2 2" xfId="3161"/>
    <cellStyle name="입력 3 2" xfId="3162"/>
    <cellStyle name="입력 4 2" xfId="3163"/>
    <cellStyle name="입력 6 2" xfId="3164"/>
    <cellStyle name="자리수" xfId="3165"/>
    <cellStyle name="자리수 10" xfId="3166"/>
    <cellStyle name="자리수 11" xfId="3167"/>
    <cellStyle name="자리수 12" xfId="3168"/>
    <cellStyle name="자리수 13" xfId="3169"/>
    <cellStyle name="자리수 14" xfId="3170"/>
    <cellStyle name="자리수 15" xfId="3171"/>
    <cellStyle name="자리수 16" xfId="3172"/>
    <cellStyle name="자리수 17" xfId="3173"/>
    <cellStyle name="자리수 18" xfId="3174"/>
    <cellStyle name="자리수 2" xfId="3175"/>
    <cellStyle name="자리수 3" xfId="3176"/>
    <cellStyle name="자리수 4" xfId="3177"/>
    <cellStyle name="자리수 5" xfId="3178"/>
    <cellStyle name="자리수 6" xfId="3179"/>
    <cellStyle name="자리수 7" xfId="3180"/>
    <cellStyle name="자리수 8" xfId="3181"/>
    <cellStyle name="자리수 9" xfId="3182"/>
    <cellStyle name="자리수_BMB_UGA NEXT(audio_DPP2 Ver1.0)2008.xx.xx" xfId="3183"/>
    <cellStyle name="자리수0" xfId="3184"/>
    <cellStyle name="자리수0 10" xfId="3185"/>
    <cellStyle name="자리수0 11" xfId="3186"/>
    <cellStyle name="자리수0 12" xfId="3187"/>
    <cellStyle name="자리수0 13" xfId="3188"/>
    <cellStyle name="자리수0 14" xfId="3189"/>
    <cellStyle name="자리수0 15" xfId="3190"/>
    <cellStyle name="자리수0 16" xfId="3191"/>
    <cellStyle name="자리수0 17" xfId="3192"/>
    <cellStyle name="자리수0 18" xfId="3193"/>
    <cellStyle name="자리수0 2" xfId="3194"/>
    <cellStyle name="자리수0 3" xfId="3195"/>
    <cellStyle name="자리수0 4" xfId="3196"/>
    <cellStyle name="자리수0 5" xfId="3197"/>
    <cellStyle name="자리수0 6" xfId="3198"/>
    <cellStyle name="자리수0 7" xfId="3199"/>
    <cellStyle name="자리수0 8" xfId="3200"/>
    <cellStyle name="자리수0 9" xfId="3201"/>
    <cellStyle name="자리수0_BMB_UGA NEXT(audio_DPP2 Ver1.0)2008.xx.xx" xfId="3202"/>
    <cellStyle name="제목 1 1" xfId="3203"/>
    <cellStyle name="제목 1 2 2" xfId="3204"/>
    <cellStyle name="제목 1 3 2" xfId="3205"/>
    <cellStyle name="제목 1 4 2" xfId="3206"/>
    <cellStyle name="제목 1 6 2" xfId="3207"/>
    <cellStyle name="제목 2 2 2" xfId="3208"/>
    <cellStyle name="제목 2 3 2" xfId="3209"/>
    <cellStyle name="제목 2 4 2" xfId="3210"/>
    <cellStyle name="제목 2 6 2" xfId="3211"/>
    <cellStyle name="제목 3 2 2" xfId="3212"/>
    <cellStyle name="제목 3 3 2" xfId="3213"/>
    <cellStyle name="제목 3 4 2" xfId="3214"/>
    <cellStyle name="제목 3 6 2" xfId="3215"/>
    <cellStyle name="제목 4 2 2" xfId="3216"/>
    <cellStyle name="제목 4 3 2" xfId="3217"/>
    <cellStyle name="제목 4 4 2" xfId="3218"/>
    <cellStyle name="제목 4 6 2" xfId="3219"/>
    <cellStyle name="제목 6 2" xfId="3220"/>
    <cellStyle name="제목 8 2" xfId="3221"/>
    <cellStyle name="좋음 2 2" xfId="3222"/>
    <cellStyle name="좋음 3 2" xfId="3223"/>
    <cellStyle name="좋음 4 2" xfId="3224"/>
    <cellStyle name="좋음 6 2" xfId="3225"/>
    <cellStyle name="注释" xfId="3226"/>
    <cellStyle name="注释 10" xfId="3227"/>
    <cellStyle name="注释 10 2" xfId="3228"/>
    <cellStyle name="注释 11" xfId="3229"/>
    <cellStyle name="注释 11 2" xfId="3230"/>
    <cellStyle name="注释 12" xfId="3231"/>
    <cellStyle name="注释 12 2" xfId="3232"/>
    <cellStyle name="注释 13" xfId="3233"/>
    <cellStyle name="注释 13 2" xfId="3234"/>
    <cellStyle name="注释 14" xfId="3235"/>
    <cellStyle name="注释 14 2" xfId="3236"/>
    <cellStyle name="注释 15" xfId="3237"/>
    <cellStyle name="注释 15 2" xfId="3238"/>
    <cellStyle name="注释 16" xfId="3239"/>
    <cellStyle name="注释 16 2" xfId="3240"/>
    <cellStyle name="注释 17" xfId="3241"/>
    <cellStyle name="注释 17 2" xfId="3242"/>
    <cellStyle name="注释 18" xfId="3243"/>
    <cellStyle name="注释 18 2" xfId="3244"/>
    <cellStyle name="注释 2" xfId="3245"/>
    <cellStyle name="注释 2 2" xfId="3246"/>
    <cellStyle name="注释 3" xfId="3247"/>
    <cellStyle name="注释 3 2" xfId="3248"/>
    <cellStyle name="注释 4" xfId="3249"/>
    <cellStyle name="注释 4 2" xfId="3250"/>
    <cellStyle name="注释 5" xfId="3251"/>
    <cellStyle name="注释 5 2" xfId="3252"/>
    <cellStyle name="注释 6" xfId="3253"/>
    <cellStyle name="注释 6 2" xfId="3254"/>
    <cellStyle name="注释 7" xfId="3255"/>
    <cellStyle name="注释 7 2" xfId="3256"/>
    <cellStyle name="注释 8" xfId="3257"/>
    <cellStyle name="注释 8 2" xfId="3258"/>
    <cellStyle name="注释 9" xfId="3259"/>
    <cellStyle name="注释 9 2" xfId="3260"/>
    <cellStyle name="差" xfId="3261"/>
    <cellStyle name="差 10" xfId="3262"/>
    <cellStyle name="差 11" xfId="3263"/>
    <cellStyle name="差 12" xfId="3264"/>
    <cellStyle name="差 13" xfId="3265"/>
    <cellStyle name="差 14" xfId="3266"/>
    <cellStyle name="差 15" xfId="3267"/>
    <cellStyle name="差 16" xfId="3268"/>
    <cellStyle name="差 17" xfId="3269"/>
    <cellStyle name="差 18" xfId="3270"/>
    <cellStyle name="差 2" xfId="3271"/>
    <cellStyle name="差 3" xfId="3272"/>
    <cellStyle name="差 4" xfId="3273"/>
    <cellStyle name="差 5" xfId="3274"/>
    <cellStyle name="差 6" xfId="3275"/>
    <cellStyle name="差 7" xfId="3276"/>
    <cellStyle name="差 8" xfId="3277"/>
    <cellStyle name="差 9" xfId="3278"/>
    <cellStyle name="千分位[0]" xfId="3279"/>
    <cellStyle name="千分位_空白FAX" xfId="3280"/>
    <cellStyle name="千位[0]_12月加班现况 (3)" xfId="3281"/>
    <cellStyle name="千位_12月加班现况 (3)" xfId="3282"/>
    <cellStyle name="千位分隔[0]_20000420" xfId="3283"/>
    <cellStyle name="千位分隔_20000420" xfId="3284"/>
    <cellStyle name="출력 2 2" xfId="3285"/>
    <cellStyle name="출력 3 2" xfId="3286"/>
    <cellStyle name="출력 4 2" xfId="3287"/>
    <cellStyle name="출력 6 2" xfId="3288"/>
    <cellStyle name="통화 " xfId="3289"/>
    <cellStyle name="통화  10" xfId="3290"/>
    <cellStyle name="통화  10 2" xfId="3291"/>
    <cellStyle name="통화  11" xfId="3292"/>
    <cellStyle name="통화  11 2" xfId="3293"/>
    <cellStyle name="통화  12" xfId="3294"/>
    <cellStyle name="통화  12 2" xfId="3295"/>
    <cellStyle name="통화  13" xfId="3296"/>
    <cellStyle name="통화  13 2" xfId="3297"/>
    <cellStyle name="통화  14" xfId="3298"/>
    <cellStyle name="통화  14 2" xfId="3299"/>
    <cellStyle name="통화  15" xfId="3300"/>
    <cellStyle name="통화  15 2" xfId="3301"/>
    <cellStyle name="통화  16" xfId="3302"/>
    <cellStyle name="통화  16 2" xfId="3303"/>
    <cellStyle name="통화  17" xfId="3304"/>
    <cellStyle name="통화  17 2" xfId="3305"/>
    <cellStyle name="통화  18" xfId="3306"/>
    <cellStyle name="통화  18 2" xfId="3307"/>
    <cellStyle name="통화  2" xfId="3308"/>
    <cellStyle name="통화  2 2" xfId="3309"/>
    <cellStyle name="통화  3" xfId="3310"/>
    <cellStyle name="통화  3 2" xfId="3311"/>
    <cellStyle name="통화  4" xfId="3312"/>
    <cellStyle name="통화  4 2" xfId="3313"/>
    <cellStyle name="통화  5" xfId="3314"/>
    <cellStyle name="통화  5 2" xfId="3315"/>
    <cellStyle name="통화  6" xfId="3316"/>
    <cellStyle name="통화  6 2" xfId="3317"/>
    <cellStyle name="통화  7" xfId="3318"/>
    <cellStyle name="통화  7 2" xfId="3319"/>
    <cellStyle name="통화  8" xfId="3320"/>
    <cellStyle name="통화  8 2" xfId="3321"/>
    <cellStyle name="통화  9" xfId="3322"/>
    <cellStyle name="통화  9 2" xfId="3323"/>
    <cellStyle name="통화 [0] 2 22" xfId="3324"/>
    <cellStyle name="통화 [0] 2 10 3" xfId="3325"/>
    <cellStyle name="통화 [0] 2 10 2" xfId="3326"/>
    <cellStyle name="통화 [0] 2 11 3" xfId="3327"/>
    <cellStyle name="통화 [0] 2 11 2" xfId="3328"/>
    <cellStyle name="통화 [0] 2 12 3" xfId="3329"/>
    <cellStyle name="통화 [0] 2 12 2" xfId="3330"/>
    <cellStyle name="통화 [0] 2 13 3" xfId="3331"/>
    <cellStyle name="통화 [0] 2 13 2" xfId="3332"/>
    <cellStyle name="통화 [0] 2 14 3" xfId="3333"/>
    <cellStyle name="통화 [0] 2 14 2" xfId="3334"/>
    <cellStyle name="통화 [0] 2 15 3" xfId="3335"/>
    <cellStyle name="통화 [0] 2 15 2" xfId="3336"/>
    <cellStyle name="통화 [0] 2 16 3" xfId="3337"/>
    <cellStyle name="통화 [0] 2 16 2" xfId="3338"/>
    <cellStyle name="통화 [0] 2 17 3" xfId="3339"/>
    <cellStyle name="통화 [0] 2 17 2" xfId="3340"/>
    <cellStyle name="통화 [0] 2 18 3" xfId="3341"/>
    <cellStyle name="통화 [0] 2 18 2" xfId="3342"/>
    <cellStyle name="통화 [0] 2 2 3" xfId="3343"/>
    <cellStyle name="통화 [0] 2 2 2" xfId="3344"/>
    <cellStyle name="통화 [0] 2 3 3" xfId="3345"/>
    <cellStyle name="통화 [0] 2 3 2" xfId="3346"/>
    <cellStyle name="통화 [0] 2 4 3" xfId="3347"/>
    <cellStyle name="통화 [0] 2 4 2" xfId="3348"/>
    <cellStyle name="통화 [0] 2 5 3" xfId="3349"/>
    <cellStyle name="통화 [0] 2 5 2" xfId="3350"/>
    <cellStyle name="통화 [0] 2 6 3" xfId="3351"/>
    <cellStyle name="통화 [0] 2 6 2" xfId="3352"/>
    <cellStyle name="통화 [0] 2 7 3" xfId="3353"/>
    <cellStyle name="통화 [0] 2 7 2" xfId="3354"/>
    <cellStyle name="통화 [0] 2 8 3" xfId="3355"/>
    <cellStyle name="통화 [0] 2 8 2" xfId="3356"/>
    <cellStyle name="통화 [0] 2 9 3" xfId="3357"/>
    <cellStyle name="통화 [0] 2 9 2" xfId="3358"/>
    <cellStyle name="통화 [0] 2_BMB_UGA NEXT(audio_DPP2 Ver1.0)2008.xx.xx" xfId="3359"/>
    <cellStyle name="通貨_01-10LEGACY進捗(商企）" xfId="3360"/>
    <cellStyle name="팹繫_첼휑饋좆깊 (2)" xfId="3361"/>
    <cellStyle name="烹拳 [0]_  辆  钦  " xfId="3362"/>
    <cellStyle name="烹拳_  辆  钦  " xfId="3363"/>
    <cellStyle name="퍼센트" xfId="3364"/>
    <cellStyle name="퍼센트 10" xfId="3365"/>
    <cellStyle name="퍼센트 11" xfId="3366"/>
    <cellStyle name="퍼센트 12" xfId="3367"/>
    <cellStyle name="퍼센트 13" xfId="3368"/>
    <cellStyle name="퍼센트 14" xfId="3369"/>
    <cellStyle name="퍼센트 15" xfId="3370"/>
    <cellStyle name="퍼센트 16" xfId="3371"/>
    <cellStyle name="퍼센트 17" xfId="3372"/>
    <cellStyle name="퍼센트 18" xfId="3373"/>
    <cellStyle name="퍼센트 2" xfId="3374"/>
    <cellStyle name="퍼센트 3" xfId="3375"/>
    <cellStyle name="퍼센트 4" xfId="3376"/>
    <cellStyle name="퍼센트 5" xfId="3377"/>
    <cellStyle name="퍼센트 6" xfId="3378"/>
    <cellStyle name="퍼센트 7" xfId="3379"/>
    <cellStyle name="퍼센트 8" xfId="3380"/>
    <cellStyle name="퍼센트 9" xfId="3381"/>
    <cellStyle name="퍼센트_BMB_UGA NEXT(audio_DPP2 Ver1.0)2008.xx.xx" xfId="3382"/>
    <cellStyle name="표준 10 5" xfId="3383"/>
    <cellStyle name="표준 10 2 2" xfId="3384"/>
    <cellStyle name="표준 11 5" xfId="3385"/>
    <cellStyle name="표준 11 2 2" xfId="3386"/>
    <cellStyle name="표준 12 5" xfId="3387"/>
    <cellStyle name="표준 12 2 2" xfId="3388"/>
    <cellStyle name="표준 13 3" xfId="3389"/>
    <cellStyle name="표준 13 2" xfId="3390"/>
    <cellStyle name="표준 14 3" xfId="3391"/>
    <cellStyle name="표준 14 2 2" xfId="3392"/>
    <cellStyle name="표준 15 3" xfId="3393"/>
    <cellStyle name="표준 15 2" xfId="3394"/>
    <cellStyle name="표준 16 3" xfId="3395"/>
    <cellStyle name="표준 16 2 2" xfId="3396"/>
    <cellStyle name="표준 17 3" xfId="3397"/>
    <cellStyle name="표준 17 2" xfId="3398"/>
    <cellStyle name="표준 18 3" xfId="3399"/>
    <cellStyle name="표준 18 2" xfId="3400"/>
    <cellStyle name="표준 19" xfId="3401"/>
    <cellStyle name="표준 19 2" xfId="3402"/>
    <cellStyle name="표준 2 10 2" xfId="3403"/>
    <cellStyle name="표준 2 11 2" xfId="3404"/>
    <cellStyle name="표준 2 12 2" xfId="3405"/>
    <cellStyle name="표준 2 13 2" xfId="3406"/>
    <cellStyle name="표준 2 14 2" xfId="3407"/>
    <cellStyle name="표준 2 15 2" xfId="3408"/>
    <cellStyle name="표준 2 16 2" xfId="3409"/>
    <cellStyle name="표준 2 17 2" xfId="3410"/>
    <cellStyle name="표준 2 18 2" xfId="3411"/>
    <cellStyle name="표준 2 19 2" xfId="3412"/>
    <cellStyle name="표준 2 2 2" xfId="3413"/>
    <cellStyle name="표준 2 20 2" xfId="3414"/>
    <cellStyle name="표준 2 21 2" xfId="3415"/>
    <cellStyle name="표준 2 3 2" xfId="3416"/>
    <cellStyle name="표준 2 4 8" xfId="3417"/>
    <cellStyle name="표준 2 5 2" xfId="3418"/>
    <cellStyle name="표준 2 6 2" xfId="3419"/>
    <cellStyle name="표준 2 7 2" xfId="3420"/>
    <cellStyle name="표준 2 8 2" xfId="3421"/>
    <cellStyle name="표준 2 9 5" xfId="3422"/>
    <cellStyle name="표준 2_BMB_UGA NEXT(audio_DPP2 Ver1.0)2008.xx.xx" xfId="3423"/>
    <cellStyle name="표준 20" xfId="3424"/>
    <cellStyle name="표준 20 2" xfId="3425"/>
    <cellStyle name="표준 21" xfId="3426"/>
    <cellStyle name="표준 21 2" xfId="3427"/>
    <cellStyle name="표준 22" xfId="3428"/>
    <cellStyle name="표준 22 2" xfId="3429"/>
    <cellStyle name="표준 23" xfId="3430"/>
    <cellStyle name="표준 23 2" xfId="3431"/>
    <cellStyle name="표준 24" xfId="3432"/>
    <cellStyle name="표준 24 2" xfId="3433"/>
    <cellStyle name="표준 25" xfId="3434"/>
    <cellStyle name="표준 25 2" xfId="3435"/>
    <cellStyle name="표준 26" xfId="3436"/>
    <cellStyle name="표준 26 2" xfId="3437"/>
    <cellStyle name="표준 27" xfId="3438"/>
    <cellStyle name="표준 27 2" xfId="3439"/>
    <cellStyle name="표준 28" xfId="3440"/>
    <cellStyle name="표준 28 2" xfId="3441"/>
    <cellStyle name="표준 29" xfId="3442"/>
    <cellStyle name="표준 29 2" xfId="3443"/>
    <cellStyle name="표준 3 21" xfId="3444"/>
    <cellStyle name="표준 3 10 2" xfId="3445"/>
    <cellStyle name="표준 3 11 2" xfId="3446"/>
    <cellStyle name="표준 3 12" xfId="3447"/>
    <cellStyle name="표준 3 13" xfId="3448"/>
    <cellStyle name="표준 3 14" xfId="3449"/>
    <cellStyle name="표준 3 15" xfId="3450"/>
    <cellStyle name="표준 3 16" xfId="3451"/>
    <cellStyle name="표준 3 17" xfId="3452"/>
    <cellStyle name="표준 3 18" xfId="3453"/>
    <cellStyle name="표준 3 19" xfId="3454"/>
    <cellStyle name="표준 3 2 3" xfId="3455"/>
    <cellStyle name="표준 3 20" xfId="3456"/>
    <cellStyle name="표준 3 3 5" xfId="3457"/>
    <cellStyle name="표준 3 4 2" xfId="3458"/>
    <cellStyle name="표준 3 5 2" xfId="3459"/>
    <cellStyle name="표준 3 6 2" xfId="3460"/>
    <cellStyle name="표준 3 7 2" xfId="3461"/>
    <cellStyle name="표준 3 8 2" xfId="3462"/>
    <cellStyle name="표준 3 9 2" xfId="3463"/>
    <cellStyle name="표준 3_양식품번부여" xfId="3464"/>
    <cellStyle name="표준 30" xfId="3465"/>
    <cellStyle name="표준 30 2" xfId="3466"/>
    <cellStyle name="표준 31" xfId="3467"/>
    <cellStyle name="표준 31 2" xfId="3468"/>
    <cellStyle name="표준 32" xfId="3469"/>
    <cellStyle name="표준 32 2" xfId="3470"/>
    <cellStyle name="표준 33" xfId="3471"/>
    <cellStyle name="표준 33 2" xfId="3472"/>
    <cellStyle name="표준 34" xfId="3473"/>
    <cellStyle name="표준 34 2" xfId="3474"/>
    <cellStyle name="표준 35" xfId="3475"/>
    <cellStyle name="표준 35 2" xfId="3476"/>
    <cellStyle name="표준 36" xfId="3477"/>
    <cellStyle name="표준 36 2" xfId="3478"/>
    <cellStyle name="표준 37" xfId="3479"/>
    <cellStyle name="표준 37 2" xfId="3480"/>
    <cellStyle name="표준 38" xfId="3481"/>
    <cellStyle name="표준 39" xfId="3482"/>
    <cellStyle name="표준 4 20" xfId="3483"/>
    <cellStyle name="표준 4 10" xfId="3484"/>
    <cellStyle name="표준 4 11" xfId="3485"/>
    <cellStyle name="표준 4 12" xfId="3486"/>
    <cellStyle name="표준 4 13" xfId="3487"/>
    <cellStyle name="표준 4 14" xfId="3488"/>
    <cellStyle name="표준 4 15" xfId="3489"/>
    <cellStyle name="표준 4 16" xfId="3490"/>
    <cellStyle name="표준 4 17" xfId="3491"/>
    <cellStyle name="표준 4 18" xfId="3492"/>
    <cellStyle name="표준 4 19" xfId="3493"/>
    <cellStyle name="표준 4 2 2" xfId="3494"/>
    <cellStyle name="표준 4 3" xfId="3495"/>
    <cellStyle name="표준 4 4" xfId="3496"/>
    <cellStyle name="표준 4 5" xfId="3497"/>
    <cellStyle name="표준 4 6" xfId="3498"/>
    <cellStyle name="표준 4 7" xfId="3499"/>
    <cellStyle name="표준 4 8" xfId="3500"/>
    <cellStyle name="표준 4 9" xfId="3501"/>
    <cellStyle name="표준 4_BMB_UGA NEXT(audio_DPP2 Ver1.0)2008.xx.xx" xfId="3502"/>
    <cellStyle name="표준 40" xfId="3503"/>
    <cellStyle name="표준 40 2" xfId="3504"/>
    <cellStyle name="표준 41" xfId="3505"/>
    <cellStyle name="표준 42" xfId="3506"/>
    <cellStyle name="표준 43" xfId="3507"/>
    <cellStyle name="표준 44" xfId="3508"/>
    <cellStyle name="표준 45" xfId="3509"/>
    <cellStyle name="표준 46" xfId="3510"/>
    <cellStyle name="표준 47" xfId="3511"/>
    <cellStyle name="표준 48" xfId="3512"/>
    <cellStyle name="표준 49" xfId="3513"/>
    <cellStyle name="표준 5 4" xfId="3514"/>
    <cellStyle name="표준 5 2" xfId="3515"/>
    <cellStyle name="표준 5 3" xfId="3516"/>
    <cellStyle name="표준 50" xfId="3517"/>
    <cellStyle name="표준 51" xfId="3518"/>
    <cellStyle name="표준 52" xfId="3519"/>
    <cellStyle name="표준 53" xfId="3520"/>
    <cellStyle name="표준 54" xfId="3521"/>
    <cellStyle name="표준 6 5" xfId="3522"/>
    <cellStyle name="표준 6 2 2" xfId="3523"/>
    <cellStyle name="표준 7 5" xfId="3524"/>
    <cellStyle name="표준 7 2 2" xfId="3525"/>
    <cellStyle name="표준 8 5" xfId="3526"/>
    <cellStyle name="표준 8 2 2" xfId="3527"/>
    <cellStyle name="표준 9 5" xfId="3528"/>
    <cellStyle name="표준 9 2 2" xfId="3529"/>
    <cellStyle name="標準_01-10LEGACY進捗(商企）" xfId="3530"/>
    <cellStyle name="푤貫[0]_laroux" xfId="3531"/>
    <cellStyle name="푤貫_laroux" xfId="3532"/>
    <cellStyle name="하이퍼링크 2 28" xfId="3533"/>
    <cellStyle name="합산" xfId="3534"/>
    <cellStyle name="합산 10" xfId="3535"/>
    <cellStyle name="합산 11" xfId="3536"/>
    <cellStyle name="합산 12" xfId="3537"/>
    <cellStyle name="합산 13" xfId="3538"/>
    <cellStyle name="합산 14" xfId="3539"/>
    <cellStyle name="합산 15" xfId="3540"/>
    <cellStyle name="합산 16" xfId="3541"/>
    <cellStyle name="합산 17" xfId="3542"/>
    <cellStyle name="합산 18" xfId="3543"/>
    <cellStyle name="합산 2" xfId="3544"/>
    <cellStyle name="합산 3" xfId="3545"/>
    <cellStyle name="합산 4" xfId="3546"/>
    <cellStyle name="합산 5" xfId="3547"/>
    <cellStyle name="합산 6" xfId="3548"/>
    <cellStyle name="합산 7" xfId="3549"/>
    <cellStyle name="합산 8" xfId="3550"/>
    <cellStyle name="합산 9" xfId="3551"/>
    <cellStyle name="합산_BMB_UGA NEXT(audio_DPP2 Ver1.0)2008.xx.xx" xfId="3552"/>
    <cellStyle name="桁蟻唇Ｆ [0.00]_1997 Cal. Plan" xfId="3553"/>
    <cellStyle name="桁蟻唇Ｆ_laroux" xfId="3554"/>
    <cellStyle name="桁区切り_01-10LEGACY進捗(商企）" xfId="3555"/>
    <cellStyle name="解释性文本" xfId="3556"/>
    <cellStyle name="解释性文本 10" xfId="3557"/>
    <cellStyle name="解释性文本 11" xfId="3558"/>
    <cellStyle name="解释性文本 12" xfId="3559"/>
    <cellStyle name="解释性文本 13" xfId="3560"/>
    <cellStyle name="解释性文本 14" xfId="3561"/>
    <cellStyle name="解释性文本 15" xfId="3562"/>
    <cellStyle name="解释性文本 16" xfId="3563"/>
    <cellStyle name="解释性文本 17" xfId="3564"/>
    <cellStyle name="解释性文本 18" xfId="3565"/>
    <cellStyle name="解释性文本 2" xfId="3566"/>
    <cellStyle name="解释性文本 3" xfId="3567"/>
    <cellStyle name="解释性文本 4" xfId="3568"/>
    <cellStyle name="解释性文本 5" xfId="3569"/>
    <cellStyle name="解释性文本 6" xfId="3570"/>
    <cellStyle name="解释性文本 7" xfId="3571"/>
    <cellStyle name="解释性文本 8" xfId="3572"/>
    <cellStyle name="解释性文本 9" xfId="3573"/>
    <cellStyle name="好" xfId="3574"/>
    <cellStyle name="好 10" xfId="3575"/>
    <cellStyle name="好 11" xfId="3576"/>
    <cellStyle name="好 12" xfId="3577"/>
    <cellStyle name="好 13" xfId="3578"/>
    <cellStyle name="好 14" xfId="3579"/>
    <cellStyle name="好 15" xfId="3580"/>
    <cellStyle name="好 16" xfId="3581"/>
    <cellStyle name="好 17" xfId="3582"/>
    <cellStyle name="好 18" xfId="3583"/>
    <cellStyle name="好 2" xfId="3584"/>
    <cellStyle name="好 3" xfId="3585"/>
    <cellStyle name="好 4" xfId="3586"/>
    <cellStyle name="好 5" xfId="3587"/>
    <cellStyle name="好 6" xfId="3588"/>
    <cellStyle name="好 7" xfId="3589"/>
    <cellStyle name="好 8" xfId="3590"/>
    <cellStyle name="好 9" xfId="3591"/>
    <cellStyle name="貨幣 [0]_laroux" xfId="3592"/>
    <cellStyle name="貨幣[0]_laroux" xfId="3593"/>
    <cellStyle name="貨幣_laroux" xfId="3594"/>
    <cellStyle name="화폐기호" xfId="3595"/>
    <cellStyle name="화폐기호 10" xfId="3596"/>
    <cellStyle name="화폐기호 11" xfId="3597"/>
    <cellStyle name="화폐기호 12" xfId="3598"/>
    <cellStyle name="화폐기호 13" xfId="3599"/>
    <cellStyle name="화폐기호 14" xfId="3600"/>
    <cellStyle name="화폐기호 15" xfId="3601"/>
    <cellStyle name="화폐기호 16" xfId="3602"/>
    <cellStyle name="화폐기호 17" xfId="3603"/>
    <cellStyle name="화폐기호 18" xfId="3604"/>
    <cellStyle name="화폐기호 2" xfId="3605"/>
    <cellStyle name="화폐기호 3" xfId="3606"/>
    <cellStyle name="화폐기호 4" xfId="3607"/>
    <cellStyle name="화폐기호 5" xfId="3608"/>
    <cellStyle name="화폐기호 6" xfId="3609"/>
    <cellStyle name="화폐기호 7" xfId="3610"/>
    <cellStyle name="화폐기호 8" xfId="3611"/>
    <cellStyle name="화폐기호 9" xfId="3612"/>
    <cellStyle name="화폐기호_BMB_UGA NEXT(audio_DPP2 Ver1.0)2008.xx.xx" xfId="3613"/>
    <cellStyle name="화폐기호0" xfId="3614"/>
    <cellStyle name="화폐기호0 10" xfId="3615"/>
    <cellStyle name="화폐기호0 11" xfId="3616"/>
    <cellStyle name="화폐기호0 12" xfId="3617"/>
    <cellStyle name="화폐기호0 13" xfId="3618"/>
    <cellStyle name="화폐기호0 14" xfId="3619"/>
    <cellStyle name="화폐기호0 15" xfId="3620"/>
    <cellStyle name="화폐기호0 16" xfId="3621"/>
    <cellStyle name="화폐기호0 17" xfId="3622"/>
    <cellStyle name="화폐기호0 18" xfId="3623"/>
    <cellStyle name="화폐기호0 2" xfId="3624"/>
    <cellStyle name="화폐기호0 3" xfId="3625"/>
    <cellStyle name="화폐기호0 4" xfId="3626"/>
    <cellStyle name="화폐기호0 5" xfId="3627"/>
    <cellStyle name="화폐기호0 6" xfId="3628"/>
    <cellStyle name="화폐기호0 7" xfId="3629"/>
    <cellStyle name="화폐기호0 8" xfId="3630"/>
    <cellStyle name="화폐기호0 9" xfId="3631"/>
    <cellStyle name="화폐기호0_BMB_UGA NEXT(audio_DPP2 Ver1.0)2008.xx.xx" xfId="3632"/>
    <cellStyle name="标题" xfId="3633"/>
    <cellStyle name="标题 1" xfId="3634"/>
    <cellStyle name="标题 1 10" xfId="3635"/>
    <cellStyle name="标题 1 11" xfId="3636"/>
    <cellStyle name="标题 1 12" xfId="3637"/>
    <cellStyle name="标题 1 13" xfId="3638"/>
    <cellStyle name="标题 1 14" xfId="3639"/>
    <cellStyle name="标题 1 15" xfId="3640"/>
    <cellStyle name="标题 1 16" xfId="3641"/>
    <cellStyle name="标题 1 17" xfId="3642"/>
    <cellStyle name="标题 1 18" xfId="3643"/>
    <cellStyle name="标题 1 2" xfId="3644"/>
    <cellStyle name="标题 1 3" xfId="3645"/>
    <cellStyle name="标题 1 4" xfId="3646"/>
    <cellStyle name="标题 1 5" xfId="3647"/>
    <cellStyle name="标题 1 6" xfId="3648"/>
    <cellStyle name="标题 1 7" xfId="3649"/>
    <cellStyle name="标题 1 8" xfId="3650"/>
    <cellStyle name="标题 1 9" xfId="3651"/>
    <cellStyle name="标题 10" xfId="3652"/>
    <cellStyle name="标题 11" xfId="3653"/>
    <cellStyle name="标题 12" xfId="3654"/>
    <cellStyle name="标题 13" xfId="3655"/>
    <cellStyle name="标题 14" xfId="3656"/>
    <cellStyle name="标题 15" xfId="3657"/>
    <cellStyle name="标题 16" xfId="3658"/>
    <cellStyle name="标题 17" xfId="3659"/>
    <cellStyle name="标题 18" xfId="3660"/>
    <cellStyle name="标题 19" xfId="3661"/>
    <cellStyle name="标题 2" xfId="3662"/>
    <cellStyle name="标题 2 10" xfId="3663"/>
    <cellStyle name="标题 2 11" xfId="3664"/>
    <cellStyle name="标题 2 12" xfId="3665"/>
    <cellStyle name="标题 2 13" xfId="3666"/>
    <cellStyle name="标题 2 14" xfId="3667"/>
    <cellStyle name="标题 2 15" xfId="3668"/>
    <cellStyle name="标题 2 16" xfId="3669"/>
    <cellStyle name="标题 2 17" xfId="3670"/>
    <cellStyle name="标题 2 18" xfId="3671"/>
    <cellStyle name="标题 2 2" xfId="3672"/>
    <cellStyle name="标题 2 3" xfId="3673"/>
    <cellStyle name="标题 2 4" xfId="3674"/>
    <cellStyle name="标题 2 5" xfId="3675"/>
    <cellStyle name="标题 2 6" xfId="3676"/>
    <cellStyle name="标题 2 7" xfId="3677"/>
    <cellStyle name="标题 2 8" xfId="3678"/>
    <cellStyle name="标题 2 9" xfId="3679"/>
    <cellStyle name="标题 20" xfId="3680"/>
    <cellStyle name="标题 21" xfId="3681"/>
    <cellStyle name="标题 3" xfId="3682"/>
    <cellStyle name="标题 3 10" xfId="3683"/>
    <cellStyle name="标题 3 11" xfId="3684"/>
    <cellStyle name="标题 3 12" xfId="3685"/>
    <cellStyle name="标题 3 13" xfId="3686"/>
    <cellStyle name="标题 3 14" xfId="3687"/>
    <cellStyle name="标题 3 15" xfId="3688"/>
    <cellStyle name="标题 3 16" xfId="3689"/>
    <cellStyle name="标题 3 17" xfId="3690"/>
    <cellStyle name="标题 3 18" xfId="3691"/>
    <cellStyle name="标题 3 2" xfId="3692"/>
    <cellStyle name="标题 3 3" xfId="3693"/>
    <cellStyle name="标题 3 4" xfId="3694"/>
    <cellStyle name="标题 3 5" xfId="3695"/>
    <cellStyle name="标题 3 6" xfId="3696"/>
    <cellStyle name="标题 3 7" xfId="3697"/>
    <cellStyle name="标题 3 8" xfId="3698"/>
    <cellStyle name="标题 3 9" xfId="3699"/>
    <cellStyle name="标题 4" xfId="3700"/>
    <cellStyle name="标题 4 10" xfId="3701"/>
    <cellStyle name="标题 4 11" xfId="3702"/>
    <cellStyle name="标题 4 12" xfId="3703"/>
    <cellStyle name="标题 4 13" xfId="3704"/>
    <cellStyle name="标题 4 14" xfId="3705"/>
    <cellStyle name="标题 4 15" xfId="3706"/>
    <cellStyle name="标题 4 16" xfId="3707"/>
    <cellStyle name="标题 4 17" xfId="3708"/>
    <cellStyle name="标题 4 18" xfId="3709"/>
    <cellStyle name="标题 4 2" xfId="3710"/>
    <cellStyle name="标题 4 3" xfId="3711"/>
    <cellStyle name="标题 4 4" xfId="3712"/>
    <cellStyle name="标题 4 5" xfId="3713"/>
    <cellStyle name="标题 4 6" xfId="3714"/>
    <cellStyle name="标题 4 7" xfId="3715"/>
    <cellStyle name="标题 4 8" xfId="3716"/>
    <cellStyle name="标题 4 9" xfId="3717"/>
    <cellStyle name="标题 5" xfId="3718"/>
    <cellStyle name="标题 6" xfId="3719"/>
    <cellStyle name="标题 7" xfId="3720"/>
    <cellStyle name="标题 8" xfId="3721"/>
    <cellStyle name="标题 9" xfId="3722"/>
    <cellStyle name="检查单元格" xfId="3723"/>
    <cellStyle name="检查单元格 10" xfId="3724"/>
    <cellStyle name="检查单元格 11" xfId="3725"/>
    <cellStyle name="检查单元格 12" xfId="3726"/>
    <cellStyle name="检查单元格 13" xfId="3727"/>
    <cellStyle name="检查单元格 14" xfId="3728"/>
    <cellStyle name="检查单元格 15" xfId="3729"/>
    <cellStyle name="检查单元格 16" xfId="3730"/>
    <cellStyle name="检查单元格 17" xfId="3731"/>
    <cellStyle name="检查单元格 18" xfId="3732"/>
    <cellStyle name="检查单元格 2" xfId="3733"/>
    <cellStyle name="检查单元格 3" xfId="3734"/>
    <cellStyle name="检查单元格 4" xfId="3735"/>
    <cellStyle name="检查单元格 5" xfId="3736"/>
    <cellStyle name="检查单元格 6" xfId="3737"/>
    <cellStyle name="检查单元格 7" xfId="3738"/>
    <cellStyle name="检查单元格 8" xfId="3739"/>
    <cellStyle name="检查单元格 9" xfId="3740"/>
    <cellStyle name="汇总" xfId="3741"/>
    <cellStyle name="汇总 10" xfId="3742"/>
    <cellStyle name="汇总 11" xfId="3743"/>
    <cellStyle name="汇总 12" xfId="3744"/>
    <cellStyle name="汇总 13" xfId="3745"/>
    <cellStyle name="汇总 14" xfId="3746"/>
    <cellStyle name="汇总 15" xfId="3747"/>
    <cellStyle name="汇总 16" xfId="3748"/>
    <cellStyle name="汇总 17" xfId="3749"/>
    <cellStyle name="汇总 18" xfId="3750"/>
    <cellStyle name="汇总 2" xfId="3751"/>
    <cellStyle name="汇总 3" xfId="3752"/>
    <cellStyle name="汇总 4" xfId="3753"/>
    <cellStyle name="汇总 5" xfId="3754"/>
    <cellStyle name="汇总 6" xfId="3755"/>
    <cellStyle name="汇总 7" xfId="3756"/>
    <cellStyle name="汇总 8" xfId="3757"/>
    <cellStyle name="汇总 9" xfId="3758"/>
    <cellStyle name="脱浦 [0.00]_laroux" xfId="3759"/>
    <cellStyle name="脱浦_laroux" xfId="3760"/>
    <cellStyle name="计算" xfId="3761"/>
    <cellStyle name="计算 10" xfId="3762"/>
    <cellStyle name="计算 11" xfId="3763"/>
    <cellStyle name="计算 12" xfId="3764"/>
    <cellStyle name="计算 13" xfId="3765"/>
    <cellStyle name="计算 14" xfId="3766"/>
    <cellStyle name="计算 15" xfId="3767"/>
    <cellStyle name="计算 16" xfId="3768"/>
    <cellStyle name="计算 17" xfId="3769"/>
    <cellStyle name="计算 18" xfId="3770"/>
    <cellStyle name="计算 2" xfId="3771"/>
    <cellStyle name="计算 3" xfId="3772"/>
    <cellStyle name="计算 4" xfId="3773"/>
    <cellStyle name="计算 5" xfId="3774"/>
    <cellStyle name="计算 6" xfId="3775"/>
    <cellStyle name="计算 7" xfId="3776"/>
    <cellStyle name="计算 8" xfId="3777"/>
    <cellStyle name="计算 9" xfId="3778"/>
    <cellStyle name="货币[0]_1.开发目标" xfId="3779"/>
    <cellStyle name="货币_1.开发目标" xfId="3780"/>
    <cellStyle name="输入" xfId="3781"/>
    <cellStyle name="输入 10" xfId="3782"/>
    <cellStyle name="输入 11" xfId="3783"/>
    <cellStyle name="输入 12" xfId="3784"/>
    <cellStyle name="输入 13" xfId="3785"/>
    <cellStyle name="输入 14" xfId="3786"/>
    <cellStyle name="输入 15" xfId="3787"/>
    <cellStyle name="输入 16" xfId="3788"/>
    <cellStyle name="输入 17" xfId="3789"/>
    <cellStyle name="输入 18" xfId="3790"/>
    <cellStyle name="输入 2" xfId="3791"/>
    <cellStyle name="输入 3" xfId="3792"/>
    <cellStyle name="输入 4" xfId="3793"/>
    <cellStyle name="输入 5" xfId="3794"/>
    <cellStyle name="输入 6" xfId="3795"/>
    <cellStyle name="输入 7" xfId="3796"/>
    <cellStyle name="输入 8" xfId="3797"/>
    <cellStyle name="输入 9" xfId="3798"/>
    <cellStyle name="输出" xfId="3799"/>
    <cellStyle name="输出 10" xfId="3800"/>
    <cellStyle name="输出 11" xfId="3801"/>
    <cellStyle name="输出 12" xfId="3802"/>
    <cellStyle name="输出 13" xfId="3803"/>
    <cellStyle name="输出 14" xfId="3804"/>
    <cellStyle name="输出 15" xfId="3805"/>
    <cellStyle name="输出 16" xfId="3806"/>
    <cellStyle name="输出 17" xfId="3807"/>
    <cellStyle name="输出 18" xfId="3808"/>
    <cellStyle name="输出 2" xfId="3809"/>
    <cellStyle name="输出 3" xfId="3810"/>
    <cellStyle name="输出 4" xfId="3811"/>
    <cellStyle name="输出 5" xfId="3812"/>
    <cellStyle name="输出 6" xfId="3813"/>
    <cellStyle name="输出 7" xfId="3814"/>
    <cellStyle name="输出 8" xfId="3815"/>
    <cellStyle name="输出 9" xfId="3816"/>
    <cellStyle name="钎霖_  辆  钦  " xfId="3817"/>
    <cellStyle name="链接单元格" xfId="3818"/>
    <cellStyle name="链接单元格 10" xfId="3819"/>
    <cellStyle name="链接单元格 11" xfId="3820"/>
    <cellStyle name="链接单元格 12" xfId="3821"/>
    <cellStyle name="链接单元格 13" xfId="3822"/>
    <cellStyle name="链接单元格 14" xfId="3823"/>
    <cellStyle name="链接单元格 15" xfId="3824"/>
    <cellStyle name="链接单元格 16" xfId="3825"/>
    <cellStyle name="链接单元格 17" xfId="3826"/>
    <cellStyle name="链接单元格 18" xfId="3827"/>
    <cellStyle name="链接单元格 2" xfId="3828"/>
    <cellStyle name="链接单元格 3" xfId="3829"/>
    <cellStyle name="链接单元格 4" xfId="3830"/>
    <cellStyle name="链接单元格 5" xfId="3831"/>
    <cellStyle name="链接单元格 6" xfId="3832"/>
    <cellStyle name="链接单元格 7" xfId="3833"/>
    <cellStyle name="链接单元格 8" xfId="3834"/>
    <cellStyle name="链接单元格 9" xfId="3835"/>
    <cellStyle name="AeE­ [0]_  A¾  CO  " xfId="3836"/>
    <cellStyle name="AeE­_  A¾  CO  " xfId="3837"/>
    <cellStyle name="args.style" xfId="3838"/>
    <cellStyle name="args.style 10" xfId="3839"/>
    <cellStyle name="args.style 11" xfId="3840"/>
    <cellStyle name="args.style 12" xfId="3841"/>
    <cellStyle name="args.style 13" xfId="3842"/>
    <cellStyle name="args.style 14" xfId="3843"/>
    <cellStyle name="args.style 15" xfId="3844"/>
    <cellStyle name="args.style 16" xfId="3845"/>
    <cellStyle name="args.style 17" xfId="3846"/>
    <cellStyle name="args.style 18" xfId="3847"/>
    <cellStyle name="args.style 2" xfId="3848"/>
    <cellStyle name="args.style 3" xfId="3849"/>
    <cellStyle name="args.style 4" xfId="3850"/>
    <cellStyle name="args.style 5" xfId="3851"/>
    <cellStyle name="args.style 6" xfId="3852"/>
    <cellStyle name="args.style 7" xfId="3853"/>
    <cellStyle name="args.style 8" xfId="3854"/>
    <cellStyle name="args.style 9" xfId="3855"/>
    <cellStyle name="args.style_BMB_UGA NEXT(audio_DPP2 Ver1.0)2008.xx.xx" xfId="3856"/>
    <cellStyle name="AÞ¸¶ [0]_  A¾  CO  " xfId="3857"/>
    <cellStyle name="AÞ¸¶_  A¾  CO  " xfId="3858"/>
    <cellStyle name="C￥AØ_  A¾  CO  " xfId="3859"/>
    <cellStyle name="category" xfId="3860"/>
    <cellStyle name="category 10" xfId="3861"/>
    <cellStyle name="category 11" xfId="3862"/>
    <cellStyle name="category 12" xfId="3863"/>
    <cellStyle name="category 13" xfId="3864"/>
    <cellStyle name="category 14" xfId="3865"/>
    <cellStyle name="category 15" xfId="3866"/>
    <cellStyle name="category 16" xfId="3867"/>
    <cellStyle name="category 17" xfId="3868"/>
    <cellStyle name="category 18" xfId="3869"/>
    <cellStyle name="category 2" xfId="3870"/>
    <cellStyle name="category 3" xfId="3871"/>
    <cellStyle name="category 4" xfId="3872"/>
    <cellStyle name="category 5" xfId="3873"/>
    <cellStyle name="category 6" xfId="3874"/>
    <cellStyle name="category 7" xfId="3875"/>
    <cellStyle name="category 8" xfId="3876"/>
    <cellStyle name="category 9" xfId="3877"/>
    <cellStyle name="category_BMB_UGA NEXT(audio_DPP2 Ver1.0)2008.xx.xx" xfId="3878"/>
    <cellStyle name="Comma" xfId="3879"/>
    <cellStyle name="Comma 10" xfId="3880"/>
    <cellStyle name="Comma 11" xfId="3881"/>
    <cellStyle name="Comma 12" xfId="3882"/>
    <cellStyle name="Comma 13" xfId="3883"/>
    <cellStyle name="Comma 14" xfId="3884"/>
    <cellStyle name="Comma 15" xfId="3885"/>
    <cellStyle name="Comma 16" xfId="3886"/>
    <cellStyle name="Comma 17" xfId="3887"/>
    <cellStyle name="Comma 18" xfId="3888"/>
    <cellStyle name="Comma 2" xfId="3889"/>
    <cellStyle name="Comma 3" xfId="3890"/>
    <cellStyle name="Comma 4" xfId="3891"/>
    <cellStyle name="Comma 5" xfId="3892"/>
    <cellStyle name="Comma 6" xfId="3893"/>
    <cellStyle name="Comma 7" xfId="3894"/>
    <cellStyle name="Comma 8" xfId="3895"/>
    <cellStyle name="Comma 9" xfId="3896"/>
    <cellStyle name="E" xfId="3897"/>
    <cellStyle name="E 10" xfId="3898"/>
    <cellStyle name="E 11" xfId="3899"/>
    <cellStyle name="E 12" xfId="3900"/>
    <cellStyle name="E 13" xfId="3901"/>
    <cellStyle name="E 14" xfId="3902"/>
    <cellStyle name="E 15" xfId="3903"/>
    <cellStyle name="E 16" xfId="3904"/>
    <cellStyle name="E 17" xfId="3905"/>
    <cellStyle name="E 18" xfId="3906"/>
    <cellStyle name="E 19" xfId="3907"/>
    <cellStyle name="E 2" xfId="3908"/>
    <cellStyle name="E 2 10" xfId="3909"/>
    <cellStyle name="E 2 11" xfId="3910"/>
    <cellStyle name="E 2 12" xfId="3911"/>
    <cellStyle name="E 2 13" xfId="3912"/>
    <cellStyle name="E 2 14" xfId="3913"/>
    <cellStyle name="E 2 15" xfId="3914"/>
    <cellStyle name="E 2 16" xfId="3915"/>
    <cellStyle name="E 2 17" xfId="3916"/>
    <cellStyle name="E 2 18" xfId="3917"/>
    <cellStyle name="E 2 2" xfId="3918"/>
    <cellStyle name="E 2 3" xfId="3919"/>
    <cellStyle name="E 2 4" xfId="3920"/>
    <cellStyle name="E 2 5" xfId="3921"/>
    <cellStyle name="E 2 6" xfId="3922"/>
    <cellStyle name="E 2 7" xfId="3923"/>
    <cellStyle name="E 2 8" xfId="3924"/>
    <cellStyle name="E 2 9" xfId="3925"/>
    <cellStyle name="E 2_BMB_UGA NEXT(audio_DPP2 Ver1.0)2008.xx.xx" xfId="3926"/>
    <cellStyle name="E 3" xfId="3927"/>
    <cellStyle name="E 4" xfId="3928"/>
    <cellStyle name="E 5" xfId="3929"/>
    <cellStyle name="E 6" xfId="3930"/>
    <cellStyle name="E 7" xfId="3931"/>
    <cellStyle name="E 8" xfId="3932"/>
    <cellStyle name="E 9" xfId="3933"/>
    <cellStyle name="E_10. HDD &amp; 內外裝品" xfId="3934"/>
    <cellStyle name="E_10. HDD &amp; 內外裝品 10" xfId="3935"/>
    <cellStyle name="E_10. HDD &amp; 內外裝品 11" xfId="3936"/>
    <cellStyle name="E_10. HDD &amp; 內外裝品 12" xfId="3937"/>
    <cellStyle name="E_10. HDD &amp; 內外裝品 13" xfId="3938"/>
    <cellStyle name="E_10. HDD &amp; 內外裝品 14" xfId="3939"/>
    <cellStyle name="E_10. HDD &amp; 內外裝品 15" xfId="3940"/>
    <cellStyle name="E_10. HDD &amp; 內外裝品 16" xfId="3941"/>
    <cellStyle name="E_10. HDD &amp; 內外裝品 17" xfId="3942"/>
    <cellStyle name="E_10. HDD &amp; 內外裝品 18" xfId="3943"/>
    <cellStyle name="E_10. HDD &amp; 內外裝品 2" xfId="3944"/>
    <cellStyle name="E_10. HDD &amp; 內外裝品 3" xfId="3945"/>
    <cellStyle name="E_10. HDD &amp; 內外裝品 4" xfId="3946"/>
    <cellStyle name="E_10. HDD &amp; 內外裝品 5" xfId="3947"/>
    <cellStyle name="E_10. HDD &amp; 內外裝品 6" xfId="3948"/>
    <cellStyle name="E_10. HDD &amp; 內外裝品 7" xfId="3949"/>
    <cellStyle name="E_10. HDD &amp; 內外裝品 8" xfId="3950"/>
    <cellStyle name="E_10. HDD &amp; 內外裝品 9" xfId="3951"/>
    <cellStyle name="E_10. HDD &amp; 內外裝品_BMB_UGA NEXT(audio_DPP2 Ver1.0)2008.xx.xx" xfId="3952"/>
    <cellStyle name="E_10. HDD &amp; 內外裝品_BMB_UGA NEXT(audio_DPP2 Ver2.0_2134 2EA삭제)2008.xx.xx" xfId="3953"/>
    <cellStyle name="E_10. HDD &amp; 內外裝品_Construction Parts_PP2" xfId="3954"/>
    <cellStyle name="E_10. HDD &amp; 內外裝品_Main Board" xfId="3955"/>
    <cellStyle name="E_10. HDD &amp; 內外裝品_Main Board_Construction Parts_PP2" xfId="3956"/>
    <cellStyle name="E_10. HDD &amp; 內外裝品_Main Board_MAIN PBA" xfId="3957"/>
    <cellStyle name="E_10. HDD &amp; 內外裝品_Main Board_PP1 (2)" xfId="3958"/>
    <cellStyle name="E_10. HDD &amp; 內外裝品_Main Board_UGA-N10(Main_MP4.5_Ver1)_2009.02.02" xfId="3959"/>
    <cellStyle name="E_10. HDD &amp; 內外裝品_UGA-N10(Audio_LPP Ver1.0)2008.xx.xx" xfId="3960"/>
    <cellStyle name="E_10. HDD &amp; 內外裝品_UGA-N10(Audio_PP2 Ver1.0)2008.08.09" xfId="3961"/>
    <cellStyle name="E_10. HDD &amp; 內外裝品_UGA-N10(Construction Parts_PP2_Ver1.0)2008.08.22" xfId="3962"/>
    <cellStyle name="E_10. HDD &amp; 內外裝品_UGA-N10(Front_PP2_Ver1.0)_2008.08.22" xfId="3963"/>
    <cellStyle name="E_10. HDD &amp; 內外裝品_UGA-N10(Main_DPP2_Ver1)_2008.xx.xx" xfId="3964"/>
    <cellStyle name="E_10. HDD &amp; 內外裝品_UGA-N10(Main_LPP_Ver1)_2008.xx.xx" xfId="3965"/>
    <cellStyle name="E_10. HDD &amp; 內外裝品_UGA-N10(Main_PP2_Ver1)_2008.08.14" xfId="3966"/>
    <cellStyle name="E_101.OEM_품번대장" xfId="3967"/>
    <cellStyle name="E_101.OEM_품번대장 10" xfId="3968"/>
    <cellStyle name="E_101.OEM_품번대장 11" xfId="3969"/>
    <cellStyle name="E_101.OEM_품번대장 12" xfId="3970"/>
    <cellStyle name="E_101.OEM_품번대장 13" xfId="3971"/>
    <cellStyle name="E_101.OEM_품번대장 14" xfId="3972"/>
    <cellStyle name="E_101.OEM_품번대장 15" xfId="3973"/>
    <cellStyle name="E_101.OEM_품번대장 16" xfId="3974"/>
    <cellStyle name="E_101.OEM_품번대장 17" xfId="3975"/>
    <cellStyle name="E_101.OEM_품번대장 18" xfId="3976"/>
    <cellStyle name="E_101.OEM_품번대장 2" xfId="3977"/>
    <cellStyle name="E_101.OEM_품번대장 3" xfId="3978"/>
    <cellStyle name="E_101.OEM_품번대장 4" xfId="3979"/>
    <cellStyle name="E_101.OEM_품번대장 5" xfId="3980"/>
    <cellStyle name="E_101.OEM_품번대장 6" xfId="3981"/>
    <cellStyle name="E_101.OEM_품번대장 7" xfId="3982"/>
    <cellStyle name="E_101.OEM_품번대장 8" xfId="3983"/>
    <cellStyle name="E_101.OEM_품번대장 9" xfId="3984"/>
    <cellStyle name="E_101.OEM_품번대장_BMB_UGA NEXT(audio_DPP2 Ver1.0)2008.xx.xx" xfId="3985"/>
    <cellStyle name="E_101.OEM_품번대장_BMB_UGA NEXT(audio_DPP2 Ver2.0_2134 2EA삭제)2008.xx.xx" xfId="3986"/>
    <cellStyle name="E_101.OEM_품번대장_Construction Parts_PP2" xfId="3987"/>
    <cellStyle name="E_101.OEM_품번대장_Main Board" xfId="3988"/>
    <cellStyle name="E_101.OEM_품번대장_Main Board_Construction Parts_PP2" xfId="3989"/>
    <cellStyle name="E_101.OEM_품번대장_Main Board_MAIN PBA" xfId="3990"/>
    <cellStyle name="E_101.OEM_품번대장_Main Board_PP1 (2)" xfId="3991"/>
    <cellStyle name="E_101.OEM_품번대장_Main Board_UGA-N10(Main_MP4.5_Ver1)_2009.02.02" xfId="3992"/>
    <cellStyle name="E_101.OEM_품번대장_UGA-N10(Audio_LPP Ver1.0)2008.xx.xx" xfId="3993"/>
    <cellStyle name="E_101.OEM_품번대장_UGA-N10(Audio_PP2 Ver1.0)2008.08.09" xfId="3994"/>
    <cellStyle name="E_101.OEM_품번대장_UGA-N10(Construction Parts_PP2_Ver1.0)2008.08.22" xfId="3995"/>
    <cellStyle name="E_101.OEM_품번대장_UGA-N10(Front_PP2_Ver1.0)_2008.08.22" xfId="3996"/>
    <cellStyle name="E_101.OEM_품번대장_UGA-N10(Main_DPP2_Ver1)_2008.xx.xx" xfId="3997"/>
    <cellStyle name="E_101.OEM_품번대장_UGA-N10(Main_LPP_Ver1)_2008.xx.xx" xfId="3998"/>
    <cellStyle name="E_101.OEM_품번대장_UGA-N10(Main_PP2_Ver1)_2008.08.14" xfId="3999"/>
    <cellStyle name="E_12. Accessory BAG" xfId="4000"/>
    <cellStyle name="E_12. Accessory BAG 10" xfId="4001"/>
    <cellStyle name="E_12. Accessory BAG 11" xfId="4002"/>
    <cellStyle name="E_12. Accessory BAG 12" xfId="4003"/>
    <cellStyle name="E_12. Accessory BAG 13" xfId="4004"/>
    <cellStyle name="E_12. Accessory BAG 14" xfId="4005"/>
    <cellStyle name="E_12. Accessory BAG 15" xfId="4006"/>
    <cellStyle name="E_12. Accessory BAG 16" xfId="4007"/>
    <cellStyle name="E_12. Accessory BAG 17" xfId="4008"/>
    <cellStyle name="E_12. Accessory BAG 18" xfId="4009"/>
    <cellStyle name="E_12. Accessory BAG 2" xfId="4010"/>
    <cellStyle name="E_12. Accessory BAG 3" xfId="4011"/>
    <cellStyle name="E_12. Accessory BAG 4" xfId="4012"/>
    <cellStyle name="E_12. Accessory BAG 5" xfId="4013"/>
    <cellStyle name="E_12. Accessory BAG 6" xfId="4014"/>
    <cellStyle name="E_12. Accessory BAG 7" xfId="4015"/>
    <cellStyle name="E_12. Accessory BAG 8" xfId="4016"/>
    <cellStyle name="E_12. Accessory BAG 9" xfId="4017"/>
    <cellStyle name="E_12. Accessory BAG_BMB_UGA NEXT(audio_DPP2 Ver1.0)2008.xx.xx" xfId="4018"/>
    <cellStyle name="E_12. Accessory BAG_BMB_UGA NEXT(audio_DPP2 Ver2.0_2134 2EA삭제)2008.xx.xx" xfId="4019"/>
    <cellStyle name="E_12. Accessory BAG_Construction Parts_PP2" xfId="4020"/>
    <cellStyle name="E_12. Accessory BAG_Main Board" xfId="4021"/>
    <cellStyle name="E_12. Accessory BAG_Main Board_Construction Parts_PP2" xfId="4022"/>
    <cellStyle name="E_12. Accessory BAG_Main Board_MAIN PBA" xfId="4023"/>
    <cellStyle name="E_12. Accessory BAG_Main Board_PP1 (2)" xfId="4024"/>
    <cellStyle name="E_12. Accessory BAG_Main Board_UGA-N10(Main_MP4.5_Ver1)_2009.02.02" xfId="4025"/>
    <cellStyle name="E_12. Accessory BAG_UGA-N10(Audio_LPP Ver1.0)2008.xx.xx" xfId="4026"/>
    <cellStyle name="E_12. Accessory BAG_UGA-N10(Audio_PP2 Ver1.0)2008.08.09" xfId="4027"/>
    <cellStyle name="E_12. Accessory BAG_UGA-N10(Construction Parts_PP2_Ver1.0)2008.08.22" xfId="4028"/>
    <cellStyle name="E_12. Accessory BAG_UGA-N10(Front_PP2_Ver1.0)_2008.08.22" xfId="4029"/>
    <cellStyle name="E_12. Accessory BAG_UGA-N10(Main_DPP2_Ver1)_2008.xx.xx" xfId="4030"/>
    <cellStyle name="E_12. Accessory BAG_UGA-N10(Main_LPP_Ver1)_2008.xx.xx" xfId="4031"/>
    <cellStyle name="E_12. Accessory BAG_UGA-N10(Main_PP2_Ver1)_2008.08.14" xfId="4032"/>
    <cellStyle name="E_15.K15_품번대장" xfId="4033"/>
    <cellStyle name="E_15.K15_품번대장 10" xfId="4034"/>
    <cellStyle name="E_15.K15_품번대장 11" xfId="4035"/>
    <cellStyle name="E_15.K15_품번대장 12" xfId="4036"/>
    <cellStyle name="E_15.K15_품번대장 13" xfId="4037"/>
    <cellStyle name="E_15.K15_품번대장 14" xfId="4038"/>
    <cellStyle name="E_15.K15_품번대장 15" xfId="4039"/>
    <cellStyle name="E_15.K15_품번대장 16" xfId="4040"/>
    <cellStyle name="E_15.K15_품번대장 17" xfId="4041"/>
    <cellStyle name="E_15.K15_품번대장 18" xfId="4042"/>
    <cellStyle name="E_15.K15_품번대장 2" xfId="4043"/>
    <cellStyle name="E_15.K15_품번대장 3" xfId="4044"/>
    <cellStyle name="E_15.K15_품번대장 4" xfId="4045"/>
    <cellStyle name="E_15.K15_품번대장 5" xfId="4046"/>
    <cellStyle name="E_15.K15_품번대장 6" xfId="4047"/>
    <cellStyle name="E_15.K15_품번대장 7" xfId="4048"/>
    <cellStyle name="E_15.K15_품번대장 8" xfId="4049"/>
    <cellStyle name="E_15.K15_품번대장 9" xfId="4050"/>
    <cellStyle name="E_15.K15_품번대장_BMB_UGA NEXT(audio_DPP2 Ver1.0)2008.xx.xx" xfId="4051"/>
    <cellStyle name="E_15.K15_품번대장_BMB_UGA NEXT(audio_DPP2 Ver2.0_2134 2EA삭제)2008.xx.xx" xfId="4052"/>
    <cellStyle name="E_15.K15_품번대장_Construction Parts_PP2" xfId="4053"/>
    <cellStyle name="E_15.K15_품번대장_Main Board" xfId="4054"/>
    <cellStyle name="E_15.K15_품번대장_Main Board_Construction Parts_PP2" xfId="4055"/>
    <cellStyle name="E_15.K15_품번대장_Main Board_MAIN PBA" xfId="4056"/>
    <cellStyle name="E_15.K15_품번대장_Main Board_PP1 (2)" xfId="4057"/>
    <cellStyle name="E_15.K15_품번대장_Main Board_UGA-N10(Main_MP4.5_Ver1)_2009.02.02" xfId="4058"/>
    <cellStyle name="E_15.K15_품번대장_UGA-N10(Audio_LPP Ver1.0)2008.xx.xx" xfId="4059"/>
    <cellStyle name="E_15.K15_품번대장_UGA-N10(Audio_PP2 Ver1.0)2008.08.09" xfId="4060"/>
    <cellStyle name="E_15.K15_품번대장_UGA-N10(Construction Parts_PP2_Ver1.0)2008.08.22" xfId="4061"/>
    <cellStyle name="E_15.K15_품번대장_UGA-N10(Front_PP2_Ver1.0)_2008.08.22" xfId="4062"/>
    <cellStyle name="E_15.K15_품번대장_UGA-N10(Main_DPP2_Ver1)_2008.xx.xx" xfId="4063"/>
    <cellStyle name="E_15.K15_품번대장_UGA-N10(Main_LPP_Ver1)_2008.xx.xx" xfId="4064"/>
    <cellStyle name="E_15.K15_품번대장_UGA-N10(Main_PP2_Ver1)_2008.08.14" xfId="4065"/>
    <cellStyle name="E_16.K16_품번대장" xfId="4066"/>
    <cellStyle name="E_16.K16_품번대장 10" xfId="4067"/>
    <cellStyle name="E_16.K16_품번대장 11" xfId="4068"/>
    <cellStyle name="E_16.K16_품번대장 12" xfId="4069"/>
    <cellStyle name="E_16.K16_품번대장 13" xfId="4070"/>
    <cellStyle name="E_16.K16_품번대장 14" xfId="4071"/>
    <cellStyle name="E_16.K16_품번대장 15" xfId="4072"/>
    <cellStyle name="E_16.K16_품번대장 16" xfId="4073"/>
    <cellStyle name="E_16.K16_품번대장 17" xfId="4074"/>
    <cellStyle name="E_16.K16_품번대장 18" xfId="4075"/>
    <cellStyle name="E_16.K16_품번대장 2" xfId="4076"/>
    <cellStyle name="E_16.K16_품번대장 3" xfId="4077"/>
    <cellStyle name="E_16.K16_품번대장 4" xfId="4078"/>
    <cellStyle name="E_16.K16_품번대장 5" xfId="4079"/>
    <cellStyle name="E_16.K16_품번대장 6" xfId="4080"/>
    <cellStyle name="E_16.K16_품번대장 7" xfId="4081"/>
    <cellStyle name="E_16.K16_품번대장 8" xfId="4082"/>
    <cellStyle name="E_16.K16_품번대장 9" xfId="4083"/>
    <cellStyle name="E_16.K16_품번대장_BMB_UGA NEXT(audio_DPP2 Ver1.0)2008.xx.xx" xfId="4084"/>
    <cellStyle name="E_16.K16_품번대장_BMB_UGA NEXT(audio_DPP2 Ver2.0_2134 2EA삭제)2008.xx.xx" xfId="4085"/>
    <cellStyle name="E_16.K16_품번대장_Construction Parts_PP2" xfId="4086"/>
    <cellStyle name="E_16.K16_품번대장_Main Board" xfId="4087"/>
    <cellStyle name="E_16.K16_품번대장_Main Board_Construction Parts_PP2" xfId="4088"/>
    <cellStyle name="E_16.K16_품번대장_Main Board_MAIN PBA" xfId="4089"/>
    <cellStyle name="E_16.K16_품번대장_Main Board_PP1 (2)" xfId="4090"/>
    <cellStyle name="E_16.K16_품번대장_Main Board_UGA-N10(Main_MP4.5_Ver1)_2009.02.02" xfId="4091"/>
    <cellStyle name="E_16.K16_품번대장_UGA-N10(Audio_LPP Ver1.0)2008.xx.xx" xfId="4092"/>
    <cellStyle name="E_16.K16_품번대장_UGA-N10(Audio_PP2 Ver1.0)2008.08.09" xfId="4093"/>
    <cellStyle name="E_16.K16_품번대장_UGA-N10(Construction Parts_PP2_Ver1.0)2008.08.22" xfId="4094"/>
    <cellStyle name="E_16.K16_품번대장_UGA-N10(Front_PP2_Ver1.0)_2008.08.22" xfId="4095"/>
    <cellStyle name="E_16.K16_품번대장_UGA-N10(Main_DPP2_Ver1)_2008.xx.xx" xfId="4096"/>
    <cellStyle name="E_16.K16_품번대장_UGA-N10(Main_LPP_Ver1)_2008.xx.xx" xfId="4097"/>
    <cellStyle name="E_16.K16_품번대장_UGA-N10(Main_PP2_Ver1)_2008.08.14" xfId="4098"/>
    <cellStyle name="E_17.K17_품번대장" xfId="4099"/>
    <cellStyle name="E_17.K17_품번대장 10" xfId="4100"/>
    <cellStyle name="E_17.K17_품번대장 11" xfId="4101"/>
    <cellStyle name="E_17.K17_품번대장 12" xfId="4102"/>
    <cellStyle name="E_17.K17_품번대장 13" xfId="4103"/>
    <cellStyle name="E_17.K17_품번대장 14" xfId="4104"/>
    <cellStyle name="E_17.K17_품번대장 15" xfId="4105"/>
    <cellStyle name="E_17.K17_품번대장 16" xfId="4106"/>
    <cellStyle name="E_17.K17_품번대장 17" xfId="4107"/>
    <cellStyle name="E_17.K17_품번대장 18" xfId="4108"/>
    <cellStyle name="E_17.K17_품번대장 2" xfId="4109"/>
    <cellStyle name="E_17.K17_품번대장 3" xfId="4110"/>
    <cellStyle name="E_17.K17_품번대장 4" xfId="4111"/>
    <cellStyle name="E_17.K17_품번대장 5" xfId="4112"/>
    <cellStyle name="E_17.K17_품번대장 6" xfId="4113"/>
    <cellStyle name="E_17.K17_품번대장 7" xfId="4114"/>
    <cellStyle name="E_17.K17_품번대장 8" xfId="4115"/>
    <cellStyle name="E_17.K17_품번대장 9" xfId="4116"/>
    <cellStyle name="E_17.K17_품번대장_BMB_UGA NEXT(audio_DPP2 Ver1.0)2008.xx.xx" xfId="4117"/>
    <cellStyle name="E_17.K17_품번대장_BMB_UGA NEXT(audio_DPP2 Ver2.0_2134 2EA삭제)2008.xx.xx" xfId="4118"/>
    <cellStyle name="E_17.K17_품번대장_Construction Parts_PP2" xfId="4119"/>
    <cellStyle name="E_17.K17_품번대장_Main Board" xfId="4120"/>
    <cellStyle name="E_17.K17_품번대장_Main Board_Construction Parts_PP2" xfId="4121"/>
    <cellStyle name="E_17.K17_품번대장_Main Board_MAIN PBA" xfId="4122"/>
    <cellStyle name="E_17.K17_품번대장_Main Board_PP1 (2)" xfId="4123"/>
    <cellStyle name="E_17.K17_품번대장_Main Board_UGA-N10(Main_MP4.5_Ver1)_2009.02.02" xfId="4124"/>
    <cellStyle name="E_17.K17_품번대장_UGA-N10(Audio_LPP Ver1.0)2008.xx.xx" xfId="4125"/>
    <cellStyle name="E_17.K17_품번대장_UGA-N10(Audio_PP2 Ver1.0)2008.08.09" xfId="4126"/>
    <cellStyle name="E_17.K17_품번대장_UGA-N10(Construction Parts_PP2_Ver1.0)2008.08.22" xfId="4127"/>
    <cellStyle name="E_17.K17_품번대장_UGA-N10(Front_PP2_Ver1.0)_2008.08.22" xfId="4128"/>
    <cellStyle name="E_17.K17_품번대장_UGA-N10(Main_DPP2_Ver1)_2008.xx.xx" xfId="4129"/>
    <cellStyle name="E_17.K17_품번대장_UGA-N10(Main_LPP_Ver1)_2008.xx.xx" xfId="4130"/>
    <cellStyle name="E_17.K17_품번대장_UGA-N10(Main_PP2_Ver1)_2008.08.14" xfId="4131"/>
    <cellStyle name="E_18.K18_품번대장" xfId="4132"/>
    <cellStyle name="E_18.K18_품번대장 10" xfId="4133"/>
    <cellStyle name="E_18.K18_품번대장 11" xfId="4134"/>
    <cellStyle name="E_18.K18_품번대장 12" xfId="4135"/>
    <cellStyle name="E_18.K18_품번대장 13" xfId="4136"/>
    <cellStyle name="E_18.K18_품번대장 14" xfId="4137"/>
    <cellStyle name="E_18.K18_품번대장 15" xfId="4138"/>
    <cellStyle name="E_18.K18_품번대장 16" xfId="4139"/>
    <cellStyle name="E_18.K18_품번대장 17" xfId="4140"/>
    <cellStyle name="E_18.K18_품번대장 18" xfId="4141"/>
    <cellStyle name="E_18.K18_품번대장 2" xfId="4142"/>
    <cellStyle name="E_18.K18_품번대장 3" xfId="4143"/>
    <cellStyle name="E_18.K18_품번대장 4" xfId="4144"/>
    <cellStyle name="E_18.K18_품번대장 5" xfId="4145"/>
    <cellStyle name="E_18.K18_품번대장 6" xfId="4146"/>
    <cellStyle name="E_18.K18_품번대장 7" xfId="4147"/>
    <cellStyle name="E_18.K18_품번대장 8" xfId="4148"/>
    <cellStyle name="E_18.K18_품번대장 9" xfId="4149"/>
    <cellStyle name="E_18.K18_품번대장_BMB_UGA NEXT(audio_DPP2 Ver1.0)2008.xx.xx" xfId="4150"/>
    <cellStyle name="E_18.K18_품번대장_BMB_UGA NEXT(audio_DPP2 Ver2.0_2134 2EA삭제)2008.xx.xx" xfId="4151"/>
    <cellStyle name="E_18.K18_품번대장_Construction Parts_PP2" xfId="4152"/>
    <cellStyle name="E_18.K18_품번대장_Main Board" xfId="4153"/>
    <cellStyle name="E_18.K18_품번대장_Main Board_Construction Parts_PP2" xfId="4154"/>
    <cellStyle name="E_18.K18_품번대장_Main Board_MAIN PBA" xfId="4155"/>
    <cellStyle name="E_18.K18_품번대장_Main Board_PP1 (2)" xfId="4156"/>
    <cellStyle name="E_18.K18_품번대장_Main Board_UGA-N10(Main_MP4.5_Ver1)_2009.02.02" xfId="4157"/>
    <cellStyle name="E_18.K18_품번대장_UGA-N10(Audio_LPP Ver1.0)2008.xx.xx" xfId="4158"/>
    <cellStyle name="E_18.K18_품번대장_UGA-N10(Audio_PP2 Ver1.0)2008.08.09" xfId="4159"/>
    <cellStyle name="E_18.K18_품번대장_UGA-N10(Construction Parts_PP2_Ver1.0)2008.08.22" xfId="4160"/>
    <cellStyle name="E_18.K18_품번대장_UGA-N10(Front_PP2_Ver1.0)_2008.08.22" xfId="4161"/>
    <cellStyle name="E_18.K18_품번대장_UGA-N10(Main_DPP2_Ver1)_2008.xx.xx" xfId="4162"/>
    <cellStyle name="E_18.K18_품번대장_UGA-N10(Main_LPP_Ver1)_2008.xx.xx" xfId="4163"/>
    <cellStyle name="E_18.K18_품번대장_UGA-N10(Main_PP2_Ver1)_2008.08.14" xfId="4164"/>
    <cellStyle name="E_20.K20_품번대장" xfId="4165"/>
    <cellStyle name="E_20.K20_품번대장 10" xfId="4166"/>
    <cellStyle name="E_20.K20_품번대장 11" xfId="4167"/>
    <cellStyle name="E_20.K20_품번대장 12" xfId="4168"/>
    <cellStyle name="E_20.K20_품번대장 13" xfId="4169"/>
    <cellStyle name="E_20.K20_품번대장 14" xfId="4170"/>
    <cellStyle name="E_20.K20_품번대장 15" xfId="4171"/>
    <cellStyle name="E_20.K20_품번대장 16" xfId="4172"/>
    <cellStyle name="E_20.K20_품번대장 17" xfId="4173"/>
    <cellStyle name="E_20.K20_품번대장 18" xfId="4174"/>
    <cellStyle name="E_20.K20_품번대장 2" xfId="4175"/>
    <cellStyle name="E_20.K20_품번대장 3" xfId="4176"/>
    <cellStyle name="E_20.K20_품번대장 4" xfId="4177"/>
    <cellStyle name="E_20.K20_품번대장 5" xfId="4178"/>
    <cellStyle name="E_20.K20_품번대장 6" xfId="4179"/>
    <cellStyle name="E_20.K20_품번대장 7" xfId="4180"/>
    <cellStyle name="E_20.K20_품번대장 8" xfId="4181"/>
    <cellStyle name="E_20.K20_품번대장 9" xfId="4182"/>
    <cellStyle name="E_20.K20_품번대장_BMB_UGA NEXT(audio_DPP2 Ver1.0)2008.xx.xx" xfId="4183"/>
    <cellStyle name="E_20.K20_품번대장_BMB_UGA NEXT(audio_DPP2 Ver2.0_2134 2EA삭제)2008.xx.xx" xfId="4184"/>
    <cellStyle name="E_20.K20_품번대장_Construction Parts_PP2" xfId="4185"/>
    <cellStyle name="E_20.K20_품번대장_Main Board" xfId="4186"/>
    <cellStyle name="E_20.K20_품번대장_Main Board_Construction Parts_PP2" xfId="4187"/>
    <cellStyle name="E_20.K20_품번대장_Main Board_MAIN PBA" xfId="4188"/>
    <cellStyle name="E_20.K20_품번대장_Main Board_PP1 (2)" xfId="4189"/>
    <cellStyle name="E_20.K20_품번대장_Main Board_UGA-N10(Main_MP4.5_Ver1)_2009.02.02" xfId="4190"/>
    <cellStyle name="E_20.K20_품번대장_UGA-N10(Audio_LPP Ver1.0)2008.xx.xx" xfId="4191"/>
    <cellStyle name="E_20.K20_품번대장_UGA-N10(Audio_PP2 Ver1.0)2008.08.09" xfId="4192"/>
    <cellStyle name="E_20.K20_품번대장_UGA-N10(Construction Parts_PP2_Ver1.0)2008.08.22" xfId="4193"/>
    <cellStyle name="E_20.K20_품번대장_UGA-N10(Front_PP2_Ver1.0)_2008.08.22" xfId="4194"/>
    <cellStyle name="E_20.K20_품번대장_UGA-N10(Main_DPP2_Ver1)_2008.xx.xx" xfId="4195"/>
    <cellStyle name="E_20.K20_품번대장_UGA-N10(Main_LPP_Ver1)_2008.xx.xx" xfId="4196"/>
    <cellStyle name="E_20.K20_품번대장_UGA-N10(Main_PP2_Ver1)_2008.08.14" xfId="4197"/>
    <cellStyle name="E_21.K21_품번대장" xfId="4198"/>
    <cellStyle name="E_21.K21_품번대장 10" xfId="4199"/>
    <cellStyle name="E_21.K21_품번대장 11" xfId="4200"/>
    <cellStyle name="E_21.K21_품번대장 12" xfId="4201"/>
    <cellStyle name="E_21.K21_품번대장 13" xfId="4202"/>
    <cellStyle name="E_21.K21_품번대장 14" xfId="4203"/>
    <cellStyle name="E_21.K21_품번대장 15" xfId="4204"/>
    <cellStyle name="E_21.K21_품번대장 16" xfId="4205"/>
    <cellStyle name="E_21.K21_품번대장 17" xfId="4206"/>
    <cellStyle name="E_21.K21_품번대장 18" xfId="4207"/>
    <cellStyle name="E_21.K21_품번대장 2" xfId="4208"/>
    <cellStyle name="E_21.K21_품번대장 3" xfId="4209"/>
    <cellStyle name="E_21.K21_품번대장 4" xfId="4210"/>
    <cellStyle name="E_21.K21_품번대장 5" xfId="4211"/>
    <cellStyle name="E_21.K21_품번대장 6" xfId="4212"/>
    <cellStyle name="E_21.K21_품번대장 7" xfId="4213"/>
    <cellStyle name="E_21.K21_품번대장 8" xfId="4214"/>
    <cellStyle name="E_21.K21_품번대장 9" xfId="4215"/>
    <cellStyle name="E_21.K21_품번대장_BMB_UGA NEXT(audio_DPP2 Ver1.0)2008.xx.xx" xfId="4216"/>
    <cellStyle name="E_21.K21_품번대장_BMB_UGA NEXT(audio_DPP2 Ver2.0_2134 2EA삭제)2008.xx.xx" xfId="4217"/>
    <cellStyle name="E_21.K21_품번대장_Construction Parts_PP2" xfId="4218"/>
    <cellStyle name="E_21.K21_품번대장_Main Board" xfId="4219"/>
    <cellStyle name="E_21.K21_품번대장_Main Board_Construction Parts_PP2" xfId="4220"/>
    <cellStyle name="E_21.K21_품번대장_Main Board_MAIN PBA" xfId="4221"/>
    <cellStyle name="E_21.K21_품번대장_Main Board_PP1 (2)" xfId="4222"/>
    <cellStyle name="E_21.K21_품번대장_Main Board_UGA-N10(Main_MP4.5_Ver1)_2009.02.02" xfId="4223"/>
    <cellStyle name="E_21.K21_품번대장_UGA-N10(Audio_LPP Ver1.0)2008.xx.xx" xfId="4224"/>
    <cellStyle name="E_21.K21_품번대장_UGA-N10(Audio_PP2 Ver1.0)2008.08.09" xfId="4225"/>
    <cellStyle name="E_21.K21_품번대장_UGA-N10(Construction Parts_PP2_Ver1.0)2008.08.22" xfId="4226"/>
    <cellStyle name="E_21.K21_품번대장_UGA-N10(Front_PP2_Ver1.0)_2008.08.22" xfId="4227"/>
    <cellStyle name="E_21.K21_품번대장_UGA-N10(Main_DPP2_Ver1)_2008.xx.xx" xfId="4228"/>
    <cellStyle name="E_21.K21_품번대장_UGA-N10(Main_LPP_Ver1)_2008.xx.xx" xfId="4229"/>
    <cellStyle name="E_21.K21_품번대장_UGA-N10(Main_PP2_Ver1)_2008.08.14" xfId="4230"/>
    <cellStyle name="E_22.K22_품번대장" xfId="4231"/>
    <cellStyle name="E_22.K22_품번대장 10" xfId="4232"/>
    <cellStyle name="E_22.K22_품번대장 11" xfId="4233"/>
    <cellStyle name="E_22.K22_품번대장 12" xfId="4234"/>
    <cellStyle name="E_22.K22_품번대장 13" xfId="4235"/>
    <cellStyle name="E_22.K22_품번대장 14" xfId="4236"/>
    <cellStyle name="E_22.K22_품번대장 15" xfId="4237"/>
    <cellStyle name="E_22.K22_품번대장 16" xfId="4238"/>
    <cellStyle name="E_22.K22_품번대장 17" xfId="4239"/>
    <cellStyle name="E_22.K22_품번대장 18" xfId="4240"/>
    <cellStyle name="E_22.K22_품번대장 2" xfId="4241"/>
    <cellStyle name="E_22.K22_품번대장 3" xfId="4242"/>
    <cellStyle name="E_22.K22_품번대장 4" xfId="4243"/>
    <cellStyle name="E_22.K22_품번대장 5" xfId="4244"/>
    <cellStyle name="E_22.K22_품번대장 6" xfId="4245"/>
    <cellStyle name="E_22.K22_품번대장 7" xfId="4246"/>
    <cellStyle name="E_22.K22_품번대장 8" xfId="4247"/>
    <cellStyle name="E_22.K22_품번대장 9" xfId="4248"/>
    <cellStyle name="E_22.K22_품번대장_BMB_UGA NEXT(audio_DPP2 Ver1.0)2008.xx.xx" xfId="4249"/>
    <cellStyle name="E_22.K22_품번대장_BMB_UGA NEXT(audio_DPP2 Ver2.0_2134 2EA삭제)2008.xx.xx" xfId="4250"/>
    <cellStyle name="E_22.K22_품번대장_Construction Parts_PP2" xfId="4251"/>
    <cellStyle name="E_22.K22_품번대장_Main Board" xfId="4252"/>
    <cellStyle name="E_22.K22_품번대장_Main Board_Construction Parts_PP2" xfId="4253"/>
    <cellStyle name="E_22.K22_품번대장_Main Board_MAIN PBA" xfId="4254"/>
    <cellStyle name="E_22.K22_품번대장_Main Board_PP1 (2)" xfId="4255"/>
    <cellStyle name="E_22.K22_품번대장_Main Board_UGA-N10(Main_MP4.5_Ver1)_2009.02.02" xfId="4256"/>
    <cellStyle name="E_22.K22_품번대장_UGA-N10(Audio_LPP Ver1.0)2008.xx.xx" xfId="4257"/>
    <cellStyle name="E_22.K22_품번대장_UGA-N10(Audio_PP2 Ver1.0)2008.08.09" xfId="4258"/>
    <cellStyle name="E_22.K22_품번대장_UGA-N10(Construction Parts_PP2_Ver1.0)2008.08.22" xfId="4259"/>
    <cellStyle name="E_22.K22_품번대장_UGA-N10(Front_PP2_Ver1.0)_2008.08.22" xfId="4260"/>
    <cellStyle name="E_22.K22_품번대장_UGA-N10(Main_DPP2_Ver1)_2008.xx.xx" xfId="4261"/>
    <cellStyle name="E_22.K22_품번대장_UGA-N10(Main_LPP_Ver1)_2008.xx.xx" xfId="4262"/>
    <cellStyle name="E_22.K22_품번대장_UGA-N10(Main_PP2_Ver1)_2008.08.14" xfId="4263"/>
    <cellStyle name="E_23.K23_품번대장" xfId="4264"/>
    <cellStyle name="E_23.K23_품번대장 10" xfId="4265"/>
    <cellStyle name="E_23.K23_품번대장 11" xfId="4266"/>
    <cellStyle name="E_23.K23_품번대장 12" xfId="4267"/>
    <cellStyle name="E_23.K23_품번대장 13" xfId="4268"/>
    <cellStyle name="E_23.K23_품번대장 14" xfId="4269"/>
    <cellStyle name="E_23.K23_품번대장 15" xfId="4270"/>
    <cellStyle name="E_23.K23_품번대장 16" xfId="4271"/>
    <cellStyle name="E_23.K23_품번대장 17" xfId="4272"/>
    <cellStyle name="E_23.K23_품번대장 18" xfId="4273"/>
    <cellStyle name="E_23.K23_품번대장 2" xfId="4274"/>
    <cellStyle name="E_23.K23_품번대장 3" xfId="4275"/>
    <cellStyle name="E_23.K23_품번대장 4" xfId="4276"/>
    <cellStyle name="E_23.K23_품번대장 5" xfId="4277"/>
    <cellStyle name="E_23.K23_품번대장 6" xfId="4278"/>
    <cellStyle name="E_23.K23_품번대장 7" xfId="4279"/>
    <cellStyle name="E_23.K23_품번대장 8" xfId="4280"/>
    <cellStyle name="E_23.K23_품번대장 9" xfId="4281"/>
    <cellStyle name="E_23.K23_품번대장_BMB_UGA NEXT(audio_DPP2 Ver1.0)2008.xx.xx" xfId="4282"/>
    <cellStyle name="E_23.K23_품번대장_BMB_UGA NEXT(audio_DPP2 Ver2.0_2134 2EA삭제)2008.xx.xx" xfId="4283"/>
    <cellStyle name="E_23.K23_품번대장_Construction Parts_PP2" xfId="4284"/>
    <cellStyle name="E_23.K23_품번대장_Main Board" xfId="4285"/>
    <cellStyle name="E_23.K23_품번대장_Main Board_Construction Parts_PP2" xfId="4286"/>
    <cellStyle name="E_23.K23_품번대장_Main Board_MAIN PBA" xfId="4287"/>
    <cellStyle name="E_23.K23_품번대장_Main Board_PP1 (2)" xfId="4288"/>
    <cellStyle name="E_23.K23_품번대장_Main Board_UGA-N10(Main_MP4.5_Ver1)_2009.02.02" xfId="4289"/>
    <cellStyle name="E_23.K23_품번대장_UGA-N10(Audio_LPP Ver1.0)2008.xx.xx" xfId="4290"/>
    <cellStyle name="E_23.K23_품번대장_UGA-N10(Audio_PP2 Ver1.0)2008.08.09" xfId="4291"/>
    <cellStyle name="E_23.K23_품번대장_UGA-N10(Construction Parts_PP2_Ver1.0)2008.08.22" xfId="4292"/>
    <cellStyle name="E_23.K23_품번대장_UGA-N10(Front_PP2_Ver1.0)_2008.08.22" xfId="4293"/>
    <cellStyle name="E_23.K23_품번대장_UGA-N10(Main_DPP2_Ver1)_2008.xx.xx" xfId="4294"/>
    <cellStyle name="E_23.K23_품번대장_UGA-N10(Main_LPP_Ver1)_2008.xx.xx" xfId="4295"/>
    <cellStyle name="E_23.K23_품번대장_UGA-N10(Main_PP2_Ver1)_2008.08.14" xfId="4296"/>
    <cellStyle name="E_25.K25_품번대장" xfId="4297"/>
    <cellStyle name="E_25.K25_품번대장 10" xfId="4298"/>
    <cellStyle name="E_25.K25_품번대장 11" xfId="4299"/>
    <cellStyle name="E_25.K25_품번대장 12" xfId="4300"/>
    <cellStyle name="E_25.K25_품번대장 13" xfId="4301"/>
    <cellStyle name="E_25.K25_품번대장 14" xfId="4302"/>
    <cellStyle name="E_25.K25_품번대장 15" xfId="4303"/>
    <cellStyle name="E_25.K25_품번대장 16" xfId="4304"/>
    <cellStyle name="E_25.K25_품번대장 17" xfId="4305"/>
    <cellStyle name="E_25.K25_품번대장 18" xfId="4306"/>
    <cellStyle name="E_25.K25_품번대장 2" xfId="4307"/>
    <cellStyle name="E_25.K25_품번대장 3" xfId="4308"/>
    <cellStyle name="E_25.K25_품번대장 4" xfId="4309"/>
    <cellStyle name="E_25.K25_품번대장 5" xfId="4310"/>
    <cellStyle name="E_25.K25_품번대장 6" xfId="4311"/>
    <cellStyle name="E_25.K25_품번대장 7" xfId="4312"/>
    <cellStyle name="E_25.K25_품번대장 8" xfId="4313"/>
    <cellStyle name="E_25.K25_품번대장 9" xfId="4314"/>
    <cellStyle name="E_25.K25_품번대장_BMB_UGA NEXT(audio_DPP2 Ver1.0)2008.xx.xx" xfId="4315"/>
    <cellStyle name="E_25.K25_품번대장_BMB_UGA NEXT(audio_DPP2 Ver2.0_2134 2EA삭제)2008.xx.xx" xfId="4316"/>
    <cellStyle name="E_25.K25_품번대장_Construction Parts_PP2" xfId="4317"/>
    <cellStyle name="E_25.K25_품번대장_Main Board" xfId="4318"/>
    <cellStyle name="E_25.K25_품번대장_Main Board_Construction Parts_PP2" xfId="4319"/>
    <cellStyle name="E_25.K25_품번대장_Main Board_MAIN PBA" xfId="4320"/>
    <cellStyle name="E_25.K25_품번대장_Main Board_PP1 (2)" xfId="4321"/>
    <cellStyle name="E_25.K25_품번대장_Main Board_UGA-N10(Main_MP4.5_Ver1)_2009.02.02" xfId="4322"/>
    <cellStyle name="E_25.K25_품번대장_UGA-N10(Audio_LPP Ver1.0)2008.xx.xx" xfId="4323"/>
    <cellStyle name="E_25.K25_품번대장_UGA-N10(Audio_PP2 Ver1.0)2008.08.09" xfId="4324"/>
    <cellStyle name="E_25.K25_품번대장_UGA-N10(Construction Parts_PP2_Ver1.0)2008.08.22" xfId="4325"/>
    <cellStyle name="E_25.K25_품번대장_UGA-N10(Front_PP2_Ver1.0)_2008.08.22" xfId="4326"/>
    <cellStyle name="E_25.K25_품번대장_UGA-N10(Main_DPP2_Ver1)_2008.xx.xx" xfId="4327"/>
    <cellStyle name="E_25.K25_품번대장_UGA-N10(Main_LPP_Ver1)_2008.xx.xx" xfId="4328"/>
    <cellStyle name="E_25.K25_품번대장_UGA-N10(Main_PP2_Ver1)_2008.08.14" xfId="4329"/>
    <cellStyle name="E_28.K28_품번대장" xfId="4330"/>
    <cellStyle name="E_28.K28_품번대장 10" xfId="4331"/>
    <cellStyle name="E_28.K28_품번대장 11" xfId="4332"/>
    <cellStyle name="E_28.K28_품번대장 12" xfId="4333"/>
    <cellStyle name="E_28.K28_품번대장 13" xfId="4334"/>
    <cellStyle name="E_28.K28_품번대장 14" xfId="4335"/>
    <cellStyle name="E_28.K28_품번대장 15" xfId="4336"/>
    <cellStyle name="E_28.K28_품번대장 16" xfId="4337"/>
    <cellStyle name="E_28.K28_품번대장 17" xfId="4338"/>
    <cellStyle name="E_28.K28_품번대장 18" xfId="4339"/>
    <cellStyle name="E_28.K28_품번대장 2" xfId="4340"/>
    <cellStyle name="E_28.K28_품번대장 3" xfId="4341"/>
    <cellStyle name="E_28.K28_품번대장 4" xfId="4342"/>
    <cellStyle name="E_28.K28_품번대장 5" xfId="4343"/>
    <cellStyle name="E_28.K28_품번대장 6" xfId="4344"/>
    <cellStyle name="E_28.K28_품번대장 7" xfId="4345"/>
    <cellStyle name="E_28.K28_품번대장 8" xfId="4346"/>
    <cellStyle name="E_28.K28_품번대장 9" xfId="4347"/>
    <cellStyle name="E_28.K28_품번대장_BMB_UGA NEXT(audio_DPP2 Ver1.0)2008.xx.xx" xfId="4348"/>
    <cellStyle name="E_28.K28_품번대장_BMB_UGA NEXT(audio_DPP2 Ver2.0_2134 2EA삭제)2008.xx.xx" xfId="4349"/>
    <cellStyle name="E_28.K28_품번대장_Construction Parts_PP2" xfId="4350"/>
    <cellStyle name="E_28.K28_품번대장_Main Board" xfId="4351"/>
    <cellStyle name="E_28.K28_품번대장_Main Board_Construction Parts_PP2" xfId="4352"/>
    <cellStyle name="E_28.K28_품번대장_Main Board_MAIN PBA" xfId="4353"/>
    <cellStyle name="E_28.K28_품번대장_Main Board_PP1 (2)" xfId="4354"/>
    <cellStyle name="E_28.K28_품번대장_Main Board_UGA-N10(Main_MP4.5_Ver1)_2009.02.02" xfId="4355"/>
    <cellStyle name="E_28.K28_품번대장_UGA-N10(Audio_LPP Ver1.0)2008.xx.xx" xfId="4356"/>
    <cellStyle name="E_28.K28_품번대장_UGA-N10(Audio_PP2 Ver1.0)2008.08.09" xfId="4357"/>
    <cellStyle name="E_28.K28_품번대장_UGA-N10(Construction Parts_PP2_Ver1.0)2008.08.22" xfId="4358"/>
    <cellStyle name="E_28.K28_품번대장_UGA-N10(Front_PP2_Ver1.0)_2008.08.22" xfId="4359"/>
    <cellStyle name="E_28.K28_품번대장_UGA-N10(Main_DPP2_Ver1)_2008.xx.xx" xfId="4360"/>
    <cellStyle name="E_28.K28_품번대장_UGA-N10(Main_LPP_Ver1)_2008.xx.xx" xfId="4361"/>
    <cellStyle name="E_28.K28_품번대장_UGA-N10(Main_PP2_Ver1)_2008.08.14" xfId="4362"/>
    <cellStyle name="E_29.K29_품번대장" xfId="4363"/>
    <cellStyle name="E_29.K29_품번대장 10" xfId="4364"/>
    <cellStyle name="E_29.K29_품번대장 11" xfId="4365"/>
    <cellStyle name="E_29.K29_품번대장 12" xfId="4366"/>
    <cellStyle name="E_29.K29_품번대장 13" xfId="4367"/>
    <cellStyle name="E_29.K29_품번대장 14" xfId="4368"/>
    <cellStyle name="E_29.K29_품번대장 15" xfId="4369"/>
    <cellStyle name="E_29.K29_품번대장 16" xfId="4370"/>
    <cellStyle name="E_29.K29_품번대장 17" xfId="4371"/>
    <cellStyle name="E_29.K29_품번대장 18" xfId="4372"/>
    <cellStyle name="E_29.K29_품번대장 2" xfId="4373"/>
    <cellStyle name="E_29.K29_품번대장 3" xfId="4374"/>
    <cellStyle name="E_29.K29_품번대장 4" xfId="4375"/>
    <cellStyle name="E_29.K29_품번대장 5" xfId="4376"/>
    <cellStyle name="E_29.K29_품번대장 6" xfId="4377"/>
    <cellStyle name="E_29.K29_품번대장 7" xfId="4378"/>
    <cellStyle name="E_29.K29_품번대장 8" xfId="4379"/>
    <cellStyle name="E_29.K29_품번대장 9" xfId="4380"/>
    <cellStyle name="E_29.K29_품번대장_BMB_UGA NEXT(audio_DPP2 Ver1.0)2008.xx.xx" xfId="4381"/>
    <cellStyle name="E_29.K29_품번대장_BMB_UGA NEXT(audio_DPP2 Ver2.0_2134 2EA삭제)2008.xx.xx" xfId="4382"/>
    <cellStyle name="E_29.K29_품번대장_Construction Parts_PP2" xfId="4383"/>
    <cellStyle name="E_29.K29_품번대장_Main Board" xfId="4384"/>
    <cellStyle name="E_29.K29_품번대장_Main Board_Construction Parts_PP2" xfId="4385"/>
    <cellStyle name="E_29.K29_품번대장_Main Board_MAIN PBA" xfId="4386"/>
    <cellStyle name="E_29.K29_품번대장_Main Board_PP1 (2)" xfId="4387"/>
    <cellStyle name="E_29.K29_품번대장_Main Board_UGA-N10(Main_MP4.5_Ver1)_2009.02.02" xfId="4388"/>
    <cellStyle name="E_29.K29_품번대장_UGA-N10(Audio_LPP Ver1.0)2008.xx.xx" xfId="4389"/>
    <cellStyle name="E_29.K29_품번대장_UGA-N10(Audio_PP2 Ver1.0)2008.08.09" xfId="4390"/>
    <cellStyle name="E_29.K29_품번대장_UGA-N10(Construction Parts_PP2_Ver1.0)2008.08.22" xfId="4391"/>
    <cellStyle name="E_29.K29_품번대장_UGA-N10(Front_PP2_Ver1.0)_2008.08.22" xfId="4392"/>
    <cellStyle name="E_29.K29_품번대장_UGA-N10(Main_DPP2_Ver1)_2008.xx.xx" xfId="4393"/>
    <cellStyle name="E_29.K29_품번대장_UGA-N10(Main_LPP_Ver1)_2008.xx.xx" xfId="4394"/>
    <cellStyle name="E_29.K29_품번대장_UGA-N10(Main_PP2_Ver1)_2008.08.14" xfId="4395"/>
    <cellStyle name="E_3.금영 품번부여(VER 0.0_071213)" xfId="4396"/>
    <cellStyle name="E_3.금영 품번부여(VER 0.0_071213) 10" xfId="4397"/>
    <cellStyle name="E_3.금영 품번부여(VER 0.0_071213) 11" xfId="4398"/>
    <cellStyle name="E_3.금영 품번부여(VER 0.0_071213) 12" xfId="4399"/>
    <cellStyle name="E_3.금영 품번부여(VER 0.0_071213) 13" xfId="4400"/>
    <cellStyle name="E_3.금영 품번부여(VER 0.0_071213) 14" xfId="4401"/>
    <cellStyle name="E_3.금영 품번부여(VER 0.0_071213) 15" xfId="4402"/>
    <cellStyle name="E_3.금영 품번부여(VER 0.0_071213) 16" xfId="4403"/>
    <cellStyle name="E_3.금영 품번부여(VER 0.0_071213) 17" xfId="4404"/>
    <cellStyle name="E_3.금영 품번부여(VER 0.0_071213) 18" xfId="4405"/>
    <cellStyle name="E_3.금영 품번부여(VER 0.0_071213) 2" xfId="4406"/>
    <cellStyle name="E_3.금영 품번부여(VER 0.0_071213) 3" xfId="4407"/>
    <cellStyle name="E_3.금영 품번부여(VER 0.0_071213) 4" xfId="4408"/>
    <cellStyle name="E_3.금영 품번부여(VER 0.0_071213) 5" xfId="4409"/>
    <cellStyle name="E_3.금영 품번부여(VER 0.0_071213) 6" xfId="4410"/>
    <cellStyle name="E_3.금영 품번부여(VER 0.0_071213) 7" xfId="4411"/>
    <cellStyle name="E_3.금영 품번부여(VER 0.0_071213) 8" xfId="4412"/>
    <cellStyle name="E_3.금영 품번부여(VER 0.0_071213) 9" xfId="4413"/>
    <cellStyle name="E_3.금영 품번부여(VER 0.0_071213)_BMB_UGA NEXT(audio_DPP2 Ver1.0)2008.xx.xx" xfId="4414"/>
    <cellStyle name="E_3.금영 품번부여(VER 0.0_071213)_BMB_UGA NEXT(audio_DPP2 Ver2.0_2134 2EA삭제)2008.xx.xx" xfId="4415"/>
    <cellStyle name="E_3.금영 품번부여(VER 0.0_071213)_Construction Parts_PP2" xfId="4416"/>
    <cellStyle name="E_3.금영 품번부여(VER 0.0_071213)_Main Board" xfId="4417"/>
    <cellStyle name="E_3.금영 품번부여(VER 0.0_071213)_Main Board_Construction Parts_PP2" xfId="4418"/>
    <cellStyle name="E_3.금영 품번부여(VER 0.0_071213)_Main Board_MAIN PBA" xfId="4419"/>
    <cellStyle name="E_3.금영 품번부여(VER 0.0_071213)_Main Board_PP1 (2)" xfId="4420"/>
    <cellStyle name="E_3.금영 품번부여(VER 0.0_071213)_Main Board_UGA-N10(Main_MP4.5_Ver1)_2009.02.02" xfId="4421"/>
    <cellStyle name="E_3.금영 품번부여(VER 0.0_071213)_UGA-N10(Audio_LPP Ver1.0)2008.xx.xx" xfId="4422"/>
    <cellStyle name="E_3.금영 품번부여(VER 0.0_071213)_UGA-N10(Audio_PP2 Ver1.0)2008.08.09" xfId="4423"/>
    <cellStyle name="E_3.금영 품번부여(VER 0.0_071213)_UGA-N10(Construction Parts_PP2_Ver1.0)2008.08.22" xfId="4424"/>
    <cellStyle name="E_3.금영 품번부여(VER 0.0_071213)_UGA-N10(Front_PP2_Ver1.0)_2008.08.22" xfId="4425"/>
    <cellStyle name="E_3.금영 품번부여(VER 0.0_071213)_UGA-N10(Main_DPP2_Ver1)_2008.xx.xx" xfId="4426"/>
    <cellStyle name="E_3.금영 품번부여(VER 0.0_071213)_UGA-N10(Main_LPP_Ver1)_2008.xx.xx" xfId="4427"/>
    <cellStyle name="E_3.금영 품번부여(VER 0.0_071213)_UGA-N10(Main_PP2_Ver1)_2008.08.14" xfId="4428"/>
    <cellStyle name="E_3.K03_품번대장" xfId="4429"/>
    <cellStyle name="E_3.K03_품번대장 10" xfId="4430"/>
    <cellStyle name="E_3.K03_품번대장 11" xfId="4431"/>
    <cellStyle name="E_3.K03_품번대장 12" xfId="4432"/>
    <cellStyle name="E_3.K03_품번대장 13" xfId="4433"/>
    <cellStyle name="E_3.K03_품번대장 14" xfId="4434"/>
    <cellStyle name="E_3.K03_품번대장 15" xfId="4435"/>
    <cellStyle name="E_3.K03_품번대장 16" xfId="4436"/>
    <cellStyle name="E_3.K03_품번대장 17" xfId="4437"/>
    <cellStyle name="E_3.K03_품번대장 18" xfId="4438"/>
    <cellStyle name="E_3.K03_품번대장 2" xfId="4439"/>
    <cellStyle name="E_3.K03_품번대장 3" xfId="4440"/>
    <cellStyle name="E_3.K03_품번대장 4" xfId="4441"/>
    <cellStyle name="E_3.K03_품번대장 5" xfId="4442"/>
    <cellStyle name="E_3.K03_품번대장 6" xfId="4443"/>
    <cellStyle name="E_3.K03_품번대장 7" xfId="4444"/>
    <cellStyle name="E_3.K03_품번대장 8" xfId="4445"/>
    <cellStyle name="E_3.K03_품번대장 9" xfId="4446"/>
    <cellStyle name="E_3.K03_품번대장_BMB_UGA NEXT(audio_DPP2 Ver1.0)2008.xx.xx" xfId="4447"/>
    <cellStyle name="E_3.K03_품번대장_BMB_UGA NEXT(audio_DPP2 Ver2.0_2134 2EA삭제)2008.xx.xx" xfId="4448"/>
    <cellStyle name="E_3.K03_품번대장_Construction Parts_PP2" xfId="4449"/>
    <cellStyle name="E_3.K03_품번대장_Main Board" xfId="4450"/>
    <cellStyle name="E_3.K03_품번대장_Main Board_Construction Parts_PP2" xfId="4451"/>
    <cellStyle name="E_3.K03_품번대장_Main Board_MAIN PBA" xfId="4452"/>
    <cellStyle name="E_3.K03_품번대장_Main Board_PP1 (2)" xfId="4453"/>
    <cellStyle name="E_3.K03_품번대장_Main Board_UGA-N10(Main_MP4.5_Ver1)_2009.02.02" xfId="4454"/>
    <cellStyle name="E_3.K03_품번대장_UGA-N10(Audio_LPP Ver1.0)2008.xx.xx" xfId="4455"/>
    <cellStyle name="E_3.K03_품번대장_UGA-N10(Audio_PP2 Ver1.0)2008.08.09" xfId="4456"/>
    <cellStyle name="E_3.K03_품번대장_UGA-N10(Construction Parts_PP2_Ver1.0)2008.08.22" xfId="4457"/>
    <cellStyle name="E_3.K03_품번대장_UGA-N10(Front_PP2_Ver1.0)_2008.08.22" xfId="4458"/>
    <cellStyle name="E_3.K03_품번대장_UGA-N10(Main_DPP2_Ver1)_2008.xx.xx" xfId="4459"/>
    <cellStyle name="E_3.K03_품번대장_UGA-N10(Main_LPP_Ver1)_2008.xx.xx" xfId="4460"/>
    <cellStyle name="E_3.K03_품번대장_UGA-N10(Main_PP2_Ver1)_2008.08.14" xfId="4461"/>
    <cellStyle name="E_32.K32_품번대장" xfId="4462"/>
    <cellStyle name="E_32.K32_품번대장 10" xfId="4463"/>
    <cellStyle name="E_32.K32_품번대장 11" xfId="4464"/>
    <cellStyle name="E_32.K32_품번대장 12" xfId="4465"/>
    <cellStyle name="E_32.K32_품번대장 13" xfId="4466"/>
    <cellStyle name="E_32.K32_품번대장 14" xfId="4467"/>
    <cellStyle name="E_32.K32_품번대장 15" xfId="4468"/>
    <cellStyle name="E_32.K32_품번대장 16" xfId="4469"/>
    <cellStyle name="E_32.K32_품번대장 17" xfId="4470"/>
    <cellStyle name="E_32.K32_품번대장 18" xfId="4471"/>
    <cellStyle name="E_32.K32_품번대장 2" xfId="4472"/>
    <cellStyle name="E_32.K32_품번대장 3" xfId="4473"/>
    <cellStyle name="E_32.K32_품번대장 4" xfId="4474"/>
    <cellStyle name="E_32.K32_품번대장 5" xfId="4475"/>
    <cellStyle name="E_32.K32_품번대장 6" xfId="4476"/>
    <cellStyle name="E_32.K32_품번대장 7" xfId="4477"/>
    <cellStyle name="E_32.K32_품번대장 8" xfId="4478"/>
    <cellStyle name="E_32.K32_품번대장 9" xfId="4479"/>
    <cellStyle name="E_32.K32_품번대장_BMB_UGA NEXT(audio_DPP2 Ver1.0)2008.xx.xx" xfId="4480"/>
    <cellStyle name="E_32.K32_품번대장_BMB_UGA NEXT(audio_DPP2 Ver2.0_2134 2EA삭제)2008.xx.xx" xfId="4481"/>
    <cellStyle name="E_32.K32_품번대장_Construction Parts_PP2" xfId="4482"/>
    <cellStyle name="E_32.K32_품번대장_Main Board" xfId="4483"/>
    <cellStyle name="E_32.K32_품번대장_Main Board_Construction Parts_PP2" xfId="4484"/>
    <cellStyle name="E_32.K32_품번대장_Main Board_MAIN PBA" xfId="4485"/>
    <cellStyle name="E_32.K32_품번대장_Main Board_PP1 (2)" xfId="4486"/>
    <cellStyle name="E_32.K32_품번대장_Main Board_UGA-N10(Main_MP4.5_Ver1)_2009.02.02" xfId="4487"/>
    <cellStyle name="E_32.K32_품번대장_UGA-N10(Audio_LPP Ver1.0)2008.xx.xx" xfId="4488"/>
    <cellStyle name="E_32.K32_품번대장_UGA-N10(Audio_PP2 Ver1.0)2008.08.09" xfId="4489"/>
    <cellStyle name="E_32.K32_품번대장_UGA-N10(Construction Parts_PP2_Ver1.0)2008.08.22" xfId="4490"/>
    <cellStyle name="E_32.K32_품번대장_UGA-N10(Front_PP2_Ver1.0)_2008.08.22" xfId="4491"/>
    <cellStyle name="E_32.K32_품번대장_UGA-N10(Main_DPP2_Ver1)_2008.xx.xx" xfId="4492"/>
    <cellStyle name="E_32.K32_품번대장_UGA-N10(Main_LPP_Ver1)_2008.xx.xx" xfId="4493"/>
    <cellStyle name="E_32.K32_품번대장_UGA-N10(Main_PP2_Ver1)_2008.08.14" xfId="4494"/>
    <cellStyle name="E_33.K33_품번대장" xfId="4495"/>
    <cellStyle name="E_33.K33_품번대장 10" xfId="4496"/>
    <cellStyle name="E_33.K33_품번대장 11" xfId="4497"/>
    <cellStyle name="E_33.K33_품번대장 12" xfId="4498"/>
    <cellStyle name="E_33.K33_품번대장 13" xfId="4499"/>
    <cellStyle name="E_33.K33_품번대장 14" xfId="4500"/>
    <cellStyle name="E_33.K33_품번대장 15" xfId="4501"/>
    <cellStyle name="E_33.K33_품번대장 16" xfId="4502"/>
    <cellStyle name="E_33.K33_품번대장 17" xfId="4503"/>
    <cellStyle name="E_33.K33_품번대장 18" xfId="4504"/>
    <cellStyle name="E_33.K33_품번대장 2" xfId="4505"/>
    <cellStyle name="E_33.K33_품번대장 3" xfId="4506"/>
    <cellStyle name="E_33.K33_품번대장 4" xfId="4507"/>
    <cellStyle name="E_33.K33_품번대장 5" xfId="4508"/>
    <cellStyle name="E_33.K33_품번대장 6" xfId="4509"/>
    <cellStyle name="E_33.K33_품번대장 7" xfId="4510"/>
    <cellStyle name="E_33.K33_품번대장 8" xfId="4511"/>
    <cellStyle name="E_33.K33_품번대장 9" xfId="4512"/>
    <cellStyle name="E_33.K33_품번대장_BMB_UGA NEXT(audio_DPP2 Ver1.0)2008.xx.xx" xfId="4513"/>
    <cellStyle name="E_33.K33_품번대장_BMB_UGA NEXT(audio_DPP2 Ver2.0_2134 2EA삭제)2008.xx.xx" xfId="4514"/>
    <cellStyle name="E_33.K33_품번대장_Construction Parts_PP2" xfId="4515"/>
    <cellStyle name="E_33.K33_품번대장_Main Board" xfId="4516"/>
    <cellStyle name="E_33.K33_품번대장_Main Board_Construction Parts_PP2" xfId="4517"/>
    <cellStyle name="E_33.K33_품번대장_Main Board_MAIN PBA" xfId="4518"/>
    <cellStyle name="E_33.K33_품번대장_Main Board_PP1 (2)" xfId="4519"/>
    <cellStyle name="E_33.K33_품번대장_Main Board_UGA-N10(Main_MP4.5_Ver1)_2009.02.02" xfId="4520"/>
    <cellStyle name="E_33.K33_품번대장_UGA-N10(Audio_LPP Ver1.0)2008.xx.xx" xfId="4521"/>
    <cellStyle name="E_33.K33_품번대장_UGA-N10(Audio_PP2 Ver1.0)2008.08.09" xfId="4522"/>
    <cellStyle name="E_33.K33_품번대장_UGA-N10(Construction Parts_PP2_Ver1.0)2008.08.22" xfId="4523"/>
    <cellStyle name="E_33.K33_품번대장_UGA-N10(Front_PP2_Ver1.0)_2008.08.22" xfId="4524"/>
    <cellStyle name="E_33.K33_품번대장_UGA-N10(Main_DPP2_Ver1)_2008.xx.xx" xfId="4525"/>
    <cellStyle name="E_33.K33_품번대장_UGA-N10(Main_LPP_Ver1)_2008.xx.xx" xfId="4526"/>
    <cellStyle name="E_33.K33_품번대장_UGA-N10(Main_PP2_Ver1)_2008.08.14" xfId="4527"/>
    <cellStyle name="E_34.K34_품번대장" xfId="4528"/>
    <cellStyle name="E_34.K34_품번대장 10" xfId="4529"/>
    <cellStyle name="E_34.K34_품번대장 11" xfId="4530"/>
    <cellStyle name="E_34.K34_품번대장 12" xfId="4531"/>
    <cellStyle name="E_34.K34_품번대장 13" xfId="4532"/>
    <cellStyle name="E_34.K34_품번대장 14" xfId="4533"/>
    <cellStyle name="E_34.K34_품번대장 15" xfId="4534"/>
    <cellStyle name="E_34.K34_품번대장 16" xfId="4535"/>
    <cellStyle name="E_34.K34_품번대장 17" xfId="4536"/>
    <cellStyle name="E_34.K34_품번대장 18" xfId="4537"/>
    <cellStyle name="E_34.K34_품번대장 2" xfId="4538"/>
    <cellStyle name="E_34.K34_품번대장 3" xfId="4539"/>
    <cellStyle name="E_34.K34_품번대장 4" xfId="4540"/>
    <cellStyle name="E_34.K34_품번대장 5" xfId="4541"/>
    <cellStyle name="E_34.K34_품번대장 6" xfId="4542"/>
    <cellStyle name="E_34.K34_품번대장 7" xfId="4543"/>
    <cellStyle name="E_34.K34_품번대장 8" xfId="4544"/>
    <cellStyle name="E_34.K34_품번대장 9" xfId="4545"/>
    <cellStyle name="E_34.K34_품번대장_BMB_UGA NEXT(audio_DPP2 Ver1.0)2008.xx.xx" xfId="4546"/>
    <cellStyle name="E_34.K34_품번대장_BMB_UGA NEXT(audio_DPP2 Ver2.0_2134 2EA삭제)2008.xx.xx" xfId="4547"/>
    <cellStyle name="E_34.K34_품번대장_Construction Parts_PP2" xfId="4548"/>
    <cellStyle name="E_34.K34_품번대장_Main Board" xfId="4549"/>
    <cellStyle name="E_34.K34_품번대장_Main Board_Construction Parts_PP2" xfId="4550"/>
    <cellStyle name="E_34.K34_품번대장_Main Board_MAIN PBA" xfId="4551"/>
    <cellStyle name="E_34.K34_품번대장_Main Board_PP1 (2)" xfId="4552"/>
    <cellStyle name="E_34.K34_품번대장_Main Board_UGA-N10(Main_MP4.5_Ver1)_2009.02.02" xfId="4553"/>
    <cellStyle name="E_34.K34_품번대장_UGA-N10(Audio_LPP Ver1.0)2008.xx.xx" xfId="4554"/>
    <cellStyle name="E_34.K34_품번대장_UGA-N10(Audio_PP2 Ver1.0)2008.08.09" xfId="4555"/>
    <cellStyle name="E_34.K34_품번대장_UGA-N10(Construction Parts_PP2_Ver1.0)2008.08.22" xfId="4556"/>
    <cellStyle name="E_34.K34_품번대장_UGA-N10(Front_PP2_Ver1.0)_2008.08.22" xfId="4557"/>
    <cellStyle name="E_34.K34_품번대장_UGA-N10(Main_DPP2_Ver1)_2008.xx.xx" xfId="4558"/>
    <cellStyle name="E_34.K34_품번대장_UGA-N10(Main_LPP_Ver1)_2008.xx.xx" xfId="4559"/>
    <cellStyle name="E_34.K34_품번대장_UGA-N10(Main_PP2_Ver1)_2008.08.14" xfId="4560"/>
    <cellStyle name="E_35.K35_품번대장" xfId="4561"/>
    <cellStyle name="E_35.K35_품번대장 10" xfId="4562"/>
    <cellStyle name="E_35.K35_품번대장 11" xfId="4563"/>
    <cellStyle name="E_35.K35_품번대장 12" xfId="4564"/>
    <cellStyle name="E_35.K35_품번대장 13" xfId="4565"/>
    <cellStyle name="E_35.K35_품번대장 14" xfId="4566"/>
    <cellStyle name="E_35.K35_품번대장 15" xfId="4567"/>
    <cellStyle name="E_35.K35_품번대장 16" xfId="4568"/>
    <cellStyle name="E_35.K35_품번대장 17" xfId="4569"/>
    <cellStyle name="E_35.K35_품번대장 18" xfId="4570"/>
    <cellStyle name="E_35.K35_품번대장 2" xfId="4571"/>
    <cellStyle name="E_35.K35_품번대장 3" xfId="4572"/>
    <cellStyle name="E_35.K35_품번대장 4" xfId="4573"/>
    <cellStyle name="E_35.K35_품번대장 5" xfId="4574"/>
    <cellStyle name="E_35.K35_품번대장 6" xfId="4575"/>
    <cellStyle name="E_35.K35_품번대장 7" xfId="4576"/>
    <cellStyle name="E_35.K35_품번대장 8" xfId="4577"/>
    <cellStyle name="E_35.K35_품번대장 9" xfId="4578"/>
    <cellStyle name="E_35.K35_품번대장_BMB_UGA NEXT(audio_DPP2 Ver1.0)2008.xx.xx" xfId="4579"/>
    <cellStyle name="E_35.K35_품번대장_BMB_UGA NEXT(audio_DPP2 Ver2.0_2134 2EA삭제)2008.xx.xx" xfId="4580"/>
    <cellStyle name="E_35.K35_품번대장_Construction Parts_PP2" xfId="4581"/>
    <cellStyle name="E_35.K35_품번대장_Main Board" xfId="4582"/>
    <cellStyle name="E_35.K35_품번대장_Main Board_Construction Parts_PP2" xfId="4583"/>
    <cellStyle name="E_35.K35_품번대장_Main Board_MAIN PBA" xfId="4584"/>
    <cellStyle name="E_35.K35_품번대장_Main Board_PP1 (2)" xfId="4585"/>
    <cellStyle name="E_35.K35_품번대장_Main Board_UGA-N10(Main_MP4.5_Ver1)_2009.02.02" xfId="4586"/>
    <cellStyle name="E_35.K35_품번대장_UGA-N10(Audio_LPP Ver1.0)2008.xx.xx" xfId="4587"/>
    <cellStyle name="E_35.K35_품번대장_UGA-N10(Audio_PP2 Ver1.0)2008.08.09" xfId="4588"/>
    <cellStyle name="E_35.K35_품번대장_UGA-N10(Construction Parts_PP2_Ver1.0)2008.08.22" xfId="4589"/>
    <cellStyle name="E_35.K35_품번대장_UGA-N10(Front_PP2_Ver1.0)_2008.08.22" xfId="4590"/>
    <cellStyle name="E_35.K35_품번대장_UGA-N10(Main_DPP2_Ver1)_2008.xx.xx" xfId="4591"/>
    <cellStyle name="E_35.K35_품번대장_UGA-N10(Main_LPP_Ver1)_2008.xx.xx" xfId="4592"/>
    <cellStyle name="E_35.K35_품번대장_UGA-N10(Main_PP2_Ver1)_2008.08.14" xfId="4593"/>
    <cellStyle name="E_36.K36_품번대장" xfId="4594"/>
    <cellStyle name="E_36.K36_품번대장 10" xfId="4595"/>
    <cellStyle name="E_36.K36_품번대장 11" xfId="4596"/>
    <cellStyle name="E_36.K36_품번대장 12" xfId="4597"/>
    <cellStyle name="E_36.K36_품번대장 13" xfId="4598"/>
    <cellStyle name="E_36.K36_품번대장 14" xfId="4599"/>
    <cellStyle name="E_36.K36_품번대장 15" xfId="4600"/>
    <cellStyle name="E_36.K36_품번대장 16" xfId="4601"/>
    <cellStyle name="E_36.K36_품번대장 17" xfId="4602"/>
    <cellStyle name="E_36.K36_품번대장 18" xfId="4603"/>
    <cellStyle name="E_36.K36_품번대장 2" xfId="4604"/>
    <cellStyle name="E_36.K36_품번대장 3" xfId="4605"/>
    <cellStyle name="E_36.K36_품번대장 4" xfId="4606"/>
    <cellStyle name="E_36.K36_품번대장 5" xfId="4607"/>
    <cellStyle name="E_36.K36_품번대장 6" xfId="4608"/>
    <cellStyle name="E_36.K36_품번대장 7" xfId="4609"/>
    <cellStyle name="E_36.K36_품번대장 8" xfId="4610"/>
    <cellStyle name="E_36.K36_품번대장 9" xfId="4611"/>
    <cellStyle name="E_36.K36_품번대장_BMB_UGA NEXT(audio_DPP2 Ver1.0)2008.xx.xx" xfId="4612"/>
    <cellStyle name="E_36.K36_품번대장_BMB_UGA NEXT(audio_DPP2 Ver2.0_2134 2EA삭제)2008.xx.xx" xfId="4613"/>
    <cellStyle name="E_36.K36_품번대장_Construction Parts_PP2" xfId="4614"/>
    <cellStyle name="E_36.K36_품번대장_Main Board" xfId="4615"/>
    <cellStyle name="E_36.K36_품번대장_Main Board_Construction Parts_PP2" xfId="4616"/>
    <cellStyle name="E_36.K36_품번대장_Main Board_MAIN PBA" xfId="4617"/>
    <cellStyle name="E_36.K36_품번대장_Main Board_PP1 (2)" xfId="4618"/>
    <cellStyle name="E_36.K36_품번대장_Main Board_UGA-N10(Main_MP4.5_Ver1)_2009.02.02" xfId="4619"/>
    <cellStyle name="E_36.K36_품번대장_UGA-N10(Audio_LPP Ver1.0)2008.xx.xx" xfId="4620"/>
    <cellStyle name="E_36.K36_품번대장_UGA-N10(Audio_PP2 Ver1.0)2008.08.09" xfId="4621"/>
    <cellStyle name="E_36.K36_품번대장_UGA-N10(Construction Parts_PP2_Ver1.0)2008.08.22" xfId="4622"/>
    <cellStyle name="E_36.K36_품번대장_UGA-N10(Front_PP2_Ver1.0)_2008.08.22" xfId="4623"/>
    <cellStyle name="E_36.K36_품번대장_UGA-N10(Main_DPP2_Ver1)_2008.xx.xx" xfId="4624"/>
    <cellStyle name="E_36.K36_품번대장_UGA-N10(Main_LPP_Ver1)_2008.xx.xx" xfId="4625"/>
    <cellStyle name="E_36.K36_품번대장_UGA-N10(Main_PP2_Ver1)_2008.08.14" xfId="4626"/>
    <cellStyle name="E_37.K37_품번대장" xfId="4627"/>
    <cellStyle name="E_37.K37_품번대장 10" xfId="4628"/>
    <cellStyle name="E_37.K37_품번대장 11" xfId="4629"/>
    <cellStyle name="E_37.K37_품번대장 12" xfId="4630"/>
    <cellStyle name="E_37.K37_품번대장 13" xfId="4631"/>
    <cellStyle name="E_37.K37_품번대장 14" xfId="4632"/>
    <cellStyle name="E_37.K37_품번대장 15" xfId="4633"/>
    <cellStyle name="E_37.K37_품번대장 16" xfId="4634"/>
    <cellStyle name="E_37.K37_품번대장 17" xfId="4635"/>
    <cellStyle name="E_37.K37_품번대장 18" xfId="4636"/>
    <cellStyle name="E_37.K37_품번대장 2" xfId="4637"/>
    <cellStyle name="E_37.K37_품번대장 3" xfId="4638"/>
    <cellStyle name="E_37.K37_품번대장 4" xfId="4639"/>
    <cellStyle name="E_37.K37_품번대장 5" xfId="4640"/>
    <cellStyle name="E_37.K37_품번대장 6" xfId="4641"/>
    <cellStyle name="E_37.K37_품번대장 7" xfId="4642"/>
    <cellStyle name="E_37.K37_품번대장 8" xfId="4643"/>
    <cellStyle name="E_37.K37_품번대장 9" xfId="4644"/>
    <cellStyle name="E_37.K37_품번대장_BMB_UGA NEXT(audio_DPP2 Ver1.0)2008.xx.xx" xfId="4645"/>
    <cellStyle name="E_37.K37_품번대장_BMB_UGA NEXT(audio_DPP2 Ver2.0_2134 2EA삭제)2008.xx.xx" xfId="4646"/>
    <cellStyle name="E_37.K37_품번대장_Construction Parts_PP2" xfId="4647"/>
    <cellStyle name="E_37.K37_품번대장_Main Board" xfId="4648"/>
    <cellStyle name="E_37.K37_품번대장_Main Board_Construction Parts_PP2" xfId="4649"/>
    <cellStyle name="E_37.K37_품번대장_Main Board_MAIN PBA" xfId="4650"/>
    <cellStyle name="E_37.K37_품번대장_Main Board_PP1 (2)" xfId="4651"/>
    <cellStyle name="E_37.K37_품번대장_Main Board_UGA-N10(Main_MP4.5_Ver1)_2009.02.02" xfId="4652"/>
    <cellStyle name="E_37.K37_품번대장_UGA-N10(Audio_LPP Ver1.0)2008.xx.xx" xfId="4653"/>
    <cellStyle name="E_37.K37_품번대장_UGA-N10(Audio_PP2 Ver1.0)2008.08.09" xfId="4654"/>
    <cellStyle name="E_37.K37_품번대장_UGA-N10(Construction Parts_PP2_Ver1.0)2008.08.22" xfId="4655"/>
    <cellStyle name="E_37.K37_품번대장_UGA-N10(Front_PP2_Ver1.0)_2008.08.22" xfId="4656"/>
    <cellStyle name="E_37.K37_품번대장_UGA-N10(Main_DPP2_Ver1)_2008.xx.xx" xfId="4657"/>
    <cellStyle name="E_37.K37_품번대장_UGA-N10(Main_LPP_Ver1)_2008.xx.xx" xfId="4658"/>
    <cellStyle name="E_37.K37_품번대장_UGA-N10(Main_PP2_Ver1)_2008.08.14" xfId="4659"/>
    <cellStyle name="E_38.K38_품번대장" xfId="4660"/>
    <cellStyle name="E_38.K38_품번대장 10" xfId="4661"/>
    <cellStyle name="E_38.K38_품번대장 11" xfId="4662"/>
    <cellStyle name="E_38.K38_품번대장 12" xfId="4663"/>
    <cellStyle name="E_38.K38_품번대장 13" xfId="4664"/>
    <cellStyle name="E_38.K38_품번대장 14" xfId="4665"/>
    <cellStyle name="E_38.K38_품번대장 15" xfId="4666"/>
    <cellStyle name="E_38.K38_품번대장 16" xfId="4667"/>
    <cellStyle name="E_38.K38_품번대장 17" xfId="4668"/>
    <cellStyle name="E_38.K38_품번대장 18" xfId="4669"/>
    <cellStyle name="E_38.K38_품번대장 2" xfId="4670"/>
    <cellStyle name="E_38.K38_품번대장 3" xfId="4671"/>
    <cellStyle name="E_38.K38_품번대장 4" xfId="4672"/>
    <cellStyle name="E_38.K38_품번대장 5" xfId="4673"/>
    <cellStyle name="E_38.K38_품번대장 6" xfId="4674"/>
    <cellStyle name="E_38.K38_품번대장 7" xfId="4675"/>
    <cellStyle name="E_38.K38_품번대장 8" xfId="4676"/>
    <cellStyle name="E_38.K38_품번대장 9" xfId="4677"/>
    <cellStyle name="E_38.K38_품번대장_BMB_UGA NEXT(audio_DPP2 Ver1.0)2008.xx.xx" xfId="4678"/>
    <cellStyle name="E_38.K38_품번대장_BMB_UGA NEXT(audio_DPP2 Ver2.0_2134 2EA삭제)2008.xx.xx" xfId="4679"/>
    <cellStyle name="E_38.K38_품번대장_Construction Parts_PP2" xfId="4680"/>
    <cellStyle name="E_38.K38_품번대장_Main Board" xfId="4681"/>
    <cellStyle name="E_38.K38_품번대장_Main Board_Construction Parts_PP2" xfId="4682"/>
    <cellStyle name="E_38.K38_품번대장_Main Board_MAIN PBA" xfId="4683"/>
    <cellStyle name="E_38.K38_품번대장_Main Board_PP1 (2)" xfId="4684"/>
    <cellStyle name="E_38.K38_품번대장_Main Board_UGA-N10(Main_MP4.5_Ver1)_2009.02.02" xfId="4685"/>
    <cellStyle name="E_38.K38_품번대장_UGA-N10(Audio_LPP Ver1.0)2008.xx.xx" xfId="4686"/>
    <cellStyle name="E_38.K38_품번대장_UGA-N10(Audio_PP2 Ver1.0)2008.08.09" xfId="4687"/>
    <cellStyle name="E_38.K38_품번대장_UGA-N10(Construction Parts_PP2_Ver1.0)2008.08.22" xfId="4688"/>
    <cellStyle name="E_38.K38_품번대장_UGA-N10(Front_PP2_Ver1.0)_2008.08.22" xfId="4689"/>
    <cellStyle name="E_38.K38_품번대장_UGA-N10(Main_DPP2_Ver1)_2008.xx.xx" xfId="4690"/>
    <cellStyle name="E_38.K38_품번대장_UGA-N10(Main_LPP_Ver1)_2008.xx.xx" xfId="4691"/>
    <cellStyle name="E_38.K38_품번대장_UGA-N10(Main_PP2_Ver1)_2008.08.14" xfId="4692"/>
    <cellStyle name="E_4.K04_품번대장" xfId="4693"/>
    <cellStyle name="E_4.K04_품번대장 10" xfId="4694"/>
    <cellStyle name="E_4.K04_품번대장 11" xfId="4695"/>
    <cellStyle name="E_4.K04_품번대장 12" xfId="4696"/>
    <cellStyle name="E_4.K04_품번대장 13" xfId="4697"/>
    <cellStyle name="E_4.K04_품번대장 14" xfId="4698"/>
    <cellStyle name="E_4.K04_품번대장 15" xfId="4699"/>
    <cellStyle name="E_4.K04_품번대장 16" xfId="4700"/>
    <cellStyle name="E_4.K04_품번대장 17" xfId="4701"/>
    <cellStyle name="E_4.K04_품번대장 18" xfId="4702"/>
    <cellStyle name="E_4.K04_품번대장 2" xfId="4703"/>
    <cellStyle name="E_4.K04_품번대장 3" xfId="4704"/>
    <cellStyle name="E_4.K04_품번대장 4" xfId="4705"/>
    <cellStyle name="E_4.K04_품번대장 5" xfId="4706"/>
    <cellStyle name="E_4.K04_품번대장 6" xfId="4707"/>
    <cellStyle name="E_4.K04_품번대장 7" xfId="4708"/>
    <cellStyle name="E_4.K04_품번대장 8" xfId="4709"/>
    <cellStyle name="E_4.K04_품번대장 9" xfId="4710"/>
    <cellStyle name="E_4.K04_품번대장_BMB_UGA NEXT(audio_DPP2 Ver1.0)2008.xx.xx" xfId="4711"/>
    <cellStyle name="E_4.K04_품번대장_BMB_UGA NEXT(audio_DPP2 Ver2.0_2134 2EA삭제)2008.xx.xx" xfId="4712"/>
    <cellStyle name="E_4.K04_품번대장_Construction Parts_PP2" xfId="4713"/>
    <cellStyle name="E_4.K04_품번대장_Main Board" xfId="4714"/>
    <cellStyle name="E_4.K04_품번대장_Main Board_Construction Parts_PP2" xfId="4715"/>
    <cellStyle name="E_4.K04_품번대장_Main Board_MAIN PBA" xfId="4716"/>
    <cellStyle name="E_4.K04_품번대장_Main Board_PP1 (2)" xfId="4717"/>
    <cellStyle name="E_4.K04_품번대장_Main Board_UGA-N10(Main_MP4.5_Ver1)_2009.02.02" xfId="4718"/>
    <cellStyle name="E_4.K04_품번대장_UGA-N10(Audio_LPP Ver1.0)2008.xx.xx" xfId="4719"/>
    <cellStyle name="E_4.K04_품번대장_UGA-N10(Audio_PP2 Ver1.0)2008.08.09" xfId="4720"/>
    <cellStyle name="E_4.K04_품번대장_UGA-N10(Construction Parts_PP2_Ver1.0)2008.08.22" xfId="4721"/>
    <cellStyle name="E_4.K04_품번대장_UGA-N10(Front_PP2_Ver1.0)_2008.08.22" xfId="4722"/>
    <cellStyle name="E_4.K04_품번대장_UGA-N10(Main_DPP2_Ver1)_2008.xx.xx" xfId="4723"/>
    <cellStyle name="E_4.K04_품번대장_UGA-N10(Main_LPP_Ver1)_2008.xx.xx" xfId="4724"/>
    <cellStyle name="E_4.K04_품번대장_UGA-N10(Main_PP2_Ver1)_2008.08.14" xfId="4725"/>
    <cellStyle name="E_42.K42_품번대장" xfId="4726"/>
    <cellStyle name="E_42.K42_품번대장 10" xfId="4727"/>
    <cellStyle name="E_42.K42_품번대장 11" xfId="4728"/>
    <cellStyle name="E_42.K42_품번대장 12" xfId="4729"/>
    <cellStyle name="E_42.K42_품번대장 13" xfId="4730"/>
    <cellStyle name="E_42.K42_품번대장 14" xfId="4731"/>
    <cellStyle name="E_42.K42_품번대장 15" xfId="4732"/>
    <cellStyle name="E_42.K42_품번대장 16" xfId="4733"/>
    <cellStyle name="E_42.K42_품번대장 17" xfId="4734"/>
    <cellStyle name="E_42.K42_품번대장 18" xfId="4735"/>
    <cellStyle name="E_42.K42_품번대장 2" xfId="4736"/>
    <cellStyle name="E_42.K42_품번대장 3" xfId="4737"/>
    <cellStyle name="E_42.K42_품번대장 4" xfId="4738"/>
    <cellStyle name="E_42.K42_품번대장 5" xfId="4739"/>
    <cellStyle name="E_42.K42_품번대장 6" xfId="4740"/>
    <cellStyle name="E_42.K42_품번대장 7" xfId="4741"/>
    <cellStyle name="E_42.K42_품번대장 8" xfId="4742"/>
    <cellStyle name="E_42.K42_품번대장 9" xfId="4743"/>
    <cellStyle name="E_42.K42_품번대장_BMB_UGA NEXT(audio_DPP2 Ver1.0)2008.xx.xx" xfId="4744"/>
    <cellStyle name="E_42.K42_품번대장_BMB_UGA NEXT(audio_DPP2 Ver2.0_2134 2EA삭제)2008.xx.xx" xfId="4745"/>
    <cellStyle name="E_42.K42_품번대장_Construction Parts_PP2" xfId="4746"/>
    <cellStyle name="E_42.K42_품번대장_Main Board" xfId="4747"/>
    <cellStyle name="E_42.K42_품번대장_Main Board_Construction Parts_PP2" xfId="4748"/>
    <cellStyle name="E_42.K42_품번대장_Main Board_MAIN PBA" xfId="4749"/>
    <cellStyle name="E_42.K42_품번대장_Main Board_PP1 (2)" xfId="4750"/>
    <cellStyle name="E_42.K42_품번대장_Main Board_UGA-N10(Main_MP4.5_Ver1)_2009.02.02" xfId="4751"/>
    <cellStyle name="E_42.K42_품번대장_UGA-N10(Audio_LPP Ver1.0)2008.xx.xx" xfId="4752"/>
    <cellStyle name="E_42.K42_품번대장_UGA-N10(Audio_PP2 Ver1.0)2008.08.09" xfId="4753"/>
    <cellStyle name="E_42.K42_품번대장_UGA-N10(Construction Parts_PP2_Ver1.0)2008.08.22" xfId="4754"/>
    <cellStyle name="E_42.K42_품번대장_UGA-N10(Front_PP2_Ver1.0)_2008.08.22" xfId="4755"/>
    <cellStyle name="E_42.K42_품번대장_UGA-N10(Main_DPP2_Ver1)_2008.xx.xx" xfId="4756"/>
    <cellStyle name="E_42.K42_품번대장_UGA-N10(Main_LPP_Ver1)_2008.xx.xx" xfId="4757"/>
    <cellStyle name="E_42.K42_품번대장_UGA-N10(Main_PP2_Ver1)_2008.08.14" xfId="4758"/>
    <cellStyle name="E_45.K45_품번대장" xfId="4759"/>
    <cellStyle name="E_45.K45_품번대장 10" xfId="4760"/>
    <cellStyle name="E_45.K45_품번대장 11" xfId="4761"/>
    <cellStyle name="E_45.K45_품번대장 12" xfId="4762"/>
    <cellStyle name="E_45.K45_품번대장 13" xfId="4763"/>
    <cellStyle name="E_45.K45_품번대장 14" xfId="4764"/>
    <cellStyle name="E_45.K45_품번대장 15" xfId="4765"/>
    <cellStyle name="E_45.K45_품번대장 16" xfId="4766"/>
    <cellStyle name="E_45.K45_품번대장 17" xfId="4767"/>
    <cellStyle name="E_45.K45_품번대장 18" xfId="4768"/>
    <cellStyle name="E_45.K45_품번대장 2" xfId="4769"/>
    <cellStyle name="E_45.K45_품번대장 3" xfId="4770"/>
    <cellStyle name="E_45.K45_품번대장 4" xfId="4771"/>
    <cellStyle name="E_45.K45_품번대장 5" xfId="4772"/>
    <cellStyle name="E_45.K45_품번대장 6" xfId="4773"/>
    <cellStyle name="E_45.K45_품번대장 7" xfId="4774"/>
    <cellStyle name="E_45.K45_품번대장 8" xfId="4775"/>
    <cellStyle name="E_45.K45_품번대장 9" xfId="4776"/>
    <cellStyle name="E_45.K45_품번대장_BMB_UGA NEXT(audio_DPP2 Ver1.0)2008.xx.xx" xfId="4777"/>
    <cellStyle name="E_45.K45_품번대장_BMB_UGA NEXT(audio_DPP2 Ver2.0_2134 2EA삭제)2008.xx.xx" xfId="4778"/>
    <cellStyle name="E_45.K45_품번대장_Construction Parts_PP2" xfId="4779"/>
    <cellStyle name="E_45.K45_품번대장_Main Board" xfId="4780"/>
    <cellStyle name="E_45.K45_품번대장_Main Board_Construction Parts_PP2" xfId="4781"/>
    <cellStyle name="E_45.K45_품번대장_Main Board_MAIN PBA" xfId="4782"/>
    <cellStyle name="E_45.K45_품번대장_Main Board_PP1 (2)" xfId="4783"/>
    <cellStyle name="E_45.K45_품번대장_Main Board_UGA-N10(Main_MP4.5_Ver1)_2009.02.02" xfId="4784"/>
    <cellStyle name="E_45.K45_품번대장_UGA-N10(Audio_LPP Ver1.0)2008.xx.xx" xfId="4785"/>
    <cellStyle name="E_45.K45_품번대장_UGA-N10(Audio_PP2 Ver1.0)2008.08.09" xfId="4786"/>
    <cellStyle name="E_45.K45_품번대장_UGA-N10(Construction Parts_PP2_Ver1.0)2008.08.22" xfId="4787"/>
    <cellStyle name="E_45.K45_품번대장_UGA-N10(Front_PP2_Ver1.0)_2008.08.22" xfId="4788"/>
    <cellStyle name="E_45.K45_품번대장_UGA-N10(Main_DPP2_Ver1)_2008.xx.xx" xfId="4789"/>
    <cellStyle name="E_45.K45_품번대장_UGA-N10(Main_LPP_Ver1)_2008.xx.xx" xfId="4790"/>
    <cellStyle name="E_45.K45_품번대장_UGA-N10(Main_PP2_Ver1)_2008.08.14" xfId="4791"/>
    <cellStyle name="E_47.K47_품번대장" xfId="4792"/>
    <cellStyle name="E_47.K47_품번대장 10" xfId="4793"/>
    <cellStyle name="E_47.K47_품번대장 11" xfId="4794"/>
    <cellStyle name="E_47.K47_품번대장 12" xfId="4795"/>
    <cellStyle name="E_47.K47_품번대장 13" xfId="4796"/>
    <cellStyle name="E_47.K47_품번대장 14" xfId="4797"/>
    <cellStyle name="E_47.K47_품번대장 15" xfId="4798"/>
    <cellStyle name="E_47.K47_품번대장 16" xfId="4799"/>
    <cellStyle name="E_47.K47_품번대장 17" xfId="4800"/>
    <cellStyle name="E_47.K47_품번대장 18" xfId="4801"/>
    <cellStyle name="E_47.K47_품번대장 2" xfId="4802"/>
    <cellStyle name="E_47.K47_품번대장 3" xfId="4803"/>
    <cellStyle name="E_47.K47_품번대장 4" xfId="4804"/>
    <cellStyle name="E_47.K47_품번대장 5" xfId="4805"/>
    <cellStyle name="E_47.K47_품번대장 6" xfId="4806"/>
    <cellStyle name="E_47.K47_품번대장 7" xfId="4807"/>
    <cellStyle name="E_47.K47_품번대장 8" xfId="4808"/>
    <cellStyle name="E_47.K47_품번대장 9" xfId="4809"/>
    <cellStyle name="E_47.K47_품번대장_BMB_UGA NEXT(audio_DPP2 Ver1.0)2008.xx.xx" xfId="4810"/>
    <cellStyle name="E_47.K47_품번대장_BMB_UGA NEXT(audio_DPP2 Ver2.0_2134 2EA삭제)2008.xx.xx" xfId="4811"/>
    <cellStyle name="E_47.K47_품번대장_Construction Parts_PP2" xfId="4812"/>
    <cellStyle name="E_47.K47_품번대장_Main Board" xfId="4813"/>
    <cellStyle name="E_47.K47_품번대장_Main Board_Construction Parts_PP2" xfId="4814"/>
    <cellStyle name="E_47.K47_품번대장_Main Board_MAIN PBA" xfId="4815"/>
    <cellStyle name="E_47.K47_품번대장_Main Board_PP1 (2)" xfId="4816"/>
    <cellStyle name="E_47.K47_품번대장_Main Board_UGA-N10(Main_MP4.5_Ver1)_2009.02.02" xfId="4817"/>
    <cellStyle name="E_47.K47_품번대장_UGA-N10(Audio_LPP Ver1.0)2008.xx.xx" xfId="4818"/>
    <cellStyle name="E_47.K47_품번대장_UGA-N10(Audio_PP2 Ver1.0)2008.08.09" xfId="4819"/>
    <cellStyle name="E_47.K47_품번대장_UGA-N10(Construction Parts_PP2_Ver1.0)2008.08.22" xfId="4820"/>
    <cellStyle name="E_47.K47_품번대장_UGA-N10(Front_PP2_Ver1.0)_2008.08.22" xfId="4821"/>
    <cellStyle name="E_47.K47_품번대장_UGA-N10(Main_DPP2_Ver1)_2008.xx.xx" xfId="4822"/>
    <cellStyle name="E_47.K47_품번대장_UGA-N10(Main_LPP_Ver1)_2008.xx.xx" xfId="4823"/>
    <cellStyle name="E_47.K47_품번대장_UGA-N10(Main_PP2_Ver1)_2008.08.14" xfId="4824"/>
    <cellStyle name="E_49.K49_품번대장" xfId="4825"/>
    <cellStyle name="E_49.K49_품번대장 10" xfId="4826"/>
    <cellStyle name="E_49.K49_품번대장 11" xfId="4827"/>
    <cellStyle name="E_49.K49_품번대장 12" xfId="4828"/>
    <cellStyle name="E_49.K49_품번대장 13" xfId="4829"/>
    <cellStyle name="E_49.K49_품번대장 14" xfId="4830"/>
    <cellStyle name="E_49.K49_품번대장 15" xfId="4831"/>
    <cellStyle name="E_49.K49_품번대장 16" xfId="4832"/>
    <cellStyle name="E_49.K49_품번대장 17" xfId="4833"/>
    <cellStyle name="E_49.K49_품번대장 18" xfId="4834"/>
    <cellStyle name="E_49.K49_품번대장 2" xfId="4835"/>
    <cellStyle name="E_49.K49_품번대장 3" xfId="4836"/>
    <cellStyle name="E_49.K49_품번대장 4" xfId="4837"/>
    <cellStyle name="E_49.K49_품번대장 5" xfId="4838"/>
    <cellStyle name="E_49.K49_품번대장 6" xfId="4839"/>
    <cellStyle name="E_49.K49_품번대장 7" xfId="4840"/>
    <cellStyle name="E_49.K49_품번대장 8" xfId="4841"/>
    <cellStyle name="E_49.K49_품번대장 9" xfId="4842"/>
    <cellStyle name="E_49.K49_품번대장_BMB_UGA NEXT(audio_DPP2 Ver1.0)2008.xx.xx" xfId="4843"/>
    <cellStyle name="E_49.K49_품번대장_BMB_UGA NEXT(audio_DPP2 Ver2.0_2134 2EA삭제)2008.xx.xx" xfId="4844"/>
    <cellStyle name="E_49.K49_품번대장_Construction Parts_PP2" xfId="4845"/>
    <cellStyle name="E_49.K49_품번대장_Main Board" xfId="4846"/>
    <cellStyle name="E_49.K49_품번대장_Main Board_Construction Parts_PP2" xfId="4847"/>
    <cellStyle name="E_49.K49_품번대장_Main Board_MAIN PBA" xfId="4848"/>
    <cellStyle name="E_49.K49_품번대장_Main Board_PP1 (2)" xfId="4849"/>
    <cellStyle name="E_49.K49_품번대장_Main Board_UGA-N10(Main_MP4.5_Ver1)_2009.02.02" xfId="4850"/>
    <cellStyle name="E_49.K49_품번대장_UGA-N10(Audio_LPP Ver1.0)2008.xx.xx" xfId="4851"/>
    <cellStyle name="E_49.K49_품번대장_UGA-N10(Audio_PP2 Ver1.0)2008.08.09" xfId="4852"/>
    <cellStyle name="E_49.K49_품번대장_UGA-N10(Construction Parts_PP2_Ver1.0)2008.08.22" xfId="4853"/>
    <cellStyle name="E_49.K49_품번대장_UGA-N10(Front_PP2_Ver1.0)_2008.08.22" xfId="4854"/>
    <cellStyle name="E_49.K49_품번대장_UGA-N10(Main_DPP2_Ver1)_2008.xx.xx" xfId="4855"/>
    <cellStyle name="E_49.K49_품번대장_UGA-N10(Main_LPP_Ver1)_2008.xx.xx" xfId="4856"/>
    <cellStyle name="E_49.K49_품번대장_UGA-N10(Main_PP2_Ver1)_2008.08.14" xfId="4857"/>
    <cellStyle name="E_8.K08_품번대장" xfId="4858"/>
    <cellStyle name="E_8.K08_품번대장 10" xfId="4859"/>
    <cellStyle name="E_8.K08_품번대장 11" xfId="4860"/>
    <cellStyle name="E_8.K08_품번대장 12" xfId="4861"/>
    <cellStyle name="E_8.K08_품번대장 13" xfId="4862"/>
    <cellStyle name="E_8.K08_품번대장 14" xfId="4863"/>
    <cellStyle name="E_8.K08_품번대장 15" xfId="4864"/>
    <cellStyle name="E_8.K08_품번대장 16" xfId="4865"/>
    <cellStyle name="E_8.K08_품번대장 17" xfId="4866"/>
    <cellStyle name="E_8.K08_품번대장 18" xfId="4867"/>
    <cellStyle name="E_8.K08_품번대장 2" xfId="4868"/>
    <cellStyle name="E_8.K08_품번대장 3" xfId="4869"/>
    <cellStyle name="E_8.K08_품번대장 4" xfId="4870"/>
    <cellStyle name="E_8.K08_품번대장 5" xfId="4871"/>
    <cellStyle name="E_8.K08_품번대장 6" xfId="4872"/>
    <cellStyle name="E_8.K08_품번대장 7" xfId="4873"/>
    <cellStyle name="E_8.K08_품번대장 8" xfId="4874"/>
    <cellStyle name="E_8.K08_품번대장 9" xfId="4875"/>
    <cellStyle name="E_8.K08_품번대장_BMB_UGA NEXT(audio_DPP2 Ver1.0)2008.xx.xx" xfId="4876"/>
    <cellStyle name="E_8.K08_품번대장_BMB_UGA NEXT(audio_DPP2 Ver2.0_2134 2EA삭제)2008.xx.xx" xfId="4877"/>
    <cellStyle name="E_8.K08_품번대장_Construction Parts_PP2" xfId="4878"/>
    <cellStyle name="E_8.K08_품번대장_Main Board" xfId="4879"/>
    <cellStyle name="E_8.K08_품번대장_Main Board_Construction Parts_PP2" xfId="4880"/>
    <cellStyle name="E_8.K08_품번대장_Main Board_MAIN PBA" xfId="4881"/>
    <cellStyle name="E_8.K08_품번대장_Main Board_PP1 (2)" xfId="4882"/>
    <cellStyle name="E_8.K08_품번대장_Main Board_UGA-N10(Main_MP4.5_Ver1)_2009.02.02" xfId="4883"/>
    <cellStyle name="E_8.K08_품번대장_UGA-N10(Audio_LPP Ver1.0)2008.xx.xx" xfId="4884"/>
    <cellStyle name="E_8.K08_품번대장_UGA-N10(Audio_PP2 Ver1.0)2008.08.09" xfId="4885"/>
    <cellStyle name="E_8.K08_품번대장_UGA-N10(Construction Parts_PP2_Ver1.0)2008.08.22" xfId="4886"/>
    <cellStyle name="E_8.K08_품번대장_UGA-N10(Front_PP2_Ver1.0)_2008.08.22" xfId="4887"/>
    <cellStyle name="E_8.K08_품번대장_UGA-N10(Main_DPP2_Ver1)_2008.xx.xx" xfId="4888"/>
    <cellStyle name="E_8.K08_품번대장_UGA-N10(Main_LPP_Ver1)_2008.xx.xx" xfId="4889"/>
    <cellStyle name="E_8.K08_품번대장_UGA-N10(Main_PP2_Ver1)_2008.08.14" xfId="4890"/>
    <cellStyle name="E_연구소용" xfId="4891"/>
    <cellStyle name="E_연구소용 10" xfId="4892"/>
    <cellStyle name="E_연구소용 11" xfId="4893"/>
    <cellStyle name="E_연구소용 12" xfId="4894"/>
    <cellStyle name="E_연구소용 13" xfId="4895"/>
    <cellStyle name="E_연구소용 14" xfId="4896"/>
    <cellStyle name="E_연구소용 15" xfId="4897"/>
    <cellStyle name="E_연구소용 16" xfId="4898"/>
    <cellStyle name="E_연구소용 17" xfId="4899"/>
    <cellStyle name="E_연구소용 18" xfId="4900"/>
    <cellStyle name="E_연구소용 2" xfId="4901"/>
    <cellStyle name="E_연구소용 3" xfId="4902"/>
    <cellStyle name="E_연구소용 4" xfId="4903"/>
    <cellStyle name="E_연구소용 5" xfId="4904"/>
    <cellStyle name="E_연구소용 6" xfId="4905"/>
    <cellStyle name="E_연구소용 7" xfId="4906"/>
    <cellStyle name="E_연구소용 8" xfId="4907"/>
    <cellStyle name="E_연구소용 9" xfId="4908"/>
    <cellStyle name="E_연구소용_(1-25)" xfId="4909"/>
    <cellStyle name="E_연구소용_(1-25) 10" xfId="4910"/>
    <cellStyle name="E_연구소용_(1-25) 11" xfId="4911"/>
    <cellStyle name="E_연구소용_(1-25) 12" xfId="4912"/>
    <cellStyle name="E_연구소용_(1-25) 13" xfId="4913"/>
    <cellStyle name="E_연구소용_(1-25) 14" xfId="4914"/>
    <cellStyle name="E_연구소용_(1-25) 15" xfId="4915"/>
    <cellStyle name="E_연구소용_(1-25) 16" xfId="4916"/>
    <cellStyle name="E_연구소용_(1-25) 17" xfId="4917"/>
    <cellStyle name="E_연구소용_(1-25) 18" xfId="4918"/>
    <cellStyle name="E_연구소용_(1-25) 2" xfId="4919"/>
    <cellStyle name="E_연구소용_(1-25) 3" xfId="4920"/>
    <cellStyle name="E_연구소용_(1-25) 4" xfId="4921"/>
    <cellStyle name="E_연구소용_(1-25) 5" xfId="4922"/>
    <cellStyle name="E_연구소용_(1-25) 6" xfId="4923"/>
    <cellStyle name="E_연구소용_(1-25) 7" xfId="4924"/>
    <cellStyle name="E_연구소용_(1-25) 8" xfId="4925"/>
    <cellStyle name="E_연구소용_(1-25) 9" xfId="4926"/>
    <cellStyle name="E_연구소용_(1-25)_BMB_UGA NEXT(audio_DPP2 Ver1.0)2008.xx.xx" xfId="4927"/>
    <cellStyle name="E_연구소용_(1-25)_BMB_UGA NEXT(audio_DPP2 Ver2.0_2134 2EA삭제)2008.xx.xx" xfId="4928"/>
    <cellStyle name="E_연구소용_(1-25)_Construction Parts_PP2" xfId="4929"/>
    <cellStyle name="E_연구소용_(1-25)_Main Board" xfId="4930"/>
    <cellStyle name="E_연구소용_(1-25)_Main Board_Construction Parts_PP2" xfId="4931"/>
    <cellStyle name="E_연구소용_(1-25)_Main Board_MAIN PBA" xfId="4932"/>
    <cellStyle name="E_연구소용_(1-25)_Main Board_PP1 (2)" xfId="4933"/>
    <cellStyle name="E_연구소용_(1-25)_Main Board_UGA-N10(Main_MP4.5_Ver1)_2009.02.02" xfId="4934"/>
    <cellStyle name="E_연구소용_(1-25)_UGA-N10(Audio_LPP Ver1.0)2008.xx.xx" xfId="4935"/>
    <cellStyle name="E_연구소용_(1-25)_UGA-N10(Audio_PP2 Ver1.0)2008.08.09" xfId="4936"/>
    <cellStyle name="E_연구소용_(1-25)_UGA-N10(Construction Parts_PP2_Ver1.0)2008.08.22" xfId="4937"/>
    <cellStyle name="E_연구소용_(1-25)_UGA-N10(Front_PP2_Ver1.0)_2008.08.22" xfId="4938"/>
    <cellStyle name="E_연구소용_(1-25)_UGA-N10(Main_DPP2_Ver1)_2008.xx.xx" xfId="4939"/>
    <cellStyle name="E_연구소용_(1-25)_UGA-N10(Main_LPP_Ver1)_2008.xx.xx" xfId="4940"/>
    <cellStyle name="E_연구소용_(1-25)_UGA-N10(Main_PP2_Ver1)_2008.08.14" xfId="4941"/>
    <cellStyle name="E_연구소용_33.K33_품번대장" xfId="4942"/>
    <cellStyle name="E_연구소용_33.K33_품번대장 10" xfId="4943"/>
    <cellStyle name="E_연구소용_33.K33_품번대장 11" xfId="4944"/>
    <cellStyle name="E_연구소용_33.K33_품번대장 12" xfId="4945"/>
    <cellStyle name="E_연구소용_33.K33_품번대장 13" xfId="4946"/>
    <cellStyle name="E_연구소용_33.K33_품번대장 14" xfId="4947"/>
    <cellStyle name="E_연구소용_33.K33_품번대장 15" xfId="4948"/>
    <cellStyle name="E_연구소용_33.K33_품번대장 16" xfId="4949"/>
    <cellStyle name="E_연구소용_33.K33_품번대장 17" xfId="4950"/>
    <cellStyle name="E_연구소용_33.K33_품번대장 18" xfId="4951"/>
    <cellStyle name="E_연구소용_33.K33_품번대장 2" xfId="4952"/>
    <cellStyle name="E_연구소용_33.K33_품번대장 3" xfId="4953"/>
    <cellStyle name="E_연구소용_33.K33_품번대장 4" xfId="4954"/>
    <cellStyle name="E_연구소용_33.K33_품번대장 5" xfId="4955"/>
    <cellStyle name="E_연구소용_33.K33_품번대장 6" xfId="4956"/>
    <cellStyle name="E_연구소용_33.K33_품번대장 7" xfId="4957"/>
    <cellStyle name="E_연구소용_33.K33_품번대장 8" xfId="4958"/>
    <cellStyle name="E_연구소용_33.K33_품번대장 9" xfId="4959"/>
    <cellStyle name="E_연구소용_33.K33_품번대장_BMB_UGA NEXT(audio_DPP2 Ver1.0)2008.xx.xx" xfId="4960"/>
    <cellStyle name="E_연구소용_33.K33_품번대장_BMB_UGA NEXT(audio_DPP2 Ver2.0_2134 2EA삭제)2008.xx.xx" xfId="4961"/>
    <cellStyle name="E_연구소용_33.K33_품번대장_Construction Parts_PP2" xfId="4962"/>
    <cellStyle name="E_연구소용_33.K33_품번대장_Main Board" xfId="4963"/>
    <cellStyle name="E_연구소용_33.K33_품번대장_Main Board_Construction Parts_PP2" xfId="4964"/>
    <cellStyle name="E_연구소용_33.K33_품번대장_Main Board_MAIN PBA" xfId="4965"/>
    <cellStyle name="E_연구소용_33.K33_품번대장_Main Board_PP1 (2)" xfId="4966"/>
    <cellStyle name="E_연구소용_33.K33_품번대장_Main Board_UGA-N10(Main_MP4.5_Ver1)_2009.02.02" xfId="4967"/>
    <cellStyle name="E_연구소용_33.K33_품번대장_UGA-N10(Audio_LPP Ver1.0)2008.xx.xx" xfId="4968"/>
    <cellStyle name="E_연구소용_33.K33_품번대장_UGA-N10(Audio_PP2 Ver1.0)2008.08.09" xfId="4969"/>
    <cellStyle name="E_연구소용_33.K33_품번대장_UGA-N10(Construction Parts_PP2_Ver1.0)2008.08.22" xfId="4970"/>
    <cellStyle name="E_연구소용_33.K33_품번대장_UGA-N10(Front_PP2_Ver1.0)_2008.08.22" xfId="4971"/>
    <cellStyle name="E_연구소용_33.K33_품번대장_UGA-N10(Main_DPP2_Ver1)_2008.xx.xx" xfId="4972"/>
    <cellStyle name="E_연구소용_33.K33_품번대장_UGA-N10(Main_LPP_Ver1)_2008.xx.xx" xfId="4973"/>
    <cellStyle name="E_연구소용_33.K33_품번대장_UGA-N10(Main_PP2_Ver1)_2008.08.14" xfId="4974"/>
    <cellStyle name="E_연구소용_34.K34_품번대장" xfId="4975"/>
    <cellStyle name="E_연구소용_34.K34_품번대장 10" xfId="4976"/>
    <cellStyle name="E_연구소용_34.K34_품번대장 11" xfId="4977"/>
    <cellStyle name="E_연구소용_34.K34_품번대장 12" xfId="4978"/>
    <cellStyle name="E_연구소용_34.K34_품번대장 13" xfId="4979"/>
    <cellStyle name="E_연구소용_34.K34_품번대장 14" xfId="4980"/>
    <cellStyle name="E_연구소용_34.K34_품번대장 15" xfId="4981"/>
    <cellStyle name="E_연구소용_34.K34_품번대장 16" xfId="4982"/>
    <cellStyle name="E_연구소용_34.K34_품번대장 17" xfId="4983"/>
    <cellStyle name="E_연구소용_34.K34_품번대장 18" xfId="4984"/>
    <cellStyle name="E_연구소용_34.K34_품번대장 2" xfId="4985"/>
    <cellStyle name="E_연구소용_34.K34_품번대장 3" xfId="4986"/>
    <cellStyle name="E_연구소용_34.K34_품번대장 4" xfId="4987"/>
    <cellStyle name="E_연구소용_34.K34_품번대장 5" xfId="4988"/>
    <cellStyle name="E_연구소용_34.K34_품번대장 6" xfId="4989"/>
    <cellStyle name="E_연구소용_34.K34_품번대장 7" xfId="4990"/>
    <cellStyle name="E_연구소용_34.K34_품번대장 8" xfId="4991"/>
    <cellStyle name="E_연구소용_34.K34_품번대장 9" xfId="4992"/>
    <cellStyle name="E_연구소용_34.K34_품번대장_BMB_UGA NEXT(audio_DPP2 Ver1.0)2008.xx.xx" xfId="4993"/>
    <cellStyle name="E_연구소용_34.K34_품번대장_BMB_UGA NEXT(audio_DPP2 Ver2.0_2134 2EA삭제)2008.xx.xx" xfId="4994"/>
    <cellStyle name="E_연구소용_34.K34_품번대장_Construction Parts_PP2" xfId="4995"/>
    <cellStyle name="E_연구소용_34.K34_품번대장_Main Board" xfId="4996"/>
    <cellStyle name="E_연구소용_34.K34_품번대장_Main Board_Construction Parts_PP2" xfId="4997"/>
    <cellStyle name="E_연구소용_34.K34_품번대장_Main Board_MAIN PBA" xfId="4998"/>
    <cellStyle name="E_연구소용_34.K34_품번대장_Main Board_PP1 (2)" xfId="4999"/>
    <cellStyle name="E_연구소용_34.K34_품번대장_Main Board_UGA-N10(Main_MP4.5_Ver1)_2009.02.02" xfId="5000"/>
    <cellStyle name="E_연구소용_34.K34_품번대장_UGA-N10(Audio_LPP Ver1.0)2008.xx.xx" xfId="5001"/>
    <cellStyle name="E_연구소용_34.K34_품번대장_UGA-N10(Audio_PP2 Ver1.0)2008.08.09" xfId="5002"/>
    <cellStyle name="E_연구소용_34.K34_품번대장_UGA-N10(Construction Parts_PP2_Ver1.0)2008.08.22" xfId="5003"/>
    <cellStyle name="E_연구소용_34.K34_품번대장_UGA-N10(Front_PP2_Ver1.0)_2008.08.22" xfId="5004"/>
    <cellStyle name="E_연구소용_34.K34_품번대장_UGA-N10(Main_DPP2_Ver1)_2008.xx.xx" xfId="5005"/>
    <cellStyle name="E_연구소용_34.K34_품번대장_UGA-N10(Main_LPP_Ver1)_2008.xx.xx" xfId="5006"/>
    <cellStyle name="E_연구소용_34.K34_품번대장_UGA-N10(Main_PP2_Ver1)_2008.08.14" xfId="5007"/>
    <cellStyle name="E_연구소용_35.K35_품번대장" xfId="5008"/>
    <cellStyle name="E_연구소용_35.K35_품번대장 10" xfId="5009"/>
    <cellStyle name="E_연구소용_35.K35_품번대장 11" xfId="5010"/>
    <cellStyle name="E_연구소용_35.K35_품번대장 12" xfId="5011"/>
    <cellStyle name="E_연구소용_35.K35_품번대장 13" xfId="5012"/>
    <cellStyle name="E_연구소용_35.K35_품번대장 14" xfId="5013"/>
    <cellStyle name="E_연구소용_35.K35_품번대장 15" xfId="5014"/>
    <cellStyle name="E_연구소용_35.K35_품번대장 16" xfId="5015"/>
    <cellStyle name="E_연구소용_35.K35_품번대장 17" xfId="5016"/>
    <cellStyle name="E_연구소용_35.K35_품번대장 18" xfId="5017"/>
    <cellStyle name="E_연구소용_35.K35_품번대장 2" xfId="5018"/>
    <cellStyle name="E_연구소용_35.K35_품번대장 3" xfId="5019"/>
    <cellStyle name="E_연구소용_35.K35_품번대장 4" xfId="5020"/>
    <cellStyle name="E_연구소용_35.K35_품번대장 5" xfId="5021"/>
    <cellStyle name="E_연구소용_35.K35_품번대장 6" xfId="5022"/>
    <cellStyle name="E_연구소용_35.K35_품번대장 7" xfId="5023"/>
    <cellStyle name="E_연구소용_35.K35_품번대장 8" xfId="5024"/>
    <cellStyle name="E_연구소용_35.K35_품번대장 9" xfId="5025"/>
    <cellStyle name="E_연구소용_35.K35_품번대장_BMB_UGA NEXT(audio_DPP2 Ver1.0)2008.xx.xx" xfId="5026"/>
    <cellStyle name="E_연구소용_35.K35_품번대장_BMB_UGA NEXT(audio_DPP2 Ver2.0_2134 2EA삭제)2008.xx.xx" xfId="5027"/>
    <cellStyle name="E_연구소용_35.K35_품번대장_Construction Parts_PP2" xfId="5028"/>
    <cellStyle name="E_연구소용_35.K35_품번대장_Main Board" xfId="5029"/>
    <cellStyle name="E_연구소용_35.K35_품번대장_Main Board_Construction Parts_PP2" xfId="5030"/>
    <cellStyle name="E_연구소용_35.K35_품번대장_Main Board_MAIN PBA" xfId="5031"/>
    <cellStyle name="E_연구소용_35.K35_품번대장_Main Board_PP1 (2)" xfId="5032"/>
    <cellStyle name="E_연구소용_35.K35_품번대장_Main Board_UGA-N10(Main_MP4.5_Ver1)_2009.02.02" xfId="5033"/>
    <cellStyle name="E_연구소용_35.K35_품번대장_UGA-N10(Audio_LPP Ver1.0)2008.xx.xx" xfId="5034"/>
    <cellStyle name="E_연구소용_35.K35_품번대장_UGA-N10(Audio_PP2 Ver1.0)2008.08.09" xfId="5035"/>
    <cellStyle name="E_연구소용_35.K35_품번대장_UGA-N10(Construction Parts_PP2_Ver1.0)2008.08.22" xfId="5036"/>
    <cellStyle name="E_연구소용_35.K35_품번대장_UGA-N10(Front_PP2_Ver1.0)_2008.08.22" xfId="5037"/>
    <cellStyle name="E_연구소용_35.K35_품번대장_UGA-N10(Main_DPP2_Ver1)_2008.xx.xx" xfId="5038"/>
    <cellStyle name="E_연구소용_35.K35_품번대장_UGA-N10(Main_LPP_Ver1)_2008.xx.xx" xfId="5039"/>
    <cellStyle name="E_연구소용_35.K35_품번대장_UGA-N10(Main_PP2_Ver1)_2008.08.14" xfId="5040"/>
    <cellStyle name="E_연구소용_곡목검색기2" xfId="5041"/>
    <cellStyle name="E_연구소용_곡목검색기2 10" xfId="5042"/>
    <cellStyle name="E_연구소용_곡목검색기2 11" xfId="5043"/>
    <cellStyle name="E_연구소용_곡목검색기2 12" xfId="5044"/>
    <cellStyle name="E_연구소용_곡목검색기2 13" xfId="5045"/>
    <cellStyle name="E_연구소용_곡목검색기2 14" xfId="5046"/>
    <cellStyle name="E_연구소용_곡목검색기2 15" xfId="5047"/>
    <cellStyle name="E_연구소용_곡목검색기2 16" xfId="5048"/>
    <cellStyle name="E_연구소용_곡목검색기2 17" xfId="5049"/>
    <cellStyle name="E_연구소용_곡목검색기2 18" xfId="5050"/>
    <cellStyle name="E_연구소용_곡목검색기2 2" xfId="5051"/>
    <cellStyle name="E_연구소용_곡목검색기2 3" xfId="5052"/>
    <cellStyle name="E_연구소용_곡목검색기2 4" xfId="5053"/>
    <cellStyle name="E_연구소용_곡목검색기2 5" xfId="5054"/>
    <cellStyle name="E_연구소용_곡목검색기2 6" xfId="5055"/>
    <cellStyle name="E_연구소용_곡목검색기2 7" xfId="5056"/>
    <cellStyle name="E_연구소용_곡목검색기2 8" xfId="5057"/>
    <cellStyle name="E_연구소용_곡목검색기2 9" xfId="5058"/>
    <cellStyle name="E_연구소용_곡목검색기2_BMB_UGA NEXT(audio_DPP2 Ver1.0)2008.xx.xx" xfId="5059"/>
    <cellStyle name="E_연구소용_곡목검색기2_BMB_UGA NEXT(audio_DPP2 Ver2.0_2134 2EA삭제)2008.xx.xx" xfId="5060"/>
    <cellStyle name="E_연구소용_곡목검색기2_Construction Parts_PP2" xfId="5061"/>
    <cellStyle name="E_연구소용_곡목검색기2_Main Board" xfId="5062"/>
    <cellStyle name="E_연구소용_곡목검색기2_Main Board_Construction Parts_PP2" xfId="5063"/>
    <cellStyle name="E_연구소용_곡목검색기2_Main Board_MAIN PBA" xfId="5064"/>
    <cellStyle name="E_연구소용_곡목검색기2_Main Board_PP1 (2)" xfId="5065"/>
    <cellStyle name="E_연구소용_곡목검색기2_Main Board_UGA-N10(Main_MP4.5_Ver1)_2009.02.02" xfId="5066"/>
    <cellStyle name="E_연구소용_곡목검색기2_UGA-N10(Audio_LPP Ver1.0)2008.xx.xx" xfId="5067"/>
    <cellStyle name="E_연구소용_곡목검색기2_UGA-N10(Audio_PP2 Ver1.0)2008.08.09" xfId="5068"/>
    <cellStyle name="E_연구소용_곡목검색기2_UGA-N10(Construction Parts_PP2_Ver1.0)2008.08.22" xfId="5069"/>
    <cellStyle name="E_연구소용_곡목검색기2_UGA-N10(Front_PP2_Ver1.0)_2008.08.22" xfId="5070"/>
    <cellStyle name="E_연구소용_곡목검색기2_UGA-N10(Main_DPP2_Ver1)_2008.xx.xx" xfId="5071"/>
    <cellStyle name="E_연구소용_곡목검색기2_UGA-N10(Main_LPP_Ver1)_2008.xx.xx" xfId="5072"/>
    <cellStyle name="E_연구소용_곡목검색기2_UGA-N10(Main_PP2_Ver1)_2008.08.14" xfId="5073"/>
    <cellStyle name="E_연구소용_품번등록대장" xfId="5074"/>
    <cellStyle name="E_연구소용_품번등록대장 10" xfId="5075"/>
    <cellStyle name="E_연구소용_품번등록대장 11" xfId="5076"/>
    <cellStyle name="E_연구소용_품번등록대장 12" xfId="5077"/>
    <cellStyle name="E_연구소용_품번등록대장 13" xfId="5078"/>
    <cellStyle name="E_연구소용_품번등록대장 14" xfId="5079"/>
    <cellStyle name="E_연구소용_품번등록대장 15" xfId="5080"/>
    <cellStyle name="E_연구소용_품번등록대장 16" xfId="5081"/>
    <cellStyle name="E_연구소용_품번등록대장 17" xfId="5082"/>
    <cellStyle name="E_연구소용_품번등록대장 18" xfId="5083"/>
    <cellStyle name="E_연구소용_품번등록대장 2" xfId="5084"/>
    <cellStyle name="E_연구소용_품번등록대장 3" xfId="5085"/>
    <cellStyle name="E_연구소용_품번등록대장 4" xfId="5086"/>
    <cellStyle name="E_연구소용_품번등록대장 5" xfId="5087"/>
    <cellStyle name="E_연구소용_품번등록대장 6" xfId="5088"/>
    <cellStyle name="E_연구소용_품번등록대장 7" xfId="5089"/>
    <cellStyle name="E_연구소용_품번등록대장 8" xfId="5090"/>
    <cellStyle name="E_연구소용_품번등록대장 9" xfId="5091"/>
    <cellStyle name="E_연구소용_품번등록대장_1" xfId="5092"/>
    <cellStyle name="E_연구소용_품번등록대장_1 10" xfId="5093"/>
    <cellStyle name="E_연구소용_품번등록대장_1 11" xfId="5094"/>
    <cellStyle name="E_연구소용_품번등록대장_1 12" xfId="5095"/>
    <cellStyle name="E_연구소용_품번등록대장_1 13" xfId="5096"/>
    <cellStyle name="E_연구소용_품번등록대장_1 14" xfId="5097"/>
    <cellStyle name="E_연구소용_품번등록대장_1 15" xfId="5098"/>
    <cellStyle name="E_연구소용_품번등록대장_1 16" xfId="5099"/>
    <cellStyle name="E_연구소용_품번등록대장_1 17" xfId="5100"/>
    <cellStyle name="E_연구소용_품번등록대장_1 18" xfId="5101"/>
    <cellStyle name="E_연구소용_품번등록대장_1 2" xfId="5102"/>
    <cellStyle name="E_연구소용_품번등록대장_1 3" xfId="5103"/>
    <cellStyle name="E_연구소용_품번등록대장_1 4" xfId="5104"/>
    <cellStyle name="E_연구소용_품번등록대장_1 5" xfId="5105"/>
    <cellStyle name="E_연구소용_품번등록대장_1 6" xfId="5106"/>
    <cellStyle name="E_연구소용_품번등록대장_1 7" xfId="5107"/>
    <cellStyle name="E_연구소용_품번등록대장_1 8" xfId="5108"/>
    <cellStyle name="E_연구소용_품번등록대장_1 9" xfId="5109"/>
    <cellStyle name="E_연구소용_품번등록대장_1_BMB_UGA NEXT(audio_DPP2 Ver1.0)2008.xx.xx" xfId="5110"/>
    <cellStyle name="E_연구소용_품번등록대장_1_BMB_UGA NEXT(audio_DPP2 Ver2.0_2134 2EA삭제)2008.xx.xx" xfId="5111"/>
    <cellStyle name="E_연구소용_품번등록대장_1_Construction Parts_PP2" xfId="5112"/>
    <cellStyle name="E_연구소용_품번등록대장_1_Main Board" xfId="5113"/>
    <cellStyle name="E_연구소용_품번등록대장_1_Main Board_Construction Parts_PP2" xfId="5114"/>
    <cellStyle name="E_연구소용_품번등록대장_1_Main Board_MAIN PBA" xfId="5115"/>
    <cellStyle name="E_연구소용_품번등록대장_1_Main Board_PP1 (2)" xfId="5116"/>
    <cellStyle name="E_연구소용_품번등록대장_1_Main Board_UGA-N10(Main_MP4.5_Ver1)_2009.02.02" xfId="5117"/>
    <cellStyle name="E_연구소용_품번등록대장_1_UGA-N10(Audio_LPP Ver1.0)2008.xx.xx" xfId="5118"/>
    <cellStyle name="E_연구소용_품번등록대장_1_UGA-N10(Audio_PP2 Ver1.0)2008.08.09" xfId="5119"/>
    <cellStyle name="E_연구소용_품번등록대장_1_UGA-N10(Construction Parts_PP2_Ver1.0)2008.08.22" xfId="5120"/>
    <cellStyle name="E_연구소용_품번등록대장_1_UGA-N10(Front_PP2_Ver1.0)_2008.08.22" xfId="5121"/>
    <cellStyle name="E_연구소용_품번등록대장_1_UGA-N10(Main_DPP2_Ver1)_2008.xx.xx" xfId="5122"/>
    <cellStyle name="E_연구소용_품번등록대장_1_UGA-N10(Main_LPP_Ver1)_2008.xx.xx" xfId="5123"/>
    <cellStyle name="E_연구소용_품번등록대장_1_UGA-N10(Main_PP2_Ver1)_2008.08.14" xfId="5124"/>
    <cellStyle name="E_연구소용_품번등록대장_2" xfId="5125"/>
    <cellStyle name="E_연구소용_품번등록대장_2 10" xfId="5126"/>
    <cellStyle name="E_연구소용_품번등록대장_2 11" xfId="5127"/>
    <cellStyle name="E_연구소용_품번등록대장_2 12" xfId="5128"/>
    <cellStyle name="E_연구소용_품번등록대장_2 13" xfId="5129"/>
    <cellStyle name="E_연구소용_품번등록대장_2 14" xfId="5130"/>
    <cellStyle name="E_연구소용_품번등록대장_2 15" xfId="5131"/>
    <cellStyle name="E_연구소용_품번등록대장_2 16" xfId="5132"/>
    <cellStyle name="E_연구소용_품번등록대장_2 17" xfId="5133"/>
    <cellStyle name="E_연구소용_품번등록대장_2 18" xfId="5134"/>
    <cellStyle name="E_연구소용_품번등록대장_2 2" xfId="5135"/>
    <cellStyle name="E_연구소용_품번등록대장_2 3" xfId="5136"/>
    <cellStyle name="E_연구소용_품번등록대장_2 4" xfId="5137"/>
    <cellStyle name="E_연구소용_품번등록대장_2 5" xfId="5138"/>
    <cellStyle name="E_연구소용_품번등록대장_2 6" xfId="5139"/>
    <cellStyle name="E_연구소용_품번등록대장_2 7" xfId="5140"/>
    <cellStyle name="E_연구소용_품번등록대장_2 8" xfId="5141"/>
    <cellStyle name="E_연구소용_품번등록대장_2 9" xfId="5142"/>
    <cellStyle name="E_연구소용_품번등록대장_2_1.부품 연구소용" xfId="5143"/>
    <cellStyle name="E_연구소용_품번등록대장_2_1.부품 연구소용 10" xfId="5144"/>
    <cellStyle name="E_연구소용_품번등록대장_2_1.부품 연구소용 11" xfId="5145"/>
    <cellStyle name="E_연구소용_품번등록대장_2_1.부품 연구소용 12" xfId="5146"/>
    <cellStyle name="E_연구소용_품번등록대장_2_1.부품 연구소용 13" xfId="5147"/>
    <cellStyle name="E_연구소용_품번등록대장_2_1.부품 연구소용 14" xfId="5148"/>
    <cellStyle name="E_연구소용_품번등록대장_2_1.부품 연구소용 15" xfId="5149"/>
    <cellStyle name="E_연구소용_품번등록대장_2_1.부품 연구소용 16" xfId="5150"/>
    <cellStyle name="E_연구소용_품번등록대장_2_1.부품 연구소용 17" xfId="5151"/>
    <cellStyle name="E_연구소용_품번등록대장_2_1.부품 연구소용 18" xfId="5152"/>
    <cellStyle name="E_연구소용_품번등록대장_2_1.부품 연구소용 2" xfId="5153"/>
    <cellStyle name="E_연구소용_품번등록대장_2_1.부품 연구소용 3" xfId="5154"/>
    <cellStyle name="E_연구소용_품번등록대장_2_1.부품 연구소용 4" xfId="5155"/>
    <cellStyle name="E_연구소용_품번등록대장_2_1.부품 연구소용 5" xfId="5156"/>
    <cellStyle name="E_연구소용_품번등록대장_2_1.부품 연구소용 6" xfId="5157"/>
    <cellStyle name="E_연구소용_품번등록대장_2_1.부품 연구소용 7" xfId="5158"/>
    <cellStyle name="E_연구소용_품번등록대장_2_1.부품 연구소용 8" xfId="5159"/>
    <cellStyle name="E_연구소용_품번등록대장_2_1.부품 연구소용 9" xfId="5160"/>
    <cellStyle name="E_연구소용_품번등록대장_2_1.부품 연구소용_BMB_UGA NEXT(audio_DPP2 Ver1.0)2008.xx.xx" xfId="5161"/>
    <cellStyle name="E_연구소용_품번등록대장_2_1.부품 연구소용_BMB_UGA NEXT(audio_DPP2 Ver2.0_2134 2EA삭제)2008.xx.xx" xfId="5162"/>
    <cellStyle name="E_연구소용_품번등록대장_2_1.부품 연구소용_Construction Parts_PP2" xfId="5163"/>
    <cellStyle name="E_연구소용_품번등록대장_2_1.부품 연구소용_Main Board" xfId="5164"/>
    <cellStyle name="E_연구소용_품번등록대장_2_1.부품 연구소용_Main Board_Construction Parts_PP2" xfId="5165"/>
    <cellStyle name="E_연구소용_품번등록대장_2_1.부품 연구소용_Main Board_MAIN PBA" xfId="5166"/>
    <cellStyle name="E_연구소용_품번등록대장_2_1.부품 연구소용_Main Board_PP1 (2)" xfId="5167"/>
    <cellStyle name="E_연구소용_품번등록대장_2_1.부품 연구소용_Main Board_UGA-N10(Main_MP4.5_Ver1)_2009.02.02" xfId="5168"/>
    <cellStyle name="E_연구소용_품번등록대장_2_1.부품 연구소용_UGA-N10(Audio_LPP Ver1.0)2008.xx.xx" xfId="5169"/>
    <cellStyle name="E_연구소용_품번등록대장_2_1.부품 연구소용_UGA-N10(Audio_PP2 Ver1.0)2008.08.09" xfId="5170"/>
    <cellStyle name="E_연구소용_품번등록대장_2_1.부품 연구소용_UGA-N10(Construction Parts_PP2_Ver1.0)2008.08.22" xfId="5171"/>
    <cellStyle name="E_연구소용_품번등록대장_2_1.부품 연구소용_UGA-N10(Front_PP2_Ver1.0)_2008.08.22" xfId="5172"/>
    <cellStyle name="E_연구소용_품번등록대장_2_1.부품 연구소용_UGA-N10(Main_DPP2_Ver1)_2008.xx.xx" xfId="5173"/>
    <cellStyle name="E_연구소용_품번등록대장_2_1.부품 연구소용_UGA-N10(Main_LPP_Ver1)_2008.xx.xx" xfId="5174"/>
    <cellStyle name="E_연구소용_품번등록대장_2_1.부품 연구소용_UGA-N10(Main_PP2_Ver1)_2008.08.14" xfId="5175"/>
    <cellStyle name="E_연구소용_품번등록대장_2_33.K33_품번대장" xfId="5176"/>
    <cellStyle name="E_연구소용_품번등록대장_2_33.K33_품번대장 10" xfId="5177"/>
    <cellStyle name="E_연구소용_품번등록대장_2_33.K33_품번대장 11" xfId="5178"/>
    <cellStyle name="E_연구소용_품번등록대장_2_33.K33_품번대장 12" xfId="5179"/>
    <cellStyle name="E_연구소용_품번등록대장_2_33.K33_품번대장 13" xfId="5180"/>
    <cellStyle name="E_연구소용_품번등록대장_2_33.K33_품번대장 14" xfId="5181"/>
    <cellStyle name="E_연구소용_품번등록대장_2_33.K33_품번대장 15" xfId="5182"/>
    <cellStyle name="E_연구소용_품번등록대장_2_33.K33_품번대장 16" xfId="5183"/>
    <cellStyle name="E_연구소용_품번등록대장_2_33.K33_품번대장 17" xfId="5184"/>
    <cellStyle name="E_연구소용_품번등록대장_2_33.K33_품번대장 18" xfId="5185"/>
    <cellStyle name="E_연구소용_품번등록대장_2_33.K33_품번대장 2" xfId="5186"/>
    <cellStyle name="E_연구소용_품번등록대장_2_33.K33_품번대장 3" xfId="5187"/>
    <cellStyle name="E_연구소용_품번등록대장_2_33.K33_품번대장 4" xfId="5188"/>
    <cellStyle name="E_연구소용_품번등록대장_2_33.K33_품번대장 5" xfId="5189"/>
    <cellStyle name="E_연구소용_품번등록대장_2_33.K33_품번대장 6" xfId="5190"/>
    <cellStyle name="E_연구소용_품번등록대장_2_33.K33_품번대장 7" xfId="5191"/>
    <cellStyle name="E_연구소용_품번등록대장_2_33.K33_품번대장 8" xfId="5192"/>
    <cellStyle name="E_연구소용_품번등록대장_2_33.K33_품번대장 9" xfId="5193"/>
    <cellStyle name="E_연구소용_품번등록대장_2_33.K33_품번대장_BMB_UGA NEXT(audio_DPP2 Ver1.0)2008.xx.xx" xfId="5194"/>
    <cellStyle name="E_연구소용_품번등록대장_2_33.K33_품번대장_BMB_UGA NEXT(audio_DPP2 Ver2.0_2134 2EA삭제)2008.xx.xx" xfId="5195"/>
    <cellStyle name="E_연구소용_품번등록대장_2_33.K33_품번대장_Construction Parts_PP2" xfId="5196"/>
    <cellStyle name="E_연구소용_품번등록대장_2_33.K33_품번대장_Main Board" xfId="5197"/>
    <cellStyle name="E_연구소용_품번등록대장_2_33.K33_품번대장_Main Board_Construction Parts_PP2" xfId="5198"/>
    <cellStyle name="E_연구소용_품번등록대장_2_33.K33_품번대장_Main Board_MAIN PBA" xfId="5199"/>
    <cellStyle name="E_연구소용_품번등록대장_2_33.K33_품번대장_Main Board_PP1 (2)" xfId="5200"/>
    <cellStyle name="E_연구소용_품번등록대장_2_33.K33_품번대장_Main Board_UGA-N10(Main_MP4.5_Ver1)_2009.02.02" xfId="5201"/>
    <cellStyle name="E_연구소용_품번등록대장_2_33.K33_품번대장_UGA-N10(Audio_LPP Ver1.0)2008.xx.xx" xfId="5202"/>
    <cellStyle name="E_연구소용_품번등록대장_2_33.K33_품번대장_UGA-N10(Audio_PP2 Ver1.0)2008.08.09" xfId="5203"/>
    <cellStyle name="E_연구소용_품번등록대장_2_33.K33_품번대장_UGA-N10(Construction Parts_PP2_Ver1.0)2008.08.22" xfId="5204"/>
    <cellStyle name="E_연구소용_품번등록대장_2_33.K33_품번대장_UGA-N10(Front_PP2_Ver1.0)_2008.08.22" xfId="5205"/>
    <cellStyle name="E_연구소용_품번등록대장_2_33.K33_품번대장_UGA-N10(Main_DPP2_Ver1)_2008.xx.xx" xfId="5206"/>
    <cellStyle name="E_연구소용_품번등록대장_2_33.K33_품번대장_UGA-N10(Main_LPP_Ver1)_2008.xx.xx" xfId="5207"/>
    <cellStyle name="E_연구소용_품번등록대장_2_33.K33_품번대장_UGA-N10(Main_PP2_Ver1)_2008.08.14" xfId="5208"/>
    <cellStyle name="E_연구소용_품번등록대장_2_34.K34_품번대장" xfId="5209"/>
    <cellStyle name="E_연구소용_품번등록대장_2_34.K34_품번대장 10" xfId="5210"/>
    <cellStyle name="E_연구소용_품번등록대장_2_34.K34_품번대장 11" xfId="5211"/>
    <cellStyle name="E_연구소용_품번등록대장_2_34.K34_품번대장 12" xfId="5212"/>
    <cellStyle name="E_연구소용_품번등록대장_2_34.K34_품번대장 13" xfId="5213"/>
    <cellStyle name="E_연구소용_품번등록대장_2_34.K34_품번대장 14" xfId="5214"/>
    <cellStyle name="E_연구소용_품번등록대장_2_34.K34_품번대장 15" xfId="5215"/>
    <cellStyle name="E_연구소용_품번등록대장_2_34.K34_품번대장 16" xfId="5216"/>
    <cellStyle name="E_연구소용_품번등록대장_2_34.K34_품번대장 17" xfId="5217"/>
    <cellStyle name="E_연구소용_품번등록대장_2_34.K34_품번대장 18" xfId="5218"/>
    <cellStyle name="E_연구소용_품번등록대장_2_34.K34_품번대장 2" xfId="5219"/>
    <cellStyle name="E_연구소용_품번등록대장_2_34.K34_품번대장 3" xfId="5220"/>
    <cellStyle name="E_연구소용_품번등록대장_2_34.K34_품번대장 4" xfId="5221"/>
    <cellStyle name="E_연구소용_품번등록대장_2_34.K34_품번대장 5" xfId="5222"/>
    <cellStyle name="E_연구소용_품번등록대장_2_34.K34_품번대장 6" xfId="5223"/>
    <cellStyle name="E_연구소용_품번등록대장_2_34.K34_품번대장 7" xfId="5224"/>
    <cellStyle name="E_연구소용_품번등록대장_2_34.K34_품번대장 8" xfId="5225"/>
    <cellStyle name="E_연구소용_품번등록대장_2_34.K34_품번대장 9" xfId="5226"/>
    <cellStyle name="E_연구소용_품번등록대장_2_34.K34_품번대장_BMB_UGA NEXT(audio_DPP2 Ver1.0)2008.xx.xx" xfId="5227"/>
    <cellStyle name="E_연구소용_품번등록대장_2_34.K34_품번대장_BMB_UGA NEXT(audio_DPP2 Ver2.0_2134 2EA삭제)2008.xx.xx" xfId="5228"/>
    <cellStyle name="E_연구소용_품번등록대장_2_34.K34_품번대장_Construction Parts_PP2" xfId="5229"/>
    <cellStyle name="E_연구소용_품번등록대장_2_34.K34_품번대장_Main Board" xfId="5230"/>
    <cellStyle name="E_연구소용_품번등록대장_2_34.K34_품번대장_Main Board_Construction Parts_PP2" xfId="5231"/>
    <cellStyle name="E_연구소용_품번등록대장_2_34.K34_품번대장_Main Board_MAIN PBA" xfId="5232"/>
    <cellStyle name="E_연구소용_품번등록대장_2_34.K34_품번대장_Main Board_PP1 (2)" xfId="5233"/>
    <cellStyle name="E_연구소용_품번등록대장_2_34.K34_품번대장_Main Board_UGA-N10(Main_MP4.5_Ver1)_2009.02.02" xfId="5234"/>
    <cellStyle name="E_연구소용_품번등록대장_2_34.K34_품번대장_UGA-N10(Audio_LPP Ver1.0)2008.xx.xx" xfId="5235"/>
    <cellStyle name="E_연구소용_품번등록대장_2_34.K34_품번대장_UGA-N10(Audio_PP2 Ver1.0)2008.08.09" xfId="5236"/>
    <cellStyle name="E_연구소용_품번등록대장_2_34.K34_품번대장_UGA-N10(Construction Parts_PP2_Ver1.0)2008.08.22" xfId="5237"/>
    <cellStyle name="E_연구소용_품번등록대장_2_34.K34_품번대장_UGA-N10(Front_PP2_Ver1.0)_2008.08.22" xfId="5238"/>
    <cellStyle name="E_연구소용_품번등록대장_2_34.K34_품번대장_UGA-N10(Main_DPP2_Ver1)_2008.xx.xx" xfId="5239"/>
    <cellStyle name="E_연구소용_품번등록대장_2_34.K34_품번대장_UGA-N10(Main_LPP_Ver1)_2008.xx.xx" xfId="5240"/>
    <cellStyle name="E_연구소용_품번등록대장_2_34.K34_품번대장_UGA-N10(Main_PP2_Ver1)_2008.08.14" xfId="5241"/>
    <cellStyle name="E_연구소용_품번등록대장_2_35.K35_품번대장" xfId="5242"/>
    <cellStyle name="E_연구소용_품번등록대장_2_35.K35_품번대장 10" xfId="5243"/>
    <cellStyle name="E_연구소용_품번등록대장_2_35.K35_품번대장 11" xfId="5244"/>
    <cellStyle name="E_연구소용_품번등록대장_2_35.K35_품번대장 12" xfId="5245"/>
    <cellStyle name="E_연구소용_품번등록대장_2_35.K35_품번대장 13" xfId="5246"/>
    <cellStyle name="E_연구소용_품번등록대장_2_35.K35_품번대장 14" xfId="5247"/>
    <cellStyle name="E_연구소용_품번등록대장_2_35.K35_품번대장 15" xfId="5248"/>
    <cellStyle name="E_연구소용_품번등록대장_2_35.K35_품번대장 16" xfId="5249"/>
    <cellStyle name="E_연구소용_품번등록대장_2_35.K35_품번대장 17" xfId="5250"/>
    <cellStyle name="E_연구소용_품번등록대장_2_35.K35_품번대장 18" xfId="5251"/>
    <cellStyle name="E_연구소용_품번등록대장_2_35.K35_품번대장 2" xfId="5252"/>
    <cellStyle name="E_연구소용_품번등록대장_2_35.K35_품번대장 3" xfId="5253"/>
    <cellStyle name="E_연구소용_품번등록대장_2_35.K35_품번대장 4" xfId="5254"/>
    <cellStyle name="E_연구소용_품번등록대장_2_35.K35_품번대장 5" xfId="5255"/>
    <cellStyle name="E_연구소용_품번등록대장_2_35.K35_품번대장 6" xfId="5256"/>
    <cellStyle name="E_연구소용_품번등록대장_2_35.K35_품번대장 7" xfId="5257"/>
    <cellStyle name="E_연구소용_품번등록대장_2_35.K35_품번대장 8" xfId="5258"/>
    <cellStyle name="E_연구소용_품번등록대장_2_35.K35_품번대장 9" xfId="5259"/>
    <cellStyle name="E_연구소용_품번등록대장_2_35.K35_품번대장_BMB_UGA NEXT(audio_DPP2 Ver1.0)2008.xx.xx" xfId="5260"/>
    <cellStyle name="E_연구소용_품번등록대장_2_35.K35_품번대장_BMB_UGA NEXT(audio_DPP2 Ver2.0_2134 2EA삭제)2008.xx.xx" xfId="5261"/>
    <cellStyle name="E_연구소용_품번등록대장_2_35.K35_품번대장_Construction Parts_PP2" xfId="5262"/>
    <cellStyle name="E_연구소용_품번등록대장_2_35.K35_품번대장_Main Board" xfId="5263"/>
    <cellStyle name="E_연구소용_품번등록대장_2_35.K35_품번대장_Main Board_Construction Parts_PP2" xfId="5264"/>
    <cellStyle name="E_연구소용_품번등록대장_2_35.K35_품번대장_Main Board_MAIN PBA" xfId="5265"/>
    <cellStyle name="E_연구소용_품번등록대장_2_35.K35_품번대장_Main Board_PP1 (2)" xfId="5266"/>
    <cellStyle name="E_연구소용_품번등록대장_2_35.K35_품번대장_Main Board_UGA-N10(Main_MP4.5_Ver1)_2009.02.02" xfId="5267"/>
    <cellStyle name="E_연구소용_품번등록대장_2_35.K35_품번대장_UGA-N10(Audio_LPP Ver1.0)2008.xx.xx" xfId="5268"/>
    <cellStyle name="E_연구소용_품번등록대장_2_35.K35_품번대장_UGA-N10(Audio_PP2 Ver1.0)2008.08.09" xfId="5269"/>
    <cellStyle name="E_연구소용_품번등록대장_2_35.K35_품번대장_UGA-N10(Construction Parts_PP2_Ver1.0)2008.08.22" xfId="5270"/>
    <cellStyle name="E_연구소용_품번등록대장_2_35.K35_품번대장_UGA-N10(Front_PP2_Ver1.0)_2008.08.22" xfId="5271"/>
    <cellStyle name="E_연구소용_품번등록대장_2_35.K35_품번대장_UGA-N10(Main_DPP2_Ver1)_2008.xx.xx" xfId="5272"/>
    <cellStyle name="E_연구소용_품번등록대장_2_35.K35_품번대장_UGA-N10(Main_LPP_Ver1)_2008.xx.xx" xfId="5273"/>
    <cellStyle name="E_연구소용_품번등록대장_2_35.K35_품번대장_UGA-N10(Main_PP2_Ver1)_2008.08.14" xfId="5274"/>
    <cellStyle name="E_연구소용_품번등록대장_2_47.K47_품번대장" xfId="5275"/>
    <cellStyle name="E_연구소용_품번등록대장_2_47.K47_품번대장 10" xfId="5276"/>
    <cellStyle name="E_연구소용_품번등록대장_2_47.K47_품번대장 11" xfId="5277"/>
    <cellStyle name="E_연구소용_품번등록대장_2_47.K47_품번대장 12" xfId="5278"/>
    <cellStyle name="E_연구소용_품번등록대장_2_47.K47_품번대장 13" xfId="5279"/>
    <cellStyle name="E_연구소용_품번등록대장_2_47.K47_품번대장 14" xfId="5280"/>
    <cellStyle name="E_연구소용_품번등록대장_2_47.K47_품번대장 15" xfId="5281"/>
    <cellStyle name="E_연구소용_품번등록대장_2_47.K47_품번대장 16" xfId="5282"/>
    <cellStyle name="E_연구소용_품번등록대장_2_47.K47_품번대장 17" xfId="5283"/>
    <cellStyle name="E_연구소용_품번등록대장_2_47.K47_품번대장 18" xfId="5284"/>
    <cellStyle name="E_연구소용_품번등록대장_2_47.K47_품번대장 2" xfId="5285"/>
    <cellStyle name="E_연구소용_품번등록대장_2_47.K47_품번대장 3" xfId="5286"/>
    <cellStyle name="E_연구소용_품번등록대장_2_47.K47_품번대장 4" xfId="5287"/>
    <cellStyle name="E_연구소용_품번등록대장_2_47.K47_품번대장 5" xfId="5288"/>
    <cellStyle name="E_연구소용_품번등록대장_2_47.K47_품번대장 6" xfId="5289"/>
    <cellStyle name="E_연구소용_품번등록대장_2_47.K47_품번대장 7" xfId="5290"/>
    <cellStyle name="E_연구소용_품번등록대장_2_47.K47_품번대장 8" xfId="5291"/>
    <cellStyle name="E_연구소용_품번등록대장_2_47.K47_품번대장 9" xfId="5292"/>
    <cellStyle name="E_연구소용_품번등록대장_2_47.K47_품번대장_BMB_UGA NEXT(audio_DPP2 Ver1.0)2008.xx.xx" xfId="5293"/>
    <cellStyle name="E_연구소용_품번등록대장_2_47.K47_품번대장_BMB_UGA NEXT(audio_DPP2 Ver2.0_2134 2EA삭제)2008.xx.xx" xfId="5294"/>
    <cellStyle name="E_연구소용_품번등록대장_2_47.K47_품번대장_Construction Parts_PP2" xfId="5295"/>
    <cellStyle name="E_연구소용_품번등록대장_2_47.K47_품번대장_Main Board" xfId="5296"/>
    <cellStyle name="E_연구소용_품번등록대장_2_47.K47_품번대장_Main Board_Construction Parts_PP2" xfId="5297"/>
    <cellStyle name="E_연구소용_품번등록대장_2_47.K47_품번대장_Main Board_MAIN PBA" xfId="5298"/>
    <cellStyle name="E_연구소용_품번등록대장_2_47.K47_품번대장_Main Board_PP1 (2)" xfId="5299"/>
    <cellStyle name="E_연구소용_품번등록대장_2_47.K47_품번대장_Main Board_UGA-N10(Main_MP4.5_Ver1)_2009.02.02" xfId="5300"/>
    <cellStyle name="E_연구소용_품번등록대장_2_47.K47_품번대장_UGA-N10(Audio_LPP Ver1.0)2008.xx.xx" xfId="5301"/>
    <cellStyle name="E_연구소용_품번등록대장_2_47.K47_품번대장_UGA-N10(Audio_PP2 Ver1.0)2008.08.09" xfId="5302"/>
    <cellStyle name="E_연구소용_품번등록대장_2_47.K47_품번대장_UGA-N10(Construction Parts_PP2_Ver1.0)2008.08.22" xfId="5303"/>
    <cellStyle name="E_연구소용_품번등록대장_2_47.K47_품번대장_UGA-N10(Front_PP2_Ver1.0)_2008.08.22" xfId="5304"/>
    <cellStyle name="E_연구소용_품번등록대장_2_47.K47_품번대장_UGA-N10(Main_DPP2_Ver1)_2008.xx.xx" xfId="5305"/>
    <cellStyle name="E_연구소용_품번등록대장_2_47.K47_품번대장_UGA-N10(Main_LPP_Ver1)_2008.xx.xx" xfId="5306"/>
    <cellStyle name="E_연구소용_품번등록대장_2_47.K47_품번대장_UGA-N10(Main_PP2_Ver1)_2008.08.14" xfId="5307"/>
    <cellStyle name="E_연구소용_품번등록대장_2_품번등록대장" xfId="5308"/>
    <cellStyle name="E_연구소용_품번등록대장_2_품번등록대장 10" xfId="5309"/>
    <cellStyle name="E_연구소용_품번등록대장_2_품번등록대장 11" xfId="5310"/>
    <cellStyle name="E_연구소용_품번등록대장_2_품번등록대장 12" xfId="5311"/>
    <cellStyle name="E_연구소용_품번등록대장_2_품번등록대장 13" xfId="5312"/>
    <cellStyle name="E_연구소용_품번등록대장_2_품번등록대장 14" xfId="5313"/>
    <cellStyle name="E_연구소용_품번등록대장_2_품번등록대장 15" xfId="5314"/>
    <cellStyle name="E_연구소용_품번등록대장_2_품번등록대장 16" xfId="5315"/>
    <cellStyle name="E_연구소용_품번등록대장_2_품번등록대장 17" xfId="5316"/>
    <cellStyle name="E_연구소용_품번등록대장_2_품번등록대장 18" xfId="5317"/>
    <cellStyle name="E_연구소용_품번등록대장_2_품번등록대장 2" xfId="5318"/>
    <cellStyle name="E_연구소용_품번등록대장_2_품번등록대장 3" xfId="5319"/>
    <cellStyle name="E_연구소용_품번등록대장_2_품번등록대장 4" xfId="5320"/>
    <cellStyle name="E_연구소용_품번등록대장_2_품번등록대장 5" xfId="5321"/>
    <cellStyle name="E_연구소용_품번등록대장_2_품번등록대장 6" xfId="5322"/>
    <cellStyle name="E_연구소용_품번등록대장_2_품번등록대장 7" xfId="5323"/>
    <cellStyle name="E_연구소용_품번등록대장_2_품번등록대장 8" xfId="5324"/>
    <cellStyle name="E_연구소용_품번등록대장_2_품번등록대장 9" xfId="5325"/>
    <cellStyle name="E_연구소용_품번등록대장_2_품번등록대장_BMB_UGA NEXT(audio_DPP2 Ver1.0)2008.xx.xx" xfId="5326"/>
    <cellStyle name="E_연구소용_품번등록대장_2_품번등록대장_BMB_UGA NEXT(audio_DPP2 Ver2.0_2134 2EA삭제)2008.xx.xx" xfId="5327"/>
    <cellStyle name="E_연구소용_품번등록대장_2_품번등록대장_Construction Parts_PP2" xfId="5328"/>
    <cellStyle name="E_연구소용_품번등록대장_2_품번등록대장_Main Board" xfId="5329"/>
    <cellStyle name="E_연구소용_품번등록대장_2_품번등록대장_Main Board_Construction Parts_PP2" xfId="5330"/>
    <cellStyle name="E_연구소용_품번등록대장_2_품번등록대장_Main Board_MAIN PBA" xfId="5331"/>
    <cellStyle name="E_연구소용_품번등록대장_2_품번등록대장_Main Board_PP1 (2)" xfId="5332"/>
    <cellStyle name="E_연구소용_품번등록대장_2_품번등록대장_Main Board_UGA-N10(Main_MP4.5_Ver1)_2009.02.02" xfId="5333"/>
    <cellStyle name="E_연구소용_품번등록대장_2_품번등록대장_UGA-N10(Audio_LPP Ver1.0)2008.xx.xx" xfId="5334"/>
    <cellStyle name="E_연구소용_품번등록대장_2_품번등록대장_UGA-N10(Audio_PP2 Ver1.0)2008.08.09" xfId="5335"/>
    <cellStyle name="E_연구소용_품번등록대장_2_품번등록대장_UGA-N10(Construction Parts_PP2_Ver1.0)2008.08.22" xfId="5336"/>
    <cellStyle name="E_연구소용_품번등록대장_2_품번등록대장_UGA-N10(Front_PP2_Ver1.0)_2008.08.22" xfId="5337"/>
    <cellStyle name="E_연구소용_품번등록대장_2_품번등록대장_UGA-N10(Main_DPP2_Ver1)_2008.xx.xx" xfId="5338"/>
    <cellStyle name="E_연구소용_품번등록대장_2_품번등록대장_UGA-N10(Main_LPP_Ver1)_2008.xx.xx" xfId="5339"/>
    <cellStyle name="E_연구소용_품번등록대장_2_품번등록대장_UGA-N10(Main_PP2_Ver1)_2008.08.14" xfId="5340"/>
    <cellStyle name="E_연구소용_품번등록대장_2_BMB_UGA NEXT(audio_DPP2 Ver1.0)2008.xx.xx" xfId="5341"/>
    <cellStyle name="E_연구소용_품번등록대장_2_BMB_UGA NEXT(audio_DPP2 Ver2.0_2134 2EA삭제)2008.xx.xx" xfId="5342"/>
    <cellStyle name="E_연구소용_품번등록대장_2_Construction Parts_PP2" xfId="5343"/>
    <cellStyle name="E_연구소용_품번등록대장_2_Main Board" xfId="5344"/>
    <cellStyle name="E_연구소용_품번등록대장_2_Main Board_Construction Parts_PP2" xfId="5345"/>
    <cellStyle name="E_연구소용_품번등록대장_2_Main Board_MAIN PBA" xfId="5346"/>
    <cellStyle name="E_연구소용_품번등록대장_2_Main Board_PP1 (2)" xfId="5347"/>
    <cellStyle name="E_연구소용_품번등록대장_2_Main Board_UGA-N10(Main_MP4.5_Ver1)_2009.02.02" xfId="5348"/>
    <cellStyle name="E_연구소용_품번등록대장_2_UGA-N10(Audio_LPP Ver1.0)2008.xx.xx" xfId="5349"/>
    <cellStyle name="E_연구소용_품번등록대장_2_UGA-N10(Audio_PP2 Ver1.0)2008.08.09" xfId="5350"/>
    <cellStyle name="E_연구소용_품번등록대장_2_UGA-N10(Construction Parts_PP2_Ver1.0)2008.08.22" xfId="5351"/>
    <cellStyle name="E_연구소용_품번등록대장_2_UGA-N10(Front_PP2_Ver1.0)_2008.08.22" xfId="5352"/>
    <cellStyle name="E_연구소용_품번등록대장_2_UGA-N10(Main_DPP2_Ver1)_2008.xx.xx" xfId="5353"/>
    <cellStyle name="E_연구소용_품번등록대장_2_UGA-N10(Main_LPP_Ver1)_2008.xx.xx" xfId="5354"/>
    <cellStyle name="E_연구소용_품번등록대장_2_UGA-N10(Main_PP2_Ver1)_2008.08.14" xfId="5355"/>
    <cellStyle name="E_연구소용_품번등록대장_3" xfId="5356"/>
    <cellStyle name="E_연구소용_품번등록대장_3 10" xfId="5357"/>
    <cellStyle name="E_연구소용_품번등록대장_3 11" xfId="5358"/>
    <cellStyle name="E_연구소용_품번등록대장_3 12" xfId="5359"/>
    <cellStyle name="E_연구소용_품번등록대장_3 13" xfId="5360"/>
    <cellStyle name="E_연구소용_품번등록대장_3 14" xfId="5361"/>
    <cellStyle name="E_연구소용_품번등록대장_3 15" xfId="5362"/>
    <cellStyle name="E_연구소용_품번등록대장_3 16" xfId="5363"/>
    <cellStyle name="E_연구소용_품번등록대장_3 17" xfId="5364"/>
    <cellStyle name="E_연구소용_품번등록대장_3 18" xfId="5365"/>
    <cellStyle name="E_연구소용_품번등록대장_3 2" xfId="5366"/>
    <cellStyle name="E_연구소용_품번등록대장_3 3" xfId="5367"/>
    <cellStyle name="E_연구소용_품번등록대장_3 4" xfId="5368"/>
    <cellStyle name="E_연구소용_품번등록대장_3 5" xfId="5369"/>
    <cellStyle name="E_연구소용_품번등록대장_3 6" xfId="5370"/>
    <cellStyle name="E_연구소용_품번등록대장_3 7" xfId="5371"/>
    <cellStyle name="E_연구소용_품번등록대장_3 8" xfId="5372"/>
    <cellStyle name="E_연구소용_품번등록대장_3 9" xfId="5373"/>
    <cellStyle name="E_연구소용_품번등록대장_3_BMB_UGA NEXT(audio_DPP2 Ver1.0)2008.xx.xx" xfId="5374"/>
    <cellStyle name="E_연구소용_품번등록대장_3_BMB_UGA NEXT(audio_DPP2 Ver2.0_2134 2EA삭제)2008.xx.xx" xfId="5375"/>
    <cellStyle name="E_연구소용_품번등록대장_3_Construction Parts_PP2" xfId="5376"/>
    <cellStyle name="E_연구소용_품번등록대장_3_Main Board" xfId="5377"/>
    <cellStyle name="E_연구소용_품번등록대장_3_Main Board_Construction Parts_PP2" xfId="5378"/>
    <cellStyle name="E_연구소용_품번등록대장_3_Main Board_MAIN PBA" xfId="5379"/>
    <cellStyle name="E_연구소용_품번등록대장_3_Main Board_PP1 (2)" xfId="5380"/>
    <cellStyle name="E_연구소용_품번등록대장_3_Main Board_UGA-N10(Main_MP4.5_Ver1)_2009.02.02" xfId="5381"/>
    <cellStyle name="E_연구소용_품번등록대장_3_UGA-N10(Audio_LPP Ver1.0)2008.xx.xx" xfId="5382"/>
    <cellStyle name="E_연구소용_품번등록대장_3_UGA-N10(Audio_PP2 Ver1.0)2008.08.09" xfId="5383"/>
    <cellStyle name="E_연구소용_품번등록대장_3_UGA-N10(Construction Parts_PP2_Ver1.0)2008.08.22" xfId="5384"/>
    <cellStyle name="E_연구소용_품번등록대장_3_UGA-N10(Front_PP2_Ver1.0)_2008.08.22" xfId="5385"/>
    <cellStyle name="E_연구소용_품번등록대장_3_UGA-N10(Main_DPP2_Ver1)_2008.xx.xx" xfId="5386"/>
    <cellStyle name="E_연구소용_품번등록대장_3_UGA-N10(Main_LPP_Ver1)_2008.xx.xx" xfId="5387"/>
    <cellStyle name="E_연구소용_품번등록대장_3_UGA-N10(Main_PP2_Ver1)_2008.08.14" xfId="5388"/>
    <cellStyle name="E_연구소용_품번등록대장_BMB_UGA NEXT(audio_DPP2 Ver1.0)2008.xx.xx" xfId="5389"/>
    <cellStyle name="E_연구소용_품번등록대장_BMB_UGA NEXT(audio_DPP2 Ver2.0_2134 2EA삭제)2008.xx.xx" xfId="5390"/>
    <cellStyle name="E_연구소용_품번등록대장_Construction Parts_PP2" xfId="5391"/>
    <cellStyle name="E_연구소용_품번등록대장_Main Board" xfId="5392"/>
    <cellStyle name="E_연구소용_품번등록대장_Main Board_Construction Parts_PP2" xfId="5393"/>
    <cellStyle name="E_연구소용_품번등록대장_Main Board_MAIN PBA" xfId="5394"/>
    <cellStyle name="E_연구소용_품번등록대장_Main Board_PP1 (2)" xfId="5395"/>
    <cellStyle name="E_연구소용_품번등록대장_Main Board_UGA-N10(Main_MP4.5_Ver1)_2009.02.02" xfId="5396"/>
    <cellStyle name="E_연구소용_품번등록대장_UGA-N10(Audio_LPP Ver1.0)2008.xx.xx" xfId="5397"/>
    <cellStyle name="E_연구소용_품번등록대장_UGA-N10(Audio_PP2 Ver1.0)2008.08.09" xfId="5398"/>
    <cellStyle name="E_연구소용_품번등록대장_UGA-N10(Construction Parts_PP2_Ver1.0)2008.08.22" xfId="5399"/>
    <cellStyle name="E_연구소용_품번등록대장_UGA-N10(Front_PP2_Ver1.0)_2008.08.22" xfId="5400"/>
    <cellStyle name="E_연구소용_품번등록대장_UGA-N10(Main_DPP2_Ver1)_2008.xx.xx" xfId="5401"/>
    <cellStyle name="E_연구소용_품번등록대장_UGA-N10(Main_LPP_Ver1)_2008.xx.xx" xfId="5402"/>
    <cellStyle name="E_연구소용_품번등록대장_UGA-N10(Main_PP2_Ver1)_2008.08.14" xfId="5403"/>
    <cellStyle name="E_연구소용_BMB_UGA NEXT(audio_DPP2 Ver1.0)2008.xx.xx" xfId="5404"/>
    <cellStyle name="E_연구소용_BMB_UGA NEXT(audio_DPP2 Ver2.0_2134 2EA삭제)2008.xx.xx" xfId="5405"/>
    <cellStyle name="E_연구소용_Construction Parts_PP2" xfId="5406"/>
    <cellStyle name="E_연구소용_Main Board" xfId="5407"/>
    <cellStyle name="E_연구소용_Main Board_Construction Parts_PP2" xfId="5408"/>
    <cellStyle name="E_연구소용_Main Board_MAIN PBA" xfId="5409"/>
    <cellStyle name="E_연구소용_Main Board_PP1 (2)" xfId="5410"/>
    <cellStyle name="E_연구소용_Main Board_UGA-N10(Main_MP4.5_Ver1)_2009.02.02" xfId="5411"/>
    <cellStyle name="E_연구소용_UGA-N10(Audio_LPP Ver1.0)2008.xx.xx" xfId="5412"/>
    <cellStyle name="E_연구소용_UGA-N10(Audio_PP2 Ver1.0)2008.08.09" xfId="5413"/>
    <cellStyle name="E_연구소용_UGA-N10(Construction Parts_PP2_Ver1.0)2008.08.22" xfId="5414"/>
    <cellStyle name="E_연구소용_UGA-N10(Front_PP2_Ver1.0)_2008.08.22" xfId="5415"/>
    <cellStyle name="E_연구소용_UGA-N10(Main_DPP2_Ver1)_2008.xx.xx" xfId="5416"/>
    <cellStyle name="E_연구소용_UGA-N10(Main_LPP_Ver1)_2008.xx.xx" xfId="5417"/>
    <cellStyle name="E_연구소용_UGA-N10(Main_PP2_Ver1)_2008.08.14" xfId="5418"/>
    <cellStyle name="E_품번등록대장" xfId="5419"/>
    <cellStyle name="E_품번등록대장 10" xfId="5420"/>
    <cellStyle name="E_품번등록대장 11" xfId="5421"/>
    <cellStyle name="E_품번등록대장 12" xfId="5422"/>
    <cellStyle name="E_품번등록대장 13" xfId="5423"/>
    <cellStyle name="E_품번등록대장 14" xfId="5424"/>
    <cellStyle name="E_품번등록대장 15" xfId="5425"/>
    <cellStyle name="E_품번등록대장 16" xfId="5426"/>
    <cellStyle name="E_품번등록대장 17" xfId="5427"/>
    <cellStyle name="E_품번등록대장 18" xfId="5428"/>
    <cellStyle name="E_품번등록대장 2" xfId="5429"/>
    <cellStyle name="E_품번등록대장 3" xfId="5430"/>
    <cellStyle name="E_품번등록대장 4" xfId="5431"/>
    <cellStyle name="E_품번등록대장 5" xfId="5432"/>
    <cellStyle name="E_품번등록대장 6" xfId="5433"/>
    <cellStyle name="E_품번등록대장 7" xfId="5434"/>
    <cellStyle name="E_품번등록대장 8" xfId="5435"/>
    <cellStyle name="E_품번등록대장 9" xfId="5436"/>
    <cellStyle name="E_품번등록대장_BMB_UGA NEXT(audio_DPP2 Ver1.0)2008.xx.xx" xfId="5437"/>
    <cellStyle name="E_품번등록대장_BMB_UGA NEXT(audio_DPP2 Ver2.0_2134 2EA삭제)2008.xx.xx" xfId="5438"/>
    <cellStyle name="E_품번등록대장_Construction Parts_PP2" xfId="5439"/>
    <cellStyle name="E_품번등록대장_Main Board" xfId="5440"/>
    <cellStyle name="E_품번등록대장_Main Board_Construction Parts_PP2" xfId="5441"/>
    <cellStyle name="E_품번등록대장_Main Board_MAIN PBA" xfId="5442"/>
    <cellStyle name="E_품번등록대장_Main Board_PP1 (2)" xfId="5443"/>
    <cellStyle name="E_품번등록대장_Main Board_UGA-N10(Main_MP4.5_Ver1)_2009.02.02" xfId="5444"/>
    <cellStyle name="E_품번등록대장_UGA-N10(Audio_LPP Ver1.0)2008.xx.xx" xfId="5445"/>
    <cellStyle name="E_품번등록대장_UGA-N10(Audio_PP2 Ver1.0)2008.08.09" xfId="5446"/>
    <cellStyle name="E_품번등록대장_UGA-N10(Construction Parts_PP2_Ver1.0)2008.08.22" xfId="5447"/>
    <cellStyle name="E_품번등록대장_UGA-N10(Front_PP2_Ver1.0)_2008.08.22" xfId="5448"/>
    <cellStyle name="E_품번등록대장_UGA-N10(Main_DPP2_Ver1)_2008.xx.xx" xfId="5449"/>
    <cellStyle name="E_품번등록대장_UGA-N10(Main_LPP_Ver1)_2008.xx.xx" xfId="5450"/>
    <cellStyle name="E_품번등록대장_UGA-N10(Main_PP2_Ver1)_2008.08.14" xfId="5451"/>
    <cellStyle name="E_BMB_UGA NEXT(audio_DPP2 Ver1.0)2008.xx.xx" xfId="5452"/>
    <cellStyle name="E_BMB_UGA NEXT(audio_DPP2 Ver2.0_2134 2EA삭제)2008.xx.xx" xfId="5453"/>
    <cellStyle name="E_Construction Parts_PP2" xfId="5454"/>
    <cellStyle name="E_Main Board" xfId="5455"/>
    <cellStyle name="E_Main Board_Construction Parts_PP2" xfId="5456"/>
    <cellStyle name="E_Main Board_MAIN PBA" xfId="5457"/>
    <cellStyle name="E_Main Board_PP1 (2)" xfId="5458"/>
    <cellStyle name="E_Main Board_UGA-N10(Main_MP4.5_Ver1)_2009.02.02" xfId="5459"/>
    <cellStyle name="E_UGA-N10(Audio_LPP Ver1.0)2008.xx.xx" xfId="5460"/>
    <cellStyle name="E_UGA-N10(Audio_PP2 Ver1.0)2008.08.09" xfId="5461"/>
    <cellStyle name="E_UGA-N10(Construction Parts_PP2_Ver1.0)2008.08.22" xfId="5462"/>
    <cellStyle name="E_UGA-N10(Front_PP2_Ver1.0)_2008.08.22" xfId="5463"/>
    <cellStyle name="E_UGA-N10(Main_DPP2_Ver1)_2008.xx.xx" xfId="5464"/>
    <cellStyle name="E_UGA-N10(Main_LPP_Ver1)_2008.xx.xx" xfId="5465"/>
    <cellStyle name="E_UGA-N10(Main_PP2_Ver1)_2008.08.14" xfId="5466"/>
    <cellStyle name="F2" xfId="5467"/>
    <cellStyle name="F2 10" xfId="5468"/>
    <cellStyle name="F2 11" xfId="5469"/>
    <cellStyle name="F2 12" xfId="5470"/>
    <cellStyle name="F2 13" xfId="5471"/>
    <cellStyle name="F2 14" xfId="5472"/>
    <cellStyle name="F2 15" xfId="5473"/>
    <cellStyle name="F2 16" xfId="5474"/>
    <cellStyle name="F2 17" xfId="5475"/>
    <cellStyle name="F2 18" xfId="5476"/>
    <cellStyle name="F2 2" xfId="5477"/>
    <cellStyle name="F2 3" xfId="5478"/>
    <cellStyle name="F2 4" xfId="5479"/>
    <cellStyle name="F2 5" xfId="5480"/>
    <cellStyle name="F2 6" xfId="5481"/>
    <cellStyle name="F2 7" xfId="5482"/>
    <cellStyle name="F2 8" xfId="5483"/>
    <cellStyle name="F2 9" xfId="5484"/>
    <cellStyle name="F2_BMB_UGA NEXT(audio_DPP2 Ver1.0)2008.xx.xx" xfId="5485"/>
    <cellStyle name="F3" xfId="5486"/>
    <cellStyle name="F3 10" xfId="5487"/>
    <cellStyle name="F3 11" xfId="5488"/>
    <cellStyle name="F3 12" xfId="5489"/>
    <cellStyle name="F3 13" xfId="5490"/>
    <cellStyle name="F3 14" xfId="5491"/>
    <cellStyle name="F3 15" xfId="5492"/>
    <cellStyle name="F3 16" xfId="5493"/>
    <cellStyle name="F3 17" xfId="5494"/>
    <cellStyle name="F3 18" xfId="5495"/>
    <cellStyle name="F3 2" xfId="5496"/>
    <cellStyle name="F3 3" xfId="5497"/>
    <cellStyle name="F3 4" xfId="5498"/>
    <cellStyle name="F3 5" xfId="5499"/>
    <cellStyle name="F3 6" xfId="5500"/>
    <cellStyle name="F3 7" xfId="5501"/>
    <cellStyle name="F3 8" xfId="5502"/>
    <cellStyle name="F3 9" xfId="5503"/>
    <cellStyle name="F3_BMB_UGA NEXT(audio_DPP2 Ver1.0)2008.xx.xx" xfId="5504"/>
    <cellStyle name="F4" xfId="5505"/>
    <cellStyle name="F4 10" xfId="5506"/>
    <cellStyle name="F4 11" xfId="5507"/>
    <cellStyle name="F4 12" xfId="5508"/>
    <cellStyle name="F4 13" xfId="5509"/>
    <cellStyle name="F4 14" xfId="5510"/>
    <cellStyle name="F4 15" xfId="5511"/>
    <cellStyle name="F4 16" xfId="5512"/>
    <cellStyle name="F4 17" xfId="5513"/>
    <cellStyle name="F4 18" xfId="5514"/>
    <cellStyle name="F4 2" xfId="5515"/>
    <cellStyle name="F4 3" xfId="5516"/>
    <cellStyle name="F4 4" xfId="5517"/>
    <cellStyle name="F4 5" xfId="5518"/>
    <cellStyle name="F4 6" xfId="5519"/>
    <cellStyle name="F4 7" xfId="5520"/>
    <cellStyle name="F4 8" xfId="5521"/>
    <cellStyle name="F4 9" xfId="5522"/>
    <cellStyle name="F4_BMB_UGA NEXT(audio_DPP2 Ver1.0)2008.xx.xx" xfId="5523"/>
    <cellStyle name="F5" xfId="5524"/>
    <cellStyle name="F5 10" xfId="5525"/>
    <cellStyle name="F5 11" xfId="5526"/>
    <cellStyle name="F5 12" xfId="5527"/>
    <cellStyle name="F5 13" xfId="5528"/>
    <cellStyle name="F5 14" xfId="5529"/>
    <cellStyle name="F5 15" xfId="5530"/>
    <cellStyle name="F5 16" xfId="5531"/>
    <cellStyle name="F5 17" xfId="5532"/>
    <cellStyle name="F5 18" xfId="5533"/>
    <cellStyle name="F5 2" xfId="5534"/>
    <cellStyle name="F5 3" xfId="5535"/>
    <cellStyle name="F5 4" xfId="5536"/>
    <cellStyle name="F5 5" xfId="5537"/>
    <cellStyle name="F5 6" xfId="5538"/>
    <cellStyle name="F5 7" xfId="5539"/>
    <cellStyle name="F5 8" xfId="5540"/>
    <cellStyle name="F5 9" xfId="5541"/>
    <cellStyle name="F5_BMB_UGA NEXT(audio_DPP2 Ver1.0)2008.xx.xx" xfId="5542"/>
    <cellStyle name="F6" xfId="5543"/>
    <cellStyle name="F6 10" xfId="5544"/>
    <cellStyle name="F6 11" xfId="5545"/>
    <cellStyle name="F6 12" xfId="5546"/>
    <cellStyle name="F6 13" xfId="5547"/>
    <cellStyle name="F6 14" xfId="5548"/>
    <cellStyle name="F6 15" xfId="5549"/>
    <cellStyle name="F6 16" xfId="5550"/>
    <cellStyle name="F6 17" xfId="5551"/>
    <cellStyle name="F6 18" xfId="5552"/>
    <cellStyle name="F6 2" xfId="5553"/>
    <cellStyle name="F6 3" xfId="5554"/>
    <cellStyle name="F6 4" xfId="5555"/>
    <cellStyle name="F6 5" xfId="5556"/>
    <cellStyle name="F6 6" xfId="5557"/>
    <cellStyle name="F6 7" xfId="5558"/>
    <cellStyle name="F6 8" xfId="5559"/>
    <cellStyle name="F6 9" xfId="5560"/>
    <cellStyle name="F6_BMB_UGA NEXT(audio_DPP2 Ver1.0)2008.xx.xx" xfId="5561"/>
    <cellStyle name="F7" xfId="5562"/>
    <cellStyle name="F7 10" xfId="5563"/>
    <cellStyle name="F7 11" xfId="5564"/>
    <cellStyle name="F7 12" xfId="5565"/>
    <cellStyle name="F7 13" xfId="5566"/>
    <cellStyle name="F7 14" xfId="5567"/>
    <cellStyle name="F7 15" xfId="5568"/>
    <cellStyle name="F7 16" xfId="5569"/>
    <cellStyle name="F7 17" xfId="5570"/>
    <cellStyle name="F7 18" xfId="5571"/>
    <cellStyle name="F7 2" xfId="5572"/>
    <cellStyle name="F7 3" xfId="5573"/>
    <cellStyle name="F7 4" xfId="5574"/>
    <cellStyle name="F7 5" xfId="5575"/>
    <cellStyle name="F7 6" xfId="5576"/>
    <cellStyle name="F7 7" xfId="5577"/>
    <cellStyle name="F7 8" xfId="5578"/>
    <cellStyle name="F7 9" xfId="5579"/>
    <cellStyle name="F7_BMB_UGA NEXT(audio_DPP2 Ver1.0)2008.xx.xx" xfId="5580"/>
    <cellStyle name="F8" xfId="5581"/>
    <cellStyle name="F8 10" xfId="5582"/>
    <cellStyle name="F8 11" xfId="5583"/>
    <cellStyle name="F8 12" xfId="5584"/>
    <cellStyle name="F8 13" xfId="5585"/>
    <cellStyle name="F8 14" xfId="5586"/>
    <cellStyle name="F8 15" xfId="5587"/>
    <cellStyle name="F8 16" xfId="5588"/>
    <cellStyle name="F8 17" xfId="5589"/>
    <cellStyle name="F8 18" xfId="5590"/>
    <cellStyle name="F8 2" xfId="5591"/>
    <cellStyle name="F8 3" xfId="5592"/>
    <cellStyle name="F8 4" xfId="5593"/>
    <cellStyle name="F8 5" xfId="5594"/>
    <cellStyle name="F8 6" xfId="5595"/>
    <cellStyle name="F8 7" xfId="5596"/>
    <cellStyle name="F8 8" xfId="5597"/>
    <cellStyle name="F8 9" xfId="5598"/>
    <cellStyle name="F8_BMB_UGA NEXT(audio_DPP2 Ver1.0)2008.xx.xx" xfId="5599"/>
    <cellStyle name="Grey 19" xfId="5600"/>
    <cellStyle name="Grey 10" xfId="5601"/>
    <cellStyle name="Grey 11" xfId="5602"/>
    <cellStyle name="Grey 12" xfId="5603"/>
    <cellStyle name="Grey 13" xfId="5604"/>
    <cellStyle name="Grey 14" xfId="5605"/>
    <cellStyle name="Grey 15" xfId="5606"/>
    <cellStyle name="Grey 16" xfId="5607"/>
    <cellStyle name="Grey 17" xfId="5608"/>
    <cellStyle name="Grey 18" xfId="5609"/>
    <cellStyle name="Grey 2" xfId="5610"/>
    <cellStyle name="Grey 3" xfId="5611"/>
    <cellStyle name="Grey 4" xfId="5612"/>
    <cellStyle name="Grey 5" xfId="5613"/>
    <cellStyle name="Grey 6" xfId="5614"/>
    <cellStyle name="Grey 7" xfId="5615"/>
    <cellStyle name="Grey 8" xfId="5616"/>
    <cellStyle name="Grey 9" xfId="5617"/>
    <cellStyle name="Grey_BMB_UGA NEXT(audio_DPP2 Ver1.0)2008.xx.xx" xfId="5618"/>
    <cellStyle name="HEADER" xfId="5619"/>
    <cellStyle name="HEADER 10" xfId="5620"/>
    <cellStyle name="HEADER 11" xfId="5621"/>
    <cellStyle name="HEADER 12" xfId="5622"/>
    <cellStyle name="HEADER 13" xfId="5623"/>
    <cellStyle name="HEADER 14" xfId="5624"/>
    <cellStyle name="HEADER 15" xfId="5625"/>
    <cellStyle name="HEADER 16" xfId="5626"/>
    <cellStyle name="HEADER 17" xfId="5627"/>
    <cellStyle name="HEADER 18" xfId="5628"/>
    <cellStyle name="HEADER 2" xfId="5629"/>
    <cellStyle name="HEADER 3" xfId="5630"/>
    <cellStyle name="HEADER 4" xfId="5631"/>
    <cellStyle name="HEADER 5" xfId="5632"/>
    <cellStyle name="HEADER 6" xfId="5633"/>
    <cellStyle name="HEADER 7" xfId="5634"/>
    <cellStyle name="HEADER 8" xfId="5635"/>
    <cellStyle name="HEADER 9" xfId="5636"/>
    <cellStyle name="HEADER_BMB_UGA NEXT(audio_DPP2 Ver1.0)2008.xx.xx" xfId="5637"/>
    <cellStyle name="Header1 19" xfId="5638"/>
    <cellStyle name="Header1 10" xfId="5639"/>
    <cellStyle name="Header1 11" xfId="5640"/>
    <cellStyle name="Header1 12" xfId="5641"/>
    <cellStyle name="Header1 13" xfId="5642"/>
    <cellStyle name="Header1 14" xfId="5643"/>
    <cellStyle name="Header1 15" xfId="5644"/>
    <cellStyle name="Header1 16" xfId="5645"/>
    <cellStyle name="Header1 17" xfId="5646"/>
    <cellStyle name="Header1 18" xfId="5647"/>
    <cellStyle name="Header1 2" xfId="5648"/>
    <cellStyle name="Header1 3" xfId="5649"/>
    <cellStyle name="Header1 4" xfId="5650"/>
    <cellStyle name="Header1 5" xfId="5651"/>
    <cellStyle name="Header1 6" xfId="5652"/>
    <cellStyle name="Header1 7" xfId="5653"/>
    <cellStyle name="Header1 8" xfId="5654"/>
    <cellStyle name="Header1 9" xfId="5655"/>
    <cellStyle name="Header1_BMB_UGA NEXT(audio_DPP2 Ver1.0)2008.xx.xx" xfId="5656"/>
    <cellStyle name="Header2 19" xfId="5657"/>
    <cellStyle name="Header2 10" xfId="5658"/>
    <cellStyle name="Header2 11" xfId="5659"/>
    <cellStyle name="Header2 12" xfId="5660"/>
    <cellStyle name="Header2 13" xfId="5661"/>
    <cellStyle name="Header2 14" xfId="5662"/>
    <cellStyle name="Header2 15" xfId="5663"/>
    <cellStyle name="Header2 16" xfId="5664"/>
    <cellStyle name="Header2 17" xfId="5665"/>
    <cellStyle name="Header2 18" xfId="5666"/>
    <cellStyle name="Header2 2" xfId="5667"/>
    <cellStyle name="Header2 3" xfId="5668"/>
    <cellStyle name="Header2 4" xfId="5669"/>
    <cellStyle name="Header2 5" xfId="5670"/>
    <cellStyle name="Header2 6" xfId="5671"/>
    <cellStyle name="Header2 7" xfId="5672"/>
    <cellStyle name="Header2 8" xfId="5673"/>
    <cellStyle name="Header2 9" xfId="5674"/>
    <cellStyle name="Header2_BMB_UGA NEXT(audio_DPP2 Ver1.0)2008.xx.xx" xfId="5675"/>
    <cellStyle name="Input [yellow] 19" xfId="5676"/>
    <cellStyle name="Input [yellow] 10" xfId="5677"/>
    <cellStyle name="Input [yellow] 11" xfId="5678"/>
    <cellStyle name="Input [yellow] 12" xfId="5679"/>
    <cellStyle name="Input [yellow] 13" xfId="5680"/>
    <cellStyle name="Input [yellow] 14" xfId="5681"/>
    <cellStyle name="Input [yellow] 15" xfId="5682"/>
    <cellStyle name="Input [yellow] 16" xfId="5683"/>
    <cellStyle name="Input [yellow] 17" xfId="5684"/>
    <cellStyle name="Input [yellow] 18" xfId="5685"/>
    <cellStyle name="Input [yellow] 2" xfId="5686"/>
    <cellStyle name="Input [yellow] 3" xfId="5687"/>
    <cellStyle name="Input [yellow] 4" xfId="5688"/>
    <cellStyle name="Input [yellow] 5" xfId="5689"/>
    <cellStyle name="Input [yellow] 6" xfId="5690"/>
    <cellStyle name="Input [yellow] 7" xfId="5691"/>
    <cellStyle name="Input [yellow] 8" xfId="5692"/>
    <cellStyle name="Input [yellow] 9" xfId="5693"/>
    <cellStyle name="Input [yellow]_BMB_UGA NEXT(audio_DPP2 Ver1.0)2008.xx.xx" xfId="5694"/>
    <cellStyle name="Model" xfId="5695"/>
    <cellStyle name="Model 10" xfId="5696"/>
    <cellStyle name="Model 11" xfId="5697"/>
    <cellStyle name="Model 12" xfId="5698"/>
    <cellStyle name="Model 13" xfId="5699"/>
    <cellStyle name="Model 14" xfId="5700"/>
    <cellStyle name="Model 15" xfId="5701"/>
    <cellStyle name="Model 16" xfId="5702"/>
    <cellStyle name="Model 17" xfId="5703"/>
    <cellStyle name="Model 18" xfId="5704"/>
    <cellStyle name="Model 2" xfId="5705"/>
    <cellStyle name="Model 3" xfId="5706"/>
    <cellStyle name="Model 4" xfId="5707"/>
    <cellStyle name="Model 5" xfId="5708"/>
    <cellStyle name="Model 6" xfId="5709"/>
    <cellStyle name="Model 7" xfId="5710"/>
    <cellStyle name="Model 8" xfId="5711"/>
    <cellStyle name="Model 9" xfId="5712"/>
    <cellStyle name="Model_BMB_UGA NEXT(audio_DPP2 Ver1.0)2008.xx.xx" xfId="5713"/>
    <cellStyle name="Normal - Style1 19" xfId="5714"/>
    <cellStyle name="Normal - Style1 10" xfId="5715"/>
    <cellStyle name="Normal - Style1 11" xfId="5716"/>
    <cellStyle name="Normal - Style1 12" xfId="5717"/>
    <cellStyle name="Normal - Style1 13" xfId="5718"/>
    <cellStyle name="Normal - Style1 14" xfId="5719"/>
    <cellStyle name="Normal - Style1 15" xfId="5720"/>
    <cellStyle name="Normal - Style1 16" xfId="5721"/>
    <cellStyle name="Normal - Style1 17" xfId="5722"/>
    <cellStyle name="Normal - Style1 18" xfId="5723"/>
    <cellStyle name="Normal - Style1 2" xfId="5724"/>
    <cellStyle name="Normal - Style1 3" xfId="5725"/>
    <cellStyle name="Normal - Style1 4" xfId="5726"/>
    <cellStyle name="Normal - Style1 5" xfId="5727"/>
    <cellStyle name="Normal - Style1 6" xfId="5728"/>
    <cellStyle name="Normal - Style1 7" xfId="5729"/>
    <cellStyle name="Normal - Style1 8" xfId="5730"/>
    <cellStyle name="Normal - Style1 9" xfId="5731"/>
    <cellStyle name="Normal - Style1_BMB_UGA NEXT(audio_DPP2 Ver1.0)2008.xx.xx" xfId="5732"/>
    <cellStyle name="per.style" xfId="5733"/>
    <cellStyle name="per.style 10" xfId="5734"/>
    <cellStyle name="per.style 11" xfId="5735"/>
    <cellStyle name="per.style 12" xfId="5736"/>
    <cellStyle name="per.style 13" xfId="5737"/>
    <cellStyle name="per.style 14" xfId="5738"/>
    <cellStyle name="per.style 15" xfId="5739"/>
    <cellStyle name="per.style 16" xfId="5740"/>
    <cellStyle name="per.style 17" xfId="5741"/>
    <cellStyle name="per.style 18" xfId="5742"/>
    <cellStyle name="per.style 2" xfId="5743"/>
    <cellStyle name="per.style 3" xfId="5744"/>
    <cellStyle name="per.style 4" xfId="5745"/>
    <cellStyle name="per.style 5" xfId="5746"/>
    <cellStyle name="per.style 6" xfId="5747"/>
    <cellStyle name="per.style 7" xfId="5748"/>
    <cellStyle name="per.style 8" xfId="5749"/>
    <cellStyle name="per.style 9" xfId="5750"/>
    <cellStyle name="per.style_BMB_UGA NEXT(audio_DPP2 Ver1.0)2008.xx.xx" xfId="5751"/>
    <cellStyle name="Percent [2] 19" xfId="5752"/>
    <cellStyle name="Percent [2] 10" xfId="5753"/>
    <cellStyle name="Percent [2] 11" xfId="5754"/>
    <cellStyle name="Percent [2] 12" xfId="5755"/>
    <cellStyle name="Percent [2] 13" xfId="5756"/>
    <cellStyle name="Percent [2] 14" xfId="5757"/>
    <cellStyle name="Percent [2] 15" xfId="5758"/>
    <cellStyle name="Percent [2] 16" xfId="5759"/>
    <cellStyle name="Percent [2] 17" xfId="5760"/>
    <cellStyle name="Percent [2] 18" xfId="5761"/>
    <cellStyle name="Percent [2] 2" xfId="5762"/>
    <cellStyle name="Percent [2] 3" xfId="5763"/>
    <cellStyle name="Percent [2] 4" xfId="5764"/>
    <cellStyle name="Percent [2] 5" xfId="5765"/>
    <cellStyle name="Percent [2] 6" xfId="5766"/>
    <cellStyle name="Percent [2] 7" xfId="5767"/>
    <cellStyle name="Percent [2] 8" xfId="5768"/>
    <cellStyle name="Percent [2] 9" xfId="5769"/>
    <cellStyle name="Percent [2]_BMB_UGA NEXT(audio_DPP2 Ver1.0)2008.xx.xx" xfId="5770"/>
    <cellStyle name="subhead 19" xfId="5771"/>
    <cellStyle name="subhead 10" xfId="5772"/>
    <cellStyle name="subhead 11" xfId="5773"/>
    <cellStyle name="subhead 12" xfId="5774"/>
    <cellStyle name="subhead 13" xfId="5775"/>
    <cellStyle name="subhead 14" xfId="5776"/>
    <cellStyle name="subhead 15" xfId="5777"/>
    <cellStyle name="subhead 16" xfId="5778"/>
    <cellStyle name="subhead 17" xfId="5779"/>
    <cellStyle name="subhead 18" xfId="5780"/>
    <cellStyle name="subhead 2" xfId="5781"/>
    <cellStyle name="subhead 3" xfId="5782"/>
    <cellStyle name="subhead 4" xfId="5783"/>
    <cellStyle name="subhead 5" xfId="5784"/>
    <cellStyle name="subhead 6" xfId="5785"/>
    <cellStyle name="subhead 7" xfId="5786"/>
    <cellStyle name="subhead 8" xfId="5787"/>
    <cellStyle name="subhead 9" xfId="5788"/>
    <cellStyle name="subhead_BMB_UGA NEXT(audio_DPP2 Ver1.0)2008.xx.xx" xfId="5789"/>
    <cellStyle name="표준 70" xfId="5790"/>
    <cellStyle name="표준 72" xfId="5791"/>
    <cellStyle name="표준 71" xfId="5792"/>
    <cellStyle name="표준 73" xfId="5793"/>
    <cellStyle name="표준 75" xfId="5794"/>
    <cellStyle name="표준 74" xfId="5795"/>
    <cellStyle name="표준 76" xfId="5796"/>
    <cellStyle name="표준 77" xfId="5797"/>
    <cellStyle name="표준 78" xfId="5798"/>
    <cellStyle name="표준 79" xfId="5799"/>
    <cellStyle name="표준 80" xfId="5800"/>
    <cellStyle name="표준 81" xfId="5801"/>
    <cellStyle name="표준 82" xfId="5802"/>
    <cellStyle name="표준 83" xfId="5803"/>
    <cellStyle name="표준 55" xfId="5804"/>
    <cellStyle name="표준 56" xfId="5805"/>
    <cellStyle name="표준 57" xfId="5806"/>
    <cellStyle name="표준 58" xfId="5807"/>
    <cellStyle name="표준 59" xfId="5808"/>
    <cellStyle name="표준 61" xfId="5809"/>
    <cellStyle name="표준 62" xfId="5810"/>
    <cellStyle name="표준 63 2" xfId="5811"/>
    <cellStyle name="표준 64" xfId="5812"/>
    <cellStyle name="표준 65" xfId="5813"/>
    <cellStyle name="표준 69" xfId="5814"/>
    <cellStyle name="표준 2 22 2" xfId="5815"/>
    <cellStyle name="20% - 강조색1 2 3" xfId="5816"/>
    <cellStyle name="20% - 강조색2 2 3" xfId="5817"/>
    <cellStyle name="20% - 강조색3 2 3" xfId="5818"/>
    <cellStyle name="20% - 강조색4 2 3" xfId="5819"/>
    <cellStyle name="20% - 강조색5 2 3" xfId="5820"/>
    <cellStyle name="20% - 강조색6 2 3" xfId="5821"/>
    <cellStyle name="40% - 강조색1 2 3" xfId="5822"/>
    <cellStyle name="40% - 강조색2 2 3" xfId="5823"/>
    <cellStyle name="40% - 강조색3 2 3" xfId="5824"/>
    <cellStyle name="40% - 강조색4 2 3" xfId="5825"/>
    <cellStyle name="40% - 강조색5 2 3" xfId="5826"/>
    <cellStyle name="40% - 강조색6 2 3" xfId="5827"/>
    <cellStyle name="60% - 강조색1 2 3" xfId="5828"/>
    <cellStyle name="60% - 강조색2 2 3" xfId="5829"/>
    <cellStyle name="60% - 강조색3 2 3" xfId="5830"/>
    <cellStyle name="60% - 강조색4 2 3" xfId="5831"/>
    <cellStyle name="60% - 강조색5 2 3" xfId="5832"/>
    <cellStyle name="60% - 강조색6 2 3" xfId="5833"/>
    <cellStyle name="강조색1 2 3" xfId="5834"/>
    <cellStyle name="강조색2 2 3" xfId="5835"/>
    <cellStyle name="강조색3 2 3" xfId="5836"/>
    <cellStyle name="강조색4 2 3" xfId="5837"/>
    <cellStyle name="강조색5 2 3" xfId="5838"/>
    <cellStyle name="강조색6 2 3" xfId="5839"/>
    <cellStyle name="경고문 2 3" xfId="5840"/>
    <cellStyle name="계산 2 3" xfId="5841"/>
    <cellStyle name="계산 2 4" xfId="5842"/>
    <cellStyle name="계산 5 2" xfId="5843"/>
    <cellStyle name="나쁨 2 3" xfId="5844"/>
    <cellStyle name="메모 2 2 2" xfId="5845"/>
    <cellStyle name="메모 2 3 2" xfId="5846"/>
    <cellStyle name="메모 2 4" xfId="5847"/>
    <cellStyle name="메모 2 5" xfId="5848"/>
    <cellStyle name="메모 3 2" xfId="5849"/>
    <cellStyle name="메모 4 2" xfId="5850"/>
    <cellStyle name="메모 5 2" xfId="5851"/>
    <cellStyle name="메모 7 2" xfId="5852"/>
    <cellStyle name="메모 8" xfId="5853"/>
    <cellStyle name="메모 9" xfId="5854"/>
    <cellStyle name="보통 2 3" xfId="5855"/>
    <cellStyle name="설명 텍스트 2 3" xfId="5856"/>
    <cellStyle name="셀 확인 2 3" xfId="5857"/>
    <cellStyle name="셀 확인 2 4" xfId="5858"/>
    <cellStyle name="셀 확인 5 2" xfId="5859"/>
    <cellStyle name="셀 확인 7 2" xfId="5860"/>
    <cellStyle name="연결된 셀 2 3" xfId="5861"/>
    <cellStyle name="요약 2 3" xfId="5862"/>
    <cellStyle name="요약 2 4" xfId="5863"/>
    <cellStyle name="요약 5 2" xfId="5864"/>
    <cellStyle name="입력 2 3" xfId="5865"/>
    <cellStyle name="입력 2 4" xfId="5866"/>
    <cellStyle name="입력 5 2" xfId="5867"/>
    <cellStyle name="제목 1 2 3" xfId="5868"/>
    <cellStyle name="제목 2 2 3" xfId="5869"/>
    <cellStyle name="제목 3 2 3" xfId="5870"/>
    <cellStyle name="제목 4 2 3" xfId="5871"/>
    <cellStyle name="제목 5 2" xfId="5872"/>
    <cellStyle name="좋음 2 3" xfId="5873"/>
    <cellStyle name="注释 10 2 2" xfId="5874"/>
    <cellStyle name="注释 10 3" xfId="5875"/>
    <cellStyle name="注释 11 2 2" xfId="5876"/>
    <cellStyle name="注释 11 3" xfId="5877"/>
    <cellStyle name="注释 12 2 2" xfId="5878"/>
    <cellStyle name="注释 12 3" xfId="5879"/>
    <cellStyle name="注释 13 2 2" xfId="5880"/>
    <cellStyle name="注释 13 3" xfId="5881"/>
    <cellStyle name="注释 14 2 2" xfId="5882"/>
    <cellStyle name="注释 14 3" xfId="5883"/>
    <cellStyle name="注释 15 2 2" xfId="5884"/>
    <cellStyle name="注释 15 3" xfId="5885"/>
    <cellStyle name="注释 16 2 2" xfId="5886"/>
    <cellStyle name="注释 16 3" xfId="5887"/>
    <cellStyle name="注释 17 2 2" xfId="5888"/>
    <cellStyle name="注释 17 3" xfId="5889"/>
    <cellStyle name="注释 18 2 2" xfId="5890"/>
    <cellStyle name="注释 18 3" xfId="5891"/>
    <cellStyle name="注释 19" xfId="5892"/>
    <cellStyle name="注释 2 2 2" xfId="5893"/>
    <cellStyle name="注释 2 3" xfId="5894"/>
    <cellStyle name="注释 3 2 2" xfId="5895"/>
    <cellStyle name="注释 3 3" xfId="5896"/>
    <cellStyle name="注释 4 2 2" xfId="5897"/>
    <cellStyle name="注释 4 3" xfId="5898"/>
    <cellStyle name="注释 5 2 2" xfId="5899"/>
    <cellStyle name="注释 5 3" xfId="5900"/>
    <cellStyle name="注释 6 2 2" xfId="5901"/>
    <cellStyle name="注释 6 3" xfId="5902"/>
    <cellStyle name="注释 7 2 2" xfId="5903"/>
    <cellStyle name="注释 7 3" xfId="5904"/>
    <cellStyle name="注释 8 2 2" xfId="5905"/>
    <cellStyle name="注释 8 3" xfId="5906"/>
    <cellStyle name="注释 9 2 2" xfId="5907"/>
    <cellStyle name="注释 9 3" xfId="5908"/>
    <cellStyle name="출력 2 3" xfId="5909"/>
    <cellStyle name="출력 2 4" xfId="5910"/>
    <cellStyle name="출력 5 2" xfId="5911"/>
    <cellStyle name="표준 60" xfId="5912"/>
    <cellStyle name="표준 66" xfId="5913"/>
    <cellStyle name="표준 67" xfId="5914"/>
    <cellStyle name="표준 68" xfId="5915"/>
    <cellStyle name="합산 10 2" xfId="5916"/>
    <cellStyle name="합산 11 2" xfId="5917"/>
    <cellStyle name="합산 12 2" xfId="5918"/>
    <cellStyle name="합산 13 2" xfId="5919"/>
    <cellStyle name="합산 14 2" xfId="5920"/>
    <cellStyle name="합산 15 2" xfId="5921"/>
    <cellStyle name="합산 16 2" xfId="5922"/>
    <cellStyle name="합산 17 2" xfId="5923"/>
    <cellStyle name="합산 18 2" xfId="5924"/>
    <cellStyle name="합산 2 2" xfId="5925"/>
    <cellStyle name="합산 3 2" xfId="5926"/>
    <cellStyle name="합산 4 2" xfId="5927"/>
    <cellStyle name="합산 5 2" xfId="5928"/>
    <cellStyle name="합산 6 2" xfId="5929"/>
    <cellStyle name="합산 7 2" xfId="5930"/>
    <cellStyle name="합산 8 2" xfId="5931"/>
    <cellStyle name="합산 9 2" xfId="5932"/>
    <cellStyle name="检查单元格 10 2" xfId="5933"/>
    <cellStyle name="检查单元格 11 2" xfId="5934"/>
    <cellStyle name="检查单元格 12 2" xfId="5935"/>
    <cellStyle name="检查单元格 13 2" xfId="5936"/>
    <cellStyle name="检查单元格 14 2" xfId="5937"/>
    <cellStyle name="检查单元格 15 2" xfId="5938"/>
    <cellStyle name="检查单元格 16 2" xfId="5939"/>
    <cellStyle name="检查单元格 17 2" xfId="5940"/>
    <cellStyle name="检查单元格 18 2" xfId="5941"/>
    <cellStyle name="检查单元格 19" xfId="5942"/>
    <cellStyle name="检查单元格 2 2" xfId="5943"/>
    <cellStyle name="检查单元格 3 2" xfId="5944"/>
    <cellStyle name="检查单元格 4 2" xfId="5945"/>
    <cellStyle name="检查单元格 5 2" xfId="5946"/>
    <cellStyle name="检查单元格 6 2" xfId="5947"/>
    <cellStyle name="检查单元格 7 2" xfId="5948"/>
    <cellStyle name="检查单元格 8 2" xfId="5949"/>
    <cellStyle name="检查单元格 9 2" xfId="5950"/>
    <cellStyle name="汇总 10 2" xfId="5951"/>
    <cellStyle name="汇总 11 2" xfId="5952"/>
    <cellStyle name="汇总 12 2" xfId="5953"/>
    <cellStyle name="汇总 13 2" xfId="5954"/>
    <cellStyle name="汇总 14 2" xfId="5955"/>
    <cellStyle name="汇总 15 2" xfId="5956"/>
    <cellStyle name="汇总 16 2" xfId="5957"/>
    <cellStyle name="汇总 17 2" xfId="5958"/>
    <cellStyle name="汇总 18 2" xfId="5959"/>
    <cellStyle name="汇总 19" xfId="5960"/>
    <cellStyle name="汇总 2 2" xfId="5961"/>
    <cellStyle name="汇总 3 2" xfId="5962"/>
    <cellStyle name="汇总 4 2" xfId="5963"/>
    <cellStyle name="汇总 5 2" xfId="5964"/>
    <cellStyle name="汇总 6 2" xfId="5965"/>
    <cellStyle name="汇总 7 2" xfId="5966"/>
    <cellStyle name="汇总 8 2" xfId="5967"/>
    <cellStyle name="汇总 9 2" xfId="5968"/>
    <cellStyle name="计算 10 2" xfId="5969"/>
    <cellStyle name="计算 11 2" xfId="5970"/>
    <cellStyle name="计算 12 2" xfId="5971"/>
    <cellStyle name="计算 13 2" xfId="5972"/>
    <cellStyle name="计算 14 2" xfId="5973"/>
    <cellStyle name="计算 15 2" xfId="5974"/>
    <cellStyle name="计算 16 2" xfId="5975"/>
    <cellStyle name="计算 17 2" xfId="5976"/>
    <cellStyle name="计算 18 2" xfId="5977"/>
    <cellStyle name="计算 19" xfId="5978"/>
    <cellStyle name="计算 2 2" xfId="5979"/>
    <cellStyle name="计算 3 2" xfId="5980"/>
    <cellStyle name="计算 4 2" xfId="5981"/>
    <cellStyle name="计算 5 2" xfId="5982"/>
    <cellStyle name="计算 6 2" xfId="5983"/>
    <cellStyle name="计算 7 2" xfId="5984"/>
    <cellStyle name="计算 8 2" xfId="5985"/>
    <cellStyle name="计算 9 2" xfId="5986"/>
    <cellStyle name="输入 10 2" xfId="5987"/>
    <cellStyle name="输入 11 2" xfId="5988"/>
    <cellStyle name="输入 12 2" xfId="5989"/>
    <cellStyle name="输入 13 2" xfId="5990"/>
    <cellStyle name="输入 14 2" xfId="5991"/>
    <cellStyle name="输入 15 2" xfId="5992"/>
    <cellStyle name="输入 16 2" xfId="5993"/>
    <cellStyle name="输入 17 2" xfId="5994"/>
    <cellStyle name="输入 18 2" xfId="5995"/>
    <cellStyle name="输入 19" xfId="5996"/>
    <cellStyle name="输入 2 2" xfId="5997"/>
    <cellStyle name="输入 3 2" xfId="5998"/>
    <cellStyle name="输入 4 2" xfId="5999"/>
    <cellStyle name="输入 5 2" xfId="6000"/>
    <cellStyle name="输入 6 2" xfId="6001"/>
    <cellStyle name="输入 7 2" xfId="6002"/>
    <cellStyle name="输入 8 2" xfId="6003"/>
    <cellStyle name="输入 9 2" xfId="6004"/>
    <cellStyle name="输出 10 2" xfId="6005"/>
    <cellStyle name="输出 11 2" xfId="6006"/>
    <cellStyle name="输出 12 2" xfId="6007"/>
    <cellStyle name="输出 13 2" xfId="6008"/>
    <cellStyle name="输出 14 2" xfId="6009"/>
    <cellStyle name="输出 15 2" xfId="6010"/>
    <cellStyle name="输出 16 2" xfId="6011"/>
    <cellStyle name="输出 17 2" xfId="6012"/>
    <cellStyle name="输出 18 2" xfId="6013"/>
    <cellStyle name="输出 19" xfId="6014"/>
    <cellStyle name="输出 2 2" xfId="6015"/>
    <cellStyle name="输出 3 2" xfId="6016"/>
    <cellStyle name="输出 4 2" xfId="6017"/>
    <cellStyle name="输出 5 2" xfId="6018"/>
    <cellStyle name="输出 6 2" xfId="6019"/>
    <cellStyle name="输出 7 2" xfId="6020"/>
    <cellStyle name="输出 8 2" xfId="6021"/>
    <cellStyle name="输出 9 2" xfId="6022"/>
    <cellStyle name="표준 2 23 2" xfId="6023"/>
    <cellStyle name="표준 84" xfId="6024"/>
    <cellStyle name="통화 [0] 4" xfId="6025"/>
    <cellStyle name="표준 85" xfId="6026"/>
    <cellStyle name="통화 [0] 5" xfId="6027"/>
    <cellStyle name="표준 87" xfId="6028"/>
    <cellStyle name="注释 23" xfId="6029"/>
    <cellStyle name="注释 10 7" xfId="6030"/>
    <cellStyle name="注释 10 2 6" xfId="6031"/>
    <cellStyle name="注释 11 7" xfId="6032"/>
    <cellStyle name="注释 11 2 6" xfId="6033"/>
    <cellStyle name="注释 12 7" xfId="6034"/>
    <cellStyle name="注释 12 2 6" xfId="6035"/>
    <cellStyle name="注释 13 7" xfId="6036"/>
    <cellStyle name="注释 13 2 6" xfId="6037"/>
    <cellStyle name="注释 14 7" xfId="6038"/>
    <cellStyle name="注释 14 2 6" xfId="6039"/>
    <cellStyle name="注释 15 7" xfId="6040"/>
    <cellStyle name="注释 15 2 6" xfId="6041"/>
    <cellStyle name="注释 16 7" xfId="6042"/>
    <cellStyle name="注释 16 2 6" xfId="6043"/>
    <cellStyle name="注释 17 7" xfId="6044"/>
    <cellStyle name="注释 17 2 6" xfId="6045"/>
    <cellStyle name="注释 18 7" xfId="6046"/>
    <cellStyle name="注释 18 2 6" xfId="6047"/>
    <cellStyle name="注释 2 7" xfId="6048"/>
    <cellStyle name="注释 2 2 6" xfId="6049"/>
    <cellStyle name="注释 3 7" xfId="6050"/>
    <cellStyle name="注释 3 2 6" xfId="6051"/>
    <cellStyle name="注释 4 7" xfId="6052"/>
    <cellStyle name="注释 4 2 6" xfId="6053"/>
    <cellStyle name="注释 5 7" xfId="6054"/>
    <cellStyle name="注释 5 2 6" xfId="6055"/>
    <cellStyle name="注释 6 7" xfId="6056"/>
    <cellStyle name="注释 6 2 6" xfId="6057"/>
    <cellStyle name="注释 7 7" xfId="6058"/>
    <cellStyle name="注释 7 2 6" xfId="6059"/>
    <cellStyle name="注释 8 7" xfId="6060"/>
    <cellStyle name="注释 8 2 6" xfId="6061"/>
    <cellStyle name="注释 9 7" xfId="6062"/>
    <cellStyle name="注释 9 2 6" xfId="6063"/>
    <cellStyle name="출력 11" xfId="6064"/>
    <cellStyle name="출력 2 8" xfId="6065"/>
    <cellStyle name="출력 5 6" xfId="6066"/>
    <cellStyle name="표준 92" xfId="6067"/>
    <cellStyle name="计算 7 6" xfId="6068"/>
    <cellStyle name="计算 6 6" xfId="6069"/>
    <cellStyle name="计算 5 6" xfId="6070"/>
    <cellStyle name="计算 4 6" xfId="6071"/>
    <cellStyle name="计算 3 6" xfId="6072"/>
    <cellStyle name="计算 2 6" xfId="6073"/>
    <cellStyle name="计算 23" xfId="6074"/>
    <cellStyle name="메모 14" xfId="6075"/>
    <cellStyle name="메모 2 10" xfId="6076"/>
    <cellStyle name="메모 2 3 6" xfId="6077"/>
    <cellStyle name="메모 5 7" xfId="6078"/>
    <cellStyle name="메모 7 6" xfId="6079"/>
    <cellStyle name="계산 10" xfId="6080"/>
    <cellStyle name="계산 2 7" xfId="6081"/>
    <cellStyle name="계산 3 5" xfId="6082"/>
    <cellStyle name="계산 4 5" xfId="6083"/>
    <cellStyle name="계산 5 5" xfId="6084"/>
    <cellStyle name="계산 6 5" xfId="6085"/>
    <cellStyle name="메모 13" xfId="6086"/>
    <cellStyle name="메모 2 9" xfId="6087"/>
    <cellStyle name="메모 2 3 5" xfId="6088"/>
    <cellStyle name="메모 5 6" xfId="6089"/>
    <cellStyle name="메모 7 5" xfId="6090"/>
    <cellStyle name="출력 10" xfId="6091"/>
    <cellStyle name="출력 2 7" xfId="6092"/>
    <cellStyle name="출력 5 5" xfId="6093"/>
    <cellStyle name="요약 10" xfId="6094"/>
    <cellStyle name="요약 2 7" xfId="6095"/>
    <cellStyle name="요약 5 5" xfId="6096"/>
    <cellStyle name="입력 10" xfId="6097"/>
    <cellStyle name="입력 2 7" xfId="6098"/>
    <cellStyle name="입력 5 5" xfId="6099"/>
    <cellStyle name="注释 22" xfId="6100"/>
    <cellStyle name="注释 10 6" xfId="6101"/>
    <cellStyle name="注释 10 2 5" xfId="6102"/>
    <cellStyle name="注释 11 6" xfId="6103"/>
    <cellStyle name="注释 11 2 5" xfId="6104"/>
    <cellStyle name="注释 12 6" xfId="6105"/>
    <cellStyle name="注释 12 2 5" xfId="6106"/>
    <cellStyle name="注释 13 6" xfId="6107"/>
    <cellStyle name="注释 13 2 5" xfId="6108"/>
    <cellStyle name="注释 14 6" xfId="6109"/>
    <cellStyle name="注释 14 2 5" xfId="6110"/>
    <cellStyle name="注释 15 6" xfId="6111"/>
    <cellStyle name="注释 15 2 5" xfId="6112"/>
    <cellStyle name="注释 16 6" xfId="6113"/>
    <cellStyle name="注释 16 2 5" xfId="6114"/>
    <cellStyle name="注释 17 6" xfId="6115"/>
    <cellStyle name="注释 17 2 5" xfId="6116"/>
    <cellStyle name="注释 18 6" xfId="6117"/>
    <cellStyle name="注释 18 2 5" xfId="6118"/>
    <cellStyle name="注释 2 6" xfId="6119"/>
    <cellStyle name="注释 2 2 5" xfId="6120"/>
    <cellStyle name="注释 3 6" xfId="6121"/>
    <cellStyle name="注释 3 2 5" xfId="6122"/>
    <cellStyle name="注释 4 6" xfId="6123"/>
    <cellStyle name="注释 4 2 5" xfId="6124"/>
    <cellStyle name="注释 5 6" xfId="6125"/>
    <cellStyle name="注释 5 2 5" xfId="6126"/>
    <cellStyle name="注释 6 6" xfId="6127"/>
    <cellStyle name="注释 6 2 5" xfId="6128"/>
    <cellStyle name="注释 7 6" xfId="6129"/>
    <cellStyle name="注释 7 2 5" xfId="6130"/>
    <cellStyle name="注释 8 6" xfId="6131"/>
    <cellStyle name="注释 8 2 5" xfId="6132"/>
    <cellStyle name="注释 9 6" xfId="6133"/>
    <cellStyle name="注释 9 2 5" xfId="6134"/>
    <cellStyle name="계산 2 4 6" xfId="6135"/>
    <cellStyle name="계산 5 2 6" xfId="6136"/>
    <cellStyle name="계산 7 6" xfId="6137"/>
    <cellStyle name="메모 2 3 2 5" xfId="6138"/>
    <cellStyle name="메모 2 5 5" xfId="6139"/>
    <cellStyle name="메모 5 2 5" xfId="6140"/>
    <cellStyle name="메모 7 2 5" xfId="6141"/>
    <cellStyle name="메모 8 5" xfId="6142"/>
    <cellStyle name="메모 9 5" xfId="6143"/>
    <cellStyle name="요약 2 4 5" xfId="6144"/>
    <cellStyle name="요약 5 2 5" xfId="6145"/>
    <cellStyle name="요약 7 5" xfId="6146"/>
    <cellStyle name="입력 2 4 5" xfId="6147"/>
    <cellStyle name="입력 5 2 5" xfId="6148"/>
    <cellStyle name="입력 7 5" xfId="6149"/>
    <cellStyle name="注释 10 2 2 5" xfId="6150"/>
    <cellStyle name="注释 10 3 5" xfId="6151"/>
    <cellStyle name="注释 11 2 2 5" xfId="6152"/>
    <cellStyle name="注释 11 3 5" xfId="6153"/>
    <cellStyle name="注释 12 2 2 5" xfId="6154"/>
    <cellStyle name="注释 12 3 5" xfId="6155"/>
    <cellStyle name="注释 13 2 2 5" xfId="6156"/>
    <cellStyle name="注释 13 3 5" xfId="6157"/>
    <cellStyle name="注释 14 2 2 5" xfId="6158"/>
    <cellStyle name="注释 14 3 5" xfId="6159"/>
    <cellStyle name="注释 15 2 2 5" xfId="6160"/>
    <cellStyle name="注释 15 3 5" xfId="6161"/>
    <cellStyle name="注释 16 2 2 5" xfId="6162"/>
    <cellStyle name="注释 16 3 5" xfId="6163"/>
    <cellStyle name="注释 17 2 2 5" xfId="6164"/>
    <cellStyle name="注释 17 3 5" xfId="6165"/>
    <cellStyle name="注释 18 2 2 5" xfId="6166"/>
    <cellStyle name="注释 18 3 5" xfId="6167"/>
    <cellStyle name="注释 19 5" xfId="6168"/>
    <cellStyle name="注释 2 2 2 5" xfId="6169"/>
    <cellStyle name="注释 2 3 5" xfId="6170"/>
    <cellStyle name="注释 3 2 2 5" xfId="6171"/>
    <cellStyle name="注释 3 3 5" xfId="6172"/>
    <cellStyle name="输出 9 4" xfId="6173"/>
    <cellStyle name="输出 8 4" xfId="6174"/>
    <cellStyle name="输出 7 4" xfId="6175"/>
    <cellStyle name="输出 6 4" xfId="6176"/>
    <cellStyle name="输出 5 4" xfId="6177"/>
    <cellStyle name="输出 4 4" xfId="6178"/>
    <cellStyle name="输出 3 4" xfId="6179"/>
    <cellStyle name="输出 2 4" xfId="6180"/>
    <cellStyle name="输出 18 4" xfId="6181"/>
    <cellStyle name="输出 17 4" xfId="6182"/>
    <cellStyle name="输出 16 4" xfId="6183"/>
    <cellStyle name="输出 15 4" xfId="6184"/>
    <cellStyle name="输出 14 4" xfId="6185"/>
    <cellStyle name="输出 13 4" xfId="6186"/>
    <cellStyle name="输出 12 4" xfId="6187"/>
    <cellStyle name="输出 11 4" xfId="6188"/>
    <cellStyle name="输出 10 4" xfId="6189"/>
    <cellStyle name="输出 21" xfId="6190"/>
    <cellStyle name="输入 9 4" xfId="6191"/>
    <cellStyle name="输入 8 4" xfId="6192"/>
    <cellStyle name="输入 7 4" xfId="6193"/>
    <cellStyle name="输入 6 4" xfId="6194"/>
    <cellStyle name="输入 5 4" xfId="6195"/>
    <cellStyle name="표준 89" xfId="6196"/>
    <cellStyle name="输入 4 4" xfId="6197"/>
    <cellStyle name="输入 3 4" xfId="6198"/>
    <cellStyle name="输入 2 4" xfId="6199"/>
    <cellStyle name="输入 18 4" xfId="6200"/>
    <cellStyle name="输入 17 4" xfId="6201"/>
    <cellStyle name="输入 16 4" xfId="6202"/>
    <cellStyle name="输入 15 4" xfId="6203"/>
    <cellStyle name="输入 14 4" xfId="6204"/>
    <cellStyle name="输入 13 4" xfId="6205"/>
    <cellStyle name="输入 12 4" xfId="6206"/>
    <cellStyle name="输入 11 4" xfId="6207"/>
    <cellStyle name="输入 10 4" xfId="6208"/>
    <cellStyle name="输入 21" xfId="6209"/>
    <cellStyle name="计算 9 4" xfId="6210"/>
    <cellStyle name="计算 8 4" xfId="6211"/>
    <cellStyle name="计算 7 4" xfId="6212"/>
    <cellStyle name="计算 6 4" xfId="6213"/>
    <cellStyle name="计算 5 4" xfId="6214"/>
    <cellStyle name="计算 4 4" xfId="6215"/>
    <cellStyle name="计算 3 4" xfId="6216"/>
    <cellStyle name="计算 2 4" xfId="6217"/>
    <cellStyle name="计算 18 4" xfId="6218"/>
    <cellStyle name="计算 17 4" xfId="6219"/>
    <cellStyle name="计算 16 4" xfId="6220"/>
    <cellStyle name="计算 15 4" xfId="6221"/>
    <cellStyle name="计算 14 4" xfId="6222"/>
    <cellStyle name="计算 13 4" xfId="6223"/>
    <cellStyle name="计算 12 4" xfId="6224"/>
    <cellStyle name="计算 11 4" xfId="6225"/>
    <cellStyle name="计算 10 4" xfId="6226"/>
    <cellStyle name="计算 21" xfId="6227"/>
    <cellStyle name="汇总 9 4" xfId="6228"/>
    <cellStyle name="汇总 8 4" xfId="6229"/>
    <cellStyle name="汇总 7 4" xfId="6230"/>
    <cellStyle name="汇总 6 4" xfId="6231"/>
    <cellStyle name="汇总 5 4" xfId="6232"/>
    <cellStyle name="汇总 4 4" xfId="6233"/>
    <cellStyle name="汇总 3 4" xfId="6234"/>
    <cellStyle name="汇总 2 4" xfId="6235"/>
    <cellStyle name="汇总 18 4" xfId="6236"/>
    <cellStyle name="汇总 17 4" xfId="6237"/>
    <cellStyle name="汇总 16 4" xfId="6238"/>
    <cellStyle name="汇总 15 4" xfId="6239"/>
    <cellStyle name="汇总 14 4" xfId="6240"/>
    <cellStyle name="汇总 13 4" xfId="6241"/>
    <cellStyle name="汇总 12 4" xfId="6242"/>
    <cellStyle name="汇总 11 4" xfId="6243"/>
    <cellStyle name="汇总 10 4" xfId="6244"/>
    <cellStyle name="汇总 21" xfId="6245"/>
    <cellStyle name="输出 15 6" xfId="6246"/>
    <cellStyle name="输出 16 6" xfId="6247"/>
    <cellStyle name="输出 17 6" xfId="6248"/>
    <cellStyle name="输出 2 6" xfId="6249"/>
    <cellStyle name="输出 3 6" xfId="6250"/>
    <cellStyle name="输出 4 6" xfId="6251"/>
    <cellStyle name="输出 5 6" xfId="6252"/>
    <cellStyle name="输出 6 6" xfId="6253"/>
    <cellStyle name="输出 7 6" xfId="6254"/>
    <cellStyle name="输出 8 6" xfId="6255"/>
    <cellStyle name="输出 9 6" xfId="6256"/>
    <cellStyle name="계산 8" xfId="6257"/>
    <cellStyle name="계산 2 5" xfId="6258"/>
    <cellStyle name="계산 3 3" xfId="6259"/>
    <cellStyle name="계산 4 3" xfId="6260"/>
    <cellStyle name="계산 5 3" xfId="6261"/>
    <cellStyle name="계산 6 3" xfId="6262"/>
    <cellStyle name="메모 11" xfId="6263"/>
    <cellStyle name="메모 2 7" xfId="6264"/>
    <cellStyle name="메모 2 3 3" xfId="6265"/>
    <cellStyle name="메모 5 4" xfId="6266"/>
    <cellStyle name="메모 7 3" xfId="6267"/>
    <cellStyle name="汇总 23" xfId="6268"/>
    <cellStyle name="汇总 10 6" xfId="6269"/>
    <cellStyle name="汇总 11 6" xfId="6270"/>
    <cellStyle name="汇总 12 6" xfId="6271"/>
    <cellStyle name="汇总 13 6" xfId="6272"/>
    <cellStyle name="汇总 14 6" xfId="6273"/>
    <cellStyle name="汇总 16 6" xfId="6274"/>
    <cellStyle name="汇总 17 6" xfId="6275"/>
    <cellStyle name="汇总 18 6" xfId="6276"/>
    <cellStyle name="汇总 2 6" xfId="6277"/>
    <cellStyle name="汇总 3 6" xfId="6278"/>
    <cellStyle name="汇总 4 6" xfId="6279"/>
    <cellStyle name="汇总 5 6" xfId="6280"/>
    <cellStyle name="汇总 8 6" xfId="6281"/>
    <cellStyle name="汇总 9 6" xfId="6282"/>
    <cellStyle name="计算 24" xfId="6283"/>
    <cellStyle name="计算 11 6" xfId="6284"/>
    <cellStyle name="计算 12 6" xfId="6285"/>
    <cellStyle name="计算 13 6" xfId="6286"/>
    <cellStyle name="计算 14 6" xfId="6287"/>
    <cellStyle name="计算 15 6" xfId="6288"/>
    <cellStyle name="计算 16 6" xfId="6289"/>
    <cellStyle name="计算 17 6" xfId="6290"/>
    <cellStyle name="计算 18 6" xfId="6291"/>
    <cellStyle name="计算 2 7" xfId="6292"/>
    <cellStyle name="计算 3 7" xfId="6293"/>
    <cellStyle name="计算 4 7" xfId="6294"/>
    <cellStyle name="요약 8" xfId="6295"/>
    <cellStyle name="요약 2 5" xfId="6296"/>
    <cellStyle name="요약 5 3" xfId="6297"/>
    <cellStyle name="입력 8" xfId="6298"/>
    <cellStyle name="입력 2 5" xfId="6299"/>
    <cellStyle name="입력 5 3" xfId="6300"/>
    <cellStyle name="注释 20" xfId="6301"/>
    <cellStyle name="注释 10 4" xfId="6302"/>
    <cellStyle name="注释 10 2 3" xfId="6303"/>
    <cellStyle name="注释 11 4" xfId="6304"/>
    <cellStyle name="注释 11 2 3" xfId="6305"/>
    <cellStyle name="注释 12 4" xfId="6306"/>
    <cellStyle name="注释 12 2 3" xfId="6307"/>
    <cellStyle name="注释 13 4" xfId="6308"/>
    <cellStyle name="注释 13 2 3" xfId="6309"/>
    <cellStyle name="注释 14 4" xfId="6310"/>
    <cellStyle name="注释 14 2 3" xfId="6311"/>
    <cellStyle name="注释 15 4" xfId="6312"/>
    <cellStyle name="注释 15 2 3" xfId="6313"/>
    <cellStyle name="注释 16 4" xfId="6314"/>
    <cellStyle name="注释 16 2 3" xfId="6315"/>
    <cellStyle name="注释 17 4" xfId="6316"/>
    <cellStyle name="注释 17 2 3" xfId="6317"/>
    <cellStyle name="注释 18 4" xfId="6318"/>
    <cellStyle name="注释 18 2 3" xfId="6319"/>
    <cellStyle name="注释 2 4" xfId="6320"/>
    <cellStyle name="注释 2 2 3" xfId="6321"/>
    <cellStyle name="注释 3 4" xfId="6322"/>
    <cellStyle name="注释 3 2 3" xfId="6323"/>
    <cellStyle name="注释 4 4" xfId="6324"/>
    <cellStyle name="注释 4 2 3" xfId="6325"/>
    <cellStyle name="注释 5 4" xfId="6326"/>
    <cellStyle name="注释 5 2 3" xfId="6327"/>
    <cellStyle name="注释 6 4" xfId="6328"/>
    <cellStyle name="注释 6 2 3" xfId="6329"/>
    <cellStyle name="注释 7 4" xfId="6330"/>
    <cellStyle name="注释 7 2 3" xfId="6331"/>
    <cellStyle name="注释 8 4" xfId="6332"/>
    <cellStyle name="注释 8 2 3" xfId="6333"/>
    <cellStyle name="注释 9 4" xfId="6334"/>
    <cellStyle name="注释 9 2 3" xfId="6335"/>
    <cellStyle name="출력 8" xfId="6336"/>
    <cellStyle name="출력 2 5" xfId="6337"/>
    <cellStyle name="출력 5 3" xfId="6338"/>
    <cellStyle name="계산 6 8" xfId="6339"/>
    <cellStyle name="계산 5 8" xfId="6340"/>
    <cellStyle name="계산 4 8" xfId="6341"/>
    <cellStyle name="계산 3 8" xfId="6342"/>
    <cellStyle name="계산 2 10" xfId="6343"/>
    <cellStyle name="계산 13" xfId="6344"/>
    <cellStyle name="표준 88" xfId="6345"/>
    <cellStyle name="计算 5 7" xfId="6346"/>
    <cellStyle name="计算 7 7" xfId="6347"/>
    <cellStyle name="计算 9 6" xfId="6348"/>
    <cellStyle name="输入 10 6" xfId="6349"/>
    <cellStyle name="输入 12 6" xfId="6350"/>
    <cellStyle name="输入 14 6" xfId="6351"/>
    <cellStyle name="输入 17 6" xfId="6352"/>
    <cellStyle name="输入 2 6" xfId="6353"/>
    <cellStyle name="输入 4 6" xfId="6354"/>
    <cellStyle name="输入 6 6" xfId="6355"/>
    <cellStyle name="输入 8 6" xfId="6356"/>
    <cellStyle name="输出 23" xfId="6357"/>
    <cellStyle name="输出 11 6" xfId="6358"/>
    <cellStyle name="输出 13 6" xfId="6359"/>
    <cellStyle name="汇总 20" xfId="6360"/>
    <cellStyle name="汇总 10 3" xfId="6361"/>
    <cellStyle name="汇总 11 3" xfId="6362"/>
    <cellStyle name="汇总 12 3" xfId="6363"/>
    <cellStyle name="汇总 13 3" xfId="6364"/>
    <cellStyle name="汇总 14 3" xfId="6365"/>
    <cellStyle name="汇总 15 3" xfId="6366"/>
    <cellStyle name="汇总 16 3" xfId="6367"/>
    <cellStyle name="汇总 17 3" xfId="6368"/>
    <cellStyle name="汇总 18 3" xfId="6369"/>
    <cellStyle name="汇总 2 3" xfId="6370"/>
    <cellStyle name="汇总 3 3" xfId="6371"/>
    <cellStyle name="汇总 4 3" xfId="6372"/>
    <cellStyle name="汇总 5 3" xfId="6373"/>
    <cellStyle name="汇总 6 3" xfId="6374"/>
    <cellStyle name="汇总 7 3" xfId="6375"/>
    <cellStyle name="汇总 8 3" xfId="6376"/>
    <cellStyle name="汇总 9 3" xfId="6377"/>
    <cellStyle name="计算 20" xfId="6378"/>
    <cellStyle name="计算 10 3" xfId="6379"/>
    <cellStyle name="计算 11 3" xfId="6380"/>
    <cellStyle name="计算 12 3" xfId="6381"/>
    <cellStyle name="计算 13 3" xfId="6382"/>
    <cellStyle name="计算 14 3" xfId="6383"/>
    <cellStyle name="计算 15 3" xfId="6384"/>
    <cellStyle name="计算 16 3" xfId="6385"/>
    <cellStyle name="计算 17 3" xfId="6386"/>
    <cellStyle name="计算 18 3" xfId="6387"/>
    <cellStyle name="计算 2 3" xfId="6388"/>
    <cellStyle name="计算 3 3" xfId="6389"/>
    <cellStyle name="计算 4 3" xfId="6390"/>
    <cellStyle name="计算 5 3" xfId="6391"/>
    <cellStyle name="计算 6 3" xfId="6392"/>
    <cellStyle name="计算 7 3" xfId="6393"/>
    <cellStyle name="计算 8 3" xfId="6394"/>
    <cellStyle name="计算 9 3" xfId="6395"/>
    <cellStyle name="输入 20" xfId="6396"/>
    <cellStyle name="输入 10 3" xfId="6397"/>
    <cellStyle name="输入 11 3" xfId="6398"/>
    <cellStyle name="输入 12 3" xfId="6399"/>
    <cellStyle name="输入 13 3" xfId="6400"/>
    <cellStyle name="输入 14 3" xfId="6401"/>
    <cellStyle name="输入 15 3" xfId="6402"/>
    <cellStyle name="输入 16 3" xfId="6403"/>
    <cellStyle name="输入 17 3" xfId="6404"/>
    <cellStyle name="输入 18 3" xfId="6405"/>
    <cellStyle name="输入 2 3" xfId="6406"/>
    <cellStyle name="输入 3 3" xfId="6407"/>
    <cellStyle name="输入 4 3" xfId="6408"/>
    <cellStyle name="输入 5 3" xfId="6409"/>
    <cellStyle name="输入 6 3" xfId="6410"/>
    <cellStyle name="输入 7 3" xfId="6411"/>
    <cellStyle name="输入 8 3" xfId="6412"/>
    <cellStyle name="输入 9 3" xfId="6413"/>
    <cellStyle name="输出 20" xfId="6414"/>
    <cellStyle name="输出 10 3" xfId="6415"/>
    <cellStyle name="输出 11 3" xfId="6416"/>
    <cellStyle name="输出 12 3" xfId="6417"/>
    <cellStyle name="输出 13 3" xfId="6418"/>
    <cellStyle name="输出 14 3" xfId="6419"/>
    <cellStyle name="输出 15 3" xfId="6420"/>
    <cellStyle name="输出 16 3" xfId="6421"/>
    <cellStyle name="输出 17 3" xfId="6422"/>
    <cellStyle name="输出 18 3" xfId="6423"/>
    <cellStyle name="输出 2 3" xfId="6424"/>
    <cellStyle name="输出 3 3" xfId="6425"/>
    <cellStyle name="输出 4 3" xfId="6426"/>
    <cellStyle name="输出 5 3" xfId="6427"/>
    <cellStyle name="输出 6 3" xfId="6428"/>
    <cellStyle name="输出 7 3" xfId="6429"/>
    <cellStyle name="输出 8 3" xfId="6430"/>
    <cellStyle name="输出 9 3" xfId="6431"/>
    <cellStyle name="출력 5 4" xfId="6432"/>
    <cellStyle name="출력 2 6" xfId="6433"/>
    <cellStyle name="출력 9" xfId="6434"/>
    <cellStyle name="注释 9 2 4" xfId="6435"/>
    <cellStyle name="注释 9 5" xfId="6436"/>
    <cellStyle name="注释 8 2 4" xfId="6437"/>
    <cellStyle name="注释 8 5" xfId="6438"/>
    <cellStyle name="注释 7 2 4" xfId="6439"/>
    <cellStyle name="注释 7 5" xfId="6440"/>
    <cellStyle name="注释 6 2 4" xfId="6441"/>
    <cellStyle name="注释 6 5" xfId="6442"/>
    <cellStyle name="注释 5 2 4" xfId="6443"/>
    <cellStyle name="注释 5 5" xfId="6444"/>
    <cellStyle name="注释 4 2 4" xfId="6445"/>
    <cellStyle name="注释 4 5" xfId="6446"/>
    <cellStyle name="注释 3 2 4" xfId="6447"/>
    <cellStyle name="注释 3 5" xfId="6448"/>
    <cellStyle name="注释 2 2 4" xfId="6449"/>
    <cellStyle name="注释 2 5" xfId="6450"/>
    <cellStyle name="注释 18 2 4" xfId="6451"/>
    <cellStyle name="注释 18 5" xfId="6452"/>
    <cellStyle name="注释 17 2 4" xfId="6453"/>
    <cellStyle name="注释 17 5" xfId="6454"/>
    <cellStyle name="注释 16 2 4" xfId="6455"/>
    <cellStyle name="注释 16 5" xfId="6456"/>
    <cellStyle name="注释 15 2 4" xfId="6457"/>
    <cellStyle name="注释 15 5" xfId="6458"/>
    <cellStyle name="注释 14 2 4" xfId="6459"/>
    <cellStyle name="注释 14 5" xfId="6460"/>
    <cellStyle name="注释 13 2 4" xfId="6461"/>
    <cellStyle name="注释 13 5" xfId="6462"/>
    <cellStyle name="注释 12 2 4" xfId="6463"/>
    <cellStyle name="注释 12 5" xfId="6464"/>
    <cellStyle name="注释 11 2 4" xfId="6465"/>
    <cellStyle name="注释 11 5" xfId="6466"/>
    <cellStyle name="注释 10 2 4" xfId="6467"/>
    <cellStyle name="注释 10 5" xfId="6468"/>
    <cellStyle name="注释 21" xfId="6469"/>
    <cellStyle name="입력 5 4" xfId="6470"/>
    <cellStyle name="입력 2 6" xfId="6471"/>
    <cellStyle name="입력 9" xfId="6472"/>
    <cellStyle name="计算 7 8" xfId="6473"/>
    <cellStyle name="요약 5 4" xfId="6474"/>
    <cellStyle name="计算 6 8" xfId="6475"/>
    <cellStyle name="计算 5 8" xfId="6476"/>
    <cellStyle name="计算 3 8" xfId="6477"/>
    <cellStyle name="요약 2 6" xfId="6478"/>
    <cellStyle name="요약 9" xfId="6479"/>
    <cellStyle name="计算 2 8" xfId="6480"/>
    <cellStyle name="计算 25" xfId="6481"/>
    <cellStyle name="메모 7 4" xfId="6482"/>
    <cellStyle name="메모 5 5" xfId="6483"/>
    <cellStyle name="메모 2 3 4" xfId="6484"/>
    <cellStyle name="메모 2 8" xfId="6485"/>
    <cellStyle name="메모 12" xfId="6486"/>
    <cellStyle name="계산 6 4" xfId="6487"/>
    <cellStyle name="계산 5 4" xfId="6488"/>
    <cellStyle name="계산 4 4" xfId="6489"/>
    <cellStyle name="계산 3 4" xfId="6490"/>
    <cellStyle name="계산 2 6" xfId="6491"/>
    <cellStyle name="계산 9" xfId="6492"/>
    <cellStyle name="계산 12" xfId="6493"/>
    <cellStyle name="계산 2 9" xfId="6494"/>
    <cellStyle name="계산 3 7" xfId="6495"/>
    <cellStyle name="계산 4 7" xfId="6496"/>
    <cellStyle name="계산 5 7" xfId="6497"/>
    <cellStyle name="계산 6 7" xfId="6498"/>
    <cellStyle name="汇总 22" xfId="6499"/>
    <cellStyle name="汇总 10 5" xfId="6500"/>
    <cellStyle name="汇总 11 5" xfId="6501"/>
    <cellStyle name="计算 22" xfId="6502"/>
    <cellStyle name="计算 10 5" xfId="6503"/>
    <cellStyle name="计算 11 5" xfId="6504"/>
    <cellStyle name="计算 12 5" xfId="6505"/>
    <cellStyle name="计算 13 5" xfId="6506"/>
    <cellStyle name="计算 14 5" xfId="6507"/>
    <cellStyle name="计算 15 5" xfId="6508"/>
    <cellStyle name="计算 16 5" xfId="6509"/>
    <cellStyle name="计算 17 5" xfId="6510"/>
    <cellStyle name="计算 18 5" xfId="6511"/>
    <cellStyle name="计算 2 5" xfId="6512"/>
    <cellStyle name="计算 3 5" xfId="6513"/>
    <cellStyle name="计算 4 5" xfId="6514"/>
    <cellStyle name="计算 5 5" xfId="6515"/>
    <cellStyle name="计算 6 5" xfId="6516"/>
    <cellStyle name="计算 7 5" xfId="6517"/>
    <cellStyle name="计算 8 5" xfId="6518"/>
    <cellStyle name="计算 9 5" xfId="6519"/>
    <cellStyle name="输入 13 2 5" xfId="6520"/>
    <cellStyle name="输入 14 2 5" xfId="6521"/>
    <cellStyle name="输入 22" xfId="6522"/>
    <cellStyle name="输入 10 5" xfId="6523"/>
    <cellStyle name="输入 11 5" xfId="6524"/>
    <cellStyle name="输入 12 5" xfId="6525"/>
    <cellStyle name="输入 13 5" xfId="6526"/>
    <cellStyle name="输入 14 5" xfId="6527"/>
    <cellStyle name="输入 15 5" xfId="6528"/>
    <cellStyle name="输入 16 5" xfId="6529"/>
    <cellStyle name="输入 17 5" xfId="6530"/>
    <cellStyle name="输入 18 5" xfId="6531"/>
    <cellStyle name="输入 2 5" xfId="6532"/>
    <cellStyle name="输入 3 5" xfId="6533"/>
    <cellStyle name="输入 4 5" xfId="6534"/>
    <cellStyle name="输入 5 5" xfId="6535"/>
    <cellStyle name="输入 6 5" xfId="6536"/>
    <cellStyle name="注释 4 2 2 5" xfId="6537"/>
    <cellStyle name="注释 4 3 5" xfId="6538"/>
    <cellStyle name="注释 5 2 2 5" xfId="6539"/>
    <cellStyle name="注释 5 3 5" xfId="6540"/>
    <cellStyle name="注释 6 2 2 5" xfId="6541"/>
    <cellStyle name="注释 6 3 5" xfId="6542"/>
    <cellStyle name="注释 7 2 2 5" xfId="6543"/>
    <cellStyle name="注释 7 3 5" xfId="6544"/>
    <cellStyle name="注释 8 2 2 5" xfId="6545"/>
    <cellStyle name="注释 8 3 5" xfId="6546"/>
    <cellStyle name="注释 9 2 2 5" xfId="6547"/>
    <cellStyle name="注释 9 3 5" xfId="6548"/>
    <cellStyle name="출력 2 4 5" xfId="6549"/>
    <cellStyle name="출력 5 2 5" xfId="6550"/>
    <cellStyle name="汇总 11 2 5" xfId="6551"/>
    <cellStyle name="汇总 12 2 5" xfId="6552"/>
    <cellStyle name="汇总 10 2 5" xfId="6553"/>
    <cellStyle name="汇总 13 2 5" xfId="6554"/>
    <cellStyle name="汇总 14 2 5" xfId="6555"/>
    <cellStyle name="汇总 15 2 5" xfId="6556"/>
    <cellStyle name="汇总 16 2 5" xfId="6557"/>
    <cellStyle name="汇总 17 2 5" xfId="6558"/>
    <cellStyle name="汇总 18 2 5" xfId="6559"/>
    <cellStyle name="汇总 19 5" xfId="6560"/>
    <cellStyle name="汇总 2 2 5" xfId="6561"/>
    <cellStyle name="汇总 3 2 5" xfId="6562"/>
    <cellStyle name="汇总 4 2 5" xfId="6563"/>
    <cellStyle name="汇总 5 2 5" xfId="6564"/>
    <cellStyle name="汇总 6 2 5" xfId="6565"/>
    <cellStyle name="汇总 7 2 5" xfId="6566"/>
    <cellStyle name="汇总 8 2 5" xfId="6567"/>
    <cellStyle name="汇总 9 2 5" xfId="6568"/>
    <cellStyle name="计算 10 2 5" xfId="6569"/>
    <cellStyle name="计算 11 2 5" xfId="6570"/>
    <cellStyle name="计算 12 2 5" xfId="6571"/>
    <cellStyle name="计算 13 2 5" xfId="6572"/>
    <cellStyle name="计算 14 2 5" xfId="6573"/>
    <cellStyle name="计算 15 2 5" xfId="6574"/>
    <cellStyle name="计算 16 2 5" xfId="6575"/>
    <cellStyle name="计算 17 2 5" xfId="6576"/>
    <cellStyle name="计算 18 2 5" xfId="6577"/>
    <cellStyle name="计算 19 5" xfId="6578"/>
    <cellStyle name="计算 2 2 5" xfId="6579"/>
    <cellStyle name="计算 3 2 5" xfId="6580"/>
    <cellStyle name="计算 4 2 5" xfId="6581"/>
    <cellStyle name="计算 5 2 6" xfId="6582"/>
    <cellStyle name="计算 6 2 5" xfId="6583"/>
    <cellStyle name="计算 7 2 5" xfId="6584"/>
    <cellStyle name="计算 8 2 5" xfId="6585"/>
    <cellStyle name="计算 9 2 5" xfId="6586"/>
    <cellStyle name="输入 10 2 5" xfId="6587"/>
    <cellStyle name="输入 11 2 5" xfId="6588"/>
    <cellStyle name="输入 12 2 5" xfId="6589"/>
    <cellStyle name="输入 15 2 5" xfId="6590"/>
    <cellStyle name="输入 16 2 5" xfId="6591"/>
    <cellStyle name="输入 17 2 5" xfId="6592"/>
    <cellStyle name="输入 18 2 5" xfId="6593"/>
    <cellStyle name="输入 19 5" xfId="6594"/>
    <cellStyle name="输入 2 2 5" xfId="6595"/>
    <cellStyle name="输入 3 2 5" xfId="6596"/>
    <cellStyle name="输入 4 2 5" xfId="6597"/>
    <cellStyle name="输入 5 2 5" xfId="6598"/>
    <cellStyle name="输入 6 2 5" xfId="6599"/>
    <cellStyle name="输入 7 2 5" xfId="6600"/>
    <cellStyle name="输入 8 2 5" xfId="6601"/>
    <cellStyle name="输入 9 2 5" xfId="6602"/>
    <cellStyle name="输出 10 2 5" xfId="6603"/>
    <cellStyle name="输出 11 2 5" xfId="6604"/>
    <cellStyle name="输出 12 2 5" xfId="6605"/>
    <cellStyle name="输出 13 2 5" xfId="6606"/>
    <cellStyle name="표준 90" xfId="6607"/>
    <cellStyle name="输入 7 5" xfId="6608"/>
    <cellStyle name="输入 8 5" xfId="6609"/>
    <cellStyle name="输入 9 5" xfId="6610"/>
    <cellStyle name="输出 22" xfId="6611"/>
    <cellStyle name="输出 10 5" xfId="6612"/>
    <cellStyle name="输出 11 5" xfId="6613"/>
    <cellStyle name="输出 12 5" xfId="6614"/>
    <cellStyle name="输出 13 5" xfId="6615"/>
    <cellStyle name="输出 14 5" xfId="6616"/>
    <cellStyle name="输出 15 5" xfId="6617"/>
    <cellStyle name="输出 16 5" xfId="6618"/>
    <cellStyle name="输出 17 5" xfId="6619"/>
    <cellStyle name="输出 18 5" xfId="6620"/>
    <cellStyle name="输出 2 5" xfId="6621"/>
    <cellStyle name="输出 3 5" xfId="6622"/>
    <cellStyle name="输出 4 5" xfId="6623"/>
    <cellStyle name="输出 5 5" xfId="6624"/>
    <cellStyle name="输出 6 5" xfId="6625"/>
    <cellStyle name="输出 7 5" xfId="6626"/>
    <cellStyle name="输出 8 5" xfId="6627"/>
    <cellStyle name="输出 9 5" xfId="6628"/>
    <cellStyle name="汇总 12 5" xfId="6629"/>
    <cellStyle name="汇总 13 5" xfId="6630"/>
    <cellStyle name="汇总 14 5" xfId="6631"/>
    <cellStyle name="汇总 15 5" xfId="6632"/>
    <cellStyle name="汇总 16 5" xfId="6633"/>
    <cellStyle name="汇总 17 5" xfId="6634"/>
    <cellStyle name="汇总 18 5" xfId="6635"/>
    <cellStyle name="汇总 2 5" xfId="6636"/>
    <cellStyle name="汇总 3 5" xfId="6637"/>
    <cellStyle name="汇总 4 5" xfId="6638"/>
    <cellStyle name="汇总 5 5" xfId="6639"/>
    <cellStyle name="汇总 6 5" xfId="6640"/>
    <cellStyle name="汇总 7 5" xfId="6641"/>
    <cellStyle name="汇总 8 5" xfId="6642"/>
    <cellStyle name="汇总 9 5" xfId="6643"/>
    <cellStyle name="계산 6 6" xfId="6644"/>
    <cellStyle name="계산 5 6" xfId="6645"/>
    <cellStyle name="계산 4 6" xfId="6646"/>
    <cellStyle name="계산 3 6" xfId="6647"/>
    <cellStyle name="계산 2 8" xfId="6648"/>
    <cellStyle name="계산 11" xfId="6649"/>
    <cellStyle name="输出 18 6" xfId="6650"/>
    <cellStyle name="계산 2 4 2" xfId="6651"/>
    <cellStyle name="계산 5 2 2" xfId="6652"/>
    <cellStyle name="계산 7 2" xfId="6653"/>
    <cellStyle name="메모 2 3 2 2" xfId="6654"/>
    <cellStyle name="메모 2 5 2" xfId="6655"/>
    <cellStyle name="메모 5 2 2" xfId="6656"/>
    <cellStyle name="메모 7 2 2" xfId="6657"/>
    <cellStyle name="메모 8 2" xfId="6658"/>
    <cellStyle name="메모 9 2" xfId="6659"/>
    <cellStyle name="汇总 15 6" xfId="6660"/>
    <cellStyle name="汇总 6 6" xfId="6661"/>
    <cellStyle name="汇总 7 6" xfId="6662"/>
    <cellStyle name="计算 10 6" xfId="6663"/>
    <cellStyle name="요약 2 4 2" xfId="6664"/>
    <cellStyle name="요약 5 2 2" xfId="6665"/>
    <cellStyle name="요약 7 2" xfId="6666"/>
    <cellStyle name="입력 2 4 2" xfId="6667"/>
    <cellStyle name="입력 5 2 2" xfId="6668"/>
    <cellStyle name="입력 7 2" xfId="6669"/>
    <cellStyle name="注释 10 2 2 2" xfId="6670"/>
    <cellStyle name="注释 10 3 2" xfId="6671"/>
    <cellStyle name="注释 11 2 2 2" xfId="6672"/>
    <cellStyle name="注释 11 3 2" xfId="6673"/>
    <cellStyle name="注释 12 2 2 2" xfId="6674"/>
    <cellStyle name="注释 12 3 2" xfId="6675"/>
    <cellStyle name="注释 13 2 2 2" xfId="6676"/>
    <cellStyle name="注释 13 3 2" xfId="6677"/>
    <cellStyle name="注释 14 2 2 2" xfId="6678"/>
    <cellStyle name="注释 14 3 2" xfId="6679"/>
    <cellStyle name="注释 15 2 2 2" xfId="6680"/>
    <cellStyle name="注释 15 3 2" xfId="6681"/>
    <cellStyle name="注释 16 2 2 2" xfId="6682"/>
    <cellStyle name="注释 16 3 2" xfId="6683"/>
    <cellStyle name="注释 17 2 2 2" xfId="6684"/>
    <cellStyle name="注释 17 3 2" xfId="6685"/>
    <cellStyle name="注释 18 2 2 2" xfId="6686"/>
    <cellStyle name="注释 18 3 2" xfId="6687"/>
    <cellStyle name="注释 19 2" xfId="6688"/>
    <cellStyle name="注释 2 2 2 2" xfId="6689"/>
    <cellStyle name="注释 2 3 2" xfId="6690"/>
    <cellStyle name="注释 3 2 2 2" xfId="6691"/>
    <cellStyle name="注释 3 3 2" xfId="6692"/>
    <cellStyle name="注释 4 2 2 2" xfId="6693"/>
    <cellStyle name="注释 4 3 2" xfId="6694"/>
    <cellStyle name="注释 5 2 2 2" xfId="6695"/>
    <cellStyle name="注释 5 3 2" xfId="6696"/>
    <cellStyle name="注释 6 2 2 2" xfId="6697"/>
    <cellStyle name="注释 6 3 2" xfId="6698"/>
    <cellStyle name="注释 7 2 2 2" xfId="6699"/>
    <cellStyle name="注释 7 3 2" xfId="6700"/>
    <cellStyle name="注释 8 2 2 2" xfId="6701"/>
    <cellStyle name="注释 8 3 2" xfId="6702"/>
    <cellStyle name="注释 9 2 2 2" xfId="6703"/>
    <cellStyle name="注释 9 3 2" xfId="6704"/>
    <cellStyle name="출력 2 4 2" xfId="6705"/>
    <cellStyle name="출력 5 2 2" xfId="6706"/>
    <cellStyle name="출력 7 2" xfId="6707"/>
    <cellStyle name="计算 6 7" xfId="6708"/>
    <cellStyle name="计算 8 6" xfId="6709"/>
    <cellStyle name="输入 23" xfId="6710"/>
    <cellStyle name="输入 11 6" xfId="6711"/>
    <cellStyle name="输入 13 6" xfId="6712"/>
    <cellStyle name="输入 15 6" xfId="6713"/>
    <cellStyle name="输入 16 6" xfId="6714"/>
    <cellStyle name="输入 18 6" xfId="6715"/>
    <cellStyle name="输入 3 6" xfId="6716"/>
    <cellStyle name="输入 5 6" xfId="6717"/>
    <cellStyle name="输入 7 6" xfId="6718"/>
    <cellStyle name="输入 9 6" xfId="6719"/>
    <cellStyle name="输出 10 6" xfId="6720"/>
    <cellStyle name="输出 12 6" xfId="6721"/>
    <cellStyle name="输出 14 6" xfId="6722"/>
    <cellStyle name="汇总 10 2 2" xfId="6723"/>
    <cellStyle name="汇总 11 2 2" xfId="6724"/>
    <cellStyle name="汇总 12 2 2" xfId="6725"/>
    <cellStyle name="汇总 13 2 2" xfId="6726"/>
    <cellStyle name="汇总 14 2 2" xfId="6727"/>
    <cellStyle name="汇总 15 2 2" xfId="6728"/>
    <cellStyle name="汇总 16 2 2" xfId="6729"/>
    <cellStyle name="汇总 17 2 2" xfId="6730"/>
    <cellStyle name="汇总 18 2 2" xfId="6731"/>
    <cellStyle name="汇总 19 2" xfId="6732"/>
    <cellStyle name="汇总 2 2 2" xfId="6733"/>
    <cellStyle name="汇总 3 2 2" xfId="6734"/>
    <cellStyle name="汇总 4 2 2" xfId="6735"/>
    <cellStyle name="汇总 5 2 2" xfId="6736"/>
    <cellStyle name="汇总 6 2 2" xfId="6737"/>
    <cellStyle name="汇总 7 2 2" xfId="6738"/>
    <cellStyle name="汇总 8 2 2" xfId="6739"/>
    <cellStyle name="汇总 9 2 2" xfId="6740"/>
    <cellStyle name="计算 10 2 2" xfId="6741"/>
    <cellStyle name="计算 11 2 2" xfId="6742"/>
    <cellStyle name="计算 12 2 2" xfId="6743"/>
    <cellStyle name="计算 13 2 2" xfId="6744"/>
    <cellStyle name="计算 14 2 2" xfId="6745"/>
    <cellStyle name="计算 15 2 2" xfId="6746"/>
    <cellStyle name="计算 16 2 2" xfId="6747"/>
    <cellStyle name="计算 17 2 2" xfId="6748"/>
    <cellStyle name="计算 18 2 2" xfId="6749"/>
    <cellStyle name="计算 19 2" xfId="6750"/>
    <cellStyle name="计算 2 2 2" xfId="6751"/>
    <cellStyle name="计算 3 2 2" xfId="6752"/>
    <cellStyle name="计算 4 2 2" xfId="6753"/>
    <cellStyle name="计算 5 2 2" xfId="6754"/>
    <cellStyle name="计算 6 2 2" xfId="6755"/>
    <cellStyle name="计算 7 2 2" xfId="6756"/>
    <cellStyle name="计算 8 2 2" xfId="6757"/>
    <cellStyle name="计算 9 2 2" xfId="6758"/>
    <cellStyle name="输入 10 2 2" xfId="6759"/>
    <cellStyle name="输入 11 2 2" xfId="6760"/>
    <cellStyle name="输入 12 2 2" xfId="6761"/>
    <cellStyle name="输入 13 2 2" xfId="6762"/>
    <cellStyle name="输入 14 2 2" xfId="6763"/>
    <cellStyle name="输入 15 2 2" xfId="6764"/>
    <cellStyle name="输入 16 2 2" xfId="6765"/>
    <cellStyle name="输入 17 2 2" xfId="6766"/>
    <cellStyle name="输入 18 2 2" xfId="6767"/>
    <cellStyle name="输入 19 2" xfId="6768"/>
    <cellStyle name="输入 2 2 2" xfId="6769"/>
    <cellStyle name="输入 3 2 2" xfId="6770"/>
    <cellStyle name="输入 4 2 2" xfId="6771"/>
    <cellStyle name="输入 5 2 2" xfId="6772"/>
    <cellStyle name="输入 6 2 2" xfId="6773"/>
    <cellStyle name="输入 7 2 2" xfId="6774"/>
    <cellStyle name="输入 8 2 2" xfId="6775"/>
    <cellStyle name="输入 9 2 2" xfId="6776"/>
    <cellStyle name="输出 10 2 2" xfId="6777"/>
    <cellStyle name="输出 11 2 2" xfId="6778"/>
    <cellStyle name="输出 12 2 2" xfId="6779"/>
    <cellStyle name="输出 13 2 2" xfId="6780"/>
    <cellStyle name="输出 14 2 2" xfId="6781"/>
    <cellStyle name="输出 15 2 2" xfId="6782"/>
    <cellStyle name="输出 16 2 2" xfId="6783"/>
    <cellStyle name="输出 17 2 2" xfId="6784"/>
    <cellStyle name="输出 18 2 2" xfId="6785"/>
    <cellStyle name="输出 19 2" xfId="6786"/>
    <cellStyle name="输出 2 2 2" xfId="6787"/>
    <cellStyle name="输出 3 2 2" xfId="6788"/>
    <cellStyle name="输出 4 2 2" xfId="6789"/>
    <cellStyle name="输出 5 2 2" xfId="6790"/>
    <cellStyle name="输出 6 2 2" xfId="6791"/>
    <cellStyle name="输出 7 2 2" xfId="6792"/>
    <cellStyle name="输出 8 2 2" xfId="6793"/>
    <cellStyle name="输出 9 2 2" xfId="6794"/>
    <cellStyle name="계산 2 4 3" xfId="6795"/>
    <cellStyle name="계산 5 2 3" xfId="6796"/>
    <cellStyle name="계산 7 3" xfId="6797"/>
    <cellStyle name="메모 2 3 2 3" xfId="6798"/>
    <cellStyle name="메모 2 5 3" xfId="6799"/>
    <cellStyle name="메모 5 2 3" xfId="6800"/>
    <cellStyle name="메모 7 2 3" xfId="6801"/>
    <cellStyle name="메모 8 3" xfId="6802"/>
    <cellStyle name="메모 9 3" xfId="6803"/>
    <cellStyle name="计算 4 8" xfId="6804"/>
    <cellStyle name="요약 2 4 3" xfId="6805"/>
    <cellStyle name="요약 5 2 3" xfId="6806"/>
    <cellStyle name="요약 7 3" xfId="6807"/>
    <cellStyle name="입력 2 4 3" xfId="6808"/>
    <cellStyle name="입력 5 2 3" xfId="6809"/>
    <cellStyle name="입력 7 3" xfId="6810"/>
    <cellStyle name="注释 10 2 2 3" xfId="6811"/>
    <cellStyle name="注释 10 3 3" xfId="6812"/>
    <cellStyle name="注释 11 2 2 3" xfId="6813"/>
    <cellStyle name="注释 11 3 3" xfId="6814"/>
    <cellStyle name="注释 12 2 2 3" xfId="6815"/>
    <cellStyle name="注释 12 3 3" xfId="6816"/>
    <cellStyle name="注释 13 2 2 3" xfId="6817"/>
    <cellStyle name="注释 13 3 3" xfId="6818"/>
    <cellStyle name="注释 14 2 2 3" xfId="6819"/>
    <cellStyle name="注释 14 3 3" xfId="6820"/>
    <cellStyle name="注释 15 2 2 3" xfId="6821"/>
    <cellStyle name="注释 15 3 3" xfId="6822"/>
    <cellStyle name="注释 16 2 2 3" xfId="6823"/>
    <cellStyle name="注释 16 3 3" xfId="6824"/>
    <cellStyle name="注释 17 2 2 3" xfId="6825"/>
    <cellStyle name="注释 17 3 3" xfId="6826"/>
    <cellStyle name="注释 18 2 2 3" xfId="6827"/>
    <cellStyle name="注释 18 3 3" xfId="6828"/>
    <cellStyle name="注释 19 3" xfId="6829"/>
    <cellStyle name="注释 2 2 2 3" xfId="6830"/>
    <cellStyle name="注释 2 3 3" xfId="6831"/>
    <cellStyle name="注释 3 2 2 3" xfId="6832"/>
    <cellStyle name="注释 3 3 3" xfId="6833"/>
    <cellStyle name="注释 4 2 2 3" xfId="6834"/>
    <cellStyle name="注释 4 3 3" xfId="6835"/>
    <cellStyle name="注释 5 2 2 3" xfId="6836"/>
    <cellStyle name="注释 5 3 3" xfId="6837"/>
    <cellStyle name="注释 6 2 2 3" xfId="6838"/>
    <cellStyle name="注释 6 3 3" xfId="6839"/>
    <cellStyle name="注释 7 2 2 3" xfId="6840"/>
    <cellStyle name="注释 7 3 3" xfId="6841"/>
    <cellStyle name="注释 8 2 2 3" xfId="6842"/>
    <cellStyle name="注释 8 3 3" xfId="6843"/>
    <cellStyle name="注释 9 2 2 3" xfId="6844"/>
    <cellStyle name="注释 9 3 3" xfId="6845"/>
    <cellStyle name="출력 2 4 3" xfId="6846"/>
    <cellStyle name="출력 5 2 3" xfId="6847"/>
    <cellStyle name="출력 7 3" xfId="6848"/>
    <cellStyle name="汇总 10 2 3" xfId="6849"/>
    <cellStyle name="汇总 11 2 3" xfId="6850"/>
    <cellStyle name="汇总 12 2 3" xfId="6851"/>
    <cellStyle name="汇总 13 2 3" xfId="6852"/>
    <cellStyle name="汇总 14 2 3" xfId="6853"/>
    <cellStyle name="汇总 15 2 3" xfId="6854"/>
    <cellStyle name="汇总 16 2 3" xfId="6855"/>
    <cellStyle name="汇总 17 2 3" xfId="6856"/>
    <cellStyle name="汇总 18 2 3" xfId="6857"/>
    <cellStyle name="汇总 19 3" xfId="6858"/>
    <cellStyle name="汇总 2 2 3" xfId="6859"/>
    <cellStyle name="汇总 3 2 3" xfId="6860"/>
    <cellStyle name="汇总 4 2 3" xfId="6861"/>
    <cellStyle name="汇总 5 2 3" xfId="6862"/>
    <cellStyle name="汇总 6 2 3" xfId="6863"/>
    <cellStyle name="汇总 7 2 3" xfId="6864"/>
    <cellStyle name="汇总 8 2 3" xfId="6865"/>
    <cellStyle name="汇总 9 2 3" xfId="6866"/>
    <cellStyle name="计算 10 2 3" xfId="6867"/>
    <cellStyle name="计算 11 2 3" xfId="6868"/>
    <cellStyle name="计算 12 2 3" xfId="6869"/>
    <cellStyle name="计算 13 2 3" xfId="6870"/>
    <cellStyle name="计算 14 2 3" xfId="6871"/>
    <cellStyle name="计算 15 2 3" xfId="6872"/>
    <cellStyle name="计算 16 2 3" xfId="6873"/>
    <cellStyle name="计算 17 2 3" xfId="6874"/>
    <cellStyle name="计算 18 2 3" xfId="6875"/>
    <cellStyle name="计算 19 3" xfId="6876"/>
    <cellStyle name="计算 2 2 3" xfId="6877"/>
    <cellStyle name="计算 3 2 3" xfId="6878"/>
    <cellStyle name="计算 4 2 3" xfId="6879"/>
    <cellStyle name="计算 5 2 3" xfId="6880"/>
    <cellStyle name="计算 6 2 3" xfId="6881"/>
    <cellStyle name="计算 7 2 3" xfId="6882"/>
    <cellStyle name="计算 8 2 3" xfId="6883"/>
    <cellStyle name="计算 9 2 3" xfId="6884"/>
    <cellStyle name="输入 10 2 3" xfId="6885"/>
    <cellStyle name="输入 11 2 3" xfId="6886"/>
    <cellStyle name="输入 12 2 3" xfId="6887"/>
    <cellStyle name="输入 13 2 3" xfId="6888"/>
    <cellStyle name="输入 14 2 3" xfId="6889"/>
    <cellStyle name="输入 15 2 3" xfId="6890"/>
    <cellStyle name="输入 16 2 3" xfId="6891"/>
    <cellStyle name="输入 17 2 3" xfId="6892"/>
    <cellStyle name="输入 18 2 3" xfId="6893"/>
    <cellStyle name="输入 19 3" xfId="6894"/>
    <cellStyle name="输入 2 2 3" xfId="6895"/>
    <cellStyle name="输入 3 2 3" xfId="6896"/>
    <cellStyle name="输入 4 2 3" xfId="6897"/>
    <cellStyle name="输入 5 2 3" xfId="6898"/>
    <cellStyle name="输入 6 2 3" xfId="6899"/>
    <cellStyle name="输入 7 2 3" xfId="6900"/>
    <cellStyle name="输入 8 2 3" xfId="6901"/>
    <cellStyle name="输入 9 2 3" xfId="6902"/>
    <cellStyle name="输出 10 2 3" xfId="6903"/>
    <cellStyle name="输出 11 2 3" xfId="6904"/>
    <cellStyle name="输出 12 2 3" xfId="6905"/>
    <cellStyle name="输出 13 2 3" xfId="6906"/>
    <cellStyle name="输出 14 2 3" xfId="6907"/>
    <cellStyle name="输出 15 2 3" xfId="6908"/>
    <cellStyle name="输出 16 2 3" xfId="6909"/>
    <cellStyle name="输出 17 2 3" xfId="6910"/>
    <cellStyle name="输出 18 2 3" xfId="6911"/>
    <cellStyle name="输出 19 3" xfId="6912"/>
    <cellStyle name="输出 2 2 3" xfId="6913"/>
    <cellStyle name="输出 3 2 3" xfId="6914"/>
    <cellStyle name="输出 4 2 3" xfId="6915"/>
    <cellStyle name="输出 5 2 3" xfId="6916"/>
    <cellStyle name="输出 6 2 3" xfId="6917"/>
    <cellStyle name="输出 7 2 3" xfId="6918"/>
    <cellStyle name="输出 8 2 3" xfId="6919"/>
    <cellStyle name="输出 9 2 3" xfId="6920"/>
    <cellStyle name="출력 7 5" xfId="6921"/>
    <cellStyle name="계산 2 4 4" xfId="6922"/>
    <cellStyle name="계산 5 2 4" xfId="6923"/>
    <cellStyle name="계산 7 4" xfId="6924"/>
    <cellStyle name="메모 2 3 2 4" xfId="6925"/>
    <cellStyle name="메모 2 5 4" xfId="6926"/>
    <cellStyle name="메모 5 2 4" xfId="6927"/>
    <cellStyle name="메모 7 2 4" xfId="6928"/>
    <cellStyle name="메모 8 4" xfId="6929"/>
    <cellStyle name="메모 9 4" xfId="6930"/>
    <cellStyle name="요약 2 4 4" xfId="6931"/>
    <cellStyle name="요약 5 2 4" xfId="6932"/>
    <cellStyle name="요약 7 4" xfId="6933"/>
    <cellStyle name="입력 2 4 4" xfId="6934"/>
    <cellStyle name="입력 5 2 4" xfId="6935"/>
    <cellStyle name="입력 7 4" xfId="6936"/>
    <cellStyle name="注释 10 2 2 4" xfId="6937"/>
    <cellStyle name="注释 10 3 4" xfId="6938"/>
    <cellStyle name="注释 11 2 2 4" xfId="6939"/>
    <cellStyle name="注释 11 3 4" xfId="6940"/>
    <cellStyle name="注释 12 2 2 4" xfId="6941"/>
    <cellStyle name="注释 12 3 4" xfId="6942"/>
    <cellStyle name="注释 13 2 2 4" xfId="6943"/>
    <cellStyle name="注释 13 3 4" xfId="6944"/>
    <cellStyle name="注释 14 2 2 4" xfId="6945"/>
    <cellStyle name="注释 14 3 4" xfId="6946"/>
    <cellStyle name="注释 15 2 2 4" xfId="6947"/>
    <cellStyle name="注释 15 3 4" xfId="6948"/>
    <cellStyle name="注释 16 2 2 4" xfId="6949"/>
    <cellStyle name="注释 16 3 4" xfId="6950"/>
    <cellStyle name="注释 17 2 2 4" xfId="6951"/>
    <cellStyle name="注释 17 3 4" xfId="6952"/>
    <cellStyle name="注释 18 2 2 4" xfId="6953"/>
    <cellStyle name="注释 18 3 4" xfId="6954"/>
    <cellStyle name="注释 19 4" xfId="6955"/>
    <cellStyle name="注释 2 2 2 4" xfId="6956"/>
    <cellStyle name="注释 2 3 4" xfId="6957"/>
    <cellStyle name="注释 3 2 2 4" xfId="6958"/>
    <cellStyle name="注释 3 3 4" xfId="6959"/>
    <cellStyle name="注释 4 2 2 4" xfId="6960"/>
    <cellStyle name="注释 4 3 4" xfId="6961"/>
    <cellStyle name="注释 5 2 2 4" xfId="6962"/>
    <cellStyle name="注释 5 3 4" xfId="6963"/>
    <cellStyle name="注释 6 2 2 4" xfId="6964"/>
    <cellStyle name="注释 6 3 4" xfId="6965"/>
    <cellStyle name="注释 7 2 2 4" xfId="6966"/>
    <cellStyle name="注释 7 3 4" xfId="6967"/>
    <cellStyle name="注释 8 2 2 4" xfId="6968"/>
    <cellStyle name="注释 8 3 4" xfId="6969"/>
    <cellStyle name="注释 9 2 2 4" xfId="6970"/>
    <cellStyle name="注释 9 3 4" xfId="6971"/>
    <cellStyle name="출력 2 4 4" xfId="6972"/>
    <cellStyle name="출력 5 2 4" xfId="6973"/>
    <cellStyle name="출력 7 4" xfId="6974"/>
    <cellStyle name="汇总 10 2 4" xfId="6975"/>
    <cellStyle name="汇总 11 2 4" xfId="6976"/>
    <cellStyle name="汇总 12 2 4" xfId="6977"/>
    <cellStyle name="汇总 13 2 4" xfId="6978"/>
    <cellStyle name="汇总 14 2 4" xfId="6979"/>
    <cellStyle name="汇总 15 2 4" xfId="6980"/>
    <cellStyle name="汇总 16 2 4" xfId="6981"/>
    <cellStyle name="汇总 17 2 4" xfId="6982"/>
    <cellStyle name="汇总 18 2 4" xfId="6983"/>
    <cellStyle name="汇总 19 4" xfId="6984"/>
    <cellStyle name="汇总 2 2 4" xfId="6985"/>
    <cellStyle name="汇总 3 2 4" xfId="6986"/>
    <cellStyle name="汇总 4 2 4" xfId="6987"/>
    <cellStyle name="汇总 5 2 4" xfId="6988"/>
    <cellStyle name="汇总 6 2 4" xfId="6989"/>
    <cellStyle name="汇总 7 2 4" xfId="6990"/>
    <cellStyle name="汇总 8 2 4" xfId="6991"/>
    <cellStyle name="汇总 9 2 4" xfId="6992"/>
    <cellStyle name="计算 10 2 4" xfId="6993"/>
    <cellStyle name="计算 11 2 4" xfId="6994"/>
    <cellStyle name="计算 12 2 4" xfId="6995"/>
    <cellStyle name="计算 13 2 4" xfId="6996"/>
    <cellStyle name="计算 14 2 4" xfId="6997"/>
    <cellStyle name="计算 15 2 4" xfId="6998"/>
    <cellStyle name="计算 16 2 4" xfId="6999"/>
    <cellStyle name="计算 17 2 4" xfId="7000"/>
    <cellStyle name="计算 18 2 4" xfId="7001"/>
    <cellStyle name="计算 19 4" xfId="7002"/>
    <cellStyle name="计算 2 2 4" xfId="7003"/>
    <cellStyle name="计算 3 2 4" xfId="7004"/>
    <cellStyle name="计算 4 2 4" xfId="7005"/>
    <cellStyle name="计算 5 2 4" xfId="7006"/>
    <cellStyle name="计算 6 2 4" xfId="7007"/>
    <cellStyle name="计算 7 2 4" xfId="7008"/>
    <cellStyle name="计算 8 2 4" xfId="7009"/>
    <cellStyle name="计算 9 2 4" xfId="7010"/>
    <cellStyle name="输入 10 2 4" xfId="7011"/>
    <cellStyle name="输入 11 2 4" xfId="7012"/>
    <cellStyle name="输入 12 2 4" xfId="7013"/>
    <cellStyle name="输入 13 2 4" xfId="7014"/>
    <cellStyle name="输入 14 2 4" xfId="7015"/>
    <cellStyle name="输入 15 2 4" xfId="7016"/>
    <cellStyle name="输入 16 2 4" xfId="7017"/>
    <cellStyle name="输入 17 2 4" xfId="7018"/>
    <cellStyle name="输入 18 2 4" xfId="7019"/>
    <cellStyle name="输入 19 4" xfId="7020"/>
    <cellStyle name="输入 2 2 4" xfId="7021"/>
    <cellStyle name="输入 3 2 4" xfId="7022"/>
    <cellStyle name="输入 4 2 4" xfId="7023"/>
    <cellStyle name="输入 5 2 4" xfId="7024"/>
    <cellStyle name="输入 6 2 4" xfId="7025"/>
    <cellStyle name="输入 7 2 4" xfId="7026"/>
    <cellStyle name="输入 8 2 4" xfId="7027"/>
    <cellStyle name="输入 9 2 4" xfId="7028"/>
    <cellStyle name="输出 10 2 4" xfId="7029"/>
    <cellStyle name="输出 11 2 4" xfId="7030"/>
    <cellStyle name="输出 12 2 4" xfId="7031"/>
    <cellStyle name="输出 13 2 4" xfId="7032"/>
    <cellStyle name="输出 14 2 4" xfId="7033"/>
    <cellStyle name="输出 15 2 4" xfId="7034"/>
    <cellStyle name="输出 16 2 4" xfId="7035"/>
    <cellStyle name="输出 17 2 4" xfId="7036"/>
    <cellStyle name="输出 18 2 4" xfId="7037"/>
    <cellStyle name="输出 19 4" xfId="7038"/>
    <cellStyle name="输出 2 2 4" xfId="7039"/>
    <cellStyle name="输出 3 2 4" xfId="7040"/>
    <cellStyle name="输出 4 2 4" xfId="7041"/>
    <cellStyle name="输出 5 2 4" xfId="7042"/>
    <cellStyle name="输出 6 2 4" xfId="7043"/>
    <cellStyle name="输出 7 2 4" xfId="7044"/>
    <cellStyle name="输出 8 2 4" xfId="7045"/>
    <cellStyle name="输出 9 2 4" xfId="7046"/>
    <cellStyle name="계산 2 4 5" xfId="7047"/>
    <cellStyle name="계산 5 2 5" xfId="7048"/>
    <cellStyle name="계산 7 5" xfId="7049"/>
    <cellStyle name="표준 91" xfId="7050"/>
    <cellStyle name="计算 5 2 5" xfId="7051"/>
    <cellStyle name="输出 14 2 5" xfId="7052"/>
    <cellStyle name="输出 15 2 5" xfId="7053"/>
    <cellStyle name="输出 16 2 5" xfId="7054"/>
    <cellStyle name="输出 17 2 5" xfId="7055"/>
    <cellStyle name="输出 18 2 5" xfId="7056"/>
    <cellStyle name="输出 19 5" xfId="7057"/>
    <cellStyle name="输出 2 2 5" xfId="7058"/>
    <cellStyle name="输出 3 2 5" xfId="7059"/>
    <cellStyle name="输出 4 2 5" xfId="7060"/>
    <cellStyle name="输出 5 2 5" xfId="7061"/>
    <cellStyle name="输出 6 2 5" xfId="7062"/>
    <cellStyle name="输出 7 2 5" xfId="7063"/>
    <cellStyle name="输出 8 2 5" xfId="7064"/>
    <cellStyle name="输出 9 2 5" xfId="7065"/>
    <cellStyle name="계산 2 4 7" xfId="7066"/>
    <cellStyle name="계산 5 2 7" xfId="7067"/>
    <cellStyle name="계산 7 7" xfId="7068"/>
    <cellStyle name="计算 5 2 7" xfId="7069"/>
    <cellStyle name="표준 93" xfId="7070"/>
    <cellStyle name="계산 14" xfId="7071"/>
    <cellStyle name="계산 2 11" xfId="7072"/>
    <cellStyle name="계산 3 9" xfId="7073"/>
    <cellStyle name="계산 4 9" xfId="7074"/>
    <cellStyle name="계산 5 9" xfId="7075"/>
    <cellStyle name="계산 6 9" xfId="7076"/>
    <cellStyle name="计算 26" xfId="7077"/>
    <cellStyle name="计算 2 9" xfId="7078"/>
    <cellStyle name="计算 3 9" xfId="7079"/>
    <cellStyle name="计算 4 9" xfId="7080"/>
    <cellStyle name="计算 5 9" xfId="7081"/>
    <cellStyle name="计算 6 9" xfId="7082"/>
    <cellStyle name="计算 7 9" xfId="7083"/>
    <cellStyle name="계산 2 4 8" xfId="7084"/>
    <cellStyle name="계산 5 2 8" xfId="7085"/>
    <cellStyle name="계산 7 8" xfId="7086"/>
    <cellStyle name="计算 5 2 8" xfId="7087"/>
    <cellStyle name="표준 85 2" xfId="7088"/>
    <cellStyle name="통화 [0] 5 2" xfId="7089"/>
    <cellStyle name="표준 85 3" xfId="7090"/>
    <cellStyle name="경고문 3 3" xfId="7091"/>
    <cellStyle name="경고문 4 3" xfId="7092"/>
    <cellStyle name="경고문 6 3" xfId="7093"/>
    <cellStyle name="계산 3 10" xfId="7094"/>
    <cellStyle name="계산 4 10" xfId="7095"/>
    <cellStyle name="계산 6 10" xfId="7096"/>
    <cellStyle name="메모 2 11" xfId="7097"/>
    <cellStyle name="메모 3 4" xfId="7098"/>
    <cellStyle name="메모 4 4" xfId="7099"/>
    <cellStyle name="메모 5 8" xfId="7100"/>
    <cellStyle name="메모 6 3" xfId="7101"/>
    <cellStyle name="셀 확인 3 3" xfId="7102"/>
    <cellStyle name="셀 확인 4 3" xfId="7103"/>
    <cellStyle name="셀 확인 6 3" xfId="7104"/>
    <cellStyle name="요약 3 3" xfId="7105"/>
    <cellStyle name="요약 4 3" xfId="7106"/>
    <cellStyle name="요약 6 3" xfId="7107"/>
    <cellStyle name="입력 3 3" xfId="7108"/>
    <cellStyle name="입력 4 3" xfId="7109"/>
    <cellStyle name="입력 6 3" xfId="7110"/>
    <cellStyle name="출력 3 3" xfId="7111"/>
    <cellStyle name="출력 4 3" xfId="7112"/>
    <cellStyle name="출력 6 3" xfId="7113"/>
    <cellStyle name="Calculation 2" xfId="7114"/>
    <cellStyle name="Check Cell 2" xfId="7115"/>
    <cellStyle name="Header2 20" xfId="7116"/>
    <cellStyle name="Input 2" xfId="7117"/>
    <cellStyle name="Input [yellow] 20" xfId="7118"/>
    <cellStyle name="Note 2" xfId="7119"/>
    <cellStyle name="Output 2" xfId="7120"/>
    <cellStyle name="Total 2" xfId="7121"/>
    <cellStyle name="메모 10 2" xfId="7122"/>
    <cellStyle name="메모 2 6 2" xfId="7123"/>
    <cellStyle name="메모 5 3 2" xfId="7124"/>
    <cellStyle name="표준 85 4" xfId="7125"/>
    <cellStyle name="통화 [0] 5 3" xfId="7126"/>
    <cellStyle name="计算 7 6 2" xfId="7127"/>
    <cellStyle name="计算 6 6 2" xfId="7128"/>
    <cellStyle name="计算 5 6 2" xfId="7129"/>
    <cellStyle name="计算 4 6 2" xfId="7130"/>
    <cellStyle name="计算 3 6 2" xfId="7131"/>
    <cellStyle name="计算 2 6 2" xfId="7132"/>
    <cellStyle name="计算 23 2" xfId="7133"/>
    <cellStyle name="계산 10 2" xfId="7134"/>
    <cellStyle name="계산 2 7 2" xfId="7135"/>
    <cellStyle name="계산 5 5 2" xfId="7136"/>
    <cellStyle name="메모 13 2" xfId="7137"/>
    <cellStyle name="메모 2 9 2" xfId="7138"/>
    <cellStyle name="메모 2 3 5 2" xfId="7139"/>
    <cellStyle name="메모 5 6 2" xfId="7140"/>
    <cellStyle name="메모 7 5 2" xfId="7141"/>
    <cellStyle name="출력 10 2" xfId="7142"/>
    <cellStyle name="출력 2 7 2" xfId="7143"/>
    <cellStyle name="출력 5 5 2" xfId="7144"/>
    <cellStyle name="요약 10 2" xfId="7145"/>
    <cellStyle name="요약 2 7 2" xfId="7146"/>
    <cellStyle name="요약 5 5 2" xfId="7147"/>
    <cellStyle name="입력 10 2" xfId="7148"/>
    <cellStyle name="입력 2 7 2" xfId="7149"/>
    <cellStyle name="입력 5 5 2" xfId="7150"/>
    <cellStyle name="注释 22 2" xfId="7151"/>
    <cellStyle name="注释 10 6 2" xfId="7152"/>
    <cellStyle name="注释 10 2 5 2" xfId="7153"/>
    <cellStyle name="注释 11 6 2" xfId="7154"/>
    <cellStyle name="注释 11 2 5 2" xfId="7155"/>
    <cellStyle name="注释 12 6 2" xfId="7156"/>
    <cellStyle name="注释 12 2 5 2" xfId="7157"/>
    <cellStyle name="注释 13 6 2" xfId="7158"/>
    <cellStyle name="注释 13 2 5 2" xfId="7159"/>
    <cellStyle name="注释 14 6 2" xfId="7160"/>
    <cellStyle name="注释 14 2 5 2" xfId="7161"/>
    <cellStyle name="注释 15 6 2" xfId="7162"/>
    <cellStyle name="注释 15 2 5 2" xfId="7163"/>
    <cellStyle name="注释 16 6 2" xfId="7164"/>
    <cellStyle name="注释 16 2 5 2" xfId="7165"/>
    <cellStyle name="注释 17 6 2" xfId="7166"/>
    <cellStyle name="注释 17 2 5 2" xfId="7167"/>
    <cellStyle name="注释 18 6 2" xfId="7168"/>
    <cellStyle name="注释 18 2 5 2" xfId="7169"/>
    <cellStyle name="注释 2 6 2" xfId="7170"/>
    <cellStyle name="注释 2 2 5 2" xfId="7171"/>
    <cellStyle name="注释 3 6 2" xfId="7172"/>
    <cellStyle name="注释 3 2 5 2" xfId="7173"/>
    <cellStyle name="注释 4 6 2" xfId="7174"/>
    <cellStyle name="注释 4 2 5 2" xfId="7175"/>
    <cellStyle name="注释 5 6 2" xfId="7176"/>
    <cellStyle name="注释 5 2 5 2" xfId="7177"/>
    <cellStyle name="注释 6 6 2" xfId="7178"/>
    <cellStyle name="注释 6 2 5 2" xfId="7179"/>
    <cellStyle name="注释 7 6 2" xfId="7180"/>
    <cellStyle name="注释 7 2 5 2" xfId="7181"/>
    <cellStyle name="注释 8 6 2" xfId="7182"/>
    <cellStyle name="注释 8 2 5 2" xfId="7183"/>
    <cellStyle name="注释 9 6 2" xfId="7184"/>
    <cellStyle name="注释 9 2 5 2" xfId="7185"/>
    <cellStyle name="输出 9 4 2" xfId="7186"/>
    <cellStyle name="输出 8 4 2" xfId="7187"/>
    <cellStyle name="输出 7 4 2" xfId="7188"/>
    <cellStyle name="输出 6 4 2" xfId="7189"/>
    <cellStyle name="输出 5 4 2" xfId="7190"/>
    <cellStyle name="输出 4 4 2" xfId="7191"/>
    <cellStyle name="输出 3 4 2" xfId="7192"/>
    <cellStyle name="输出 2 4 2" xfId="7193"/>
    <cellStyle name="输出 18 4 2" xfId="7194"/>
    <cellStyle name="输出 17 4 2" xfId="7195"/>
    <cellStyle name="输出 16 4 2" xfId="7196"/>
    <cellStyle name="输出 15 4 2" xfId="7197"/>
    <cellStyle name="输出 14 4 2" xfId="7198"/>
    <cellStyle name="输出 13 4 2" xfId="7199"/>
    <cellStyle name="输出 12 4 2" xfId="7200"/>
    <cellStyle name="输出 11 4 2" xfId="7201"/>
    <cellStyle name="输出 10 4 2" xfId="7202"/>
    <cellStyle name="输出 21 2" xfId="7203"/>
    <cellStyle name="输入 9 4 2" xfId="7204"/>
    <cellStyle name="输入 8 4 2" xfId="7205"/>
    <cellStyle name="输入 7 4 2" xfId="7206"/>
    <cellStyle name="输入 6 4 2" xfId="7207"/>
    <cellStyle name="输入 5 4 2" xfId="7208"/>
    <cellStyle name="输入 4 4 2" xfId="7209"/>
    <cellStyle name="输入 3 4 2" xfId="7210"/>
    <cellStyle name="输入 2 4 2" xfId="7211"/>
    <cellStyle name="输入 18 4 2" xfId="7212"/>
    <cellStyle name="输入 17 4 2" xfId="7213"/>
    <cellStyle name="输入 16 4 2" xfId="7214"/>
    <cellStyle name="输入 15 4 2" xfId="7215"/>
    <cellStyle name="输入 14 4 2" xfId="7216"/>
    <cellStyle name="输入 13 4 2" xfId="7217"/>
    <cellStyle name="输入 12 4 2" xfId="7218"/>
    <cellStyle name="输入 11 4 2" xfId="7219"/>
    <cellStyle name="输入 10 4 2" xfId="7220"/>
    <cellStyle name="输入 21 2" xfId="7221"/>
    <cellStyle name="计算 9 4 2" xfId="7222"/>
    <cellStyle name="计算 8 4 2" xfId="7223"/>
    <cellStyle name="计算 7 4 2" xfId="7224"/>
    <cellStyle name="计算 6 4 2" xfId="7225"/>
    <cellStyle name="计算 5 4 2" xfId="7226"/>
    <cellStyle name="计算 4 4 2" xfId="7227"/>
    <cellStyle name="计算 3 4 2" xfId="7228"/>
    <cellStyle name="计算 2 4 2" xfId="7229"/>
    <cellStyle name="计算 18 4 2" xfId="7230"/>
    <cellStyle name="计算 17 4 2" xfId="7231"/>
    <cellStyle name="计算 16 4 2" xfId="7232"/>
    <cellStyle name="计算 15 4 2" xfId="7233"/>
    <cellStyle name="计算 14 4 2" xfId="7234"/>
    <cellStyle name="计算 13 4 2" xfId="7235"/>
    <cellStyle name="计算 12 4 2" xfId="7236"/>
    <cellStyle name="计算 11 4 2" xfId="7237"/>
    <cellStyle name="计算 10 4 2" xfId="7238"/>
    <cellStyle name="计算 21 2" xfId="7239"/>
    <cellStyle name="汇总 9 4 2" xfId="7240"/>
    <cellStyle name="汇总 8 4 2" xfId="7241"/>
    <cellStyle name="汇总 7 4 2" xfId="7242"/>
    <cellStyle name="汇总 6 4 2" xfId="7243"/>
    <cellStyle name="汇总 5 4 2" xfId="7244"/>
    <cellStyle name="汇总 4 4 2" xfId="7245"/>
    <cellStyle name="汇总 3 4 2" xfId="7246"/>
    <cellStyle name="汇总 2 4 2" xfId="7247"/>
    <cellStyle name="汇总 18 4 2" xfId="7248"/>
    <cellStyle name="汇总 17 4 2" xfId="7249"/>
    <cellStyle name="汇总 16 4 2" xfId="7250"/>
    <cellStyle name="汇总 15 4 2" xfId="7251"/>
    <cellStyle name="汇总 14 4 2" xfId="7252"/>
    <cellStyle name="汇总 13 4 2" xfId="7253"/>
    <cellStyle name="汇总 12 4 2" xfId="7254"/>
    <cellStyle name="汇总 11 4 2" xfId="7255"/>
    <cellStyle name="汇总 10 4 2" xfId="7256"/>
    <cellStyle name="汇总 21 2" xfId="7257"/>
    <cellStyle name="계산 8 2" xfId="7258"/>
    <cellStyle name="계산 2 5 2" xfId="7259"/>
    <cellStyle name="계산 5 3 2" xfId="7260"/>
    <cellStyle name="메모 11 2" xfId="7261"/>
    <cellStyle name="메모 2 7 2" xfId="7262"/>
    <cellStyle name="메모 2 3 3 2" xfId="7263"/>
    <cellStyle name="메모 5 4 2" xfId="7264"/>
    <cellStyle name="메모 7 3 2" xfId="7265"/>
    <cellStyle name="요약 8 2" xfId="7266"/>
    <cellStyle name="요약 2 5 2" xfId="7267"/>
    <cellStyle name="요약 5 3 2" xfId="7268"/>
    <cellStyle name="입력 8 2" xfId="7269"/>
    <cellStyle name="입력 2 5 2" xfId="7270"/>
    <cellStyle name="입력 5 3 2" xfId="7271"/>
    <cellStyle name="注释 20 2" xfId="7272"/>
    <cellStyle name="注释 10 4 2" xfId="7273"/>
    <cellStyle name="注释 10 2 3 2" xfId="7274"/>
    <cellStyle name="注释 11 4 2" xfId="7275"/>
    <cellStyle name="注释 11 2 3 2" xfId="7276"/>
    <cellStyle name="注释 12 4 2" xfId="7277"/>
    <cellStyle name="注释 12 2 3 2" xfId="7278"/>
    <cellStyle name="注释 13 4 2" xfId="7279"/>
    <cellStyle name="注释 13 2 3 2" xfId="7280"/>
    <cellStyle name="注释 14 4 2" xfId="7281"/>
    <cellStyle name="注释 14 2 3 2" xfId="7282"/>
    <cellStyle name="注释 15 4 2" xfId="7283"/>
    <cellStyle name="注释 15 2 3 2" xfId="7284"/>
    <cellStyle name="注释 16 4 2" xfId="7285"/>
    <cellStyle name="注释 16 2 3 2" xfId="7286"/>
    <cellStyle name="注释 17 4 2" xfId="7287"/>
    <cellStyle name="注释 17 2 3 2" xfId="7288"/>
    <cellStyle name="注释 18 4 2" xfId="7289"/>
    <cellStyle name="注释 18 2 3 2" xfId="7290"/>
    <cellStyle name="注释 2 4 2" xfId="7291"/>
    <cellStyle name="注释 2 2 3 2" xfId="7292"/>
    <cellStyle name="注释 3 4 2" xfId="7293"/>
    <cellStyle name="注释 3 2 3 2" xfId="7294"/>
    <cellStyle name="注释 4 4 2" xfId="7295"/>
    <cellStyle name="注释 4 2 3 2" xfId="7296"/>
    <cellStyle name="注释 5 4 2" xfId="7297"/>
    <cellStyle name="注释 5 2 3 2" xfId="7298"/>
    <cellStyle name="注释 6 4 2" xfId="7299"/>
    <cellStyle name="注释 6 2 3 2" xfId="7300"/>
    <cellStyle name="注释 7 4 2" xfId="7301"/>
    <cellStyle name="注释 7 2 3 2" xfId="7302"/>
    <cellStyle name="注释 8 4 2" xfId="7303"/>
    <cellStyle name="注释 8 2 3 2" xfId="7304"/>
    <cellStyle name="注释 9 4 2" xfId="7305"/>
    <cellStyle name="注释 9 2 3 2" xfId="7306"/>
    <cellStyle name="출력 8 2" xfId="7307"/>
    <cellStyle name="출력 2 5 2" xfId="7308"/>
    <cellStyle name="출력 5 3 2" xfId="7309"/>
    <cellStyle name="계산 5 8 2" xfId="7310"/>
    <cellStyle name="계산 2 10 2" xfId="7311"/>
    <cellStyle name="계산 13 2" xfId="7312"/>
    <cellStyle name="汇总 20 2" xfId="7313"/>
    <cellStyle name="汇总 10 3 2" xfId="7314"/>
    <cellStyle name="汇总 11 3 2" xfId="7315"/>
    <cellStyle name="汇总 12 3 2" xfId="7316"/>
    <cellStyle name="汇总 13 3 2" xfId="7317"/>
    <cellStyle name="汇总 14 3 2" xfId="7318"/>
    <cellStyle name="汇总 15 3 2" xfId="7319"/>
    <cellStyle name="汇总 16 3 2" xfId="7320"/>
    <cellStyle name="汇总 17 3 2" xfId="7321"/>
    <cellStyle name="汇总 18 3 2" xfId="7322"/>
    <cellStyle name="汇总 2 3 2" xfId="7323"/>
    <cellStyle name="汇总 3 3 2" xfId="7324"/>
    <cellStyle name="汇总 4 3 2" xfId="7325"/>
    <cellStyle name="汇总 5 3 2" xfId="7326"/>
    <cellStyle name="汇总 6 3 2" xfId="7327"/>
    <cellStyle name="汇总 7 3 2" xfId="7328"/>
    <cellStyle name="汇总 8 3 2" xfId="7329"/>
    <cellStyle name="汇总 9 3 2" xfId="7330"/>
    <cellStyle name="计算 20 2" xfId="7331"/>
    <cellStyle name="计算 10 3 2" xfId="7332"/>
    <cellStyle name="计算 11 3 2" xfId="7333"/>
    <cellStyle name="计算 12 3 2" xfId="7334"/>
    <cellStyle name="计算 13 3 2" xfId="7335"/>
    <cellStyle name="计算 14 3 2" xfId="7336"/>
    <cellStyle name="计算 15 3 2" xfId="7337"/>
    <cellStyle name="计算 16 3 2" xfId="7338"/>
    <cellStyle name="计算 17 3 2" xfId="7339"/>
    <cellStyle name="计算 18 3 2" xfId="7340"/>
    <cellStyle name="计算 2 3 2" xfId="7341"/>
    <cellStyle name="计算 3 3 2" xfId="7342"/>
    <cellStyle name="计算 4 3 2" xfId="7343"/>
    <cellStyle name="计算 5 3 2" xfId="7344"/>
    <cellStyle name="计算 6 3 2" xfId="7345"/>
    <cellStyle name="计算 7 3 2" xfId="7346"/>
    <cellStyle name="计算 8 3 2" xfId="7347"/>
    <cellStyle name="计算 9 3 2" xfId="7348"/>
    <cellStyle name="输入 20 2" xfId="7349"/>
    <cellStyle name="输入 10 3 2" xfId="7350"/>
    <cellStyle name="输入 11 3 2" xfId="7351"/>
    <cellStyle name="输入 12 3 2" xfId="7352"/>
    <cellStyle name="输入 13 3 2" xfId="7353"/>
    <cellStyle name="输入 14 3 2" xfId="7354"/>
    <cellStyle name="输入 15 3 2" xfId="7355"/>
    <cellStyle name="输入 16 3 2" xfId="7356"/>
    <cellStyle name="输入 17 3 2" xfId="7357"/>
    <cellStyle name="输入 18 3 2" xfId="7358"/>
    <cellStyle name="输入 2 3 2" xfId="7359"/>
    <cellStyle name="输入 3 3 2" xfId="7360"/>
    <cellStyle name="输入 4 3 2" xfId="7361"/>
    <cellStyle name="输入 5 3 2" xfId="7362"/>
    <cellStyle name="输入 6 3 2" xfId="7363"/>
    <cellStyle name="输入 7 3 2" xfId="7364"/>
    <cellStyle name="输入 8 3 2" xfId="7365"/>
    <cellStyle name="输入 9 3 2" xfId="7366"/>
    <cellStyle name="输出 20 2" xfId="7367"/>
    <cellStyle name="输出 10 3 2" xfId="7368"/>
    <cellStyle name="输出 11 3 2" xfId="7369"/>
    <cellStyle name="输出 12 3 2" xfId="7370"/>
    <cellStyle name="输出 13 3 2" xfId="7371"/>
    <cellStyle name="输出 14 3 2" xfId="7372"/>
    <cellStyle name="输出 15 3 2" xfId="7373"/>
    <cellStyle name="输出 16 3 2" xfId="7374"/>
    <cellStyle name="输出 17 3 2" xfId="7375"/>
    <cellStyle name="输出 18 3 2" xfId="7376"/>
    <cellStyle name="输出 2 3 2" xfId="7377"/>
    <cellStyle name="输出 3 3 2" xfId="7378"/>
    <cellStyle name="输出 4 3 2" xfId="7379"/>
    <cellStyle name="输出 5 3 2" xfId="7380"/>
    <cellStyle name="输出 6 3 2" xfId="7381"/>
    <cellStyle name="输出 7 3 2" xfId="7382"/>
    <cellStyle name="输出 8 3 2" xfId="7383"/>
    <cellStyle name="输出 9 3 2" xfId="7384"/>
    <cellStyle name="출력 5 4 2" xfId="7385"/>
    <cellStyle name="출력 2 6 2" xfId="7386"/>
    <cellStyle name="출력 9 2" xfId="7387"/>
    <cellStyle name="注释 9 2 4 2" xfId="7388"/>
    <cellStyle name="注释 9 5 2" xfId="7389"/>
    <cellStyle name="注释 8 2 4 2" xfId="7390"/>
    <cellStyle name="注释 8 5 2" xfId="7391"/>
    <cellStyle name="注释 7 2 4 2" xfId="7392"/>
    <cellStyle name="注释 7 5 2" xfId="7393"/>
    <cellStyle name="注释 6 2 4 2" xfId="7394"/>
    <cellStyle name="注释 6 5 2" xfId="7395"/>
    <cellStyle name="注释 5 2 4 2" xfId="7396"/>
    <cellStyle name="注释 5 5 2" xfId="7397"/>
    <cellStyle name="注释 4 2 4 2" xfId="7398"/>
    <cellStyle name="注释 4 5 2" xfId="7399"/>
    <cellStyle name="注释 3 2 4 2" xfId="7400"/>
    <cellStyle name="注释 3 5 2" xfId="7401"/>
    <cellStyle name="注释 2 2 4 2" xfId="7402"/>
    <cellStyle name="注释 2 5 2" xfId="7403"/>
    <cellStyle name="注释 18 2 4 2" xfId="7404"/>
    <cellStyle name="注释 18 5 2" xfId="7405"/>
    <cellStyle name="注释 17 2 4 2" xfId="7406"/>
    <cellStyle name="注释 17 5 2" xfId="7407"/>
    <cellStyle name="注释 16 2 4 2" xfId="7408"/>
    <cellStyle name="注释 16 5 2" xfId="7409"/>
    <cellStyle name="注释 15 2 4 2" xfId="7410"/>
    <cellStyle name="注释 15 5 2" xfId="7411"/>
    <cellStyle name="注释 14 2 4 2" xfId="7412"/>
    <cellStyle name="注释 14 5 2" xfId="7413"/>
    <cellStyle name="注释 13 2 4 2" xfId="7414"/>
    <cellStyle name="注释 13 5 2" xfId="7415"/>
    <cellStyle name="注释 12 2 4 2" xfId="7416"/>
    <cellStyle name="注释 12 5 2" xfId="7417"/>
    <cellStyle name="注释 11 2 4 2" xfId="7418"/>
    <cellStyle name="注释 11 5 2" xfId="7419"/>
    <cellStyle name="注释 10 2 4 2" xfId="7420"/>
    <cellStyle name="注释 10 5 2" xfId="7421"/>
    <cellStyle name="注释 21 2" xfId="7422"/>
    <cellStyle name="입력 5 4 2" xfId="7423"/>
    <cellStyle name="입력 2 6 2" xfId="7424"/>
    <cellStyle name="입력 9 2" xfId="7425"/>
    <cellStyle name="计算 7 8 2" xfId="7426"/>
    <cellStyle name="요약 5 4 2" xfId="7427"/>
    <cellStyle name="计算 6 8 2" xfId="7428"/>
    <cellStyle name="计算 5 8 2" xfId="7429"/>
    <cellStyle name="计算 3 8 2" xfId="7430"/>
    <cellStyle name="요약 2 6 2" xfId="7431"/>
    <cellStyle name="요약 9 2" xfId="7432"/>
    <cellStyle name="计算 2 8 2" xfId="7433"/>
    <cellStyle name="计算 25 2" xfId="7434"/>
    <cellStyle name="메모 7 4 2" xfId="7435"/>
    <cellStyle name="메모 5 5 2" xfId="7436"/>
    <cellStyle name="메모 2 3 4 2" xfId="7437"/>
    <cellStyle name="메모 2 8 2" xfId="7438"/>
    <cellStyle name="메모 12 2" xfId="7439"/>
    <cellStyle name="계산 5 4 2" xfId="7440"/>
    <cellStyle name="계산 2 6 2" xfId="7441"/>
    <cellStyle name="계산 9 2" xfId="7442"/>
    <cellStyle name="汇总 22 2" xfId="7443"/>
    <cellStyle name="汇总 10 5 2" xfId="7444"/>
    <cellStyle name="汇总 11 5 2" xfId="7445"/>
    <cellStyle name="计算 22 2" xfId="7446"/>
    <cellStyle name="计算 10 5 2" xfId="7447"/>
    <cellStyle name="计算 11 5 2" xfId="7448"/>
    <cellStyle name="计算 12 5 2" xfId="7449"/>
    <cellStyle name="计算 13 5 2" xfId="7450"/>
    <cellStyle name="计算 14 5 2" xfId="7451"/>
    <cellStyle name="计算 15 5 2" xfId="7452"/>
    <cellStyle name="计算 16 5 2" xfId="7453"/>
    <cellStyle name="计算 17 5 2" xfId="7454"/>
    <cellStyle name="计算 18 5 2" xfId="7455"/>
    <cellStyle name="计算 2 5 2" xfId="7456"/>
    <cellStyle name="计算 3 5 2" xfId="7457"/>
    <cellStyle name="计算 4 5 2" xfId="7458"/>
    <cellStyle name="计算 5 5 2" xfId="7459"/>
    <cellStyle name="计算 6 5 2" xfId="7460"/>
    <cellStyle name="计算 7 5 2" xfId="7461"/>
    <cellStyle name="计算 8 5 2" xfId="7462"/>
    <cellStyle name="计算 9 5 2" xfId="7463"/>
    <cellStyle name="输入 22 2" xfId="7464"/>
    <cellStyle name="输入 10 5 2" xfId="7465"/>
    <cellStyle name="输入 11 5 2" xfId="7466"/>
    <cellStyle name="输入 12 5 2" xfId="7467"/>
    <cellStyle name="输入 13 5 2" xfId="7468"/>
    <cellStyle name="输入 14 5 2" xfId="7469"/>
    <cellStyle name="输入 15 5 2" xfId="7470"/>
    <cellStyle name="输入 16 5 2" xfId="7471"/>
    <cellStyle name="输入 17 5 2" xfId="7472"/>
    <cellStyle name="输入 18 5 2" xfId="7473"/>
    <cellStyle name="输入 2 5 2" xfId="7474"/>
    <cellStyle name="输入 3 5 2" xfId="7475"/>
    <cellStyle name="输入 4 5 2" xfId="7476"/>
    <cellStyle name="输入 5 5 2" xfId="7477"/>
    <cellStyle name="输入 6 5 2" xfId="7478"/>
    <cellStyle name="输入 7 5 2" xfId="7479"/>
    <cellStyle name="输入 8 5 2" xfId="7480"/>
    <cellStyle name="输入 9 5 2" xfId="7481"/>
    <cellStyle name="输出 22 2" xfId="7482"/>
    <cellStyle name="输出 10 5 2" xfId="7483"/>
    <cellStyle name="输出 11 5 2" xfId="7484"/>
    <cellStyle name="输出 12 5 2" xfId="7485"/>
    <cellStyle name="输出 13 5 2" xfId="7486"/>
    <cellStyle name="输出 14 5 2" xfId="7487"/>
    <cellStyle name="输出 15 5 2" xfId="7488"/>
    <cellStyle name="输出 16 5 2" xfId="7489"/>
    <cellStyle name="输出 17 5 2" xfId="7490"/>
    <cellStyle name="输出 18 5 2" xfId="7491"/>
    <cellStyle name="输出 2 5 2" xfId="7492"/>
    <cellStyle name="输出 3 5 2" xfId="7493"/>
    <cellStyle name="输出 4 5 2" xfId="7494"/>
    <cellStyle name="输出 5 5 2" xfId="7495"/>
    <cellStyle name="输出 6 5 2" xfId="7496"/>
    <cellStyle name="输出 7 5 2" xfId="7497"/>
    <cellStyle name="输出 8 5 2" xfId="7498"/>
    <cellStyle name="输出 9 5 2" xfId="7499"/>
    <cellStyle name="汇总 12 5 2" xfId="7500"/>
    <cellStyle name="汇总 13 5 2" xfId="7501"/>
    <cellStyle name="汇总 14 5 2" xfId="7502"/>
    <cellStyle name="汇总 15 5 2" xfId="7503"/>
    <cellStyle name="汇总 16 5 2" xfId="7504"/>
    <cellStyle name="汇总 17 5 2" xfId="7505"/>
    <cellStyle name="汇总 18 5 2" xfId="7506"/>
    <cellStyle name="汇总 2 5 2" xfId="7507"/>
    <cellStyle name="汇总 3 5 2" xfId="7508"/>
    <cellStyle name="汇总 4 5 2" xfId="7509"/>
    <cellStyle name="汇总 5 5 2" xfId="7510"/>
    <cellStyle name="汇总 6 5 2" xfId="7511"/>
    <cellStyle name="汇总 7 5 2" xfId="7512"/>
    <cellStyle name="汇总 8 5 2" xfId="7513"/>
    <cellStyle name="汇总 9 5 2" xfId="7514"/>
    <cellStyle name="계산 5 6 2" xfId="7515"/>
    <cellStyle name="계산 2 8 2" xfId="7516"/>
    <cellStyle name="계산 11 2" xfId="7517"/>
    <cellStyle name="계산 2 4 2 2" xfId="7518"/>
    <cellStyle name="계산 5 2 2 2" xfId="7519"/>
    <cellStyle name="계산 7 2 2" xfId="7520"/>
    <cellStyle name="메모 2 3 2 2 2" xfId="7521"/>
    <cellStyle name="메모 2 5 2 2" xfId="7522"/>
    <cellStyle name="메모 5 2 2 2" xfId="7523"/>
    <cellStyle name="메모 7 2 2 2" xfId="7524"/>
    <cellStyle name="메모 8 2 2" xfId="7525"/>
    <cellStyle name="메모 9 2 2" xfId="7526"/>
    <cellStyle name="요약 2 4 2 2" xfId="7527"/>
    <cellStyle name="요약 5 2 2 2" xfId="7528"/>
    <cellStyle name="요약 7 2 2" xfId="7529"/>
    <cellStyle name="입력 2 4 2 2" xfId="7530"/>
    <cellStyle name="입력 5 2 2 2" xfId="7531"/>
    <cellStyle name="입력 7 2 2" xfId="7532"/>
    <cellStyle name="注释 10 2 2 2 2" xfId="7533"/>
    <cellStyle name="注释 10 3 2 2" xfId="7534"/>
    <cellStyle name="注释 11 2 2 2 2" xfId="7535"/>
    <cellStyle name="注释 11 3 2 2" xfId="7536"/>
    <cellStyle name="注释 12 2 2 2 2" xfId="7537"/>
    <cellStyle name="注释 12 3 2 2" xfId="7538"/>
    <cellStyle name="注释 13 2 2 2 2" xfId="7539"/>
    <cellStyle name="注释 13 3 2 2" xfId="7540"/>
    <cellStyle name="注释 14 2 2 2 2" xfId="7541"/>
    <cellStyle name="注释 14 3 2 2" xfId="7542"/>
    <cellStyle name="注释 15 2 2 2 2" xfId="7543"/>
    <cellStyle name="注释 15 3 2 2" xfId="7544"/>
    <cellStyle name="注释 16 2 2 2 2" xfId="7545"/>
    <cellStyle name="注释 16 3 2 2" xfId="7546"/>
    <cellStyle name="注释 17 2 2 2 2" xfId="7547"/>
    <cellStyle name="注释 17 3 2 2" xfId="7548"/>
    <cellStyle name="注释 18 2 2 2 2" xfId="7549"/>
    <cellStyle name="注释 18 3 2 2" xfId="7550"/>
    <cellStyle name="注释 19 2 2" xfId="7551"/>
    <cellStyle name="注释 2 2 2 2 2" xfId="7552"/>
    <cellStyle name="注释 2 3 2 2" xfId="7553"/>
    <cellStyle name="注释 3 2 2 2 2" xfId="7554"/>
    <cellStyle name="注释 3 3 2 2" xfId="7555"/>
    <cellStyle name="注释 4 2 2 2 2" xfId="7556"/>
    <cellStyle name="注释 4 3 2 2" xfId="7557"/>
    <cellStyle name="注释 5 2 2 2 2" xfId="7558"/>
    <cellStyle name="注释 5 3 2 2" xfId="7559"/>
    <cellStyle name="注释 6 2 2 2 2" xfId="7560"/>
    <cellStyle name="注释 6 3 2 2" xfId="7561"/>
    <cellStyle name="注释 7 2 2 2 2" xfId="7562"/>
    <cellStyle name="注释 7 3 2 2" xfId="7563"/>
    <cellStyle name="注释 8 2 2 2 2" xfId="7564"/>
    <cellStyle name="注释 8 3 2 2" xfId="7565"/>
    <cellStyle name="注释 9 2 2 2 2" xfId="7566"/>
    <cellStyle name="注释 9 3 2 2" xfId="7567"/>
    <cellStyle name="출력 2 4 2 2" xfId="7568"/>
    <cellStyle name="출력 5 2 2 2" xfId="7569"/>
    <cellStyle name="출력 7 2 2" xfId="7570"/>
    <cellStyle name="汇总 10 2 2 2" xfId="7571"/>
    <cellStyle name="汇总 11 2 2 2" xfId="7572"/>
    <cellStyle name="汇总 12 2 2 2" xfId="7573"/>
    <cellStyle name="汇总 13 2 2 2" xfId="7574"/>
    <cellStyle name="汇总 14 2 2 2" xfId="7575"/>
    <cellStyle name="汇总 15 2 2 2" xfId="7576"/>
    <cellStyle name="汇总 16 2 2 2" xfId="7577"/>
    <cellStyle name="汇总 17 2 2 2" xfId="7578"/>
    <cellStyle name="汇总 18 2 2 2" xfId="7579"/>
    <cellStyle name="汇总 19 2 2" xfId="7580"/>
    <cellStyle name="汇总 2 2 2 2" xfId="7581"/>
    <cellStyle name="汇总 3 2 2 2" xfId="7582"/>
    <cellStyle name="汇总 4 2 2 2" xfId="7583"/>
    <cellStyle name="汇总 5 2 2 2" xfId="7584"/>
    <cellStyle name="汇总 6 2 2 2" xfId="7585"/>
    <cellStyle name="汇总 7 2 2 2" xfId="7586"/>
    <cellStyle name="汇总 8 2 2 2" xfId="7587"/>
    <cellStyle name="汇总 9 2 2 2" xfId="7588"/>
    <cellStyle name="计算 10 2 2 2" xfId="7589"/>
    <cellStyle name="计算 11 2 2 2" xfId="7590"/>
    <cellStyle name="计算 12 2 2 2" xfId="7591"/>
    <cellStyle name="计算 13 2 2 2" xfId="7592"/>
    <cellStyle name="计算 14 2 2 2" xfId="7593"/>
    <cellStyle name="计算 15 2 2 2" xfId="7594"/>
    <cellStyle name="计算 16 2 2 2" xfId="7595"/>
    <cellStyle name="计算 17 2 2 2" xfId="7596"/>
    <cellStyle name="计算 18 2 2 2" xfId="7597"/>
    <cellStyle name="计算 19 2 2" xfId="7598"/>
    <cellStyle name="计算 2 2 2 2" xfId="7599"/>
    <cellStyle name="计算 3 2 2 2" xfId="7600"/>
    <cellStyle name="计算 4 2 2 2" xfId="7601"/>
    <cellStyle name="计算 5 2 2 2" xfId="7602"/>
    <cellStyle name="计算 6 2 2 2" xfId="7603"/>
    <cellStyle name="计算 7 2 2 2" xfId="7604"/>
    <cellStyle name="计算 8 2 2 2" xfId="7605"/>
    <cellStyle name="计算 9 2 2 2" xfId="7606"/>
    <cellStyle name="输入 10 2 2 2" xfId="7607"/>
    <cellStyle name="输入 11 2 2 2" xfId="7608"/>
    <cellStyle name="输入 12 2 2 2" xfId="7609"/>
    <cellStyle name="输入 13 2 2 2" xfId="7610"/>
    <cellStyle name="输入 14 2 2 2" xfId="7611"/>
    <cellStyle name="输入 15 2 2 2" xfId="7612"/>
    <cellStyle name="输入 16 2 2 2" xfId="7613"/>
    <cellStyle name="输入 17 2 2 2" xfId="7614"/>
    <cellStyle name="输入 18 2 2 2" xfId="7615"/>
    <cellStyle name="输入 19 2 2" xfId="7616"/>
    <cellStyle name="输入 2 2 2 2" xfId="7617"/>
    <cellStyle name="输入 3 2 2 2" xfId="7618"/>
    <cellStyle name="输入 4 2 2 2" xfId="7619"/>
    <cellStyle name="输入 5 2 2 2" xfId="7620"/>
    <cellStyle name="输入 6 2 2 2" xfId="7621"/>
    <cellStyle name="输入 7 2 2 2" xfId="7622"/>
    <cellStyle name="输入 8 2 2 2" xfId="7623"/>
    <cellStyle name="输入 9 2 2 2" xfId="7624"/>
    <cellStyle name="输出 10 2 2 2" xfId="7625"/>
    <cellStyle name="输出 11 2 2 2" xfId="7626"/>
    <cellStyle name="输出 12 2 2 2" xfId="7627"/>
    <cellStyle name="输出 13 2 2 2" xfId="7628"/>
    <cellStyle name="输出 14 2 2 2" xfId="7629"/>
    <cellStyle name="输出 15 2 2 2" xfId="7630"/>
    <cellStyle name="输出 16 2 2 2" xfId="7631"/>
    <cellStyle name="输出 17 2 2 2" xfId="7632"/>
    <cellStyle name="输出 18 2 2 2" xfId="7633"/>
    <cellStyle name="输出 19 2 2" xfId="7634"/>
    <cellStyle name="输出 2 2 2 2" xfId="7635"/>
    <cellStyle name="输出 3 2 2 2" xfId="7636"/>
    <cellStyle name="输出 4 2 2 2" xfId="7637"/>
    <cellStyle name="输出 5 2 2 2" xfId="7638"/>
    <cellStyle name="输出 6 2 2 2" xfId="7639"/>
    <cellStyle name="输出 7 2 2 2" xfId="7640"/>
    <cellStyle name="输出 8 2 2 2" xfId="7641"/>
    <cellStyle name="输出 9 2 2 2" xfId="7642"/>
    <cellStyle name="계산 2 4 3 2" xfId="7643"/>
    <cellStyle name="계산 5 2 3 2" xfId="7644"/>
    <cellStyle name="계산 7 3 2" xfId="7645"/>
    <cellStyle name="메모 2 3 2 3 2" xfId="7646"/>
    <cellStyle name="메모 2 5 3 2" xfId="7647"/>
    <cellStyle name="메모 5 2 3 2" xfId="7648"/>
    <cellStyle name="메모 7 2 3 2" xfId="7649"/>
    <cellStyle name="메모 8 3 2" xfId="7650"/>
    <cellStyle name="메모 9 3 2" xfId="7651"/>
    <cellStyle name="计算 4 8 2" xfId="7652"/>
    <cellStyle name="요약 2 4 3 2" xfId="7653"/>
    <cellStyle name="요약 5 2 3 2" xfId="7654"/>
    <cellStyle name="요약 7 3 2" xfId="7655"/>
    <cellStyle name="입력 2 4 3 2" xfId="7656"/>
    <cellStyle name="입력 5 2 3 2" xfId="7657"/>
    <cellStyle name="입력 7 3 2" xfId="7658"/>
    <cellStyle name="注释 10 2 2 3 2" xfId="7659"/>
    <cellStyle name="注释 10 3 3 2" xfId="7660"/>
    <cellStyle name="注释 11 2 2 3 2" xfId="7661"/>
    <cellStyle name="注释 11 3 3 2" xfId="7662"/>
    <cellStyle name="注释 12 2 2 3 2" xfId="7663"/>
    <cellStyle name="注释 12 3 3 2" xfId="7664"/>
    <cellStyle name="注释 13 2 2 3 2" xfId="7665"/>
    <cellStyle name="注释 13 3 3 2" xfId="7666"/>
    <cellStyle name="注释 14 2 2 3 2" xfId="7667"/>
    <cellStyle name="注释 14 3 3 2" xfId="7668"/>
    <cellStyle name="注释 15 2 2 3 2" xfId="7669"/>
    <cellStyle name="注释 15 3 3 2" xfId="7670"/>
    <cellStyle name="注释 16 2 2 3 2" xfId="7671"/>
    <cellStyle name="注释 16 3 3 2" xfId="7672"/>
    <cellStyle name="注释 17 2 2 3 2" xfId="7673"/>
    <cellStyle name="注释 17 3 3 2" xfId="7674"/>
    <cellStyle name="注释 18 2 2 3 2" xfId="7675"/>
    <cellStyle name="注释 18 3 3 2" xfId="7676"/>
    <cellStyle name="注释 19 3 2" xfId="7677"/>
    <cellStyle name="注释 2 2 2 3 2" xfId="7678"/>
    <cellStyle name="注释 2 3 3 2" xfId="7679"/>
    <cellStyle name="注释 3 2 2 3 2" xfId="7680"/>
    <cellStyle name="注释 3 3 3 2" xfId="7681"/>
    <cellStyle name="注释 4 2 2 3 2" xfId="7682"/>
    <cellStyle name="注释 4 3 3 2" xfId="7683"/>
    <cellStyle name="注释 5 2 2 3 2" xfId="7684"/>
    <cellStyle name="注释 5 3 3 2" xfId="7685"/>
    <cellStyle name="注释 6 2 2 3 2" xfId="7686"/>
    <cellStyle name="注释 6 3 3 2" xfId="7687"/>
    <cellStyle name="注释 7 2 2 3 2" xfId="7688"/>
    <cellStyle name="注释 7 3 3 2" xfId="7689"/>
    <cellStyle name="注释 8 2 2 3 2" xfId="7690"/>
    <cellStyle name="注释 8 3 3 2" xfId="7691"/>
    <cellStyle name="注释 9 2 2 3 2" xfId="7692"/>
    <cellStyle name="注释 9 3 3 2" xfId="7693"/>
    <cellStyle name="출력 2 4 3 2" xfId="7694"/>
    <cellStyle name="출력 5 2 3 2" xfId="7695"/>
    <cellStyle name="출력 7 3 2" xfId="7696"/>
    <cellStyle name="汇总 10 2 3 2" xfId="7697"/>
    <cellStyle name="汇总 11 2 3 2" xfId="7698"/>
    <cellStyle name="汇总 12 2 3 2" xfId="7699"/>
    <cellStyle name="汇总 13 2 3 2" xfId="7700"/>
    <cellStyle name="汇总 14 2 3 2" xfId="7701"/>
    <cellStyle name="汇总 15 2 3 2" xfId="7702"/>
    <cellStyle name="汇总 16 2 3 2" xfId="7703"/>
    <cellStyle name="汇总 17 2 3 2" xfId="7704"/>
    <cellStyle name="汇总 18 2 3 2" xfId="7705"/>
    <cellStyle name="汇总 19 3 2" xfId="7706"/>
    <cellStyle name="汇总 2 2 3 2" xfId="7707"/>
    <cellStyle name="汇总 3 2 3 2" xfId="7708"/>
    <cellStyle name="汇总 4 2 3 2" xfId="7709"/>
    <cellStyle name="汇总 5 2 3 2" xfId="7710"/>
    <cellStyle name="汇总 6 2 3 2" xfId="7711"/>
    <cellStyle name="汇总 7 2 3 2" xfId="7712"/>
    <cellStyle name="汇总 8 2 3 2" xfId="7713"/>
    <cellStyle name="汇总 9 2 3 2" xfId="7714"/>
    <cellStyle name="计算 10 2 3 2" xfId="7715"/>
    <cellStyle name="计算 11 2 3 2" xfId="7716"/>
    <cellStyle name="计算 12 2 3 2" xfId="7717"/>
    <cellStyle name="计算 13 2 3 2" xfId="7718"/>
    <cellStyle name="计算 14 2 3 2" xfId="7719"/>
    <cellStyle name="计算 15 2 3 2" xfId="7720"/>
    <cellStyle name="计算 16 2 3 2" xfId="7721"/>
    <cellStyle name="计算 17 2 3 2" xfId="7722"/>
    <cellStyle name="计算 18 2 3 2" xfId="7723"/>
    <cellStyle name="计算 19 3 2" xfId="7724"/>
    <cellStyle name="计算 2 2 3 2" xfId="7725"/>
    <cellStyle name="计算 3 2 3 2" xfId="7726"/>
    <cellStyle name="计算 4 2 3 2" xfId="7727"/>
    <cellStyle name="计算 5 2 3 2" xfId="7728"/>
    <cellStyle name="计算 6 2 3 2" xfId="7729"/>
    <cellStyle name="计算 7 2 3 2" xfId="7730"/>
    <cellStyle name="计算 8 2 3 2" xfId="7731"/>
    <cellStyle name="计算 9 2 3 2" xfId="7732"/>
    <cellStyle name="输入 10 2 3 2" xfId="7733"/>
    <cellStyle name="输入 11 2 3 2" xfId="7734"/>
    <cellStyle name="输入 12 2 3 2" xfId="7735"/>
    <cellStyle name="输入 13 2 3 2" xfId="7736"/>
    <cellStyle name="输入 14 2 3 2" xfId="7737"/>
    <cellStyle name="输入 15 2 3 2" xfId="7738"/>
    <cellStyle name="输入 16 2 3 2" xfId="7739"/>
    <cellStyle name="输入 17 2 3 2" xfId="7740"/>
    <cellStyle name="输入 18 2 3 2" xfId="7741"/>
    <cellStyle name="输入 19 3 2" xfId="7742"/>
    <cellStyle name="输入 2 2 3 2" xfId="7743"/>
    <cellStyle name="输入 3 2 3 2" xfId="7744"/>
    <cellStyle name="输入 4 2 3 2" xfId="7745"/>
    <cellStyle name="输入 5 2 3 2" xfId="7746"/>
    <cellStyle name="输入 6 2 3 2" xfId="7747"/>
    <cellStyle name="输入 7 2 3 2" xfId="7748"/>
    <cellStyle name="输入 8 2 3 2" xfId="7749"/>
    <cellStyle name="输入 9 2 3 2" xfId="7750"/>
    <cellStyle name="输出 10 2 3 2" xfId="7751"/>
    <cellStyle name="输出 11 2 3 2" xfId="7752"/>
    <cellStyle name="输出 12 2 3 2" xfId="7753"/>
    <cellStyle name="输出 13 2 3 2" xfId="7754"/>
    <cellStyle name="输出 14 2 3 2" xfId="7755"/>
    <cellStyle name="输出 15 2 3 2" xfId="7756"/>
    <cellStyle name="输出 16 2 3 2" xfId="7757"/>
    <cellStyle name="输出 17 2 3 2" xfId="7758"/>
    <cellStyle name="输出 18 2 3 2" xfId="7759"/>
    <cellStyle name="输出 19 3 2" xfId="7760"/>
    <cellStyle name="输出 2 2 3 2" xfId="7761"/>
    <cellStyle name="输出 3 2 3 2" xfId="7762"/>
    <cellStyle name="输出 4 2 3 2" xfId="7763"/>
    <cellStyle name="输出 5 2 3 2" xfId="7764"/>
    <cellStyle name="输出 6 2 3 2" xfId="7765"/>
    <cellStyle name="输出 7 2 3 2" xfId="7766"/>
    <cellStyle name="输出 8 2 3 2" xfId="7767"/>
    <cellStyle name="输出 9 2 3 2" xfId="7768"/>
    <cellStyle name="계산 2 4 4 2" xfId="7769"/>
    <cellStyle name="계산 5 2 4 2" xfId="7770"/>
    <cellStyle name="계산 7 4 2" xfId="7771"/>
    <cellStyle name="메모 2 3 2 4 2" xfId="7772"/>
    <cellStyle name="메모 2 5 4 2" xfId="7773"/>
    <cellStyle name="메모 5 2 4 2" xfId="7774"/>
    <cellStyle name="메모 7 2 4 2" xfId="7775"/>
    <cellStyle name="메모 8 4 2" xfId="7776"/>
    <cellStyle name="메모 9 4 2" xfId="7777"/>
    <cellStyle name="요약 2 4 4 2" xfId="7778"/>
    <cellStyle name="요약 5 2 4 2" xfId="7779"/>
    <cellStyle name="요약 7 4 2" xfId="7780"/>
    <cellStyle name="입력 2 4 4 2" xfId="7781"/>
    <cellStyle name="입력 5 2 4 2" xfId="7782"/>
    <cellStyle name="입력 7 4 2" xfId="7783"/>
    <cellStyle name="注释 10 2 2 4 2" xfId="7784"/>
    <cellStyle name="注释 10 3 4 2" xfId="7785"/>
    <cellStyle name="注释 11 2 2 4 2" xfId="7786"/>
    <cellStyle name="注释 11 3 4 2" xfId="7787"/>
    <cellStyle name="注释 12 2 2 4 2" xfId="7788"/>
    <cellStyle name="注释 12 3 4 2" xfId="7789"/>
    <cellStyle name="注释 13 2 2 4 2" xfId="7790"/>
    <cellStyle name="注释 13 3 4 2" xfId="7791"/>
    <cellStyle name="注释 14 2 2 4 2" xfId="7792"/>
    <cellStyle name="注释 14 3 4 2" xfId="7793"/>
    <cellStyle name="注释 15 2 2 4 2" xfId="7794"/>
    <cellStyle name="注释 15 3 4 2" xfId="7795"/>
    <cellStyle name="注释 16 2 2 4 2" xfId="7796"/>
    <cellStyle name="注释 16 3 4 2" xfId="7797"/>
    <cellStyle name="注释 17 2 2 4 2" xfId="7798"/>
    <cellStyle name="注释 17 3 4 2" xfId="7799"/>
    <cellStyle name="注释 18 2 2 4 2" xfId="7800"/>
    <cellStyle name="注释 18 3 4 2" xfId="7801"/>
    <cellStyle name="注释 19 4 2" xfId="7802"/>
    <cellStyle name="注释 2 2 2 4 2" xfId="7803"/>
    <cellStyle name="注释 2 3 4 2" xfId="7804"/>
    <cellStyle name="注释 3 2 2 4 2" xfId="7805"/>
    <cellStyle name="注释 3 3 4 2" xfId="7806"/>
    <cellStyle name="注释 4 2 2 4 2" xfId="7807"/>
    <cellStyle name="注释 4 3 4 2" xfId="7808"/>
    <cellStyle name="注释 5 2 2 4 2" xfId="7809"/>
    <cellStyle name="注释 5 3 4 2" xfId="7810"/>
    <cellStyle name="注释 6 2 2 4 2" xfId="7811"/>
    <cellStyle name="注释 6 3 4 2" xfId="7812"/>
    <cellStyle name="注释 7 2 2 4 2" xfId="7813"/>
    <cellStyle name="注释 7 3 4 2" xfId="7814"/>
    <cellStyle name="注释 8 2 2 4 2" xfId="7815"/>
    <cellStyle name="注释 8 3 4 2" xfId="7816"/>
    <cellStyle name="注释 9 2 2 4 2" xfId="7817"/>
    <cellStyle name="注释 9 3 4 2" xfId="7818"/>
    <cellStyle name="출력 2 4 4 2" xfId="7819"/>
    <cellStyle name="출력 5 2 4 2" xfId="7820"/>
    <cellStyle name="출력 7 4 2" xfId="7821"/>
    <cellStyle name="汇总 10 2 4 2" xfId="7822"/>
    <cellStyle name="汇总 11 2 4 2" xfId="7823"/>
    <cellStyle name="汇总 12 2 4 2" xfId="7824"/>
    <cellStyle name="汇总 13 2 4 2" xfId="7825"/>
    <cellStyle name="汇总 14 2 4 2" xfId="7826"/>
    <cellStyle name="汇总 15 2 4 2" xfId="7827"/>
    <cellStyle name="汇总 16 2 4 2" xfId="7828"/>
    <cellStyle name="汇总 17 2 4 2" xfId="7829"/>
    <cellStyle name="汇总 18 2 4 2" xfId="7830"/>
    <cellStyle name="汇总 19 4 2" xfId="7831"/>
    <cellStyle name="汇总 2 2 4 2" xfId="7832"/>
    <cellStyle name="汇总 3 2 4 2" xfId="7833"/>
    <cellStyle name="汇总 4 2 4 2" xfId="7834"/>
    <cellStyle name="汇总 5 2 4 2" xfId="7835"/>
    <cellStyle name="汇总 6 2 4 2" xfId="7836"/>
    <cellStyle name="汇总 7 2 4 2" xfId="7837"/>
    <cellStyle name="汇总 8 2 4 2" xfId="7838"/>
    <cellStyle name="汇总 9 2 4 2" xfId="7839"/>
    <cellStyle name="计算 10 2 4 2" xfId="7840"/>
    <cellStyle name="计算 11 2 4 2" xfId="7841"/>
    <cellStyle name="计算 12 2 4 2" xfId="7842"/>
    <cellStyle name="计算 13 2 4 2" xfId="7843"/>
    <cellStyle name="计算 14 2 4 2" xfId="7844"/>
    <cellStyle name="计算 15 2 4 2" xfId="7845"/>
    <cellStyle name="计算 16 2 4 2" xfId="7846"/>
    <cellStyle name="计算 17 2 4 2" xfId="7847"/>
    <cellStyle name="计算 18 2 4 2" xfId="7848"/>
    <cellStyle name="计算 19 4 2" xfId="7849"/>
    <cellStyle name="计算 2 2 4 2" xfId="7850"/>
    <cellStyle name="计算 3 2 4 2" xfId="7851"/>
    <cellStyle name="计算 4 2 4 2" xfId="7852"/>
    <cellStyle name="计算 5 2 4 2" xfId="7853"/>
    <cellStyle name="计算 6 2 4 2" xfId="7854"/>
    <cellStyle name="计算 7 2 4 2" xfId="7855"/>
    <cellStyle name="计算 8 2 4 2" xfId="7856"/>
    <cellStyle name="计算 9 2 4 2" xfId="7857"/>
    <cellStyle name="输入 10 2 4 2" xfId="7858"/>
    <cellStyle name="输入 11 2 4 2" xfId="7859"/>
    <cellStyle name="输入 12 2 4 2" xfId="7860"/>
    <cellStyle name="输入 13 2 4 2" xfId="7861"/>
    <cellStyle name="输入 14 2 4 2" xfId="7862"/>
    <cellStyle name="输入 15 2 4 2" xfId="7863"/>
    <cellStyle name="输入 16 2 4 2" xfId="7864"/>
    <cellStyle name="输入 17 2 4 2" xfId="7865"/>
    <cellStyle name="输入 18 2 4 2" xfId="7866"/>
    <cellStyle name="输入 19 4 2" xfId="7867"/>
    <cellStyle name="输入 2 2 4 2" xfId="7868"/>
    <cellStyle name="输入 3 2 4 2" xfId="7869"/>
    <cellStyle name="输入 4 2 4 2" xfId="7870"/>
    <cellStyle name="输入 5 2 4 2" xfId="7871"/>
    <cellStyle name="输入 6 2 4 2" xfId="7872"/>
    <cellStyle name="输入 7 2 4 2" xfId="7873"/>
    <cellStyle name="输入 8 2 4 2" xfId="7874"/>
    <cellStyle name="输入 9 2 4 2" xfId="7875"/>
    <cellStyle name="输出 10 2 4 2" xfId="7876"/>
    <cellStyle name="输出 11 2 4 2" xfId="7877"/>
    <cellStyle name="输出 12 2 4 2" xfId="7878"/>
    <cellStyle name="输出 13 2 4 2" xfId="7879"/>
    <cellStyle name="输出 14 2 4 2" xfId="7880"/>
    <cellStyle name="输出 15 2 4 2" xfId="7881"/>
    <cellStyle name="输出 16 2 4 2" xfId="7882"/>
    <cellStyle name="输出 17 2 4 2" xfId="7883"/>
    <cellStyle name="输出 18 2 4 2" xfId="7884"/>
    <cellStyle name="输出 19 4 2" xfId="7885"/>
    <cellStyle name="输出 2 2 4 2" xfId="7886"/>
    <cellStyle name="输出 3 2 4 2" xfId="7887"/>
    <cellStyle name="输出 4 2 4 2" xfId="7888"/>
    <cellStyle name="输出 5 2 4 2" xfId="7889"/>
    <cellStyle name="输出 6 2 4 2" xfId="7890"/>
    <cellStyle name="输出 7 2 4 2" xfId="7891"/>
    <cellStyle name="输出 8 2 4 2" xfId="7892"/>
    <cellStyle name="输出 9 2 4 2" xfId="7893"/>
    <cellStyle name="계산 2 4 5 2" xfId="7894"/>
    <cellStyle name="계산 5 2 5 2" xfId="7895"/>
    <cellStyle name="계산 7 5 2" xfId="7896"/>
    <cellStyle name="计算 5 2 5 2" xfId="7897"/>
    <cellStyle name="계산 2 4 7 2" xfId="7898"/>
    <cellStyle name="계산 5 2 7 2" xfId="7899"/>
    <cellStyle name="계산 7 7 2" xfId="7900"/>
    <cellStyle name="计算 5 2 7 2" xfId="7901"/>
    <cellStyle name="표준 85 2 2" xfId="7902"/>
    <cellStyle name="통화 [0] 5 2 2" xfId="7903"/>
    <cellStyle name="표준 85 3 2" xfId="7904"/>
    <cellStyle name="표준 94" xfId="7905"/>
    <cellStyle name="계산 2 12" xfId="7906"/>
    <cellStyle name="계산 3 11" xfId="7907"/>
    <cellStyle name="계산 4 11" xfId="7908"/>
    <cellStyle name="계산 5 10" xfId="7909"/>
    <cellStyle name="계산 6 11" xfId="7910"/>
    <cellStyle name="표준 10 6" xfId="7911"/>
    <cellStyle name="표준 11 6" xfId="7912"/>
    <cellStyle name="표준 12 6" xfId="7913"/>
    <cellStyle name="표준 2 30" xfId="7914"/>
    <cellStyle name="표준 3 3 6" xfId="7915"/>
    <cellStyle name="표준 6 6" xfId="7916"/>
    <cellStyle name="표준 7 6" xfId="7917"/>
    <cellStyle name="표준 8 6" xfId="7918"/>
    <cellStyle name="표준 9 6" xfId="7919"/>
    <cellStyle name="계산 7 9" xfId="7920"/>
    <cellStyle name="표준 2 9 6" xfId="7921"/>
    <cellStyle name="Input 3" xfId="7922"/>
    <cellStyle name="计算 27" xfId="7923"/>
    <cellStyle name="计算 10 7" xfId="7924"/>
    <cellStyle name="计算 11 7" xfId="7925"/>
    <cellStyle name="计算 13 7" xfId="7926"/>
    <cellStyle name="计算 2 10" xfId="7927"/>
    <cellStyle name="计算 3 10" xfId="7928"/>
    <cellStyle name="计算 4 10" xfId="7929"/>
    <cellStyle name="计算 5 10" xfId="7930"/>
    <cellStyle name="计算 6 10" xfId="7931"/>
    <cellStyle name="计算 7 10" xfId="7932"/>
    <cellStyle name="计算 8 7" xfId="7933"/>
    <cellStyle name="计算 9 7" xfId="7934"/>
    <cellStyle name="계산 2 4 9" xfId="7935"/>
    <cellStyle name="계산 5 2 9" xfId="7936"/>
    <cellStyle name="计算 5 2 9" xfId="7937"/>
    <cellStyle name="计算 7 2 6" xfId="7938"/>
    <cellStyle name="표준 85 5" xfId="7939"/>
    <cellStyle name="통화 [0] 5 4" xfId="7940"/>
    <cellStyle name="计算 5 6 3" xfId="7941"/>
    <cellStyle name="计算 2 6 3" xfId="7942"/>
    <cellStyle name="계산 10 3" xfId="7943"/>
    <cellStyle name="계산 2 7 3" xfId="7944"/>
    <cellStyle name="계산 5 5 3" xfId="7945"/>
    <cellStyle name="计算 7 4 3" xfId="7946"/>
    <cellStyle name="计算 5 4 3" xfId="7947"/>
    <cellStyle name="计算 2 4 3" xfId="7948"/>
    <cellStyle name="계산 8 3" xfId="7949"/>
    <cellStyle name="계산 2 5 3" xfId="7950"/>
    <cellStyle name="계산 5 3 3" xfId="7951"/>
    <cellStyle name="계산 5 8 3" xfId="7952"/>
    <cellStyle name="계산 13 3" xfId="7953"/>
    <cellStyle name="计算 5 3 3" xfId="7954"/>
    <cellStyle name="计算 7 3 3" xfId="7955"/>
    <cellStyle name="计算 5 8 3" xfId="7956"/>
    <cellStyle name="计算 2 8 3" xfId="7957"/>
    <cellStyle name="계산 5 4 3" xfId="7958"/>
    <cellStyle name="계산 2 6 3" xfId="7959"/>
    <cellStyle name="계산 9 3" xfId="7960"/>
    <cellStyle name="计算 2 5 3" xfId="7961"/>
    <cellStyle name="计算 5 5 3" xfId="7962"/>
    <cellStyle name="计算 7 5 3" xfId="7963"/>
    <cellStyle name="계산 5 6 3" xfId="7964"/>
    <cellStyle name="계산 2 8 3" xfId="7965"/>
    <cellStyle name="계산 11 3" xfId="7966"/>
    <cellStyle name="계산 2 4 2 3" xfId="7967"/>
    <cellStyle name="계산 5 2 2 3" xfId="7968"/>
    <cellStyle name="계산 7 2 3" xfId="7969"/>
    <cellStyle name="计算 5 2 2 3" xfId="7970"/>
    <cellStyle name="계산 5 2 3 3" xfId="7971"/>
    <cellStyle name="계산 7 3 3" xfId="7972"/>
    <cellStyle name="计算 5 2 3 3" xfId="7973"/>
    <cellStyle name="계산 5 2 4 3" xfId="7974"/>
    <cellStyle name="계산 7 4 3" xfId="7975"/>
    <cellStyle name="计算 5 2 4 3" xfId="7976"/>
    <cellStyle name="계산 5 2 5 3" xfId="7977"/>
    <cellStyle name="계산 7 5 3" xfId="7978"/>
    <cellStyle name="计算 5 2 5 3" xfId="7979"/>
    <cellStyle name="계산 5 2 7 3" xfId="7980"/>
    <cellStyle name="계산 7 7 3" xfId="7981"/>
    <cellStyle name="计算 5 2 7 3" xfId="7982"/>
    <cellStyle name="표준 85 2 3" xfId="7983"/>
    <cellStyle name="통화 [0] 5 2 3" xfId="7984"/>
    <cellStyle name="표준 85 3 3" xfId="7985"/>
    <cellStyle name="표준 85 4 2" xfId="7986"/>
    <cellStyle name="통화 [0] 5 3 2" xfId="7987"/>
    <cellStyle name="표준 85 2 2 2" xfId="7988"/>
    <cellStyle name="통화 [0] 5 2 2 2" xfId="7989"/>
    <cellStyle name="표준 85 3 2 2" xfId="7990"/>
    <cellStyle name="표준 95" xfId="7991"/>
    <cellStyle name="표준 2 31" xfId="7992"/>
    <cellStyle name="쉼표 [0] 4" xfId="7993"/>
    <cellStyle name="표준 3 22" xfId="7994"/>
    <cellStyle name="표준 2 2 3" xfId="7995"/>
    <cellStyle name="하이퍼링크 2 29" xfId="7996"/>
    <cellStyle name="계산 2 13" xfId="7997"/>
    <cellStyle name="계산 3 12" xfId="7998"/>
    <cellStyle name="계산 4 12" xfId="7999"/>
    <cellStyle name="계산 5 11" xfId="8000"/>
    <cellStyle name="계산 6 12" xfId="8001"/>
    <cellStyle name="계산 7 10" xfId="8002"/>
    <cellStyle name="Input 4" xfId="8003"/>
    <cellStyle name="계산 7 4 5" xfId="8004"/>
    <cellStyle name="계산 5 2 4 5" xfId="8005"/>
    <cellStyle name="계산 2 4 4 3" xfId="8006"/>
    <cellStyle name="计算 5 2 3 5" xfId="8007"/>
    <cellStyle name="计算 5 2 7 5" xfId="8008"/>
    <cellStyle name="계산 7 7 5" xfId="8009"/>
    <cellStyle name="계산 5 2 7 5" xfId="8010"/>
    <cellStyle name="计算 5 2 5 5" xfId="8011"/>
    <cellStyle name="계산 7 5 5" xfId="8012"/>
    <cellStyle name="계산 5 2 5 5" xfId="8013"/>
    <cellStyle name="计算 5 2 4 5" xfId="8014"/>
    <cellStyle name="계산 7 3 5" xfId="8015"/>
    <cellStyle name="계산 5 2 3 5" xfId="8016"/>
    <cellStyle name="계산 2 4 3 4" xfId="8017"/>
    <cellStyle name="计算 5 2 2 5" xfId="8018"/>
    <cellStyle name="计算 7 5 5" xfId="8019"/>
    <cellStyle name="计算 5 5 5" xfId="8020"/>
    <cellStyle name="计算 2 5 5" xfId="8021"/>
    <cellStyle name="계산 9 5" xfId="8022"/>
    <cellStyle name="계산 2 6 5" xfId="8023"/>
    <cellStyle name="계산 5 4 5" xfId="8024"/>
    <cellStyle name="计算 2 8 5" xfId="8025"/>
    <cellStyle name="计算 5 8 5" xfId="8026"/>
    <cellStyle name="计算 7 3 5" xfId="8027"/>
    <cellStyle name="计算 5 3 5" xfId="8028"/>
    <cellStyle name="계산 13 5" xfId="8029"/>
    <cellStyle name="계산 2 10 4" xfId="8030"/>
    <cellStyle name="계산 5 8 5" xfId="8031"/>
    <cellStyle name="계산 5 5 5" xfId="8032"/>
    <cellStyle name="계산 2 7 5" xfId="8033"/>
    <cellStyle name="계산 10 5" xfId="8034"/>
    <cellStyle name="计算 2 6 5" xfId="8035"/>
    <cellStyle name="计算 5 6 5" xfId="8036"/>
    <cellStyle name="计算 7 2 8" xfId="8037"/>
    <cellStyle name="计算 5 2 11" xfId="8038"/>
    <cellStyle name="계산 5 3 5" xfId="8039"/>
    <cellStyle name="계산 2 5 5" xfId="8040"/>
    <cellStyle name="계산 8 5" xfId="8041"/>
    <cellStyle name="计算 2 4 5" xfId="8042"/>
    <cellStyle name="计算 5 4 5" xfId="8043"/>
    <cellStyle name="计算 7 4 5" xfId="8044"/>
    <cellStyle name="계산 5 2 11" xfId="8045"/>
    <cellStyle name="계산 2 4 11" xfId="8046"/>
    <cellStyle name="계산 7 2 5" xfId="8047"/>
    <cellStyle name="계산 5 2 2 5" xfId="8048"/>
    <cellStyle name="계산 2 4 2 5" xfId="8049"/>
    <cellStyle name="계산 11 5" xfId="8050"/>
    <cellStyle name="계산 2 8 5" xfId="8051"/>
    <cellStyle name="계산 5 6 5" xfId="8052"/>
    <cellStyle name="计算 28" xfId="8053"/>
    <cellStyle name="计算 10 8" xfId="8054"/>
    <cellStyle name="计算 11 8" xfId="8055"/>
    <cellStyle name="计算 13 8" xfId="8056"/>
    <cellStyle name="计算 2 11" xfId="8057"/>
    <cellStyle name="计算 3 11" xfId="8058"/>
    <cellStyle name="计算 4 11" xfId="8059"/>
    <cellStyle name="计算 5 11" xfId="8060"/>
    <cellStyle name="计算 6 11" xfId="8061"/>
    <cellStyle name="计算 8 8" xfId="8062"/>
    <cellStyle name="计算 9 8" xfId="8063"/>
    <cellStyle name="计算 9 9" xfId="8064"/>
    <cellStyle name="计算 8 9" xfId="8065"/>
    <cellStyle name="计算 7 11" xfId="8066"/>
    <cellStyle name="计算 6 12" xfId="8067"/>
    <cellStyle name="计算 5 12" xfId="8068"/>
    <cellStyle name="计算 4 12" xfId="8069"/>
    <cellStyle name="计算 3 12" xfId="8070"/>
    <cellStyle name="计算 2 12" xfId="8071"/>
    <cellStyle name="计算 13 9" xfId="8072"/>
    <cellStyle name="计算 11 9" xfId="8073"/>
    <cellStyle name="计算 10 9" xfId="8074"/>
    <cellStyle name="计算 29" xfId="8075"/>
    <cellStyle name="계산 2 4 10" xfId="8076"/>
    <cellStyle name="계산 5 2 10" xfId="8077"/>
    <cellStyle name="계산 7 11" xfId="8078"/>
    <cellStyle name="계산 6 13" xfId="8079"/>
    <cellStyle name="计算 5 2 10" xfId="8080"/>
    <cellStyle name="计算 7 2 7" xfId="8081"/>
    <cellStyle name="표준 85 6" xfId="8082"/>
    <cellStyle name="통화 [0] 5 5" xfId="8083"/>
    <cellStyle name="计算 5 6 4" xfId="8084"/>
    <cellStyle name="计算 2 6 4" xfId="8085"/>
    <cellStyle name="계산 10 4" xfId="8086"/>
    <cellStyle name="계산 2 7 4" xfId="8087"/>
    <cellStyle name="계산 5 5 4" xfId="8088"/>
    <cellStyle name="Input 5" xfId="8089"/>
    <cellStyle name="计算 7 4 4" xfId="8090"/>
    <cellStyle name="计算 5 4 4" xfId="8091"/>
    <cellStyle name="计算 2 4 4" xfId="8092"/>
    <cellStyle name="계산 8 4" xfId="8093"/>
    <cellStyle name="계산 2 5 4" xfId="8094"/>
    <cellStyle name="계산 5 3 4" xfId="8095"/>
    <cellStyle name="계산 5 8 4" xfId="8096"/>
    <cellStyle name="계산 2 10 3" xfId="8097"/>
    <cellStyle name="계산 13 4" xfId="8098"/>
    <cellStyle name="计算 5 3 4" xfId="8099"/>
    <cellStyle name="计算 7 3 4" xfId="8100"/>
    <cellStyle name="计算 5 8 4" xfId="8101"/>
    <cellStyle name="计算 2 8 4" xfId="8102"/>
    <cellStyle name="계산 5 4 4" xfId="8103"/>
    <cellStyle name="계산 2 6 4" xfId="8104"/>
    <cellStyle name="계산 9 4" xfId="8105"/>
    <cellStyle name="计算 2 5 4" xfId="8106"/>
    <cellStyle name="计算 5 5 4" xfId="8107"/>
    <cellStyle name="计算 7 5 4" xfId="8108"/>
    <cellStyle name="계산 5 6 4" xfId="8109"/>
    <cellStyle name="계산 2 8 4" xfId="8110"/>
    <cellStyle name="계산 11 4" xfId="8111"/>
    <cellStyle name="계산 2 4 2 4" xfId="8112"/>
    <cellStyle name="계산 5 2 2 4" xfId="8113"/>
    <cellStyle name="계산 7 2 4" xfId="8114"/>
    <cellStyle name="계산 5 12" xfId="8115"/>
    <cellStyle name="计算 5 2 2 4" xfId="8116"/>
    <cellStyle name="계산 2 4 3 3" xfId="8117"/>
    <cellStyle name="계산 5 2 3 4" xfId="8118"/>
    <cellStyle name="계산 7 3 4" xfId="8119"/>
    <cellStyle name="계산 3 13" xfId="8120"/>
    <cellStyle name="计算 5 2 3 4" xfId="8121"/>
    <cellStyle name="계산 5 2 4 4" xfId="8122"/>
    <cellStyle name="계산 7 4 4" xfId="8123"/>
    <cellStyle name="计算 5 2 4 4" xfId="8124"/>
    <cellStyle name="계산 5 2 5 4" xfId="8125"/>
    <cellStyle name="계산 7 5 4" xfId="8126"/>
    <cellStyle name="计算 5 2 5 4" xfId="8127"/>
    <cellStyle name="계산 5 2 7 4" xfId="8128"/>
    <cellStyle name="계산 7 7 4" xfId="8129"/>
    <cellStyle name="计算 5 2 7 4" xfId="8130"/>
    <cellStyle name="표준 85 2 4" xfId="8131"/>
    <cellStyle name="통화 [0] 5 2 4" xfId="8132"/>
    <cellStyle name="표준 85 3 4" xfId="8133"/>
    <cellStyle name="표준 85 4 3" xfId="8134"/>
    <cellStyle name="통화 [0] 5 3 3" xfId="8135"/>
    <cellStyle name="계산 4 13" xfId="8136"/>
    <cellStyle name="계산 2 14" xfId="8137"/>
    <cellStyle name="표준 85 2 2 3" xfId="8138"/>
    <cellStyle name="통화 [0] 5 2 2 3" xfId="8139"/>
    <cellStyle name="표준 85 3 2 3" xfId="8140"/>
    <cellStyle name="표준 94 2" xfId="8141"/>
    <cellStyle name="표준 85 5 2" xfId="8142"/>
    <cellStyle name="통화 [0] 5 4 2" xfId="8143"/>
    <cellStyle name="표준 85 2 3 2" xfId="8144"/>
    <cellStyle name="통화 [0] 5 2 3 2" xfId="8145"/>
    <cellStyle name="표준 85 3 3 2" xfId="8146"/>
    <cellStyle name="표준 85 4 2 2" xfId="8147"/>
    <cellStyle name="통화 [0] 5 3 2 2" xfId="8148"/>
    <cellStyle name="표준 85 2 2 2 2" xfId="8149"/>
    <cellStyle name="통화 [0] 5 2 2 2 2" xfId="8150"/>
    <cellStyle name="표준 85 3 2 2 2" xfId="8151"/>
    <cellStyle name="하이퍼링크" xfId="8152" builtinId="8" hidden="1"/>
    <cellStyle name="열어 본 하이퍼링크" xfId="8153" builtinId="9" hidden="1"/>
    <cellStyle name="표준 4 10 2" xfId="8154"/>
    <cellStyle name="표준 2 2 2 2" xfId="8155"/>
    <cellStyle name="표준 3 23" xfId="8156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QM</author>
  </authors>
  <commentList>
    <comment ref="F3" authorId="0" shapeId="0">
      <text>
        <t>숨김가능</t>
      </text>
    </comment>
    <comment ref="G3" authorId="0" shapeId="0">
      <text>
        <t>1. 부품 설계/제조사
2. 설계주체가 덱스코윈</t>
      </text>
    </comment>
    <comment ref="H3" authorId="0" shapeId="0">
      <text>
        <t>1. 유통업자
2. 단순임가공업체</t>
      </text>
    </comment>
    <comment ref="I3" authorId="0" shapeId="0">
      <text>
        <t>숨김가능</t>
      </text>
    </comment>
    <comment ref="J3" authorId="0" shapeId="0">
      <text>
        <t xml:space="preserve">숨김가능
수입검사현황
</t>
      </text>
    </comment>
    <comment ref="L3" authorId="0" shapeId="0">
      <text>
        <t>최소발주수량</t>
      </text>
    </comment>
    <comment ref="M3" authorId="0" shapeId="0">
      <text>
        <t>숨김가능</t>
      </text>
    </comment>
    <comment ref="N3" authorId="0" shapeId="0">
      <text>
        <t>숨김가능</t>
      </text>
    </comment>
    <comment ref="V3" authorId="0" shapeId="0">
      <text>
        <t>숨김가능</t>
      </text>
    </comment>
    <comment ref="AE3" authorId="0" shapeId="0">
      <text>
        <t>숨김가능</t>
      </text>
    </comment>
    <comment ref="AZ3" authorId="0" shapeId="0">
      <text>
        <t>숨김가능</t>
      </text>
    </comment>
    <comment ref="BE3" authorId="0" shapeId="0">
      <text>
        <t>숨김가능</t>
      </text>
    </comment>
  </commentList>
</comments>
</file>

<file path=xl/comments/comment2.xml><?xml version="1.0" encoding="utf-8"?>
<comments xmlns="http://schemas.openxmlformats.org/spreadsheetml/2006/main">
  <authors>
    <author>QM</author>
  </authors>
  <commentList>
    <comment ref="F3" authorId="0" shapeId="0">
      <text>
        <t>숨김가능</t>
      </text>
    </comment>
    <comment ref="G3" authorId="0" shapeId="0">
      <text>
        <t>1. 부품 설계/제조사
2. 설계주체가 덱스코윈</t>
      </text>
    </comment>
    <comment ref="H3" authorId="0" shapeId="0">
      <text>
        <t>1. 유통업자
2. 단순임가공업체</t>
      </text>
    </comment>
    <comment ref="I3" authorId="0" shapeId="0">
      <text>
        <t>숨김가능</t>
      </text>
    </comment>
    <comment ref="J3" authorId="0" shapeId="0">
      <text>
        <t xml:space="preserve">숨김가능
수입검사현황
</t>
      </text>
    </comment>
    <comment ref="L3" authorId="0" shapeId="0">
      <text>
        <t>최소발주수량</t>
      </text>
    </comment>
    <comment ref="M3" authorId="0" shapeId="0">
      <text>
        <t>숨김가능</t>
      </text>
    </comment>
    <comment ref="N3" authorId="0" shapeId="0">
      <text>
        <t>숨김가능</t>
      </text>
    </comment>
    <comment ref="V3" authorId="0" shapeId="0">
      <text>
        <t>숨김가능</t>
      </text>
    </comment>
    <comment ref="AE3" authorId="0" shapeId="0">
      <text>
        <t>숨김가능</t>
      </text>
    </comment>
    <comment ref="AZ3" authorId="0" shapeId="0">
      <text>
        <t>숨김가능</t>
      </text>
    </comment>
    <comment ref="BE3" authorId="0" shapeId="0">
      <text>
        <t>숨김가능</t>
      </text>
    </comment>
  </commentList>
</comments>
</file>

<file path=xl/comments/comment3.xml><?xml version="1.0" encoding="utf-8"?>
<comments xmlns="http://schemas.openxmlformats.org/spreadsheetml/2006/main">
  <authors>
    <author>QM</author>
  </authors>
  <commentList>
    <comment ref="F1" authorId="0" shapeId="0">
      <text>
        <t>숨김가능</t>
      </text>
    </comment>
    <comment ref="G1" authorId="0" shapeId="0">
      <text>
        <t>1. 부품 설계/제조사
2. 설계주체가 덱스코윈</t>
      </text>
    </comment>
    <comment ref="H1" authorId="0" shapeId="0">
      <text>
        <t>1. 유통업자
2. 단순임가공업체</t>
      </text>
    </comment>
    <comment ref="I1" authorId="0" shapeId="0">
      <text>
        <t>숨김가능</t>
      </text>
    </comment>
    <comment ref="J1" authorId="0" shapeId="0">
      <text>
        <t xml:space="preserve">숨김가능
수입검사현황
</t>
      </text>
    </comment>
    <comment ref="L1" authorId="0" shapeId="0">
      <text>
        <t>최소발주수량</t>
      </text>
    </comment>
    <comment ref="M1" authorId="0" shapeId="0">
      <text>
        <t>숨김가능</t>
      </text>
    </comment>
    <comment ref="N1" authorId="0" shapeId="0">
      <text>
        <t>숨김가능</t>
      </text>
    </comment>
    <comment ref="V1" authorId="0" shapeId="0">
      <text>
        <t>숨김가능</t>
      </text>
    </comment>
    <comment ref="AE1" authorId="0" shapeId="0">
      <text>
        <t>숨김가능</t>
      </text>
    </comment>
    <comment ref="AZ1" authorId="0" shapeId="0">
      <text>
        <t>숨김가능</t>
      </text>
    </comment>
    <comment ref="BE1" authorId="0" shapeId="0">
      <text>
        <t>숨김가능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baseColWidth="8" defaultRowHeight="13.5"/>
  <cols>
    <col width="3.75" customWidth="1" style="41" min="1" max="1"/>
    <col width="15.625" customWidth="1" style="117" min="2" max="2"/>
    <col outlineLevel="1" width="15.625" customWidth="1" style="118" min="3" max="3"/>
    <col width="35.25" customWidth="1" style="6" min="4" max="4"/>
    <col width="36.5" customWidth="1" style="7" min="5" max="5"/>
    <col hidden="1" outlineLevel="1" width="10.625" customWidth="1" style="41" min="6" max="6"/>
    <col collapsed="1" width="17.375" customWidth="1" style="8" min="7" max="7"/>
    <col width="15.625" customWidth="1" style="8" min="8" max="8"/>
    <col hidden="1" outlineLevel="1" width="11.25" customWidth="1" style="41" min="9" max="10"/>
    <col collapsed="1" width="7.5" customWidth="1" style="41" min="11" max="11"/>
    <col hidden="1" outlineLevel="1" width="8.5" customWidth="1" style="8" min="12" max="14"/>
    <col collapsed="1" width="7.5" customWidth="1" style="41" min="15" max="15"/>
    <col hidden="1" outlineLevel="1" width="5" customWidth="1" style="41" min="16" max="16"/>
    <col hidden="1" outlineLevel="1" width="5" customWidth="1" style="119" min="17" max="17"/>
    <col hidden="1" outlineLevel="1" width="5" customWidth="1" style="41" min="18" max="18"/>
    <col hidden="1" outlineLevel="1" width="5" customWidth="1" style="119" min="19" max="19"/>
    <col hidden="1" outlineLevel="1" width="5" customWidth="1" style="41" min="20" max="20"/>
    <col hidden="1" outlineLevel="1" width="5" customWidth="1" style="119" min="21" max="21"/>
    <col collapsed="1" width="5.625" customWidth="1" style="41" min="22" max="22"/>
    <col hidden="1" outlineLevel="1" width="5" customWidth="1" style="41" min="23" max="23"/>
    <col hidden="1" outlineLevel="1" width="5" customWidth="1" style="119" min="24" max="24"/>
    <col hidden="1" outlineLevel="1" width="5" customWidth="1" style="41" min="25" max="25"/>
    <col hidden="1" outlineLevel="1" width="5" customWidth="1" style="119" min="26" max="26"/>
    <col hidden="1" outlineLevel="1" width="5" customWidth="1" style="41" min="27" max="27"/>
    <col hidden="1" outlineLevel="1" width="5" customWidth="1" style="119" min="28" max="28"/>
    <col hidden="1" outlineLevel="1" width="5" customWidth="1" style="41" min="29" max="29"/>
    <col hidden="1" outlineLevel="1" width="5" customWidth="1" style="119" min="30" max="30"/>
    <col collapsed="1" width="5.625" customWidth="1" style="41" min="31" max="31"/>
    <col outlineLevel="1" width="5.625" customWidth="1" style="120" min="32" max="32"/>
    <col outlineLevel="1" width="5.625" customWidth="1" style="121" min="33" max="33"/>
    <col outlineLevel="1" width="5.625" customWidth="1" style="41" min="34" max="34"/>
    <col outlineLevel="1" width="5.625" customWidth="1" style="121" min="35" max="35"/>
    <col outlineLevel="1" width="5.625" customWidth="1" style="41" min="36" max="36"/>
    <col outlineLevel="1" width="5.625" customWidth="1" style="121" min="37" max="37"/>
    <col outlineLevel="1" width="5.625" customWidth="1" style="41" min="38" max="38"/>
    <col outlineLevel="1" width="5.625" customWidth="1" style="121" min="39" max="39"/>
    <col outlineLevel="1" width="5.625" customWidth="1" style="41" min="40" max="40"/>
    <col outlineLevel="1" width="5.625" customWidth="1" style="121" min="41" max="41"/>
    <col outlineLevel="1" width="5.625" customWidth="1" style="41" min="42" max="42"/>
    <col outlineLevel="1" width="5.625" customWidth="1" style="121" min="43" max="43"/>
    <col outlineLevel="1" width="5.625" customWidth="1" style="41" min="44" max="44"/>
    <col outlineLevel="1" width="5.625" customWidth="1" style="121" min="45" max="45"/>
    <col outlineLevel="1" width="5.625" customWidth="1" style="41" min="46" max="46"/>
    <col outlineLevel="1" width="5.625" customWidth="1" style="121" min="47" max="47"/>
    <col outlineLevel="1" width="5.625" customWidth="1" style="41" min="48" max="48"/>
    <col outlineLevel="1" width="5.625" customWidth="1" style="121" min="49" max="49"/>
    <col outlineLevel="1" width="5.625" customWidth="1" style="41" min="50" max="50"/>
    <col outlineLevel="1" width="5.625" customWidth="1" style="121" min="51" max="51"/>
    <col width="5.625" customWidth="1" style="41" min="52" max="52"/>
    <col hidden="1" outlineLevel="1" width="5" customWidth="1" style="41" min="53" max="53"/>
    <col hidden="1" outlineLevel="1" width="5" customWidth="1" style="119" min="54" max="54"/>
    <col hidden="1" outlineLevel="1" width="5" customWidth="1" style="41" min="55" max="55"/>
    <col hidden="1" outlineLevel="1" width="5" customWidth="1" style="119" min="56" max="56"/>
    <col collapsed="1" width="5.625" customWidth="1" style="41" min="57" max="57"/>
    <col width="9" customWidth="1" style="8" min="58" max="58"/>
    <col width="9" customWidth="1" style="41" min="59" max="16384"/>
  </cols>
  <sheetData>
    <row r="1" ht="27" customHeight="1" s="122">
      <c r="B1" s="123" t="n"/>
      <c r="C1" s="123" t="inlineStr">
        <is>
          <t>2026년 04월 자재 재고현황</t>
        </is>
      </c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38" t="n"/>
      <c r="P1" s="123" t="n"/>
      <c r="Q1" s="124" t="n"/>
    </row>
    <row r="2">
      <c r="A2" s="3" t="n"/>
      <c r="B2" s="3" t="n"/>
      <c r="C2" s="9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25" t="n"/>
    </row>
    <row r="3" ht="36" customFormat="1" customHeight="1" s="4">
      <c r="A3" s="26" t="inlineStr">
        <is>
          <t>No</t>
        </is>
      </c>
      <c r="B3" s="126" t="inlineStr">
        <is>
          <t>부품
종류</t>
        </is>
      </c>
      <c r="C3" s="127" t="n"/>
      <c r="D3" s="59" t="inlineStr">
        <is>
          <t>품명</t>
        </is>
      </c>
      <c r="E3" s="28" t="inlineStr">
        <is>
          <t>규격</t>
        </is>
      </c>
      <c r="F3" s="29" t="inlineStr">
        <is>
          <t>MAKER
품번</t>
        </is>
      </c>
      <c r="G3" s="128" t="inlineStr">
        <is>
          <t>MAKER</t>
        </is>
      </c>
      <c r="H3" s="128" t="inlineStr">
        <is>
          <t>공급처</t>
        </is>
      </c>
      <c r="I3" s="31" t="inlineStr">
        <is>
          <t>등록일자</t>
        </is>
      </c>
      <c r="J3" s="29" t="inlineStr">
        <is>
          <t>사용중지일</t>
        </is>
      </c>
      <c r="K3" s="39" t="inlineStr">
        <is>
          <t>전월재고</t>
        </is>
      </c>
      <c r="L3" s="129" t="inlineStr">
        <is>
          <t>MOQ</t>
        </is>
      </c>
      <c r="M3" s="129" t="inlineStr">
        <is>
          <t>납기</t>
        </is>
      </c>
      <c r="N3" s="129" t="inlineStr">
        <is>
          <t>안전재고수량</t>
        </is>
      </c>
      <c r="O3" s="39" t="inlineStr">
        <is>
          <t>현재고</t>
        </is>
      </c>
      <c r="P3" s="108" t="inlineStr">
        <is>
          <t>입고수량</t>
        </is>
      </c>
      <c r="Q3" s="130" t="n"/>
      <c r="R3" s="130" t="n"/>
      <c r="S3" s="130" t="n"/>
      <c r="T3" s="130" t="n"/>
      <c r="U3" s="131" t="n"/>
      <c r="V3" s="35" t="inlineStr">
        <is>
          <t>당월
입고</t>
        </is>
      </c>
      <c r="W3" s="132" t="inlineStr">
        <is>
          <t>원자재 불량 반출</t>
        </is>
      </c>
      <c r="X3" s="133" t="n"/>
      <c r="Y3" s="133" t="n"/>
      <c r="Z3" s="133" t="n"/>
      <c r="AA3" s="133" t="n"/>
      <c r="AB3" s="133" t="n"/>
      <c r="AC3" s="133" t="n"/>
      <c r="AD3" s="134" t="n"/>
      <c r="AE3" s="35" t="inlineStr">
        <is>
          <t>당월
반출</t>
        </is>
      </c>
      <c r="AF3" s="135" t="inlineStr">
        <is>
          <t>출고수량</t>
        </is>
      </c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130" t="n"/>
      <c r="AR3" s="130" t="n"/>
      <c r="AS3" s="130" t="n"/>
      <c r="AT3" s="130" t="n"/>
      <c r="AU3" s="130" t="n"/>
      <c r="AV3" s="130" t="n"/>
      <c r="AW3" s="130" t="n"/>
      <c r="AX3" s="130" t="n"/>
      <c r="AY3" s="131" t="n"/>
      <c r="AZ3" s="34" t="inlineStr">
        <is>
          <t>당월
출고</t>
        </is>
      </c>
      <c r="BA3" s="116" t="inlineStr">
        <is>
          <t>공정 불량</t>
        </is>
      </c>
      <c r="BB3" s="130" t="n"/>
      <c r="BC3" s="130" t="n"/>
      <c r="BD3" s="131" t="n"/>
      <c r="BE3" s="34" t="inlineStr">
        <is>
          <t>공정
불량</t>
        </is>
      </c>
      <c r="BF3" s="42" t="n"/>
    </row>
    <row r="4" ht="22.5" customHeight="1" s="122">
      <c r="A4" s="9" t="n"/>
      <c r="B4" s="136" t="inlineStr">
        <is>
          <t>전극</t>
        </is>
      </c>
      <c r="C4" s="137" t="inlineStr">
        <is>
          <t>DXDR-070</t>
        </is>
      </c>
      <c r="D4" s="60" t="inlineStr">
        <is>
          <t>전극(70kV)</t>
        </is>
      </c>
      <c r="E4" s="11" t="inlineStr">
        <is>
          <t>순철 도금</t>
        </is>
      </c>
      <c r="F4" s="99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40">
        <f>K4+V4-AE4-AZ4</f>
        <v/>
      </c>
      <c r="P4" s="12" t="n"/>
      <c r="Q4" s="138" t="n"/>
      <c r="R4" s="16" t="n"/>
      <c r="S4" s="139" t="n"/>
      <c r="T4" s="16" t="n"/>
      <c r="U4" s="139" t="n"/>
      <c r="V4" s="16">
        <f>P4+R4+T4</f>
        <v/>
      </c>
      <c r="W4" s="16" t="n"/>
      <c r="X4" s="139" t="n"/>
      <c r="Y4" s="16" t="n"/>
      <c r="Z4" s="139" t="n"/>
      <c r="AA4" s="16" t="n"/>
      <c r="AB4" s="139" t="n"/>
      <c r="AC4" s="16" t="n"/>
      <c r="AD4" s="139" t="n"/>
      <c r="AE4" s="16">
        <f>(W4+Y4+AA4+AC4)</f>
        <v/>
      </c>
      <c r="AF4" s="140" t="n"/>
      <c r="AG4" s="138" t="n"/>
      <c r="AH4" s="16" t="n"/>
      <c r="AI4" s="138" t="n"/>
      <c r="AJ4" s="16" t="n"/>
      <c r="AK4" s="138" t="n"/>
      <c r="AL4" s="16" t="n"/>
      <c r="AM4" s="138" t="n"/>
      <c r="AN4" s="16" t="n"/>
      <c r="AO4" s="138" t="n"/>
      <c r="AP4" s="16" t="n"/>
      <c r="AQ4" s="138" t="n"/>
      <c r="AR4" s="16" t="n"/>
      <c r="AS4" s="138" t="n"/>
      <c r="AT4" s="16" t="n"/>
      <c r="AU4" s="138" t="n"/>
      <c r="AV4" s="16" t="n"/>
      <c r="AW4" s="138" t="n"/>
      <c r="AX4" s="16" t="n"/>
      <c r="AY4" s="138" t="n"/>
      <c r="AZ4" s="16" t="n"/>
      <c r="BA4" s="16" t="n"/>
      <c r="BB4" s="139" t="n"/>
      <c r="BC4" s="16" t="n"/>
      <c r="BD4" s="139" t="n"/>
      <c r="BE4" s="16" t="n"/>
    </row>
    <row r="5" ht="22.5" customHeight="1" s="122">
      <c r="A5" s="9" t="n"/>
      <c r="B5" s="136" t="inlineStr">
        <is>
          <t>필라멘트</t>
        </is>
      </c>
      <c r="C5" s="137" t="inlineStr">
        <is>
          <t>DXDR-070</t>
        </is>
      </c>
      <c r="D5" s="60" t="inlineStr">
        <is>
          <t>텅스텐 필라멘트</t>
        </is>
      </c>
      <c r="E5" s="11" t="n"/>
      <c r="F5" s="99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40">
        <f>K5+V5-AE5-AZ5</f>
        <v/>
      </c>
      <c r="P5" s="12" t="n"/>
      <c r="Q5" s="138" t="n"/>
      <c r="R5" s="16" t="n"/>
      <c r="S5" s="139" t="n"/>
      <c r="T5" s="16" t="n"/>
      <c r="U5" s="139" t="n"/>
      <c r="V5" s="16">
        <f>P5+R5+T5</f>
        <v/>
      </c>
      <c r="W5" s="16" t="n"/>
      <c r="X5" s="139" t="n"/>
      <c r="Y5" s="16" t="n"/>
      <c r="Z5" s="139" t="n"/>
      <c r="AA5" s="16" t="n"/>
      <c r="AB5" s="139" t="n"/>
      <c r="AC5" s="16" t="n"/>
      <c r="AD5" s="139" t="n"/>
      <c r="AE5" s="16">
        <f>(W5+Y5+AA5+AC5)</f>
        <v/>
      </c>
      <c r="AF5" s="140" t="n"/>
      <c r="AG5" s="138" t="n"/>
      <c r="AH5" s="16" t="n"/>
      <c r="AI5" s="138" t="n"/>
      <c r="AJ5" s="16" t="n"/>
      <c r="AK5" s="138" t="n"/>
      <c r="AL5" s="16" t="n"/>
      <c r="AM5" s="138" t="n"/>
      <c r="AN5" s="16" t="n"/>
      <c r="AO5" s="138" t="n"/>
      <c r="AP5" s="16" t="n"/>
      <c r="AQ5" s="138" t="n"/>
      <c r="AR5" s="16" t="n"/>
      <c r="AS5" s="138" t="n"/>
      <c r="AT5" s="16" t="n"/>
      <c r="AU5" s="138" t="n"/>
      <c r="AV5" s="16" t="n"/>
      <c r="AW5" s="138" t="n"/>
      <c r="AX5" s="16" t="n"/>
      <c r="AY5" s="138" t="n"/>
      <c r="AZ5" s="16">
        <f>AF5+AH5+AJ5+AL5+AN5+AP5+AR5+AT5+AV5+AX5</f>
        <v/>
      </c>
      <c r="BA5" s="16" t="n"/>
      <c r="BB5" s="139" t="n"/>
      <c r="BC5" s="16" t="n"/>
      <c r="BD5" s="139" t="n"/>
      <c r="BE5" s="16">
        <f>(BA5+BC5)</f>
        <v/>
      </c>
    </row>
    <row r="6" ht="22.5" customHeight="1" s="122">
      <c r="A6" s="9" t="n"/>
      <c r="B6" s="136" t="inlineStr">
        <is>
          <t>필라멘트</t>
        </is>
      </c>
      <c r="C6" s="137" t="inlineStr">
        <is>
          <t>DXDR-070</t>
        </is>
      </c>
      <c r="D6" s="60" t="inlineStr">
        <is>
          <t>텅스텐 필라멘트</t>
        </is>
      </c>
      <c r="E6" s="11" t="n"/>
      <c r="F6" s="99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40">
        <f>K6+V6-AE6-AZ6</f>
        <v/>
      </c>
      <c r="P6" s="12" t="n"/>
      <c r="Q6" s="138" t="n"/>
      <c r="R6" s="16" t="n"/>
      <c r="S6" s="139" t="n"/>
      <c r="T6" s="16" t="n"/>
      <c r="U6" s="139" t="n"/>
      <c r="V6" s="16">
        <f>P6+R6+T6</f>
        <v/>
      </c>
      <c r="W6" s="16" t="n"/>
      <c r="X6" s="139" t="n"/>
      <c r="Y6" s="16" t="n"/>
      <c r="Z6" s="139" t="n"/>
      <c r="AA6" s="16" t="n"/>
      <c r="AB6" s="139" t="n"/>
      <c r="AC6" s="16" t="n"/>
      <c r="AD6" s="139" t="n"/>
      <c r="AE6" s="16">
        <f>(W6+Y6+AA6+AC6)</f>
        <v/>
      </c>
      <c r="AF6" s="140" t="n"/>
      <c r="AG6" s="138" t="n"/>
      <c r="AH6" s="16" t="n"/>
      <c r="AI6" s="138" t="n"/>
      <c r="AJ6" s="16" t="n"/>
      <c r="AK6" s="138" t="n"/>
      <c r="AL6" s="16" t="n"/>
      <c r="AM6" s="138" t="n"/>
      <c r="AN6" s="16" t="n"/>
      <c r="AO6" s="138" t="n"/>
      <c r="AP6" s="16" t="n"/>
      <c r="AQ6" s="138" t="n"/>
      <c r="AR6" s="16" t="n"/>
      <c r="AS6" s="138" t="n"/>
      <c r="AT6" s="16" t="n"/>
      <c r="AU6" s="138" t="n"/>
      <c r="AV6" s="16" t="n"/>
      <c r="AW6" s="138" t="n"/>
      <c r="AX6" s="16" t="n"/>
      <c r="AY6" s="138" t="n"/>
      <c r="AZ6" s="16">
        <f>AF6+AH6+AJ6+AL6+AN6+AP6+AR6+AT6+AV6+AX6</f>
        <v/>
      </c>
      <c r="BA6" s="16" t="n"/>
      <c r="BB6" s="139" t="n"/>
      <c r="BC6" s="16" t="n"/>
      <c r="BD6" s="139" t="n"/>
      <c r="BE6" s="16">
        <f>(BA6+BC6)</f>
        <v/>
      </c>
    </row>
    <row r="7" ht="22.5" customHeight="1" s="122">
      <c r="A7" s="9" t="n"/>
      <c r="B7" s="136" t="inlineStr">
        <is>
          <t>게터</t>
        </is>
      </c>
      <c r="C7" s="137" t="inlineStr">
        <is>
          <t>DXDR-070,DXDR-100</t>
        </is>
      </c>
      <c r="D7" s="60" t="inlineStr">
        <is>
          <t>게터</t>
        </is>
      </c>
      <c r="E7" s="11" t="n"/>
      <c r="F7" s="99" t="n"/>
      <c r="G7" s="9" t="n"/>
      <c r="H7" s="9" t="n"/>
      <c r="I7" s="14" t="n"/>
      <c r="J7" s="14" t="n"/>
      <c r="K7" s="12" t="n">
        <v>0</v>
      </c>
      <c r="L7" s="9" t="n"/>
      <c r="M7" s="9" t="n"/>
      <c r="N7" s="9" t="n"/>
      <c r="O7" s="40">
        <f>K7+V7-AE7-AZ7</f>
        <v/>
      </c>
      <c r="P7" s="12" t="n"/>
      <c r="Q7" s="138" t="n"/>
      <c r="R7" s="16" t="n"/>
      <c r="S7" s="139" t="n"/>
      <c r="T7" s="16" t="n"/>
      <c r="U7" s="139" t="n"/>
      <c r="V7" s="16">
        <f>P7+R7+T7</f>
        <v/>
      </c>
      <c r="W7" s="16" t="n"/>
      <c r="X7" s="139" t="n"/>
      <c r="Y7" s="16" t="n"/>
      <c r="Z7" s="139" t="n"/>
      <c r="AA7" s="16" t="n"/>
      <c r="AB7" s="139" t="n"/>
      <c r="AC7" s="16" t="n"/>
      <c r="AD7" s="139" t="n"/>
      <c r="AE7" s="16">
        <f>(W7+Y7+AA7+AC7)</f>
        <v/>
      </c>
      <c r="AF7" s="140" t="n"/>
      <c r="AG7" s="138" t="n"/>
      <c r="AH7" s="16" t="n"/>
      <c r="AI7" s="138" t="n"/>
      <c r="AJ7" s="16" t="n"/>
      <c r="AK7" s="138" t="n"/>
      <c r="AL7" s="16" t="n"/>
      <c r="AM7" s="138" t="n"/>
      <c r="AN7" s="16" t="n"/>
      <c r="AO7" s="138" t="n"/>
      <c r="AP7" s="16" t="n"/>
      <c r="AQ7" s="138" t="n"/>
      <c r="AR7" s="16" t="n"/>
      <c r="AS7" s="138" t="n"/>
      <c r="AT7" s="16" t="n"/>
      <c r="AU7" s="138" t="n"/>
      <c r="AV7" s="16" t="n"/>
      <c r="AW7" s="138" t="n"/>
      <c r="AX7" s="16" t="n"/>
      <c r="AY7" s="138" t="n"/>
      <c r="AZ7" s="16">
        <f>AF7+AH7+AJ7+AL7+AN7+AP7+AR7+AT7+AV7+AX7</f>
        <v/>
      </c>
      <c r="BA7" s="16" t="n"/>
      <c r="BB7" s="139" t="n"/>
      <c r="BC7" s="16" t="n"/>
      <c r="BD7" s="139" t="n"/>
      <c r="BE7" s="16">
        <f>(BA7+BC7)</f>
        <v/>
      </c>
    </row>
    <row r="8" ht="22.5" customHeight="1" s="122">
      <c r="A8" s="9" t="n"/>
      <c r="B8" s="136" t="inlineStr">
        <is>
          <t>코바</t>
        </is>
      </c>
      <c r="C8" s="137" t="inlineStr">
        <is>
          <t>DXDR-070</t>
        </is>
      </c>
      <c r="D8" s="60" t="inlineStr">
        <is>
          <t>에노드</t>
        </is>
      </c>
      <c r="E8" s="36" t="n"/>
      <c r="F8" s="99" t="n"/>
      <c r="G8" s="9" t="n"/>
      <c r="H8" s="9" t="n"/>
      <c r="I8" s="14" t="n"/>
      <c r="J8" s="14" t="n"/>
      <c r="K8" s="12" t="n">
        <v>0</v>
      </c>
      <c r="L8" s="9" t="n"/>
      <c r="M8" s="9" t="n"/>
      <c r="N8" s="9" t="n"/>
      <c r="O8" s="40">
        <f>K8+V8-AE8-AZ8</f>
        <v/>
      </c>
      <c r="P8" s="12" t="n"/>
      <c r="Q8" s="138" t="n"/>
      <c r="R8" s="16" t="n"/>
      <c r="S8" s="139" t="n"/>
      <c r="T8" s="16" t="n"/>
      <c r="U8" s="139" t="n"/>
      <c r="V8" s="16">
        <f>P8+R8+T8</f>
        <v/>
      </c>
      <c r="W8" s="16" t="n"/>
      <c r="X8" s="139" t="n"/>
      <c r="Y8" s="16" t="n"/>
      <c r="Z8" s="139" t="n"/>
      <c r="AA8" s="16" t="n"/>
      <c r="AB8" s="139" t="n"/>
      <c r="AC8" s="16" t="n"/>
      <c r="AD8" s="139" t="n"/>
      <c r="AE8" s="16">
        <f>(W8+Y8+AA8+AC8)</f>
        <v/>
      </c>
      <c r="AF8" s="140" t="n"/>
      <c r="AG8" s="138" t="n"/>
      <c r="AH8" s="16" t="n"/>
      <c r="AI8" s="138" t="n"/>
      <c r="AJ8" s="16" t="n"/>
      <c r="AK8" s="138" t="n"/>
      <c r="AL8" s="16" t="n"/>
      <c r="AM8" s="138" t="n"/>
      <c r="AN8" s="16" t="n"/>
      <c r="AO8" s="138" t="n"/>
      <c r="AP8" s="16" t="n"/>
      <c r="AQ8" s="138" t="n"/>
      <c r="AR8" s="16" t="n"/>
      <c r="AS8" s="138" t="n"/>
      <c r="AT8" s="16" t="n"/>
      <c r="AU8" s="138" t="n"/>
      <c r="AV8" s="16" t="n"/>
      <c r="AW8" s="138" t="n"/>
      <c r="AX8" s="16" t="n"/>
      <c r="AY8" s="138" t="n"/>
      <c r="AZ8" s="16">
        <f>AF8+AH8+AJ8+AL8+AN8+AP8+AR8+AT8+AV8+AX8</f>
        <v/>
      </c>
      <c r="BA8" s="16" t="n"/>
      <c r="BB8" s="139" t="n"/>
      <c r="BC8" s="16" t="n"/>
      <c r="BD8" s="139" t="n"/>
      <c r="BE8" s="16">
        <f>(BA8+BC8)</f>
        <v/>
      </c>
    </row>
    <row r="9" ht="22.5" customHeight="1" s="122">
      <c r="A9" s="9" t="n"/>
      <c r="B9" s="136" t="inlineStr">
        <is>
          <t>코바</t>
        </is>
      </c>
      <c r="C9" s="137" t="inlineStr">
        <is>
          <t>DXDR-070</t>
        </is>
      </c>
      <c r="D9" s="62" t="inlineStr">
        <is>
          <t>포커서</t>
        </is>
      </c>
      <c r="E9" s="11" t="n"/>
      <c r="F9" s="99" t="n"/>
      <c r="G9" s="22" t="n"/>
      <c r="H9" s="22" t="n"/>
      <c r="I9" s="14" t="n"/>
      <c r="J9" s="14" t="n"/>
      <c r="K9" s="12" t="n">
        <v>0</v>
      </c>
      <c r="L9" s="9" t="n"/>
      <c r="M9" s="9" t="n"/>
      <c r="N9" s="9" t="n"/>
      <c r="O9" s="40">
        <f>K9+V9-AE9-AZ9</f>
        <v/>
      </c>
      <c r="P9" s="12" t="n"/>
      <c r="Q9" s="138" t="n"/>
      <c r="R9" s="16" t="n"/>
      <c r="S9" s="139" t="n"/>
      <c r="T9" s="16" t="n"/>
      <c r="U9" s="139" t="n"/>
      <c r="V9" s="16">
        <f>P9+R9+T9</f>
        <v/>
      </c>
      <c r="W9" s="16" t="n"/>
      <c r="X9" s="139" t="n"/>
      <c r="Y9" s="16" t="n"/>
      <c r="Z9" s="139" t="n"/>
      <c r="AA9" s="16" t="n"/>
      <c r="AB9" s="139" t="n"/>
      <c r="AC9" s="16" t="n"/>
      <c r="AD9" s="139" t="n"/>
      <c r="AE9" s="16">
        <f>(W9+Y9+AA9+AC9)</f>
        <v/>
      </c>
      <c r="AF9" s="140" t="n"/>
      <c r="AG9" s="138" t="n"/>
      <c r="AH9" s="16" t="n"/>
      <c r="AI9" s="138" t="n"/>
      <c r="AJ9" s="16" t="n"/>
      <c r="AK9" s="138" t="n"/>
      <c r="AL9" s="16" t="n"/>
      <c r="AM9" s="138" t="n"/>
      <c r="AN9" s="16" t="n"/>
      <c r="AO9" s="138" t="n"/>
      <c r="AP9" s="16" t="n"/>
      <c r="AQ9" s="138" t="n"/>
      <c r="AR9" s="16" t="n"/>
      <c r="AS9" s="138" t="n"/>
      <c r="AT9" s="16" t="n"/>
      <c r="AU9" s="138" t="n"/>
      <c r="AV9" s="16" t="n"/>
      <c r="AW9" s="138" t="n"/>
      <c r="AX9" s="16" t="n"/>
      <c r="AY9" s="138" t="n"/>
      <c r="AZ9" s="16">
        <f>AF9+AH9+AJ9+AL9+AN9+AP9+AR9+AT9+AV9+AX9</f>
        <v/>
      </c>
      <c r="BA9" s="16" t="n"/>
      <c r="BB9" s="139" t="n"/>
      <c r="BC9" s="16" t="n"/>
      <c r="BD9" s="139" t="n"/>
      <c r="BE9" s="16">
        <f>(BA9+BC9)</f>
        <v/>
      </c>
    </row>
    <row r="10" ht="22.5" customHeight="1" s="122">
      <c r="A10" s="9" t="n"/>
      <c r="B10" s="141" t="inlineStr">
        <is>
          <t>세라믹</t>
        </is>
      </c>
      <c r="C10" s="137" t="inlineStr">
        <is>
          <t>DXDR-070</t>
        </is>
      </c>
      <c r="D10" s="60" t="inlineStr">
        <is>
          <t>세라믹 바디</t>
        </is>
      </c>
      <c r="E10" s="36" t="n"/>
      <c r="F10" s="99" t="n"/>
      <c r="G10" s="22" t="n"/>
      <c r="H10" s="22" t="n"/>
      <c r="I10" s="14" t="n"/>
      <c r="J10" s="14" t="n"/>
      <c r="K10" s="12" t="n">
        <v>0</v>
      </c>
      <c r="L10" s="9" t="n"/>
      <c r="M10" s="9" t="n"/>
      <c r="N10" s="9" t="n"/>
      <c r="O10" s="40">
        <f>K10+V10-AE10-AZ10</f>
        <v/>
      </c>
      <c r="P10" s="12" t="n"/>
      <c r="Q10" s="138" t="n"/>
      <c r="R10" s="16" t="n"/>
      <c r="S10" s="139" t="n"/>
      <c r="T10" s="16" t="n"/>
      <c r="U10" s="139" t="n"/>
      <c r="V10" s="16">
        <f>P10+R10+T10</f>
        <v/>
      </c>
      <c r="W10" s="16" t="n"/>
      <c r="X10" s="139" t="n"/>
      <c r="Y10" s="16" t="n"/>
      <c r="Z10" s="139" t="n"/>
      <c r="AA10" s="16" t="n"/>
      <c r="AB10" s="139" t="n"/>
      <c r="AC10" s="16" t="n"/>
      <c r="AD10" s="139" t="n"/>
      <c r="AE10" s="16">
        <f>(W10+Y10+AA10+AC10)</f>
        <v/>
      </c>
      <c r="AF10" s="140" t="n"/>
      <c r="AG10" s="138" t="n"/>
      <c r="AH10" s="16" t="n"/>
      <c r="AI10" s="138" t="n"/>
      <c r="AJ10" s="16" t="n"/>
      <c r="AK10" s="138" t="n"/>
      <c r="AL10" s="16" t="n"/>
      <c r="AM10" s="138" t="n"/>
      <c r="AN10" s="16" t="n"/>
      <c r="AO10" s="138" t="n"/>
      <c r="AP10" s="16" t="n"/>
      <c r="AQ10" s="138" t="n"/>
      <c r="AR10" s="16" t="n"/>
      <c r="AS10" s="138" t="n"/>
      <c r="AT10" s="16" t="n"/>
      <c r="AU10" s="138" t="n"/>
      <c r="AV10" s="16" t="n"/>
      <c r="AW10" s="138" t="n"/>
      <c r="AX10" s="16" t="n"/>
      <c r="AY10" s="138" t="n"/>
      <c r="AZ10" s="16">
        <f>AF10+AH10+AJ10+AL10+AN10+AP10+AR10+AT10+AV10+AX10</f>
        <v/>
      </c>
      <c r="BA10" s="16" t="n"/>
      <c r="BB10" s="139" t="n"/>
      <c r="BC10" s="16" t="n"/>
      <c r="BD10" s="139" t="n"/>
      <c r="BE10" s="16">
        <f>(BA10+BC10)</f>
        <v/>
      </c>
    </row>
    <row r="11" ht="22.5" customHeight="1" s="122">
      <c r="A11" s="9" t="n"/>
      <c r="B11" s="141" t="inlineStr">
        <is>
          <t>세라믹</t>
        </is>
      </c>
      <c r="C11" s="137" t="inlineStr">
        <is>
          <t>DXDR-070</t>
        </is>
      </c>
      <c r="D11" s="60" t="inlineStr">
        <is>
          <t>세라믹 스템</t>
        </is>
      </c>
      <c r="E11" s="11" t="n"/>
      <c r="F11" s="99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40">
        <f>K11+V11-AE11-AZ11</f>
        <v/>
      </c>
      <c r="P11" s="12" t="n"/>
      <c r="Q11" s="138" t="n"/>
      <c r="R11" s="16" t="n"/>
      <c r="S11" s="139" t="n"/>
      <c r="T11" s="16" t="n"/>
      <c r="U11" s="139" t="n"/>
      <c r="V11" s="16">
        <f>P11+R11+T11</f>
        <v/>
      </c>
      <c r="W11" s="16" t="n"/>
      <c r="X11" s="139" t="n"/>
      <c r="Y11" s="16" t="n"/>
      <c r="Z11" s="139" t="n"/>
      <c r="AA11" s="16" t="n"/>
      <c r="AB11" s="139" t="n"/>
      <c r="AC11" s="16" t="n"/>
      <c r="AD11" s="139" t="n"/>
      <c r="AE11" s="16">
        <f>(W11+Y11+AA11+AC11)</f>
        <v/>
      </c>
      <c r="AF11" s="140" t="n"/>
      <c r="AG11" s="138" t="n"/>
      <c r="AH11" s="16" t="n"/>
      <c r="AI11" s="138" t="n"/>
      <c r="AJ11" s="16" t="n"/>
      <c r="AK11" s="138" t="n"/>
      <c r="AL11" s="16" t="n"/>
      <c r="AM11" s="138" t="n"/>
      <c r="AN11" s="16" t="n"/>
      <c r="AO11" s="138" t="n"/>
      <c r="AP11" s="16" t="n"/>
      <c r="AQ11" s="138" t="n"/>
      <c r="AR11" s="16" t="n"/>
      <c r="AS11" s="138" t="n"/>
      <c r="AT11" s="16" t="n"/>
      <c r="AU11" s="138" t="n"/>
      <c r="AV11" s="16" t="n"/>
      <c r="AW11" s="138" t="n"/>
      <c r="AX11" s="16" t="n"/>
      <c r="AY11" s="138" t="n"/>
      <c r="AZ11" s="16">
        <f>AF11+AH11+AJ11+AL11+AN11+AP11+AR11+AT11+AV11+AX11</f>
        <v/>
      </c>
      <c r="BA11" s="16" t="n"/>
      <c r="BB11" s="139" t="n"/>
      <c r="BC11" s="16" t="n"/>
      <c r="BD11" s="139" t="n"/>
      <c r="BE11" s="16">
        <f>(BA11+BC11)</f>
        <v/>
      </c>
    </row>
    <row r="12" ht="22.5" customHeight="1" s="122">
      <c r="A12" s="9" t="n"/>
      <c r="B12" s="136" t="inlineStr">
        <is>
          <t>필러</t>
        </is>
      </c>
      <c r="C12" s="137" t="inlineStr">
        <is>
          <t>DXDR-070</t>
        </is>
      </c>
      <c r="D12" s="62" t="inlineStr">
        <is>
          <t>필러</t>
        </is>
      </c>
      <c r="E12" s="11" t="n"/>
      <c r="F12" s="99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40">
        <f>K12+V12-AE12-AZ12</f>
        <v/>
      </c>
      <c r="P12" s="12" t="n"/>
      <c r="Q12" s="138" t="n"/>
      <c r="R12" s="16" t="n"/>
      <c r="S12" s="139" t="n"/>
      <c r="T12" s="16" t="n"/>
      <c r="U12" s="139" t="n"/>
      <c r="V12" s="16">
        <f>P12+R12+T12</f>
        <v/>
      </c>
      <c r="W12" s="16" t="n"/>
      <c r="X12" s="139" t="n"/>
      <c r="Y12" s="16" t="n"/>
      <c r="Z12" s="139" t="n"/>
      <c r="AA12" s="16" t="n"/>
      <c r="AB12" s="139" t="n"/>
      <c r="AC12" s="16" t="n"/>
      <c r="AD12" s="139" t="n"/>
      <c r="AE12" s="16">
        <f>(W12+Y12+AA12+AC12)</f>
        <v/>
      </c>
      <c r="AF12" s="140" t="n"/>
      <c r="AG12" s="138" t="n"/>
      <c r="AH12" s="16" t="n"/>
      <c r="AI12" s="138" t="n"/>
      <c r="AJ12" s="16" t="n"/>
      <c r="AK12" s="138" t="n"/>
      <c r="AL12" s="16" t="n"/>
      <c r="AM12" s="138" t="n"/>
      <c r="AN12" s="16" t="n"/>
      <c r="AO12" s="138" t="n"/>
      <c r="AP12" s="16" t="n"/>
      <c r="AQ12" s="138" t="n"/>
      <c r="AR12" s="16" t="n"/>
      <c r="AS12" s="138" t="n"/>
      <c r="AT12" s="16" t="n"/>
      <c r="AU12" s="138" t="n"/>
      <c r="AV12" s="16" t="n"/>
      <c r="AW12" s="138" t="n"/>
      <c r="AX12" s="16" t="n"/>
      <c r="AY12" s="138" t="n"/>
      <c r="AZ12" s="16">
        <f>AF12+AH12+AJ12+AL12+AN12+AP12+AR12+AT12+AV12+AX12</f>
        <v/>
      </c>
      <c r="BA12" s="16" t="n"/>
      <c r="BB12" s="139" t="n"/>
      <c r="BC12" s="16" t="n"/>
      <c r="BD12" s="139" t="n"/>
      <c r="BE12" s="16">
        <f>(BA12+BC12)</f>
        <v/>
      </c>
    </row>
    <row r="13" ht="22.5" customHeight="1" s="122">
      <c r="A13" s="9" t="n"/>
      <c r="B13" s="136" t="inlineStr">
        <is>
          <t>필러</t>
        </is>
      </c>
      <c r="C13" s="137" t="inlineStr">
        <is>
          <t>DXDR-070</t>
        </is>
      </c>
      <c r="D13" s="62" t="inlineStr">
        <is>
          <t>전극 필러</t>
        </is>
      </c>
      <c r="E13" s="11" t="n"/>
      <c r="F13" s="99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40">
        <f>K13+V13-AE13-AZ13</f>
        <v/>
      </c>
      <c r="P13" s="12" t="n"/>
      <c r="Q13" s="138" t="n"/>
      <c r="R13" s="16" t="n"/>
      <c r="S13" s="139" t="n"/>
      <c r="T13" s="16" t="n"/>
      <c r="U13" s="139" t="n"/>
      <c r="V13" s="16">
        <f>P13+R13+T13</f>
        <v/>
      </c>
      <c r="W13" s="16" t="n"/>
      <c r="X13" s="139" t="n"/>
      <c r="Y13" s="16" t="n"/>
      <c r="Z13" s="139" t="n"/>
      <c r="AA13" s="16" t="n"/>
      <c r="AB13" s="139" t="n"/>
      <c r="AC13" s="16" t="n"/>
      <c r="AD13" s="139" t="n"/>
      <c r="AE13" s="16">
        <f>(W13+Y13+AA13+AC13)</f>
        <v/>
      </c>
      <c r="AF13" s="140" t="n"/>
      <c r="AG13" s="138" t="n"/>
      <c r="AH13" s="16" t="n"/>
      <c r="AI13" s="138" t="n"/>
      <c r="AJ13" s="16" t="n"/>
      <c r="AK13" s="138" t="n"/>
      <c r="AL13" s="16" t="n"/>
      <c r="AM13" s="138" t="n"/>
      <c r="AN13" s="16" t="n"/>
      <c r="AO13" s="138" t="n"/>
      <c r="AP13" s="16" t="n"/>
      <c r="AQ13" s="138" t="n"/>
      <c r="AR13" s="16" t="n"/>
      <c r="AS13" s="138" t="n"/>
      <c r="AT13" s="16" t="n"/>
      <c r="AU13" s="138" t="n"/>
      <c r="AV13" s="16" t="n"/>
      <c r="AW13" s="138" t="n"/>
      <c r="AX13" s="16" t="n"/>
      <c r="AY13" s="138" t="n"/>
      <c r="AZ13" s="16">
        <f>AF13+AH13+AJ13+AL13+AN13+AP13+AR13+AT13+AV13+AX13</f>
        <v/>
      </c>
      <c r="BA13" s="16" t="n"/>
      <c r="BB13" s="139" t="n"/>
      <c r="BC13" s="16" t="n"/>
      <c r="BD13" s="139" t="n"/>
      <c r="BE13" s="16">
        <f>(BA13+BC13)</f>
        <v/>
      </c>
    </row>
    <row r="14" ht="22.5" customHeight="1" s="122">
      <c r="A14" s="9" t="n"/>
      <c r="B14" s="136" t="inlineStr">
        <is>
          <t>전극</t>
        </is>
      </c>
      <c r="C14" s="137" t="inlineStr">
        <is>
          <t>DXDR-100</t>
        </is>
      </c>
      <c r="D14" s="60" t="inlineStr">
        <is>
          <t>전극(100kV)</t>
        </is>
      </c>
      <c r="E14" s="11" t="inlineStr">
        <is>
          <t>순철 도금</t>
        </is>
      </c>
      <c r="F14" s="99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40">
        <f>K14+V14-AE14-AZ14</f>
        <v/>
      </c>
      <c r="P14" s="12" t="n"/>
      <c r="Q14" s="138" t="n"/>
      <c r="R14" s="16" t="n"/>
      <c r="S14" s="139" t="n"/>
      <c r="T14" s="16" t="n"/>
      <c r="U14" s="139" t="n"/>
      <c r="V14" s="16">
        <f>P14+R14+T14</f>
        <v/>
      </c>
      <c r="W14" s="16" t="n"/>
      <c r="X14" s="139" t="n"/>
      <c r="Y14" s="16" t="n"/>
      <c r="Z14" s="139" t="n"/>
      <c r="AA14" s="16" t="n"/>
      <c r="AB14" s="139" t="n"/>
      <c r="AC14" s="16" t="n"/>
      <c r="AD14" s="139" t="n"/>
      <c r="AE14" s="16">
        <f>(W14+Y14+AA14+AC14)</f>
        <v/>
      </c>
      <c r="AF14" s="140" t="n"/>
      <c r="AG14" s="138" t="n"/>
      <c r="AH14" s="16" t="n"/>
      <c r="AI14" s="138" t="n"/>
      <c r="AJ14" s="16" t="n"/>
      <c r="AK14" s="138" t="n"/>
      <c r="AL14" s="16" t="n"/>
      <c r="AM14" s="138" t="n"/>
      <c r="AN14" s="16" t="n"/>
      <c r="AO14" s="138" t="n"/>
      <c r="AP14" s="16" t="n"/>
      <c r="AQ14" s="138" t="n"/>
      <c r="AR14" s="16" t="n"/>
      <c r="AS14" s="138" t="n"/>
      <c r="AT14" s="16" t="n"/>
      <c r="AU14" s="138" t="n"/>
      <c r="AV14" s="16" t="n"/>
      <c r="AW14" s="138" t="n"/>
      <c r="AX14" s="16" t="n"/>
      <c r="AY14" s="138" t="n"/>
      <c r="AZ14" s="16">
        <f>AF14+AH14+AJ14+AL14+AN14+AP14+AR14+AT14+AV14+AX14</f>
        <v/>
      </c>
      <c r="BA14" s="16" t="n"/>
      <c r="BB14" s="139" t="n"/>
      <c r="BC14" s="16" t="n"/>
      <c r="BD14" s="139" t="n"/>
      <c r="BE14" s="16">
        <f>(BA14+BC14)</f>
        <v/>
      </c>
    </row>
    <row r="15" ht="22.5" customHeight="1" s="122">
      <c r="A15" s="9" t="n"/>
      <c r="B15" s="136" t="inlineStr">
        <is>
          <t>필라멘트</t>
        </is>
      </c>
      <c r="C15" s="137" t="inlineStr">
        <is>
          <t>DXDR-100</t>
        </is>
      </c>
      <c r="D15" s="60" t="inlineStr">
        <is>
          <t>텅스텐 필라멘트</t>
        </is>
      </c>
      <c r="E15" s="11" t="n"/>
      <c r="F15" s="99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40">
        <f>K15+V15-AE15-AZ15</f>
        <v/>
      </c>
      <c r="P15" s="12" t="n"/>
      <c r="Q15" s="138" t="n"/>
      <c r="R15" s="16" t="n"/>
      <c r="S15" s="139" t="n"/>
      <c r="T15" s="16" t="n"/>
      <c r="U15" s="139" t="n"/>
      <c r="V15" s="16">
        <f>P15+R15+T15</f>
        <v/>
      </c>
      <c r="W15" s="16" t="n"/>
      <c r="X15" s="139" t="n"/>
      <c r="Y15" s="16" t="n"/>
      <c r="Z15" s="139" t="n"/>
      <c r="AA15" s="16" t="n"/>
      <c r="AB15" s="139" t="n"/>
      <c r="AC15" s="16" t="n"/>
      <c r="AD15" s="139" t="n"/>
      <c r="AE15" s="16">
        <f>(W15+Y15+AA15+AC15)</f>
        <v/>
      </c>
      <c r="AF15" s="140" t="n"/>
      <c r="AG15" s="138" t="n"/>
      <c r="AH15" s="16" t="n"/>
      <c r="AI15" s="138" t="n"/>
      <c r="AJ15" s="16" t="n"/>
      <c r="AK15" s="138" t="n"/>
      <c r="AL15" s="16" t="n"/>
      <c r="AM15" s="138" t="n"/>
      <c r="AN15" s="16" t="n"/>
      <c r="AO15" s="138" t="n"/>
      <c r="AP15" s="16" t="n"/>
      <c r="AQ15" s="138" t="n"/>
      <c r="AR15" s="16" t="n"/>
      <c r="AS15" s="138" t="n"/>
      <c r="AT15" s="16" t="n"/>
      <c r="AU15" s="138" t="n"/>
      <c r="AV15" s="16" t="n"/>
      <c r="AW15" s="138" t="n"/>
      <c r="AX15" s="16" t="n"/>
      <c r="AY15" s="138" t="n"/>
      <c r="AZ15" s="16">
        <f>AF15+AH15+AJ15+AL15+AN15+AP15+AR15+AT15+AV15+AX15</f>
        <v/>
      </c>
      <c r="BA15" s="16" t="n"/>
      <c r="BB15" s="139" t="n"/>
      <c r="BC15" s="16" t="n"/>
      <c r="BD15" s="139" t="n"/>
      <c r="BE15" s="16">
        <f>(BA15+BC15)</f>
        <v/>
      </c>
    </row>
    <row r="16" ht="22.5" customHeight="1" s="122">
      <c r="A16" s="9" t="n"/>
      <c r="B16" s="136" t="inlineStr">
        <is>
          <t>코바</t>
        </is>
      </c>
      <c r="C16" s="137" t="inlineStr">
        <is>
          <t>DXDR-100</t>
        </is>
      </c>
      <c r="D16" s="60" t="inlineStr">
        <is>
          <t>에노드</t>
        </is>
      </c>
      <c r="E16" s="11" t="n"/>
      <c r="F16" s="99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40">
        <f>K16+V16-AE16-AZ16</f>
        <v/>
      </c>
      <c r="P16" s="12" t="n"/>
      <c r="Q16" s="138" t="n"/>
      <c r="R16" s="16" t="n"/>
      <c r="S16" s="139" t="n"/>
      <c r="T16" s="16" t="n"/>
      <c r="U16" s="139" t="n"/>
      <c r="V16" s="16">
        <f>P16+R16+T16</f>
        <v/>
      </c>
      <c r="W16" s="16" t="n"/>
      <c r="X16" s="139" t="n"/>
      <c r="Y16" s="16" t="n"/>
      <c r="Z16" s="139" t="n"/>
      <c r="AA16" s="16" t="n"/>
      <c r="AB16" s="139" t="n"/>
      <c r="AC16" s="16" t="n"/>
      <c r="AD16" s="139" t="n"/>
      <c r="AE16" s="16">
        <f>(W16+Y16+AA16+AC16)</f>
        <v/>
      </c>
      <c r="AF16" s="140" t="n"/>
      <c r="AG16" s="138" t="n"/>
      <c r="AH16" s="16" t="n"/>
      <c r="AI16" s="138" t="n"/>
      <c r="AJ16" s="16" t="n"/>
      <c r="AK16" s="138" t="n"/>
      <c r="AL16" s="16" t="n"/>
      <c r="AM16" s="138" t="n"/>
      <c r="AN16" s="16" t="n"/>
      <c r="AO16" s="138" t="n"/>
      <c r="AP16" s="16" t="n"/>
      <c r="AQ16" s="138" t="n"/>
      <c r="AR16" s="16" t="n"/>
      <c r="AS16" s="138" t="n"/>
      <c r="AT16" s="16" t="n"/>
      <c r="AU16" s="138" t="n"/>
      <c r="AV16" s="16" t="n"/>
      <c r="AW16" s="138" t="n"/>
      <c r="AX16" s="16" t="n"/>
      <c r="AY16" s="138" t="n"/>
      <c r="AZ16" s="16">
        <f>AF16+AH16+AJ16+AL16+AN16+AP16+AR16+AT16+AV16+AX16</f>
        <v/>
      </c>
      <c r="BA16" s="16" t="n"/>
      <c r="BB16" s="139" t="n"/>
      <c r="BC16" s="16" t="n"/>
      <c r="BD16" s="139" t="n"/>
      <c r="BE16" s="16">
        <f>(BA16+BC16)</f>
        <v/>
      </c>
    </row>
    <row r="17" ht="22.5" customFormat="1" customHeight="1" s="8">
      <c r="A17" s="9" t="n"/>
      <c r="B17" s="136" t="inlineStr">
        <is>
          <t>코바</t>
        </is>
      </c>
      <c r="C17" s="137" t="inlineStr">
        <is>
          <t>DXDR-100</t>
        </is>
      </c>
      <c r="D17" s="60" t="inlineStr">
        <is>
          <t>에노드 링</t>
        </is>
      </c>
      <c r="E17" s="11" t="n"/>
      <c r="F17" s="99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40">
        <f>K17+V17-AE17-AZ17</f>
        <v/>
      </c>
      <c r="P17" s="12" t="n"/>
      <c r="Q17" s="138" t="n"/>
      <c r="R17" s="16" t="n"/>
      <c r="S17" s="139" t="n"/>
      <c r="T17" s="16" t="n"/>
      <c r="U17" s="139" t="n"/>
      <c r="V17" s="16">
        <f>P17+R17+T17</f>
        <v/>
      </c>
      <c r="W17" s="16" t="n"/>
      <c r="X17" s="139" t="n"/>
      <c r="Y17" s="16" t="n"/>
      <c r="Z17" s="139" t="n"/>
      <c r="AA17" s="16" t="n"/>
      <c r="AB17" s="139" t="n"/>
      <c r="AC17" s="16" t="n"/>
      <c r="AD17" s="139" t="n"/>
      <c r="AE17" s="16">
        <f>(W17+Y17+AA17+AC17)</f>
        <v/>
      </c>
      <c r="AF17" s="140" t="n"/>
      <c r="AG17" s="138" t="n"/>
      <c r="AH17" s="16" t="n"/>
      <c r="AI17" s="138" t="n"/>
      <c r="AJ17" s="16" t="n"/>
      <c r="AK17" s="138" t="n"/>
      <c r="AL17" s="16" t="n"/>
      <c r="AM17" s="138" t="n"/>
      <c r="AN17" s="16" t="n"/>
      <c r="AO17" s="138" t="n"/>
      <c r="AP17" s="16" t="n"/>
      <c r="AQ17" s="138" t="n"/>
      <c r="AR17" s="16" t="n"/>
      <c r="AS17" s="138" t="n"/>
      <c r="AT17" s="16" t="n"/>
      <c r="AU17" s="138" t="n"/>
      <c r="AV17" s="16" t="n"/>
      <c r="AW17" s="138" t="n"/>
      <c r="AX17" s="16" t="n"/>
      <c r="AY17" s="138" t="n"/>
      <c r="AZ17" s="16">
        <f>AF17+AH17+AJ17+AL17+AN17+AP17+AR17+AT17+AV17+AX17</f>
        <v/>
      </c>
      <c r="BA17" s="16" t="n"/>
      <c r="BB17" s="139" t="n"/>
      <c r="BC17" s="16" t="n"/>
      <c r="BD17" s="139" t="n"/>
      <c r="BE17" s="16">
        <f>(BA17+BC17)</f>
        <v/>
      </c>
    </row>
    <row r="18" ht="22.5" customHeight="1" s="122">
      <c r="A18" s="9" t="n"/>
      <c r="B18" s="136" t="inlineStr">
        <is>
          <t>코바</t>
        </is>
      </c>
      <c r="C18" s="137" t="inlineStr">
        <is>
          <t>DXDR-100</t>
        </is>
      </c>
      <c r="D18" s="62" t="inlineStr">
        <is>
          <t>포커서</t>
        </is>
      </c>
      <c r="E18" s="11" t="n"/>
      <c r="F18" s="99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40">
        <f>K18+V18-AE18-AZ18</f>
        <v/>
      </c>
      <c r="P18" s="12" t="n"/>
      <c r="Q18" s="138" t="n"/>
      <c r="R18" s="16" t="n"/>
      <c r="S18" s="139" t="n"/>
      <c r="T18" s="16" t="n"/>
      <c r="U18" s="139" t="n"/>
      <c r="V18" s="16">
        <f>P18+R18+T18</f>
        <v/>
      </c>
      <c r="W18" s="16" t="n"/>
      <c r="X18" s="139" t="n"/>
      <c r="Y18" s="16" t="n"/>
      <c r="Z18" s="139" t="n"/>
      <c r="AA18" s="16" t="n"/>
      <c r="AB18" s="139" t="n"/>
      <c r="AC18" s="16" t="n"/>
      <c r="AD18" s="139" t="n"/>
      <c r="AE18" s="16">
        <f>(W18+Y18+AA18+AC18)</f>
        <v/>
      </c>
      <c r="AF18" s="140" t="n"/>
      <c r="AG18" s="138" t="n"/>
      <c r="AH18" s="16" t="n"/>
      <c r="AI18" s="138" t="n"/>
      <c r="AJ18" s="16" t="n"/>
      <c r="AK18" s="138" t="n"/>
      <c r="AL18" s="16" t="n"/>
      <c r="AM18" s="138" t="n"/>
      <c r="AN18" s="16" t="n"/>
      <c r="AO18" s="138" t="n"/>
      <c r="AP18" s="16" t="n"/>
      <c r="AQ18" s="138" t="n"/>
      <c r="AR18" s="16" t="n"/>
      <c r="AS18" s="138" t="n"/>
      <c r="AT18" s="16" t="n"/>
      <c r="AU18" s="138" t="n"/>
      <c r="AV18" s="16" t="n"/>
      <c r="AW18" s="138" t="n"/>
      <c r="AX18" s="16" t="n"/>
      <c r="AY18" s="138" t="n"/>
      <c r="AZ18" s="16">
        <f>AF18+AH18+AJ18+AL18+AN18+AP18+AR18+AT18+AV18+AX18</f>
        <v/>
      </c>
      <c r="BA18" s="16" t="n"/>
      <c r="BB18" s="139" t="n"/>
      <c r="BC18" s="16" t="n"/>
      <c r="BD18" s="139" t="n"/>
      <c r="BE18" s="16">
        <f>(BA18+BC18)</f>
        <v/>
      </c>
    </row>
    <row r="19" ht="22.5" customHeight="1" s="122">
      <c r="A19" s="9" t="n"/>
      <c r="B19" s="141" t="inlineStr">
        <is>
          <t>세라믹</t>
        </is>
      </c>
      <c r="C19" s="137" t="inlineStr">
        <is>
          <t>DXDR-100</t>
        </is>
      </c>
      <c r="D19" s="60" t="inlineStr">
        <is>
          <t>세라믹 바디</t>
        </is>
      </c>
      <c r="E19" s="11" t="n"/>
      <c r="F19" s="99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40">
        <f>K19+V19-AE19-AZ19</f>
        <v/>
      </c>
      <c r="P19" s="12" t="n"/>
      <c r="Q19" s="138" t="n"/>
      <c r="R19" s="16" t="n"/>
      <c r="S19" s="139" t="n"/>
      <c r="T19" s="16" t="n"/>
      <c r="U19" s="139" t="n"/>
      <c r="V19" s="16">
        <f>P19+R19+T19</f>
        <v/>
      </c>
      <c r="W19" s="16" t="n"/>
      <c r="X19" s="139" t="n"/>
      <c r="Y19" s="16" t="n"/>
      <c r="Z19" s="139" t="n"/>
      <c r="AA19" s="16" t="n"/>
      <c r="AB19" s="139" t="n"/>
      <c r="AC19" s="16" t="n"/>
      <c r="AD19" s="139" t="n"/>
      <c r="AE19" s="16">
        <f>(W19+Y19+AA19+AC19)</f>
        <v/>
      </c>
      <c r="AF19" s="140" t="n"/>
      <c r="AG19" s="138" t="n"/>
      <c r="AH19" s="16" t="n"/>
      <c r="AI19" s="138" t="n"/>
      <c r="AJ19" s="16" t="n"/>
      <c r="AK19" s="138" t="n"/>
      <c r="AL19" s="16" t="n"/>
      <c r="AM19" s="138" t="n"/>
      <c r="AN19" s="16" t="n"/>
      <c r="AO19" s="138" t="n"/>
      <c r="AP19" s="16" t="n"/>
      <c r="AQ19" s="138" t="n"/>
      <c r="AR19" s="16" t="n"/>
      <c r="AS19" s="138" t="n"/>
      <c r="AT19" s="16" t="n"/>
      <c r="AU19" s="138" t="n"/>
      <c r="AV19" s="16" t="n"/>
      <c r="AW19" s="138" t="n"/>
      <c r="AX19" s="16" t="n"/>
      <c r="AY19" s="138" t="n"/>
      <c r="AZ19" s="16">
        <f>AF19+AH19+AJ19+AL19+AN19+AP19+AR19+AT19+AV19+AX19</f>
        <v/>
      </c>
      <c r="BA19" s="16" t="n"/>
      <c r="BB19" s="139" t="n"/>
      <c r="BC19" s="16" t="n"/>
      <c r="BD19" s="139" t="n"/>
      <c r="BE19" s="16">
        <f>(BA19+BC19)</f>
        <v/>
      </c>
    </row>
    <row r="20" ht="22.5" customHeight="1" s="122">
      <c r="A20" s="9" t="n"/>
      <c r="B20" s="141" t="inlineStr">
        <is>
          <t>세라믹</t>
        </is>
      </c>
      <c r="C20" s="137" t="inlineStr">
        <is>
          <t>DXDR-100</t>
        </is>
      </c>
      <c r="D20" s="60" t="inlineStr">
        <is>
          <t>세라믹 슬리브</t>
        </is>
      </c>
      <c r="E20" s="11" t="n"/>
      <c r="F20" s="99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40">
        <f>K20+V20-AE20-AZ20</f>
        <v/>
      </c>
      <c r="P20" s="12" t="n"/>
      <c r="Q20" s="138" t="n"/>
      <c r="R20" s="16" t="n"/>
      <c r="S20" s="139" t="n"/>
      <c r="T20" s="16" t="n"/>
      <c r="U20" s="139" t="n"/>
      <c r="V20" s="16">
        <f>P20+R20+T20</f>
        <v/>
      </c>
      <c r="W20" s="16" t="n"/>
      <c r="X20" s="139" t="n"/>
      <c r="Y20" s="16" t="n"/>
      <c r="Z20" s="139" t="n"/>
      <c r="AA20" s="16" t="n"/>
      <c r="AB20" s="139" t="n"/>
      <c r="AC20" s="16" t="n"/>
      <c r="AD20" s="139" t="n"/>
      <c r="AE20" s="16">
        <f>(W20+Y20+AA20+AC20)</f>
        <v/>
      </c>
      <c r="AF20" s="140" t="n"/>
      <c r="AG20" s="138" t="n"/>
      <c r="AH20" s="16" t="n"/>
      <c r="AI20" s="138" t="n"/>
      <c r="AJ20" s="16" t="n"/>
      <c r="AK20" s="138" t="n"/>
      <c r="AL20" s="16" t="n"/>
      <c r="AM20" s="138" t="n"/>
      <c r="AN20" s="16" t="n"/>
      <c r="AO20" s="138" t="n"/>
      <c r="AP20" s="16" t="n"/>
      <c r="AQ20" s="138" t="n"/>
      <c r="AR20" s="16" t="n"/>
      <c r="AS20" s="138" t="n"/>
      <c r="AT20" s="16" t="n"/>
      <c r="AU20" s="138" t="n"/>
      <c r="AV20" s="16" t="n"/>
      <c r="AW20" s="138" t="n"/>
      <c r="AX20" s="16" t="n"/>
      <c r="AY20" s="138" t="n"/>
      <c r="AZ20" s="16">
        <f>AF20+AH20+AJ20+AL20+AN20+AP20+AR20+AT20+AV20+AX20</f>
        <v/>
      </c>
      <c r="BA20" s="16" t="n"/>
      <c r="BB20" s="139" t="n"/>
      <c r="BC20" s="16" t="n"/>
      <c r="BD20" s="139" t="n"/>
      <c r="BE20" s="16">
        <f>(BA20+BC20)</f>
        <v/>
      </c>
    </row>
    <row r="21" ht="22.5" customHeight="1" s="122">
      <c r="A21" s="9" t="n"/>
      <c r="B21" s="136" t="inlineStr">
        <is>
          <t>필러</t>
        </is>
      </c>
      <c r="C21" s="137" t="inlineStr">
        <is>
          <t>DXDR-100</t>
        </is>
      </c>
      <c r="D21" s="62" t="inlineStr">
        <is>
          <t>필러</t>
        </is>
      </c>
      <c r="E21" s="11" t="n"/>
      <c r="F21" s="99" t="n"/>
      <c r="G21" s="9" t="n"/>
      <c r="H21" s="9" t="n"/>
      <c r="I21" s="14" t="n"/>
      <c r="J21" s="14" t="n"/>
      <c r="K21" s="12" t="n">
        <v>0</v>
      </c>
      <c r="L21" s="9" t="n"/>
      <c r="M21" s="9" t="n"/>
      <c r="N21" s="9" t="n"/>
      <c r="O21" s="40">
        <f>K21+V21-AE21-AZ21</f>
        <v/>
      </c>
      <c r="P21" s="12" t="n"/>
      <c r="Q21" s="138" t="n"/>
      <c r="R21" s="16" t="n"/>
      <c r="S21" s="139" t="n"/>
      <c r="T21" s="16" t="n"/>
      <c r="U21" s="139" t="n"/>
      <c r="V21" s="16">
        <f>P21+R21+T21</f>
        <v/>
      </c>
      <c r="W21" s="16" t="n"/>
      <c r="X21" s="139" t="n"/>
      <c r="Y21" s="16" t="n"/>
      <c r="Z21" s="139" t="n"/>
      <c r="AA21" s="16" t="n"/>
      <c r="AB21" s="139" t="n"/>
      <c r="AC21" s="16" t="n"/>
      <c r="AD21" s="139" t="n"/>
      <c r="AE21" s="16">
        <f>(W21+Y21+AA21+AC21)</f>
        <v/>
      </c>
      <c r="AF21" s="140" t="n"/>
      <c r="AG21" s="138" t="n"/>
      <c r="AH21" s="16" t="n"/>
      <c r="AI21" s="138" t="n"/>
      <c r="AJ21" s="16" t="n"/>
      <c r="AK21" s="138" t="n"/>
      <c r="AL21" s="16" t="n"/>
      <c r="AM21" s="138" t="n"/>
      <c r="AN21" s="16" t="n"/>
      <c r="AO21" s="138" t="n"/>
      <c r="AP21" s="16" t="n"/>
      <c r="AQ21" s="138" t="n"/>
      <c r="AR21" s="16" t="n"/>
      <c r="AS21" s="138" t="n"/>
      <c r="AT21" s="16" t="n"/>
      <c r="AU21" s="138" t="n"/>
      <c r="AV21" s="16" t="n"/>
      <c r="AW21" s="138" t="n"/>
      <c r="AX21" s="16" t="n"/>
      <c r="AY21" s="138" t="n"/>
      <c r="AZ21" s="16">
        <f>AF21+AH21+AJ21+AL21+AN21+AP21+AR21+AT21+AV21+AX21</f>
        <v/>
      </c>
      <c r="BA21" s="16" t="n"/>
      <c r="BB21" s="139" t="n"/>
      <c r="BC21" s="16" t="n"/>
      <c r="BD21" s="139" t="n"/>
      <c r="BE21" s="16">
        <f>(BA21+BC21)</f>
        <v/>
      </c>
    </row>
    <row r="22" ht="22.5" customHeight="1" s="122">
      <c r="A22" s="9" t="n"/>
      <c r="B22" s="136" t="inlineStr">
        <is>
          <t>필러</t>
        </is>
      </c>
      <c r="C22" s="137" t="inlineStr">
        <is>
          <t>DXDR-100</t>
        </is>
      </c>
      <c r="D22" s="62" t="inlineStr">
        <is>
          <t>전극 필러</t>
        </is>
      </c>
      <c r="E22" s="11" t="n"/>
      <c r="F22" s="99" t="n"/>
      <c r="G22" s="9" t="n"/>
      <c r="H22" s="9" t="n"/>
      <c r="I22" s="14" t="n"/>
      <c r="J22" s="14" t="n"/>
      <c r="K22" s="12" t="n">
        <v>0</v>
      </c>
      <c r="L22" s="9" t="n"/>
      <c r="M22" s="9" t="n"/>
      <c r="N22" s="9" t="n"/>
      <c r="O22" s="40">
        <f>K22+V22-AE22-AZ22</f>
        <v/>
      </c>
      <c r="P22" s="12" t="n"/>
      <c r="Q22" s="138" t="n"/>
      <c r="R22" s="16" t="n"/>
      <c r="S22" s="139" t="n"/>
      <c r="T22" s="16" t="n"/>
      <c r="U22" s="139" t="n"/>
      <c r="V22" s="16">
        <f>P22+R22+T22</f>
        <v/>
      </c>
      <c r="W22" s="16" t="n"/>
      <c r="X22" s="139" t="n"/>
      <c r="Y22" s="16" t="n"/>
      <c r="Z22" s="139" t="n"/>
      <c r="AA22" s="16" t="n"/>
      <c r="AB22" s="139" t="n"/>
      <c r="AC22" s="16" t="n"/>
      <c r="AD22" s="139" t="n"/>
      <c r="AE22" s="16">
        <f>(W22+Y22+AA22+AC22)</f>
        <v/>
      </c>
      <c r="AF22" s="140" t="n"/>
      <c r="AG22" s="138" t="n"/>
      <c r="AH22" s="16" t="n"/>
      <c r="AI22" s="138" t="n"/>
      <c r="AJ22" s="16" t="n"/>
      <c r="AK22" s="138" t="n"/>
      <c r="AL22" s="16" t="n"/>
      <c r="AM22" s="138" t="n"/>
      <c r="AN22" s="16" t="n"/>
      <c r="AO22" s="138" t="n"/>
      <c r="AP22" s="16" t="n"/>
      <c r="AQ22" s="138" t="n"/>
      <c r="AR22" s="16" t="n"/>
      <c r="AS22" s="138" t="n"/>
      <c r="AT22" s="16" t="n"/>
      <c r="AU22" s="138" t="n"/>
      <c r="AV22" s="16" t="n"/>
      <c r="AW22" s="138" t="n"/>
      <c r="AX22" s="16" t="n"/>
      <c r="AY22" s="138" t="n"/>
      <c r="AZ22" s="16">
        <f>AF22+AH22+AJ22+AL22+AN22+AP22+AR22+AT22+AV22+AX22</f>
        <v/>
      </c>
      <c r="BA22" s="16" t="n"/>
      <c r="BB22" s="139" t="n"/>
      <c r="BC22" s="16" t="n"/>
      <c r="BD22" s="139" t="n"/>
      <c r="BE22" s="16">
        <f>(BA22+BC22)</f>
        <v/>
      </c>
    </row>
    <row r="23" ht="22.5" customHeight="1" s="122">
      <c r="A23" s="9" t="n"/>
      <c r="B23" s="136" t="inlineStr">
        <is>
          <t>X-ray Tube</t>
        </is>
      </c>
      <c r="C23" s="137" t="inlineStr">
        <is>
          <t>DX3000, ADX4000W</t>
        </is>
      </c>
      <c r="D23" s="60" t="inlineStr">
        <is>
          <t>TUBE</t>
        </is>
      </c>
      <c r="E23" s="11" t="inlineStr">
        <is>
          <t>60KV D-081B</t>
        </is>
      </c>
      <c r="F23" s="99" t="n"/>
      <c r="G23" s="9" t="n"/>
      <c r="H23" s="9" t="inlineStr">
        <is>
          <t>신광포토레이</t>
        </is>
      </c>
      <c r="I23" s="14" t="n"/>
      <c r="J23" s="14" t="n"/>
      <c r="K23" s="12" t="n">
        <v>1000</v>
      </c>
      <c r="L23" s="9" t="n"/>
      <c r="M23" s="9" t="n"/>
      <c r="N23" s="9" t="n"/>
      <c r="O23" s="40">
        <f>K23+V23-AE23-AZ23</f>
        <v/>
      </c>
      <c r="P23" s="12" t="n"/>
      <c r="Q23" s="138" t="n"/>
      <c r="R23" s="16" t="n"/>
      <c r="S23" s="139" t="n"/>
      <c r="T23" s="16" t="n"/>
      <c r="U23" s="139" t="n"/>
      <c r="V23" s="16">
        <f>P23+R23+T23</f>
        <v/>
      </c>
      <c r="W23" s="16" t="n"/>
      <c r="X23" s="139" t="n"/>
      <c r="Y23" s="16" t="n"/>
      <c r="Z23" s="139" t="n"/>
      <c r="AA23" s="16" t="n"/>
      <c r="AB23" s="139" t="n"/>
      <c r="AC23" s="16" t="n"/>
      <c r="AD23" s="139" t="n"/>
      <c r="AE23" s="16">
        <f>(W23+Y23+AA23+AC23)</f>
        <v/>
      </c>
      <c r="AF23" s="140" t="n"/>
      <c r="AG23" s="138" t="n"/>
      <c r="AH23" s="16" t="n"/>
      <c r="AI23" s="138" t="n"/>
      <c r="AJ23" s="16" t="n"/>
      <c r="AK23" s="138" t="n"/>
      <c r="AL23" s="16" t="n"/>
      <c r="AM23" s="138" t="n"/>
      <c r="AN23" s="16" t="n"/>
      <c r="AO23" s="138" t="n"/>
      <c r="AP23" s="16" t="n"/>
      <c r="AQ23" s="138" t="n"/>
      <c r="AR23" s="16" t="n"/>
      <c r="AS23" s="138" t="n"/>
      <c r="AT23" s="16" t="n"/>
      <c r="AU23" s="138" t="n"/>
      <c r="AV23" s="16" t="n"/>
      <c r="AW23" s="138" t="n"/>
      <c r="AX23" s="16" t="n"/>
      <c r="AY23" s="138" t="n"/>
      <c r="AZ23" s="16">
        <f>AF23+AH23+AJ23+AL23+AN23+AP23+AR23+AT23+AV23+AX23</f>
        <v/>
      </c>
      <c r="BA23" s="16" t="n"/>
      <c r="BB23" s="139" t="n"/>
      <c r="BC23" s="16" t="n"/>
      <c r="BD23" s="139" t="n"/>
      <c r="BE23" s="16">
        <f>(BA23+BC23)</f>
        <v/>
      </c>
    </row>
    <row r="24" ht="22.5" customHeight="1" s="122">
      <c r="A24" s="9" t="n"/>
      <c r="B24" s="136" t="inlineStr">
        <is>
          <t>X-ray Tube</t>
        </is>
      </c>
      <c r="C24" s="137" t="inlineStr">
        <is>
          <t>COCOON</t>
        </is>
      </c>
      <c r="D24" s="60" t="inlineStr">
        <is>
          <t>TUBE</t>
        </is>
      </c>
      <c r="E24" s="11" t="inlineStr">
        <is>
          <t>70KV D-041</t>
        </is>
      </c>
      <c r="F24" s="99" t="n"/>
      <c r="G24" s="9" t="n"/>
      <c r="H24" s="9" t="inlineStr">
        <is>
          <t>신광포토레이</t>
        </is>
      </c>
      <c r="I24" s="14" t="n"/>
      <c r="J24" s="14" t="n"/>
      <c r="K24" s="12" t="n">
        <v>400</v>
      </c>
      <c r="L24" s="9" t="n"/>
      <c r="M24" s="9" t="n"/>
      <c r="N24" s="9" t="n"/>
      <c r="O24" s="40">
        <f>K24+V24-AE24-AZ24</f>
        <v/>
      </c>
      <c r="P24" s="12" t="n"/>
      <c r="Q24" s="138" t="n"/>
      <c r="R24" s="16" t="n"/>
      <c r="S24" s="139" t="n"/>
      <c r="T24" s="16" t="n"/>
      <c r="U24" s="139" t="n"/>
      <c r="V24" s="16">
        <f>P24+R24+T24</f>
        <v/>
      </c>
      <c r="W24" s="16" t="n"/>
      <c r="X24" s="139" t="n"/>
      <c r="Y24" s="16" t="n"/>
      <c r="Z24" s="139" t="n"/>
      <c r="AA24" s="16" t="n"/>
      <c r="AB24" s="139" t="n"/>
      <c r="AC24" s="16" t="n"/>
      <c r="AD24" s="139" t="n"/>
      <c r="AE24" s="16">
        <f>(W24+Y24+AA24+AC24)</f>
        <v/>
      </c>
      <c r="AF24" s="140" t="n"/>
      <c r="AG24" s="138" t="n"/>
      <c r="AH24" s="16" t="n"/>
      <c r="AI24" s="138" t="n"/>
      <c r="AJ24" s="16" t="n"/>
      <c r="AK24" s="138" t="n"/>
      <c r="AL24" s="16" t="n"/>
      <c r="AM24" s="138" t="n"/>
      <c r="AN24" s="16" t="n"/>
      <c r="AO24" s="138" t="n"/>
      <c r="AP24" s="16" t="n"/>
      <c r="AQ24" s="138" t="n"/>
      <c r="AR24" s="16" t="n"/>
      <c r="AS24" s="138" t="n"/>
      <c r="AT24" s="16" t="n"/>
      <c r="AU24" s="138" t="n"/>
      <c r="AV24" s="16" t="n"/>
      <c r="AW24" s="138" t="n"/>
      <c r="AX24" s="16" t="n"/>
      <c r="AY24" s="138" t="n"/>
      <c r="AZ24" s="16">
        <f>AF24+AH24+AJ24+AL24+AN24+AP24+AR24+AT24+AV24+AX24</f>
        <v/>
      </c>
      <c r="BA24" s="16" t="n"/>
      <c r="BB24" s="139" t="n"/>
      <c r="BC24" s="16" t="n"/>
      <c r="BD24" s="139" t="n"/>
      <c r="BE24" s="16">
        <f>(BA24+BC24)</f>
        <v/>
      </c>
    </row>
    <row r="25" ht="22.5" customHeight="1" s="122">
      <c r="A25" s="9" t="n"/>
      <c r="B25" s="136" t="inlineStr">
        <is>
          <t>X-ray Tube</t>
        </is>
      </c>
      <c r="C25" s="137" t="inlineStr">
        <is>
          <t>SOLO</t>
        </is>
      </c>
      <c r="D25" s="60" t="inlineStr">
        <is>
          <t>TUBE</t>
        </is>
      </c>
      <c r="E25" s="11" t="inlineStr">
        <is>
          <t>70KV DXDR-070</t>
        </is>
      </c>
      <c r="F25" s="99" t="n"/>
      <c r="G25" s="9" t="n"/>
      <c r="H25" s="9" t="n"/>
      <c r="I25" s="14" t="n"/>
      <c r="J25" s="14" t="n"/>
      <c r="K25" s="12" t="n">
        <v>0</v>
      </c>
      <c r="L25" s="9" t="n"/>
      <c r="M25" s="9" t="n"/>
      <c r="N25" s="9" t="n"/>
      <c r="O25" s="40">
        <f>K25+V25-AE25-AZ25</f>
        <v/>
      </c>
      <c r="P25" s="12" t="n"/>
      <c r="Q25" s="138" t="n"/>
      <c r="R25" s="16" t="n"/>
      <c r="S25" s="139" t="n"/>
      <c r="T25" s="16" t="n"/>
      <c r="U25" s="139" t="n"/>
      <c r="V25" s="16">
        <f>P25+R25+T25</f>
        <v/>
      </c>
      <c r="W25" s="16" t="n"/>
      <c r="X25" s="139" t="n"/>
      <c r="Y25" s="16" t="n"/>
      <c r="Z25" s="139" t="n"/>
      <c r="AA25" s="16" t="n"/>
      <c r="AB25" s="139" t="n"/>
      <c r="AC25" s="16" t="n"/>
      <c r="AD25" s="139" t="n"/>
      <c r="AE25" s="16">
        <f>(W25+Y25+AA25+AC25)</f>
        <v/>
      </c>
      <c r="AF25" s="140" t="n"/>
      <c r="AG25" s="138" t="n"/>
      <c r="AH25" s="16" t="n"/>
      <c r="AI25" s="138" t="n"/>
      <c r="AJ25" s="16" t="n"/>
      <c r="AK25" s="138" t="n"/>
      <c r="AL25" s="16" t="n"/>
      <c r="AM25" s="138" t="n"/>
      <c r="AN25" s="16" t="n"/>
      <c r="AO25" s="138" t="n"/>
      <c r="AP25" s="16" t="n"/>
      <c r="AQ25" s="138" t="n"/>
      <c r="AR25" s="16" t="n"/>
      <c r="AS25" s="138" t="n"/>
      <c r="AT25" s="16" t="n"/>
      <c r="AU25" s="138" t="n"/>
      <c r="AV25" s="16" t="n"/>
      <c r="AW25" s="138" t="n"/>
      <c r="AX25" s="16" t="n"/>
      <c r="AY25" s="138" t="n"/>
      <c r="AZ25" s="16">
        <f>AF25+AH25+AJ25+AL25+AN25+AP25+AR25+AT25+AV25+AX25</f>
        <v/>
      </c>
      <c r="BA25" s="16" t="n"/>
      <c r="BB25" s="139" t="n"/>
      <c r="BC25" s="16" t="n"/>
      <c r="BD25" s="139" t="n"/>
      <c r="BE25" s="16">
        <f>(BA25+BC25)</f>
        <v/>
      </c>
    </row>
    <row r="26" ht="22.5" customHeight="1" s="122">
      <c r="A26" s="9" t="n"/>
      <c r="B26" s="136" t="inlineStr">
        <is>
          <t>X-ray Tube</t>
        </is>
      </c>
      <c r="C26" s="137" t="inlineStr">
        <is>
          <t>ADX6000</t>
        </is>
      </c>
      <c r="D26" s="60" t="inlineStr">
        <is>
          <t>TUBE</t>
        </is>
      </c>
      <c r="E26" s="11" t="inlineStr">
        <is>
          <t>80KV D-0813</t>
        </is>
      </c>
      <c r="F26" s="99" t="n"/>
      <c r="G26" s="9" t="n"/>
      <c r="H26" s="9" t="inlineStr">
        <is>
          <t>신광포토레이</t>
        </is>
      </c>
      <c r="I26" s="14" t="n"/>
      <c r="J26" s="14" t="n"/>
      <c r="K26" s="12" t="n">
        <v>500</v>
      </c>
      <c r="L26" s="9" t="n"/>
      <c r="M26" s="9" t="n"/>
      <c r="N26" s="9" t="n"/>
      <c r="O26" s="40">
        <f>K26+V26-AE26-AZ26</f>
        <v/>
      </c>
      <c r="P26" s="12" t="n"/>
      <c r="Q26" s="138" t="n"/>
      <c r="R26" s="16" t="n"/>
      <c r="S26" s="139" t="n"/>
      <c r="T26" s="16" t="n"/>
      <c r="U26" s="139" t="n"/>
      <c r="V26" s="16">
        <f>P26+R26+T26</f>
        <v/>
      </c>
      <c r="W26" s="16" t="n"/>
      <c r="X26" s="139" t="n"/>
      <c r="Y26" s="16" t="n"/>
      <c r="Z26" s="139" t="n"/>
      <c r="AA26" s="16" t="n"/>
      <c r="AB26" s="139" t="n"/>
      <c r="AC26" s="16" t="n"/>
      <c r="AD26" s="139" t="n"/>
      <c r="AE26" s="16">
        <f>(W26+Y26+AA26+AC26)</f>
        <v/>
      </c>
      <c r="AF26" s="140" t="n"/>
      <c r="AG26" s="138" t="n"/>
      <c r="AH26" s="16" t="n"/>
      <c r="AI26" s="138" t="n"/>
      <c r="AJ26" s="16" t="n"/>
      <c r="AK26" s="138" t="n"/>
      <c r="AL26" s="16" t="n"/>
      <c r="AM26" s="138" t="n"/>
      <c r="AN26" s="16" t="n"/>
      <c r="AO26" s="138" t="n"/>
      <c r="AP26" s="16" t="n"/>
      <c r="AQ26" s="138" t="n"/>
      <c r="AR26" s="16" t="n"/>
      <c r="AS26" s="138" t="n"/>
      <c r="AT26" s="16" t="n"/>
      <c r="AU26" s="138" t="n"/>
      <c r="AV26" s="16" t="n"/>
      <c r="AW26" s="138" t="n"/>
      <c r="AX26" s="16" t="n"/>
      <c r="AY26" s="138" t="n"/>
      <c r="AZ26" s="16">
        <f>AF26+AH26+AJ26+AL26+AN26+AP26+AR26+AT26+AV26+AX26</f>
        <v/>
      </c>
      <c r="BA26" s="16" t="n"/>
      <c r="BB26" s="139" t="n"/>
      <c r="BC26" s="16" t="n"/>
      <c r="BD26" s="139" t="n"/>
      <c r="BE26" s="16">
        <f>(BA26+BC26)</f>
        <v/>
      </c>
    </row>
    <row r="27" ht="22.5" customHeight="1" s="122">
      <c r="A27" s="9" t="n"/>
      <c r="B27" s="136" t="inlineStr">
        <is>
          <t>X-ray Tube</t>
        </is>
      </c>
      <c r="C27" s="137" t="inlineStr">
        <is>
          <t>ADX6000</t>
        </is>
      </c>
      <c r="D27" s="60" t="inlineStr">
        <is>
          <t>TUBE</t>
        </is>
      </c>
      <c r="E27" s="11" t="inlineStr">
        <is>
          <t>90kV OX / 70-1.0</t>
        </is>
      </c>
      <c r="F27" s="99" t="n"/>
      <c r="G27" s="9" t="n"/>
      <c r="H27" s="9" t="inlineStr">
        <is>
          <t>CEI</t>
        </is>
      </c>
      <c r="I27" s="14" t="n"/>
      <c r="J27" s="14" t="n"/>
      <c r="K27" s="12" t="n">
        <v>622</v>
      </c>
      <c r="L27" s="9" t="n"/>
      <c r="M27" s="9" t="n"/>
      <c r="N27" s="9" t="n"/>
      <c r="O27" s="40">
        <f>K27+V27-AE27-AZ27</f>
        <v/>
      </c>
      <c r="P27" s="12" t="n"/>
      <c r="Q27" s="138" t="n"/>
      <c r="R27" s="16" t="n"/>
      <c r="S27" s="139" t="n"/>
      <c r="T27" s="16" t="n"/>
      <c r="U27" s="139" t="n"/>
      <c r="V27" s="16">
        <f>P27+R27+T27</f>
        <v/>
      </c>
      <c r="W27" s="16" t="n"/>
      <c r="X27" s="139" t="n"/>
      <c r="Y27" s="16" t="n"/>
      <c r="Z27" s="139" t="n"/>
      <c r="AA27" s="16" t="n"/>
      <c r="AB27" s="139" t="n"/>
      <c r="AC27" s="16" t="n"/>
      <c r="AD27" s="139" t="n"/>
      <c r="AE27" s="16">
        <f>(W27+Y27+AA27+AC27)</f>
        <v/>
      </c>
      <c r="AF27" s="140" t="n"/>
      <c r="AG27" s="138" t="n"/>
      <c r="AH27" s="16" t="n"/>
      <c r="AI27" s="138" t="n"/>
      <c r="AJ27" s="16" t="n"/>
      <c r="AK27" s="138" t="n"/>
      <c r="AL27" s="16" t="n"/>
      <c r="AM27" s="138" t="n"/>
      <c r="AN27" s="16" t="n"/>
      <c r="AO27" s="138" t="n"/>
      <c r="AP27" s="16" t="n"/>
      <c r="AQ27" s="138" t="n"/>
      <c r="AR27" s="16" t="n"/>
      <c r="AS27" s="138" t="n"/>
      <c r="AT27" s="16" t="n"/>
      <c r="AU27" s="138" t="n"/>
      <c r="AV27" s="16" t="n"/>
      <c r="AW27" s="138" t="n"/>
      <c r="AX27" s="16" t="n"/>
      <c r="AY27" s="138" t="n"/>
      <c r="AZ27" s="16">
        <f>AF27+AH27+AJ27+AL27+AN27+AP27+AR27+AT27+AV27+AX27</f>
        <v/>
      </c>
      <c r="BA27" s="16" t="n"/>
      <c r="BB27" s="139" t="n"/>
      <c r="BC27" s="16" t="n"/>
      <c r="BD27" s="139" t="n"/>
      <c r="BE27" s="16">
        <f>(BA27+BC27)</f>
        <v/>
      </c>
    </row>
    <row r="28" ht="22.5" customHeight="1" s="122">
      <c r="A28" s="9" t="n"/>
      <c r="B28" s="136" t="inlineStr">
        <is>
          <t>X-ray Tube</t>
        </is>
      </c>
      <c r="C28" s="137" t="inlineStr">
        <is>
          <t>100kV</t>
        </is>
      </c>
      <c r="D28" s="60" t="inlineStr">
        <is>
          <t>TUBE</t>
        </is>
      </c>
      <c r="E28" s="11" t="inlineStr">
        <is>
          <t>100Kv DXDR-100</t>
        </is>
      </c>
      <c r="F28" s="99" t="n"/>
      <c r="G28" s="9" t="n"/>
      <c r="H28" s="9" t="n"/>
      <c r="I28" s="14" t="n"/>
      <c r="J28" s="14" t="n"/>
      <c r="K28" s="12" t="n">
        <v>0</v>
      </c>
      <c r="L28" s="9" t="n"/>
      <c r="M28" s="9" t="n"/>
      <c r="N28" s="9" t="n"/>
      <c r="O28" s="40">
        <f>K28+V28-AE28-AZ28</f>
        <v/>
      </c>
      <c r="P28" s="12" t="n"/>
      <c r="Q28" s="138" t="n"/>
      <c r="R28" s="16" t="n"/>
      <c r="S28" s="139" t="n"/>
      <c r="T28" s="16" t="n"/>
      <c r="U28" s="139" t="n"/>
      <c r="V28" s="16">
        <f>P28+R28+T28</f>
        <v/>
      </c>
      <c r="W28" s="16" t="n"/>
      <c r="X28" s="139" t="n"/>
      <c r="Y28" s="16" t="n"/>
      <c r="Z28" s="139" t="n"/>
      <c r="AA28" s="16" t="n"/>
      <c r="AB28" s="139" t="n"/>
      <c r="AC28" s="16" t="n"/>
      <c r="AD28" s="139" t="n"/>
      <c r="AE28" s="16">
        <f>(W28+Y28+AA28+AC28)</f>
        <v/>
      </c>
      <c r="AF28" s="140" t="n"/>
      <c r="AG28" s="138" t="n"/>
      <c r="AH28" s="16" t="n"/>
      <c r="AI28" s="138" t="n"/>
      <c r="AJ28" s="16" t="n"/>
      <c r="AK28" s="138" t="n"/>
      <c r="AL28" s="16" t="n"/>
      <c r="AM28" s="138" t="n"/>
      <c r="AN28" s="16" t="n"/>
      <c r="AO28" s="138" t="n"/>
      <c r="AP28" s="16" t="n"/>
      <c r="AQ28" s="138" t="n"/>
      <c r="AR28" s="16" t="n"/>
      <c r="AS28" s="138" t="n"/>
      <c r="AT28" s="16" t="n"/>
      <c r="AU28" s="138" t="n"/>
      <c r="AV28" s="16" t="n"/>
      <c r="AW28" s="138" t="n"/>
      <c r="AX28" s="16" t="n"/>
      <c r="AY28" s="138" t="n"/>
      <c r="AZ28" s="16">
        <f>AF28+AH28+AJ28+AL28+AN28+AP28+AR28+AT28+AV28+AX28</f>
        <v/>
      </c>
      <c r="BA28" s="16" t="n"/>
      <c r="BB28" s="139" t="n"/>
      <c r="BC28" s="16" t="n"/>
      <c r="BD28" s="139" t="n"/>
      <c r="BE28" s="16">
        <f>(BA28+BC28)</f>
        <v/>
      </c>
    </row>
    <row r="29" ht="22.5" customHeight="1" s="122">
      <c r="A29" s="9" t="n"/>
      <c r="B29" s="136" t="inlineStr">
        <is>
          <t>베이클라이트</t>
        </is>
      </c>
      <c r="C29" s="137" t="inlineStr">
        <is>
          <t>DX3000, ADX4000W ADX6000</t>
        </is>
      </c>
      <c r="D29" s="61" t="inlineStr">
        <is>
          <t>튜브 하우징 파이프</t>
        </is>
      </c>
      <c r="E29" s="11" t="inlineStr">
        <is>
          <t>베이클라이트</t>
        </is>
      </c>
      <c r="F29" s="99" t="n"/>
      <c r="G29" s="9" t="n"/>
      <c r="H29" s="9" t="inlineStr">
        <is>
          <t>용봉화학</t>
        </is>
      </c>
      <c r="I29" s="14" t="n"/>
      <c r="J29" s="14" t="n"/>
      <c r="K29" s="12" t="n">
        <v>800</v>
      </c>
      <c r="L29" s="9" t="n"/>
      <c r="M29" s="9" t="n"/>
      <c r="N29" s="9" t="n"/>
      <c r="O29" s="40">
        <f>K29+V29-AE29-AZ29</f>
        <v/>
      </c>
      <c r="P29" s="12" t="n"/>
      <c r="Q29" s="138" t="n"/>
      <c r="R29" s="16" t="n"/>
      <c r="S29" s="139" t="n"/>
      <c r="T29" s="16" t="n"/>
      <c r="U29" s="139" t="n"/>
      <c r="V29" s="16">
        <f>P29+R29+T29</f>
        <v/>
      </c>
      <c r="W29" s="16" t="n"/>
      <c r="X29" s="139" t="n"/>
      <c r="Y29" s="16" t="n"/>
      <c r="Z29" s="139" t="n"/>
      <c r="AA29" s="16" t="n"/>
      <c r="AB29" s="139" t="n"/>
      <c r="AC29" s="16" t="n"/>
      <c r="AD29" s="139" t="n"/>
      <c r="AE29" s="16">
        <f>(W29+Y29+AA29+AC29)</f>
        <v/>
      </c>
      <c r="AF29" s="140" t="n"/>
      <c r="AG29" s="138" t="n"/>
      <c r="AH29" s="16" t="n"/>
      <c r="AI29" s="138" t="n"/>
      <c r="AJ29" s="16" t="n"/>
      <c r="AK29" s="138" t="n"/>
      <c r="AL29" s="16" t="n"/>
      <c r="AM29" s="138" t="n"/>
      <c r="AN29" s="16" t="n"/>
      <c r="AO29" s="138" t="n"/>
      <c r="AP29" s="16" t="n"/>
      <c r="AQ29" s="138" t="n"/>
      <c r="AR29" s="16" t="n"/>
      <c r="AS29" s="138" t="n"/>
      <c r="AT29" s="16" t="n"/>
      <c r="AU29" s="138" t="n"/>
      <c r="AV29" s="16" t="n"/>
      <c r="AW29" s="138" t="n"/>
      <c r="AX29" s="16" t="n"/>
      <c r="AY29" s="138" t="n"/>
      <c r="AZ29" s="16">
        <f>AF29+AH29+AJ29+AL29+AN29+AP29+AR29+AT29+AV29+AX29</f>
        <v/>
      </c>
      <c r="BA29" s="16" t="n"/>
      <c r="BB29" s="139" t="n"/>
      <c r="BC29" s="16" t="n"/>
      <c r="BD29" s="139" t="n"/>
      <c r="BE29" s="16">
        <f>(BA29+BC29)</f>
        <v/>
      </c>
    </row>
    <row r="30" ht="22.5" customHeight="1" s="122">
      <c r="A30" s="9" t="n"/>
      <c r="B30" s="141" t="inlineStr">
        <is>
          <t>HDPE</t>
        </is>
      </c>
      <c r="C30" s="137" t="inlineStr">
        <is>
          <t>COCOON</t>
        </is>
      </c>
      <c r="D30" s="62" t="inlineStr">
        <is>
          <t>튜브 하우징 파이프</t>
        </is>
      </c>
      <c r="E30" s="36" t="inlineStr">
        <is>
          <t>HDPE</t>
        </is>
      </c>
      <c r="F30" s="99" t="n"/>
      <c r="G30" s="22" t="n"/>
      <c r="H30" s="22" t="inlineStr">
        <is>
          <t>용봉화학</t>
        </is>
      </c>
      <c r="I30" s="14" t="n"/>
      <c r="J30" s="14" t="n"/>
      <c r="K30" s="12" t="n">
        <v>360</v>
      </c>
      <c r="L30" s="9" t="n"/>
      <c r="M30" s="9" t="n"/>
      <c r="N30" s="9" t="n"/>
      <c r="O30" s="40">
        <f>K30+V30-AE30-AZ30</f>
        <v/>
      </c>
      <c r="P30" s="12" t="n"/>
      <c r="Q30" s="138" t="n"/>
      <c r="R30" s="16" t="n"/>
      <c r="S30" s="139" t="n"/>
      <c r="T30" s="16" t="n"/>
      <c r="U30" s="139" t="n"/>
      <c r="V30" s="16">
        <f>P30+R30+T30</f>
        <v/>
      </c>
      <c r="W30" s="16" t="n"/>
      <c r="X30" s="139" t="n"/>
      <c r="Y30" s="16" t="n"/>
      <c r="Z30" s="139" t="n"/>
      <c r="AA30" s="16" t="n"/>
      <c r="AB30" s="139" t="n"/>
      <c r="AC30" s="16" t="n"/>
      <c r="AD30" s="139" t="n"/>
      <c r="AE30" s="16">
        <f>(W30+Y30+AA30+AC30)</f>
        <v/>
      </c>
      <c r="AF30" s="140" t="n"/>
      <c r="AG30" s="138" t="n"/>
      <c r="AH30" s="16" t="n"/>
      <c r="AI30" s="138" t="n"/>
      <c r="AJ30" s="16" t="n"/>
      <c r="AK30" s="138" t="n"/>
      <c r="AL30" s="16" t="n"/>
      <c r="AM30" s="138" t="n"/>
      <c r="AN30" s="16" t="n"/>
      <c r="AO30" s="138" t="n"/>
      <c r="AP30" s="16" t="n"/>
      <c r="AQ30" s="138" t="n"/>
      <c r="AR30" s="16" t="n"/>
      <c r="AS30" s="138" t="n"/>
      <c r="AT30" s="16" t="n"/>
      <c r="AU30" s="138" t="n"/>
      <c r="AV30" s="16" t="n"/>
      <c r="AW30" s="138" t="n"/>
      <c r="AX30" s="16" t="n"/>
      <c r="AY30" s="138" t="n"/>
      <c r="AZ30" s="16">
        <f>AF30+AH30+AJ30+AL30+AN30+AP30+AR30+AT30+AV30+AX30</f>
        <v/>
      </c>
      <c r="BA30" s="16" t="n"/>
      <c r="BB30" s="139" t="n"/>
      <c r="BC30" s="16" t="n"/>
      <c r="BD30" s="139" t="n"/>
      <c r="BE30" s="16">
        <f>(BA30+BC30)</f>
        <v/>
      </c>
    </row>
    <row r="31" ht="22.5" customHeight="1" s="122">
      <c r="A31" s="9" t="n"/>
      <c r="B31" s="141" t="inlineStr">
        <is>
          <t>HDPE</t>
        </is>
      </c>
      <c r="C31" s="137" t="inlineStr">
        <is>
          <t>SOLO</t>
        </is>
      </c>
      <c r="D31" s="62" t="inlineStr">
        <is>
          <t>튜브 하우징 파이프</t>
        </is>
      </c>
      <c r="E31" s="36" t="inlineStr">
        <is>
          <t>HDPE</t>
        </is>
      </c>
      <c r="F31" s="99" t="n"/>
      <c r="G31" s="22" t="n"/>
      <c r="H31" s="22" t="inlineStr">
        <is>
          <t>용봉화학</t>
        </is>
      </c>
      <c r="I31" s="14" t="n"/>
      <c r="J31" s="14" t="n"/>
      <c r="K31" s="12" t="n">
        <v>100</v>
      </c>
      <c r="L31" s="9" t="n"/>
      <c r="M31" s="9" t="n"/>
      <c r="N31" s="9" t="n"/>
      <c r="O31" s="40">
        <f>K31+V31-AE31-AZ31</f>
        <v/>
      </c>
      <c r="P31" s="12" t="n"/>
      <c r="Q31" s="138" t="n"/>
      <c r="R31" s="16" t="n"/>
      <c r="S31" s="139" t="n"/>
      <c r="T31" s="16" t="n"/>
      <c r="U31" s="139" t="n"/>
      <c r="V31" s="16">
        <f>P31+R31+T31</f>
        <v/>
      </c>
      <c r="W31" s="16" t="n"/>
      <c r="X31" s="139" t="n"/>
      <c r="Y31" s="16" t="n"/>
      <c r="Z31" s="139" t="n"/>
      <c r="AA31" s="16" t="n"/>
      <c r="AB31" s="139" t="n"/>
      <c r="AC31" s="16" t="n"/>
      <c r="AD31" s="139" t="n"/>
      <c r="AE31" s="16">
        <f>(W31+Y31+AA31+AC31)</f>
        <v/>
      </c>
      <c r="AF31" s="140" t="n"/>
      <c r="AG31" s="138" t="n"/>
      <c r="AH31" s="16" t="n"/>
      <c r="AI31" s="138" t="n"/>
      <c r="AJ31" s="16" t="n"/>
      <c r="AK31" s="138" t="n"/>
      <c r="AL31" s="16" t="n"/>
      <c r="AM31" s="138" t="n"/>
      <c r="AN31" s="16" t="n"/>
      <c r="AO31" s="138" t="n"/>
      <c r="AP31" s="16" t="n"/>
      <c r="AQ31" s="138" t="n"/>
      <c r="AR31" s="16" t="n"/>
      <c r="AS31" s="138" t="n"/>
      <c r="AT31" s="16" t="n"/>
      <c r="AU31" s="138" t="n"/>
      <c r="AV31" s="16" t="n"/>
      <c r="AW31" s="138" t="n"/>
      <c r="AX31" s="16" t="n"/>
      <c r="AY31" s="138" t="n"/>
      <c r="AZ31" s="16">
        <f>AF31+AH31+AJ31+AL31+AN31+AP31+AR31+AT31+AV31+AX31</f>
        <v/>
      </c>
      <c r="BA31" s="16" t="n"/>
      <c r="BB31" s="139" t="n"/>
      <c r="BC31" s="16" t="n"/>
      <c r="BD31" s="139" t="n"/>
      <c r="BE31" s="16">
        <f>(BA31+BC31)</f>
        <v/>
      </c>
    </row>
    <row r="32" ht="22.5" customHeight="1" s="122">
      <c r="A32" s="9" t="n"/>
      <c r="B32" s="136" t="inlineStr">
        <is>
          <t>램프</t>
        </is>
      </c>
      <c r="C32" s="137" t="inlineStr">
        <is>
          <t>DX3000, ADX4000W COCOON</t>
        </is>
      </c>
      <c r="D32" s="63" t="inlineStr">
        <is>
          <t>네온램프</t>
        </is>
      </c>
      <c r="E32" s="11" t="inlineStr">
        <is>
          <t>NEON-5T.5*13 red</t>
        </is>
      </c>
      <c r="F32" s="99" t="n"/>
      <c r="G32" s="9" t="n"/>
      <c r="H32" s="9" t="inlineStr">
        <is>
          <t>HLP</t>
        </is>
      </c>
      <c r="I32" s="14" t="n"/>
      <c r="J32" s="14" t="n"/>
      <c r="K32" s="12" t="n">
        <v>1000</v>
      </c>
      <c r="L32" s="9" t="n"/>
      <c r="M32" s="9" t="n"/>
      <c r="N32" s="9" t="n"/>
      <c r="O32" s="40">
        <f>K32+V32-AE32-AZ32</f>
        <v/>
      </c>
      <c r="P32" s="12" t="n"/>
      <c r="Q32" s="138" t="n"/>
      <c r="R32" s="16" t="n"/>
      <c r="S32" s="139" t="n"/>
      <c r="T32" s="16" t="n"/>
      <c r="U32" s="139" t="n"/>
      <c r="V32" s="16">
        <f>P32+R32+T32</f>
        <v/>
      </c>
      <c r="W32" s="16" t="n"/>
      <c r="X32" s="139" t="n"/>
      <c r="Y32" s="16" t="n"/>
      <c r="Z32" s="139" t="n"/>
      <c r="AA32" s="16" t="n"/>
      <c r="AB32" s="139" t="n"/>
      <c r="AC32" s="16" t="n"/>
      <c r="AD32" s="139" t="n"/>
      <c r="AE32" s="16">
        <f>(W32+Y32+AA32+AC32)</f>
        <v/>
      </c>
      <c r="AF32" s="140" t="n"/>
      <c r="AG32" s="138" t="n"/>
      <c r="AH32" s="16" t="n"/>
      <c r="AI32" s="138" t="n"/>
      <c r="AJ32" s="16" t="n"/>
      <c r="AK32" s="138" t="n"/>
      <c r="AL32" s="16" t="n"/>
      <c r="AM32" s="138" t="n"/>
      <c r="AN32" s="16" t="n"/>
      <c r="AO32" s="138" t="n"/>
      <c r="AP32" s="16" t="n"/>
      <c r="AQ32" s="138" t="n"/>
      <c r="AR32" s="16" t="n"/>
      <c r="AS32" s="138" t="n"/>
      <c r="AT32" s="16" t="n"/>
      <c r="AU32" s="138" t="n"/>
      <c r="AV32" s="16" t="n"/>
      <c r="AW32" s="138" t="n"/>
      <c r="AX32" s="16" t="n"/>
      <c r="AY32" s="138" t="n"/>
      <c r="AZ32" s="16">
        <f>AF32+AH32+AJ32+AL32+AN32+AP32+AR32+AT32+AV32+AX32</f>
        <v/>
      </c>
      <c r="BA32" s="16" t="n"/>
      <c r="BB32" s="139" t="n"/>
      <c r="BC32" s="16" t="n"/>
      <c r="BD32" s="139" t="n"/>
      <c r="BE32" s="16">
        <f>(BA32+BC32)</f>
        <v/>
      </c>
    </row>
    <row r="33" ht="22.5" customHeight="1" s="122">
      <c r="A33" s="9" t="n"/>
      <c r="B33" s="136" t="inlineStr">
        <is>
          <t>다이오드</t>
        </is>
      </c>
      <c r="C33" s="137" t="inlineStr">
        <is>
          <t>DX3000, ADX4000W</t>
        </is>
      </c>
      <c r="D33" s="60" t="inlineStr">
        <is>
          <t>고압 다이오드</t>
        </is>
      </c>
      <c r="E33" s="11" t="inlineStr">
        <is>
          <t>2CL77 (20KV, 5mA)</t>
        </is>
      </c>
      <c r="F33" s="99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40">
        <f>K33+V33-AE33-AZ33</f>
        <v/>
      </c>
      <c r="P33" s="12" t="n"/>
      <c r="Q33" s="138" t="n"/>
      <c r="R33" s="16" t="n"/>
      <c r="S33" s="139" t="n"/>
      <c r="T33" s="16" t="n"/>
      <c r="U33" s="139" t="n"/>
      <c r="V33" s="16">
        <f>P33+R33+T33</f>
        <v/>
      </c>
      <c r="W33" s="16" t="n"/>
      <c r="X33" s="139" t="n"/>
      <c r="Y33" s="16" t="n"/>
      <c r="Z33" s="139" t="n"/>
      <c r="AA33" s="16" t="n"/>
      <c r="AB33" s="139" t="n"/>
      <c r="AC33" s="16" t="n"/>
      <c r="AD33" s="139" t="n"/>
      <c r="AE33" s="16">
        <f>(W33+Y33+AA33+AC33)</f>
        <v/>
      </c>
      <c r="AF33" s="140" t="n"/>
      <c r="AG33" s="138" t="n"/>
      <c r="AH33" s="16" t="n"/>
      <c r="AI33" s="138" t="n"/>
      <c r="AJ33" s="16" t="n"/>
      <c r="AK33" s="138" t="n"/>
      <c r="AL33" s="16" t="n"/>
      <c r="AM33" s="138" t="n"/>
      <c r="AN33" s="16" t="n"/>
      <c r="AO33" s="138" t="n"/>
      <c r="AP33" s="16" t="n"/>
      <c r="AQ33" s="138" t="n"/>
      <c r="AR33" s="16" t="n"/>
      <c r="AS33" s="138" t="n"/>
      <c r="AT33" s="16" t="n"/>
      <c r="AU33" s="138" t="n"/>
      <c r="AV33" s="16" t="n"/>
      <c r="AW33" s="138" t="n"/>
      <c r="AX33" s="16" t="n"/>
      <c r="AY33" s="138" t="n"/>
      <c r="AZ33" s="16">
        <f>AF33+AH33+AJ33+AL33+AN33+AP33+AR33+AT33+AV33+AX33</f>
        <v/>
      </c>
      <c r="BA33" s="16" t="n"/>
      <c r="BB33" s="139" t="n"/>
      <c r="BC33" s="16" t="n"/>
      <c r="BD33" s="139" t="n"/>
      <c r="BE33" s="16">
        <f>(BA33+BC33)</f>
        <v/>
      </c>
    </row>
    <row r="34" ht="22.5" customHeight="1" s="122">
      <c r="A34" s="9" t="n"/>
      <c r="B34" s="136" t="inlineStr">
        <is>
          <t>다이오드</t>
        </is>
      </c>
      <c r="C34" s="137" t="inlineStr">
        <is>
          <t>DX3000, ADX4000W ADX6000</t>
        </is>
      </c>
      <c r="D34" s="60" t="inlineStr">
        <is>
          <t>고압 다이오드</t>
        </is>
      </c>
      <c r="E34" s="11" t="inlineStr">
        <is>
          <t>DL1500</t>
        </is>
      </c>
      <c r="F34" s="99" t="n"/>
      <c r="G34" s="9" t="n"/>
      <c r="H34" s="9" t="inlineStr">
        <is>
          <t>비지티</t>
        </is>
      </c>
      <c r="I34" s="14" t="n"/>
      <c r="J34" s="14" t="n"/>
      <c r="K34" s="12" t="n">
        <v>0</v>
      </c>
      <c r="L34" s="9" t="n"/>
      <c r="M34" s="9" t="n"/>
      <c r="N34" s="9" t="n"/>
      <c r="O34" s="40">
        <f>K34+V34-AE34-AZ34</f>
        <v/>
      </c>
      <c r="P34" s="12" t="n"/>
      <c r="Q34" s="138" t="n"/>
      <c r="R34" s="16" t="n"/>
      <c r="S34" s="139" t="n"/>
      <c r="T34" s="16" t="n"/>
      <c r="U34" s="139" t="n"/>
      <c r="V34" s="16">
        <f>P34+R34+T34</f>
        <v/>
      </c>
      <c r="W34" s="16" t="n"/>
      <c r="X34" s="139" t="n"/>
      <c r="Y34" s="16" t="n"/>
      <c r="Z34" s="139" t="n"/>
      <c r="AA34" s="16" t="n"/>
      <c r="AB34" s="139" t="n"/>
      <c r="AC34" s="16" t="n"/>
      <c r="AD34" s="139" t="n"/>
      <c r="AE34" s="16">
        <f>(W34+Y34+AA34+AC34)</f>
        <v/>
      </c>
      <c r="AF34" s="140" t="n"/>
      <c r="AG34" s="138" t="n"/>
      <c r="AH34" s="16" t="n"/>
      <c r="AI34" s="138" t="n"/>
      <c r="AJ34" s="16" t="n"/>
      <c r="AK34" s="138" t="n"/>
      <c r="AL34" s="16" t="n"/>
      <c r="AM34" s="138" t="n"/>
      <c r="AN34" s="16" t="n"/>
      <c r="AO34" s="138" t="n"/>
      <c r="AP34" s="16" t="n"/>
      <c r="AQ34" s="138" t="n"/>
      <c r="AR34" s="16" t="n"/>
      <c r="AS34" s="138" t="n"/>
      <c r="AT34" s="16" t="n"/>
      <c r="AU34" s="138" t="n"/>
      <c r="AV34" s="16" t="n"/>
      <c r="AW34" s="138" t="n"/>
      <c r="AX34" s="16" t="n"/>
      <c r="AY34" s="138" t="n"/>
      <c r="AZ34" s="16">
        <f>AF34+AH34+AJ34+AL34+AN34+AP34+AR34+AT34+AV34+AX34</f>
        <v/>
      </c>
      <c r="BA34" s="16" t="n"/>
      <c r="BB34" s="139" t="n"/>
      <c r="BC34" s="16" t="n"/>
      <c r="BD34" s="139" t="n"/>
      <c r="BE34" s="16">
        <f>(BA34+BC34)</f>
        <v/>
      </c>
    </row>
    <row r="35" ht="22.5" customHeight="1" s="122">
      <c r="A35" s="9" t="n"/>
      <c r="B35" s="136" t="inlineStr">
        <is>
          <t>다이오드</t>
        </is>
      </c>
      <c r="C35" s="137" t="inlineStr">
        <is>
          <t>COCOON</t>
        </is>
      </c>
      <c r="D35" s="60" t="inlineStr">
        <is>
          <t>고압 다이오드</t>
        </is>
      </c>
      <c r="E35" s="11" t="inlineStr">
        <is>
          <t>DD1800</t>
        </is>
      </c>
      <c r="F35" s="99" t="n"/>
      <c r="G35" s="9" t="n"/>
      <c r="H35" s="9" t="inlineStr">
        <is>
          <t>비지티</t>
        </is>
      </c>
      <c r="I35" s="14" t="n"/>
      <c r="J35" s="14" t="n"/>
      <c r="K35" s="12" t="n">
        <v>0</v>
      </c>
      <c r="L35" s="9" t="n"/>
      <c r="M35" s="9" t="n"/>
      <c r="N35" s="9" t="n"/>
      <c r="O35" s="40">
        <f>K35+V35-AE35-AZ35</f>
        <v/>
      </c>
      <c r="P35" s="12" t="n"/>
      <c r="Q35" s="138" t="n"/>
      <c r="R35" s="16" t="n"/>
      <c r="S35" s="139" t="n"/>
      <c r="T35" s="16" t="n"/>
      <c r="U35" s="139" t="n"/>
      <c r="V35" s="16">
        <f>P35+R35+T35</f>
        <v/>
      </c>
      <c r="W35" s="16" t="n"/>
      <c r="X35" s="139" t="n"/>
      <c r="Y35" s="16" t="n"/>
      <c r="Z35" s="139" t="n"/>
      <c r="AA35" s="16" t="n"/>
      <c r="AB35" s="139" t="n"/>
      <c r="AC35" s="16" t="n"/>
      <c r="AD35" s="139" t="n"/>
      <c r="AE35" s="16">
        <f>(W35+Y35+AA35+AC35)</f>
        <v/>
      </c>
      <c r="AF35" s="140" t="n"/>
      <c r="AG35" s="138" t="n"/>
      <c r="AH35" s="16" t="n"/>
      <c r="AI35" s="138" t="n"/>
      <c r="AJ35" s="16" t="n"/>
      <c r="AK35" s="138" t="n"/>
      <c r="AL35" s="16" t="n"/>
      <c r="AM35" s="138" t="n"/>
      <c r="AN35" s="16" t="n"/>
      <c r="AO35" s="138" t="n"/>
      <c r="AP35" s="16" t="n"/>
      <c r="AQ35" s="138" t="n"/>
      <c r="AR35" s="16" t="n"/>
      <c r="AS35" s="138" t="n"/>
      <c r="AT35" s="16" t="n"/>
      <c r="AU35" s="138" t="n"/>
      <c r="AV35" s="16" t="n"/>
      <c r="AW35" s="138" t="n"/>
      <c r="AX35" s="16" t="n"/>
      <c r="AY35" s="138" t="n"/>
      <c r="AZ35" s="16">
        <f>AF35+AH35+AJ35+AL35+AN35+AP35+AR35+AT35+AV35+AX35</f>
        <v/>
      </c>
      <c r="BA35" s="16" t="n"/>
      <c r="BB35" s="139" t="n"/>
      <c r="BC35" s="16" t="n"/>
      <c r="BD35" s="139" t="n"/>
      <c r="BE35" s="16">
        <f>(BA35+BC35)</f>
        <v/>
      </c>
    </row>
    <row r="36" ht="22.5" customHeight="1" s="122">
      <c r="A36" s="9" t="n"/>
      <c r="B36" s="136" t="inlineStr">
        <is>
          <t>다이오드</t>
        </is>
      </c>
      <c r="C36" s="137" t="inlineStr">
        <is>
          <t>COCOON</t>
        </is>
      </c>
      <c r="D36" s="60" t="inlineStr">
        <is>
          <t>LC-2G</t>
        </is>
      </c>
      <c r="E36" s="11" t="inlineStr">
        <is>
          <t>TEST POINT BLACK</t>
        </is>
      </c>
      <c r="F36" s="99" t="n"/>
      <c r="G36" s="9" t="n"/>
      <c r="H36" s="9" t="inlineStr">
        <is>
          <t>HLP</t>
        </is>
      </c>
      <c r="I36" s="14" t="n"/>
      <c r="J36" s="14" t="n"/>
      <c r="K36" s="12" t="n">
        <v>1000</v>
      </c>
      <c r="L36" s="9" t="n"/>
      <c r="M36" s="9" t="n"/>
      <c r="N36" s="9" t="n"/>
      <c r="O36" s="40">
        <f>K36+V36-AE36-AZ36</f>
        <v/>
      </c>
      <c r="P36" s="12" t="n"/>
      <c r="Q36" s="138" t="n"/>
      <c r="R36" s="16" t="n"/>
      <c r="S36" s="139" t="n"/>
      <c r="T36" s="16" t="n"/>
      <c r="U36" s="139" t="n"/>
      <c r="V36" s="16">
        <f>P36+R36+T36</f>
        <v/>
      </c>
      <c r="W36" s="16" t="n"/>
      <c r="X36" s="139" t="n"/>
      <c r="Y36" s="16" t="n"/>
      <c r="Z36" s="139" t="n"/>
      <c r="AA36" s="16" t="n"/>
      <c r="AB36" s="139" t="n"/>
      <c r="AC36" s="16" t="n"/>
      <c r="AD36" s="139" t="n"/>
      <c r="AE36" s="16">
        <f>(W36+Y36+AA36+AC36)</f>
        <v/>
      </c>
      <c r="AF36" s="140" t="n"/>
      <c r="AG36" s="138" t="n"/>
      <c r="AH36" s="16" t="n"/>
      <c r="AI36" s="138" t="n"/>
      <c r="AJ36" s="16" t="n"/>
      <c r="AK36" s="138" t="n"/>
      <c r="AL36" s="16" t="n"/>
      <c r="AM36" s="138" t="n"/>
      <c r="AN36" s="16" t="n"/>
      <c r="AO36" s="138" t="n"/>
      <c r="AP36" s="16" t="n"/>
      <c r="AQ36" s="138" t="n"/>
      <c r="AR36" s="16" t="n"/>
      <c r="AS36" s="138" t="n"/>
      <c r="AT36" s="16" t="n"/>
      <c r="AU36" s="138" t="n"/>
      <c r="AV36" s="16" t="n"/>
      <c r="AW36" s="138" t="n"/>
      <c r="AX36" s="16" t="n"/>
      <c r="AY36" s="138" t="n"/>
      <c r="AZ36" s="16" t="n"/>
      <c r="BA36" s="16" t="n"/>
      <c r="BB36" s="139" t="n"/>
      <c r="BC36" s="16" t="n"/>
      <c r="BD36" s="139" t="n"/>
      <c r="BE36" s="16" t="n"/>
    </row>
    <row r="37" ht="22.5" customHeight="1" s="122">
      <c r="A37" s="9" t="n"/>
      <c r="B37" s="136" t="inlineStr">
        <is>
          <t>저항</t>
        </is>
      </c>
      <c r="C37" s="137" t="inlineStr">
        <is>
          <t>DX3000, ADX4000W</t>
        </is>
      </c>
      <c r="D37" s="64" t="inlineStr">
        <is>
          <t>15㏀ 고압용 저항</t>
        </is>
      </c>
      <c r="E37" s="11" t="inlineStr">
        <is>
          <t>15㏀±1％, DIP-1/4W</t>
        </is>
      </c>
      <c r="F37" s="99" t="n"/>
      <c r="G37" s="9" t="n"/>
      <c r="H37" s="9" t="inlineStr">
        <is>
          <t>HLP</t>
        </is>
      </c>
      <c r="I37" s="14" t="n"/>
      <c r="J37" s="14" t="n"/>
      <c r="K37" s="12" t="n">
        <v>0</v>
      </c>
      <c r="L37" s="9" t="n"/>
      <c r="M37" s="9" t="n"/>
      <c r="N37" s="9" t="n"/>
      <c r="O37" s="40">
        <f>K37+V37-AE37-AZ37</f>
        <v/>
      </c>
      <c r="P37" s="12" t="n"/>
      <c r="Q37" s="138" t="n"/>
      <c r="R37" s="16" t="n"/>
      <c r="S37" s="139" t="n"/>
      <c r="T37" s="16" t="n"/>
      <c r="U37" s="139" t="n"/>
      <c r="V37" s="16">
        <f>P37+R37+T37</f>
        <v/>
      </c>
      <c r="W37" s="16" t="n"/>
      <c r="X37" s="139" t="n"/>
      <c r="Y37" s="16" t="n"/>
      <c r="Z37" s="139" t="n"/>
      <c r="AA37" s="16" t="n"/>
      <c r="AB37" s="139" t="n"/>
      <c r="AC37" s="16" t="n"/>
      <c r="AD37" s="139" t="n"/>
      <c r="AE37" s="16">
        <f>(W37+Y37+AA37+AC37)</f>
        <v/>
      </c>
      <c r="AF37" s="140" t="n"/>
      <c r="AG37" s="138" t="n"/>
      <c r="AH37" s="16" t="n"/>
      <c r="AI37" s="138" t="n"/>
      <c r="AJ37" s="16" t="n"/>
      <c r="AK37" s="138" t="n"/>
      <c r="AL37" s="16" t="n"/>
      <c r="AM37" s="138" t="n"/>
      <c r="AN37" s="16" t="n"/>
      <c r="AO37" s="138" t="n"/>
      <c r="AP37" s="16" t="n"/>
      <c r="AQ37" s="138" t="n"/>
      <c r="AR37" s="16" t="n"/>
      <c r="AS37" s="138" t="n"/>
      <c r="AT37" s="16" t="n"/>
      <c r="AU37" s="138" t="n"/>
      <c r="AV37" s="16" t="n"/>
      <c r="AW37" s="138" t="n"/>
      <c r="AX37" s="16" t="n"/>
      <c r="AY37" s="138" t="n"/>
      <c r="AZ37" s="16">
        <f>AF37+AH37+AJ37+AL37+AN37+AP37+AR37+AT37+AV37+AX37</f>
        <v/>
      </c>
      <c r="BA37" s="16" t="n"/>
      <c r="BB37" s="139" t="n"/>
      <c r="BC37" s="16" t="n"/>
      <c r="BD37" s="139" t="n"/>
      <c r="BE37" s="16">
        <f>(BA37+BC37)</f>
        <v/>
      </c>
    </row>
    <row r="38" ht="22.5" customHeight="1" s="122">
      <c r="A38" s="9" t="n"/>
      <c r="B38" s="136" t="inlineStr">
        <is>
          <t>저항</t>
        </is>
      </c>
      <c r="C38" s="137" t="inlineStr">
        <is>
          <t>DX3000, ADX4000W ADX6000</t>
        </is>
      </c>
      <c r="D38" s="64" t="inlineStr">
        <is>
          <t>30㏀ 고압용 저항</t>
        </is>
      </c>
      <c r="E38" s="11" t="inlineStr">
        <is>
          <t>30㏀±1％, DIP-1/4W</t>
        </is>
      </c>
      <c r="F38" s="99" t="n"/>
      <c r="G38" s="9" t="n"/>
      <c r="H38" s="9" t="inlineStr">
        <is>
          <t>HLP</t>
        </is>
      </c>
      <c r="I38" s="14" t="n"/>
      <c r="J38" s="14" t="n"/>
      <c r="K38" s="12" t="n">
        <v>0</v>
      </c>
      <c r="L38" s="9" t="n"/>
      <c r="M38" s="9" t="n"/>
      <c r="N38" s="9" t="n"/>
      <c r="O38" s="40">
        <f>K38+V38-AE38-AZ38</f>
        <v/>
      </c>
      <c r="P38" s="12" t="n"/>
      <c r="Q38" s="138" t="n"/>
      <c r="R38" s="16" t="n"/>
      <c r="S38" s="139" t="n"/>
      <c r="T38" s="16" t="n"/>
      <c r="U38" s="139" t="n"/>
      <c r="V38" s="16">
        <f>P38+R38+T38</f>
        <v/>
      </c>
      <c r="W38" s="16" t="n"/>
      <c r="X38" s="139" t="n"/>
      <c r="Y38" s="16" t="n"/>
      <c r="Z38" s="139" t="n"/>
      <c r="AA38" s="16" t="n"/>
      <c r="AB38" s="139" t="n"/>
      <c r="AC38" s="16" t="n"/>
      <c r="AD38" s="139" t="n"/>
      <c r="AE38" s="16">
        <f>(W38+Y38+AA38+AC38)</f>
        <v/>
      </c>
      <c r="AF38" s="140" t="n"/>
      <c r="AG38" s="138" t="n"/>
      <c r="AH38" s="16" t="n"/>
      <c r="AI38" s="138" t="n"/>
      <c r="AJ38" s="16" t="n"/>
      <c r="AK38" s="138" t="n"/>
      <c r="AL38" s="16" t="n"/>
      <c r="AM38" s="138" t="n"/>
      <c r="AN38" s="16" t="n"/>
      <c r="AO38" s="138" t="n"/>
      <c r="AP38" s="16" t="n"/>
      <c r="AQ38" s="138" t="n"/>
      <c r="AR38" s="16" t="n"/>
      <c r="AS38" s="138" t="n"/>
      <c r="AT38" s="16" t="n"/>
      <c r="AU38" s="138" t="n"/>
      <c r="AV38" s="16" t="n"/>
      <c r="AW38" s="138" t="n"/>
      <c r="AX38" s="16" t="n"/>
      <c r="AY38" s="138" t="n"/>
      <c r="AZ38" s="16">
        <f>AF38+AH38+AJ38+AL38+AN38+AP38+AR38+AT38+AV38+AX38</f>
        <v/>
      </c>
      <c r="BA38" s="16" t="n"/>
      <c r="BB38" s="139" t="n"/>
      <c r="BC38" s="16" t="n"/>
      <c r="BD38" s="139" t="n"/>
      <c r="BE38" s="16">
        <f>(BA38+BC38)</f>
        <v/>
      </c>
    </row>
    <row r="39" ht="22.5" customHeight="1" s="122">
      <c r="A39" s="9" t="n"/>
      <c r="B39" s="136" t="inlineStr">
        <is>
          <t>저항</t>
        </is>
      </c>
      <c r="C39" s="137" t="inlineStr">
        <is>
          <t>ADX6000</t>
        </is>
      </c>
      <c r="D39" s="65" t="inlineStr">
        <is>
          <t>500Ω 고압용 저항</t>
        </is>
      </c>
      <c r="E39" s="11" t="inlineStr">
        <is>
          <t>500Ω±1％, DIP-1/4W</t>
        </is>
      </c>
      <c r="F39" s="99" t="n"/>
      <c r="G39" s="9" t="n"/>
      <c r="H39" s="9" t="inlineStr">
        <is>
          <t>HLP</t>
        </is>
      </c>
      <c r="I39" s="14" t="n"/>
      <c r="J39" s="14" t="n"/>
      <c r="K39" s="12" t="n">
        <v>5000</v>
      </c>
      <c r="L39" s="9" t="n"/>
      <c r="M39" s="9" t="n"/>
      <c r="N39" s="9" t="n"/>
      <c r="O39" s="40">
        <f>K39+V39-AE39-AZ39</f>
        <v/>
      </c>
      <c r="P39" s="12" t="n"/>
      <c r="Q39" s="138" t="n"/>
      <c r="R39" s="16" t="n"/>
      <c r="S39" s="139" t="n"/>
      <c r="T39" s="16" t="n"/>
      <c r="U39" s="139" t="n"/>
      <c r="V39" s="16">
        <f>P39+R39+T39</f>
        <v/>
      </c>
      <c r="W39" s="16" t="n"/>
      <c r="X39" s="139" t="n"/>
      <c r="Y39" s="16" t="n"/>
      <c r="Z39" s="139" t="n"/>
      <c r="AA39" s="16" t="n"/>
      <c r="AB39" s="139" t="n"/>
      <c r="AC39" s="16" t="n"/>
      <c r="AD39" s="139" t="n"/>
      <c r="AE39" s="16">
        <f>(W39+Y39+AA39+AC39)</f>
        <v/>
      </c>
      <c r="AF39" s="140" t="n"/>
      <c r="AG39" s="138" t="n"/>
      <c r="AH39" s="16" t="n"/>
      <c r="AI39" s="138" t="n"/>
      <c r="AJ39" s="16" t="n"/>
      <c r="AK39" s="138" t="n"/>
      <c r="AL39" s="16" t="n"/>
      <c r="AM39" s="138" t="n"/>
      <c r="AN39" s="16" t="n"/>
      <c r="AO39" s="138" t="n"/>
      <c r="AP39" s="16" t="n"/>
      <c r="AQ39" s="138" t="n"/>
      <c r="AR39" s="16" t="n"/>
      <c r="AS39" s="138" t="n"/>
      <c r="AT39" s="16" t="n"/>
      <c r="AU39" s="138" t="n"/>
      <c r="AV39" s="16" t="n"/>
      <c r="AW39" s="138" t="n"/>
      <c r="AX39" s="16" t="n"/>
      <c r="AY39" s="138" t="n"/>
      <c r="AZ39" s="16">
        <f>AF39+AH39+AJ39+AL39+AN39+AP39+AR39+AT39+AV39+AX39</f>
        <v/>
      </c>
      <c r="BA39" s="16" t="n"/>
      <c r="BB39" s="139" t="n"/>
      <c r="BC39" s="16" t="n"/>
      <c r="BD39" s="139" t="n"/>
      <c r="BE39" s="16">
        <f>(BA39+BC39)</f>
        <v/>
      </c>
    </row>
    <row r="40" ht="22.5" customFormat="1" customHeight="1" s="8">
      <c r="A40" s="9" t="n"/>
      <c r="B40" s="136" t="inlineStr">
        <is>
          <t>저항</t>
        </is>
      </c>
      <c r="C40" s="137" t="inlineStr">
        <is>
          <t>DX3000, ADX4000W</t>
        </is>
      </c>
      <c r="D40" s="63" t="inlineStr">
        <is>
          <t>1.7W,10kV 시멘트저항 짧은 것</t>
        </is>
      </c>
      <c r="E40" s="11" t="inlineStr">
        <is>
          <t>RK92-11XD 307J (1.7W,10kV,±5%,300ppm,Flat)</t>
        </is>
      </c>
      <c r="F40" s="99" t="n"/>
      <c r="G40" s="9" t="n"/>
      <c r="H40" s="9" t="inlineStr">
        <is>
          <t>비지티</t>
        </is>
      </c>
      <c r="I40" s="14" t="n"/>
      <c r="J40" s="14" t="n"/>
      <c r="K40" s="12" t="n">
        <v>0</v>
      </c>
      <c r="L40" s="9" t="n"/>
      <c r="M40" s="9" t="n"/>
      <c r="N40" s="9" t="n"/>
      <c r="O40" s="40">
        <f>K40+V40-AE40-AZ40</f>
        <v/>
      </c>
      <c r="P40" s="12" t="n"/>
      <c r="Q40" s="138" t="n"/>
      <c r="R40" s="16" t="n"/>
      <c r="S40" s="139" t="n"/>
      <c r="T40" s="16" t="n"/>
      <c r="U40" s="139" t="n"/>
      <c r="V40" s="16">
        <f>P40+R40+T40</f>
        <v/>
      </c>
      <c r="W40" s="16" t="n"/>
      <c r="X40" s="139" t="n"/>
      <c r="Y40" s="16" t="n"/>
      <c r="Z40" s="139" t="n"/>
      <c r="AA40" s="16" t="n"/>
      <c r="AB40" s="139" t="n"/>
      <c r="AC40" s="16" t="n"/>
      <c r="AD40" s="139" t="n"/>
      <c r="AE40" s="16">
        <f>(W40+Y40+AA40+AC40)</f>
        <v/>
      </c>
      <c r="AF40" s="140" t="n"/>
      <c r="AG40" s="138" t="n"/>
      <c r="AH40" s="16" t="n"/>
      <c r="AI40" s="138" t="n"/>
      <c r="AJ40" s="16" t="n"/>
      <c r="AK40" s="138" t="n"/>
      <c r="AL40" s="16" t="n"/>
      <c r="AM40" s="138" t="n"/>
      <c r="AN40" s="16" t="n"/>
      <c r="AO40" s="138" t="n"/>
      <c r="AP40" s="16" t="n"/>
      <c r="AQ40" s="138" t="n"/>
      <c r="AR40" s="16" t="n"/>
      <c r="AS40" s="138" t="n"/>
      <c r="AT40" s="16" t="n"/>
      <c r="AU40" s="138" t="n"/>
      <c r="AV40" s="16" t="n"/>
      <c r="AW40" s="138" t="n"/>
      <c r="AX40" s="16" t="n"/>
      <c r="AY40" s="138" t="n"/>
      <c r="AZ40" s="16">
        <f>AF40+AH40+AJ40+AL40+AN40+AP40+AR40+AT40+AV40+AX40</f>
        <v/>
      </c>
      <c r="BA40" s="16" t="n"/>
      <c r="BB40" s="139" t="n"/>
      <c r="BC40" s="16" t="n"/>
      <c r="BD40" s="139" t="n"/>
      <c r="BE40" s="16">
        <f>(BA40+BC40)</f>
        <v/>
      </c>
    </row>
    <row r="41" ht="22.5" customFormat="1" customHeight="1" s="8">
      <c r="A41" s="9" t="n"/>
      <c r="B41" s="136" t="inlineStr">
        <is>
          <t>저항</t>
        </is>
      </c>
      <c r="C41" s="137" t="inlineStr">
        <is>
          <t>COCOON</t>
        </is>
      </c>
      <c r="D41" s="60" t="inlineStr">
        <is>
          <t>2.7W,15kV 시멘트저항 긴 것</t>
        </is>
      </c>
      <c r="E41" s="11" t="inlineStr">
        <is>
          <t xml:space="preserve">RK92-18XD 307J (2.7W,15kV,±5%,300ppm,Flat) </t>
        </is>
      </c>
      <c r="F41" s="99" t="n"/>
      <c r="G41" s="9" t="n"/>
      <c r="H41" s="9" t="inlineStr">
        <is>
          <t>비지티</t>
        </is>
      </c>
      <c r="I41" s="14" t="n"/>
      <c r="J41" s="14" t="n"/>
      <c r="K41" s="12" t="n">
        <v>0</v>
      </c>
      <c r="L41" s="9" t="n"/>
      <c r="M41" s="9" t="n"/>
      <c r="N41" s="9" t="n"/>
      <c r="O41" s="40">
        <f>K41+V41-AE41-AZ41</f>
        <v/>
      </c>
      <c r="P41" s="12" t="n"/>
      <c r="Q41" s="138" t="n"/>
      <c r="R41" s="16" t="n"/>
      <c r="S41" s="139" t="n"/>
      <c r="T41" s="16" t="n"/>
      <c r="U41" s="139" t="n"/>
      <c r="V41" s="16">
        <f>P41+R41+T41</f>
        <v/>
      </c>
      <c r="W41" s="16" t="n"/>
      <c r="X41" s="139" t="n"/>
      <c r="Y41" s="16" t="n"/>
      <c r="Z41" s="139" t="n"/>
      <c r="AA41" s="16" t="n"/>
      <c r="AB41" s="139" t="n"/>
      <c r="AC41" s="16" t="n"/>
      <c r="AD41" s="139" t="n"/>
      <c r="AE41" s="16">
        <f>(W41+Y41+AA41+AC41)</f>
        <v/>
      </c>
      <c r="AF41" s="140" t="n"/>
      <c r="AG41" s="138" t="n"/>
      <c r="AH41" s="16" t="n"/>
      <c r="AI41" s="138" t="n"/>
      <c r="AJ41" s="16" t="n"/>
      <c r="AK41" s="138" t="n"/>
      <c r="AL41" s="16" t="n"/>
      <c r="AM41" s="138" t="n"/>
      <c r="AN41" s="16" t="n"/>
      <c r="AO41" s="138" t="n"/>
      <c r="AP41" s="16" t="n"/>
      <c r="AQ41" s="138" t="n"/>
      <c r="AR41" s="16" t="n"/>
      <c r="AS41" s="138" t="n"/>
      <c r="AT41" s="16" t="n"/>
      <c r="AU41" s="138" t="n"/>
      <c r="AV41" s="16" t="n"/>
      <c r="AW41" s="138" t="n"/>
      <c r="AX41" s="16" t="n"/>
      <c r="AY41" s="138" t="n"/>
      <c r="AZ41" s="16">
        <f>AF41+AH41+AJ41+AL41+AN41+AP41+AR41+AT41+AV41+AX41</f>
        <v/>
      </c>
      <c r="BA41" s="16" t="n"/>
      <c r="BB41" s="139" t="n"/>
      <c r="BC41" s="16" t="n"/>
      <c r="BD41" s="139" t="n"/>
      <c r="BE41" s="16">
        <f>(BA41+BC41)</f>
        <v/>
      </c>
    </row>
    <row r="42" ht="22.5" customFormat="1" customHeight="1" s="8">
      <c r="A42" s="9" t="n"/>
      <c r="B42" s="136" t="inlineStr">
        <is>
          <t>저항</t>
        </is>
      </c>
      <c r="C42" s="137" t="inlineStr">
        <is>
          <t>DX3000, ADX4000W ADX6000</t>
        </is>
      </c>
      <c r="D42" s="60" t="inlineStr">
        <is>
          <t>47k Surge 저항</t>
        </is>
      </c>
      <c r="E42" s="11" t="inlineStr">
        <is>
          <t>HPC-2C 47k/Surge</t>
        </is>
      </c>
      <c r="F42" s="99" t="n"/>
      <c r="G42" s="9" t="n"/>
      <c r="H42" s="9" t="inlineStr">
        <is>
          <t>비지티</t>
        </is>
      </c>
      <c r="I42" s="14" t="n"/>
      <c r="J42" s="14" t="n"/>
      <c r="K42" s="12" t="n">
        <v>0</v>
      </c>
      <c r="L42" s="9" t="n"/>
      <c r="M42" s="9" t="n"/>
      <c r="N42" s="9" t="n"/>
      <c r="O42" s="40">
        <f>K42+V42-AE42-AZ42</f>
        <v/>
      </c>
      <c r="P42" s="16" t="n"/>
      <c r="Q42" s="138" t="n"/>
      <c r="R42" s="16" t="n"/>
      <c r="S42" s="139" t="n"/>
      <c r="T42" s="16" t="n"/>
      <c r="U42" s="139" t="n"/>
      <c r="V42" s="16">
        <f>P42+R42+T42</f>
        <v/>
      </c>
      <c r="W42" s="16" t="n"/>
      <c r="X42" s="139" t="n"/>
      <c r="Y42" s="16" t="n"/>
      <c r="Z42" s="139" t="n"/>
      <c r="AA42" s="16" t="n"/>
      <c r="AB42" s="139" t="n"/>
      <c r="AC42" s="16" t="n"/>
      <c r="AD42" s="139" t="n"/>
      <c r="AE42" s="16">
        <f>(W42+Y42+AA42+AC42)</f>
        <v/>
      </c>
      <c r="AF42" s="140" t="n"/>
      <c r="AG42" s="138" t="n"/>
      <c r="AH42" s="16" t="n"/>
      <c r="AI42" s="138" t="n"/>
      <c r="AJ42" s="16" t="n"/>
      <c r="AK42" s="138" t="n"/>
      <c r="AL42" s="16" t="n"/>
      <c r="AM42" s="138" t="n"/>
      <c r="AN42" s="16" t="n"/>
      <c r="AO42" s="138" t="n"/>
      <c r="AP42" s="16" t="n"/>
      <c r="AQ42" s="138" t="n"/>
      <c r="AR42" s="16" t="n"/>
      <c r="AS42" s="138" t="n"/>
      <c r="AT42" s="16" t="n"/>
      <c r="AU42" s="138" t="n"/>
      <c r="AV42" s="16" t="n"/>
      <c r="AW42" s="138" t="n"/>
      <c r="AX42" s="16" t="n"/>
      <c r="AY42" s="138" t="n"/>
      <c r="AZ42" s="16">
        <f>AF42+AH42+AJ42+AL42+AN42+AP42+AR42+AT42+AV42+AX42</f>
        <v/>
      </c>
      <c r="BA42" s="16" t="n"/>
      <c r="BB42" s="139" t="n"/>
      <c r="BC42" s="16" t="n"/>
      <c r="BD42" s="139" t="n"/>
      <c r="BE42" s="16">
        <f>(BA42+BC42)</f>
        <v/>
      </c>
    </row>
    <row r="43" ht="22.5" customFormat="1" customHeight="1" s="8">
      <c r="A43" s="9" t="n"/>
      <c r="B43" s="136" t="inlineStr">
        <is>
          <t>세라믹</t>
        </is>
      </c>
      <c r="C43" s="137" t="inlineStr">
        <is>
          <t>DX3000, ADX4000W ADX6000</t>
        </is>
      </c>
      <c r="D43" s="64" t="inlineStr">
        <is>
          <t>100nF 칩세라믹 콘덴서</t>
        </is>
      </c>
      <c r="E43" s="11" t="inlineStr">
        <is>
          <t>3216B 100nF</t>
        </is>
      </c>
      <c r="F43" s="99" t="n"/>
      <c r="G43" s="9" t="n"/>
      <c r="H43" s="9" t="inlineStr">
        <is>
          <t>HLP</t>
        </is>
      </c>
      <c r="I43" s="14" t="n"/>
      <c r="J43" s="14" t="n"/>
      <c r="K43" s="12" t="n">
        <v>4000</v>
      </c>
      <c r="L43" s="9" t="n"/>
      <c r="M43" s="9" t="n"/>
      <c r="N43" s="9" t="n"/>
      <c r="O43" s="40">
        <f>K43+V43-AE43-AZ43</f>
        <v/>
      </c>
      <c r="P43" s="12" t="n"/>
      <c r="Q43" s="138" t="n"/>
      <c r="R43" s="16" t="n"/>
      <c r="S43" s="139" t="n"/>
      <c r="T43" s="16" t="n"/>
      <c r="U43" s="139" t="n"/>
      <c r="V43" s="16">
        <f>P43+R43+T43</f>
        <v/>
      </c>
      <c r="W43" s="16" t="n"/>
      <c r="X43" s="139" t="n"/>
      <c r="Y43" s="16" t="n"/>
      <c r="Z43" s="139" t="n"/>
      <c r="AA43" s="16" t="n"/>
      <c r="AB43" s="139" t="n"/>
      <c r="AC43" s="16" t="n"/>
      <c r="AD43" s="139" t="n"/>
      <c r="AE43" s="16">
        <f>(W43+Y43+AA43+AC43)</f>
        <v/>
      </c>
      <c r="AF43" s="140" t="n"/>
      <c r="AG43" s="138" t="n"/>
      <c r="AH43" s="16" t="n"/>
      <c r="AI43" s="138" t="n"/>
      <c r="AJ43" s="16" t="n"/>
      <c r="AK43" s="138" t="n"/>
      <c r="AL43" s="16" t="n"/>
      <c r="AM43" s="138" t="n"/>
      <c r="AN43" s="16" t="n"/>
      <c r="AO43" s="138" t="n"/>
      <c r="AP43" s="16" t="n"/>
      <c r="AQ43" s="138" t="n"/>
      <c r="AR43" s="16" t="n"/>
      <c r="AS43" s="138" t="n"/>
      <c r="AT43" s="16" t="n"/>
      <c r="AU43" s="138" t="n"/>
      <c r="AV43" s="16" t="n"/>
      <c r="AW43" s="138" t="n"/>
      <c r="AX43" s="16" t="n"/>
      <c r="AY43" s="138" t="n"/>
      <c r="AZ43" s="16">
        <f>AF43+AH43+AJ43+AL43+AN43+AP43+AR43+AT43+AV43+AX43</f>
        <v/>
      </c>
      <c r="BA43" s="16" t="n"/>
      <c r="BB43" s="139" t="n"/>
      <c r="BC43" s="16" t="n"/>
      <c r="BD43" s="139" t="n"/>
      <c r="BE43" s="16">
        <f>(BA43+BC43)</f>
        <v/>
      </c>
    </row>
    <row r="44" ht="22.5" customFormat="1" customHeight="1" s="8">
      <c r="A44" s="9" t="n"/>
      <c r="B44" s="136" t="inlineStr">
        <is>
          <t>세라믹</t>
        </is>
      </c>
      <c r="C44" s="137" t="inlineStr">
        <is>
          <t>DX3000, ADX4000W ADX6000</t>
        </is>
      </c>
      <c r="D44" s="64" t="inlineStr">
        <is>
          <t>103Z 고압용 세라믹 콘덴서</t>
        </is>
      </c>
      <c r="E44" s="11" t="inlineStr">
        <is>
          <t>50V F103Z</t>
        </is>
      </c>
      <c r="F44" s="99" t="n"/>
      <c r="G44" s="9" t="n"/>
      <c r="H44" s="9" t="inlineStr">
        <is>
          <t>HLP</t>
        </is>
      </c>
      <c r="I44" s="14" t="n"/>
      <c r="J44" s="14" t="n"/>
      <c r="K44" s="12" t="n">
        <v>5000</v>
      </c>
      <c r="L44" s="9" t="n"/>
      <c r="M44" s="9" t="n"/>
      <c r="N44" s="9" t="n"/>
      <c r="O44" s="40">
        <f>K44+V44-AE44-AZ44</f>
        <v/>
      </c>
      <c r="P44" s="12" t="n"/>
      <c r="Q44" s="138" t="n"/>
      <c r="R44" s="16" t="n"/>
      <c r="S44" s="139" t="n"/>
      <c r="T44" s="16" t="n"/>
      <c r="U44" s="139" t="n"/>
      <c r="V44" s="16">
        <f>P44+R44+T44</f>
        <v/>
      </c>
      <c r="W44" s="16" t="n"/>
      <c r="X44" s="139" t="n"/>
      <c r="Y44" s="16" t="n"/>
      <c r="Z44" s="139" t="n"/>
      <c r="AA44" s="16" t="n"/>
      <c r="AB44" s="139" t="n"/>
      <c r="AC44" s="16" t="n"/>
      <c r="AD44" s="139" t="n"/>
      <c r="AE44" s="16">
        <f>(W44+Y44+AA44+AC44)</f>
        <v/>
      </c>
      <c r="AF44" s="140" t="n"/>
      <c r="AG44" s="138" t="n"/>
      <c r="AH44" s="16" t="n"/>
      <c r="AI44" s="138" t="n"/>
      <c r="AJ44" s="16" t="n"/>
      <c r="AK44" s="138" t="n"/>
      <c r="AL44" s="16" t="n"/>
      <c r="AM44" s="138" t="n"/>
      <c r="AN44" s="16" t="n"/>
      <c r="AO44" s="138" t="n"/>
      <c r="AP44" s="16" t="n"/>
      <c r="AQ44" s="138" t="n"/>
      <c r="AR44" s="16" t="n"/>
      <c r="AS44" s="138" t="n"/>
      <c r="AT44" s="16" t="n"/>
      <c r="AU44" s="138" t="n"/>
      <c r="AV44" s="16" t="n"/>
      <c r="AW44" s="138" t="n"/>
      <c r="AX44" s="16" t="n"/>
      <c r="AY44" s="138" t="n"/>
      <c r="AZ44" s="16">
        <f>AF44+AH44+AJ44+AL44+AN44+AP44+AR44+AT44+AV44+AX44</f>
        <v/>
      </c>
      <c r="BA44" s="16" t="n"/>
      <c r="BB44" s="139" t="n"/>
      <c r="BC44" s="16" t="n"/>
      <c r="BD44" s="139" t="n"/>
      <c r="BE44" s="16">
        <f>(BA44+BC44)</f>
        <v/>
      </c>
    </row>
    <row r="45" ht="22.5" customFormat="1" customHeight="1" s="8">
      <c r="A45" s="9" t="n"/>
      <c r="B45" s="136" t="inlineStr">
        <is>
          <t>세라믹</t>
        </is>
      </c>
      <c r="C45" s="137" t="inlineStr">
        <is>
          <t>DX3000, ADX4000W</t>
        </is>
      </c>
      <c r="D45" s="64" t="inlineStr">
        <is>
          <t>세라믹 큰 콘덴서</t>
        </is>
      </c>
      <c r="E45" s="11" t="inlineStr">
        <is>
          <t>DHR4E4C102K2FB</t>
        </is>
      </c>
      <c r="F45" s="99" t="n"/>
      <c r="G45" s="9" t="n"/>
      <c r="H45" s="9" t="inlineStr">
        <is>
          <t>비지티, HLP</t>
        </is>
      </c>
      <c r="I45" s="14" t="n"/>
      <c r="J45" s="14" t="n"/>
      <c r="K45" s="12" t="n">
        <v>2050</v>
      </c>
      <c r="L45" s="9" t="n"/>
      <c r="M45" s="9" t="n"/>
      <c r="N45" s="9" t="n"/>
      <c r="O45" s="40">
        <f>K45+V45-AE45-AZ45</f>
        <v/>
      </c>
      <c r="P45" s="12" t="n"/>
      <c r="Q45" s="138" t="n"/>
      <c r="R45" s="16" t="n"/>
      <c r="S45" s="139" t="n"/>
      <c r="T45" s="16" t="n"/>
      <c r="U45" s="139" t="n"/>
      <c r="V45" s="16">
        <f>P45+R45+T45</f>
        <v/>
      </c>
      <c r="W45" s="16" t="n"/>
      <c r="X45" s="139" t="n"/>
      <c r="Y45" s="16" t="n"/>
      <c r="Z45" s="139" t="n"/>
      <c r="AA45" s="16" t="n"/>
      <c r="AB45" s="139" t="n"/>
      <c r="AC45" s="16" t="n"/>
      <c r="AD45" s="139" t="n"/>
      <c r="AE45" s="16">
        <f>(W45+Y45+AA45+AC45)</f>
        <v/>
      </c>
      <c r="AF45" s="140" t="n"/>
      <c r="AG45" s="138" t="n"/>
      <c r="AH45" s="16" t="n"/>
      <c r="AI45" s="138" t="n"/>
      <c r="AJ45" s="16" t="n"/>
      <c r="AK45" s="138" t="n"/>
      <c r="AL45" s="16" t="n"/>
      <c r="AM45" s="138" t="n"/>
      <c r="AN45" s="16" t="n"/>
      <c r="AO45" s="138" t="n"/>
      <c r="AP45" s="16" t="n"/>
      <c r="AQ45" s="138" t="n"/>
      <c r="AR45" s="16" t="n"/>
      <c r="AS45" s="138" t="n"/>
      <c r="AT45" s="16" t="n"/>
      <c r="AU45" s="138" t="n"/>
      <c r="AV45" s="16" t="n"/>
      <c r="AW45" s="138" t="n"/>
      <c r="AX45" s="16" t="n"/>
      <c r="AY45" s="138" t="n"/>
      <c r="AZ45" s="16">
        <f>AF45+AH45+AJ45+AL45+AN45+AP45+AR45+AT45+AV45+AX45</f>
        <v/>
      </c>
      <c r="BA45" s="16" t="n"/>
      <c r="BB45" s="139" t="n"/>
      <c r="BC45" s="16" t="n"/>
      <c r="BD45" s="139" t="n"/>
      <c r="BE45" s="16">
        <f>(BA45+BC45)</f>
        <v/>
      </c>
    </row>
    <row r="46" ht="22.5" customFormat="1" customHeight="1" s="8">
      <c r="A46" s="9" t="n"/>
      <c r="B46" s="136" t="inlineStr">
        <is>
          <t>세라믹</t>
        </is>
      </c>
      <c r="C46" s="137" t="inlineStr">
        <is>
          <t>COCOON, 
ADX6000</t>
        </is>
      </c>
      <c r="D46" s="64" t="inlineStr">
        <is>
          <t>세라믹 작은 콘덴서 Murata</t>
        </is>
      </c>
      <c r="E46" s="11" t="inlineStr">
        <is>
          <t>680pF DHR4E4C681K2BB</t>
        </is>
      </c>
      <c r="F46" s="99" t="n"/>
      <c r="G46" s="9" t="n"/>
      <c r="H46" s="9" t="inlineStr">
        <is>
          <t>비지티, HLP</t>
        </is>
      </c>
      <c r="I46" s="14" t="n"/>
      <c r="J46" s="14" t="n"/>
      <c r="K46" s="12" t="n">
        <v>0</v>
      </c>
      <c r="L46" s="9" t="n"/>
      <c r="M46" s="9" t="n"/>
      <c r="N46" s="9" t="n"/>
      <c r="O46" s="40">
        <f>K46+V46-AE46-AZ46</f>
        <v/>
      </c>
      <c r="P46" s="12" t="n"/>
      <c r="Q46" s="138" t="n"/>
      <c r="R46" s="16" t="n"/>
      <c r="S46" s="139" t="n"/>
      <c r="T46" s="16" t="n"/>
      <c r="U46" s="139" t="n"/>
      <c r="V46" s="16">
        <f>P46+R46+T46</f>
        <v/>
      </c>
      <c r="W46" s="16" t="n"/>
      <c r="X46" s="139" t="n"/>
      <c r="Y46" s="16" t="n"/>
      <c r="Z46" s="139" t="n"/>
      <c r="AA46" s="16" t="n"/>
      <c r="AB46" s="139" t="n"/>
      <c r="AC46" s="16" t="n"/>
      <c r="AD46" s="139" t="n"/>
      <c r="AE46" s="16">
        <f>(W46+Y46+AA46+AC46)</f>
        <v/>
      </c>
      <c r="AF46" s="140" t="n"/>
      <c r="AG46" s="138" t="n"/>
      <c r="AH46" s="16" t="n"/>
      <c r="AI46" s="138" t="n"/>
      <c r="AJ46" s="16" t="n"/>
      <c r="AK46" s="138" t="n"/>
      <c r="AL46" s="16" t="n"/>
      <c r="AM46" s="138" t="n"/>
      <c r="AN46" s="16" t="n"/>
      <c r="AO46" s="138" t="n"/>
      <c r="AP46" s="16" t="n"/>
      <c r="AQ46" s="138" t="n"/>
      <c r="AR46" s="16" t="n"/>
      <c r="AS46" s="138" t="n"/>
      <c r="AT46" s="16" t="n"/>
      <c r="AU46" s="138" t="n"/>
      <c r="AV46" s="16" t="n"/>
      <c r="AW46" s="138" t="n"/>
      <c r="AX46" s="16" t="n"/>
      <c r="AY46" s="138" t="n"/>
      <c r="AZ46" s="16">
        <f>AF46+AH46+AJ46+AL46+AN46+AP46+AR46+AT46+AV46+AX46</f>
        <v/>
      </c>
      <c r="BA46" s="16" t="n"/>
      <c r="BB46" s="139" t="n"/>
      <c r="BC46" s="16" t="n"/>
      <c r="BD46" s="139" t="n"/>
      <c r="BE46" s="16">
        <f>(BA46+BC46)</f>
        <v/>
      </c>
    </row>
    <row r="47" ht="22.5" customFormat="1" customHeight="1" s="8">
      <c r="A47" s="9" t="n"/>
      <c r="B47" s="136" t="inlineStr">
        <is>
          <t>세라믹</t>
        </is>
      </c>
      <c r="C47" s="137" t="inlineStr">
        <is>
          <t>COCOON, 
ADX6000</t>
        </is>
      </c>
      <c r="D47" s="64" t="inlineStr">
        <is>
          <t>세라믹 작은 콘덴서 Vishay</t>
        </is>
      </c>
      <c r="E47" s="11" t="inlineStr">
        <is>
          <t>HVCC203Y6P681MCAX</t>
        </is>
      </c>
      <c r="F47" s="99" t="n"/>
      <c r="G47" s="9" t="n"/>
      <c r="H47" s="9" t="inlineStr">
        <is>
          <t>HLP</t>
        </is>
      </c>
      <c r="I47" s="14" t="n"/>
      <c r="J47" s="14" t="n"/>
      <c r="K47" s="12" t="n">
        <v>30000</v>
      </c>
      <c r="L47" s="9" t="n"/>
      <c r="M47" s="9" t="n"/>
      <c r="N47" s="9" t="n"/>
      <c r="O47" s="40">
        <f>K47+V47-AE47-AZ47</f>
        <v/>
      </c>
      <c r="P47" s="12" t="n"/>
      <c r="Q47" s="138" t="n"/>
      <c r="R47" s="16" t="n"/>
      <c r="S47" s="139" t="n"/>
      <c r="T47" s="16" t="n"/>
      <c r="U47" s="139" t="n"/>
      <c r="V47" s="16">
        <f>P47+R47+T47</f>
        <v/>
      </c>
      <c r="W47" s="16" t="n"/>
      <c r="X47" s="139" t="n"/>
      <c r="Y47" s="16" t="n"/>
      <c r="Z47" s="139" t="n"/>
      <c r="AA47" s="16" t="n"/>
      <c r="AB47" s="139" t="n"/>
      <c r="AC47" s="16" t="n"/>
      <c r="AD47" s="139" t="n"/>
      <c r="AE47" s="16">
        <f>(W47+Y47+AA47+AC47)</f>
        <v/>
      </c>
      <c r="AF47" s="140" t="n">
        <v>2000</v>
      </c>
      <c r="AG47" s="138" t="n">
        <v>46029</v>
      </c>
      <c r="AH47" s="16" t="n"/>
      <c r="AI47" s="138" t="n"/>
      <c r="AJ47" s="16" t="n"/>
      <c r="AK47" s="138" t="n"/>
      <c r="AL47" s="16" t="n"/>
      <c r="AM47" s="138" t="n"/>
      <c r="AN47" s="16" t="n"/>
      <c r="AO47" s="138" t="n"/>
      <c r="AP47" s="16" t="n"/>
      <c r="AQ47" s="138" t="n"/>
      <c r="AR47" s="16" t="n"/>
      <c r="AS47" s="138" t="n"/>
      <c r="AT47" s="16" t="n"/>
      <c r="AU47" s="138" t="n"/>
      <c r="AV47" s="16" t="n"/>
      <c r="AW47" s="138" t="n"/>
      <c r="AX47" s="16" t="n"/>
      <c r="AY47" s="138" t="n"/>
      <c r="AZ47" s="16">
        <f>AF47+AH47+AJ47+AL47+AN47+AP47+AR47+AT47+AV47+AX47</f>
        <v/>
      </c>
      <c r="BA47" s="16" t="n"/>
      <c r="BB47" s="139" t="n"/>
      <c r="BC47" s="16" t="n"/>
      <c r="BD47" s="139" t="n"/>
      <c r="BE47" s="16">
        <f>(BA47+BC47)</f>
        <v/>
      </c>
    </row>
    <row r="48" ht="22.5" customFormat="1" customHeight="1" s="8">
      <c r="A48" s="9" t="n"/>
      <c r="B48" s="136" t="inlineStr">
        <is>
          <t>센서</t>
        </is>
      </c>
      <c r="C48" s="137" t="inlineStr">
        <is>
          <t>COCOON</t>
        </is>
      </c>
      <c r="D48" s="60" t="inlineStr">
        <is>
          <t>온도센서</t>
        </is>
      </c>
      <c r="E48" s="11" t="inlineStr">
        <is>
          <t>LNTK103FW</t>
        </is>
      </c>
      <c r="F48" s="99" t="n"/>
      <c r="G48" s="9" t="n"/>
      <c r="H48" s="9" t="inlineStr">
        <is>
          <t>HLP</t>
        </is>
      </c>
      <c r="I48" s="14" t="n"/>
      <c r="J48" s="14" t="n"/>
      <c r="K48" s="12" t="n">
        <v>0</v>
      </c>
      <c r="L48" s="9" t="n"/>
      <c r="M48" s="9" t="n"/>
      <c r="N48" s="9" t="n"/>
      <c r="O48" s="40">
        <f>K48+V48-AE48-AZ48</f>
        <v/>
      </c>
      <c r="P48" s="12" t="n"/>
      <c r="Q48" s="138" t="n"/>
      <c r="R48" s="16" t="n"/>
      <c r="S48" s="139" t="n"/>
      <c r="T48" s="16" t="n"/>
      <c r="U48" s="139" t="n"/>
      <c r="V48" s="16">
        <f>P48+R48+T48</f>
        <v/>
      </c>
      <c r="W48" s="16" t="n"/>
      <c r="X48" s="139" t="n"/>
      <c r="Y48" s="16" t="n"/>
      <c r="Z48" s="139" t="n"/>
      <c r="AA48" s="16" t="n"/>
      <c r="AB48" s="139" t="n"/>
      <c r="AC48" s="16" t="n"/>
      <c r="AD48" s="139" t="n"/>
      <c r="AE48" s="16">
        <f>(W48+Y48+AA48+AC48)</f>
        <v/>
      </c>
      <c r="AF48" s="140" t="n"/>
      <c r="AG48" s="138" t="n"/>
      <c r="AH48" s="16" t="n"/>
      <c r="AI48" s="138" t="n"/>
      <c r="AJ48" s="16" t="n"/>
      <c r="AK48" s="138" t="n"/>
      <c r="AL48" s="16" t="n"/>
      <c r="AM48" s="138" t="n"/>
      <c r="AN48" s="16" t="n"/>
      <c r="AO48" s="138" t="n"/>
      <c r="AP48" s="16" t="n"/>
      <c r="AQ48" s="138" t="n"/>
      <c r="AR48" s="16" t="n"/>
      <c r="AS48" s="138" t="n"/>
      <c r="AT48" s="16" t="n"/>
      <c r="AU48" s="138" t="n"/>
      <c r="AV48" s="16" t="n"/>
      <c r="AW48" s="138" t="n"/>
      <c r="AX48" s="16" t="n"/>
      <c r="AY48" s="138" t="n"/>
      <c r="AZ48" s="16">
        <f>AF48+AH48+AJ48+AL48+AN48+AP48+AR48+AT48+AV48+AX48</f>
        <v/>
      </c>
      <c r="BA48" s="16" t="n"/>
      <c r="BB48" s="139" t="n"/>
      <c r="BC48" s="16" t="n"/>
      <c r="BD48" s="139" t="n"/>
      <c r="BE48" s="16">
        <f>(BA48+BC48)</f>
        <v/>
      </c>
    </row>
    <row r="49" ht="22.5" customFormat="1" customHeight="1" s="8">
      <c r="A49" s="9" t="n"/>
      <c r="B49" s="136" t="inlineStr">
        <is>
          <t>트랜스</t>
        </is>
      </c>
      <c r="C49" s="137" t="inlineStr">
        <is>
          <t>DX3000, ADX4000W</t>
        </is>
      </c>
      <c r="D49" s="63" t="inlineStr">
        <is>
          <t>트랜스포머</t>
        </is>
      </c>
      <c r="E49" s="11" t="inlineStr">
        <is>
          <t>60kV</t>
        </is>
      </c>
      <c r="F49" s="99" t="n"/>
      <c r="G49" s="9" t="n"/>
      <c r="H49" s="9" t="inlineStr">
        <is>
          <t>미래메디칼</t>
        </is>
      </c>
      <c r="I49" s="14" t="n"/>
      <c r="J49" s="14" t="n"/>
      <c r="K49" s="12" t="n">
        <v>500</v>
      </c>
      <c r="L49" s="9" t="n"/>
      <c r="M49" s="9" t="n"/>
      <c r="N49" s="9" t="n"/>
      <c r="O49" s="40">
        <f>K49+V49-AE49-AZ49</f>
        <v/>
      </c>
      <c r="P49" s="12" t="n"/>
      <c r="Q49" s="138" t="n"/>
      <c r="R49" s="16" t="n"/>
      <c r="S49" s="139" t="n"/>
      <c r="T49" s="16" t="n"/>
      <c r="U49" s="139" t="n"/>
      <c r="V49" s="16">
        <f>P49+R49+T49</f>
        <v/>
      </c>
      <c r="W49" s="16" t="n"/>
      <c r="X49" s="139" t="n"/>
      <c r="Y49" s="16" t="n"/>
      <c r="Z49" s="139" t="n"/>
      <c r="AA49" s="16" t="n"/>
      <c r="AB49" s="139" t="n"/>
      <c r="AC49" s="16" t="n"/>
      <c r="AD49" s="139" t="n"/>
      <c r="AE49" s="16">
        <f>(W49+Y49+AA49+AC49)</f>
        <v/>
      </c>
      <c r="AF49" s="140" t="n"/>
      <c r="AG49" s="138" t="n"/>
      <c r="AH49" s="16" t="n"/>
      <c r="AI49" s="138" t="n"/>
      <c r="AJ49" s="16" t="n"/>
      <c r="AK49" s="138" t="n"/>
      <c r="AL49" s="16" t="n"/>
      <c r="AM49" s="138" t="n"/>
      <c r="AN49" s="16" t="n"/>
      <c r="AO49" s="138" t="n"/>
      <c r="AP49" s="16" t="n"/>
      <c r="AQ49" s="138" t="n"/>
      <c r="AR49" s="16" t="n"/>
      <c r="AS49" s="138" t="n"/>
      <c r="AT49" s="16" t="n"/>
      <c r="AU49" s="138" t="n"/>
      <c r="AV49" s="16" t="n"/>
      <c r="AW49" s="138" t="n"/>
      <c r="AX49" s="16" t="n"/>
      <c r="AY49" s="138" t="n"/>
      <c r="AZ49" s="16">
        <f>AF49+AH49+AJ49+AL49+AN49+AP49+AR49+AT49+AV49+AX49</f>
        <v/>
      </c>
      <c r="BA49" s="16" t="n"/>
      <c r="BB49" s="139" t="n"/>
      <c r="BC49" s="16" t="n"/>
      <c r="BD49" s="139" t="n"/>
      <c r="BE49" s="16">
        <f>(BA49+BC49)</f>
        <v/>
      </c>
    </row>
    <row r="50" ht="22.5" customFormat="1" customHeight="1" s="8">
      <c r="A50" s="9" t="n"/>
      <c r="B50" s="136" t="inlineStr">
        <is>
          <t>트랜스</t>
        </is>
      </c>
      <c r="C50" s="137" t="inlineStr">
        <is>
          <t>COCOON</t>
        </is>
      </c>
      <c r="D50" s="66" t="inlineStr">
        <is>
          <t>트랜스포머</t>
        </is>
      </c>
      <c r="E50" s="11" t="inlineStr">
        <is>
          <t>70kV</t>
        </is>
      </c>
      <c r="F50" s="99" t="n"/>
      <c r="G50" s="9" t="n"/>
      <c r="H50" s="9" t="inlineStr">
        <is>
          <t>미래메디칼</t>
        </is>
      </c>
      <c r="I50" s="14" t="n"/>
      <c r="J50" s="14" t="n"/>
      <c r="K50" s="12" t="n">
        <v>0</v>
      </c>
      <c r="L50" s="9" t="n"/>
      <c r="M50" s="9" t="n"/>
      <c r="N50" s="9" t="n"/>
      <c r="O50" s="40">
        <f>K50+V50-AE50-AZ50</f>
        <v/>
      </c>
      <c r="P50" s="12" t="n"/>
      <c r="Q50" s="138" t="n"/>
      <c r="R50" s="16" t="n"/>
      <c r="S50" s="139" t="n"/>
      <c r="T50" s="16" t="n"/>
      <c r="U50" s="139" t="n"/>
      <c r="V50" s="16">
        <f>P50+R50+T50</f>
        <v/>
      </c>
      <c r="W50" s="16" t="n"/>
      <c r="X50" s="139" t="n"/>
      <c r="Y50" s="16" t="n"/>
      <c r="Z50" s="139" t="n"/>
      <c r="AA50" s="16" t="n"/>
      <c r="AB50" s="139" t="n"/>
      <c r="AC50" s="16" t="n"/>
      <c r="AD50" s="139" t="n"/>
      <c r="AE50" s="16">
        <f>(W50+Y50+AA50+AC50)</f>
        <v/>
      </c>
      <c r="AF50" s="140" t="n"/>
      <c r="AG50" s="138" t="n"/>
      <c r="AH50" s="16" t="n"/>
      <c r="AI50" s="138" t="n"/>
      <c r="AJ50" s="16" t="n"/>
      <c r="AK50" s="138" t="n"/>
      <c r="AL50" s="16" t="n"/>
      <c r="AM50" s="138" t="n"/>
      <c r="AN50" s="16" t="n"/>
      <c r="AO50" s="138" t="n"/>
      <c r="AP50" s="16" t="n"/>
      <c r="AQ50" s="138" t="n"/>
      <c r="AR50" s="16" t="n"/>
      <c r="AS50" s="138" t="n"/>
      <c r="AT50" s="16" t="n"/>
      <c r="AU50" s="138" t="n"/>
      <c r="AV50" s="16" t="n"/>
      <c r="AW50" s="138" t="n"/>
      <c r="AX50" s="16" t="n"/>
      <c r="AY50" s="138" t="n"/>
      <c r="AZ50" s="16">
        <f>AF50+AH50+AJ50+AL50+AN50+AP50+AR50+AT50+AV50+AX50</f>
        <v/>
      </c>
      <c r="BA50" s="16" t="n"/>
      <c r="BB50" s="139" t="n"/>
      <c r="BC50" s="16" t="n"/>
      <c r="BD50" s="139" t="n"/>
      <c r="BE50" s="16">
        <f>(BA50+BC50)</f>
        <v/>
      </c>
    </row>
    <row r="51" ht="22.5" customFormat="1" customHeight="1" s="8">
      <c r="A51" s="9" t="n"/>
      <c r="B51" s="136" t="inlineStr">
        <is>
          <t>트랜스</t>
        </is>
      </c>
      <c r="C51" s="137" t="inlineStr">
        <is>
          <t>ADX6000</t>
        </is>
      </c>
      <c r="D51" s="65" t="inlineStr">
        <is>
          <t>트랜스포머 (800턴)</t>
        </is>
      </c>
      <c r="E51" s="11" t="inlineStr">
        <is>
          <t>80kV</t>
        </is>
      </c>
      <c r="F51" s="99" t="n"/>
      <c r="G51" s="9" t="n"/>
      <c r="H51" s="9" t="inlineStr">
        <is>
          <t>미래메디칼</t>
        </is>
      </c>
      <c r="I51" s="14" t="n"/>
      <c r="J51" s="14" t="n"/>
      <c r="K51" s="12" t="n">
        <v>0</v>
      </c>
      <c r="L51" s="9" t="n"/>
      <c r="M51" s="9" t="n"/>
      <c r="N51" s="9" t="n"/>
      <c r="O51" s="40">
        <f>K51+V51-AE51-AZ51</f>
        <v/>
      </c>
      <c r="P51" s="12" t="n"/>
      <c r="Q51" s="138" t="n"/>
      <c r="R51" s="16" t="n"/>
      <c r="S51" s="139" t="n"/>
      <c r="T51" s="16" t="n"/>
      <c r="U51" s="139" t="n"/>
      <c r="V51" s="16">
        <f>P51+R51+T51</f>
        <v/>
      </c>
      <c r="W51" s="16" t="n"/>
      <c r="X51" s="139" t="n"/>
      <c r="Y51" s="16" t="n"/>
      <c r="Z51" s="139" t="n"/>
      <c r="AA51" s="16" t="n"/>
      <c r="AB51" s="139" t="n"/>
      <c r="AC51" s="16" t="n"/>
      <c r="AD51" s="139" t="n"/>
      <c r="AE51" s="16">
        <f>(W51+Y51+AA51+AC51)</f>
        <v/>
      </c>
      <c r="AF51" s="140" t="n"/>
      <c r="AG51" s="138" t="n"/>
      <c r="AH51" s="16" t="n"/>
      <c r="AI51" s="138" t="n"/>
      <c r="AJ51" s="16" t="n"/>
      <c r="AK51" s="138" t="n"/>
      <c r="AL51" s="16" t="n"/>
      <c r="AM51" s="138" t="n"/>
      <c r="AN51" s="16" t="n"/>
      <c r="AO51" s="138" t="n"/>
      <c r="AP51" s="16" t="n"/>
      <c r="AQ51" s="138" t="n"/>
      <c r="AR51" s="16" t="n"/>
      <c r="AS51" s="138" t="n"/>
      <c r="AT51" s="16" t="n"/>
      <c r="AU51" s="138" t="n"/>
      <c r="AV51" s="16" t="n"/>
      <c r="AW51" s="138" t="n"/>
      <c r="AX51" s="16" t="n"/>
      <c r="AY51" s="138" t="n"/>
      <c r="AZ51" s="16">
        <f>AF51+AH51+AJ51+AL51+AN51+AP51+AR51+AT51+AV51+AX51</f>
        <v/>
      </c>
      <c r="BA51" s="16" t="n"/>
      <c r="BB51" s="139" t="n"/>
      <c r="BC51" s="16" t="n"/>
      <c r="BD51" s="139" t="n"/>
      <c r="BE51" s="16">
        <f>(BA51+BC51)</f>
        <v/>
      </c>
    </row>
    <row r="52" ht="22.5" customFormat="1" customHeight="1" s="8">
      <c r="A52" s="9" t="n"/>
      <c r="B52" s="136" t="inlineStr">
        <is>
          <t>CORE</t>
        </is>
      </c>
      <c r="C52" s="137" t="inlineStr">
        <is>
          <t>DX3000, ADX4000W ADX6000</t>
        </is>
      </c>
      <c r="D52" s="65" t="inlineStr">
        <is>
          <t>T 코어 (히터트랜스용)</t>
        </is>
      </c>
      <c r="E52" s="11" t="inlineStr">
        <is>
          <t>T31 X 8 X 19E</t>
        </is>
      </c>
      <c r="F52" s="99" t="n"/>
      <c r="G52" s="9" t="n"/>
      <c r="H52" s="9" t="inlineStr">
        <is>
          <t>대영파츠넷</t>
        </is>
      </c>
      <c r="I52" s="14" t="n"/>
      <c r="J52" s="14" t="n"/>
      <c r="K52" s="12" t="n">
        <v>880</v>
      </c>
      <c r="L52" s="9" t="n"/>
      <c r="M52" s="9" t="n"/>
      <c r="N52" s="9" t="n"/>
      <c r="O52" s="40">
        <f>K52+V52-AE52-AZ52</f>
        <v/>
      </c>
      <c r="P52" s="12" t="n"/>
      <c r="Q52" s="138" t="n"/>
      <c r="R52" s="16" t="n"/>
      <c r="S52" s="139" t="n"/>
      <c r="T52" s="16" t="n"/>
      <c r="U52" s="139" t="n"/>
      <c r="V52" s="16">
        <f>P52+R52+T52</f>
        <v/>
      </c>
      <c r="W52" s="16" t="n"/>
      <c r="X52" s="139" t="n"/>
      <c r="Y52" s="16" t="n"/>
      <c r="Z52" s="139" t="n"/>
      <c r="AA52" s="16" t="n"/>
      <c r="AB52" s="139" t="n"/>
      <c r="AC52" s="16" t="n"/>
      <c r="AD52" s="139" t="n"/>
      <c r="AE52" s="16">
        <f>(W52+Y52+AA52+AC52)</f>
        <v/>
      </c>
      <c r="AF52" s="140" t="n"/>
      <c r="AG52" s="138" t="n"/>
      <c r="AH52" s="16" t="n"/>
      <c r="AI52" s="138" t="n"/>
      <c r="AJ52" s="16" t="n"/>
      <c r="AK52" s="138" t="n"/>
      <c r="AL52" s="16" t="n"/>
      <c r="AM52" s="138" t="n"/>
      <c r="AN52" s="16" t="n"/>
      <c r="AO52" s="138" t="n"/>
      <c r="AP52" s="16" t="n"/>
      <c r="AQ52" s="138" t="n"/>
      <c r="AR52" s="16" t="n"/>
      <c r="AS52" s="138" t="n"/>
      <c r="AT52" s="16" t="n"/>
      <c r="AU52" s="138" t="n"/>
      <c r="AV52" s="16" t="n"/>
      <c r="AW52" s="138" t="n"/>
      <c r="AX52" s="16" t="n"/>
      <c r="AY52" s="138" t="n"/>
      <c r="AZ52" s="16">
        <f>AF52+AH52+AJ52+AL52+AN52+AP52+AR52+AT52+AV52+AX52</f>
        <v/>
      </c>
      <c r="BA52" s="16" t="n"/>
      <c r="BB52" s="139" t="n"/>
      <c r="BC52" s="16" t="n"/>
      <c r="BD52" s="139" t="n"/>
      <c r="BE52" s="16">
        <f>(BA52+BC52)</f>
        <v/>
      </c>
    </row>
    <row r="53" ht="22.5" customFormat="1" customHeight="1" s="8">
      <c r="A53" s="9" t="n"/>
      <c r="B53" s="136" t="inlineStr">
        <is>
          <t>CORE</t>
        </is>
      </c>
      <c r="C53" s="137" t="inlineStr">
        <is>
          <t>SOLO</t>
        </is>
      </c>
      <c r="D53" s="65" t="inlineStr">
        <is>
          <t>T 코어 (히터트랜스용)</t>
        </is>
      </c>
      <c r="E53" s="11" t="inlineStr">
        <is>
          <t>TR22-14-6.5</t>
        </is>
      </c>
      <c r="F53" s="99" t="n"/>
      <c r="G53" s="9" t="n"/>
      <c r="H53" s="9" t="inlineStr">
        <is>
          <t>DCT,HLP</t>
        </is>
      </c>
      <c r="I53" s="14" t="n"/>
      <c r="J53" s="14" t="n"/>
      <c r="K53" s="12" t="n">
        <v>0</v>
      </c>
      <c r="L53" s="9" t="n"/>
      <c r="M53" s="9" t="n"/>
      <c r="N53" s="9" t="n"/>
      <c r="O53" s="40">
        <f>K53+V53-AE53-AZ53</f>
        <v/>
      </c>
      <c r="P53" s="12" t="n"/>
      <c r="Q53" s="138" t="n"/>
      <c r="R53" s="16" t="n"/>
      <c r="S53" s="139" t="n"/>
      <c r="T53" s="16" t="n"/>
      <c r="U53" s="139" t="n"/>
      <c r="V53" s="16">
        <f>P53+R53+T53</f>
        <v/>
      </c>
      <c r="W53" s="16" t="n"/>
      <c r="X53" s="139" t="n"/>
      <c r="Y53" s="16" t="n"/>
      <c r="Z53" s="139" t="n"/>
      <c r="AA53" s="16" t="n"/>
      <c r="AB53" s="139" t="n"/>
      <c r="AC53" s="16" t="n"/>
      <c r="AD53" s="139" t="n"/>
      <c r="AE53" s="16">
        <f>(W53+Y53+AA53+AC53)</f>
        <v/>
      </c>
      <c r="AF53" s="140" t="n"/>
      <c r="AG53" s="138" t="n"/>
      <c r="AH53" s="16" t="n"/>
      <c r="AI53" s="138" t="n"/>
      <c r="AJ53" s="16" t="n"/>
      <c r="AK53" s="138" t="n"/>
      <c r="AL53" s="16" t="n"/>
      <c r="AM53" s="138" t="n"/>
      <c r="AN53" s="16" t="n"/>
      <c r="AO53" s="138" t="n"/>
      <c r="AP53" s="16" t="n"/>
      <c r="AQ53" s="138" t="n"/>
      <c r="AR53" s="16" t="n"/>
      <c r="AS53" s="138" t="n"/>
      <c r="AT53" s="16" t="n"/>
      <c r="AU53" s="138" t="n"/>
      <c r="AV53" s="16" t="n"/>
      <c r="AW53" s="138" t="n"/>
      <c r="AX53" s="16" t="n"/>
      <c r="AY53" s="138" t="n"/>
      <c r="AZ53" s="16">
        <f>AF53+AH53+AJ53+AL53+AN53+AP53+AR53+AT53+AV53+AX53</f>
        <v/>
      </c>
      <c r="BA53" s="16" t="n"/>
      <c r="BB53" s="139" t="n"/>
      <c r="BC53" s="16" t="n"/>
      <c r="BD53" s="139" t="n"/>
      <c r="BE53" s="16">
        <f>(BA53+BC53)</f>
        <v/>
      </c>
    </row>
    <row r="54" ht="22.5" customFormat="1" customHeight="1" s="8">
      <c r="A54" s="9" t="n"/>
      <c r="B54" s="136" t="inlineStr">
        <is>
          <t>CORE</t>
        </is>
      </c>
      <c r="C54" s="137" t="inlineStr">
        <is>
          <t>ADX6000</t>
        </is>
      </c>
      <c r="D54" s="65" t="inlineStr">
        <is>
          <t>센더스트 코어</t>
        </is>
      </c>
      <c r="E54" s="11" t="inlineStr">
        <is>
          <t>CS234060</t>
        </is>
      </c>
      <c r="F54" s="99" t="n"/>
      <c r="G54" s="9" t="n"/>
      <c r="H54" s="9" t="inlineStr">
        <is>
          <t>도일코리아</t>
        </is>
      </c>
      <c r="I54" s="14" t="n"/>
      <c r="J54" s="14" t="n"/>
      <c r="K54" s="12" t="n">
        <v>250</v>
      </c>
      <c r="L54" s="9" t="n"/>
      <c r="M54" s="9" t="n"/>
      <c r="N54" s="9" t="n"/>
      <c r="O54" s="40">
        <f>K54+V54-AE54-AZ54</f>
        <v/>
      </c>
      <c r="P54" s="12" t="n"/>
      <c r="Q54" s="138" t="n"/>
      <c r="R54" s="16" t="n"/>
      <c r="S54" s="139" t="n"/>
      <c r="T54" s="16" t="n"/>
      <c r="U54" s="139" t="n"/>
      <c r="V54" s="16">
        <f>P54+R54+T54</f>
        <v/>
      </c>
      <c r="W54" s="16" t="n"/>
      <c r="X54" s="139" t="n"/>
      <c r="Y54" s="16" t="n"/>
      <c r="Z54" s="139" t="n"/>
      <c r="AA54" s="16" t="n"/>
      <c r="AB54" s="139" t="n"/>
      <c r="AC54" s="16" t="n"/>
      <c r="AD54" s="139" t="n"/>
      <c r="AE54" s="16">
        <f>(W54+Y54+AA54+AC54)</f>
        <v/>
      </c>
      <c r="AF54" s="140" t="n"/>
      <c r="AG54" s="138" t="n"/>
      <c r="AH54" s="16" t="n"/>
      <c r="AI54" s="138" t="n"/>
      <c r="AJ54" s="16" t="n"/>
      <c r="AK54" s="138" t="n"/>
      <c r="AL54" s="16" t="n"/>
      <c r="AM54" s="138" t="n"/>
      <c r="AN54" s="16" t="n"/>
      <c r="AO54" s="138" t="n"/>
      <c r="AP54" s="16" t="n"/>
      <c r="AQ54" s="138" t="n"/>
      <c r="AR54" s="16" t="n"/>
      <c r="AS54" s="138" t="n"/>
      <c r="AT54" s="16" t="n"/>
      <c r="AU54" s="138" t="n"/>
      <c r="AV54" s="16" t="n"/>
      <c r="AW54" s="138" t="n"/>
      <c r="AX54" s="16" t="n"/>
      <c r="AY54" s="138" t="n"/>
      <c r="AZ54" s="16">
        <f>AF54+AH54+AJ54+AL54+AN54+AP54+AR54+AT54+AV54+AX54</f>
        <v/>
      </c>
      <c r="BA54" s="16" t="n"/>
      <c r="BB54" s="139" t="n"/>
      <c r="BC54" s="16" t="n"/>
      <c r="BD54" s="139" t="n"/>
      <c r="BE54" s="16">
        <f>(BA54+BC54)</f>
        <v/>
      </c>
    </row>
    <row r="55" ht="22.5" customFormat="1" customHeight="1" s="8">
      <c r="A55" s="9" t="n"/>
      <c r="B55" s="136" t="inlineStr">
        <is>
          <t>CABLE</t>
        </is>
      </c>
      <c r="C55" s="137" t="inlineStr">
        <is>
          <t>DX3000, ADX4000W ADX6000</t>
        </is>
      </c>
      <c r="D55" s="65" t="inlineStr">
        <is>
          <t>TIW 권선 (히터트랜스용 선)</t>
        </is>
      </c>
      <c r="E55" s="11" t="inlineStr">
        <is>
          <t>(외경)0.7mm (내경)0.5mm, 4000m</t>
        </is>
      </c>
      <c r="F55" s="99" t="n"/>
      <c r="G55" s="9" t="n"/>
      <c r="H55" s="9" t="inlineStr">
        <is>
          <t>승리케이블</t>
        </is>
      </c>
      <c r="I55" s="14" t="n"/>
      <c r="J55" s="14" t="n"/>
      <c r="K55" s="12" t="n">
        <v>0</v>
      </c>
      <c r="L55" s="9" t="n"/>
      <c r="M55" s="9" t="n"/>
      <c r="N55" s="9" t="n"/>
      <c r="O55" s="40">
        <f>K55+V55-AE55-AZ55</f>
        <v/>
      </c>
      <c r="P55" s="12" t="n"/>
      <c r="Q55" s="138" t="n"/>
      <c r="R55" s="16" t="n"/>
      <c r="S55" s="139" t="n"/>
      <c r="T55" s="16" t="n"/>
      <c r="U55" s="139" t="n"/>
      <c r="V55" s="16">
        <f>P55+R55+T55</f>
        <v/>
      </c>
      <c r="W55" s="16" t="n"/>
      <c r="X55" s="139" t="n"/>
      <c r="Y55" s="16" t="n"/>
      <c r="Z55" s="139" t="n"/>
      <c r="AA55" s="16" t="n"/>
      <c r="AB55" s="139" t="n"/>
      <c r="AC55" s="16" t="n"/>
      <c r="AD55" s="139" t="n"/>
      <c r="AE55" s="16">
        <f>(W55+Y55+AA55+AC55)</f>
        <v/>
      </c>
      <c r="AF55" s="140" t="n"/>
      <c r="AG55" s="138" t="n"/>
      <c r="AH55" s="16" t="n"/>
      <c r="AI55" s="138" t="n"/>
      <c r="AJ55" s="16" t="n"/>
      <c r="AK55" s="138" t="n"/>
      <c r="AL55" s="16" t="n"/>
      <c r="AM55" s="138" t="n"/>
      <c r="AN55" s="16" t="n"/>
      <c r="AO55" s="138" t="n"/>
      <c r="AP55" s="16" t="n"/>
      <c r="AQ55" s="138" t="n"/>
      <c r="AR55" s="16" t="n"/>
      <c r="AS55" s="138" t="n"/>
      <c r="AT55" s="16" t="n"/>
      <c r="AU55" s="138" t="n"/>
      <c r="AV55" s="16" t="n"/>
      <c r="AW55" s="138" t="n"/>
      <c r="AX55" s="16" t="n"/>
      <c r="AY55" s="138" t="n"/>
      <c r="AZ55" s="16">
        <f>AF55+AH55+AJ55+AL55+AN55+AP55+AR55+AT55+AV55+AX55</f>
        <v/>
      </c>
      <c r="BA55" s="16" t="n"/>
      <c r="BB55" s="139" t="n"/>
      <c r="BC55" s="16" t="n"/>
      <c r="BD55" s="139" t="n"/>
      <c r="BE55" s="16">
        <f>(BA55+BC55)</f>
        <v/>
      </c>
    </row>
    <row r="56" ht="22.5" customFormat="1" customHeight="1" s="8">
      <c r="A56" s="9" t="n"/>
      <c r="B56" s="136" t="inlineStr">
        <is>
          <t>CABLE</t>
        </is>
      </c>
      <c r="C56" s="137" t="inlineStr">
        <is>
          <t>DX3000, ADX4000W ADX6000</t>
        </is>
      </c>
      <c r="D56" s="65" t="inlineStr">
        <is>
          <t>히터트랜스용 고압선(적색)</t>
        </is>
      </c>
      <c r="E56" s="11" t="inlineStr">
        <is>
          <t>40KVDC 22AWG</t>
        </is>
      </c>
      <c r="F56" s="99" t="n"/>
      <c r="G56" s="9" t="n"/>
      <c r="H56" s="9" t="inlineStr">
        <is>
          <t>HLP</t>
        </is>
      </c>
      <c r="I56" s="14" t="n"/>
      <c r="J56" s="14" t="n"/>
      <c r="K56" s="12" t="n">
        <v>0</v>
      </c>
      <c r="L56" s="9" t="n"/>
      <c r="M56" s="9" t="n"/>
      <c r="N56" s="9" t="n"/>
      <c r="O56" s="40">
        <f>K56+V56-AE56-AZ56</f>
        <v/>
      </c>
      <c r="P56" s="12" t="n"/>
      <c r="Q56" s="138" t="n"/>
      <c r="R56" s="16" t="n"/>
      <c r="S56" s="139" t="n"/>
      <c r="T56" s="16" t="n"/>
      <c r="U56" s="139" t="n"/>
      <c r="V56" s="16">
        <f>P56+R56+T56</f>
        <v/>
      </c>
      <c r="W56" s="16" t="n"/>
      <c r="X56" s="139" t="n"/>
      <c r="Y56" s="16" t="n"/>
      <c r="Z56" s="139" t="n"/>
      <c r="AA56" s="16" t="n"/>
      <c r="AB56" s="139" t="n"/>
      <c r="AC56" s="16" t="n"/>
      <c r="AD56" s="139" t="n"/>
      <c r="AE56" s="16">
        <f>(W56+Y56+AA56+AC56)</f>
        <v/>
      </c>
      <c r="AF56" s="140" t="n"/>
      <c r="AG56" s="138" t="n"/>
      <c r="AH56" s="16" t="n"/>
      <c r="AI56" s="138" t="n"/>
      <c r="AJ56" s="16" t="n"/>
      <c r="AK56" s="138" t="n"/>
      <c r="AL56" s="16" t="n"/>
      <c r="AM56" s="138" t="n"/>
      <c r="AN56" s="16" t="n"/>
      <c r="AO56" s="138" t="n"/>
      <c r="AP56" s="16" t="n"/>
      <c r="AQ56" s="138" t="n"/>
      <c r="AR56" s="16" t="n"/>
      <c r="AS56" s="138" t="n"/>
      <c r="AT56" s="16" t="n"/>
      <c r="AU56" s="138" t="n"/>
      <c r="AV56" s="16" t="n"/>
      <c r="AW56" s="138" t="n"/>
      <c r="AX56" s="16" t="n"/>
      <c r="AY56" s="138" t="n"/>
      <c r="AZ56" s="16">
        <f>AF56+AH56+AJ56+AL56+AN56+AP56+AR56+AT56+AV56+AX56</f>
        <v/>
      </c>
      <c r="BA56" s="16" t="n"/>
      <c r="BB56" s="139" t="n"/>
      <c r="BC56" s="16" t="n"/>
      <c r="BD56" s="139" t="n"/>
      <c r="BE56" s="16">
        <f>(BA56+BC56)</f>
        <v/>
      </c>
    </row>
    <row r="57" ht="22.5" customFormat="1" customHeight="1" s="8">
      <c r="A57" s="9" t="n"/>
      <c r="B57" s="136" t="inlineStr">
        <is>
          <t>CABLE</t>
        </is>
      </c>
      <c r="C57" s="137" t="inlineStr">
        <is>
          <t>SOLO</t>
        </is>
      </c>
      <c r="D57" s="65" t="inlineStr">
        <is>
          <t>히터트랜스용 고압선(흰색)</t>
        </is>
      </c>
      <c r="E57" s="11" t="inlineStr">
        <is>
          <t>DSI HV CABLE 2178</t>
        </is>
      </c>
      <c r="F57" s="99" t="n"/>
      <c r="G57" s="9" t="n"/>
      <c r="H57" s="9" t="inlineStr">
        <is>
          <t>BGT</t>
        </is>
      </c>
      <c r="I57" s="14" t="n"/>
      <c r="J57" s="14" t="n"/>
      <c r="K57" s="12" t="n">
        <v>0</v>
      </c>
      <c r="L57" s="9" t="n"/>
      <c r="M57" s="9" t="n"/>
      <c r="N57" s="9" t="n"/>
      <c r="O57" s="40">
        <f>K57+V57-AE57-AZ57</f>
        <v/>
      </c>
      <c r="P57" s="12" t="n"/>
      <c r="Q57" s="138" t="n"/>
      <c r="R57" s="16" t="n"/>
      <c r="S57" s="139" t="n"/>
      <c r="T57" s="16" t="n"/>
      <c r="U57" s="139" t="n"/>
      <c r="V57" s="16">
        <f>P57+R57+T57</f>
        <v/>
      </c>
      <c r="W57" s="16" t="n"/>
      <c r="X57" s="139" t="n"/>
      <c r="Y57" s="16" t="n"/>
      <c r="Z57" s="139" t="n"/>
      <c r="AA57" s="16" t="n"/>
      <c r="AB57" s="139" t="n"/>
      <c r="AC57" s="16" t="n"/>
      <c r="AD57" s="139" t="n"/>
      <c r="AE57" s="16">
        <f>(W57+Y57+AA57+AC57)</f>
        <v/>
      </c>
      <c r="AF57" s="140" t="n"/>
      <c r="AG57" s="138" t="n"/>
      <c r="AH57" s="16" t="n"/>
      <c r="AI57" s="138" t="n"/>
      <c r="AJ57" s="16" t="n"/>
      <c r="AK57" s="138" t="n"/>
      <c r="AL57" s="16" t="n"/>
      <c r="AM57" s="138" t="n"/>
      <c r="AN57" s="16" t="n"/>
      <c r="AO57" s="138" t="n"/>
      <c r="AP57" s="16" t="n"/>
      <c r="AQ57" s="138" t="n"/>
      <c r="AR57" s="16" t="n"/>
      <c r="AS57" s="138" t="n"/>
      <c r="AT57" s="16" t="n"/>
      <c r="AU57" s="138" t="n"/>
      <c r="AV57" s="16" t="n"/>
      <c r="AW57" s="138" t="n"/>
      <c r="AX57" s="16" t="n"/>
      <c r="AY57" s="138" t="n"/>
      <c r="AZ57" s="16">
        <f>AF57+AH57+AJ57+AL57+AN57+AP57+AR57+AT57+AV57+AX57</f>
        <v/>
      </c>
      <c r="BA57" s="16" t="n"/>
      <c r="BB57" s="139" t="n"/>
      <c r="BC57" s="16" t="n"/>
      <c r="BD57" s="139" t="n"/>
      <c r="BE57" s="16">
        <f>(BA57+BC57)</f>
        <v/>
      </c>
    </row>
    <row r="58" ht="22.5" customFormat="1" customHeight="1" s="8">
      <c r="A58" s="9" t="n"/>
      <c r="B58" s="136" t="inlineStr">
        <is>
          <t>BOARD</t>
        </is>
      </c>
      <c r="C58" s="137" t="inlineStr">
        <is>
          <t>DX3000, ADX4000W</t>
        </is>
      </c>
      <c r="D58" s="64" t="inlineStr">
        <is>
          <t>고압베어 B/D</t>
        </is>
      </c>
      <c r="E58" s="11" t="n"/>
      <c r="F58" s="99" t="n"/>
      <c r="G58" s="9" t="n"/>
      <c r="H58" s="9" t="inlineStr">
        <is>
          <t>한샘디지텍</t>
        </is>
      </c>
      <c r="I58" s="14" t="n"/>
      <c r="J58" s="14" t="n"/>
      <c r="K58" s="12" t="n">
        <v>0</v>
      </c>
      <c r="L58" s="9" t="n"/>
      <c r="M58" s="9" t="n"/>
      <c r="N58" s="9" t="n"/>
      <c r="O58" s="40">
        <f>K58+V58-AE58-AZ58</f>
        <v/>
      </c>
      <c r="P58" s="12" t="n"/>
      <c r="Q58" s="138" t="n"/>
      <c r="R58" s="16" t="n"/>
      <c r="S58" s="139" t="n"/>
      <c r="T58" s="16" t="n"/>
      <c r="U58" s="139" t="n"/>
      <c r="V58" s="16">
        <f>P58+R58+T58</f>
        <v/>
      </c>
      <c r="W58" s="16" t="n"/>
      <c r="X58" s="139" t="n"/>
      <c r="Y58" s="16" t="n"/>
      <c r="Z58" s="139" t="n"/>
      <c r="AA58" s="16" t="n"/>
      <c r="AB58" s="139" t="n"/>
      <c r="AC58" s="16" t="n"/>
      <c r="AD58" s="139" t="n"/>
      <c r="AE58" s="16">
        <f>(W58+Y58+AA58+AC58)</f>
        <v/>
      </c>
      <c r="AF58" s="140" t="n"/>
      <c r="AG58" s="138" t="n"/>
      <c r="AH58" s="16" t="n"/>
      <c r="AI58" s="138" t="n"/>
      <c r="AJ58" s="16" t="n"/>
      <c r="AK58" s="138" t="n"/>
      <c r="AL58" s="16" t="n"/>
      <c r="AM58" s="138" t="n"/>
      <c r="AN58" s="16" t="n"/>
      <c r="AO58" s="138" t="n"/>
      <c r="AP58" s="16" t="n"/>
      <c r="AQ58" s="138" t="n"/>
      <c r="AR58" s="16" t="n"/>
      <c r="AS58" s="138" t="n"/>
      <c r="AT58" s="16" t="n"/>
      <c r="AU58" s="138" t="n"/>
      <c r="AV58" s="16" t="n"/>
      <c r="AW58" s="138" t="n"/>
      <c r="AX58" s="16" t="n"/>
      <c r="AY58" s="138" t="n"/>
      <c r="AZ58" s="16">
        <f>AF58+AH58+AJ58+AL58+AN58+AP58+AR58+AT58+AV58+AX58</f>
        <v/>
      </c>
      <c r="BA58" s="16" t="n"/>
      <c r="BB58" s="139" t="n"/>
      <c r="BC58" s="16" t="n"/>
      <c r="BD58" s="139" t="n"/>
      <c r="BE58" s="16">
        <f>(BA58+BC58)</f>
        <v/>
      </c>
    </row>
    <row r="59" ht="22.5" customFormat="1" customHeight="1" s="8">
      <c r="A59" s="9" t="n"/>
      <c r="B59" s="136" t="inlineStr">
        <is>
          <t>BOARD</t>
        </is>
      </c>
      <c r="C59" s="137" t="inlineStr">
        <is>
          <t>DX3000</t>
        </is>
      </c>
      <c r="D59" s="67" t="inlineStr">
        <is>
          <t>고압베어 B/D - TFT</t>
        </is>
      </c>
      <c r="E59" s="11" t="inlineStr">
        <is>
          <t>70kV, 3mA</t>
        </is>
      </c>
      <c r="F59" s="99" t="n"/>
      <c r="G59" s="9" t="n"/>
      <c r="H59" s="9" t="inlineStr">
        <is>
          <t>HLP</t>
        </is>
      </c>
      <c r="I59" s="14" t="n"/>
      <c r="J59" s="14" t="n"/>
      <c r="K59" s="12" t="n">
        <v>0</v>
      </c>
      <c r="L59" s="9" t="n"/>
      <c r="M59" s="9" t="n"/>
      <c r="N59" s="9" t="n"/>
      <c r="O59" s="40">
        <f>K59+V59-AE59-AZ59</f>
        <v/>
      </c>
      <c r="P59" s="12" t="n"/>
      <c r="Q59" s="138" t="n"/>
      <c r="R59" s="16" t="n"/>
      <c r="S59" s="139" t="n"/>
      <c r="T59" s="16" t="n"/>
      <c r="U59" s="139" t="n"/>
      <c r="V59" s="16">
        <f>P59+R59+T59</f>
        <v/>
      </c>
      <c r="W59" s="16" t="n"/>
      <c r="X59" s="139" t="n"/>
      <c r="Y59" s="16" t="n"/>
      <c r="Z59" s="139" t="n"/>
      <c r="AA59" s="16" t="n"/>
      <c r="AB59" s="139" t="n"/>
      <c r="AC59" s="16" t="n"/>
      <c r="AD59" s="139" t="n"/>
      <c r="AE59" s="16">
        <f>(W59+Y59+AA59+AC59)</f>
        <v/>
      </c>
      <c r="AF59" s="140" t="n"/>
      <c r="AG59" s="138" t="n"/>
      <c r="AH59" s="16" t="n"/>
      <c r="AI59" s="138" t="n"/>
      <c r="AJ59" s="16" t="n"/>
      <c r="AK59" s="138" t="n"/>
      <c r="AL59" s="16" t="n"/>
      <c r="AM59" s="138" t="n"/>
      <c r="AN59" s="16" t="n"/>
      <c r="AO59" s="138" t="n"/>
      <c r="AP59" s="16" t="n"/>
      <c r="AQ59" s="138" t="n"/>
      <c r="AR59" s="16" t="n"/>
      <c r="AS59" s="138" t="n"/>
      <c r="AT59" s="16" t="n"/>
      <c r="AU59" s="138" t="n"/>
      <c r="AV59" s="16" t="n"/>
      <c r="AW59" s="138" t="n"/>
      <c r="AX59" s="16" t="n"/>
      <c r="AY59" s="138" t="n"/>
      <c r="AZ59" s="16">
        <f>AF59+AH59+AJ59+AL59+AN59+AP59+AR59+AT59+AV59+AX59</f>
        <v/>
      </c>
      <c r="BA59" s="16" t="n"/>
      <c r="BB59" s="139" t="n"/>
      <c r="BC59" s="16" t="n"/>
      <c r="BD59" s="139" t="n"/>
      <c r="BE59" s="16">
        <f>(BA59+BC59)</f>
        <v/>
      </c>
    </row>
    <row r="60" ht="22.5" customFormat="1" customHeight="1" s="8">
      <c r="A60" s="9" t="n"/>
      <c r="B60" s="136" t="inlineStr">
        <is>
          <t>BOARD</t>
        </is>
      </c>
      <c r="C60" s="137" t="inlineStr">
        <is>
          <t>COCOON</t>
        </is>
      </c>
      <c r="D60" s="64" t="inlineStr">
        <is>
          <t>고압베어 B/D</t>
        </is>
      </c>
      <c r="E60" s="11" t="inlineStr">
        <is>
          <t xml:space="preserve">구형 </t>
        </is>
      </c>
      <c r="F60" s="99" t="n"/>
      <c r="G60" s="9" t="n"/>
      <c r="H60" s="9" t="inlineStr">
        <is>
          <t>한샘디지텍</t>
        </is>
      </c>
      <c r="I60" s="14" t="n"/>
      <c r="J60" s="14" t="n"/>
      <c r="K60" s="12" t="n">
        <v>1192</v>
      </c>
      <c r="L60" s="9" t="n"/>
      <c r="M60" s="9" t="n"/>
      <c r="N60" s="9" t="n"/>
      <c r="O60" s="40">
        <f>K60+V60-AE60-AZ60</f>
        <v/>
      </c>
      <c r="P60" s="12" t="n"/>
      <c r="Q60" s="138" t="n"/>
      <c r="R60" s="16" t="n"/>
      <c r="S60" s="139" t="n"/>
      <c r="T60" s="16" t="n"/>
      <c r="U60" s="139" t="n"/>
      <c r="V60" s="16">
        <f>P60+R60+T60</f>
        <v/>
      </c>
      <c r="W60" s="16" t="n"/>
      <c r="X60" s="139" t="n"/>
      <c r="Y60" s="16" t="n"/>
      <c r="Z60" s="139" t="n"/>
      <c r="AA60" s="16" t="n"/>
      <c r="AB60" s="139" t="n"/>
      <c r="AC60" s="16" t="n"/>
      <c r="AD60" s="139" t="n"/>
      <c r="AE60" s="16">
        <f>(W60+Y60+AA60+AC60)</f>
        <v/>
      </c>
      <c r="AF60" s="140" t="n"/>
      <c r="AG60" s="138" t="n"/>
      <c r="AH60" s="16" t="n"/>
      <c r="AI60" s="138" t="n"/>
      <c r="AJ60" s="16" t="n"/>
      <c r="AK60" s="138" t="n"/>
      <c r="AL60" s="16" t="n"/>
      <c r="AM60" s="138" t="n"/>
      <c r="AN60" s="16" t="n"/>
      <c r="AO60" s="138" t="n"/>
      <c r="AP60" s="16" t="n"/>
      <c r="AQ60" s="138" t="n"/>
      <c r="AR60" s="16" t="n"/>
      <c r="AS60" s="138" t="n"/>
      <c r="AT60" s="16" t="n"/>
      <c r="AU60" s="138" t="n"/>
      <c r="AV60" s="16" t="n"/>
      <c r="AW60" s="138" t="n"/>
      <c r="AX60" s="16" t="n"/>
      <c r="AY60" s="138" t="n"/>
      <c r="AZ60" s="16">
        <f>AF60+AH60+AJ60+AL60+AN60+AP60+AR60+AT60+AV60+AX60</f>
        <v/>
      </c>
      <c r="BA60" s="16" t="n"/>
      <c r="BB60" s="139" t="n"/>
      <c r="BC60" s="16" t="n"/>
      <c r="BD60" s="139" t="n"/>
      <c r="BE60" s="16">
        <f>(BA60+BC60)</f>
        <v/>
      </c>
    </row>
    <row r="61" ht="22.5" customFormat="1" customHeight="1" s="8">
      <c r="A61" s="9" t="n"/>
      <c r="B61" s="136" t="inlineStr">
        <is>
          <t>BOARD</t>
        </is>
      </c>
      <c r="C61" s="137" t="inlineStr">
        <is>
          <t>COCOON</t>
        </is>
      </c>
      <c r="D61" s="64" t="inlineStr">
        <is>
          <t>고압베어 B/D</t>
        </is>
      </c>
      <c r="E61" s="11" t="inlineStr">
        <is>
          <t>신형</t>
        </is>
      </c>
      <c r="F61" s="99" t="n"/>
      <c r="G61" s="9" t="n"/>
      <c r="H61" s="9" t="inlineStr">
        <is>
          <t>한샘디지텍</t>
        </is>
      </c>
      <c r="I61" s="14" t="n"/>
      <c r="J61" s="14" t="n"/>
      <c r="K61" s="12" t="n">
        <v>0</v>
      </c>
      <c r="L61" s="9" t="n"/>
      <c r="M61" s="9" t="n"/>
      <c r="N61" s="9" t="n"/>
      <c r="O61" s="40">
        <f>K61+V61-AE61-AZ61</f>
        <v/>
      </c>
      <c r="P61" s="12" t="n"/>
      <c r="Q61" s="138" t="n"/>
      <c r="R61" s="16" t="n"/>
      <c r="S61" s="139" t="n"/>
      <c r="T61" s="16" t="n"/>
      <c r="U61" s="139" t="n"/>
      <c r="V61" s="16">
        <f>P61+R61+T61</f>
        <v/>
      </c>
      <c r="W61" s="16" t="n"/>
      <c r="X61" s="139" t="n"/>
      <c r="Y61" s="16" t="n"/>
      <c r="Z61" s="139" t="n"/>
      <c r="AA61" s="16" t="n"/>
      <c r="AB61" s="139" t="n"/>
      <c r="AC61" s="16" t="n"/>
      <c r="AD61" s="139" t="n"/>
      <c r="AE61" s="16">
        <f>(W61+Y61+AA61+AC61)</f>
        <v/>
      </c>
      <c r="AF61" s="140" t="n"/>
      <c r="AG61" s="138" t="n"/>
      <c r="AH61" s="16" t="n"/>
      <c r="AI61" s="138" t="n"/>
      <c r="AJ61" s="16" t="n"/>
      <c r="AK61" s="138" t="n"/>
      <c r="AL61" s="16" t="n"/>
      <c r="AM61" s="138" t="n"/>
      <c r="AN61" s="16" t="n"/>
      <c r="AO61" s="138" t="n"/>
      <c r="AP61" s="16" t="n"/>
      <c r="AQ61" s="138" t="n"/>
      <c r="AR61" s="16" t="n"/>
      <c r="AS61" s="138" t="n"/>
      <c r="AT61" s="16" t="n"/>
      <c r="AU61" s="138" t="n"/>
      <c r="AV61" s="16" t="n"/>
      <c r="AW61" s="138" t="n"/>
      <c r="AX61" s="16" t="n"/>
      <c r="AY61" s="138" t="n"/>
      <c r="AZ61" s="16">
        <f>AF61+AH61+AJ61+AL61+AN61+AP61+AR61+AT61+AV61+AX61</f>
        <v/>
      </c>
      <c r="BA61" s="16" t="n"/>
      <c r="BB61" s="139" t="n"/>
      <c r="BC61" s="16" t="n"/>
      <c r="BD61" s="139" t="n"/>
      <c r="BE61" s="16">
        <f>(BA61+BC61)</f>
        <v/>
      </c>
    </row>
    <row r="62" ht="22.5" customFormat="1" customHeight="1" s="8">
      <c r="A62" s="9" t="n"/>
      <c r="B62" s="136" t="inlineStr">
        <is>
          <t>BOARD</t>
        </is>
      </c>
      <c r="C62" s="137" t="inlineStr">
        <is>
          <t>SOLO</t>
        </is>
      </c>
      <c r="D62" s="64" t="inlineStr">
        <is>
          <t>고압베어 B/D</t>
        </is>
      </c>
      <c r="E62" s="11" t="n"/>
      <c r="F62" s="99" t="n"/>
      <c r="G62" s="9" t="n"/>
      <c r="H62" s="9" t="inlineStr">
        <is>
          <t>HLP</t>
        </is>
      </c>
      <c r="I62" s="14" t="n"/>
      <c r="J62" s="14" t="n"/>
      <c r="K62" s="12" t="n">
        <v>0</v>
      </c>
      <c r="L62" s="9" t="n"/>
      <c r="M62" s="9" t="n"/>
      <c r="N62" s="9" t="n"/>
      <c r="O62" s="40">
        <f>K62+V62-AE62-AZ62</f>
        <v/>
      </c>
      <c r="P62" s="12" t="n"/>
      <c r="Q62" s="138" t="n"/>
      <c r="R62" s="16" t="n"/>
      <c r="S62" s="139" t="n"/>
      <c r="T62" s="16" t="n"/>
      <c r="U62" s="139" t="n"/>
      <c r="V62" s="16">
        <f>P62+R62+T62</f>
        <v/>
      </c>
      <c r="W62" s="16" t="n"/>
      <c r="X62" s="139" t="n"/>
      <c r="Y62" s="16" t="n"/>
      <c r="Z62" s="139" t="n"/>
      <c r="AA62" s="16" t="n"/>
      <c r="AB62" s="139" t="n"/>
      <c r="AC62" s="16" t="n"/>
      <c r="AD62" s="139" t="n"/>
      <c r="AE62" s="16">
        <f>(W62+Y62+AA62+AC62)</f>
        <v/>
      </c>
      <c r="AF62" s="140" t="n"/>
      <c r="AG62" s="138" t="n"/>
      <c r="AH62" s="16" t="n"/>
      <c r="AI62" s="138" t="n"/>
      <c r="AJ62" s="16" t="n"/>
      <c r="AK62" s="138" t="n"/>
      <c r="AL62" s="16" t="n"/>
      <c r="AM62" s="138" t="n"/>
      <c r="AN62" s="16" t="n"/>
      <c r="AO62" s="138" t="n"/>
      <c r="AP62" s="16" t="n"/>
      <c r="AQ62" s="138" t="n"/>
      <c r="AR62" s="16" t="n"/>
      <c r="AS62" s="138" t="n"/>
      <c r="AT62" s="16" t="n"/>
      <c r="AU62" s="138" t="n"/>
      <c r="AV62" s="16" t="n"/>
      <c r="AW62" s="138" t="n"/>
      <c r="AX62" s="16" t="n"/>
      <c r="AY62" s="138" t="n"/>
      <c r="AZ62" s="16">
        <f>AF62+AH62+AJ62+AL62+AN62+AP62+AR62+AT62+AV62+AX62</f>
        <v/>
      </c>
      <c r="BA62" s="16" t="n"/>
      <c r="BB62" s="139" t="n"/>
      <c r="BC62" s="16" t="n"/>
      <c r="BD62" s="139" t="n"/>
      <c r="BE62" s="16">
        <f>(BA62+BC62)</f>
        <v/>
      </c>
    </row>
    <row r="63" ht="22.5" customFormat="1" customHeight="1" s="8">
      <c r="A63" s="9" t="n"/>
      <c r="B63" s="136" t="inlineStr">
        <is>
          <t>BOARD</t>
        </is>
      </c>
      <c r="C63" s="137" t="inlineStr">
        <is>
          <t>ADX6000</t>
        </is>
      </c>
      <c r="D63" s="64" t="inlineStr">
        <is>
          <t>고압베어 B/D</t>
        </is>
      </c>
      <c r="E63" s="11" t="inlineStr">
        <is>
          <t xml:space="preserve">구형 </t>
        </is>
      </c>
      <c r="F63" s="99" t="n"/>
      <c r="G63" s="9" t="n"/>
      <c r="H63" s="9" t="inlineStr">
        <is>
          <t>한샘디지텍</t>
        </is>
      </c>
      <c r="I63" s="14" t="n"/>
      <c r="J63" s="14" t="n"/>
      <c r="K63" s="12" t="n">
        <v>176</v>
      </c>
      <c r="L63" s="9" t="n"/>
      <c r="M63" s="9" t="n"/>
      <c r="N63" s="9" t="n"/>
      <c r="O63" s="40">
        <f>K63+V63-AE63-AZ63</f>
        <v/>
      </c>
      <c r="P63" s="12" t="n"/>
      <c r="Q63" s="138" t="n"/>
      <c r="R63" s="16" t="n"/>
      <c r="S63" s="139" t="n"/>
      <c r="T63" s="16" t="n"/>
      <c r="U63" s="139" t="n"/>
      <c r="V63" s="16">
        <f>P63+R63+T63</f>
        <v/>
      </c>
      <c r="W63" s="16" t="n"/>
      <c r="X63" s="139" t="n"/>
      <c r="Y63" s="16" t="n"/>
      <c r="Z63" s="139" t="n"/>
      <c r="AA63" s="16" t="n"/>
      <c r="AB63" s="139" t="n"/>
      <c r="AC63" s="16" t="n"/>
      <c r="AD63" s="139" t="n"/>
      <c r="AE63" s="16">
        <f>(W63+Y63+AA63+AC63)</f>
        <v/>
      </c>
      <c r="AF63" s="140" t="n"/>
      <c r="AG63" s="138" t="n"/>
      <c r="AH63" s="16" t="n"/>
      <c r="AI63" s="138" t="n"/>
      <c r="AJ63" s="16" t="n"/>
      <c r="AK63" s="138" t="n"/>
      <c r="AL63" s="16" t="n"/>
      <c r="AM63" s="138" t="n"/>
      <c r="AN63" s="16" t="n"/>
      <c r="AO63" s="138" t="n"/>
      <c r="AP63" s="16" t="n"/>
      <c r="AQ63" s="138" t="n"/>
      <c r="AR63" s="16" t="n"/>
      <c r="AS63" s="138" t="n"/>
      <c r="AT63" s="16" t="n"/>
      <c r="AU63" s="138" t="n"/>
      <c r="AV63" s="16" t="n"/>
      <c r="AW63" s="138" t="n"/>
      <c r="AX63" s="16" t="n"/>
      <c r="AY63" s="138" t="n"/>
      <c r="AZ63" s="16">
        <f>AF63+AH63+AJ63+AL63+AN63+AP63+AR63+AT63+AV63+AX63</f>
        <v/>
      </c>
      <c r="BA63" s="16" t="n"/>
      <c r="BB63" s="139" t="n"/>
      <c r="BC63" s="16" t="n"/>
      <c r="BD63" s="139" t="n"/>
      <c r="BE63" s="16">
        <f>(BA63+BC63)</f>
        <v/>
      </c>
    </row>
    <row r="64" ht="22.5" customFormat="1" customHeight="1" s="8">
      <c r="A64" s="9" t="n"/>
      <c r="B64" s="136" t="inlineStr">
        <is>
          <t>BOARD</t>
        </is>
      </c>
      <c r="C64" s="137" t="inlineStr">
        <is>
          <t>ADX6000</t>
        </is>
      </c>
      <c r="D64" s="64" t="inlineStr">
        <is>
          <t>고압베어 B/D</t>
        </is>
      </c>
      <c r="E64" s="11" t="inlineStr">
        <is>
          <t>신형</t>
        </is>
      </c>
      <c r="F64" s="99" t="n"/>
      <c r="G64" s="9" t="n"/>
      <c r="H64" s="9" t="inlineStr">
        <is>
          <t>한샘디지텍</t>
        </is>
      </c>
      <c r="I64" s="14" t="n"/>
      <c r="J64" s="14" t="n"/>
      <c r="K64" s="12" t="n">
        <v>0</v>
      </c>
      <c r="L64" s="9" t="n"/>
      <c r="M64" s="9" t="n"/>
      <c r="N64" s="9" t="n"/>
      <c r="O64" s="40">
        <f>K64+V64-AE64-AZ64</f>
        <v/>
      </c>
      <c r="P64" s="12" t="n"/>
      <c r="Q64" s="138" t="n"/>
      <c r="R64" s="16" t="n"/>
      <c r="S64" s="139" t="n"/>
      <c r="T64" s="16" t="n"/>
      <c r="U64" s="139" t="n"/>
      <c r="V64" s="16">
        <f>P64+R64+T64</f>
        <v/>
      </c>
      <c r="W64" s="16" t="n"/>
      <c r="X64" s="139" t="n"/>
      <c r="Y64" s="16" t="n"/>
      <c r="Z64" s="139" t="n"/>
      <c r="AA64" s="16" t="n"/>
      <c r="AB64" s="139" t="n"/>
      <c r="AC64" s="16" t="n"/>
      <c r="AD64" s="139" t="n"/>
      <c r="AE64" s="16">
        <f>(W64+Y64+AA64+AC64)</f>
        <v/>
      </c>
      <c r="AF64" s="140" t="n"/>
      <c r="AG64" s="138" t="n"/>
      <c r="AH64" s="16" t="n"/>
      <c r="AI64" s="138" t="n"/>
      <c r="AJ64" s="16" t="n"/>
      <c r="AK64" s="138" t="n"/>
      <c r="AL64" s="16" t="n"/>
      <c r="AM64" s="138" t="n"/>
      <c r="AN64" s="16" t="n"/>
      <c r="AO64" s="138" t="n"/>
      <c r="AP64" s="16" t="n"/>
      <c r="AQ64" s="138" t="n"/>
      <c r="AR64" s="16" t="n"/>
      <c r="AS64" s="138" t="n"/>
      <c r="AT64" s="16" t="n"/>
      <c r="AU64" s="138" t="n"/>
      <c r="AV64" s="16" t="n"/>
      <c r="AW64" s="138" t="n"/>
      <c r="AX64" s="16" t="n"/>
      <c r="AY64" s="138" t="n"/>
      <c r="AZ64" s="16">
        <f>AF64+AH64+AJ64+AL64+AN64+AP64+AR64+AT64+AV64+AX64</f>
        <v/>
      </c>
      <c r="BA64" s="16" t="n"/>
      <c r="BB64" s="139" t="n"/>
      <c r="BC64" s="16" t="n"/>
      <c r="BD64" s="139" t="n"/>
      <c r="BE64" s="16">
        <f>(BA64+BC64)</f>
        <v/>
      </c>
    </row>
    <row r="65" ht="22.5" customFormat="1" customHeight="1" s="8">
      <c r="A65" s="9" t="n"/>
      <c r="B65" s="136" t="inlineStr">
        <is>
          <t>BOARD</t>
        </is>
      </c>
      <c r="C65" s="137" t="inlineStr">
        <is>
          <t>DX3000, ADX4000W</t>
        </is>
      </c>
      <c r="D65" s="61" t="inlineStr">
        <is>
          <t>튜브 고정 보드 에노드</t>
        </is>
      </c>
      <c r="E65" s="11" t="inlineStr">
        <is>
          <t>나사</t>
        </is>
      </c>
      <c r="F65" s="99" t="n"/>
      <c r="G65" s="9" t="n"/>
      <c r="H65" s="9" t="inlineStr">
        <is>
          <t>한샘디지텍</t>
        </is>
      </c>
      <c r="I65" s="14" t="n"/>
      <c r="J65" s="14" t="n"/>
      <c r="K65" s="12" t="n">
        <v>1000</v>
      </c>
      <c r="L65" s="9" t="n"/>
      <c r="M65" s="9" t="n"/>
      <c r="N65" s="9" t="n"/>
      <c r="O65" s="40">
        <f>K65+V65-AE65-AZ65</f>
        <v/>
      </c>
      <c r="P65" s="12" t="n"/>
      <c r="Q65" s="138" t="n"/>
      <c r="R65" s="16" t="n"/>
      <c r="S65" s="139" t="n"/>
      <c r="T65" s="16" t="n"/>
      <c r="U65" s="139" t="n"/>
      <c r="V65" s="16">
        <f>P65+R65+T65</f>
        <v/>
      </c>
      <c r="W65" s="16" t="n"/>
      <c r="X65" s="139" t="n"/>
      <c r="Y65" s="16" t="n"/>
      <c r="Z65" s="139" t="n"/>
      <c r="AA65" s="16" t="n"/>
      <c r="AB65" s="139" t="n"/>
      <c r="AC65" s="16" t="n"/>
      <c r="AD65" s="139" t="n"/>
      <c r="AE65" s="16">
        <f>(W65+Y65+AA65+AC65)</f>
        <v/>
      </c>
      <c r="AF65" s="140" t="n"/>
      <c r="AG65" s="138" t="n"/>
      <c r="AH65" s="16" t="n"/>
      <c r="AI65" s="138" t="n"/>
      <c r="AJ65" s="16" t="n"/>
      <c r="AK65" s="138" t="n"/>
      <c r="AL65" s="16" t="n"/>
      <c r="AM65" s="138" t="n"/>
      <c r="AN65" s="16" t="n"/>
      <c r="AO65" s="138" t="n"/>
      <c r="AP65" s="16" t="n"/>
      <c r="AQ65" s="138" t="n"/>
      <c r="AR65" s="16" t="n"/>
      <c r="AS65" s="138" t="n"/>
      <c r="AT65" s="16" t="n"/>
      <c r="AU65" s="138" t="n"/>
      <c r="AV65" s="16" t="n"/>
      <c r="AW65" s="138" t="n"/>
      <c r="AX65" s="16" t="n"/>
      <c r="AY65" s="138" t="n"/>
      <c r="AZ65" s="16">
        <f>AF65+AH65+AJ65+AL65+AN65+AP65+AR65+AT65+AV65+AX65</f>
        <v/>
      </c>
      <c r="BA65" s="16" t="n"/>
      <c r="BB65" s="139" t="n"/>
      <c r="BC65" s="16" t="n"/>
      <c r="BD65" s="139" t="n"/>
      <c r="BE65" s="16">
        <f>(BA65+BC65)</f>
        <v/>
      </c>
    </row>
    <row r="66" ht="22.5" customFormat="1" customHeight="1" s="8">
      <c r="A66" s="9" t="n"/>
      <c r="B66" s="136" t="inlineStr">
        <is>
          <t>BOARD</t>
        </is>
      </c>
      <c r="C66" s="137" t="inlineStr">
        <is>
          <t>DX3000</t>
        </is>
      </c>
      <c r="D66" s="60" t="inlineStr">
        <is>
          <t>튜브 고정 보드 케소드</t>
        </is>
      </c>
      <c r="E66" s="11" t="inlineStr">
        <is>
          <t>필라멘트</t>
        </is>
      </c>
      <c r="F66" s="99" t="n"/>
      <c r="G66" s="9" t="n"/>
      <c r="H66" s="9" t="inlineStr">
        <is>
          <t>한샘디지텍</t>
        </is>
      </c>
      <c r="I66" s="14" t="n"/>
      <c r="J66" s="14" t="n"/>
      <c r="K66" s="12" t="n">
        <v>1800</v>
      </c>
      <c r="L66" s="9" t="n"/>
      <c r="M66" s="9" t="n"/>
      <c r="N66" s="9" t="n"/>
      <c r="O66" s="40">
        <f>K66+V66-AE66-AZ66</f>
        <v/>
      </c>
      <c r="P66" s="12" t="n"/>
      <c r="Q66" s="138" t="n"/>
      <c r="R66" s="16" t="n"/>
      <c r="S66" s="139" t="n"/>
      <c r="T66" s="16" t="n"/>
      <c r="U66" s="139" t="n"/>
      <c r="V66" s="16">
        <f>P66+R66+T66</f>
        <v/>
      </c>
      <c r="W66" s="16" t="n"/>
      <c r="X66" s="139" t="n"/>
      <c r="Y66" s="16" t="n"/>
      <c r="Z66" s="139" t="n"/>
      <c r="AA66" s="16" t="n"/>
      <c r="AB66" s="139" t="n"/>
      <c r="AC66" s="16" t="n"/>
      <c r="AD66" s="139" t="n"/>
      <c r="AE66" s="16">
        <f>(W66+Y66+AA66+AC66)</f>
        <v/>
      </c>
      <c r="AF66" s="140" t="n"/>
      <c r="AG66" s="138" t="n"/>
      <c r="AH66" s="16" t="n"/>
      <c r="AI66" s="138" t="n"/>
      <c r="AJ66" s="16" t="n"/>
      <c r="AK66" s="138" t="n"/>
      <c r="AL66" s="16" t="n"/>
      <c r="AM66" s="138" t="n"/>
      <c r="AN66" s="16" t="n"/>
      <c r="AO66" s="138" t="n"/>
      <c r="AP66" s="16" t="n"/>
      <c r="AQ66" s="138" t="n"/>
      <c r="AR66" s="16" t="n"/>
      <c r="AS66" s="138" t="n"/>
      <c r="AT66" s="16" t="n"/>
      <c r="AU66" s="138" t="n"/>
      <c r="AV66" s="16" t="n"/>
      <c r="AW66" s="138" t="n"/>
      <c r="AX66" s="16" t="n"/>
      <c r="AY66" s="138" t="n"/>
      <c r="AZ66" s="16">
        <f>AF66+AH66+AJ66+AL66+AN66+AP66+AR66+AT66+AV66+AX66</f>
        <v/>
      </c>
      <c r="BA66" s="16" t="n"/>
      <c r="BB66" s="139" t="n"/>
      <c r="BC66" s="16" t="n"/>
      <c r="BD66" s="139" t="n"/>
      <c r="BE66" s="16">
        <f>(BA66+BC66)</f>
        <v/>
      </c>
    </row>
    <row r="67" ht="22.5" customFormat="1" customHeight="1" s="8">
      <c r="A67" s="9" t="n"/>
      <c r="B67" s="136" t="inlineStr">
        <is>
          <t>BOARD</t>
        </is>
      </c>
      <c r="C67" s="137" t="inlineStr">
        <is>
          <t>ADX4000W</t>
        </is>
      </c>
      <c r="D67" s="68" t="inlineStr">
        <is>
          <t>튜브 고정 보드 케소드</t>
        </is>
      </c>
      <c r="E67" s="11" t="inlineStr">
        <is>
          <t>필라멘트</t>
        </is>
      </c>
      <c r="F67" s="99" t="n"/>
      <c r="G67" s="9" t="n"/>
      <c r="H67" s="9" t="inlineStr">
        <is>
          <t>한샘디지텍</t>
        </is>
      </c>
      <c r="I67" s="14" t="n"/>
      <c r="J67" s="14" t="n"/>
      <c r="K67" s="12" t="n">
        <v>2040</v>
      </c>
      <c r="L67" s="9" t="n"/>
      <c r="M67" s="9" t="n"/>
      <c r="N67" s="9" t="n"/>
      <c r="O67" s="40">
        <f>K67+V67-AE67-AZ67</f>
        <v/>
      </c>
      <c r="P67" s="12" t="n"/>
      <c r="Q67" s="138" t="n"/>
      <c r="R67" s="16" t="n"/>
      <c r="S67" s="139" t="n"/>
      <c r="T67" s="16" t="n"/>
      <c r="U67" s="139" t="n"/>
      <c r="V67" s="16">
        <f>P67+R67+T67</f>
        <v/>
      </c>
      <c r="W67" s="16" t="n"/>
      <c r="X67" s="139" t="n"/>
      <c r="Y67" s="16" t="n"/>
      <c r="Z67" s="139" t="n"/>
      <c r="AA67" s="16" t="n"/>
      <c r="AB67" s="139" t="n"/>
      <c r="AC67" s="16" t="n"/>
      <c r="AD67" s="139" t="n"/>
      <c r="AE67" s="16">
        <f>(W67+Y67+AA67+AC67)</f>
        <v/>
      </c>
      <c r="AF67" s="140" t="n"/>
      <c r="AG67" s="138" t="n"/>
      <c r="AH67" s="16" t="n"/>
      <c r="AI67" s="138" t="n"/>
      <c r="AJ67" s="16" t="n"/>
      <c r="AK67" s="138" t="n"/>
      <c r="AL67" s="16" t="n"/>
      <c r="AM67" s="138" t="n"/>
      <c r="AN67" s="16" t="n"/>
      <c r="AO67" s="138" t="n"/>
      <c r="AP67" s="16" t="n"/>
      <c r="AQ67" s="138" t="n"/>
      <c r="AR67" s="16" t="n"/>
      <c r="AS67" s="138" t="n"/>
      <c r="AT67" s="16" t="n"/>
      <c r="AU67" s="138" t="n"/>
      <c r="AV67" s="16" t="n"/>
      <c r="AW67" s="138" t="n"/>
      <c r="AX67" s="16" t="n"/>
      <c r="AY67" s="138" t="n"/>
      <c r="AZ67" s="16">
        <f>AF67+AH67+AJ67+AL67+AN67+AP67+AR67+AT67+AV67+AX67</f>
        <v/>
      </c>
      <c r="BA67" s="16" t="n"/>
      <c r="BB67" s="139" t="n"/>
      <c r="BC67" s="16" t="n"/>
      <c r="BD67" s="139" t="n"/>
      <c r="BE67" s="16">
        <f>(BA67+BC67)</f>
        <v/>
      </c>
    </row>
    <row r="68" ht="22.5" customFormat="1" customHeight="1" s="8">
      <c r="A68" s="9" t="n"/>
      <c r="B68" s="136" t="inlineStr">
        <is>
          <t>BOARD</t>
        </is>
      </c>
      <c r="C68" s="137" t="inlineStr">
        <is>
          <t>COCOON</t>
        </is>
      </c>
      <c r="D68" s="65" t="inlineStr">
        <is>
          <t>튜브 고정 보드 에노드</t>
        </is>
      </c>
      <c r="E68" s="11" t="inlineStr">
        <is>
          <t>나사</t>
        </is>
      </c>
      <c r="F68" s="99" t="n"/>
      <c r="G68" s="9" t="n"/>
      <c r="H68" s="9" t="inlineStr">
        <is>
          <t>한샘디지텍</t>
        </is>
      </c>
      <c r="I68" s="14" t="n"/>
      <c r="J68" s="14" t="n"/>
      <c r="K68" s="12" t="n">
        <v>1202</v>
      </c>
      <c r="L68" s="9" t="n"/>
      <c r="M68" s="9" t="n"/>
      <c r="N68" s="9" t="n"/>
      <c r="O68" s="40">
        <f>K68+V68-AE68-AZ68</f>
        <v/>
      </c>
      <c r="P68" s="12" t="n"/>
      <c r="Q68" s="138" t="n"/>
      <c r="R68" s="16" t="n"/>
      <c r="S68" s="139" t="n"/>
      <c r="T68" s="16" t="n"/>
      <c r="U68" s="139" t="n"/>
      <c r="V68" s="16">
        <f>P68+R68+T68</f>
        <v/>
      </c>
      <c r="W68" s="16" t="n"/>
      <c r="X68" s="139" t="n"/>
      <c r="Y68" s="16" t="n"/>
      <c r="Z68" s="139" t="n"/>
      <c r="AA68" s="16" t="n"/>
      <c r="AB68" s="139" t="n"/>
      <c r="AC68" s="16" t="n"/>
      <c r="AD68" s="139" t="n"/>
      <c r="AE68" s="16">
        <f>(W68+Y68+AA68+AC68)</f>
        <v/>
      </c>
      <c r="AF68" s="140" t="n"/>
      <c r="AG68" s="138" t="n"/>
      <c r="AH68" s="16" t="n"/>
      <c r="AI68" s="138" t="n"/>
      <c r="AJ68" s="16" t="n"/>
      <c r="AK68" s="138" t="n"/>
      <c r="AL68" s="16" t="n"/>
      <c r="AM68" s="138" t="n"/>
      <c r="AN68" s="16" t="n"/>
      <c r="AO68" s="138" t="n"/>
      <c r="AP68" s="16" t="n"/>
      <c r="AQ68" s="138" t="n"/>
      <c r="AR68" s="16" t="n"/>
      <c r="AS68" s="138" t="n"/>
      <c r="AT68" s="16" t="n"/>
      <c r="AU68" s="138" t="n"/>
      <c r="AV68" s="16" t="n"/>
      <c r="AW68" s="138" t="n"/>
      <c r="AX68" s="16" t="n"/>
      <c r="AY68" s="138" t="n"/>
      <c r="AZ68" s="16">
        <f>AF68+AH68+AJ68+AL68+AN68+AP68+AR68+AT68+AV68+AX68</f>
        <v/>
      </c>
      <c r="BA68" s="16" t="n"/>
      <c r="BB68" s="139" t="n"/>
      <c r="BC68" s="16" t="n"/>
      <c r="BD68" s="139" t="n"/>
      <c r="BE68" s="16">
        <f>(BA68+BC68)</f>
        <v/>
      </c>
    </row>
    <row r="69" ht="22.5" customFormat="1" customHeight="1" s="8">
      <c r="A69" s="9" t="n"/>
      <c r="B69" s="136" t="inlineStr">
        <is>
          <t>BOARD</t>
        </is>
      </c>
      <c r="C69" s="137" t="inlineStr">
        <is>
          <t>ADX6000</t>
        </is>
      </c>
      <c r="D69" s="65" t="inlineStr">
        <is>
          <t>튜브 고정 보드 에노드</t>
        </is>
      </c>
      <c r="E69" s="11" t="inlineStr">
        <is>
          <t>나사</t>
        </is>
      </c>
      <c r="F69" s="99" t="n"/>
      <c r="G69" s="9" t="n"/>
      <c r="H69" s="9" t="inlineStr">
        <is>
          <t>한샘디지텍</t>
        </is>
      </c>
      <c r="I69" s="14" t="n"/>
      <c r="J69" s="14" t="n"/>
      <c r="K69" s="12" t="n">
        <v>0</v>
      </c>
      <c r="L69" s="9" t="n"/>
      <c r="M69" s="9" t="n"/>
      <c r="N69" s="9" t="n"/>
      <c r="O69" s="40">
        <f>K69+V69-AE69-AZ69</f>
        <v/>
      </c>
      <c r="P69" s="12" t="n"/>
      <c r="Q69" s="138" t="n"/>
      <c r="R69" s="16" t="n"/>
      <c r="S69" s="139" t="n"/>
      <c r="T69" s="16" t="n"/>
      <c r="U69" s="139" t="n"/>
      <c r="V69" s="16">
        <f>P69+R69+T69</f>
        <v/>
      </c>
      <c r="W69" s="16" t="n"/>
      <c r="X69" s="139" t="n"/>
      <c r="Y69" s="16" t="n"/>
      <c r="Z69" s="139" t="n"/>
      <c r="AA69" s="16" t="n"/>
      <c r="AB69" s="139" t="n"/>
      <c r="AC69" s="16" t="n"/>
      <c r="AD69" s="139" t="n"/>
      <c r="AE69" s="16">
        <f>(W69+Y69+AA69+AC69)</f>
        <v/>
      </c>
      <c r="AF69" s="140" t="n"/>
      <c r="AG69" s="138" t="n"/>
      <c r="AH69" s="16" t="n"/>
      <c r="AI69" s="138" t="n"/>
      <c r="AJ69" s="16" t="n"/>
      <c r="AK69" s="138" t="n"/>
      <c r="AL69" s="16" t="n"/>
      <c r="AM69" s="138" t="n"/>
      <c r="AN69" s="16" t="n"/>
      <c r="AO69" s="138" t="n"/>
      <c r="AP69" s="16" t="n"/>
      <c r="AQ69" s="138" t="n"/>
      <c r="AR69" s="16" t="n"/>
      <c r="AS69" s="138" t="n"/>
      <c r="AT69" s="16" t="n"/>
      <c r="AU69" s="138" t="n"/>
      <c r="AV69" s="16" t="n"/>
      <c r="AW69" s="138" t="n"/>
      <c r="AX69" s="16" t="n"/>
      <c r="AY69" s="138" t="n"/>
      <c r="AZ69" s="16">
        <f>AF69+AH69+AJ69+AL69+AN69+AP69+AR69+AT69+AV69+AX69</f>
        <v/>
      </c>
      <c r="BA69" s="16" t="n"/>
      <c r="BB69" s="139" t="n"/>
      <c r="BC69" s="16" t="n"/>
      <c r="BD69" s="139" t="n"/>
      <c r="BE69" s="16">
        <f>(BA69+BC69)</f>
        <v/>
      </c>
    </row>
    <row r="70" ht="22.5" customFormat="1" customHeight="1" s="8">
      <c r="A70" s="9" t="n"/>
      <c r="B70" s="136" t="inlineStr">
        <is>
          <t>BOARD</t>
        </is>
      </c>
      <c r="C70" s="137" t="inlineStr">
        <is>
          <t>ADX6000</t>
        </is>
      </c>
      <c r="D70" s="60" t="inlineStr">
        <is>
          <t>튜브 고정 보드 케소드</t>
        </is>
      </c>
      <c r="E70" s="11" t="inlineStr">
        <is>
          <t>필라멘트</t>
        </is>
      </c>
      <c r="F70" s="99" t="n"/>
      <c r="G70" s="9" t="n"/>
      <c r="H70" s="9" t="inlineStr">
        <is>
          <t>한샘디지텍</t>
        </is>
      </c>
      <c r="I70" s="14" t="n"/>
      <c r="J70" s="14" t="n"/>
      <c r="K70" s="12" t="n">
        <v>0</v>
      </c>
      <c r="L70" s="9" t="n"/>
      <c r="M70" s="9" t="n"/>
      <c r="N70" s="9" t="n"/>
      <c r="O70" s="40">
        <f>K70+V70-AE70-AZ70</f>
        <v/>
      </c>
      <c r="P70" s="12" t="n"/>
      <c r="Q70" s="138" t="n"/>
      <c r="R70" s="16" t="n"/>
      <c r="S70" s="139" t="n"/>
      <c r="T70" s="16" t="n"/>
      <c r="U70" s="139" t="n"/>
      <c r="V70" s="16">
        <f>P70+R70+T70</f>
        <v/>
      </c>
      <c r="W70" s="16" t="n"/>
      <c r="X70" s="139" t="n"/>
      <c r="Y70" s="16" t="n"/>
      <c r="Z70" s="139" t="n"/>
      <c r="AA70" s="16" t="n"/>
      <c r="AB70" s="139" t="n"/>
      <c r="AC70" s="16" t="n"/>
      <c r="AD70" s="139" t="n"/>
      <c r="AE70" s="16">
        <f>(W70+Y70+AA70+AC70)</f>
        <v/>
      </c>
      <c r="AF70" s="140" t="n"/>
      <c r="AG70" s="138" t="n"/>
      <c r="AH70" s="16" t="n"/>
      <c r="AI70" s="138" t="n"/>
      <c r="AJ70" s="16" t="n"/>
      <c r="AK70" s="138" t="n"/>
      <c r="AL70" s="16" t="n"/>
      <c r="AM70" s="138" t="n"/>
      <c r="AN70" s="16" t="n"/>
      <c r="AO70" s="138" t="n"/>
      <c r="AP70" s="16" t="n"/>
      <c r="AQ70" s="138" t="n"/>
      <c r="AR70" s="16" t="n"/>
      <c r="AS70" s="138" t="n"/>
      <c r="AT70" s="16" t="n"/>
      <c r="AU70" s="138" t="n"/>
      <c r="AV70" s="16" t="n"/>
      <c r="AW70" s="138" t="n"/>
      <c r="AX70" s="16" t="n"/>
      <c r="AY70" s="138" t="n"/>
      <c r="AZ70" s="16">
        <f>AF70+AH70+AJ70+AL70+AN70+AP70+AR70+AT70+AV70+AX70</f>
        <v/>
      </c>
      <c r="BA70" s="16" t="n"/>
      <c r="BB70" s="139" t="n"/>
      <c r="BC70" s="16" t="n"/>
      <c r="BD70" s="139" t="n"/>
      <c r="BE70" s="16">
        <f>(BA70+BC70)</f>
        <v/>
      </c>
    </row>
    <row r="71" ht="22.5" customFormat="1" customHeight="1" s="8">
      <c r="A71" s="9" t="n"/>
      <c r="B71" s="141" t="inlineStr">
        <is>
          <t>베이클라이트</t>
        </is>
      </c>
      <c r="C71" s="137" t="inlineStr">
        <is>
          <t>DX3000, ADX4000W ADX6000</t>
        </is>
      </c>
      <c r="D71" s="62" t="inlineStr">
        <is>
          <t>베이클라이트 케이스</t>
        </is>
      </c>
      <c r="E71" s="36" t="inlineStr">
        <is>
          <t>베이클라이트</t>
        </is>
      </c>
      <c r="F71" s="99" t="n"/>
      <c r="G71" s="22" t="n"/>
      <c r="H71" s="22" t="inlineStr">
        <is>
          <t>용봉화학</t>
        </is>
      </c>
      <c r="I71" s="14" t="n"/>
      <c r="J71" s="14" t="n"/>
      <c r="K71" s="12" t="n">
        <v>733</v>
      </c>
      <c r="L71" s="9" t="n"/>
      <c r="M71" s="9" t="n"/>
      <c r="N71" s="9" t="n"/>
      <c r="O71" s="40">
        <f>K71+V71-AE71-AZ71</f>
        <v/>
      </c>
      <c r="P71" s="12" t="n"/>
      <c r="Q71" s="138" t="n"/>
      <c r="R71" s="16" t="n"/>
      <c r="S71" s="139" t="n"/>
      <c r="T71" s="16" t="n"/>
      <c r="U71" s="139" t="n"/>
      <c r="V71" s="16">
        <f>P71+R71+T71</f>
        <v/>
      </c>
      <c r="W71" s="16" t="n"/>
      <c r="X71" s="139" t="n"/>
      <c r="Y71" s="16" t="n"/>
      <c r="Z71" s="139" t="n"/>
      <c r="AA71" s="16" t="n"/>
      <c r="AB71" s="139" t="n"/>
      <c r="AC71" s="16" t="n"/>
      <c r="AD71" s="139" t="n"/>
      <c r="AE71" s="16">
        <f>(W71+Y71+AA71+AC71)</f>
        <v/>
      </c>
      <c r="AF71" s="140" t="n"/>
      <c r="AG71" s="138" t="n"/>
      <c r="AH71" s="16" t="n"/>
      <c r="AI71" s="138" t="n"/>
      <c r="AJ71" s="16" t="n"/>
      <c r="AK71" s="138" t="n"/>
      <c r="AL71" s="16" t="n"/>
      <c r="AM71" s="138" t="n"/>
      <c r="AN71" s="16" t="n"/>
      <c r="AO71" s="138" t="n"/>
      <c r="AP71" s="16" t="n"/>
      <c r="AQ71" s="138" t="n"/>
      <c r="AR71" s="16" t="n"/>
      <c r="AS71" s="138" t="n"/>
      <c r="AT71" s="16" t="n"/>
      <c r="AU71" s="138" t="n"/>
      <c r="AV71" s="16" t="n"/>
      <c r="AW71" s="138" t="n"/>
      <c r="AX71" s="16" t="n"/>
      <c r="AY71" s="138" t="n"/>
      <c r="AZ71" s="16">
        <f>AF71+AH71+AJ71+AL71+AN71+AP71+AR71+AT71+AV71+AX71</f>
        <v/>
      </c>
      <c r="BA71" s="16" t="n"/>
      <c r="BB71" s="139" t="n"/>
      <c r="BC71" s="16" t="n"/>
      <c r="BD71" s="139" t="n"/>
      <c r="BE71" s="16">
        <f>(BA71+BC71)</f>
        <v/>
      </c>
    </row>
    <row r="72" ht="22.5" customFormat="1" customHeight="1" s="8">
      <c r="A72" s="9" t="n"/>
      <c r="B72" s="141" t="inlineStr">
        <is>
          <t>HDPE</t>
        </is>
      </c>
      <c r="C72" s="137" t="inlineStr">
        <is>
          <t>COCOON</t>
        </is>
      </c>
      <c r="D72" s="62" t="inlineStr">
        <is>
          <t>NC 케이스</t>
        </is>
      </c>
      <c r="E72" s="36" t="inlineStr">
        <is>
          <t>HDPE</t>
        </is>
      </c>
      <c r="F72" s="99" t="n"/>
      <c r="G72" s="22" t="n"/>
      <c r="H72" s="22" t="inlineStr">
        <is>
          <t>용봉화학</t>
        </is>
      </c>
      <c r="I72" s="14" t="n"/>
      <c r="J72" s="14" t="n"/>
      <c r="K72" s="12" t="n">
        <v>112</v>
      </c>
      <c r="L72" s="9" t="n"/>
      <c r="M72" s="9" t="n"/>
      <c r="N72" s="9" t="n"/>
      <c r="O72" s="40">
        <f>K72+V72-AE72-AZ72</f>
        <v/>
      </c>
      <c r="P72" s="12" t="n"/>
      <c r="Q72" s="138" t="n"/>
      <c r="R72" s="16" t="n"/>
      <c r="S72" s="139" t="n"/>
      <c r="T72" s="16" t="n"/>
      <c r="U72" s="139" t="n"/>
      <c r="V72" s="16">
        <f>P72+R72+T72</f>
        <v/>
      </c>
      <c r="W72" s="16" t="n"/>
      <c r="X72" s="139" t="n"/>
      <c r="Y72" s="16" t="n"/>
      <c r="Z72" s="139" t="n"/>
      <c r="AA72" s="16" t="n"/>
      <c r="AB72" s="139" t="n"/>
      <c r="AC72" s="16" t="n"/>
      <c r="AD72" s="139" t="n"/>
      <c r="AE72" s="16">
        <f>(W72+Y72+AA72+AC72)</f>
        <v/>
      </c>
      <c r="AF72" s="140" t="n"/>
      <c r="AG72" s="138" t="n"/>
      <c r="AH72" s="16" t="n"/>
      <c r="AI72" s="138" t="n"/>
      <c r="AJ72" s="16" t="n"/>
      <c r="AK72" s="138" t="n"/>
      <c r="AL72" s="16" t="n"/>
      <c r="AM72" s="138" t="n"/>
      <c r="AN72" s="16" t="n"/>
      <c r="AO72" s="138" t="n"/>
      <c r="AP72" s="16" t="n"/>
      <c r="AQ72" s="138" t="n"/>
      <c r="AR72" s="16" t="n"/>
      <c r="AS72" s="138" t="n"/>
      <c r="AT72" s="16" t="n"/>
      <c r="AU72" s="138" t="n"/>
      <c r="AV72" s="16" t="n"/>
      <c r="AW72" s="138" t="n"/>
      <c r="AX72" s="16" t="n"/>
      <c r="AY72" s="138" t="n"/>
      <c r="AZ72" s="16">
        <f>AF72+AH72+AJ72+AL72+AN72+AP72+AR72+AT72+AV72+AX72</f>
        <v/>
      </c>
      <c r="BA72" s="16" t="n"/>
      <c r="BB72" s="139" t="n"/>
      <c r="BC72" s="16" t="n"/>
      <c r="BD72" s="139" t="n"/>
      <c r="BE72" s="16">
        <f>(BA72+BC72)</f>
        <v/>
      </c>
    </row>
    <row r="73" ht="22.5" customFormat="1" customHeight="1" s="8">
      <c r="A73" s="9" t="n"/>
      <c r="B73" s="141" t="inlineStr">
        <is>
          <t>HDPE</t>
        </is>
      </c>
      <c r="C73" s="137" t="inlineStr">
        <is>
          <t>SOLO</t>
        </is>
      </c>
      <c r="D73" s="62" t="inlineStr">
        <is>
          <t>NC 케이스</t>
        </is>
      </c>
      <c r="E73" s="36" t="inlineStr">
        <is>
          <t>HDPE</t>
        </is>
      </c>
      <c r="F73" s="99" t="n"/>
      <c r="G73" s="22" t="n"/>
      <c r="H73" s="22" t="inlineStr">
        <is>
          <t>용봉화학</t>
        </is>
      </c>
      <c r="I73" s="14" t="n"/>
      <c r="J73" s="14" t="n"/>
      <c r="K73" s="12" t="n">
        <v>40</v>
      </c>
      <c r="L73" s="9" t="n"/>
      <c r="M73" s="9" t="n"/>
      <c r="N73" s="9" t="n"/>
      <c r="O73" s="40">
        <f>K73+V73-AE73-AZ73</f>
        <v/>
      </c>
      <c r="P73" s="12" t="n"/>
      <c r="Q73" s="138" t="n"/>
      <c r="R73" s="16" t="n"/>
      <c r="S73" s="139" t="n"/>
      <c r="T73" s="16" t="n"/>
      <c r="U73" s="139" t="n"/>
      <c r="V73" s="16">
        <f>P73+R73+T73</f>
        <v/>
      </c>
      <c r="W73" s="16" t="n"/>
      <c r="X73" s="139" t="n"/>
      <c r="Y73" s="16" t="n"/>
      <c r="Z73" s="139" t="n"/>
      <c r="AA73" s="16" t="n"/>
      <c r="AB73" s="139" t="n"/>
      <c r="AC73" s="16" t="n"/>
      <c r="AD73" s="139" t="n"/>
      <c r="AE73" s="16">
        <f>(W73+Y73+AA73+AC73)</f>
        <v/>
      </c>
      <c r="AF73" s="140" t="n"/>
      <c r="AG73" s="138" t="n"/>
      <c r="AH73" s="16" t="n"/>
      <c r="AI73" s="138" t="n"/>
      <c r="AJ73" s="16" t="n"/>
      <c r="AK73" s="138" t="n"/>
      <c r="AL73" s="16" t="n"/>
      <c r="AM73" s="138" t="n"/>
      <c r="AN73" s="16" t="n"/>
      <c r="AO73" s="138" t="n"/>
      <c r="AP73" s="16" t="n"/>
      <c r="AQ73" s="138" t="n"/>
      <c r="AR73" s="16" t="n"/>
      <c r="AS73" s="138" t="n"/>
      <c r="AT73" s="16" t="n"/>
      <c r="AU73" s="138" t="n"/>
      <c r="AV73" s="16" t="n"/>
      <c r="AW73" s="138" t="n"/>
      <c r="AX73" s="16" t="n"/>
      <c r="AY73" s="138" t="n"/>
      <c r="AZ73" s="16">
        <f>AF73+AH73+AJ73+AL73+AN73+AP73+AR73+AT73+AV73+AX73</f>
        <v/>
      </c>
      <c r="BA73" s="16" t="n"/>
      <c r="BB73" s="139" t="n"/>
      <c r="BC73" s="16" t="n"/>
      <c r="BD73" s="139" t="n"/>
      <c r="BE73" s="16">
        <f>(BA73+BC73)</f>
        <v/>
      </c>
    </row>
    <row r="74" ht="22.5" customFormat="1" customHeight="1" s="8">
      <c r="A74" s="9" t="n"/>
      <c r="B74" s="141" t="inlineStr">
        <is>
          <t>HDPE</t>
        </is>
      </c>
      <c r="C74" s="137" t="inlineStr">
        <is>
          <t>COCOON</t>
        </is>
      </c>
      <c r="D74" s="62" t="inlineStr">
        <is>
          <t>PE케이스 거치대</t>
        </is>
      </c>
      <c r="E74" s="36" t="inlineStr">
        <is>
          <t>HDPE</t>
        </is>
      </c>
      <c r="F74" s="99" t="n"/>
      <c r="G74" s="22" t="n"/>
      <c r="H74" s="22" t="inlineStr">
        <is>
          <t>용봉화학</t>
        </is>
      </c>
      <c r="I74" s="14" t="n"/>
      <c r="J74" s="14" t="n"/>
      <c r="K74" s="12" t="n">
        <v>200</v>
      </c>
      <c r="L74" s="9" t="n"/>
      <c r="M74" s="9" t="n"/>
      <c r="N74" s="9" t="n"/>
      <c r="O74" s="40">
        <f>K74+V74-AE74-AZ74</f>
        <v/>
      </c>
      <c r="P74" s="12" t="n"/>
      <c r="Q74" s="138" t="n"/>
      <c r="R74" s="16" t="n"/>
      <c r="S74" s="139" t="n"/>
      <c r="T74" s="16" t="n"/>
      <c r="U74" s="139" t="n"/>
      <c r="V74" s="16">
        <f>P74+R74+T74</f>
        <v/>
      </c>
      <c r="W74" s="16" t="n"/>
      <c r="X74" s="139" t="n"/>
      <c r="Y74" s="16" t="n"/>
      <c r="Z74" s="139" t="n"/>
      <c r="AA74" s="16" t="n"/>
      <c r="AB74" s="139" t="n"/>
      <c r="AC74" s="16" t="n"/>
      <c r="AD74" s="139" t="n"/>
      <c r="AE74" s="16">
        <f>(W74+Y74+AA74+AC74)</f>
        <v/>
      </c>
      <c r="AF74" s="140" t="n"/>
      <c r="AG74" s="138" t="n"/>
      <c r="AH74" s="16" t="n"/>
      <c r="AI74" s="138" t="n"/>
      <c r="AJ74" s="16" t="n"/>
      <c r="AK74" s="138" t="n"/>
      <c r="AL74" s="16" t="n"/>
      <c r="AM74" s="138" t="n"/>
      <c r="AN74" s="16" t="n"/>
      <c r="AO74" s="138" t="n"/>
      <c r="AP74" s="16" t="n"/>
      <c r="AQ74" s="138" t="n"/>
      <c r="AR74" s="16" t="n"/>
      <c r="AS74" s="138" t="n"/>
      <c r="AT74" s="16" t="n"/>
      <c r="AU74" s="138" t="n"/>
      <c r="AV74" s="16" t="n"/>
      <c r="AW74" s="138" t="n"/>
      <c r="AX74" s="16" t="n"/>
      <c r="AY74" s="138" t="n"/>
      <c r="AZ74" s="16">
        <f>AF74+AH74+AJ74+AL74+AN74+AP74+AR74+AT74+AV74+AX74</f>
        <v/>
      </c>
      <c r="BA74" s="16" t="n"/>
      <c r="BB74" s="139" t="n"/>
      <c r="BC74" s="16" t="n"/>
      <c r="BD74" s="139" t="n"/>
      <c r="BE74" s="16">
        <f>(BA74+BC74)</f>
        <v/>
      </c>
    </row>
    <row r="75" ht="22.5" customFormat="1" customHeight="1" s="8">
      <c r="A75" s="9" t="n"/>
      <c r="B75" s="141" t="inlineStr">
        <is>
          <t>황동</t>
        </is>
      </c>
      <c r="C75" s="137" t="inlineStr">
        <is>
          <t>DX3000</t>
        </is>
      </c>
      <c r="D75" s="69" t="inlineStr">
        <is>
          <t>신주 케이스</t>
        </is>
      </c>
      <c r="E75" s="36" t="inlineStr">
        <is>
          <t>0.6T</t>
        </is>
      </c>
      <c r="F75" s="99" t="n"/>
      <c r="G75" s="22" t="n"/>
      <c r="H75" s="22" t="inlineStr">
        <is>
          <t>해진정밀</t>
        </is>
      </c>
      <c r="I75" s="14" t="n"/>
      <c r="J75" s="14" t="n"/>
      <c r="K75" s="12" t="n">
        <v>893</v>
      </c>
      <c r="L75" s="9" t="n"/>
      <c r="M75" s="9" t="n"/>
      <c r="N75" s="9" t="n"/>
      <c r="O75" s="40">
        <f>K75+V75-AE75-AZ75</f>
        <v/>
      </c>
      <c r="P75" s="12" t="n"/>
      <c r="Q75" s="138" t="n"/>
      <c r="R75" s="16" t="n"/>
      <c r="S75" s="139" t="n"/>
      <c r="T75" s="16" t="n"/>
      <c r="U75" s="139" t="n"/>
      <c r="V75" s="16">
        <f>P75+R75+T75</f>
        <v/>
      </c>
      <c r="W75" s="16" t="n"/>
      <c r="X75" s="139" t="n"/>
      <c r="Y75" s="16" t="n"/>
      <c r="Z75" s="139" t="n"/>
      <c r="AA75" s="16" t="n"/>
      <c r="AB75" s="139" t="n"/>
      <c r="AC75" s="16" t="n"/>
      <c r="AD75" s="139" t="n"/>
      <c r="AE75" s="16">
        <f>(W75+Y75+AA75+AC75)</f>
        <v/>
      </c>
      <c r="AF75" s="140" t="n"/>
      <c r="AG75" s="138" t="n"/>
      <c r="AH75" s="16" t="n"/>
      <c r="AI75" s="138" t="n"/>
      <c r="AJ75" s="16" t="n"/>
      <c r="AK75" s="138" t="n"/>
      <c r="AL75" s="16" t="n"/>
      <c r="AM75" s="138" t="n"/>
      <c r="AN75" s="16" t="n"/>
      <c r="AO75" s="138" t="n"/>
      <c r="AP75" s="16" t="n"/>
      <c r="AQ75" s="138" t="n"/>
      <c r="AR75" s="16" t="n"/>
      <c r="AS75" s="138" t="n"/>
      <c r="AT75" s="16" t="n"/>
      <c r="AU75" s="138" t="n"/>
      <c r="AV75" s="16" t="n"/>
      <c r="AW75" s="138" t="n"/>
      <c r="AX75" s="16" t="n"/>
      <c r="AY75" s="138" t="n"/>
      <c r="AZ75" s="16">
        <f>AF75+AH75+AJ75+AL75+AN75+AP75+AR75+AT75+AV75+AX75</f>
        <v/>
      </c>
      <c r="BA75" s="16" t="n"/>
      <c r="BB75" s="139" t="n"/>
      <c r="BC75" s="16" t="n"/>
      <c r="BD75" s="139" t="n"/>
      <c r="BE75" s="16">
        <f>(BA75+BC75)</f>
        <v/>
      </c>
    </row>
    <row r="76" ht="22.5" customFormat="1" customHeight="1" s="8">
      <c r="A76" s="9" t="n"/>
      <c r="B76" s="141" t="inlineStr">
        <is>
          <t>황동</t>
        </is>
      </c>
      <c r="C76" s="137" t="inlineStr">
        <is>
          <t>COCOON</t>
        </is>
      </c>
      <c r="D76" s="62" t="inlineStr">
        <is>
          <t>신주 케이스</t>
        </is>
      </c>
      <c r="E76" s="36" t="inlineStr">
        <is>
          <t>0.6T</t>
        </is>
      </c>
      <c r="F76" s="99" t="n"/>
      <c r="G76" s="22" t="n"/>
      <c r="H76" s="22" t="inlineStr">
        <is>
          <t>디지아이</t>
        </is>
      </c>
      <c r="I76" s="14" t="n"/>
      <c r="J76" s="14" t="n"/>
      <c r="K76" s="12" t="n">
        <v>654</v>
      </c>
      <c r="L76" s="9" t="n"/>
      <c r="M76" s="9" t="n"/>
      <c r="N76" s="9" t="n"/>
      <c r="O76" s="40">
        <f>K76+V76-AE76-AZ76</f>
        <v/>
      </c>
      <c r="P76" s="12" t="n"/>
      <c r="Q76" s="138" t="n"/>
      <c r="R76" s="16" t="n"/>
      <c r="S76" s="139" t="n"/>
      <c r="T76" s="16" t="n"/>
      <c r="U76" s="139" t="n"/>
      <c r="V76" s="16">
        <f>P76+R76+T76</f>
        <v/>
      </c>
      <c r="W76" s="16" t="n"/>
      <c r="X76" s="139" t="n"/>
      <c r="Y76" s="16" t="n"/>
      <c r="Z76" s="139" t="n"/>
      <c r="AA76" s="16" t="n"/>
      <c r="AB76" s="139" t="n"/>
      <c r="AC76" s="16" t="n"/>
      <c r="AD76" s="139" t="n"/>
      <c r="AE76" s="16">
        <f>(W76+Y76+AA76+AC76)</f>
        <v/>
      </c>
      <c r="AF76" s="140" t="n"/>
      <c r="AG76" s="138" t="n"/>
      <c r="AH76" s="16" t="n"/>
      <c r="AI76" s="138" t="n"/>
      <c r="AJ76" s="16" t="n"/>
      <c r="AK76" s="138" t="n"/>
      <c r="AL76" s="16" t="n"/>
      <c r="AM76" s="138" t="n"/>
      <c r="AN76" s="16" t="n"/>
      <c r="AO76" s="138" t="n"/>
      <c r="AP76" s="16" t="n"/>
      <c r="AQ76" s="138" t="n"/>
      <c r="AR76" s="16" t="n"/>
      <c r="AS76" s="138" t="n"/>
      <c r="AT76" s="16" t="n"/>
      <c r="AU76" s="138" t="n"/>
      <c r="AV76" s="16" t="n"/>
      <c r="AW76" s="138" t="n"/>
      <c r="AX76" s="16" t="n"/>
      <c r="AY76" s="138" t="n"/>
      <c r="AZ76" s="16">
        <f>AF76+AH76+AJ76+AL76+AN76+AP76+AR76+AT76+AV76+AX76</f>
        <v/>
      </c>
      <c r="BA76" s="16" t="n"/>
      <c r="BB76" s="139" t="n"/>
      <c r="BC76" s="16" t="n"/>
      <c r="BD76" s="139" t="n"/>
      <c r="BE76" s="16">
        <f>(BA76+BC76)</f>
        <v/>
      </c>
    </row>
    <row r="77" ht="22.5" customFormat="1" customHeight="1" s="8">
      <c r="A77" s="9" t="n"/>
      <c r="B77" s="141" t="inlineStr">
        <is>
          <t>황동</t>
        </is>
      </c>
      <c r="C77" s="137" t="inlineStr">
        <is>
          <t>SOLO</t>
        </is>
      </c>
      <c r="D77" s="62" t="inlineStr">
        <is>
          <t>신주 케이스</t>
        </is>
      </c>
      <c r="E77" s="36" t="inlineStr">
        <is>
          <t>0.6T</t>
        </is>
      </c>
      <c r="F77" s="99" t="n"/>
      <c r="G77" s="22" t="n"/>
      <c r="H77" s="22" t="inlineStr">
        <is>
          <t>디지아이</t>
        </is>
      </c>
      <c r="I77" s="14" t="n"/>
      <c r="J77" s="14" t="n"/>
      <c r="K77" s="12" t="n">
        <v>0</v>
      </c>
      <c r="L77" s="9" t="n"/>
      <c r="M77" s="9" t="n"/>
      <c r="N77" s="9" t="n"/>
      <c r="O77" s="40">
        <f>K77+V77-AE77-AZ77</f>
        <v/>
      </c>
      <c r="P77" s="12" t="n"/>
      <c r="Q77" s="138" t="n"/>
      <c r="R77" s="16" t="n"/>
      <c r="S77" s="139" t="n"/>
      <c r="T77" s="16" t="n"/>
      <c r="U77" s="139" t="n"/>
      <c r="V77" s="16">
        <f>P77+R77+T77</f>
        <v/>
      </c>
      <c r="W77" s="16" t="n"/>
      <c r="X77" s="139" t="n"/>
      <c r="Y77" s="16" t="n"/>
      <c r="Z77" s="139" t="n"/>
      <c r="AA77" s="16" t="n"/>
      <c r="AB77" s="139" t="n"/>
      <c r="AC77" s="16" t="n"/>
      <c r="AD77" s="139" t="n"/>
      <c r="AE77" s="16">
        <f>(W77+Y77+AA77+AC77)</f>
        <v/>
      </c>
      <c r="AF77" s="140" t="n"/>
      <c r="AG77" s="138" t="n"/>
      <c r="AH77" s="16" t="n"/>
      <c r="AI77" s="138" t="n"/>
      <c r="AJ77" s="16" t="n"/>
      <c r="AK77" s="138" t="n"/>
      <c r="AL77" s="16" t="n"/>
      <c r="AM77" s="138" t="n"/>
      <c r="AN77" s="16" t="n"/>
      <c r="AO77" s="138" t="n"/>
      <c r="AP77" s="16" t="n"/>
      <c r="AQ77" s="138" t="n"/>
      <c r="AR77" s="16" t="n"/>
      <c r="AS77" s="138" t="n"/>
      <c r="AT77" s="16" t="n"/>
      <c r="AU77" s="138" t="n"/>
      <c r="AV77" s="16" t="n"/>
      <c r="AW77" s="138" t="n"/>
      <c r="AX77" s="16" t="n"/>
      <c r="AY77" s="138" t="n"/>
      <c r="AZ77" s="16">
        <f>AF77+AH77+AJ77+AL77+AN77+AP77+AR77+AT77+AV77+AX77</f>
        <v/>
      </c>
      <c r="BA77" s="16" t="n"/>
      <c r="BB77" s="139" t="n"/>
      <c r="BC77" s="16" t="n"/>
      <c r="BD77" s="139" t="n"/>
      <c r="BE77" s="16">
        <f>(BA77+BC77)</f>
        <v/>
      </c>
    </row>
    <row r="78" ht="22.5" customFormat="1" customHeight="1" s="8">
      <c r="A78" s="9" t="n"/>
      <c r="B78" s="141" t="inlineStr">
        <is>
          <t>황동</t>
        </is>
      </c>
      <c r="C78" s="137" t="inlineStr">
        <is>
          <t>ADX4000W</t>
        </is>
      </c>
      <c r="D78" s="62" t="inlineStr">
        <is>
          <t>신주 케이스</t>
        </is>
      </c>
      <c r="E78" s="36" t="inlineStr">
        <is>
          <t>0.6T</t>
        </is>
      </c>
      <c r="F78" s="99" t="n"/>
      <c r="G78" s="22" t="n"/>
      <c r="H78" s="22" t="inlineStr">
        <is>
          <t>해진정밀</t>
        </is>
      </c>
      <c r="I78" s="14" t="n"/>
      <c r="J78" s="14" t="n"/>
      <c r="K78" s="12" t="n">
        <v>273</v>
      </c>
      <c r="L78" s="9" t="n"/>
      <c r="M78" s="9" t="n"/>
      <c r="N78" s="9" t="n"/>
      <c r="O78" s="40">
        <f>K78+V78-AE78-AZ78</f>
        <v/>
      </c>
      <c r="P78" s="12" t="n"/>
      <c r="Q78" s="138" t="n"/>
      <c r="R78" s="16" t="n"/>
      <c r="S78" s="139" t="n"/>
      <c r="T78" s="16" t="n"/>
      <c r="U78" s="139" t="n"/>
      <c r="V78" s="16">
        <f>P78+R78+T78</f>
        <v/>
      </c>
      <c r="W78" s="16" t="n"/>
      <c r="X78" s="139" t="n"/>
      <c r="Y78" s="16" t="n"/>
      <c r="Z78" s="139" t="n"/>
      <c r="AA78" s="16" t="n"/>
      <c r="AB78" s="139" t="n"/>
      <c r="AC78" s="16" t="n"/>
      <c r="AD78" s="139" t="n"/>
      <c r="AE78" s="16">
        <f>(W78+Y78+AA78+AC78)</f>
        <v/>
      </c>
      <c r="AF78" s="140" t="n"/>
      <c r="AG78" s="138" t="n"/>
      <c r="AH78" s="16" t="n"/>
      <c r="AI78" s="138" t="n"/>
      <c r="AJ78" s="16" t="n"/>
      <c r="AK78" s="138" t="n"/>
      <c r="AL78" s="16" t="n"/>
      <c r="AM78" s="138" t="n"/>
      <c r="AN78" s="16" t="n"/>
      <c r="AO78" s="138" t="n"/>
      <c r="AP78" s="16" t="n"/>
      <c r="AQ78" s="138" t="n"/>
      <c r="AR78" s="16" t="n"/>
      <c r="AS78" s="138" t="n"/>
      <c r="AT78" s="16" t="n"/>
      <c r="AU78" s="138" t="n"/>
      <c r="AV78" s="16" t="n"/>
      <c r="AW78" s="138" t="n"/>
      <c r="AX78" s="16" t="n"/>
      <c r="AY78" s="138" t="n"/>
      <c r="AZ78" s="16">
        <f>AF78+AH78+AJ78+AL78+AN78+AP78+AR78+AT78+AV78+AX78</f>
        <v/>
      </c>
      <c r="BA78" s="16" t="n"/>
      <c r="BB78" s="139" t="n"/>
      <c r="BC78" s="16" t="n"/>
      <c r="BD78" s="139" t="n"/>
      <c r="BE78" s="16">
        <f>(BA78+BC78)</f>
        <v/>
      </c>
    </row>
    <row r="79" ht="22.5" customFormat="1" customHeight="1" s="8">
      <c r="A79" s="9" t="n"/>
      <c r="B79" s="141" t="inlineStr">
        <is>
          <t>황동</t>
        </is>
      </c>
      <c r="C79" s="137" t="inlineStr">
        <is>
          <t>ADX6000</t>
        </is>
      </c>
      <c r="D79" s="62" t="inlineStr">
        <is>
          <t>신주 케이스</t>
        </is>
      </c>
      <c r="E79" s="36" t="inlineStr">
        <is>
          <t>0.6T + 193 (커팅전)</t>
        </is>
      </c>
      <c r="F79" s="99" t="n"/>
      <c r="G79" s="22" t="n"/>
      <c r="H79" s="22" t="inlineStr">
        <is>
          <t>해진정밀</t>
        </is>
      </c>
      <c r="I79" s="14" t="n"/>
      <c r="J79" s="14" t="n"/>
      <c r="K79" s="12" t="n">
        <v>200</v>
      </c>
      <c r="L79" s="9" t="n"/>
      <c r="M79" s="9" t="n"/>
      <c r="N79" s="9" t="n"/>
      <c r="O79" s="40">
        <f>K79+V79-AE79-AZ79</f>
        <v/>
      </c>
      <c r="P79" s="12" t="n"/>
      <c r="Q79" s="138" t="n"/>
      <c r="R79" s="16" t="n"/>
      <c r="S79" s="139" t="n"/>
      <c r="T79" s="16" t="n"/>
      <c r="U79" s="139" t="n"/>
      <c r="V79" s="16">
        <f>P79+R79+T79</f>
        <v/>
      </c>
      <c r="W79" s="16" t="n"/>
      <c r="X79" s="139" t="n"/>
      <c r="Y79" s="16" t="n"/>
      <c r="Z79" s="139" t="n"/>
      <c r="AA79" s="16" t="n"/>
      <c r="AB79" s="139" t="n"/>
      <c r="AC79" s="16" t="n"/>
      <c r="AD79" s="139" t="n"/>
      <c r="AE79" s="16">
        <f>(W79+Y79+AA79+AC79)</f>
        <v/>
      </c>
      <c r="AF79" s="140" t="n"/>
      <c r="AG79" s="138" t="n"/>
      <c r="AH79" s="16" t="n"/>
      <c r="AI79" s="138" t="n"/>
      <c r="AJ79" s="16" t="n"/>
      <c r="AK79" s="138" t="n"/>
      <c r="AL79" s="16" t="n"/>
      <c r="AM79" s="138" t="n"/>
      <c r="AN79" s="16" t="n"/>
      <c r="AO79" s="138" t="n"/>
      <c r="AP79" s="16" t="n"/>
      <c r="AQ79" s="138" t="n"/>
      <c r="AR79" s="16" t="n"/>
      <c r="AS79" s="138" t="n"/>
      <c r="AT79" s="16" t="n"/>
      <c r="AU79" s="138" t="n"/>
      <c r="AV79" s="16" t="n"/>
      <c r="AW79" s="138" t="n"/>
      <c r="AX79" s="16" t="n"/>
      <c r="AY79" s="138" t="n"/>
      <c r="AZ79" s="16">
        <f>AF79+AH79+AJ79+AL79+AN79+AP79+AR79+AT79+AV79+AX79</f>
        <v/>
      </c>
      <c r="BA79" s="16" t="n"/>
      <c r="BB79" s="139" t="n"/>
      <c r="BC79" s="16" t="n"/>
      <c r="BD79" s="139" t="n"/>
      <c r="BE79" s="16">
        <f>(BA79+BC79)</f>
        <v/>
      </c>
    </row>
    <row r="80" ht="22.5" customFormat="1" customHeight="1" s="8">
      <c r="A80" s="9" t="n"/>
      <c r="B80" s="141" t="inlineStr">
        <is>
          <t>황동</t>
        </is>
      </c>
      <c r="C80" s="137" t="inlineStr">
        <is>
          <t>DX3000, ADX4000W ADX6000</t>
        </is>
      </c>
      <c r="D80" s="62" t="inlineStr">
        <is>
          <t>신주 케이스 뚜껑</t>
        </is>
      </c>
      <c r="E80" s="36" t="inlineStr">
        <is>
          <t>0.6T</t>
        </is>
      </c>
      <c r="F80" s="99" t="n"/>
      <c r="G80" s="22" t="n"/>
      <c r="H80" s="22" t="inlineStr">
        <is>
          <t>해진정밀</t>
        </is>
      </c>
      <c r="I80" s="14" t="n"/>
      <c r="J80" s="14" t="n"/>
      <c r="K80" s="12" t="n">
        <v>737</v>
      </c>
      <c r="L80" s="9" t="n"/>
      <c r="M80" s="9" t="n"/>
      <c r="N80" s="9" t="n"/>
      <c r="O80" s="40">
        <f>K80+V80-AE80-AZ80</f>
        <v/>
      </c>
      <c r="P80" s="12" t="n"/>
      <c r="Q80" s="138" t="n"/>
      <c r="R80" s="16" t="n"/>
      <c r="S80" s="139" t="n"/>
      <c r="T80" s="16" t="n"/>
      <c r="U80" s="139" t="n"/>
      <c r="V80" s="16">
        <f>P80+R80+T80</f>
        <v/>
      </c>
      <c r="W80" s="16" t="n"/>
      <c r="X80" s="139" t="n"/>
      <c r="Y80" s="16" t="n"/>
      <c r="Z80" s="139" t="n"/>
      <c r="AA80" s="16" t="n"/>
      <c r="AB80" s="139" t="n"/>
      <c r="AC80" s="16" t="n"/>
      <c r="AD80" s="139" t="n"/>
      <c r="AE80" s="16">
        <f>(W80+Y80+AA80+AC80)</f>
        <v/>
      </c>
      <c r="AF80" s="140" t="n"/>
      <c r="AG80" s="138" t="n"/>
      <c r="AH80" s="16" t="n"/>
      <c r="AI80" s="138" t="n"/>
      <c r="AJ80" s="16" t="n"/>
      <c r="AK80" s="138" t="n"/>
      <c r="AL80" s="16" t="n"/>
      <c r="AM80" s="138" t="n"/>
      <c r="AN80" s="16" t="n"/>
      <c r="AO80" s="138" t="n"/>
      <c r="AP80" s="16" t="n"/>
      <c r="AQ80" s="138" t="n"/>
      <c r="AR80" s="16" t="n"/>
      <c r="AS80" s="138" t="n"/>
      <c r="AT80" s="16" t="n"/>
      <c r="AU80" s="138" t="n"/>
      <c r="AV80" s="16" t="n"/>
      <c r="AW80" s="138" t="n"/>
      <c r="AX80" s="16" t="n"/>
      <c r="AY80" s="138" t="n"/>
      <c r="AZ80" s="16">
        <f>AF80+AH80+AJ80+AL80+AN80+AP80+AR80+AT80+AV80+AX80</f>
        <v/>
      </c>
      <c r="BA80" s="16" t="n"/>
      <c r="BB80" s="139" t="n"/>
      <c r="BC80" s="16" t="n"/>
      <c r="BD80" s="139" t="n"/>
      <c r="BE80" s="16">
        <f>(BA80+BC80)</f>
        <v/>
      </c>
    </row>
    <row r="81" ht="22.5" customFormat="1" customHeight="1" s="8">
      <c r="A81" s="9" t="n"/>
      <c r="B81" s="141" t="inlineStr">
        <is>
          <t>황동</t>
        </is>
      </c>
      <c r="C81" s="137" t="inlineStr">
        <is>
          <t>COCOON</t>
        </is>
      </c>
      <c r="D81" s="69" t="inlineStr">
        <is>
          <t>신주 케이스 뚜껑</t>
        </is>
      </c>
      <c r="E81" s="36" t="inlineStr">
        <is>
          <t>0.6T</t>
        </is>
      </c>
      <c r="F81" s="99" t="n"/>
      <c r="G81" s="22" t="n"/>
      <c r="H81" s="22" t="inlineStr">
        <is>
          <t>디지아이</t>
        </is>
      </c>
      <c r="I81" s="14" t="n"/>
      <c r="J81" s="14" t="n"/>
      <c r="K81" s="12" t="n">
        <v>232</v>
      </c>
      <c r="L81" s="9" t="n"/>
      <c r="M81" s="9" t="n"/>
      <c r="N81" s="9" t="n"/>
      <c r="O81" s="40">
        <f>K81+V81-AE81-AZ81</f>
        <v/>
      </c>
      <c r="P81" s="12" t="n"/>
      <c r="Q81" s="138" t="n"/>
      <c r="R81" s="16" t="n"/>
      <c r="S81" s="139" t="n"/>
      <c r="T81" s="16" t="n"/>
      <c r="U81" s="139" t="n"/>
      <c r="V81" s="16">
        <f>P81+R81+T81</f>
        <v/>
      </c>
      <c r="W81" s="16" t="n"/>
      <c r="X81" s="139" t="n"/>
      <c r="Y81" s="16" t="n"/>
      <c r="Z81" s="139" t="n"/>
      <c r="AA81" s="16" t="n"/>
      <c r="AB81" s="139" t="n"/>
      <c r="AC81" s="16" t="n"/>
      <c r="AD81" s="139" t="n"/>
      <c r="AE81" s="16">
        <f>(W81+Y81+AA81+AC81)</f>
        <v/>
      </c>
      <c r="AF81" s="140" t="n"/>
      <c r="AG81" s="138" t="n"/>
      <c r="AH81" s="16" t="n"/>
      <c r="AI81" s="138" t="n"/>
      <c r="AJ81" s="16" t="n"/>
      <c r="AK81" s="138" t="n"/>
      <c r="AL81" s="16" t="n"/>
      <c r="AM81" s="138" t="n"/>
      <c r="AN81" s="16" t="n"/>
      <c r="AO81" s="138" t="n"/>
      <c r="AP81" s="16" t="n"/>
      <c r="AQ81" s="138" t="n"/>
      <c r="AR81" s="16" t="n"/>
      <c r="AS81" s="138" t="n"/>
      <c r="AT81" s="16" t="n"/>
      <c r="AU81" s="138" t="n"/>
      <c r="AV81" s="16" t="n"/>
      <c r="AW81" s="138" t="n"/>
      <c r="AX81" s="16" t="n"/>
      <c r="AY81" s="138" t="n"/>
      <c r="AZ81" s="16">
        <f>AF81+AH81+AJ81+AL81+AN81+AP81+AR81+AT81+AV81+AX81</f>
        <v/>
      </c>
      <c r="BA81" s="16" t="n"/>
      <c r="BB81" s="139" t="n"/>
      <c r="BC81" s="16" t="n"/>
      <c r="BD81" s="139" t="n"/>
      <c r="BE81" s="16">
        <f>(BA81+BC81)</f>
        <v/>
      </c>
    </row>
    <row r="82" ht="22.5" customFormat="1" customHeight="1" s="8">
      <c r="A82" s="9" t="n"/>
      <c r="B82" s="141" t="inlineStr">
        <is>
          <t>황동</t>
        </is>
      </c>
      <c r="C82" s="137" t="inlineStr">
        <is>
          <t>SOLO</t>
        </is>
      </c>
      <c r="D82" s="69" t="inlineStr">
        <is>
          <t>신주 케이스 뚜껑</t>
        </is>
      </c>
      <c r="E82" s="36" t="inlineStr">
        <is>
          <t>0.6T</t>
        </is>
      </c>
      <c r="F82" s="99" t="n"/>
      <c r="G82" s="22" t="n"/>
      <c r="H82" s="22" t="inlineStr">
        <is>
          <t>디지아이</t>
        </is>
      </c>
      <c r="I82" s="14" t="n"/>
      <c r="J82" s="14" t="n"/>
      <c r="K82" s="12" t="n">
        <v>50</v>
      </c>
      <c r="L82" s="9" t="n"/>
      <c r="M82" s="9" t="n"/>
      <c r="N82" s="9" t="n"/>
      <c r="O82" s="40">
        <f>K82+V82-AE82-AZ82</f>
        <v/>
      </c>
      <c r="P82" s="12" t="n"/>
      <c r="Q82" s="138" t="n"/>
      <c r="R82" s="16" t="n"/>
      <c r="S82" s="139" t="n"/>
      <c r="T82" s="16" t="n"/>
      <c r="U82" s="139" t="n"/>
      <c r="V82" s="16">
        <f>P82+R82+T82</f>
        <v/>
      </c>
      <c r="W82" s="16" t="n"/>
      <c r="X82" s="139" t="n"/>
      <c r="Y82" s="16" t="n"/>
      <c r="Z82" s="139" t="n"/>
      <c r="AA82" s="16" t="n"/>
      <c r="AB82" s="139" t="n"/>
      <c r="AC82" s="16" t="n"/>
      <c r="AD82" s="139" t="n"/>
      <c r="AE82" s="16">
        <f>(W82+Y82+AA82+AC82)</f>
        <v/>
      </c>
      <c r="AF82" s="140" t="n"/>
      <c r="AG82" s="138" t="n"/>
      <c r="AH82" s="16" t="n"/>
      <c r="AI82" s="138" t="n"/>
      <c r="AJ82" s="16" t="n"/>
      <c r="AK82" s="138" t="n"/>
      <c r="AL82" s="16" t="n"/>
      <c r="AM82" s="138" t="n"/>
      <c r="AN82" s="16" t="n"/>
      <c r="AO82" s="138" t="n"/>
      <c r="AP82" s="16" t="n"/>
      <c r="AQ82" s="138" t="n"/>
      <c r="AR82" s="16" t="n"/>
      <c r="AS82" s="138" t="n"/>
      <c r="AT82" s="16" t="n"/>
      <c r="AU82" s="138" t="n"/>
      <c r="AV82" s="16" t="n"/>
      <c r="AW82" s="138" t="n"/>
      <c r="AX82" s="16" t="n"/>
      <c r="AY82" s="138" t="n"/>
      <c r="AZ82" s="16">
        <f>AF82+AH82+AJ82+AL82+AN82+AP82+AR82+AT82+AV82+AX82</f>
        <v/>
      </c>
      <c r="BA82" s="16" t="n"/>
      <c r="BB82" s="139" t="n"/>
      <c r="BC82" s="16" t="n"/>
      <c r="BD82" s="139" t="n"/>
      <c r="BE82" s="16">
        <f>(BA82+BC82)</f>
        <v/>
      </c>
    </row>
    <row r="83" ht="22.5" customFormat="1" customHeight="1" s="8">
      <c r="A83" s="9" t="n"/>
      <c r="B83" s="141" t="inlineStr">
        <is>
          <t>황동</t>
        </is>
      </c>
      <c r="C83" s="142" t="inlineStr">
        <is>
          <t>공용</t>
        </is>
      </c>
      <c r="D83" s="62" t="inlineStr">
        <is>
          <t>방사구</t>
        </is>
      </c>
      <c r="E83" s="36" t="n"/>
      <c r="F83" s="99" t="n"/>
      <c r="G83" s="22" t="n"/>
      <c r="H83" s="22" t="inlineStr">
        <is>
          <t>해진정밀</t>
        </is>
      </c>
      <c r="I83" s="14" t="n"/>
      <c r="J83" s="14" t="n"/>
      <c r="K83" s="12" t="n">
        <v>0</v>
      </c>
      <c r="L83" s="9" t="n"/>
      <c r="M83" s="9" t="n"/>
      <c r="N83" s="9" t="n"/>
      <c r="O83" s="40">
        <f>K83+V83-AE83-AZ83</f>
        <v/>
      </c>
      <c r="P83" s="12" t="n"/>
      <c r="Q83" s="138" t="n"/>
      <c r="R83" s="16" t="n"/>
      <c r="S83" s="139" t="n"/>
      <c r="T83" s="16" t="n"/>
      <c r="U83" s="139" t="n"/>
      <c r="V83" s="16">
        <f>P83+R83+T83</f>
        <v/>
      </c>
      <c r="W83" s="16" t="n"/>
      <c r="X83" s="139" t="n"/>
      <c r="Y83" s="16" t="n"/>
      <c r="Z83" s="139" t="n"/>
      <c r="AA83" s="16" t="n"/>
      <c r="AB83" s="139" t="n"/>
      <c r="AC83" s="16" t="n"/>
      <c r="AD83" s="139" t="n"/>
      <c r="AE83" s="16">
        <f>(W83+Y83+AA83+AC83)</f>
        <v/>
      </c>
      <c r="AF83" s="140" t="n"/>
      <c r="AG83" s="138" t="n"/>
      <c r="AH83" s="16" t="n"/>
      <c r="AI83" s="138" t="n"/>
      <c r="AJ83" s="16" t="n"/>
      <c r="AK83" s="138" t="n"/>
      <c r="AL83" s="16" t="n"/>
      <c r="AM83" s="138" t="n"/>
      <c r="AN83" s="16" t="n"/>
      <c r="AO83" s="138" t="n"/>
      <c r="AP83" s="16" t="n"/>
      <c r="AQ83" s="138" t="n"/>
      <c r="AR83" s="16" t="n"/>
      <c r="AS83" s="138" t="n"/>
      <c r="AT83" s="16" t="n"/>
      <c r="AU83" s="138" t="n"/>
      <c r="AV83" s="16" t="n"/>
      <c r="AW83" s="138" t="n"/>
      <c r="AX83" s="16" t="n"/>
      <c r="AY83" s="138" t="n"/>
      <c r="AZ83" s="16">
        <f>AF83+AH83+AJ83+AL83+AN83+AP83+AR83+AT83+AV83+AX83</f>
        <v/>
      </c>
      <c r="BA83" s="16" t="n"/>
      <c r="BB83" s="139" t="n"/>
      <c r="BC83" s="16" t="n"/>
      <c r="BD83" s="139" t="n"/>
      <c r="BE83" s="16">
        <f>(BA83+BC83)</f>
        <v/>
      </c>
    </row>
    <row r="84" ht="22.5" customFormat="1" customHeight="1" s="8">
      <c r="A84" s="9" t="n"/>
      <c r="B84" s="141" t="inlineStr">
        <is>
          <t>황동</t>
        </is>
      </c>
      <c r="C84" s="142" t="inlineStr">
        <is>
          <t>공용</t>
        </is>
      </c>
      <c r="D84" s="62" t="inlineStr">
        <is>
          <t>방사구</t>
        </is>
      </c>
      <c r="E84" s="36" t="inlineStr">
        <is>
          <t>외경 탭 추가</t>
        </is>
      </c>
      <c r="F84" s="99" t="n"/>
      <c r="G84" s="22" t="n"/>
      <c r="H84" s="22" t="inlineStr">
        <is>
          <t>해진정밀</t>
        </is>
      </c>
      <c r="I84" s="14" t="n"/>
      <c r="J84" s="14" t="n"/>
      <c r="K84" s="12" t="n">
        <v>100</v>
      </c>
      <c r="L84" s="9" t="n"/>
      <c r="M84" s="9" t="n"/>
      <c r="N84" s="9" t="n"/>
      <c r="O84" s="40">
        <f>K84+V84-AE84-AZ84</f>
        <v/>
      </c>
      <c r="P84" s="12" t="n"/>
      <c r="Q84" s="138" t="n"/>
      <c r="R84" s="16" t="n"/>
      <c r="S84" s="139" t="n"/>
      <c r="T84" s="16" t="n"/>
      <c r="U84" s="139" t="n"/>
      <c r="V84" s="16">
        <f>P84+R84+T84</f>
        <v/>
      </c>
      <c r="W84" s="16" t="n"/>
      <c r="X84" s="139" t="n"/>
      <c r="Y84" s="16" t="n"/>
      <c r="Z84" s="139" t="n"/>
      <c r="AA84" s="16" t="n"/>
      <c r="AB84" s="139" t="n"/>
      <c r="AC84" s="16" t="n"/>
      <c r="AD84" s="139" t="n"/>
      <c r="AE84" s="16">
        <f>(W84+Y84+AA84+AC84)</f>
        <v/>
      </c>
      <c r="AF84" s="140" t="n"/>
      <c r="AG84" s="138" t="n"/>
      <c r="AH84" s="16" t="n"/>
      <c r="AI84" s="138" t="n"/>
      <c r="AJ84" s="16" t="n"/>
      <c r="AK84" s="138" t="n"/>
      <c r="AL84" s="16" t="n"/>
      <c r="AM84" s="138" t="n"/>
      <c r="AN84" s="16" t="n"/>
      <c r="AO84" s="138" t="n"/>
      <c r="AP84" s="16" t="n"/>
      <c r="AQ84" s="138" t="n"/>
      <c r="AR84" s="16" t="n"/>
      <c r="AS84" s="138" t="n"/>
      <c r="AT84" s="16" t="n"/>
      <c r="AU84" s="138" t="n"/>
      <c r="AV84" s="16" t="n"/>
      <c r="AW84" s="138" t="n"/>
      <c r="AX84" s="16" t="n"/>
      <c r="AY84" s="138" t="n"/>
      <c r="AZ84" s="16">
        <f>AF84+AH84+AJ84+AL84+AN84+AP84+AR84+AT84+AV84+AX84</f>
        <v/>
      </c>
      <c r="BA84" s="16" t="n"/>
      <c r="BB84" s="139" t="n"/>
      <c r="BC84" s="16" t="n"/>
      <c r="BD84" s="139" t="n"/>
      <c r="BE84" s="16">
        <f>(BA84+BC84)</f>
        <v/>
      </c>
    </row>
    <row r="85" ht="22.5" customFormat="1" customHeight="1" s="8">
      <c r="A85" s="9" t="n"/>
      <c r="B85" s="141" t="inlineStr">
        <is>
          <t>황동</t>
        </is>
      </c>
      <c r="C85" s="142" t="inlineStr">
        <is>
          <t>공용</t>
        </is>
      </c>
      <c r="D85" s="69" t="inlineStr">
        <is>
          <t>방사구 너트</t>
        </is>
      </c>
      <c r="E85" s="36" t="n"/>
      <c r="F85" s="99" t="n"/>
      <c r="G85" s="22" t="n"/>
      <c r="H85" s="22" t="inlineStr">
        <is>
          <t>해진정밀</t>
        </is>
      </c>
      <c r="I85" s="14" t="n"/>
      <c r="J85" s="14" t="n"/>
      <c r="K85" s="12" t="n">
        <v>1188</v>
      </c>
      <c r="L85" s="9" t="n"/>
      <c r="M85" s="9" t="n"/>
      <c r="N85" s="9" t="n"/>
      <c r="O85" s="40">
        <f>K85+V85-AE85-AZ85</f>
        <v/>
      </c>
      <c r="P85" s="12" t="n"/>
      <c r="Q85" s="138" t="n"/>
      <c r="R85" s="16" t="n"/>
      <c r="S85" s="139" t="n"/>
      <c r="T85" s="16" t="n"/>
      <c r="U85" s="139" t="n"/>
      <c r="V85" s="16">
        <f>P85+R85+T85</f>
        <v/>
      </c>
      <c r="W85" s="16" t="n"/>
      <c r="X85" s="139" t="n"/>
      <c r="Y85" s="16" t="n"/>
      <c r="Z85" s="139" t="n"/>
      <c r="AA85" s="16" t="n"/>
      <c r="AB85" s="139" t="n"/>
      <c r="AC85" s="16" t="n"/>
      <c r="AD85" s="139" t="n"/>
      <c r="AE85" s="16">
        <f>(W85+Y85+AA85+AC85)</f>
        <v/>
      </c>
      <c r="AF85" s="140" t="n"/>
      <c r="AG85" s="138" t="n"/>
      <c r="AH85" s="16" t="n"/>
      <c r="AI85" s="138" t="n"/>
      <c r="AJ85" s="16" t="n"/>
      <c r="AK85" s="138" t="n"/>
      <c r="AL85" s="16" t="n"/>
      <c r="AM85" s="138" t="n"/>
      <c r="AN85" s="16" t="n"/>
      <c r="AO85" s="138" t="n"/>
      <c r="AP85" s="16" t="n"/>
      <c r="AQ85" s="138" t="n"/>
      <c r="AR85" s="16" t="n"/>
      <c r="AS85" s="138" t="n"/>
      <c r="AT85" s="16" t="n"/>
      <c r="AU85" s="138" t="n"/>
      <c r="AV85" s="16" t="n"/>
      <c r="AW85" s="138" t="n"/>
      <c r="AX85" s="16" t="n"/>
      <c r="AY85" s="138" t="n"/>
      <c r="AZ85" s="16">
        <f>AF85+AH85+AJ85+AL85+AN85+AP85+AR85+AT85+AV85+AX85</f>
        <v/>
      </c>
      <c r="BA85" s="16" t="n"/>
      <c r="BB85" s="139" t="n"/>
      <c r="BC85" s="16" t="n"/>
      <c r="BD85" s="139" t="n"/>
      <c r="BE85" s="16">
        <f>(BA85+BC85)</f>
        <v/>
      </c>
    </row>
    <row r="86" ht="22.5" customFormat="1" customHeight="1" s="8">
      <c r="A86" s="9" t="n"/>
      <c r="B86" s="141" t="inlineStr">
        <is>
          <t>AL</t>
        </is>
      </c>
      <c r="C86" s="137" t="inlineStr">
        <is>
          <t>DX3000, ADX4000W ADX6000</t>
        </is>
      </c>
      <c r="D86" s="62" t="inlineStr">
        <is>
          <t>알루미늄 필터</t>
        </is>
      </c>
      <c r="E86" s="36" t="inlineStr">
        <is>
          <t>0.8T * Φ24</t>
        </is>
      </c>
      <c r="F86" s="99" t="n"/>
      <c r="G86" s="22" t="n"/>
      <c r="H86" s="22" t="inlineStr">
        <is>
          <t>광전레이저</t>
        </is>
      </c>
      <c r="I86" s="14" t="n"/>
      <c r="J86" s="14" t="n"/>
      <c r="K86" s="12" t="n">
        <v>1543</v>
      </c>
      <c r="L86" s="9" t="n"/>
      <c r="M86" s="9" t="n"/>
      <c r="N86" s="9" t="n"/>
      <c r="O86" s="40">
        <f>K86+V86-AE86-AZ86</f>
        <v/>
      </c>
      <c r="P86" s="12" t="n"/>
      <c r="Q86" s="138" t="n"/>
      <c r="R86" s="16" t="n"/>
      <c r="S86" s="139" t="n"/>
      <c r="T86" s="16" t="n"/>
      <c r="U86" s="139" t="n"/>
      <c r="V86" s="16">
        <f>P86+R86+T86</f>
        <v/>
      </c>
      <c r="W86" s="16" t="n"/>
      <c r="X86" s="139" t="n"/>
      <c r="Y86" s="16" t="n"/>
      <c r="Z86" s="139" t="n"/>
      <c r="AA86" s="16" t="n"/>
      <c r="AB86" s="139" t="n"/>
      <c r="AC86" s="16" t="n"/>
      <c r="AD86" s="139" t="n"/>
      <c r="AE86" s="16">
        <f>(W86+Y86+AA86+AC86)</f>
        <v/>
      </c>
      <c r="AF86" s="140" t="n"/>
      <c r="AG86" s="138" t="n"/>
      <c r="AH86" s="16" t="n"/>
      <c r="AI86" s="138" t="n"/>
      <c r="AJ86" s="16" t="n"/>
      <c r="AK86" s="138" t="n"/>
      <c r="AL86" s="16" t="n"/>
      <c r="AM86" s="138" t="n"/>
      <c r="AN86" s="16" t="n"/>
      <c r="AO86" s="138" t="n"/>
      <c r="AP86" s="16" t="n"/>
      <c r="AQ86" s="138" t="n"/>
      <c r="AR86" s="16" t="n"/>
      <c r="AS86" s="138" t="n"/>
      <c r="AT86" s="16" t="n"/>
      <c r="AU86" s="138" t="n"/>
      <c r="AV86" s="16" t="n"/>
      <c r="AW86" s="138" t="n"/>
      <c r="AX86" s="16" t="n"/>
      <c r="AY86" s="138" t="n"/>
      <c r="AZ86" s="16">
        <f>AF86+AH86+AJ86+AL86+AN86+AP86+AR86+AT86+AV86+AX86</f>
        <v/>
      </c>
      <c r="BA86" s="16" t="n"/>
      <c r="BB86" s="139" t="n"/>
      <c r="BC86" s="16" t="n"/>
      <c r="BD86" s="139" t="n"/>
      <c r="BE86" s="16">
        <f>(BA86+BC86)</f>
        <v/>
      </c>
    </row>
    <row r="87" ht="22.5" customFormat="1" customHeight="1" s="8">
      <c r="A87" s="9" t="n"/>
      <c r="B87" s="141" t="inlineStr">
        <is>
          <t>AL</t>
        </is>
      </c>
      <c r="C87" s="137" t="inlineStr">
        <is>
          <t>COCOON</t>
        </is>
      </c>
      <c r="D87" s="62" t="inlineStr">
        <is>
          <t>알루미늄 필터</t>
        </is>
      </c>
      <c r="E87" s="36" t="inlineStr">
        <is>
          <t>1.2T * Φ24</t>
        </is>
      </c>
      <c r="F87" s="99" t="n"/>
      <c r="G87" s="22" t="n"/>
      <c r="H87" s="22" t="inlineStr">
        <is>
          <t>광전레이저</t>
        </is>
      </c>
      <c r="I87" s="14" t="n"/>
      <c r="J87" s="14" t="n"/>
      <c r="K87" s="12" t="n">
        <v>0</v>
      </c>
      <c r="L87" s="9" t="n"/>
      <c r="M87" s="9" t="n"/>
      <c r="N87" s="9" t="n"/>
      <c r="O87" s="40">
        <f>K87+V87-AE87-AZ87</f>
        <v/>
      </c>
      <c r="P87" s="12" t="n"/>
      <c r="Q87" s="138" t="n"/>
      <c r="R87" s="16" t="n"/>
      <c r="S87" s="139" t="n"/>
      <c r="T87" s="16" t="n"/>
      <c r="U87" s="139" t="n"/>
      <c r="V87" s="16">
        <f>P87+R87+T87</f>
        <v/>
      </c>
      <c r="W87" s="16" t="n"/>
      <c r="X87" s="139" t="n"/>
      <c r="Y87" s="16" t="n"/>
      <c r="Z87" s="139" t="n"/>
      <c r="AA87" s="16" t="n"/>
      <c r="AB87" s="139" t="n"/>
      <c r="AC87" s="16" t="n"/>
      <c r="AD87" s="139" t="n"/>
      <c r="AE87" s="16">
        <f>(W87+Y87+AA87+AC87)</f>
        <v/>
      </c>
      <c r="AF87" s="140" t="n"/>
      <c r="AG87" s="138" t="n"/>
      <c r="AH87" s="16" t="n"/>
      <c r="AI87" s="138" t="n"/>
      <c r="AJ87" s="16" t="n"/>
      <c r="AK87" s="138" t="n"/>
      <c r="AL87" s="16" t="n"/>
      <c r="AM87" s="138" t="n"/>
      <c r="AN87" s="16" t="n"/>
      <c r="AO87" s="138" t="n"/>
      <c r="AP87" s="16" t="n"/>
      <c r="AQ87" s="138" t="n"/>
      <c r="AR87" s="16" t="n"/>
      <c r="AS87" s="138" t="n"/>
      <c r="AT87" s="16" t="n"/>
      <c r="AU87" s="138" t="n"/>
      <c r="AV87" s="16" t="n"/>
      <c r="AW87" s="138" t="n"/>
      <c r="AX87" s="16" t="n"/>
      <c r="AY87" s="138" t="n"/>
      <c r="AZ87" s="16">
        <f>AF87+AH87+AJ87+AL87+AN87+AP87+AR87+AT87+AV87+AX87</f>
        <v/>
      </c>
      <c r="BA87" s="16" t="n"/>
      <c r="BB87" s="139" t="n"/>
      <c r="BC87" s="16" t="n"/>
      <c r="BD87" s="139" t="n"/>
      <c r="BE87" s="16">
        <f>(BA87+BC87)</f>
        <v/>
      </c>
    </row>
    <row r="88" ht="22.5" customFormat="1" customHeight="1" s="8">
      <c r="A88" s="9" t="n"/>
      <c r="B88" s="141" t="inlineStr">
        <is>
          <t>AL</t>
        </is>
      </c>
      <c r="C88" s="137" t="inlineStr">
        <is>
          <t>ADX6000</t>
        </is>
      </c>
      <c r="D88" s="62" t="inlineStr">
        <is>
          <t>알루미늄 필터</t>
        </is>
      </c>
      <c r="E88" s="36" t="inlineStr">
        <is>
          <t>2T * Φ24</t>
        </is>
      </c>
      <c r="F88" s="99" t="n"/>
      <c r="G88" s="22" t="n"/>
      <c r="H88" s="22" t="inlineStr">
        <is>
          <t>광전레이저</t>
        </is>
      </c>
      <c r="I88" s="14" t="n"/>
      <c r="J88" s="14" t="n"/>
      <c r="K88" s="12" t="n">
        <v>0</v>
      </c>
      <c r="L88" s="9" t="n"/>
      <c r="M88" s="9" t="n"/>
      <c r="N88" s="9" t="n"/>
      <c r="O88" s="40">
        <f>K88+V88-AE88-AZ88</f>
        <v/>
      </c>
      <c r="P88" s="12" t="n"/>
      <c r="Q88" s="138" t="n"/>
      <c r="R88" s="16" t="n"/>
      <c r="S88" s="139" t="n"/>
      <c r="T88" s="16" t="n"/>
      <c r="U88" s="139" t="n"/>
      <c r="V88" s="16">
        <f>P88+R88+T88</f>
        <v/>
      </c>
      <c r="W88" s="16" t="n"/>
      <c r="X88" s="139" t="n"/>
      <c r="Y88" s="16" t="n"/>
      <c r="Z88" s="139" t="n"/>
      <c r="AA88" s="16" t="n"/>
      <c r="AB88" s="139" t="n"/>
      <c r="AC88" s="16" t="n"/>
      <c r="AD88" s="139" t="n"/>
      <c r="AE88" s="16">
        <f>(W88+Y88+AA88+AC88)</f>
        <v/>
      </c>
      <c r="AF88" s="140" t="n"/>
      <c r="AG88" s="138" t="n"/>
      <c r="AH88" s="16" t="n"/>
      <c r="AI88" s="138" t="n"/>
      <c r="AJ88" s="16" t="n"/>
      <c r="AK88" s="138" t="n"/>
      <c r="AL88" s="16" t="n"/>
      <c r="AM88" s="138" t="n"/>
      <c r="AN88" s="16" t="n"/>
      <c r="AO88" s="138" t="n"/>
      <c r="AP88" s="16" t="n"/>
      <c r="AQ88" s="138" t="n"/>
      <c r="AR88" s="16" t="n"/>
      <c r="AS88" s="138" t="n"/>
      <c r="AT88" s="16" t="n"/>
      <c r="AU88" s="138" t="n"/>
      <c r="AV88" s="16" t="n"/>
      <c r="AW88" s="138" t="n"/>
      <c r="AX88" s="16" t="n"/>
      <c r="AY88" s="138" t="n"/>
      <c r="AZ88" s="16">
        <f>AF88+AH88+AJ88+AL88+AN88+AP88+AR88+AT88+AV88+AX88</f>
        <v/>
      </c>
      <c r="BA88" s="16" t="n"/>
      <c r="BB88" s="139" t="n"/>
      <c r="BC88" s="16" t="n"/>
      <c r="BD88" s="139" t="n"/>
      <c r="BE88" s="16">
        <f>(BA88+BC88)</f>
        <v/>
      </c>
    </row>
    <row r="89" ht="22.5" customFormat="1" customHeight="1" s="8">
      <c r="A89" s="9" t="n"/>
      <c r="B89" s="141" t="inlineStr">
        <is>
          <t>오링</t>
        </is>
      </c>
      <c r="C89" s="142" t="inlineStr">
        <is>
          <t>공용</t>
        </is>
      </c>
      <c r="D89" s="62" t="inlineStr">
        <is>
          <t>방사구 오링</t>
        </is>
      </c>
      <c r="E89" s="36" t="inlineStr">
        <is>
          <t>2*18</t>
        </is>
      </c>
      <c r="F89" s="99" t="n"/>
      <c r="G89" s="22" t="n"/>
      <c r="H89" s="22" t="n"/>
      <c r="I89" s="14" t="n"/>
      <c r="J89" s="14" t="n"/>
      <c r="K89" s="12" t="n">
        <v>0</v>
      </c>
      <c r="L89" s="9" t="n"/>
      <c r="M89" s="9" t="n"/>
      <c r="N89" s="9" t="n"/>
      <c r="O89" s="40">
        <f>K89+V89-AE89-AZ89</f>
        <v/>
      </c>
      <c r="P89" s="12" t="n"/>
      <c r="Q89" s="138" t="n"/>
      <c r="R89" s="16" t="n"/>
      <c r="S89" s="139" t="n"/>
      <c r="T89" s="16" t="n"/>
      <c r="U89" s="139" t="n"/>
      <c r="V89" s="16">
        <f>P89+R89+T89</f>
        <v/>
      </c>
      <c r="W89" s="16" t="n"/>
      <c r="X89" s="139" t="n"/>
      <c r="Y89" s="16" t="n"/>
      <c r="Z89" s="139" t="n"/>
      <c r="AA89" s="16" t="n"/>
      <c r="AB89" s="139" t="n"/>
      <c r="AC89" s="16" t="n"/>
      <c r="AD89" s="139" t="n"/>
      <c r="AE89" s="16">
        <f>(W89+Y89+AA89+AC89)</f>
        <v/>
      </c>
      <c r="AF89" s="140" t="n"/>
      <c r="AG89" s="138" t="n"/>
      <c r="AH89" s="16" t="n"/>
      <c r="AI89" s="138" t="n"/>
      <c r="AJ89" s="16" t="n"/>
      <c r="AK89" s="138" t="n"/>
      <c r="AL89" s="16" t="n"/>
      <c r="AM89" s="138" t="n"/>
      <c r="AN89" s="16" t="n"/>
      <c r="AO89" s="138" t="n"/>
      <c r="AP89" s="16" t="n"/>
      <c r="AQ89" s="138" t="n"/>
      <c r="AR89" s="16" t="n"/>
      <c r="AS89" s="138" t="n"/>
      <c r="AT89" s="16" t="n"/>
      <c r="AU89" s="138" t="n"/>
      <c r="AV89" s="16" t="n"/>
      <c r="AW89" s="138" t="n"/>
      <c r="AX89" s="16" t="n"/>
      <c r="AY89" s="138" t="n"/>
      <c r="AZ89" s="16">
        <f>AF89+AH89+AJ89+AL89+AN89+AP89+AR89+AT89+AV89+AX89</f>
        <v/>
      </c>
      <c r="BA89" s="16" t="n"/>
      <c r="BB89" s="139" t="n"/>
      <c r="BC89" s="16" t="n"/>
      <c r="BD89" s="139" t="n"/>
      <c r="BE89" s="16">
        <f>(BA89+BC89)</f>
        <v/>
      </c>
    </row>
    <row r="90" ht="22.5" customFormat="1" customHeight="1" s="8">
      <c r="A90" s="9" t="n"/>
      <c r="B90" s="141" t="inlineStr">
        <is>
          <t>BOARD</t>
        </is>
      </c>
      <c r="C90" s="137" t="inlineStr">
        <is>
          <t>DX3000, ADX4000W</t>
        </is>
      </c>
      <c r="D90" s="70" t="inlineStr">
        <is>
          <t>3 PIN 커넥터</t>
        </is>
      </c>
      <c r="E90" s="36" t="n"/>
      <c r="F90" s="99" t="n"/>
      <c r="G90" s="22" t="n"/>
      <c r="H90" s="22" t="n"/>
      <c r="I90" s="14" t="n"/>
      <c r="J90" s="14" t="n"/>
      <c r="K90" s="12" t="n">
        <v>0</v>
      </c>
      <c r="L90" s="9" t="n"/>
      <c r="M90" s="9" t="n"/>
      <c r="N90" s="9" t="n"/>
      <c r="O90" s="40">
        <f>K90+V90-AE90-AZ90</f>
        <v/>
      </c>
      <c r="P90" s="12" t="n"/>
      <c r="Q90" s="138" t="n"/>
      <c r="R90" s="16" t="n"/>
      <c r="S90" s="139" t="n"/>
      <c r="T90" s="16" t="n"/>
      <c r="U90" s="139" t="n"/>
      <c r="V90" s="16">
        <f>P90+R90+T90</f>
        <v/>
      </c>
      <c r="W90" s="16" t="n"/>
      <c r="X90" s="139" t="n"/>
      <c r="Y90" s="16" t="n"/>
      <c r="Z90" s="139" t="n"/>
      <c r="AA90" s="16" t="n"/>
      <c r="AB90" s="139" t="n"/>
      <c r="AC90" s="16" t="n"/>
      <c r="AD90" s="139" t="n"/>
      <c r="AE90" s="16">
        <f>(W90+Y90+AA90+AC90)</f>
        <v/>
      </c>
      <c r="AF90" s="140" t="n"/>
      <c r="AG90" s="138" t="n"/>
      <c r="AH90" s="16" t="n"/>
      <c r="AI90" s="138" t="n"/>
      <c r="AJ90" s="16" t="n"/>
      <c r="AK90" s="138" t="n"/>
      <c r="AL90" s="16" t="n"/>
      <c r="AM90" s="138" t="n"/>
      <c r="AN90" s="16" t="n"/>
      <c r="AO90" s="138" t="n"/>
      <c r="AP90" s="16" t="n"/>
      <c r="AQ90" s="138" t="n"/>
      <c r="AR90" s="16" t="n"/>
      <c r="AS90" s="138" t="n"/>
      <c r="AT90" s="16" t="n"/>
      <c r="AU90" s="138" t="n"/>
      <c r="AV90" s="16" t="n"/>
      <c r="AW90" s="138" t="n"/>
      <c r="AX90" s="16" t="n"/>
      <c r="AY90" s="138" t="n"/>
      <c r="AZ90" s="16">
        <f>AF90+AH90+AJ90+AL90+AN90+AP90+AR90+AT90+AV90+AX90</f>
        <v/>
      </c>
      <c r="BA90" s="16" t="n"/>
      <c r="BB90" s="139" t="n"/>
      <c r="BC90" s="16" t="n"/>
      <c r="BD90" s="139" t="n"/>
      <c r="BE90" s="16">
        <f>(BA90+BC90)</f>
        <v/>
      </c>
    </row>
    <row r="91" ht="22.5" customFormat="1" customHeight="1" s="8">
      <c r="A91" s="9" t="n"/>
      <c r="B91" s="141" t="inlineStr">
        <is>
          <t>BOARD</t>
        </is>
      </c>
      <c r="C91" s="137" t="inlineStr">
        <is>
          <t>DX3000,ADX4000W
COCOON,ADX6000</t>
        </is>
      </c>
      <c r="D91" s="70" t="inlineStr">
        <is>
          <t>4 PIN 커넥터</t>
        </is>
      </c>
      <c r="E91" s="36" t="n"/>
      <c r="F91" s="99" t="n"/>
      <c r="G91" s="22" t="n"/>
      <c r="H91" s="22" t="n"/>
      <c r="I91" s="14" t="n"/>
      <c r="J91" s="14" t="n"/>
      <c r="K91" s="12" t="n">
        <v>0</v>
      </c>
      <c r="L91" s="9" t="n"/>
      <c r="M91" s="9" t="n"/>
      <c r="N91" s="9" t="n"/>
      <c r="O91" s="40">
        <f>K91+V91-AE91-AZ91</f>
        <v/>
      </c>
      <c r="P91" s="12" t="n"/>
      <c r="Q91" s="138" t="n"/>
      <c r="R91" s="16" t="n"/>
      <c r="S91" s="139" t="n"/>
      <c r="T91" s="16" t="n"/>
      <c r="U91" s="139" t="n"/>
      <c r="V91" s="16">
        <f>P91+R91+T91</f>
        <v/>
      </c>
      <c r="W91" s="16" t="n"/>
      <c r="X91" s="139" t="n"/>
      <c r="Y91" s="16" t="n"/>
      <c r="Z91" s="139" t="n"/>
      <c r="AA91" s="16" t="n"/>
      <c r="AB91" s="139" t="n"/>
      <c r="AC91" s="16" t="n"/>
      <c r="AD91" s="139" t="n"/>
      <c r="AE91" s="16">
        <f>(W91+Y91+AA91+AC91)</f>
        <v/>
      </c>
      <c r="AF91" s="140" t="n"/>
      <c r="AG91" s="138" t="n"/>
      <c r="AH91" s="16" t="n"/>
      <c r="AI91" s="138" t="n"/>
      <c r="AJ91" s="16" t="n"/>
      <c r="AK91" s="138" t="n"/>
      <c r="AL91" s="16" t="n"/>
      <c r="AM91" s="138" t="n"/>
      <c r="AN91" s="16" t="n"/>
      <c r="AO91" s="138" t="n"/>
      <c r="AP91" s="16" t="n"/>
      <c r="AQ91" s="138" t="n"/>
      <c r="AR91" s="16" t="n"/>
      <c r="AS91" s="138" t="n"/>
      <c r="AT91" s="16" t="n"/>
      <c r="AU91" s="138" t="n"/>
      <c r="AV91" s="16" t="n"/>
      <c r="AW91" s="138" t="n"/>
      <c r="AX91" s="16" t="n"/>
      <c r="AY91" s="138" t="n"/>
      <c r="AZ91" s="16">
        <f>AF91+AH91+AJ91+AL91+AN91+AP91+AR91+AT91+AV91+AX91</f>
        <v/>
      </c>
      <c r="BA91" s="16" t="n"/>
      <c r="BB91" s="139" t="n"/>
      <c r="BC91" s="16" t="n"/>
      <c r="BD91" s="139" t="n"/>
      <c r="BE91" s="16">
        <f>(BA91+BC91)</f>
        <v/>
      </c>
    </row>
    <row r="92" ht="22.5" customFormat="1" customHeight="1" s="8">
      <c r="A92" s="9" t="n"/>
      <c r="B92" s="141" t="inlineStr">
        <is>
          <t>BOARD</t>
        </is>
      </c>
      <c r="C92" s="137" t="inlineStr">
        <is>
          <t>DX3000, ADX4000W</t>
        </is>
      </c>
      <c r="D92" s="70" t="inlineStr">
        <is>
          <t>7핀 B/D</t>
        </is>
      </c>
      <c r="E92" s="36" t="n"/>
      <c r="F92" s="99" t="n"/>
      <c r="G92" s="22" t="n"/>
      <c r="H92" s="22" t="inlineStr">
        <is>
          <t>한샘디지텍</t>
        </is>
      </c>
      <c r="I92" s="14" t="n"/>
      <c r="J92" s="14" t="n"/>
      <c r="K92" s="12" t="n">
        <v>574</v>
      </c>
      <c r="L92" s="9" t="n"/>
      <c r="M92" s="9" t="n"/>
      <c r="N92" s="9" t="n"/>
      <c r="O92" s="40">
        <f>K92+V92-AE92-AZ92</f>
        <v/>
      </c>
      <c r="P92" s="12" t="n"/>
      <c r="Q92" s="138" t="n"/>
      <c r="R92" s="16" t="n"/>
      <c r="S92" s="139" t="n"/>
      <c r="T92" s="16" t="n"/>
      <c r="U92" s="139" t="n"/>
      <c r="V92" s="16">
        <f>P92+R92+T92</f>
        <v/>
      </c>
      <c r="W92" s="16" t="n"/>
      <c r="X92" s="139" t="n"/>
      <c r="Y92" s="16" t="n"/>
      <c r="Z92" s="139" t="n"/>
      <c r="AA92" s="16" t="n"/>
      <c r="AB92" s="139" t="n"/>
      <c r="AC92" s="16" t="n"/>
      <c r="AD92" s="139" t="n"/>
      <c r="AE92" s="16">
        <f>(W92+Y92+AA92+AC92)</f>
        <v/>
      </c>
      <c r="AF92" s="140" t="n"/>
      <c r="AG92" s="138" t="n"/>
      <c r="AH92" s="16" t="n"/>
      <c r="AI92" s="138" t="n"/>
      <c r="AJ92" s="16" t="n"/>
      <c r="AK92" s="138" t="n"/>
      <c r="AL92" s="16" t="n"/>
      <c r="AM92" s="138" t="n"/>
      <c r="AN92" s="16" t="n"/>
      <c r="AO92" s="138" t="n"/>
      <c r="AP92" s="16" t="n"/>
      <c r="AQ92" s="138" t="n"/>
      <c r="AR92" s="16" t="n"/>
      <c r="AS92" s="138" t="n"/>
      <c r="AT92" s="16" t="n"/>
      <c r="AU92" s="138" t="n"/>
      <c r="AV92" s="16" t="n"/>
      <c r="AW92" s="138" t="n"/>
      <c r="AX92" s="16" t="n"/>
      <c r="AY92" s="138" t="n"/>
      <c r="AZ92" s="16">
        <f>AF92+AH92+AJ92+AL92+AN92+AP92+AR92+AT92+AV92+AX92</f>
        <v/>
      </c>
      <c r="BA92" s="16" t="n"/>
      <c r="BB92" s="139" t="n"/>
      <c r="BC92" s="16" t="n"/>
      <c r="BD92" s="139" t="n"/>
      <c r="BE92" s="16">
        <f>(BA92+BC92)</f>
        <v/>
      </c>
    </row>
    <row r="93" ht="22.5" customFormat="1" customHeight="1" s="8">
      <c r="A93" s="9" t="n"/>
      <c r="B93" s="141" t="inlineStr">
        <is>
          <t>BOARD</t>
        </is>
      </c>
      <c r="C93" s="137" t="inlineStr">
        <is>
          <t>DX3000</t>
        </is>
      </c>
      <c r="D93" s="70" t="inlineStr">
        <is>
          <t>9핀 B/D - TFT</t>
        </is>
      </c>
      <c r="E93" s="36" t="n"/>
      <c r="F93" s="99" t="n"/>
      <c r="G93" s="22" t="n"/>
      <c r="H93" s="22" t="inlineStr">
        <is>
          <t>HLP</t>
        </is>
      </c>
      <c r="I93" s="14" t="n"/>
      <c r="J93" s="14" t="n"/>
      <c r="K93" s="12" t="n">
        <v>604</v>
      </c>
      <c r="L93" s="9" t="n"/>
      <c r="M93" s="9" t="n"/>
      <c r="N93" s="9" t="n"/>
      <c r="O93" s="40">
        <f>K93+V93-AE93-AZ93</f>
        <v/>
      </c>
      <c r="P93" s="12" t="n"/>
      <c r="Q93" s="138" t="n"/>
      <c r="R93" s="16" t="n"/>
      <c r="S93" s="139" t="n"/>
      <c r="T93" s="16" t="n"/>
      <c r="U93" s="139" t="n"/>
      <c r="V93" s="16">
        <f>P93+R93+T93</f>
        <v/>
      </c>
      <c r="W93" s="16" t="n"/>
      <c r="X93" s="139" t="n"/>
      <c r="Y93" s="16" t="n"/>
      <c r="Z93" s="139" t="n"/>
      <c r="AA93" s="16" t="n"/>
      <c r="AB93" s="139" t="n"/>
      <c r="AC93" s="16" t="n"/>
      <c r="AD93" s="139" t="n"/>
      <c r="AE93" s="16">
        <f>(W93+Y93+AA93+AC93)</f>
        <v/>
      </c>
      <c r="AF93" s="140" t="n"/>
      <c r="AG93" s="138" t="n"/>
      <c r="AH93" s="16" t="n"/>
      <c r="AI93" s="138" t="n"/>
      <c r="AJ93" s="16" t="n"/>
      <c r="AK93" s="138" t="n"/>
      <c r="AL93" s="16" t="n"/>
      <c r="AM93" s="138" t="n"/>
      <c r="AN93" s="16" t="n"/>
      <c r="AO93" s="138" t="n"/>
      <c r="AP93" s="16" t="n"/>
      <c r="AQ93" s="138" t="n"/>
      <c r="AR93" s="16" t="n"/>
      <c r="AS93" s="138" t="n"/>
      <c r="AT93" s="16" t="n"/>
      <c r="AU93" s="138" t="n"/>
      <c r="AV93" s="16" t="n"/>
      <c r="AW93" s="138" t="n"/>
      <c r="AX93" s="16" t="n"/>
      <c r="AY93" s="138" t="n"/>
      <c r="AZ93" s="16">
        <f>AF93+AH93+AJ93+AL93+AN93+AP93+AR93+AT93+AV93+AX93</f>
        <v/>
      </c>
      <c r="BA93" s="16" t="n"/>
      <c r="BB93" s="139" t="n"/>
      <c r="BC93" s="16" t="n"/>
      <c r="BD93" s="139" t="n"/>
      <c r="BE93" s="16">
        <f>(BA93+BC93)</f>
        <v/>
      </c>
    </row>
    <row r="94" ht="22.5" customFormat="1" customHeight="1" s="8">
      <c r="A94" s="9" t="n"/>
      <c r="B94" s="141" t="inlineStr">
        <is>
          <t>BOARD</t>
        </is>
      </c>
      <c r="C94" s="137" t="inlineStr">
        <is>
          <t>COCOON</t>
        </is>
      </c>
      <c r="D94" s="62" t="inlineStr">
        <is>
          <t>8핀 B/D</t>
        </is>
      </c>
      <c r="E94" s="36" t="n"/>
      <c r="F94" s="99" t="n"/>
      <c r="G94" s="22" t="n"/>
      <c r="H94" s="22" t="inlineStr">
        <is>
          <t>한샘디지텍</t>
        </is>
      </c>
      <c r="I94" s="14" t="n"/>
      <c r="J94" s="14" t="n"/>
      <c r="K94" s="12" t="n">
        <v>400</v>
      </c>
      <c r="L94" s="9" t="n"/>
      <c r="M94" s="9" t="n"/>
      <c r="N94" s="9" t="n"/>
      <c r="O94" s="40">
        <f>K94+V94-AE94-AZ94</f>
        <v/>
      </c>
      <c r="P94" s="12" t="n"/>
      <c r="Q94" s="138" t="n"/>
      <c r="R94" s="16" t="n"/>
      <c r="S94" s="139" t="n"/>
      <c r="T94" s="16" t="n"/>
      <c r="U94" s="139" t="n"/>
      <c r="V94" s="16">
        <f>P94+R94+T94</f>
        <v/>
      </c>
      <c r="W94" s="16" t="n"/>
      <c r="X94" s="139" t="n"/>
      <c r="Y94" s="16" t="n"/>
      <c r="Z94" s="139" t="n"/>
      <c r="AA94" s="16" t="n"/>
      <c r="AB94" s="139" t="n"/>
      <c r="AC94" s="16" t="n"/>
      <c r="AD94" s="139" t="n"/>
      <c r="AE94" s="16">
        <f>(W94+Y94+AA94+AC94)</f>
        <v/>
      </c>
      <c r="AF94" s="140" t="n"/>
      <c r="AG94" s="138" t="n"/>
      <c r="AH94" s="16" t="n"/>
      <c r="AI94" s="138" t="n"/>
      <c r="AJ94" s="16" t="n"/>
      <c r="AK94" s="138" t="n"/>
      <c r="AL94" s="16" t="n"/>
      <c r="AM94" s="138" t="n"/>
      <c r="AN94" s="16" t="n"/>
      <c r="AO94" s="138" t="n"/>
      <c r="AP94" s="16" t="n"/>
      <c r="AQ94" s="138" t="n"/>
      <c r="AR94" s="16" t="n"/>
      <c r="AS94" s="138" t="n"/>
      <c r="AT94" s="16" t="n"/>
      <c r="AU94" s="138" t="n"/>
      <c r="AV94" s="16" t="n"/>
      <c r="AW94" s="138" t="n"/>
      <c r="AX94" s="16" t="n"/>
      <c r="AY94" s="138" t="n"/>
      <c r="AZ94" s="16">
        <f>AF94+AH94+AJ94+AL94+AN94+AP94+AR94+AT94+AV94+AX94</f>
        <v/>
      </c>
      <c r="BA94" s="16" t="n"/>
      <c r="BB94" s="139" t="n"/>
      <c r="BC94" s="16" t="n"/>
      <c r="BD94" s="139" t="n"/>
      <c r="BE94" s="16">
        <f>(BA94+BC94)</f>
        <v/>
      </c>
    </row>
    <row r="95" ht="22.5" customFormat="1" customHeight="1" s="8">
      <c r="A95" s="9" t="n"/>
      <c r="B95" s="141" t="inlineStr">
        <is>
          <t>BOARD</t>
        </is>
      </c>
      <c r="C95" s="137" t="inlineStr">
        <is>
          <t>SOLO</t>
        </is>
      </c>
      <c r="D95" s="62" t="inlineStr">
        <is>
          <t>9핀 B/D</t>
        </is>
      </c>
      <c r="E95" s="36" t="n"/>
      <c r="F95" s="99" t="n"/>
      <c r="G95" s="22" t="n"/>
      <c r="H95" s="22" t="inlineStr">
        <is>
          <t>한샘디지텍</t>
        </is>
      </c>
      <c r="I95" s="14" t="n"/>
      <c r="J95" s="14" t="n"/>
      <c r="K95" s="12" t="n">
        <v>260</v>
      </c>
      <c r="L95" s="9" t="n"/>
      <c r="M95" s="9" t="n"/>
      <c r="N95" s="9" t="n"/>
      <c r="O95" s="40">
        <f>K95+V95-AE95-AZ95</f>
        <v/>
      </c>
      <c r="P95" s="12" t="n"/>
      <c r="Q95" s="138" t="n"/>
      <c r="R95" s="16" t="n"/>
      <c r="S95" s="139" t="n"/>
      <c r="T95" s="16" t="n"/>
      <c r="U95" s="139" t="n"/>
      <c r="V95" s="16">
        <f>P95+R95+T95</f>
        <v/>
      </c>
      <c r="W95" s="16" t="n"/>
      <c r="X95" s="139" t="n"/>
      <c r="Y95" s="16" t="n"/>
      <c r="Z95" s="139" t="n"/>
      <c r="AA95" s="16" t="n"/>
      <c r="AB95" s="139" t="n"/>
      <c r="AC95" s="16" t="n"/>
      <c r="AD95" s="139" t="n"/>
      <c r="AE95" s="16">
        <f>(W95+Y95+AA95+AC95)</f>
        <v/>
      </c>
      <c r="AF95" s="140" t="n"/>
      <c r="AG95" s="138" t="n"/>
      <c r="AH95" s="16" t="n"/>
      <c r="AI95" s="138" t="n"/>
      <c r="AJ95" s="16" t="n"/>
      <c r="AK95" s="138" t="n"/>
      <c r="AL95" s="16" t="n"/>
      <c r="AM95" s="138" t="n"/>
      <c r="AN95" s="16" t="n"/>
      <c r="AO95" s="138" t="n"/>
      <c r="AP95" s="16" t="n"/>
      <c r="AQ95" s="138" t="n"/>
      <c r="AR95" s="16" t="n"/>
      <c r="AS95" s="138" t="n"/>
      <c r="AT95" s="16" t="n"/>
      <c r="AU95" s="138" t="n"/>
      <c r="AV95" s="16" t="n"/>
      <c r="AW95" s="138" t="n"/>
      <c r="AX95" s="16" t="n"/>
      <c r="AY95" s="138" t="n"/>
      <c r="AZ95" s="16">
        <f>AF95+AH95+AJ95+AL95+AN95+AP95+AR95+AT95+AV95+AX95</f>
        <v/>
      </c>
      <c r="BA95" s="16" t="n"/>
      <c r="BB95" s="139" t="n"/>
      <c r="BC95" s="16" t="n"/>
      <c r="BD95" s="139" t="n"/>
      <c r="BE95" s="16">
        <f>(BA95+BC95)</f>
        <v/>
      </c>
    </row>
    <row r="96" ht="22.5" customFormat="1" customHeight="1" s="8">
      <c r="A96" s="9" t="n"/>
      <c r="B96" s="141" t="inlineStr">
        <is>
          <t>BOARD</t>
        </is>
      </c>
      <c r="C96" s="137" t="inlineStr">
        <is>
          <t>ADX6000</t>
        </is>
      </c>
      <c r="D96" s="62" t="inlineStr">
        <is>
          <t>10핀 B/D</t>
        </is>
      </c>
      <c r="E96" s="36" t="n"/>
      <c r="F96" s="99" t="n"/>
      <c r="G96" s="22" t="n"/>
      <c r="H96" s="22" t="inlineStr">
        <is>
          <t>한샘디지텍</t>
        </is>
      </c>
      <c r="I96" s="14" t="n"/>
      <c r="J96" s="14" t="n"/>
      <c r="K96" s="12" t="n">
        <v>0</v>
      </c>
      <c r="L96" s="9" t="n"/>
      <c r="M96" s="9" t="n"/>
      <c r="N96" s="9" t="n"/>
      <c r="O96" s="40">
        <f>K96+V96-AE96-AZ96</f>
        <v/>
      </c>
      <c r="P96" s="12" t="n"/>
      <c r="Q96" s="138" t="n"/>
      <c r="R96" s="16" t="n"/>
      <c r="S96" s="139" t="n"/>
      <c r="T96" s="16" t="n"/>
      <c r="U96" s="139" t="n"/>
      <c r="V96" s="16">
        <f>P96+R96+T96</f>
        <v/>
      </c>
      <c r="W96" s="16" t="n"/>
      <c r="X96" s="139" t="n"/>
      <c r="Y96" s="16" t="n"/>
      <c r="Z96" s="139" t="n"/>
      <c r="AA96" s="16" t="n"/>
      <c r="AB96" s="139" t="n"/>
      <c r="AC96" s="16" t="n"/>
      <c r="AD96" s="139" t="n"/>
      <c r="AE96" s="16">
        <f>(W96+Y96+AA96+AC96)</f>
        <v/>
      </c>
      <c r="AF96" s="140" t="n"/>
      <c r="AG96" s="138" t="n"/>
      <c r="AH96" s="16" t="n"/>
      <c r="AI96" s="138" t="n"/>
      <c r="AJ96" s="16" t="n"/>
      <c r="AK96" s="138" t="n"/>
      <c r="AL96" s="16" t="n"/>
      <c r="AM96" s="138" t="n"/>
      <c r="AN96" s="16" t="n"/>
      <c r="AO96" s="138" t="n"/>
      <c r="AP96" s="16" t="n"/>
      <c r="AQ96" s="138" t="n"/>
      <c r="AR96" s="16" t="n"/>
      <c r="AS96" s="138" t="n"/>
      <c r="AT96" s="16" t="n"/>
      <c r="AU96" s="138" t="n"/>
      <c r="AV96" s="16" t="n"/>
      <c r="AW96" s="138" t="n"/>
      <c r="AX96" s="16" t="n"/>
      <c r="AY96" s="138" t="n"/>
      <c r="AZ96" s="16">
        <f>AF96+AH96+AJ96+AL96+AN96+AP96+AR96+AT96+AV96+AX96</f>
        <v/>
      </c>
      <c r="BA96" s="16" t="n"/>
      <c r="BB96" s="139" t="n"/>
      <c r="BC96" s="16" t="n"/>
      <c r="BD96" s="139" t="n"/>
      <c r="BE96" s="16">
        <f>(BA96+BC96)</f>
        <v/>
      </c>
    </row>
    <row r="97" ht="22.5" customFormat="1" customHeight="1" s="8">
      <c r="A97" s="9" t="n"/>
      <c r="B97" s="141" t="inlineStr">
        <is>
          <t>PCB</t>
        </is>
      </c>
      <c r="C97" s="137" t="inlineStr">
        <is>
          <t>DX3000</t>
        </is>
      </c>
      <c r="D97" s="62" t="inlineStr">
        <is>
          <t>CTR B/D (유럽용)</t>
        </is>
      </c>
      <c r="E97" s="36" t="n"/>
      <c r="F97" s="100" t="n"/>
      <c r="G97" s="22" t="n"/>
      <c r="H97" s="22" t="inlineStr">
        <is>
          <t>HLP</t>
        </is>
      </c>
      <c r="I97" s="14" t="n"/>
      <c r="J97" s="14" t="n"/>
      <c r="K97" s="12" t="n">
        <v>249</v>
      </c>
      <c r="L97" s="9" t="n"/>
      <c r="M97" s="9" t="n"/>
      <c r="N97" s="9" t="n"/>
      <c r="O97" s="40">
        <f>K97+V97-AE97-AZ97</f>
        <v/>
      </c>
      <c r="P97" s="12" t="n"/>
      <c r="Q97" s="138" t="n"/>
      <c r="R97" s="16" t="n"/>
      <c r="S97" s="139" t="n"/>
      <c r="T97" s="16" t="n"/>
      <c r="U97" s="139" t="n"/>
      <c r="V97" s="16">
        <f>P97+R97+T97</f>
        <v/>
      </c>
      <c r="W97" s="16" t="n"/>
      <c r="X97" s="139" t="n"/>
      <c r="Y97" s="16" t="n"/>
      <c r="Z97" s="139" t="n"/>
      <c r="AA97" s="16" t="n"/>
      <c r="AB97" s="139" t="n"/>
      <c r="AC97" s="16" t="n"/>
      <c r="AD97" s="139" t="n"/>
      <c r="AE97" s="16">
        <f>(W97+Y97+AA97+AC97)</f>
        <v/>
      </c>
      <c r="AF97" s="140" t="n"/>
      <c r="AG97" s="138" t="n"/>
      <c r="AH97" s="16" t="n"/>
      <c r="AI97" s="138" t="n"/>
      <c r="AJ97" s="16" t="n"/>
      <c r="AK97" s="138" t="n"/>
      <c r="AL97" s="16" t="n"/>
      <c r="AM97" s="138" t="n"/>
      <c r="AN97" s="16" t="n"/>
      <c r="AO97" s="138" t="n"/>
      <c r="AP97" s="16" t="n"/>
      <c r="AQ97" s="138" t="n"/>
      <c r="AR97" s="16" t="n"/>
      <c r="AS97" s="138" t="n"/>
      <c r="AT97" s="16" t="n"/>
      <c r="AU97" s="138" t="n"/>
      <c r="AV97" s="16" t="n"/>
      <c r="AW97" s="138" t="n"/>
      <c r="AX97" s="16" t="n"/>
      <c r="AY97" s="138" t="n"/>
      <c r="AZ97" s="16">
        <f>AF97+AH97+AJ97+AL97+AN97+AP97+AR97+AT97+AV97+AX97</f>
        <v/>
      </c>
      <c r="BA97" s="16" t="n"/>
      <c r="BB97" s="139" t="n"/>
      <c r="BC97" s="16" t="n"/>
      <c r="BD97" s="139" t="n"/>
      <c r="BE97" s="16" t="n">
        <v>0</v>
      </c>
    </row>
    <row r="98" ht="22.5" customFormat="1" customHeight="1" s="8">
      <c r="A98" s="9" t="n"/>
      <c r="B98" s="141" t="inlineStr">
        <is>
          <t>PCB</t>
        </is>
      </c>
      <c r="C98" s="137" t="inlineStr">
        <is>
          <t>DX3000</t>
        </is>
      </c>
      <c r="D98" s="70" t="inlineStr">
        <is>
          <t>CTR B/D (미국용)</t>
        </is>
      </c>
      <c r="E98" s="36" t="n"/>
      <c r="F98" s="100" t="n"/>
      <c r="G98" s="22" t="n"/>
      <c r="H98" s="22" t="inlineStr">
        <is>
          <t>HLP</t>
        </is>
      </c>
      <c r="I98" s="14" t="n"/>
      <c r="J98" s="14" t="n"/>
      <c r="K98" s="12" t="n">
        <v>100</v>
      </c>
      <c r="L98" s="9" t="n"/>
      <c r="M98" s="9" t="n"/>
      <c r="N98" s="9" t="n"/>
      <c r="O98" s="40">
        <f>K98+V98-AE98-AZ98</f>
        <v/>
      </c>
      <c r="P98" s="12" t="n"/>
      <c r="Q98" s="138" t="n"/>
      <c r="R98" s="16" t="n"/>
      <c r="S98" s="139" t="n"/>
      <c r="T98" s="16" t="n"/>
      <c r="U98" s="139" t="n"/>
      <c r="V98" s="16">
        <f>P98+R98+T98</f>
        <v/>
      </c>
      <c r="W98" s="16" t="n"/>
      <c r="X98" s="139" t="n"/>
      <c r="Y98" s="16" t="n"/>
      <c r="Z98" s="139" t="n"/>
      <c r="AA98" s="16" t="n"/>
      <c r="AB98" s="139" t="n"/>
      <c r="AC98" s="16" t="n"/>
      <c r="AD98" s="139" t="n"/>
      <c r="AE98" s="16">
        <f>(W98+Y98+AA98+AC98)</f>
        <v/>
      </c>
      <c r="AF98" s="140" t="n"/>
      <c r="AG98" s="138" t="n"/>
      <c r="AH98" s="16" t="n"/>
      <c r="AI98" s="138" t="n"/>
      <c r="AJ98" s="16" t="n"/>
      <c r="AK98" s="138" t="n"/>
      <c r="AL98" s="16" t="n"/>
      <c r="AM98" s="138" t="n"/>
      <c r="AN98" s="16" t="n"/>
      <c r="AO98" s="138" t="n"/>
      <c r="AP98" s="16" t="n"/>
      <c r="AQ98" s="138" t="n"/>
      <c r="AR98" s="16" t="n"/>
      <c r="AS98" s="138" t="n"/>
      <c r="AT98" s="16" t="n"/>
      <c r="AU98" s="138" t="n"/>
      <c r="AV98" s="16" t="n"/>
      <c r="AW98" s="138" t="n"/>
      <c r="AX98" s="16" t="n"/>
      <c r="AY98" s="138" t="n"/>
      <c r="AZ98" s="16">
        <f>AF98+AH98+AJ98+AL98+AN98+AP98+AR98+AT98+AV98+AX98</f>
        <v/>
      </c>
      <c r="BA98" s="16" t="n"/>
      <c r="BB98" s="139" t="n"/>
      <c r="BC98" s="16" t="n"/>
      <c r="BD98" s="139" t="n"/>
      <c r="BE98" s="16">
        <f>(BA98+BC98)</f>
        <v/>
      </c>
    </row>
    <row r="99" ht="22.5" customFormat="1" customHeight="1" s="8">
      <c r="A99" s="9" t="n"/>
      <c r="B99" s="141" t="inlineStr">
        <is>
          <t>PCB</t>
        </is>
      </c>
      <c r="C99" s="137" t="inlineStr">
        <is>
          <t>DX3000</t>
        </is>
      </c>
      <c r="D99" s="70" t="inlineStr">
        <is>
          <t>CTR B/D (TFT용)</t>
        </is>
      </c>
      <c r="E99" s="36" t="inlineStr">
        <is>
          <t>V3.1.1</t>
        </is>
      </c>
      <c r="F99" s="100" t="n"/>
      <c r="G99" s="22" t="n"/>
      <c r="H99" s="22" t="inlineStr">
        <is>
          <t>HLP</t>
        </is>
      </c>
      <c r="I99" s="14" t="n"/>
      <c r="J99" s="14" t="n"/>
      <c r="K99" s="12" t="n">
        <v>164</v>
      </c>
      <c r="L99" s="9" t="n"/>
      <c r="M99" s="9" t="n"/>
      <c r="N99" s="9" t="n"/>
      <c r="O99" s="40">
        <f>K99+V99-AE99-AZ99</f>
        <v/>
      </c>
      <c r="P99" s="12" t="n"/>
      <c r="Q99" s="138" t="n"/>
      <c r="R99" s="16" t="n"/>
      <c r="S99" s="139" t="n"/>
      <c r="T99" s="16" t="n"/>
      <c r="U99" s="139" t="n"/>
      <c r="V99" s="16">
        <f>P99+R99+T99</f>
        <v/>
      </c>
      <c r="W99" s="16" t="n"/>
      <c r="X99" s="139" t="n"/>
      <c r="Y99" s="16" t="n"/>
      <c r="Z99" s="139" t="n"/>
      <c r="AA99" s="16" t="n"/>
      <c r="AB99" s="139" t="n"/>
      <c r="AC99" s="16" t="n"/>
      <c r="AD99" s="139" t="n"/>
      <c r="AE99" s="16">
        <f>(W99+Y99+AA99+AC99)</f>
        <v/>
      </c>
      <c r="AF99" s="140" t="n"/>
      <c r="AG99" s="138" t="n"/>
      <c r="AH99" s="16" t="n"/>
      <c r="AI99" s="138" t="n"/>
      <c r="AJ99" s="16" t="n"/>
      <c r="AK99" s="138" t="n"/>
      <c r="AL99" s="16" t="n"/>
      <c r="AM99" s="138" t="n"/>
      <c r="AN99" s="16" t="n"/>
      <c r="AO99" s="138" t="n"/>
      <c r="AP99" s="16" t="n"/>
      <c r="AQ99" s="138" t="n"/>
      <c r="AR99" s="16" t="n"/>
      <c r="AS99" s="138" t="n"/>
      <c r="AT99" s="16" t="n"/>
      <c r="AU99" s="138" t="n"/>
      <c r="AV99" s="16" t="n"/>
      <c r="AW99" s="138" t="n"/>
      <c r="AX99" s="16" t="n"/>
      <c r="AY99" s="138" t="n"/>
      <c r="AZ99" s="16">
        <f>AF99+AH99+AJ99+AL99+AN99+AP99+AR99+AT99+AV99+AX99</f>
        <v/>
      </c>
      <c r="BA99" s="16" t="n"/>
      <c r="BB99" s="139" t="n"/>
      <c r="BC99" s="16" t="n"/>
      <c r="BD99" s="139" t="n"/>
      <c r="BE99" s="16">
        <f>(BA99+BC99)</f>
        <v/>
      </c>
    </row>
    <row r="100" ht="22.5" customFormat="1" customHeight="1" s="8">
      <c r="A100" s="9" t="n"/>
      <c r="B100" s="141" t="inlineStr">
        <is>
          <t>PCB</t>
        </is>
      </c>
      <c r="C100" s="137" t="inlineStr">
        <is>
          <t>DX3000</t>
        </is>
      </c>
      <c r="D100" s="62" t="inlineStr">
        <is>
          <t>LCD B/D (듀얼 슬라이드)</t>
        </is>
      </c>
      <c r="E100" s="20" t="n"/>
      <c r="F100" s="100" t="n"/>
      <c r="G100" s="22" t="n"/>
      <c r="H100" s="22" t="inlineStr">
        <is>
          <t>HLP</t>
        </is>
      </c>
      <c r="I100" s="14" t="n"/>
      <c r="J100" s="14" t="n"/>
      <c r="K100" s="12" t="n">
        <v>300</v>
      </c>
      <c r="L100" s="9" t="n"/>
      <c r="M100" s="9" t="n"/>
      <c r="N100" s="9" t="n"/>
      <c r="O100" s="40">
        <f>K100+V100-AE100-AZ100</f>
        <v/>
      </c>
      <c r="P100" s="12" t="n"/>
      <c r="Q100" s="138" t="n"/>
      <c r="R100" s="16" t="n"/>
      <c r="S100" s="139" t="n"/>
      <c r="T100" s="16" t="n"/>
      <c r="U100" s="139" t="n"/>
      <c r="V100" s="16">
        <f>P100+R100+T100</f>
        <v/>
      </c>
      <c r="W100" s="16" t="n"/>
      <c r="X100" s="139" t="n"/>
      <c r="Y100" s="16" t="n"/>
      <c r="Z100" s="139" t="n"/>
      <c r="AA100" s="16" t="n"/>
      <c r="AB100" s="139" t="n"/>
      <c r="AC100" s="16" t="n"/>
      <c r="AD100" s="139" t="n"/>
      <c r="AE100" s="16">
        <f>(W100+Y100+AA100+AC100)</f>
        <v/>
      </c>
      <c r="AF100" s="140" t="n"/>
      <c r="AG100" s="138" t="n"/>
      <c r="AH100" s="16" t="n"/>
      <c r="AI100" s="138" t="n"/>
      <c r="AJ100" s="16" t="n"/>
      <c r="AK100" s="138" t="n"/>
      <c r="AL100" s="16" t="n"/>
      <c r="AM100" s="138" t="n"/>
      <c r="AN100" s="16" t="n"/>
      <c r="AO100" s="138" t="n"/>
      <c r="AP100" s="16" t="n"/>
      <c r="AQ100" s="138" t="n"/>
      <c r="AR100" s="16" t="n"/>
      <c r="AS100" s="138" t="n"/>
      <c r="AT100" s="16" t="n"/>
      <c r="AU100" s="138" t="n"/>
      <c r="AV100" s="16" t="n"/>
      <c r="AW100" s="138" t="n"/>
      <c r="AX100" s="16" t="n"/>
      <c r="AY100" s="138" t="n"/>
      <c r="AZ100" s="16">
        <f>AF100+AH100+AJ100+AL100+AN100+AP100+AR100+AT100+AV100+AX100</f>
        <v/>
      </c>
      <c r="BA100" s="16" t="n"/>
      <c r="BB100" s="139" t="n"/>
      <c r="BC100" s="16" t="n"/>
      <c r="BD100" s="139" t="n"/>
      <c r="BE100" s="16">
        <f>(BA100+BC100)</f>
        <v/>
      </c>
    </row>
    <row r="101" ht="22.5" customFormat="1" customHeight="1" s="8">
      <c r="A101" s="9" t="n"/>
      <c r="B101" s="141" t="inlineStr">
        <is>
          <t>PCB</t>
        </is>
      </c>
      <c r="C101" s="137" t="inlineStr">
        <is>
          <t>DX3000</t>
        </is>
      </c>
      <c r="D101" s="62" t="inlineStr">
        <is>
          <t>TFT LCD B/D (듀얼 슬라이드)</t>
        </is>
      </c>
      <c r="E101" s="20" t="inlineStr">
        <is>
          <t>V3.0.1</t>
        </is>
      </c>
      <c r="F101" s="100" t="n"/>
      <c r="G101" s="22" t="n"/>
      <c r="H101" s="22" t="inlineStr">
        <is>
          <t>HLP</t>
        </is>
      </c>
      <c r="I101" s="14" t="n"/>
      <c r="J101" s="14" t="n"/>
      <c r="K101" s="12" t="n">
        <v>102</v>
      </c>
      <c r="L101" s="9" t="n"/>
      <c r="M101" s="9" t="n"/>
      <c r="N101" s="9" t="n"/>
      <c r="O101" s="40">
        <f>K101+V101-AE101-AZ101</f>
        <v/>
      </c>
      <c r="P101" s="12" t="n"/>
      <c r="Q101" s="138" t="n"/>
      <c r="R101" s="16" t="n"/>
      <c r="S101" s="139" t="n"/>
      <c r="T101" s="16" t="n"/>
      <c r="U101" s="139" t="n"/>
      <c r="V101" s="16">
        <f>P101+R101+T101</f>
        <v/>
      </c>
      <c r="W101" s="16" t="n"/>
      <c r="X101" s="139" t="n"/>
      <c r="Y101" s="16" t="n"/>
      <c r="Z101" s="139" t="n"/>
      <c r="AA101" s="16" t="n"/>
      <c r="AB101" s="139" t="n"/>
      <c r="AC101" s="16" t="n"/>
      <c r="AD101" s="139" t="n"/>
      <c r="AE101" s="16">
        <f>(W101+Y101+AA101+AC101)</f>
        <v/>
      </c>
      <c r="AF101" s="140" t="n"/>
      <c r="AG101" s="138" t="n"/>
      <c r="AH101" s="16" t="n"/>
      <c r="AI101" s="138" t="n"/>
      <c r="AJ101" s="16" t="n"/>
      <c r="AK101" s="138" t="n"/>
      <c r="AL101" s="16" t="n"/>
      <c r="AM101" s="138" t="n"/>
      <c r="AN101" s="16" t="n"/>
      <c r="AO101" s="138" t="n"/>
      <c r="AP101" s="16" t="n"/>
      <c r="AQ101" s="138" t="n"/>
      <c r="AR101" s="16" t="n"/>
      <c r="AS101" s="138" t="n"/>
      <c r="AT101" s="16" t="n"/>
      <c r="AU101" s="138" t="n"/>
      <c r="AV101" s="16" t="n"/>
      <c r="AW101" s="138" t="n"/>
      <c r="AX101" s="16" t="n"/>
      <c r="AY101" s="138" t="n"/>
      <c r="AZ101" s="16">
        <f>AF101+AH101+AJ101+AL101+AN101+AP101+AR101+AT101+AV101+AX101</f>
        <v/>
      </c>
      <c r="BA101" s="16" t="n"/>
      <c r="BB101" s="139" t="n"/>
      <c r="BC101" s="16" t="n"/>
      <c r="BD101" s="139" t="n"/>
      <c r="BE101" s="16">
        <f>(BA101+BC101)</f>
        <v/>
      </c>
    </row>
    <row r="102" ht="22.5" customFormat="1" customHeight="1" s="8">
      <c r="A102" s="9" t="n"/>
      <c r="B102" s="141" t="inlineStr">
        <is>
          <t>PCB</t>
        </is>
      </c>
      <c r="C102" s="137" t="inlineStr">
        <is>
          <t>DX3000</t>
        </is>
      </c>
      <c r="D102" s="62" t="inlineStr">
        <is>
          <t>LCD B/D (사파리) -원버턴타입</t>
        </is>
      </c>
      <c r="E102" s="20" t="n"/>
      <c r="F102" s="100" t="n"/>
      <c r="G102" s="22" t="n"/>
      <c r="H102" s="22" t="inlineStr">
        <is>
          <t>HLP</t>
        </is>
      </c>
      <c r="I102" s="14" t="n"/>
      <c r="J102" s="14" t="n"/>
      <c r="K102" s="12" t="n">
        <v>0</v>
      </c>
      <c r="L102" s="9" t="n"/>
      <c r="M102" s="9" t="n"/>
      <c r="N102" s="9" t="n"/>
      <c r="O102" s="40">
        <f>K102+V102-AE102-AZ102</f>
        <v/>
      </c>
      <c r="P102" s="12" t="n"/>
      <c r="Q102" s="138" t="n"/>
      <c r="R102" s="16" t="n"/>
      <c r="S102" s="139" t="n"/>
      <c r="T102" s="16" t="n"/>
      <c r="U102" s="139" t="n"/>
      <c r="V102" s="16">
        <f>P102+R102+T102</f>
        <v/>
      </c>
      <c r="W102" s="16" t="n"/>
      <c r="X102" s="139" t="n"/>
      <c r="Y102" s="16" t="n"/>
      <c r="Z102" s="139" t="n"/>
      <c r="AA102" s="16" t="n"/>
      <c r="AB102" s="139" t="n"/>
      <c r="AC102" s="16" t="n"/>
      <c r="AD102" s="139" t="n"/>
      <c r="AE102" s="16">
        <f>(W102+Y102+AA102+AC102)</f>
        <v/>
      </c>
      <c r="AF102" s="140" t="n"/>
      <c r="AG102" s="138" t="n"/>
      <c r="AH102" s="16" t="n"/>
      <c r="AI102" s="138" t="n"/>
      <c r="AJ102" s="16" t="n"/>
      <c r="AK102" s="138" t="n"/>
      <c r="AL102" s="16" t="n"/>
      <c r="AM102" s="138" t="n"/>
      <c r="AN102" s="16" t="n"/>
      <c r="AO102" s="138" t="n"/>
      <c r="AP102" s="16" t="n"/>
      <c r="AQ102" s="138" t="n"/>
      <c r="AR102" s="16" t="n"/>
      <c r="AS102" s="138" t="n"/>
      <c r="AT102" s="16" t="n"/>
      <c r="AU102" s="138" t="n"/>
      <c r="AV102" s="16" t="n"/>
      <c r="AW102" s="138" t="n"/>
      <c r="AX102" s="16" t="n"/>
      <c r="AY102" s="138" t="n"/>
      <c r="AZ102" s="16">
        <f>AF102+AH102+AJ102+AL102+AN102+AP102+AR102+AT102+AV102+AX102</f>
        <v/>
      </c>
      <c r="BA102" s="16" t="n"/>
      <c r="BB102" s="139" t="n"/>
      <c r="BC102" s="16" t="n"/>
      <c r="BD102" s="139" t="n"/>
      <c r="BE102" s="16">
        <f>(BA102+BC102)</f>
        <v/>
      </c>
    </row>
    <row r="103" ht="22.5" customFormat="1" customHeight="1" s="8">
      <c r="A103" s="9" t="n"/>
      <c r="B103" s="141" t="inlineStr">
        <is>
          <t>PCB</t>
        </is>
      </c>
      <c r="C103" s="137" t="inlineStr">
        <is>
          <t>DX3000</t>
        </is>
      </c>
      <c r="D103" s="62" t="inlineStr">
        <is>
          <t>OLED B/D (듀얼)</t>
        </is>
      </c>
      <c r="E103" s="20" t="n"/>
      <c r="F103" s="100" t="n"/>
      <c r="G103" s="22" t="n"/>
      <c r="H103" s="22" t="inlineStr">
        <is>
          <t>HLP</t>
        </is>
      </c>
      <c r="I103" s="14" t="n"/>
      <c r="J103" s="14" t="n"/>
      <c r="K103" s="12" t="n">
        <v>0</v>
      </c>
      <c r="L103" s="9" t="n"/>
      <c r="M103" s="9" t="n"/>
      <c r="N103" s="9" t="n"/>
      <c r="O103" s="40">
        <f>K103+V103-AE103-AZ103</f>
        <v/>
      </c>
      <c r="P103" s="12" t="n"/>
      <c r="Q103" s="138" t="n"/>
      <c r="R103" s="16" t="n"/>
      <c r="S103" s="139" t="n"/>
      <c r="T103" s="16" t="n"/>
      <c r="U103" s="139" t="n"/>
      <c r="V103" s="16">
        <f>P103+R103+T103</f>
        <v/>
      </c>
      <c r="W103" s="16" t="n"/>
      <c r="X103" s="139" t="n"/>
      <c r="Y103" s="16" t="n"/>
      <c r="Z103" s="139" t="n"/>
      <c r="AA103" s="16" t="n"/>
      <c r="AB103" s="139" t="n"/>
      <c r="AC103" s="16" t="n"/>
      <c r="AD103" s="139" t="n"/>
      <c r="AE103" s="16">
        <f>(W103+Y103+AA103+AC103)</f>
        <v/>
      </c>
      <c r="AF103" s="140" t="n"/>
      <c r="AG103" s="138" t="n"/>
      <c r="AH103" s="16" t="n"/>
      <c r="AI103" s="138" t="n"/>
      <c r="AJ103" s="16" t="n"/>
      <c r="AK103" s="138" t="n"/>
      <c r="AL103" s="16" t="n"/>
      <c r="AM103" s="138" t="n"/>
      <c r="AN103" s="16" t="n"/>
      <c r="AO103" s="138" t="n"/>
      <c r="AP103" s="16" t="n"/>
      <c r="AQ103" s="138" t="n"/>
      <c r="AR103" s="16" t="n"/>
      <c r="AS103" s="138" t="n"/>
      <c r="AT103" s="16" t="n"/>
      <c r="AU103" s="138" t="n"/>
      <c r="AV103" s="16" t="n"/>
      <c r="AW103" s="138" t="n"/>
      <c r="AX103" s="16" t="n"/>
      <c r="AY103" s="138" t="n"/>
      <c r="AZ103" s="16">
        <f>AF103+AH103+AJ103+AL103+AN103+AP103+AR103+AT103+AV103+AX103</f>
        <v/>
      </c>
      <c r="BA103" s="16" t="n"/>
      <c r="BB103" s="139" t="n"/>
      <c r="BC103" s="16" t="n"/>
      <c r="BD103" s="139" t="n"/>
      <c r="BE103" s="16">
        <f>(BA103+BC103)</f>
        <v/>
      </c>
    </row>
    <row r="104" ht="22.5" customFormat="1" customHeight="1" s="8">
      <c r="A104" s="9" t="n"/>
      <c r="B104" s="141" t="inlineStr">
        <is>
          <t>PCB</t>
        </is>
      </c>
      <c r="C104" s="137" t="inlineStr">
        <is>
          <t>DX3000</t>
        </is>
      </c>
      <c r="D104" s="62" t="inlineStr">
        <is>
          <t>EX B/D (듀얼) (좌)</t>
        </is>
      </c>
      <c r="E104" s="20" t="n"/>
      <c r="F104" s="100" t="n"/>
      <c r="G104" s="22" t="n"/>
      <c r="H104" s="22" t="inlineStr">
        <is>
          <t>HLP</t>
        </is>
      </c>
      <c r="I104" s="14" t="n"/>
      <c r="J104" s="14" t="n"/>
      <c r="K104" s="12" t="n">
        <v>240</v>
      </c>
      <c r="L104" s="9" t="n"/>
      <c r="M104" s="9" t="n"/>
      <c r="N104" s="9" t="n"/>
      <c r="O104" s="40">
        <f>K104+V104-AE104-AZ104</f>
        <v/>
      </c>
      <c r="P104" s="12" t="n"/>
      <c r="Q104" s="138" t="n"/>
      <c r="R104" s="16" t="n"/>
      <c r="S104" s="139" t="n"/>
      <c r="T104" s="16" t="n"/>
      <c r="U104" s="139" t="n"/>
      <c r="V104" s="16">
        <f>P104+R104+T104</f>
        <v/>
      </c>
      <c r="W104" s="16" t="n"/>
      <c r="X104" s="139" t="n"/>
      <c r="Y104" s="16" t="n"/>
      <c r="Z104" s="139" t="n"/>
      <c r="AA104" s="16" t="n"/>
      <c r="AB104" s="139" t="n"/>
      <c r="AC104" s="16" t="n"/>
      <c r="AD104" s="139" t="n"/>
      <c r="AE104" s="16">
        <f>(W104+Y104+AA104+AC104)</f>
        <v/>
      </c>
      <c r="AF104" s="140" t="n"/>
      <c r="AG104" s="138" t="n"/>
      <c r="AH104" s="16" t="n"/>
      <c r="AI104" s="138" t="n"/>
      <c r="AJ104" s="16" t="n"/>
      <c r="AK104" s="138" t="n"/>
      <c r="AL104" s="16" t="n"/>
      <c r="AM104" s="138" t="n"/>
      <c r="AN104" s="16" t="n"/>
      <c r="AO104" s="138" t="n"/>
      <c r="AP104" s="16" t="n"/>
      <c r="AQ104" s="138" t="n"/>
      <c r="AR104" s="16" t="n"/>
      <c r="AS104" s="138" t="n"/>
      <c r="AT104" s="16" t="n"/>
      <c r="AU104" s="138" t="n"/>
      <c r="AV104" s="16" t="n"/>
      <c r="AW104" s="138" t="n"/>
      <c r="AX104" s="16" t="n"/>
      <c r="AY104" s="138" t="n"/>
      <c r="AZ104" s="16">
        <f>AF104+AH104+AJ104+AL104+AN104+AP104+AR104+AT104+AV104+AX104</f>
        <v/>
      </c>
      <c r="BA104" s="16" t="n"/>
      <c r="BB104" s="139" t="n"/>
      <c r="BC104" s="16" t="n"/>
      <c r="BD104" s="139" t="n"/>
      <c r="BE104" s="16">
        <f>(BA104+BC104)</f>
        <v/>
      </c>
    </row>
    <row r="105" ht="22.5" customFormat="1" customHeight="1" s="8">
      <c r="A105" s="9" t="n"/>
      <c r="B105" s="141" t="inlineStr">
        <is>
          <t>PCB</t>
        </is>
      </c>
      <c r="C105" s="137" t="inlineStr">
        <is>
          <t>DX3000</t>
        </is>
      </c>
      <c r="D105" s="62" t="inlineStr">
        <is>
          <t>EX B/D (듀얼) (우)</t>
        </is>
      </c>
      <c r="E105" s="20" t="n"/>
      <c r="F105" s="100" t="n"/>
      <c r="G105" s="22" t="n"/>
      <c r="H105" s="22" t="inlineStr">
        <is>
          <t>HLP</t>
        </is>
      </c>
      <c r="I105" s="14" t="n"/>
      <c r="J105" s="14" t="n"/>
      <c r="K105" s="12" t="n">
        <v>240</v>
      </c>
      <c r="L105" s="9" t="n"/>
      <c r="M105" s="9" t="n"/>
      <c r="N105" s="9" t="n"/>
      <c r="O105" s="40">
        <f>K105+V105-AE105-AZ105</f>
        <v/>
      </c>
      <c r="P105" s="12" t="n"/>
      <c r="Q105" s="138" t="n"/>
      <c r="R105" s="16" t="n"/>
      <c r="S105" s="139" t="n"/>
      <c r="T105" s="16" t="n"/>
      <c r="U105" s="139" t="n"/>
      <c r="V105" s="16">
        <f>P105+R105+T105</f>
        <v/>
      </c>
      <c r="W105" s="16" t="n"/>
      <c r="X105" s="139" t="n"/>
      <c r="Y105" s="16" t="n"/>
      <c r="Z105" s="139" t="n"/>
      <c r="AA105" s="16" t="n"/>
      <c r="AB105" s="139" t="n"/>
      <c r="AC105" s="16" t="n"/>
      <c r="AD105" s="139" t="n"/>
      <c r="AE105" s="16">
        <f>(W105+Y105+AA105+AC105)</f>
        <v/>
      </c>
      <c r="AF105" s="140" t="n"/>
      <c r="AG105" s="138" t="n"/>
      <c r="AH105" s="16" t="n"/>
      <c r="AI105" s="138" t="n"/>
      <c r="AJ105" s="16" t="n"/>
      <c r="AK105" s="138" t="n"/>
      <c r="AL105" s="16" t="n"/>
      <c r="AM105" s="138" t="n"/>
      <c r="AN105" s="16" t="n"/>
      <c r="AO105" s="138" t="n"/>
      <c r="AP105" s="16" t="n"/>
      <c r="AQ105" s="138" t="n"/>
      <c r="AR105" s="16" t="n"/>
      <c r="AS105" s="138" t="n"/>
      <c r="AT105" s="16" t="n"/>
      <c r="AU105" s="138" t="n"/>
      <c r="AV105" s="16" t="n"/>
      <c r="AW105" s="138" t="n"/>
      <c r="AX105" s="16" t="n"/>
      <c r="AY105" s="138" t="n"/>
      <c r="AZ105" s="16">
        <f>AF105+AH105+AJ105+AL105+AN105+AP105+AR105+AT105+AV105+AX105</f>
        <v/>
      </c>
      <c r="BA105" s="16" t="n"/>
      <c r="BB105" s="139" t="n"/>
      <c r="BC105" s="16" t="n"/>
      <c r="BD105" s="139" t="n"/>
      <c r="BE105" s="16">
        <f>(BA105+BC105)</f>
        <v/>
      </c>
    </row>
    <row r="106" ht="22.5" customFormat="1" customHeight="1" s="8">
      <c r="A106" s="9" t="n"/>
      <c r="B106" s="141" t="inlineStr">
        <is>
          <t>PCB</t>
        </is>
      </c>
      <c r="C106" s="137" t="inlineStr">
        <is>
          <t>DX3000</t>
        </is>
      </c>
      <c r="D106" s="62" t="inlineStr">
        <is>
          <t>EX B/D 사파리 (원버턴)</t>
        </is>
      </c>
      <c r="E106" s="20" t="n"/>
      <c r="F106" s="100" t="n"/>
      <c r="G106" s="22" t="n"/>
      <c r="H106" s="22" t="inlineStr">
        <is>
          <t>HLP</t>
        </is>
      </c>
      <c r="I106" s="14" t="n"/>
      <c r="J106" s="14" t="n"/>
      <c r="K106" s="12" t="n">
        <v>88</v>
      </c>
      <c r="L106" s="9" t="n"/>
      <c r="M106" s="9" t="n"/>
      <c r="N106" s="9" t="n"/>
      <c r="O106" s="40">
        <f>K106+V106-AE106-AZ106</f>
        <v/>
      </c>
      <c r="P106" s="12" t="n"/>
      <c r="Q106" s="138" t="n"/>
      <c r="R106" s="16" t="n"/>
      <c r="S106" s="139" t="n"/>
      <c r="T106" s="16" t="n"/>
      <c r="U106" s="139" t="n"/>
      <c r="V106" s="16">
        <f>P106+R106+T106</f>
        <v/>
      </c>
      <c r="W106" s="16" t="n"/>
      <c r="X106" s="139" t="n"/>
      <c r="Y106" s="16" t="n"/>
      <c r="Z106" s="139" t="n"/>
      <c r="AA106" s="16" t="n"/>
      <c r="AB106" s="139" t="n"/>
      <c r="AC106" s="16" t="n"/>
      <c r="AD106" s="139" t="n"/>
      <c r="AE106" s="16">
        <f>(W106+Y106+AA106+AC106)</f>
        <v/>
      </c>
      <c r="AF106" s="140" t="n"/>
      <c r="AG106" s="138" t="n"/>
      <c r="AH106" s="16" t="n"/>
      <c r="AI106" s="138" t="n"/>
      <c r="AJ106" s="16" t="n"/>
      <c r="AK106" s="138" t="n"/>
      <c r="AL106" s="16" t="n"/>
      <c r="AM106" s="138" t="n"/>
      <c r="AN106" s="16" t="n"/>
      <c r="AO106" s="138" t="n"/>
      <c r="AP106" s="16" t="n"/>
      <c r="AQ106" s="138" t="n"/>
      <c r="AR106" s="16" t="n"/>
      <c r="AS106" s="138" t="n"/>
      <c r="AT106" s="16" t="n"/>
      <c r="AU106" s="138" t="n"/>
      <c r="AV106" s="16" t="n"/>
      <c r="AW106" s="138" t="n"/>
      <c r="AX106" s="16" t="n"/>
      <c r="AY106" s="138" t="n"/>
      <c r="AZ106" s="16">
        <f>AF106+AH106+AJ106+AL106+AN106+AP106+AR106+AT106+AV106+AX106</f>
        <v/>
      </c>
      <c r="BA106" s="16" t="n"/>
      <c r="BB106" s="139" t="n"/>
      <c r="BC106" s="16" t="n"/>
      <c r="BD106" s="139" t="n"/>
      <c r="BE106" s="16">
        <f>(BA106+BC106)</f>
        <v/>
      </c>
    </row>
    <row r="107" ht="22.5" customFormat="1" customHeight="1" s="8">
      <c r="A107" s="9" t="n"/>
      <c r="B107" s="136" t="inlineStr">
        <is>
          <t>PCB</t>
        </is>
      </c>
      <c r="C107" s="137" t="inlineStr">
        <is>
          <t>DX3000</t>
        </is>
      </c>
      <c r="D107" s="72" t="inlineStr">
        <is>
          <t>RELAY 쪽 보드</t>
        </is>
      </c>
      <c r="E107" s="13" t="n"/>
      <c r="F107" s="100" t="n"/>
      <c r="G107" s="9" t="n"/>
      <c r="H107" s="9" t="inlineStr">
        <is>
          <t>HLP</t>
        </is>
      </c>
      <c r="I107" s="14" t="n"/>
      <c r="J107" s="14" t="n"/>
      <c r="K107" s="12" t="n">
        <v>0</v>
      </c>
      <c r="L107" s="9" t="n"/>
      <c r="M107" s="9" t="n"/>
      <c r="N107" s="9" t="n"/>
      <c r="O107" s="40">
        <f>K107+V107-AE107-AZ107</f>
        <v/>
      </c>
      <c r="P107" s="12" t="n"/>
      <c r="Q107" s="138" t="n"/>
      <c r="R107" s="16" t="n"/>
      <c r="S107" s="139" t="n"/>
      <c r="T107" s="16" t="n"/>
      <c r="U107" s="139" t="n"/>
      <c r="V107" s="16">
        <f>P107+R107+T107</f>
        <v/>
      </c>
      <c r="W107" s="16" t="n"/>
      <c r="X107" s="139" t="n"/>
      <c r="Y107" s="16" t="n"/>
      <c r="Z107" s="139" t="n"/>
      <c r="AA107" s="16" t="n"/>
      <c r="AB107" s="139" t="n"/>
      <c r="AC107" s="16" t="n"/>
      <c r="AD107" s="139" t="n"/>
      <c r="AE107" s="16">
        <f>(W107+Y107+AA107+AC107)</f>
        <v/>
      </c>
      <c r="AF107" s="140" t="n"/>
      <c r="AG107" s="138" t="n"/>
      <c r="AH107" s="16" t="n"/>
      <c r="AI107" s="138" t="n"/>
      <c r="AJ107" s="16" t="n"/>
      <c r="AK107" s="138" t="n"/>
      <c r="AL107" s="16" t="n"/>
      <c r="AM107" s="138" t="n"/>
      <c r="AN107" s="16" t="n"/>
      <c r="AO107" s="138" t="n"/>
      <c r="AP107" s="16" t="n"/>
      <c r="AQ107" s="138" t="n"/>
      <c r="AR107" s="16" t="n"/>
      <c r="AS107" s="138" t="n"/>
      <c r="AT107" s="16" t="n"/>
      <c r="AU107" s="138" t="n"/>
      <c r="AV107" s="16" t="n"/>
      <c r="AW107" s="138" t="n"/>
      <c r="AX107" s="16" t="n"/>
      <c r="AY107" s="138" t="n"/>
      <c r="AZ107" s="16">
        <f>AF107+AH107+AJ107+AL107+AN107+AP107+AR107+AT107+AV107+AX107</f>
        <v/>
      </c>
      <c r="BA107" s="16" t="n"/>
      <c r="BB107" s="139" t="n"/>
      <c r="BC107" s="16" t="n"/>
      <c r="BD107" s="139" t="n"/>
      <c r="BE107" s="16">
        <f>(BA107+BC107)</f>
        <v/>
      </c>
    </row>
    <row r="108" ht="22.5" customFormat="1" customHeight="1" s="8">
      <c r="A108" s="9" t="n"/>
      <c r="B108" s="136" t="inlineStr">
        <is>
          <t>PCB</t>
        </is>
      </c>
      <c r="C108" s="137" t="inlineStr">
        <is>
          <t>DX3000</t>
        </is>
      </c>
      <c r="D108" s="143" t="inlineStr">
        <is>
          <t>AIM LED 쪽 보드</t>
        </is>
      </c>
      <c r="E108" s="13" t="inlineStr">
        <is>
          <t>V3.0.1</t>
        </is>
      </c>
      <c r="F108" s="100" t="n"/>
      <c r="G108" s="9" t="n"/>
      <c r="H108" s="9" t="inlineStr">
        <is>
          <t>HLP</t>
        </is>
      </c>
      <c r="I108" s="14" t="n"/>
      <c r="J108" s="14" t="n"/>
      <c r="K108" s="12" t="n">
        <v>378</v>
      </c>
      <c r="L108" s="9" t="n"/>
      <c r="M108" s="9" t="n"/>
      <c r="N108" s="9" t="n"/>
      <c r="O108" s="40">
        <f>K108+V108-AE108-AZ108</f>
        <v/>
      </c>
      <c r="P108" s="12" t="n"/>
      <c r="Q108" s="138" t="n"/>
      <c r="R108" s="16" t="n"/>
      <c r="S108" s="139" t="n"/>
      <c r="T108" s="16" t="n"/>
      <c r="U108" s="139" t="n"/>
      <c r="V108" s="16">
        <f>P108+R108+T108</f>
        <v/>
      </c>
      <c r="W108" s="16" t="n"/>
      <c r="X108" s="139" t="n"/>
      <c r="Y108" s="16" t="n"/>
      <c r="Z108" s="139" t="n"/>
      <c r="AA108" s="16" t="n"/>
      <c r="AB108" s="139" t="n"/>
      <c r="AC108" s="16" t="n"/>
      <c r="AD108" s="139" t="n"/>
      <c r="AE108" s="16">
        <f>(W108+Y108+AA108+AC108)</f>
        <v/>
      </c>
      <c r="AF108" s="140" t="n"/>
      <c r="AG108" s="138" t="n"/>
      <c r="AH108" s="16" t="n"/>
      <c r="AI108" s="138" t="n"/>
      <c r="AJ108" s="16" t="n"/>
      <c r="AK108" s="138" t="n"/>
      <c r="AL108" s="16" t="n"/>
      <c r="AM108" s="138" t="n"/>
      <c r="AN108" s="16" t="n"/>
      <c r="AO108" s="138" t="n"/>
      <c r="AP108" s="16" t="n"/>
      <c r="AQ108" s="138" t="n"/>
      <c r="AR108" s="16" t="n"/>
      <c r="AS108" s="138" t="n"/>
      <c r="AT108" s="16" t="n"/>
      <c r="AU108" s="138" t="n"/>
      <c r="AV108" s="16" t="n"/>
      <c r="AW108" s="138" t="n"/>
      <c r="AX108" s="16" t="n"/>
      <c r="AY108" s="138" t="n"/>
      <c r="AZ108" s="16">
        <f>AF108+AH108+AJ108+AL108+AN108+AP108+AR108+AT108+AV108+AX108</f>
        <v/>
      </c>
      <c r="BA108" s="16" t="n"/>
      <c r="BB108" s="139" t="n"/>
      <c r="BC108" s="16" t="n"/>
      <c r="BD108" s="139" t="n"/>
      <c r="BE108" s="16">
        <f>(BA108+BC108)</f>
        <v/>
      </c>
    </row>
    <row r="109" ht="22.5" customFormat="1" customHeight="1" s="8">
      <c r="A109" s="9" t="n"/>
      <c r="B109" s="141" t="inlineStr">
        <is>
          <t>PANEL</t>
        </is>
      </c>
      <c r="C109" s="137" t="inlineStr">
        <is>
          <t>DX3000</t>
        </is>
      </c>
      <c r="D109" s="62" t="inlineStr">
        <is>
          <t>LCD PANEL</t>
        </is>
      </c>
      <c r="E109" s="36" t="inlineStr">
        <is>
          <t>2.35"LCD</t>
        </is>
      </c>
      <c r="F109" s="100" t="n"/>
      <c r="G109" s="22" t="n"/>
      <c r="H109" s="22" t="inlineStr">
        <is>
          <t>HLP</t>
        </is>
      </c>
      <c r="I109" s="14" t="n"/>
      <c r="J109" s="14" t="n"/>
      <c r="K109" s="12" t="n">
        <v>855</v>
      </c>
      <c r="L109" s="37" t="n"/>
      <c r="M109" s="37" t="n"/>
      <c r="N109" s="37" t="n"/>
      <c r="O109" s="40">
        <f>K109+V109-AE109-AZ109</f>
        <v/>
      </c>
      <c r="P109" s="12" t="n"/>
      <c r="Q109" s="138" t="n"/>
      <c r="R109" s="16" t="n"/>
      <c r="S109" s="139" t="n"/>
      <c r="T109" s="16" t="n"/>
      <c r="U109" s="139" t="n"/>
      <c r="V109" s="16">
        <f>P109+R109+T109</f>
        <v/>
      </c>
      <c r="W109" s="16" t="n"/>
      <c r="X109" s="139" t="n"/>
      <c r="Y109" s="16" t="n"/>
      <c r="Z109" s="139" t="n"/>
      <c r="AA109" s="16" t="n"/>
      <c r="AB109" s="139" t="n"/>
      <c r="AC109" s="16" t="n"/>
      <c r="AD109" s="139" t="n"/>
      <c r="AE109" s="16">
        <f>(W109+Y109+AA109+AC109)</f>
        <v/>
      </c>
      <c r="AF109" s="140" t="n"/>
      <c r="AG109" s="138" t="n"/>
      <c r="AH109" s="16" t="n"/>
      <c r="AI109" s="138" t="n"/>
      <c r="AJ109" s="16" t="n"/>
      <c r="AK109" s="138" t="n"/>
      <c r="AL109" s="16" t="n"/>
      <c r="AM109" s="138" t="n"/>
      <c r="AN109" s="16" t="n"/>
      <c r="AO109" s="138" t="n"/>
      <c r="AP109" s="16" t="n"/>
      <c r="AQ109" s="138" t="n"/>
      <c r="AR109" s="16" t="n"/>
      <c r="AS109" s="138" t="n"/>
      <c r="AT109" s="16" t="n"/>
      <c r="AU109" s="138" t="n"/>
      <c r="AV109" s="16" t="n"/>
      <c r="AW109" s="138" t="n"/>
      <c r="AX109" s="16" t="n"/>
      <c r="AY109" s="138" t="n"/>
      <c r="AZ109" s="16">
        <f>AF109+AH109+AJ109+AL109+AN109+AP109+AR109+AT109+AV109+AX109</f>
        <v/>
      </c>
      <c r="BA109" s="16" t="n"/>
      <c r="BB109" s="139" t="n"/>
      <c r="BC109" s="16" t="n"/>
      <c r="BD109" s="139" t="n"/>
      <c r="BE109" s="16">
        <f>(BA109+BC109)</f>
        <v/>
      </c>
    </row>
    <row r="110" ht="22.5" customFormat="1" customHeight="1" s="8">
      <c r="A110" s="9" t="n"/>
      <c r="B110" s="141" t="inlineStr">
        <is>
          <t>PANEL</t>
        </is>
      </c>
      <c r="C110" s="137" t="inlineStr">
        <is>
          <t>DX3000, SOLO</t>
        </is>
      </c>
      <c r="D110" s="62" t="inlineStr">
        <is>
          <t>TFT LCD PANEL</t>
        </is>
      </c>
      <c r="E110" s="36" t="inlineStr">
        <is>
          <t>2.4"LCD - CT1715N241A</t>
        </is>
      </c>
      <c r="F110" s="100" t="n"/>
      <c r="G110" s="22" t="n"/>
      <c r="H110" s="22" t="inlineStr">
        <is>
          <t>클리어디스플레이</t>
        </is>
      </c>
      <c r="I110" s="14" t="n"/>
      <c r="J110" s="14" t="n"/>
      <c r="K110" s="12" t="n">
        <v>823</v>
      </c>
      <c r="L110" s="9" t="n"/>
      <c r="M110" s="9" t="n"/>
      <c r="N110" s="9" t="n"/>
      <c r="O110" s="40">
        <f>K110+V110-AE110-AZ110</f>
        <v/>
      </c>
      <c r="P110" s="12" t="n"/>
      <c r="Q110" s="138" t="n"/>
      <c r="R110" s="16" t="n"/>
      <c r="S110" s="139" t="n"/>
      <c r="T110" s="16" t="n"/>
      <c r="U110" s="139" t="n"/>
      <c r="V110" s="16">
        <f>P110+R110+T110</f>
        <v/>
      </c>
      <c r="W110" s="16" t="n"/>
      <c r="X110" s="139" t="n"/>
      <c r="Y110" s="16" t="n"/>
      <c r="Z110" s="139" t="n"/>
      <c r="AA110" s="16" t="n"/>
      <c r="AB110" s="139" t="n"/>
      <c r="AC110" s="16" t="n"/>
      <c r="AD110" s="139" t="n"/>
      <c r="AE110" s="16">
        <f>(W110+Y110+AA110+AC110)</f>
        <v/>
      </c>
      <c r="AF110" s="140" t="n"/>
      <c r="AG110" s="138" t="n"/>
      <c r="AH110" s="16" t="n"/>
      <c r="AI110" s="138" t="n"/>
      <c r="AJ110" s="16" t="n"/>
      <c r="AK110" s="138" t="n"/>
      <c r="AL110" s="16" t="n"/>
      <c r="AM110" s="138" t="n"/>
      <c r="AN110" s="16" t="n"/>
      <c r="AO110" s="138" t="n"/>
      <c r="AP110" s="16" t="n"/>
      <c r="AQ110" s="138" t="n"/>
      <c r="AR110" s="16" t="n"/>
      <c r="AS110" s="138" t="n"/>
      <c r="AT110" s="16" t="n"/>
      <c r="AU110" s="138" t="n"/>
      <c r="AV110" s="16" t="n"/>
      <c r="AW110" s="138" t="n"/>
      <c r="AX110" s="16" t="n"/>
      <c r="AY110" s="138" t="n"/>
      <c r="AZ110" s="16">
        <f>AF110+AH110+AJ110+AL110+AN110+AP110+AR110+AT110+AV110+AX110</f>
        <v/>
      </c>
      <c r="BA110" s="16" t="n"/>
      <c r="BB110" s="139" t="n"/>
      <c r="BC110" s="16" t="n"/>
      <c r="BD110" s="139" t="n"/>
      <c r="BE110" s="16">
        <f>(BA110+BC110)</f>
        <v/>
      </c>
    </row>
    <row r="111" ht="22.5" customFormat="1" customHeight="1" s="8">
      <c r="A111" s="9" t="n"/>
      <c r="B111" s="141" t="inlineStr">
        <is>
          <t>CABLE</t>
        </is>
      </c>
      <c r="C111" s="137" t="inlineStr">
        <is>
          <t>DX3000</t>
        </is>
      </c>
      <c r="D111" s="62" t="inlineStr">
        <is>
          <t>하네스 1번</t>
        </is>
      </c>
      <c r="E111" s="36" t="inlineStr">
        <is>
          <t>FFC 20핀</t>
        </is>
      </c>
      <c r="F111" s="100" t="n"/>
      <c r="G111" s="22" t="n"/>
      <c r="H111" s="22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40">
        <f>K111+V111-AE111-AZ111</f>
        <v/>
      </c>
      <c r="P111" s="12" t="n"/>
      <c r="Q111" s="138" t="n"/>
      <c r="R111" s="16" t="n"/>
      <c r="S111" s="139" t="n"/>
      <c r="T111" s="16" t="n"/>
      <c r="U111" s="139" t="n"/>
      <c r="V111" s="16">
        <f>P111+R111+T111</f>
        <v/>
      </c>
      <c r="W111" s="16" t="n"/>
      <c r="X111" s="139" t="n"/>
      <c r="Y111" s="16" t="n"/>
      <c r="Z111" s="139" t="n"/>
      <c r="AA111" s="16" t="n"/>
      <c r="AB111" s="139" t="n"/>
      <c r="AC111" s="16" t="n"/>
      <c r="AD111" s="139" t="n"/>
      <c r="AE111" s="16">
        <f>(W111+Y111+AA111+AC111)</f>
        <v/>
      </c>
      <c r="AF111" s="140" t="n"/>
      <c r="AG111" s="138" t="n"/>
      <c r="AH111" s="16" t="n"/>
      <c r="AI111" s="138" t="n"/>
      <c r="AJ111" s="16" t="n"/>
      <c r="AK111" s="138" t="n"/>
      <c r="AL111" s="16" t="n"/>
      <c r="AM111" s="138" t="n"/>
      <c r="AN111" s="16" t="n"/>
      <c r="AO111" s="138" t="n"/>
      <c r="AP111" s="16" t="n"/>
      <c r="AQ111" s="138" t="n"/>
      <c r="AR111" s="16" t="n"/>
      <c r="AS111" s="138" t="n"/>
      <c r="AT111" s="16" t="n"/>
      <c r="AU111" s="138" t="n"/>
      <c r="AV111" s="16" t="n"/>
      <c r="AW111" s="138" t="n"/>
      <c r="AX111" s="16" t="n"/>
      <c r="AY111" s="138" t="n"/>
      <c r="AZ111" s="16">
        <f>AF111+AH111+AJ111+AL111+AN111+AP111+AR111+AT111+AV111+AX111</f>
        <v/>
      </c>
      <c r="BA111" s="16" t="n"/>
      <c r="BB111" s="139" t="n"/>
      <c r="BC111" s="16" t="n"/>
      <c r="BD111" s="139" t="n"/>
      <c r="BE111" s="16">
        <f>(BA111+BC111)</f>
        <v/>
      </c>
    </row>
    <row r="112" ht="22.5" customFormat="1" customHeight="1" s="8">
      <c r="A112" s="9" t="n"/>
      <c r="B112" s="141" t="inlineStr">
        <is>
          <t>CABLE</t>
        </is>
      </c>
      <c r="C112" s="137" t="inlineStr">
        <is>
          <t>DX3000</t>
        </is>
      </c>
      <c r="D112" s="62" t="inlineStr">
        <is>
          <t>하네스 4번</t>
        </is>
      </c>
      <c r="E112" s="36" t="inlineStr">
        <is>
          <t xml:space="preserve">후면 전원 Wire - DC 잭 </t>
        </is>
      </c>
      <c r="F112" s="100" t="n"/>
      <c r="G112" s="22" t="n"/>
      <c r="H112" s="22" t="inlineStr">
        <is>
          <t>HLP</t>
        </is>
      </c>
      <c r="I112" s="14" t="n"/>
      <c r="J112" s="14" t="n"/>
      <c r="K112" s="12" t="n">
        <v>0</v>
      </c>
      <c r="L112" s="9" t="n"/>
      <c r="M112" s="9" t="n"/>
      <c r="N112" s="9" t="n"/>
      <c r="O112" s="40">
        <f>K112+V112-AE112-AZ112</f>
        <v/>
      </c>
      <c r="P112" s="12" t="n"/>
      <c r="Q112" s="138" t="n"/>
      <c r="R112" s="16" t="n"/>
      <c r="S112" s="139" t="n"/>
      <c r="T112" s="16" t="n"/>
      <c r="U112" s="139" t="n"/>
      <c r="V112" s="16">
        <f>P112+R112+T112</f>
        <v/>
      </c>
      <c r="W112" s="16" t="n"/>
      <c r="X112" s="139" t="n"/>
      <c r="Y112" s="16" t="n"/>
      <c r="Z112" s="139" t="n"/>
      <c r="AA112" s="16" t="n"/>
      <c r="AB112" s="139" t="n"/>
      <c r="AC112" s="16" t="n"/>
      <c r="AD112" s="139" t="n"/>
      <c r="AE112" s="16">
        <f>(W112+Y112+AA112+AC112)</f>
        <v/>
      </c>
      <c r="AF112" s="140" t="n"/>
      <c r="AG112" s="138" t="n"/>
      <c r="AH112" s="16" t="n"/>
      <c r="AI112" s="138" t="n"/>
      <c r="AJ112" s="16" t="n"/>
      <c r="AK112" s="138" t="n"/>
      <c r="AL112" s="16" t="n"/>
      <c r="AM112" s="138" t="n"/>
      <c r="AN112" s="16" t="n"/>
      <c r="AO112" s="138" t="n"/>
      <c r="AP112" s="16" t="n"/>
      <c r="AQ112" s="138" t="n"/>
      <c r="AR112" s="16" t="n"/>
      <c r="AS112" s="138" t="n"/>
      <c r="AT112" s="16" t="n"/>
      <c r="AU112" s="138" t="n"/>
      <c r="AV112" s="16" t="n"/>
      <c r="AW112" s="138" t="n"/>
      <c r="AX112" s="16" t="n"/>
      <c r="AY112" s="138" t="n"/>
      <c r="AZ112" s="16">
        <f>AF112+AH112+AJ112+AL112+AN112+AP112+AR112+AT112+AV112+AX112</f>
        <v/>
      </c>
      <c r="BA112" s="16" t="n"/>
      <c r="BB112" s="139" t="n"/>
      <c r="BC112" s="16" t="n"/>
      <c r="BD112" s="139" t="n"/>
      <c r="BE112" s="16">
        <f>(BA112+BC112)</f>
        <v/>
      </c>
    </row>
    <row r="113" ht="22.5" customFormat="1" customHeight="1" s="8">
      <c r="A113" s="9" t="n"/>
      <c r="B113" s="141" t="inlineStr">
        <is>
          <t>CABLE</t>
        </is>
      </c>
      <c r="C113" s="137" t="inlineStr">
        <is>
          <t>DX3000</t>
        </is>
      </c>
      <c r="D113" s="62" t="inlineStr">
        <is>
          <t>하네스 5번</t>
        </is>
      </c>
      <c r="E113" s="20" t="inlineStr">
        <is>
          <t>EXP KEY 4핀 케이블</t>
        </is>
      </c>
      <c r="F113" s="100" t="n"/>
      <c r="G113" s="22" t="n"/>
      <c r="H113" s="22" t="inlineStr">
        <is>
          <t>HLP</t>
        </is>
      </c>
      <c r="I113" s="14" t="n"/>
      <c r="J113" s="14" t="n"/>
      <c r="K113" s="12" t="n">
        <v>0</v>
      </c>
      <c r="L113" s="9" t="n"/>
      <c r="M113" s="9" t="n"/>
      <c r="N113" s="9" t="n"/>
      <c r="O113" s="40">
        <f>K113+V113-AE113-AZ113</f>
        <v/>
      </c>
      <c r="P113" s="12" t="n"/>
      <c r="Q113" s="138" t="n"/>
      <c r="R113" s="16" t="n"/>
      <c r="S113" s="139" t="n"/>
      <c r="T113" s="16" t="n"/>
      <c r="U113" s="139" t="n"/>
      <c r="V113" s="16">
        <f>P113+R113+T113</f>
        <v/>
      </c>
      <c r="W113" s="16" t="n"/>
      <c r="X113" s="139" t="n"/>
      <c r="Y113" s="16" t="n"/>
      <c r="Z113" s="139" t="n"/>
      <c r="AA113" s="16" t="n"/>
      <c r="AB113" s="139" t="n"/>
      <c r="AC113" s="16" t="n"/>
      <c r="AD113" s="139" t="n"/>
      <c r="AE113" s="16">
        <f>(W113+Y113+AA113+AC113)</f>
        <v/>
      </c>
      <c r="AF113" s="140" t="n"/>
      <c r="AG113" s="138" t="n"/>
      <c r="AH113" s="16" t="n"/>
      <c r="AI113" s="138" t="n"/>
      <c r="AJ113" s="16" t="n"/>
      <c r="AK113" s="138" t="n"/>
      <c r="AL113" s="16" t="n"/>
      <c r="AM113" s="138" t="n"/>
      <c r="AN113" s="16" t="n"/>
      <c r="AO113" s="138" t="n"/>
      <c r="AP113" s="16" t="n"/>
      <c r="AQ113" s="138" t="n"/>
      <c r="AR113" s="16" t="n"/>
      <c r="AS113" s="138" t="n"/>
      <c r="AT113" s="16" t="n"/>
      <c r="AU113" s="138" t="n"/>
      <c r="AV113" s="16" t="n"/>
      <c r="AW113" s="138" t="n"/>
      <c r="AX113" s="16" t="n"/>
      <c r="AY113" s="138" t="n"/>
      <c r="AZ113" s="16">
        <f>AF113+AH113+AJ113+AL113+AN113+AP113+AR113+AT113+AV113+AX113</f>
        <v/>
      </c>
      <c r="BA113" s="16" t="n"/>
      <c r="BB113" s="139" t="n"/>
      <c r="BC113" s="16" t="n"/>
      <c r="BD113" s="139" t="n"/>
      <c r="BE113" s="16">
        <f>(BA113+BC113)</f>
        <v/>
      </c>
    </row>
    <row r="114" ht="22.5" customFormat="1" customHeight="1" s="8">
      <c r="A114" s="9" t="n"/>
      <c r="B114" s="141" t="inlineStr">
        <is>
          <t>CABLE</t>
        </is>
      </c>
      <c r="C114" s="137" t="inlineStr">
        <is>
          <t>DX3000</t>
        </is>
      </c>
      <c r="D114" s="62" t="inlineStr">
        <is>
          <t>하네스 7번</t>
        </is>
      </c>
      <c r="E114" s="20" t="inlineStr">
        <is>
          <t>마그네틱보드 연결 4핀</t>
        </is>
      </c>
      <c r="F114" s="100" t="n"/>
      <c r="G114" s="22" t="n"/>
      <c r="H114" s="22" t="inlineStr">
        <is>
          <t>HLP</t>
        </is>
      </c>
      <c r="I114" s="14" t="n"/>
      <c r="J114" s="14" t="n"/>
      <c r="K114" s="12" t="n">
        <v>0</v>
      </c>
      <c r="L114" s="9" t="n"/>
      <c r="M114" s="9" t="n"/>
      <c r="N114" s="9" t="n"/>
      <c r="O114" s="40">
        <f>K114+V114-AE114-AZ114</f>
        <v/>
      </c>
      <c r="P114" s="12" t="n"/>
      <c r="Q114" s="138" t="n"/>
      <c r="R114" s="16" t="n"/>
      <c r="S114" s="139" t="n"/>
      <c r="T114" s="16" t="n"/>
      <c r="U114" s="139" t="n"/>
      <c r="V114" s="16">
        <f>P114+R114+T114</f>
        <v/>
      </c>
      <c r="W114" s="16" t="n"/>
      <c r="X114" s="139" t="n"/>
      <c r="Y114" s="16" t="n"/>
      <c r="Z114" s="139" t="n"/>
      <c r="AA114" s="16" t="n"/>
      <c r="AB114" s="139" t="n"/>
      <c r="AC114" s="16" t="n"/>
      <c r="AD114" s="139" t="n"/>
      <c r="AE114" s="16">
        <f>(W114+Y114+AA114+AC114)</f>
        <v/>
      </c>
      <c r="AF114" s="140" t="n"/>
      <c r="AG114" s="138" t="n"/>
      <c r="AH114" s="16" t="n"/>
      <c r="AI114" s="138" t="n"/>
      <c r="AJ114" s="16" t="n"/>
      <c r="AK114" s="138" t="n"/>
      <c r="AL114" s="16" t="n"/>
      <c r="AM114" s="138" t="n"/>
      <c r="AN114" s="16" t="n"/>
      <c r="AO114" s="138" t="n"/>
      <c r="AP114" s="16" t="n"/>
      <c r="AQ114" s="138" t="n"/>
      <c r="AR114" s="16" t="n"/>
      <c r="AS114" s="138" t="n"/>
      <c r="AT114" s="16" t="n"/>
      <c r="AU114" s="138" t="n"/>
      <c r="AV114" s="16" t="n"/>
      <c r="AW114" s="138" t="n"/>
      <c r="AX114" s="16" t="n"/>
      <c r="AY114" s="138" t="n"/>
      <c r="AZ114" s="16">
        <f>AF114+AH114+AJ114+AL114+AN114+AP114+AR114+AT114+AV114+AX114</f>
        <v/>
      </c>
      <c r="BA114" s="16" t="n"/>
      <c r="BB114" s="139" t="n"/>
      <c r="BC114" s="16" t="n"/>
      <c r="BD114" s="139" t="n"/>
      <c r="BE114" s="16">
        <f>(BA114+BC114)</f>
        <v/>
      </c>
    </row>
    <row r="115" ht="22.5" customFormat="1" customHeight="1" s="8">
      <c r="A115" s="9" t="n"/>
      <c r="B115" s="141" t="inlineStr">
        <is>
          <t>CABLE</t>
        </is>
      </c>
      <c r="C115" s="137" t="inlineStr">
        <is>
          <t>DX3000</t>
        </is>
      </c>
      <c r="D115" s="62" t="inlineStr">
        <is>
          <t>하네스 8번</t>
        </is>
      </c>
      <c r="E115" s="20" t="inlineStr">
        <is>
          <t>CJ4003 잭 (관전류 짹 + 2핀케이블)</t>
        </is>
      </c>
      <c r="F115" s="100" t="n"/>
      <c r="G115" s="22" t="n"/>
      <c r="H115" s="22" t="inlineStr">
        <is>
          <t>HLP</t>
        </is>
      </c>
      <c r="I115" s="14" t="n"/>
      <c r="J115" s="14" t="n"/>
      <c r="K115" s="12" t="n">
        <v>98</v>
      </c>
      <c r="L115" s="9" t="n"/>
      <c r="M115" s="9" t="n"/>
      <c r="N115" s="9" t="n"/>
      <c r="O115" s="40">
        <f>K115+V115-AE115-AZ115</f>
        <v/>
      </c>
      <c r="P115" s="12" t="n"/>
      <c r="Q115" s="138" t="n"/>
      <c r="R115" s="16" t="n"/>
      <c r="S115" s="139" t="n"/>
      <c r="T115" s="16" t="n"/>
      <c r="U115" s="139" t="n"/>
      <c r="V115" s="16">
        <f>P115+R115+T115</f>
        <v/>
      </c>
      <c r="W115" s="16" t="n"/>
      <c r="X115" s="139" t="n"/>
      <c r="Y115" s="16" t="n"/>
      <c r="Z115" s="139" t="n"/>
      <c r="AA115" s="16" t="n"/>
      <c r="AB115" s="139" t="n"/>
      <c r="AC115" s="16" t="n"/>
      <c r="AD115" s="139" t="n"/>
      <c r="AE115" s="16">
        <f>(W115+Y115+AA115+AC115)</f>
        <v/>
      </c>
      <c r="AF115" s="140" t="n"/>
      <c r="AG115" s="138" t="n"/>
      <c r="AH115" s="16" t="n"/>
      <c r="AI115" s="138" t="n"/>
      <c r="AJ115" s="16" t="n"/>
      <c r="AK115" s="138" t="n"/>
      <c r="AL115" s="16" t="n"/>
      <c r="AM115" s="138" t="n"/>
      <c r="AN115" s="16" t="n"/>
      <c r="AO115" s="138" t="n"/>
      <c r="AP115" s="16" t="n"/>
      <c r="AQ115" s="138" t="n"/>
      <c r="AR115" s="16" t="n"/>
      <c r="AS115" s="138" t="n"/>
      <c r="AT115" s="16" t="n"/>
      <c r="AU115" s="138" t="n"/>
      <c r="AV115" s="16" t="n"/>
      <c r="AW115" s="138" t="n"/>
      <c r="AX115" s="16" t="n"/>
      <c r="AY115" s="138" t="n"/>
      <c r="AZ115" s="16">
        <f>AF115+AH115+AJ115+AL115+AN115+AP115+AR115+AT115+AV115+AX115</f>
        <v/>
      </c>
      <c r="BA115" s="16" t="n"/>
      <c r="BB115" s="139" t="n"/>
      <c r="BC115" s="16" t="n"/>
      <c r="BD115" s="139" t="n"/>
      <c r="BE115" s="16">
        <f>(BA115+BC115)</f>
        <v/>
      </c>
    </row>
    <row r="116" ht="22.5" customFormat="1" customHeight="1" s="8">
      <c r="A116" s="9" t="n"/>
      <c r="B116" s="141" t="inlineStr">
        <is>
          <t>ABS 난연</t>
        </is>
      </c>
      <c r="C116" s="137" t="inlineStr">
        <is>
          <t>DX3000</t>
        </is>
      </c>
      <c r="D116" s="62" t="inlineStr">
        <is>
          <t>LCD GUIDE</t>
        </is>
      </c>
      <c r="E116" s="36" t="inlineStr">
        <is>
          <t>ABS 난연 화이트</t>
        </is>
      </c>
      <c r="F116" s="100" t="n"/>
      <c r="G116" s="22" t="n"/>
      <c r="H116" s="22" t="inlineStr">
        <is>
          <t>천우</t>
        </is>
      </c>
      <c r="I116" s="14" t="n"/>
      <c r="J116" s="14" t="n"/>
      <c r="K116" s="12" t="n">
        <v>340</v>
      </c>
      <c r="L116" s="9" t="n"/>
      <c r="M116" s="9" t="n"/>
      <c r="N116" s="9" t="n"/>
      <c r="O116" s="40">
        <f>K116+V116-AE116-AZ116</f>
        <v/>
      </c>
      <c r="P116" s="12" t="n"/>
      <c r="Q116" s="138" t="n"/>
      <c r="R116" s="16" t="n"/>
      <c r="S116" s="139" t="n"/>
      <c r="T116" s="16" t="n"/>
      <c r="U116" s="139" t="n"/>
      <c r="V116" s="16">
        <f>P116+R116+T116</f>
        <v/>
      </c>
      <c r="W116" s="16" t="n"/>
      <c r="X116" s="139" t="n"/>
      <c r="Y116" s="16" t="n"/>
      <c r="Z116" s="139" t="n"/>
      <c r="AA116" s="16" t="n"/>
      <c r="AB116" s="139" t="n"/>
      <c r="AC116" s="16" t="n"/>
      <c r="AD116" s="139" t="n"/>
      <c r="AE116" s="16">
        <f>(W116+Y116+AA116+AC116)</f>
        <v/>
      </c>
      <c r="AF116" s="140" t="n"/>
      <c r="AG116" s="138" t="n"/>
      <c r="AH116" s="16" t="n"/>
      <c r="AI116" s="138" t="n"/>
      <c r="AJ116" s="16" t="n"/>
      <c r="AK116" s="138" t="n"/>
      <c r="AL116" s="16" t="n"/>
      <c r="AM116" s="138" t="n"/>
      <c r="AN116" s="16" t="n"/>
      <c r="AO116" s="138" t="n"/>
      <c r="AP116" s="16" t="n"/>
      <c r="AQ116" s="138" t="n"/>
      <c r="AR116" s="16" t="n"/>
      <c r="AS116" s="138" t="n"/>
      <c r="AT116" s="16" t="n"/>
      <c r="AU116" s="138" t="n"/>
      <c r="AV116" s="16" t="n"/>
      <c r="AW116" s="138" t="n"/>
      <c r="AX116" s="16" t="n"/>
      <c r="AY116" s="138" t="n"/>
      <c r="AZ116" s="16">
        <f>AF116+AH116+AJ116+AL116+AN116+AP116+AR116+AT116+AV116+AX116</f>
        <v/>
      </c>
      <c r="BA116" s="16" t="n"/>
      <c r="BB116" s="139" t="n"/>
      <c r="BC116" s="16" t="n"/>
      <c r="BD116" s="139" t="n"/>
      <c r="BE116" s="16">
        <f>(BA116+BC116)</f>
        <v/>
      </c>
    </row>
    <row r="117" ht="22.5" customFormat="1" customHeight="1" s="8">
      <c r="A117" s="9" t="n"/>
      <c r="B117" s="141" t="inlineStr">
        <is>
          <t>ABS 난연</t>
        </is>
      </c>
      <c r="C117" s="137" t="inlineStr">
        <is>
          <t>DX3000</t>
        </is>
      </c>
      <c r="D117" s="103" t="inlineStr">
        <is>
          <t>LCD GUIDE (사파리)</t>
        </is>
      </c>
      <c r="E117" s="36" t="n"/>
      <c r="F117" s="100" t="n"/>
      <c r="G117" s="22" t="n"/>
      <c r="H117" s="22" t="inlineStr">
        <is>
          <t>HLP</t>
        </is>
      </c>
      <c r="I117" s="14" t="n"/>
      <c r="J117" s="14" t="n"/>
      <c r="K117" s="12" t="n">
        <v>247</v>
      </c>
      <c r="L117" s="9" t="n"/>
      <c r="M117" s="9" t="n"/>
      <c r="N117" s="9" t="n"/>
      <c r="O117" s="40">
        <f>K117+V117-AE117-AZ117</f>
        <v/>
      </c>
      <c r="P117" s="12" t="n"/>
      <c r="Q117" s="138" t="n"/>
      <c r="R117" s="16" t="n"/>
      <c r="S117" s="139" t="n"/>
      <c r="T117" s="16" t="n"/>
      <c r="U117" s="139" t="n"/>
      <c r="V117" s="16">
        <f>P117+R117+T117</f>
        <v/>
      </c>
      <c r="W117" s="16" t="n"/>
      <c r="X117" s="139" t="n"/>
      <c r="Y117" s="16" t="n"/>
      <c r="Z117" s="139" t="n"/>
      <c r="AA117" s="16" t="n"/>
      <c r="AB117" s="139" t="n"/>
      <c r="AC117" s="16" t="n"/>
      <c r="AD117" s="139" t="n"/>
      <c r="AE117" s="16">
        <f>(W117+Y117+AA117+AC117)</f>
        <v/>
      </c>
      <c r="AF117" s="140" t="n"/>
      <c r="AG117" s="138" t="n"/>
      <c r="AH117" s="16" t="n"/>
      <c r="AI117" s="138" t="n"/>
      <c r="AJ117" s="16" t="n"/>
      <c r="AK117" s="138" t="n"/>
      <c r="AL117" s="16" t="n"/>
      <c r="AM117" s="138" t="n"/>
      <c r="AN117" s="16" t="n"/>
      <c r="AO117" s="138" t="n"/>
      <c r="AP117" s="16" t="n"/>
      <c r="AQ117" s="138" t="n"/>
      <c r="AR117" s="16" t="n"/>
      <c r="AS117" s="138" t="n"/>
      <c r="AT117" s="16" t="n"/>
      <c r="AU117" s="138" t="n"/>
      <c r="AV117" s="16" t="n"/>
      <c r="AW117" s="138" t="n"/>
      <c r="AX117" s="16" t="n"/>
      <c r="AY117" s="138" t="n"/>
      <c r="AZ117" s="16">
        <f>AF117+AH117+AJ117+AL117+AN117+AP117+AR117+AT117+AV117+AX117</f>
        <v/>
      </c>
      <c r="BA117" s="16" t="n"/>
      <c r="BB117" s="139" t="n"/>
      <c r="BC117" s="16" t="n"/>
      <c r="BD117" s="139" t="n"/>
      <c r="BE117" s="16">
        <f>(BA117+BC117)</f>
        <v/>
      </c>
    </row>
    <row r="118" ht="22.5" customFormat="1" customHeight="1" s="8">
      <c r="A118" s="9" t="n"/>
      <c r="B118" s="141" t="inlineStr">
        <is>
          <t>ABS 난연</t>
        </is>
      </c>
      <c r="C118" s="137" t="inlineStr">
        <is>
          <t>DX3000</t>
        </is>
      </c>
      <c r="D118" s="62" t="inlineStr">
        <is>
          <t>FRONT COVER (듀얼 슬라이드)</t>
        </is>
      </c>
      <c r="E118" s="36" t="inlineStr">
        <is>
          <t>ABS 난연 블랙</t>
        </is>
      </c>
      <c r="F118" s="100" t="n"/>
      <c r="G118" s="22" t="n"/>
      <c r="H118" s="22" t="inlineStr">
        <is>
          <t>천우</t>
        </is>
      </c>
      <c r="I118" s="14" t="n"/>
      <c r="J118" s="14" t="n"/>
      <c r="K118" s="12" t="n">
        <v>302</v>
      </c>
      <c r="L118" s="9" t="n"/>
      <c r="M118" s="9" t="n"/>
      <c r="N118" s="9" t="n"/>
      <c r="O118" s="40">
        <f>K118+V118-AE118-AZ118</f>
        <v/>
      </c>
      <c r="P118" s="12" t="n"/>
      <c r="Q118" s="138" t="n"/>
      <c r="R118" s="16" t="n"/>
      <c r="S118" s="139" t="n"/>
      <c r="T118" s="16" t="n"/>
      <c r="U118" s="139" t="n"/>
      <c r="V118" s="16">
        <f>P118+R118+T118</f>
        <v/>
      </c>
      <c r="W118" s="16" t="n"/>
      <c r="X118" s="139" t="n"/>
      <c r="Y118" s="16" t="n"/>
      <c r="Z118" s="139" t="n"/>
      <c r="AA118" s="16" t="n"/>
      <c r="AB118" s="139" t="n"/>
      <c r="AC118" s="16" t="n"/>
      <c r="AD118" s="139" t="n"/>
      <c r="AE118" s="16">
        <f>(W118+Y118+AA118+AC118)</f>
        <v/>
      </c>
      <c r="AF118" s="140" t="n"/>
      <c r="AG118" s="138" t="n"/>
      <c r="AH118" s="16" t="n"/>
      <c r="AI118" s="138" t="n"/>
      <c r="AJ118" s="16" t="n"/>
      <c r="AK118" s="138" t="n"/>
      <c r="AL118" s="16" t="n"/>
      <c r="AM118" s="138" t="n"/>
      <c r="AN118" s="16" t="n"/>
      <c r="AO118" s="138" t="n"/>
      <c r="AP118" s="16" t="n"/>
      <c r="AQ118" s="138" t="n"/>
      <c r="AR118" s="16" t="n"/>
      <c r="AS118" s="138" t="n"/>
      <c r="AT118" s="16" t="n"/>
      <c r="AU118" s="138" t="n"/>
      <c r="AV118" s="16" t="n"/>
      <c r="AW118" s="138" t="n"/>
      <c r="AX118" s="16" t="n"/>
      <c r="AY118" s="138" t="n"/>
      <c r="AZ118" s="16">
        <f>AF118+AH118+AJ118+AL118+AN118+AP118+AR118+AT118+AV118+AX118</f>
        <v/>
      </c>
      <c r="BA118" s="16" t="n"/>
      <c r="BB118" s="139" t="n"/>
      <c r="BC118" s="16" t="n"/>
      <c r="BD118" s="139" t="n"/>
      <c r="BE118" s="16">
        <f>(BA118+BC118)</f>
        <v/>
      </c>
    </row>
    <row r="119" ht="22.5" customFormat="1" customHeight="1" s="8">
      <c r="A119" s="9" t="n"/>
      <c r="B119" s="141" t="inlineStr">
        <is>
          <t>ABS 난연</t>
        </is>
      </c>
      <c r="C119" s="137" t="inlineStr">
        <is>
          <t>DX3000</t>
        </is>
      </c>
      <c r="D119" s="62" t="inlineStr">
        <is>
          <t>FRONT COVER (듀얼 슬라이드)</t>
        </is>
      </c>
      <c r="E119" s="36" t="inlineStr">
        <is>
          <t>ABS 난연 블랙 (홀작업 완료)</t>
        </is>
      </c>
      <c r="F119" s="100" t="n"/>
      <c r="G119" s="22" t="n"/>
      <c r="H119" s="22" t="inlineStr">
        <is>
          <t>천우</t>
        </is>
      </c>
      <c r="I119" s="14" t="n"/>
      <c r="J119" s="14" t="n"/>
      <c r="K119" s="12" t="n">
        <v>0</v>
      </c>
      <c r="L119" s="9" t="n"/>
      <c r="M119" s="9" t="n"/>
      <c r="N119" s="9" t="n"/>
      <c r="O119" s="40">
        <f>K119+V119-AE119-AZ119</f>
        <v/>
      </c>
      <c r="P119" s="12" t="n"/>
      <c r="Q119" s="138" t="n"/>
      <c r="R119" s="16" t="n"/>
      <c r="S119" s="139" t="n"/>
      <c r="T119" s="16" t="n"/>
      <c r="U119" s="139" t="n"/>
      <c r="V119" s="16">
        <f>P119+R119+T119</f>
        <v/>
      </c>
      <c r="W119" s="16" t="n"/>
      <c r="X119" s="139" t="n"/>
      <c r="Y119" s="16" t="n"/>
      <c r="Z119" s="139" t="n"/>
      <c r="AA119" s="16" t="n"/>
      <c r="AB119" s="139" t="n"/>
      <c r="AC119" s="16" t="n"/>
      <c r="AD119" s="139" t="n"/>
      <c r="AE119" s="16">
        <f>(W119+Y119+AA119+AC119)</f>
        <v/>
      </c>
      <c r="AF119" s="140" t="n"/>
      <c r="AG119" s="138" t="n"/>
      <c r="AH119" s="16" t="n"/>
      <c r="AI119" s="138" t="n"/>
      <c r="AJ119" s="16" t="n"/>
      <c r="AK119" s="138" t="n"/>
      <c r="AL119" s="16" t="n"/>
      <c r="AM119" s="138" t="n"/>
      <c r="AN119" s="16" t="n"/>
      <c r="AO119" s="138" t="n"/>
      <c r="AP119" s="16" t="n"/>
      <c r="AQ119" s="138" t="n"/>
      <c r="AR119" s="16" t="n"/>
      <c r="AS119" s="138" t="n"/>
      <c r="AT119" s="16" t="n"/>
      <c r="AU119" s="138" t="n"/>
      <c r="AV119" s="16" t="n"/>
      <c r="AW119" s="138" t="n"/>
      <c r="AX119" s="16" t="n"/>
      <c r="AY119" s="138" t="n"/>
      <c r="AZ119" s="16">
        <f>AF119+AH119+AJ119+AL119+AN119+AP119+AR119+AT119+AV119+AX119</f>
        <v/>
      </c>
      <c r="BA119" s="16" t="n"/>
      <c r="BB119" s="139" t="n"/>
      <c r="BC119" s="16" t="n"/>
      <c r="BD119" s="139" t="n"/>
      <c r="BE119" s="16">
        <f>(BA119+BC119)</f>
        <v/>
      </c>
    </row>
    <row r="120" ht="22.5" customFormat="1" customHeight="1" s="8">
      <c r="A120" s="9" t="n"/>
      <c r="B120" s="141" t="inlineStr">
        <is>
          <t>ABS 난연</t>
        </is>
      </c>
      <c r="C120" s="137" t="inlineStr">
        <is>
          <t>DX3000</t>
        </is>
      </c>
      <c r="D120" s="62" t="inlineStr">
        <is>
          <t>FRONT COVER (듀얼 슬라이드)</t>
        </is>
      </c>
      <c r="E120" s="36" t="inlineStr">
        <is>
          <t>ABS 난연 화이트</t>
        </is>
      </c>
      <c r="F120" s="100" t="n"/>
      <c r="G120" s="22" t="n"/>
      <c r="H120" s="22" t="inlineStr">
        <is>
          <t>천우</t>
        </is>
      </c>
      <c r="I120" s="14" t="n"/>
      <c r="J120" s="14" t="n"/>
      <c r="K120" s="12" t="n">
        <v>306</v>
      </c>
      <c r="L120" s="9" t="n"/>
      <c r="M120" s="9" t="n"/>
      <c r="N120" s="9" t="n"/>
      <c r="O120" s="40">
        <f>K120+V120-AE120-AZ120</f>
        <v/>
      </c>
      <c r="P120" s="12" t="n"/>
      <c r="Q120" s="138" t="n"/>
      <c r="R120" s="16" t="n"/>
      <c r="S120" s="139" t="n"/>
      <c r="T120" s="16" t="n"/>
      <c r="U120" s="139" t="n"/>
      <c r="V120" s="16">
        <f>P120+R120+T120</f>
        <v/>
      </c>
      <c r="W120" s="16" t="n"/>
      <c r="X120" s="139" t="n"/>
      <c r="Y120" s="16" t="n"/>
      <c r="Z120" s="139" t="n"/>
      <c r="AA120" s="16" t="n"/>
      <c r="AB120" s="139" t="n"/>
      <c r="AC120" s="16" t="n"/>
      <c r="AD120" s="139" t="n"/>
      <c r="AE120" s="16">
        <f>(W120+Y120+AA120+AC120)</f>
        <v/>
      </c>
      <c r="AF120" s="140" t="n"/>
      <c r="AG120" s="138" t="n"/>
      <c r="AH120" s="16" t="n"/>
      <c r="AI120" s="138" t="n"/>
      <c r="AJ120" s="16" t="n"/>
      <c r="AK120" s="138" t="n"/>
      <c r="AL120" s="16" t="n"/>
      <c r="AM120" s="138" t="n"/>
      <c r="AN120" s="16" t="n"/>
      <c r="AO120" s="138" t="n"/>
      <c r="AP120" s="16" t="n"/>
      <c r="AQ120" s="138" t="n"/>
      <c r="AR120" s="16" t="n"/>
      <c r="AS120" s="138" t="n"/>
      <c r="AT120" s="16" t="n"/>
      <c r="AU120" s="138" t="n"/>
      <c r="AV120" s="16" t="n"/>
      <c r="AW120" s="138" t="n"/>
      <c r="AX120" s="16" t="n"/>
      <c r="AY120" s="138" t="n"/>
      <c r="AZ120" s="16">
        <f>AF120+AH120+AJ120+AL120+AN120+AP120+AR120+AT120+AV120+AX120</f>
        <v/>
      </c>
      <c r="BA120" s="16" t="n"/>
      <c r="BB120" s="139" t="n"/>
      <c r="BC120" s="16" t="n"/>
      <c r="BD120" s="139" t="n"/>
      <c r="BE120" s="16">
        <f>(BA120+BC120)</f>
        <v/>
      </c>
    </row>
    <row r="121" ht="22.5" customFormat="1" customHeight="1" s="8">
      <c r="A121" s="9" t="n"/>
      <c r="B121" s="141" t="inlineStr">
        <is>
          <t>ABS 난연</t>
        </is>
      </c>
      <c r="C121" s="137" t="inlineStr">
        <is>
          <t>DX3000</t>
        </is>
      </c>
      <c r="D121" s="62" t="inlineStr">
        <is>
          <t>REAR COVER</t>
        </is>
      </c>
      <c r="E121" s="36" t="inlineStr">
        <is>
          <t>ABS 난연 블랙</t>
        </is>
      </c>
      <c r="F121" s="100" t="n"/>
      <c r="G121" s="22" t="n"/>
      <c r="H121" s="22" t="inlineStr">
        <is>
          <t>천우</t>
        </is>
      </c>
      <c r="I121" s="14" t="n"/>
      <c r="J121" s="14" t="n"/>
      <c r="K121" s="12" t="n">
        <v>40</v>
      </c>
      <c r="L121" s="9" t="n"/>
      <c r="M121" s="9" t="n"/>
      <c r="N121" s="9" t="n"/>
      <c r="O121" s="40">
        <f>K121+V121-AE121-AZ121</f>
        <v/>
      </c>
      <c r="P121" s="12" t="n"/>
      <c r="Q121" s="138" t="n"/>
      <c r="R121" s="16" t="n"/>
      <c r="S121" s="139" t="n"/>
      <c r="T121" s="16" t="n"/>
      <c r="U121" s="139" t="n"/>
      <c r="V121" s="16">
        <f>P121+R121+T121</f>
        <v/>
      </c>
      <c r="W121" s="16" t="n"/>
      <c r="X121" s="139" t="n"/>
      <c r="Y121" s="16" t="n"/>
      <c r="Z121" s="139" t="n"/>
      <c r="AA121" s="16" t="n"/>
      <c r="AB121" s="139" t="n"/>
      <c r="AC121" s="16" t="n"/>
      <c r="AD121" s="139" t="n"/>
      <c r="AE121" s="16">
        <f>(W121+Y121+AA121+AC121)</f>
        <v/>
      </c>
      <c r="AF121" s="140" t="n"/>
      <c r="AG121" s="138" t="n"/>
      <c r="AH121" s="16" t="n"/>
      <c r="AI121" s="138" t="n"/>
      <c r="AJ121" s="16" t="n"/>
      <c r="AK121" s="138" t="n"/>
      <c r="AL121" s="16" t="n"/>
      <c r="AM121" s="138" t="n"/>
      <c r="AN121" s="16" t="n"/>
      <c r="AO121" s="138" t="n"/>
      <c r="AP121" s="16" t="n"/>
      <c r="AQ121" s="138" t="n"/>
      <c r="AR121" s="16" t="n"/>
      <c r="AS121" s="138" t="n"/>
      <c r="AT121" s="16" t="n"/>
      <c r="AU121" s="138" t="n"/>
      <c r="AV121" s="16" t="n"/>
      <c r="AW121" s="138" t="n"/>
      <c r="AX121" s="16" t="n"/>
      <c r="AY121" s="138" t="n"/>
      <c r="AZ121" s="16">
        <f>AF121+AH121+AJ121+AL121+AN121+AP121+AR121+AT121+AV121+AX121</f>
        <v/>
      </c>
      <c r="BA121" s="16" t="n"/>
      <c r="BB121" s="139" t="n"/>
      <c r="BC121" s="16" t="n"/>
      <c r="BD121" s="139" t="n"/>
      <c r="BE121" s="16">
        <f>(BA121+BC121)</f>
        <v/>
      </c>
    </row>
    <row r="122" ht="22.5" customFormat="1" customHeight="1" s="8">
      <c r="A122" s="9" t="n"/>
      <c r="B122" s="141" t="inlineStr">
        <is>
          <t>ABS 난연</t>
        </is>
      </c>
      <c r="C122" s="137" t="inlineStr">
        <is>
          <t>DX3000</t>
        </is>
      </c>
      <c r="D122" s="62" t="inlineStr">
        <is>
          <t>REAR COVER</t>
        </is>
      </c>
      <c r="E122" s="36" t="inlineStr">
        <is>
          <t>ABS 난연 화이트</t>
        </is>
      </c>
      <c r="F122" s="100" t="n"/>
      <c r="G122" s="22" t="n"/>
      <c r="H122" s="22" t="inlineStr">
        <is>
          <t>천우</t>
        </is>
      </c>
      <c r="I122" s="14" t="n"/>
      <c r="J122" s="14" t="n"/>
      <c r="K122" s="12" t="n">
        <v>372</v>
      </c>
      <c r="L122" s="9" t="n"/>
      <c r="M122" s="9" t="n"/>
      <c r="N122" s="9" t="n"/>
      <c r="O122" s="40">
        <f>K122+V122-AE122-AZ122</f>
        <v/>
      </c>
      <c r="P122" s="12" t="n"/>
      <c r="Q122" s="138" t="n"/>
      <c r="R122" s="16" t="n"/>
      <c r="S122" s="139" t="n"/>
      <c r="T122" s="16" t="n"/>
      <c r="U122" s="139" t="n"/>
      <c r="V122" s="16">
        <f>P122+R122+T122</f>
        <v/>
      </c>
      <c r="W122" s="16" t="n"/>
      <c r="X122" s="139" t="n"/>
      <c r="Y122" s="16" t="n"/>
      <c r="Z122" s="139" t="n"/>
      <c r="AA122" s="16" t="n"/>
      <c r="AB122" s="139" t="n"/>
      <c r="AC122" s="16" t="n"/>
      <c r="AD122" s="139" t="n"/>
      <c r="AE122" s="16">
        <f>(W122+Y122+AA122+AC122)</f>
        <v/>
      </c>
      <c r="AF122" s="140" t="n"/>
      <c r="AG122" s="138" t="n"/>
      <c r="AH122" s="16" t="n"/>
      <c r="AI122" s="138" t="n"/>
      <c r="AJ122" s="16" t="n"/>
      <c r="AK122" s="138" t="n"/>
      <c r="AL122" s="16" t="n"/>
      <c r="AM122" s="138" t="n"/>
      <c r="AN122" s="16" t="n"/>
      <c r="AO122" s="138" t="n"/>
      <c r="AP122" s="16" t="n"/>
      <c r="AQ122" s="138" t="n"/>
      <c r="AR122" s="16" t="n"/>
      <c r="AS122" s="138" t="n"/>
      <c r="AT122" s="16" t="n"/>
      <c r="AU122" s="138" t="n"/>
      <c r="AV122" s="16" t="n"/>
      <c r="AW122" s="138" t="n"/>
      <c r="AX122" s="16" t="n"/>
      <c r="AY122" s="138" t="n"/>
      <c r="AZ122" s="16">
        <f>AF122+AH122+AJ122+AL122+AN122+AP122+AR122+AT122+AV122+AX122</f>
        <v/>
      </c>
      <c r="BA122" s="16" t="n"/>
      <c r="BB122" s="139" t="n"/>
      <c r="BC122" s="16" t="n"/>
      <c r="BD122" s="139" t="n"/>
      <c r="BE122" s="16">
        <f>(BA122+BC122)</f>
        <v/>
      </c>
    </row>
    <row r="123" ht="22.5" customFormat="1" customHeight="1" s="8">
      <c r="A123" s="9" t="n"/>
      <c r="B123" s="141" t="inlineStr">
        <is>
          <t>ABS 난연</t>
        </is>
      </c>
      <c r="C123" s="137" t="inlineStr">
        <is>
          <t>DX3000</t>
        </is>
      </c>
      <c r="D123" s="62" t="inlineStr">
        <is>
          <t>BATTERY COVER</t>
        </is>
      </c>
      <c r="E123" s="36" t="inlineStr">
        <is>
          <t>ABS 난연 블랙 + 블랙</t>
        </is>
      </c>
      <c r="F123" s="100" t="n"/>
      <c r="G123" s="22" t="n"/>
      <c r="H123" s="22" t="inlineStr">
        <is>
          <t>천우</t>
        </is>
      </c>
      <c r="I123" s="14" t="n"/>
      <c r="J123" s="14" t="n"/>
      <c r="K123" s="12" t="n">
        <v>525</v>
      </c>
      <c r="L123" s="9" t="n"/>
      <c r="M123" s="9" t="n"/>
      <c r="N123" s="9" t="n"/>
      <c r="O123" s="40">
        <f>K123+V123-AE123-AZ123</f>
        <v/>
      </c>
      <c r="P123" s="12" t="n"/>
      <c r="Q123" s="138" t="n"/>
      <c r="R123" s="16" t="n"/>
      <c r="S123" s="139" t="n"/>
      <c r="T123" s="16" t="n"/>
      <c r="U123" s="139" t="n"/>
      <c r="V123" s="16">
        <f>P123+R123+T123</f>
        <v/>
      </c>
      <c r="W123" s="16" t="n"/>
      <c r="X123" s="139" t="n"/>
      <c r="Y123" s="16" t="n"/>
      <c r="Z123" s="139" t="n"/>
      <c r="AA123" s="16" t="n"/>
      <c r="AB123" s="139" t="n"/>
      <c r="AC123" s="16" t="n"/>
      <c r="AD123" s="139" t="n"/>
      <c r="AE123" s="16">
        <f>(W123+Y123+AA123+AC123)</f>
        <v/>
      </c>
      <c r="AF123" s="140" t="n"/>
      <c r="AG123" s="138" t="n"/>
      <c r="AH123" s="16" t="n"/>
      <c r="AI123" s="138" t="n"/>
      <c r="AJ123" s="16" t="n"/>
      <c r="AK123" s="138" t="n"/>
      <c r="AL123" s="16" t="n"/>
      <c r="AM123" s="138" t="n"/>
      <c r="AN123" s="16" t="n"/>
      <c r="AO123" s="138" t="n"/>
      <c r="AP123" s="16" t="n"/>
      <c r="AQ123" s="138" t="n"/>
      <c r="AR123" s="16" t="n"/>
      <c r="AS123" s="138" t="n"/>
      <c r="AT123" s="16" t="n"/>
      <c r="AU123" s="138" t="n"/>
      <c r="AV123" s="16" t="n"/>
      <c r="AW123" s="138" t="n"/>
      <c r="AX123" s="16" t="n"/>
      <c r="AY123" s="138" t="n"/>
      <c r="AZ123" s="16">
        <f>AF123+AH123+AJ123+AL123+AN123+AP123+AR123+AT123+AV123+AX123</f>
        <v/>
      </c>
      <c r="BA123" s="16" t="n"/>
      <c r="BB123" s="139" t="n"/>
      <c r="BC123" s="16" t="n"/>
      <c r="BD123" s="139" t="n"/>
      <c r="BE123" s="16">
        <f>(BA123+BC123)</f>
        <v/>
      </c>
    </row>
    <row r="124" ht="22.5" customFormat="1" customHeight="1" s="8">
      <c r="A124" s="9" t="n"/>
      <c r="B124" s="141" t="inlineStr">
        <is>
          <t>ABS 난연</t>
        </is>
      </c>
      <c r="C124" s="137" t="inlineStr">
        <is>
          <t>DX3000</t>
        </is>
      </c>
      <c r="D124" s="62" t="inlineStr">
        <is>
          <t>BATTERY COVER</t>
        </is>
      </c>
      <c r="E124" s="36" t="inlineStr">
        <is>
          <t>ABS 난연 화이트</t>
        </is>
      </c>
      <c r="F124" s="100" t="n"/>
      <c r="G124" s="22" t="n"/>
      <c r="H124" s="22" t="inlineStr">
        <is>
          <t>천우</t>
        </is>
      </c>
      <c r="I124" s="14" t="n"/>
      <c r="J124" s="14" t="n"/>
      <c r="K124" s="12" t="n">
        <v>0</v>
      </c>
      <c r="L124" s="9" t="n"/>
      <c r="M124" s="9" t="n"/>
      <c r="N124" s="9" t="n"/>
      <c r="O124" s="40">
        <f>K124+V124-AE124-AZ124</f>
        <v/>
      </c>
      <c r="P124" s="12" t="n"/>
      <c r="Q124" s="138" t="n"/>
      <c r="R124" s="16" t="n"/>
      <c r="S124" s="139" t="n"/>
      <c r="T124" s="16" t="n"/>
      <c r="U124" s="139" t="n"/>
      <c r="V124" s="16">
        <f>P124+R124+T124</f>
        <v/>
      </c>
      <c r="W124" s="16" t="n"/>
      <c r="X124" s="139" t="n"/>
      <c r="Y124" s="16" t="n"/>
      <c r="Z124" s="139" t="n"/>
      <c r="AA124" s="16" t="n"/>
      <c r="AB124" s="139" t="n"/>
      <c r="AC124" s="16" t="n"/>
      <c r="AD124" s="139" t="n"/>
      <c r="AE124" s="16">
        <f>(W124+Y124+AA124+AC124)</f>
        <v/>
      </c>
      <c r="AF124" s="140" t="n"/>
      <c r="AG124" s="138" t="n"/>
      <c r="AH124" s="16" t="n"/>
      <c r="AI124" s="138" t="n"/>
      <c r="AJ124" s="16" t="n"/>
      <c r="AK124" s="138" t="n"/>
      <c r="AL124" s="16" t="n"/>
      <c r="AM124" s="138" t="n"/>
      <c r="AN124" s="16" t="n"/>
      <c r="AO124" s="138" t="n"/>
      <c r="AP124" s="16" t="n"/>
      <c r="AQ124" s="138" t="n"/>
      <c r="AR124" s="16" t="n"/>
      <c r="AS124" s="138" t="n"/>
      <c r="AT124" s="16" t="n"/>
      <c r="AU124" s="138" t="n"/>
      <c r="AV124" s="16" t="n"/>
      <c r="AW124" s="138" t="n"/>
      <c r="AX124" s="16" t="n"/>
      <c r="AY124" s="138" t="n"/>
      <c r="AZ124" s="16">
        <f>AF124+AH124+AJ124+AL124+AN124+AP124+AR124+AT124+AV124+AX124</f>
        <v/>
      </c>
      <c r="BA124" s="16" t="n"/>
      <c r="BB124" s="139" t="n"/>
      <c r="BC124" s="16" t="n"/>
      <c r="BD124" s="139" t="n"/>
      <c r="BE124" s="16">
        <f>(BA124+BC124)</f>
        <v/>
      </c>
    </row>
    <row r="125" ht="22.5" customFormat="1" customHeight="1" s="8">
      <c r="A125" s="9" t="n"/>
      <c r="B125" s="141" t="inlineStr">
        <is>
          <t>ABS 난연</t>
        </is>
      </c>
      <c r="C125" s="137" t="inlineStr">
        <is>
          <t>DX3000</t>
        </is>
      </c>
      <c r="D125" s="62" t="inlineStr">
        <is>
          <t>BATTERY COVER</t>
        </is>
      </c>
      <c r="E125" s="36" t="inlineStr">
        <is>
          <t>ABS 난연 화이트 + 진한 회색</t>
        </is>
      </c>
      <c r="F125" s="100" t="n"/>
      <c r="G125" s="22" t="n"/>
      <c r="H125" s="22" t="inlineStr">
        <is>
          <t>천우</t>
        </is>
      </c>
      <c r="I125" s="14" t="n"/>
      <c r="J125" s="14" t="n"/>
      <c r="K125" s="12" t="n">
        <v>2109</v>
      </c>
      <c r="L125" s="9" t="n"/>
      <c r="M125" s="9" t="n"/>
      <c r="N125" s="9" t="n"/>
      <c r="O125" s="40">
        <f>K125+V125-AE125-AZ125</f>
        <v/>
      </c>
      <c r="P125" s="12" t="n"/>
      <c r="Q125" s="138" t="n"/>
      <c r="R125" s="16" t="n"/>
      <c r="S125" s="139" t="n"/>
      <c r="T125" s="16" t="n"/>
      <c r="U125" s="139" t="n"/>
      <c r="V125" s="16">
        <f>P125+R125+T125</f>
        <v/>
      </c>
      <c r="W125" s="16" t="n"/>
      <c r="X125" s="139" t="n"/>
      <c r="Y125" s="16" t="n"/>
      <c r="Z125" s="139" t="n"/>
      <c r="AA125" s="16" t="n"/>
      <c r="AB125" s="139" t="n"/>
      <c r="AC125" s="16" t="n"/>
      <c r="AD125" s="139" t="n"/>
      <c r="AE125" s="16">
        <f>(W125+Y125+AA125+AC125)</f>
        <v/>
      </c>
      <c r="AF125" s="140" t="n"/>
      <c r="AG125" s="138" t="n"/>
      <c r="AH125" s="16" t="n"/>
      <c r="AI125" s="138" t="n"/>
      <c r="AJ125" s="16" t="n"/>
      <c r="AK125" s="138" t="n"/>
      <c r="AL125" s="16" t="n"/>
      <c r="AM125" s="138" t="n"/>
      <c r="AN125" s="16" t="n"/>
      <c r="AO125" s="138" t="n"/>
      <c r="AP125" s="16" t="n"/>
      <c r="AQ125" s="138" t="n"/>
      <c r="AR125" s="16" t="n"/>
      <c r="AS125" s="138" t="n"/>
      <c r="AT125" s="16" t="n"/>
      <c r="AU125" s="138" t="n"/>
      <c r="AV125" s="16" t="n"/>
      <c r="AW125" s="138" t="n"/>
      <c r="AX125" s="16" t="n"/>
      <c r="AY125" s="138" t="n"/>
      <c r="AZ125" s="16">
        <f>AF125+AH125+AJ125+AL125+AN125+AP125+AR125+AT125+AV125+AX125</f>
        <v/>
      </c>
      <c r="BA125" s="16" t="n"/>
      <c r="BB125" s="139" t="n"/>
      <c r="BC125" s="16" t="n"/>
      <c r="BD125" s="139" t="n"/>
      <c r="BE125" s="16">
        <f>(BA125+BC125)</f>
        <v/>
      </c>
    </row>
    <row r="126" ht="22.5" customFormat="1" customHeight="1" s="8">
      <c r="A126" s="9" t="n"/>
      <c r="B126" s="141" t="inlineStr">
        <is>
          <t>ABS 난연</t>
        </is>
      </c>
      <c r="C126" s="137" t="inlineStr">
        <is>
          <t>DX3000</t>
        </is>
      </c>
      <c r="D126" s="62" t="inlineStr">
        <is>
          <t>POWER BUTTON</t>
        </is>
      </c>
      <c r="E126" s="36" t="inlineStr">
        <is>
          <t>ABS 난연 화이트 + 밝은 회색</t>
        </is>
      </c>
      <c r="F126" s="100" t="n"/>
      <c r="G126" s="22" t="n"/>
      <c r="H126" s="22" t="inlineStr">
        <is>
          <t>천우</t>
        </is>
      </c>
      <c r="I126" s="14" t="n"/>
      <c r="J126" s="14" t="n"/>
      <c r="K126" s="12" t="n">
        <v>60</v>
      </c>
      <c r="L126" s="9" t="n"/>
      <c r="M126" s="9" t="n"/>
      <c r="N126" s="9" t="n"/>
      <c r="O126" s="40">
        <f>K126+V126-AE126-AZ126</f>
        <v/>
      </c>
      <c r="P126" s="12" t="n"/>
      <c r="Q126" s="138" t="n"/>
      <c r="R126" s="16" t="n"/>
      <c r="S126" s="139" t="n"/>
      <c r="T126" s="16" t="n"/>
      <c r="U126" s="139" t="n"/>
      <c r="V126" s="16">
        <f>P126+R126+T126</f>
        <v/>
      </c>
      <c r="W126" s="16" t="n"/>
      <c r="X126" s="139" t="n"/>
      <c r="Y126" s="16" t="n"/>
      <c r="Z126" s="139" t="n"/>
      <c r="AA126" s="16" t="n"/>
      <c r="AB126" s="139" t="n"/>
      <c r="AC126" s="16" t="n"/>
      <c r="AD126" s="139" t="n"/>
      <c r="AE126" s="16">
        <f>(W126+Y126+AA126+AC126)</f>
        <v/>
      </c>
      <c r="AF126" s="140" t="n"/>
      <c r="AG126" s="138" t="n"/>
      <c r="AH126" s="16" t="n"/>
      <c r="AI126" s="138" t="n"/>
      <c r="AJ126" s="16" t="n"/>
      <c r="AK126" s="138" t="n"/>
      <c r="AL126" s="16" t="n"/>
      <c r="AM126" s="138" t="n"/>
      <c r="AN126" s="16" t="n"/>
      <c r="AO126" s="138" t="n"/>
      <c r="AP126" s="16" t="n"/>
      <c r="AQ126" s="138" t="n"/>
      <c r="AR126" s="16" t="n"/>
      <c r="AS126" s="138" t="n"/>
      <c r="AT126" s="16" t="n"/>
      <c r="AU126" s="138" t="n"/>
      <c r="AV126" s="16" t="n"/>
      <c r="AW126" s="138" t="n"/>
      <c r="AX126" s="16" t="n"/>
      <c r="AY126" s="138" t="n"/>
      <c r="AZ126" s="16">
        <f>AF126+AH126+AJ126+AL126+AN126+AP126+AR126+AT126+AV126+AX126</f>
        <v/>
      </c>
      <c r="BA126" s="16" t="n"/>
      <c r="BB126" s="139" t="n"/>
      <c r="BC126" s="16" t="n"/>
      <c r="BD126" s="139" t="n"/>
      <c r="BE126" s="16">
        <f>(BA126+BC126)</f>
        <v/>
      </c>
    </row>
    <row r="127" ht="22.5" customFormat="1" customHeight="1" s="8">
      <c r="A127" s="9" t="n"/>
      <c r="B127" s="141" t="inlineStr">
        <is>
          <t>ABS 난연</t>
        </is>
      </c>
      <c r="C127" s="137" t="inlineStr">
        <is>
          <t>DX3000</t>
        </is>
      </c>
      <c r="D127" s="62" t="inlineStr">
        <is>
          <t>EX BUTTON</t>
        </is>
      </c>
      <c r="E127" s="36" t="inlineStr">
        <is>
          <t>ABS 난연 화이트 + 밝은 회색</t>
        </is>
      </c>
      <c r="F127" s="100" t="n"/>
      <c r="G127" s="22" t="n"/>
      <c r="H127" s="22" t="inlineStr">
        <is>
          <t>천우</t>
        </is>
      </c>
      <c r="I127" s="14" t="n"/>
      <c r="J127" s="14" t="n"/>
      <c r="K127" s="12" t="n">
        <v>540</v>
      </c>
      <c r="L127" s="9" t="n"/>
      <c r="M127" s="9" t="n"/>
      <c r="N127" s="9" t="n"/>
      <c r="O127" s="40">
        <f>K127+V127-AE127-AZ127</f>
        <v/>
      </c>
      <c r="P127" s="12" t="n"/>
      <c r="Q127" s="138" t="n"/>
      <c r="R127" s="16" t="n"/>
      <c r="S127" s="139" t="n"/>
      <c r="T127" s="16" t="n"/>
      <c r="U127" s="139" t="n"/>
      <c r="V127" s="16">
        <f>P127+R127+T127</f>
        <v/>
      </c>
      <c r="W127" s="16" t="n"/>
      <c r="X127" s="139" t="n"/>
      <c r="Y127" s="16" t="n"/>
      <c r="Z127" s="139" t="n"/>
      <c r="AA127" s="16" t="n"/>
      <c r="AB127" s="139" t="n"/>
      <c r="AC127" s="16" t="n"/>
      <c r="AD127" s="139" t="n"/>
      <c r="AE127" s="16">
        <f>(W127+Y127+AA127+AC127)</f>
        <v/>
      </c>
      <c r="AF127" s="140" t="n"/>
      <c r="AG127" s="138" t="n"/>
      <c r="AH127" s="16" t="n"/>
      <c r="AI127" s="138" t="n"/>
      <c r="AJ127" s="16" t="n"/>
      <c r="AK127" s="138" t="n"/>
      <c r="AL127" s="16" t="n"/>
      <c r="AM127" s="138" t="n"/>
      <c r="AN127" s="16" t="n"/>
      <c r="AO127" s="138" t="n"/>
      <c r="AP127" s="16" t="n"/>
      <c r="AQ127" s="138" t="n"/>
      <c r="AR127" s="16" t="n"/>
      <c r="AS127" s="138" t="n"/>
      <c r="AT127" s="16" t="n"/>
      <c r="AU127" s="138" t="n"/>
      <c r="AV127" s="16" t="n"/>
      <c r="AW127" s="138" t="n"/>
      <c r="AX127" s="16" t="n"/>
      <c r="AY127" s="138" t="n"/>
      <c r="AZ127" s="16">
        <f>AF127+AH127+AJ127+AL127+AN127+AP127+AR127+AT127+AV127+AX127</f>
        <v/>
      </c>
      <c r="BA127" s="16" t="n"/>
      <c r="BB127" s="139" t="n"/>
      <c r="BC127" s="16" t="n"/>
      <c r="BD127" s="139" t="n"/>
      <c r="BE127" s="16">
        <f>(BA127+BC127)</f>
        <v/>
      </c>
    </row>
    <row r="128" ht="22.5" customFormat="1" customHeight="1" s="8">
      <c r="A128" s="9" t="n"/>
      <c r="B128" s="141" t="inlineStr">
        <is>
          <t>ABS 난연</t>
        </is>
      </c>
      <c r="C128" s="137" t="inlineStr">
        <is>
          <t>DX3000</t>
        </is>
      </c>
      <c r="D128" s="62" t="inlineStr">
        <is>
          <t>NAVI KEY</t>
        </is>
      </c>
      <c r="E128" s="36" t="inlineStr">
        <is>
          <t>ABS 난연 화이트 + 밝은 회색</t>
        </is>
      </c>
      <c r="F128" s="100" t="n"/>
      <c r="G128" s="22" t="n"/>
      <c r="H128" s="22" t="inlineStr">
        <is>
          <t>천우</t>
        </is>
      </c>
      <c r="I128" s="14" t="n"/>
      <c r="J128" s="14" t="n"/>
      <c r="K128" s="12" t="n">
        <v>94</v>
      </c>
      <c r="L128" s="9" t="n"/>
      <c r="M128" s="9" t="n"/>
      <c r="N128" s="9" t="n"/>
      <c r="O128" s="40">
        <f>K128+V128-AE128-AZ128</f>
        <v/>
      </c>
      <c r="P128" s="12" t="n"/>
      <c r="Q128" s="138" t="n"/>
      <c r="R128" s="16" t="n"/>
      <c r="S128" s="139" t="n"/>
      <c r="T128" s="16" t="n"/>
      <c r="U128" s="139" t="n"/>
      <c r="V128" s="16">
        <f>P128+R128+T128</f>
        <v/>
      </c>
      <c r="W128" s="16" t="n"/>
      <c r="X128" s="139" t="n"/>
      <c r="Y128" s="16" t="n"/>
      <c r="Z128" s="139" t="n"/>
      <c r="AA128" s="16" t="n"/>
      <c r="AB128" s="139" t="n"/>
      <c r="AC128" s="16" t="n"/>
      <c r="AD128" s="139" t="n"/>
      <c r="AE128" s="16">
        <f>(W128+Y128+AA128+AC128)</f>
        <v/>
      </c>
      <c r="AF128" s="140" t="n"/>
      <c r="AG128" s="138" t="n"/>
      <c r="AH128" s="16" t="n"/>
      <c r="AI128" s="138" t="n"/>
      <c r="AJ128" s="16" t="n"/>
      <c r="AK128" s="138" t="n"/>
      <c r="AL128" s="16" t="n"/>
      <c r="AM128" s="138" t="n"/>
      <c r="AN128" s="16" t="n"/>
      <c r="AO128" s="138" t="n"/>
      <c r="AP128" s="16" t="n"/>
      <c r="AQ128" s="138" t="n"/>
      <c r="AR128" s="16" t="n"/>
      <c r="AS128" s="138" t="n"/>
      <c r="AT128" s="16" t="n"/>
      <c r="AU128" s="138" t="n"/>
      <c r="AV128" s="16" t="n"/>
      <c r="AW128" s="138" t="n"/>
      <c r="AX128" s="16" t="n"/>
      <c r="AY128" s="138" t="n"/>
      <c r="AZ128" s="16">
        <f>AF128+AH128+AJ128+AL128+AN128+AP128+AR128+AT128+AV128+AX128</f>
        <v/>
      </c>
      <c r="BA128" s="16" t="n"/>
      <c r="BB128" s="139" t="n"/>
      <c r="BC128" s="16" t="n"/>
      <c r="BD128" s="139" t="n"/>
      <c r="BE128" s="16">
        <f>(BA128+BC128)</f>
        <v/>
      </c>
    </row>
    <row r="129" ht="22.5" customFormat="1" customHeight="1" s="8">
      <c r="A129" s="9" t="n"/>
      <c r="B129" s="141" t="inlineStr">
        <is>
          <t>ABS 난연</t>
        </is>
      </c>
      <c r="C129" s="137" t="inlineStr">
        <is>
          <t>DX3000</t>
        </is>
      </c>
      <c r="D129" s="62" t="inlineStr">
        <is>
          <t>DECO GUIDE</t>
        </is>
      </c>
      <c r="E129" s="36" t="inlineStr">
        <is>
          <t>ABS 난연 화이트 + 진한 회색</t>
        </is>
      </c>
      <c r="F129" s="100" t="n"/>
      <c r="G129" s="22" t="n"/>
      <c r="H129" s="22" t="inlineStr">
        <is>
          <t>천우</t>
        </is>
      </c>
      <c r="I129" s="14" t="n"/>
      <c r="J129" s="14" t="n"/>
      <c r="K129" s="12" t="n">
        <v>759</v>
      </c>
      <c r="L129" s="9" t="n"/>
      <c r="M129" s="9" t="n"/>
      <c r="N129" s="9" t="n"/>
      <c r="O129" s="40">
        <f>K129+V129-AE129-AZ129</f>
        <v/>
      </c>
      <c r="P129" s="12" t="n"/>
      <c r="Q129" s="138" t="n"/>
      <c r="R129" s="16" t="n"/>
      <c r="S129" s="139" t="n"/>
      <c r="T129" s="16" t="n"/>
      <c r="U129" s="139" t="n"/>
      <c r="V129" s="16">
        <f>P129+R129+T129</f>
        <v/>
      </c>
      <c r="W129" s="16" t="n"/>
      <c r="X129" s="139" t="n"/>
      <c r="Y129" s="16" t="n"/>
      <c r="Z129" s="139" t="n"/>
      <c r="AA129" s="16" t="n"/>
      <c r="AB129" s="139" t="n"/>
      <c r="AC129" s="16" t="n"/>
      <c r="AD129" s="139" t="n"/>
      <c r="AE129" s="16">
        <f>(W129+Y129+AA129+AC129)</f>
        <v/>
      </c>
      <c r="AF129" s="140" t="n"/>
      <c r="AG129" s="138" t="n"/>
      <c r="AH129" s="16" t="n"/>
      <c r="AI129" s="138" t="n"/>
      <c r="AJ129" s="16" t="n"/>
      <c r="AK129" s="138" t="n"/>
      <c r="AL129" s="16" t="n"/>
      <c r="AM129" s="138" t="n"/>
      <c r="AN129" s="16" t="n"/>
      <c r="AO129" s="138" t="n"/>
      <c r="AP129" s="16" t="n"/>
      <c r="AQ129" s="138" t="n"/>
      <c r="AR129" s="16" t="n"/>
      <c r="AS129" s="138" t="n"/>
      <c r="AT129" s="16" t="n"/>
      <c r="AU129" s="138" t="n"/>
      <c r="AV129" s="16" t="n"/>
      <c r="AW129" s="138" t="n"/>
      <c r="AX129" s="16" t="n"/>
      <c r="AY129" s="138" t="n"/>
      <c r="AZ129" s="16">
        <f>AF129+AH129+AJ129+AL129+AN129+AP129+AR129+AT129+AV129+AX129</f>
        <v/>
      </c>
      <c r="BA129" s="16" t="n"/>
      <c r="BB129" s="139" t="n"/>
      <c r="BC129" s="16" t="n"/>
      <c r="BD129" s="139" t="n"/>
      <c r="BE129" s="16">
        <f>(BA129+BC129)</f>
        <v/>
      </c>
    </row>
    <row r="130" ht="22.5" customFormat="1" customHeight="1" s="8">
      <c r="A130" s="9" t="n"/>
      <c r="B130" s="141" t="inlineStr">
        <is>
          <t>ABS 난연</t>
        </is>
      </c>
      <c r="C130" s="137" t="inlineStr">
        <is>
          <t>DX3000</t>
        </is>
      </c>
      <c r="D130" s="62" t="inlineStr">
        <is>
          <t>20cm CONE</t>
        </is>
      </c>
      <c r="E130" s="36" t="inlineStr">
        <is>
          <t>ABS 난연 블랙 + 블랙 무광</t>
        </is>
      </c>
      <c r="F130" s="100" t="n"/>
      <c r="G130" s="22" t="n"/>
      <c r="H130" s="22" t="inlineStr">
        <is>
          <t>천우</t>
        </is>
      </c>
      <c r="I130" s="14" t="n"/>
      <c r="J130" s="14" t="n"/>
      <c r="K130" s="12" t="n">
        <v>0</v>
      </c>
      <c r="L130" s="9" t="n"/>
      <c r="M130" s="9" t="n"/>
      <c r="N130" s="9" t="n"/>
      <c r="O130" s="40">
        <f>K130+V130-AE130-AZ130</f>
        <v/>
      </c>
      <c r="P130" s="12" t="n"/>
      <c r="Q130" s="138" t="n"/>
      <c r="R130" s="16" t="n"/>
      <c r="S130" s="139" t="n"/>
      <c r="T130" s="16" t="n"/>
      <c r="U130" s="139" t="n"/>
      <c r="V130" s="16">
        <f>P130+R130+T130</f>
        <v/>
      </c>
      <c r="W130" s="16" t="n"/>
      <c r="X130" s="139" t="n"/>
      <c r="Y130" s="16" t="n"/>
      <c r="Z130" s="139" t="n"/>
      <c r="AA130" s="16" t="n"/>
      <c r="AB130" s="139" t="n"/>
      <c r="AC130" s="16" t="n"/>
      <c r="AD130" s="139" t="n"/>
      <c r="AE130" s="16">
        <f>(W130+Y130+AA130+AC130)</f>
        <v/>
      </c>
      <c r="AF130" s="140" t="n"/>
      <c r="AG130" s="138" t="n"/>
      <c r="AH130" s="16" t="n"/>
      <c r="AI130" s="138" t="n"/>
      <c r="AJ130" s="16" t="n"/>
      <c r="AK130" s="138" t="n"/>
      <c r="AL130" s="16" t="n"/>
      <c r="AM130" s="138" t="n"/>
      <c r="AN130" s="16" t="n"/>
      <c r="AO130" s="138" t="n"/>
      <c r="AP130" s="16" t="n"/>
      <c r="AQ130" s="138" t="n"/>
      <c r="AR130" s="16" t="n"/>
      <c r="AS130" s="138" t="n"/>
      <c r="AT130" s="16" t="n"/>
      <c r="AU130" s="138" t="n"/>
      <c r="AV130" s="16" t="n"/>
      <c r="AW130" s="138" t="n"/>
      <c r="AX130" s="16" t="n"/>
      <c r="AY130" s="138" t="n"/>
      <c r="AZ130" s="16">
        <f>AF130+AH130+AJ130+AL130+AN130+AP130+AR130+AT130+AV130+AX130</f>
        <v/>
      </c>
      <c r="BA130" s="16" t="n"/>
      <c r="BB130" s="139" t="n"/>
      <c r="BC130" s="16" t="n"/>
      <c r="BD130" s="139" t="n"/>
      <c r="BE130" s="16">
        <f>(BA130+BC130)</f>
        <v/>
      </c>
    </row>
    <row r="131" ht="22.5" customFormat="1" customHeight="1" s="8">
      <c r="A131" s="9" t="n"/>
      <c r="B131" s="141" t="inlineStr">
        <is>
          <t>ABS 난연</t>
        </is>
      </c>
      <c r="C131" s="137" t="inlineStr">
        <is>
          <t>DX3000</t>
        </is>
      </c>
      <c r="D131" s="62" t="inlineStr">
        <is>
          <t>20cm CONE</t>
        </is>
      </c>
      <c r="E131" s="36" t="inlineStr">
        <is>
          <t>ABS 난연 화이트</t>
        </is>
      </c>
      <c r="F131" s="100" t="n"/>
      <c r="G131" s="22" t="n"/>
      <c r="H131" s="22" t="inlineStr">
        <is>
          <t>천우</t>
        </is>
      </c>
      <c r="I131" s="14" t="n"/>
      <c r="J131" s="14" t="n"/>
      <c r="K131" s="12" t="n">
        <v>592</v>
      </c>
      <c r="L131" s="9" t="n"/>
      <c r="M131" s="9" t="n"/>
      <c r="N131" s="9" t="n"/>
      <c r="O131" s="40">
        <f>K131+V131-AE131-AZ131</f>
        <v/>
      </c>
      <c r="P131" s="12" t="n"/>
      <c r="Q131" s="138" t="n"/>
      <c r="R131" s="16" t="n"/>
      <c r="S131" s="139" t="n"/>
      <c r="T131" s="16" t="n"/>
      <c r="U131" s="139" t="n"/>
      <c r="V131" s="16">
        <f>P131+R131+T131</f>
        <v/>
      </c>
      <c r="W131" s="16" t="n"/>
      <c r="X131" s="139" t="n"/>
      <c r="Y131" s="16" t="n"/>
      <c r="Z131" s="139" t="n"/>
      <c r="AA131" s="16" t="n"/>
      <c r="AB131" s="139" t="n"/>
      <c r="AC131" s="16" t="n"/>
      <c r="AD131" s="139" t="n"/>
      <c r="AE131" s="16">
        <f>(W131+Y131+AA131+AC131)</f>
        <v/>
      </c>
      <c r="AF131" s="140" t="n"/>
      <c r="AG131" s="138" t="n"/>
      <c r="AH131" s="16" t="n"/>
      <c r="AI131" s="138" t="n"/>
      <c r="AJ131" s="16" t="n"/>
      <c r="AK131" s="138" t="n"/>
      <c r="AL131" s="16" t="n"/>
      <c r="AM131" s="138" t="n"/>
      <c r="AN131" s="16" t="n"/>
      <c r="AO131" s="138" t="n"/>
      <c r="AP131" s="16" t="n"/>
      <c r="AQ131" s="138" t="n"/>
      <c r="AR131" s="16" t="n"/>
      <c r="AS131" s="138" t="n"/>
      <c r="AT131" s="16" t="n"/>
      <c r="AU131" s="138" t="n"/>
      <c r="AV131" s="16" t="n"/>
      <c r="AW131" s="138" t="n"/>
      <c r="AX131" s="16" t="n"/>
      <c r="AY131" s="138" t="n"/>
      <c r="AZ131" s="16">
        <f>AF131+AH131+AJ131+AL131+AN131+AP131+AR131+AT131+AV131+AX131</f>
        <v/>
      </c>
      <c r="BA131" s="16" t="n"/>
      <c r="BB131" s="139" t="n"/>
      <c r="BC131" s="16" t="n"/>
      <c r="BD131" s="139" t="n"/>
      <c r="BE131" s="16">
        <f>(BA131+BC131)</f>
        <v/>
      </c>
    </row>
    <row r="132" ht="22.5" customFormat="1" customHeight="1" s="8">
      <c r="A132" s="9" t="n"/>
      <c r="B132" s="141" t="inlineStr">
        <is>
          <t>ABS 난연</t>
        </is>
      </c>
      <c r="C132" s="137" t="inlineStr">
        <is>
          <t>DX3000</t>
        </is>
      </c>
      <c r="D132" s="62" t="inlineStr">
        <is>
          <t>15cm CONE</t>
        </is>
      </c>
      <c r="E132" s="36" t="inlineStr">
        <is>
          <t>ABS 난연 화이트</t>
        </is>
      </c>
      <c r="F132" s="100" t="n"/>
      <c r="G132" s="22" t="n"/>
      <c r="H132" s="22" t="inlineStr">
        <is>
          <t>천우</t>
        </is>
      </c>
      <c r="I132" s="14" t="n"/>
      <c r="J132" s="14" t="n"/>
      <c r="K132" s="12" t="n">
        <v>129</v>
      </c>
      <c r="L132" s="9" t="n"/>
      <c r="M132" s="9" t="n"/>
      <c r="N132" s="9" t="n"/>
      <c r="O132" s="40">
        <f>K132+V132-AE132-AZ132</f>
        <v/>
      </c>
      <c r="P132" s="12" t="n"/>
      <c r="Q132" s="138" t="n"/>
      <c r="R132" s="16" t="n"/>
      <c r="S132" s="139" t="n"/>
      <c r="T132" s="16" t="n"/>
      <c r="U132" s="139" t="n"/>
      <c r="V132" s="16">
        <f>P132+R132+T132</f>
        <v/>
      </c>
      <c r="W132" s="16" t="n"/>
      <c r="X132" s="139" t="n"/>
      <c r="Y132" s="16" t="n"/>
      <c r="Z132" s="139" t="n"/>
      <c r="AA132" s="16" t="n"/>
      <c r="AB132" s="139" t="n"/>
      <c r="AC132" s="16" t="n"/>
      <c r="AD132" s="139" t="n"/>
      <c r="AE132" s="16">
        <f>(W132+Y132+AA132+AC132)</f>
        <v/>
      </c>
      <c r="AF132" s="140" t="n"/>
      <c r="AG132" s="138" t="n"/>
      <c r="AH132" s="16" t="n"/>
      <c r="AI132" s="138" t="n"/>
      <c r="AJ132" s="16" t="n"/>
      <c r="AK132" s="138" t="n"/>
      <c r="AL132" s="16" t="n"/>
      <c r="AM132" s="138" t="n"/>
      <c r="AN132" s="16" t="n"/>
      <c r="AO132" s="138" t="n"/>
      <c r="AP132" s="16" t="n"/>
      <c r="AQ132" s="138" t="n"/>
      <c r="AR132" s="16" t="n"/>
      <c r="AS132" s="138" t="n"/>
      <c r="AT132" s="16" t="n"/>
      <c r="AU132" s="138" t="n"/>
      <c r="AV132" s="16" t="n"/>
      <c r="AW132" s="138" t="n"/>
      <c r="AX132" s="16" t="n"/>
      <c r="AY132" s="138" t="n"/>
      <c r="AZ132" s="16">
        <f>AF132+AH132+AJ132+AL132+AN132+AP132+AR132+AT132+AV132+AX132</f>
        <v/>
      </c>
      <c r="BA132" s="16" t="n"/>
      <c r="BB132" s="139" t="n"/>
      <c r="BC132" s="16" t="n"/>
      <c r="BD132" s="139" t="n"/>
      <c r="BE132" s="16">
        <f>(BA132+BC132)</f>
        <v/>
      </c>
    </row>
    <row r="133" ht="22.5" customFormat="1" customHeight="1" s="8">
      <c r="A133" s="9" t="n"/>
      <c r="B133" s="141" t="inlineStr">
        <is>
          <t>ABS 난연</t>
        </is>
      </c>
      <c r="C133" s="137" t="inlineStr">
        <is>
          <t>DX3000</t>
        </is>
      </c>
      <c r="D133" s="62" t="inlineStr">
        <is>
          <t>X-CAP (기본)</t>
        </is>
      </c>
      <c r="E133" s="36" t="inlineStr">
        <is>
          <t>ABS 화이트 + 진한 회색</t>
        </is>
      </c>
      <c r="F133" s="100" t="n"/>
      <c r="G133" s="22" t="n"/>
      <c r="H133" s="22" t="inlineStr">
        <is>
          <t>천우</t>
        </is>
      </c>
      <c r="I133" s="14" t="n"/>
      <c r="J133" s="14" t="n"/>
      <c r="K133" s="12" t="n">
        <v>214</v>
      </c>
      <c r="L133" s="9" t="n"/>
      <c r="M133" s="9" t="n"/>
      <c r="N133" s="9" t="n"/>
      <c r="O133" s="40">
        <f>K133+V133-AE133-AZ133</f>
        <v/>
      </c>
      <c r="P133" s="12" t="n"/>
      <c r="Q133" s="138" t="n"/>
      <c r="R133" s="16" t="n"/>
      <c r="S133" s="139" t="n"/>
      <c r="T133" s="16" t="n"/>
      <c r="U133" s="139" t="n"/>
      <c r="V133" s="16">
        <f>P133+R133+T133</f>
        <v/>
      </c>
      <c r="W133" s="16" t="n"/>
      <c r="X133" s="139" t="n"/>
      <c r="Y133" s="16" t="n"/>
      <c r="Z133" s="139" t="n"/>
      <c r="AA133" s="16" t="n"/>
      <c r="AB133" s="139" t="n"/>
      <c r="AC133" s="16" t="n"/>
      <c r="AD133" s="139" t="n"/>
      <c r="AE133" s="16">
        <f>(W133+Y133+AA133+AC133)</f>
        <v/>
      </c>
      <c r="AF133" s="140" t="n"/>
      <c r="AG133" s="138" t="n"/>
      <c r="AH133" s="16" t="n"/>
      <c r="AI133" s="138" t="n"/>
      <c r="AJ133" s="16" t="n"/>
      <c r="AK133" s="138" t="n"/>
      <c r="AL133" s="16" t="n"/>
      <c r="AM133" s="138" t="n"/>
      <c r="AN133" s="16" t="n"/>
      <c r="AO133" s="138" t="n"/>
      <c r="AP133" s="16" t="n"/>
      <c r="AQ133" s="138" t="n"/>
      <c r="AR133" s="16" t="n"/>
      <c r="AS133" s="138" t="n"/>
      <c r="AT133" s="16" t="n"/>
      <c r="AU133" s="138" t="n"/>
      <c r="AV133" s="16" t="n"/>
      <c r="AW133" s="138" t="n"/>
      <c r="AX133" s="16" t="n"/>
      <c r="AY133" s="138" t="n"/>
      <c r="AZ133" s="16">
        <f>AF133+AH133+AJ133+AL133+AN133+AP133+AR133+AT133+AV133+AX133</f>
        <v/>
      </c>
      <c r="BA133" s="16" t="n"/>
      <c r="BB133" s="139" t="n"/>
      <c r="BC133" s="16" t="n"/>
      <c r="BD133" s="139" t="n"/>
      <c r="BE133" s="16">
        <f>(BA133+BC133)</f>
        <v/>
      </c>
    </row>
    <row r="134" ht="22.5" customFormat="1" customHeight="1" s="8">
      <c r="A134" s="9" t="n"/>
      <c r="B134" s="141" t="inlineStr">
        <is>
          <t>ABS 난연</t>
        </is>
      </c>
      <c r="C134" s="137" t="inlineStr">
        <is>
          <t>DX3000</t>
        </is>
      </c>
      <c r="D134" s="62" t="inlineStr">
        <is>
          <t>X-CAP 체결형 (신형)</t>
        </is>
      </c>
      <c r="E134" s="36" t="inlineStr">
        <is>
          <t>ABS 난연 화이트 + 진한 회색</t>
        </is>
      </c>
      <c r="F134" s="100" t="n"/>
      <c r="G134" s="22" t="n"/>
      <c r="H134" s="22" t="inlineStr">
        <is>
          <t>천우</t>
        </is>
      </c>
      <c r="I134" s="14" t="n"/>
      <c r="J134" s="14" t="n"/>
      <c r="K134" s="12" t="n">
        <v>484</v>
      </c>
      <c r="L134" s="9" t="n"/>
      <c r="M134" s="9" t="n"/>
      <c r="N134" s="9" t="n"/>
      <c r="O134" s="40">
        <f>K134+V134-AE134-AZ134</f>
        <v/>
      </c>
      <c r="P134" s="12" t="n"/>
      <c r="Q134" s="138" t="n"/>
      <c r="R134" s="16" t="n"/>
      <c r="S134" s="139" t="n"/>
      <c r="T134" s="16" t="n"/>
      <c r="U134" s="139" t="n"/>
      <c r="V134" s="16">
        <f>P134+R134+T134</f>
        <v/>
      </c>
      <c r="W134" s="16" t="n"/>
      <c r="X134" s="139" t="n"/>
      <c r="Y134" s="16" t="n"/>
      <c r="Z134" s="139" t="n"/>
      <c r="AA134" s="16" t="n"/>
      <c r="AB134" s="139" t="n"/>
      <c r="AC134" s="16" t="n"/>
      <c r="AD134" s="139" t="n"/>
      <c r="AE134" s="16">
        <f>(W134+Y134+AA134+AC134)</f>
        <v/>
      </c>
      <c r="AF134" s="140" t="n"/>
      <c r="AG134" s="138" t="n"/>
      <c r="AH134" s="16" t="n"/>
      <c r="AI134" s="138" t="n"/>
      <c r="AJ134" s="16" t="n"/>
      <c r="AK134" s="138" t="n"/>
      <c r="AL134" s="16" t="n"/>
      <c r="AM134" s="138" t="n"/>
      <c r="AN134" s="16" t="n"/>
      <c r="AO134" s="138" t="n"/>
      <c r="AP134" s="16" t="n"/>
      <c r="AQ134" s="138" t="n"/>
      <c r="AR134" s="16" t="n"/>
      <c r="AS134" s="138" t="n"/>
      <c r="AT134" s="16" t="n"/>
      <c r="AU134" s="138" t="n"/>
      <c r="AV134" s="16" t="n"/>
      <c r="AW134" s="138" t="n"/>
      <c r="AX134" s="16" t="n"/>
      <c r="AY134" s="138" t="n"/>
      <c r="AZ134" s="16">
        <f>AF134+AH134+AJ134+AL134+AN134+AP134+AR134+AT134+AV134+AX134</f>
        <v/>
      </c>
      <c r="BA134" s="16" t="n"/>
      <c r="BB134" s="139" t="n"/>
      <c r="BC134" s="16" t="n"/>
      <c r="BD134" s="139" t="n"/>
      <c r="BE134" s="16">
        <f>(BA134+BC134)</f>
        <v/>
      </c>
    </row>
    <row r="135" ht="22.5" customFormat="1" customHeight="1" s="8">
      <c r="A135" s="9" t="n"/>
      <c r="B135" s="141" t="inlineStr">
        <is>
          <t>ABS 난연</t>
        </is>
      </c>
      <c r="C135" s="137" t="inlineStr">
        <is>
          <t>DX3000</t>
        </is>
      </c>
      <c r="D135" s="62" t="inlineStr">
        <is>
          <t>X-CAP 체결형 (구형, 일본용)</t>
        </is>
      </c>
      <c r="E135" s="36" t="inlineStr">
        <is>
          <t>ABS 난연 화이트 + 진한 회색</t>
        </is>
      </c>
      <c r="F135" s="100" t="n"/>
      <c r="G135" s="22" t="n"/>
      <c r="H135" s="22" t="inlineStr">
        <is>
          <t>천우</t>
        </is>
      </c>
      <c r="I135" s="14" t="n"/>
      <c r="J135" s="14" t="n"/>
      <c r="K135" s="12" t="n">
        <v>0</v>
      </c>
      <c r="L135" s="9" t="n"/>
      <c r="M135" s="9" t="n"/>
      <c r="N135" s="9" t="n"/>
      <c r="O135" s="40">
        <f>K135+V135-AE135-AZ135</f>
        <v/>
      </c>
      <c r="P135" s="12" t="n"/>
      <c r="Q135" s="138" t="n"/>
      <c r="R135" s="16" t="n"/>
      <c r="S135" s="139" t="n"/>
      <c r="T135" s="16" t="n"/>
      <c r="U135" s="139" t="n"/>
      <c r="V135" s="16">
        <f>P135+R135+T135</f>
        <v/>
      </c>
      <c r="W135" s="16" t="n"/>
      <c r="X135" s="139" t="n"/>
      <c r="Y135" s="16" t="n"/>
      <c r="Z135" s="139" t="n"/>
      <c r="AA135" s="16" t="n"/>
      <c r="AB135" s="139" t="n"/>
      <c r="AC135" s="16" t="n"/>
      <c r="AD135" s="139" t="n"/>
      <c r="AE135" s="16">
        <f>(W135+Y135+AA135+AC135)</f>
        <v/>
      </c>
      <c r="AF135" s="140" t="n"/>
      <c r="AG135" s="138" t="n"/>
      <c r="AH135" s="16" t="n"/>
      <c r="AI135" s="138" t="n"/>
      <c r="AJ135" s="16" t="n"/>
      <c r="AK135" s="138" t="n"/>
      <c r="AL135" s="16" t="n"/>
      <c r="AM135" s="138" t="n"/>
      <c r="AN135" s="16" t="n"/>
      <c r="AO135" s="138" t="n"/>
      <c r="AP135" s="16" t="n"/>
      <c r="AQ135" s="138" t="n"/>
      <c r="AR135" s="16" t="n"/>
      <c r="AS135" s="138" t="n"/>
      <c r="AT135" s="16" t="n"/>
      <c r="AU135" s="138" t="n"/>
      <c r="AV135" s="16" t="n"/>
      <c r="AW135" s="138" t="n"/>
      <c r="AX135" s="16" t="n"/>
      <c r="AY135" s="138" t="n"/>
      <c r="AZ135" s="16">
        <f>AF135+AH135+AJ135+AL135+AN135+AP135+AR135+AT135+AV135+AX135</f>
        <v/>
      </c>
      <c r="BA135" s="16" t="n"/>
      <c r="BB135" s="139" t="n"/>
      <c r="BC135" s="16" t="n"/>
      <c r="BD135" s="139" t="n"/>
      <c r="BE135" s="16">
        <f>(BA135+BC135)</f>
        <v/>
      </c>
    </row>
    <row r="136" ht="22.5" customFormat="1" customHeight="1" s="8">
      <c r="A136" s="9" t="n"/>
      <c r="B136" s="141" t="inlineStr">
        <is>
          <t>ABS 난연</t>
        </is>
      </c>
      <c r="C136" s="137" t="inlineStr">
        <is>
          <t>DX3000</t>
        </is>
      </c>
      <c r="D136" s="62" t="inlineStr">
        <is>
          <t>X-CAP 체결형 스프레이 X (구형, 일본용)</t>
        </is>
      </c>
      <c r="E136" s="36" t="inlineStr">
        <is>
          <t>ABS 난연 화이트</t>
        </is>
      </c>
      <c r="F136" s="100" t="n"/>
      <c r="G136" s="22" t="n"/>
      <c r="H136" s="22" t="inlineStr">
        <is>
          <t>천우</t>
        </is>
      </c>
      <c r="I136" s="14" t="n"/>
      <c r="J136" s="14" t="n"/>
      <c r="K136" s="12" t="n">
        <v>0</v>
      </c>
      <c r="L136" s="9" t="n"/>
      <c r="M136" s="9" t="n"/>
      <c r="N136" s="9" t="n"/>
      <c r="O136" s="40">
        <f>K136+V136-AE136-AZ136</f>
        <v/>
      </c>
      <c r="P136" s="12" t="n"/>
      <c r="Q136" s="138" t="n"/>
      <c r="R136" s="16" t="n"/>
      <c r="S136" s="139" t="n"/>
      <c r="T136" s="16" t="n"/>
      <c r="U136" s="139" t="n"/>
      <c r="V136" s="16">
        <f>P136+R136+T136</f>
        <v/>
      </c>
      <c r="W136" s="16" t="n"/>
      <c r="X136" s="139" t="n"/>
      <c r="Y136" s="16" t="n"/>
      <c r="Z136" s="139" t="n"/>
      <c r="AA136" s="16" t="n"/>
      <c r="AB136" s="139" t="n"/>
      <c r="AC136" s="16" t="n"/>
      <c r="AD136" s="139" t="n"/>
      <c r="AE136" s="16">
        <f>(W136+Y136+AA136+AC136)</f>
        <v/>
      </c>
      <c r="AF136" s="140" t="n"/>
      <c r="AG136" s="138" t="n"/>
      <c r="AH136" s="16" t="n"/>
      <c r="AI136" s="138" t="n"/>
      <c r="AJ136" s="16" t="n"/>
      <c r="AK136" s="138" t="n"/>
      <c r="AL136" s="16" t="n"/>
      <c r="AM136" s="138" t="n"/>
      <c r="AN136" s="16" t="n"/>
      <c r="AO136" s="138" t="n"/>
      <c r="AP136" s="16" t="n"/>
      <c r="AQ136" s="138" t="n"/>
      <c r="AR136" s="16" t="n"/>
      <c r="AS136" s="138" t="n"/>
      <c r="AT136" s="16" t="n"/>
      <c r="AU136" s="138" t="n"/>
      <c r="AV136" s="16" t="n"/>
      <c r="AW136" s="138" t="n"/>
      <c r="AX136" s="16" t="n"/>
      <c r="AY136" s="138" t="n"/>
      <c r="AZ136" s="16">
        <f>AF136+AH136+AJ136+AL136+AN136+AP136+AR136+AT136+AV136+AX136</f>
        <v/>
      </c>
      <c r="BA136" s="16" t="n"/>
      <c r="BB136" s="139" t="n"/>
      <c r="BC136" s="16" t="n"/>
      <c r="BD136" s="139" t="n"/>
      <c r="BE136" s="16">
        <f>(BA136+BC136)</f>
        <v/>
      </c>
    </row>
    <row r="137" ht="22.5" customFormat="1" customHeight="1" s="8">
      <c r="A137" s="9" t="n"/>
      <c r="B137" s="141" t="inlineStr">
        <is>
          <t>ABS 난연</t>
        </is>
      </c>
      <c r="C137" s="137" t="inlineStr">
        <is>
          <t>DX3000</t>
        </is>
      </c>
      <c r="D137" s="62" t="inlineStr">
        <is>
          <t>CONE 젠더</t>
        </is>
      </c>
      <c r="E137" s="36" t="inlineStr">
        <is>
          <t>ABS 난연 블랙 + 블랙 무광</t>
        </is>
      </c>
      <c r="F137" s="100" t="n"/>
      <c r="G137" s="22" t="n"/>
      <c r="H137" s="22" t="inlineStr">
        <is>
          <t>천우</t>
        </is>
      </c>
      <c r="I137" s="14" t="n"/>
      <c r="J137" s="14" t="n"/>
      <c r="K137" s="12" t="n">
        <v>0</v>
      </c>
      <c r="L137" s="9" t="n"/>
      <c r="M137" s="9" t="n"/>
      <c r="N137" s="9" t="n"/>
      <c r="O137" s="40">
        <f>K137+V137-AE137-AZ137</f>
        <v/>
      </c>
      <c r="P137" s="12" t="n"/>
      <c r="Q137" s="138" t="n"/>
      <c r="R137" s="16" t="n"/>
      <c r="S137" s="139" t="n"/>
      <c r="T137" s="16" t="n"/>
      <c r="U137" s="139" t="n"/>
      <c r="V137" s="16">
        <f>P137+R137+T137</f>
        <v/>
      </c>
      <c r="W137" s="16" t="n"/>
      <c r="X137" s="139" t="n"/>
      <c r="Y137" s="16" t="n"/>
      <c r="Z137" s="139" t="n"/>
      <c r="AA137" s="16" t="n"/>
      <c r="AB137" s="139" t="n"/>
      <c r="AC137" s="16" t="n"/>
      <c r="AD137" s="139" t="n"/>
      <c r="AE137" s="16">
        <f>(W137+Y137+AA137+AC137)</f>
        <v/>
      </c>
      <c r="AF137" s="140" t="n"/>
      <c r="AG137" s="138" t="n"/>
      <c r="AH137" s="16" t="n"/>
      <c r="AI137" s="138" t="n"/>
      <c r="AJ137" s="16" t="n"/>
      <c r="AK137" s="138" t="n"/>
      <c r="AL137" s="16" t="n"/>
      <c r="AM137" s="138" t="n"/>
      <c r="AN137" s="16" t="n"/>
      <c r="AO137" s="138" t="n"/>
      <c r="AP137" s="16" t="n"/>
      <c r="AQ137" s="138" t="n"/>
      <c r="AR137" s="16" t="n"/>
      <c r="AS137" s="138" t="n"/>
      <c r="AT137" s="16" t="n"/>
      <c r="AU137" s="138" t="n"/>
      <c r="AV137" s="16" t="n"/>
      <c r="AW137" s="138" t="n"/>
      <c r="AX137" s="16" t="n"/>
      <c r="AY137" s="138" t="n"/>
      <c r="AZ137" s="16">
        <f>AF137+AH137+AJ137+AL137+AN137+AP137+AR137+AT137+AV137+AX137</f>
        <v/>
      </c>
      <c r="BA137" s="16" t="n"/>
      <c r="BB137" s="139" t="n"/>
      <c r="BC137" s="16" t="n"/>
      <c r="BD137" s="139" t="n"/>
      <c r="BE137" s="16">
        <f>(BA137+BC137)</f>
        <v/>
      </c>
    </row>
    <row r="138" ht="22.5" customFormat="1" customHeight="1" s="8">
      <c r="A138" s="9" t="n"/>
      <c r="B138" s="141" t="inlineStr">
        <is>
          <t>ABS 난연</t>
        </is>
      </c>
      <c r="C138" s="137" t="inlineStr">
        <is>
          <t>DX3000</t>
        </is>
      </c>
      <c r="D138" s="62" t="inlineStr">
        <is>
          <t>메디컬용 컬리메타</t>
        </is>
      </c>
      <c r="E138" s="36" t="inlineStr">
        <is>
          <t>ABS 난연 블랙</t>
        </is>
      </c>
      <c r="F138" s="100" t="n"/>
      <c r="G138" s="22" t="n"/>
      <c r="H138" s="22" t="inlineStr">
        <is>
          <t>금오몰드</t>
        </is>
      </c>
      <c r="I138" s="14" t="n"/>
      <c r="J138" s="14" t="n"/>
      <c r="K138" s="12" t="n">
        <v>61</v>
      </c>
      <c r="L138" s="9" t="n"/>
      <c r="M138" s="9" t="n"/>
      <c r="N138" s="9" t="n"/>
      <c r="O138" s="40">
        <f>K138+V138-AE138-AZ138</f>
        <v/>
      </c>
      <c r="P138" s="12" t="n"/>
      <c r="Q138" s="138" t="n"/>
      <c r="R138" s="16" t="n"/>
      <c r="S138" s="139" t="n"/>
      <c r="T138" s="16" t="n"/>
      <c r="U138" s="139" t="n"/>
      <c r="V138" s="16">
        <f>P138+R138+T138</f>
        <v/>
      </c>
      <c r="W138" s="16" t="n"/>
      <c r="X138" s="139" t="n"/>
      <c r="Y138" s="16" t="n"/>
      <c r="Z138" s="139" t="n"/>
      <c r="AA138" s="16" t="n"/>
      <c r="AB138" s="139" t="n"/>
      <c r="AC138" s="16" t="n"/>
      <c r="AD138" s="139" t="n"/>
      <c r="AE138" s="16">
        <f>(W138+Y138+AA138+AC138)</f>
        <v/>
      </c>
      <c r="AF138" s="140" t="n"/>
      <c r="AG138" s="138" t="n"/>
      <c r="AH138" s="16" t="n"/>
      <c r="AI138" s="138" t="n"/>
      <c r="AJ138" s="16" t="n"/>
      <c r="AK138" s="138" t="n"/>
      <c r="AL138" s="16" t="n"/>
      <c r="AM138" s="138" t="n"/>
      <c r="AN138" s="16" t="n"/>
      <c r="AO138" s="138" t="n"/>
      <c r="AP138" s="16" t="n"/>
      <c r="AQ138" s="138" t="n"/>
      <c r="AR138" s="16" t="n"/>
      <c r="AS138" s="138" t="n"/>
      <c r="AT138" s="16" t="n"/>
      <c r="AU138" s="138" t="n"/>
      <c r="AV138" s="16" t="n"/>
      <c r="AW138" s="138" t="n"/>
      <c r="AX138" s="16" t="n"/>
      <c r="AY138" s="138" t="n"/>
      <c r="AZ138" s="16">
        <f>AF138+AH138+AJ138+AL138+AN138+AP138+AR138+AT138+AV138+AX138</f>
        <v/>
      </c>
      <c r="BA138" s="16" t="n"/>
      <c r="BB138" s="139" t="n"/>
      <c r="BC138" s="16" t="n"/>
      <c r="BD138" s="139" t="n"/>
      <c r="BE138" s="16">
        <f>(BA138+BC138)</f>
        <v/>
      </c>
    </row>
    <row r="139" ht="22.5" customFormat="1" customHeight="1" s="8">
      <c r="A139" s="9" t="n"/>
      <c r="B139" s="141" t="inlineStr">
        <is>
          <t>ABS 난연</t>
        </is>
      </c>
      <c r="C139" s="137" t="inlineStr">
        <is>
          <t>DX3000</t>
        </is>
      </c>
      <c r="D139" s="62" t="inlineStr">
        <is>
          <t>메디컬용 컬리메타 CAP</t>
        </is>
      </c>
      <c r="E139" s="36" t="inlineStr">
        <is>
          <t>ABS 난연 블랙 + 블랙 무광</t>
        </is>
      </c>
      <c r="F139" s="100" t="n"/>
      <c r="G139" s="22" t="n"/>
      <c r="H139" s="22" t="inlineStr">
        <is>
          <t>금오몰드</t>
        </is>
      </c>
      <c r="I139" s="14" t="n"/>
      <c r="J139" s="14" t="n"/>
      <c r="K139" s="12" t="n">
        <v>106</v>
      </c>
      <c r="L139" s="9" t="n"/>
      <c r="M139" s="9" t="n"/>
      <c r="N139" s="9" t="n"/>
      <c r="O139" s="40">
        <f>K139+V139-AE139-AZ139</f>
        <v/>
      </c>
      <c r="P139" s="12" t="n"/>
      <c r="Q139" s="138" t="n"/>
      <c r="R139" s="16" t="n"/>
      <c r="S139" s="139" t="n"/>
      <c r="T139" s="16" t="n"/>
      <c r="U139" s="139" t="n"/>
      <c r="V139" s="16">
        <f>P139+R139+T139</f>
        <v/>
      </c>
      <c r="W139" s="16" t="n"/>
      <c r="X139" s="139" t="n"/>
      <c r="Y139" s="16" t="n"/>
      <c r="Z139" s="139" t="n"/>
      <c r="AA139" s="16" t="n"/>
      <c r="AB139" s="139" t="n"/>
      <c r="AC139" s="16" t="n"/>
      <c r="AD139" s="139" t="n"/>
      <c r="AE139" s="16">
        <f>(W139+Y139+AA139+AC139)</f>
        <v/>
      </c>
      <c r="AF139" s="140" t="n"/>
      <c r="AG139" s="138" t="n"/>
      <c r="AH139" s="16" t="n"/>
      <c r="AI139" s="138" t="n"/>
      <c r="AJ139" s="16" t="n"/>
      <c r="AK139" s="138" t="n"/>
      <c r="AL139" s="16" t="n"/>
      <c r="AM139" s="138" t="n"/>
      <c r="AN139" s="16" t="n"/>
      <c r="AO139" s="138" t="n"/>
      <c r="AP139" s="16" t="n"/>
      <c r="AQ139" s="138" t="n"/>
      <c r="AR139" s="16" t="n"/>
      <c r="AS139" s="138" t="n"/>
      <c r="AT139" s="16" t="n"/>
      <c r="AU139" s="138" t="n"/>
      <c r="AV139" s="16" t="n"/>
      <c r="AW139" s="138" t="n"/>
      <c r="AX139" s="16" t="n"/>
      <c r="AY139" s="138" t="n"/>
      <c r="AZ139" s="16">
        <f>AF139+AH139+AJ139+AL139+AN139+AP139+AR139+AT139+AV139+AX139</f>
        <v/>
      </c>
      <c r="BA139" s="16" t="n"/>
      <c r="BB139" s="139" t="n"/>
      <c r="BC139" s="16" t="n"/>
      <c r="BD139" s="139" t="n"/>
      <c r="BE139" s="16">
        <f>(BA139+BC139)</f>
        <v/>
      </c>
    </row>
    <row r="140" ht="22.5" customFormat="1" customHeight="1" s="8">
      <c r="A140" s="9" t="n"/>
      <c r="B140" s="141" t="inlineStr">
        <is>
          <t>아크릴</t>
        </is>
      </c>
      <c r="C140" s="137" t="inlineStr">
        <is>
          <t>DX3000</t>
        </is>
      </c>
      <c r="D140" s="62" t="inlineStr">
        <is>
          <t>LCD WINDOW</t>
        </is>
      </c>
      <c r="E140" s="36" t="inlineStr">
        <is>
          <t>투명 아크릴</t>
        </is>
      </c>
      <c r="F140" s="100" t="n"/>
      <c r="G140" s="22" t="n"/>
      <c r="H140" s="22" t="inlineStr">
        <is>
          <t>천우</t>
        </is>
      </c>
      <c r="I140" s="14" t="n"/>
      <c r="J140" s="14" t="n"/>
      <c r="K140" s="12" t="n">
        <v>280</v>
      </c>
      <c r="L140" s="9" t="n"/>
      <c r="M140" s="9" t="n"/>
      <c r="N140" s="9" t="n"/>
      <c r="O140" s="40">
        <f>K140+V140-AE140-AZ140</f>
        <v/>
      </c>
      <c r="P140" s="12" t="n"/>
      <c r="Q140" s="138" t="n"/>
      <c r="R140" s="16" t="n"/>
      <c r="S140" s="139" t="n"/>
      <c r="T140" s="16" t="n"/>
      <c r="U140" s="139" t="n"/>
      <c r="V140" s="16">
        <f>P140+R140+T140</f>
        <v/>
      </c>
      <c r="W140" s="16" t="n"/>
      <c r="X140" s="139" t="n"/>
      <c r="Y140" s="16" t="n"/>
      <c r="Z140" s="139" t="n"/>
      <c r="AA140" s="16" t="n"/>
      <c r="AB140" s="139" t="n"/>
      <c r="AC140" s="16" t="n"/>
      <c r="AD140" s="139" t="n"/>
      <c r="AE140" s="16">
        <f>(W140+Y140+AA140+AC140)</f>
        <v/>
      </c>
      <c r="AF140" s="140" t="n"/>
      <c r="AG140" s="138" t="n"/>
      <c r="AH140" s="16" t="n"/>
      <c r="AI140" s="138" t="n"/>
      <c r="AJ140" s="16" t="n"/>
      <c r="AK140" s="138" t="n"/>
      <c r="AL140" s="16" t="n"/>
      <c r="AM140" s="138" t="n"/>
      <c r="AN140" s="16" t="n"/>
      <c r="AO140" s="138" t="n"/>
      <c r="AP140" s="16" t="n"/>
      <c r="AQ140" s="138" t="n"/>
      <c r="AR140" s="16" t="n"/>
      <c r="AS140" s="138" t="n"/>
      <c r="AT140" s="16" t="n"/>
      <c r="AU140" s="138" t="n"/>
      <c r="AV140" s="16" t="n"/>
      <c r="AW140" s="138" t="n"/>
      <c r="AX140" s="16" t="n"/>
      <c r="AY140" s="138" t="n"/>
      <c r="AZ140" s="16">
        <f>AF140+AH140+AJ140+AL140+AN140+AP140+AR140+AT140+AV140+AX140</f>
        <v/>
      </c>
      <c r="BA140" s="16" t="n"/>
      <c r="BB140" s="139" t="n"/>
      <c r="BC140" s="16" t="n"/>
      <c r="BD140" s="139" t="n"/>
      <c r="BE140" s="16">
        <f>(BA140+BC140)</f>
        <v/>
      </c>
    </row>
    <row r="141" ht="22.5" customFormat="1" customHeight="1" s="8">
      <c r="A141" s="9" t="n"/>
      <c r="B141" s="141" t="inlineStr">
        <is>
          <t>아크릴</t>
        </is>
      </c>
      <c r="C141" s="137" t="inlineStr">
        <is>
          <t>DX3000</t>
        </is>
      </c>
      <c r="D141" s="62" t="inlineStr">
        <is>
          <t>LCD LED</t>
        </is>
      </c>
      <c r="E141" s="36" t="inlineStr">
        <is>
          <t>확산 아크릴</t>
        </is>
      </c>
      <c r="F141" s="100" t="n"/>
      <c r="G141" s="22" t="n"/>
      <c r="H141" s="22" t="inlineStr">
        <is>
          <t>천우</t>
        </is>
      </c>
      <c r="I141" s="14" t="n"/>
      <c r="J141" s="14" t="n"/>
      <c r="K141" s="12" t="n">
        <v>100</v>
      </c>
      <c r="L141" s="9" t="n"/>
      <c r="M141" s="9" t="n"/>
      <c r="N141" s="9" t="n"/>
      <c r="O141" s="40">
        <f>K141+V141-AE141-AZ141</f>
        <v/>
      </c>
      <c r="P141" s="12" t="n"/>
      <c r="Q141" s="138" t="n"/>
      <c r="R141" s="16" t="n"/>
      <c r="S141" s="139" t="n"/>
      <c r="T141" s="16" t="n"/>
      <c r="U141" s="139" t="n"/>
      <c r="V141" s="16">
        <f>P141+R141+T141</f>
        <v/>
      </c>
      <c r="W141" s="16" t="n"/>
      <c r="X141" s="139" t="n"/>
      <c r="Y141" s="16" t="n"/>
      <c r="Z141" s="139" t="n"/>
      <c r="AA141" s="16" t="n"/>
      <c r="AB141" s="139" t="n"/>
      <c r="AC141" s="16" t="n"/>
      <c r="AD141" s="139" t="n"/>
      <c r="AE141" s="16">
        <f>(W141+Y141+AA141+AC141)</f>
        <v/>
      </c>
      <c r="AF141" s="140" t="n"/>
      <c r="AG141" s="138" t="n"/>
      <c r="AH141" s="16" t="n"/>
      <c r="AI141" s="138" t="n"/>
      <c r="AJ141" s="16" t="n"/>
      <c r="AK141" s="138" t="n"/>
      <c r="AL141" s="16" t="n"/>
      <c r="AM141" s="138" t="n"/>
      <c r="AN141" s="16" t="n"/>
      <c r="AO141" s="138" t="n"/>
      <c r="AP141" s="16" t="n"/>
      <c r="AQ141" s="138" t="n"/>
      <c r="AR141" s="16" t="n"/>
      <c r="AS141" s="138" t="n"/>
      <c r="AT141" s="16" t="n"/>
      <c r="AU141" s="138" t="n"/>
      <c r="AV141" s="16" t="n"/>
      <c r="AW141" s="138" t="n"/>
      <c r="AX141" s="16" t="n"/>
      <c r="AY141" s="138" t="n"/>
      <c r="AZ141" s="16">
        <f>AF141+AH141+AJ141+AL141+AN141+AP141+AR141+AT141+AV141+AX141</f>
        <v/>
      </c>
      <c r="BA141" s="16" t="n"/>
      <c r="BB141" s="139" t="n"/>
      <c r="BC141" s="16" t="n"/>
      <c r="BD141" s="139" t="n"/>
      <c r="BE141" s="16">
        <f>(BA141+BC141)</f>
        <v/>
      </c>
    </row>
    <row r="142" ht="22.5" customFormat="1" customHeight="1" s="8">
      <c r="A142" s="9" t="n"/>
      <c r="B142" s="141" t="inlineStr">
        <is>
          <t>아크릴</t>
        </is>
      </c>
      <c r="C142" s="137" t="inlineStr">
        <is>
          <t>DX3000</t>
        </is>
      </c>
      <c r="D142" s="62" t="inlineStr">
        <is>
          <t>POWER LED</t>
        </is>
      </c>
      <c r="E142" s="36" t="inlineStr">
        <is>
          <t>확산 아크릴</t>
        </is>
      </c>
      <c r="F142" s="100" t="n"/>
      <c r="G142" s="22" t="n"/>
      <c r="H142" s="22" t="inlineStr">
        <is>
          <t>천우</t>
        </is>
      </c>
      <c r="I142" s="14" t="n"/>
      <c r="J142" s="14" t="n"/>
      <c r="K142" s="12" t="n">
        <v>612</v>
      </c>
      <c r="L142" s="9" t="n"/>
      <c r="M142" s="9" t="n"/>
      <c r="N142" s="9" t="n"/>
      <c r="O142" s="40">
        <f>K142+V142-AE142-AZ142</f>
        <v/>
      </c>
      <c r="P142" s="12" t="n"/>
      <c r="Q142" s="138" t="n"/>
      <c r="R142" s="16" t="n"/>
      <c r="S142" s="139" t="n"/>
      <c r="T142" s="16" t="n"/>
      <c r="U142" s="139" t="n"/>
      <c r="V142" s="16">
        <f>P142+R142+T142</f>
        <v/>
      </c>
      <c r="W142" s="16" t="n"/>
      <c r="X142" s="139" t="n"/>
      <c r="Y142" s="16" t="n"/>
      <c r="Z142" s="139" t="n"/>
      <c r="AA142" s="16" t="n"/>
      <c r="AB142" s="139" t="n"/>
      <c r="AC142" s="16" t="n"/>
      <c r="AD142" s="139" t="n"/>
      <c r="AE142" s="16">
        <f>(W142+Y142+AA142+AC142)</f>
        <v/>
      </c>
      <c r="AF142" s="140" t="n"/>
      <c r="AG142" s="138" t="n"/>
      <c r="AH142" s="16" t="n"/>
      <c r="AI142" s="138" t="n"/>
      <c r="AJ142" s="16" t="n"/>
      <c r="AK142" s="138" t="n"/>
      <c r="AL142" s="16" t="n"/>
      <c r="AM142" s="138" t="n"/>
      <c r="AN142" s="16" t="n"/>
      <c r="AO142" s="138" t="n"/>
      <c r="AP142" s="16" t="n"/>
      <c r="AQ142" s="138" t="n"/>
      <c r="AR142" s="16" t="n"/>
      <c r="AS142" s="138" t="n"/>
      <c r="AT142" s="16" t="n"/>
      <c r="AU142" s="138" t="n"/>
      <c r="AV142" s="16" t="n"/>
      <c r="AW142" s="138" t="n"/>
      <c r="AX142" s="16" t="n"/>
      <c r="AY142" s="138" t="n"/>
      <c r="AZ142" s="16">
        <f>AF142+AH142+AJ142+AL142+AN142+AP142+AR142+AT142+AV142+AX142</f>
        <v/>
      </c>
      <c r="BA142" s="16" t="n"/>
      <c r="BB142" s="139" t="n"/>
      <c r="BC142" s="16" t="n"/>
      <c r="BD142" s="139" t="n"/>
      <c r="BE142" s="16">
        <f>(BA142+BC142)</f>
        <v/>
      </c>
    </row>
    <row r="143" ht="22.5" customFormat="1" customHeight="1" s="8">
      <c r="A143" s="9" t="n"/>
      <c r="B143" s="141" t="inlineStr">
        <is>
          <t>아크릴</t>
        </is>
      </c>
      <c r="C143" s="137" t="inlineStr">
        <is>
          <t>DX3000</t>
        </is>
      </c>
      <c r="D143" s="62" t="inlineStr">
        <is>
          <t>EX LED (좌)</t>
        </is>
      </c>
      <c r="E143" s="36" t="inlineStr">
        <is>
          <t>확산 아크릴</t>
        </is>
      </c>
      <c r="F143" s="100" t="n"/>
      <c r="G143" s="22" t="n"/>
      <c r="H143" s="22" t="inlineStr">
        <is>
          <t>천우</t>
        </is>
      </c>
      <c r="I143" s="14" t="n"/>
      <c r="J143" s="14" t="n"/>
      <c r="K143" s="12" t="n">
        <v>300</v>
      </c>
      <c r="L143" s="9" t="n"/>
      <c r="M143" s="9" t="n"/>
      <c r="N143" s="9" t="n"/>
      <c r="O143" s="40">
        <f>K143+V143-AE143-AZ143</f>
        <v/>
      </c>
      <c r="P143" s="12" t="n"/>
      <c r="Q143" s="138" t="n"/>
      <c r="R143" s="16" t="n"/>
      <c r="S143" s="139" t="n"/>
      <c r="T143" s="16" t="n"/>
      <c r="U143" s="139" t="n"/>
      <c r="V143" s="16">
        <f>P143+R143+T143</f>
        <v/>
      </c>
      <c r="W143" s="16" t="n"/>
      <c r="X143" s="139" t="n"/>
      <c r="Y143" s="16" t="n"/>
      <c r="Z143" s="139" t="n"/>
      <c r="AA143" s="16" t="n"/>
      <c r="AB143" s="139" t="n"/>
      <c r="AC143" s="16" t="n"/>
      <c r="AD143" s="139" t="n"/>
      <c r="AE143" s="16">
        <f>(W143+Y143+AA143+AC143)</f>
        <v/>
      </c>
      <c r="AF143" s="140" t="n"/>
      <c r="AG143" s="138" t="n"/>
      <c r="AH143" s="16" t="n"/>
      <c r="AI143" s="138" t="n"/>
      <c r="AJ143" s="16" t="n"/>
      <c r="AK143" s="138" t="n"/>
      <c r="AL143" s="16" t="n"/>
      <c r="AM143" s="138" t="n"/>
      <c r="AN143" s="16" t="n"/>
      <c r="AO143" s="138" t="n"/>
      <c r="AP143" s="16" t="n"/>
      <c r="AQ143" s="138" t="n"/>
      <c r="AR143" s="16" t="n"/>
      <c r="AS143" s="138" t="n"/>
      <c r="AT143" s="16" t="n"/>
      <c r="AU143" s="138" t="n"/>
      <c r="AV143" s="16" t="n"/>
      <c r="AW143" s="138" t="n"/>
      <c r="AX143" s="16" t="n"/>
      <c r="AY143" s="138" t="n"/>
      <c r="AZ143" s="16">
        <f>AF143+AH143+AJ143+AL143+AN143+AP143+AR143+AT143+AV143+AX143</f>
        <v/>
      </c>
      <c r="BA143" s="16" t="n"/>
      <c r="BB143" s="139" t="n"/>
      <c r="BC143" s="16" t="n"/>
      <c r="BD143" s="139" t="n"/>
      <c r="BE143" s="16">
        <f>(BA143+BC143)</f>
        <v/>
      </c>
    </row>
    <row r="144" ht="22.5" customFormat="1" customHeight="1" s="8">
      <c r="A144" s="9" t="n"/>
      <c r="B144" s="141" t="inlineStr">
        <is>
          <t>아크릴</t>
        </is>
      </c>
      <c r="C144" s="137" t="inlineStr">
        <is>
          <t>DX3000</t>
        </is>
      </c>
      <c r="D144" s="62" t="inlineStr">
        <is>
          <t>EX LED (우)</t>
        </is>
      </c>
      <c r="E144" s="36" t="inlineStr">
        <is>
          <t>확산 아크릴</t>
        </is>
      </c>
      <c r="F144" s="100" t="n"/>
      <c r="G144" s="22" t="n"/>
      <c r="H144" s="22" t="inlineStr">
        <is>
          <t>천우</t>
        </is>
      </c>
      <c r="I144" s="14" t="n"/>
      <c r="J144" s="14" t="n"/>
      <c r="K144" s="12" t="n">
        <v>300</v>
      </c>
      <c r="L144" s="9" t="n"/>
      <c r="M144" s="9" t="n"/>
      <c r="N144" s="9" t="n"/>
      <c r="O144" s="40">
        <f>K144+V144-AE144-AZ144</f>
        <v/>
      </c>
      <c r="P144" s="12" t="n"/>
      <c r="Q144" s="138" t="n"/>
      <c r="R144" s="16" t="n"/>
      <c r="S144" s="139" t="n"/>
      <c r="T144" s="16" t="n"/>
      <c r="U144" s="139" t="n"/>
      <c r="V144" s="16">
        <f>P144+R144+T144</f>
        <v/>
      </c>
      <c r="W144" s="16" t="n"/>
      <c r="X144" s="139" t="n"/>
      <c r="Y144" s="16" t="n"/>
      <c r="Z144" s="139" t="n"/>
      <c r="AA144" s="16" t="n"/>
      <c r="AB144" s="139" t="n"/>
      <c r="AC144" s="16" t="n"/>
      <c r="AD144" s="139" t="n"/>
      <c r="AE144" s="16">
        <f>(W144+Y144+AA144+AC144)</f>
        <v/>
      </c>
      <c r="AF144" s="140" t="n"/>
      <c r="AG144" s="138" t="n"/>
      <c r="AH144" s="16" t="n"/>
      <c r="AI144" s="138" t="n"/>
      <c r="AJ144" s="16" t="n"/>
      <c r="AK144" s="138" t="n"/>
      <c r="AL144" s="16" t="n"/>
      <c r="AM144" s="138" t="n"/>
      <c r="AN144" s="16" t="n"/>
      <c r="AO144" s="138" t="n"/>
      <c r="AP144" s="16" t="n"/>
      <c r="AQ144" s="138" t="n"/>
      <c r="AR144" s="16" t="n"/>
      <c r="AS144" s="138" t="n"/>
      <c r="AT144" s="16" t="n"/>
      <c r="AU144" s="138" t="n"/>
      <c r="AV144" s="16" t="n"/>
      <c r="AW144" s="138" t="n"/>
      <c r="AX144" s="16" t="n"/>
      <c r="AY144" s="138" t="n"/>
      <c r="AZ144" s="16">
        <f>AF144+AH144+AJ144+AL144+AN144+AP144+AR144+AT144+AV144+AX144</f>
        <v/>
      </c>
      <c r="BA144" s="16" t="n"/>
      <c r="BB144" s="139" t="n"/>
      <c r="BC144" s="16" t="n"/>
      <c r="BD144" s="139" t="n"/>
      <c r="BE144" s="16">
        <f>(BA144+BC144)</f>
        <v/>
      </c>
    </row>
    <row r="145" ht="22.5" customFormat="1" customHeight="1" s="8">
      <c r="A145" s="9" t="n"/>
      <c r="B145" s="136" t="inlineStr">
        <is>
          <t>아크릴</t>
        </is>
      </c>
      <c r="C145" s="137" t="inlineStr">
        <is>
          <t>DX3000</t>
        </is>
      </c>
      <c r="D145" s="144" t="inlineStr">
        <is>
          <t>메디컬용 십자아크릴 (66*66)</t>
        </is>
      </c>
      <c r="E145" s="13" t="n"/>
      <c r="F145" s="100" t="n"/>
      <c r="G145" s="9" t="n"/>
      <c r="H145" s="9" t="n"/>
      <c r="I145" s="14" t="n"/>
      <c r="J145" s="14" t="n"/>
      <c r="K145" s="12" t="n">
        <v>124</v>
      </c>
      <c r="L145" s="9" t="n"/>
      <c r="M145" s="9" t="n"/>
      <c r="N145" s="9" t="n"/>
      <c r="O145" s="40">
        <f>K145+V145-AE145-AZ145</f>
        <v/>
      </c>
      <c r="P145" s="12" t="n"/>
      <c r="Q145" s="138" t="n"/>
      <c r="R145" s="16" t="n"/>
      <c r="S145" s="139" t="n"/>
      <c r="T145" s="16" t="n"/>
      <c r="U145" s="139" t="n"/>
      <c r="V145" s="16">
        <f>P145+R145+T145</f>
        <v/>
      </c>
      <c r="W145" s="16" t="n"/>
      <c r="X145" s="139" t="n"/>
      <c r="Y145" s="16" t="n"/>
      <c r="Z145" s="139" t="n"/>
      <c r="AA145" s="16" t="n"/>
      <c r="AB145" s="139" t="n"/>
      <c r="AC145" s="16" t="n"/>
      <c r="AD145" s="139" t="n"/>
      <c r="AE145" s="16">
        <f>(W145+Y145+AA145+AC145)</f>
        <v/>
      </c>
      <c r="AF145" s="140" t="n"/>
      <c r="AG145" s="138" t="n"/>
      <c r="AH145" s="16" t="n"/>
      <c r="AI145" s="138" t="n"/>
      <c r="AJ145" s="16" t="n"/>
      <c r="AK145" s="138" t="n"/>
      <c r="AL145" s="16" t="n"/>
      <c r="AM145" s="138" t="n"/>
      <c r="AN145" s="16" t="n"/>
      <c r="AO145" s="138" t="n"/>
      <c r="AP145" s="16" t="n"/>
      <c r="AQ145" s="138" t="n"/>
      <c r="AR145" s="16" t="n"/>
      <c r="AS145" s="138" t="n"/>
      <c r="AT145" s="16" t="n"/>
      <c r="AU145" s="138" t="n"/>
      <c r="AV145" s="16" t="n"/>
      <c r="AW145" s="138" t="n"/>
      <c r="AX145" s="16" t="n"/>
      <c r="AY145" s="138" t="n"/>
      <c r="AZ145" s="16">
        <f>AF145+AH145+AJ145+AL145+AN145+AP145+AR145+AT145+AV145+AX145</f>
        <v/>
      </c>
      <c r="BA145" s="16" t="n"/>
      <c r="BB145" s="139" t="n"/>
      <c r="BC145" s="16" t="n"/>
      <c r="BD145" s="139" t="n"/>
      <c r="BE145" s="16">
        <f>(BA145+BC145)</f>
        <v/>
      </c>
    </row>
    <row r="146" ht="22.5" customFormat="1" customHeight="1" s="8">
      <c r="A146" s="9" t="n"/>
      <c r="B146" s="136" t="inlineStr">
        <is>
          <t>AL</t>
        </is>
      </c>
      <c r="C146" s="137" t="inlineStr">
        <is>
          <t>DX3000</t>
        </is>
      </c>
      <c r="D146" s="144" t="inlineStr">
        <is>
          <t>알루미늄 필터</t>
        </is>
      </c>
      <c r="E146" s="13" t="inlineStr">
        <is>
          <t>0.8T * Φ63</t>
        </is>
      </c>
      <c r="F146" s="100" t="n"/>
      <c r="G146" s="9" t="n"/>
      <c r="H146" s="9" t="inlineStr">
        <is>
          <t>광전레이저</t>
        </is>
      </c>
      <c r="I146" s="14" t="n"/>
      <c r="J146" s="14" t="n"/>
      <c r="K146" s="12" t="n">
        <v>652</v>
      </c>
      <c r="L146" s="9" t="n"/>
      <c r="M146" s="9" t="n"/>
      <c r="N146" s="9" t="n"/>
      <c r="O146" s="40">
        <f>K146+V146-AE146-AZ146</f>
        <v/>
      </c>
      <c r="P146" s="12" t="n"/>
      <c r="Q146" s="138" t="n"/>
      <c r="R146" s="16" t="n"/>
      <c r="S146" s="139" t="n"/>
      <c r="T146" s="16" t="n"/>
      <c r="U146" s="139" t="n"/>
      <c r="V146" s="16">
        <f>P146+R146+T146</f>
        <v/>
      </c>
      <c r="W146" s="16" t="n"/>
      <c r="X146" s="139" t="n"/>
      <c r="Y146" s="16" t="n"/>
      <c r="Z146" s="139" t="n"/>
      <c r="AA146" s="16" t="n"/>
      <c r="AB146" s="139" t="n"/>
      <c r="AC146" s="16" t="n"/>
      <c r="AD146" s="139" t="n"/>
      <c r="AE146" s="16">
        <f>(W146+Y146+AA146+AC146)</f>
        <v/>
      </c>
      <c r="AF146" s="140" t="n"/>
      <c r="AG146" s="138" t="n"/>
      <c r="AH146" s="16" t="n"/>
      <c r="AI146" s="138" t="n"/>
      <c r="AJ146" s="16" t="n"/>
      <c r="AK146" s="138" t="n"/>
      <c r="AL146" s="16" t="n"/>
      <c r="AM146" s="138" t="n"/>
      <c r="AN146" s="16" t="n"/>
      <c r="AO146" s="138" t="n"/>
      <c r="AP146" s="16" t="n"/>
      <c r="AQ146" s="138" t="n"/>
      <c r="AR146" s="16" t="n"/>
      <c r="AS146" s="138" t="n"/>
      <c r="AT146" s="16" t="n"/>
      <c r="AU146" s="138" t="n"/>
      <c r="AV146" s="16" t="n"/>
      <c r="AW146" s="138" t="n"/>
      <c r="AX146" s="16" t="n"/>
      <c r="AY146" s="138" t="n"/>
      <c r="AZ146" s="16">
        <f>AF146+AH146+AJ146+AL146+AN146+AP146+AR146+AT146+AV146+AX146</f>
        <v/>
      </c>
      <c r="BA146" s="16" t="n"/>
      <c r="BB146" s="139" t="n"/>
      <c r="BC146" s="16" t="n"/>
      <c r="BD146" s="139" t="n"/>
      <c r="BE146" s="16">
        <f>(BA146+BC146)</f>
        <v/>
      </c>
    </row>
    <row r="147" ht="22.5" customFormat="1" customHeight="1" s="8">
      <c r="A147" s="9" t="n"/>
      <c r="B147" s="136" t="inlineStr">
        <is>
          <t>AL</t>
        </is>
      </c>
      <c r="C147" s="137" t="inlineStr">
        <is>
          <t>DX3000</t>
        </is>
      </c>
      <c r="D147" s="143" t="inlineStr">
        <is>
          <t>알루미늄 필터</t>
        </is>
      </c>
      <c r="E147" s="13" t="inlineStr">
        <is>
          <t>1.5T * Φ63 일본 동물용</t>
        </is>
      </c>
      <c r="F147" s="100" t="n"/>
      <c r="G147" s="9" t="n"/>
      <c r="H147" s="9" t="inlineStr">
        <is>
          <t>광전레이저</t>
        </is>
      </c>
      <c r="I147" s="14" t="n"/>
      <c r="J147" s="14" t="n"/>
      <c r="K147" s="12" t="n">
        <v>34</v>
      </c>
      <c r="L147" s="9" t="n"/>
      <c r="M147" s="9" t="n"/>
      <c r="N147" s="9" t="n"/>
      <c r="O147" s="40">
        <f>K147+V147-AE147-AZ147</f>
        <v/>
      </c>
      <c r="P147" s="12" t="n"/>
      <c r="Q147" s="138" t="n"/>
      <c r="R147" s="16" t="n"/>
      <c r="S147" s="139" t="n"/>
      <c r="T147" s="16" t="n"/>
      <c r="U147" s="139" t="n"/>
      <c r="V147" s="16">
        <f>P147+R147+T147</f>
        <v/>
      </c>
      <c r="W147" s="16" t="n"/>
      <c r="X147" s="139" t="n"/>
      <c r="Y147" s="16" t="n"/>
      <c r="Z147" s="139" t="n"/>
      <c r="AA147" s="16" t="n"/>
      <c r="AB147" s="139" t="n"/>
      <c r="AC147" s="16" t="n"/>
      <c r="AD147" s="139" t="n"/>
      <c r="AE147" s="16">
        <f>(W147+Y147+AA147+AC147)</f>
        <v/>
      </c>
      <c r="AF147" s="140" t="n"/>
      <c r="AG147" s="138" t="n"/>
      <c r="AH147" s="16" t="n"/>
      <c r="AI147" s="138" t="n"/>
      <c r="AJ147" s="16" t="n"/>
      <c r="AK147" s="138" t="n"/>
      <c r="AL147" s="16" t="n"/>
      <c r="AM147" s="138" t="n"/>
      <c r="AN147" s="16" t="n"/>
      <c r="AO147" s="138" t="n"/>
      <c r="AP147" s="16" t="n"/>
      <c r="AQ147" s="138" t="n"/>
      <c r="AR147" s="16" t="n"/>
      <c r="AS147" s="138" t="n"/>
      <c r="AT147" s="16" t="n"/>
      <c r="AU147" s="138" t="n"/>
      <c r="AV147" s="16" t="n"/>
      <c r="AW147" s="138" t="n"/>
      <c r="AX147" s="16" t="n"/>
      <c r="AY147" s="138" t="n"/>
      <c r="AZ147" s="16">
        <f>AF147+AH147+AJ147+AL147+AN147+AP147+AR147+AT147+AV147+AX147</f>
        <v/>
      </c>
      <c r="BA147" s="16" t="n"/>
      <c r="BB147" s="139" t="n"/>
      <c r="BC147" s="16" t="n"/>
      <c r="BD147" s="139" t="n"/>
      <c r="BE147" s="16">
        <f>(BA147+BC147)</f>
        <v/>
      </c>
    </row>
    <row r="148" ht="22.5" customFormat="1" customHeight="1" s="8">
      <c r="A148" s="9" t="n"/>
      <c r="B148" s="136" t="inlineStr">
        <is>
          <t>인조가죽</t>
        </is>
      </c>
      <c r="C148" s="137" t="inlineStr">
        <is>
          <t>DX3000</t>
        </is>
      </c>
      <c r="D148" s="143" t="inlineStr">
        <is>
          <t>HAND STRAP 손잡이</t>
        </is>
      </c>
      <c r="E148" s="13" t="inlineStr">
        <is>
          <t>인조 가죽</t>
        </is>
      </c>
      <c r="F148" s="100" t="n"/>
      <c r="G148" s="9" t="n"/>
      <c r="H148" s="9" t="inlineStr">
        <is>
          <t>굿모닝코리아유통</t>
        </is>
      </c>
      <c r="I148" s="14" t="n"/>
      <c r="J148" s="14" t="n"/>
      <c r="K148" s="12" t="n">
        <v>0</v>
      </c>
      <c r="L148" s="9" t="n"/>
      <c r="M148" s="9" t="n"/>
      <c r="N148" s="9" t="n"/>
      <c r="O148" s="40">
        <f>K148+V148-AE148-AZ148</f>
        <v/>
      </c>
      <c r="P148" s="12" t="n"/>
      <c r="Q148" s="138" t="n"/>
      <c r="R148" s="16" t="n"/>
      <c r="S148" s="139" t="n"/>
      <c r="T148" s="16" t="n"/>
      <c r="U148" s="139" t="n"/>
      <c r="V148" s="16">
        <f>P148+R148+T148</f>
        <v/>
      </c>
      <c r="W148" s="16" t="n"/>
      <c r="X148" s="139" t="n"/>
      <c r="Y148" s="16" t="n"/>
      <c r="Z148" s="139" t="n"/>
      <c r="AA148" s="16" t="n"/>
      <c r="AB148" s="139" t="n"/>
      <c r="AC148" s="16" t="n"/>
      <c r="AD148" s="139" t="n"/>
      <c r="AE148" s="16">
        <f>(W148+Y148+AA148+AC148)</f>
        <v/>
      </c>
      <c r="AF148" s="140" t="n"/>
      <c r="AG148" s="138" t="n"/>
      <c r="AH148" s="16" t="n"/>
      <c r="AI148" s="138" t="n"/>
      <c r="AJ148" s="16" t="n"/>
      <c r="AK148" s="138" t="n"/>
      <c r="AL148" s="16" t="n"/>
      <c r="AM148" s="138" t="n"/>
      <c r="AN148" s="16" t="n"/>
      <c r="AO148" s="138" t="n"/>
      <c r="AP148" s="16" t="n"/>
      <c r="AQ148" s="138" t="n"/>
      <c r="AR148" s="16" t="n"/>
      <c r="AS148" s="138" t="n"/>
      <c r="AT148" s="16" t="n"/>
      <c r="AU148" s="138" t="n"/>
      <c r="AV148" s="16" t="n"/>
      <c r="AW148" s="138" t="n"/>
      <c r="AX148" s="16" t="n"/>
      <c r="AY148" s="138" t="n"/>
      <c r="AZ148" s="16">
        <f>AF148+AH148+AJ148+AL148+AN148+AP148+AR148+AT148+AV148+AX148</f>
        <v/>
      </c>
      <c r="BA148" s="16" t="n"/>
      <c r="BB148" s="139" t="n"/>
      <c r="BC148" s="16" t="n"/>
      <c r="BD148" s="139" t="n"/>
      <c r="BE148" s="16">
        <f>(BA148+BC148)</f>
        <v/>
      </c>
    </row>
    <row r="149" ht="22.5" customFormat="1" customHeight="1" s="8">
      <c r="A149" s="9" t="n"/>
      <c r="B149" s="136" t="inlineStr">
        <is>
          <t>인조가죽</t>
        </is>
      </c>
      <c r="C149" s="137" t="inlineStr">
        <is>
          <t>DX3000</t>
        </is>
      </c>
      <c r="D149" s="143" t="inlineStr">
        <is>
          <t>HAND STRAP 손잡이 (로고 없음)</t>
        </is>
      </c>
      <c r="E149" s="13" t="inlineStr">
        <is>
          <t>인조 가죽</t>
        </is>
      </c>
      <c r="F149" s="100" t="n"/>
      <c r="G149" s="9" t="n"/>
      <c r="H149" s="9" t="inlineStr">
        <is>
          <t>굿모닝코리아유통</t>
        </is>
      </c>
      <c r="I149" s="14" t="n"/>
      <c r="J149" s="14" t="n"/>
      <c r="K149" s="12" t="n">
        <v>240</v>
      </c>
      <c r="L149" s="9" t="n"/>
      <c r="M149" s="9" t="n"/>
      <c r="N149" s="9" t="n"/>
      <c r="O149" s="40">
        <f>K149+V149-AE149-AZ149</f>
        <v/>
      </c>
      <c r="P149" s="12" t="n"/>
      <c r="Q149" s="138" t="n"/>
      <c r="R149" s="16" t="n"/>
      <c r="S149" s="139" t="n"/>
      <c r="T149" s="16" t="n"/>
      <c r="U149" s="139" t="n"/>
      <c r="V149" s="16">
        <f>P149+R149+T149</f>
        <v/>
      </c>
      <c r="W149" s="16" t="n"/>
      <c r="X149" s="139" t="n"/>
      <c r="Y149" s="16" t="n"/>
      <c r="Z149" s="139" t="n"/>
      <c r="AA149" s="16" t="n"/>
      <c r="AB149" s="139" t="n"/>
      <c r="AC149" s="16" t="n"/>
      <c r="AD149" s="139" t="n"/>
      <c r="AE149" s="16">
        <f>(W149+Y149+AA149+AC149)</f>
        <v/>
      </c>
      <c r="AF149" s="140" t="n"/>
      <c r="AG149" s="138" t="n"/>
      <c r="AH149" s="16" t="n"/>
      <c r="AI149" s="138" t="n"/>
      <c r="AJ149" s="16" t="n"/>
      <c r="AK149" s="138" t="n"/>
      <c r="AL149" s="16" t="n"/>
      <c r="AM149" s="138" t="n"/>
      <c r="AN149" s="16" t="n"/>
      <c r="AO149" s="138" t="n"/>
      <c r="AP149" s="16" t="n"/>
      <c r="AQ149" s="138" t="n"/>
      <c r="AR149" s="16" t="n"/>
      <c r="AS149" s="138" t="n"/>
      <c r="AT149" s="16" t="n"/>
      <c r="AU149" s="138" t="n"/>
      <c r="AV149" s="16" t="n"/>
      <c r="AW149" s="138" t="n"/>
      <c r="AX149" s="16" t="n"/>
      <c r="AY149" s="138" t="n"/>
      <c r="AZ149" s="16">
        <f>AF149+AH149+AJ149+AL149+AN149+AP149+AR149+AT149+AV149+AX149</f>
        <v/>
      </c>
      <c r="BA149" s="16" t="n"/>
      <c r="BB149" s="139" t="n"/>
      <c r="BC149" s="16" t="n"/>
      <c r="BD149" s="139" t="n"/>
      <c r="BE149" s="16">
        <f>(BA149+BC149)</f>
        <v/>
      </c>
    </row>
    <row r="150" ht="22.5" customFormat="1" customHeight="1" s="8">
      <c r="A150" s="9" t="n"/>
      <c r="B150" s="136" t="inlineStr">
        <is>
          <t>STEEL</t>
        </is>
      </c>
      <c r="C150" s="137" t="inlineStr">
        <is>
          <t>DX3000, ADX4000W</t>
        </is>
      </c>
      <c r="D150" s="143" t="inlineStr">
        <is>
          <t>고리 1</t>
        </is>
      </c>
      <c r="E150" s="13" t="inlineStr">
        <is>
          <t>니켈 도금</t>
        </is>
      </c>
      <c r="F150" s="100" t="n"/>
      <c r="G150" s="9" t="n"/>
      <c r="H150" s="9" t="inlineStr">
        <is>
          <t>굿모닝코리아유통</t>
        </is>
      </c>
      <c r="I150" s="14" t="n"/>
      <c r="J150" s="14" t="n"/>
      <c r="K150" s="12" t="n">
        <v>407</v>
      </c>
      <c r="L150" s="9" t="n"/>
      <c r="M150" s="9" t="n"/>
      <c r="N150" s="9" t="n"/>
      <c r="O150" s="40">
        <f>K150+V150-AE150-AZ150</f>
        <v/>
      </c>
      <c r="P150" s="12" t="n"/>
      <c r="Q150" s="138" t="n"/>
      <c r="R150" s="16" t="n"/>
      <c r="S150" s="139" t="n"/>
      <c r="T150" s="16" t="n"/>
      <c r="U150" s="139" t="n"/>
      <c r="V150" s="16">
        <f>P150+R150+T150</f>
        <v/>
      </c>
      <c r="W150" s="16" t="n"/>
      <c r="X150" s="139" t="n"/>
      <c r="Y150" s="16" t="n"/>
      <c r="Z150" s="139" t="n"/>
      <c r="AA150" s="16" t="n"/>
      <c r="AB150" s="139" t="n"/>
      <c r="AC150" s="16" t="n"/>
      <c r="AD150" s="139" t="n"/>
      <c r="AE150" s="16">
        <f>(W150+Y150+AA150+AC150)</f>
        <v/>
      </c>
      <c r="AF150" s="140" t="n"/>
      <c r="AG150" s="138" t="n"/>
      <c r="AH150" s="16" t="n"/>
      <c r="AI150" s="138" t="n"/>
      <c r="AJ150" s="16" t="n"/>
      <c r="AK150" s="138" t="n"/>
      <c r="AL150" s="16" t="n"/>
      <c r="AM150" s="138" t="n"/>
      <c r="AN150" s="16" t="n"/>
      <c r="AO150" s="138" t="n"/>
      <c r="AP150" s="16" t="n"/>
      <c r="AQ150" s="138" t="n"/>
      <c r="AR150" s="16" t="n"/>
      <c r="AS150" s="138" t="n"/>
      <c r="AT150" s="16" t="n"/>
      <c r="AU150" s="138" t="n"/>
      <c r="AV150" s="16" t="n"/>
      <c r="AW150" s="138" t="n"/>
      <c r="AX150" s="16" t="n"/>
      <c r="AY150" s="138" t="n"/>
      <c r="AZ150" s="16">
        <f>AF150+AH150+AJ150+AL150+AN150+AP150+AR150+AT150+AV150+AX150</f>
        <v/>
      </c>
      <c r="BA150" s="16" t="n"/>
      <c r="BB150" s="139" t="n"/>
      <c r="BC150" s="16" t="n"/>
      <c r="BD150" s="139" t="n"/>
      <c r="BE150" s="16">
        <f>(BA150+BC150)</f>
        <v/>
      </c>
    </row>
    <row r="151" ht="22.5" customFormat="1" customHeight="1" s="8">
      <c r="A151" s="9" t="n"/>
      <c r="B151" s="136" t="inlineStr">
        <is>
          <t>STEEL</t>
        </is>
      </c>
      <c r="C151" s="137" t="inlineStr">
        <is>
          <t>DX3000</t>
        </is>
      </c>
      <c r="D151" s="143" t="inlineStr">
        <is>
          <t>고리 2</t>
        </is>
      </c>
      <c r="E151" s="13" t="inlineStr">
        <is>
          <t>니켈 도금</t>
        </is>
      </c>
      <c r="F151" s="100" t="n"/>
      <c r="G151" s="9" t="n"/>
      <c r="H151" s="9" t="inlineStr">
        <is>
          <t>굿모닝코리아유통</t>
        </is>
      </c>
      <c r="I151" s="14" t="n"/>
      <c r="J151" s="14" t="n"/>
      <c r="K151" s="12" t="n">
        <v>409</v>
      </c>
      <c r="L151" s="9" t="n"/>
      <c r="M151" s="9" t="n"/>
      <c r="N151" s="9" t="n"/>
      <c r="O151" s="40">
        <f>K151+V151-AE151-AZ151</f>
        <v/>
      </c>
      <c r="P151" s="12" t="n"/>
      <c r="Q151" s="138" t="n"/>
      <c r="R151" s="16" t="n"/>
      <c r="S151" s="139" t="n"/>
      <c r="T151" s="16" t="n"/>
      <c r="U151" s="139" t="n"/>
      <c r="V151" s="16">
        <f>P151+R151+T151</f>
        <v/>
      </c>
      <c r="W151" s="16" t="n"/>
      <c r="X151" s="139" t="n"/>
      <c r="Y151" s="16" t="n"/>
      <c r="Z151" s="139" t="n"/>
      <c r="AA151" s="16" t="n"/>
      <c r="AB151" s="139" t="n"/>
      <c r="AC151" s="16" t="n"/>
      <c r="AD151" s="139" t="n"/>
      <c r="AE151" s="16">
        <f>(W151+Y151+AA151+AC151)</f>
        <v/>
      </c>
      <c r="AF151" s="140" t="n"/>
      <c r="AG151" s="138" t="n"/>
      <c r="AH151" s="16" t="n"/>
      <c r="AI151" s="138" t="n"/>
      <c r="AJ151" s="16" t="n"/>
      <c r="AK151" s="138" t="n"/>
      <c r="AL151" s="16" t="n"/>
      <c r="AM151" s="138" t="n"/>
      <c r="AN151" s="16" t="n"/>
      <c r="AO151" s="138" t="n"/>
      <c r="AP151" s="16" t="n"/>
      <c r="AQ151" s="138" t="n"/>
      <c r="AR151" s="16" t="n"/>
      <c r="AS151" s="138" t="n"/>
      <c r="AT151" s="16" t="n"/>
      <c r="AU151" s="138" t="n"/>
      <c r="AV151" s="16" t="n"/>
      <c r="AW151" s="138" t="n"/>
      <c r="AX151" s="16" t="n"/>
      <c r="AY151" s="138" t="n"/>
      <c r="AZ151" s="16">
        <f>AF151+AH151+AJ151+AL151+AN151+AP151+AR151+AT151+AV151+AX151</f>
        <v/>
      </c>
      <c r="BA151" s="16" t="n"/>
      <c r="BB151" s="139" t="n"/>
      <c r="BC151" s="16" t="n"/>
      <c r="BD151" s="139" t="n"/>
      <c r="BE151" s="16">
        <f>(BA151+BC151)</f>
        <v/>
      </c>
    </row>
    <row r="152" ht="22.5" customFormat="1" customHeight="1" s="8">
      <c r="A152" s="9" t="n"/>
      <c r="B152" s="141" t="inlineStr">
        <is>
          <t>PCB</t>
        </is>
      </c>
      <c r="C152" s="137" t="inlineStr">
        <is>
          <t>COCOON</t>
        </is>
      </c>
      <c r="D152" s="70" t="inlineStr">
        <is>
          <t>CTR B/D</t>
        </is>
      </c>
      <c r="E152" s="36" t="n"/>
      <c r="F152" s="100" t="n"/>
      <c r="G152" s="22" t="n"/>
      <c r="H152" s="22" t="inlineStr">
        <is>
          <t>HLP</t>
        </is>
      </c>
      <c r="I152" s="14" t="n"/>
      <c r="J152" s="14" t="n"/>
      <c r="K152" s="12" t="n">
        <v>0</v>
      </c>
      <c r="L152" s="9" t="n"/>
      <c r="M152" s="9" t="n"/>
      <c r="N152" s="9" t="n"/>
      <c r="O152" s="40">
        <f>K152+V152-AE152-AZ152</f>
        <v/>
      </c>
      <c r="P152" s="12" t="n"/>
      <c r="Q152" s="138" t="n"/>
      <c r="R152" s="16" t="n"/>
      <c r="S152" s="139" t="n"/>
      <c r="T152" s="16" t="n"/>
      <c r="U152" s="139" t="n"/>
      <c r="V152" s="16">
        <f>P152+R152+T152</f>
        <v/>
      </c>
      <c r="W152" s="16" t="n"/>
      <c r="X152" s="139" t="n"/>
      <c r="Y152" s="16" t="n"/>
      <c r="Z152" s="139" t="n"/>
      <c r="AA152" s="16" t="n"/>
      <c r="AB152" s="139" t="n"/>
      <c r="AC152" s="16" t="n"/>
      <c r="AD152" s="139" t="n"/>
      <c r="AE152" s="16">
        <f>(W152+Y152+AA152+AC152)</f>
        <v/>
      </c>
      <c r="AF152" s="140" t="n"/>
      <c r="AG152" s="138" t="n"/>
      <c r="AH152" s="16" t="n"/>
      <c r="AI152" s="138" t="n"/>
      <c r="AJ152" s="16" t="n"/>
      <c r="AK152" s="138" t="n"/>
      <c r="AL152" s="16" t="n"/>
      <c r="AM152" s="138" t="n"/>
      <c r="AN152" s="16" t="n"/>
      <c r="AO152" s="138" t="n"/>
      <c r="AP152" s="16" t="n"/>
      <c r="AQ152" s="138" t="n"/>
      <c r="AR152" s="16" t="n"/>
      <c r="AS152" s="138" t="n"/>
      <c r="AT152" s="16" t="n"/>
      <c r="AU152" s="138" t="n"/>
      <c r="AV152" s="16" t="n"/>
      <c r="AW152" s="138" t="n"/>
      <c r="AX152" s="16" t="n"/>
      <c r="AY152" s="138" t="n"/>
      <c r="AZ152" s="16">
        <f>AF152+AH152+AJ152+AL152+AN152+AP152+AR152+AT152+AV152+AX152</f>
        <v/>
      </c>
      <c r="BA152" s="16" t="n"/>
      <c r="BB152" s="139" t="n"/>
      <c r="BC152" s="16" t="n"/>
      <c r="BD152" s="139" t="n"/>
      <c r="BE152" s="16">
        <f>(BA152+BC152)</f>
        <v/>
      </c>
    </row>
    <row r="153" ht="22.5" customFormat="1" customHeight="1" s="8">
      <c r="A153" s="9" t="n"/>
      <c r="B153" s="141" t="inlineStr">
        <is>
          <t>PCB</t>
        </is>
      </c>
      <c r="C153" s="137" t="inlineStr">
        <is>
          <t>COCOON</t>
        </is>
      </c>
      <c r="D153" s="62" t="inlineStr">
        <is>
          <t>FET B/D</t>
        </is>
      </c>
      <c r="E153" s="36" t="inlineStr">
        <is>
          <t xml:space="preserve"> + 56 (교체전)</t>
        </is>
      </c>
      <c r="F153" s="100" t="n"/>
      <c r="G153" s="22" t="n"/>
      <c r="H153" s="22" t="inlineStr">
        <is>
          <t>HLP</t>
        </is>
      </c>
      <c r="I153" s="14" t="n"/>
      <c r="J153" s="14" t="n"/>
      <c r="K153" s="12" t="n">
        <v>93</v>
      </c>
      <c r="L153" s="9" t="n"/>
      <c r="M153" s="9" t="n"/>
      <c r="N153" s="9" t="n"/>
      <c r="O153" s="40">
        <f>K153+V153-AE153-AZ153</f>
        <v/>
      </c>
      <c r="P153" s="12" t="n"/>
      <c r="Q153" s="138" t="n"/>
      <c r="R153" s="16" t="n"/>
      <c r="S153" s="139" t="n"/>
      <c r="T153" s="16" t="n"/>
      <c r="U153" s="139" t="n"/>
      <c r="V153" s="16">
        <f>P153+R153+T153</f>
        <v/>
      </c>
      <c r="W153" s="16" t="n"/>
      <c r="X153" s="139" t="n"/>
      <c r="Y153" s="16" t="n"/>
      <c r="Z153" s="139" t="n"/>
      <c r="AA153" s="16" t="n"/>
      <c r="AB153" s="139" t="n"/>
      <c r="AC153" s="16" t="n"/>
      <c r="AD153" s="139" t="n"/>
      <c r="AE153" s="16">
        <f>(W153+Y153+AA153+AC153)</f>
        <v/>
      </c>
      <c r="AF153" s="140" t="n"/>
      <c r="AG153" s="138" t="n"/>
      <c r="AH153" s="16" t="n"/>
      <c r="AI153" s="138" t="n"/>
      <c r="AJ153" s="16" t="n"/>
      <c r="AK153" s="138" t="n"/>
      <c r="AL153" s="16" t="n"/>
      <c r="AM153" s="138" t="n"/>
      <c r="AN153" s="16" t="n"/>
      <c r="AO153" s="138" t="n"/>
      <c r="AP153" s="16" t="n"/>
      <c r="AQ153" s="138" t="n"/>
      <c r="AR153" s="16" t="n"/>
      <c r="AS153" s="138" t="n"/>
      <c r="AT153" s="16" t="n"/>
      <c r="AU153" s="138" t="n"/>
      <c r="AV153" s="16" t="n"/>
      <c r="AW153" s="138" t="n"/>
      <c r="AX153" s="16" t="n"/>
      <c r="AY153" s="138" t="n"/>
      <c r="AZ153" s="16">
        <f>AF153+AH153+AJ153+AL153+AN153+AP153+AR153+AT153+AV153+AX153</f>
        <v/>
      </c>
      <c r="BA153" s="16" t="n"/>
      <c r="BB153" s="139" t="n"/>
      <c r="BC153" s="16" t="n"/>
      <c r="BD153" s="139" t="n"/>
      <c r="BE153" s="16">
        <f>(BA153+BC153)</f>
        <v/>
      </c>
    </row>
    <row r="154" ht="22.5" customFormat="1" customHeight="1" s="8">
      <c r="A154" s="9" t="n"/>
      <c r="B154" s="136" t="inlineStr">
        <is>
          <t>PCB</t>
        </is>
      </c>
      <c r="C154" s="137" t="inlineStr">
        <is>
          <t>COCOON</t>
        </is>
      </c>
      <c r="D154" s="145" t="inlineStr">
        <is>
          <t>POWER SWITCH BD</t>
        </is>
      </c>
      <c r="E154" s="13" t="n"/>
      <c r="F154" s="100" t="n"/>
      <c r="G154" s="9" t="n"/>
      <c r="H154" s="9" t="inlineStr">
        <is>
          <t>HLP</t>
        </is>
      </c>
      <c r="I154" s="14" t="n"/>
      <c r="J154" s="14" t="n"/>
      <c r="K154" s="12" t="n">
        <v>755</v>
      </c>
      <c r="L154" s="9" t="n"/>
      <c r="M154" s="9" t="n"/>
      <c r="N154" s="9" t="n"/>
      <c r="O154" s="40">
        <f>K154+V154-AE154-AZ154</f>
        <v/>
      </c>
      <c r="P154" s="12" t="n"/>
      <c r="Q154" s="138" t="n"/>
      <c r="R154" s="16" t="n"/>
      <c r="S154" s="139" t="n"/>
      <c r="T154" s="16" t="n"/>
      <c r="U154" s="139" t="n"/>
      <c r="V154" s="16">
        <f>P154+R154+T154</f>
        <v/>
      </c>
      <c r="W154" s="16" t="n"/>
      <c r="X154" s="139" t="n"/>
      <c r="Y154" s="16" t="n"/>
      <c r="Z154" s="139" t="n"/>
      <c r="AA154" s="16" t="n"/>
      <c r="AB154" s="139" t="n"/>
      <c r="AC154" s="16" t="n"/>
      <c r="AD154" s="139" t="n"/>
      <c r="AE154" s="16">
        <f>(W154+Y154+AA154+AC154)</f>
        <v/>
      </c>
      <c r="AF154" s="140" t="n"/>
      <c r="AG154" s="138" t="n"/>
      <c r="AH154" s="16" t="n"/>
      <c r="AI154" s="138" t="n"/>
      <c r="AJ154" s="16" t="n"/>
      <c r="AK154" s="138" t="n"/>
      <c r="AL154" s="16" t="n"/>
      <c r="AM154" s="138" t="n"/>
      <c r="AN154" s="16" t="n"/>
      <c r="AO154" s="138" t="n"/>
      <c r="AP154" s="16" t="n"/>
      <c r="AQ154" s="138" t="n"/>
      <c r="AR154" s="16" t="n"/>
      <c r="AS154" s="138" t="n"/>
      <c r="AT154" s="16" t="n"/>
      <c r="AU154" s="138" t="n"/>
      <c r="AV154" s="16" t="n"/>
      <c r="AW154" s="138" t="n"/>
      <c r="AX154" s="16" t="n"/>
      <c r="AY154" s="138" t="n"/>
      <c r="AZ154" s="16">
        <f>AF154+AH154+AJ154+AL154+AN154+AP154+AR154+AT154+AV154+AX154</f>
        <v/>
      </c>
      <c r="BA154" s="16" t="n"/>
      <c r="BB154" s="139" t="n"/>
      <c r="BC154" s="16" t="n"/>
      <c r="BD154" s="139" t="n"/>
      <c r="BE154" s="16">
        <f>(BA154+BC154)</f>
        <v/>
      </c>
    </row>
    <row r="155" ht="22.5" customFormat="1" customHeight="1" s="8">
      <c r="A155" s="9" t="n"/>
      <c r="B155" s="136" t="inlineStr">
        <is>
          <t>PCB</t>
        </is>
      </c>
      <c r="C155" s="137" t="inlineStr">
        <is>
          <t>COCOON</t>
        </is>
      </c>
      <c r="D155" s="82" t="inlineStr">
        <is>
          <t>POWER SWITCH BD (Ver 3.0.0)</t>
        </is>
      </c>
      <c r="E155" s="13" t="n"/>
      <c r="F155" s="100" t="n"/>
      <c r="G155" s="9" t="n"/>
      <c r="H155" s="9" t="inlineStr">
        <is>
          <t>HLP</t>
        </is>
      </c>
      <c r="I155" s="14" t="n"/>
      <c r="J155" s="14" t="n"/>
      <c r="K155" s="12" t="n">
        <v>98</v>
      </c>
      <c r="L155" s="9" t="n"/>
      <c r="M155" s="9" t="n"/>
      <c r="N155" s="9" t="n"/>
      <c r="O155" s="40">
        <f>K155+V155-AE155-AZ155</f>
        <v/>
      </c>
      <c r="P155" s="12" t="n"/>
      <c r="Q155" s="138" t="n"/>
      <c r="R155" s="16" t="n"/>
      <c r="S155" s="139" t="n"/>
      <c r="T155" s="16" t="n"/>
      <c r="U155" s="139" t="n"/>
      <c r="V155" s="16">
        <f>P155+R155+T155</f>
        <v/>
      </c>
      <c r="W155" s="16" t="n"/>
      <c r="X155" s="139" t="n"/>
      <c r="Y155" s="16" t="n"/>
      <c r="Z155" s="139" t="n"/>
      <c r="AA155" s="16" t="n"/>
      <c r="AB155" s="139" t="n"/>
      <c r="AC155" s="16" t="n"/>
      <c r="AD155" s="139" t="n"/>
      <c r="AE155" s="16">
        <f>(W155+Y155+AA155+AC155)</f>
        <v/>
      </c>
      <c r="AF155" s="140" t="n"/>
      <c r="AG155" s="138" t="n"/>
      <c r="AH155" s="16" t="n"/>
      <c r="AI155" s="138" t="n"/>
      <c r="AJ155" s="16" t="n"/>
      <c r="AK155" s="138" t="n"/>
      <c r="AL155" s="16" t="n"/>
      <c r="AM155" s="138" t="n"/>
      <c r="AN155" s="16" t="n"/>
      <c r="AO155" s="138" t="n"/>
      <c r="AP155" s="16" t="n"/>
      <c r="AQ155" s="138" t="n"/>
      <c r="AR155" s="16" t="n"/>
      <c r="AS155" s="138" t="n"/>
      <c r="AT155" s="16" t="n"/>
      <c r="AU155" s="138" t="n"/>
      <c r="AV155" s="16" t="n"/>
      <c r="AW155" s="138" t="n"/>
      <c r="AX155" s="16" t="n"/>
      <c r="AY155" s="138" t="n"/>
      <c r="AZ155" s="16">
        <f>AF155+AH155+AJ155+AL155+AN155+AP155+AR155+AT155+AV155+AX155</f>
        <v/>
      </c>
      <c r="BA155" s="16" t="n"/>
      <c r="BB155" s="139" t="n"/>
      <c r="BC155" s="16" t="n"/>
      <c r="BD155" s="139" t="n"/>
      <c r="BE155" s="16">
        <f>(BA155+BC155)</f>
        <v/>
      </c>
    </row>
    <row r="156" ht="22.5" customFormat="1" customHeight="1" s="8">
      <c r="A156" s="9" t="n"/>
      <c r="B156" s="136" t="inlineStr">
        <is>
          <t>PCB</t>
        </is>
      </c>
      <c r="C156" s="137" t="inlineStr">
        <is>
          <t>COCOON</t>
        </is>
      </c>
      <c r="D156" s="82" t="inlineStr">
        <is>
          <t>HANDLE CONNECTOR BD 신형 (신주 2핀)</t>
        </is>
      </c>
      <c r="E156" s="13" t="n"/>
      <c r="F156" s="100" t="n"/>
      <c r="G156" s="9" t="n"/>
      <c r="H156" s="9" t="inlineStr">
        <is>
          <t>HLP</t>
        </is>
      </c>
      <c r="I156" s="14" t="n"/>
      <c r="J156" s="14" t="n"/>
      <c r="K156" s="12" t="n">
        <v>200</v>
      </c>
      <c r="L156" s="9" t="n"/>
      <c r="M156" s="9" t="n"/>
      <c r="N156" s="9" t="n"/>
      <c r="O156" s="40">
        <f>K156+V156-AE156-AZ156</f>
        <v/>
      </c>
      <c r="P156" s="12" t="n"/>
      <c r="Q156" s="138" t="n"/>
      <c r="R156" s="16" t="n"/>
      <c r="S156" s="139" t="n"/>
      <c r="T156" s="16" t="n"/>
      <c r="U156" s="139" t="n"/>
      <c r="V156" s="16">
        <f>P156+R156+T156</f>
        <v/>
      </c>
      <c r="W156" s="16" t="n"/>
      <c r="X156" s="139" t="n"/>
      <c r="Y156" s="16" t="n"/>
      <c r="Z156" s="139" t="n"/>
      <c r="AA156" s="16" t="n"/>
      <c r="AB156" s="139" t="n"/>
      <c r="AC156" s="16" t="n"/>
      <c r="AD156" s="139" t="n"/>
      <c r="AE156" s="16">
        <f>(W156+Y156+AA156+AC156)</f>
        <v/>
      </c>
      <c r="AF156" s="140" t="n"/>
      <c r="AG156" s="138" t="n"/>
      <c r="AH156" s="16" t="n"/>
      <c r="AI156" s="138" t="n"/>
      <c r="AJ156" s="16" t="n"/>
      <c r="AK156" s="138" t="n"/>
      <c r="AL156" s="16" t="n"/>
      <c r="AM156" s="138" t="n"/>
      <c r="AN156" s="16" t="n"/>
      <c r="AO156" s="138" t="n"/>
      <c r="AP156" s="16" t="n"/>
      <c r="AQ156" s="138" t="n"/>
      <c r="AR156" s="16" t="n"/>
      <c r="AS156" s="138" t="n"/>
      <c r="AT156" s="16" t="n"/>
      <c r="AU156" s="138" t="n"/>
      <c r="AV156" s="16" t="n"/>
      <c r="AW156" s="138" t="n"/>
      <c r="AX156" s="16" t="n"/>
      <c r="AY156" s="138" t="n"/>
      <c r="AZ156" s="16">
        <f>AF156+AH156+AJ156+AL156+AN156+AP156+AR156+AT156+AV156+AX156</f>
        <v/>
      </c>
      <c r="BA156" s="16" t="n"/>
      <c r="BB156" s="139" t="n"/>
      <c r="BC156" s="16" t="n"/>
      <c r="BD156" s="139" t="n"/>
      <c r="BE156" s="16">
        <f>(BA156+BC156)</f>
        <v/>
      </c>
    </row>
    <row r="157" ht="22.5" customFormat="1" customHeight="1" s="8">
      <c r="A157" s="9" t="n"/>
      <c r="B157" s="136" t="inlineStr">
        <is>
          <t>PCB</t>
        </is>
      </c>
      <c r="C157" s="137" t="inlineStr">
        <is>
          <t>COCOON</t>
        </is>
      </c>
      <c r="D157" s="82" t="inlineStr">
        <is>
          <t>BATTERY BRIDGE BD</t>
        </is>
      </c>
      <c r="E157" s="13" t="n"/>
      <c r="F157" s="100" t="n"/>
      <c r="G157" s="9" t="n"/>
      <c r="H157" s="9" t="inlineStr">
        <is>
          <t>HLP</t>
        </is>
      </c>
      <c r="I157" s="14" t="n"/>
      <c r="J157" s="14" t="n"/>
      <c r="K157" s="12" t="n">
        <v>189</v>
      </c>
      <c r="L157" s="9" t="n"/>
      <c r="M157" s="9" t="n"/>
      <c r="N157" s="9" t="n"/>
      <c r="O157" s="40">
        <f>K157+V157-AE157-AZ157</f>
        <v/>
      </c>
      <c r="P157" s="12" t="n"/>
      <c r="Q157" s="138" t="n"/>
      <c r="R157" s="16" t="n"/>
      <c r="S157" s="139" t="n"/>
      <c r="T157" s="16" t="n"/>
      <c r="U157" s="139" t="n"/>
      <c r="V157" s="16">
        <f>P157+R157+T157</f>
        <v/>
      </c>
      <c r="W157" s="16" t="n"/>
      <c r="X157" s="139" t="n"/>
      <c r="Y157" s="16" t="n"/>
      <c r="Z157" s="139" t="n"/>
      <c r="AA157" s="16" t="n"/>
      <c r="AB157" s="139" t="n"/>
      <c r="AC157" s="16" t="n"/>
      <c r="AD157" s="139" t="n"/>
      <c r="AE157" s="16">
        <f>(W157+Y157+AA157+AC157)</f>
        <v/>
      </c>
      <c r="AF157" s="140" t="n"/>
      <c r="AG157" s="138" t="n"/>
      <c r="AH157" s="16" t="n"/>
      <c r="AI157" s="138" t="n"/>
      <c r="AJ157" s="16" t="n"/>
      <c r="AK157" s="138" t="n"/>
      <c r="AL157" s="16" t="n"/>
      <c r="AM157" s="138" t="n"/>
      <c r="AN157" s="16" t="n"/>
      <c r="AO157" s="138" t="n"/>
      <c r="AP157" s="16" t="n"/>
      <c r="AQ157" s="138" t="n"/>
      <c r="AR157" s="16" t="n"/>
      <c r="AS157" s="138" t="n"/>
      <c r="AT157" s="16" t="n"/>
      <c r="AU157" s="138" t="n"/>
      <c r="AV157" s="16" t="n"/>
      <c r="AW157" s="138" t="n"/>
      <c r="AX157" s="16" t="n"/>
      <c r="AY157" s="138" t="n"/>
      <c r="AZ157" s="16">
        <f>AF157+AH157+AJ157+AL157+AN157+AP157+AR157+AT157+AV157+AX157</f>
        <v/>
      </c>
      <c r="BA157" s="16" t="n"/>
      <c r="BB157" s="139" t="n"/>
      <c r="BC157" s="16" t="n"/>
      <c r="BD157" s="139" t="n"/>
      <c r="BE157" s="16">
        <f>(BA157+BC157)</f>
        <v/>
      </c>
    </row>
    <row r="158" ht="22.5" customFormat="1" customHeight="1" s="8">
      <c r="A158" s="9" t="n"/>
      <c r="B158" s="136" t="inlineStr">
        <is>
          <t>PCB</t>
        </is>
      </c>
      <c r="C158" s="137" t="inlineStr">
        <is>
          <t>COCOON</t>
        </is>
      </c>
      <c r="D158" s="82" t="inlineStr">
        <is>
          <t>CRADLE BD</t>
        </is>
      </c>
      <c r="E158" s="13" t="n"/>
      <c r="F158" s="100" t="n"/>
      <c r="G158" s="9" t="n"/>
      <c r="H158" s="9" t="inlineStr">
        <is>
          <t>HLP</t>
        </is>
      </c>
      <c r="I158" s="14" t="n"/>
      <c r="J158" s="14" t="n"/>
      <c r="K158" s="12" t="n">
        <v>656</v>
      </c>
      <c r="L158" s="9" t="n"/>
      <c r="M158" s="9" t="n"/>
      <c r="N158" s="9" t="n"/>
      <c r="O158" s="40">
        <f>K158+V158-AE158-AZ158</f>
        <v/>
      </c>
      <c r="P158" s="12" t="n"/>
      <c r="Q158" s="138" t="n"/>
      <c r="R158" s="16" t="n"/>
      <c r="S158" s="139" t="n"/>
      <c r="T158" s="16" t="n"/>
      <c r="U158" s="139" t="n"/>
      <c r="V158" s="16">
        <f>P158+R158+T158</f>
        <v/>
      </c>
      <c r="W158" s="16" t="n"/>
      <c r="X158" s="139" t="n"/>
      <c r="Y158" s="16" t="n"/>
      <c r="Z158" s="139" t="n"/>
      <c r="AA158" s="16" t="n"/>
      <c r="AB158" s="139" t="n"/>
      <c r="AC158" s="16" t="n"/>
      <c r="AD158" s="139" t="n"/>
      <c r="AE158" s="16">
        <f>(W158+Y158+AA158+AC158)</f>
        <v/>
      </c>
      <c r="AF158" s="140" t="n"/>
      <c r="AG158" s="138" t="n"/>
      <c r="AH158" s="16" t="n"/>
      <c r="AI158" s="138" t="n"/>
      <c r="AJ158" s="16" t="n"/>
      <c r="AK158" s="138" t="n"/>
      <c r="AL158" s="16" t="n"/>
      <c r="AM158" s="138" t="n"/>
      <c r="AN158" s="16" t="n"/>
      <c r="AO158" s="138" t="n"/>
      <c r="AP158" s="16" t="n"/>
      <c r="AQ158" s="138" t="n"/>
      <c r="AR158" s="16" t="n"/>
      <c r="AS158" s="138" t="n"/>
      <c r="AT158" s="16" t="n"/>
      <c r="AU158" s="138" t="n"/>
      <c r="AV158" s="16" t="n"/>
      <c r="AW158" s="138" t="n"/>
      <c r="AX158" s="16" t="n"/>
      <c r="AY158" s="138" t="n"/>
      <c r="AZ158" s="16">
        <f>AF158+AH158+AJ158+AL158+AN158+AP158+AR158+AT158+AV158+AX158</f>
        <v/>
      </c>
      <c r="BA158" s="16" t="n"/>
      <c r="BB158" s="139" t="n"/>
      <c r="BC158" s="16" t="n"/>
      <c r="BD158" s="139" t="n"/>
      <c r="BE158" s="16">
        <f>(BA158+BC158)</f>
        <v/>
      </c>
    </row>
    <row r="159" ht="22.5" customFormat="1" customHeight="1" s="8">
      <c r="A159" s="9" t="n"/>
      <c r="B159" s="136" t="inlineStr">
        <is>
          <t>PCB</t>
        </is>
      </c>
      <c r="C159" s="137" t="inlineStr">
        <is>
          <t>COCOON</t>
        </is>
      </c>
      <c r="D159" s="82" t="inlineStr">
        <is>
          <t>OP &amp; TOUCH BD</t>
        </is>
      </c>
      <c r="E159" s="13" t="n"/>
      <c r="F159" s="100" t="n"/>
      <c r="G159" s="9" t="n"/>
      <c r="H159" s="9" t="inlineStr">
        <is>
          <t>HLP</t>
        </is>
      </c>
      <c r="I159" s="14" t="n"/>
      <c r="J159" s="14" t="n"/>
      <c r="K159" s="12" t="n">
        <v>0</v>
      </c>
      <c r="L159" s="9" t="n"/>
      <c r="M159" s="9" t="n"/>
      <c r="N159" s="9" t="n"/>
      <c r="O159" s="40">
        <f>K159+V159-AE159-AZ159</f>
        <v/>
      </c>
      <c r="P159" s="12" t="n"/>
      <c r="Q159" s="138" t="n"/>
      <c r="R159" s="16" t="n"/>
      <c r="S159" s="139" t="n"/>
      <c r="T159" s="16" t="n"/>
      <c r="U159" s="139" t="n"/>
      <c r="V159" s="16">
        <f>P159+R159+T159</f>
        <v/>
      </c>
      <c r="W159" s="16" t="n"/>
      <c r="X159" s="139" t="n"/>
      <c r="Y159" s="16" t="n"/>
      <c r="Z159" s="139" t="n"/>
      <c r="AA159" s="16" t="n"/>
      <c r="AB159" s="139" t="n"/>
      <c r="AC159" s="16" t="n"/>
      <c r="AD159" s="139" t="n"/>
      <c r="AE159" s="16">
        <f>(W159+Y159+AA159+AC159)</f>
        <v/>
      </c>
      <c r="AF159" s="140" t="n"/>
      <c r="AG159" s="138" t="n"/>
      <c r="AH159" s="16" t="n"/>
      <c r="AI159" s="138" t="n"/>
      <c r="AJ159" s="16" t="n"/>
      <c r="AK159" s="138" t="n"/>
      <c r="AL159" s="16" t="n"/>
      <c r="AM159" s="138" t="n"/>
      <c r="AN159" s="16" t="n"/>
      <c r="AO159" s="138" t="n"/>
      <c r="AP159" s="16" t="n"/>
      <c r="AQ159" s="138" t="n"/>
      <c r="AR159" s="16" t="n"/>
      <c r="AS159" s="138" t="n"/>
      <c r="AT159" s="16" t="n"/>
      <c r="AU159" s="138" t="n"/>
      <c r="AV159" s="16" t="n"/>
      <c r="AW159" s="138" t="n"/>
      <c r="AX159" s="16" t="n"/>
      <c r="AY159" s="138" t="n"/>
      <c r="AZ159" s="16">
        <f>AF159+AH159+AJ159+AL159+AN159+AP159+AR159+AT159+AV159+AX159</f>
        <v/>
      </c>
      <c r="BA159" s="16" t="n"/>
      <c r="BB159" s="139" t="n"/>
      <c r="BC159" s="16" t="n"/>
      <c r="BD159" s="139" t="n"/>
      <c r="BE159" s="16">
        <f>(BA159+BC159)</f>
        <v/>
      </c>
    </row>
    <row r="160" ht="22.5" customFormat="1" customHeight="1" s="8">
      <c r="A160" s="9" t="n"/>
      <c r="B160" s="136" t="inlineStr">
        <is>
          <t>CABLE</t>
        </is>
      </c>
      <c r="C160" s="137" t="inlineStr">
        <is>
          <t>COCOON</t>
        </is>
      </c>
      <c r="D160" s="72" t="inlineStr">
        <is>
          <t>하네스 1번</t>
        </is>
      </c>
      <c r="E160" s="13" t="inlineStr">
        <is>
          <t>TX30(FEMALE)+YH396-02 100mm CTR BD 외부단자 2핀</t>
        </is>
      </c>
      <c r="F160" s="100" t="n"/>
      <c r="G160" s="9" t="n"/>
      <c r="H160" s="9" t="inlineStr">
        <is>
          <t>HLP</t>
        </is>
      </c>
      <c r="I160" s="14" t="n"/>
      <c r="J160" s="14" t="n"/>
      <c r="K160" s="12" t="n">
        <v>215</v>
      </c>
      <c r="L160" s="9" t="n"/>
      <c r="M160" s="9" t="n"/>
      <c r="N160" s="9" t="n"/>
      <c r="O160" s="40">
        <f>K160+V160-AE160-AZ160</f>
        <v/>
      </c>
      <c r="P160" s="12" t="n"/>
      <c r="Q160" s="138" t="n"/>
      <c r="R160" s="16" t="n"/>
      <c r="S160" s="139" t="n"/>
      <c r="T160" s="16" t="n"/>
      <c r="U160" s="139" t="n"/>
      <c r="V160" s="16">
        <f>P160+R160+T160</f>
        <v/>
      </c>
      <c r="W160" s="16" t="n"/>
      <c r="X160" s="139" t="n"/>
      <c r="Y160" s="16" t="n"/>
      <c r="Z160" s="139" t="n"/>
      <c r="AA160" s="16" t="n"/>
      <c r="AB160" s="139" t="n"/>
      <c r="AC160" s="16" t="n"/>
      <c r="AD160" s="139" t="n"/>
      <c r="AE160" s="16">
        <f>(W160+Y160+AA160+AC160)</f>
        <v/>
      </c>
      <c r="AF160" s="140" t="n"/>
      <c r="AG160" s="138" t="n"/>
      <c r="AH160" s="16" t="n"/>
      <c r="AI160" s="138" t="n"/>
      <c r="AJ160" s="16" t="n"/>
      <c r="AK160" s="138" t="n"/>
      <c r="AL160" s="16" t="n"/>
      <c r="AM160" s="138" t="n"/>
      <c r="AN160" s="16" t="n"/>
      <c r="AO160" s="138" t="n"/>
      <c r="AP160" s="16" t="n"/>
      <c r="AQ160" s="138" t="n"/>
      <c r="AR160" s="16" t="n"/>
      <c r="AS160" s="138" t="n"/>
      <c r="AT160" s="16" t="n"/>
      <c r="AU160" s="138" t="n"/>
      <c r="AV160" s="16" t="n"/>
      <c r="AW160" s="138" t="n"/>
      <c r="AX160" s="16" t="n"/>
      <c r="AY160" s="138" t="n"/>
      <c r="AZ160" s="16">
        <f>AF160+AH160+AJ160+AL160+AN160+AP160+AR160+AT160+AV160+AX160</f>
        <v/>
      </c>
      <c r="BA160" s="16" t="n"/>
      <c r="BB160" s="139" t="n"/>
      <c r="BC160" s="16" t="n"/>
      <c r="BD160" s="139" t="n"/>
      <c r="BE160" s="16">
        <f>(BA160+BC160)</f>
        <v/>
      </c>
    </row>
    <row r="161" ht="22.5" customFormat="1" customHeight="1" s="8">
      <c r="A161" s="9" t="n"/>
      <c r="B161" s="136" t="inlineStr">
        <is>
          <t>CABLE</t>
        </is>
      </c>
      <c r="C161" s="137" t="inlineStr">
        <is>
          <t>COCOON</t>
        </is>
      </c>
      <c r="D161" s="78" t="inlineStr">
        <is>
          <t>하네스 2번</t>
        </is>
      </c>
      <c r="E161" s="13" t="inlineStr">
        <is>
          <t>TX30(MALE)+DC022(2.5) 80mm 전원 외부단자 2핀</t>
        </is>
      </c>
      <c r="F161" s="100" t="n"/>
      <c r="G161" s="9" t="n"/>
      <c r="H161" s="9" t="inlineStr">
        <is>
          <t>HLP</t>
        </is>
      </c>
      <c r="I161" s="14" t="n"/>
      <c r="J161" s="14" t="n"/>
      <c r="K161" s="12" t="n">
        <v>424</v>
      </c>
      <c r="L161" s="9" t="n"/>
      <c r="M161" s="9" t="n"/>
      <c r="N161" s="9" t="n"/>
      <c r="O161" s="40">
        <f>K161+V161-AE161-AZ161</f>
        <v/>
      </c>
      <c r="P161" s="12" t="n"/>
      <c r="Q161" s="138" t="n"/>
      <c r="R161" s="16" t="n"/>
      <c r="S161" s="139" t="n"/>
      <c r="T161" s="16" t="n"/>
      <c r="U161" s="139" t="n"/>
      <c r="V161" s="16">
        <f>P161+R161+T161</f>
        <v/>
      </c>
      <c r="W161" s="16" t="n"/>
      <c r="X161" s="139" t="n"/>
      <c r="Y161" s="16" t="n"/>
      <c r="Z161" s="139" t="n"/>
      <c r="AA161" s="16" t="n"/>
      <c r="AB161" s="139" t="n"/>
      <c r="AC161" s="16" t="n"/>
      <c r="AD161" s="139" t="n"/>
      <c r="AE161" s="16">
        <f>(W161+Y161+AA161+AC161)</f>
        <v/>
      </c>
      <c r="AF161" s="140" t="n"/>
      <c r="AG161" s="138" t="n"/>
      <c r="AH161" s="16" t="n"/>
      <c r="AI161" s="138" t="n"/>
      <c r="AJ161" s="16" t="n"/>
      <c r="AK161" s="138" t="n"/>
      <c r="AL161" s="16" t="n"/>
      <c r="AM161" s="138" t="n"/>
      <c r="AN161" s="16" t="n"/>
      <c r="AO161" s="138" t="n"/>
      <c r="AP161" s="16" t="n"/>
      <c r="AQ161" s="138" t="n"/>
      <c r="AR161" s="16" t="n"/>
      <c r="AS161" s="138" t="n"/>
      <c r="AT161" s="16" t="n"/>
      <c r="AU161" s="138" t="n"/>
      <c r="AV161" s="16" t="n"/>
      <c r="AW161" s="138" t="n"/>
      <c r="AX161" s="16" t="n"/>
      <c r="AY161" s="138" t="n"/>
      <c r="AZ161" s="16">
        <f>AF161+AH161+AJ161+AL161+AN161+AP161+AR161+AT161+AV161+AX161</f>
        <v/>
      </c>
      <c r="BA161" s="16" t="n"/>
      <c r="BB161" s="139" t="n"/>
      <c r="BC161" s="16" t="n"/>
      <c r="BD161" s="139" t="n"/>
      <c r="BE161" s="16">
        <f>(BA161+BC161)</f>
        <v/>
      </c>
    </row>
    <row r="162" ht="22.5" customFormat="1" customHeight="1" s="8">
      <c r="A162" s="9" t="n"/>
      <c r="B162" s="136" t="inlineStr">
        <is>
          <t>CABLE</t>
        </is>
      </c>
      <c r="C162" s="137" t="inlineStr">
        <is>
          <t>COCOON</t>
        </is>
      </c>
      <c r="D162" s="78" t="inlineStr">
        <is>
          <t>하네스 3번</t>
        </is>
      </c>
      <c r="E162" s="13" t="inlineStr">
        <is>
          <t>FFC CABLE 1mm*30P*200*B CTR BD*OP BD (다른방향)</t>
        </is>
      </c>
      <c r="F162" s="100" t="n"/>
      <c r="G162" s="9" t="n"/>
      <c r="H162" s="9" t="inlineStr">
        <is>
          <t>HLP</t>
        </is>
      </c>
      <c r="I162" s="14" t="n"/>
      <c r="J162" s="14" t="n"/>
      <c r="K162" s="12" t="n">
        <v>374</v>
      </c>
      <c r="L162" s="9" t="n"/>
      <c r="M162" s="9" t="n"/>
      <c r="N162" s="9" t="n"/>
      <c r="O162" s="40">
        <f>K162+V162-AE162-AZ162</f>
        <v/>
      </c>
      <c r="P162" s="12" t="n"/>
      <c r="Q162" s="138" t="n"/>
      <c r="R162" s="16" t="n"/>
      <c r="S162" s="139" t="n"/>
      <c r="T162" s="16" t="n"/>
      <c r="U162" s="139" t="n"/>
      <c r="V162" s="16">
        <f>P162+R162+T162</f>
        <v/>
      </c>
      <c r="W162" s="16" t="n"/>
      <c r="X162" s="139" t="n"/>
      <c r="Y162" s="16" t="n"/>
      <c r="Z162" s="139" t="n"/>
      <c r="AA162" s="16" t="n"/>
      <c r="AB162" s="139" t="n"/>
      <c r="AC162" s="16" t="n"/>
      <c r="AD162" s="139" t="n"/>
      <c r="AE162" s="16">
        <f>(W162+Y162+AA162+AC162)</f>
        <v/>
      </c>
      <c r="AF162" s="140" t="n"/>
      <c r="AG162" s="138" t="n"/>
      <c r="AH162" s="16" t="n"/>
      <c r="AI162" s="138" t="n"/>
      <c r="AJ162" s="16" t="n"/>
      <c r="AK162" s="138" t="n"/>
      <c r="AL162" s="16" t="n"/>
      <c r="AM162" s="138" t="n"/>
      <c r="AN162" s="16" t="n"/>
      <c r="AO162" s="138" t="n"/>
      <c r="AP162" s="16" t="n"/>
      <c r="AQ162" s="138" t="n"/>
      <c r="AR162" s="16" t="n"/>
      <c r="AS162" s="138" t="n"/>
      <c r="AT162" s="16" t="n"/>
      <c r="AU162" s="138" t="n"/>
      <c r="AV162" s="16" t="n"/>
      <c r="AW162" s="138" t="n"/>
      <c r="AX162" s="16" t="n"/>
      <c r="AY162" s="138" t="n"/>
      <c r="AZ162" s="16">
        <f>AF162+AH162+AJ162+AL162+AN162+AP162+AR162+AT162+AV162+AX162</f>
        <v/>
      </c>
      <c r="BA162" s="16" t="n"/>
      <c r="BB162" s="139" t="n"/>
      <c r="BC162" s="16" t="n"/>
      <c r="BD162" s="139" t="n"/>
      <c r="BE162" s="16">
        <f>(BA162+BC162)</f>
        <v/>
      </c>
    </row>
    <row r="163" ht="22.5" customFormat="1" customHeight="1" s="8">
      <c r="A163" s="9" t="n"/>
      <c r="B163" s="136" t="inlineStr">
        <is>
          <t>CABLE</t>
        </is>
      </c>
      <c r="C163" s="137" t="inlineStr">
        <is>
          <t>COCOON</t>
        </is>
      </c>
      <c r="D163" s="78" t="inlineStr">
        <is>
          <t>하네스 4번</t>
        </is>
      </c>
      <c r="E163" s="13" t="inlineStr">
        <is>
          <t>12505HS-02+SORDER 50mm - OP BD 2.20 전용 스피커 2핀</t>
        </is>
      </c>
      <c r="F163" s="100" t="n"/>
      <c r="G163" s="9" t="n"/>
      <c r="H163" s="9" t="inlineStr">
        <is>
          <t>HLP</t>
        </is>
      </c>
      <c r="I163" s="14" t="n"/>
      <c r="J163" s="14" t="n"/>
      <c r="K163" s="12" t="n">
        <v>0</v>
      </c>
      <c r="L163" s="9" t="n"/>
      <c r="M163" s="9" t="n"/>
      <c r="N163" s="9" t="n"/>
      <c r="O163" s="40">
        <f>K163+V163-AE163-AZ163</f>
        <v/>
      </c>
      <c r="P163" s="12" t="n"/>
      <c r="Q163" s="138" t="n"/>
      <c r="R163" s="16" t="n"/>
      <c r="S163" s="139" t="n"/>
      <c r="T163" s="16" t="n"/>
      <c r="U163" s="139" t="n"/>
      <c r="V163" s="16">
        <f>P163+R163+T163</f>
        <v/>
      </c>
      <c r="W163" s="16" t="n"/>
      <c r="X163" s="139" t="n"/>
      <c r="Y163" s="16" t="n"/>
      <c r="Z163" s="139" t="n"/>
      <c r="AA163" s="16" t="n"/>
      <c r="AB163" s="139" t="n"/>
      <c r="AC163" s="16" t="n"/>
      <c r="AD163" s="139" t="n"/>
      <c r="AE163" s="16">
        <f>(W163+Y163+AA163+AC163)</f>
        <v/>
      </c>
      <c r="AF163" s="140" t="n"/>
      <c r="AG163" s="138" t="n"/>
      <c r="AH163" s="16" t="n"/>
      <c r="AI163" s="138" t="n"/>
      <c r="AJ163" s="16" t="n"/>
      <c r="AK163" s="138" t="n"/>
      <c r="AL163" s="16" t="n"/>
      <c r="AM163" s="138" t="n"/>
      <c r="AN163" s="16" t="n"/>
      <c r="AO163" s="138" t="n"/>
      <c r="AP163" s="16" t="n"/>
      <c r="AQ163" s="138" t="n"/>
      <c r="AR163" s="16" t="n"/>
      <c r="AS163" s="138" t="n"/>
      <c r="AT163" s="16" t="n"/>
      <c r="AU163" s="138" t="n"/>
      <c r="AV163" s="16" t="n"/>
      <c r="AW163" s="138" t="n"/>
      <c r="AX163" s="16" t="n"/>
      <c r="AY163" s="138" t="n"/>
      <c r="AZ163" s="16">
        <f>AF163+AH163+AJ163+AL163+AN163+AP163+AR163+AT163+AV163+AX163</f>
        <v/>
      </c>
      <c r="BA163" s="16" t="n"/>
      <c r="BB163" s="139" t="n"/>
      <c r="BC163" s="16" t="n"/>
      <c r="BD163" s="139" t="n"/>
      <c r="BE163" s="16">
        <f>(BA163+BC163)</f>
        <v/>
      </c>
    </row>
    <row r="164" ht="22.5" customFormat="1" customHeight="1" s="8">
      <c r="A164" s="9" t="n"/>
      <c r="B164" s="136" t="inlineStr">
        <is>
          <t>CABLE</t>
        </is>
      </c>
      <c r="C164" s="137" t="inlineStr">
        <is>
          <t>COCOON</t>
        </is>
      </c>
      <c r="D164" s="79" t="inlineStr">
        <is>
          <t>하네스 5번</t>
        </is>
      </c>
      <c r="E164" s="146" t="inlineStr">
        <is>
          <t>YH396-04*2EA 150mm BATTERY BRIDGE BD 4핀</t>
        </is>
      </c>
      <c r="F164" s="100" t="n"/>
      <c r="G164" s="9" t="n"/>
      <c r="H164" s="9" t="inlineStr">
        <is>
          <t>HLP</t>
        </is>
      </c>
      <c r="I164" s="14" t="n"/>
      <c r="J164" s="14" t="n"/>
      <c r="K164" s="12" t="n">
        <v>492</v>
      </c>
      <c r="L164" s="9" t="n"/>
      <c r="M164" s="9" t="n"/>
      <c r="N164" s="9" t="n"/>
      <c r="O164" s="40">
        <f>K164+V164-AE164-AZ164</f>
        <v/>
      </c>
      <c r="P164" s="12" t="n"/>
      <c r="Q164" s="138" t="n"/>
      <c r="R164" s="16" t="n"/>
      <c r="S164" s="139" t="n"/>
      <c r="T164" s="16" t="n"/>
      <c r="U164" s="139" t="n"/>
      <c r="V164" s="16">
        <f>P164+R164+T164</f>
        <v/>
      </c>
      <c r="W164" s="16" t="n"/>
      <c r="X164" s="139" t="n"/>
      <c r="Y164" s="16" t="n"/>
      <c r="Z164" s="139" t="n"/>
      <c r="AA164" s="16" t="n"/>
      <c r="AB164" s="139" t="n"/>
      <c r="AC164" s="16" t="n"/>
      <c r="AD164" s="139" t="n"/>
      <c r="AE164" s="16">
        <f>(W164+Y164+AA164+AC164)</f>
        <v/>
      </c>
      <c r="AF164" s="140" t="n"/>
      <c r="AG164" s="138" t="n"/>
      <c r="AH164" s="16" t="n"/>
      <c r="AI164" s="138" t="n"/>
      <c r="AJ164" s="16" t="n"/>
      <c r="AK164" s="138" t="n"/>
      <c r="AL164" s="16" t="n"/>
      <c r="AM164" s="138" t="n"/>
      <c r="AN164" s="16" t="n"/>
      <c r="AO164" s="138" t="n"/>
      <c r="AP164" s="16" t="n"/>
      <c r="AQ164" s="138" t="n"/>
      <c r="AR164" s="16" t="n"/>
      <c r="AS164" s="138" t="n"/>
      <c r="AT164" s="16" t="n"/>
      <c r="AU164" s="138" t="n"/>
      <c r="AV164" s="16" t="n"/>
      <c r="AW164" s="138" t="n"/>
      <c r="AX164" s="16" t="n"/>
      <c r="AY164" s="138" t="n"/>
      <c r="AZ164" s="16">
        <f>AF164+AH164+AJ164+AL164+AN164+AP164+AR164+AT164+AV164+AX164</f>
        <v/>
      </c>
      <c r="BA164" s="16" t="n"/>
      <c r="BB164" s="139" t="n"/>
      <c r="BC164" s="16" t="n"/>
      <c r="BD164" s="139" t="n"/>
      <c r="BE164" s="16">
        <f>(BA164+BC164)</f>
        <v/>
      </c>
    </row>
    <row r="165" ht="22.5" customFormat="1" customHeight="1" s="8">
      <c r="A165" s="9" t="n"/>
      <c r="B165" s="136" t="inlineStr">
        <is>
          <t>CABLE</t>
        </is>
      </c>
      <c r="C165" s="137" t="inlineStr">
        <is>
          <t>COCOON</t>
        </is>
      </c>
      <c r="D165" s="147" t="inlineStr">
        <is>
          <t>하네스 7번</t>
        </is>
      </c>
      <c r="E165" s="13" t="inlineStr">
        <is>
          <t>12505HS-05 125mm POWER SWITCH BD 5핀</t>
        </is>
      </c>
      <c r="F165" s="100" t="n"/>
      <c r="G165" s="9" t="n"/>
      <c r="H165" s="9" t="inlineStr">
        <is>
          <t>HLP</t>
        </is>
      </c>
      <c r="I165" s="14" t="n"/>
      <c r="J165" s="14" t="n"/>
      <c r="K165" s="12" t="n">
        <v>300</v>
      </c>
      <c r="L165" s="9" t="n"/>
      <c r="M165" s="9" t="n"/>
      <c r="N165" s="9" t="n"/>
      <c r="O165" s="40">
        <f>K165+V165-AE165-AZ165</f>
        <v/>
      </c>
      <c r="P165" s="12" t="n"/>
      <c r="Q165" s="138" t="n"/>
      <c r="R165" s="16" t="n"/>
      <c r="S165" s="139" t="n"/>
      <c r="T165" s="16" t="n"/>
      <c r="U165" s="139" t="n"/>
      <c r="V165" s="16">
        <f>P165+R165+T165</f>
        <v/>
      </c>
      <c r="W165" s="16" t="n"/>
      <c r="X165" s="139" t="n"/>
      <c r="Y165" s="16" t="n"/>
      <c r="Z165" s="139" t="n"/>
      <c r="AA165" s="16" t="n"/>
      <c r="AB165" s="139" t="n"/>
      <c r="AC165" s="16" t="n"/>
      <c r="AD165" s="139" t="n"/>
      <c r="AE165" s="16">
        <f>(W165+Y165+AA165+AC165)</f>
        <v/>
      </c>
      <c r="AF165" s="140" t="n"/>
      <c r="AG165" s="138" t="n"/>
      <c r="AH165" s="16" t="n"/>
      <c r="AI165" s="138" t="n"/>
      <c r="AJ165" s="16" t="n"/>
      <c r="AK165" s="138" t="n"/>
      <c r="AL165" s="16" t="n"/>
      <c r="AM165" s="138" t="n"/>
      <c r="AN165" s="16" t="n"/>
      <c r="AO165" s="138" t="n"/>
      <c r="AP165" s="16" t="n"/>
      <c r="AQ165" s="138" t="n"/>
      <c r="AR165" s="16" t="n"/>
      <c r="AS165" s="138" t="n"/>
      <c r="AT165" s="16" t="n"/>
      <c r="AU165" s="138" t="n"/>
      <c r="AV165" s="16" t="n"/>
      <c r="AW165" s="138" t="n"/>
      <c r="AX165" s="16" t="n"/>
      <c r="AY165" s="138" t="n"/>
      <c r="AZ165" s="16">
        <f>AF165+AH165+AJ165+AL165+AN165+AP165+AR165+AT165+AV165+AX165</f>
        <v/>
      </c>
      <c r="BA165" s="16" t="n"/>
      <c r="BB165" s="139" t="n"/>
      <c r="BC165" s="16" t="n"/>
      <c r="BD165" s="139" t="n"/>
      <c r="BE165" s="16">
        <f>(BA165+BC165)</f>
        <v/>
      </c>
    </row>
    <row r="166" ht="22.5" customFormat="1" customHeight="1" s="8">
      <c r="A166" s="9" t="n"/>
      <c r="B166" s="136" t="inlineStr">
        <is>
          <t>CABLE</t>
        </is>
      </c>
      <c r="C166" s="137" t="inlineStr">
        <is>
          <t>COCOON</t>
        </is>
      </c>
      <c r="D166" s="148" t="inlineStr">
        <is>
          <t>하네스 11번</t>
        </is>
      </c>
      <c r="E166" s="13" t="inlineStr">
        <is>
          <t>YH396-02+SORDER 80mm CRADLE 신주 연결 2핀</t>
        </is>
      </c>
      <c r="F166" s="100" t="n"/>
      <c r="G166" s="9" t="n"/>
      <c r="H166" s="9" t="inlineStr">
        <is>
          <t>HLP</t>
        </is>
      </c>
      <c r="I166" s="14" t="n"/>
      <c r="J166" s="14" t="n"/>
      <c r="K166" s="12" t="n">
        <v>356</v>
      </c>
      <c r="L166" s="9" t="n"/>
      <c r="M166" s="9" t="n"/>
      <c r="N166" s="9" t="n"/>
      <c r="O166" s="40">
        <f>K166+V166-AE166-AZ166</f>
        <v/>
      </c>
      <c r="P166" s="12" t="n"/>
      <c r="Q166" s="138" t="n"/>
      <c r="R166" s="16" t="n"/>
      <c r="S166" s="139" t="n"/>
      <c r="T166" s="16" t="n"/>
      <c r="U166" s="139" t="n"/>
      <c r="V166" s="16">
        <f>P166+R166+T166</f>
        <v/>
      </c>
      <c r="W166" s="16" t="n"/>
      <c r="X166" s="139" t="n"/>
      <c r="Y166" s="16" t="n"/>
      <c r="Z166" s="139" t="n"/>
      <c r="AA166" s="16" t="n"/>
      <c r="AB166" s="139" t="n"/>
      <c r="AC166" s="16" t="n"/>
      <c r="AD166" s="139" t="n"/>
      <c r="AE166" s="16">
        <f>(W166+Y166+AA166+AC166)</f>
        <v/>
      </c>
      <c r="AF166" s="140" t="n"/>
      <c r="AG166" s="138" t="n"/>
      <c r="AH166" s="16" t="n"/>
      <c r="AI166" s="138" t="n"/>
      <c r="AJ166" s="16" t="n"/>
      <c r="AK166" s="138" t="n"/>
      <c r="AL166" s="16" t="n"/>
      <c r="AM166" s="138" t="n"/>
      <c r="AN166" s="16" t="n"/>
      <c r="AO166" s="138" t="n"/>
      <c r="AP166" s="16" t="n"/>
      <c r="AQ166" s="138" t="n"/>
      <c r="AR166" s="16" t="n"/>
      <c r="AS166" s="138" t="n"/>
      <c r="AT166" s="16" t="n"/>
      <c r="AU166" s="138" t="n"/>
      <c r="AV166" s="16" t="n"/>
      <c r="AW166" s="138" t="n"/>
      <c r="AX166" s="16" t="n"/>
      <c r="AY166" s="138" t="n"/>
      <c r="AZ166" s="16">
        <f>AF166+AH166+AJ166+AL166+AN166+AP166+AR166+AT166+AV166+AX166</f>
        <v/>
      </c>
      <c r="BA166" s="16" t="n"/>
      <c r="BB166" s="139" t="n"/>
      <c r="BC166" s="16" t="n"/>
      <c r="BD166" s="139" t="n"/>
      <c r="BE166" s="16">
        <f>(BA166+BC166)</f>
        <v/>
      </c>
    </row>
    <row r="167" ht="22.5" customFormat="1" customHeight="1" s="8">
      <c r="A167" s="9" t="n"/>
      <c r="B167" s="136" t="inlineStr">
        <is>
          <t>CABLE</t>
        </is>
      </c>
      <c r="C167" s="137" t="inlineStr">
        <is>
          <t>COCOON</t>
        </is>
      </c>
      <c r="D167" s="145" t="inlineStr">
        <is>
          <t>에이밍 하네스 1번</t>
        </is>
      </c>
      <c r="E167" s="13" t="inlineStr">
        <is>
          <t>YHM025-02R 210mm, CTR + POWER BD 2핀</t>
        </is>
      </c>
      <c r="F167" s="100" t="n"/>
      <c r="G167" s="9" t="n"/>
      <c r="H167" s="9" t="inlineStr">
        <is>
          <t>HLP</t>
        </is>
      </c>
      <c r="I167" s="14" t="n"/>
      <c r="J167" s="14" t="n"/>
      <c r="K167" s="12" t="n">
        <v>431</v>
      </c>
      <c r="L167" s="9" t="n"/>
      <c r="M167" s="9" t="n"/>
      <c r="N167" s="9" t="n"/>
      <c r="O167" s="40">
        <f>K167+V167-AE167-AZ167</f>
        <v/>
      </c>
      <c r="P167" s="12" t="n"/>
      <c r="Q167" s="138" t="n"/>
      <c r="R167" s="16" t="n"/>
      <c r="S167" s="139" t="n"/>
      <c r="T167" s="16" t="n"/>
      <c r="U167" s="139" t="n"/>
      <c r="V167" s="16">
        <f>P167+R167+T167</f>
        <v/>
      </c>
      <c r="W167" s="16" t="n"/>
      <c r="X167" s="139" t="n"/>
      <c r="Y167" s="16" t="n"/>
      <c r="Z167" s="139" t="n"/>
      <c r="AA167" s="16" t="n"/>
      <c r="AB167" s="139" t="n"/>
      <c r="AC167" s="16" t="n"/>
      <c r="AD167" s="139" t="n"/>
      <c r="AE167" s="16">
        <f>(W167+Y167+AA167+AC167)</f>
        <v/>
      </c>
      <c r="AF167" s="140" t="n"/>
      <c r="AG167" s="138" t="n"/>
      <c r="AH167" s="16" t="n"/>
      <c r="AI167" s="138" t="n"/>
      <c r="AJ167" s="16" t="n"/>
      <c r="AK167" s="138" t="n"/>
      <c r="AL167" s="16" t="n"/>
      <c r="AM167" s="138" t="n"/>
      <c r="AN167" s="16" t="n"/>
      <c r="AO167" s="138" t="n"/>
      <c r="AP167" s="16" t="n"/>
      <c r="AQ167" s="138" t="n"/>
      <c r="AR167" s="16" t="n"/>
      <c r="AS167" s="138" t="n"/>
      <c r="AT167" s="16" t="n"/>
      <c r="AU167" s="138" t="n"/>
      <c r="AV167" s="16" t="n"/>
      <c r="AW167" s="138" t="n"/>
      <c r="AX167" s="16" t="n"/>
      <c r="AY167" s="138" t="n"/>
      <c r="AZ167" s="16">
        <f>AF167+AH167+AJ167+AL167+AN167+AP167+AR167+AT167+AV167+AX167</f>
        <v/>
      </c>
      <c r="BA167" s="16" t="n"/>
      <c r="BB167" s="139" t="n"/>
      <c r="BC167" s="16" t="n"/>
      <c r="BD167" s="139" t="n"/>
      <c r="BE167" s="16">
        <f>(BA167+BC167)</f>
        <v/>
      </c>
    </row>
    <row r="168" ht="22.5" customFormat="1" customHeight="1" s="8">
      <c r="A168" s="9" t="n"/>
      <c r="B168" s="136" t="inlineStr">
        <is>
          <t>CABLE</t>
        </is>
      </c>
      <c r="C168" s="137" t="inlineStr">
        <is>
          <t>COCOON</t>
        </is>
      </c>
      <c r="D168" s="145" t="inlineStr">
        <is>
          <t>에이밍 하네스 2번</t>
        </is>
      </c>
      <c r="E168" s="13" t="inlineStr">
        <is>
          <t>YHM025-02R 180mm, LED BD 2핀, 19+83(사출결합)</t>
        </is>
      </c>
      <c r="F168" s="100" t="n"/>
      <c r="G168" s="9" t="n"/>
      <c r="H168" s="9" t="inlineStr">
        <is>
          <t>HLP</t>
        </is>
      </c>
      <c r="I168" s="14" t="n"/>
      <c r="J168" s="14" t="n"/>
      <c r="K168" s="12" t="n">
        <v>277</v>
      </c>
      <c r="L168" s="9" t="n"/>
      <c r="M168" s="9" t="n"/>
      <c r="N168" s="9" t="n"/>
      <c r="O168" s="40">
        <f>K168+V168-AE168-AZ168</f>
        <v/>
      </c>
      <c r="P168" s="12" t="n"/>
      <c r="Q168" s="138" t="n"/>
      <c r="R168" s="16" t="n"/>
      <c r="S168" s="139" t="n"/>
      <c r="T168" s="16" t="n"/>
      <c r="U168" s="139" t="n"/>
      <c r="V168" s="16">
        <f>P168+R168+T168</f>
        <v/>
      </c>
      <c r="W168" s="16" t="n"/>
      <c r="X168" s="139" t="n"/>
      <c r="Y168" s="16" t="n"/>
      <c r="Z168" s="139" t="n"/>
      <c r="AA168" s="16" t="n"/>
      <c r="AB168" s="139" t="n"/>
      <c r="AC168" s="16" t="n"/>
      <c r="AD168" s="139" t="n"/>
      <c r="AE168" s="16">
        <f>(W168+Y168+AA168+AC168)</f>
        <v/>
      </c>
      <c r="AF168" s="140" t="n"/>
      <c r="AG168" s="138" t="n"/>
      <c r="AH168" s="16" t="n"/>
      <c r="AI168" s="138" t="n"/>
      <c r="AJ168" s="16" t="n"/>
      <c r="AK168" s="138" t="n"/>
      <c r="AL168" s="16" t="n"/>
      <c r="AM168" s="138" t="n"/>
      <c r="AN168" s="16" t="n"/>
      <c r="AO168" s="138" t="n"/>
      <c r="AP168" s="16" t="n"/>
      <c r="AQ168" s="138" t="n"/>
      <c r="AR168" s="16" t="n"/>
      <c r="AS168" s="138" t="n"/>
      <c r="AT168" s="16" t="n"/>
      <c r="AU168" s="138" t="n"/>
      <c r="AV168" s="16" t="n"/>
      <c r="AW168" s="138" t="n"/>
      <c r="AX168" s="16" t="n"/>
      <c r="AY168" s="138" t="n"/>
      <c r="AZ168" s="16">
        <f>AF168+AH168+AJ168+AL168+AN168+AP168+AR168+AT168+AV168+AX168</f>
        <v/>
      </c>
      <c r="BA168" s="16" t="n"/>
      <c r="BB168" s="139" t="n"/>
      <c r="BC168" s="16" t="n"/>
      <c r="BD168" s="139" t="n"/>
      <c r="BE168" s="16">
        <f>(BA168+BC168)</f>
        <v/>
      </c>
    </row>
    <row r="169" ht="22.5" customFormat="1" customHeight="1" s="8">
      <c r="A169" s="9" t="n"/>
      <c r="B169" s="136" t="inlineStr">
        <is>
          <t>PANEL</t>
        </is>
      </c>
      <c r="C169" s="137" t="inlineStr">
        <is>
          <t>COCOON</t>
        </is>
      </c>
      <c r="D169" s="143" t="inlineStr">
        <is>
          <t>OLED PANEL</t>
        </is>
      </c>
      <c r="E169" s="13" t="inlineStr">
        <is>
          <t>UG-5664ASWEF01</t>
        </is>
      </c>
      <c r="F169" s="100" t="n"/>
      <c r="G169" s="9" t="n"/>
      <c r="H169" s="9" t="inlineStr">
        <is>
          <t>HLP</t>
        </is>
      </c>
      <c r="I169" s="14" t="n"/>
      <c r="J169" s="14" t="n"/>
      <c r="K169" s="12" t="n">
        <v>0</v>
      </c>
      <c r="L169" s="9" t="n"/>
      <c r="M169" s="9" t="n"/>
      <c r="N169" s="9" t="n"/>
      <c r="O169" s="40">
        <f>K169+V169-AE169-AZ169</f>
        <v/>
      </c>
      <c r="P169" s="12" t="n"/>
      <c r="Q169" s="138" t="n"/>
      <c r="R169" s="16" t="n"/>
      <c r="S169" s="139" t="n"/>
      <c r="T169" s="16" t="n"/>
      <c r="U169" s="139" t="n"/>
      <c r="V169" s="16">
        <f>P169+R169+T169</f>
        <v/>
      </c>
      <c r="W169" s="16" t="n"/>
      <c r="X169" s="139" t="n"/>
      <c r="Y169" s="16" t="n"/>
      <c r="Z169" s="139" t="n"/>
      <c r="AA169" s="16" t="n"/>
      <c r="AB169" s="139" t="n"/>
      <c r="AC169" s="16" t="n"/>
      <c r="AD169" s="139" t="n"/>
      <c r="AE169" s="16">
        <f>(W169+Y169+AA169+AC169)</f>
        <v/>
      </c>
      <c r="AF169" s="140" t="n"/>
      <c r="AG169" s="138" t="n"/>
      <c r="AH169" s="16" t="n"/>
      <c r="AI169" s="138" t="n"/>
      <c r="AJ169" s="16" t="n"/>
      <c r="AK169" s="138" t="n"/>
      <c r="AL169" s="16" t="n"/>
      <c r="AM169" s="138" t="n"/>
      <c r="AN169" s="16" t="n"/>
      <c r="AO169" s="138" t="n"/>
      <c r="AP169" s="16" t="n"/>
      <c r="AQ169" s="138" t="n"/>
      <c r="AR169" s="16" t="n"/>
      <c r="AS169" s="138" t="n"/>
      <c r="AT169" s="16" t="n"/>
      <c r="AU169" s="138" t="n"/>
      <c r="AV169" s="16" t="n"/>
      <c r="AW169" s="138" t="n"/>
      <c r="AX169" s="16" t="n"/>
      <c r="AY169" s="138" t="n"/>
      <c r="AZ169" s="16">
        <f>AF169+AH169+AJ169+AL169+AN169+AP169+AR169+AT169+AV169+AX169</f>
        <v/>
      </c>
      <c r="BA169" s="16" t="n"/>
      <c r="BB169" s="139" t="n"/>
      <c r="BC169" s="16" t="n"/>
      <c r="BD169" s="139" t="n"/>
      <c r="BE169" s="16">
        <f>(BA169+BC169)</f>
        <v/>
      </c>
    </row>
    <row r="170" ht="22.5" customFormat="1" customHeight="1" s="8">
      <c r="A170" s="9" t="n"/>
      <c r="B170" s="136" t="inlineStr">
        <is>
          <t>ABS 난연</t>
        </is>
      </c>
      <c r="C170" s="137" t="inlineStr">
        <is>
          <t>COCOON</t>
        </is>
      </c>
      <c r="D170" s="143" t="inlineStr">
        <is>
          <t>TOP BODY</t>
        </is>
      </c>
      <c r="E170" s="13" t="inlineStr">
        <is>
          <t>메탈 실버 유광</t>
        </is>
      </c>
      <c r="F170" s="100" t="n"/>
      <c r="G170" s="9" t="n"/>
      <c r="H170" s="9" t="inlineStr">
        <is>
          <t>천우</t>
        </is>
      </c>
      <c r="I170" s="14" t="n"/>
      <c r="J170" s="14" t="n"/>
      <c r="K170" s="12" t="n">
        <v>303</v>
      </c>
      <c r="L170" s="9" t="n"/>
      <c r="M170" s="9" t="n"/>
      <c r="N170" s="9" t="n"/>
      <c r="O170" s="40">
        <f>K170+V170-AE170-AZ170</f>
        <v/>
      </c>
      <c r="P170" s="12" t="n"/>
      <c r="Q170" s="138" t="n"/>
      <c r="R170" s="16" t="n"/>
      <c r="S170" s="139" t="n"/>
      <c r="T170" s="16" t="n"/>
      <c r="U170" s="139" t="n"/>
      <c r="V170" s="16">
        <f>P170+R170+T170</f>
        <v/>
      </c>
      <c r="W170" s="16" t="n"/>
      <c r="X170" s="139" t="n"/>
      <c r="Y170" s="16" t="n"/>
      <c r="Z170" s="139" t="n"/>
      <c r="AA170" s="16" t="n"/>
      <c r="AB170" s="139" t="n"/>
      <c r="AC170" s="16" t="n"/>
      <c r="AD170" s="139" t="n"/>
      <c r="AE170" s="16">
        <f>(W170+Y170+AA170+AC170)</f>
        <v/>
      </c>
      <c r="AF170" s="140" t="n"/>
      <c r="AG170" s="138" t="n"/>
      <c r="AH170" s="16" t="n"/>
      <c r="AI170" s="138" t="n"/>
      <c r="AJ170" s="16" t="n"/>
      <c r="AK170" s="138" t="n"/>
      <c r="AL170" s="16" t="n"/>
      <c r="AM170" s="138" t="n"/>
      <c r="AN170" s="16" t="n"/>
      <c r="AO170" s="138" t="n"/>
      <c r="AP170" s="16" t="n"/>
      <c r="AQ170" s="138" t="n"/>
      <c r="AR170" s="16" t="n"/>
      <c r="AS170" s="138" t="n"/>
      <c r="AT170" s="16" t="n"/>
      <c r="AU170" s="138" t="n"/>
      <c r="AV170" s="16" t="n"/>
      <c r="AW170" s="138" t="n"/>
      <c r="AX170" s="16" t="n"/>
      <c r="AY170" s="138" t="n"/>
      <c r="AZ170" s="16">
        <f>AF170+AH170+AJ170+AL170+AN170+AP170+AR170+AT170+AV170+AX170</f>
        <v/>
      </c>
      <c r="BA170" s="16" t="n"/>
      <c r="BB170" s="139" t="n"/>
      <c r="BC170" s="16" t="n"/>
      <c r="BD170" s="139" t="n"/>
      <c r="BE170" s="16">
        <f>(BA170+BC170)</f>
        <v/>
      </c>
    </row>
    <row r="171" ht="22.5" customFormat="1" customHeight="1" s="8">
      <c r="A171" s="9" t="n"/>
      <c r="B171" s="136" t="inlineStr">
        <is>
          <t>ABS 난연</t>
        </is>
      </c>
      <c r="C171" s="137" t="inlineStr">
        <is>
          <t>COCOON</t>
        </is>
      </c>
      <c r="D171" s="143" t="inlineStr">
        <is>
          <t>BOTTOM BODY</t>
        </is>
      </c>
      <c r="E171" s="13" t="inlineStr">
        <is>
          <t>블랙 유광</t>
        </is>
      </c>
      <c r="F171" s="100" t="n"/>
      <c r="G171" s="9" t="n"/>
      <c r="H171" s="9" t="inlineStr">
        <is>
          <t>천우</t>
        </is>
      </c>
      <c r="I171" s="14" t="n"/>
      <c r="J171" s="14" t="n"/>
      <c r="K171" s="12" t="n">
        <v>0</v>
      </c>
      <c r="L171" s="9" t="n"/>
      <c r="M171" s="9" t="n"/>
      <c r="N171" s="9" t="n"/>
      <c r="O171" s="40">
        <f>K171+V171-AE171-AZ171</f>
        <v/>
      </c>
      <c r="P171" s="12" t="n"/>
      <c r="Q171" s="138" t="n"/>
      <c r="R171" s="16" t="n"/>
      <c r="S171" s="139" t="n"/>
      <c r="T171" s="16" t="n"/>
      <c r="U171" s="139" t="n"/>
      <c r="V171" s="16">
        <f>P171+R171+T171</f>
        <v/>
      </c>
      <c r="W171" s="16" t="n"/>
      <c r="X171" s="139" t="n"/>
      <c r="Y171" s="16" t="n"/>
      <c r="Z171" s="139" t="n"/>
      <c r="AA171" s="16" t="n"/>
      <c r="AB171" s="139" t="n"/>
      <c r="AC171" s="16" t="n"/>
      <c r="AD171" s="139" t="n"/>
      <c r="AE171" s="16">
        <f>(W171+Y171+AA171+AC171)</f>
        <v/>
      </c>
      <c r="AF171" s="140" t="n"/>
      <c r="AG171" s="138" t="n"/>
      <c r="AH171" s="16" t="n"/>
      <c r="AI171" s="138" t="n"/>
      <c r="AJ171" s="16" t="n"/>
      <c r="AK171" s="138" t="n"/>
      <c r="AL171" s="16" t="n"/>
      <c r="AM171" s="138" t="n"/>
      <c r="AN171" s="16" t="n"/>
      <c r="AO171" s="138" t="n"/>
      <c r="AP171" s="16" t="n"/>
      <c r="AQ171" s="138" t="n"/>
      <c r="AR171" s="16" t="n"/>
      <c r="AS171" s="138" t="n"/>
      <c r="AT171" s="16" t="n"/>
      <c r="AU171" s="138" t="n"/>
      <c r="AV171" s="16" t="n"/>
      <c r="AW171" s="138" t="n"/>
      <c r="AX171" s="16" t="n"/>
      <c r="AY171" s="138" t="n"/>
      <c r="AZ171" s="16">
        <f>AF171+AH171+AJ171+AL171+AN171+AP171+AR171+AT171+AV171+AX171</f>
        <v/>
      </c>
      <c r="BA171" s="16" t="n"/>
      <c r="BB171" s="139" t="n"/>
      <c r="BC171" s="16" t="n"/>
      <c r="BD171" s="139" t="n"/>
      <c r="BE171" s="16">
        <f>(BA171+BC171)</f>
        <v/>
      </c>
    </row>
    <row r="172" ht="22.5" customFormat="1" customHeight="1" s="8">
      <c r="A172" s="9" t="n"/>
      <c r="B172" s="136" t="inlineStr">
        <is>
          <t>ABS 난연</t>
        </is>
      </c>
      <c r="C172" s="137" t="inlineStr">
        <is>
          <t>COCOON</t>
        </is>
      </c>
      <c r="D172" s="144" t="inlineStr">
        <is>
          <t>OLED GUIDE</t>
        </is>
      </c>
      <c r="E172" s="13" t="inlineStr">
        <is>
          <t>ABS 난연 화이트</t>
        </is>
      </c>
      <c r="F172" s="100" t="n"/>
      <c r="G172" s="9" t="n"/>
      <c r="H172" s="9" t="inlineStr">
        <is>
          <t>천우</t>
        </is>
      </c>
      <c r="I172" s="14" t="n"/>
      <c r="J172" s="14" t="n"/>
      <c r="K172" s="12" t="n">
        <v>0</v>
      </c>
      <c r="L172" s="9" t="n"/>
      <c r="M172" s="9" t="n"/>
      <c r="N172" s="9" t="n"/>
      <c r="O172" s="40">
        <f>K172+V172-AE172-AZ172</f>
        <v/>
      </c>
      <c r="P172" s="12" t="n"/>
      <c r="Q172" s="138" t="n"/>
      <c r="R172" s="16" t="n"/>
      <c r="S172" s="139" t="n"/>
      <c r="T172" s="16" t="n"/>
      <c r="U172" s="139" t="n"/>
      <c r="V172" s="16">
        <f>P172+R172+T172</f>
        <v/>
      </c>
      <c r="W172" s="16" t="n"/>
      <c r="X172" s="139" t="n"/>
      <c r="Y172" s="16" t="n"/>
      <c r="Z172" s="139" t="n"/>
      <c r="AA172" s="16" t="n"/>
      <c r="AB172" s="139" t="n"/>
      <c r="AC172" s="16" t="n"/>
      <c r="AD172" s="139" t="n"/>
      <c r="AE172" s="16">
        <f>(W172+Y172+AA172+AC172)</f>
        <v/>
      </c>
      <c r="AF172" s="140" t="n"/>
      <c r="AG172" s="138" t="n"/>
      <c r="AH172" s="16" t="n"/>
      <c r="AI172" s="138" t="n"/>
      <c r="AJ172" s="16" t="n"/>
      <c r="AK172" s="138" t="n"/>
      <c r="AL172" s="16" t="n"/>
      <c r="AM172" s="138" t="n"/>
      <c r="AN172" s="16" t="n"/>
      <c r="AO172" s="138" t="n"/>
      <c r="AP172" s="16" t="n"/>
      <c r="AQ172" s="138" t="n"/>
      <c r="AR172" s="16" t="n"/>
      <c r="AS172" s="138" t="n"/>
      <c r="AT172" s="16" t="n"/>
      <c r="AU172" s="138" t="n"/>
      <c r="AV172" s="16" t="n"/>
      <c r="AW172" s="138" t="n"/>
      <c r="AX172" s="16" t="n"/>
      <c r="AY172" s="138" t="n"/>
      <c r="AZ172" s="16">
        <f>AF172+AH172+AJ172+AL172+AN172+AP172+AR172+AT172+AV172+AX172</f>
        <v/>
      </c>
      <c r="BA172" s="16" t="n"/>
      <c r="BB172" s="139" t="n"/>
      <c r="BC172" s="16" t="n"/>
      <c r="BD172" s="139" t="n"/>
      <c r="BE172" s="16">
        <f>(BA172+BC172)</f>
        <v/>
      </c>
    </row>
    <row r="173" ht="22.5" customFormat="1" customHeight="1" s="8">
      <c r="A173" s="9" t="n"/>
      <c r="B173" s="136" t="inlineStr">
        <is>
          <t>ABS 난연</t>
        </is>
      </c>
      <c r="C173" s="137" t="inlineStr">
        <is>
          <t>COCOON</t>
        </is>
      </c>
      <c r="D173" s="143" t="inlineStr">
        <is>
          <t>POWER BUTTON</t>
        </is>
      </c>
      <c r="E173" s="13" t="inlineStr">
        <is>
          <t>메탈 실버 유광</t>
        </is>
      </c>
      <c r="F173" s="100" t="n"/>
      <c r="G173" s="9" t="n"/>
      <c r="H173" s="9" t="inlineStr">
        <is>
          <t>천우</t>
        </is>
      </c>
      <c r="I173" s="14" t="n"/>
      <c r="J173" s="14" t="n"/>
      <c r="K173" s="12" t="n">
        <v>324</v>
      </c>
      <c r="L173" s="9" t="n"/>
      <c r="M173" s="9" t="n"/>
      <c r="N173" s="9" t="n"/>
      <c r="O173" s="40">
        <f>K173+V173-AE173-AZ173</f>
        <v/>
      </c>
      <c r="P173" s="12" t="n"/>
      <c r="Q173" s="138" t="n"/>
      <c r="R173" s="16" t="n"/>
      <c r="S173" s="139" t="n"/>
      <c r="T173" s="16" t="n"/>
      <c r="U173" s="139" t="n"/>
      <c r="V173" s="16">
        <f>P173+R173+T173</f>
        <v/>
      </c>
      <c r="W173" s="16" t="n"/>
      <c r="X173" s="139" t="n"/>
      <c r="Y173" s="16" t="n"/>
      <c r="Z173" s="139" t="n"/>
      <c r="AA173" s="16" t="n"/>
      <c r="AB173" s="139" t="n"/>
      <c r="AC173" s="16" t="n"/>
      <c r="AD173" s="139" t="n"/>
      <c r="AE173" s="16">
        <f>(W173+Y173+AA173+AC173)</f>
        <v/>
      </c>
      <c r="AF173" s="140" t="n"/>
      <c r="AG173" s="138" t="n"/>
      <c r="AH173" s="16" t="n"/>
      <c r="AI173" s="138" t="n"/>
      <c r="AJ173" s="16" t="n"/>
      <c r="AK173" s="138" t="n"/>
      <c r="AL173" s="16" t="n"/>
      <c r="AM173" s="138" t="n"/>
      <c r="AN173" s="16" t="n"/>
      <c r="AO173" s="138" t="n"/>
      <c r="AP173" s="16" t="n"/>
      <c r="AQ173" s="138" t="n"/>
      <c r="AR173" s="16" t="n"/>
      <c r="AS173" s="138" t="n"/>
      <c r="AT173" s="16" t="n"/>
      <c r="AU173" s="138" t="n"/>
      <c r="AV173" s="16" t="n"/>
      <c r="AW173" s="138" t="n"/>
      <c r="AX173" s="16" t="n"/>
      <c r="AY173" s="138" t="n"/>
      <c r="AZ173" s="16">
        <f>AF173+AH173+AJ173+AL173+AN173+AP173+AR173+AT173+AV173+AX173</f>
        <v/>
      </c>
      <c r="BA173" s="16" t="n"/>
      <c r="BB173" s="139" t="n"/>
      <c r="BC173" s="16" t="n"/>
      <c r="BD173" s="139" t="n"/>
      <c r="BE173" s="16">
        <f>(BA173+BC173)</f>
        <v/>
      </c>
    </row>
    <row r="174" ht="22.5" customFormat="1" customHeight="1" s="8">
      <c r="A174" s="9" t="n"/>
      <c r="B174" s="136" t="inlineStr">
        <is>
          <t>ABS 난연</t>
        </is>
      </c>
      <c r="C174" s="137" t="inlineStr">
        <is>
          <t>COCOON</t>
        </is>
      </c>
      <c r="D174" s="144" t="inlineStr">
        <is>
          <t>BUTTON INDICATOR</t>
        </is>
      </c>
      <c r="E174" s="13" t="inlineStr">
        <is>
          <t>ABS 난연 화이트</t>
        </is>
      </c>
      <c r="F174" s="100" t="n"/>
      <c r="G174" s="9" t="n"/>
      <c r="H174" s="9" t="inlineStr">
        <is>
          <t>천우</t>
        </is>
      </c>
      <c r="I174" s="14" t="n"/>
      <c r="J174" s="14" t="n"/>
      <c r="K174" s="12" t="n">
        <v>259</v>
      </c>
      <c r="L174" s="9" t="n"/>
      <c r="M174" s="9" t="n"/>
      <c r="N174" s="9" t="n"/>
      <c r="O174" s="40">
        <f>K174+V174-AE174-AZ174</f>
        <v/>
      </c>
      <c r="P174" s="12" t="n"/>
      <c r="Q174" s="138" t="n"/>
      <c r="R174" s="16" t="n"/>
      <c r="S174" s="139" t="n"/>
      <c r="T174" s="16" t="n"/>
      <c r="U174" s="139" t="n"/>
      <c r="V174" s="16">
        <f>P174+R174+T174</f>
        <v/>
      </c>
      <c r="W174" s="16" t="n"/>
      <c r="X174" s="139" t="n"/>
      <c r="Y174" s="16" t="n"/>
      <c r="Z174" s="139" t="n"/>
      <c r="AA174" s="16" t="n"/>
      <c r="AB174" s="139" t="n"/>
      <c r="AC174" s="16" t="n"/>
      <c r="AD174" s="139" t="n"/>
      <c r="AE174" s="16">
        <f>(W174+Y174+AA174+AC174)</f>
        <v/>
      </c>
      <c r="AF174" s="140" t="n"/>
      <c r="AG174" s="138" t="n"/>
      <c r="AH174" s="16" t="n"/>
      <c r="AI174" s="138" t="n"/>
      <c r="AJ174" s="16" t="n"/>
      <c r="AK174" s="138" t="n"/>
      <c r="AL174" s="16" t="n"/>
      <c r="AM174" s="138" t="n"/>
      <c r="AN174" s="16" t="n"/>
      <c r="AO174" s="138" t="n"/>
      <c r="AP174" s="16" t="n"/>
      <c r="AQ174" s="138" t="n"/>
      <c r="AR174" s="16" t="n"/>
      <c r="AS174" s="138" t="n"/>
      <c r="AT174" s="16" t="n"/>
      <c r="AU174" s="138" t="n"/>
      <c r="AV174" s="16" t="n"/>
      <c r="AW174" s="138" t="n"/>
      <c r="AX174" s="16" t="n"/>
      <c r="AY174" s="138" t="n"/>
      <c r="AZ174" s="16">
        <f>AF174+AH174+AJ174+AL174+AN174+AP174+AR174+AT174+AV174+AX174</f>
        <v/>
      </c>
      <c r="BA174" s="16" t="n"/>
      <c r="BB174" s="139" t="n"/>
      <c r="BC174" s="16" t="n"/>
      <c r="BD174" s="139" t="n"/>
      <c r="BE174" s="16">
        <f>(BA174+BC174)</f>
        <v/>
      </c>
    </row>
    <row r="175" ht="22.5" customFormat="1" customHeight="1" s="8">
      <c r="A175" s="9" t="n"/>
      <c r="B175" s="136" t="inlineStr">
        <is>
          <t>ABS 난연</t>
        </is>
      </c>
      <c r="C175" s="137" t="inlineStr">
        <is>
          <t>COCOON</t>
        </is>
      </c>
      <c r="D175" s="143" t="inlineStr">
        <is>
          <t>TOUCH DUMMY</t>
        </is>
      </c>
      <c r="E175" s="13" t="inlineStr">
        <is>
          <t>확산 아크릴</t>
        </is>
      </c>
      <c r="F175" s="100" t="n"/>
      <c r="G175" s="9" t="n"/>
      <c r="H175" s="9" t="inlineStr">
        <is>
          <t>천우</t>
        </is>
      </c>
      <c r="I175" s="14" t="n"/>
      <c r="J175" s="14" t="n"/>
      <c r="K175" s="12" t="n">
        <v>156</v>
      </c>
      <c r="L175" s="9" t="n"/>
      <c r="M175" s="9" t="n"/>
      <c r="N175" s="9" t="n"/>
      <c r="O175" s="40">
        <f>K175+V175-AE175-AZ175</f>
        <v/>
      </c>
      <c r="P175" s="12" t="n"/>
      <c r="Q175" s="138" t="n"/>
      <c r="R175" s="16" t="n"/>
      <c r="S175" s="139" t="n"/>
      <c r="T175" s="16" t="n"/>
      <c r="U175" s="139" t="n"/>
      <c r="V175" s="16">
        <f>P175+R175+T175</f>
        <v/>
      </c>
      <c r="W175" s="16" t="n"/>
      <c r="X175" s="139" t="n"/>
      <c r="Y175" s="16" t="n"/>
      <c r="Z175" s="139" t="n"/>
      <c r="AA175" s="16" t="n"/>
      <c r="AB175" s="139" t="n"/>
      <c r="AC175" s="16" t="n"/>
      <c r="AD175" s="139" t="n"/>
      <c r="AE175" s="16">
        <f>(W175+Y175+AA175+AC175)</f>
        <v/>
      </c>
      <c r="AF175" s="140" t="n"/>
      <c r="AG175" s="138" t="n"/>
      <c r="AH175" s="16" t="n"/>
      <c r="AI175" s="138" t="n"/>
      <c r="AJ175" s="16" t="n"/>
      <c r="AK175" s="138" t="n"/>
      <c r="AL175" s="16" t="n"/>
      <c r="AM175" s="138" t="n"/>
      <c r="AN175" s="16" t="n"/>
      <c r="AO175" s="138" t="n"/>
      <c r="AP175" s="16" t="n"/>
      <c r="AQ175" s="138" t="n"/>
      <c r="AR175" s="16" t="n"/>
      <c r="AS175" s="138" t="n"/>
      <c r="AT175" s="16" t="n"/>
      <c r="AU175" s="138" t="n"/>
      <c r="AV175" s="16" t="n"/>
      <c r="AW175" s="138" t="n"/>
      <c r="AX175" s="16" t="n"/>
      <c r="AY175" s="138" t="n"/>
      <c r="AZ175" s="16">
        <f>AF175+AH175+AJ175+AL175+AN175+AP175+AR175+AT175+AV175+AX175</f>
        <v/>
      </c>
      <c r="BA175" s="16" t="n"/>
      <c r="BB175" s="139" t="n"/>
      <c r="BC175" s="16" t="n"/>
      <c r="BD175" s="139" t="n"/>
      <c r="BE175" s="16">
        <f>(BA175+BC175)</f>
        <v/>
      </c>
    </row>
    <row r="176" ht="22.5" customFormat="1" customHeight="1" s="8">
      <c r="A176" s="9" t="n"/>
      <c r="B176" s="136" t="inlineStr">
        <is>
          <t>ABS 난연</t>
        </is>
      </c>
      <c r="C176" s="137" t="inlineStr">
        <is>
          <t>COCOON</t>
        </is>
      </c>
      <c r="D176" s="144" t="inlineStr">
        <is>
          <t>LOCK KNOB</t>
        </is>
      </c>
      <c r="E176" s="13" t="inlineStr">
        <is>
          <t>메탈 실버 유광</t>
        </is>
      </c>
      <c r="F176" s="100" t="n"/>
      <c r="G176" s="9" t="n"/>
      <c r="H176" s="9" t="inlineStr">
        <is>
          <t>천우</t>
        </is>
      </c>
      <c r="I176" s="14" t="n"/>
      <c r="J176" s="14" t="n"/>
      <c r="K176" s="12" t="n">
        <v>69</v>
      </c>
      <c r="L176" s="9" t="n"/>
      <c r="M176" s="9" t="n"/>
      <c r="N176" s="9" t="n"/>
      <c r="O176" s="40">
        <f>K176+V176-AE176-AZ176</f>
        <v/>
      </c>
      <c r="P176" s="12" t="n"/>
      <c r="Q176" s="138" t="n"/>
      <c r="R176" s="16" t="n"/>
      <c r="S176" s="139" t="n"/>
      <c r="T176" s="16" t="n"/>
      <c r="U176" s="139" t="n"/>
      <c r="V176" s="16">
        <f>P176+R176+T176</f>
        <v/>
      </c>
      <c r="W176" s="16" t="n"/>
      <c r="X176" s="139" t="n"/>
      <c r="Y176" s="16" t="n"/>
      <c r="Z176" s="139" t="n"/>
      <c r="AA176" s="25" t="n"/>
      <c r="AB176" s="139" t="n"/>
      <c r="AC176" s="25" t="n"/>
      <c r="AD176" s="139" t="n"/>
      <c r="AE176" s="16">
        <f>(W176+Y176+AA176+AC176)</f>
        <v/>
      </c>
      <c r="AF176" s="140" t="n"/>
      <c r="AG176" s="138" t="n"/>
      <c r="AH176" s="16" t="n"/>
      <c r="AI176" s="138" t="n"/>
      <c r="AJ176" s="16" t="n"/>
      <c r="AK176" s="138" t="n"/>
      <c r="AL176" s="16" t="n"/>
      <c r="AM176" s="138" t="n"/>
      <c r="AN176" s="16" t="n"/>
      <c r="AO176" s="138" t="n"/>
      <c r="AP176" s="16" t="n"/>
      <c r="AQ176" s="138" t="n"/>
      <c r="AR176" s="16" t="n"/>
      <c r="AS176" s="138" t="n"/>
      <c r="AT176" s="16" t="n"/>
      <c r="AU176" s="138" t="n"/>
      <c r="AV176" s="16" t="n"/>
      <c r="AW176" s="138" t="n"/>
      <c r="AX176" s="16" t="n"/>
      <c r="AY176" s="138" t="n"/>
      <c r="AZ176" s="16">
        <f>AF176+AH176+AJ176+AL176+AN176+AP176+AR176+AT176+AV176+AX176</f>
        <v/>
      </c>
      <c r="BA176" s="16" t="n"/>
      <c r="BB176" s="139" t="n"/>
      <c r="BC176" s="16" t="n"/>
      <c r="BD176" s="139" t="n"/>
      <c r="BE176" s="16">
        <f>(BA176+BC176)</f>
        <v/>
      </c>
    </row>
    <row r="177" ht="22.5" customFormat="1" customHeight="1" s="8">
      <c r="A177" s="9" t="n"/>
      <c r="B177" s="136" t="inlineStr">
        <is>
          <t>ABS 난연</t>
        </is>
      </c>
      <c r="C177" s="137" t="inlineStr">
        <is>
          <t>COCOON</t>
        </is>
      </c>
      <c r="D177" s="143" t="inlineStr">
        <is>
          <t>LOCK INNER</t>
        </is>
      </c>
      <c r="E177" s="13" t="inlineStr">
        <is>
          <t>메탈 실버</t>
        </is>
      </c>
      <c r="F177" s="100" t="n"/>
      <c r="G177" s="9" t="n"/>
      <c r="H177" s="9" t="inlineStr">
        <is>
          <t>천우</t>
        </is>
      </c>
      <c r="I177" s="14" t="n"/>
      <c r="J177" s="14" t="n"/>
      <c r="K177" s="12" t="n">
        <v>29</v>
      </c>
      <c r="L177" s="9" t="n"/>
      <c r="M177" s="9" t="n"/>
      <c r="N177" s="9" t="n"/>
      <c r="O177" s="40">
        <f>K177+V177-AE177-AZ177</f>
        <v/>
      </c>
      <c r="P177" s="12" t="n"/>
      <c r="Q177" s="138" t="n"/>
      <c r="R177" s="16" t="n"/>
      <c r="S177" s="139" t="n"/>
      <c r="T177" s="16" t="n"/>
      <c r="U177" s="139" t="n"/>
      <c r="V177" s="16">
        <f>P177+R177+T177</f>
        <v/>
      </c>
      <c r="W177" s="16" t="n"/>
      <c r="X177" s="139" t="n"/>
      <c r="Y177" s="16" t="n"/>
      <c r="Z177" s="139" t="n"/>
      <c r="AA177" s="16" t="n"/>
      <c r="AB177" s="139" t="n"/>
      <c r="AC177" s="16" t="n"/>
      <c r="AD177" s="139" t="n"/>
      <c r="AE177" s="16">
        <f>(W177+Y177+AA177+AC177)</f>
        <v/>
      </c>
      <c r="AF177" s="140" t="n"/>
      <c r="AG177" s="138" t="n"/>
      <c r="AH177" s="16" t="n"/>
      <c r="AI177" s="138" t="n"/>
      <c r="AJ177" s="16" t="n"/>
      <c r="AK177" s="138" t="n"/>
      <c r="AL177" s="16" t="n"/>
      <c r="AM177" s="138" t="n"/>
      <c r="AN177" s="16" t="n"/>
      <c r="AO177" s="138" t="n"/>
      <c r="AP177" s="16" t="n"/>
      <c r="AQ177" s="138" t="n"/>
      <c r="AR177" s="16" t="n"/>
      <c r="AS177" s="138" t="n"/>
      <c r="AT177" s="16" t="n"/>
      <c r="AU177" s="138" t="n"/>
      <c r="AV177" s="16" t="n"/>
      <c r="AW177" s="138" t="n"/>
      <c r="AX177" s="16" t="n"/>
      <c r="AY177" s="138" t="n"/>
      <c r="AZ177" s="16">
        <f>AF177+AH177+AJ177+AL177+AN177+AP177+AR177+AT177+AV177+AX177</f>
        <v/>
      </c>
      <c r="BA177" s="16" t="n"/>
      <c r="BB177" s="139" t="n"/>
      <c r="BC177" s="16" t="n"/>
      <c r="BD177" s="139" t="n"/>
      <c r="BE177" s="16">
        <f>(BA177+BC177)</f>
        <v/>
      </c>
    </row>
    <row r="178" ht="22.5" customFormat="1" customHeight="1" s="8">
      <c r="A178" s="9" t="n"/>
      <c r="B178" s="136" t="inlineStr">
        <is>
          <t>ABS 난연</t>
        </is>
      </c>
      <c r="C178" s="137" t="inlineStr">
        <is>
          <t>COCOON</t>
        </is>
      </c>
      <c r="D178" s="144" t="inlineStr">
        <is>
          <t>FRONT_S (18cm)</t>
        </is>
      </c>
      <c r="E178" s="13" t="inlineStr">
        <is>
          <t>블랙 유광</t>
        </is>
      </c>
      <c r="F178" s="100" t="n"/>
      <c r="G178" s="9" t="n"/>
      <c r="H178" s="9" t="inlineStr">
        <is>
          <t>천우</t>
        </is>
      </c>
      <c r="I178" s="14" t="n"/>
      <c r="J178" s="14" t="n"/>
      <c r="K178" s="12" t="n">
        <v>207</v>
      </c>
      <c r="L178" s="9" t="n"/>
      <c r="M178" s="9" t="n"/>
      <c r="N178" s="9" t="n"/>
      <c r="O178" s="40">
        <f>K178+V178-AE178-AZ178</f>
        <v/>
      </c>
      <c r="P178" s="12" t="n"/>
      <c r="Q178" s="138" t="n"/>
      <c r="R178" s="12" t="n"/>
      <c r="S178" s="138" t="n"/>
      <c r="T178" s="16" t="n"/>
      <c r="U178" s="139" t="n"/>
      <c r="V178" s="16">
        <f>P178+R178+T178</f>
        <v/>
      </c>
      <c r="W178" s="16" t="n"/>
      <c r="X178" s="139" t="n"/>
      <c r="Y178" s="16" t="n"/>
      <c r="Z178" s="139" t="n"/>
      <c r="AA178" s="16" t="n"/>
      <c r="AB178" s="139" t="n"/>
      <c r="AC178" s="16" t="n"/>
      <c r="AD178" s="139" t="n"/>
      <c r="AE178" s="16">
        <f>(W178+Y178+AA178+AC178)</f>
        <v/>
      </c>
      <c r="AF178" s="140" t="n"/>
      <c r="AG178" s="138" t="n"/>
      <c r="AH178" s="16" t="n"/>
      <c r="AI178" s="138" t="n"/>
      <c r="AJ178" s="16" t="n"/>
      <c r="AK178" s="138" t="n"/>
      <c r="AL178" s="16" t="n"/>
      <c r="AM178" s="138" t="n"/>
      <c r="AN178" s="16" t="n"/>
      <c r="AO178" s="138" t="n"/>
      <c r="AP178" s="16" t="n"/>
      <c r="AQ178" s="138" t="n"/>
      <c r="AR178" s="16" t="n"/>
      <c r="AS178" s="138" t="n"/>
      <c r="AT178" s="16" t="n"/>
      <c r="AU178" s="138" t="n"/>
      <c r="AV178" s="16" t="n"/>
      <c r="AW178" s="138" t="n"/>
      <c r="AX178" s="16" t="n"/>
      <c r="AY178" s="138" t="n"/>
      <c r="AZ178" s="16">
        <f>AF178+AH178+AJ178+AL178+AN178+AP178+AR178+AT178+AV178+AX178</f>
        <v/>
      </c>
      <c r="BA178" s="16" t="n"/>
      <c r="BB178" s="139" t="n"/>
      <c r="BC178" s="16" t="n"/>
      <c r="BD178" s="139" t="n"/>
      <c r="BE178" s="16">
        <f>(BA178+BC178)</f>
        <v/>
      </c>
    </row>
    <row r="179" ht="22.5" customFormat="1" customHeight="1" s="8">
      <c r="A179" s="9" t="n"/>
      <c r="B179" s="136" t="inlineStr">
        <is>
          <t>ABS 난연</t>
        </is>
      </c>
      <c r="C179" s="137" t="inlineStr">
        <is>
          <t>COCOON</t>
        </is>
      </c>
      <c r="D179" s="149" t="inlineStr">
        <is>
          <t>FRONT_L (20cm)</t>
        </is>
      </c>
      <c r="E179" s="13" t="inlineStr">
        <is>
          <t>ABS 난연 블랙 + 블랙 유광</t>
        </is>
      </c>
      <c r="F179" s="100" t="n"/>
      <c r="G179" s="9" t="n"/>
      <c r="H179" s="9" t="inlineStr">
        <is>
          <t>천우</t>
        </is>
      </c>
      <c r="I179" s="14" t="n"/>
      <c r="J179" s="14" t="n"/>
      <c r="K179" s="12" t="n">
        <v>165</v>
      </c>
      <c r="L179" s="9" t="n"/>
      <c r="M179" s="9" t="n"/>
      <c r="N179" s="9" t="n"/>
      <c r="O179" s="40">
        <f>K179+V179-AE179-AZ179</f>
        <v/>
      </c>
      <c r="P179" s="12" t="n"/>
      <c r="Q179" s="138" t="n"/>
      <c r="R179" s="16" t="n"/>
      <c r="S179" s="139" t="n"/>
      <c r="T179" s="16" t="n"/>
      <c r="U179" s="139" t="n"/>
      <c r="V179" s="16">
        <f>P179+R179+T179</f>
        <v/>
      </c>
      <c r="W179" s="16" t="n"/>
      <c r="X179" s="139" t="n"/>
      <c r="Y179" s="16" t="n"/>
      <c r="Z179" s="139" t="n"/>
      <c r="AA179" s="16" t="n"/>
      <c r="AB179" s="139" t="n"/>
      <c r="AC179" s="16" t="n"/>
      <c r="AD179" s="139" t="n"/>
      <c r="AE179" s="16">
        <f>(W179+Y179+AA179+AC179)</f>
        <v/>
      </c>
      <c r="AF179" s="140" t="n"/>
      <c r="AG179" s="138" t="n"/>
      <c r="AH179" s="16" t="n"/>
      <c r="AI179" s="138" t="n"/>
      <c r="AJ179" s="16" t="n"/>
      <c r="AK179" s="138" t="n"/>
      <c r="AL179" s="16" t="n"/>
      <c r="AM179" s="138" t="n"/>
      <c r="AN179" s="16" t="n"/>
      <c r="AO179" s="138" t="n"/>
      <c r="AP179" s="16" t="n"/>
      <c r="AQ179" s="138" t="n"/>
      <c r="AR179" s="16" t="n"/>
      <c r="AS179" s="138" t="n"/>
      <c r="AT179" s="16" t="n"/>
      <c r="AU179" s="138" t="n"/>
      <c r="AV179" s="16" t="n"/>
      <c r="AW179" s="138" t="n"/>
      <c r="AX179" s="16" t="n"/>
      <c r="AY179" s="138" t="n"/>
      <c r="AZ179" s="16">
        <f>AF179+AH179+AJ179+AL179+AN179+AP179+AR179+AT179+AV179+AX179</f>
        <v/>
      </c>
      <c r="BA179" s="16" t="n"/>
      <c r="BB179" s="139" t="n"/>
      <c r="BC179" s="16" t="n"/>
      <c r="BD179" s="139" t="n"/>
      <c r="BE179" s="16">
        <f>(BA179+BC179)</f>
        <v/>
      </c>
    </row>
    <row r="180" ht="22.5" customFormat="1" customHeight="1" s="8">
      <c r="A180" s="9" t="n"/>
      <c r="B180" s="136" t="inlineStr">
        <is>
          <t>ABS 난연</t>
        </is>
      </c>
      <c r="C180" s="137" t="inlineStr">
        <is>
          <t>COCOON</t>
        </is>
      </c>
      <c r="D180" s="149" t="inlineStr">
        <is>
          <t>FRONT_CAP</t>
        </is>
      </c>
      <c r="E180" s="13" t="inlineStr">
        <is>
          <t>블랙 유광</t>
        </is>
      </c>
      <c r="F180" s="100" t="n"/>
      <c r="G180" s="9" t="n"/>
      <c r="H180" s="9" t="inlineStr">
        <is>
          <t>천우</t>
        </is>
      </c>
      <c r="I180" s="14" t="n"/>
      <c r="J180" s="14" t="n"/>
      <c r="K180" s="12" t="n">
        <v>248</v>
      </c>
      <c r="L180" s="9" t="n"/>
      <c r="M180" s="9" t="n"/>
      <c r="N180" s="9" t="n"/>
      <c r="O180" s="40">
        <f>K180+V180-AE180-AZ180</f>
        <v/>
      </c>
      <c r="P180" s="12" t="n"/>
      <c r="Q180" s="138" t="n"/>
      <c r="R180" s="16" t="n"/>
      <c r="S180" s="139" t="n"/>
      <c r="T180" s="16" t="n"/>
      <c r="U180" s="139" t="n"/>
      <c r="V180" s="16">
        <f>P180+R180+T180</f>
        <v/>
      </c>
      <c r="W180" s="16" t="n"/>
      <c r="X180" s="139" t="n"/>
      <c r="Y180" s="16" t="n"/>
      <c r="Z180" s="139" t="n"/>
      <c r="AA180" s="16" t="n"/>
      <c r="AB180" s="139" t="n"/>
      <c r="AC180" s="16" t="n"/>
      <c r="AD180" s="139" t="n"/>
      <c r="AE180" s="16">
        <f>(W180+Y180+AA180+AC180)</f>
        <v/>
      </c>
      <c r="AF180" s="140" t="n"/>
      <c r="AG180" s="138" t="n"/>
      <c r="AH180" s="16" t="n"/>
      <c r="AI180" s="138" t="n"/>
      <c r="AJ180" s="16" t="n"/>
      <c r="AK180" s="138" t="n"/>
      <c r="AL180" s="16" t="n"/>
      <c r="AM180" s="138" t="n"/>
      <c r="AN180" s="16" t="n"/>
      <c r="AO180" s="138" t="n"/>
      <c r="AP180" s="16" t="n"/>
      <c r="AQ180" s="138" t="n"/>
      <c r="AR180" s="16" t="n"/>
      <c r="AS180" s="138" t="n"/>
      <c r="AT180" s="16" t="n"/>
      <c r="AU180" s="138" t="n"/>
      <c r="AV180" s="16" t="n"/>
      <c r="AW180" s="138" t="n"/>
      <c r="AX180" s="16" t="n"/>
      <c r="AY180" s="138" t="n"/>
      <c r="AZ180" s="16">
        <f>AF180+AH180+AJ180+AL180+AN180+AP180+AR180+AT180+AV180+AX180</f>
        <v/>
      </c>
      <c r="BA180" s="16" t="n"/>
      <c r="BB180" s="139" t="n"/>
      <c r="BC180" s="16" t="n"/>
      <c r="BD180" s="139" t="n"/>
      <c r="BE180" s="16">
        <f>(BA180+BC180)</f>
        <v/>
      </c>
    </row>
    <row r="181" ht="22.5" customFormat="1" customHeight="1" s="8">
      <c r="A181" s="9" t="n"/>
      <c r="B181" s="136" t="inlineStr">
        <is>
          <t>ABS 난연</t>
        </is>
      </c>
      <c r="C181" s="137" t="inlineStr">
        <is>
          <t>COCOON</t>
        </is>
      </c>
      <c r="D181" s="149" t="inlineStr">
        <is>
          <t>에이밍 앞 사출</t>
        </is>
      </c>
      <c r="E181" s="13" t="inlineStr">
        <is>
          <t>블랙 유광</t>
        </is>
      </c>
      <c r="F181" s="100" t="n"/>
      <c r="G181" s="9" t="n"/>
      <c r="H181" s="9" t="inlineStr">
        <is>
          <t>천우</t>
        </is>
      </c>
      <c r="I181" s="14" t="n"/>
      <c r="J181" s="14" t="n"/>
      <c r="K181" s="12" t="n">
        <v>295</v>
      </c>
      <c r="L181" s="9" t="n"/>
      <c r="M181" s="9" t="n"/>
      <c r="N181" s="9" t="n"/>
      <c r="O181" s="40">
        <f>K181+V181-AE181-AZ181</f>
        <v/>
      </c>
      <c r="P181" s="12" t="n"/>
      <c r="Q181" s="138" t="n"/>
      <c r="R181" s="16" t="n"/>
      <c r="S181" s="139" t="n"/>
      <c r="T181" s="16" t="n"/>
      <c r="U181" s="139" t="n"/>
      <c r="V181" s="16">
        <f>P181+R181+T181</f>
        <v/>
      </c>
      <c r="W181" s="16" t="n"/>
      <c r="X181" s="139" t="n"/>
      <c r="Y181" s="16" t="n"/>
      <c r="Z181" s="139" t="n"/>
      <c r="AA181" s="16" t="n"/>
      <c r="AB181" s="139" t="n"/>
      <c r="AC181" s="16" t="n"/>
      <c r="AD181" s="139" t="n"/>
      <c r="AE181" s="16">
        <f>(W181+Y181+AA181+AC181)</f>
        <v/>
      </c>
      <c r="AF181" s="140" t="n"/>
      <c r="AG181" s="138" t="n"/>
      <c r="AH181" s="16" t="n"/>
      <c r="AI181" s="138" t="n"/>
      <c r="AJ181" s="16" t="n"/>
      <c r="AK181" s="138" t="n"/>
      <c r="AL181" s="16" t="n"/>
      <c r="AM181" s="138" t="n"/>
      <c r="AN181" s="16" t="n"/>
      <c r="AO181" s="138" t="n"/>
      <c r="AP181" s="16" t="n"/>
      <c r="AQ181" s="138" t="n"/>
      <c r="AR181" s="16" t="n"/>
      <c r="AS181" s="138" t="n"/>
      <c r="AT181" s="16" t="n"/>
      <c r="AU181" s="138" t="n"/>
      <c r="AV181" s="16" t="n"/>
      <c r="AW181" s="138" t="n"/>
      <c r="AX181" s="16" t="n"/>
      <c r="AY181" s="138" t="n"/>
      <c r="AZ181" s="16">
        <f>AF181+AH181+AJ181+AL181+AN181+AP181+AR181+AT181+AV181+AX181</f>
        <v/>
      </c>
      <c r="BA181" s="16" t="n"/>
      <c r="BB181" s="139" t="n"/>
      <c r="BC181" s="16" t="n"/>
      <c r="BD181" s="139" t="n"/>
      <c r="BE181" s="16">
        <f>(BA181+BC181)</f>
        <v/>
      </c>
    </row>
    <row r="182" ht="22.5" customFormat="1" customHeight="1" s="8">
      <c r="A182" s="9" t="n"/>
      <c r="B182" s="136" t="inlineStr">
        <is>
          <t>ABS 난연</t>
        </is>
      </c>
      <c r="C182" s="137" t="inlineStr">
        <is>
          <t>COCOON</t>
        </is>
      </c>
      <c r="D182" s="149" t="inlineStr">
        <is>
          <t>CONE GUIDE_S (18cm)</t>
        </is>
      </c>
      <c r="E182" s="13" t="inlineStr">
        <is>
          <t>ABS 난연 화이트</t>
        </is>
      </c>
      <c r="F182" s="100" t="n"/>
      <c r="G182" s="9" t="n"/>
      <c r="H182" s="9" t="inlineStr">
        <is>
          <t>천우</t>
        </is>
      </c>
      <c r="I182" s="14" t="n"/>
      <c r="J182" s="14" t="n"/>
      <c r="K182" s="12" t="n">
        <v>260</v>
      </c>
      <c r="L182" s="9" t="n"/>
      <c r="M182" s="9" t="n"/>
      <c r="N182" s="9" t="n"/>
      <c r="O182" s="40">
        <f>K182+V182-AE182-AZ182</f>
        <v/>
      </c>
      <c r="P182" s="12" t="n"/>
      <c r="Q182" s="138" t="n"/>
      <c r="R182" s="16" t="n"/>
      <c r="S182" s="139" t="n"/>
      <c r="T182" s="16" t="n"/>
      <c r="U182" s="139" t="n"/>
      <c r="V182" s="16">
        <f>P182+R182+T182</f>
        <v/>
      </c>
      <c r="W182" s="16" t="n"/>
      <c r="X182" s="139" t="n"/>
      <c r="Y182" s="16" t="n"/>
      <c r="Z182" s="139" t="n"/>
      <c r="AA182" s="16" t="n"/>
      <c r="AB182" s="139" t="n"/>
      <c r="AC182" s="16" t="n"/>
      <c r="AD182" s="139" t="n"/>
      <c r="AE182" s="16">
        <f>(W182+Y182+AA182+AC182)</f>
        <v/>
      </c>
      <c r="AF182" s="140" t="n"/>
      <c r="AG182" s="138" t="n"/>
      <c r="AH182" s="16" t="n"/>
      <c r="AI182" s="138" t="n"/>
      <c r="AJ182" s="16" t="n"/>
      <c r="AK182" s="138" t="n"/>
      <c r="AL182" s="16" t="n"/>
      <c r="AM182" s="138" t="n"/>
      <c r="AN182" s="16" t="n"/>
      <c r="AO182" s="138" t="n"/>
      <c r="AP182" s="16" t="n"/>
      <c r="AQ182" s="138" t="n"/>
      <c r="AR182" s="16" t="n"/>
      <c r="AS182" s="138" t="n"/>
      <c r="AT182" s="16" t="n"/>
      <c r="AU182" s="138" t="n"/>
      <c r="AV182" s="16" t="n"/>
      <c r="AW182" s="138" t="n"/>
      <c r="AX182" s="16" t="n"/>
      <c r="AY182" s="138" t="n"/>
      <c r="AZ182" s="16">
        <f>AF182+AH182+AJ182+AL182+AN182+AP182+AR182+AT182+AV182+AX182</f>
        <v/>
      </c>
      <c r="BA182" s="16" t="n"/>
      <c r="BB182" s="139" t="n"/>
      <c r="BC182" s="16" t="n"/>
      <c r="BD182" s="139" t="n"/>
      <c r="BE182" s="16">
        <f>(BA182+BC182)</f>
        <v/>
      </c>
    </row>
    <row r="183" ht="22.5" customFormat="1" customHeight="1" s="8">
      <c r="A183" s="9" t="n"/>
      <c r="B183" s="136" t="inlineStr">
        <is>
          <t>ABS 난연</t>
        </is>
      </c>
      <c r="C183" s="137" t="inlineStr">
        <is>
          <t>COCOON</t>
        </is>
      </c>
      <c r="D183" s="143" t="inlineStr">
        <is>
          <t>CONE GUIDE_L (20cm)</t>
        </is>
      </c>
      <c r="E183" s="13" t="inlineStr">
        <is>
          <t>ABS 난연 화이트</t>
        </is>
      </c>
      <c r="F183" s="100" t="n"/>
      <c r="G183" s="9" t="n"/>
      <c r="H183" s="9" t="inlineStr">
        <is>
          <t>천우</t>
        </is>
      </c>
      <c r="I183" s="14" t="n"/>
      <c r="J183" s="14" t="n"/>
      <c r="K183" s="12" t="n">
        <v>420</v>
      </c>
      <c r="L183" s="9" t="n"/>
      <c r="M183" s="9" t="n"/>
      <c r="N183" s="9" t="n"/>
      <c r="O183" s="40">
        <f>K183+V183-AE183-AZ183</f>
        <v/>
      </c>
      <c r="P183" s="12" t="n"/>
      <c r="Q183" s="138" t="n"/>
      <c r="R183" s="16" t="n"/>
      <c r="S183" s="139" t="n"/>
      <c r="T183" s="16" t="n"/>
      <c r="U183" s="139" t="n"/>
      <c r="V183" s="16">
        <f>P183+R183+T183</f>
        <v/>
      </c>
      <c r="W183" s="16" t="n"/>
      <c r="X183" s="139" t="n"/>
      <c r="Y183" s="16" t="n"/>
      <c r="Z183" s="139" t="n"/>
      <c r="AA183" s="16" t="n"/>
      <c r="AB183" s="139" t="n"/>
      <c r="AC183" s="16" t="n"/>
      <c r="AD183" s="139" t="n"/>
      <c r="AE183" s="16">
        <f>(W183+Y183+AA183+AC183)</f>
        <v/>
      </c>
      <c r="AF183" s="140" t="n"/>
      <c r="AG183" s="138" t="n"/>
      <c r="AH183" s="16" t="n"/>
      <c r="AI183" s="138" t="n"/>
      <c r="AJ183" s="16" t="n"/>
      <c r="AK183" s="138" t="n"/>
      <c r="AL183" s="16" t="n"/>
      <c r="AM183" s="138" t="n"/>
      <c r="AN183" s="16" t="n"/>
      <c r="AO183" s="138" t="n"/>
      <c r="AP183" s="16" t="n"/>
      <c r="AQ183" s="138" t="n"/>
      <c r="AR183" s="16" t="n"/>
      <c r="AS183" s="138" t="n"/>
      <c r="AT183" s="16" t="n"/>
      <c r="AU183" s="138" t="n"/>
      <c r="AV183" s="16" t="n"/>
      <c r="AW183" s="138" t="n"/>
      <c r="AX183" s="16" t="n"/>
      <c r="AY183" s="138" t="n"/>
      <c r="AZ183" s="16">
        <f>AF183+AH183+AJ183+AL183+AN183+AP183+AR183+AT183+AV183+AX183</f>
        <v/>
      </c>
      <c r="BA183" s="16" t="n"/>
      <c r="BB183" s="139" t="n"/>
      <c r="BC183" s="16" t="n"/>
      <c r="BD183" s="139" t="n"/>
      <c r="BE183" s="16">
        <f>(BA183+BC183)</f>
        <v/>
      </c>
    </row>
    <row r="184" ht="22.5" customFormat="1" customHeight="1" s="8">
      <c r="A184" s="9" t="n"/>
      <c r="B184" s="136" t="inlineStr">
        <is>
          <t>ABS 난연</t>
        </is>
      </c>
      <c r="C184" s="137" t="inlineStr">
        <is>
          <t>COCOON</t>
        </is>
      </c>
      <c r="D184" s="145" t="inlineStr">
        <is>
          <t>HAND BODY</t>
        </is>
      </c>
      <c r="E184" s="13" t="inlineStr">
        <is>
          <t>메탈 실버 유광</t>
        </is>
      </c>
      <c r="F184" s="100" t="n"/>
      <c r="G184" s="9" t="n"/>
      <c r="H184" s="9" t="inlineStr">
        <is>
          <t>천우</t>
        </is>
      </c>
      <c r="I184" s="14" t="n"/>
      <c r="J184" s="14" t="n"/>
      <c r="K184" s="12" t="n">
        <v>80</v>
      </c>
      <c r="L184" s="9" t="n"/>
      <c r="M184" s="9" t="n"/>
      <c r="N184" s="9" t="n"/>
      <c r="O184" s="40">
        <f>K184+V184-AE184-AZ184</f>
        <v/>
      </c>
      <c r="P184" s="12" t="n"/>
      <c r="Q184" s="138" t="n"/>
      <c r="R184" s="16" t="n"/>
      <c r="S184" s="139" t="n"/>
      <c r="T184" s="16" t="n"/>
      <c r="U184" s="139" t="n"/>
      <c r="V184" s="16">
        <f>P184+R184+T184</f>
        <v/>
      </c>
      <c r="W184" s="16" t="n"/>
      <c r="X184" s="139" t="n"/>
      <c r="Y184" s="16" t="n"/>
      <c r="Z184" s="139" t="n"/>
      <c r="AA184" s="16" t="n"/>
      <c r="AB184" s="139" t="n"/>
      <c r="AC184" s="16" t="n"/>
      <c r="AD184" s="139" t="n"/>
      <c r="AE184" s="16">
        <f>(W184+Y184+AA184+AC184)</f>
        <v/>
      </c>
      <c r="AF184" s="140" t="n"/>
      <c r="AG184" s="138" t="n"/>
      <c r="AH184" s="16" t="n"/>
      <c r="AI184" s="138" t="n"/>
      <c r="AJ184" s="16" t="n"/>
      <c r="AK184" s="138" t="n"/>
      <c r="AL184" s="16" t="n"/>
      <c r="AM184" s="138" t="n"/>
      <c r="AN184" s="16" t="n"/>
      <c r="AO184" s="138" t="n"/>
      <c r="AP184" s="16" t="n"/>
      <c r="AQ184" s="138" t="n"/>
      <c r="AR184" s="16" t="n"/>
      <c r="AS184" s="138" t="n"/>
      <c r="AT184" s="16" t="n"/>
      <c r="AU184" s="138" t="n"/>
      <c r="AV184" s="16" t="n"/>
      <c r="AW184" s="138" t="n"/>
      <c r="AX184" s="16" t="n"/>
      <c r="AY184" s="138" t="n"/>
      <c r="AZ184" s="16">
        <f>AF184+AH184+AJ184+AL184+AN184+AP184+AR184+AT184+AV184+AX184</f>
        <v/>
      </c>
      <c r="BA184" s="16" t="n"/>
      <c r="BB184" s="139" t="n"/>
      <c r="BC184" s="16" t="n"/>
      <c r="BD184" s="139" t="n"/>
      <c r="BE184" s="16">
        <f>(BA184+BC184)</f>
        <v/>
      </c>
    </row>
    <row r="185" ht="22.5" customFormat="1" customHeight="1" s="8">
      <c r="A185" s="9" t="n"/>
      <c r="B185" s="136" t="inlineStr">
        <is>
          <t>ABS 난연</t>
        </is>
      </c>
      <c r="C185" s="137" t="inlineStr">
        <is>
          <t>COCOON</t>
        </is>
      </c>
      <c r="D185" s="143" t="inlineStr">
        <is>
          <t>HAND TOP COVER</t>
        </is>
      </c>
      <c r="E185" s="13" t="inlineStr">
        <is>
          <t>메탈 실버</t>
        </is>
      </c>
      <c r="F185" s="100" t="n"/>
      <c r="G185" s="9" t="n"/>
      <c r="H185" s="9" t="inlineStr">
        <is>
          <t>천우</t>
        </is>
      </c>
      <c r="I185" s="14" t="n"/>
      <c r="J185" s="14" t="n"/>
      <c r="K185" s="12" t="n">
        <v>490</v>
      </c>
      <c r="L185" s="9" t="n"/>
      <c r="M185" s="9" t="n"/>
      <c r="N185" s="9" t="n"/>
      <c r="O185" s="40">
        <f>K185+V185-AE185-AZ185</f>
        <v/>
      </c>
      <c r="P185" s="12" t="n"/>
      <c r="Q185" s="138" t="n"/>
      <c r="R185" s="16" t="n"/>
      <c r="S185" s="139" t="n"/>
      <c r="T185" s="16" t="n"/>
      <c r="U185" s="139" t="n"/>
      <c r="V185" s="16">
        <f>P185+R185+T185</f>
        <v/>
      </c>
      <c r="W185" s="16" t="n"/>
      <c r="X185" s="139" t="n"/>
      <c r="Y185" s="16" t="n"/>
      <c r="Z185" s="139" t="n"/>
      <c r="AA185" s="16" t="n"/>
      <c r="AB185" s="139" t="n"/>
      <c r="AC185" s="16" t="n"/>
      <c r="AD185" s="139" t="n"/>
      <c r="AE185" s="16">
        <f>(W185+Y185+AA185+AC185)</f>
        <v/>
      </c>
      <c r="AF185" s="140" t="n"/>
      <c r="AG185" s="138" t="n"/>
      <c r="AH185" s="16" t="n"/>
      <c r="AI185" s="138" t="n"/>
      <c r="AJ185" s="16" t="n"/>
      <c r="AK185" s="138" t="n"/>
      <c r="AL185" s="16" t="n"/>
      <c r="AM185" s="138" t="n"/>
      <c r="AN185" s="16" t="n"/>
      <c r="AO185" s="138" t="n"/>
      <c r="AP185" s="16" t="n"/>
      <c r="AQ185" s="138" t="n"/>
      <c r="AR185" s="16" t="n"/>
      <c r="AS185" s="138" t="n"/>
      <c r="AT185" s="16" t="n"/>
      <c r="AU185" s="138" t="n"/>
      <c r="AV185" s="16" t="n"/>
      <c r="AW185" s="138" t="n"/>
      <c r="AX185" s="16" t="n"/>
      <c r="AY185" s="138" t="n"/>
      <c r="AZ185" s="16">
        <f>AF185+AH185+AJ185+AL185+AN185+AP185+AR185+AT185+AV185+AX185</f>
        <v/>
      </c>
      <c r="BA185" s="16" t="n"/>
      <c r="BB185" s="139" t="n"/>
      <c r="BC185" s="16" t="n"/>
      <c r="BD185" s="139" t="n"/>
      <c r="BE185" s="16">
        <f>(BA185+BC185)</f>
        <v/>
      </c>
    </row>
    <row r="186" ht="22.5" customFormat="1" customHeight="1" s="8">
      <c r="A186" s="9" t="n"/>
      <c r="B186" s="136" t="inlineStr">
        <is>
          <t>ABS 난연</t>
        </is>
      </c>
      <c r="C186" s="137" t="inlineStr">
        <is>
          <t>COCOON</t>
        </is>
      </c>
      <c r="D186" s="143" t="inlineStr">
        <is>
          <t>BAT BOTTOM</t>
        </is>
      </c>
      <c r="E186" s="13" t="inlineStr">
        <is>
          <t>블랙 유광</t>
        </is>
      </c>
      <c r="F186" s="100" t="n"/>
      <c r="G186" s="9" t="n"/>
      <c r="H186" s="9" t="inlineStr">
        <is>
          <t>천우</t>
        </is>
      </c>
      <c r="I186" s="14" t="n"/>
      <c r="J186" s="14" t="n"/>
      <c r="K186" s="12" t="n">
        <v>433</v>
      </c>
      <c r="L186" s="9" t="n"/>
      <c r="M186" s="9" t="n"/>
      <c r="N186" s="9" t="n"/>
      <c r="O186" s="40">
        <f>K186+V186-AE186-AZ186</f>
        <v/>
      </c>
      <c r="P186" s="12" t="n"/>
      <c r="Q186" s="138" t="n"/>
      <c r="R186" s="12" t="n"/>
      <c r="S186" s="138" t="n"/>
      <c r="T186" s="16" t="n"/>
      <c r="U186" s="139" t="n"/>
      <c r="V186" s="16">
        <f>P186+R186+T186</f>
        <v/>
      </c>
      <c r="W186" s="16" t="n"/>
      <c r="X186" s="139" t="n"/>
      <c r="Y186" s="16" t="n"/>
      <c r="Z186" s="139" t="n"/>
      <c r="AA186" s="16" t="n"/>
      <c r="AB186" s="139" t="n"/>
      <c r="AC186" s="16" t="n"/>
      <c r="AD186" s="139" t="n"/>
      <c r="AE186" s="16">
        <f>(W186+Y186+AA186+AC186)</f>
        <v/>
      </c>
      <c r="AF186" s="140" t="n"/>
      <c r="AG186" s="138" t="n"/>
      <c r="AH186" s="16" t="n"/>
      <c r="AI186" s="138" t="n"/>
      <c r="AJ186" s="16" t="n"/>
      <c r="AK186" s="138" t="n"/>
      <c r="AL186" s="16" t="n"/>
      <c r="AM186" s="138" t="n"/>
      <c r="AN186" s="16" t="n"/>
      <c r="AO186" s="138" t="n"/>
      <c r="AP186" s="16" t="n"/>
      <c r="AQ186" s="138" t="n"/>
      <c r="AR186" s="16" t="n"/>
      <c r="AS186" s="138" t="n"/>
      <c r="AT186" s="16" t="n"/>
      <c r="AU186" s="138" t="n"/>
      <c r="AV186" s="16" t="n"/>
      <c r="AW186" s="138" t="n"/>
      <c r="AX186" s="16" t="n"/>
      <c r="AY186" s="138" t="n"/>
      <c r="AZ186" s="16">
        <f>AF186+AH186+AJ186+AL186+AN186+AP186+AR186+AT186+AV186+AX186</f>
        <v/>
      </c>
      <c r="BA186" s="16" t="n"/>
      <c r="BB186" s="139" t="n"/>
      <c r="BC186" s="16" t="n"/>
      <c r="BD186" s="139" t="n"/>
      <c r="BE186" s="16">
        <f>(BA186+BC186)</f>
        <v/>
      </c>
    </row>
    <row r="187" ht="22.5" customFormat="1" customHeight="1" s="8">
      <c r="A187" s="9" t="n"/>
      <c r="B187" s="136" t="inlineStr">
        <is>
          <t>ABS 난연</t>
        </is>
      </c>
      <c r="C187" s="137" t="inlineStr">
        <is>
          <t>COCOON</t>
        </is>
      </c>
      <c r="D187" s="143" t="inlineStr">
        <is>
          <t>CRADLE BODY BUTTON X</t>
        </is>
      </c>
      <c r="E187" s="13" t="inlineStr">
        <is>
          <t>ABS 난연 블랙 + 블랙 유광</t>
        </is>
      </c>
      <c r="F187" s="100" t="n"/>
      <c r="G187" s="9" t="n"/>
      <c r="H187" s="9" t="inlineStr">
        <is>
          <t>천우</t>
        </is>
      </c>
      <c r="I187" s="14" t="n"/>
      <c r="J187" s="14" t="n"/>
      <c r="K187" s="12" t="n">
        <v>48</v>
      </c>
      <c r="L187" s="9" t="n"/>
      <c r="M187" s="9" t="n"/>
      <c r="N187" s="9" t="n"/>
      <c r="O187" s="40">
        <f>K187+V187-AE187-AZ187</f>
        <v/>
      </c>
      <c r="P187" s="12" t="n"/>
      <c r="Q187" s="138" t="n"/>
      <c r="R187" s="16" t="n"/>
      <c r="S187" s="139" t="n"/>
      <c r="T187" s="16" t="n"/>
      <c r="U187" s="139" t="n"/>
      <c r="V187" s="16">
        <f>P187+R187+T187</f>
        <v/>
      </c>
      <c r="W187" s="16" t="n"/>
      <c r="X187" s="139" t="n"/>
      <c r="Y187" s="16" t="n"/>
      <c r="Z187" s="139" t="n"/>
      <c r="AA187" s="16" t="n"/>
      <c r="AB187" s="139" t="n"/>
      <c r="AC187" s="16" t="n"/>
      <c r="AD187" s="139" t="n"/>
      <c r="AE187" s="16">
        <f>(W187+Y187+AA187+AC187)</f>
        <v/>
      </c>
      <c r="AF187" s="140" t="n"/>
      <c r="AG187" s="138" t="n"/>
      <c r="AH187" s="16" t="n"/>
      <c r="AI187" s="138" t="n"/>
      <c r="AJ187" s="16" t="n"/>
      <c r="AK187" s="138" t="n"/>
      <c r="AL187" s="16" t="n"/>
      <c r="AM187" s="138" t="n"/>
      <c r="AN187" s="16" t="n"/>
      <c r="AO187" s="138" t="n"/>
      <c r="AP187" s="16" t="n"/>
      <c r="AQ187" s="138" t="n"/>
      <c r="AR187" s="16" t="n"/>
      <c r="AS187" s="138" t="n"/>
      <c r="AT187" s="16" t="n"/>
      <c r="AU187" s="138" t="n"/>
      <c r="AV187" s="16" t="n"/>
      <c r="AW187" s="138" t="n"/>
      <c r="AX187" s="16" t="n"/>
      <c r="AY187" s="138" t="n"/>
      <c r="AZ187" s="16">
        <f>AF187+AH187+AJ187+AL187+AN187+AP187+AR187+AT187+AV187+AX187</f>
        <v/>
      </c>
      <c r="BA187" s="16" t="n"/>
      <c r="BB187" s="139" t="n"/>
      <c r="BC187" s="16" t="n"/>
      <c r="BD187" s="139" t="n"/>
      <c r="BE187" s="16">
        <f>(BA187+BC187)</f>
        <v/>
      </c>
    </row>
    <row r="188" ht="22.5" customFormat="1" customHeight="1" s="8">
      <c r="A188" s="9" t="n"/>
      <c r="B188" s="136" t="inlineStr">
        <is>
          <t>ABS 난연</t>
        </is>
      </c>
      <c r="C188" s="137" t="inlineStr">
        <is>
          <t>COCOON</t>
        </is>
      </c>
      <c r="D188" s="150" t="inlineStr">
        <is>
          <t>CRADLE BOTTOM</t>
        </is>
      </c>
      <c r="E188" s="13" t="inlineStr">
        <is>
          <t>블랙 유광</t>
        </is>
      </c>
      <c r="F188" s="100" t="n"/>
      <c r="G188" s="9" t="n"/>
      <c r="H188" s="9" t="inlineStr">
        <is>
          <t>천우</t>
        </is>
      </c>
      <c r="I188" s="14" t="n"/>
      <c r="J188" s="14" t="n"/>
      <c r="K188" s="12" t="n">
        <v>90</v>
      </c>
      <c r="L188" s="9" t="n"/>
      <c r="M188" s="9" t="n"/>
      <c r="N188" s="9" t="n"/>
      <c r="O188" s="40">
        <f>K188+V188-AE188-AZ188</f>
        <v/>
      </c>
      <c r="P188" s="12" t="n"/>
      <c r="Q188" s="138" t="n"/>
      <c r="R188" s="16" t="n"/>
      <c r="S188" s="139" t="n"/>
      <c r="T188" s="16" t="n"/>
      <c r="U188" s="139" t="n"/>
      <c r="V188" s="16">
        <f>P188+R188+T188</f>
        <v/>
      </c>
      <c r="W188" s="16" t="n"/>
      <c r="X188" s="139" t="n"/>
      <c r="Y188" s="16" t="n"/>
      <c r="Z188" s="139" t="n"/>
      <c r="AA188" s="16" t="n"/>
      <c r="AB188" s="139" t="n"/>
      <c r="AC188" s="16" t="n"/>
      <c r="AD188" s="139" t="n"/>
      <c r="AE188" s="16">
        <f>(W188+Y188+AA188+AC188)</f>
        <v/>
      </c>
      <c r="AF188" s="140" t="n"/>
      <c r="AG188" s="138" t="n"/>
      <c r="AH188" s="16" t="n"/>
      <c r="AI188" s="138" t="n"/>
      <c r="AJ188" s="16" t="n"/>
      <c r="AK188" s="138" t="n"/>
      <c r="AL188" s="16" t="n"/>
      <c r="AM188" s="138" t="n"/>
      <c r="AN188" s="16" t="n"/>
      <c r="AO188" s="138" t="n"/>
      <c r="AP188" s="16" t="n"/>
      <c r="AQ188" s="138" t="n"/>
      <c r="AR188" s="16" t="n"/>
      <c r="AS188" s="138" t="n"/>
      <c r="AT188" s="16" t="n"/>
      <c r="AU188" s="138" t="n"/>
      <c r="AV188" s="16" t="n"/>
      <c r="AW188" s="138" t="n"/>
      <c r="AX188" s="16" t="n"/>
      <c r="AY188" s="138" t="n"/>
      <c r="AZ188" s="16">
        <f>AF188+AH188+AJ188+AL188+AN188+AP188+AR188+AT188+AV188+AX188</f>
        <v/>
      </c>
      <c r="BA188" s="16" t="n"/>
      <c r="BB188" s="139" t="n"/>
      <c r="BC188" s="16" t="n"/>
      <c r="BD188" s="139" t="n"/>
      <c r="BE188" s="16">
        <f>(BA188+BC188)</f>
        <v/>
      </c>
    </row>
    <row r="189" ht="22.5" customFormat="1" customHeight="1" s="8">
      <c r="A189" s="9" t="n"/>
      <c r="B189" s="136" t="inlineStr">
        <is>
          <t>도금용 ABS</t>
        </is>
      </c>
      <c r="C189" s="137" t="inlineStr">
        <is>
          <t>COCOON</t>
        </is>
      </c>
      <c r="D189" s="143" t="inlineStr">
        <is>
          <t>CRADLE FRAME</t>
        </is>
      </c>
      <c r="E189" s="13" t="inlineStr">
        <is>
          <t>도금용 사출 + 크롬 도금</t>
        </is>
      </c>
      <c r="F189" s="100" t="n"/>
      <c r="G189" s="9" t="n"/>
      <c r="H189" s="9" t="inlineStr">
        <is>
          <t>천우</t>
        </is>
      </c>
      <c r="I189" s="14" t="n"/>
      <c r="J189" s="14" t="n"/>
      <c r="K189" s="12" t="n">
        <v>103</v>
      </c>
      <c r="L189" s="9" t="n"/>
      <c r="M189" s="9" t="n"/>
      <c r="N189" s="9" t="n"/>
      <c r="O189" s="40">
        <f>K189+V189-AE189-AZ189</f>
        <v/>
      </c>
      <c r="P189" s="12" t="n"/>
      <c r="Q189" s="138" t="n"/>
      <c r="R189" s="16" t="n"/>
      <c r="S189" s="139" t="n"/>
      <c r="T189" s="16" t="n"/>
      <c r="U189" s="139" t="n"/>
      <c r="V189" s="16">
        <f>P189+R189+T189</f>
        <v/>
      </c>
      <c r="W189" s="16" t="n"/>
      <c r="X189" s="139" t="n"/>
      <c r="Y189" s="16" t="n"/>
      <c r="Z189" s="139" t="n"/>
      <c r="AA189" s="16" t="n"/>
      <c r="AB189" s="139" t="n"/>
      <c r="AC189" s="16" t="n"/>
      <c r="AD189" s="139" t="n"/>
      <c r="AE189" s="16">
        <f>(W189+Y189+AA189+AC189)</f>
        <v/>
      </c>
      <c r="AF189" s="140" t="n"/>
      <c r="AG189" s="138" t="n"/>
      <c r="AH189" s="16" t="n"/>
      <c r="AI189" s="138" t="n"/>
      <c r="AJ189" s="16" t="n"/>
      <c r="AK189" s="138" t="n"/>
      <c r="AL189" s="16" t="n"/>
      <c r="AM189" s="138" t="n"/>
      <c r="AN189" s="16" t="n"/>
      <c r="AO189" s="138" t="n"/>
      <c r="AP189" s="16" t="n"/>
      <c r="AQ189" s="138" t="n"/>
      <c r="AR189" s="16" t="n"/>
      <c r="AS189" s="138" t="n"/>
      <c r="AT189" s="16" t="n"/>
      <c r="AU189" s="138" t="n"/>
      <c r="AV189" s="16" t="n"/>
      <c r="AW189" s="138" t="n"/>
      <c r="AX189" s="16" t="n"/>
      <c r="AY189" s="138" t="n"/>
      <c r="AZ189" s="16">
        <f>AF189+AH189+AJ189+AL189+AN189+AP189+AR189+AT189+AV189+AX189</f>
        <v/>
      </c>
      <c r="BA189" s="16" t="n"/>
      <c r="BB189" s="139" t="n"/>
      <c r="BC189" s="16" t="n"/>
      <c r="BD189" s="139" t="n"/>
      <c r="BE189" s="16">
        <f>(BA189+BC189)</f>
        <v/>
      </c>
    </row>
    <row r="190" ht="22.5" customFormat="1" customHeight="1" s="8">
      <c r="A190" s="9" t="n"/>
      <c r="B190" s="136" t="inlineStr">
        <is>
          <t>ABS 난연</t>
        </is>
      </c>
      <c r="C190" s="137" t="inlineStr">
        <is>
          <t>COCOON</t>
        </is>
      </c>
      <c r="D190" s="143" t="inlineStr">
        <is>
          <t>SHOT BUTTON</t>
        </is>
      </c>
      <c r="E190" s="13" t="inlineStr">
        <is>
          <t>ABS 난연 화이트 + 오렌지 유광</t>
        </is>
      </c>
      <c r="F190" s="100" t="n"/>
      <c r="G190" s="9" t="n"/>
      <c r="H190" s="9" t="inlineStr">
        <is>
          <t>천우</t>
        </is>
      </c>
      <c r="I190" s="14" t="n"/>
      <c r="J190" s="14" t="n"/>
      <c r="K190" s="12" t="n">
        <v>165</v>
      </c>
      <c r="L190" s="9" t="n"/>
      <c r="M190" s="9" t="n"/>
      <c r="N190" s="9" t="n"/>
      <c r="O190" s="40">
        <f>K190+V190-AE190-AZ190</f>
        <v/>
      </c>
      <c r="P190" s="12" t="n"/>
      <c r="Q190" s="138" t="n"/>
      <c r="R190" s="16" t="n"/>
      <c r="S190" s="139" t="n"/>
      <c r="T190" s="16" t="n"/>
      <c r="U190" s="139" t="n"/>
      <c r="V190" s="16">
        <f>P190+R190+T190</f>
        <v/>
      </c>
      <c r="W190" s="16" t="n"/>
      <c r="X190" s="139" t="n"/>
      <c r="Y190" s="16" t="n"/>
      <c r="Z190" s="139" t="n"/>
      <c r="AA190" s="16" t="n"/>
      <c r="AB190" s="139" t="n"/>
      <c r="AC190" s="16" t="n"/>
      <c r="AD190" s="139" t="n"/>
      <c r="AE190" s="16">
        <f>(W190+Y190+AA190+AC190)</f>
        <v/>
      </c>
      <c r="AF190" s="140" t="n"/>
      <c r="AG190" s="138" t="n"/>
      <c r="AH190" s="16" t="n"/>
      <c r="AI190" s="138" t="n"/>
      <c r="AJ190" s="16" t="n"/>
      <c r="AK190" s="138" t="n"/>
      <c r="AL190" s="16" t="n"/>
      <c r="AM190" s="138" t="n"/>
      <c r="AN190" s="16" t="n"/>
      <c r="AO190" s="138" t="n"/>
      <c r="AP190" s="16" t="n"/>
      <c r="AQ190" s="138" t="n"/>
      <c r="AR190" s="16" t="n"/>
      <c r="AS190" s="138" t="n"/>
      <c r="AT190" s="16" t="n"/>
      <c r="AU190" s="138" t="n"/>
      <c r="AV190" s="16" t="n"/>
      <c r="AW190" s="138" t="n"/>
      <c r="AX190" s="16" t="n"/>
      <c r="AY190" s="138" t="n"/>
      <c r="AZ190" s="16">
        <f>AF190+AH190+AJ190+AL190+AN190+AP190+AR190+AT190+AV190+AX190</f>
        <v/>
      </c>
      <c r="BA190" s="16" t="n"/>
      <c r="BB190" s="139" t="n"/>
      <c r="BC190" s="16" t="n"/>
      <c r="BD190" s="139" t="n"/>
      <c r="BE190" s="16">
        <f>(BA190+BC190)</f>
        <v/>
      </c>
    </row>
    <row r="191" ht="22.5" customFormat="1" customHeight="1" s="8">
      <c r="A191" s="9" t="n"/>
      <c r="B191" s="136" t="inlineStr">
        <is>
          <t>ABS 난연</t>
        </is>
      </c>
      <c r="C191" s="137" t="inlineStr">
        <is>
          <t>COCOON</t>
        </is>
      </c>
      <c r="D191" s="144" t="inlineStr">
        <is>
          <t>SHOT PCB GUIDE</t>
        </is>
      </c>
      <c r="E191" s="13" t="inlineStr">
        <is>
          <t>ABS 난연 화이트</t>
        </is>
      </c>
      <c r="F191" s="100" t="n"/>
      <c r="G191" s="9" t="n"/>
      <c r="H191" s="9" t="inlineStr">
        <is>
          <t>천우</t>
        </is>
      </c>
      <c r="I191" s="14" t="n"/>
      <c r="J191" s="14" t="n"/>
      <c r="K191" s="12" t="n">
        <v>0</v>
      </c>
      <c r="L191" s="9" t="n"/>
      <c r="M191" s="9" t="n"/>
      <c r="N191" s="9" t="n"/>
      <c r="O191" s="40">
        <f>K191+V191-AE191-AZ191</f>
        <v/>
      </c>
      <c r="P191" s="12" t="n"/>
      <c r="Q191" s="138" t="n"/>
      <c r="R191" s="16" t="n"/>
      <c r="S191" s="139" t="n"/>
      <c r="T191" s="16" t="n"/>
      <c r="U191" s="139" t="n"/>
      <c r="V191" s="16">
        <f>P191+R191+T191</f>
        <v/>
      </c>
      <c r="W191" s="16" t="n"/>
      <c r="X191" s="139" t="n"/>
      <c r="Y191" s="16" t="n"/>
      <c r="Z191" s="139" t="n"/>
      <c r="AA191" s="16" t="n"/>
      <c r="AB191" s="139" t="n"/>
      <c r="AC191" s="16" t="n"/>
      <c r="AD191" s="139" t="n"/>
      <c r="AE191" s="16">
        <f>(W191+Y191+AA191+AC191)</f>
        <v/>
      </c>
      <c r="AF191" s="140" t="n"/>
      <c r="AG191" s="138" t="n"/>
      <c r="AH191" s="16" t="n"/>
      <c r="AI191" s="138" t="n"/>
      <c r="AJ191" s="16" t="n"/>
      <c r="AK191" s="138" t="n"/>
      <c r="AL191" s="16" t="n"/>
      <c r="AM191" s="138" t="n"/>
      <c r="AN191" s="16" t="n"/>
      <c r="AO191" s="138" t="n"/>
      <c r="AP191" s="16" t="n"/>
      <c r="AQ191" s="138" t="n"/>
      <c r="AR191" s="16" t="n"/>
      <c r="AS191" s="138" t="n"/>
      <c r="AT191" s="16" t="n"/>
      <c r="AU191" s="138" t="n"/>
      <c r="AV191" s="16" t="n"/>
      <c r="AW191" s="138" t="n"/>
      <c r="AX191" s="16" t="n"/>
      <c r="AY191" s="138" t="n"/>
      <c r="AZ191" s="16">
        <f>AF191+AH191+AJ191+AL191+AN191+AP191+AR191+AT191+AV191+AX191</f>
        <v/>
      </c>
      <c r="BA191" s="16" t="n"/>
      <c r="BB191" s="139" t="n"/>
      <c r="BC191" s="16" t="n"/>
      <c r="BD191" s="139" t="n"/>
      <c r="BE191" s="16">
        <f>(BA191+BC191)</f>
        <v/>
      </c>
    </row>
    <row r="192" ht="22.5" customFormat="1" customHeight="1" s="8">
      <c r="A192" s="9" t="n"/>
      <c r="B192" s="136" t="inlineStr">
        <is>
          <t>ABS 난연</t>
        </is>
      </c>
      <c r="C192" s="137" t="inlineStr">
        <is>
          <t>COCOON</t>
        </is>
      </c>
      <c r="D192" s="143" t="inlineStr">
        <is>
          <t>SLIDE SWITCH</t>
        </is>
      </c>
      <c r="E192" s="13" t="inlineStr">
        <is>
          <t>ABS 난연 화이트 + 레드 유광</t>
        </is>
      </c>
      <c r="F192" s="100" t="n"/>
      <c r="G192" s="9" t="n"/>
      <c r="H192" s="9" t="inlineStr">
        <is>
          <t>천우</t>
        </is>
      </c>
      <c r="I192" s="14" t="n"/>
      <c r="J192" s="14" t="n"/>
      <c r="K192" s="12" t="n">
        <v>332</v>
      </c>
      <c r="L192" s="9" t="n"/>
      <c r="M192" s="9" t="n"/>
      <c r="N192" s="9" t="n"/>
      <c r="O192" s="40">
        <f>K192+V192-AE192-AZ192</f>
        <v/>
      </c>
      <c r="P192" s="12" t="n"/>
      <c r="Q192" s="138" t="n"/>
      <c r="R192" s="16" t="n"/>
      <c r="S192" s="139" t="n"/>
      <c r="T192" s="16" t="n"/>
      <c r="U192" s="139" t="n"/>
      <c r="V192" s="16">
        <f>P192+R192+T192</f>
        <v/>
      </c>
      <c r="W192" s="16" t="n"/>
      <c r="X192" s="139" t="n"/>
      <c r="Y192" s="16" t="n"/>
      <c r="Z192" s="139" t="n"/>
      <c r="AA192" s="16" t="n"/>
      <c r="AB192" s="139" t="n"/>
      <c r="AC192" s="16" t="n"/>
      <c r="AD192" s="139" t="n"/>
      <c r="AE192" s="16">
        <f>(W192+Y192+AA192+AC192)</f>
        <v/>
      </c>
      <c r="AF192" s="140" t="n"/>
      <c r="AG192" s="138" t="n"/>
      <c r="AH192" s="16" t="n"/>
      <c r="AI192" s="138" t="n"/>
      <c r="AJ192" s="16" t="n"/>
      <c r="AK192" s="138" t="n"/>
      <c r="AL192" s="16" t="n"/>
      <c r="AM192" s="138" t="n"/>
      <c r="AN192" s="16" t="n"/>
      <c r="AO192" s="138" t="n"/>
      <c r="AP192" s="16" t="n"/>
      <c r="AQ192" s="138" t="n"/>
      <c r="AR192" s="16" t="n"/>
      <c r="AS192" s="138" t="n"/>
      <c r="AT192" s="16" t="n"/>
      <c r="AU192" s="138" t="n"/>
      <c r="AV192" s="16" t="n"/>
      <c r="AW192" s="138" t="n"/>
      <c r="AX192" s="16" t="n"/>
      <c r="AY192" s="138" t="n"/>
      <c r="AZ192" s="16">
        <f>AF192+AH192+AJ192+AL192+AN192+AP192+AR192+AT192+AV192+AX192</f>
        <v/>
      </c>
      <c r="BA192" s="16" t="n"/>
      <c r="BB192" s="139" t="n"/>
      <c r="BC192" s="16" t="n"/>
      <c r="BD192" s="139" t="n"/>
      <c r="BE192" s="16">
        <f>(BA192+BC192)</f>
        <v/>
      </c>
    </row>
    <row r="193" ht="22.5" customFormat="1" customHeight="1" s="8">
      <c r="A193" s="9" t="n"/>
      <c r="B193" s="136" t="inlineStr">
        <is>
          <t>ABS 난연</t>
        </is>
      </c>
      <c r="C193" s="137" t="inlineStr">
        <is>
          <t>COCOON</t>
        </is>
      </c>
      <c r="D193" s="144" t="inlineStr">
        <is>
          <t>SLIDE CAP</t>
        </is>
      </c>
      <c r="E193" s="13" t="inlineStr">
        <is>
          <t>ABS 난연 화이트 + 레드 유광</t>
        </is>
      </c>
      <c r="F193" s="100" t="n"/>
      <c r="G193" s="9" t="n"/>
      <c r="H193" s="9" t="inlineStr">
        <is>
          <t>천우</t>
        </is>
      </c>
      <c r="I193" s="14" t="n"/>
      <c r="J193" s="14" t="n"/>
      <c r="K193" s="12" t="n">
        <v>400</v>
      </c>
      <c r="L193" s="9" t="n"/>
      <c r="M193" s="9" t="n"/>
      <c r="N193" s="9" t="n"/>
      <c r="O193" s="40">
        <f>K193+V193-AE193-AZ193</f>
        <v/>
      </c>
      <c r="P193" s="12" t="n"/>
      <c r="Q193" s="138" t="n"/>
      <c r="R193" s="16" t="n"/>
      <c r="S193" s="139" t="n"/>
      <c r="T193" s="16" t="n"/>
      <c r="U193" s="139" t="n"/>
      <c r="V193" s="16">
        <f>P193+R193+T193</f>
        <v/>
      </c>
      <c r="W193" s="16" t="n"/>
      <c r="X193" s="139" t="n"/>
      <c r="Y193" s="16" t="n"/>
      <c r="Z193" s="139" t="n"/>
      <c r="AA193" s="16" t="n"/>
      <c r="AB193" s="139" t="n"/>
      <c r="AC193" s="16" t="n"/>
      <c r="AD193" s="139" t="n"/>
      <c r="AE193" s="16">
        <f>(W193+Y193+AA193+AC193)</f>
        <v/>
      </c>
      <c r="AF193" s="140" t="n"/>
      <c r="AG193" s="138" t="n"/>
      <c r="AH193" s="16" t="n"/>
      <c r="AI193" s="138" t="n"/>
      <c r="AJ193" s="16" t="n"/>
      <c r="AK193" s="138" t="n"/>
      <c r="AL193" s="16" t="n"/>
      <c r="AM193" s="138" t="n"/>
      <c r="AN193" s="16" t="n"/>
      <c r="AO193" s="138" t="n"/>
      <c r="AP193" s="16" t="n"/>
      <c r="AQ193" s="138" t="n"/>
      <c r="AR193" s="16" t="n"/>
      <c r="AS193" s="138" t="n"/>
      <c r="AT193" s="16" t="n"/>
      <c r="AU193" s="138" t="n"/>
      <c r="AV193" s="16" t="n"/>
      <c r="AW193" s="138" t="n"/>
      <c r="AX193" s="16" t="n"/>
      <c r="AY193" s="138" t="n"/>
      <c r="AZ193" s="16">
        <f>AF193+AH193+AJ193+AL193+AN193+AP193+AR193+AT193+AV193+AX193</f>
        <v/>
      </c>
      <c r="BA193" s="16" t="n"/>
      <c r="BB193" s="139" t="n"/>
      <c r="BC193" s="16" t="n"/>
      <c r="BD193" s="139" t="n"/>
      <c r="BE193" s="16">
        <f>(BA193+BC193)</f>
        <v/>
      </c>
    </row>
    <row r="194" ht="22.5" customFormat="1" customHeight="1" s="8">
      <c r="A194" s="9" t="n"/>
      <c r="B194" s="136" t="inlineStr">
        <is>
          <t>ABS 난연</t>
        </is>
      </c>
      <c r="C194" s="137" t="inlineStr">
        <is>
          <t>COCOON</t>
        </is>
      </c>
      <c r="D194" s="143" t="inlineStr">
        <is>
          <t>GER GUIDE</t>
        </is>
      </c>
      <c r="E194" s="13" t="inlineStr">
        <is>
          <t>ABS 난연 화이트</t>
        </is>
      </c>
      <c r="F194" s="100" t="n"/>
      <c r="G194" s="9" t="n"/>
      <c r="H194" s="9" t="inlineStr">
        <is>
          <t>천우</t>
        </is>
      </c>
      <c r="I194" s="14" t="n"/>
      <c r="J194" s="14" t="n"/>
      <c r="K194" s="12" t="n">
        <v>471</v>
      </c>
      <c r="L194" s="9" t="n"/>
      <c r="M194" s="9" t="n"/>
      <c r="N194" s="9" t="n"/>
      <c r="O194" s="40">
        <f>K194+V194-AE194-AZ194</f>
        <v/>
      </c>
      <c r="P194" s="12" t="n"/>
      <c r="Q194" s="138" t="n"/>
      <c r="R194" s="16" t="n"/>
      <c r="S194" s="139" t="n"/>
      <c r="T194" s="16" t="n"/>
      <c r="U194" s="139" t="n"/>
      <c r="V194" s="16">
        <f>P194+R194+T194</f>
        <v/>
      </c>
      <c r="W194" s="16" t="n"/>
      <c r="X194" s="139" t="n"/>
      <c r="Y194" s="16" t="n"/>
      <c r="Z194" s="139" t="n"/>
      <c r="AA194" s="16" t="n"/>
      <c r="AB194" s="139" t="n"/>
      <c r="AC194" s="16" t="n"/>
      <c r="AD194" s="139" t="n"/>
      <c r="AE194" s="16">
        <f>(W194+Y194+AA194+AC194)</f>
        <v/>
      </c>
      <c r="AF194" s="140" t="n"/>
      <c r="AG194" s="138" t="n"/>
      <c r="AH194" s="16" t="n"/>
      <c r="AI194" s="138" t="n"/>
      <c r="AJ194" s="16" t="n"/>
      <c r="AK194" s="138" t="n"/>
      <c r="AL194" s="16" t="n"/>
      <c r="AM194" s="138" t="n"/>
      <c r="AN194" s="16" t="n"/>
      <c r="AO194" s="138" t="n"/>
      <c r="AP194" s="16" t="n"/>
      <c r="AQ194" s="138" t="n"/>
      <c r="AR194" s="16" t="n"/>
      <c r="AS194" s="138" t="n"/>
      <c r="AT194" s="16" t="n"/>
      <c r="AU194" s="138" t="n"/>
      <c r="AV194" s="16" t="n"/>
      <c r="AW194" s="138" t="n"/>
      <c r="AX194" s="16" t="n"/>
      <c r="AY194" s="138" t="n"/>
      <c r="AZ194" s="16">
        <f>AF194+AH194+AJ194+AL194+AN194+AP194+AR194+AT194+AV194+AX194</f>
        <v/>
      </c>
      <c r="BA194" s="16" t="n"/>
      <c r="BB194" s="139" t="n"/>
      <c r="BC194" s="16" t="n"/>
      <c r="BD194" s="139" t="n"/>
      <c r="BE194" s="16">
        <f>(BA194+BC194)</f>
        <v/>
      </c>
    </row>
    <row r="195" ht="22.5" customFormat="1" customHeight="1" s="8">
      <c r="A195" s="9" t="n"/>
      <c r="B195" s="136" t="inlineStr">
        <is>
          <t>ABS 난연</t>
        </is>
      </c>
      <c r="C195" s="137" t="inlineStr">
        <is>
          <t>COCOON</t>
        </is>
      </c>
      <c r="D195" s="150" t="inlineStr">
        <is>
          <t>에이밍 LED BODY 신형 A</t>
        </is>
      </c>
      <c r="E195" s="13" t="n"/>
      <c r="F195" s="100" t="n"/>
      <c r="G195" s="9" t="n"/>
      <c r="H195" s="9" t="inlineStr">
        <is>
          <t>오비스코리아</t>
        </is>
      </c>
      <c r="I195" s="14" t="n"/>
      <c r="J195" s="14" t="n"/>
      <c r="K195" s="12" t="n">
        <v>658</v>
      </c>
      <c r="L195" s="9" t="n"/>
      <c r="M195" s="9" t="n"/>
      <c r="N195" s="9" t="n"/>
      <c r="O195" s="40">
        <f>K195+V195-AE195-AZ195</f>
        <v/>
      </c>
      <c r="P195" s="12" t="n"/>
      <c r="Q195" s="138" t="n"/>
      <c r="R195" s="16" t="n"/>
      <c r="S195" s="139" t="n"/>
      <c r="T195" s="16" t="n"/>
      <c r="U195" s="139" t="n"/>
      <c r="V195" s="16">
        <f>P195+R195+T195</f>
        <v/>
      </c>
      <c r="W195" s="16" t="n"/>
      <c r="X195" s="139" t="n"/>
      <c r="Y195" s="16" t="n"/>
      <c r="Z195" s="139" t="n"/>
      <c r="AA195" s="16" t="n"/>
      <c r="AB195" s="139" t="n"/>
      <c r="AC195" s="16" t="n"/>
      <c r="AD195" s="139" t="n"/>
      <c r="AE195" s="16">
        <f>(W195+Y195+AA195+AC195)</f>
        <v/>
      </c>
      <c r="AF195" s="140" t="n"/>
      <c r="AG195" s="138" t="n"/>
      <c r="AH195" s="16" t="n"/>
      <c r="AI195" s="138" t="n"/>
      <c r="AJ195" s="16" t="n"/>
      <c r="AK195" s="138" t="n"/>
      <c r="AL195" s="16" t="n"/>
      <c r="AM195" s="138" t="n"/>
      <c r="AN195" s="16" t="n"/>
      <c r="AO195" s="138" t="n"/>
      <c r="AP195" s="16" t="n"/>
      <c r="AQ195" s="138" t="n"/>
      <c r="AR195" s="16" t="n"/>
      <c r="AS195" s="138" t="n"/>
      <c r="AT195" s="16" t="n"/>
      <c r="AU195" s="138" t="n"/>
      <c r="AV195" s="16" t="n"/>
      <c r="AW195" s="138" t="n"/>
      <c r="AX195" s="16" t="n"/>
      <c r="AY195" s="138" t="n"/>
      <c r="AZ195" s="16">
        <f>AF195+AH195+AJ195+AL195+AN195+AP195+AR195+AT195+AV195+AX195</f>
        <v/>
      </c>
      <c r="BA195" s="16" t="n"/>
      <c r="BB195" s="139" t="n"/>
      <c r="BC195" s="16" t="n"/>
      <c r="BD195" s="139" t="n"/>
      <c r="BE195" s="16">
        <f>(BA195+BC195)</f>
        <v/>
      </c>
    </row>
    <row r="196" ht="22.5" customFormat="1" customHeight="1" s="8">
      <c r="A196" s="9" t="n"/>
      <c r="B196" s="136" t="inlineStr">
        <is>
          <t>ABS 난연</t>
        </is>
      </c>
      <c r="C196" s="137" t="inlineStr">
        <is>
          <t>COCOON</t>
        </is>
      </c>
      <c r="D196" s="150" t="inlineStr">
        <is>
          <t>에이밍 LED BODY 신형 B</t>
        </is>
      </c>
      <c r="E196" s="13" t="n"/>
      <c r="F196" s="100" t="n"/>
      <c r="G196" s="9" t="n"/>
      <c r="H196" s="9" t="inlineStr">
        <is>
          <t>오비스코리아</t>
        </is>
      </c>
      <c r="I196" s="14" t="n"/>
      <c r="J196" s="14" t="n"/>
      <c r="K196" s="12" t="n">
        <v>257</v>
      </c>
      <c r="L196" s="9" t="n"/>
      <c r="M196" s="9" t="n"/>
      <c r="N196" s="9" t="n"/>
      <c r="O196" s="40">
        <f>K196+V196-AE196-AZ196</f>
        <v/>
      </c>
      <c r="P196" s="12" t="n"/>
      <c r="Q196" s="138" t="n"/>
      <c r="R196" s="16" t="n"/>
      <c r="S196" s="139" t="n"/>
      <c r="T196" s="16" t="n"/>
      <c r="U196" s="139" t="n"/>
      <c r="V196" s="16">
        <f>P196+R196+T196</f>
        <v/>
      </c>
      <c r="W196" s="16" t="n"/>
      <c r="X196" s="139" t="n"/>
      <c r="Y196" s="16" t="n"/>
      <c r="Z196" s="139" t="n"/>
      <c r="AA196" s="16" t="n"/>
      <c r="AB196" s="139" t="n"/>
      <c r="AC196" s="16" t="n"/>
      <c r="AD196" s="139" t="n"/>
      <c r="AE196" s="16">
        <f>(W196+Y196+AA196+AC196)</f>
        <v/>
      </c>
      <c r="AF196" s="140" t="n"/>
      <c r="AG196" s="138" t="n"/>
      <c r="AH196" s="16" t="n"/>
      <c r="AI196" s="138" t="n"/>
      <c r="AJ196" s="16" t="n"/>
      <c r="AK196" s="138" t="n"/>
      <c r="AL196" s="16" t="n"/>
      <c r="AM196" s="138" t="n"/>
      <c r="AN196" s="16" t="n"/>
      <c r="AO196" s="138" t="n"/>
      <c r="AP196" s="16" t="n"/>
      <c r="AQ196" s="138" t="n"/>
      <c r="AR196" s="16" t="n"/>
      <c r="AS196" s="138" t="n"/>
      <c r="AT196" s="16" t="n"/>
      <c r="AU196" s="138" t="n"/>
      <c r="AV196" s="16" t="n"/>
      <c r="AW196" s="138" t="n"/>
      <c r="AX196" s="16" t="n"/>
      <c r="AY196" s="138" t="n"/>
      <c r="AZ196" s="16">
        <f>AF196+AH196+AJ196+AL196+AN196+AP196+AR196+AT196+AV196+AX196</f>
        <v/>
      </c>
      <c r="BA196" s="16" t="n"/>
      <c r="BB196" s="139" t="n"/>
      <c r="BC196" s="16" t="n"/>
      <c r="BD196" s="139" t="n"/>
      <c r="BE196" s="16">
        <f>(BA196+BC196)</f>
        <v/>
      </c>
    </row>
    <row r="197" ht="22.5" customFormat="1" customHeight="1" s="8">
      <c r="A197" s="9" t="n"/>
      <c r="B197" s="136" t="inlineStr">
        <is>
          <t>ABS 난연</t>
        </is>
      </c>
      <c r="C197" s="137" t="inlineStr">
        <is>
          <t>COCOON</t>
        </is>
      </c>
      <c r="D197" s="150" t="inlineStr">
        <is>
          <t>에이밍 방사구 젠더</t>
        </is>
      </c>
      <c r="E197" s="13" t="n"/>
      <c r="F197" s="100" t="n"/>
      <c r="G197" s="9" t="n"/>
      <c r="H197" s="9" t="inlineStr">
        <is>
          <t>다우정밀</t>
        </is>
      </c>
      <c r="I197" s="14" t="n"/>
      <c r="J197" s="14" t="n"/>
      <c r="K197" s="12" t="n">
        <v>0</v>
      </c>
      <c r="L197" s="9" t="n"/>
      <c r="M197" s="9" t="n"/>
      <c r="N197" s="9" t="n"/>
      <c r="O197" s="40">
        <f>K197+V197-AE197-AZ197</f>
        <v/>
      </c>
      <c r="P197" s="12" t="n"/>
      <c r="Q197" s="138" t="n"/>
      <c r="R197" s="16" t="n"/>
      <c r="S197" s="139" t="n"/>
      <c r="T197" s="16" t="n"/>
      <c r="U197" s="139" t="n"/>
      <c r="V197" s="16">
        <f>P197+R197+T197</f>
        <v/>
      </c>
      <c r="W197" s="16" t="n"/>
      <c r="X197" s="139" t="n"/>
      <c r="Y197" s="16" t="n"/>
      <c r="Z197" s="139" t="n"/>
      <c r="AA197" s="16" t="n"/>
      <c r="AB197" s="139" t="n"/>
      <c r="AC197" s="16" t="n"/>
      <c r="AD197" s="139" t="n"/>
      <c r="AE197" s="16">
        <f>(W197+Y197+AA197+AC197)</f>
        <v/>
      </c>
      <c r="AF197" s="140" t="n"/>
      <c r="AG197" s="138" t="n"/>
      <c r="AH197" s="16" t="n"/>
      <c r="AI197" s="138" t="n"/>
      <c r="AJ197" s="16" t="n"/>
      <c r="AK197" s="138" t="n"/>
      <c r="AL197" s="16" t="n"/>
      <c r="AM197" s="138" t="n"/>
      <c r="AN197" s="16" t="n"/>
      <c r="AO197" s="138" t="n"/>
      <c r="AP197" s="16" t="n"/>
      <c r="AQ197" s="138" t="n"/>
      <c r="AR197" s="16" t="n"/>
      <c r="AS197" s="138" t="n"/>
      <c r="AT197" s="16" t="n"/>
      <c r="AU197" s="138" t="n"/>
      <c r="AV197" s="16" t="n"/>
      <c r="AW197" s="138" t="n"/>
      <c r="AX197" s="16" t="n"/>
      <c r="AY197" s="138" t="n"/>
      <c r="AZ197" s="16">
        <f>AF197+AH197+AJ197+AL197+AN197+AP197+AR197+AT197+AV197+AX197</f>
        <v/>
      </c>
      <c r="BA197" s="16" t="n"/>
      <c r="BB197" s="139" t="n"/>
      <c r="BC197" s="16" t="n"/>
      <c r="BD197" s="139" t="n"/>
      <c r="BE197" s="16">
        <f>(BA197+BC197)</f>
        <v/>
      </c>
    </row>
    <row r="198" ht="22.5" customFormat="1" customHeight="1" s="8">
      <c r="A198" s="9" t="n"/>
      <c r="B198" s="136" t="inlineStr">
        <is>
          <t>아크릴</t>
        </is>
      </c>
      <c r="C198" s="137" t="inlineStr">
        <is>
          <t>COCOON</t>
        </is>
      </c>
      <c r="D198" s="83" t="inlineStr">
        <is>
          <t>WINDOW</t>
        </is>
      </c>
      <c r="E198" s="13" t="inlineStr">
        <is>
          <t>투명 아크릴 + 실크 인쇄 로고O</t>
        </is>
      </c>
      <c r="F198" s="100" t="n"/>
      <c r="G198" s="9" t="n"/>
      <c r="H198" s="9" t="inlineStr">
        <is>
          <t>우민테크</t>
        </is>
      </c>
      <c r="I198" s="14" t="n"/>
      <c r="J198" s="14" t="n"/>
      <c r="K198" s="12" t="n">
        <v>270</v>
      </c>
      <c r="L198" s="9" t="n"/>
      <c r="M198" s="9" t="n"/>
      <c r="N198" s="9" t="n"/>
      <c r="O198" s="40">
        <f>K198+V198-AE198-AZ198</f>
        <v/>
      </c>
      <c r="P198" s="12" t="n"/>
      <c r="Q198" s="138" t="n"/>
      <c r="R198" s="16" t="n"/>
      <c r="S198" s="139" t="n"/>
      <c r="T198" s="16" t="n"/>
      <c r="U198" s="139" t="n"/>
      <c r="V198" s="16">
        <f>P198+R198+T198</f>
        <v/>
      </c>
      <c r="W198" s="16" t="n"/>
      <c r="X198" s="139" t="n"/>
      <c r="Y198" s="16" t="n"/>
      <c r="Z198" s="139" t="n"/>
      <c r="AA198" s="16" t="n"/>
      <c r="AB198" s="139" t="n"/>
      <c r="AC198" s="16" t="n"/>
      <c r="AD198" s="139" t="n"/>
      <c r="AE198" s="16">
        <f>(W198+Y198+AA198+AC198)</f>
        <v/>
      </c>
      <c r="AF198" s="140" t="n"/>
      <c r="AG198" s="138" t="n"/>
      <c r="AH198" s="16" t="n"/>
      <c r="AI198" s="138" t="n"/>
      <c r="AJ198" s="16" t="n"/>
      <c r="AK198" s="138" t="n"/>
      <c r="AL198" s="16" t="n"/>
      <c r="AM198" s="138" t="n"/>
      <c r="AN198" s="16" t="n"/>
      <c r="AO198" s="138" t="n"/>
      <c r="AP198" s="16" t="n"/>
      <c r="AQ198" s="138" t="n"/>
      <c r="AR198" s="16" t="n"/>
      <c r="AS198" s="138" t="n"/>
      <c r="AT198" s="16" t="n"/>
      <c r="AU198" s="138" t="n"/>
      <c r="AV198" s="16" t="n"/>
      <c r="AW198" s="138" t="n"/>
      <c r="AX198" s="16" t="n"/>
      <c r="AY198" s="138" t="n"/>
      <c r="AZ198" s="16">
        <f>AF198+AH198+AJ198+AL198+AN198+AP198+AR198+AT198+AV198+AX198</f>
        <v/>
      </c>
      <c r="BA198" s="16" t="n"/>
      <c r="BB198" s="139" t="n"/>
      <c r="BC198" s="16" t="n"/>
      <c r="BD198" s="139" t="n"/>
      <c r="BE198" s="16">
        <f>(BA198+BC198)</f>
        <v/>
      </c>
    </row>
    <row r="199" ht="22.5" customFormat="1" customHeight="1" s="8">
      <c r="A199" s="9" t="n"/>
      <c r="B199" s="136" t="inlineStr">
        <is>
          <t>아크릴</t>
        </is>
      </c>
      <c r="C199" s="137" t="inlineStr">
        <is>
          <t>COCOON</t>
        </is>
      </c>
      <c r="D199" s="83" t="inlineStr">
        <is>
          <t>WINDOW</t>
        </is>
      </c>
      <c r="E199" s="13" t="inlineStr">
        <is>
          <t>투명 아크릴 + 실크 인쇄 로고X</t>
        </is>
      </c>
      <c r="F199" s="100" t="n"/>
      <c r="G199" s="9" t="n"/>
      <c r="H199" s="9" t="inlineStr">
        <is>
          <t>우민테크</t>
        </is>
      </c>
      <c r="I199" s="14" t="n"/>
      <c r="J199" s="14" t="n"/>
      <c r="K199" s="12" t="n">
        <v>500</v>
      </c>
      <c r="L199" s="9" t="n"/>
      <c r="M199" s="9" t="n"/>
      <c r="N199" s="9" t="n"/>
      <c r="O199" s="40">
        <f>K199+V199-AE199-AZ199</f>
        <v/>
      </c>
      <c r="P199" s="12" t="n"/>
      <c r="Q199" s="138" t="n"/>
      <c r="R199" s="16" t="n"/>
      <c r="S199" s="139" t="n"/>
      <c r="T199" s="16" t="n"/>
      <c r="U199" s="139" t="n"/>
      <c r="V199" s="16">
        <f>P199+R199+T199</f>
        <v/>
      </c>
      <c r="W199" s="16" t="n"/>
      <c r="X199" s="139" t="n"/>
      <c r="Y199" s="16" t="n"/>
      <c r="Z199" s="139" t="n"/>
      <c r="AA199" s="16" t="n"/>
      <c r="AB199" s="139" t="n"/>
      <c r="AC199" s="16" t="n"/>
      <c r="AD199" s="139" t="n"/>
      <c r="AE199" s="16">
        <f>(W199+Y199+AA199+AC199)</f>
        <v/>
      </c>
      <c r="AF199" s="140" t="n"/>
      <c r="AG199" s="138" t="n"/>
      <c r="AH199" s="16" t="n"/>
      <c r="AI199" s="138" t="n"/>
      <c r="AJ199" s="16" t="n"/>
      <c r="AK199" s="138" t="n"/>
      <c r="AL199" s="16" t="n"/>
      <c r="AM199" s="138" t="n"/>
      <c r="AN199" s="16" t="n"/>
      <c r="AO199" s="138" t="n"/>
      <c r="AP199" s="16" t="n"/>
      <c r="AQ199" s="138" t="n"/>
      <c r="AR199" s="16" t="n"/>
      <c r="AS199" s="138" t="n"/>
      <c r="AT199" s="16" t="n"/>
      <c r="AU199" s="138" t="n"/>
      <c r="AV199" s="16" t="n"/>
      <c r="AW199" s="138" t="n"/>
      <c r="AX199" s="16" t="n"/>
      <c r="AY199" s="138" t="n"/>
      <c r="AZ199" s="16">
        <f>AF199+AH199+AJ199+AL199+AN199+AP199+AR199+AT199+AV199+AX199</f>
        <v/>
      </c>
      <c r="BA199" s="16" t="n"/>
      <c r="BB199" s="139" t="n"/>
      <c r="BC199" s="16" t="n"/>
      <c r="BD199" s="139" t="n"/>
      <c r="BE199" s="16">
        <f>(BA199+BC199)</f>
        <v/>
      </c>
    </row>
    <row r="200" ht="22.5" customFormat="1" customHeight="1" s="8">
      <c r="A200" s="9" t="n"/>
      <c r="B200" s="136" t="inlineStr">
        <is>
          <t>아크릴</t>
        </is>
      </c>
      <c r="C200" s="137" t="inlineStr">
        <is>
          <t>COCOON</t>
        </is>
      </c>
      <c r="D200" s="83" t="inlineStr">
        <is>
          <t xml:space="preserve">에이밍 아크릴 은경 </t>
        </is>
      </c>
      <c r="E200" s="13" t="inlineStr">
        <is>
          <t>아크릴</t>
        </is>
      </c>
      <c r="F200" s="100" t="n"/>
      <c r="G200" s="9" t="n"/>
      <c r="H200" s="9" t="n"/>
      <c r="I200" s="14" t="n"/>
      <c r="J200" s="14" t="n"/>
      <c r="K200" s="12" t="n">
        <v>0</v>
      </c>
      <c r="L200" s="9" t="n"/>
      <c r="M200" s="9" t="n"/>
      <c r="N200" s="9" t="n"/>
      <c r="O200" s="40">
        <f>K200+V200-AE200-AZ200</f>
        <v/>
      </c>
      <c r="P200" s="12" t="n"/>
      <c r="Q200" s="138" t="n"/>
      <c r="R200" s="16" t="n"/>
      <c r="S200" s="139" t="n"/>
      <c r="T200" s="16" t="n"/>
      <c r="U200" s="139" t="n"/>
      <c r="V200" s="16">
        <f>P200+R200+T200</f>
        <v/>
      </c>
      <c r="W200" s="16" t="n"/>
      <c r="X200" s="139" t="n"/>
      <c r="Y200" s="16" t="n"/>
      <c r="Z200" s="139" t="n"/>
      <c r="AA200" s="16" t="n"/>
      <c r="AB200" s="139" t="n"/>
      <c r="AC200" s="16" t="n"/>
      <c r="AD200" s="139" t="n"/>
      <c r="AE200" s="16">
        <f>(W200+Y200+AA200+AC200)</f>
        <v/>
      </c>
      <c r="AF200" s="140" t="n"/>
      <c r="AG200" s="138" t="n"/>
      <c r="AH200" s="16" t="n"/>
      <c r="AI200" s="138" t="n"/>
      <c r="AJ200" s="16" t="n"/>
      <c r="AK200" s="138" t="n"/>
      <c r="AL200" s="16" t="n"/>
      <c r="AM200" s="138" t="n"/>
      <c r="AN200" s="16" t="n"/>
      <c r="AO200" s="138" t="n"/>
      <c r="AP200" s="16" t="n"/>
      <c r="AQ200" s="138" t="n"/>
      <c r="AR200" s="16" t="n"/>
      <c r="AS200" s="138" t="n"/>
      <c r="AT200" s="16" t="n"/>
      <c r="AU200" s="138" t="n"/>
      <c r="AV200" s="16" t="n"/>
      <c r="AW200" s="138" t="n"/>
      <c r="AX200" s="16" t="n"/>
      <c r="AY200" s="138" t="n"/>
      <c r="AZ200" s="16">
        <f>AF200+AH200+AJ200+AL200+AN200+AP200+AR200+AT200+AV200+AX200</f>
        <v/>
      </c>
      <c r="BA200" s="16" t="n"/>
      <c r="BB200" s="139" t="n"/>
      <c r="BC200" s="16" t="n"/>
      <c r="BD200" s="139" t="n"/>
      <c r="BE200" s="16">
        <f>(BA200+BC200)</f>
        <v/>
      </c>
    </row>
    <row r="201" ht="22.5" customFormat="1" customHeight="1" s="8">
      <c r="A201" s="9" t="n"/>
      <c r="B201" s="136" t="inlineStr">
        <is>
          <t>아크릴</t>
        </is>
      </c>
      <c r="C201" s="137" t="inlineStr">
        <is>
          <t>COCOON</t>
        </is>
      </c>
      <c r="D201" s="83" t="inlineStr">
        <is>
          <t>에이밍 십자 아크릴 (사각 모양)</t>
        </is>
      </c>
      <c r="E201" s="13" t="inlineStr">
        <is>
          <t>투명 아크릴 + 인쇄</t>
        </is>
      </c>
      <c r="F201" s="100" t="n"/>
      <c r="G201" s="9" t="n"/>
      <c r="H201" s="9" t="n"/>
      <c r="I201" s="14" t="n"/>
      <c r="J201" s="14" t="n"/>
      <c r="K201" s="12" t="n">
        <v>0</v>
      </c>
      <c r="L201" s="9" t="n"/>
      <c r="M201" s="9" t="n"/>
      <c r="N201" s="9" t="n"/>
      <c r="O201" s="40">
        <f>K201+V201-AE201-AZ201</f>
        <v/>
      </c>
      <c r="P201" s="12" t="n"/>
      <c r="Q201" s="138" t="n"/>
      <c r="R201" s="16" t="n"/>
      <c r="S201" s="139" t="n"/>
      <c r="T201" s="16" t="n"/>
      <c r="U201" s="139" t="n"/>
      <c r="V201" s="16">
        <f>P201+R201+T201</f>
        <v/>
      </c>
      <c r="W201" s="16" t="n"/>
      <c r="X201" s="139" t="n"/>
      <c r="Y201" s="16" t="n"/>
      <c r="Z201" s="139" t="n"/>
      <c r="AA201" s="16" t="n"/>
      <c r="AB201" s="139" t="n"/>
      <c r="AC201" s="16" t="n"/>
      <c r="AD201" s="139" t="n"/>
      <c r="AE201" s="16">
        <f>(W201+Y201+AA201+AC201)</f>
        <v/>
      </c>
      <c r="AF201" s="140" t="n"/>
      <c r="AG201" s="138" t="n"/>
      <c r="AH201" s="16" t="n"/>
      <c r="AI201" s="138" t="n"/>
      <c r="AJ201" s="16" t="n"/>
      <c r="AK201" s="138" t="n"/>
      <c r="AL201" s="16" t="n"/>
      <c r="AM201" s="138" t="n"/>
      <c r="AN201" s="16" t="n"/>
      <c r="AO201" s="138" t="n"/>
      <c r="AP201" s="16" t="n"/>
      <c r="AQ201" s="138" t="n"/>
      <c r="AR201" s="16" t="n"/>
      <c r="AS201" s="138" t="n"/>
      <c r="AT201" s="16" t="n"/>
      <c r="AU201" s="138" t="n"/>
      <c r="AV201" s="16" t="n"/>
      <c r="AW201" s="138" t="n"/>
      <c r="AX201" s="16" t="n"/>
      <c r="AY201" s="138" t="n"/>
      <c r="AZ201" s="16">
        <f>AF201+AH201+AJ201+AL201+AN201+AP201+AR201+AT201+AV201+AX201</f>
        <v/>
      </c>
      <c r="BA201" s="16" t="n"/>
      <c r="BB201" s="139" t="n"/>
      <c r="BC201" s="16" t="n"/>
      <c r="BD201" s="139" t="n"/>
      <c r="BE201" s="16">
        <f>(BA201+BC201)</f>
        <v/>
      </c>
    </row>
    <row r="202" ht="22.5" customFormat="1" customHeight="1" s="8">
      <c r="A202" s="9" t="n"/>
      <c r="B202" s="136" t="inlineStr">
        <is>
          <t>아크릴</t>
        </is>
      </c>
      <c r="C202" s="137" t="inlineStr">
        <is>
          <t>COCOON</t>
        </is>
      </c>
      <c r="D202" s="83" t="inlineStr">
        <is>
          <t>에이밍 원형 십자 아크릴 (테두리 O)  2.0T</t>
        </is>
      </c>
      <c r="E202" s="13" t="inlineStr">
        <is>
          <t>투명 아크릴 + 인쇄 2T - 영국용</t>
        </is>
      </c>
      <c r="F202" s="100" t="n"/>
      <c r="G202" s="9" t="n"/>
      <c r="H202" s="9" t="n"/>
      <c r="I202" s="14" t="n"/>
      <c r="J202" s="14" t="n"/>
      <c r="K202" s="12" t="n">
        <v>0</v>
      </c>
      <c r="L202" s="9" t="n"/>
      <c r="M202" s="9" t="n"/>
      <c r="N202" s="9" t="n"/>
      <c r="O202" s="40">
        <f>K202+V202-AE202-AZ202</f>
        <v/>
      </c>
      <c r="P202" s="12" t="n"/>
      <c r="Q202" s="138" t="n"/>
      <c r="R202" s="16" t="n"/>
      <c r="S202" s="139" t="n"/>
      <c r="T202" s="16" t="n"/>
      <c r="U202" s="139" t="n"/>
      <c r="V202" s="16">
        <f>P202+R202+T202</f>
        <v/>
      </c>
      <c r="W202" s="16" t="n"/>
      <c r="X202" s="139" t="n"/>
      <c r="Y202" s="16" t="n"/>
      <c r="Z202" s="139" t="n"/>
      <c r="AA202" s="16" t="n"/>
      <c r="AB202" s="139" t="n"/>
      <c r="AC202" s="16" t="n"/>
      <c r="AD202" s="139" t="n"/>
      <c r="AE202" s="16">
        <f>(W202+Y202+AA202+AC202)</f>
        <v/>
      </c>
      <c r="AF202" s="140" t="n"/>
      <c r="AG202" s="138" t="n"/>
      <c r="AH202" s="16" t="n"/>
      <c r="AI202" s="138" t="n"/>
      <c r="AJ202" s="16" t="n"/>
      <c r="AK202" s="138" t="n"/>
      <c r="AL202" s="16" t="n"/>
      <c r="AM202" s="138" t="n"/>
      <c r="AN202" s="16" t="n"/>
      <c r="AO202" s="138" t="n"/>
      <c r="AP202" s="16" t="n"/>
      <c r="AQ202" s="138" t="n"/>
      <c r="AR202" s="16" t="n"/>
      <c r="AS202" s="138" t="n"/>
      <c r="AT202" s="16" t="n"/>
      <c r="AU202" s="138" t="n"/>
      <c r="AV202" s="16" t="n"/>
      <c r="AW202" s="138" t="n"/>
      <c r="AX202" s="16" t="n"/>
      <c r="AY202" s="138" t="n"/>
      <c r="AZ202" s="16">
        <f>AF202+AH202+AJ202+AL202+AN202+AP202+AR202+AT202+AV202+AX202</f>
        <v/>
      </c>
      <c r="BA202" s="16" t="n"/>
      <c r="BB202" s="139" t="n"/>
      <c r="BC202" s="16" t="n"/>
      <c r="BD202" s="139" t="n"/>
      <c r="BE202" s="16">
        <f>(BA202+BC202)</f>
        <v/>
      </c>
    </row>
    <row r="203" ht="22.5" customFormat="1" customHeight="1" s="8">
      <c r="A203" s="9" t="n"/>
      <c r="B203" s="136" t="inlineStr">
        <is>
          <t>아크릴</t>
        </is>
      </c>
      <c r="C203" s="137" t="inlineStr">
        <is>
          <t>COCOON</t>
        </is>
      </c>
      <c r="D203" s="83" t="inlineStr">
        <is>
          <t>에이밍 원형 십자 아크릴 (테두리 O) 2.0T</t>
        </is>
      </c>
      <c r="E203" s="13" t="inlineStr">
        <is>
          <t>투명 아크릴 + 인쇄 2T - 얇은 테두리</t>
        </is>
      </c>
      <c r="F203" s="100" t="n"/>
      <c r="G203" s="9" t="n"/>
      <c r="H203" s="9" t="n"/>
      <c r="I203" s="14" t="n"/>
      <c r="J203" s="14" t="n"/>
      <c r="K203" s="12" t="n">
        <v>208</v>
      </c>
      <c r="L203" s="9" t="n"/>
      <c r="M203" s="9" t="n"/>
      <c r="N203" s="9" t="n"/>
      <c r="O203" s="40">
        <f>K203+V203-AE203-AZ203</f>
        <v/>
      </c>
      <c r="P203" s="12" t="n"/>
      <c r="Q203" s="138" t="n"/>
      <c r="R203" s="16" t="n"/>
      <c r="S203" s="139" t="n"/>
      <c r="T203" s="16" t="n"/>
      <c r="U203" s="139" t="n"/>
      <c r="V203" s="16">
        <f>P203+R203+T203</f>
        <v/>
      </c>
      <c r="W203" s="16" t="n"/>
      <c r="X203" s="139" t="n"/>
      <c r="Y203" s="16" t="n"/>
      <c r="Z203" s="139" t="n"/>
      <c r="AA203" s="16" t="n"/>
      <c r="AB203" s="139" t="n"/>
      <c r="AC203" s="16" t="n"/>
      <c r="AD203" s="139" t="n"/>
      <c r="AE203" s="16">
        <f>(W203+Y203+AA203+AC203)</f>
        <v/>
      </c>
      <c r="AF203" s="140" t="n"/>
      <c r="AG203" s="138" t="n"/>
      <c r="AH203" s="16" t="n"/>
      <c r="AI203" s="138" t="n"/>
      <c r="AJ203" s="16" t="n"/>
      <c r="AK203" s="138" t="n"/>
      <c r="AL203" s="16" t="n"/>
      <c r="AM203" s="138" t="n"/>
      <c r="AN203" s="16" t="n"/>
      <c r="AO203" s="138" t="n"/>
      <c r="AP203" s="16" t="n"/>
      <c r="AQ203" s="138" t="n"/>
      <c r="AR203" s="16" t="n"/>
      <c r="AS203" s="138" t="n"/>
      <c r="AT203" s="16" t="n"/>
      <c r="AU203" s="138" t="n"/>
      <c r="AV203" s="16" t="n"/>
      <c r="AW203" s="138" t="n"/>
      <c r="AX203" s="16" t="n"/>
      <c r="AY203" s="138" t="n"/>
      <c r="AZ203" s="16">
        <f>AF203+AH203+AJ203+AL203+AN203+AP203+AR203+AT203+AV203+AX203</f>
        <v/>
      </c>
      <c r="BA203" s="16" t="n"/>
      <c r="BB203" s="139" t="n"/>
      <c r="BC203" s="16" t="n"/>
      <c r="BD203" s="139" t="n"/>
      <c r="BE203" s="16">
        <f>(BA203+BC203)</f>
        <v/>
      </c>
    </row>
    <row r="204" ht="22.5" customFormat="1" customHeight="1" s="8">
      <c r="A204" s="9" t="n"/>
      <c r="B204" s="136" t="inlineStr">
        <is>
          <t>아크릴</t>
        </is>
      </c>
      <c r="C204" s="137" t="inlineStr">
        <is>
          <t>COCOON</t>
        </is>
      </c>
      <c r="D204" s="83" t="inlineStr">
        <is>
          <t>에이밍 원형 십자 아크릴 (테두리 X) 2.0T</t>
        </is>
      </c>
      <c r="E204" s="13" t="inlineStr">
        <is>
          <t>투명 아크릴 + 인쇄 2T -사파리용</t>
        </is>
      </c>
      <c r="F204" s="100" t="n"/>
      <c r="G204" s="9" t="n"/>
      <c r="H204" s="9" t="n"/>
      <c r="I204" s="14" t="n"/>
      <c r="J204" s="14" t="n"/>
      <c r="K204" s="12" t="n">
        <v>108</v>
      </c>
      <c r="L204" s="9" t="n"/>
      <c r="M204" s="9" t="n"/>
      <c r="N204" s="9" t="n"/>
      <c r="O204" s="40">
        <f>K204+V204-AE204-AZ204</f>
        <v/>
      </c>
      <c r="P204" s="12" t="n"/>
      <c r="Q204" s="138" t="n"/>
      <c r="R204" s="16" t="n"/>
      <c r="S204" s="139" t="n"/>
      <c r="T204" s="16" t="n"/>
      <c r="U204" s="139" t="n"/>
      <c r="V204" s="16">
        <f>P204+R204+T204</f>
        <v/>
      </c>
      <c r="W204" s="16" t="n"/>
      <c r="X204" s="139" t="n"/>
      <c r="Y204" s="16" t="n"/>
      <c r="Z204" s="139" t="n"/>
      <c r="AA204" s="16" t="n"/>
      <c r="AB204" s="139" t="n"/>
      <c r="AC204" s="16" t="n"/>
      <c r="AD204" s="139" t="n"/>
      <c r="AE204" s="16">
        <f>(W204+Y204+AA204+AC204)</f>
        <v/>
      </c>
      <c r="AF204" s="140" t="n"/>
      <c r="AG204" s="138" t="n"/>
      <c r="AH204" s="16" t="n"/>
      <c r="AI204" s="138" t="n"/>
      <c r="AJ204" s="16" t="n"/>
      <c r="AK204" s="138" t="n"/>
      <c r="AL204" s="16" t="n"/>
      <c r="AM204" s="138" t="n"/>
      <c r="AN204" s="16" t="n"/>
      <c r="AO204" s="138" t="n"/>
      <c r="AP204" s="16" t="n"/>
      <c r="AQ204" s="138" t="n"/>
      <c r="AR204" s="16" t="n"/>
      <c r="AS204" s="138" t="n"/>
      <c r="AT204" s="16" t="n"/>
      <c r="AU204" s="138" t="n"/>
      <c r="AV204" s="16" t="n"/>
      <c r="AW204" s="138" t="n"/>
      <c r="AX204" s="16" t="n"/>
      <c r="AY204" s="138" t="n"/>
      <c r="AZ204" s="16">
        <f>AF204+AH204+AJ204+AL204+AN204+AP204+AR204+AT204+AV204+AX204</f>
        <v/>
      </c>
      <c r="BA204" s="16" t="n"/>
      <c r="BB204" s="139" t="n"/>
      <c r="BC204" s="16" t="n"/>
      <c r="BD204" s="139" t="n"/>
      <c r="BE204" s="16">
        <f>(BA204+BC204)</f>
        <v/>
      </c>
    </row>
    <row r="205" ht="22.5" customFormat="1" customHeight="1" s="8">
      <c r="A205" s="9" t="n"/>
      <c r="B205" s="136" t="inlineStr">
        <is>
          <t>AL</t>
        </is>
      </c>
      <c r="C205" s="137" t="inlineStr">
        <is>
          <t>COCOON</t>
        </is>
      </c>
      <c r="D205" s="144" t="inlineStr">
        <is>
          <t xml:space="preserve">알루미늄 필터 </t>
        </is>
      </c>
      <c r="E205" s="13" t="inlineStr">
        <is>
          <t>0.5T * Φ63 코쿤 기본</t>
        </is>
      </c>
      <c r="F205" s="100" t="n"/>
      <c r="G205" s="9" t="n"/>
      <c r="H205" s="9" t="inlineStr">
        <is>
          <t>광전레이저</t>
        </is>
      </c>
      <c r="I205" s="14" t="n"/>
      <c r="J205" s="14" t="n"/>
      <c r="K205" s="12" t="n">
        <v>596</v>
      </c>
      <c r="L205" s="9" t="n"/>
      <c r="M205" s="9" t="n"/>
      <c r="N205" s="9" t="n"/>
      <c r="O205" s="40">
        <f>K205+V205-AE205-AZ205</f>
        <v/>
      </c>
      <c r="P205" s="12" t="n"/>
      <c r="Q205" s="138" t="n"/>
      <c r="R205" s="16" t="n"/>
      <c r="S205" s="139" t="n"/>
      <c r="T205" s="16" t="n"/>
      <c r="U205" s="139" t="n"/>
      <c r="V205" s="16">
        <f>P205+R205+T205</f>
        <v/>
      </c>
      <c r="W205" s="16" t="n"/>
      <c r="X205" s="139" t="n"/>
      <c r="Y205" s="16" t="n"/>
      <c r="Z205" s="139" t="n"/>
      <c r="AA205" s="16" t="n"/>
      <c r="AB205" s="139" t="n"/>
      <c r="AC205" s="16" t="n"/>
      <c r="AD205" s="139" t="n"/>
      <c r="AE205" s="16">
        <f>(W205+Y205+AA205+AC205)</f>
        <v/>
      </c>
      <c r="AF205" s="140" t="n"/>
      <c r="AG205" s="138" t="n"/>
      <c r="AH205" s="16" t="n"/>
      <c r="AI205" s="138" t="n"/>
      <c r="AJ205" s="16" t="n"/>
      <c r="AK205" s="138" t="n"/>
      <c r="AL205" s="16" t="n"/>
      <c r="AM205" s="138" t="n"/>
      <c r="AN205" s="16" t="n"/>
      <c r="AO205" s="138" t="n"/>
      <c r="AP205" s="16" t="n"/>
      <c r="AQ205" s="138" t="n"/>
      <c r="AR205" s="16" t="n"/>
      <c r="AS205" s="138" t="n"/>
      <c r="AT205" s="16" t="n"/>
      <c r="AU205" s="138" t="n"/>
      <c r="AV205" s="16" t="n"/>
      <c r="AW205" s="138" t="n"/>
      <c r="AX205" s="16" t="n"/>
      <c r="AY205" s="138" t="n"/>
      <c r="AZ205" s="16">
        <f>AF205+AH205+AJ205+AL205+AN205+AP205+AR205+AT205+AV205+AX205</f>
        <v/>
      </c>
      <c r="BA205" s="16" t="n"/>
      <c r="BB205" s="139" t="n"/>
      <c r="BC205" s="16" t="n"/>
      <c r="BD205" s="139" t="n"/>
      <c r="BE205" s="16">
        <f>(BA205+BC205)</f>
        <v/>
      </c>
    </row>
    <row r="206" ht="22.5" customFormat="1" customHeight="1" s="8">
      <c r="A206" s="9" t="n"/>
      <c r="B206" s="136" t="inlineStr">
        <is>
          <t>RUBBER</t>
        </is>
      </c>
      <c r="C206" s="137" t="inlineStr">
        <is>
          <t>COCOON</t>
        </is>
      </c>
      <c r="D206" s="143" t="inlineStr">
        <is>
          <t>BAT BOTTOM RUBBER</t>
        </is>
      </c>
      <c r="E206" s="13" t="inlineStr">
        <is>
          <t>RUBBER</t>
        </is>
      </c>
      <c r="F206" s="100" t="n"/>
      <c r="G206" s="9" t="n"/>
      <c r="H206" s="9" t="inlineStr">
        <is>
          <t>남경화학</t>
        </is>
      </c>
      <c r="I206" s="14" t="n"/>
      <c r="J206" s="14" t="n"/>
      <c r="K206" s="12" t="n">
        <v>364</v>
      </c>
      <c r="L206" s="9" t="n"/>
      <c r="M206" s="9" t="n"/>
      <c r="N206" s="9" t="n"/>
      <c r="O206" s="40">
        <f>K206+V206-AE206-AZ206</f>
        <v/>
      </c>
      <c r="P206" s="12" t="n"/>
      <c r="Q206" s="138" t="n"/>
      <c r="R206" s="16" t="n"/>
      <c r="S206" s="139" t="n"/>
      <c r="T206" s="16" t="n"/>
      <c r="U206" s="139" t="n"/>
      <c r="V206" s="16">
        <f>P206+R206+T206</f>
        <v/>
      </c>
      <c r="W206" s="16" t="n"/>
      <c r="X206" s="139" t="n"/>
      <c r="Y206" s="16" t="n"/>
      <c r="Z206" s="139" t="n"/>
      <c r="AA206" s="16" t="n"/>
      <c r="AB206" s="139" t="n"/>
      <c r="AC206" s="16" t="n"/>
      <c r="AD206" s="139" t="n"/>
      <c r="AE206" s="16">
        <f>(W206+Y206+AA206+AC206)</f>
        <v/>
      </c>
      <c r="AF206" s="140" t="n"/>
      <c r="AG206" s="138" t="n"/>
      <c r="AH206" s="16" t="n"/>
      <c r="AI206" s="138" t="n"/>
      <c r="AJ206" s="16" t="n"/>
      <c r="AK206" s="138" t="n"/>
      <c r="AL206" s="16" t="n"/>
      <c r="AM206" s="138" t="n"/>
      <c r="AN206" s="16" t="n"/>
      <c r="AO206" s="138" t="n"/>
      <c r="AP206" s="16" t="n"/>
      <c r="AQ206" s="138" t="n"/>
      <c r="AR206" s="16" t="n"/>
      <c r="AS206" s="138" t="n"/>
      <c r="AT206" s="16" t="n"/>
      <c r="AU206" s="138" t="n"/>
      <c r="AV206" s="16" t="n"/>
      <c r="AW206" s="138" t="n"/>
      <c r="AX206" s="16" t="n"/>
      <c r="AY206" s="138" t="n"/>
      <c r="AZ206" s="16">
        <f>AF206+AH206+AJ206+AL206+AN206+AP206+AR206+AT206+AV206+AX206</f>
        <v/>
      </c>
      <c r="BA206" s="16" t="n"/>
      <c r="BB206" s="139" t="n"/>
      <c r="BC206" s="16" t="n"/>
      <c r="BD206" s="139" t="n"/>
      <c r="BE206" s="16">
        <f>(BA206+BC206)</f>
        <v/>
      </c>
    </row>
    <row r="207" ht="22.5" customFormat="1" customHeight="1" s="8">
      <c r="A207" s="9" t="n"/>
      <c r="B207" s="136" t="inlineStr">
        <is>
          <t>RUBBER</t>
        </is>
      </c>
      <c r="C207" s="137" t="inlineStr">
        <is>
          <t>COCOON</t>
        </is>
      </c>
      <c r="D207" s="144" t="inlineStr">
        <is>
          <t>CRADLE FOOT RUBBER</t>
        </is>
      </c>
      <c r="E207" s="13" t="inlineStr">
        <is>
          <t>RUBBER</t>
        </is>
      </c>
      <c r="F207" s="100" t="n"/>
      <c r="G207" s="9" t="n"/>
      <c r="H207" s="9" t="inlineStr">
        <is>
          <t>남경화학</t>
        </is>
      </c>
      <c r="I207" s="14" t="n"/>
      <c r="J207" s="14" t="n"/>
      <c r="K207" s="12" t="n">
        <v>0</v>
      </c>
      <c r="L207" s="9" t="n"/>
      <c r="M207" s="9" t="n"/>
      <c r="N207" s="9" t="n"/>
      <c r="O207" s="40">
        <f>K207+V207-AE207-AZ207</f>
        <v/>
      </c>
      <c r="P207" s="12" t="n"/>
      <c r="Q207" s="138" t="n"/>
      <c r="R207" s="16" t="n"/>
      <c r="S207" s="139" t="n"/>
      <c r="T207" s="16" t="n"/>
      <c r="U207" s="139" t="n"/>
      <c r="V207" s="16">
        <f>P207+R207+T207</f>
        <v/>
      </c>
      <c r="W207" s="16" t="n"/>
      <c r="X207" s="139" t="n"/>
      <c r="Y207" s="16" t="n"/>
      <c r="Z207" s="139" t="n"/>
      <c r="AA207" s="16" t="n"/>
      <c r="AB207" s="139" t="n"/>
      <c r="AC207" s="16" t="n"/>
      <c r="AD207" s="139" t="n"/>
      <c r="AE207" s="16">
        <f>(W207+Y207+AA207+AC207)</f>
        <v/>
      </c>
      <c r="AF207" s="140" t="n"/>
      <c r="AG207" s="138" t="n"/>
      <c r="AH207" s="16" t="n"/>
      <c r="AI207" s="138" t="n"/>
      <c r="AJ207" s="16" t="n"/>
      <c r="AK207" s="138" t="n"/>
      <c r="AL207" s="16" t="n"/>
      <c r="AM207" s="138" t="n"/>
      <c r="AN207" s="16" t="n"/>
      <c r="AO207" s="138" t="n"/>
      <c r="AP207" s="16" t="n"/>
      <c r="AQ207" s="138" t="n"/>
      <c r="AR207" s="16" t="n"/>
      <c r="AS207" s="138" t="n"/>
      <c r="AT207" s="16" t="n"/>
      <c r="AU207" s="138" t="n"/>
      <c r="AV207" s="16" t="n"/>
      <c r="AW207" s="138" t="n"/>
      <c r="AX207" s="16" t="n"/>
      <c r="AY207" s="138" t="n"/>
      <c r="AZ207" s="16">
        <f>AF207+AH207+AJ207+AL207+AN207+AP207+AR207+AT207+AV207+AX207</f>
        <v/>
      </c>
      <c r="BA207" s="16" t="n"/>
      <c r="BB207" s="139" t="n"/>
      <c r="BC207" s="16" t="n"/>
      <c r="BD207" s="139" t="n"/>
      <c r="BE207" s="16">
        <f>(BA207+BC207)</f>
        <v/>
      </c>
    </row>
    <row r="208" ht="22.5" customFormat="1" customHeight="1" s="8">
      <c r="A208" s="9" t="n"/>
      <c r="B208" s="136" t="inlineStr">
        <is>
          <t>신주</t>
        </is>
      </c>
      <c r="C208" s="137" t="inlineStr">
        <is>
          <t>COCOON</t>
        </is>
      </c>
      <c r="D208" s="83" t="inlineStr">
        <is>
          <t>CRADLE 신주 핀</t>
        </is>
      </c>
      <c r="E208" s="13" t="inlineStr">
        <is>
          <t>신주 가공 + 니켈 도금</t>
        </is>
      </c>
      <c r="F208" s="100" t="n"/>
      <c r="G208" s="9" t="n"/>
      <c r="H208" s="9" t="inlineStr">
        <is>
          <t>다우정밀</t>
        </is>
      </c>
      <c r="I208" s="14" t="n"/>
      <c r="J208" s="14" t="n"/>
      <c r="K208" s="12" t="n">
        <v>0</v>
      </c>
      <c r="L208" s="9" t="n"/>
      <c r="M208" s="9" t="n"/>
      <c r="N208" s="9" t="n"/>
      <c r="O208" s="40">
        <f>K208+V208-AE208-AZ208</f>
        <v/>
      </c>
      <c r="P208" s="12" t="n"/>
      <c r="Q208" s="138" t="n"/>
      <c r="R208" s="16" t="n"/>
      <c r="S208" s="139" t="n"/>
      <c r="T208" s="16" t="n"/>
      <c r="U208" s="139" t="n"/>
      <c r="V208" s="16">
        <f>P208+R208+T208</f>
        <v/>
      </c>
      <c r="W208" s="16" t="n"/>
      <c r="X208" s="139" t="n"/>
      <c r="Y208" s="16" t="n"/>
      <c r="Z208" s="139" t="n"/>
      <c r="AA208" s="16" t="n"/>
      <c r="AB208" s="139" t="n"/>
      <c r="AC208" s="16" t="n"/>
      <c r="AD208" s="139" t="n"/>
      <c r="AE208" s="16">
        <f>(W208+Y208+AA208+AC208)</f>
        <v/>
      </c>
      <c r="AF208" s="140" t="n"/>
      <c r="AG208" s="138" t="n"/>
      <c r="AH208" s="16" t="n"/>
      <c r="AI208" s="138" t="n"/>
      <c r="AJ208" s="16" t="n"/>
      <c r="AK208" s="138" t="n"/>
      <c r="AL208" s="16" t="n"/>
      <c r="AM208" s="138" t="n"/>
      <c r="AN208" s="16" t="n"/>
      <c r="AO208" s="138" t="n"/>
      <c r="AP208" s="16" t="n"/>
      <c r="AQ208" s="138" t="n"/>
      <c r="AR208" s="16" t="n"/>
      <c r="AS208" s="138" t="n"/>
      <c r="AT208" s="16" t="n"/>
      <c r="AU208" s="138" t="n"/>
      <c r="AV208" s="16" t="n"/>
      <c r="AW208" s="138" t="n"/>
      <c r="AX208" s="16" t="n"/>
      <c r="AY208" s="138" t="n"/>
      <c r="AZ208" s="16">
        <f>AF208+AH208+AJ208+AL208+AN208+AP208+AR208+AT208+AV208+AX208</f>
        <v/>
      </c>
      <c r="BA208" s="16" t="n"/>
      <c r="BB208" s="139" t="n"/>
      <c r="BC208" s="16" t="n"/>
      <c r="BD208" s="139" t="n"/>
      <c r="BE208" s="16">
        <f>(BA208+BC208)</f>
        <v/>
      </c>
    </row>
    <row r="209" ht="22.5" customFormat="1" customHeight="1" s="8">
      <c r="A209" s="9" t="n"/>
      <c r="B209" s="136" t="inlineStr">
        <is>
          <t>스프링</t>
        </is>
      </c>
      <c r="C209" s="137" t="inlineStr">
        <is>
          <t>COCOON</t>
        </is>
      </c>
      <c r="D209" s="83" t="inlineStr">
        <is>
          <t>EXP BUTTON 스프링</t>
        </is>
      </c>
      <c r="E209" s="13" t="inlineStr">
        <is>
          <t>스프링</t>
        </is>
      </c>
      <c r="F209" s="100" t="n"/>
      <c r="G209" s="9" t="n"/>
      <c r="H209" s="9" t="inlineStr">
        <is>
          <t>금호스프링</t>
        </is>
      </c>
      <c r="I209" s="14" t="n"/>
      <c r="J209" s="14" t="n"/>
      <c r="K209" s="12" t="n">
        <v>0</v>
      </c>
      <c r="L209" s="9" t="n"/>
      <c r="M209" s="9" t="n"/>
      <c r="N209" s="9" t="n"/>
      <c r="O209" s="40">
        <f>K209+V209-AE209-AZ209</f>
        <v/>
      </c>
      <c r="P209" s="12" t="n"/>
      <c r="Q209" s="138" t="n"/>
      <c r="R209" s="16" t="n"/>
      <c r="S209" s="139" t="n"/>
      <c r="T209" s="16" t="n"/>
      <c r="U209" s="139" t="n"/>
      <c r="V209" s="16">
        <f>P209+R209+T209</f>
        <v/>
      </c>
      <c r="W209" s="16" t="n"/>
      <c r="X209" s="139" t="n"/>
      <c r="Y209" s="16" t="n"/>
      <c r="Z209" s="139" t="n"/>
      <c r="AA209" s="16" t="n"/>
      <c r="AB209" s="139" t="n"/>
      <c r="AC209" s="16" t="n"/>
      <c r="AD209" s="139" t="n"/>
      <c r="AE209" s="16">
        <f>(W209+Y209+AA209+AC209)</f>
        <v/>
      </c>
      <c r="AF209" s="140" t="n"/>
      <c r="AG209" s="138" t="n"/>
      <c r="AH209" s="16" t="n"/>
      <c r="AI209" s="138" t="n"/>
      <c r="AJ209" s="16" t="n"/>
      <c r="AK209" s="138" t="n"/>
      <c r="AL209" s="16" t="n"/>
      <c r="AM209" s="138" t="n"/>
      <c r="AN209" s="16" t="n"/>
      <c r="AO209" s="138" t="n"/>
      <c r="AP209" s="16" t="n"/>
      <c r="AQ209" s="138" t="n"/>
      <c r="AR209" s="16" t="n"/>
      <c r="AS209" s="138" t="n"/>
      <c r="AT209" s="16" t="n"/>
      <c r="AU209" s="138" t="n"/>
      <c r="AV209" s="16" t="n"/>
      <c r="AW209" s="138" t="n"/>
      <c r="AX209" s="16" t="n"/>
      <c r="AY209" s="138" t="n"/>
      <c r="AZ209" s="16">
        <f>AF209+AH209+AJ209+AL209+AN209+AP209+AR209+AT209+AV209+AX209</f>
        <v/>
      </c>
      <c r="BA209" s="16" t="n"/>
      <c r="BB209" s="139" t="n"/>
      <c r="BC209" s="16" t="n"/>
      <c r="BD209" s="139" t="n"/>
      <c r="BE209" s="16">
        <f>(BA209+BC209)</f>
        <v/>
      </c>
    </row>
    <row r="210" ht="22.5" customFormat="1" customHeight="1" s="8">
      <c r="A210" s="9" t="n"/>
      <c r="B210" s="136" t="inlineStr">
        <is>
          <t>스프링</t>
        </is>
      </c>
      <c r="C210" s="137" t="inlineStr">
        <is>
          <t>COCOON</t>
        </is>
      </c>
      <c r="D210" s="83" t="inlineStr">
        <is>
          <t>CRADLE 충전단자 스프링</t>
        </is>
      </c>
      <c r="E210" s="13" t="inlineStr">
        <is>
          <t>스프링</t>
        </is>
      </c>
      <c r="F210" s="100" t="n"/>
      <c r="G210" s="9" t="n"/>
      <c r="H210" s="9" t="inlineStr">
        <is>
          <t>금호스프링</t>
        </is>
      </c>
      <c r="I210" s="14" t="n"/>
      <c r="J210" s="14" t="n"/>
      <c r="K210" s="12" t="n">
        <v>0</v>
      </c>
      <c r="L210" s="9" t="n"/>
      <c r="M210" s="9" t="n"/>
      <c r="N210" s="9" t="n"/>
      <c r="O210" s="40">
        <f>K210+V210-AE210-AZ210</f>
        <v/>
      </c>
      <c r="P210" s="12" t="n"/>
      <c r="Q210" s="138" t="n"/>
      <c r="R210" s="16" t="n"/>
      <c r="S210" s="139" t="n"/>
      <c r="T210" s="16" t="n"/>
      <c r="U210" s="139" t="n"/>
      <c r="V210" s="16">
        <f>P210+R210+T210</f>
        <v/>
      </c>
      <c r="W210" s="16" t="n"/>
      <c r="X210" s="139" t="n"/>
      <c r="Y210" s="16" t="n"/>
      <c r="Z210" s="139" t="n"/>
      <c r="AA210" s="16" t="n"/>
      <c r="AB210" s="139" t="n"/>
      <c r="AC210" s="16" t="n"/>
      <c r="AD210" s="139" t="n"/>
      <c r="AE210" s="16">
        <f>(W210+Y210+AA210+AC210)</f>
        <v/>
      </c>
      <c r="AF210" s="140" t="n"/>
      <c r="AG210" s="138" t="n"/>
      <c r="AH210" s="16" t="n"/>
      <c r="AI210" s="138" t="n"/>
      <c r="AJ210" s="16" t="n"/>
      <c r="AK210" s="138" t="n"/>
      <c r="AL210" s="16" t="n"/>
      <c r="AM210" s="138" t="n"/>
      <c r="AN210" s="16" t="n"/>
      <c r="AO210" s="138" t="n"/>
      <c r="AP210" s="16" t="n"/>
      <c r="AQ210" s="138" t="n"/>
      <c r="AR210" s="16" t="n"/>
      <c r="AS210" s="138" t="n"/>
      <c r="AT210" s="16" t="n"/>
      <c r="AU210" s="138" t="n"/>
      <c r="AV210" s="16" t="n"/>
      <c r="AW210" s="138" t="n"/>
      <c r="AX210" s="16" t="n"/>
      <c r="AY210" s="138" t="n"/>
      <c r="AZ210" s="16">
        <f>AF210+AH210+AJ210+AL210+AN210+AP210+AR210+AT210+AV210+AX210</f>
        <v/>
      </c>
      <c r="BA210" s="16" t="n"/>
      <c r="BB210" s="139" t="n"/>
      <c r="BC210" s="16" t="n"/>
      <c r="BD210" s="139" t="n"/>
      <c r="BE210" s="16">
        <f>(BA210+BC210)</f>
        <v/>
      </c>
    </row>
    <row r="211" ht="22.5" customFormat="1" customHeight="1" s="8">
      <c r="A211" s="9" t="n"/>
      <c r="B211" s="136" t="inlineStr">
        <is>
          <t>STEEL</t>
        </is>
      </c>
      <c r="C211" s="137" t="inlineStr">
        <is>
          <t>COCOON</t>
        </is>
      </c>
      <c r="D211" s="83" t="inlineStr">
        <is>
          <t>고리</t>
        </is>
      </c>
      <c r="E211" s="13" t="inlineStr">
        <is>
          <t>니켈 도금 D링</t>
        </is>
      </c>
      <c r="F211" s="100" t="n"/>
      <c r="G211" s="9" t="n"/>
      <c r="H211" s="9" t="inlineStr">
        <is>
          <t>굿모닝코리아유통</t>
        </is>
      </c>
      <c r="I211" s="14" t="n"/>
      <c r="J211" s="14" t="n"/>
      <c r="K211" s="12" t="n">
        <v>351</v>
      </c>
      <c r="L211" s="9" t="n"/>
      <c r="M211" s="9" t="n"/>
      <c r="N211" s="9" t="n"/>
      <c r="O211" s="40">
        <f>K211+V211-AE211-AZ211</f>
        <v/>
      </c>
      <c r="P211" s="12" t="n"/>
      <c r="Q211" s="138" t="n"/>
      <c r="R211" s="16" t="n"/>
      <c r="S211" s="139" t="n"/>
      <c r="T211" s="16" t="n"/>
      <c r="U211" s="139" t="n"/>
      <c r="V211" s="16">
        <f>P211+R211+T211</f>
        <v/>
      </c>
      <c r="W211" s="16" t="n"/>
      <c r="X211" s="139" t="n"/>
      <c r="Y211" s="16" t="n"/>
      <c r="Z211" s="139" t="n"/>
      <c r="AA211" s="16" t="n"/>
      <c r="AB211" s="139" t="n"/>
      <c r="AC211" s="16" t="n"/>
      <c r="AD211" s="139" t="n"/>
      <c r="AE211" s="16">
        <f>(W211+Y211+AA211+AC211)</f>
        <v/>
      </c>
      <c r="AF211" s="140" t="n"/>
      <c r="AG211" s="138" t="n"/>
      <c r="AH211" s="16" t="n"/>
      <c r="AI211" s="138" t="n"/>
      <c r="AJ211" s="16" t="n"/>
      <c r="AK211" s="138" t="n"/>
      <c r="AL211" s="16" t="n"/>
      <c r="AM211" s="138" t="n"/>
      <c r="AN211" s="16" t="n"/>
      <c r="AO211" s="138" t="n"/>
      <c r="AP211" s="16" t="n"/>
      <c r="AQ211" s="138" t="n"/>
      <c r="AR211" s="16" t="n"/>
      <c r="AS211" s="138" t="n"/>
      <c r="AT211" s="16" t="n"/>
      <c r="AU211" s="138" t="n"/>
      <c r="AV211" s="16" t="n"/>
      <c r="AW211" s="138" t="n"/>
      <c r="AX211" s="16" t="n"/>
      <c r="AY211" s="138" t="n"/>
      <c r="AZ211" s="16">
        <f>AF211+AH211+AJ211+AL211+AN211+AP211+AR211+AT211+AV211+AX211</f>
        <v/>
      </c>
      <c r="BA211" s="16" t="n"/>
      <c r="BB211" s="139" t="n"/>
      <c r="BC211" s="16" t="n"/>
      <c r="BD211" s="139" t="n"/>
      <c r="BE211" s="16">
        <f>(BA211+BC211)</f>
        <v/>
      </c>
    </row>
    <row r="212" ht="22.5" customFormat="1" customHeight="1" s="8">
      <c r="A212" s="9" t="n"/>
      <c r="B212" s="136" t="inlineStr">
        <is>
          <t>자석</t>
        </is>
      </c>
      <c r="C212" s="137" t="inlineStr">
        <is>
          <t>COCOON</t>
        </is>
      </c>
      <c r="D212" s="83" t="inlineStr">
        <is>
          <t>자석</t>
        </is>
      </c>
      <c r="E212" s="13" t="inlineStr">
        <is>
          <t>네오디움 마그넷</t>
        </is>
      </c>
      <c r="F212" s="100" t="n"/>
      <c r="G212" s="9" t="n"/>
      <c r="H212" s="9" t="inlineStr">
        <is>
          <t>일성마그네트</t>
        </is>
      </c>
      <c r="I212" s="14" t="n"/>
      <c r="J212" s="14" t="n"/>
      <c r="K212" s="12" t="n">
        <v>0</v>
      </c>
      <c r="L212" s="9" t="n"/>
      <c r="M212" s="9" t="n"/>
      <c r="N212" s="9" t="n"/>
      <c r="O212" s="40">
        <f>K212+V212-AE212-AZ212</f>
        <v/>
      </c>
      <c r="P212" s="12" t="n"/>
      <c r="Q212" s="138" t="n"/>
      <c r="R212" s="16" t="n"/>
      <c r="S212" s="139" t="n"/>
      <c r="T212" s="16" t="n"/>
      <c r="U212" s="139" t="n"/>
      <c r="V212" s="16">
        <f>P212+R212+T212</f>
        <v/>
      </c>
      <c r="W212" s="16" t="n"/>
      <c r="X212" s="139" t="n"/>
      <c r="Y212" s="16" t="n"/>
      <c r="Z212" s="139" t="n"/>
      <c r="AA212" s="16" t="n"/>
      <c r="AB212" s="139" t="n"/>
      <c r="AC212" s="16" t="n"/>
      <c r="AD212" s="139" t="n"/>
      <c r="AE212" s="16">
        <f>(W212+Y212+AA212+AC212)</f>
        <v/>
      </c>
      <c r="AF212" s="140" t="n"/>
      <c r="AG212" s="138" t="n"/>
      <c r="AH212" s="16" t="n"/>
      <c r="AI212" s="138" t="n"/>
      <c r="AJ212" s="16" t="n"/>
      <c r="AK212" s="138" t="n"/>
      <c r="AL212" s="16" t="n"/>
      <c r="AM212" s="138" t="n"/>
      <c r="AN212" s="16" t="n"/>
      <c r="AO212" s="138" t="n"/>
      <c r="AP212" s="16" t="n"/>
      <c r="AQ212" s="138" t="n"/>
      <c r="AR212" s="16" t="n"/>
      <c r="AS212" s="138" t="n"/>
      <c r="AT212" s="16" t="n"/>
      <c r="AU212" s="138" t="n"/>
      <c r="AV212" s="16" t="n"/>
      <c r="AW212" s="138" t="n"/>
      <c r="AX212" s="16" t="n"/>
      <c r="AY212" s="138" t="n"/>
      <c r="AZ212" s="16">
        <f>AF212+AH212+AJ212+AL212+AN212+AP212+AR212+AT212+AV212+AX212</f>
        <v/>
      </c>
      <c r="BA212" s="16" t="n"/>
      <c r="BB212" s="139" t="n"/>
      <c r="BC212" s="16" t="n"/>
      <c r="BD212" s="139" t="n"/>
      <c r="BE212" s="16">
        <f>(BA212+BC212)</f>
        <v/>
      </c>
    </row>
    <row r="213" ht="22.5" customFormat="1" customHeight="1" s="8">
      <c r="A213" s="9" t="n"/>
      <c r="B213" s="136" t="inlineStr">
        <is>
          <t>ABS 난연</t>
        </is>
      </c>
      <c r="C213" s="137" t="inlineStr">
        <is>
          <t>COCOON</t>
        </is>
      </c>
      <c r="D213" s="144" t="inlineStr">
        <is>
          <t>FRONT_S (18cm)</t>
        </is>
      </c>
      <c r="E213" s="13" t="inlineStr">
        <is>
          <t>ABS 난연 블랙 + 블랙 무광</t>
        </is>
      </c>
      <c r="F213" s="100" t="n"/>
      <c r="G213" s="9" t="n"/>
      <c r="H213" s="9" t="inlineStr">
        <is>
          <t>천우</t>
        </is>
      </c>
      <c r="I213" s="14" t="n"/>
      <c r="J213" s="14" t="n"/>
      <c r="K213" s="12" t="n">
        <v>34</v>
      </c>
      <c r="L213" s="9" t="n"/>
      <c r="M213" s="9" t="n"/>
      <c r="N213" s="9" t="n"/>
      <c r="O213" s="40">
        <f>K213+V213-AE213-AZ213</f>
        <v/>
      </c>
      <c r="P213" s="12" t="n"/>
      <c r="Q213" s="138" t="n"/>
      <c r="R213" s="16" t="n"/>
      <c r="S213" s="139" t="n"/>
      <c r="T213" s="16" t="n"/>
      <c r="U213" s="139" t="n"/>
      <c r="V213" s="16">
        <f>P213+R213+T213</f>
        <v/>
      </c>
      <c r="W213" s="16" t="n"/>
      <c r="X213" s="139" t="n"/>
      <c r="Y213" s="16" t="n"/>
      <c r="Z213" s="139" t="n"/>
      <c r="AA213" s="16" t="n"/>
      <c r="AB213" s="139" t="n"/>
      <c r="AC213" s="16" t="n"/>
      <c r="AD213" s="139" t="n"/>
      <c r="AE213" s="16">
        <f>(W213+Y213+AA213+AC213)</f>
        <v/>
      </c>
      <c r="AF213" s="140" t="n"/>
      <c r="AG213" s="138" t="n"/>
      <c r="AH213" s="16" t="n"/>
      <c r="AI213" s="138" t="n"/>
      <c r="AJ213" s="16" t="n"/>
      <c r="AK213" s="138" t="n"/>
      <c r="AL213" s="16" t="n"/>
      <c r="AM213" s="138" t="n"/>
      <c r="AN213" s="16" t="n"/>
      <c r="AO213" s="138" t="n"/>
      <c r="AP213" s="16" t="n"/>
      <c r="AQ213" s="138" t="n"/>
      <c r="AR213" s="16" t="n"/>
      <c r="AS213" s="138" t="n"/>
      <c r="AT213" s="16" t="n"/>
      <c r="AU213" s="138" t="n"/>
      <c r="AV213" s="16" t="n"/>
      <c r="AW213" s="138" t="n"/>
      <c r="AX213" s="16" t="n"/>
      <c r="AY213" s="138" t="n"/>
      <c r="AZ213" s="16">
        <f>AF213+AH213+AJ213+AL213+AN213+AP213+AR213+AT213+AV213+AX213</f>
        <v/>
      </c>
      <c r="BA213" s="16" t="n"/>
      <c r="BB213" s="139" t="n"/>
      <c r="BC213" s="16" t="n"/>
      <c r="BD213" s="139" t="n"/>
      <c r="BE213" s="16">
        <f>(BA213+BC213)</f>
        <v/>
      </c>
    </row>
    <row r="214" ht="22.5" customFormat="1" customHeight="1" s="8">
      <c r="A214" s="9" t="n"/>
      <c r="B214" s="136" t="inlineStr">
        <is>
          <t>ABS 난연</t>
        </is>
      </c>
      <c r="C214" s="137" t="inlineStr">
        <is>
          <t>COCOON</t>
        </is>
      </c>
      <c r="D214" s="149" t="inlineStr">
        <is>
          <t>FRONT_L (20cm)</t>
        </is>
      </c>
      <c r="E214" s="13" t="inlineStr">
        <is>
          <t>ABS 난연 블랙 + 블랙 무광</t>
        </is>
      </c>
      <c r="F214" s="100" t="n"/>
      <c r="G214" s="9" t="n"/>
      <c r="H214" s="9" t="inlineStr">
        <is>
          <t>천우</t>
        </is>
      </c>
      <c r="I214" s="14" t="n"/>
      <c r="J214" s="14" t="n"/>
      <c r="K214" s="12" t="n">
        <v>239</v>
      </c>
      <c r="L214" s="9" t="n"/>
      <c r="M214" s="9" t="n"/>
      <c r="N214" s="9" t="n"/>
      <c r="O214" s="40">
        <f>K214+V214-AE214-AZ214</f>
        <v/>
      </c>
      <c r="P214" s="12" t="n"/>
      <c r="Q214" s="138" t="n"/>
      <c r="R214" s="16" t="n"/>
      <c r="S214" s="139" t="n"/>
      <c r="T214" s="16" t="n"/>
      <c r="U214" s="139" t="n"/>
      <c r="V214" s="16">
        <f>P214+R214+T214</f>
        <v/>
      </c>
      <c r="W214" s="16" t="n"/>
      <c r="X214" s="139" t="n"/>
      <c r="Y214" s="16" t="n"/>
      <c r="Z214" s="139" t="n"/>
      <c r="AA214" s="16" t="n"/>
      <c r="AB214" s="139" t="n"/>
      <c r="AC214" s="16" t="n"/>
      <c r="AD214" s="139" t="n"/>
      <c r="AE214" s="16">
        <f>(W214+Y214+AA214+AC214)</f>
        <v/>
      </c>
      <c r="AF214" s="140" t="n"/>
      <c r="AG214" s="138" t="n"/>
      <c r="AH214" s="16" t="n"/>
      <c r="AI214" s="138" t="n"/>
      <c r="AJ214" s="16" t="n"/>
      <c r="AK214" s="138" t="n"/>
      <c r="AL214" s="16" t="n"/>
      <c r="AM214" s="138" t="n"/>
      <c r="AN214" s="16" t="n"/>
      <c r="AO214" s="138" t="n"/>
      <c r="AP214" s="16" t="n"/>
      <c r="AQ214" s="138" t="n"/>
      <c r="AR214" s="16" t="n"/>
      <c r="AS214" s="138" t="n"/>
      <c r="AT214" s="16" t="n"/>
      <c r="AU214" s="138" t="n"/>
      <c r="AV214" s="16" t="n"/>
      <c r="AW214" s="138" t="n"/>
      <c r="AX214" s="16" t="n"/>
      <c r="AY214" s="138" t="n"/>
      <c r="AZ214" s="16">
        <f>AF214+AH214+AJ214+AL214+AN214+AP214+AR214+AT214+AV214+AX214</f>
        <v/>
      </c>
      <c r="BA214" s="16" t="n"/>
      <c r="BB214" s="139" t="n"/>
      <c r="BC214" s="16" t="n"/>
      <c r="BD214" s="139" t="n"/>
      <c r="BE214" s="16">
        <f>(BA214+BC214)</f>
        <v/>
      </c>
    </row>
    <row r="215" ht="22.5" customFormat="1" customHeight="1" s="8">
      <c r="A215" s="9" t="n"/>
      <c r="B215" s="136" t="inlineStr">
        <is>
          <t>ABS 난연</t>
        </is>
      </c>
      <c r="C215" s="137" t="inlineStr">
        <is>
          <t>COCOON</t>
        </is>
      </c>
      <c r="D215" s="149" t="inlineStr">
        <is>
          <t>FRONT_CAP</t>
        </is>
      </c>
      <c r="E215" s="13" t="inlineStr">
        <is>
          <t>ABS 난연 블랙 + 블랙 무광</t>
        </is>
      </c>
      <c r="F215" s="100" t="n"/>
      <c r="G215" s="9" t="n"/>
      <c r="H215" s="9" t="inlineStr">
        <is>
          <t>천우</t>
        </is>
      </c>
      <c r="I215" s="14" t="n"/>
      <c r="J215" s="14" t="n"/>
      <c r="K215" s="12" t="n">
        <v>145</v>
      </c>
      <c r="L215" s="9" t="n"/>
      <c r="M215" s="9" t="n"/>
      <c r="N215" s="9" t="n"/>
      <c r="O215" s="40">
        <f>K215+V215-AE215-AZ215</f>
        <v/>
      </c>
      <c r="P215" s="12" t="n"/>
      <c r="Q215" s="138" t="n"/>
      <c r="R215" s="16" t="n"/>
      <c r="S215" s="139" t="n"/>
      <c r="T215" s="16" t="n"/>
      <c r="U215" s="139" t="n"/>
      <c r="V215" s="16">
        <f>P215+R215+T215</f>
        <v/>
      </c>
      <c r="W215" s="16" t="n"/>
      <c r="X215" s="139" t="n"/>
      <c r="Y215" s="16" t="n"/>
      <c r="Z215" s="139" t="n"/>
      <c r="AA215" s="16" t="n"/>
      <c r="AB215" s="139" t="n"/>
      <c r="AC215" s="16" t="n"/>
      <c r="AD215" s="139" t="n"/>
      <c r="AE215" s="16">
        <f>(W215+Y215+AA215+AC215)</f>
        <v/>
      </c>
      <c r="AF215" s="140" t="n"/>
      <c r="AG215" s="138" t="n"/>
      <c r="AH215" s="16" t="n"/>
      <c r="AI215" s="138" t="n"/>
      <c r="AJ215" s="16" t="n"/>
      <c r="AK215" s="138" t="n"/>
      <c r="AL215" s="16" t="n"/>
      <c r="AM215" s="138" t="n"/>
      <c r="AN215" s="16" t="n"/>
      <c r="AO215" s="138" t="n"/>
      <c r="AP215" s="16" t="n"/>
      <c r="AQ215" s="138" t="n"/>
      <c r="AR215" s="16" t="n"/>
      <c r="AS215" s="138" t="n"/>
      <c r="AT215" s="16" t="n"/>
      <c r="AU215" s="138" t="n"/>
      <c r="AV215" s="16" t="n"/>
      <c r="AW215" s="138" t="n"/>
      <c r="AX215" s="16" t="n"/>
      <c r="AY215" s="138" t="n"/>
      <c r="AZ215" s="16">
        <f>AF215+AH215+AJ215+AL215+AN215+AP215+AR215+AT215+AV215+AX215</f>
        <v/>
      </c>
      <c r="BA215" s="16" t="n"/>
      <c r="BB215" s="139" t="n"/>
      <c r="BC215" s="16" t="n"/>
      <c r="BD215" s="139" t="n"/>
      <c r="BE215" s="16">
        <f>(BA215+BC215)</f>
        <v/>
      </c>
    </row>
    <row r="216" ht="22.5" customFormat="1" customHeight="1" s="8">
      <c r="A216" s="9" t="n"/>
      <c r="B216" s="136" t="inlineStr">
        <is>
          <t>ABS 난연</t>
        </is>
      </c>
      <c r="C216" s="137" t="inlineStr">
        <is>
          <t>COCOON</t>
        </is>
      </c>
      <c r="D216" s="149" t="inlineStr">
        <is>
          <t>에이밍 앞 사출</t>
        </is>
      </c>
      <c r="E216" s="13" t="inlineStr">
        <is>
          <t>블랙 무광</t>
        </is>
      </c>
      <c r="F216" s="100" t="n"/>
      <c r="G216" s="9" t="n"/>
      <c r="H216" s="9" t="inlineStr">
        <is>
          <t>천우</t>
        </is>
      </c>
      <c r="I216" s="14" t="n"/>
      <c r="J216" s="14" t="n"/>
      <c r="K216" s="12" t="n">
        <v>488</v>
      </c>
      <c r="L216" s="9" t="n"/>
      <c r="M216" s="9" t="n"/>
      <c r="N216" s="9" t="n"/>
      <c r="O216" s="40">
        <f>K216+V216-AE216-AZ216</f>
        <v/>
      </c>
      <c r="P216" s="12" t="n"/>
      <c r="Q216" s="138" t="n"/>
      <c r="R216" s="16" t="n"/>
      <c r="S216" s="139" t="n"/>
      <c r="T216" s="16" t="n"/>
      <c r="U216" s="139" t="n"/>
      <c r="V216" s="16">
        <f>P216+R216+T216</f>
        <v/>
      </c>
      <c r="W216" s="16" t="n"/>
      <c r="X216" s="139" t="n"/>
      <c r="Y216" s="16" t="n"/>
      <c r="Z216" s="139" t="n"/>
      <c r="AA216" s="16" t="n"/>
      <c r="AB216" s="139" t="n"/>
      <c r="AC216" s="16" t="n"/>
      <c r="AD216" s="139" t="n"/>
      <c r="AE216" s="16">
        <f>(W216+Y216+AA216+AC216)</f>
        <v/>
      </c>
      <c r="AF216" s="140" t="n"/>
      <c r="AG216" s="138" t="n"/>
      <c r="AH216" s="16" t="n"/>
      <c r="AI216" s="138" t="n"/>
      <c r="AJ216" s="16" t="n"/>
      <c r="AK216" s="138" t="n"/>
      <c r="AL216" s="16" t="n"/>
      <c r="AM216" s="138" t="n"/>
      <c r="AN216" s="16" t="n"/>
      <c r="AO216" s="138" t="n"/>
      <c r="AP216" s="16" t="n"/>
      <c r="AQ216" s="138" t="n"/>
      <c r="AR216" s="16" t="n"/>
      <c r="AS216" s="138" t="n"/>
      <c r="AT216" s="16" t="n"/>
      <c r="AU216" s="138" t="n"/>
      <c r="AV216" s="16" t="n"/>
      <c r="AW216" s="138" t="n"/>
      <c r="AX216" s="16" t="n"/>
      <c r="AY216" s="138" t="n"/>
      <c r="AZ216" s="16">
        <f>AF216+AH216+AJ216+AL216+AN216+AP216+AR216+AT216+AV216+AX216</f>
        <v/>
      </c>
      <c r="BA216" s="16" t="n"/>
      <c r="BB216" s="139" t="n"/>
      <c r="BC216" s="16" t="n"/>
      <c r="BD216" s="139" t="n"/>
      <c r="BE216" s="16">
        <f>(BA216+BC216)</f>
        <v/>
      </c>
    </row>
    <row r="217" ht="22.5" customFormat="1" customHeight="1" s="8">
      <c r="A217" s="9" t="n"/>
      <c r="B217" s="136" t="inlineStr">
        <is>
          <t>ABS 난연</t>
        </is>
      </c>
      <c r="C217" s="137" t="inlineStr">
        <is>
          <t>COCOON</t>
        </is>
      </c>
      <c r="D217" s="143" t="inlineStr">
        <is>
          <t>POWER BUTTON</t>
        </is>
      </c>
      <c r="E217" s="13" t="inlineStr">
        <is>
          <t>ABS 난연 화이트 유광</t>
        </is>
      </c>
      <c r="F217" s="100" t="n"/>
      <c r="G217" s="9" t="n"/>
      <c r="H217" s="9" t="inlineStr">
        <is>
          <t>천우</t>
        </is>
      </c>
      <c r="I217" s="14" t="n"/>
      <c r="J217" s="14" t="n"/>
      <c r="K217" s="12" t="n">
        <v>465</v>
      </c>
      <c r="L217" s="9" t="n"/>
      <c r="M217" s="9" t="n"/>
      <c r="N217" s="9" t="n"/>
      <c r="O217" s="40">
        <f>K217+V217-AE217-AZ217</f>
        <v/>
      </c>
      <c r="P217" s="12" t="n"/>
      <c r="Q217" s="138" t="n"/>
      <c r="R217" s="16" t="n"/>
      <c r="S217" s="139" t="n"/>
      <c r="T217" s="16" t="n"/>
      <c r="U217" s="139" t="n"/>
      <c r="V217" s="16">
        <f>P217+R217+T217</f>
        <v/>
      </c>
      <c r="W217" s="16" t="n"/>
      <c r="X217" s="139" t="n"/>
      <c r="Y217" s="16" t="n"/>
      <c r="Z217" s="139" t="n"/>
      <c r="AA217" s="16" t="n"/>
      <c r="AB217" s="139" t="n"/>
      <c r="AC217" s="16" t="n"/>
      <c r="AD217" s="139" t="n"/>
      <c r="AE217" s="16">
        <f>(W217+Y217+AA217+AC217)</f>
        <v/>
      </c>
      <c r="AF217" s="140" t="n"/>
      <c r="AG217" s="138" t="n"/>
      <c r="AH217" s="16" t="n"/>
      <c r="AI217" s="138" t="n"/>
      <c r="AJ217" s="16" t="n"/>
      <c r="AK217" s="138" t="n"/>
      <c r="AL217" s="16" t="n"/>
      <c r="AM217" s="138" t="n"/>
      <c r="AN217" s="16" t="n"/>
      <c r="AO217" s="138" t="n"/>
      <c r="AP217" s="16" t="n"/>
      <c r="AQ217" s="138" t="n"/>
      <c r="AR217" s="16" t="n"/>
      <c r="AS217" s="138" t="n"/>
      <c r="AT217" s="16" t="n"/>
      <c r="AU217" s="138" t="n"/>
      <c r="AV217" s="16" t="n"/>
      <c r="AW217" s="138" t="n"/>
      <c r="AX217" s="16" t="n"/>
      <c r="AY217" s="138" t="n"/>
      <c r="AZ217" s="16">
        <f>AF217+AH217+AJ217+AL217+AN217+AP217+AR217+AT217+AV217+AX217</f>
        <v/>
      </c>
      <c r="BA217" s="16" t="n"/>
      <c r="BB217" s="139" t="n"/>
      <c r="BC217" s="16" t="n"/>
      <c r="BD217" s="139" t="n"/>
      <c r="BE217" s="16">
        <f>(BA217+BC217)</f>
        <v/>
      </c>
    </row>
    <row r="218" ht="22.5" customFormat="1" customHeight="1" s="8">
      <c r="A218" s="9" t="n"/>
      <c r="B218" s="136" t="inlineStr">
        <is>
          <t>ABS 난연</t>
        </is>
      </c>
      <c r="C218" s="137" t="inlineStr">
        <is>
          <t>COCOON</t>
        </is>
      </c>
      <c r="D218" s="144" t="inlineStr">
        <is>
          <t>LOCK KNOB</t>
        </is>
      </c>
      <c r="E218" s="13" t="inlineStr">
        <is>
          <t>ABS 난연 화이트 유광</t>
        </is>
      </c>
      <c r="F218" s="100" t="n"/>
      <c r="G218" s="9" t="n"/>
      <c r="H218" s="9" t="inlineStr">
        <is>
          <t>천우</t>
        </is>
      </c>
      <c r="I218" s="14" t="n"/>
      <c r="J218" s="14" t="n"/>
      <c r="K218" s="12" t="n">
        <v>171</v>
      </c>
      <c r="L218" s="9" t="n"/>
      <c r="M218" s="9" t="n"/>
      <c r="N218" s="9" t="n"/>
      <c r="O218" s="40">
        <f>K218+V218-AE218-AZ218</f>
        <v/>
      </c>
      <c r="P218" s="12" t="n"/>
      <c r="Q218" s="138" t="n"/>
      <c r="R218" s="16" t="n"/>
      <c r="S218" s="139" t="n"/>
      <c r="T218" s="16" t="n"/>
      <c r="U218" s="139" t="n"/>
      <c r="V218" s="16">
        <f>P218+R218+T218</f>
        <v/>
      </c>
      <c r="W218" s="16" t="n"/>
      <c r="X218" s="139" t="n"/>
      <c r="Y218" s="16" t="n"/>
      <c r="Z218" s="139" t="n"/>
      <c r="AA218" s="25" t="n"/>
      <c r="AB218" s="139" t="n"/>
      <c r="AC218" s="25" t="n"/>
      <c r="AD218" s="139" t="n"/>
      <c r="AE218" s="16">
        <f>(W218+Y218+AA218+AC218)</f>
        <v/>
      </c>
      <c r="AF218" s="140" t="n"/>
      <c r="AG218" s="138" t="n"/>
      <c r="AH218" s="16" t="n"/>
      <c r="AI218" s="138" t="n"/>
      <c r="AJ218" s="16" t="n"/>
      <c r="AK218" s="138" t="n"/>
      <c r="AL218" s="16" t="n"/>
      <c r="AM218" s="138" t="n"/>
      <c r="AN218" s="16" t="n"/>
      <c r="AO218" s="138" t="n"/>
      <c r="AP218" s="16" t="n"/>
      <c r="AQ218" s="138" t="n"/>
      <c r="AR218" s="16" t="n"/>
      <c r="AS218" s="138" t="n"/>
      <c r="AT218" s="16" t="n"/>
      <c r="AU218" s="138" t="n"/>
      <c r="AV218" s="16" t="n"/>
      <c r="AW218" s="138" t="n"/>
      <c r="AX218" s="16" t="n"/>
      <c r="AY218" s="138" t="n"/>
      <c r="AZ218" s="16">
        <f>AF218+AH218+AJ218+AL218+AN218+AP218+AR218+AT218+AV218+AX218</f>
        <v/>
      </c>
      <c r="BA218" s="16" t="n"/>
      <c r="BB218" s="139" t="n"/>
      <c r="BC218" s="16" t="n"/>
      <c r="BD218" s="139" t="n"/>
      <c r="BE218" s="16">
        <f>(BA218+BC218)</f>
        <v/>
      </c>
    </row>
    <row r="219" ht="22.5" customFormat="1" customHeight="1" s="8">
      <c r="A219" s="9" t="n"/>
      <c r="B219" s="136" t="inlineStr">
        <is>
          <t>ABS 난연</t>
        </is>
      </c>
      <c r="C219" s="137" t="inlineStr">
        <is>
          <t>COCOON</t>
        </is>
      </c>
      <c r="D219" s="143" t="inlineStr">
        <is>
          <t>LOCK INNER</t>
        </is>
      </c>
      <c r="E219" s="13" t="inlineStr">
        <is>
          <t>ABS 난연 화이트</t>
        </is>
      </c>
      <c r="F219" s="100" t="n"/>
      <c r="G219" s="9" t="n"/>
      <c r="H219" s="9" t="inlineStr">
        <is>
          <t>천우</t>
        </is>
      </c>
      <c r="I219" s="14" t="n"/>
      <c r="J219" s="14" t="n"/>
      <c r="K219" s="12" t="n">
        <v>279</v>
      </c>
      <c r="L219" s="9" t="n"/>
      <c r="M219" s="9" t="n"/>
      <c r="N219" s="9" t="n"/>
      <c r="O219" s="40">
        <f>K219+V219-AE219-AZ219</f>
        <v/>
      </c>
      <c r="P219" s="12" t="n"/>
      <c r="Q219" s="138" t="n"/>
      <c r="R219" s="16" t="n"/>
      <c r="S219" s="139" t="n"/>
      <c r="T219" s="16" t="n"/>
      <c r="U219" s="139" t="n"/>
      <c r="V219" s="16">
        <f>P219+R219+T219</f>
        <v/>
      </c>
      <c r="W219" s="16" t="n"/>
      <c r="X219" s="139" t="n"/>
      <c r="Y219" s="16" t="n"/>
      <c r="Z219" s="139" t="n"/>
      <c r="AA219" s="16" t="n"/>
      <c r="AB219" s="139" t="n"/>
      <c r="AC219" s="16" t="n"/>
      <c r="AD219" s="139" t="n"/>
      <c r="AE219" s="16">
        <f>(W219+Y219+AA219+AC219)</f>
        <v/>
      </c>
      <c r="AF219" s="140" t="n"/>
      <c r="AG219" s="138" t="n"/>
      <c r="AH219" s="16" t="n"/>
      <c r="AI219" s="138" t="n"/>
      <c r="AJ219" s="16" t="n"/>
      <c r="AK219" s="138" t="n"/>
      <c r="AL219" s="16" t="n"/>
      <c r="AM219" s="138" t="n"/>
      <c r="AN219" s="16" t="n"/>
      <c r="AO219" s="138" t="n"/>
      <c r="AP219" s="16" t="n"/>
      <c r="AQ219" s="138" t="n"/>
      <c r="AR219" s="16" t="n"/>
      <c r="AS219" s="138" t="n"/>
      <c r="AT219" s="16" t="n"/>
      <c r="AU219" s="138" t="n"/>
      <c r="AV219" s="16" t="n"/>
      <c r="AW219" s="138" t="n"/>
      <c r="AX219" s="16" t="n"/>
      <c r="AY219" s="138" t="n"/>
      <c r="AZ219" s="16">
        <f>AF219+AH219+AJ219+AL219+AN219+AP219+AR219+AT219+AV219+AX219</f>
        <v/>
      </c>
      <c r="BA219" s="16" t="n"/>
      <c r="BB219" s="139" t="n"/>
      <c r="BC219" s="16" t="n"/>
      <c r="BD219" s="139" t="n"/>
      <c r="BE219" s="16">
        <f>(BA219+BC219)</f>
        <v/>
      </c>
    </row>
    <row r="220" ht="22.5" customFormat="1" customHeight="1" s="8">
      <c r="A220" s="9" t="n"/>
      <c r="B220" s="136" t="inlineStr">
        <is>
          <t>ABS 난연</t>
        </is>
      </c>
      <c r="C220" s="137" t="inlineStr">
        <is>
          <t>COCOON</t>
        </is>
      </c>
      <c r="D220" s="145" t="inlineStr">
        <is>
          <t>HAND BODY</t>
        </is>
      </c>
      <c r="E220" s="13" t="inlineStr">
        <is>
          <t>ABS 난연 화이트 + 화이트 유광</t>
        </is>
      </c>
      <c r="F220" s="100" t="n"/>
      <c r="G220" s="9" t="n"/>
      <c r="H220" s="9" t="inlineStr">
        <is>
          <t>천우</t>
        </is>
      </c>
      <c r="I220" s="14" t="n"/>
      <c r="J220" s="14" t="n"/>
      <c r="K220" s="12" t="n">
        <v>0</v>
      </c>
      <c r="L220" s="9" t="n"/>
      <c r="M220" s="9" t="n"/>
      <c r="N220" s="9" t="n"/>
      <c r="O220" s="40">
        <f>K220+V220-AE220-AZ220</f>
        <v/>
      </c>
      <c r="P220" s="12" t="n"/>
      <c r="Q220" s="138" t="n"/>
      <c r="R220" s="16" t="n"/>
      <c r="S220" s="139" t="n"/>
      <c r="T220" s="16" t="n"/>
      <c r="U220" s="139" t="n"/>
      <c r="V220" s="16">
        <f>P220+R220+T220</f>
        <v/>
      </c>
      <c r="W220" s="16" t="n"/>
      <c r="X220" s="139" t="n"/>
      <c r="Y220" s="16" t="n"/>
      <c r="Z220" s="139" t="n"/>
      <c r="AA220" s="16" t="n"/>
      <c r="AB220" s="139" t="n"/>
      <c r="AC220" s="16" t="n"/>
      <c r="AD220" s="139" t="n"/>
      <c r="AE220" s="16">
        <f>(W220+Y220+AA220+AC220)</f>
        <v/>
      </c>
      <c r="AF220" s="140" t="n"/>
      <c r="AG220" s="138" t="n"/>
      <c r="AH220" s="16" t="n"/>
      <c r="AI220" s="138" t="n"/>
      <c r="AJ220" s="16" t="n"/>
      <c r="AK220" s="138" t="n"/>
      <c r="AL220" s="16" t="n"/>
      <c r="AM220" s="138" t="n"/>
      <c r="AN220" s="16" t="n"/>
      <c r="AO220" s="138" t="n"/>
      <c r="AP220" s="16" t="n"/>
      <c r="AQ220" s="138" t="n"/>
      <c r="AR220" s="16" t="n"/>
      <c r="AS220" s="138" t="n"/>
      <c r="AT220" s="16" t="n"/>
      <c r="AU220" s="138" t="n"/>
      <c r="AV220" s="16" t="n"/>
      <c r="AW220" s="138" t="n"/>
      <c r="AX220" s="16" t="n"/>
      <c r="AY220" s="138" t="n"/>
      <c r="AZ220" s="16">
        <f>AF220+AH220+AJ220+AL220+AN220+AP220+AR220+AT220+AV220+AX220</f>
        <v/>
      </c>
      <c r="BA220" s="16" t="n"/>
      <c r="BB220" s="139" t="n"/>
      <c r="BC220" s="16" t="n"/>
      <c r="BD220" s="139" t="n"/>
      <c r="BE220" s="16">
        <f>(BA220+BC220)</f>
        <v/>
      </c>
    </row>
    <row r="221" ht="22.5" customFormat="1" customHeight="1" s="8">
      <c r="A221" s="9" t="n"/>
      <c r="B221" s="136" t="inlineStr">
        <is>
          <t>ABS 난연</t>
        </is>
      </c>
      <c r="C221" s="137" t="inlineStr">
        <is>
          <t>COCOON</t>
        </is>
      </c>
      <c r="D221" s="143" t="inlineStr">
        <is>
          <t>HAND TOP COVER</t>
        </is>
      </c>
      <c r="E221" s="13" t="inlineStr">
        <is>
          <t>ABS 난연 화이트 유광</t>
        </is>
      </c>
      <c r="F221" s="100" t="n"/>
      <c r="G221" s="9" t="n"/>
      <c r="H221" s="9" t="inlineStr">
        <is>
          <t>천우</t>
        </is>
      </c>
      <c r="I221" s="14" t="n"/>
      <c r="J221" s="14" t="n"/>
      <c r="K221" s="12" t="n">
        <v>0</v>
      </c>
      <c r="L221" s="9" t="n"/>
      <c r="M221" s="9" t="n"/>
      <c r="N221" s="9" t="n"/>
      <c r="O221" s="40">
        <f>K221+V221-AE221-AZ221</f>
        <v/>
      </c>
      <c r="P221" s="12" t="n"/>
      <c r="Q221" s="138" t="n"/>
      <c r="R221" s="16" t="n"/>
      <c r="S221" s="139" t="n"/>
      <c r="T221" s="16" t="n"/>
      <c r="U221" s="139" t="n"/>
      <c r="V221" s="16">
        <f>P221+R221+T221</f>
        <v/>
      </c>
      <c r="W221" s="16" t="n"/>
      <c r="X221" s="139" t="n"/>
      <c r="Y221" s="16" t="n"/>
      <c r="Z221" s="139" t="n"/>
      <c r="AA221" s="16" t="n"/>
      <c r="AB221" s="139" t="n"/>
      <c r="AC221" s="16" t="n"/>
      <c r="AD221" s="139" t="n"/>
      <c r="AE221" s="16">
        <f>(W221+Y221+AA221+AC221)</f>
        <v/>
      </c>
      <c r="AF221" s="140" t="n"/>
      <c r="AG221" s="138" t="n"/>
      <c r="AH221" s="16" t="n"/>
      <c r="AI221" s="138" t="n"/>
      <c r="AJ221" s="16" t="n"/>
      <c r="AK221" s="138" t="n"/>
      <c r="AL221" s="16" t="n"/>
      <c r="AM221" s="138" t="n"/>
      <c r="AN221" s="16" t="n"/>
      <c r="AO221" s="138" t="n"/>
      <c r="AP221" s="16" t="n"/>
      <c r="AQ221" s="138" t="n"/>
      <c r="AR221" s="16" t="n"/>
      <c r="AS221" s="138" t="n"/>
      <c r="AT221" s="16" t="n"/>
      <c r="AU221" s="138" t="n"/>
      <c r="AV221" s="16" t="n"/>
      <c r="AW221" s="138" t="n"/>
      <c r="AX221" s="16" t="n"/>
      <c r="AY221" s="138" t="n"/>
      <c r="AZ221" s="16">
        <f>AF221+AH221+AJ221+AL221+AN221+AP221+AR221+AT221+AV221+AX221</f>
        <v/>
      </c>
      <c r="BA221" s="16" t="n"/>
      <c r="BB221" s="139" t="n"/>
      <c r="BC221" s="16" t="n"/>
      <c r="BD221" s="139" t="n"/>
      <c r="BE221" s="16">
        <f>(BA221+BC221)</f>
        <v/>
      </c>
    </row>
    <row r="222" ht="22.5" customFormat="1" customHeight="1" s="8">
      <c r="A222" s="9" t="n"/>
      <c r="B222" s="136" t="inlineStr">
        <is>
          <t>ABS 난연</t>
        </is>
      </c>
      <c r="C222" s="137" t="inlineStr">
        <is>
          <t>COCOON</t>
        </is>
      </c>
      <c r="D222" s="143" t="inlineStr">
        <is>
          <t>BAT BOTTOM</t>
        </is>
      </c>
      <c r="E222" s="13" t="inlineStr">
        <is>
          <t>ABS 난연 블랙 + 블랙 무광</t>
        </is>
      </c>
      <c r="F222" s="100" t="n"/>
      <c r="G222" s="9" t="n"/>
      <c r="H222" s="9" t="inlineStr">
        <is>
          <t>천우</t>
        </is>
      </c>
      <c r="I222" s="14" t="n"/>
      <c r="J222" s="14" t="n"/>
      <c r="K222" s="12" t="n">
        <v>49</v>
      </c>
      <c r="L222" s="9" t="n"/>
      <c r="M222" s="9" t="n"/>
      <c r="N222" s="9" t="n"/>
      <c r="O222" s="40">
        <f>K222+V222-AE222-AZ222</f>
        <v/>
      </c>
      <c r="P222" s="12" t="n"/>
      <c r="Q222" s="138" t="n"/>
      <c r="R222" s="16" t="n"/>
      <c r="S222" s="139" t="n"/>
      <c r="T222" s="16" t="n"/>
      <c r="U222" s="139" t="n"/>
      <c r="V222" s="16">
        <f>P222+R222+T222</f>
        <v/>
      </c>
      <c r="W222" s="16" t="n"/>
      <c r="X222" s="139" t="n"/>
      <c r="Y222" s="16" t="n"/>
      <c r="Z222" s="139" t="n"/>
      <c r="AA222" s="16" t="n"/>
      <c r="AB222" s="139" t="n"/>
      <c r="AC222" s="16" t="n"/>
      <c r="AD222" s="139" t="n"/>
      <c r="AE222" s="16">
        <f>(W222+Y222+AA222+AC222)</f>
        <v/>
      </c>
      <c r="AF222" s="140" t="n"/>
      <c r="AG222" s="138" t="n"/>
      <c r="AH222" s="16" t="n"/>
      <c r="AI222" s="138" t="n"/>
      <c r="AJ222" s="16" t="n"/>
      <c r="AK222" s="138" t="n"/>
      <c r="AL222" s="16" t="n"/>
      <c r="AM222" s="138" t="n"/>
      <c r="AN222" s="16" t="n"/>
      <c r="AO222" s="138" t="n"/>
      <c r="AP222" s="16" t="n"/>
      <c r="AQ222" s="138" t="n"/>
      <c r="AR222" s="16" t="n"/>
      <c r="AS222" s="138" t="n"/>
      <c r="AT222" s="16" t="n"/>
      <c r="AU222" s="138" t="n"/>
      <c r="AV222" s="16" t="n"/>
      <c r="AW222" s="138" t="n"/>
      <c r="AX222" s="16" t="n"/>
      <c r="AY222" s="138" t="n"/>
      <c r="AZ222" s="16">
        <f>AF222+AH222+AJ222+AL222+AN222+AP222+AR222+AT222+AV222+AX222</f>
        <v/>
      </c>
      <c r="BA222" s="16" t="n"/>
      <c r="BB222" s="139" t="n"/>
      <c r="BC222" s="16" t="n"/>
      <c r="BD222" s="139" t="n"/>
      <c r="BE222" s="16">
        <f>(BA222+BC222)</f>
        <v/>
      </c>
    </row>
    <row r="223" ht="22.5" customFormat="1" customHeight="1" s="8">
      <c r="A223" s="9" t="n"/>
      <c r="B223" s="141" t="inlineStr">
        <is>
          <t>PCB</t>
        </is>
      </c>
      <c r="C223" s="137" t="inlineStr">
        <is>
          <t>SOLO</t>
        </is>
      </c>
      <c r="D223" s="70" t="inlineStr">
        <is>
          <t>CTR _BD</t>
        </is>
      </c>
      <c r="E223" s="36" t="n"/>
      <c r="F223" s="100" t="n"/>
      <c r="G223" s="22" t="n"/>
      <c r="H223" s="22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40">
        <f>K223+V223-AE223-AZ223</f>
        <v/>
      </c>
      <c r="P223" s="12" t="n"/>
      <c r="Q223" s="138" t="n"/>
      <c r="R223" s="16" t="n"/>
      <c r="S223" s="139" t="n"/>
      <c r="T223" s="16" t="n"/>
      <c r="U223" s="139" t="n"/>
      <c r="V223" s="16">
        <f>P223+R223+T223</f>
        <v/>
      </c>
      <c r="W223" s="16" t="n"/>
      <c r="X223" s="139" t="n"/>
      <c r="Y223" s="16" t="n"/>
      <c r="Z223" s="139" t="n"/>
      <c r="AA223" s="16" t="n"/>
      <c r="AB223" s="139" t="n"/>
      <c r="AC223" s="16" t="n"/>
      <c r="AD223" s="139" t="n"/>
      <c r="AE223" s="16">
        <f>(W223+Y223+AA223+AC223)</f>
        <v/>
      </c>
      <c r="AF223" s="140" t="n"/>
      <c r="AG223" s="138" t="n"/>
      <c r="AH223" s="16" t="n"/>
      <c r="AI223" s="138" t="n"/>
      <c r="AJ223" s="16" t="n"/>
      <c r="AK223" s="138" t="n"/>
      <c r="AL223" s="16" t="n"/>
      <c r="AM223" s="138" t="n"/>
      <c r="AN223" s="16" t="n"/>
      <c r="AO223" s="138" t="n"/>
      <c r="AP223" s="16" t="n"/>
      <c r="AQ223" s="138" t="n"/>
      <c r="AR223" s="16" t="n"/>
      <c r="AS223" s="138" t="n"/>
      <c r="AT223" s="16" t="n"/>
      <c r="AU223" s="138" t="n"/>
      <c r="AV223" s="16" t="n"/>
      <c r="AW223" s="138" t="n"/>
      <c r="AX223" s="16" t="n"/>
      <c r="AY223" s="138" t="n"/>
      <c r="AZ223" s="16">
        <f>AF223+AH223+AJ223+AL223+AN223+AP223+AR223+AT223+AV223+AX223</f>
        <v/>
      </c>
      <c r="BA223" s="16" t="n"/>
      <c r="BB223" s="139" t="n"/>
      <c r="BC223" s="16" t="n"/>
      <c r="BD223" s="139" t="n"/>
      <c r="BE223" s="16">
        <f>(BA223+BC223)</f>
        <v/>
      </c>
    </row>
    <row r="224" ht="22.5" customFormat="1" customHeight="1" s="8">
      <c r="A224" s="9" t="n"/>
      <c r="B224" s="141" t="inlineStr">
        <is>
          <t>PCB</t>
        </is>
      </c>
      <c r="C224" s="137" t="inlineStr">
        <is>
          <t>SOLO</t>
        </is>
      </c>
      <c r="D224" s="62" t="inlineStr">
        <is>
          <t>OP_BD</t>
        </is>
      </c>
      <c r="E224" s="36" t="n"/>
      <c r="F224" s="100" t="n"/>
      <c r="G224" s="22" t="n"/>
      <c r="H224" s="22" t="inlineStr">
        <is>
          <t>HLP</t>
        </is>
      </c>
      <c r="I224" s="14" t="n"/>
      <c r="J224" s="14" t="n"/>
      <c r="K224" s="12" t="n">
        <v>0</v>
      </c>
      <c r="L224" s="9" t="n"/>
      <c r="M224" s="9" t="n"/>
      <c r="N224" s="9" t="n"/>
      <c r="O224" s="40">
        <f>K224+V224-AE224-AZ224</f>
        <v/>
      </c>
      <c r="P224" s="12" t="n"/>
      <c r="Q224" s="138" t="n"/>
      <c r="R224" s="16" t="n"/>
      <c r="S224" s="139" t="n"/>
      <c r="T224" s="16" t="n"/>
      <c r="U224" s="139" t="n"/>
      <c r="V224" s="16">
        <f>P224+R224+T224</f>
        <v/>
      </c>
      <c r="W224" s="16" t="n"/>
      <c r="X224" s="139" t="n"/>
      <c r="Y224" s="16" t="n"/>
      <c r="Z224" s="139" t="n"/>
      <c r="AA224" s="16" t="n"/>
      <c r="AB224" s="139" t="n"/>
      <c r="AC224" s="16" t="n"/>
      <c r="AD224" s="139" t="n"/>
      <c r="AE224" s="16">
        <f>(W224+Y224+AA224+AC224)</f>
        <v/>
      </c>
      <c r="AF224" s="140" t="n"/>
      <c r="AG224" s="138" t="n"/>
      <c r="AH224" s="16" t="n"/>
      <c r="AI224" s="138" t="n"/>
      <c r="AJ224" s="16" t="n"/>
      <c r="AK224" s="138" t="n"/>
      <c r="AL224" s="16" t="n"/>
      <c r="AM224" s="138" t="n"/>
      <c r="AN224" s="16" t="n"/>
      <c r="AO224" s="138" t="n"/>
      <c r="AP224" s="16" t="n"/>
      <c r="AQ224" s="138" t="n"/>
      <c r="AR224" s="16" t="n"/>
      <c r="AS224" s="138" t="n"/>
      <c r="AT224" s="16" t="n"/>
      <c r="AU224" s="138" t="n"/>
      <c r="AV224" s="16" t="n"/>
      <c r="AW224" s="138" t="n"/>
      <c r="AX224" s="16" t="n"/>
      <c r="AY224" s="138" t="n"/>
      <c r="AZ224" s="16">
        <f>AF224+AH224+AJ224+AL224+AN224+AP224+AR224+AT224+AV224+AX224</f>
        <v/>
      </c>
      <c r="BA224" s="16" t="n"/>
      <c r="BB224" s="139" t="n"/>
      <c r="BC224" s="16" t="n"/>
      <c r="BD224" s="139" t="n"/>
      <c r="BE224" s="16">
        <f>(BA224+BC224)</f>
        <v/>
      </c>
    </row>
    <row r="225" ht="22.5" customFormat="1" customHeight="1" s="8">
      <c r="A225" s="9" t="n"/>
      <c r="B225" s="136" t="inlineStr">
        <is>
          <t>PCB</t>
        </is>
      </c>
      <c r="C225" s="137" t="inlineStr">
        <is>
          <t>SOLO</t>
        </is>
      </c>
      <c r="D225" s="145" t="inlineStr">
        <is>
          <t>POWER_BD</t>
        </is>
      </c>
      <c r="E225" s="13" t="n"/>
      <c r="F225" s="100" t="n"/>
      <c r="G225" s="9" t="n"/>
      <c r="H225" s="9" t="inlineStr">
        <is>
          <t>HLP</t>
        </is>
      </c>
      <c r="I225" s="14" t="n"/>
      <c r="J225" s="14" t="n"/>
      <c r="K225" s="12" t="n">
        <v>62</v>
      </c>
      <c r="L225" s="9" t="n"/>
      <c r="M225" s="9" t="n"/>
      <c r="N225" s="9" t="n"/>
      <c r="O225" s="40">
        <f>K225+V225-AE225-AZ225</f>
        <v/>
      </c>
      <c r="P225" s="12" t="n"/>
      <c r="Q225" s="138" t="n"/>
      <c r="R225" s="16" t="n"/>
      <c r="S225" s="139" t="n"/>
      <c r="T225" s="16" t="n"/>
      <c r="U225" s="139" t="n"/>
      <c r="V225" s="16">
        <f>P225+R225+T225</f>
        <v/>
      </c>
      <c r="W225" s="16" t="n"/>
      <c r="X225" s="139" t="n"/>
      <c r="Y225" s="16" t="n"/>
      <c r="Z225" s="139" t="n"/>
      <c r="AA225" s="16" t="n"/>
      <c r="AB225" s="139" t="n"/>
      <c r="AC225" s="16" t="n"/>
      <c r="AD225" s="139" t="n"/>
      <c r="AE225" s="16">
        <f>(W225+Y225+AA225+AC225)</f>
        <v/>
      </c>
      <c r="AF225" s="140" t="n"/>
      <c r="AG225" s="138" t="n"/>
      <c r="AH225" s="16" t="n"/>
      <c r="AI225" s="138" t="n"/>
      <c r="AJ225" s="16" t="n"/>
      <c r="AK225" s="138" t="n"/>
      <c r="AL225" s="16" t="n"/>
      <c r="AM225" s="138" t="n"/>
      <c r="AN225" s="16" t="n"/>
      <c r="AO225" s="138" t="n"/>
      <c r="AP225" s="16" t="n"/>
      <c r="AQ225" s="138" t="n"/>
      <c r="AR225" s="16" t="n"/>
      <c r="AS225" s="138" t="n"/>
      <c r="AT225" s="16" t="n"/>
      <c r="AU225" s="138" t="n"/>
      <c r="AV225" s="16" t="n"/>
      <c r="AW225" s="138" t="n"/>
      <c r="AX225" s="16" t="n"/>
      <c r="AY225" s="138" t="n"/>
      <c r="AZ225" s="16">
        <f>AF225+AH225+AJ225+AL225+AN225+AP225+AR225+AT225+AV225+AX225</f>
        <v/>
      </c>
      <c r="BA225" s="16" t="n"/>
      <c r="BB225" s="139" t="n"/>
      <c r="BC225" s="16" t="n"/>
      <c r="BD225" s="139" t="n"/>
      <c r="BE225" s="16">
        <f>(BA225+BC225)</f>
        <v/>
      </c>
    </row>
    <row r="226" ht="22.5" customFormat="1" customHeight="1" s="8">
      <c r="A226" s="9" t="n"/>
      <c r="B226" s="136" t="inlineStr">
        <is>
          <t>PCB</t>
        </is>
      </c>
      <c r="C226" s="137" t="inlineStr">
        <is>
          <t>SOLO</t>
        </is>
      </c>
      <c r="D226" s="82" t="inlineStr">
        <is>
          <t>MAIN_BD</t>
        </is>
      </c>
      <c r="E226" s="13" t="n"/>
      <c r="F226" s="100" t="n"/>
      <c r="G226" s="9" t="n"/>
      <c r="H226" s="9" t="inlineStr">
        <is>
          <t>HLP</t>
        </is>
      </c>
      <c r="I226" s="14" t="n"/>
      <c r="J226" s="14" t="n"/>
      <c r="K226" s="12" t="n">
        <v>0</v>
      </c>
      <c r="L226" s="9" t="n"/>
      <c r="M226" s="9" t="n"/>
      <c r="N226" s="9" t="n"/>
      <c r="O226" s="40">
        <f>K226+V226-AE226-AZ226</f>
        <v/>
      </c>
      <c r="P226" s="12" t="n"/>
      <c r="Q226" s="138" t="n"/>
      <c r="R226" s="16" t="n"/>
      <c r="S226" s="139" t="n"/>
      <c r="T226" s="16" t="n"/>
      <c r="U226" s="139" t="n"/>
      <c r="V226" s="16">
        <f>P226+R226+T226</f>
        <v/>
      </c>
      <c r="W226" s="16" t="n"/>
      <c r="X226" s="139" t="n"/>
      <c r="Y226" s="16" t="n"/>
      <c r="Z226" s="139" t="n"/>
      <c r="AA226" s="16" t="n"/>
      <c r="AB226" s="139" t="n"/>
      <c r="AC226" s="16" t="n"/>
      <c r="AD226" s="139" t="n"/>
      <c r="AE226" s="16">
        <f>(W226+Y226+AA226+AC226)</f>
        <v/>
      </c>
      <c r="AF226" s="140" t="n"/>
      <c r="AG226" s="138" t="n"/>
      <c r="AH226" s="16" t="n"/>
      <c r="AI226" s="138" t="n"/>
      <c r="AJ226" s="16" t="n"/>
      <c r="AK226" s="138" t="n"/>
      <c r="AL226" s="16" t="n"/>
      <c r="AM226" s="138" t="n"/>
      <c r="AN226" s="16" t="n"/>
      <c r="AO226" s="138" t="n"/>
      <c r="AP226" s="16" t="n"/>
      <c r="AQ226" s="138" t="n"/>
      <c r="AR226" s="16" t="n"/>
      <c r="AS226" s="138" t="n"/>
      <c r="AT226" s="16" t="n"/>
      <c r="AU226" s="138" t="n"/>
      <c r="AV226" s="16" t="n"/>
      <c r="AW226" s="138" t="n"/>
      <c r="AX226" s="16" t="n"/>
      <c r="AY226" s="138" t="n"/>
      <c r="AZ226" s="16">
        <f>AF226+AH226+AJ226+AL226+AN226+AP226+AR226+AT226+AV226+AX226</f>
        <v/>
      </c>
      <c r="BA226" s="16" t="n"/>
      <c r="BB226" s="139" t="n"/>
      <c r="BC226" s="16" t="n"/>
      <c r="BD226" s="139" t="n"/>
      <c r="BE226" s="16">
        <f>(BA226+BC226)</f>
        <v/>
      </c>
    </row>
    <row r="227" ht="22.5" customFormat="1" customHeight="1" s="8">
      <c r="A227" s="9" t="n"/>
      <c r="B227" s="136" t="inlineStr">
        <is>
          <t>PCB</t>
        </is>
      </c>
      <c r="C227" s="137" t="inlineStr">
        <is>
          <t>SOLO</t>
        </is>
      </c>
      <c r="D227" s="82" t="inlineStr">
        <is>
          <t>리모콘_BD</t>
        </is>
      </c>
      <c r="E227" s="13" t="n"/>
      <c r="F227" s="100" t="n"/>
      <c r="G227" s="9" t="n"/>
      <c r="H227" s="9" t="inlineStr">
        <is>
          <t>HLP</t>
        </is>
      </c>
      <c r="I227" s="14" t="n"/>
      <c r="J227" s="14" t="n"/>
      <c r="K227" s="12" t="n">
        <v>68</v>
      </c>
      <c r="L227" s="9" t="n"/>
      <c r="M227" s="9" t="n"/>
      <c r="N227" s="9" t="n"/>
      <c r="O227" s="40">
        <f>K227+V227-AE227-AZ227</f>
        <v/>
      </c>
      <c r="P227" s="12" t="n"/>
      <c r="Q227" s="138" t="n"/>
      <c r="R227" s="16" t="n"/>
      <c r="S227" s="139" t="n"/>
      <c r="T227" s="16" t="n"/>
      <c r="U227" s="139" t="n"/>
      <c r="V227" s="16">
        <f>P227+R227+T227</f>
        <v/>
      </c>
      <c r="W227" s="16" t="n"/>
      <c r="X227" s="139" t="n"/>
      <c r="Y227" s="16" t="n"/>
      <c r="Z227" s="139" t="n"/>
      <c r="AA227" s="16" t="n"/>
      <c r="AB227" s="139" t="n"/>
      <c r="AC227" s="16" t="n"/>
      <c r="AD227" s="139" t="n"/>
      <c r="AE227" s="16">
        <f>(W227+Y227+AA227+AC227)</f>
        <v/>
      </c>
      <c r="AF227" s="140" t="n"/>
      <c r="AG227" s="138" t="n"/>
      <c r="AH227" s="16" t="n"/>
      <c r="AI227" s="138" t="n"/>
      <c r="AJ227" s="16" t="n"/>
      <c r="AK227" s="138" t="n"/>
      <c r="AL227" s="16" t="n"/>
      <c r="AM227" s="138" t="n"/>
      <c r="AN227" s="16" t="n"/>
      <c r="AO227" s="138" t="n"/>
      <c r="AP227" s="16" t="n"/>
      <c r="AQ227" s="138" t="n"/>
      <c r="AR227" s="16" t="n"/>
      <c r="AS227" s="138" t="n"/>
      <c r="AT227" s="16" t="n"/>
      <c r="AU227" s="138" t="n"/>
      <c r="AV227" s="16" t="n"/>
      <c r="AW227" s="138" t="n"/>
      <c r="AX227" s="16" t="n"/>
      <c r="AY227" s="138" t="n"/>
      <c r="AZ227" s="16">
        <f>AF227+AH227+AJ227+AL227+AN227+AP227+AR227+AT227+AV227+AX227</f>
        <v/>
      </c>
      <c r="BA227" s="16" t="n"/>
      <c r="BB227" s="139" t="n"/>
      <c r="BC227" s="16" t="n"/>
      <c r="BD227" s="139" t="n"/>
      <c r="BE227" s="16">
        <f>(BA227+BC227)</f>
        <v/>
      </c>
    </row>
    <row r="228" ht="22.5" customFormat="1" customHeight="1" s="8">
      <c r="A228" s="9" t="n"/>
      <c r="B228" s="136" t="inlineStr">
        <is>
          <t>PCB</t>
        </is>
      </c>
      <c r="C228" s="137" t="inlineStr">
        <is>
          <t>SOLO</t>
        </is>
      </c>
      <c r="D228" s="82" t="inlineStr">
        <is>
          <t>EXP_BD</t>
        </is>
      </c>
      <c r="E228" s="13" t="n"/>
      <c r="F228" s="100" t="n"/>
      <c r="G228" s="9" t="n"/>
      <c r="H228" s="9" t="inlineStr">
        <is>
          <t>HLP</t>
        </is>
      </c>
      <c r="I228" s="14" t="n"/>
      <c r="J228" s="14" t="n"/>
      <c r="K228" s="12" t="n">
        <v>0</v>
      </c>
      <c r="L228" s="9" t="n"/>
      <c r="M228" s="9" t="n"/>
      <c r="N228" s="9" t="n"/>
      <c r="O228" s="40">
        <f>K228+V228-AE228-AZ228</f>
        <v/>
      </c>
      <c r="P228" s="12" t="n"/>
      <c r="Q228" s="138" t="n"/>
      <c r="R228" s="16" t="n"/>
      <c r="S228" s="139" t="n"/>
      <c r="T228" s="16" t="n"/>
      <c r="U228" s="139" t="n"/>
      <c r="V228" s="16">
        <f>P228+R228+T228</f>
        <v/>
      </c>
      <c r="W228" s="16" t="n"/>
      <c r="X228" s="139" t="n"/>
      <c r="Y228" s="16" t="n"/>
      <c r="Z228" s="139" t="n"/>
      <c r="AA228" s="16" t="n"/>
      <c r="AB228" s="139" t="n"/>
      <c r="AC228" s="16" t="n"/>
      <c r="AD228" s="139" t="n"/>
      <c r="AE228" s="16">
        <f>(W228+Y228+AA228+AC228)</f>
        <v/>
      </c>
      <c r="AF228" s="140" t="n"/>
      <c r="AG228" s="138" t="n"/>
      <c r="AH228" s="16" t="n"/>
      <c r="AI228" s="138" t="n"/>
      <c r="AJ228" s="16" t="n"/>
      <c r="AK228" s="138" t="n"/>
      <c r="AL228" s="16" t="n"/>
      <c r="AM228" s="138" t="n"/>
      <c r="AN228" s="16" t="n"/>
      <c r="AO228" s="138" t="n"/>
      <c r="AP228" s="16" t="n"/>
      <c r="AQ228" s="138" t="n"/>
      <c r="AR228" s="16" t="n"/>
      <c r="AS228" s="138" t="n"/>
      <c r="AT228" s="16" t="n"/>
      <c r="AU228" s="138" t="n"/>
      <c r="AV228" s="16" t="n"/>
      <c r="AW228" s="138" t="n"/>
      <c r="AX228" s="16" t="n"/>
      <c r="AY228" s="138" t="n"/>
      <c r="AZ228" s="16">
        <f>AF228+AH228+AJ228+AL228+AN228+AP228+AR228+AT228+AV228+AX228</f>
        <v/>
      </c>
      <c r="BA228" s="16" t="n"/>
      <c r="BB228" s="139" t="n"/>
      <c r="BC228" s="16" t="n"/>
      <c r="BD228" s="139" t="n"/>
      <c r="BE228" s="16">
        <f>(BA228+BC228)</f>
        <v/>
      </c>
    </row>
    <row r="229" ht="22.5" customFormat="1" customHeight="1" s="8">
      <c r="A229" s="9" t="n"/>
      <c r="B229" s="136" t="inlineStr">
        <is>
          <t>PCB</t>
        </is>
      </c>
      <c r="C229" s="137" t="inlineStr">
        <is>
          <t>SOLO</t>
        </is>
      </c>
      <c r="D229" s="82" t="inlineStr">
        <is>
          <t>BATCON_BD</t>
        </is>
      </c>
      <c r="E229" s="13" t="n"/>
      <c r="F229" s="100" t="n"/>
      <c r="G229" s="9" t="n"/>
      <c r="H229" s="9" t="inlineStr">
        <is>
          <t>HLP</t>
        </is>
      </c>
      <c r="I229" s="14" t="n"/>
      <c r="J229" s="14" t="n"/>
      <c r="K229" s="12" t="n">
        <v>31</v>
      </c>
      <c r="L229" s="9" t="n"/>
      <c r="M229" s="9" t="n"/>
      <c r="N229" s="9" t="n"/>
      <c r="O229" s="40">
        <f>K229+V229-AE229-AZ229</f>
        <v/>
      </c>
      <c r="P229" s="12" t="n"/>
      <c r="Q229" s="138" t="n"/>
      <c r="R229" s="16" t="n"/>
      <c r="S229" s="139" t="n"/>
      <c r="T229" s="16" t="n"/>
      <c r="U229" s="139" t="n"/>
      <c r="V229" s="16">
        <f>P229+R229+T229</f>
        <v/>
      </c>
      <c r="W229" s="16" t="n"/>
      <c r="X229" s="139" t="n"/>
      <c r="Y229" s="16" t="n"/>
      <c r="Z229" s="139" t="n"/>
      <c r="AA229" s="16" t="n"/>
      <c r="AB229" s="139" t="n"/>
      <c r="AC229" s="16" t="n"/>
      <c r="AD229" s="139" t="n"/>
      <c r="AE229" s="16">
        <f>(W229+Y229+AA229+AC229)</f>
        <v/>
      </c>
      <c r="AF229" s="140" t="n"/>
      <c r="AG229" s="138" t="n"/>
      <c r="AH229" s="16" t="n"/>
      <c r="AI229" s="138" t="n"/>
      <c r="AJ229" s="16" t="n"/>
      <c r="AK229" s="138" t="n"/>
      <c r="AL229" s="16" t="n"/>
      <c r="AM229" s="138" t="n"/>
      <c r="AN229" s="16" t="n"/>
      <c r="AO229" s="138" t="n"/>
      <c r="AP229" s="16" t="n"/>
      <c r="AQ229" s="138" t="n"/>
      <c r="AR229" s="16" t="n"/>
      <c r="AS229" s="138" t="n"/>
      <c r="AT229" s="16" t="n"/>
      <c r="AU229" s="138" t="n"/>
      <c r="AV229" s="16" t="n"/>
      <c r="AW229" s="138" t="n"/>
      <c r="AX229" s="16" t="n"/>
      <c r="AY229" s="138" t="n"/>
      <c r="AZ229" s="16">
        <f>AF229+AH229+AJ229+AL229+AN229+AP229+AR229+AT229+AV229+AX229</f>
        <v/>
      </c>
      <c r="BA229" s="16" t="n"/>
      <c r="BB229" s="139" t="n"/>
      <c r="BC229" s="16" t="n"/>
      <c r="BD229" s="139" t="n"/>
      <c r="BE229" s="16">
        <f>(BA229+BC229)</f>
        <v/>
      </c>
    </row>
    <row r="230" ht="22.5" customFormat="1" customHeight="1" s="8">
      <c r="A230" s="9" t="n"/>
      <c r="B230" s="136" t="inlineStr">
        <is>
          <t>CABLE</t>
        </is>
      </c>
      <c r="C230" s="142" t="inlineStr">
        <is>
          <t>SOLO</t>
        </is>
      </c>
      <c r="D230" s="83" t="inlineStr">
        <is>
          <t>SOLO 하네스 1번</t>
        </is>
      </c>
      <c r="E230" s="13" t="inlineStr">
        <is>
          <t>12505HS-12 (PowerBD - OP 12핀)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616</v>
      </c>
      <c r="L230" s="9" t="n"/>
      <c r="M230" s="9" t="n"/>
      <c r="N230" s="9" t="n"/>
      <c r="O230" s="40">
        <f>K230+V230-AE230-AZ230</f>
        <v/>
      </c>
      <c r="P230" s="12" t="n"/>
      <c r="Q230" s="138" t="n"/>
      <c r="R230" s="16" t="n"/>
      <c r="S230" s="139" t="n"/>
      <c r="T230" s="16" t="n"/>
      <c r="U230" s="139" t="n"/>
      <c r="V230" s="16">
        <f>P230+R230+T230</f>
        <v/>
      </c>
      <c r="W230" s="16" t="n"/>
      <c r="X230" s="139" t="n"/>
      <c r="Y230" s="16" t="n"/>
      <c r="Z230" s="139" t="n"/>
      <c r="AA230" s="16" t="n"/>
      <c r="AB230" s="139" t="n"/>
      <c r="AC230" s="16" t="n"/>
      <c r="AD230" s="139" t="n"/>
      <c r="AE230" s="16">
        <f>(W230+Y230+AA230+AC230)</f>
        <v/>
      </c>
      <c r="AF230" s="140" t="n"/>
      <c r="AG230" s="138" t="n"/>
      <c r="AH230" s="16" t="n"/>
      <c r="AI230" s="138" t="n"/>
      <c r="AJ230" s="16" t="n"/>
      <c r="AK230" s="138" t="n"/>
      <c r="AL230" s="16" t="n"/>
      <c r="AM230" s="138" t="n"/>
      <c r="AN230" s="16" t="n"/>
      <c r="AO230" s="138" t="n"/>
      <c r="AP230" s="16" t="n"/>
      <c r="AQ230" s="138" t="n"/>
      <c r="AR230" s="16" t="n"/>
      <c r="AS230" s="138" t="n"/>
      <c r="AT230" s="16" t="n"/>
      <c r="AU230" s="138" t="n"/>
      <c r="AV230" s="16" t="n"/>
      <c r="AW230" s="138" t="n"/>
      <c r="AX230" s="16" t="n"/>
      <c r="AY230" s="138" t="n"/>
      <c r="AZ230" s="16">
        <f>AF230+AH230+AJ230+AL230+AN230+AP230+AR230+AT230+AV230+AX230</f>
        <v/>
      </c>
      <c r="BA230" s="16" t="n"/>
      <c r="BB230" s="139" t="n"/>
      <c r="BC230" s="16" t="n"/>
      <c r="BD230" s="139" t="n"/>
      <c r="BE230" s="16">
        <f>(BA230+BC230)</f>
        <v/>
      </c>
    </row>
    <row r="231" ht="22.5" customFormat="1" customHeight="1" s="8">
      <c r="A231" s="9" t="n"/>
      <c r="B231" s="136" t="inlineStr">
        <is>
          <t>CABLE</t>
        </is>
      </c>
      <c r="C231" s="142" t="inlineStr">
        <is>
          <t>SOLO</t>
        </is>
      </c>
      <c r="D231" s="83" t="inlineStr">
        <is>
          <t>SOLO 하네스 2번</t>
        </is>
      </c>
      <c r="E231" s="13" t="inlineStr">
        <is>
          <t>12505HS-03 Battery-Handle bridge 3핀</t>
        </is>
      </c>
      <c r="F231" s="12" t="n"/>
      <c r="G231" s="9" t="n"/>
      <c r="H231" s="9" t="inlineStr">
        <is>
          <t>HLP</t>
        </is>
      </c>
      <c r="I231" s="14" t="n"/>
      <c r="J231" s="14" t="n"/>
      <c r="K231" s="12" t="n">
        <v>73</v>
      </c>
      <c r="L231" s="9" t="n"/>
      <c r="M231" s="9" t="n"/>
      <c r="N231" s="9" t="n"/>
      <c r="O231" s="40">
        <f>K231+V231-AE231-AZ231</f>
        <v/>
      </c>
      <c r="P231" s="12" t="n"/>
      <c r="Q231" s="138" t="n"/>
      <c r="R231" s="16" t="n"/>
      <c r="S231" s="139" t="n"/>
      <c r="T231" s="16" t="n"/>
      <c r="U231" s="139" t="n"/>
      <c r="V231" s="16">
        <f>P231+R231+T231</f>
        <v/>
      </c>
      <c r="W231" s="16" t="n"/>
      <c r="X231" s="139" t="n"/>
      <c r="Y231" s="16" t="n"/>
      <c r="Z231" s="139" t="n"/>
      <c r="AA231" s="16" t="n"/>
      <c r="AB231" s="139" t="n"/>
      <c r="AC231" s="16" t="n"/>
      <c r="AD231" s="139" t="n"/>
      <c r="AE231" s="16">
        <f>(W231+Y231+AA231+AC231)</f>
        <v/>
      </c>
      <c r="AF231" s="140" t="n"/>
      <c r="AG231" s="138" t="n"/>
      <c r="AH231" s="16" t="n"/>
      <c r="AI231" s="138" t="n"/>
      <c r="AJ231" s="16" t="n"/>
      <c r="AK231" s="138" t="n"/>
      <c r="AL231" s="16" t="n"/>
      <c r="AM231" s="138" t="n"/>
      <c r="AN231" s="16" t="n"/>
      <c r="AO231" s="138" t="n"/>
      <c r="AP231" s="16" t="n"/>
      <c r="AQ231" s="138" t="n"/>
      <c r="AR231" s="16" t="n"/>
      <c r="AS231" s="138" t="n"/>
      <c r="AT231" s="16" t="n"/>
      <c r="AU231" s="138" t="n"/>
      <c r="AV231" s="16" t="n"/>
      <c r="AW231" s="138" t="n"/>
      <c r="AX231" s="16" t="n"/>
      <c r="AY231" s="138" t="n"/>
      <c r="AZ231" s="16">
        <f>AF231+AH231+AJ231+AL231+AN231+AP231+AR231+AT231+AV231+AX231</f>
        <v/>
      </c>
      <c r="BA231" s="16" t="n"/>
      <c r="BB231" s="139" t="n"/>
      <c r="BC231" s="16" t="n"/>
      <c r="BD231" s="139" t="n"/>
      <c r="BE231" s="16">
        <f>(BA231+BC231)</f>
        <v/>
      </c>
    </row>
    <row r="232" ht="22.5" customFormat="1" customHeight="1" s="8">
      <c r="A232" s="9" t="n"/>
      <c r="B232" s="136" t="inlineStr">
        <is>
          <t>CABLE</t>
        </is>
      </c>
      <c r="C232" s="142" t="inlineStr">
        <is>
          <t>SOLO</t>
        </is>
      </c>
      <c r="D232" s="83" t="inlineStr">
        <is>
          <t>SOLO 하네스 3번</t>
        </is>
      </c>
      <c r="E232" s="13" t="inlineStr">
        <is>
          <t>0.5 * 40 * 100 * B (FFC 40핀)</t>
        </is>
      </c>
      <c r="F232" s="12" t="n"/>
      <c r="G232" s="9" t="n"/>
      <c r="H232" s="9" t="inlineStr">
        <is>
          <t>HLP</t>
        </is>
      </c>
      <c r="I232" s="14" t="n"/>
      <c r="J232" s="14" t="n"/>
      <c r="K232" s="12" t="n">
        <v>227</v>
      </c>
      <c r="L232" s="9" t="n"/>
      <c r="M232" s="9" t="n"/>
      <c r="N232" s="9" t="n"/>
      <c r="O232" s="40">
        <f>K232+V232-AE232-AZ232</f>
        <v/>
      </c>
      <c r="P232" s="12" t="n"/>
      <c r="Q232" s="138" t="n"/>
      <c r="R232" s="16" t="n"/>
      <c r="S232" s="139" t="n"/>
      <c r="T232" s="16" t="n"/>
      <c r="U232" s="139" t="n"/>
      <c r="V232" s="16">
        <f>P232+R232+T232</f>
        <v/>
      </c>
      <c r="W232" s="16" t="n"/>
      <c r="X232" s="139" t="n"/>
      <c r="Y232" s="16" t="n"/>
      <c r="Z232" s="139" t="n"/>
      <c r="AA232" s="16" t="n"/>
      <c r="AB232" s="139" t="n"/>
      <c r="AC232" s="16" t="n"/>
      <c r="AD232" s="139" t="n"/>
      <c r="AE232" s="16">
        <f>(W232+Y232+AA232+AC232)</f>
        <v/>
      </c>
      <c r="AF232" s="140" t="n"/>
      <c r="AG232" s="138" t="n"/>
      <c r="AH232" s="16" t="n"/>
      <c r="AI232" s="138" t="n"/>
      <c r="AJ232" s="16" t="n"/>
      <c r="AK232" s="138" t="n"/>
      <c r="AL232" s="16" t="n"/>
      <c r="AM232" s="138" t="n"/>
      <c r="AN232" s="16" t="n"/>
      <c r="AO232" s="138" t="n"/>
      <c r="AP232" s="16" t="n"/>
      <c r="AQ232" s="138" t="n"/>
      <c r="AR232" s="16" t="n"/>
      <c r="AS232" s="138" t="n"/>
      <c r="AT232" s="16" t="n"/>
      <c r="AU232" s="138" t="n"/>
      <c r="AV232" s="16" t="n"/>
      <c r="AW232" s="138" t="n"/>
      <c r="AX232" s="16" t="n"/>
      <c r="AY232" s="138" t="n"/>
      <c r="AZ232" s="16">
        <f>AF232+AH232+AJ232+AL232+AN232+AP232+AR232+AT232+AV232+AX232</f>
        <v/>
      </c>
      <c r="BA232" s="16" t="n"/>
      <c r="BB232" s="139" t="n"/>
      <c r="BC232" s="16" t="n"/>
      <c r="BD232" s="139" t="n"/>
      <c r="BE232" s="16">
        <f>(BA232+BC232)</f>
        <v/>
      </c>
    </row>
    <row r="233" ht="22.5" customFormat="1" customHeight="1" s="8">
      <c r="A233" s="9" t="n"/>
      <c r="B233" s="136" t="inlineStr">
        <is>
          <t>CABLE</t>
        </is>
      </c>
      <c r="C233" s="142" t="inlineStr">
        <is>
          <t>SOLO</t>
        </is>
      </c>
      <c r="D233" s="83" t="inlineStr">
        <is>
          <t>SOLO 하네스 4번</t>
        </is>
      </c>
      <c r="E233" s="13" t="inlineStr">
        <is>
          <t>BATCON+EXP _ 190mm(Red1EA, White 2EA)-3핀</t>
        </is>
      </c>
      <c r="F233" s="12" t="n"/>
      <c r="G233" s="9" t="n"/>
      <c r="H233" s="9" t="inlineStr">
        <is>
          <t>HLP</t>
        </is>
      </c>
      <c r="I233" s="14" t="n"/>
      <c r="J233" s="14" t="n"/>
      <c r="K233" s="12" t="n">
        <v>250</v>
      </c>
      <c r="L233" s="9" t="n"/>
      <c r="M233" s="9" t="n"/>
      <c r="N233" s="9" t="n"/>
      <c r="O233" s="40">
        <f>K233+V233-AE233-AZ233</f>
        <v/>
      </c>
      <c r="P233" s="12" t="n"/>
      <c r="Q233" s="138" t="n"/>
      <c r="R233" s="16" t="n"/>
      <c r="S233" s="139" t="n"/>
      <c r="T233" s="16" t="n"/>
      <c r="U233" s="139" t="n"/>
      <c r="V233" s="16">
        <f>P233+R233+T233</f>
        <v/>
      </c>
      <c r="W233" s="16" t="n"/>
      <c r="X233" s="139" t="n"/>
      <c r="Y233" s="16" t="n"/>
      <c r="Z233" s="139" t="n"/>
      <c r="AA233" s="16" t="n"/>
      <c r="AB233" s="139" t="n"/>
      <c r="AC233" s="16" t="n"/>
      <c r="AD233" s="139" t="n"/>
      <c r="AE233" s="16">
        <f>(W233+Y233+AA233+AC233)</f>
        <v/>
      </c>
      <c r="AF233" s="140" t="n"/>
      <c r="AG233" s="138" t="n"/>
      <c r="AH233" s="16" t="n"/>
      <c r="AI233" s="138" t="n"/>
      <c r="AJ233" s="16" t="n"/>
      <c r="AK233" s="138" t="n"/>
      <c r="AL233" s="16" t="n"/>
      <c r="AM233" s="138" t="n"/>
      <c r="AN233" s="16" t="n"/>
      <c r="AO233" s="138" t="n"/>
      <c r="AP233" s="16" t="n"/>
      <c r="AQ233" s="138" t="n"/>
      <c r="AR233" s="16" t="n"/>
      <c r="AS233" s="138" t="n"/>
      <c r="AT233" s="16" t="n"/>
      <c r="AU233" s="138" t="n"/>
      <c r="AV233" s="16" t="n"/>
      <c r="AW233" s="138" t="n"/>
      <c r="AX233" s="16" t="n"/>
      <c r="AY233" s="138" t="n"/>
      <c r="AZ233" s="16">
        <f>AF233+AH233+AJ233+AL233+AN233+AP233+AR233+AT233+AV233+AX233</f>
        <v/>
      </c>
      <c r="BA233" s="16" t="n"/>
      <c r="BB233" s="139" t="n"/>
      <c r="BC233" s="16" t="n"/>
      <c r="BD233" s="139" t="n"/>
      <c r="BE233" s="16">
        <f>(BA233+BC233)</f>
        <v/>
      </c>
    </row>
    <row r="234" ht="21.95" customFormat="1" customHeight="1" s="8">
      <c r="A234" s="9" t="n"/>
      <c r="B234" s="136" t="inlineStr">
        <is>
          <t>ABS 난연</t>
        </is>
      </c>
      <c r="C234" s="142" t="inlineStr">
        <is>
          <t>SOLO</t>
        </is>
      </c>
      <c r="D234" s="62" t="inlineStr">
        <is>
          <t>TOP Body</t>
        </is>
      </c>
      <c r="E234" s="36" t="inlineStr">
        <is>
          <t>ABS 블랙 샌딩</t>
        </is>
      </c>
      <c r="F234" s="21" t="n"/>
      <c r="G234" s="22" t="n"/>
      <c r="H234" s="22" t="inlineStr">
        <is>
          <t>천우</t>
        </is>
      </c>
      <c r="I234" s="14" t="n"/>
      <c r="J234" s="14" t="n"/>
      <c r="K234" s="12" t="n">
        <v>164</v>
      </c>
      <c r="L234" s="9" t="n"/>
      <c r="M234" s="9" t="n"/>
      <c r="N234" s="9" t="n"/>
      <c r="O234" s="40">
        <f>K234+V234-AE234-AZ234</f>
        <v/>
      </c>
      <c r="P234" s="12" t="n"/>
      <c r="Q234" s="138" t="n"/>
      <c r="R234" s="16" t="n"/>
      <c r="S234" s="139" t="n"/>
      <c r="T234" s="16" t="n"/>
      <c r="U234" s="139" t="n"/>
      <c r="V234" s="16">
        <f>P234+R234+T234</f>
        <v/>
      </c>
      <c r="W234" s="16" t="n"/>
      <c r="X234" s="139" t="n"/>
      <c r="Y234" s="16" t="n"/>
      <c r="Z234" s="139" t="n"/>
      <c r="AA234" s="16" t="n"/>
      <c r="AB234" s="139" t="n"/>
      <c r="AC234" s="16" t="n"/>
      <c r="AD234" s="139" t="n"/>
      <c r="AE234" s="16">
        <f>(W234+Y234+AA234+AC234)</f>
        <v/>
      </c>
      <c r="AF234" s="140" t="n"/>
      <c r="AG234" s="138" t="n"/>
      <c r="AH234" s="16" t="n"/>
      <c r="AI234" s="138" t="n"/>
      <c r="AJ234" s="16" t="n"/>
      <c r="AK234" s="138" t="n"/>
      <c r="AL234" s="16" t="n"/>
      <c r="AM234" s="138" t="n"/>
      <c r="AN234" s="16" t="n"/>
      <c r="AO234" s="138" t="n"/>
      <c r="AP234" s="16" t="n"/>
      <c r="AQ234" s="138" t="n"/>
      <c r="AR234" s="16" t="n"/>
      <c r="AS234" s="138" t="n"/>
      <c r="AT234" s="16" t="n"/>
      <c r="AU234" s="138" t="n"/>
      <c r="AV234" s="16" t="n"/>
      <c r="AW234" s="138" t="n"/>
      <c r="AX234" s="16" t="n"/>
      <c r="AY234" s="138" t="n"/>
      <c r="AZ234" s="16">
        <f>AF234+AH234+AJ234+AL234+AN234+AP234+AR234+AT234+AV234+AX234</f>
        <v/>
      </c>
      <c r="BA234" s="16" t="n"/>
      <c r="BB234" s="139" t="n"/>
      <c r="BC234" s="16" t="n"/>
      <c r="BD234" s="139" t="n"/>
      <c r="BE234" s="16">
        <f>(BA234+BC234)</f>
        <v/>
      </c>
    </row>
    <row r="235" ht="21.95" customFormat="1" customHeight="1" s="8">
      <c r="A235" s="9" t="n"/>
      <c r="B235" s="136" t="inlineStr">
        <is>
          <t>ABS 난연</t>
        </is>
      </c>
      <c r="C235" s="142" t="inlineStr">
        <is>
          <t>SOLO</t>
        </is>
      </c>
      <c r="D235" s="62" t="inlineStr">
        <is>
          <t>Bottom Body</t>
        </is>
      </c>
      <c r="E235" s="36" t="inlineStr">
        <is>
          <t>ABS 블랙 샌딩</t>
        </is>
      </c>
      <c r="F235" s="21" t="n"/>
      <c r="G235" s="22" t="n"/>
      <c r="H235" s="22" t="inlineStr">
        <is>
          <t>천우</t>
        </is>
      </c>
      <c r="I235" s="14" t="n"/>
      <c r="J235" s="14" t="n"/>
      <c r="K235" s="12" t="n">
        <v>178</v>
      </c>
      <c r="L235" s="9" t="n"/>
      <c r="M235" s="9" t="n"/>
      <c r="N235" s="9" t="n"/>
      <c r="O235" s="40">
        <f>K235+V235-AE235-AZ235</f>
        <v/>
      </c>
      <c r="P235" s="12" t="n"/>
      <c r="Q235" s="138" t="n"/>
      <c r="R235" s="16" t="n"/>
      <c r="S235" s="139" t="n"/>
      <c r="T235" s="16" t="n"/>
      <c r="U235" s="139" t="n"/>
      <c r="V235" s="16">
        <f>P235+R235+T235</f>
        <v/>
      </c>
      <c r="W235" s="16" t="n"/>
      <c r="X235" s="139" t="n"/>
      <c r="Y235" s="16" t="n"/>
      <c r="Z235" s="139" t="n"/>
      <c r="AA235" s="16" t="n"/>
      <c r="AB235" s="139" t="n"/>
      <c r="AC235" s="16" t="n"/>
      <c r="AD235" s="139" t="n"/>
      <c r="AE235" s="16">
        <f>(W235+Y235+AA235+AC235)</f>
        <v/>
      </c>
      <c r="AF235" s="140" t="n"/>
      <c r="AG235" s="138" t="n"/>
      <c r="AH235" s="16" t="n"/>
      <c r="AI235" s="138" t="n"/>
      <c r="AJ235" s="16" t="n"/>
      <c r="AK235" s="138" t="n"/>
      <c r="AL235" s="16" t="n"/>
      <c r="AM235" s="138" t="n"/>
      <c r="AN235" s="16" t="n"/>
      <c r="AO235" s="138" t="n"/>
      <c r="AP235" s="16" t="n"/>
      <c r="AQ235" s="138" t="n"/>
      <c r="AR235" s="16" t="n"/>
      <c r="AS235" s="138" t="n"/>
      <c r="AT235" s="16" t="n"/>
      <c r="AU235" s="138" t="n"/>
      <c r="AV235" s="16" t="n"/>
      <c r="AW235" s="138" t="n"/>
      <c r="AX235" s="16" t="n"/>
      <c r="AY235" s="138" t="n"/>
      <c r="AZ235" s="16">
        <f>AF235+AH235+AJ235+AL235+AN235+AP235+AR235+AT235+AV235+AX235</f>
        <v/>
      </c>
      <c r="BA235" s="16" t="n"/>
      <c r="BB235" s="139" t="n"/>
      <c r="BC235" s="16" t="n"/>
      <c r="BD235" s="139" t="n"/>
      <c r="BE235" s="16">
        <f>(BA235+BC235)</f>
        <v/>
      </c>
    </row>
    <row r="236" ht="21.95" customFormat="1" customHeight="1" s="8">
      <c r="A236" s="9" t="n"/>
      <c r="B236" s="136" t="inlineStr">
        <is>
          <t>ABS 난연</t>
        </is>
      </c>
      <c r="C236" s="142" t="inlineStr">
        <is>
          <t>SOLO</t>
        </is>
      </c>
      <c r="D236" s="62" t="inlineStr">
        <is>
          <t>Main_Cone</t>
        </is>
      </c>
      <c r="E236" s="36" t="inlineStr">
        <is>
          <t>ABS 메탈릭 다크그레이</t>
        </is>
      </c>
      <c r="F236" s="21" t="n"/>
      <c r="G236" s="22" t="n"/>
      <c r="H236" s="22" t="inlineStr">
        <is>
          <t>천우</t>
        </is>
      </c>
      <c r="I236" s="14" t="n"/>
      <c r="J236" s="14" t="n"/>
      <c r="K236" s="12" t="n">
        <v>205</v>
      </c>
      <c r="L236" s="9" t="n"/>
      <c r="M236" s="9" t="n"/>
      <c r="N236" s="9" t="n"/>
      <c r="O236" s="40">
        <f>K236+V236-AE236-AZ236</f>
        <v/>
      </c>
      <c r="P236" s="12" t="n"/>
      <c r="Q236" s="138" t="n"/>
      <c r="R236" s="16" t="n"/>
      <c r="S236" s="139" t="n"/>
      <c r="T236" s="16" t="n"/>
      <c r="U236" s="139" t="n"/>
      <c r="V236" s="16">
        <f>P236+R236+T236</f>
        <v/>
      </c>
      <c r="W236" s="16" t="n"/>
      <c r="X236" s="139" t="n"/>
      <c r="Y236" s="16" t="n"/>
      <c r="Z236" s="139" t="n"/>
      <c r="AA236" s="16" t="n"/>
      <c r="AB236" s="139" t="n"/>
      <c r="AC236" s="16" t="n"/>
      <c r="AD236" s="139" t="n"/>
      <c r="AE236" s="16">
        <f>(W236+Y236+AA236+AC236)</f>
        <v/>
      </c>
      <c r="AF236" s="140" t="n"/>
      <c r="AG236" s="138" t="n"/>
      <c r="AH236" s="16" t="n"/>
      <c r="AI236" s="138" t="n"/>
      <c r="AJ236" s="16" t="n"/>
      <c r="AK236" s="138" t="n"/>
      <c r="AL236" s="16" t="n"/>
      <c r="AM236" s="138" t="n"/>
      <c r="AN236" s="16" t="n"/>
      <c r="AO236" s="138" t="n"/>
      <c r="AP236" s="16" t="n"/>
      <c r="AQ236" s="138" t="n"/>
      <c r="AR236" s="16" t="n"/>
      <c r="AS236" s="138" t="n"/>
      <c r="AT236" s="16" t="n"/>
      <c r="AU236" s="138" t="n"/>
      <c r="AV236" s="16" t="n"/>
      <c r="AW236" s="138" t="n"/>
      <c r="AX236" s="16" t="n"/>
      <c r="AY236" s="138" t="n"/>
      <c r="AZ236" s="16">
        <f>AF236+AH236+AJ236+AL236+AN236+AP236+AR236+AT236+AV236+AX236</f>
        <v/>
      </c>
      <c r="BA236" s="16" t="n"/>
      <c r="BB236" s="139" t="n"/>
      <c r="BC236" s="16" t="n"/>
      <c r="BD236" s="139" t="n"/>
      <c r="BE236" s="16">
        <f>(BA236+BC236)</f>
        <v/>
      </c>
    </row>
    <row r="237" ht="21.95" customFormat="1" customHeight="1" s="8">
      <c r="A237" s="9" t="n"/>
      <c r="B237" s="136" t="inlineStr">
        <is>
          <t>ABS 난연</t>
        </is>
      </c>
      <c r="C237" s="142" t="inlineStr">
        <is>
          <t>SOLO</t>
        </is>
      </c>
      <c r="D237" s="62" t="inlineStr">
        <is>
          <t>Hand_Body</t>
        </is>
      </c>
      <c r="E237" s="36" t="inlineStr">
        <is>
          <t>ABS 블랙 샌딩</t>
        </is>
      </c>
      <c r="F237" s="21" t="n"/>
      <c r="G237" s="22" t="n"/>
      <c r="H237" s="22" t="inlineStr">
        <is>
          <t>천우</t>
        </is>
      </c>
      <c r="I237" s="14" t="n"/>
      <c r="J237" s="14" t="n"/>
      <c r="K237" s="12" t="n">
        <v>36</v>
      </c>
      <c r="L237" s="9" t="n"/>
      <c r="M237" s="9" t="n"/>
      <c r="N237" s="9" t="n"/>
      <c r="O237" s="40">
        <f>K237+V237-AE237-AZ237</f>
        <v/>
      </c>
      <c r="P237" s="12" t="n"/>
      <c r="Q237" s="138" t="n"/>
      <c r="R237" s="16" t="n"/>
      <c r="S237" s="139" t="n"/>
      <c r="T237" s="16" t="n"/>
      <c r="U237" s="139" t="n"/>
      <c r="V237" s="16">
        <f>P237+R237+T237</f>
        <v/>
      </c>
      <c r="W237" s="16" t="n"/>
      <c r="X237" s="139" t="n"/>
      <c r="Y237" s="16" t="n"/>
      <c r="Z237" s="139" t="n"/>
      <c r="AA237" s="16" t="n"/>
      <c r="AB237" s="139" t="n"/>
      <c r="AC237" s="16" t="n"/>
      <c r="AD237" s="139" t="n"/>
      <c r="AE237" s="16">
        <f>(W237+Y237+AA237+AC237)</f>
        <v/>
      </c>
      <c r="AF237" s="140" t="n"/>
      <c r="AG237" s="138" t="n"/>
      <c r="AH237" s="16" t="n"/>
      <c r="AI237" s="138" t="n"/>
      <c r="AJ237" s="16" t="n"/>
      <c r="AK237" s="138" t="n"/>
      <c r="AL237" s="16" t="n"/>
      <c r="AM237" s="138" t="n"/>
      <c r="AN237" s="16" t="n"/>
      <c r="AO237" s="138" t="n"/>
      <c r="AP237" s="16" t="n"/>
      <c r="AQ237" s="138" t="n"/>
      <c r="AR237" s="16" t="n"/>
      <c r="AS237" s="138" t="n"/>
      <c r="AT237" s="16" t="n"/>
      <c r="AU237" s="138" t="n"/>
      <c r="AV237" s="16" t="n"/>
      <c r="AW237" s="138" t="n"/>
      <c r="AX237" s="16" t="n"/>
      <c r="AY237" s="138" t="n"/>
      <c r="AZ237" s="16">
        <f>AF237+AH237+AJ237+AL237+AN237+AP237+AR237+AT237+AV237+AX237</f>
        <v/>
      </c>
      <c r="BA237" s="16" t="n"/>
      <c r="BB237" s="139" t="n"/>
      <c r="BC237" s="16" t="n"/>
      <c r="BD237" s="139" t="n"/>
      <c r="BE237" s="16">
        <f>(BA237+BC237)</f>
        <v/>
      </c>
    </row>
    <row r="238" ht="21.95" customFormat="1" customHeight="1" s="8">
      <c r="A238" s="9" t="n"/>
      <c r="B238" s="136" t="inlineStr">
        <is>
          <t>ABS 난연</t>
        </is>
      </c>
      <c r="C238" s="142" t="inlineStr">
        <is>
          <t>SOLO</t>
        </is>
      </c>
      <c r="D238" s="62" t="inlineStr">
        <is>
          <t>Bat_Bottom</t>
        </is>
      </c>
      <c r="E238" s="36" t="inlineStr">
        <is>
          <t>ABS 블랙 샌딩</t>
        </is>
      </c>
      <c r="F238" s="21" t="n"/>
      <c r="G238" s="22" t="n"/>
      <c r="H238" s="22" t="inlineStr">
        <is>
          <t>천우</t>
        </is>
      </c>
      <c r="I238" s="14" t="n"/>
      <c r="J238" s="14" t="n"/>
      <c r="K238" s="12" t="n">
        <v>544</v>
      </c>
      <c r="L238" s="9" t="n"/>
      <c r="M238" s="9" t="n"/>
      <c r="N238" s="9" t="n"/>
      <c r="O238" s="40">
        <f>K238+V238-AE238-AZ238</f>
        <v/>
      </c>
      <c r="P238" s="12" t="n"/>
      <c r="Q238" s="138" t="n"/>
      <c r="R238" s="16" t="n"/>
      <c r="S238" s="139" t="n"/>
      <c r="T238" s="16" t="n"/>
      <c r="U238" s="139" t="n"/>
      <c r="V238" s="16">
        <f>P238+R238+T238</f>
        <v/>
      </c>
      <c r="W238" s="16" t="n"/>
      <c r="X238" s="139" t="n"/>
      <c r="Y238" s="16" t="n"/>
      <c r="Z238" s="139" t="n"/>
      <c r="AA238" s="16" t="n"/>
      <c r="AB238" s="139" t="n"/>
      <c r="AC238" s="16" t="n"/>
      <c r="AD238" s="139" t="n"/>
      <c r="AE238" s="16">
        <f>(W238+Y238+AA238+AC238)</f>
        <v/>
      </c>
      <c r="AF238" s="140" t="n"/>
      <c r="AG238" s="138" t="n"/>
      <c r="AH238" s="16" t="n"/>
      <c r="AI238" s="138" t="n"/>
      <c r="AJ238" s="16" t="n"/>
      <c r="AK238" s="138" t="n"/>
      <c r="AL238" s="16" t="n"/>
      <c r="AM238" s="138" t="n"/>
      <c r="AN238" s="16" t="n"/>
      <c r="AO238" s="138" t="n"/>
      <c r="AP238" s="16" t="n"/>
      <c r="AQ238" s="138" t="n"/>
      <c r="AR238" s="16" t="n"/>
      <c r="AS238" s="138" t="n"/>
      <c r="AT238" s="16" t="n"/>
      <c r="AU238" s="138" t="n"/>
      <c r="AV238" s="16" t="n"/>
      <c r="AW238" s="138" t="n"/>
      <c r="AX238" s="16" t="n"/>
      <c r="AY238" s="138" t="n"/>
      <c r="AZ238" s="16">
        <f>AF238+AH238+AJ238+AL238+AN238+AP238+AR238+AT238+AV238+AX238</f>
        <v/>
      </c>
      <c r="BA238" s="16" t="n"/>
      <c r="BB238" s="139" t="n"/>
      <c r="BC238" s="16" t="n"/>
      <c r="BD238" s="139" t="n"/>
      <c r="BE238" s="16">
        <f>(BA238+BC238)</f>
        <v/>
      </c>
    </row>
    <row r="239" ht="21.95" customFormat="1" customHeight="1" s="8">
      <c r="A239" s="9" t="n"/>
      <c r="B239" s="136" t="inlineStr">
        <is>
          <t>ABS 난연</t>
        </is>
      </c>
      <c r="C239" s="142" t="inlineStr">
        <is>
          <t>SOLO</t>
        </is>
      </c>
      <c r="D239" s="62" t="inlineStr">
        <is>
          <t>Power Button</t>
        </is>
      </c>
      <c r="E239" s="36" t="inlineStr">
        <is>
          <t>ABS 블랙 샌딩</t>
        </is>
      </c>
      <c r="F239" s="21" t="n"/>
      <c r="G239" s="22" t="n"/>
      <c r="H239" s="22" t="inlineStr">
        <is>
          <t>천우</t>
        </is>
      </c>
      <c r="I239" s="14" t="n"/>
      <c r="J239" s="14" t="n"/>
      <c r="K239" s="12" t="n">
        <v>537</v>
      </c>
      <c r="L239" s="9" t="n"/>
      <c r="M239" s="9" t="n"/>
      <c r="N239" s="9" t="n"/>
      <c r="O239" s="40">
        <f>K239+V239-AE239-AZ239</f>
        <v/>
      </c>
      <c r="P239" s="12" t="n"/>
      <c r="Q239" s="138" t="n"/>
      <c r="R239" s="16" t="n"/>
      <c r="S239" s="139" t="n"/>
      <c r="T239" s="16" t="n"/>
      <c r="U239" s="139" t="n"/>
      <c r="V239" s="16">
        <f>P239+R239+T239</f>
        <v/>
      </c>
      <c r="W239" s="16" t="n"/>
      <c r="X239" s="139" t="n"/>
      <c r="Y239" s="16" t="n"/>
      <c r="Z239" s="139" t="n"/>
      <c r="AA239" s="16" t="n"/>
      <c r="AB239" s="139" t="n"/>
      <c r="AC239" s="16" t="n"/>
      <c r="AD239" s="139" t="n"/>
      <c r="AE239" s="16">
        <f>(W239+Y239+AA239+AC239)</f>
        <v/>
      </c>
      <c r="AF239" s="140" t="n"/>
      <c r="AG239" s="138" t="n"/>
      <c r="AH239" s="16" t="n"/>
      <c r="AI239" s="138" t="n"/>
      <c r="AJ239" s="16" t="n"/>
      <c r="AK239" s="138" t="n"/>
      <c r="AL239" s="16" t="n"/>
      <c r="AM239" s="138" t="n"/>
      <c r="AN239" s="16" t="n"/>
      <c r="AO239" s="138" t="n"/>
      <c r="AP239" s="16" t="n"/>
      <c r="AQ239" s="138" t="n"/>
      <c r="AR239" s="16" t="n"/>
      <c r="AS239" s="138" t="n"/>
      <c r="AT239" s="16" t="n"/>
      <c r="AU239" s="138" t="n"/>
      <c r="AV239" s="16" t="n"/>
      <c r="AW239" s="138" t="n"/>
      <c r="AX239" s="16" t="n"/>
      <c r="AY239" s="138" t="n"/>
      <c r="AZ239" s="16">
        <f>AF239+AH239+AJ239+AL239+AN239+AP239+AR239+AT239+AV239+AX239</f>
        <v/>
      </c>
      <c r="BA239" s="16" t="n"/>
      <c r="BB239" s="139" t="n"/>
      <c r="BC239" s="16" t="n"/>
      <c r="BD239" s="139" t="n"/>
      <c r="BE239" s="16">
        <f>(BA239+BC239)</f>
        <v/>
      </c>
    </row>
    <row r="240" ht="21.95" customFormat="1" customHeight="1" s="8">
      <c r="A240" s="9" t="n"/>
      <c r="B240" s="136" t="inlineStr">
        <is>
          <t>ABS 난연</t>
        </is>
      </c>
      <c r="C240" s="142" t="inlineStr">
        <is>
          <t>SOLO</t>
        </is>
      </c>
      <c r="D240" s="62" t="inlineStr">
        <is>
          <t>Button Indicator</t>
        </is>
      </c>
      <c r="E240" s="36" t="inlineStr">
        <is>
          <t>ABS 블랙</t>
        </is>
      </c>
      <c r="F240" s="21" t="n"/>
      <c r="G240" s="22" t="n"/>
      <c r="H240" s="22" t="inlineStr">
        <is>
          <t>천우</t>
        </is>
      </c>
      <c r="I240" s="14" t="n"/>
      <c r="J240" s="14" t="n"/>
      <c r="K240" s="12" t="n">
        <v>0</v>
      </c>
      <c r="L240" s="9" t="n"/>
      <c r="M240" s="9" t="n"/>
      <c r="N240" s="9" t="n"/>
      <c r="O240" s="40">
        <f>K240+V240-AE240-AZ240</f>
        <v/>
      </c>
      <c r="P240" s="12" t="n"/>
      <c r="Q240" s="138" t="n"/>
      <c r="R240" s="16" t="n"/>
      <c r="S240" s="139" t="n"/>
      <c r="T240" s="16" t="n"/>
      <c r="U240" s="139" t="n"/>
      <c r="V240" s="16">
        <f>P240+R240+T240</f>
        <v/>
      </c>
      <c r="W240" s="16" t="n"/>
      <c r="X240" s="139" t="n"/>
      <c r="Y240" s="16" t="n"/>
      <c r="Z240" s="139" t="n"/>
      <c r="AA240" s="16" t="n"/>
      <c r="AB240" s="139" t="n"/>
      <c r="AC240" s="16" t="n"/>
      <c r="AD240" s="139" t="n"/>
      <c r="AE240" s="16">
        <f>(W240+Y240+AA240+AC240)</f>
        <v/>
      </c>
      <c r="AF240" s="140" t="n"/>
      <c r="AG240" s="138" t="n"/>
      <c r="AH240" s="16" t="n"/>
      <c r="AI240" s="138" t="n"/>
      <c r="AJ240" s="16" t="n"/>
      <c r="AK240" s="138" t="n"/>
      <c r="AL240" s="16" t="n"/>
      <c r="AM240" s="138" t="n"/>
      <c r="AN240" s="16" t="n"/>
      <c r="AO240" s="138" t="n"/>
      <c r="AP240" s="16" t="n"/>
      <c r="AQ240" s="138" t="n"/>
      <c r="AR240" s="16" t="n"/>
      <c r="AS240" s="138" t="n"/>
      <c r="AT240" s="16" t="n"/>
      <c r="AU240" s="138" t="n"/>
      <c r="AV240" s="16" t="n"/>
      <c r="AW240" s="138" t="n"/>
      <c r="AX240" s="16" t="n"/>
      <c r="AY240" s="138" t="n"/>
      <c r="AZ240" s="16">
        <f>AF240+AH240+AJ240+AL240+AN240+AP240+AR240+AT240+AV240+AX240</f>
        <v/>
      </c>
      <c r="BA240" s="16" t="n"/>
      <c r="BB240" s="139" t="n"/>
      <c r="BC240" s="16" t="n"/>
      <c r="BD240" s="139" t="n"/>
      <c r="BE240" s="16">
        <f>(BA240+BC240)</f>
        <v/>
      </c>
    </row>
    <row r="241" ht="21.95" customFormat="1" customHeight="1" s="8">
      <c r="A241" s="9" t="n"/>
      <c r="B241" s="136" t="inlineStr">
        <is>
          <t>ABS 난연</t>
        </is>
      </c>
      <c r="C241" s="142" t="inlineStr">
        <is>
          <t>SOLO</t>
        </is>
      </c>
      <c r="D241" s="62" t="inlineStr">
        <is>
          <t>LCD GUIDE</t>
        </is>
      </c>
      <c r="E241" s="36" t="inlineStr">
        <is>
          <t>ABS 블랙</t>
        </is>
      </c>
      <c r="F241" s="21" t="n"/>
      <c r="G241" s="22" t="n"/>
      <c r="H241" s="22" t="inlineStr">
        <is>
          <t>월드씨앤피</t>
        </is>
      </c>
      <c r="I241" s="14" t="n"/>
      <c r="J241" s="14" t="n"/>
      <c r="K241" s="12" t="n">
        <v>71</v>
      </c>
      <c r="L241" s="9" t="n"/>
      <c r="M241" s="9" t="n"/>
      <c r="N241" s="9" t="n"/>
      <c r="O241" s="40">
        <f>K241+V241-AE241-AZ241</f>
        <v/>
      </c>
      <c r="P241" s="12" t="n"/>
      <c r="Q241" s="138" t="n"/>
      <c r="R241" s="16" t="n"/>
      <c r="S241" s="139" t="n"/>
      <c r="T241" s="16" t="n"/>
      <c r="U241" s="139" t="n"/>
      <c r="V241" s="16">
        <f>P241+R241+T241</f>
        <v/>
      </c>
      <c r="W241" s="16" t="n"/>
      <c r="X241" s="139" t="n"/>
      <c r="Y241" s="16" t="n"/>
      <c r="Z241" s="139" t="n"/>
      <c r="AA241" s="16" t="n"/>
      <c r="AB241" s="139" t="n"/>
      <c r="AC241" s="16" t="n"/>
      <c r="AD241" s="139" t="n"/>
      <c r="AE241" s="16">
        <f>(W241+Y241+AA241+AC241)</f>
        <v/>
      </c>
      <c r="AF241" s="140" t="n"/>
      <c r="AG241" s="138" t="n"/>
      <c r="AH241" s="16" t="n"/>
      <c r="AI241" s="138" t="n"/>
      <c r="AJ241" s="16" t="n"/>
      <c r="AK241" s="138" t="n"/>
      <c r="AL241" s="16" t="n"/>
      <c r="AM241" s="138" t="n"/>
      <c r="AN241" s="16" t="n"/>
      <c r="AO241" s="138" t="n"/>
      <c r="AP241" s="16" t="n"/>
      <c r="AQ241" s="138" t="n"/>
      <c r="AR241" s="16" t="n"/>
      <c r="AS241" s="138" t="n"/>
      <c r="AT241" s="16" t="n"/>
      <c r="AU241" s="138" t="n"/>
      <c r="AV241" s="16" t="n"/>
      <c r="AW241" s="138" t="n"/>
      <c r="AX241" s="16" t="n"/>
      <c r="AY241" s="138" t="n"/>
      <c r="AZ241" s="16">
        <f>AF241+AH241+AJ241+AL241+AN241+AP241+AR241+AT241+AV241+AX241</f>
        <v/>
      </c>
      <c r="BA241" s="16" t="n"/>
      <c r="BB241" s="139" t="n"/>
      <c r="BC241" s="16" t="n"/>
      <c r="BD241" s="139" t="n"/>
      <c r="BE241" s="16">
        <f>(BA241+BC241)</f>
        <v/>
      </c>
    </row>
    <row r="242" ht="21.95" customFormat="1" customHeight="1" s="8">
      <c r="A242" s="9" t="n"/>
      <c r="B242" s="136" t="inlineStr">
        <is>
          <t>ABS 난연</t>
        </is>
      </c>
      <c r="C242" s="142" t="inlineStr">
        <is>
          <t>SOLO</t>
        </is>
      </c>
      <c r="D242" s="62" t="inlineStr">
        <is>
          <t>발생부_Guide</t>
        </is>
      </c>
      <c r="E242" s="36" t="inlineStr">
        <is>
          <t>ABS 블랙</t>
        </is>
      </c>
      <c r="F242" s="21" t="n"/>
      <c r="G242" s="22" t="n"/>
      <c r="H242" s="22" t="inlineStr">
        <is>
          <t>천우</t>
        </is>
      </c>
      <c r="I242" s="14" t="n"/>
      <c r="J242" s="14" t="n"/>
      <c r="K242" s="12" t="n">
        <v>553</v>
      </c>
      <c r="L242" s="9" t="n"/>
      <c r="M242" s="9" t="n"/>
      <c r="N242" s="9" t="n"/>
      <c r="O242" s="40">
        <f>K242+V242-AE242-AZ242</f>
        <v/>
      </c>
      <c r="P242" s="12" t="n"/>
      <c r="Q242" s="138" t="n"/>
      <c r="R242" s="16" t="n"/>
      <c r="S242" s="139" t="n"/>
      <c r="T242" s="16" t="n"/>
      <c r="U242" s="139" t="n"/>
      <c r="V242" s="16">
        <f>P242+R242+T242</f>
        <v/>
      </c>
      <c r="W242" s="16" t="n"/>
      <c r="X242" s="139" t="n"/>
      <c r="Y242" s="16" t="n"/>
      <c r="Z242" s="139" t="n"/>
      <c r="AA242" s="16" t="n"/>
      <c r="AB242" s="139" t="n"/>
      <c r="AC242" s="16" t="n"/>
      <c r="AD242" s="139" t="n"/>
      <c r="AE242" s="16">
        <f>(W242+Y242+AA242+AC242)</f>
        <v/>
      </c>
      <c r="AF242" s="140" t="n"/>
      <c r="AG242" s="138" t="n"/>
      <c r="AH242" s="16" t="n"/>
      <c r="AI242" s="138" t="n"/>
      <c r="AJ242" s="16" t="n"/>
      <c r="AK242" s="138" t="n"/>
      <c r="AL242" s="16" t="n"/>
      <c r="AM242" s="138" t="n"/>
      <c r="AN242" s="16" t="n"/>
      <c r="AO242" s="138" t="n"/>
      <c r="AP242" s="16" t="n"/>
      <c r="AQ242" s="138" t="n"/>
      <c r="AR242" s="16" t="n"/>
      <c r="AS242" s="138" t="n"/>
      <c r="AT242" s="16" t="n"/>
      <c r="AU242" s="138" t="n"/>
      <c r="AV242" s="16" t="n"/>
      <c r="AW242" s="138" t="n"/>
      <c r="AX242" s="16" t="n"/>
      <c r="AY242" s="138" t="n"/>
      <c r="AZ242" s="16">
        <f>AF242+AH242+AJ242+AL242+AN242+AP242+AR242+AT242+AV242+AX242</f>
        <v/>
      </c>
      <c r="BA242" s="16" t="n"/>
      <c r="BB242" s="139" t="n"/>
      <c r="BC242" s="16" t="n"/>
      <c r="BD242" s="139" t="n"/>
      <c r="BE242" s="16">
        <f>(BA242+BC242)</f>
        <v/>
      </c>
    </row>
    <row r="243" ht="21.95" customFormat="1" customHeight="1" s="8">
      <c r="A243" s="9" t="n"/>
      <c r="B243" s="136" t="inlineStr">
        <is>
          <t>ABS 난연</t>
        </is>
      </c>
      <c r="C243" s="142" t="inlineStr">
        <is>
          <t>SOLO</t>
        </is>
      </c>
      <c r="D243" s="62" t="inlineStr">
        <is>
          <t>Lock Inner</t>
        </is>
      </c>
      <c r="E243" s="36" t="inlineStr">
        <is>
          <t>ABS 블랙</t>
        </is>
      </c>
      <c r="F243" s="21" t="n"/>
      <c r="G243" s="22" t="n"/>
      <c r="H243" s="22" t="inlineStr">
        <is>
          <t>천우</t>
        </is>
      </c>
      <c r="I243" s="14" t="n"/>
      <c r="J243" s="14" t="n"/>
      <c r="K243" s="12" t="n">
        <v>529</v>
      </c>
      <c r="L243" s="9" t="n"/>
      <c r="M243" s="9" t="n"/>
      <c r="N243" s="9" t="n"/>
      <c r="O243" s="40">
        <f>K243+V243-AE243-AZ243</f>
        <v/>
      </c>
      <c r="P243" s="12" t="n"/>
      <c r="Q243" s="138" t="n"/>
      <c r="R243" s="16" t="n"/>
      <c r="S243" s="139" t="n"/>
      <c r="T243" s="16" t="n"/>
      <c r="U243" s="139" t="n"/>
      <c r="V243" s="16">
        <f>P243+R243+T243</f>
        <v/>
      </c>
      <c r="W243" s="16" t="n"/>
      <c r="X243" s="139" t="n"/>
      <c r="Y243" s="16" t="n"/>
      <c r="Z243" s="139" t="n"/>
      <c r="AA243" s="16" t="n"/>
      <c r="AB243" s="139" t="n"/>
      <c r="AC243" s="16" t="n"/>
      <c r="AD243" s="139" t="n"/>
      <c r="AE243" s="16">
        <f>(W243+Y243+AA243+AC243)</f>
        <v/>
      </c>
      <c r="AF243" s="140" t="n"/>
      <c r="AG243" s="138" t="n"/>
      <c r="AH243" s="16" t="n"/>
      <c r="AI243" s="138" t="n"/>
      <c r="AJ243" s="16" t="n"/>
      <c r="AK243" s="138" t="n"/>
      <c r="AL243" s="16" t="n"/>
      <c r="AM243" s="138" t="n"/>
      <c r="AN243" s="16" t="n"/>
      <c r="AO243" s="138" t="n"/>
      <c r="AP243" s="16" t="n"/>
      <c r="AQ243" s="138" t="n"/>
      <c r="AR243" s="16" t="n"/>
      <c r="AS243" s="138" t="n"/>
      <c r="AT243" s="16" t="n"/>
      <c r="AU243" s="138" t="n"/>
      <c r="AV243" s="16" t="n"/>
      <c r="AW243" s="138" t="n"/>
      <c r="AX243" s="16" t="n"/>
      <c r="AY243" s="138" t="n"/>
      <c r="AZ243" s="16">
        <f>AF243+AH243+AJ243+AL243+AN243+AP243+AR243+AT243+AV243+AX243</f>
        <v/>
      </c>
      <c r="BA243" s="16" t="n"/>
      <c r="BB243" s="139" t="n"/>
      <c r="BC243" s="16" t="n"/>
      <c r="BD243" s="139" t="n"/>
      <c r="BE243" s="16">
        <f>(BA243+BC243)</f>
        <v/>
      </c>
    </row>
    <row r="244" ht="21.95" customFormat="1" customHeight="1" s="8">
      <c r="A244" s="9" t="n"/>
      <c r="B244" s="136" t="inlineStr">
        <is>
          <t>ABS 난연</t>
        </is>
      </c>
      <c r="C244" s="142" t="inlineStr">
        <is>
          <t>SOLO</t>
        </is>
      </c>
      <c r="D244" s="62" t="inlineStr">
        <is>
          <t>Lock Knob</t>
        </is>
      </c>
      <c r="E244" s="36" t="inlineStr">
        <is>
          <t>ABS 블랙 샌딩</t>
        </is>
      </c>
      <c r="F244" s="21" t="n"/>
      <c r="G244" s="22" t="n"/>
      <c r="H244" s="22" t="inlineStr">
        <is>
          <t>천우</t>
        </is>
      </c>
      <c r="I244" s="14" t="n"/>
      <c r="J244" s="14" t="n"/>
      <c r="K244" s="12" t="n">
        <v>554</v>
      </c>
      <c r="L244" s="9" t="n"/>
      <c r="M244" s="9" t="n"/>
      <c r="N244" s="9" t="n"/>
      <c r="O244" s="40">
        <f>K244+V244-AE244-AZ244</f>
        <v/>
      </c>
      <c r="P244" s="12" t="n"/>
      <c r="Q244" s="138" t="n"/>
      <c r="R244" s="16" t="n"/>
      <c r="S244" s="139" t="n"/>
      <c r="T244" s="16" t="n"/>
      <c r="U244" s="139" t="n"/>
      <c r="V244" s="16">
        <f>P244+R244+T244</f>
        <v/>
      </c>
      <c r="W244" s="16" t="n"/>
      <c r="X244" s="139" t="n"/>
      <c r="Y244" s="16" t="n"/>
      <c r="Z244" s="139" t="n"/>
      <c r="AA244" s="16" t="n"/>
      <c r="AB244" s="139" t="n"/>
      <c r="AC244" s="16" t="n"/>
      <c r="AD244" s="139" t="n"/>
      <c r="AE244" s="16">
        <f>(W244+Y244+AA244+AC244)</f>
        <v/>
      </c>
      <c r="AF244" s="140" t="n"/>
      <c r="AG244" s="138" t="n"/>
      <c r="AH244" s="16" t="n"/>
      <c r="AI244" s="138" t="n"/>
      <c r="AJ244" s="16" t="n"/>
      <c r="AK244" s="138" t="n"/>
      <c r="AL244" s="16" t="n"/>
      <c r="AM244" s="138" t="n"/>
      <c r="AN244" s="16" t="n"/>
      <c r="AO244" s="138" t="n"/>
      <c r="AP244" s="16" t="n"/>
      <c r="AQ244" s="138" t="n"/>
      <c r="AR244" s="16" t="n"/>
      <c r="AS244" s="138" t="n"/>
      <c r="AT244" s="16" t="n"/>
      <c r="AU244" s="138" t="n"/>
      <c r="AV244" s="16" t="n"/>
      <c r="AW244" s="138" t="n"/>
      <c r="AX244" s="16" t="n"/>
      <c r="AY244" s="138" t="n"/>
      <c r="AZ244" s="16">
        <f>AF244+AH244+AJ244+AL244+AN244+AP244+AR244+AT244+AV244+AX244</f>
        <v/>
      </c>
      <c r="BA244" s="16" t="n"/>
      <c r="BB244" s="139" t="n"/>
      <c r="BC244" s="16" t="n"/>
      <c r="BD244" s="139" t="n"/>
      <c r="BE244" s="16">
        <f>(BA244+BC244)</f>
        <v/>
      </c>
    </row>
    <row r="245" ht="21.95" customFormat="1" customHeight="1" s="8">
      <c r="A245" s="9" t="n"/>
      <c r="B245" s="136" t="inlineStr">
        <is>
          <t>ABS 난연</t>
        </is>
      </c>
      <c r="C245" s="142" t="inlineStr">
        <is>
          <t>SOLO</t>
        </is>
      </c>
      <c r="D245" s="62" t="inlineStr">
        <is>
          <t>Front_CAP</t>
        </is>
      </c>
      <c r="E245" s="36" t="inlineStr">
        <is>
          <t>ABS 메탈릭 다크그레이</t>
        </is>
      </c>
      <c r="F245" s="21" t="n"/>
      <c r="G245" s="22" t="n"/>
      <c r="H245" s="22" t="inlineStr">
        <is>
          <t>천우</t>
        </is>
      </c>
      <c r="I245" s="14" t="n"/>
      <c r="J245" s="14" t="n"/>
      <c r="K245" s="12" t="n">
        <v>500</v>
      </c>
      <c r="L245" s="9" t="n"/>
      <c r="M245" s="9" t="n"/>
      <c r="N245" s="9" t="n"/>
      <c r="O245" s="40">
        <f>K245+V245-AE245-AZ245</f>
        <v/>
      </c>
      <c r="P245" s="12" t="n"/>
      <c r="Q245" s="138" t="n"/>
      <c r="R245" s="16" t="n"/>
      <c r="S245" s="139" t="n"/>
      <c r="T245" s="16" t="n"/>
      <c r="U245" s="139" t="n"/>
      <c r="V245" s="16">
        <f>P245+R245+T245</f>
        <v/>
      </c>
      <c r="W245" s="16" t="n"/>
      <c r="X245" s="139" t="n"/>
      <c r="Y245" s="16" t="n"/>
      <c r="Z245" s="139" t="n"/>
      <c r="AA245" s="16" t="n"/>
      <c r="AB245" s="139" t="n"/>
      <c r="AC245" s="16" t="n"/>
      <c r="AD245" s="139" t="n"/>
      <c r="AE245" s="16">
        <f>(W245+Y245+AA245+AC245)</f>
        <v/>
      </c>
      <c r="AF245" s="140" t="n"/>
      <c r="AG245" s="138" t="n"/>
      <c r="AH245" s="16" t="n"/>
      <c r="AI245" s="138" t="n"/>
      <c r="AJ245" s="16" t="n"/>
      <c r="AK245" s="138" t="n"/>
      <c r="AL245" s="16" t="n"/>
      <c r="AM245" s="138" t="n"/>
      <c r="AN245" s="16" t="n"/>
      <c r="AO245" s="138" t="n"/>
      <c r="AP245" s="16" t="n"/>
      <c r="AQ245" s="138" t="n"/>
      <c r="AR245" s="16" t="n"/>
      <c r="AS245" s="138" t="n"/>
      <c r="AT245" s="16" t="n"/>
      <c r="AU245" s="138" t="n"/>
      <c r="AV245" s="16" t="n"/>
      <c r="AW245" s="138" t="n"/>
      <c r="AX245" s="16" t="n"/>
      <c r="AY245" s="138" t="n"/>
      <c r="AZ245" s="16">
        <f>AF245+AH245+AJ245+AL245+AN245+AP245+AR245+AT245+AV245+AX245</f>
        <v/>
      </c>
      <c r="BA245" s="16" t="n"/>
      <c r="BB245" s="139" t="n"/>
      <c r="BC245" s="16" t="n"/>
      <c r="BD245" s="139" t="n"/>
      <c r="BE245" s="16">
        <f>(BA245+BC245)</f>
        <v/>
      </c>
    </row>
    <row r="246" ht="21.95" customFormat="1" customHeight="1" s="8">
      <c r="A246" s="9" t="n"/>
      <c r="B246" s="136" t="inlineStr">
        <is>
          <t>ABS 난연</t>
        </is>
      </c>
      <c r="C246" s="142" t="inlineStr">
        <is>
          <t>SOLO</t>
        </is>
      </c>
      <c r="D246" s="62" t="inlineStr">
        <is>
          <t>연장 Cone</t>
        </is>
      </c>
      <c r="E246" s="36" t="inlineStr">
        <is>
          <t>ABS 메탈릭 다크그레이</t>
        </is>
      </c>
      <c r="F246" s="21" t="n"/>
      <c r="G246" s="22" t="n"/>
      <c r="H246" s="22" t="inlineStr">
        <is>
          <t>천우</t>
        </is>
      </c>
      <c r="I246" s="14" t="n"/>
      <c r="J246" s="14" t="n"/>
      <c r="K246" s="12" t="n">
        <v>139</v>
      </c>
      <c r="L246" s="9" t="n"/>
      <c r="M246" s="9" t="n"/>
      <c r="N246" s="9" t="n"/>
      <c r="O246" s="40">
        <f>K246+V246-AE246-AZ246</f>
        <v/>
      </c>
      <c r="P246" s="12" t="n"/>
      <c r="Q246" s="138" t="n"/>
      <c r="R246" s="16" t="n"/>
      <c r="S246" s="139" t="n"/>
      <c r="T246" s="16" t="n"/>
      <c r="U246" s="139" t="n"/>
      <c r="V246" s="16">
        <f>P246+R246+T246</f>
        <v/>
      </c>
      <c r="W246" s="16" t="n"/>
      <c r="X246" s="139" t="n"/>
      <c r="Y246" s="16" t="n"/>
      <c r="Z246" s="139" t="n"/>
      <c r="AA246" s="16" t="n"/>
      <c r="AB246" s="139" t="n"/>
      <c r="AC246" s="16" t="n"/>
      <c r="AD246" s="139" t="n"/>
      <c r="AE246" s="16">
        <f>(W246+Y246+AA246+AC246)</f>
        <v/>
      </c>
      <c r="AF246" s="140" t="n"/>
      <c r="AG246" s="138" t="n"/>
      <c r="AH246" s="16" t="n"/>
      <c r="AI246" s="138" t="n"/>
      <c r="AJ246" s="16" t="n"/>
      <c r="AK246" s="138" t="n"/>
      <c r="AL246" s="16" t="n"/>
      <c r="AM246" s="138" t="n"/>
      <c r="AN246" s="16" t="n"/>
      <c r="AO246" s="138" t="n"/>
      <c r="AP246" s="16" t="n"/>
      <c r="AQ246" s="138" t="n"/>
      <c r="AR246" s="16" t="n"/>
      <c r="AS246" s="138" t="n"/>
      <c r="AT246" s="16" t="n"/>
      <c r="AU246" s="138" t="n"/>
      <c r="AV246" s="16" t="n"/>
      <c r="AW246" s="138" t="n"/>
      <c r="AX246" s="16" t="n"/>
      <c r="AY246" s="138" t="n"/>
      <c r="AZ246" s="16">
        <f>AF246+AH246+AJ246+AL246+AN246+AP246+AR246+AT246+AV246+AX246</f>
        <v/>
      </c>
      <c r="BA246" s="16" t="n"/>
      <c r="BB246" s="139" t="n"/>
      <c r="BC246" s="16" t="n"/>
      <c r="BD246" s="139" t="n"/>
      <c r="BE246" s="16">
        <f>(BA246+BC246)</f>
        <v/>
      </c>
    </row>
    <row r="247" ht="21.95" customFormat="1" customHeight="1" s="8">
      <c r="A247" s="9" t="n"/>
      <c r="B247" s="136" t="inlineStr">
        <is>
          <t>ABS 난연</t>
        </is>
      </c>
      <c r="C247" s="142" t="inlineStr">
        <is>
          <t>SOLO</t>
        </is>
      </c>
      <c r="D247" s="62" t="inlineStr">
        <is>
          <t>Hand Top Cover</t>
        </is>
      </c>
      <c r="E247" s="36" t="inlineStr">
        <is>
          <t>ABS 블랙</t>
        </is>
      </c>
      <c r="F247" s="21" t="n"/>
      <c r="G247" s="22" t="n"/>
      <c r="H247" s="22" t="inlineStr">
        <is>
          <t>천우</t>
        </is>
      </c>
      <c r="I247" s="14" t="n"/>
      <c r="J247" s="14" t="n"/>
      <c r="K247" s="12" t="n">
        <v>550</v>
      </c>
      <c r="L247" s="9" t="n"/>
      <c r="M247" s="9" t="n"/>
      <c r="N247" s="9" t="n"/>
      <c r="O247" s="40">
        <f>K247+V247-AE247-AZ247</f>
        <v/>
      </c>
      <c r="P247" s="12" t="n"/>
      <c r="Q247" s="138" t="n"/>
      <c r="R247" s="16" t="n"/>
      <c r="S247" s="139" t="n"/>
      <c r="T247" s="16" t="n"/>
      <c r="U247" s="139" t="n"/>
      <c r="V247" s="16">
        <f>P247+R247+T247</f>
        <v/>
      </c>
      <c r="W247" s="16" t="n"/>
      <c r="X247" s="139" t="n"/>
      <c r="Y247" s="16" t="n"/>
      <c r="Z247" s="139" t="n"/>
      <c r="AA247" s="16" t="n"/>
      <c r="AB247" s="139" t="n"/>
      <c r="AC247" s="16" t="n"/>
      <c r="AD247" s="139" t="n"/>
      <c r="AE247" s="16">
        <f>(W247+Y247+AA247+AC247)</f>
        <v/>
      </c>
      <c r="AF247" s="140" t="n"/>
      <c r="AG247" s="138" t="n"/>
      <c r="AH247" s="16" t="n"/>
      <c r="AI247" s="138" t="n"/>
      <c r="AJ247" s="16" t="n"/>
      <c r="AK247" s="138" t="n"/>
      <c r="AL247" s="16" t="n"/>
      <c r="AM247" s="138" t="n"/>
      <c r="AN247" s="16" t="n"/>
      <c r="AO247" s="138" t="n"/>
      <c r="AP247" s="16" t="n"/>
      <c r="AQ247" s="138" t="n"/>
      <c r="AR247" s="16" t="n"/>
      <c r="AS247" s="138" t="n"/>
      <c r="AT247" s="16" t="n"/>
      <c r="AU247" s="138" t="n"/>
      <c r="AV247" s="16" t="n"/>
      <c r="AW247" s="138" t="n"/>
      <c r="AX247" s="16" t="n"/>
      <c r="AY247" s="138" t="n"/>
      <c r="AZ247" s="16">
        <f>AF247+AH247+AJ247+AL247+AN247+AP247+AR247+AT247+AV247+AX247</f>
        <v/>
      </c>
      <c r="BA247" s="16" t="n"/>
      <c r="BB247" s="139" t="n"/>
      <c r="BC247" s="16" t="n"/>
      <c r="BD247" s="139" t="n"/>
      <c r="BE247" s="16">
        <f>(BA247+BC247)</f>
        <v/>
      </c>
    </row>
    <row r="248" ht="21.95" customFormat="1" customHeight="1" s="8">
      <c r="A248" s="9" t="n"/>
      <c r="B248" s="136" t="inlineStr">
        <is>
          <t>ABS 난연</t>
        </is>
      </c>
      <c r="C248" s="142" t="inlineStr">
        <is>
          <t>SOLO</t>
        </is>
      </c>
      <c r="D248" s="62" t="inlineStr">
        <is>
          <t>Slide Switch</t>
        </is>
      </c>
      <c r="E248" s="36" t="inlineStr">
        <is>
          <t>ABS 블루(PANTTON 660C) 무광</t>
        </is>
      </c>
      <c r="F248" s="21" t="n"/>
      <c r="G248" s="22" t="n"/>
      <c r="H248" s="22" t="inlineStr">
        <is>
          <t>천우</t>
        </is>
      </c>
      <c r="I248" s="14" t="n"/>
      <c r="J248" s="14" t="n"/>
      <c r="K248" s="12" t="n">
        <v>551</v>
      </c>
      <c r="L248" s="9" t="n"/>
      <c r="M248" s="9" t="n"/>
      <c r="N248" s="9" t="n"/>
      <c r="O248" s="40">
        <f>K248+V248-AE248-AZ248</f>
        <v/>
      </c>
      <c r="P248" s="12" t="n"/>
      <c r="Q248" s="138" t="n"/>
      <c r="R248" s="16" t="n"/>
      <c r="S248" s="139" t="n"/>
      <c r="T248" s="16" t="n"/>
      <c r="U248" s="139" t="n"/>
      <c r="V248" s="16">
        <f>P248+R248+T248</f>
        <v/>
      </c>
      <c r="W248" s="16" t="n"/>
      <c r="X248" s="139" t="n"/>
      <c r="Y248" s="16" t="n"/>
      <c r="Z248" s="139" t="n"/>
      <c r="AA248" s="16" t="n"/>
      <c r="AB248" s="139" t="n"/>
      <c r="AC248" s="16" t="n"/>
      <c r="AD248" s="139" t="n"/>
      <c r="AE248" s="16">
        <f>(W248+Y248+AA248+AC248)</f>
        <v/>
      </c>
      <c r="AF248" s="140" t="n"/>
      <c r="AG248" s="138" t="n"/>
      <c r="AH248" s="16" t="n"/>
      <c r="AI248" s="138" t="n"/>
      <c r="AJ248" s="16" t="n"/>
      <c r="AK248" s="138" t="n"/>
      <c r="AL248" s="16" t="n"/>
      <c r="AM248" s="138" t="n"/>
      <c r="AN248" s="16" t="n"/>
      <c r="AO248" s="138" t="n"/>
      <c r="AP248" s="16" t="n"/>
      <c r="AQ248" s="138" t="n"/>
      <c r="AR248" s="16" t="n"/>
      <c r="AS248" s="138" t="n"/>
      <c r="AT248" s="16" t="n"/>
      <c r="AU248" s="138" t="n"/>
      <c r="AV248" s="16" t="n"/>
      <c r="AW248" s="138" t="n"/>
      <c r="AX248" s="16" t="n"/>
      <c r="AY248" s="138" t="n"/>
      <c r="AZ248" s="16">
        <f>AF248+AH248+AJ248+AL248+AN248+AP248+AR248+AT248+AV248+AX248</f>
        <v/>
      </c>
      <c r="BA248" s="16" t="n"/>
      <c r="BB248" s="139" t="n"/>
      <c r="BC248" s="16" t="n"/>
      <c r="BD248" s="139" t="n"/>
      <c r="BE248" s="16">
        <f>(BA248+BC248)</f>
        <v/>
      </c>
    </row>
    <row r="249" ht="21.95" customFormat="1" customHeight="1" s="8">
      <c r="A249" s="9" t="n"/>
      <c r="B249" s="136" t="inlineStr">
        <is>
          <t>ABS 난연</t>
        </is>
      </c>
      <c r="C249" s="142" t="inlineStr">
        <is>
          <t>SOLO</t>
        </is>
      </c>
      <c r="D249" s="62" t="inlineStr">
        <is>
          <t>Slide Switch Cap</t>
        </is>
      </c>
      <c r="E249" s="36" t="inlineStr">
        <is>
          <t>ABS 레드 무광</t>
        </is>
      </c>
      <c r="F249" s="21" t="n"/>
      <c r="G249" s="22" t="n"/>
      <c r="H249" s="22" t="inlineStr">
        <is>
          <t>천우</t>
        </is>
      </c>
      <c r="I249" s="14" t="n"/>
      <c r="J249" s="14" t="n"/>
      <c r="K249" s="12" t="n">
        <v>552</v>
      </c>
      <c r="L249" s="9" t="n"/>
      <c r="M249" s="9" t="n"/>
      <c r="N249" s="9" t="n"/>
      <c r="O249" s="40">
        <f>K249+V249-AE249-AZ249</f>
        <v/>
      </c>
      <c r="P249" s="12" t="n"/>
      <c r="Q249" s="138" t="n"/>
      <c r="R249" s="16" t="n"/>
      <c r="S249" s="139" t="n"/>
      <c r="T249" s="16" t="n"/>
      <c r="U249" s="139" t="n"/>
      <c r="V249" s="16">
        <f>P249+R249+T249</f>
        <v/>
      </c>
      <c r="W249" s="16" t="n"/>
      <c r="X249" s="139" t="n"/>
      <c r="Y249" s="16" t="n"/>
      <c r="Z249" s="139" t="n"/>
      <c r="AA249" s="16" t="n"/>
      <c r="AB249" s="139" t="n"/>
      <c r="AC249" s="16" t="n"/>
      <c r="AD249" s="139" t="n"/>
      <c r="AE249" s="16">
        <f>(W249+Y249+AA249+AC249)</f>
        <v/>
      </c>
      <c r="AF249" s="140" t="n"/>
      <c r="AG249" s="138" t="n"/>
      <c r="AH249" s="16" t="n"/>
      <c r="AI249" s="138" t="n"/>
      <c r="AJ249" s="16" t="n"/>
      <c r="AK249" s="138" t="n"/>
      <c r="AL249" s="16" t="n"/>
      <c r="AM249" s="138" t="n"/>
      <c r="AN249" s="16" t="n"/>
      <c r="AO249" s="138" t="n"/>
      <c r="AP249" s="16" t="n"/>
      <c r="AQ249" s="138" t="n"/>
      <c r="AR249" s="16" t="n"/>
      <c r="AS249" s="138" t="n"/>
      <c r="AT249" s="16" t="n"/>
      <c r="AU249" s="138" t="n"/>
      <c r="AV249" s="16" t="n"/>
      <c r="AW249" s="138" t="n"/>
      <c r="AX249" s="16" t="n"/>
      <c r="AY249" s="138" t="n"/>
      <c r="AZ249" s="16">
        <f>AF249+AH249+AJ249+AL249+AN249+AP249+AR249+AT249+AV249+AX249</f>
        <v/>
      </c>
      <c r="BA249" s="16" t="n"/>
      <c r="BB249" s="139" t="n"/>
      <c r="BC249" s="16" t="n"/>
      <c r="BD249" s="139" t="n"/>
      <c r="BE249" s="16">
        <f>(BA249+BC249)</f>
        <v/>
      </c>
    </row>
    <row r="250" ht="21.95" customFormat="1" customHeight="1" s="8">
      <c r="A250" s="9" t="n"/>
      <c r="B250" s="136" t="inlineStr">
        <is>
          <t>ABS 난연</t>
        </is>
      </c>
      <c r="C250" s="142" t="inlineStr">
        <is>
          <t>SOLO</t>
        </is>
      </c>
      <c r="D250" s="62" t="inlineStr">
        <is>
          <t>Shot_Button</t>
        </is>
      </c>
      <c r="E250" s="36" t="inlineStr">
        <is>
          <t>ABS 메탈릭 다크그레이</t>
        </is>
      </c>
      <c r="F250" s="21" t="n"/>
      <c r="G250" s="22" t="n"/>
      <c r="H250" s="22" t="inlineStr">
        <is>
          <t>천우</t>
        </is>
      </c>
      <c r="I250" s="14" t="n"/>
      <c r="J250" s="14" t="n"/>
      <c r="K250" s="12" t="n">
        <v>53</v>
      </c>
      <c r="L250" s="9" t="n"/>
      <c r="M250" s="9" t="n"/>
      <c r="N250" s="9" t="n"/>
      <c r="O250" s="40">
        <f>K250+V250-AE250-AZ250</f>
        <v/>
      </c>
      <c r="P250" s="12" t="n"/>
      <c r="Q250" s="138" t="n"/>
      <c r="R250" s="16" t="n"/>
      <c r="S250" s="139" t="n"/>
      <c r="T250" s="16" t="n"/>
      <c r="U250" s="139" t="n"/>
      <c r="V250" s="16">
        <f>P250+R250+T250</f>
        <v/>
      </c>
      <c r="W250" s="16" t="n"/>
      <c r="X250" s="139" t="n"/>
      <c r="Y250" s="16" t="n"/>
      <c r="Z250" s="139" t="n"/>
      <c r="AA250" s="16" t="n"/>
      <c r="AB250" s="139" t="n"/>
      <c r="AC250" s="16" t="n"/>
      <c r="AD250" s="139" t="n"/>
      <c r="AE250" s="16">
        <f>(W250+Y250+AA250+AC250)</f>
        <v/>
      </c>
      <c r="AF250" s="140" t="n"/>
      <c r="AG250" s="138" t="n"/>
      <c r="AH250" s="16" t="n"/>
      <c r="AI250" s="138" t="n"/>
      <c r="AJ250" s="16" t="n"/>
      <c r="AK250" s="138" t="n"/>
      <c r="AL250" s="16" t="n"/>
      <c r="AM250" s="138" t="n"/>
      <c r="AN250" s="16" t="n"/>
      <c r="AO250" s="138" t="n"/>
      <c r="AP250" s="16" t="n"/>
      <c r="AQ250" s="138" t="n"/>
      <c r="AR250" s="16" t="n"/>
      <c r="AS250" s="138" t="n"/>
      <c r="AT250" s="16" t="n"/>
      <c r="AU250" s="138" t="n"/>
      <c r="AV250" s="16" t="n"/>
      <c r="AW250" s="138" t="n"/>
      <c r="AX250" s="16" t="n"/>
      <c r="AY250" s="138" t="n"/>
      <c r="AZ250" s="16">
        <f>AF250+AH250+AJ250+AL250+AN250+AP250+AR250+AT250+AV250+AX250</f>
        <v/>
      </c>
      <c r="BA250" s="16" t="n"/>
      <c r="BB250" s="139" t="n"/>
      <c r="BC250" s="16" t="n"/>
      <c r="BD250" s="139" t="n"/>
      <c r="BE250" s="16">
        <f>(BA250+BC250)</f>
        <v/>
      </c>
    </row>
    <row r="251" ht="21.95" customFormat="1" customHeight="1" s="8">
      <c r="A251" s="9" t="n"/>
      <c r="B251" s="136" t="inlineStr">
        <is>
          <t>ABS 난연</t>
        </is>
      </c>
      <c r="C251" s="142" t="inlineStr">
        <is>
          <t>SOLO</t>
        </is>
      </c>
      <c r="D251" s="62" t="inlineStr">
        <is>
          <t>Shot_PCB_Guide</t>
        </is>
      </c>
      <c r="E251" s="36" t="n"/>
      <c r="F251" s="21" t="n"/>
      <c r="G251" s="22" t="n"/>
      <c r="H251" s="22" t="inlineStr">
        <is>
          <t>천우</t>
        </is>
      </c>
      <c r="I251" s="14" t="n"/>
      <c r="J251" s="14" t="n"/>
      <c r="K251" s="12" t="n">
        <v>552</v>
      </c>
      <c r="L251" s="9" t="n"/>
      <c r="M251" s="9" t="n"/>
      <c r="N251" s="9" t="n"/>
      <c r="O251" s="40">
        <f>K251+V251-AE251-AZ251</f>
        <v/>
      </c>
      <c r="P251" s="12" t="n"/>
      <c r="Q251" s="138" t="n"/>
      <c r="R251" s="16" t="n"/>
      <c r="S251" s="139" t="n"/>
      <c r="T251" s="16" t="n"/>
      <c r="U251" s="139" t="n"/>
      <c r="V251" s="16">
        <f>P251+R251+T251</f>
        <v/>
      </c>
      <c r="W251" s="16" t="n"/>
      <c r="X251" s="139" t="n"/>
      <c r="Y251" s="16" t="n"/>
      <c r="Z251" s="139" t="n"/>
      <c r="AA251" s="16" t="n"/>
      <c r="AB251" s="139" t="n"/>
      <c r="AC251" s="16" t="n"/>
      <c r="AD251" s="139" t="n"/>
      <c r="AE251" s="16">
        <f>(W251+Y251+AA251+AC251)</f>
        <v/>
      </c>
      <c r="AF251" s="140" t="n"/>
      <c r="AG251" s="138" t="n"/>
      <c r="AH251" s="16" t="n"/>
      <c r="AI251" s="138" t="n"/>
      <c r="AJ251" s="16" t="n"/>
      <c r="AK251" s="138" t="n"/>
      <c r="AL251" s="16" t="n"/>
      <c r="AM251" s="138" t="n"/>
      <c r="AN251" s="16" t="n"/>
      <c r="AO251" s="138" t="n"/>
      <c r="AP251" s="16" t="n"/>
      <c r="AQ251" s="138" t="n"/>
      <c r="AR251" s="16" t="n"/>
      <c r="AS251" s="138" t="n"/>
      <c r="AT251" s="16" t="n"/>
      <c r="AU251" s="138" t="n"/>
      <c r="AV251" s="16" t="n"/>
      <c r="AW251" s="138" t="n"/>
      <c r="AX251" s="16" t="n"/>
      <c r="AY251" s="138" t="n"/>
      <c r="AZ251" s="16">
        <f>AF251+AH251+AJ251+AL251+AN251+AP251+AR251+AT251+AV251+AX251</f>
        <v/>
      </c>
      <c r="BA251" s="16" t="n"/>
      <c r="BB251" s="139" t="n"/>
      <c r="BC251" s="16" t="n"/>
      <c r="BD251" s="139" t="n"/>
      <c r="BE251" s="16">
        <f>(BA251+BC251)</f>
        <v/>
      </c>
    </row>
    <row r="252" ht="21.95" customFormat="1" customHeight="1" s="8">
      <c r="A252" s="9" t="n"/>
      <c r="B252" s="136" t="inlineStr">
        <is>
          <t>ABS 난연</t>
        </is>
      </c>
      <c r="C252" s="142" t="inlineStr">
        <is>
          <t>SOLO</t>
        </is>
      </c>
      <c r="D252" s="62" t="inlineStr">
        <is>
          <t>Bat_Bottom_Cover</t>
        </is>
      </c>
      <c r="E252" s="36" t="inlineStr">
        <is>
          <t>ABS 블랙 샌딩</t>
        </is>
      </c>
      <c r="F252" s="21" t="n"/>
      <c r="G252" s="22" t="n"/>
      <c r="H252" s="22" t="inlineStr">
        <is>
          <t>천우</t>
        </is>
      </c>
      <c r="I252" s="14" t="n"/>
      <c r="J252" s="14" t="n"/>
      <c r="K252" s="12" t="n">
        <v>0</v>
      </c>
      <c r="L252" s="9" t="n"/>
      <c r="M252" s="9" t="n"/>
      <c r="N252" s="9" t="n"/>
      <c r="O252" s="40">
        <f>K252+V252-AE252-AZ252</f>
        <v/>
      </c>
      <c r="P252" s="12" t="n"/>
      <c r="Q252" s="138" t="n"/>
      <c r="R252" s="16" t="n"/>
      <c r="S252" s="139" t="n"/>
      <c r="T252" s="16" t="n"/>
      <c r="U252" s="139" t="n"/>
      <c r="V252" s="16">
        <f>P252+R252+T252</f>
        <v/>
      </c>
      <c r="W252" s="16" t="n"/>
      <c r="X252" s="139" t="n"/>
      <c r="Y252" s="16" t="n"/>
      <c r="Z252" s="139" t="n"/>
      <c r="AA252" s="16" t="n"/>
      <c r="AB252" s="139" t="n"/>
      <c r="AC252" s="16" t="n"/>
      <c r="AD252" s="139" t="n"/>
      <c r="AE252" s="16">
        <f>(W252+Y252+AA252+AC252)</f>
        <v/>
      </c>
      <c r="AF252" s="140" t="n"/>
      <c r="AG252" s="138" t="n"/>
      <c r="AH252" s="16" t="n"/>
      <c r="AI252" s="138" t="n"/>
      <c r="AJ252" s="16" t="n"/>
      <c r="AK252" s="138" t="n"/>
      <c r="AL252" s="16" t="n"/>
      <c r="AM252" s="138" t="n"/>
      <c r="AN252" s="16" t="n"/>
      <c r="AO252" s="138" t="n"/>
      <c r="AP252" s="16" t="n"/>
      <c r="AQ252" s="138" t="n"/>
      <c r="AR252" s="16" t="n"/>
      <c r="AS252" s="138" t="n"/>
      <c r="AT252" s="16" t="n"/>
      <c r="AU252" s="138" t="n"/>
      <c r="AV252" s="16" t="n"/>
      <c r="AW252" s="138" t="n"/>
      <c r="AX252" s="16" t="n"/>
      <c r="AY252" s="138" t="n"/>
      <c r="AZ252" s="16">
        <f>AF252+AH252+AJ252+AL252+AN252+AP252+AR252+AT252+AV252+AX252</f>
        <v/>
      </c>
      <c r="BA252" s="16" t="n"/>
      <c r="BB252" s="139" t="n"/>
      <c r="BC252" s="16" t="n"/>
      <c r="BD252" s="139" t="n"/>
      <c r="BE252" s="16">
        <f>(BA252+BC252)</f>
        <v/>
      </c>
    </row>
    <row r="253" ht="21.95" customFormat="1" customHeight="1" s="8">
      <c r="A253" s="9" t="n"/>
      <c r="B253" s="136" t="inlineStr">
        <is>
          <t>아크릴</t>
        </is>
      </c>
      <c r="C253" s="142" t="inlineStr">
        <is>
          <t>SOLO</t>
        </is>
      </c>
      <c r="D253" s="62" t="inlineStr">
        <is>
          <t>Aiming_Light_LED_아크릴</t>
        </is>
      </c>
      <c r="E253" s="102" t="inlineStr">
        <is>
          <t>확산 아크릴/ 화이트</t>
        </is>
      </c>
      <c r="F253" s="21" t="n"/>
      <c r="G253" s="22" t="n"/>
      <c r="H253" s="22" t="inlineStr">
        <is>
          <t>천우</t>
        </is>
      </c>
      <c r="I253" s="14" t="n"/>
      <c r="J253" s="14" t="n"/>
      <c r="K253" s="12" t="n">
        <v>527</v>
      </c>
      <c r="L253" s="9" t="n"/>
      <c r="M253" s="9" t="n"/>
      <c r="N253" s="9" t="n"/>
      <c r="O253" s="40">
        <f>K253+V253-AE253-AZ253</f>
        <v/>
      </c>
      <c r="P253" s="12" t="n"/>
      <c r="Q253" s="138" t="n"/>
      <c r="R253" s="16" t="n"/>
      <c r="S253" s="139" t="n"/>
      <c r="T253" s="16" t="n"/>
      <c r="U253" s="139" t="n"/>
      <c r="V253" s="16">
        <f>P253+R253+T253</f>
        <v/>
      </c>
      <c r="W253" s="16" t="n"/>
      <c r="X253" s="139" t="n"/>
      <c r="Y253" s="16" t="n"/>
      <c r="Z253" s="139" t="n"/>
      <c r="AA253" s="16" t="n"/>
      <c r="AB253" s="139" t="n"/>
      <c r="AC253" s="16" t="n"/>
      <c r="AD253" s="139" t="n"/>
      <c r="AE253" s="16">
        <f>(W253+Y253+AA253+AC253)</f>
        <v/>
      </c>
      <c r="AF253" s="140" t="n"/>
      <c r="AG253" s="138" t="n"/>
      <c r="AH253" s="16" t="n"/>
      <c r="AI253" s="138" t="n"/>
      <c r="AJ253" s="16" t="n"/>
      <c r="AK253" s="138" t="n"/>
      <c r="AL253" s="16" t="n"/>
      <c r="AM253" s="138" t="n"/>
      <c r="AN253" s="16" t="n"/>
      <c r="AO253" s="138" t="n"/>
      <c r="AP253" s="16" t="n"/>
      <c r="AQ253" s="138" t="n"/>
      <c r="AR253" s="16" t="n"/>
      <c r="AS253" s="138" t="n"/>
      <c r="AT253" s="16" t="n"/>
      <c r="AU253" s="138" t="n"/>
      <c r="AV253" s="16" t="n"/>
      <c r="AW253" s="138" t="n"/>
      <c r="AX253" s="16" t="n"/>
      <c r="AY253" s="138" t="n"/>
      <c r="AZ253" s="16">
        <f>AF253+AH253+AJ253+AL253+AN253+AP253+AR253+AT253+AV253+AX253</f>
        <v/>
      </c>
      <c r="BA253" s="16" t="n"/>
      <c r="BB253" s="139" t="n"/>
      <c r="BC253" s="16" t="n"/>
      <c r="BD253" s="139" t="n"/>
      <c r="BE253" s="16">
        <f>(BA253+BC253)</f>
        <v/>
      </c>
    </row>
    <row r="254" ht="21.95" customFormat="1" customHeight="1" s="8">
      <c r="A254" s="9" t="n"/>
      <c r="B254" s="136" t="inlineStr">
        <is>
          <t>아크릴</t>
        </is>
      </c>
      <c r="C254" s="142" t="inlineStr">
        <is>
          <t>SOLO</t>
        </is>
      </c>
      <c r="D254" s="62" t="inlineStr">
        <is>
          <t>LCD_Window</t>
        </is>
      </c>
      <c r="E254" s="36" t="inlineStr">
        <is>
          <t>PC / 투명 + (구형 26)</t>
        </is>
      </c>
      <c r="F254" s="21" t="n"/>
      <c r="G254" s="22" t="n"/>
      <c r="H254" s="22" t="inlineStr">
        <is>
          <t>천우</t>
        </is>
      </c>
      <c r="I254" s="14" t="n"/>
      <c r="J254" s="14" t="n"/>
      <c r="K254" s="12" t="n">
        <v>493</v>
      </c>
      <c r="L254" s="9" t="n"/>
      <c r="M254" s="9" t="n"/>
      <c r="N254" s="9" t="n"/>
      <c r="O254" s="40">
        <f>K254+V254-AE254-AZ254</f>
        <v/>
      </c>
      <c r="P254" s="12" t="n"/>
      <c r="Q254" s="138" t="n"/>
      <c r="R254" s="16" t="n"/>
      <c r="S254" s="139" t="n"/>
      <c r="T254" s="16" t="n"/>
      <c r="U254" s="139" t="n"/>
      <c r="V254" s="16">
        <f>P254+R254+T254</f>
        <v/>
      </c>
      <c r="W254" s="16" t="n"/>
      <c r="X254" s="139" t="n"/>
      <c r="Y254" s="16" t="n"/>
      <c r="Z254" s="139" t="n"/>
      <c r="AA254" s="16" t="n"/>
      <c r="AB254" s="139" t="n"/>
      <c r="AC254" s="16" t="n"/>
      <c r="AD254" s="139" t="n"/>
      <c r="AE254" s="16">
        <f>(W254+Y254+AA254+AC254)</f>
        <v/>
      </c>
      <c r="AF254" s="140" t="n"/>
      <c r="AG254" s="138" t="n"/>
      <c r="AH254" s="16" t="n"/>
      <c r="AI254" s="138" t="n"/>
      <c r="AJ254" s="16" t="n"/>
      <c r="AK254" s="138" t="n"/>
      <c r="AL254" s="16" t="n"/>
      <c r="AM254" s="138" t="n"/>
      <c r="AN254" s="16" t="n"/>
      <c r="AO254" s="138" t="n"/>
      <c r="AP254" s="16" t="n"/>
      <c r="AQ254" s="138" t="n"/>
      <c r="AR254" s="16" t="n"/>
      <c r="AS254" s="138" t="n"/>
      <c r="AT254" s="16" t="n"/>
      <c r="AU254" s="138" t="n"/>
      <c r="AV254" s="16" t="n"/>
      <c r="AW254" s="138" t="n"/>
      <c r="AX254" s="16" t="n"/>
      <c r="AY254" s="138" t="n"/>
      <c r="AZ254" s="16">
        <f>AF254+AH254+AJ254+AL254+AN254+AP254+AR254+AT254+AV254+AX254</f>
        <v/>
      </c>
      <c r="BA254" s="16" t="n"/>
      <c r="BB254" s="139" t="n"/>
      <c r="BC254" s="16" t="n"/>
      <c r="BD254" s="139" t="n"/>
      <c r="BE254" s="16">
        <f>(BA254+BC254)</f>
        <v/>
      </c>
    </row>
    <row r="255" ht="21.95" customFormat="1" customHeight="1" s="8">
      <c r="A255" s="9" t="n"/>
      <c r="B255" s="136" t="inlineStr">
        <is>
          <t>아크릴</t>
        </is>
      </c>
      <c r="C255" s="142" t="inlineStr">
        <is>
          <t>SOLO</t>
        </is>
      </c>
      <c r="D255" s="62" t="inlineStr">
        <is>
          <t>LCD_LED_확산_아크릴</t>
        </is>
      </c>
      <c r="E255" s="102" t="inlineStr">
        <is>
          <t>확산 아크릴/ 화이트</t>
        </is>
      </c>
      <c r="F255" s="21" t="n"/>
      <c r="G255" s="22" t="n"/>
      <c r="H255" s="22" t="inlineStr">
        <is>
          <t>천우</t>
        </is>
      </c>
      <c r="I255" s="14" t="n"/>
      <c r="J255" s="14" t="n"/>
      <c r="K255" s="12" t="n">
        <v>554</v>
      </c>
      <c r="L255" s="9" t="n"/>
      <c r="M255" s="9" t="n"/>
      <c r="N255" s="9" t="n"/>
      <c r="O255" s="40">
        <f>K255+V255-AE255-AZ255</f>
        <v/>
      </c>
      <c r="P255" s="12" t="n"/>
      <c r="Q255" s="138" t="n"/>
      <c r="R255" s="16" t="n"/>
      <c r="S255" s="139" t="n"/>
      <c r="T255" s="16" t="n"/>
      <c r="U255" s="139" t="n"/>
      <c r="V255" s="16">
        <f>P255+R255+T255</f>
        <v/>
      </c>
      <c r="W255" s="16" t="n"/>
      <c r="X255" s="139" t="n"/>
      <c r="Y255" s="16" t="n"/>
      <c r="Z255" s="139" t="n"/>
      <c r="AA255" s="16" t="n"/>
      <c r="AB255" s="139" t="n"/>
      <c r="AC255" s="16" t="n"/>
      <c r="AD255" s="139" t="n"/>
      <c r="AE255" s="16">
        <f>(W255+Y255+AA255+AC255)</f>
        <v/>
      </c>
      <c r="AF255" s="140" t="n"/>
      <c r="AG255" s="138" t="n"/>
      <c r="AH255" s="16" t="n"/>
      <c r="AI255" s="138" t="n"/>
      <c r="AJ255" s="16" t="n"/>
      <c r="AK255" s="138" t="n"/>
      <c r="AL255" s="16" t="n"/>
      <c r="AM255" s="138" t="n"/>
      <c r="AN255" s="16" t="n"/>
      <c r="AO255" s="138" t="n"/>
      <c r="AP255" s="16" t="n"/>
      <c r="AQ255" s="138" t="n"/>
      <c r="AR255" s="16" t="n"/>
      <c r="AS255" s="138" t="n"/>
      <c r="AT255" s="16" t="n"/>
      <c r="AU255" s="138" t="n"/>
      <c r="AV255" s="16" t="n"/>
      <c r="AW255" s="138" t="n"/>
      <c r="AX255" s="16" t="n"/>
      <c r="AY255" s="138" t="n"/>
      <c r="AZ255" s="16">
        <f>AF255+AH255+AJ255+AL255+AN255+AP255+AR255+AT255+AV255+AX255</f>
        <v/>
      </c>
      <c r="BA255" s="16" t="n"/>
      <c r="BB255" s="139" t="n"/>
      <c r="BC255" s="16" t="n"/>
      <c r="BD255" s="139" t="n"/>
      <c r="BE255" s="16">
        <f>(BA255+BC255)</f>
        <v/>
      </c>
    </row>
    <row r="256" ht="21.95" customFormat="1" customHeight="1" s="8">
      <c r="A256" s="9" t="n"/>
      <c r="B256" s="136" t="inlineStr">
        <is>
          <t>아크릴</t>
        </is>
      </c>
      <c r="C256" s="142" t="inlineStr">
        <is>
          <t>SOLO</t>
        </is>
      </c>
      <c r="D256" s="62" t="inlineStr">
        <is>
          <t>광센서_유색_창</t>
        </is>
      </c>
      <c r="E256" s="36" t="inlineStr">
        <is>
          <t>PC/스모그/퍼플</t>
        </is>
      </c>
      <c r="F256" s="21" t="n"/>
      <c r="G256" s="22" t="n"/>
      <c r="H256" s="22" t="inlineStr">
        <is>
          <t>천우</t>
        </is>
      </c>
      <c r="I256" s="14" t="n"/>
      <c r="J256" s="14" t="n"/>
      <c r="K256" s="12" t="n">
        <v>476</v>
      </c>
      <c r="L256" s="9" t="n"/>
      <c r="M256" s="9" t="n"/>
      <c r="N256" s="9" t="n"/>
      <c r="O256" s="40">
        <f>K256+V256-AE256-AZ256</f>
        <v/>
      </c>
      <c r="P256" s="12" t="n"/>
      <c r="Q256" s="138" t="n"/>
      <c r="R256" s="16" t="n"/>
      <c r="S256" s="139" t="n"/>
      <c r="T256" s="16" t="n"/>
      <c r="U256" s="139" t="n"/>
      <c r="V256" s="16">
        <f>P256+R256+T256</f>
        <v/>
      </c>
      <c r="W256" s="16" t="n"/>
      <c r="X256" s="139" t="n"/>
      <c r="Y256" s="16" t="n"/>
      <c r="Z256" s="139" t="n"/>
      <c r="AA256" s="16" t="n"/>
      <c r="AB256" s="139" t="n"/>
      <c r="AC256" s="16" t="n"/>
      <c r="AD256" s="139" t="n"/>
      <c r="AE256" s="16">
        <f>(W256+Y256+AA256+AC256)</f>
        <v/>
      </c>
      <c r="AF256" s="140" t="n"/>
      <c r="AG256" s="138" t="n"/>
      <c r="AH256" s="16" t="n"/>
      <c r="AI256" s="138" t="n"/>
      <c r="AJ256" s="16" t="n"/>
      <c r="AK256" s="138" t="n"/>
      <c r="AL256" s="16" t="n"/>
      <c r="AM256" s="138" t="n"/>
      <c r="AN256" s="16" t="n"/>
      <c r="AO256" s="138" t="n"/>
      <c r="AP256" s="16" t="n"/>
      <c r="AQ256" s="138" t="n"/>
      <c r="AR256" s="16" t="n"/>
      <c r="AS256" s="138" t="n"/>
      <c r="AT256" s="16" t="n"/>
      <c r="AU256" s="138" t="n"/>
      <c r="AV256" s="16" t="n"/>
      <c r="AW256" s="138" t="n"/>
      <c r="AX256" s="16" t="n"/>
      <c r="AY256" s="138" t="n"/>
      <c r="AZ256" s="16">
        <f>AF256+AH256+AJ256+AL256+AN256+AP256+AR256+AT256+AV256+AX256</f>
        <v/>
      </c>
      <c r="BA256" s="16" t="n"/>
      <c r="BB256" s="139" t="n"/>
      <c r="BC256" s="16" t="n"/>
      <c r="BD256" s="139" t="n"/>
      <c r="BE256" s="16">
        <f>(BA256+BC256)</f>
        <v/>
      </c>
    </row>
    <row r="257" ht="21.95" customFormat="1" customHeight="1" s="8">
      <c r="A257" s="9" t="n"/>
      <c r="B257" s="136" t="inlineStr">
        <is>
          <t>아크릴</t>
        </is>
      </c>
      <c r="C257" s="142" t="inlineStr">
        <is>
          <t>SOLO</t>
        </is>
      </c>
      <c r="D257" s="62" t="inlineStr">
        <is>
          <t>BAT_LED_확산_아크릴</t>
        </is>
      </c>
      <c r="E257" s="102" t="inlineStr">
        <is>
          <t>확산 아크릴/ 화이트</t>
        </is>
      </c>
      <c r="F257" s="21" t="n"/>
      <c r="G257" s="22" t="n"/>
      <c r="H257" s="22" t="inlineStr">
        <is>
          <t>천우</t>
        </is>
      </c>
      <c r="I257" s="14" t="n"/>
      <c r="J257" s="14" t="n"/>
      <c r="K257" s="12" t="n">
        <v>548</v>
      </c>
      <c r="L257" s="9" t="n"/>
      <c r="M257" s="9" t="n"/>
      <c r="N257" s="9" t="n"/>
      <c r="O257" s="40">
        <f>K257+V257-AE257-AZ257</f>
        <v/>
      </c>
      <c r="P257" s="12" t="n"/>
      <c r="Q257" s="138" t="n"/>
      <c r="R257" s="16" t="n"/>
      <c r="S257" s="139" t="n"/>
      <c r="T257" s="16" t="n"/>
      <c r="U257" s="139" t="n"/>
      <c r="V257" s="16">
        <f>P257+R257+T257</f>
        <v/>
      </c>
      <c r="W257" s="16" t="n"/>
      <c r="X257" s="139" t="n"/>
      <c r="Y257" s="16" t="n"/>
      <c r="Z257" s="139" t="n"/>
      <c r="AA257" s="16" t="n"/>
      <c r="AB257" s="139" t="n"/>
      <c r="AC257" s="16" t="n"/>
      <c r="AD257" s="139" t="n"/>
      <c r="AE257" s="16">
        <f>(W257+Y257+AA257+AC257)</f>
        <v/>
      </c>
      <c r="AF257" s="140" t="n"/>
      <c r="AG257" s="138" t="n"/>
      <c r="AH257" s="16" t="n"/>
      <c r="AI257" s="138" t="n"/>
      <c r="AJ257" s="16" t="n"/>
      <c r="AK257" s="138" t="n"/>
      <c r="AL257" s="16" t="n"/>
      <c r="AM257" s="138" t="n"/>
      <c r="AN257" s="16" t="n"/>
      <c r="AO257" s="138" t="n"/>
      <c r="AP257" s="16" t="n"/>
      <c r="AQ257" s="138" t="n"/>
      <c r="AR257" s="16" t="n"/>
      <c r="AS257" s="138" t="n"/>
      <c r="AT257" s="16" t="n"/>
      <c r="AU257" s="138" t="n"/>
      <c r="AV257" s="16" t="n"/>
      <c r="AW257" s="138" t="n"/>
      <c r="AX257" s="16" t="n"/>
      <c r="AY257" s="138" t="n"/>
      <c r="AZ257" s="16">
        <f>AF257+AH257+AJ257+AL257+AN257+AP257+AR257+AT257+AV257+AX257</f>
        <v/>
      </c>
      <c r="BA257" s="16" t="n"/>
      <c r="BB257" s="139" t="n"/>
      <c r="BC257" s="16" t="n"/>
      <c r="BD257" s="139" t="n"/>
      <c r="BE257" s="16">
        <f>(BA257+BC257)</f>
        <v/>
      </c>
    </row>
    <row r="258" ht="21.95" customFormat="1" customHeight="1" s="8">
      <c r="A258" s="9" t="n"/>
      <c r="B258" s="136" t="inlineStr">
        <is>
          <t>가스켓</t>
        </is>
      </c>
      <c r="C258" s="142" t="inlineStr">
        <is>
          <t>SOLO</t>
        </is>
      </c>
      <c r="D258" s="62" t="inlineStr">
        <is>
          <t>LCD 터치가스켓</t>
        </is>
      </c>
      <c r="E258" s="36" t="inlineStr">
        <is>
          <t>8X8X7</t>
        </is>
      </c>
      <c r="F258" s="21" t="n"/>
      <c r="G258" s="22" t="n"/>
      <c r="H258" s="22" t="n"/>
      <c r="I258" s="14" t="n"/>
      <c r="J258" s="14" t="n"/>
      <c r="K258" s="12" t="n">
        <v>1499</v>
      </c>
      <c r="L258" s="9" t="n"/>
      <c r="M258" s="9" t="n"/>
      <c r="N258" s="9" t="n"/>
      <c r="O258" s="40">
        <f>K258+V258-AE258-AZ258</f>
        <v/>
      </c>
      <c r="P258" s="12" t="n"/>
      <c r="Q258" s="138" t="n"/>
      <c r="R258" s="16" t="n"/>
      <c r="S258" s="139" t="n"/>
      <c r="T258" s="16" t="n"/>
      <c r="U258" s="139" t="n"/>
      <c r="V258" s="16">
        <f>P258+R258+T258</f>
        <v/>
      </c>
      <c r="W258" s="16" t="n"/>
      <c r="X258" s="139" t="n"/>
      <c r="Y258" s="16" t="n"/>
      <c r="Z258" s="139" t="n"/>
      <c r="AA258" s="16" t="n"/>
      <c r="AB258" s="139" t="n"/>
      <c r="AC258" s="16" t="n"/>
      <c r="AD258" s="139" t="n"/>
      <c r="AE258" s="16">
        <f>(W258+Y258+AA258+AC258)</f>
        <v/>
      </c>
      <c r="AF258" s="140" t="n"/>
      <c r="AG258" s="138" t="n"/>
      <c r="AH258" s="16" t="n"/>
      <c r="AI258" s="138" t="n"/>
      <c r="AJ258" s="16" t="n"/>
      <c r="AK258" s="138" t="n"/>
      <c r="AL258" s="16" t="n"/>
      <c r="AM258" s="138" t="n"/>
      <c r="AN258" s="16" t="n"/>
      <c r="AO258" s="138" t="n"/>
      <c r="AP258" s="16" t="n"/>
      <c r="AQ258" s="138" t="n"/>
      <c r="AR258" s="16" t="n"/>
      <c r="AS258" s="138" t="n"/>
      <c r="AT258" s="16" t="n"/>
      <c r="AU258" s="138" t="n"/>
      <c r="AV258" s="16" t="n"/>
      <c r="AW258" s="138" t="n"/>
      <c r="AX258" s="16" t="n"/>
      <c r="AY258" s="138" t="n"/>
      <c r="AZ258" s="16">
        <f>AF258+AH258+AJ258+AL258+AN258+AP258+AR258+AT258+AV258+AX258</f>
        <v/>
      </c>
      <c r="BA258" s="16" t="n"/>
      <c r="BB258" s="139" t="n"/>
      <c r="BC258" s="16" t="n"/>
      <c r="BD258" s="139" t="n"/>
      <c r="BE258" s="16">
        <f>(BA258+BC258)</f>
        <v/>
      </c>
    </row>
    <row r="259" ht="22.5" customFormat="1" customHeight="1" s="8">
      <c r="A259" s="9" t="n"/>
      <c r="B259" s="136" t="inlineStr">
        <is>
          <t>AL</t>
        </is>
      </c>
      <c r="C259" s="137" t="inlineStr">
        <is>
          <t>SOLO</t>
        </is>
      </c>
      <c r="D259" s="83" t="inlineStr">
        <is>
          <t>마운트</t>
        </is>
      </c>
      <c r="E259" s="13" t="inlineStr">
        <is>
          <t>삼각대 고정홀</t>
        </is>
      </c>
      <c r="F259" s="100" t="n"/>
      <c r="G259" s="9" t="n"/>
      <c r="H259" s="9" t="n"/>
      <c r="I259" s="14" t="n"/>
      <c r="J259" s="14" t="n"/>
      <c r="K259" s="12" t="n">
        <v>248</v>
      </c>
      <c r="L259" s="9" t="n"/>
      <c r="M259" s="9" t="n"/>
      <c r="N259" s="9" t="n"/>
      <c r="O259" s="40">
        <f>K259+V259-AE259-AZ259</f>
        <v/>
      </c>
      <c r="P259" s="12" t="n"/>
      <c r="Q259" s="138" t="n"/>
      <c r="R259" s="16" t="n"/>
      <c r="S259" s="139" t="n"/>
      <c r="T259" s="16" t="n"/>
      <c r="U259" s="139" t="n"/>
      <c r="V259" s="16">
        <f>P259+R259+T259</f>
        <v/>
      </c>
      <c r="W259" s="16" t="n"/>
      <c r="X259" s="139" t="n"/>
      <c r="Y259" s="16" t="n"/>
      <c r="Z259" s="139" t="n"/>
      <c r="AA259" s="16" t="n"/>
      <c r="AB259" s="139" t="n"/>
      <c r="AC259" s="16" t="n"/>
      <c r="AD259" s="139" t="n"/>
      <c r="AE259" s="16">
        <f>(W259+Y259+AA259+AC259)</f>
        <v/>
      </c>
      <c r="AF259" s="140" t="n"/>
      <c r="AG259" s="138" t="n"/>
      <c r="AH259" s="16" t="n"/>
      <c r="AI259" s="138" t="n"/>
      <c r="AJ259" s="16" t="n"/>
      <c r="AK259" s="138" t="n"/>
      <c r="AL259" s="16" t="n"/>
      <c r="AM259" s="138" t="n"/>
      <c r="AN259" s="16" t="n"/>
      <c r="AO259" s="138" t="n"/>
      <c r="AP259" s="16" t="n"/>
      <c r="AQ259" s="138" t="n"/>
      <c r="AR259" s="16" t="n"/>
      <c r="AS259" s="138" t="n"/>
      <c r="AT259" s="16" t="n"/>
      <c r="AU259" s="138" t="n"/>
      <c r="AV259" s="16" t="n"/>
      <c r="AW259" s="138" t="n"/>
      <c r="AX259" s="16" t="n"/>
      <c r="AY259" s="138" t="n"/>
      <c r="AZ259" s="16">
        <f>AF259+AH259+AJ259+AL259+AN259+AP259+AR259+AT259+AV259+AX259</f>
        <v/>
      </c>
      <c r="BA259" s="16" t="n"/>
      <c r="BB259" s="139" t="n"/>
      <c r="BC259" s="16" t="n"/>
      <c r="BD259" s="139" t="n"/>
      <c r="BE259" s="16">
        <f>(BA259+BC259)</f>
        <v/>
      </c>
    </row>
    <row r="260" ht="22.5" customFormat="1" customHeight="1" s="8">
      <c r="A260" s="9" t="n"/>
      <c r="B260" s="136" t="inlineStr">
        <is>
          <t>RUBBER</t>
        </is>
      </c>
      <c r="C260" s="137" t="inlineStr">
        <is>
          <t>SOLO</t>
        </is>
      </c>
      <c r="D260" s="143" t="inlineStr">
        <is>
          <t>BAT BOTTOM RUBBER</t>
        </is>
      </c>
      <c r="E260" s="13" t="inlineStr">
        <is>
          <t>RUBBER (1T, 마운트 홀)</t>
        </is>
      </c>
      <c r="F260" s="100" t="n"/>
      <c r="G260" s="9" t="n"/>
      <c r="H260" s="9" t="inlineStr">
        <is>
          <t>남경화학</t>
        </is>
      </c>
      <c r="I260" s="14" t="n"/>
      <c r="J260" s="14" t="n"/>
      <c r="K260" s="12" t="n">
        <v>467</v>
      </c>
      <c r="L260" s="9" t="n"/>
      <c r="M260" s="9" t="n"/>
      <c r="N260" s="9" t="n"/>
      <c r="O260" s="40">
        <f>K260+V260-AE260-AZ260</f>
        <v/>
      </c>
      <c r="P260" s="12" t="n"/>
      <c r="Q260" s="138" t="n"/>
      <c r="R260" s="16" t="n"/>
      <c r="S260" s="139" t="n"/>
      <c r="T260" s="16" t="n"/>
      <c r="U260" s="139" t="n"/>
      <c r="V260" s="16">
        <f>P260+R260+T260</f>
        <v/>
      </c>
      <c r="W260" s="16" t="n"/>
      <c r="X260" s="139" t="n"/>
      <c r="Y260" s="16" t="n"/>
      <c r="Z260" s="139" t="n"/>
      <c r="AA260" s="16" t="n"/>
      <c r="AB260" s="139" t="n"/>
      <c r="AC260" s="16" t="n"/>
      <c r="AD260" s="139" t="n"/>
      <c r="AE260" s="16">
        <f>(W260+Y260+AA260+AC260)</f>
        <v/>
      </c>
      <c r="AF260" s="140" t="n"/>
      <c r="AG260" s="138" t="n"/>
      <c r="AH260" s="16" t="n"/>
      <c r="AI260" s="138" t="n"/>
      <c r="AJ260" s="16" t="n"/>
      <c r="AK260" s="138" t="n"/>
      <c r="AL260" s="16" t="n"/>
      <c r="AM260" s="138" t="n"/>
      <c r="AN260" s="16" t="n"/>
      <c r="AO260" s="138" t="n"/>
      <c r="AP260" s="16" t="n"/>
      <c r="AQ260" s="138" t="n"/>
      <c r="AR260" s="16" t="n"/>
      <c r="AS260" s="138" t="n"/>
      <c r="AT260" s="16" t="n"/>
      <c r="AU260" s="138" t="n"/>
      <c r="AV260" s="16" t="n"/>
      <c r="AW260" s="138" t="n"/>
      <c r="AX260" s="16" t="n"/>
      <c r="AY260" s="138" t="n"/>
      <c r="AZ260" s="16">
        <f>AF260+AH260+AJ260+AL260+AN260+AP260+AR260+AT260+AV260+AX260</f>
        <v/>
      </c>
      <c r="BA260" s="16" t="n"/>
      <c r="BB260" s="139" t="n"/>
      <c r="BC260" s="16" t="n"/>
      <c r="BD260" s="139" t="n"/>
      <c r="BE260" s="16">
        <f>(BA260+BC260)</f>
        <v/>
      </c>
    </row>
    <row r="261" ht="22.5" customFormat="1" customHeight="1" s="8">
      <c r="A261" s="9" t="n"/>
      <c r="B261" s="136" t="inlineStr">
        <is>
          <t>ABS 난연</t>
        </is>
      </c>
      <c r="C261" s="137" t="inlineStr">
        <is>
          <t>DX3000, ADX6000,SOLO</t>
        </is>
      </c>
      <c r="D261" s="150" t="inlineStr">
        <is>
          <t>에이밍 바디 뭉치</t>
        </is>
      </c>
      <c r="E261" s="13" t="inlineStr">
        <is>
          <t>ø33*19.3</t>
        </is>
      </c>
      <c r="F261" s="100" t="n"/>
      <c r="G261" s="9" t="n"/>
      <c r="H261" s="9" t="inlineStr">
        <is>
          <t>오비스코리아</t>
        </is>
      </c>
      <c r="I261" s="14" t="n"/>
      <c r="J261" s="14" t="n"/>
      <c r="K261" s="12" t="n">
        <v>0</v>
      </c>
      <c r="L261" s="9" t="n"/>
      <c r="M261" s="9" t="n"/>
      <c r="N261" s="9" t="n"/>
      <c r="O261" s="40">
        <f>K261+V261-AE261-AZ261</f>
        <v/>
      </c>
      <c r="P261" s="12" t="n"/>
      <c r="Q261" s="138" t="n"/>
      <c r="R261" s="16" t="n"/>
      <c r="S261" s="139" t="n"/>
      <c r="T261" s="16" t="n"/>
      <c r="U261" s="139" t="n"/>
      <c r="V261" s="16">
        <f>P261+R261+T261</f>
        <v/>
      </c>
      <c r="W261" s="16" t="n"/>
      <c r="X261" s="139" t="n"/>
      <c r="Y261" s="16" t="n"/>
      <c r="Z261" s="139" t="n"/>
      <c r="AA261" s="16" t="n"/>
      <c r="AB261" s="139" t="n"/>
      <c r="AC261" s="16" t="n"/>
      <c r="AD261" s="139" t="n"/>
      <c r="AE261" s="16">
        <f>(W261+Y261+AA261+AC261)</f>
        <v/>
      </c>
      <c r="AF261" s="140" t="n"/>
      <c r="AG261" s="138" t="n"/>
      <c r="AH261" s="16" t="n"/>
      <c r="AI261" s="138" t="n"/>
      <c r="AJ261" s="16" t="n"/>
      <c r="AK261" s="138" t="n"/>
      <c r="AL261" s="16" t="n"/>
      <c r="AM261" s="138" t="n"/>
      <c r="AN261" s="16" t="n"/>
      <c r="AO261" s="138" t="n"/>
      <c r="AP261" s="16" t="n"/>
      <c r="AQ261" s="138" t="n"/>
      <c r="AR261" s="16" t="n"/>
      <c r="AS261" s="138" t="n"/>
      <c r="AT261" s="16" t="n"/>
      <c r="AU261" s="138" t="n"/>
      <c r="AV261" s="16" t="n"/>
      <c r="AW261" s="138" t="n"/>
      <c r="AX261" s="16" t="n"/>
      <c r="AY261" s="138" t="n"/>
      <c r="AZ261" s="16">
        <f>AF261+AH261+AJ261+AL261+AN261+AP261+AR261+AT261+AV261+AX261</f>
        <v/>
      </c>
      <c r="BA261" s="16" t="n"/>
      <c r="BB261" s="139" t="n"/>
      <c r="BC261" s="16" t="n"/>
      <c r="BD261" s="139" t="n"/>
      <c r="BE261" s="16">
        <f>(BA261+BC261)</f>
        <v/>
      </c>
    </row>
    <row r="262" ht="22.5" customFormat="1" customHeight="1" s="8">
      <c r="A262" s="9" t="n"/>
      <c r="B262" s="136" t="inlineStr">
        <is>
          <t>아크릴</t>
        </is>
      </c>
      <c r="C262" s="137" t="inlineStr">
        <is>
          <t>DX3000, ADX6000,SOLO</t>
        </is>
      </c>
      <c r="D262" s="86" t="inlineStr">
        <is>
          <t>아크릴 은경</t>
        </is>
      </c>
      <c r="E262" s="23" t="inlineStr">
        <is>
          <t>아크릴 40파이</t>
        </is>
      </c>
      <c r="F262" s="99" t="n"/>
      <c r="G262" s="9" t="n"/>
      <c r="H262" s="9" t="inlineStr">
        <is>
          <t>명동아크릴</t>
        </is>
      </c>
      <c r="I262" s="14" t="n"/>
      <c r="J262" s="14" t="n"/>
      <c r="K262" s="12" t="n">
        <v>0</v>
      </c>
      <c r="L262" s="9" t="n"/>
      <c r="M262" s="9" t="n"/>
      <c r="N262" s="9" t="n"/>
      <c r="O262" s="40">
        <f>K262+V262-AE262-AZ262</f>
        <v/>
      </c>
      <c r="P262" s="12" t="n"/>
      <c r="Q262" s="138" t="n"/>
      <c r="R262" s="16" t="n"/>
      <c r="S262" s="139" t="n"/>
      <c r="T262" s="16" t="n"/>
      <c r="U262" s="139" t="n"/>
      <c r="V262" s="16">
        <f>P262+R262+T262</f>
        <v/>
      </c>
      <c r="W262" s="16" t="n"/>
      <c r="X262" s="139" t="n"/>
      <c r="Y262" s="16" t="n"/>
      <c r="Z262" s="139" t="n"/>
      <c r="AA262" s="16" t="n"/>
      <c r="AB262" s="139" t="n"/>
      <c r="AC262" s="16" t="n"/>
      <c r="AD262" s="139" t="n"/>
      <c r="AE262" s="16">
        <f>(W262+Y262+AA262+AC262)</f>
        <v/>
      </c>
      <c r="AF262" s="140" t="n"/>
      <c r="AG262" s="138" t="n"/>
      <c r="AH262" s="16" t="n"/>
      <c r="AI262" s="138" t="n"/>
      <c r="AJ262" s="16" t="n"/>
      <c r="AK262" s="138" t="n"/>
      <c r="AL262" s="16" t="n"/>
      <c r="AM262" s="138" t="n"/>
      <c r="AN262" s="16" t="n"/>
      <c r="AO262" s="138" t="n"/>
      <c r="AP262" s="16" t="n"/>
      <c r="AQ262" s="138" t="n"/>
      <c r="AR262" s="16" t="n"/>
      <c r="AS262" s="138" t="n"/>
      <c r="AT262" s="16" t="n"/>
      <c r="AU262" s="138" t="n"/>
      <c r="AV262" s="16" t="n"/>
      <c r="AW262" s="138" t="n"/>
      <c r="AX262" s="16" t="n"/>
      <c r="AY262" s="138" t="n"/>
      <c r="AZ262" s="16">
        <f>AF262+AH262+AJ262+AL262+AN262+AP262+AR262+AT262+AV262+AX262</f>
        <v/>
      </c>
      <c r="BA262" s="16" t="n"/>
      <c r="BB262" s="139" t="n"/>
      <c r="BC262" s="16" t="n"/>
      <c r="BD262" s="139" t="n"/>
      <c r="BE262" s="16">
        <f>(BA262+BC262)</f>
        <v/>
      </c>
    </row>
    <row r="263" ht="22.5" customFormat="1" customHeight="1" s="8">
      <c r="A263" s="9" t="n"/>
      <c r="B263" s="136" t="inlineStr">
        <is>
          <t>PCB</t>
        </is>
      </c>
      <c r="C263" s="137" t="inlineStr">
        <is>
          <t>DX3000, ADX6000,SOLO</t>
        </is>
      </c>
      <c r="D263" s="86" t="inlineStr">
        <is>
          <t>에이밍 LED 보드</t>
        </is>
      </c>
      <c r="E263" s="23" t="inlineStr">
        <is>
          <t xml:space="preserve">LED PCB </t>
        </is>
      </c>
      <c r="F263" s="99" t="n"/>
      <c r="G263" s="9" t="n"/>
      <c r="H263" s="9" t="inlineStr">
        <is>
          <t>HLP</t>
        </is>
      </c>
      <c r="I263" s="14" t="n"/>
      <c r="J263" s="14" t="n"/>
      <c r="K263" s="12" t="n">
        <v>0</v>
      </c>
      <c r="L263" s="9" t="n"/>
      <c r="M263" s="9" t="n"/>
      <c r="N263" s="9" t="n"/>
      <c r="O263" s="40">
        <f>K263+V263-AE263-AZ263</f>
        <v/>
      </c>
      <c r="P263" s="12" t="n"/>
      <c r="Q263" s="138" t="n"/>
      <c r="R263" s="16" t="n"/>
      <c r="S263" s="139" t="n"/>
      <c r="T263" s="16" t="n"/>
      <c r="U263" s="139" t="n"/>
      <c r="V263" s="16">
        <f>P263+R263+T263</f>
        <v/>
      </c>
      <c r="W263" s="16" t="n"/>
      <c r="X263" s="139" t="n"/>
      <c r="Y263" s="16" t="n"/>
      <c r="Z263" s="139" t="n"/>
      <c r="AA263" s="16" t="n"/>
      <c r="AB263" s="139" t="n"/>
      <c r="AC263" s="16" t="n"/>
      <c r="AD263" s="139" t="n"/>
      <c r="AE263" s="16">
        <f>(W263+Y263+AA263+AC263)</f>
        <v/>
      </c>
      <c r="AF263" s="140" t="n"/>
      <c r="AG263" s="138" t="n"/>
      <c r="AH263" s="16" t="n"/>
      <c r="AI263" s="138" t="n"/>
      <c r="AJ263" s="16" t="n"/>
      <c r="AK263" s="138" t="n"/>
      <c r="AL263" s="16" t="n"/>
      <c r="AM263" s="138" t="n"/>
      <c r="AN263" s="16" t="n"/>
      <c r="AO263" s="138" t="n"/>
      <c r="AP263" s="16" t="n"/>
      <c r="AQ263" s="138" t="n"/>
      <c r="AR263" s="16" t="n"/>
      <c r="AS263" s="138" t="n"/>
      <c r="AT263" s="16" t="n"/>
      <c r="AU263" s="138" t="n"/>
      <c r="AV263" s="16" t="n"/>
      <c r="AW263" s="138" t="n"/>
      <c r="AX263" s="16" t="n"/>
      <c r="AY263" s="138" t="n"/>
      <c r="AZ263" s="16">
        <f>AF263+AH263+AJ263+AL263+AN263+AP263+AR263+AT263+AV263+AX263</f>
        <v/>
      </c>
      <c r="BA263" s="16" t="n"/>
      <c r="BB263" s="139" t="n"/>
      <c r="BC263" s="16" t="n"/>
      <c r="BD263" s="139" t="n"/>
      <c r="BE263" s="16">
        <f>(BA263+BC263)</f>
        <v/>
      </c>
    </row>
    <row r="264" ht="22.5" customFormat="1" customHeight="1" s="8">
      <c r="A264" s="9" t="n"/>
      <c r="B264" s="136" t="inlineStr">
        <is>
          <t>AL</t>
        </is>
      </c>
      <c r="C264" s="137" t="inlineStr">
        <is>
          <t>DX3000, ADX6000,SOLO</t>
        </is>
      </c>
      <c r="D264" s="86" t="inlineStr">
        <is>
          <t>LED PCB 방열 가이드</t>
        </is>
      </c>
      <c r="E264" s="23" t="inlineStr">
        <is>
          <t>흑색 다이캐스팅</t>
        </is>
      </c>
      <c r="F264" s="99" t="n"/>
      <c r="G264" s="9" t="n"/>
      <c r="H264" s="9" t="inlineStr">
        <is>
          <t>㈜쿠가</t>
        </is>
      </c>
      <c r="I264" s="14" t="n"/>
      <c r="J264" s="14" t="n"/>
      <c r="K264" s="12" t="n">
        <v>824</v>
      </c>
      <c r="L264" s="9" t="n"/>
      <c r="M264" s="9" t="n"/>
      <c r="N264" s="9" t="n"/>
      <c r="O264" s="40">
        <f>K264+V264-AE264-AZ264</f>
        <v/>
      </c>
      <c r="P264" s="12" t="n"/>
      <c r="Q264" s="138" t="n"/>
      <c r="R264" s="16" t="n"/>
      <c r="S264" s="139" t="n"/>
      <c r="T264" s="16" t="n"/>
      <c r="U264" s="139" t="n"/>
      <c r="V264" s="16">
        <f>P264+R264+T264</f>
        <v/>
      </c>
      <c r="W264" s="16" t="n"/>
      <c r="X264" s="139" t="n"/>
      <c r="Y264" s="16" t="n"/>
      <c r="Z264" s="139" t="n"/>
      <c r="AA264" s="16" t="n"/>
      <c r="AB264" s="139" t="n"/>
      <c r="AC264" s="16" t="n"/>
      <c r="AD264" s="139" t="n"/>
      <c r="AE264" s="16">
        <f>(W264+Y264+AA264+AC264)</f>
        <v/>
      </c>
      <c r="AF264" s="140" t="n"/>
      <c r="AG264" s="138" t="n"/>
      <c r="AH264" s="16" t="n"/>
      <c r="AI264" s="138" t="n"/>
      <c r="AJ264" s="16" t="n"/>
      <c r="AK264" s="138" t="n"/>
      <c r="AL264" s="16" t="n"/>
      <c r="AM264" s="138" t="n"/>
      <c r="AN264" s="16" t="n"/>
      <c r="AO264" s="138" t="n"/>
      <c r="AP264" s="16" t="n"/>
      <c r="AQ264" s="138" t="n"/>
      <c r="AR264" s="16" t="n"/>
      <c r="AS264" s="138" t="n"/>
      <c r="AT264" s="16" t="n"/>
      <c r="AU264" s="138" t="n"/>
      <c r="AV264" s="16" t="n"/>
      <c r="AW264" s="138" t="n"/>
      <c r="AX264" s="16" t="n"/>
      <c r="AY264" s="138" t="n"/>
      <c r="AZ264" s="16">
        <f>AF264+AH264+AJ264+AL264+AN264+AP264+AR264+AT264+AV264+AX264</f>
        <v/>
      </c>
      <c r="BA264" s="16" t="n"/>
      <c r="BB264" s="139" t="n"/>
      <c r="BC264" s="16" t="n"/>
      <c r="BD264" s="139" t="n"/>
      <c r="BE264" s="16">
        <f>(BA264+BC264)</f>
        <v/>
      </c>
    </row>
    <row r="265" ht="22.5" customFormat="1" customHeight="1" s="8">
      <c r="A265" s="9" t="n"/>
      <c r="B265" s="141" t="inlineStr">
        <is>
          <t>PCB</t>
        </is>
      </c>
      <c r="C265" s="137" t="inlineStr">
        <is>
          <t>ADX4000W</t>
        </is>
      </c>
      <c r="D265" s="62" t="inlineStr">
        <is>
          <t>CTR B/D</t>
        </is>
      </c>
      <c r="E265" s="36" t="inlineStr">
        <is>
          <t xml:space="preserve"> + 12(AS용)</t>
        </is>
      </c>
      <c r="F265" s="100" t="n"/>
      <c r="G265" s="22" t="n"/>
      <c r="H265" s="22" t="inlineStr">
        <is>
          <t>HLP</t>
        </is>
      </c>
      <c r="I265" s="14" t="n"/>
      <c r="J265" s="14" t="n"/>
      <c r="K265" s="12" t="n">
        <v>87</v>
      </c>
      <c r="L265" s="9" t="n"/>
      <c r="M265" s="9" t="n"/>
      <c r="N265" s="9" t="n"/>
      <c r="O265" s="40">
        <f>K265+V265-AE265-AZ265</f>
        <v/>
      </c>
      <c r="P265" s="12" t="n"/>
      <c r="Q265" s="138" t="n"/>
      <c r="R265" s="16" t="n"/>
      <c r="S265" s="139" t="n"/>
      <c r="T265" s="16" t="n"/>
      <c r="U265" s="139" t="n"/>
      <c r="V265" s="16">
        <f>P265+R265+T265</f>
        <v/>
      </c>
      <c r="W265" s="16" t="n"/>
      <c r="X265" s="139" t="n"/>
      <c r="Y265" s="16" t="n"/>
      <c r="Z265" s="139" t="n"/>
      <c r="AA265" s="16" t="n"/>
      <c r="AB265" s="139" t="n"/>
      <c r="AC265" s="16" t="n"/>
      <c r="AD265" s="139" t="n"/>
      <c r="AE265" s="16">
        <f>(W265+Y265+AA265+AC265)</f>
        <v/>
      </c>
      <c r="AF265" s="140" t="n"/>
      <c r="AG265" s="138" t="n"/>
      <c r="AH265" s="16" t="n"/>
      <c r="AI265" s="138" t="n"/>
      <c r="AJ265" s="16" t="n"/>
      <c r="AK265" s="138" t="n"/>
      <c r="AL265" s="16" t="n"/>
      <c r="AM265" s="138" t="n"/>
      <c r="AN265" s="16" t="n"/>
      <c r="AO265" s="138" t="n"/>
      <c r="AP265" s="16" t="n"/>
      <c r="AQ265" s="138" t="n"/>
      <c r="AR265" s="16" t="n"/>
      <c r="AS265" s="138" t="n"/>
      <c r="AT265" s="16" t="n"/>
      <c r="AU265" s="138" t="n"/>
      <c r="AV265" s="16" t="n"/>
      <c r="AW265" s="138" t="n"/>
      <c r="AX265" s="16" t="n"/>
      <c r="AY265" s="138" t="n"/>
      <c r="AZ265" s="16">
        <f>AF265+AH265+AJ265+AL265+AN265+AP265+AR265+AT265+AV265+AX265</f>
        <v/>
      </c>
      <c r="BA265" s="16" t="n"/>
      <c r="BB265" s="139" t="n"/>
      <c r="BC265" s="16" t="n"/>
      <c r="BD265" s="139" t="n"/>
      <c r="BE265" s="16">
        <f>(BA265+BC265)</f>
        <v/>
      </c>
    </row>
    <row r="266" ht="22.5" customFormat="1" customHeight="1" s="8">
      <c r="A266" s="9" t="n"/>
      <c r="B266" s="136" t="inlineStr">
        <is>
          <t>PCB</t>
        </is>
      </c>
      <c r="C266" s="137" t="inlineStr">
        <is>
          <t>ADX4000W</t>
        </is>
      </c>
      <c r="D266" s="65" t="inlineStr">
        <is>
          <t>4.8" LCD  BD</t>
        </is>
      </c>
      <c r="E266" s="13" t="n"/>
      <c r="F266" s="100" t="n"/>
      <c r="G266" s="9" t="n"/>
      <c r="H266" s="9" t="inlineStr">
        <is>
          <t>HLP</t>
        </is>
      </c>
      <c r="I266" s="14" t="n"/>
      <c r="J266" s="14" t="n"/>
      <c r="K266" s="12" t="n">
        <v>224</v>
      </c>
      <c r="L266" s="9" t="n"/>
      <c r="M266" s="9" t="n"/>
      <c r="N266" s="9" t="n"/>
      <c r="O266" s="40">
        <f>K266+V266-AE266-AZ266</f>
        <v/>
      </c>
      <c r="P266" s="12" t="n"/>
      <c r="Q266" s="138" t="n"/>
      <c r="R266" s="16" t="n"/>
      <c r="S266" s="139" t="n"/>
      <c r="T266" s="16" t="n"/>
      <c r="U266" s="139" t="n"/>
      <c r="V266" s="16">
        <f>P266+R266+T266</f>
        <v/>
      </c>
      <c r="W266" s="16" t="n"/>
      <c r="X266" s="139" t="n"/>
      <c r="Y266" s="16" t="n"/>
      <c r="Z266" s="139" t="n"/>
      <c r="AA266" s="16" t="n"/>
      <c r="AB266" s="139" t="n"/>
      <c r="AC266" s="16" t="n"/>
      <c r="AD266" s="139" t="n"/>
      <c r="AE266" s="16">
        <f>(W266+Y266+AA266+AC266)</f>
        <v/>
      </c>
      <c r="AF266" s="140" t="n"/>
      <c r="AG266" s="138" t="n"/>
      <c r="AH266" s="16" t="n"/>
      <c r="AI266" s="138" t="n"/>
      <c r="AJ266" s="16" t="n"/>
      <c r="AK266" s="138" t="n"/>
      <c r="AL266" s="16" t="n"/>
      <c r="AM266" s="138" t="n"/>
      <c r="AN266" s="16" t="n"/>
      <c r="AO266" s="138" t="n"/>
      <c r="AP266" s="16" t="n"/>
      <c r="AQ266" s="138" t="n"/>
      <c r="AR266" s="16" t="n"/>
      <c r="AS266" s="138" t="n"/>
      <c r="AT266" s="16" t="n"/>
      <c r="AU266" s="138" t="n"/>
      <c r="AV266" s="16" t="n"/>
      <c r="AW266" s="138" t="n"/>
      <c r="AX266" s="16" t="n"/>
      <c r="AY266" s="138" t="n"/>
      <c r="AZ266" s="16">
        <f>AF266+AH266+AJ266+AL266+AN266+AP266+AR266+AT266+AV266+AX266</f>
        <v/>
      </c>
      <c r="BA266" s="16" t="n"/>
      <c r="BB266" s="139" t="n"/>
      <c r="BC266" s="16" t="n"/>
      <c r="BD266" s="139" t="n"/>
      <c r="BE266" s="16">
        <f>(BA266+BC266)</f>
        <v/>
      </c>
    </row>
    <row r="267" ht="22.5" customFormat="1" customHeight="1" s="8">
      <c r="A267" s="9" t="n"/>
      <c r="B267" s="136" t="inlineStr">
        <is>
          <t>PCB</t>
        </is>
      </c>
      <c r="C267" s="137" t="inlineStr">
        <is>
          <t>ADX4000W</t>
        </is>
      </c>
      <c r="D267" s="65" t="inlineStr">
        <is>
          <t>POWER BD</t>
        </is>
      </c>
      <c r="E267" s="13" t="n"/>
      <c r="F267" s="100" t="n"/>
      <c r="G267" s="9" t="n"/>
      <c r="H267" s="9" t="inlineStr">
        <is>
          <t>HLP</t>
        </is>
      </c>
      <c r="I267" s="14" t="n"/>
      <c r="J267" s="14" t="n"/>
      <c r="K267" s="12" t="n">
        <v>138</v>
      </c>
      <c r="L267" s="9" t="n"/>
      <c r="M267" s="9" t="n"/>
      <c r="N267" s="9" t="n"/>
      <c r="O267" s="40">
        <f>K267+V267-AE267-AZ267</f>
        <v/>
      </c>
      <c r="P267" s="12" t="n"/>
      <c r="Q267" s="138" t="n"/>
      <c r="R267" s="16" t="n"/>
      <c r="S267" s="139" t="n"/>
      <c r="T267" s="16" t="n"/>
      <c r="U267" s="139" t="n"/>
      <c r="V267" s="16">
        <f>P267+R267+T267</f>
        <v/>
      </c>
      <c r="W267" s="16" t="n"/>
      <c r="X267" s="139" t="n"/>
      <c r="Y267" s="16" t="n"/>
      <c r="Z267" s="139" t="n"/>
      <c r="AA267" s="16" t="n"/>
      <c r="AB267" s="139" t="n"/>
      <c r="AC267" s="16" t="n"/>
      <c r="AD267" s="139" t="n"/>
      <c r="AE267" s="16">
        <f>(W267+Y267+AA267+AC267)</f>
        <v/>
      </c>
      <c r="AF267" s="140" t="n"/>
      <c r="AG267" s="138" t="n"/>
      <c r="AH267" s="16" t="n"/>
      <c r="AI267" s="138" t="n"/>
      <c r="AJ267" s="16" t="n"/>
      <c r="AK267" s="138" t="n"/>
      <c r="AL267" s="16" t="n"/>
      <c r="AM267" s="138" t="n"/>
      <c r="AN267" s="16" t="n"/>
      <c r="AO267" s="138" t="n"/>
      <c r="AP267" s="16" t="n"/>
      <c r="AQ267" s="138" t="n"/>
      <c r="AR267" s="16" t="n"/>
      <c r="AS267" s="138" t="n"/>
      <c r="AT267" s="16" t="n"/>
      <c r="AU267" s="138" t="n"/>
      <c r="AV267" s="16" t="n"/>
      <c r="AW267" s="138" t="n"/>
      <c r="AX267" s="16" t="n"/>
      <c r="AY267" s="138" t="n"/>
      <c r="AZ267" s="16">
        <f>AF267+AH267+AJ267+AL267+AN267+AP267+AR267+AT267+AV267+AX267</f>
        <v/>
      </c>
      <c r="BA267" s="16" t="n"/>
      <c r="BB267" s="139" t="n"/>
      <c r="BC267" s="16" t="n"/>
      <c r="BD267" s="139" t="n"/>
      <c r="BE267" s="16">
        <f>(BA267+BC267)</f>
        <v/>
      </c>
    </row>
    <row r="268" ht="22.5" customFormat="1" customHeight="1" s="8">
      <c r="A268" s="9" t="n"/>
      <c r="B268" s="136" t="inlineStr">
        <is>
          <t>PCB</t>
        </is>
      </c>
      <c r="C268" s="137" t="inlineStr">
        <is>
          <t>ADX4000W</t>
        </is>
      </c>
      <c r="D268" s="83" t="inlineStr">
        <is>
          <t>EX B/D</t>
        </is>
      </c>
      <c r="E268" s="13" t="n"/>
      <c r="F268" s="100" t="n"/>
      <c r="G268" s="9" t="n"/>
      <c r="H268" s="9" t="inlineStr">
        <is>
          <t>HLP</t>
        </is>
      </c>
      <c r="I268" s="14" t="n"/>
      <c r="J268" s="14" t="n"/>
      <c r="K268" s="12" t="n">
        <v>116</v>
      </c>
      <c r="L268" s="9" t="n"/>
      <c r="M268" s="9" t="n"/>
      <c r="N268" s="9" t="n"/>
      <c r="O268" s="40">
        <f>K268+V268-AE268-AZ268</f>
        <v/>
      </c>
      <c r="P268" s="12" t="n"/>
      <c r="Q268" s="138" t="n"/>
      <c r="R268" s="16" t="n"/>
      <c r="S268" s="139" t="n"/>
      <c r="T268" s="16" t="n"/>
      <c r="U268" s="139" t="n"/>
      <c r="V268" s="16">
        <f>P268+R268+T268</f>
        <v/>
      </c>
      <c r="W268" s="16" t="n"/>
      <c r="X268" s="139" t="n"/>
      <c r="Y268" s="16" t="n"/>
      <c r="Z268" s="139" t="n"/>
      <c r="AA268" s="16" t="n"/>
      <c r="AB268" s="139" t="n"/>
      <c r="AC268" s="16" t="n"/>
      <c r="AD268" s="139" t="n"/>
      <c r="AE268" s="16">
        <f>(W268+Y268+AA268+AC268)</f>
        <v/>
      </c>
      <c r="AF268" s="140" t="n"/>
      <c r="AG268" s="138" t="n"/>
      <c r="AH268" s="16" t="n"/>
      <c r="AI268" s="138" t="n"/>
      <c r="AJ268" s="16" t="n"/>
      <c r="AK268" s="138" t="n"/>
      <c r="AL268" s="16" t="n"/>
      <c r="AM268" s="138" t="n"/>
      <c r="AN268" s="16" t="n"/>
      <c r="AO268" s="138" t="n"/>
      <c r="AP268" s="16" t="n"/>
      <c r="AQ268" s="138" t="n"/>
      <c r="AR268" s="16" t="n"/>
      <c r="AS268" s="138" t="n"/>
      <c r="AT268" s="16" t="n"/>
      <c r="AU268" s="138" t="n"/>
      <c r="AV268" s="16" t="n"/>
      <c r="AW268" s="138" t="n"/>
      <c r="AX268" s="16" t="n"/>
      <c r="AY268" s="138" t="n"/>
      <c r="AZ268" s="16">
        <f>AF268+AH268+AJ268+AL268+AN268+AP268+AR268+AT268+AV268+AX268</f>
        <v/>
      </c>
      <c r="BA268" s="16" t="n"/>
      <c r="BB268" s="139" t="n"/>
      <c r="BC268" s="16" t="n"/>
      <c r="BD268" s="139" t="n"/>
      <c r="BE268" s="16">
        <f>(BA268+BC268)</f>
        <v/>
      </c>
    </row>
    <row r="269" ht="22.5" customFormat="1" customHeight="1" s="8">
      <c r="A269" s="9" t="n"/>
      <c r="B269" s="136" t="inlineStr">
        <is>
          <t>PCB</t>
        </is>
      </c>
      <c r="C269" s="137" t="inlineStr">
        <is>
          <t>ADX4000W</t>
        </is>
      </c>
      <c r="D269" s="82" t="inlineStr">
        <is>
          <t>NAVI BD</t>
        </is>
      </c>
      <c r="E269" s="13" t="n"/>
      <c r="F269" s="100" t="n"/>
      <c r="G269" s="9" t="n"/>
      <c r="H269" s="9" t="inlineStr">
        <is>
          <t>HLP</t>
        </is>
      </c>
      <c r="I269" s="14" t="n"/>
      <c r="J269" s="14" t="n"/>
      <c r="K269" s="12" t="n">
        <v>170</v>
      </c>
      <c r="L269" s="9" t="n"/>
      <c r="M269" s="9" t="n"/>
      <c r="N269" s="9" t="n"/>
      <c r="O269" s="40">
        <f>K269+V269-AE269-AZ269</f>
        <v/>
      </c>
      <c r="P269" s="12" t="n"/>
      <c r="Q269" s="138" t="n"/>
      <c r="R269" s="16" t="n"/>
      <c r="S269" s="139" t="n"/>
      <c r="T269" s="16" t="n"/>
      <c r="U269" s="139" t="n"/>
      <c r="V269" s="16">
        <f>P269+R269+T269</f>
        <v/>
      </c>
      <c r="W269" s="16" t="n"/>
      <c r="X269" s="139" t="n"/>
      <c r="Y269" s="16" t="n"/>
      <c r="Z269" s="139" t="n"/>
      <c r="AA269" s="16" t="n"/>
      <c r="AB269" s="139" t="n"/>
      <c r="AC269" s="16" t="n"/>
      <c r="AD269" s="139" t="n"/>
      <c r="AE269" s="16">
        <f>(W269+Y269+AA269+AC269)</f>
        <v/>
      </c>
      <c r="AF269" s="140" t="n"/>
      <c r="AG269" s="138" t="n"/>
      <c r="AH269" s="16" t="n"/>
      <c r="AI269" s="138" t="n"/>
      <c r="AJ269" s="16" t="n"/>
      <c r="AK269" s="138" t="n"/>
      <c r="AL269" s="16" t="n"/>
      <c r="AM269" s="138" t="n"/>
      <c r="AN269" s="16" t="n"/>
      <c r="AO269" s="138" t="n"/>
      <c r="AP269" s="16" t="n"/>
      <c r="AQ269" s="138" t="n"/>
      <c r="AR269" s="16" t="n"/>
      <c r="AS269" s="138" t="n"/>
      <c r="AT269" s="16" t="n"/>
      <c r="AU269" s="138" t="n"/>
      <c r="AV269" s="16" t="n"/>
      <c r="AW269" s="138" t="n"/>
      <c r="AX269" s="16" t="n"/>
      <c r="AY269" s="138" t="n"/>
      <c r="AZ269" s="16">
        <f>AF269+AH269+AJ269+AL269+AN269+AP269+AR269+AT269+AV269+AX269</f>
        <v/>
      </c>
      <c r="BA269" s="16" t="n"/>
      <c r="BB269" s="139" t="n"/>
      <c r="BC269" s="16" t="n"/>
      <c r="BD269" s="139" t="n"/>
      <c r="BE269" s="16">
        <f>(BA269+BC269)</f>
        <v/>
      </c>
    </row>
    <row r="270" ht="22.5" customFormat="1" customHeight="1" s="8">
      <c r="A270" s="9" t="n"/>
      <c r="B270" s="136" t="inlineStr">
        <is>
          <t>PCB</t>
        </is>
      </c>
      <c r="C270" s="137" t="inlineStr">
        <is>
          <t>ADX4000W</t>
        </is>
      </c>
      <c r="D270" s="82" t="inlineStr">
        <is>
          <t>NAVI BD 사파리</t>
        </is>
      </c>
      <c r="E270" s="13" t="n"/>
      <c r="F270" s="100" t="n"/>
      <c r="G270" s="9" t="n"/>
      <c r="H270" s="9" t="inlineStr">
        <is>
          <t>HLP</t>
        </is>
      </c>
      <c r="I270" s="14" t="n"/>
      <c r="J270" s="14" t="n"/>
      <c r="K270" s="12" t="n">
        <v>6</v>
      </c>
      <c r="L270" s="9" t="n"/>
      <c r="M270" s="9" t="n"/>
      <c r="N270" s="9" t="n"/>
      <c r="O270" s="40">
        <f>K270+V270-AE270-AZ270</f>
        <v/>
      </c>
      <c r="P270" s="12" t="n"/>
      <c r="Q270" s="138" t="n"/>
      <c r="R270" s="16" t="n"/>
      <c r="S270" s="139" t="n"/>
      <c r="T270" s="16" t="n"/>
      <c r="U270" s="139" t="n"/>
      <c r="V270" s="16">
        <f>P270+R270+T270</f>
        <v/>
      </c>
      <c r="W270" s="16" t="n"/>
      <c r="X270" s="139" t="n"/>
      <c r="Y270" s="16" t="n"/>
      <c r="Z270" s="139" t="n"/>
      <c r="AA270" s="16" t="n"/>
      <c r="AB270" s="139" t="n"/>
      <c r="AC270" s="16" t="n"/>
      <c r="AD270" s="139" t="n"/>
      <c r="AE270" s="16">
        <f>(W270+Y270+AA270+AC270)</f>
        <v/>
      </c>
      <c r="AF270" s="140" t="n"/>
      <c r="AG270" s="138" t="n"/>
      <c r="AH270" s="16" t="n"/>
      <c r="AI270" s="138" t="n"/>
      <c r="AJ270" s="16" t="n"/>
      <c r="AK270" s="138" t="n"/>
      <c r="AL270" s="16" t="n"/>
      <c r="AM270" s="138" t="n"/>
      <c r="AN270" s="16" t="n"/>
      <c r="AO270" s="138" t="n"/>
      <c r="AP270" s="16" t="n"/>
      <c r="AQ270" s="138" t="n"/>
      <c r="AR270" s="16" t="n"/>
      <c r="AS270" s="138" t="n"/>
      <c r="AT270" s="16" t="n"/>
      <c r="AU270" s="138" t="n"/>
      <c r="AV270" s="16" t="n"/>
      <c r="AW270" s="138" t="n"/>
      <c r="AX270" s="16" t="n"/>
      <c r="AY270" s="138" t="n"/>
      <c r="AZ270" s="16">
        <f>AF270+AH270+AJ270+AL270+AN270+AP270+AR270+AT270+AV270+AX270</f>
        <v/>
      </c>
      <c r="BA270" s="16" t="n"/>
      <c r="BB270" s="139" t="n"/>
      <c r="BC270" s="16" t="n"/>
      <c r="BD270" s="139" t="n"/>
      <c r="BE270" s="16">
        <f>(BA270+BC270)</f>
        <v/>
      </c>
    </row>
    <row r="271" ht="22.5" customFormat="1" customHeight="1" s="8">
      <c r="A271" s="9" t="n"/>
      <c r="B271" s="136" t="inlineStr">
        <is>
          <t>PCB</t>
        </is>
      </c>
      <c r="C271" s="137" t="inlineStr">
        <is>
          <t>ADX4000W</t>
        </is>
      </c>
      <c r="D271" s="82" t="inlineStr">
        <is>
          <t>Carrier BD (구형 KONTRON)</t>
        </is>
      </c>
      <c r="E271" s="13" t="n"/>
      <c r="F271" s="100" t="n"/>
      <c r="G271" s="9" t="n"/>
      <c r="H271" s="9" t="inlineStr">
        <is>
          <t>비씨엠테크</t>
        </is>
      </c>
      <c r="I271" s="14" t="n"/>
      <c r="J271" s="14" t="n"/>
      <c r="K271" s="12" t="n">
        <v>0</v>
      </c>
      <c r="L271" s="9" t="n"/>
      <c r="M271" s="9" t="n"/>
      <c r="N271" s="9" t="n"/>
      <c r="O271" s="40">
        <f>K271+V271-AE271-AZ271</f>
        <v/>
      </c>
      <c r="P271" s="12" t="n"/>
      <c r="Q271" s="138" t="n"/>
      <c r="R271" s="16" t="n"/>
      <c r="S271" s="139" t="n"/>
      <c r="T271" s="16" t="n"/>
      <c r="U271" s="139" t="n"/>
      <c r="V271" s="16">
        <f>P271+R271+T271</f>
        <v/>
      </c>
      <c r="W271" s="16" t="n"/>
      <c r="X271" s="139" t="n"/>
      <c r="Y271" s="16" t="n"/>
      <c r="Z271" s="139" t="n"/>
      <c r="AA271" s="16" t="n"/>
      <c r="AB271" s="139" t="n"/>
      <c r="AC271" s="16" t="n"/>
      <c r="AD271" s="139" t="n"/>
      <c r="AE271" s="16">
        <f>(W271+Y271+AA271+AC271)</f>
        <v/>
      </c>
      <c r="AF271" s="140" t="n"/>
      <c r="AG271" s="138" t="n"/>
      <c r="AH271" s="16" t="n"/>
      <c r="AI271" s="138" t="n"/>
      <c r="AJ271" s="16" t="n"/>
      <c r="AK271" s="138" t="n"/>
      <c r="AL271" s="16" t="n"/>
      <c r="AM271" s="138" t="n"/>
      <c r="AN271" s="16" t="n"/>
      <c r="AO271" s="138" t="n"/>
      <c r="AP271" s="16" t="n"/>
      <c r="AQ271" s="138" t="n"/>
      <c r="AR271" s="16" t="n"/>
      <c r="AS271" s="138" t="n"/>
      <c r="AT271" s="16" t="n"/>
      <c r="AU271" s="138" t="n"/>
      <c r="AV271" s="16" t="n"/>
      <c r="AW271" s="138" t="n"/>
      <c r="AX271" s="16" t="n"/>
      <c r="AY271" s="138" t="n"/>
      <c r="AZ271" s="16">
        <f>AF271+AH271+AJ271+AL271+AN271+AP271+AR271+AT271+AV271+AX271</f>
        <v/>
      </c>
      <c r="BA271" s="16" t="n"/>
      <c r="BB271" s="139" t="n"/>
      <c r="BC271" s="16" t="n"/>
      <c r="BD271" s="139" t="n"/>
      <c r="BE271" s="16">
        <f>(BA271+BC271)</f>
        <v/>
      </c>
    </row>
    <row r="272" ht="22.5" customFormat="1" customHeight="1" s="8">
      <c r="A272" s="9" t="n"/>
      <c r="B272" s="136" t="inlineStr">
        <is>
          <t>PCB</t>
        </is>
      </c>
      <c r="C272" s="137" t="inlineStr">
        <is>
          <t>ADX4000W</t>
        </is>
      </c>
      <c r="D272" s="65" t="inlineStr">
        <is>
          <t>Carrier BD (신형 DFI)</t>
        </is>
      </c>
      <c r="E272" s="13" t="n"/>
      <c r="F272" s="100" t="n"/>
      <c r="G272" s="9" t="n"/>
      <c r="H272" s="9" t="inlineStr">
        <is>
          <t>한컴MDS</t>
        </is>
      </c>
      <c r="I272" s="14" t="n"/>
      <c r="J272" s="14" t="n"/>
      <c r="K272" s="12" t="n">
        <v>126</v>
      </c>
      <c r="L272" s="9" t="n"/>
      <c r="M272" s="9" t="n"/>
      <c r="N272" s="9" t="n"/>
      <c r="O272" s="40">
        <f>K272+V272-AE272-AZ272</f>
        <v/>
      </c>
      <c r="P272" s="12" t="n"/>
      <c r="Q272" s="138" t="n"/>
      <c r="R272" s="16" t="n"/>
      <c r="S272" s="139" t="n"/>
      <c r="T272" s="16" t="n"/>
      <c r="U272" s="139" t="n"/>
      <c r="V272" s="16">
        <f>P272+R272+T272</f>
        <v/>
      </c>
      <c r="W272" s="16" t="n"/>
      <c r="X272" s="139" t="n"/>
      <c r="Y272" s="16" t="n"/>
      <c r="Z272" s="139" t="n"/>
      <c r="AA272" s="16" t="n"/>
      <c r="AB272" s="139" t="n"/>
      <c r="AC272" s="16" t="n"/>
      <c r="AD272" s="139" t="n"/>
      <c r="AE272" s="16">
        <f>(W272+Y272+AA272+AC272)</f>
        <v/>
      </c>
      <c r="AF272" s="140" t="n"/>
      <c r="AG272" s="138" t="n"/>
      <c r="AH272" s="16" t="n"/>
      <c r="AI272" s="138" t="n"/>
      <c r="AJ272" s="16" t="n"/>
      <c r="AK272" s="138" t="n"/>
      <c r="AL272" s="16" t="n"/>
      <c r="AM272" s="138" t="n"/>
      <c r="AN272" s="16" t="n"/>
      <c r="AO272" s="138" t="n"/>
      <c r="AP272" s="16" t="n"/>
      <c r="AQ272" s="138" t="n"/>
      <c r="AR272" s="16" t="n"/>
      <c r="AS272" s="138" t="n"/>
      <c r="AT272" s="16" t="n"/>
      <c r="AU272" s="138" t="n"/>
      <c r="AV272" s="16" t="n"/>
      <c r="AW272" s="138" t="n"/>
      <c r="AX272" s="16" t="n"/>
      <c r="AY272" s="138" t="n"/>
      <c r="AZ272" s="16">
        <f>AF272+AH272+AJ272+AL272+AN272+AP272+AR272+AT272+AV272+AX272</f>
        <v/>
      </c>
      <c r="BA272" s="16" t="n"/>
      <c r="BB272" s="139" t="n"/>
      <c r="BC272" s="16" t="n"/>
      <c r="BD272" s="139" t="n"/>
      <c r="BE272" s="16">
        <f>(BA272+BC272)</f>
        <v/>
      </c>
    </row>
    <row r="273" ht="22.5" customFormat="1" customHeight="1" s="8">
      <c r="A273" s="9" t="n"/>
      <c r="B273" s="136" t="inlineStr">
        <is>
          <t>PCB</t>
        </is>
      </c>
      <c r="C273" s="137" t="inlineStr">
        <is>
          <t>ADX4000W</t>
        </is>
      </c>
      <c r="D273" s="65" t="inlineStr">
        <is>
          <t>Module BD (구형 KONTRON)</t>
        </is>
      </c>
      <c r="E273" s="13" t="n"/>
      <c r="F273" s="100" t="n"/>
      <c r="G273" s="9" t="n"/>
      <c r="H273" s="9" t="inlineStr">
        <is>
          <t>KONTRON</t>
        </is>
      </c>
      <c r="I273" s="14" t="n"/>
      <c r="J273" s="14" t="n"/>
      <c r="K273" s="12" t="n">
        <v>37</v>
      </c>
      <c r="L273" s="9" t="n"/>
      <c r="M273" s="9" t="n"/>
      <c r="N273" s="9" t="n"/>
      <c r="O273" s="40">
        <f>K273+V273-AE273-AZ273</f>
        <v/>
      </c>
      <c r="P273" s="12" t="n"/>
      <c r="Q273" s="138" t="n"/>
      <c r="R273" s="16" t="n"/>
      <c r="S273" s="139" t="n"/>
      <c r="T273" s="16" t="n"/>
      <c r="U273" s="139" t="n"/>
      <c r="V273" s="16">
        <f>P273+R273+T273</f>
        <v/>
      </c>
      <c r="W273" s="16" t="n"/>
      <c r="X273" s="139" t="n"/>
      <c r="Y273" s="16" t="n"/>
      <c r="Z273" s="139" t="n"/>
      <c r="AA273" s="16" t="n"/>
      <c r="AB273" s="139" t="n"/>
      <c r="AC273" s="16" t="n"/>
      <c r="AD273" s="139" t="n"/>
      <c r="AE273" s="16">
        <f>(W273+Y273+AA273+AC273)</f>
        <v/>
      </c>
      <c r="AF273" s="140" t="n"/>
      <c r="AG273" s="138" t="n"/>
      <c r="AH273" s="16" t="n"/>
      <c r="AI273" s="138" t="n"/>
      <c r="AJ273" s="16" t="n"/>
      <c r="AK273" s="138" t="n"/>
      <c r="AL273" s="16" t="n"/>
      <c r="AM273" s="138" t="n"/>
      <c r="AN273" s="16" t="n"/>
      <c r="AO273" s="138" t="n"/>
      <c r="AP273" s="16" t="n"/>
      <c r="AQ273" s="138" t="n"/>
      <c r="AR273" s="16" t="n"/>
      <c r="AS273" s="138" t="n"/>
      <c r="AT273" s="16" t="n"/>
      <c r="AU273" s="138" t="n"/>
      <c r="AV273" s="16" t="n"/>
      <c r="AW273" s="138" t="n"/>
      <c r="AX273" s="16" t="n"/>
      <c r="AY273" s="138" t="n"/>
      <c r="AZ273" s="16">
        <f>AF273+AH273+AJ273+AL273+AN273+AP273+AR273+AT273+AV273+AX273</f>
        <v/>
      </c>
      <c r="BA273" s="16" t="n"/>
      <c r="BB273" s="139" t="n"/>
      <c r="BC273" s="16" t="n"/>
      <c r="BD273" s="139" t="n"/>
      <c r="BE273" s="16">
        <f>(BA273+BC273)</f>
        <v/>
      </c>
    </row>
    <row r="274" ht="22.5" customFormat="1" customHeight="1" s="8">
      <c r="A274" s="9" t="n"/>
      <c r="B274" s="136" t="inlineStr">
        <is>
          <t>PCB</t>
        </is>
      </c>
      <c r="C274" s="137" t="inlineStr">
        <is>
          <t>ADX4000W</t>
        </is>
      </c>
      <c r="D274" s="65" t="inlineStr">
        <is>
          <t>Module BD (신형 DFI)</t>
        </is>
      </c>
      <c r="E274" s="13" t="n"/>
      <c r="F274" s="100" t="n"/>
      <c r="G274" s="9" t="n"/>
      <c r="H274" s="9" t="inlineStr">
        <is>
          <t>한컴MDS</t>
        </is>
      </c>
      <c r="I274" s="14" t="n"/>
      <c r="J274" s="14" t="n"/>
      <c r="K274" s="12" t="n">
        <v>12</v>
      </c>
      <c r="L274" s="9" t="n"/>
      <c r="M274" s="9" t="n"/>
      <c r="N274" s="9" t="n"/>
      <c r="O274" s="40">
        <f>K274+V274-AE274-AZ274</f>
        <v/>
      </c>
      <c r="P274" s="12" t="n"/>
      <c r="Q274" s="138" t="n"/>
      <c r="R274" s="16" t="n"/>
      <c r="S274" s="139" t="n"/>
      <c r="T274" s="16" t="n"/>
      <c r="U274" s="139" t="n"/>
      <c r="V274" s="16">
        <f>P274+R274+T274</f>
        <v/>
      </c>
      <c r="W274" s="16" t="n"/>
      <c r="X274" s="139" t="n"/>
      <c r="Y274" s="16" t="n"/>
      <c r="Z274" s="139" t="n"/>
      <c r="AA274" s="16" t="n"/>
      <c r="AB274" s="139" t="n"/>
      <c r="AC274" s="16" t="n"/>
      <c r="AD274" s="139" t="n"/>
      <c r="AE274" s="16">
        <f>(W274+Y274+AA274+AC274)</f>
        <v/>
      </c>
      <c r="AF274" s="140" t="n"/>
      <c r="AG274" s="138" t="n"/>
      <c r="AH274" s="16" t="n"/>
      <c r="AI274" s="138" t="n"/>
      <c r="AJ274" s="16" t="n"/>
      <c r="AK274" s="138" t="n"/>
      <c r="AL274" s="16" t="n"/>
      <c r="AM274" s="138" t="n"/>
      <c r="AN274" s="16" t="n"/>
      <c r="AO274" s="138" t="n"/>
      <c r="AP274" s="16" t="n"/>
      <c r="AQ274" s="138" t="n"/>
      <c r="AR274" s="16" t="n"/>
      <c r="AS274" s="138" t="n"/>
      <c r="AT274" s="16" t="n"/>
      <c r="AU274" s="138" t="n"/>
      <c r="AV274" s="16" t="n"/>
      <c r="AW274" s="138" t="n"/>
      <c r="AX274" s="16" t="n"/>
      <c r="AY274" s="138" t="n"/>
      <c r="AZ274" s="16">
        <f>AF274+AH274+AJ274+AL274+AN274+AP274+AR274+AT274+AV274+AX274</f>
        <v/>
      </c>
      <c r="BA274" s="16" t="n"/>
      <c r="BB274" s="139" t="n"/>
      <c r="BC274" s="16" t="n"/>
      <c r="BD274" s="139" t="n"/>
      <c r="BE274" s="16">
        <f>(BA274+BC274)</f>
        <v/>
      </c>
    </row>
    <row r="275" ht="22.5" customFormat="1" customHeight="1" s="8">
      <c r="A275" s="9" t="n"/>
      <c r="B275" s="136" t="inlineStr">
        <is>
          <t>PCB</t>
        </is>
      </c>
      <c r="C275" s="137" t="inlineStr">
        <is>
          <t>ADX4000W</t>
        </is>
      </c>
      <c r="D275" s="65" t="inlineStr">
        <is>
          <t>USB 메모리 BD (구형 KONTRON) ver 1.5</t>
        </is>
      </c>
      <c r="E275" s="13" t="n"/>
      <c r="F275" s="100" t="n"/>
      <c r="G275" s="9" t="n"/>
      <c r="H275" s="9" t="inlineStr">
        <is>
          <t>HLP</t>
        </is>
      </c>
      <c r="I275" s="14" t="n"/>
      <c r="J275" s="14" t="n"/>
      <c r="K275" s="12" t="n">
        <v>0</v>
      </c>
      <c r="L275" s="9" t="n"/>
      <c r="M275" s="9" t="n"/>
      <c r="N275" s="9" t="n"/>
      <c r="O275" s="40">
        <f>K275+V275-AE275-AZ275</f>
        <v/>
      </c>
      <c r="P275" s="12" t="n"/>
      <c r="Q275" s="138" t="n"/>
      <c r="R275" s="16" t="n"/>
      <c r="S275" s="139" t="n"/>
      <c r="T275" s="16" t="n"/>
      <c r="U275" s="139" t="n"/>
      <c r="V275" s="16">
        <f>P275+R275+T275</f>
        <v/>
      </c>
      <c r="W275" s="16" t="n"/>
      <c r="X275" s="139" t="n"/>
      <c r="Y275" s="16" t="n"/>
      <c r="Z275" s="139" t="n"/>
      <c r="AA275" s="16" t="n"/>
      <c r="AB275" s="139" t="n"/>
      <c r="AC275" s="16" t="n"/>
      <c r="AD275" s="139" t="n"/>
      <c r="AE275" s="16">
        <f>(W275+Y275+AA275+AC275)</f>
        <v/>
      </c>
      <c r="AF275" s="140" t="n"/>
      <c r="AG275" s="138" t="n"/>
      <c r="AH275" s="16" t="n"/>
      <c r="AI275" s="138" t="n"/>
      <c r="AJ275" s="16" t="n"/>
      <c r="AK275" s="138" t="n"/>
      <c r="AL275" s="16" t="n"/>
      <c r="AM275" s="138" t="n"/>
      <c r="AN275" s="16" t="n"/>
      <c r="AO275" s="138" t="n"/>
      <c r="AP275" s="16" t="n"/>
      <c r="AQ275" s="138" t="n"/>
      <c r="AR275" s="16" t="n"/>
      <c r="AS275" s="138" t="n"/>
      <c r="AT275" s="16" t="n"/>
      <c r="AU275" s="138" t="n"/>
      <c r="AV275" s="16" t="n"/>
      <c r="AW275" s="138" t="n"/>
      <c r="AX275" s="16" t="n"/>
      <c r="AY275" s="138" t="n"/>
      <c r="AZ275" s="16">
        <f>AF275+AH275+AJ275+AL275+AN275+AP275+AR275+AT275+AV275+AX275</f>
        <v/>
      </c>
      <c r="BA275" s="16" t="n"/>
      <c r="BB275" s="139" t="n"/>
      <c r="BC275" s="16" t="n"/>
      <c r="BD275" s="139" t="n"/>
      <c r="BE275" s="16">
        <f>(BA275+BC275)</f>
        <v/>
      </c>
    </row>
    <row r="276" ht="22.5" customFormat="1" customHeight="1" s="8">
      <c r="A276" s="9" t="n"/>
      <c r="B276" s="136" t="inlineStr">
        <is>
          <t>PCB</t>
        </is>
      </c>
      <c r="C276" s="137" t="inlineStr">
        <is>
          <t>ADX4000W</t>
        </is>
      </c>
      <c r="D276" s="65" t="inlineStr">
        <is>
          <t>USB 메모리 BD (신형 DFI)</t>
        </is>
      </c>
      <c r="E276" s="13" t="n"/>
      <c r="F276" s="100" t="n"/>
      <c r="G276" s="9" t="n"/>
      <c r="H276" s="9" t="inlineStr">
        <is>
          <t>HLP</t>
        </is>
      </c>
      <c r="I276" s="14" t="n"/>
      <c r="J276" s="14" t="n"/>
      <c r="K276" s="12" t="n">
        <v>48</v>
      </c>
      <c r="L276" s="9" t="n"/>
      <c r="M276" s="9" t="n"/>
      <c r="N276" s="9" t="n"/>
      <c r="O276" s="40">
        <f>K276+V276-AE276-AZ276</f>
        <v/>
      </c>
      <c r="P276" s="12" t="n"/>
      <c r="Q276" s="138" t="n"/>
      <c r="R276" s="16" t="n"/>
      <c r="S276" s="139" t="n"/>
      <c r="T276" s="16" t="n"/>
      <c r="U276" s="139" t="n"/>
      <c r="V276" s="16">
        <f>P276+R276+T276</f>
        <v/>
      </c>
      <c r="W276" s="16" t="n"/>
      <c r="X276" s="139" t="n"/>
      <c r="Y276" s="16" t="n"/>
      <c r="Z276" s="139" t="n"/>
      <c r="AA276" s="16" t="n"/>
      <c r="AB276" s="139" t="n"/>
      <c r="AC276" s="16" t="n"/>
      <c r="AD276" s="139" t="n"/>
      <c r="AE276" s="16">
        <f>(W276+Y276+AA276+AC276)</f>
        <v/>
      </c>
      <c r="AF276" s="140" t="n"/>
      <c r="AG276" s="138" t="n"/>
      <c r="AH276" s="16" t="n"/>
      <c r="AI276" s="138" t="n"/>
      <c r="AJ276" s="16" t="n"/>
      <c r="AK276" s="138" t="n"/>
      <c r="AL276" s="16" t="n"/>
      <c r="AM276" s="138" t="n"/>
      <c r="AN276" s="16" t="n"/>
      <c r="AO276" s="138" t="n"/>
      <c r="AP276" s="16" t="n"/>
      <c r="AQ276" s="138" t="n"/>
      <c r="AR276" s="16" t="n"/>
      <c r="AS276" s="138" t="n"/>
      <c r="AT276" s="16" t="n"/>
      <c r="AU276" s="138" t="n"/>
      <c r="AV276" s="16" t="n"/>
      <c r="AW276" s="138" t="n"/>
      <c r="AX276" s="16" t="n"/>
      <c r="AY276" s="138" t="n"/>
      <c r="AZ276" s="16">
        <f>AF276+AH276+AJ276+AL276+AN276+AP276+AR276+AT276+AV276+AX276</f>
        <v/>
      </c>
      <c r="BA276" s="16" t="n"/>
      <c r="BB276" s="139" t="n"/>
      <c r="BC276" s="16" t="n"/>
      <c r="BD276" s="139" t="n"/>
      <c r="BE276" s="16">
        <f>(BA276+BC276)</f>
        <v/>
      </c>
    </row>
    <row r="277" ht="22.5" customFormat="1" customHeight="1" s="8">
      <c r="A277" s="9" t="n"/>
      <c r="B277" s="136" t="inlineStr">
        <is>
          <t>PANEL</t>
        </is>
      </c>
      <c r="C277" s="137" t="inlineStr">
        <is>
          <t>ADX4000W</t>
        </is>
      </c>
      <c r="D277" s="83" t="inlineStr">
        <is>
          <t>5" LCD</t>
        </is>
      </c>
      <c r="E277" s="13" t="inlineStr">
        <is>
          <t>LQ050W1LA0A</t>
        </is>
      </c>
      <c r="F277" s="100" t="n"/>
      <c r="G277" s="9" t="n"/>
      <c r="H277" s="9" t="inlineStr">
        <is>
          <t>홍콩</t>
        </is>
      </c>
      <c r="I277" s="14" t="n"/>
      <c r="J277" s="14" t="n"/>
      <c r="K277" s="12" t="n"/>
      <c r="L277" s="9" t="n"/>
      <c r="M277" s="9" t="n"/>
      <c r="N277" s="9" t="n"/>
      <c r="O277" s="40">
        <f>K277+V277-AE277-AZ277</f>
        <v/>
      </c>
      <c r="P277" s="12" t="n"/>
      <c r="Q277" s="138" t="n"/>
      <c r="R277" s="16" t="n"/>
      <c r="S277" s="139" t="n"/>
      <c r="T277" s="16" t="n"/>
      <c r="U277" s="139" t="n"/>
      <c r="V277" s="16">
        <f>P277+R277+T277</f>
        <v/>
      </c>
      <c r="W277" s="16" t="n"/>
      <c r="X277" s="139" t="n"/>
      <c r="Y277" s="16" t="n"/>
      <c r="Z277" s="139" t="n"/>
      <c r="AA277" s="16" t="n"/>
      <c r="AB277" s="139" t="n"/>
      <c r="AC277" s="16" t="n"/>
      <c r="AD277" s="139" t="n"/>
      <c r="AE277" s="16">
        <f>(W277+Y277+AA277+AC277)</f>
        <v/>
      </c>
      <c r="AF277" s="140" t="n"/>
      <c r="AG277" s="138" t="n"/>
      <c r="AH277" s="16" t="n"/>
      <c r="AI277" s="138" t="n"/>
      <c r="AJ277" s="16" t="n"/>
      <c r="AK277" s="138" t="n"/>
      <c r="AL277" s="16" t="n"/>
      <c r="AM277" s="138" t="n"/>
      <c r="AN277" s="16" t="n"/>
      <c r="AO277" s="138" t="n"/>
      <c r="AP277" s="16" t="n"/>
      <c r="AQ277" s="138" t="n"/>
      <c r="AR277" s="16" t="n"/>
      <c r="AS277" s="138" t="n"/>
      <c r="AT277" s="16" t="n"/>
      <c r="AU277" s="138" t="n"/>
      <c r="AV277" s="16" t="n"/>
      <c r="AW277" s="138" t="n"/>
      <c r="AX277" s="16" t="n"/>
      <c r="AY277" s="138" t="n"/>
      <c r="AZ277" s="16">
        <f>AF277+AH277+AJ277+AL277+AN277+AP277+AR277+AT277+AV277+AX277</f>
        <v/>
      </c>
      <c r="BA277" s="16" t="n"/>
      <c r="BB277" s="139" t="n"/>
      <c r="BC277" s="16" t="n"/>
      <c r="BD277" s="139" t="n"/>
      <c r="BE277" s="16">
        <f>(BA277+BC277)</f>
        <v/>
      </c>
    </row>
    <row r="278" ht="22.5" customFormat="1" customHeight="1" s="8">
      <c r="A278" s="9" t="n"/>
      <c r="B278" s="136" t="inlineStr">
        <is>
          <t>PANEL</t>
        </is>
      </c>
      <c r="C278" s="137" t="inlineStr">
        <is>
          <t>ADX4000W</t>
        </is>
      </c>
      <c r="D278" s="83" t="inlineStr">
        <is>
          <t>4.8" LCD</t>
        </is>
      </c>
      <c r="E278" s="13" t="inlineStr">
        <is>
          <t>LMS480J-C01(LTS480WS-C01)</t>
        </is>
      </c>
      <c r="F278" s="100" t="n"/>
      <c r="G278" s="9" t="n"/>
      <c r="H278" s="9" t="inlineStr">
        <is>
          <t>HLP</t>
        </is>
      </c>
      <c r="I278" s="14" t="n"/>
      <c r="J278" s="14" t="n"/>
      <c r="K278" s="12" t="n">
        <v>15</v>
      </c>
      <c r="L278" s="9" t="n"/>
      <c r="M278" s="9" t="n"/>
      <c r="N278" s="9" t="n"/>
      <c r="O278" s="40">
        <f>K278+V278-AE278-AZ278</f>
        <v/>
      </c>
      <c r="P278" s="12" t="n"/>
      <c r="Q278" s="138" t="n"/>
      <c r="R278" s="16" t="n"/>
      <c r="S278" s="139" t="n"/>
      <c r="T278" s="16" t="n"/>
      <c r="U278" s="139" t="n"/>
      <c r="V278" s="16">
        <f>P278+R278+T278</f>
        <v/>
      </c>
      <c r="W278" s="16" t="n"/>
      <c r="X278" s="139" t="n"/>
      <c r="Y278" s="16" t="n"/>
      <c r="Z278" s="139" t="n"/>
      <c r="AA278" s="16" t="n"/>
      <c r="AB278" s="139" t="n"/>
      <c r="AC278" s="16" t="n"/>
      <c r="AD278" s="139" t="n"/>
      <c r="AE278" s="16">
        <f>(W278+Y278+AA278+AC278)</f>
        <v/>
      </c>
      <c r="AF278" s="140" t="n"/>
      <c r="AG278" s="138" t="n"/>
      <c r="AH278" s="16" t="n"/>
      <c r="AI278" s="138" t="n"/>
      <c r="AJ278" s="16" t="n"/>
      <c r="AK278" s="138" t="n"/>
      <c r="AL278" s="16" t="n"/>
      <c r="AM278" s="138" t="n"/>
      <c r="AN278" s="16" t="n"/>
      <c r="AO278" s="138" t="n"/>
      <c r="AP278" s="16" t="n"/>
      <c r="AQ278" s="138" t="n"/>
      <c r="AR278" s="16" t="n"/>
      <c r="AS278" s="138" t="n"/>
      <c r="AT278" s="16" t="n"/>
      <c r="AU278" s="138" t="n"/>
      <c r="AV278" s="16" t="n"/>
      <c r="AW278" s="138" t="n"/>
      <c r="AX278" s="16" t="n"/>
      <c r="AY278" s="138" t="n"/>
      <c r="AZ278" s="16">
        <f>AF278+AH278+AJ278+AL278+AN278+AP278+AR278+AT278+AV278+AX278</f>
        <v/>
      </c>
      <c r="BA278" s="16" t="n"/>
      <c r="BB278" s="139" t="n"/>
      <c r="BC278" s="16" t="n"/>
      <c r="BD278" s="139" t="n"/>
      <c r="BE278" s="16">
        <f>(BA278+BC278)</f>
        <v/>
      </c>
    </row>
    <row r="279" ht="22.5" customFormat="1" customHeight="1" s="8">
      <c r="A279" s="9" t="n"/>
      <c r="B279" s="136" t="inlineStr">
        <is>
          <t>CABLE</t>
        </is>
      </c>
      <c r="C279" s="137" t="inlineStr">
        <is>
          <t>ADX4000W</t>
        </is>
      </c>
      <c r="D279" s="65" t="inlineStr">
        <is>
          <t>Embedded PC 전원 (2핀)</t>
        </is>
      </c>
      <c r="E279" s="13" t="inlineStr">
        <is>
          <t>케리어+CTR B/D 연결</t>
        </is>
      </c>
      <c r="F279" s="100" t="n"/>
      <c r="G279" s="9" t="n"/>
      <c r="H279" s="9" t="inlineStr">
        <is>
          <t>HLP</t>
        </is>
      </c>
      <c r="I279" s="14" t="n"/>
      <c r="J279" s="14" t="n"/>
      <c r="K279" s="12" t="n">
        <v>104</v>
      </c>
      <c r="L279" s="9" t="n"/>
      <c r="M279" s="9" t="n"/>
      <c r="N279" s="9" t="n"/>
      <c r="O279" s="40">
        <f>K279+V279-AE279-AZ279</f>
        <v/>
      </c>
      <c r="P279" s="12" t="n"/>
      <c r="Q279" s="138" t="n"/>
      <c r="R279" s="16" t="n"/>
      <c r="S279" s="139" t="n"/>
      <c r="T279" s="16" t="n"/>
      <c r="U279" s="139" t="n"/>
      <c r="V279" s="16">
        <f>P279+R279+T279</f>
        <v/>
      </c>
      <c r="W279" s="16" t="n"/>
      <c r="X279" s="139" t="n"/>
      <c r="Y279" s="16" t="n"/>
      <c r="Z279" s="139" t="n"/>
      <c r="AA279" s="16" t="n"/>
      <c r="AB279" s="139" t="n"/>
      <c r="AC279" s="16" t="n"/>
      <c r="AD279" s="139" t="n"/>
      <c r="AE279" s="16">
        <f>(W279+Y279+AA279+AC279)</f>
        <v/>
      </c>
      <c r="AF279" s="140" t="n"/>
      <c r="AG279" s="138" t="n"/>
      <c r="AH279" s="16" t="n"/>
      <c r="AI279" s="138" t="n"/>
      <c r="AJ279" s="16" t="n"/>
      <c r="AK279" s="138" t="n"/>
      <c r="AL279" s="16" t="n"/>
      <c r="AM279" s="138" t="n"/>
      <c r="AN279" s="16" t="n"/>
      <c r="AO279" s="138" t="n"/>
      <c r="AP279" s="16" t="n"/>
      <c r="AQ279" s="138" t="n"/>
      <c r="AR279" s="16" t="n"/>
      <c r="AS279" s="138" t="n"/>
      <c r="AT279" s="16" t="n"/>
      <c r="AU279" s="138" t="n"/>
      <c r="AV279" s="16" t="n"/>
      <c r="AW279" s="138" t="n"/>
      <c r="AX279" s="16" t="n"/>
      <c r="AY279" s="138" t="n"/>
      <c r="AZ279" s="16">
        <f>AF279+AH279+AJ279+AL279+AN279+AP279+AR279+AT279+AV279+AX279</f>
        <v/>
      </c>
      <c r="BA279" s="16" t="n"/>
      <c r="BB279" s="139" t="n"/>
      <c r="BC279" s="16" t="n"/>
      <c r="BD279" s="139" t="n"/>
      <c r="BE279" s="16">
        <f>(BA279+BC279)</f>
        <v/>
      </c>
    </row>
    <row r="280" ht="22.5" customFormat="1" customHeight="1" s="8">
      <c r="A280" s="9" t="n"/>
      <c r="B280" s="136" t="inlineStr">
        <is>
          <t>CABLE</t>
        </is>
      </c>
      <c r="C280" s="137" t="inlineStr">
        <is>
          <t>ADX4000W</t>
        </is>
      </c>
      <c r="D280" s="82" t="inlineStr">
        <is>
          <t>리모콘 및 관전류 (4핀)</t>
        </is>
      </c>
      <c r="E280" s="13" t="n"/>
      <c r="F280" s="100" t="n"/>
      <c r="G280" s="9" t="n"/>
      <c r="H280" s="9" t="inlineStr">
        <is>
          <t>HLP</t>
        </is>
      </c>
      <c r="I280" s="14" t="n"/>
      <c r="J280" s="14" t="n"/>
      <c r="K280" s="12" t="n">
        <v>87</v>
      </c>
      <c r="L280" s="9" t="n"/>
      <c r="M280" s="9" t="n"/>
      <c r="N280" s="9" t="n"/>
      <c r="O280" s="40">
        <f>K280+V280-AE280-AZ280</f>
        <v/>
      </c>
      <c r="P280" s="12" t="n"/>
      <c r="Q280" s="138" t="n"/>
      <c r="R280" s="16" t="n"/>
      <c r="S280" s="139" t="n"/>
      <c r="T280" s="16" t="n"/>
      <c r="U280" s="139" t="n"/>
      <c r="V280" s="16">
        <f>P280+R280+T280</f>
        <v/>
      </c>
      <c r="W280" s="16" t="n"/>
      <c r="X280" s="139" t="n"/>
      <c r="Y280" s="16" t="n"/>
      <c r="Z280" s="139" t="n"/>
      <c r="AA280" s="16" t="n"/>
      <c r="AB280" s="139" t="n"/>
      <c r="AC280" s="16" t="n"/>
      <c r="AD280" s="139" t="n"/>
      <c r="AE280" s="16">
        <f>(W280+Y280+AA280+AC280)</f>
        <v/>
      </c>
      <c r="AF280" s="140" t="n"/>
      <c r="AG280" s="138" t="n"/>
      <c r="AH280" s="16" t="n"/>
      <c r="AI280" s="138" t="n"/>
      <c r="AJ280" s="16" t="n"/>
      <c r="AK280" s="138" t="n"/>
      <c r="AL280" s="16" t="n"/>
      <c r="AM280" s="138" t="n"/>
      <c r="AN280" s="16" t="n"/>
      <c r="AO280" s="138" t="n"/>
      <c r="AP280" s="16" t="n"/>
      <c r="AQ280" s="138" t="n"/>
      <c r="AR280" s="16" t="n"/>
      <c r="AS280" s="138" t="n"/>
      <c r="AT280" s="16" t="n"/>
      <c r="AU280" s="138" t="n"/>
      <c r="AV280" s="16" t="n"/>
      <c r="AW280" s="138" t="n"/>
      <c r="AX280" s="16" t="n"/>
      <c r="AY280" s="138" t="n"/>
      <c r="AZ280" s="16">
        <f>AF280+AH280+AJ280+AL280+AN280+AP280+AR280+AT280+AV280+AX280</f>
        <v/>
      </c>
      <c r="BA280" s="16" t="n"/>
      <c r="BB280" s="139" t="n"/>
      <c r="BC280" s="16" t="n"/>
      <c r="BD280" s="139" t="n"/>
      <c r="BE280" s="16">
        <f>(BA280+BC280)</f>
        <v/>
      </c>
    </row>
    <row r="281" ht="22.5" customFormat="1" customHeight="1" s="8">
      <c r="A281" s="9" t="n"/>
      <c r="B281" s="136" t="inlineStr">
        <is>
          <t>CABLE</t>
        </is>
      </c>
      <c r="C281" s="137" t="inlineStr">
        <is>
          <t>ADX4000W</t>
        </is>
      </c>
      <c r="D281" s="82" t="inlineStr">
        <is>
          <t>USB Wire (4핀)</t>
        </is>
      </c>
      <c r="E281" s="13" t="n"/>
      <c r="F281" s="100" t="n"/>
      <c r="G281" s="9" t="n"/>
      <c r="H281" s="9" t="inlineStr">
        <is>
          <t>HLP</t>
        </is>
      </c>
      <c r="I281" s="14" t="n"/>
      <c r="J281" s="14" t="n"/>
      <c r="K281" s="12" t="n">
        <v>90</v>
      </c>
      <c r="L281" s="9" t="n"/>
      <c r="M281" s="9" t="n"/>
      <c r="N281" s="9" t="n"/>
      <c r="O281" s="40">
        <f>K281+V281-AE281-AZ281</f>
        <v/>
      </c>
      <c r="P281" s="12" t="n"/>
      <c r="Q281" s="138" t="n"/>
      <c r="R281" s="16" t="n"/>
      <c r="S281" s="139" t="n"/>
      <c r="T281" s="16" t="n"/>
      <c r="U281" s="139" t="n"/>
      <c r="V281" s="16">
        <f>P281+R281+T281</f>
        <v/>
      </c>
      <c r="W281" s="16" t="n"/>
      <c r="X281" s="139" t="n"/>
      <c r="Y281" s="16" t="n"/>
      <c r="Z281" s="139" t="n"/>
      <c r="AA281" s="16" t="n"/>
      <c r="AB281" s="139" t="n"/>
      <c r="AC281" s="16" t="n"/>
      <c r="AD281" s="139" t="n"/>
      <c r="AE281" s="16">
        <f>(W281+Y281+AA281+AC281)</f>
        <v/>
      </c>
      <c r="AF281" s="140" t="n"/>
      <c r="AG281" s="138" t="n"/>
      <c r="AH281" s="16" t="n"/>
      <c r="AI281" s="138" t="n"/>
      <c r="AJ281" s="16" t="n"/>
      <c r="AK281" s="138" t="n"/>
      <c r="AL281" s="16" t="n"/>
      <c r="AM281" s="138" t="n"/>
      <c r="AN281" s="16" t="n"/>
      <c r="AO281" s="138" t="n"/>
      <c r="AP281" s="16" t="n"/>
      <c r="AQ281" s="138" t="n"/>
      <c r="AR281" s="16" t="n"/>
      <c r="AS281" s="138" t="n"/>
      <c r="AT281" s="16" t="n"/>
      <c r="AU281" s="138" t="n"/>
      <c r="AV281" s="16" t="n"/>
      <c r="AW281" s="138" t="n"/>
      <c r="AX281" s="16" t="n"/>
      <c r="AY281" s="138" t="n"/>
      <c r="AZ281" s="16">
        <f>AF281+AH281+AJ281+AL281+AN281+AP281+AR281+AT281+AV281+AX281</f>
        <v/>
      </c>
      <c r="BA281" s="16" t="n"/>
      <c r="BB281" s="139" t="n"/>
      <c r="BC281" s="16" t="n"/>
      <c r="BD281" s="139" t="n"/>
      <c r="BE281" s="16">
        <f>(BA281+BC281)</f>
        <v/>
      </c>
    </row>
    <row r="282" ht="22.5" customFormat="1" customHeight="1" s="8">
      <c r="A282" s="9" t="n"/>
      <c r="B282" s="136" t="inlineStr">
        <is>
          <t>CABLE</t>
        </is>
      </c>
      <c r="C282" s="137" t="inlineStr">
        <is>
          <t>ADX4000W</t>
        </is>
      </c>
      <c r="D282" s="82" t="inlineStr">
        <is>
          <t>NAVIGATION KEY (6핀)</t>
        </is>
      </c>
      <c r="E282" s="13" t="n"/>
      <c r="F282" s="100" t="n"/>
      <c r="G282" s="9" t="n"/>
      <c r="H282" s="9" t="inlineStr">
        <is>
          <t>HLP</t>
        </is>
      </c>
      <c r="I282" s="14" t="n"/>
      <c r="J282" s="14" t="n"/>
      <c r="K282" s="12" t="n">
        <v>72</v>
      </c>
      <c r="L282" s="9" t="n"/>
      <c r="M282" s="9" t="n"/>
      <c r="N282" s="9" t="n"/>
      <c r="O282" s="40">
        <f>K282+V282-AE282-AZ282</f>
        <v/>
      </c>
      <c r="P282" s="12" t="n"/>
      <c r="Q282" s="138" t="n"/>
      <c r="R282" s="16" t="n"/>
      <c r="S282" s="139" t="n"/>
      <c r="T282" s="16" t="n"/>
      <c r="U282" s="139" t="n"/>
      <c r="V282" s="16">
        <f>P282+R282+T282</f>
        <v/>
      </c>
      <c r="W282" s="16" t="n"/>
      <c r="X282" s="139" t="n"/>
      <c r="Y282" s="16" t="n"/>
      <c r="Z282" s="139" t="n"/>
      <c r="AA282" s="16" t="n"/>
      <c r="AB282" s="139" t="n"/>
      <c r="AC282" s="16" t="n"/>
      <c r="AD282" s="139" t="n"/>
      <c r="AE282" s="16">
        <f>(W282+Y282+AA282+AC282)</f>
        <v/>
      </c>
      <c r="AF282" s="140" t="n"/>
      <c r="AG282" s="138" t="n"/>
      <c r="AH282" s="16" t="n"/>
      <c r="AI282" s="138" t="n"/>
      <c r="AJ282" s="16" t="n"/>
      <c r="AK282" s="138" t="n"/>
      <c r="AL282" s="16" t="n"/>
      <c r="AM282" s="138" t="n"/>
      <c r="AN282" s="16" t="n"/>
      <c r="AO282" s="138" t="n"/>
      <c r="AP282" s="16" t="n"/>
      <c r="AQ282" s="138" t="n"/>
      <c r="AR282" s="16" t="n"/>
      <c r="AS282" s="138" t="n"/>
      <c r="AT282" s="16" t="n"/>
      <c r="AU282" s="138" t="n"/>
      <c r="AV282" s="16" t="n"/>
      <c r="AW282" s="138" t="n"/>
      <c r="AX282" s="16" t="n"/>
      <c r="AY282" s="138" t="n"/>
      <c r="AZ282" s="16">
        <f>AF282+AH282+AJ282+AL282+AN282+AP282+AR282+AT282+AV282+AX282</f>
        <v/>
      </c>
      <c r="BA282" s="16" t="n"/>
      <c r="BB282" s="139" t="n"/>
      <c r="BC282" s="16" t="n"/>
      <c r="BD282" s="139" t="n"/>
      <c r="BE282" s="16">
        <f>(BA282+BC282)</f>
        <v/>
      </c>
    </row>
    <row r="283" ht="22.5" customFormat="1" customHeight="1" s="8">
      <c r="A283" s="9" t="n"/>
      <c r="B283" s="136" t="inlineStr">
        <is>
          <t>CABLE</t>
        </is>
      </c>
      <c r="C283" s="137" t="inlineStr">
        <is>
          <t>ADX4000W</t>
        </is>
      </c>
      <c r="D283" s="82" t="inlineStr">
        <is>
          <t>RS422 통신 및 PC 전원 on/off  (7핀)</t>
        </is>
      </c>
      <c r="E283" s="13" t="n"/>
      <c r="F283" s="100" t="n"/>
      <c r="G283" s="9" t="n"/>
      <c r="H283" s="9" t="inlineStr">
        <is>
          <t>HLP</t>
        </is>
      </c>
      <c r="I283" s="14" t="n"/>
      <c r="J283" s="14" t="n"/>
      <c r="K283" s="12" t="n">
        <v>38</v>
      </c>
      <c r="L283" s="9" t="n"/>
      <c r="M283" s="9" t="n"/>
      <c r="N283" s="9" t="n"/>
      <c r="O283" s="40">
        <f>K283+V283-AE283-AZ283</f>
        <v/>
      </c>
      <c r="P283" s="12" t="n"/>
      <c r="Q283" s="138" t="n"/>
      <c r="R283" s="16" t="n"/>
      <c r="S283" s="139" t="n"/>
      <c r="T283" s="16" t="n"/>
      <c r="U283" s="139" t="n"/>
      <c r="V283" s="16">
        <f>P283+R283+T283</f>
        <v/>
      </c>
      <c r="W283" s="16" t="n"/>
      <c r="X283" s="139" t="n"/>
      <c r="Y283" s="16" t="n"/>
      <c r="Z283" s="139" t="n"/>
      <c r="AA283" s="16" t="n"/>
      <c r="AB283" s="139" t="n"/>
      <c r="AC283" s="16" t="n"/>
      <c r="AD283" s="139" t="n"/>
      <c r="AE283" s="16">
        <f>(W283+Y283+AA283+AC283)</f>
        <v/>
      </c>
      <c r="AF283" s="140" t="n"/>
      <c r="AG283" s="138" t="n"/>
      <c r="AH283" s="16" t="n"/>
      <c r="AI283" s="138" t="n"/>
      <c r="AJ283" s="16" t="n"/>
      <c r="AK283" s="138" t="n"/>
      <c r="AL283" s="16" t="n"/>
      <c r="AM283" s="138" t="n"/>
      <c r="AN283" s="16" t="n"/>
      <c r="AO283" s="138" t="n"/>
      <c r="AP283" s="16" t="n"/>
      <c r="AQ283" s="138" t="n"/>
      <c r="AR283" s="16" t="n"/>
      <c r="AS283" s="138" t="n"/>
      <c r="AT283" s="16" t="n"/>
      <c r="AU283" s="138" t="n"/>
      <c r="AV283" s="16" t="n"/>
      <c r="AW283" s="138" t="n"/>
      <c r="AX283" s="16" t="n"/>
      <c r="AY283" s="138" t="n"/>
      <c r="AZ283" s="16">
        <f>AF283+AH283+AJ283+AL283+AN283+AP283+AR283+AT283+AV283+AX283</f>
        <v/>
      </c>
      <c r="BA283" s="16" t="n"/>
      <c r="BB283" s="139" t="n"/>
      <c r="BC283" s="16" t="n"/>
      <c r="BD283" s="139" t="n"/>
      <c r="BE283" s="16">
        <f>(BA283+BC283)</f>
        <v/>
      </c>
    </row>
    <row r="284" ht="22.5" customFormat="1" customHeight="1" s="8">
      <c r="A284" s="9" t="n"/>
      <c r="B284" s="136" t="inlineStr">
        <is>
          <t>CABLE</t>
        </is>
      </c>
      <c r="C284" s="137" t="inlineStr">
        <is>
          <t>ADX4000W</t>
        </is>
      </c>
      <c r="D284" s="82" t="inlineStr">
        <is>
          <t>전원 및 EXP Wire  (8핀)</t>
        </is>
      </c>
      <c r="E284" s="13" t="n"/>
      <c r="F284" s="100" t="n"/>
      <c r="G284" s="9" t="n"/>
      <c r="H284" s="9" t="inlineStr">
        <is>
          <t>HLP</t>
        </is>
      </c>
      <c r="I284" s="14" t="n"/>
      <c r="J284" s="14" t="n"/>
      <c r="K284" s="12" t="n">
        <v>146</v>
      </c>
      <c r="L284" s="9" t="n"/>
      <c r="M284" s="9" t="n"/>
      <c r="N284" s="9" t="n"/>
      <c r="O284" s="40">
        <f>K284+V284-AE284-AZ284</f>
        <v/>
      </c>
      <c r="P284" s="12" t="n"/>
      <c r="Q284" s="138" t="n"/>
      <c r="R284" s="16" t="n"/>
      <c r="S284" s="139" t="n"/>
      <c r="T284" s="16" t="n"/>
      <c r="U284" s="139" t="n"/>
      <c r="V284" s="16">
        <f>P284+R284+T284</f>
        <v/>
      </c>
      <c r="W284" s="16" t="n"/>
      <c r="X284" s="139" t="n"/>
      <c r="Y284" s="16" t="n"/>
      <c r="Z284" s="139" t="n"/>
      <c r="AA284" s="16" t="n"/>
      <c r="AB284" s="139" t="n"/>
      <c r="AC284" s="16" t="n"/>
      <c r="AD284" s="139" t="n"/>
      <c r="AE284" s="16">
        <f>(W284+Y284+AA284+AC284)</f>
        <v/>
      </c>
      <c r="AF284" s="140" t="n"/>
      <c r="AG284" s="138" t="n"/>
      <c r="AH284" s="16" t="n"/>
      <c r="AI284" s="138" t="n"/>
      <c r="AJ284" s="16" t="n"/>
      <c r="AK284" s="138" t="n"/>
      <c r="AL284" s="16" t="n"/>
      <c r="AM284" s="138" t="n"/>
      <c r="AN284" s="16" t="n"/>
      <c r="AO284" s="138" t="n"/>
      <c r="AP284" s="16" t="n"/>
      <c r="AQ284" s="138" t="n"/>
      <c r="AR284" s="16" t="n"/>
      <c r="AS284" s="138" t="n"/>
      <c r="AT284" s="16" t="n"/>
      <c r="AU284" s="138" t="n"/>
      <c r="AV284" s="16" t="n"/>
      <c r="AW284" s="138" t="n"/>
      <c r="AX284" s="16" t="n"/>
      <c r="AY284" s="138" t="n"/>
      <c r="AZ284" s="16">
        <f>AF284+AH284+AJ284+AL284+AN284+AP284+AR284+AT284+AV284+AX284</f>
        <v/>
      </c>
      <c r="BA284" s="16" t="n"/>
      <c r="BB284" s="139" t="n"/>
      <c r="BC284" s="16" t="n"/>
      <c r="BD284" s="139" t="n"/>
      <c r="BE284" s="16">
        <f>(BA284+BC284)</f>
        <v/>
      </c>
    </row>
    <row r="285" ht="22.5" customFormat="1" customHeight="1" s="8">
      <c r="A285" s="9" t="n"/>
      <c r="B285" s="136" t="inlineStr">
        <is>
          <t>CABLE</t>
        </is>
      </c>
      <c r="C285" s="137" t="inlineStr">
        <is>
          <t>ADX4000W</t>
        </is>
      </c>
      <c r="D285" s="82" t="inlineStr">
        <is>
          <t>LCD Wire (LVDS) (30핀)</t>
        </is>
      </c>
      <c r="E285" s="13" t="n"/>
      <c r="F285" s="100" t="n"/>
      <c r="G285" s="9" t="n"/>
      <c r="H285" s="9" t="inlineStr">
        <is>
          <t>HLP</t>
        </is>
      </c>
      <c r="I285" s="14" t="n"/>
      <c r="J285" s="14" t="n"/>
      <c r="K285" s="12" t="n">
        <v>512</v>
      </c>
      <c r="L285" s="9" t="n"/>
      <c r="M285" s="9" t="n"/>
      <c r="N285" s="9" t="n"/>
      <c r="O285" s="40">
        <f>K285+V285-AE285-AZ285</f>
        <v/>
      </c>
      <c r="P285" s="12" t="n"/>
      <c r="Q285" s="138" t="n"/>
      <c r="R285" s="16" t="n"/>
      <c r="S285" s="139" t="n"/>
      <c r="T285" s="16" t="n"/>
      <c r="U285" s="139" t="n"/>
      <c r="V285" s="16">
        <f>P285+R285+T285</f>
        <v/>
      </c>
      <c r="W285" s="16" t="n"/>
      <c r="X285" s="139" t="n"/>
      <c r="Y285" s="16" t="n"/>
      <c r="Z285" s="139" t="n"/>
      <c r="AA285" s="16" t="n"/>
      <c r="AB285" s="139" t="n"/>
      <c r="AC285" s="16" t="n"/>
      <c r="AD285" s="139" t="n"/>
      <c r="AE285" s="16">
        <f>(W285+Y285+AA285+AC285)</f>
        <v/>
      </c>
      <c r="AF285" s="140" t="n"/>
      <c r="AG285" s="138" t="n"/>
      <c r="AH285" s="16" t="n"/>
      <c r="AI285" s="138" t="n"/>
      <c r="AJ285" s="16" t="n"/>
      <c r="AK285" s="138" t="n"/>
      <c r="AL285" s="16" t="n"/>
      <c r="AM285" s="138" t="n"/>
      <c r="AN285" s="16" t="n"/>
      <c r="AO285" s="138" t="n"/>
      <c r="AP285" s="16" t="n"/>
      <c r="AQ285" s="138" t="n"/>
      <c r="AR285" s="16" t="n"/>
      <c r="AS285" s="138" t="n"/>
      <c r="AT285" s="16" t="n"/>
      <c r="AU285" s="138" t="n"/>
      <c r="AV285" s="16" t="n"/>
      <c r="AW285" s="138" t="n"/>
      <c r="AX285" s="16" t="n"/>
      <c r="AY285" s="138" t="n"/>
      <c r="AZ285" s="16">
        <f>AF285+AH285+AJ285+AL285+AN285+AP285+AR285+AT285+AV285+AX285</f>
        <v/>
      </c>
      <c r="BA285" s="16" t="n"/>
      <c r="BB285" s="139" t="n"/>
      <c r="BC285" s="16" t="n"/>
      <c r="BD285" s="139" t="n"/>
      <c r="BE285" s="16">
        <f>(BA285+BC285)</f>
        <v/>
      </c>
    </row>
    <row r="286" ht="22.5" customFormat="1" customHeight="1" s="8">
      <c r="A286" s="9" t="n"/>
      <c r="B286" s="136" t="inlineStr">
        <is>
          <t>ABS 난연</t>
        </is>
      </c>
      <c r="C286" s="137" t="inlineStr">
        <is>
          <t>ADX4000W</t>
        </is>
      </c>
      <c r="D286" s="83" t="inlineStr">
        <is>
          <t>LCD TOP</t>
        </is>
      </c>
      <c r="E286" s="13" t="inlineStr">
        <is>
          <t>ABS 난연 화이트</t>
        </is>
      </c>
      <c r="F286" s="100" t="n"/>
      <c r="G286" s="9" t="n"/>
      <c r="H286" s="9" t="inlineStr">
        <is>
          <t>천우</t>
        </is>
      </c>
      <c r="I286" s="14" t="n"/>
      <c r="J286" s="14" t="n"/>
      <c r="K286" s="12" t="n">
        <v>101</v>
      </c>
      <c r="L286" s="9" t="n"/>
      <c r="M286" s="9" t="n"/>
      <c r="N286" s="9" t="n"/>
      <c r="O286" s="40">
        <f>K286+V286-AE286-AZ286</f>
        <v/>
      </c>
      <c r="P286" s="12" t="n"/>
      <c r="Q286" s="138" t="n"/>
      <c r="R286" s="16" t="n"/>
      <c r="S286" s="139" t="n"/>
      <c r="T286" s="16" t="n"/>
      <c r="U286" s="139" t="n"/>
      <c r="V286" s="16">
        <f>P286+R286+T286</f>
        <v/>
      </c>
      <c r="W286" s="16" t="n"/>
      <c r="X286" s="139" t="n"/>
      <c r="Y286" s="16" t="n"/>
      <c r="Z286" s="139" t="n"/>
      <c r="AA286" s="16" t="n"/>
      <c r="AB286" s="139" t="n"/>
      <c r="AC286" s="16" t="n"/>
      <c r="AD286" s="139" t="n"/>
      <c r="AE286" s="16">
        <f>(W286+Y286+AA286+AC286)</f>
        <v/>
      </c>
      <c r="AF286" s="140" t="n"/>
      <c r="AG286" s="138" t="n"/>
      <c r="AH286" s="16" t="n"/>
      <c r="AI286" s="138" t="n"/>
      <c r="AJ286" s="16" t="n"/>
      <c r="AK286" s="138" t="n"/>
      <c r="AL286" s="16" t="n"/>
      <c r="AM286" s="138" t="n"/>
      <c r="AN286" s="16" t="n"/>
      <c r="AO286" s="138" t="n"/>
      <c r="AP286" s="16" t="n"/>
      <c r="AQ286" s="138" t="n"/>
      <c r="AR286" s="16" t="n"/>
      <c r="AS286" s="138" t="n"/>
      <c r="AT286" s="16" t="n"/>
      <c r="AU286" s="138" t="n"/>
      <c r="AV286" s="16" t="n"/>
      <c r="AW286" s="138" t="n"/>
      <c r="AX286" s="16" t="n"/>
      <c r="AY286" s="138" t="n"/>
      <c r="AZ286" s="16">
        <f>AF286+AH286+AJ286+AL286+AN286+AP286+AR286+AT286+AV286+AX286</f>
        <v/>
      </c>
      <c r="BA286" s="16" t="n"/>
      <c r="BB286" s="139" t="n"/>
      <c r="BC286" s="16" t="n"/>
      <c r="BD286" s="139" t="n"/>
      <c r="BE286" s="16">
        <f>(BA286+BC286)</f>
        <v/>
      </c>
    </row>
    <row r="287" ht="22.5" customFormat="1" customHeight="1" s="8">
      <c r="A287" s="9" t="n"/>
      <c r="B287" s="136" t="inlineStr">
        <is>
          <t>ABS 난연</t>
        </is>
      </c>
      <c r="C287" s="137" t="inlineStr">
        <is>
          <t>ADX4000W</t>
        </is>
      </c>
      <c r="D287" s="83" t="inlineStr">
        <is>
          <t>LCD BOTTOM</t>
        </is>
      </c>
      <c r="E287" s="13" t="inlineStr">
        <is>
          <t>ABS 난연 화이트</t>
        </is>
      </c>
      <c r="F287" s="100" t="n"/>
      <c r="G287" s="9" t="n"/>
      <c r="H287" s="9" t="inlineStr">
        <is>
          <t>천우</t>
        </is>
      </c>
      <c r="I287" s="14" t="n"/>
      <c r="J287" s="14" t="n"/>
      <c r="K287" s="12" t="n">
        <v>101</v>
      </c>
      <c r="L287" s="9" t="n"/>
      <c r="M287" s="9" t="n"/>
      <c r="N287" s="9" t="n"/>
      <c r="O287" s="40">
        <f>K287+V287-AE287-AZ287</f>
        <v/>
      </c>
      <c r="P287" s="12" t="n"/>
      <c r="Q287" s="138" t="n"/>
      <c r="R287" s="16" t="n"/>
      <c r="S287" s="139" t="n"/>
      <c r="T287" s="16" t="n"/>
      <c r="U287" s="139" t="n"/>
      <c r="V287" s="16">
        <f>P287+R287+T287</f>
        <v/>
      </c>
      <c r="W287" s="16" t="n"/>
      <c r="X287" s="139" t="n"/>
      <c r="Y287" s="16" t="n"/>
      <c r="Z287" s="139" t="n"/>
      <c r="AA287" s="16" t="n"/>
      <c r="AB287" s="139" t="n"/>
      <c r="AC287" s="16" t="n"/>
      <c r="AD287" s="139" t="n"/>
      <c r="AE287" s="16">
        <f>(W287+Y287+AA287+AC287)</f>
        <v/>
      </c>
      <c r="AF287" s="140" t="n"/>
      <c r="AG287" s="138" t="n"/>
      <c r="AH287" s="16" t="n"/>
      <c r="AI287" s="138" t="n"/>
      <c r="AJ287" s="16" t="n"/>
      <c r="AK287" s="138" t="n"/>
      <c r="AL287" s="16" t="n"/>
      <c r="AM287" s="138" t="n"/>
      <c r="AN287" s="16" t="n"/>
      <c r="AO287" s="138" t="n"/>
      <c r="AP287" s="16" t="n"/>
      <c r="AQ287" s="138" t="n"/>
      <c r="AR287" s="16" t="n"/>
      <c r="AS287" s="138" t="n"/>
      <c r="AT287" s="16" t="n"/>
      <c r="AU287" s="138" t="n"/>
      <c r="AV287" s="16" t="n"/>
      <c r="AW287" s="138" t="n"/>
      <c r="AX287" s="16" t="n"/>
      <c r="AY287" s="138" t="n"/>
      <c r="AZ287" s="16">
        <f>AF287+AH287+AJ287+AL287+AN287+AP287+AR287+AT287+AV287+AX287</f>
        <v/>
      </c>
      <c r="BA287" s="16" t="n"/>
      <c r="BB287" s="139" t="n"/>
      <c r="BC287" s="16" t="n"/>
      <c r="BD287" s="139" t="n"/>
      <c r="BE287" s="16">
        <f>(BA287+BC287)</f>
        <v/>
      </c>
    </row>
    <row r="288" ht="22.5" customFormat="1" customHeight="1" s="8">
      <c r="A288" s="9" t="n"/>
      <c r="B288" s="136" t="inlineStr">
        <is>
          <t>ABS 난연</t>
        </is>
      </c>
      <c r="C288" s="137" t="inlineStr">
        <is>
          <t>ADX4000W</t>
        </is>
      </c>
      <c r="D288" s="83" t="inlineStr">
        <is>
          <t>LCD GUIDE</t>
        </is>
      </c>
      <c r="E288" s="13" t="inlineStr">
        <is>
          <t>ABS 난연 화이트</t>
        </is>
      </c>
      <c r="F288" s="100" t="n"/>
      <c r="G288" s="9" t="n"/>
      <c r="H288" s="9" t="inlineStr">
        <is>
          <t>천우</t>
        </is>
      </c>
      <c r="I288" s="14" t="n"/>
      <c r="J288" s="14" t="n"/>
      <c r="K288" s="12" t="n">
        <v>2058</v>
      </c>
      <c r="L288" s="9" t="n"/>
      <c r="M288" s="9" t="n"/>
      <c r="N288" s="9" t="n"/>
      <c r="O288" s="40">
        <f>K288+V288-AE288-AZ288</f>
        <v/>
      </c>
      <c r="P288" s="12" t="n"/>
      <c r="Q288" s="138" t="n"/>
      <c r="R288" s="16" t="n"/>
      <c r="S288" s="139" t="n"/>
      <c r="T288" s="16" t="n"/>
      <c r="U288" s="139" t="n"/>
      <c r="V288" s="16">
        <f>P288+R288+T288</f>
        <v/>
      </c>
      <c r="W288" s="16" t="n"/>
      <c r="X288" s="139" t="n"/>
      <c r="Y288" s="16" t="n"/>
      <c r="Z288" s="139" t="n"/>
      <c r="AA288" s="16" t="n"/>
      <c r="AB288" s="139" t="n"/>
      <c r="AC288" s="16" t="n"/>
      <c r="AD288" s="139" t="n"/>
      <c r="AE288" s="16">
        <f>(W288+Y288+AA288+AC288)</f>
        <v/>
      </c>
      <c r="AF288" s="140" t="n"/>
      <c r="AG288" s="138" t="n"/>
      <c r="AH288" s="16" t="n"/>
      <c r="AI288" s="138" t="n"/>
      <c r="AJ288" s="16" t="n"/>
      <c r="AK288" s="138" t="n"/>
      <c r="AL288" s="16" t="n"/>
      <c r="AM288" s="138" t="n"/>
      <c r="AN288" s="16" t="n"/>
      <c r="AO288" s="138" t="n"/>
      <c r="AP288" s="16" t="n"/>
      <c r="AQ288" s="138" t="n"/>
      <c r="AR288" s="16" t="n"/>
      <c r="AS288" s="138" t="n"/>
      <c r="AT288" s="16" t="n"/>
      <c r="AU288" s="138" t="n"/>
      <c r="AV288" s="16" t="n"/>
      <c r="AW288" s="138" t="n"/>
      <c r="AX288" s="16" t="n"/>
      <c r="AY288" s="138" t="n"/>
      <c r="AZ288" s="16">
        <f>AF288+AH288+AJ288+AL288+AN288+AP288+AR288+AT288+AV288+AX288</f>
        <v/>
      </c>
      <c r="BA288" s="16" t="n"/>
      <c r="BB288" s="139" t="n"/>
      <c r="BC288" s="16" t="n"/>
      <c r="BD288" s="139" t="n"/>
      <c r="BE288" s="16">
        <f>(BA288+BC288)</f>
        <v/>
      </c>
    </row>
    <row r="289" ht="22.5" customFormat="1" customHeight="1" s="8">
      <c r="A289" s="9" t="n"/>
      <c r="B289" s="136" t="inlineStr">
        <is>
          <t>ABS 난연</t>
        </is>
      </c>
      <c r="C289" s="137" t="inlineStr">
        <is>
          <t>ADX4000W</t>
        </is>
      </c>
      <c r="D289" s="83" t="inlineStr">
        <is>
          <t>TOP</t>
        </is>
      </c>
      <c r="E289" s="13" t="inlineStr">
        <is>
          <t>ABS 난연 화이트</t>
        </is>
      </c>
      <c r="F289" s="100" t="n"/>
      <c r="G289" s="9" t="n"/>
      <c r="H289" s="9" t="inlineStr">
        <is>
          <t>천우</t>
        </is>
      </c>
      <c r="I289" s="14" t="n"/>
      <c r="J289" s="14" t="n"/>
      <c r="K289" s="12" t="n">
        <v>0</v>
      </c>
      <c r="L289" s="9" t="n"/>
      <c r="M289" s="9" t="n"/>
      <c r="N289" s="9" t="n"/>
      <c r="O289" s="40">
        <f>K289+V289-AE289-AZ289</f>
        <v/>
      </c>
      <c r="P289" s="12" t="n"/>
      <c r="Q289" s="138" t="n"/>
      <c r="R289" s="16" t="n"/>
      <c r="S289" s="139" t="n"/>
      <c r="T289" s="16" t="n"/>
      <c r="U289" s="139" t="n"/>
      <c r="V289" s="16">
        <f>P289+R289+T289</f>
        <v/>
      </c>
      <c r="W289" s="16" t="n"/>
      <c r="X289" s="139" t="n"/>
      <c r="Y289" s="16" t="n"/>
      <c r="Z289" s="139" t="n"/>
      <c r="AA289" s="16" t="n"/>
      <c r="AB289" s="139" t="n"/>
      <c r="AC289" s="16" t="n"/>
      <c r="AD289" s="139" t="n"/>
      <c r="AE289" s="16">
        <f>(W289+Y289+AA289+AC289)</f>
        <v/>
      </c>
      <c r="AF289" s="140" t="n"/>
      <c r="AG289" s="138" t="n"/>
      <c r="AH289" s="16" t="n"/>
      <c r="AI289" s="138" t="n"/>
      <c r="AJ289" s="16" t="n"/>
      <c r="AK289" s="138" t="n"/>
      <c r="AL289" s="16" t="n"/>
      <c r="AM289" s="138" t="n"/>
      <c r="AN289" s="16" t="n"/>
      <c r="AO289" s="138" t="n"/>
      <c r="AP289" s="16" t="n"/>
      <c r="AQ289" s="138" t="n"/>
      <c r="AR289" s="16" t="n"/>
      <c r="AS289" s="138" t="n"/>
      <c r="AT289" s="16" t="n"/>
      <c r="AU289" s="138" t="n"/>
      <c r="AV289" s="16" t="n"/>
      <c r="AW289" s="138" t="n"/>
      <c r="AX289" s="16" t="n"/>
      <c r="AY289" s="138" t="n"/>
      <c r="AZ289" s="16">
        <f>AF289+AH289+AJ289+AL289+AN289+AP289+AR289+AT289+AV289+AX289</f>
        <v/>
      </c>
      <c r="BA289" s="16" t="n"/>
      <c r="BB289" s="139" t="n"/>
      <c r="BC289" s="16" t="n"/>
      <c r="BD289" s="139" t="n"/>
      <c r="BE289" s="16">
        <f>(BA289+BC289)</f>
        <v/>
      </c>
    </row>
    <row r="290" ht="22.5" customFormat="1" customHeight="1" s="8">
      <c r="A290" s="9" t="n"/>
      <c r="B290" s="136" t="inlineStr">
        <is>
          <t>ABS 난연</t>
        </is>
      </c>
      <c r="C290" s="137" t="inlineStr">
        <is>
          <t>ADX4000W</t>
        </is>
      </c>
      <c r="D290" s="83" t="inlineStr">
        <is>
          <t>BOTTOM</t>
        </is>
      </c>
      <c r="E290" s="13" t="inlineStr">
        <is>
          <t>ABS 난연 화이트</t>
        </is>
      </c>
      <c r="F290" s="100" t="n"/>
      <c r="G290" s="9" t="n"/>
      <c r="H290" s="9" t="inlineStr">
        <is>
          <t>천우</t>
        </is>
      </c>
      <c r="I290" s="14" t="n"/>
      <c r="J290" s="14" t="n"/>
      <c r="K290" s="12" t="n">
        <v>0</v>
      </c>
      <c r="L290" s="9" t="n"/>
      <c r="M290" s="9" t="n"/>
      <c r="N290" s="9" t="n"/>
      <c r="O290" s="40">
        <f>K290+V290-AE290-AZ290</f>
        <v/>
      </c>
      <c r="P290" s="12" t="n"/>
      <c r="Q290" s="138" t="n"/>
      <c r="R290" s="16" t="n"/>
      <c r="S290" s="139" t="n"/>
      <c r="T290" s="16" t="n"/>
      <c r="U290" s="139" t="n"/>
      <c r="V290" s="16">
        <f>P290+R290+T290</f>
        <v/>
      </c>
      <c r="W290" s="16" t="n"/>
      <c r="X290" s="139" t="n"/>
      <c r="Y290" s="16" t="n"/>
      <c r="Z290" s="139" t="n"/>
      <c r="AA290" s="16" t="n"/>
      <c r="AB290" s="139" t="n"/>
      <c r="AC290" s="16" t="n"/>
      <c r="AD290" s="139" t="n"/>
      <c r="AE290" s="16">
        <f>(W290+Y290+AA290+AC290)</f>
        <v/>
      </c>
      <c r="AF290" s="140" t="n"/>
      <c r="AG290" s="138" t="n"/>
      <c r="AH290" s="16" t="n"/>
      <c r="AI290" s="138" t="n"/>
      <c r="AJ290" s="16" t="n"/>
      <c r="AK290" s="138" t="n"/>
      <c r="AL290" s="16" t="n"/>
      <c r="AM290" s="138" t="n"/>
      <c r="AN290" s="16" t="n"/>
      <c r="AO290" s="138" t="n"/>
      <c r="AP290" s="16" t="n"/>
      <c r="AQ290" s="138" t="n"/>
      <c r="AR290" s="16" t="n"/>
      <c r="AS290" s="138" t="n"/>
      <c r="AT290" s="16" t="n"/>
      <c r="AU290" s="138" t="n"/>
      <c r="AV290" s="16" t="n"/>
      <c r="AW290" s="138" t="n"/>
      <c r="AX290" s="16" t="n"/>
      <c r="AY290" s="138" t="n"/>
      <c r="AZ290" s="16">
        <f>AF290+AH290+AJ290+AL290+AN290+AP290+AR290+AT290+AV290+AX290</f>
        <v/>
      </c>
      <c r="BA290" s="16" t="n"/>
      <c r="BB290" s="139" t="n"/>
      <c r="BC290" s="16" t="n"/>
      <c r="BD290" s="139" t="n"/>
      <c r="BE290" s="16">
        <f>(BA290+BC290)</f>
        <v/>
      </c>
    </row>
    <row r="291" ht="22.5" customFormat="1" customHeight="1" s="8">
      <c r="A291" s="9" t="n"/>
      <c r="B291" s="136" t="inlineStr">
        <is>
          <t>ABS 난연</t>
        </is>
      </c>
      <c r="C291" s="137" t="inlineStr">
        <is>
          <t>ADX4000W</t>
        </is>
      </c>
      <c r="D291" s="83" t="inlineStr">
        <is>
          <t>BATTERY COVER</t>
        </is>
      </c>
      <c r="E291" s="13" t="inlineStr">
        <is>
          <t>ABS 난연 화이트 + 진한 회색</t>
        </is>
      </c>
      <c r="F291" s="100" t="n"/>
      <c r="G291" s="9" t="n"/>
      <c r="H291" s="9" t="inlineStr">
        <is>
          <t>천우</t>
        </is>
      </c>
      <c r="I291" s="14" t="n"/>
      <c r="J291" s="14" t="n"/>
      <c r="K291" s="12" t="n">
        <v>56</v>
      </c>
      <c r="L291" s="9" t="n"/>
      <c r="M291" s="9" t="n"/>
      <c r="N291" s="9" t="n"/>
      <c r="O291" s="40">
        <f>K291+V291-AE291-AZ291</f>
        <v/>
      </c>
      <c r="P291" s="12" t="n"/>
      <c r="Q291" s="138" t="n"/>
      <c r="R291" s="16" t="n"/>
      <c r="S291" s="139" t="n"/>
      <c r="T291" s="16" t="n"/>
      <c r="U291" s="139" t="n"/>
      <c r="V291" s="16">
        <f>P291+R291+T291</f>
        <v/>
      </c>
      <c r="W291" s="16" t="n"/>
      <c r="X291" s="139" t="n"/>
      <c r="Y291" s="16" t="n"/>
      <c r="Z291" s="139" t="n"/>
      <c r="AA291" s="16" t="n"/>
      <c r="AB291" s="139" t="n"/>
      <c r="AC291" s="16" t="n"/>
      <c r="AD291" s="139" t="n"/>
      <c r="AE291" s="16">
        <f>(W291+Y291+AA291+AC291)</f>
        <v/>
      </c>
      <c r="AF291" s="140" t="n"/>
      <c r="AG291" s="138" t="n"/>
      <c r="AH291" s="16" t="n"/>
      <c r="AI291" s="138" t="n"/>
      <c r="AJ291" s="16" t="n"/>
      <c r="AK291" s="138" t="n"/>
      <c r="AL291" s="16" t="n"/>
      <c r="AM291" s="138" t="n"/>
      <c r="AN291" s="16" t="n"/>
      <c r="AO291" s="138" t="n"/>
      <c r="AP291" s="16" t="n"/>
      <c r="AQ291" s="138" t="n"/>
      <c r="AR291" s="16" t="n"/>
      <c r="AS291" s="138" t="n"/>
      <c r="AT291" s="16" t="n"/>
      <c r="AU291" s="138" t="n"/>
      <c r="AV291" s="16" t="n"/>
      <c r="AW291" s="138" t="n"/>
      <c r="AX291" s="16" t="n"/>
      <c r="AY291" s="138" t="n"/>
      <c r="AZ291" s="16">
        <f>AF291+AH291+AJ291+AL291+AN291+AP291+AR291+AT291+AV291+AX291</f>
        <v/>
      </c>
      <c r="BA291" s="16" t="n"/>
      <c r="BB291" s="139" t="n"/>
      <c r="BC291" s="16" t="n"/>
      <c r="BD291" s="139" t="n"/>
      <c r="BE291" s="16">
        <f>(BA291+BC291)</f>
        <v/>
      </c>
    </row>
    <row r="292" ht="22.5" customFormat="1" customHeight="1" s="8">
      <c r="A292" s="9" t="n"/>
      <c r="B292" s="136" t="inlineStr">
        <is>
          <t>ABS 난연</t>
        </is>
      </c>
      <c r="C292" s="137" t="inlineStr">
        <is>
          <t>ADX4000W</t>
        </is>
      </c>
      <c r="D292" s="83" t="inlineStr">
        <is>
          <t>USB COVER</t>
        </is>
      </c>
      <c r="E292" s="13" t="inlineStr">
        <is>
          <t>ABS 난연 화이트 + 진한 회색</t>
        </is>
      </c>
      <c r="F292" s="100" t="n"/>
      <c r="G292" s="9" t="n"/>
      <c r="H292" s="9" t="inlineStr">
        <is>
          <t>천우</t>
        </is>
      </c>
      <c r="I292" s="14" t="n"/>
      <c r="J292" s="14" t="n"/>
      <c r="K292" s="12" t="n">
        <v>32</v>
      </c>
      <c r="L292" s="9" t="n"/>
      <c r="M292" s="9" t="n"/>
      <c r="N292" s="9" t="n"/>
      <c r="O292" s="40">
        <f>K292+V292-AE292-AZ292</f>
        <v/>
      </c>
      <c r="P292" s="12" t="n"/>
      <c r="Q292" s="138" t="n"/>
      <c r="R292" s="16" t="n"/>
      <c r="S292" s="139" t="n"/>
      <c r="T292" s="16" t="n"/>
      <c r="U292" s="139" t="n"/>
      <c r="V292" s="16">
        <f>P292+R292+T292</f>
        <v/>
      </c>
      <c r="W292" s="16" t="n"/>
      <c r="X292" s="139" t="n"/>
      <c r="Y292" s="16" t="n"/>
      <c r="Z292" s="139" t="n"/>
      <c r="AA292" s="16" t="n"/>
      <c r="AB292" s="139" t="n"/>
      <c r="AC292" s="16" t="n"/>
      <c r="AD292" s="139" t="n"/>
      <c r="AE292" s="16">
        <f>(W292+Y292+AA292+AC292)</f>
        <v/>
      </c>
      <c r="AF292" s="140" t="n"/>
      <c r="AG292" s="138" t="n"/>
      <c r="AH292" s="16" t="n"/>
      <c r="AI292" s="138" t="n"/>
      <c r="AJ292" s="16" t="n"/>
      <c r="AK292" s="138" t="n"/>
      <c r="AL292" s="16" t="n"/>
      <c r="AM292" s="138" t="n"/>
      <c r="AN292" s="16" t="n"/>
      <c r="AO292" s="138" t="n"/>
      <c r="AP292" s="16" t="n"/>
      <c r="AQ292" s="138" t="n"/>
      <c r="AR292" s="16" t="n"/>
      <c r="AS292" s="138" t="n"/>
      <c r="AT292" s="16" t="n"/>
      <c r="AU292" s="138" t="n"/>
      <c r="AV292" s="16" t="n"/>
      <c r="AW292" s="138" t="n"/>
      <c r="AX292" s="16" t="n"/>
      <c r="AY292" s="138" t="n"/>
      <c r="AZ292" s="16">
        <f>AF292+AH292+AJ292+AL292+AN292+AP292+AR292+AT292+AV292+AX292</f>
        <v/>
      </c>
      <c r="BA292" s="16" t="n"/>
      <c r="BB292" s="139" t="n"/>
      <c r="BC292" s="16" t="n"/>
      <c r="BD292" s="139" t="n"/>
      <c r="BE292" s="16">
        <f>(BA292+BC292)</f>
        <v/>
      </c>
    </row>
    <row r="293" ht="22.5" customFormat="1" customHeight="1" s="8">
      <c r="A293" s="9" t="n"/>
      <c r="B293" s="136" t="inlineStr">
        <is>
          <t>ABS 난연</t>
        </is>
      </c>
      <c r="C293" s="137" t="inlineStr">
        <is>
          <t>ADX4000W</t>
        </is>
      </c>
      <c r="D293" s="83" t="inlineStr">
        <is>
          <t>POWER LED GUIDE</t>
        </is>
      </c>
      <c r="E293" s="13" t="inlineStr">
        <is>
          <t>확산 아크릴</t>
        </is>
      </c>
      <c r="F293" s="100" t="n"/>
      <c r="G293" s="9" t="n"/>
      <c r="H293" s="9" t="inlineStr">
        <is>
          <t>천우</t>
        </is>
      </c>
      <c r="I293" s="14" t="n"/>
      <c r="J293" s="14" t="n"/>
      <c r="K293" s="12" t="n">
        <v>2263</v>
      </c>
      <c r="L293" s="9" t="n"/>
      <c r="M293" s="9" t="n"/>
      <c r="N293" s="9" t="n"/>
      <c r="O293" s="40">
        <f>K293+V293-AE293-AZ293</f>
        <v/>
      </c>
      <c r="P293" s="12" t="n"/>
      <c r="Q293" s="138" t="n"/>
      <c r="R293" s="16" t="n"/>
      <c r="S293" s="139" t="n"/>
      <c r="T293" s="16" t="n"/>
      <c r="U293" s="139" t="n"/>
      <c r="V293" s="16">
        <f>P293+R293+T293</f>
        <v/>
      </c>
      <c r="W293" s="16" t="n"/>
      <c r="X293" s="139" t="n"/>
      <c r="Y293" s="16" t="n"/>
      <c r="Z293" s="139" t="n"/>
      <c r="AA293" s="16" t="n"/>
      <c r="AB293" s="139" t="n"/>
      <c r="AC293" s="16" t="n"/>
      <c r="AD293" s="139" t="n"/>
      <c r="AE293" s="16">
        <f>(W293+Y293+AA293+AC293)</f>
        <v/>
      </c>
      <c r="AF293" s="140" t="n"/>
      <c r="AG293" s="138" t="n"/>
      <c r="AH293" s="16" t="n"/>
      <c r="AI293" s="138" t="n"/>
      <c r="AJ293" s="16" t="n"/>
      <c r="AK293" s="138" t="n"/>
      <c r="AL293" s="16" t="n"/>
      <c r="AM293" s="138" t="n"/>
      <c r="AN293" s="16" t="n"/>
      <c r="AO293" s="138" t="n"/>
      <c r="AP293" s="16" t="n"/>
      <c r="AQ293" s="138" t="n"/>
      <c r="AR293" s="16" t="n"/>
      <c r="AS293" s="138" t="n"/>
      <c r="AT293" s="16" t="n"/>
      <c r="AU293" s="138" t="n"/>
      <c r="AV293" s="16" t="n"/>
      <c r="AW293" s="138" t="n"/>
      <c r="AX293" s="16" t="n"/>
      <c r="AY293" s="138" t="n"/>
      <c r="AZ293" s="16">
        <f>AF293+AH293+AJ293+AL293+AN293+AP293+AR293+AT293+AV293+AX293</f>
        <v/>
      </c>
      <c r="BA293" s="16" t="n"/>
      <c r="BB293" s="139" t="n"/>
      <c r="BC293" s="16" t="n"/>
      <c r="BD293" s="139" t="n"/>
      <c r="BE293" s="16">
        <f>(BA293+BC293)</f>
        <v/>
      </c>
    </row>
    <row r="294" ht="22.5" customFormat="1" customHeight="1" s="8">
      <c r="A294" s="9" t="n"/>
      <c r="B294" s="136" t="inlineStr">
        <is>
          <t>ABS 난연</t>
        </is>
      </c>
      <c r="C294" s="137" t="inlineStr">
        <is>
          <t>ADX4000W</t>
        </is>
      </c>
      <c r="D294" s="83" t="inlineStr">
        <is>
          <t>EX LED GUIDE</t>
        </is>
      </c>
      <c r="E294" s="13" t="inlineStr">
        <is>
          <t>확산 아크릴</t>
        </is>
      </c>
      <c r="F294" s="100" t="n"/>
      <c r="G294" s="9" t="n"/>
      <c r="H294" s="9" t="inlineStr">
        <is>
          <t>천우</t>
        </is>
      </c>
      <c r="I294" s="14" t="n"/>
      <c r="J294" s="14" t="n"/>
      <c r="K294" s="12" t="n">
        <v>3652</v>
      </c>
      <c r="L294" s="9" t="n"/>
      <c r="M294" s="9" t="n"/>
      <c r="N294" s="9" t="n"/>
      <c r="O294" s="40">
        <f>K294+V294-AE294-AZ294</f>
        <v/>
      </c>
      <c r="P294" s="12" t="n"/>
      <c r="Q294" s="138" t="n"/>
      <c r="R294" s="16" t="n"/>
      <c r="S294" s="139" t="n"/>
      <c r="T294" s="16" t="n"/>
      <c r="U294" s="139" t="n"/>
      <c r="V294" s="16">
        <f>P294+R294+T294</f>
        <v/>
      </c>
      <c r="W294" s="16" t="n"/>
      <c r="X294" s="139" t="n"/>
      <c r="Y294" s="16" t="n"/>
      <c r="Z294" s="139" t="n"/>
      <c r="AA294" s="16" t="n"/>
      <c r="AB294" s="139" t="n"/>
      <c r="AC294" s="16" t="n"/>
      <c r="AD294" s="139" t="n"/>
      <c r="AE294" s="16">
        <f>(W294+Y294+AA294+AC294)</f>
        <v/>
      </c>
      <c r="AF294" s="140" t="n"/>
      <c r="AG294" s="138" t="n"/>
      <c r="AH294" s="16" t="n"/>
      <c r="AI294" s="138" t="n"/>
      <c r="AJ294" s="16" t="n"/>
      <c r="AK294" s="138" t="n"/>
      <c r="AL294" s="16" t="n"/>
      <c r="AM294" s="138" t="n"/>
      <c r="AN294" s="16" t="n"/>
      <c r="AO294" s="138" t="n"/>
      <c r="AP294" s="16" t="n"/>
      <c r="AQ294" s="138" t="n"/>
      <c r="AR294" s="16" t="n"/>
      <c r="AS294" s="138" t="n"/>
      <c r="AT294" s="16" t="n"/>
      <c r="AU294" s="138" t="n"/>
      <c r="AV294" s="16" t="n"/>
      <c r="AW294" s="138" t="n"/>
      <c r="AX294" s="16" t="n"/>
      <c r="AY294" s="138" t="n"/>
      <c r="AZ294" s="16">
        <f>AF294+AH294+AJ294+AL294+AN294+AP294+AR294+AT294+AV294+AX294</f>
        <v/>
      </c>
      <c r="BA294" s="16" t="n"/>
      <c r="BB294" s="139" t="n"/>
      <c r="BC294" s="16" t="n"/>
      <c r="BD294" s="139" t="n"/>
      <c r="BE294" s="16">
        <f>(BA294+BC294)</f>
        <v/>
      </c>
    </row>
    <row r="295" ht="22.5" customFormat="1" customHeight="1" s="8">
      <c r="A295" s="9" t="n"/>
      <c r="B295" s="136" t="inlineStr">
        <is>
          <t>ABS 난연</t>
        </is>
      </c>
      <c r="C295" s="137" t="inlineStr">
        <is>
          <t>ADX4000W</t>
        </is>
      </c>
      <c r="D295" s="65" t="inlineStr">
        <is>
          <t>GUIDE</t>
        </is>
      </c>
      <c r="E295" s="13" t="inlineStr">
        <is>
          <t>ABS 난연 화이트 + 진한 회색</t>
        </is>
      </c>
      <c r="F295" s="100" t="n"/>
      <c r="G295" s="9" t="n"/>
      <c r="H295" s="9" t="inlineStr">
        <is>
          <t>천우</t>
        </is>
      </c>
      <c r="I295" s="14" t="n"/>
      <c r="J295" s="14" t="n"/>
      <c r="K295" s="12" t="n">
        <v>185</v>
      </c>
      <c r="L295" s="9" t="n"/>
      <c r="M295" s="9" t="n"/>
      <c r="N295" s="9" t="n"/>
      <c r="O295" s="40">
        <f>K295+V295-AE295-AZ295</f>
        <v/>
      </c>
      <c r="P295" s="12" t="n"/>
      <c r="Q295" s="138" t="n"/>
      <c r="R295" s="16" t="n"/>
      <c r="S295" s="139" t="n"/>
      <c r="T295" s="16" t="n"/>
      <c r="U295" s="139" t="n"/>
      <c r="V295" s="16">
        <f>P295+R295+T295</f>
        <v/>
      </c>
      <c r="W295" s="16" t="n"/>
      <c r="X295" s="139" t="n"/>
      <c r="Y295" s="16" t="n"/>
      <c r="Z295" s="139" t="n"/>
      <c r="AA295" s="16" t="n"/>
      <c r="AB295" s="139" t="n"/>
      <c r="AC295" s="16" t="n"/>
      <c r="AD295" s="139" t="n"/>
      <c r="AE295" s="16">
        <f>(W295+Y295+AA295+AC295)</f>
        <v/>
      </c>
      <c r="AF295" s="140" t="n"/>
      <c r="AG295" s="138" t="n"/>
      <c r="AH295" s="16" t="n"/>
      <c r="AI295" s="138" t="n"/>
      <c r="AJ295" s="16" t="n"/>
      <c r="AK295" s="138" t="n"/>
      <c r="AL295" s="16" t="n"/>
      <c r="AM295" s="138" t="n"/>
      <c r="AN295" s="16" t="n"/>
      <c r="AO295" s="138" t="n"/>
      <c r="AP295" s="16" t="n"/>
      <c r="AQ295" s="138" t="n"/>
      <c r="AR295" s="16" t="n"/>
      <c r="AS295" s="138" t="n"/>
      <c r="AT295" s="16" t="n"/>
      <c r="AU295" s="138" t="n"/>
      <c r="AV295" s="16" t="n"/>
      <c r="AW295" s="138" t="n"/>
      <c r="AX295" s="16" t="n"/>
      <c r="AY295" s="138" t="n"/>
      <c r="AZ295" s="16">
        <f>AF295+AH295+AJ295+AL295+AN295+AP295+AR295+AT295+AV295+AX295</f>
        <v/>
      </c>
      <c r="BA295" s="16" t="n"/>
      <c r="BB295" s="139" t="n"/>
      <c r="BC295" s="16" t="n"/>
      <c r="BD295" s="139" t="n"/>
      <c r="BE295" s="16">
        <f>(BA295+BC295)</f>
        <v/>
      </c>
    </row>
    <row r="296" ht="22.5" customFormat="1" customHeight="1" s="8">
      <c r="A296" s="9" t="n"/>
      <c r="B296" s="136" t="inlineStr">
        <is>
          <t>ABS 난연</t>
        </is>
      </c>
      <c r="C296" s="137" t="inlineStr">
        <is>
          <t>ADX4000W</t>
        </is>
      </c>
      <c r="D296" s="65" t="inlineStr">
        <is>
          <t>GUIDE 스프레이 X</t>
        </is>
      </c>
      <c r="E296" s="13" t="inlineStr">
        <is>
          <t>ABS 난연 화이트</t>
        </is>
      </c>
      <c r="F296" s="100" t="n"/>
      <c r="G296" s="9" t="n"/>
      <c r="H296" s="9" t="inlineStr">
        <is>
          <t>천우</t>
        </is>
      </c>
      <c r="I296" s="14" t="n"/>
      <c r="J296" s="14" t="n"/>
      <c r="K296" s="12" t="n">
        <v>4840</v>
      </c>
      <c r="L296" s="9" t="n"/>
      <c r="M296" s="9" t="n"/>
      <c r="N296" s="9" t="n"/>
      <c r="O296" s="40">
        <f>K296+V296-AE296-AZ296</f>
        <v/>
      </c>
      <c r="P296" s="12" t="n"/>
      <c r="Q296" s="138" t="n"/>
      <c r="R296" s="16" t="n"/>
      <c r="S296" s="139" t="n"/>
      <c r="T296" s="16" t="n"/>
      <c r="U296" s="139" t="n"/>
      <c r="V296" s="16">
        <f>P296+R296+T296</f>
        <v/>
      </c>
      <c r="W296" s="16" t="n"/>
      <c r="X296" s="139" t="n"/>
      <c r="Y296" s="16" t="n"/>
      <c r="Z296" s="139" t="n"/>
      <c r="AA296" s="16" t="n"/>
      <c r="AB296" s="139" t="n"/>
      <c r="AC296" s="16" t="n"/>
      <c r="AD296" s="139" t="n"/>
      <c r="AE296" s="16">
        <f>(W296+Y296+AA296+AC296)</f>
        <v/>
      </c>
      <c r="AF296" s="140" t="n"/>
      <c r="AG296" s="138" t="n"/>
      <c r="AH296" s="16" t="n"/>
      <c r="AI296" s="138" t="n"/>
      <c r="AJ296" s="16" t="n"/>
      <c r="AK296" s="138" t="n"/>
      <c r="AL296" s="16" t="n"/>
      <c r="AM296" s="138" t="n"/>
      <c r="AN296" s="16" t="n"/>
      <c r="AO296" s="138" t="n"/>
      <c r="AP296" s="16" t="n"/>
      <c r="AQ296" s="138" t="n"/>
      <c r="AR296" s="16" t="n"/>
      <c r="AS296" s="138" t="n"/>
      <c r="AT296" s="16" t="n"/>
      <c r="AU296" s="138" t="n"/>
      <c r="AV296" s="16" t="n"/>
      <c r="AW296" s="138" t="n"/>
      <c r="AX296" s="16" t="n"/>
      <c r="AY296" s="138" t="n"/>
      <c r="AZ296" s="16">
        <f>AF296+AH296+AJ296+AL296+AN296+AP296+AR296+AT296+AV296+AX296</f>
        <v/>
      </c>
      <c r="BA296" s="16" t="n"/>
      <c r="BB296" s="139" t="n"/>
      <c r="BC296" s="16" t="n"/>
      <c r="BD296" s="139" t="n"/>
      <c r="BE296" s="16">
        <f>(BA296+BC296)</f>
        <v/>
      </c>
    </row>
    <row r="297" ht="22.5" customFormat="1" customHeight="1" s="8">
      <c r="A297" s="9" t="n"/>
      <c r="B297" s="136" t="inlineStr">
        <is>
          <t>ABS 난연</t>
        </is>
      </c>
      <c r="C297" s="137" t="inlineStr">
        <is>
          <t>ADX4000W</t>
        </is>
      </c>
      <c r="D297" s="65" t="inlineStr">
        <is>
          <t>HINGE GUIDE</t>
        </is>
      </c>
      <c r="E297" s="13" t="inlineStr">
        <is>
          <t>ABS 난연 화이트</t>
        </is>
      </c>
      <c r="F297" s="100" t="n"/>
      <c r="G297" s="9" t="n"/>
      <c r="H297" s="9" t="inlineStr">
        <is>
          <t>천우</t>
        </is>
      </c>
      <c r="I297" s="14" t="n"/>
      <c r="J297" s="14" t="n"/>
      <c r="K297" s="12" t="n">
        <v>225</v>
      </c>
      <c r="L297" s="9" t="n"/>
      <c r="M297" s="9" t="n"/>
      <c r="N297" s="9" t="n"/>
      <c r="O297" s="40">
        <f>K297+V297-AE297-AZ297</f>
        <v/>
      </c>
      <c r="P297" s="12" t="n"/>
      <c r="Q297" s="138" t="n"/>
      <c r="R297" s="16" t="n"/>
      <c r="S297" s="139" t="n"/>
      <c r="T297" s="16" t="n"/>
      <c r="U297" s="139" t="n"/>
      <c r="V297" s="16">
        <f>P297+R297+T297</f>
        <v/>
      </c>
      <c r="W297" s="16" t="n"/>
      <c r="X297" s="139" t="n"/>
      <c r="Y297" s="16" t="n"/>
      <c r="Z297" s="139" t="n"/>
      <c r="AA297" s="16" t="n"/>
      <c r="AB297" s="139" t="n"/>
      <c r="AC297" s="16" t="n"/>
      <c r="AD297" s="139" t="n"/>
      <c r="AE297" s="16">
        <f>(W297+Y297+AA297+AC297)</f>
        <v/>
      </c>
      <c r="AF297" s="140" t="n"/>
      <c r="AG297" s="138" t="n"/>
      <c r="AH297" s="16" t="n"/>
      <c r="AI297" s="138" t="n"/>
      <c r="AJ297" s="16" t="n"/>
      <c r="AK297" s="138" t="n"/>
      <c r="AL297" s="16" t="n"/>
      <c r="AM297" s="138" t="n"/>
      <c r="AN297" s="16" t="n"/>
      <c r="AO297" s="138" t="n"/>
      <c r="AP297" s="16" t="n"/>
      <c r="AQ297" s="138" t="n"/>
      <c r="AR297" s="16" t="n"/>
      <c r="AS297" s="138" t="n"/>
      <c r="AT297" s="16" t="n"/>
      <c r="AU297" s="138" t="n"/>
      <c r="AV297" s="16" t="n"/>
      <c r="AW297" s="138" t="n"/>
      <c r="AX297" s="16" t="n"/>
      <c r="AY297" s="138" t="n"/>
      <c r="AZ297" s="16">
        <f>AF297+AH297+AJ297+AL297+AN297+AP297+AR297+AT297+AV297+AX297</f>
        <v/>
      </c>
      <c r="BA297" s="16" t="n"/>
      <c r="BB297" s="139" t="n"/>
      <c r="BC297" s="16" t="n"/>
      <c r="BD297" s="139" t="n"/>
      <c r="BE297" s="16">
        <f>(BA297+BC297)</f>
        <v/>
      </c>
    </row>
    <row r="298" ht="22.5" customFormat="1" customHeight="1" s="8">
      <c r="A298" s="9" t="n"/>
      <c r="B298" s="136" t="inlineStr">
        <is>
          <t>ABS 난연</t>
        </is>
      </c>
      <c r="C298" s="137" t="inlineStr">
        <is>
          <t>ADX4000W</t>
        </is>
      </c>
      <c r="D298" s="83" t="inlineStr">
        <is>
          <t>POWER BUTTON</t>
        </is>
      </c>
      <c r="E298" s="13" t="inlineStr">
        <is>
          <t>ABS 난연 화이트 + 밝은 회색</t>
        </is>
      </c>
      <c r="F298" s="100" t="n"/>
      <c r="G298" s="9" t="n"/>
      <c r="H298" s="9" t="inlineStr">
        <is>
          <t>천우</t>
        </is>
      </c>
      <c r="I298" s="14" t="n"/>
      <c r="J298" s="14" t="n"/>
      <c r="K298" s="12" t="n">
        <v>93</v>
      </c>
      <c r="L298" s="9" t="n"/>
      <c r="M298" s="9" t="n"/>
      <c r="N298" s="9" t="n"/>
      <c r="O298" s="40">
        <f>K298+V298-AE298-AZ298</f>
        <v/>
      </c>
      <c r="P298" s="12" t="n"/>
      <c r="Q298" s="138" t="n"/>
      <c r="R298" s="16" t="n"/>
      <c r="S298" s="139" t="n"/>
      <c r="T298" s="16" t="n"/>
      <c r="U298" s="139" t="n"/>
      <c r="V298" s="16">
        <f>P298+R298+T298</f>
        <v/>
      </c>
      <c r="W298" s="16" t="n"/>
      <c r="X298" s="139" t="n"/>
      <c r="Y298" s="16" t="n"/>
      <c r="Z298" s="139" t="n"/>
      <c r="AA298" s="16" t="n"/>
      <c r="AB298" s="139" t="n"/>
      <c r="AC298" s="16" t="n"/>
      <c r="AD298" s="139" t="n"/>
      <c r="AE298" s="16">
        <f>(W298+Y298+AA298+AC298)</f>
        <v/>
      </c>
      <c r="AF298" s="140" t="n"/>
      <c r="AG298" s="138" t="n"/>
      <c r="AH298" s="16" t="n"/>
      <c r="AI298" s="138" t="n"/>
      <c r="AJ298" s="16" t="n"/>
      <c r="AK298" s="138" t="n"/>
      <c r="AL298" s="16" t="n"/>
      <c r="AM298" s="138" t="n"/>
      <c r="AN298" s="16" t="n"/>
      <c r="AO298" s="138" t="n"/>
      <c r="AP298" s="16" t="n"/>
      <c r="AQ298" s="138" t="n"/>
      <c r="AR298" s="16" t="n"/>
      <c r="AS298" s="138" t="n"/>
      <c r="AT298" s="16" t="n"/>
      <c r="AU298" s="138" t="n"/>
      <c r="AV298" s="16" t="n"/>
      <c r="AW298" s="138" t="n"/>
      <c r="AX298" s="16" t="n"/>
      <c r="AY298" s="138" t="n"/>
      <c r="AZ298" s="16">
        <f>AF298+AH298+AJ298+AL298+AN298+AP298+AR298+AT298+AV298+AX298</f>
        <v/>
      </c>
      <c r="BA298" s="16" t="n"/>
      <c r="BB298" s="139" t="n"/>
      <c r="BC298" s="16" t="n"/>
      <c r="BD298" s="139" t="n"/>
      <c r="BE298" s="16">
        <f>(BA298+BC298)</f>
        <v/>
      </c>
    </row>
    <row r="299" ht="22.5" customFormat="1" customHeight="1" s="8">
      <c r="A299" s="9" t="n"/>
      <c r="B299" s="136" t="inlineStr">
        <is>
          <t>ABS 난연</t>
        </is>
      </c>
      <c r="C299" s="137" t="inlineStr">
        <is>
          <t>ADX4000W</t>
        </is>
      </c>
      <c r="D299" s="65" t="inlineStr">
        <is>
          <t>POWER BUTTON 스프레이 X</t>
        </is>
      </c>
      <c r="E299" s="13" t="inlineStr">
        <is>
          <t>ABS 난연 화이트</t>
        </is>
      </c>
      <c r="F299" s="100" t="n"/>
      <c r="G299" s="9" t="n"/>
      <c r="H299" s="9" t="inlineStr">
        <is>
          <t>천우</t>
        </is>
      </c>
      <c r="I299" s="14" t="n"/>
      <c r="J299" s="14" t="n"/>
      <c r="K299" s="12" t="n">
        <v>3331</v>
      </c>
      <c r="L299" s="9" t="n"/>
      <c r="M299" s="9" t="n"/>
      <c r="N299" s="9" t="n"/>
      <c r="O299" s="40">
        <f>K299+V299-AE299-AZ299</f>
        <v/>
      </c>
      <c r="P299" s="12" t="n"/>
      <c r="Q299" s="138" t="n"/>
      <c r="R299" s="16" t="n"/>
      <c r="S299" s="139" t="n"/>
      <c r="T299" s="16" t="n"/>
      <c r="U299" s="139" t="n"/>
      <c r="V299" s="16">
        <f>P299+R299+T299</f>
        <v/>
      </c>
      <c r="W299" s="16" t="n"/>
      <c r="X299" s="139" t="n"/>
      <c r="Y299" s="16" t="n"/>
      <c r="Z299" s="139" t="n"/>
      <c r="AA299" s="16" t="n"/>
      <c r="AB299" s="139" t="n"/>
      <c r="AC299" s="16" t="n"/>
      <c r="AD299" s="139" t="n"/>
      <c r="AE299" s="16">
        <f>(W299+Y299+AA299+AC299)</f>
        <v/>
      </c>
      <c r="AF299" s="140" t="n"/>
      <c r="AG299" s="138" t="n"/>
      <c r="AH299" s="16" t="n"/>
      <c r="AI299" s="138" t="n"/>
      <c r="AJ299" s="16" t="n"/>
      <c r="AK299" s="138" t="n"/>
      <c r="AL299" s="16" t="n"/>
      <c r="AM299" s="138" t="n"/>
      <c r="AN299" s="16" t="n"/>
      <c r="AO299" s="138" t="n"/>
      <c r="AP299" s="16" t="n"/>
      <c r="AQ299" s="138" t="n"/>
      <c r="AR299" s="16" t="n"/>
      <c r="AS299" s="138" t="n"/>
      <c r="AT299" s="16" t="n"/>
      <c r="AU299" s="138" t="n"/>
      <c r="AV299" s="16" t="n"/>
      <c r="AW299" s="138" t="n"/>
      <c r="AX299" s="16" t="n"/>
      <c r="AY299" s="138" t="n"/>
      <c r="AZ299" s="16">
        <f>AF299+AH299+AJ299+AL299+AN299+AP299+AR299+AT299+AV299+AX299</f>
        <v/>
      </c>
      <c r="BA299" s="16" t="n"/>
      <c r="BB299" s="139" t="n"/>
      <c r="BC299" s="16" t="n"/>
      <c r="BD299" s="139" t="n"/>
      <c r="BE299" s="16">
        <f>(BA299+BC299)</f>
        <v/>
      </c>
    </row>
    <row r="300" ht="22.5" customFormat="1" customHeight="1" s="8">
      <c r="A300" s="9" t="n"/>
      <c r="B300" s="136" t="inlineStr">
        <is>
          <t>ABS 난연</t>
        </is>
      </c>
      <c r="C300" s="137" t="inlineStr">
        <is>
          <t>ADX4000W</t>
        </is>
      </c>
      <c r="D300" s="83" t="inlineStr">
        <is>
          <t>EXPOSE BUTTON</t>
        </is>
      </c>
      <c r="E300" s="13" t="inlineStr">
        <is>
          <t>ABS 난연 화이트 + 밝은 회색</t>
        </is>
      </c>
      <c r="F300" s="100" t="n"/>
      <c r="G300" s="9" t="n"/>
      <c r="H300" s="9" t="inlineStr">
        <is>
          <t>천우</t>
        </is>
      </c>
      <c r="I300" s="14" t="n"/>
      <c r="J300" s="14" t="n"/>
      <c r="K300" s="12" t="n">
        <v>6</v>
      </c>
      <c r="L300" s="9" t="n"/>
      <c r="M300" s="9" t="n"/>
      <c r="N300" s="9" t="n"/>
      <c r="O300" s="40">
        <f>K300+V300-AE300-AZ300</f>
        <v/>
      </c>
      <c r="P300" s="12" t="n"/>
      <c r="Q300" s="138" t="n"/>
      <c r="R300" s="16" t="n"/>
      <c r="S300" s="139" t="n"/>
      <c r="T300" s="16" t="n"/>
      <c r="U300" s="139" t="n"/>
      <c r="V300" s="16">
        <f>P300+R300+T300</f>
        <v/>
      </c>
      <c r="W300" s="16" t="n"/>
      <c r="X300" s="139" t="n"/>
      <c r="Y300" s="16" t="n"/>
      <c r="Z300" s="139" t="n"/>
      <c r="AA300" s="16" t="n"/>
      <c r="AB300" s="139" t="n"/>
      <c r="AC300" s="16" t="n"/>
      <c r="AD300" s="139" t="n"/>
      <c r="AE300" s="16">
        <f>(W300+Y300+AA300+AC300)</f>
        <v/>
      </c>
      <c r="AF300" s="140" t="n"/>
      <c r="AG300" s="138" t="n"/>
      <c r="AH300" s="16" t="n"/>
      <c r="AI300" s="138" t="n"/>
      <c r="AJ300" s="16" t="n"/>
      <c r="AK300" s="138" t="n"/>
      <c r="AL300" s="16" t="n"/>
      <c r="AM300" s="138" t="n"/>
      <c r="AN300" s="16" t="n"/>
      <c r="AO300" s="138" t="n"/>
      <c r="AP300" s="16" t="n"/>
      <c r="AQ300" s="138" t="n"/>
      <c r="AR300" s="16" t="n"/>
      <c r="AS300" s="138" t="n"/>
      <c r="AT300" s="16" t="n"/>
      <c r="AU300" s="138" t="n"/>
      <c r="AV300" s="16" t="n"/>
      <c r="AW300" s="138" t="n"/>
      <c r="AX300" s="16" t="n"/>
      <c r="AY300" s="138" t="n"/>
      <c r="AZ300" s="16">
        <f>AF300+AH300+AJ300+AL300+AN300+AP300+AR300+AT300+AV300+AX300</f>
        <v/>
      </c>
      <c r="BA300" s="16" t="n"/>
      <c r="BB300" s="139" t="n"/>
      <c r="BC300" s="16" t="n"/>
      <c r="BD300" s="139" t="n"/>
      <c r="BE300" s="16">
        <f>(BA300+BC300)</f>
        <v/>
      </c>
    </row>
    <row r="301" ht="22.5" customFormat="1" customHeight="1" s="8">
      <c r="A301" s="9" t="n"/>
      <c r="B301" s="136" t="inlineStr">
        <is>
          <t>ABS 난연</t>
        </is>
      </c>
      <c r="C301" s="137" t="inlineStr">
        <is>
          <t>ADX4000W</t>
        </is>
      </c>
      <c r="D301" s="82" t="inlineStr">
        <is>
          <t>EXPOSE BUTTON 스프레이 X</t>
        </is>
      </c>
      <c r="E301" s="13" t="inlineStr">
        <is>
          <t>ABS 난연 화이트</t>
        </is>
      </c>
      <c r="F301" s="100" t="n"/>
      <c r="G301" s="9" t="n"/>
      <c r="H301" s="9" t="inlineStr">
        <is>
          <t>천우</t>
        </is>
      </c>
      <c r="I301" s="14" t="n"/>
      <c r="J301" s="14" t="n"/>
      <c r="K301" s="12" t="n">
        <v>3432</v>
      </c>
      <c r="L301" s="9" t="n"/>
      <c r="M301" s="9" t="n"/>
      <c r="N301" s="9" t="n"/>
      <c r="O301" s="40">
        <f>K301+V301-AE301-AZ301</f>
        <v/>
      </c>
      <c r="P301" s="12" t="n"/>
      <c r="Q301" s="138" t="n"/>
      <c r="R301" s="16" t="n"/>
      <c r="S301" s="139" t="n"/>
      <c r="T301" s="16" t="n"/>
      <c r="U301" s="139" t="n"/>
      <c r="V301" s="16">
        <f>P301+R301+T301</f>
        <v/>
      </c>
      <c r="W301" s="16" t="n"/>
      <c r="X301" s="139" t="n"/>
      <c r="Y301" s="16" t="n"/>
      <c r="Z301" s="139" t="n"/>
      <c r="AA301" s="16" t="n"/>
      <c r="AB301" s="139" t="n"/>
      <c r="AC301" s="16" t="n"/>
      <c r="AD301" s="139" t="n"/>
      <c r="AE301" s="16">
        <f>(W301+Y301+AA301+AC301)</f>
        <v/>
      </c>
      <c r="AF301" s="140" t="n"/>
      <c r="AG301" s="138" t="n"/>
      <c r="AH301" s="16" t="n"/>
      <c r="AI301" s="138" t="n"/>
      <c r="AJ301" s="16" t="n"/>
      <c r="AK301" s="138" t="n"/>
      <c r="AL301" s="16" t="n"/>
      <c r="AM301" s="138" t="n"/>
      <c r="AN301" s="16" t="n"/>
      <c r="AO301" s="138" t="n"/>
      <c r="AP301" s="16" t="n"/>
      <c r="AQ301" s="138" t="n"/>
      <c r="AR301" s="16" t="n"/>
      <c r="AS301" s="138" t="n"/>
      <c r="AT301" s="16" t="n"/>
      <c r="AU301" s="138" t="n"/>
      <c r="AV301" s="16" t="n"/>
      <c r="AW301" s="138" t="n"/>
      <c r="AX301" s="16" t="n"/>
      <c r="AY301" s="138" t="n"/>
      <c r="AZ301" s="16">
        <f>AF301+AH301+AJ301+AL301+AN301+AP301+AR301+AT301+AV301+AX301</f>
        <v/>
      </c>
      <c r="BA301" s="16" t="n"/>
      <c r="BB301" s="139" t="n"/>
      <c r="BC301" s="16" t="n"/>
      <c r="BD301" s="139" t="n"/>
      <c r="BE301" s="16">
        <f>(BA301+BC301)</f>
        <v/>
      </c>
    </row>
    <row r="302" ht="22.5" customFormat="1" customHeight="1" s="8">
      <c r="A302" s="9" t="n"/>
      <c r="B302" s="136" t="inlineStr">
        <is>
          <t>ABS 난연</t>
        </is>
      </c>
      <c r="C302" s="137" t="inlineStr">
        <is>
          <t>ADX4000W</t>
        </is>
      </c>
      <c r="D302" s="82" t="inlineStr">
        <is>
          <t>NAVI BUTTON (가운데)</t>
        </is>
      </c>
      <c r="E302" s="13" t="inlineStr">
        <is>
          <t>ABS 난연 화이트 + 밝은 회색</t>
        </is>
      </c>
      <c r="F302" s="100" t="n"/>
      <c r="G302" s="9" t="n"/>
      <c r="H302" s="9" t="inlineStr">
        <is>
          <t>천우</t>
        </is>
      </c>
      <c r="I302" s="14" t="n"/>
      <c r="J302" s="14" t="n"/>
      <c r="K302" s="12" t="n">
        <v>35</v>
      </c>
      <c r="L302" s="9" t="n"/>
      <c r="M302" s="9" t="n"/>
      <c r="N302" s="9" t="n"/>
      <c r="O302" s="40">
        <f>K302+V302-AE302-AZ302</f>
        <v/>
      </c>
      <c r="P302" s="12" t="n"/>
      <c r="Q302" s="138" t="n"/>
      <c r="R302" s="16" t="n"/>
      <c r="S302" s="139" t="n"/>
      <c r="T302" s="16" t="n"/>
      <c r="U302" s="139" t="n"/>
      <c r="V302" s="16">
        <f>P302+R302+T302</f>
        <v/>
      </c>
      <c r="W302" s="16" t="n"/>
      <c r="X302" s="139" t="n"/>
      <c r="Y302" s="16" t="n"/>
      <c r="Z302" s="139" t="n"/>
      <c r="AA302" s="16" t="n"/>
      <c r="AB302" s="139" t="n"/>
      <c r="AC302" s="16" t="n"/>
      <c r="AD302" s="139" t="n"/>
      <c r="AE302" s="16">
        <f>(W302+Y302+AA302+AC302)</f>
        <v/>
      </c>
      <c r="AF302" s="140" t="n"/>
      <c r="AG302" s="138" t="n"/>
      <c r="AH302" s="16" t="n"/>
      <c r="AI302" s="138" t="n"/>
      <c r="AJ302" s="16" t="n"/>
      <c r="AK302" s="138" t="n"/>
      <c r="AL302" s="16" t="n"/>
      <c r="AM302" s="138" t="n"/>
      <c r="AN302" s="16" t="n"/>
      <c r="AO302" s="138" t="n"/>
      <c r="AP302" s="16" t="n"/>
      <c r="AQ302" s="138" t="n"/>
      <c r="AR302" s="16" t="n"/>
      <c r="AS302" s="138" t="n"/>
      <c r="AT302" s="16" t="n"/>
      <c r="AU302" s="138" t="n"/>
      <c r="AV302" s="16" t="n"/>
      <c r="AW302" s="138" t="n"/>
      <c r="AX302" s="16" t="n"/>
      <c r="AY302" s="138" t="n"/>
      <c r="AZ302" s="16">
        <f>AF302+AH302+AJ302+AL302+AN302+AP302+AR302+AT302+AV302+AX302</f>
        <v/>
      </c>
      <c r="BA302" s="16" t="n"/>
      <c r="BB302" s="139" t="n"/>
      <c r="BC302" s="16" t="n"/>
      <c r="BD302" s="139" t="n"/>
      <c r="BE302" s="16">
        <f>(BA302+BC302)</f>
        <v/>
      </c>
    </row>
    <row r="303" ht="22.5" customFormat="1" customHeight="1" s="8">
      <c r="A303" s="9" t="n"/>
      <c r="B303" s="136" t="inlineStr">
        <is>
          <t>ABS 난연</t>
        </is>
      </c>
      <c r="C303" s="137" t="inlineStr">
        <is>
          <t>ADX4000W</t>
        </is>
      </c>
      <c r="D303" s="82" t="inlineStr">
        <is>
          <t>NAVI BUTTON 스프레이 X (가운데)</t>
        </is>
      </c>
      <c r="E303" s="13" t="inlineStr">
        <is>
          <t>ABS 난연 화이트</t>
        </is>
      </c>
      <c r="F303" s="100" t="n"/>
      <c r="G303" s="9" t="n"/>
      <c r="H303" s="9" t="inlineStr">
        <is>
          <t>천우</t>
        </is>
      </c>
      <c r="I303" s="14" t="n"/>
      <c r="J303" s="14" t="n"/>
      <c r="K303" s="12" t="n">
        <v>2756</v>
      </c>
      <c r="L303" s="9" t="n"/>
      <c r="M303" s="9" t="n"/>
      <c r="N303" s="9" t="n"/>
      <c r="O303" s="40">
        <f>K303+V303-AE303-AZ303</f>
        <v/>
      </c>
      <c r="P303" s="12" t="n"/>
      <c r="Q303" s="138" t="n"/>
      <c r="R303" s="16" t="n"/>
      <c r="S303" s="139" t="n"/>
      <c r="T303" s="16" t="n"/>
      <c r="U303" s="139" t="n"/>
      <c r="V303" s="16">
        <f>P303+R303+T303</f>
        <v/>
      </c>
      <c r="W303" s="16" t="n"/>
      <c r="X303" s="139" t="n"/>
      <c r="Y303" s="16" t="n"/>
      <c r="Z303" s="139" t="n"/>
      <c r="AA303" s="16" t="n"/>
      <c r="AB303" s="139" t="n"/>
      <c r="AC303" s="16" t="n"/>
      <c r="AD303" s="139" t="n"/>
      <c r="AE303" s="16">
        <f>(W303+Y303+AA303+AC303)</f>
        <v/>
      </c>
      <c r="AF303" s="140" t="n"/>
      <c r="AG303" s="138" t="n"/>
      <c r="AH303" s="16" t="n"/>
      <c r="AI303" s="138" t="n"/>
      <c r="AJ303" s="16" t="n"/>
      <c r="AK303" s="138" t="n"/>
      <c r="AL303" s="16" t="n"/>
      <c r="AM303" s="138" t="n"/>
      <c r="AN303" s="16" t="n"/>
      <c r="AO303" s="138" t="n"/>
      <c r="AP303" s="16" t="n"/>
      <c r="AQ303" s="138" t="n"/>
      <c r="AR303" s="16" t="n"/>
      <c r="AS303" s="138" t="n"/>
      <c r="AT303" s="16" t="n"/>
      <c r="AU303" s="138" t="n"/>
      <c r="AV303" s="16" t="n"/>
      <c r="AW303" s="138" t="n"/>
      <c r="AX303" s="16" t="n"/>
      <c r="AY303" s="138" t="n"/>
      <c r="AZ303" s="16">
        <f>AF303+AH303+AJ303+AL303+AN303+AP303+AR303+AT303+AV303+AX303</f>
        <v/>
      </c>
      <c r="BA303" s="16" t="n"/>
      <c r="BB303" s="139" t="n"/>
      <c r="BC303" s="16" t="n"/>
      <c r="BD303" s="139" t="n"/>
      <c r="BE303" s="16">
        <f>(BA303+BC303)</f>
        <v/>
      </c>
    </row>
    <row r="304" ht="22.5" customFormat="1" customHeight="1" s="8">
      <c r="A304" s="9" t="n"/>
      <c r="B304" s="136" t="inlineStr">
        <is>
          <t>ABS 난연</t>
        </is>
      </c>
      <c r="C304" s="137" t="inlineStr">
        <is>
          <t>ADX4000W</t>
        </is>
      </c>
      <c r="D304" s="82" t="inlineStr">
        <is>
          <t>NAVI KEY (방향)</t>
        </is>
      </c>
      <c r="E304" s="13" t="inlineStr">
        <is>
          <t>ABS 난연 화이트 + 밝은 회색</t>
        </is>
      </c>
      <c r="F304" s="100" t="n"/>
      <c r="G304" s="9" t="n"/>
      <c r="H304" s="9" t="inlineStr">
        <is>
          <t>천우</t>
        </is>
      </c>
      <c r="I304" s="14" t="n"/>
      <c r="J304" s="14" t="n"/>
      <c r="K304" s="12" t="n">
        <v>74</v>
      </c>
      <c r="L304" s="9" t="n"/>
      <c r="M304" s="9" t="n"/>
      <c r="N304" s="9" t="n"/>
      <c r="O304" s="40">
        <f>K304+V304-AE304-AZ304</f>
        <v/>
      </c>
      <c r="P304" s="12" t="n"/>
      <c r="Q304" s="138" t="n"/>
      <c r="R304" s="16" t="n"/>
      <c r="S304" s="139" t="n"/>
      <c r="T304" s="16" t="n"/>
      <c r="U304" s="139" t="n"/>
      <c r="V304" s="16">
        <f>P304+R304+T304</f>
        <v/>
      </c>
      <c r="W304" s="16" t="n"/>
      <c r="X304" s="139" t="n"/>
      <c r="Y304" s="16" t="n"/>
      <c r="Z304" s="139" t="n"/>
      <c r="AA304" s="16" t="n"/>
      <c r="AB304" s="139" t="n"/>
      <c r="AC304" s="16" t="n"/>
      <c r="AD304" s="139" t="n"/>
      <c r="AE304" s="16">
        <f>(W304+Y304+AA304+AC304)</f>
        <v/>
      </c>
      <c r="AF304" s="140" t="n"/>
      <c r="AG304" s="138" t="n"/>
      <c r="AH304" s="16" t="n"/>
      <c r="AI304" s="138" t="n"/>
      <c r="AJ304" s="16" t="n"/>
      <c r="AK304" s="138" t="n"/>
      <c r="AL304" s="16" t="n"/>
      <c r="AM304" s="138" t="n"/>
      <c r="AN304" s="16" t="n"/>
      <c r="AO304" s="138" t="n"/>
      <c r="AP304" s="16" t="n"/>
      <c r="AQ304" s="138" t="n"/>
      <c r="AR304" s="16" t="n"/>
      <c r="AS304" s="138" t="n"/>
      <c r="AT304" s="16" t="n"/>
      <c r="AU304" s="138" t="n"/>
      <c r="AV304" s="16" t="n"/>
      <c r="AW304" s="138" t="n"/>
      <c r="AX304" s="16" t="n"/>
      <c r="AY304" s="138" t="n"/>
      <c r="AZ304" s="16">
        <f>AF304+AH304+AJ304+AL304+AN304+AP304+AR304+AT304+AV304+AX304</f>
        <v/>
      </c>
      <c r="BA304" s="16" t="n"/>
      <c r="BB304" s="139" t="n"/>
      <c r="BC304" s="16" t="n"/>
      <c r="BD304" s="139" t="n"/>
      <c r="BE304" s="16">
        <f>(BA304+BC304)</f>
        <v/>
      </c>
    </row>
    <row r="305" ht="22.5" customFormat="1" customHeight="1" s="8">
      <c r="A305" s="9" t="n"/>
      <c r="B305" s="136" t="inlineStr">
        <is>
          <t>ABS 난연</t>
        </is>
      </c>
      <c r="C305" s="137" t="inlineStr">
        <is>
          <t>ADX4000W</t>
        </is>
      </c>
      <c r="D305" s="82" t="inlineStr">
        <is>
          <t>NAVI KEY 사파리 (방향)</t>
        </is>
      </c>
      <c r="E305" s="13" t="inlineStr">
        <is>
          <t>ABS 난연 반투명</t>
        </is>
      </c>
      <c r="F305" s="100" t="n"/>
      <c r="G305" s="9" t="n"/>
      <c r="H305" s="9" t="inlineStr">
        <is>
          <t>천우</t>
        </is>
      </c>
      <c r="I305" s="14" t="n"/>
      <c r="J305" s="14" t="n"/>
      <c r="K305" s="12" t="n">
        <v>78</v>
      </c>
      <c r="L305" s="9" t="n"/>
      <c r="M305" s="9" t="n"/>
      <c r="N305" s="9" t="n"/>
      <c r="O305" s="40">
        <f>K305+V305-AE305-AZ305</f>
        <v/>
      </c>
      <c r="P305" s="12" t="n"/>
      <c r="Q305" s="138" t="n"/>
      <c r="R305" s="16" t="n"/>
      <c r="S305" s="139" t="n"/>
      <c r="T305" s="16" t="n"/>
      <c r="U305" s="139" t="n"/>
      <c r="V305" s="16">
        <f>P305+R305+T305</f>
        <v/>
      </c>
      <c r="W305" s="16" t="n"/>
      <c r="X305" s="139" t="n"/>
      <c r="Y305" s="16" t="n"/>
      <c r="Z305" s="139" t="n"/>
      <c r="AA305" s="16" t="n"/>
      <c r="AB305" s="139" t="n"/>
      <c r="AC305" s="16" t="n"/>
      <c r="AD305" s="139" t="n"/>
      <c r="AE305" s="16">
        <f>(W305+Y305+AA305+AC305)</f>
        <v/>
      </c>
      <c r="AF305" s="140" t="n"/>
      <c r="AG305" s="138" t="n"/>
      <c r="AH305" s="16" t="n"/>
      <c r="AI305" s="138" t="n"/>
      <c r="AJ305" s="16" t="n"/>
      <c r="AK305" s="138" t="n"/>
      <c r="AL305" s="16" t="n"/>
      <c r="AM305" s="138" t="n"/>
      <c r="AN305" s="16" t="n"/>
      <c r="AO305" s="138" t="n"/>
      <c r="AP305" s="16" t="n"/>
      <c r="AQ305" s="138" t="n"/>
      <c r="AR305" s="16" t="n"/>
      <c r="AS305" s="138" t="n"/>
      <c r="AT305" s="16" t="n"/>
      <c r="AU305" s="138" t="n"/>
      <c r="AV305" s="16" t="n"/>
      <c r="AW305" s="138" t="n"/>
      <c r="AX305" s="16" t="n"/>
      <c r="AY305" s="138" t="n"/>
      <c r="AZ305" s="16">
        <f>AF305+AH305+AJ305+AL305+AN305+AP305+AR305+AT305+AV305+AX305</f>
        <v/>
      </c>
      <c r="BA305" s="16" t="n"/>
      <c r="BB305" s="139" t="n"/>
      <c r="BC305" s="16" t="n"/>
      <c r="BD305" s="139" t="n"/>
      <c r="BE305" s="16">
        <f>(BA305+BC305)</f>
        <v/>
      </c>
    </row>
    <row r="306" ht="22.5" customFormat="1" customHeight="1" s="8">
      <c r="A306" s="9" t="n"/>
      <c r="B306" s="136" t="inlineStr">
        <is>
          <t>ABS 난연</t>
        </is>
      </c>
      <c r="C306" s="137" t="inlineStr">
        <is>
          <t>ADX4000W</t>
        </is>
      </c>
      <c r="D306" s="82" t="inlineStr">
        <is>
          <t>NAVI KEY 스프레이 X (방향)</t>
        </is>
      </c>
      <c r="E306" s="13" t="inlineStr">
        <is>
          <t>ABS 난연 화이트</t>
        </is>
      </c>
      <c r="F306" s="100" t="n"/>
      <c r="G306" s="9" t="n"/>
      <c r="H306" s="9" t="inlineStr">
        <is>
          <t>천우</t>
        </is>
      </c>
      <c r="I306" s="14" t="n"/>
      <c r="J306" s="14" t="n"/>
      <c r="K306" s="12" t="n">
        <v>3340</v>
      </c>
      <c r="L306" s="9" t="n"/>
      <c r="M306" s="9" t="n"/>
      <c r="N306" s="9" t="n"/>
      <c r="O306" s="40">
        <f>K306+V306-AE306-AZ306</f>
        <v/>
      </c>
      <c r="P306" s="12" t="n"/>
      <c r="Q306" s="138" t="n"/>
      <c r="R306" s="16" t="n"/>
      <c r="S306" s="139" t="n"/>
      <c r="T306" s="16" t="n"/>
      <c r="U306" s="139" t="n"/>
      <c r="V306" s="16">
        <f>P306+R306+T306</f>
        <v/>
      </c>
      <c r="W306" s="16" t="n"/>
      <c r="X306" s="139" t="n"/>
      <c r="Y306" s="16" t="n"/>
      <c r="Z306" s="139" t="n"/>
      <c r="AA306" s="16" t="n"/>
      <c r="AB306" s="139" t="n"/>
      <c r="AC306" s="16" t="n"/>
      <c r="AD306" s="139" t="n"/>
      <c r="AE306" s="16">
        <f>(W306+Y306+AA306+AC306)</f>
        <v/>
      </c>
      <c r="AF306" s="140" t="n"/>
      <c r="AG306" s="138" t="n"/>
      <c r="AH306" s="16" t="n"/>
      <c r="AI306" s="138" t="n"/>
      <c r="AJ306" s="16" t="n"/>
      <c r="AK306" s="138" t="n"/>
      <c r="AL306" s="16" t="n"/>
      <c r="AM306" s="138" t="n"/>
      <c r="AN306" s="16" t="n"/>
      <c r="AO306" s="138" t="n"/>
      <c r="AP306" s="16" t="n"/>
      <c r="AQ306" s="138" t="n"/>
      <c r="AR306" s="16" t="n"/>
      <c r="AS306" s="138" t="n"/>
      <c r="AT306" s="16" t="n"/>
      <c r="AU306" s="138" t="n"/>
      <c r="AV306" s="16" t="n"/>
      <c r="AW306" s="138" t="n"/>
      <c r="AX306" s="16" t="n"/>
      <c r="AY306" s="138" t="n"/>
      <c r="AZ306" s="16">
        <f>AF306+AH306+AJ306+AL306+AN306+AP306+AR306+AT306+AV306+AX306</f>
        <v/>
      </c>
      <c r="BA306" s="16" t="n"/>
      <c r="BB306" s="139" t="n"/>
      <c r="BC306" s="16" t="n"/>
      <c r="BD306" s="139" t="n"/>
      <c r="BE306" s="16">
        <f>(BA306+BC306)</f>
        <v/>
      </c>
    </row>
    <row r="307" ht="22.5" customFormat="1" customHeight="1" s="8">
      <c r="A307" s="9" t="n"/>
      <c r="B307" s="136" t="inlineStr">
        <is>
          <t>ABS 난연</t>
        </is>
      </c>
      <c r="C307" s="137" t="inlineStr">
        <is>
          <t>ADX4000W</t>
        </is>
      </c>
      <c r="D307" s="65" t="inlineStr">
        <is>
          <t>FRONT CONE 일체형</t>
        </is>
      </c>
      <c r="E307" s="13" t="inlineStr">
        <is>
          <t>ABS 난연 화이트 + 진한 회색</t>
        </is>
      </c>
      <c r="F307" s="100" t="n"/>
      <c r="G307" s="9" t="n"/>
      <c r="H307" s="9" t="inlineStr">
        <is>
          <t>천우</t>
        </is>
      </c>
      <c r="I307" s="14" t="n"/>
      <c r="J307" s="14" t="n"/>
      <c r="K307" s="12" t="n">
        <v>133</v>
      </c>
      <c r="L307" s="9" t="n"/>
      <c r="M307" s="9" t="n"/>
      <c r="N307" s="9" t="n"/>
      <c r="O307" s="40">
        <f>K307+V307-AE307-AZ307</f>
        <v/>
      </c>
      <c r="P307" s="12" t="n"/>
      <c r="Q307" s="138" t="n"/>
      <c r="R307" s="16" t="n"/>
      <c r="S307" s="139" t="n"/>
      <c r="T307" s="16" t="n"/>
      <c r="U307" s="139" t="n"/>
      <c r="V307" s="16">
        <f>P307+R307+T307</f>
        <v/>
      </c>
      <c r="W307" s="16" t="n"/>
      <c r="X307" s="139" t="n"/>
      <c r="Y307" s="16" t="n"/>
      <c r="Z307" s="139" t="n"/>
      <c r="AA307" s="16" t="n"/>
      <c r="AB307" s="139" t="n"/>
      <c r="AC307" s="16" t="n"/>
      <c r="AD307" s="139" t="n"/>
      <c r="AE307" s="16">
        <f>(W307+Y307+AA307+AC307)</f>
        <v/>
      </c>
      <c r="AF307" s="140" t="n"/>
      <c r="AG307" s="138" t="n"/>
      <c r="AH307" s="16" t="n"/>
      <c r="AI307" s="138" t="n"/>
      <c r="AJ307" s="16" t="n"/>
      <c r="AK307" s="138" t="n"/>
      <c r="AL307" s="16" t="n"/>
      <c r="AM307" s="138" t="n"/>
      <c r="AN307" s="16" t="n"/>
      <c r="AO307" s="138" t="n"/>
      <c r="AP307" s="16" t="n"/>
      <c r="AQ307" s="138" t="n"/>
      <c r="AR307" s="16" t="n"/>
      <c r="AS307" s="138" t="n"/>
      <c r="AT307" s="16" t="n"/>
      <c r="AU307" s="138" t="n"/>
      <c r="AV307" s="16" t="n"/>
      <c r="AW307" s="138" t="n"/>
      <c r="AX307" s="16" t="n"/>
      <c r="AY307" s="138" t="n"/>
      <c r="AZ307" s="16">
        <f>AF307+AH307+AJ307+AL307+AN307+AP307+AR307+AT307+AV307+AX307</f>
        <v/>
      </c>
      <c r="BA307" s="16" t="n"/>
      <c r="BB307" s="139" t="n"/>
      <c r="BC307" s="16" t="n"/>
      <c r="BD307" s="139" t="n"/>
      <c r="BE307" s="16">
        <f>(BA307+BC307)</f>
        <v/>
      </c>
    </row>
    <row r="308" ht="22.5" customFormat="1" customHeight="1" s="8">
      <c r="A308" s="9" t="n"/>
      <c r="B308" s="136" t="inlineStr">
        <is>
          <t>ABS 난연</t>
        </is>
      </c>
      <c r="C308" s="137" t="inlineStr">
        <is>
          <t>ADX4000W</t>
        </is>
      </c>
      <c r="D308" s="65" t="inlineStr">
        <is>
          <t>FRONT CONE 체결형</t>
        </is>
      </c>
      <c r="E308" s="13" t="inlineStr">
        <is>
          <t>ABS 난연 화이트 + 진한 회색</t>
        </is>
      </c>
      <c r="F308" s="100" t="n"/>
      <c r="G308" s="9" t="n"/>
      <c r="H308" s="9" t="inlineStr">
        <is>
          <t>천우</t>
        </is>
      </c>
      <c r="I308" s="14" t="n"/>
      <c r="J308" s="14" t="n"/>
      <c r="K308" s="12" t="n">
        <v>123</v>
      </c>
      <c r="L308" s="9" t="n"/>
      <c r="M308" s="9" t="n"/>
      <c r="N308" s="9" t="n"/>
      <c r="O308" s="40">
        <f>K308+V308-AE308-AZ308</f>
        <v/>
      </c>
      <c r="P308" s="12" t="n"/>
      <c r="Q308" s="138" t="n"/>
      <c r="R308" s="16" t="n"/>
      <c r="S308" s="139" t="n"/>
      <c r="T308" s="16" t="n"/>
      <c r="U308" s="139" t="n"/>
      <c r="V308" s="16">
        <f>P308+R308+T308</f>
        <v/>
      </c>
      <c r="W308" s="16" t="n"/>
      <c r="X308" s="139" t="n"/>
      <c r="Y308" s="16" t="n"/>
      <c r="Z308" s="139" t="n"/>
      <c r="AA308" s="16" t="n"/>
      <c r="AB308" s="139" t="n"/>
      <c r="AC308" s="16" t="n"/>
      <c r="AD308" s="139" t="n"/>
      <c r="AE308" s="16">
        <f>(W308+Y308+AA308+AC308)</f>
        <v/>
      </c>
      <c r="AF308" s="140" t="n"/>
      <c r="AG308" s="138" t="n"/>
      <c r="AH308" s="16" t="n"/>
      <c r="AI308" s="138" t="n"/>
      <c r="AJ308" s="16" t="n"/>
      <c r="AK308" s="138" t="n"/>
      <c r="AL308" s="16" t="n"/>
      <c r="AM308" s="138" t="n"/>
      <c r="AN308" s="16" t="n"/>
      <c r="AO308" s="138" t="n"/>
      <c r="AP308" s="16" t="n"/>
      <c r="AQ308" s="138" t="n"/>
      <c r="AR308" s="16" t="n"/>
      <c r="AS308" s="138" t="n"/>
      <c r="AT308" s="16" t="n"/>
      <c r="AU308" s="138" t="n"/>
      <c r="AV308" s="16" t="n"/>
      <c r="AW308" s="138" t="n"/>
      <c r="AX308" s="16" t="n"/>
      <c r="AY308" s="138" t="n"/>
      <c r="AZ308" s="16">
        <f>AF308+AH308+AJ308+AL308+AN308+AP308+AR308+AT308+AV308+AX308</f>
        <v/>
      </c>
      <c r="BA308" s="16" t="n"/>
      <c r="BB308" s="139" t="n"/>
      <c r="BC308" s="16" t="n"/>
      <c r="BD308" s="139" t="n"/>
      <c r="BE308" s="16">
        <f>(BA308+BC308)</f>
        <v/>
      </c>
    </row>
    <row r="309" ht="22.5" customFormat="1" customHeight="1" s="8">
      <c r="A309" s="9" t="n"/>
      <c r="B309" s="136" t="inlineStr">
        <is>
          <t>ABS 난연</t>
        </is>
      </c>
      <c r="C309" s="137" t="inlineStr">
        <is>
          <t>ADX4000W</t>
        </is>
      </c>
      <c r="D309" s="83" t="inlineStr">
        <is>
          <t>20cm CONE</t>
        </is>
      </c>
      <c r="E309" s="13" t="inlineStr">
        <is>
          <t>ABS 난연 화이트 + 진한 회색</t>
        </is>
      </c>
      <c r="F309" s="100" t="n"/>
      <c r="G309" s="9" t="n"/>
      <c r="H309" s="9" t="inlineStr">
        <is>
          <t>천우</t>
        </is>
      </c>
      <c r="I309" s="14" t="n"/>
      <c r="J309" s="14" t="n"/>
      <c r="K309" s="12" t="n">
        <v>134</v>
      </c>
      <c r="L309" s="9" t="n"/>
      <c r="M309" s="9" t="n"/>
      <c r="N309" s="9" t="n"/>
      <c r="O309" s="40">
        <f>K309+V309-AE309-AZ309</f>
        <v/>
      </c>
      <c r="P309" s="12" t="n"/>
      <c r="Q309" s="138" t="n"/>
      <c r="R309" s="16" t="n"/>
      <c r="S309" s="139" t="n"/>
      <c r="T309" s="16" t="n"/>
      <c r="U309" s="139" t="n"/>
      <c r="V309" s="16">
        <f>P309+R309+T309</f>
        <v/>
      </c>
      <c r="W309" s="16" t="n"/>
      <c r="X309" s="139" t="n"/>
      <c r="Y309" s="16" t="n"/>
      <c r="Z309" s="139" t="n"/>
      <c r="AA309" s="16" t="n"/>
      <c r="AB309" s="139" t="n"/>
      <c r="AC309" s="16" t="n"/>
      <c r="AD309" s="139" t="n"/>
      <c r="AE309" s="16">
        <f>(W309+Y309+AA309+AC309)</f>
        <v/>
      </c>
      <c r="AF309" s="140" t="n"/>
      <c r="AG309" s="138" t="n"/>
      <c r="AH309" s="16" t="n"/>
      <c r="AI309" s="138" t="n"/>
      <c r="AJ309" s="16" t="n"/>
      <c r="AK309" s="138" t="n"/>
      <c r="AL309" s="16" t="n"/>
      <c r="AM309" s="138" t="n"/>
      <c r="AN309" s="16" t="n"/>
      <c r="AO309" s="138" t="n"/>
      <c r="AP309" s="16" t="n"/>
      <c r="AQ309" s="138" t="n"/>
      <c r="AR309" s="16" t="n"/>
      <c r="AS309" s="138" t="n"/>
      <c r="AT309" s="16" t="n"/>
      <c r="AU309" s="138" t="n"/>
      <c r="AV309" s="16" t="n"/>
      <c r="AW309" s="138" t="n"/>
      <c r="AX309" s="16" t="n"/>
      <c r="AY309" s="138" t="n"/>
      <c r="AZ309" s="16">
        <f>AF309+AH309+AJ309+AL309+AN309+AP309+AR309+AT309+AV309+AX309</f>
        <v/>
      </c>
      <c r="BA309" s="16" t="n"/>
      <c r="BB309" s="139" t="n"/>
      <c r="BC309" s="16" t="n"/>
      <c r="BD309" s="139" t="n"/>
      <c r="BE309" s="16">
        <f>(BA309+BC309)</f>
        <v/>
      </c>
    </row>
    <row r="310" ht="22.5" customFormat="1" customHeight="1" s="8">
      <c r="A310" s="9" t="n"/>
      <c r="B310" s="136" t="inlineStr">
        <is>
          <t>ABS 난연</t>
        </is>
      </c>
      <c r="C310" s="137" t="inlineStr">
        <is>
          <t>ADX4000W</t>
        </is>
      </c>
      <c r="D310" s="83" t="inlineStr">
        <is>
          <t>15cm CONE</t>
        </is>
      </c>
      <c r="E310" s="13" t="inlineStr">
        <is>
          <t>ABS 난연 화이트 + 진한 회색</t>
        </is>
      </c>
      <c r="F310" s="100" t="n"/>
      <c r="G310" s="9" t="n"/>
      <c r="H310" s="9" t="inlineStr">
        <is>
          <t>천우</t>
        </is>
      </c>
      <c r="I310" s="14" t="n"/>
      <c r="J310" s="14" t="n"/>
      <c r="K310" s="12" t="n">
        <v>113</v>
      </c>
      <c r="L310" s="9" t="n"/>
      <c r="M310" s="9" t="n"/>
      <c r="N310" s="9" t="n"/>
      <c r="O310" s="40">
        <f>K310+V310-AE310-AZ310</f>
        <v/>
      </c>
      <c r="P310" s="12" t="n"/>
      <c r="Q310" s="138" t="n"/>
      <c r="R310" s="16" t="n"/>
      <c r="S310" s="139" t="n"/>
      <c r="T310" s="16" t="n"/>
      <c r="U310" s="139" t="n"/>
      <c r="V310" s="16">
        <f>P310+R310+T310</f>
        <v/>
      </c>
      <c r="W310" s="16" t="n"/>
      <c r="X310" s="139" t="n"/>
      <c r="Y310" s="16" t="n"/>
      <c r="Z310" s="139" t="n"/>
      <c r="AA310" s="16" t="n"/>
      <c r="AB310" s="139" t="n"/>
      <c r="AC310" s="16" t="n"/>
      <c r="AD310" s="139" t="n"/>
      <c r="AE310" s="16">
        <f>(W310+Y310+AA310+AC310)</f>
        <v/>
      </c>
      <c r="AF310" s="140" t="n"/>
      <c r="AG310" s="138" t="n"/>
      <c r="AH310" s="16" t="n"/>
      <c r="AI310" s="138" t="n"/>
      <c r="AJ310" s="16" t="n"/>
      <c r="AK310" s="138" t="n"/>
      <c r="AL310" s="16" t="n"/>
      <c r="AM310" s="138" t="n"/>
      <c r="AN310" s="16" t="n"/>
      <c r="AO310" s="138" t="n"/>
      <c r="AP310" s="16" t="n"/>
      <c r="AQ310" s="138" t="n"/>
      <c r="AR310" s="16" t="n"/>
      <c r="AS310" s="138" t="n"/>
      <c r="AT310" s="16" t="n"/>
      <c r="AU310" s="138" t="n"/>
      <c r="AV310" s="16" t="n"/>
      <c r="AW310" s="138" t="n"/>
      <c r="AX310" s="16" t="n"/>
      <c r="AY310" s="138" t="n"/>
      <c r="AZ310" s="16">
        <f>AF310+AH310+AJ310+AL310+AN310+AP310+AR310+AT310+AV310+AX310</f>
        <v/>
      </c>
      <c r="BA310" s="16" t="n"/>
      <c r="BB310" s="139" t="n"/>
      <c r="BC310" s="16" t="n"/>
      <c r="BD310" s="139" t="n"/>
      <c r="BE310" s="16">
        <f>(BA310+BC310)</f>
        <v/>
      </c>
    </row>
    <row r="311" ht="22.5" customFormat="1" customHeight="1" s="8">
      <c r="A311" s="9" t="n"/>
      <c r="B311" s="136" t="inlineStr">
        <is>
          <t>AL</t>
        </is>
      </c>
      <c r="C311" s="137" t="inlineStr">
        <is>
          <t>ADX4000W</t>
        </is>
      </c>
      <c r="D311" s="84" t="inlineStr">
        <is>
          <t>히팅 싱크 구형 (일본 사용)</t>
        </is>
      </c>
      <c r="E311" s="13" t="n"/>
      <c r="F311" s="100" t="n"/>
      <c r="G311" s="9" t="n"/>
      <c r="H311" s="9" t="inlineStr">
        <is>
          <t>다우정밀</t>
        </is>
      </c>
      <c r="I311" s="14" t="n"/>
      <c r="J311" s="14" t="n"/>
      <c r="K311" s="12" t="n">
        <v>59</v>
      </c>
      <c r="L311" s="9" t="n"/>
      <c r="M311" s="9" t="n"/>
      <c r="N311" s="9" t="n"/>
      <c r="O311" s="40">
        <f>K311+V311-AE311-AZ311</f>
        <v/>
      </c>
      <c r="P311" s="12" t="n"/>
      <c r="Q311" s="138" t="n"/>
      <c r="R311" s="16" t="n"/>
      <c r="S311" s="139" t="n"/>
      <c r="T311" s="16" t="n"/>
      <c r="U311" s="139" t="n"/>
      <c r="V311" s="16">
        <f>P311+R311+T311</f>
        <v/>
      </c>
      <c r="W311" s="16" t="n"/>
      <c r="X311" s="139" t="n"/>
      <c r="Y311" s="16" t="n"/>
      <c r="Z311" s="139" t="n"/>
      <c r="AA311" s="16" t="n"/>
      <c r="AB311" s="139" t="n"/>
      <c r="AC311" s="16" t="n"/>
      <c r="AD311" s="139" t="n"/>
      <c r="AE311" s="16">
        <f>(W311+Y311+AA311+AC311)</f>
        <v/>
      </c>
      <c r="AF311" s="140" t="n"/>
      <c r="AG311" s="138" t="n"/>
      <c r="AH311" s="16" t="n"/>
      <c r="AI311" s="138" t="n"/>
      <c r="AJ311" s="16" t="n"/>
      <c r="AK311" s="138" t="n"/>
      <c r="AL311" s="16" t="n"/>
      <c r="AM311" s="138" t="n"/>
      <c r="AN311" s="16" t="n"/>
      <c r="AO311" s="138" t="n"/>
      <c r="AP311" s="16" t="n"/>
      <c r="AQ311" s="138" t="n"/>
      <c r="AR311" s="16" t="n"/>
      <c r="AS311" s="138" t="n"/>
      <c r="AT311" s="16" t="n"/>
      <c r="AU311" s="138" t="n"/>
      <c r="AV311" s="16" t="n"/>
      <c r="AW311" s="138" t="n"/>
      <c r="AX311" s="16" t="n"/>
      <c r="AY311" s="138" t="n"/>
      <c r="AZ311" s="16">
        <f>AF311+AH311+AJ311+AL311+AN311+AP311+AR311+AT311+AV311+AX311</f>
        <v/>
      </c>
      <c r="BA311" s="16" t="n"/>
      <c r="BB311" s="139" t="n"/>
      <c r="BC311" s="16" t="n"/>
      <c r="BD311" s="139" t="n"/>
      <c r="BE311" s="16">
        <f>(BA311+BC311)</f>
        <v/>
      </c>
    </row>
    <row r="312" ht="22.5" customFormat="1" customHeight="1" s="8">
      <c r="A312" s="9" t="n"/>
      <c r="B312" s="136" t="inlineStr">
        <is>
          <t>AL</t>
        </is>
      </c>
      <c r="C312" s="137" t="inlineStr">
        <is>
          <t>ADX4000W</t>
        </is>
      </c>
      <c r="D312" s="84" t="inlineStr">
        <is>
          <t>히팅 싱크 신형</t>
        </is>
      </c>
      <c r="E312" s="13" t="n"/>
      <c r="F312" s="100" t="n"/>
      <c r="G312" s="9" t="n"/>
      <c r="H312" s="9" t="inlineStr">
        <is>
          <t>다우정밀</t>
        </is>
      </c>
      <c r="I312" s="14" t="n"/>
      <c r="J312" s="14" t="n"/>
      <c r="K312" s="12" t="n">
        <v>0</v>
      </c>
      <c r="L312" s="9" t="n"/>
      <c r="M312" s="9" t="n"/>
      <c r="N312" s="9" t="n"/>
      <c r="O312" s="40">
        <f>K312+V312-AE312-AZ312</f>
        <v/>
      </c>
      <c r="P312" s="12" t="n"/>
      <c r="Q312" s="138" t="n"/>
      <c r="R312" s="16" t="n"/>
      <c r="S312" s="139" t="n"/>
      <c r="T312" s="16" t="n"/>
      <c r="U312" s="139" t="n"/>
      <c r="V312" s="16">
        <f>P312+R312+T312</f>
        <v/>
      </c>
      <c r="W312" s="16" t="n"/>
      <c r="X312" s="139" t="n"/>
      <c r="Y312" s="16" t="n"/>
      <c r="Z312" s="139" t="n"/>
      <c r="AA312" s="16" t="n"/>
      <c r="AB312" s="139" t="n"/>
      <c r="AC312" s="16" t="n"/>
      <c r="AD312" s="139" t="n"/>
      <c r="AE312" s="16">
        <f>(W312+Y312+AA312+AC312)</f>
        <v/>
      </c>
      <c r="AF312" s="140" t="n"/>
      <c r="AG312" s="138" t="n"/>
      <c r="AH312" s="16" t="n"/>
      <c r="AI312" s="138" t="n"/>
      <c r="AJ312" s="16" t="n"/>
      <c r="AK312" s="138" t="n"/>
      <c r="AL312" s="16" t="n"/>
      <c r="AM312" s="138" t="n"/>
      <c r="AN312" s="16" t="n"/>
      <c r="AO312" s="138" t="n"/>
      <c r="AP312" s="16" t="n"/>
      <c r="AQ312" s="138" t="n"/>
      <c r="AR312" s="16" t="n"/>
      <c r="AS312" s="138" t="n"/>
      <c r="AT312" s="16" t="n"/>
      <c r="AU312" s="138" t="n"/>
      <c r="AV312" s="16" t="n"/>
      <c r="AW312" s="138" t="n"/>
      <c r="AX312" s="16" t="n"/>
      <c r="AY312" s="138" t="n"/>
      <c r="AZ312" s="16">
        <f>AF312+AH312+AJ312+AL312+AN312+AP312+AR312+AT312+AV312+AX312</f>
        <v/>
      </c>
      <c r="BA312" s="16" t="n"/>
      <c r="BB312" s="139" t="n"/>
      <c r="BC312" s="16" t="n"/>
      <c r="BD312" s="139" t="n"/>
      <c r="BE312" s="16">
        <f>(BA312+BC312)</f>
        <v/>
      </c>
    </row>
    <row r="313" ht="22.5" customFormat="1" customHeight="1" s="8">
      <c r="A313" s="9" t="n"/>
      <c r="B313" s="136" t="inlineStr">
        <is>
          <t>쿨링팬</t>
        </is>
      </c>
      <c r="C313" s="137" t="inlineStr">
        <is>
          <t>ADX4000W</t>
        </is>
      </c>
      <c r="D313" s="84" t="inlineStr">
        <is>
          <t>방열 팬 구형 (일본 사용)</t>
        </is>
      </c>
      <c r="E313" s="13" t="inlineStr">
        <is>
          <t>1204KL-01W-B10 5V 0.1A</t>
        </is>
      </c>
      <c r="F313" s="100" t="n"/>
      <c r="G313" s="9" t="n"/>
      <c r="H313" s="9" t="inlineStr">
        <is>
          <t>직구</t>
        </is>
      </c>
      <c r="I313" s="14" t="n"/>
      <c r="J313" s="14" t="n"/>
      <c r="K313" s="12" t="n">
        <v>54</v>
      </c>
      <c r="L313" s="9" t="n"/>
      <c r="M313" s="9" t="n"/>
      <c r="N313" s="9" t="n"/>
      <c r="O313" s="40">
        <f>K313+V313-AE313-AZ313</f>
        <v/>
      </c>
      <c r="P313" s="12" t="n"/>
      <c r="Q313" s="138" t="n"/>
      <c r="R313" s="16" t="n"/>
      <c r="S313" s="139" t="n"/>
      <c r="T313" s="16" t="n"/>
      <c r="U313" s="139" t="n"/>
      <c r="V313" s="16">
        <f>P313+R313+T313</f>
        <v/>
      </c>
      <c r="W313" s="16" t="n"/>
      <c r="X313" s="139" t="n"/>
      <c r="Y313" s="16" t="n"/>
      <c r="Z313" s="139" t="n"/>
      <c r="AA313" s="16" t="n"/>
      <c r="AB313" s="139" t="n"/>
      <c r="AC313" s="16" t="n"/>
      <c r="AD313" s="139" t="n"/>
      <c r="AE313" s="16">
        <f>(W313+Y313+AA313+AC313)</f>
        <v/>
      </c>
      <c r="AF313" s="140" t="n"/>
      <c r="AG313" s="138" t="n"/>
      <c r="AH313" s="16" t="n"/>
      <c r="AI313" s="138" t="n"/>
      <c r="AJ313" s="16" t="n"/>
      <c r="AK313" s="138" t="n"/>
      <c r="AL313" s="16" t="n"/>
      <c r="AM313" s="138" t="n"/>
      <c r="AN313" s="16" t="n"/>
      <c r="AO313" s="138" t="n"/>
      <c r="AP313" s="16" t="n"/>
      <c r="AQ313" s="138" t="n"/>
      <c r="AR313" s="16" t="n"/>
      <c r="AS313" s="138" t="n"/>
      <c r="AT313" s="16" t="n"/>
      <c r="AU313" s="138" t="n"/>
      <c r="AV313" s="16" t="n"/>
      <c r="AW313" s="138" t="n"/>
      <c r="AX313" s="16" t="n"/>
      <c r="AY313" s="138" t="n"/>
      <c r="AZ313" s="16">
        <f>AF313+AH313+AJ313+AL313+AN313+AP313+AR313+AT313+AV313+AX313</f>
        <v/>
      </c>
      <c r="BA313" s="16" t="n"/>
      <c r="BB313" s="139" t="n"/>
      <c r="BC313" s="16" t="n"/>
      <c r="BD313" s="139" t="n"/>
      <c r="BE313" s="16">
        <f>(BA313+BC313)</f>
        <v/>
      </c>
    </row>
    <row r="314" ht="22.5" customFormat="1" customHeight="1" s="8">
      <c r="A314" s="9" t="n"/>
      <c r="B314" s="136" t="inlineStr">
        <is>
          <t>쿨링팬</t>
        </is>
      </c>
      <c r="C314" s="137" t="inlineStr">
        <is>
          <t>ADX4000W</t>
        </is>
      </c>
      <c r="D314" s="84" t="inlineStr">
        <is>
          <t>방열 팬 신형</t>
        </is>
      </c>
      <c r="E314" s="13" t="inlineStr">
        <is>
          <t>HBD0401005SEM 5V 0.15A</t>
        </is>
      </c>
      <c r="F314" s="100" t="n"/>
      <c r="G314" s="9" t="n"/>
      <c r="H314" s="9" t="inlineStr">
        <is>
          <t>직구</t>
        </is>
      </c>
      <c r="I314" s="14" t="n"/>
      <c r="J314" s="14" t="n"/>
      <c r="K314" s="12" t="n">
        <v>0</v>
      </c>
      <c r="L314" s="9" t="n"/>
      <c r="M314" s="9" t="n"/>
      <c r="N314" s="9" t="n"/>
      <c r="O314" s="40">
        <f>K314+V314-AE314-AZ314</f>
        <v/>
      </c>
      <c r="P314" s="12" t="n"/>
      <c r="Q314" s="138" t="n"/>
      <c r="R314" s="16" t="n"/>
      <c r="S314" s="139" t="n"/>
      <c r="T314" s="16" t="n"/>
      <c r="U314" s="139" t="n"/>
      <c r="V314" s="16">
        <f>P314+R314+T314</f>
        <v/>
      </c>
      <c r="W314" s="16" t="n"/>
      <c r="X314" s="139" t="n"/>
      <c r="Y314" s="16" t="n"/>
      <c r="Z314" s="139" t="n"/>
      <c r="AA314" s="16" t="n"/>
      <c r="AB314" s="139" t="n"/>
      <c r="AC314" s="16" t="n"/>
      <c r="AD314" s="139" t="n"/>
      <c r="AE314" s="16">
        <f>(W314+Y314+AA314+AC314)</f>
        <v/>
      </c>
      <c r="AF314" s="140" t="n"/>
      <c r="AG314" s="138" t="n"/>
      <c r="AH314" s="16" t="n"/>
      <c r="AI314" s="138" t="n"/>
      <c r="AJ314" s="16" t="n"/>
      <c r="AK314" s="138" t="n"/>
      <c r="AL314" s="16" t="n"/>
      <c r="AM314" s="138" t="n"/>
      <c r="AN314" s="16" t="n"/>
      <c r="AO314" s="138" t="n"/>
      <c r="AP314" s="16" t="n"/>
      <c r="AQ314" s="138" t="n"/>
      <c r="AR314" s="16" t="n"/>
      <c r="AS314" s="138" t="n"/>
      <c r="AT314" s="16" t="n"/>
      <c r="AU314" s="138" t="n"/>
      <c r="AV314" s="16" t="n"/>
      <c r="AW314" s="138" t="n"/>
      <c r="AX314" s="16" t="n"/>
      <c r="AY314" s="138" t="n"/>
      <c r="AZ314" s="16">
        <f>AF314+AH314+AJ314+AL314+AN314+AP314+AR314+AT314+AV314+AX314</f>
        <v/>
      </c>
      <c r="BA314" s="16" t="n"/>
      <c r="BB314" s="139" t="n"/>
      <c r="BC314" s="16" t="n"/>
      <c r="BD314" s="139" t="n"/>
      <c r="BE314" s="16">
        <f>(BA314+BC314)</f>
        <v/>
      </c>
    </row>
    <row r="315" ht="22.5" customFormat="1" customHeight="1" s="8">
      <c r="A315" s="9" t="n"/>
      <c r="B315" s="136" t="inlineStr">
        <is>
          <t>써멀패드</t>
        </is>
      </c>
      <c r="C315" s="137" t="inlineStr">
        <is>
          <t>ADX4000W</t>
        </is>
      </c>
      <c r="D315" s="84" t="inlineStr">
        <is>
          <t>히팅 패드</t>
        </is>
      </c>
      <c r="E315" s="13" t="n"/>
      <c r="F315" s="100" t="n"/>
      <c r="G315" s="9" t="n"/>
      <c r="H315" s="9" t="inlineStr">
        <is>
          <t>직구</t>
        </is>
      </c>
      <c r="I315" s="14" t="n"/>
      <c r="J315" s="14" t="n"/>
      <c r="K315" s="12" t="n">
        <v>71</v>
      </c>
      <c r="L315" s="9" t="n"/>
      <c r="M315" s="9" t="n"/>
      <c r="N315" s="9" t="n"/>
      <c r="O315" s="40">
        <f>K315+V315-AE315-AZ315</f>
        <v/>
      </c>
      <c r="P315" s="12" t="n"/>
      <c r="Q315" s="138" t="n"/>
      <c r="R315" s="16" t="n"/>
      <c r="S315" s="139" t="n"/>
      <c r="T315" s="16" t="n"/>
      <c r="U315" s="139" t="n"/>
      <c r="V315" s="16">
        <f>P315+R315+T315</f>
        <v/>
      </c>
      <c r="W315" s="16" t="n"/>
      <c r="X315" s="139" t="n"/>
      <c r="Y315" s="16" t="n"/>
      <c r="Z315" s="139" t="n"/>
      <c r="AA315" s="16" t="n"/>
      <c r="AB315" s="139" t="n"/>
      <c r="AC315" s="16" t="n"/>
      <c r="AD315" s="139" t="n"/>
      <c r="AE315" s="16">
        <f>(W315+Y315+AA315+AC315)</f>
        <v/>
      </c>
      <c r="AF315" s="140" t="n"/>
      <c r="AG315" s="138" t="n"/>
      <c r="AH315" s="16" t="n"/>
      <c r="AI315" s="138" t="n"/>
      <c r="AJ315" s="16" t="n"/>
      <c r="AK315" s="138" t="n"/>
      <c r="AL315" s="16" t="n"/>
      <c r="AM315" s="138" t="n"/>
      <c r="AN315" s="16" t="n"/>
      <c r="AO315" s="138" t="n"/>
      <c r="AP315" s="16" t="n"/>
      <c r="AQ315" s="138" t="n"/>
      <c r="AR315" s="16" t="n"/>
      <c r="AS315" s="138" t="n"/>
      <c r="AT315" s="16" t="n"/>
      <c r="AU315" s="138" t="n"/>
      <c r="AV315" s="16" t="n"/>
      <c r="AW315" s="138" t="n"/>
      <c r="AX315" s="16" t="n"/>
      <c r="AY315" s="138" t="n"/>
      <c r="AZ315" s="16">
        <f>AF315+AH315+AJ315+AL315+AN315+AP315+AR315+AT315+AV315+AX315</f>
        <v/>
      </c>
      <c r="BA315" s="16" t="n"/>
      <c r="BB315" s="139" t="n"/>
      <c r="BC315" s="16" t="n"/>
      <c r="BD315" s="139" t="n"/>
      <c r="BE315" s="16">
        <f>(BA315+BC315)</f>
        <v/>
      </c>
    </row>
    <row r="316" ht="22.5" customFormat="1" customHeight="1" s="8">
      <c r="A316" s="9" t="n"/>
      <c r="B316" s="136" t="inlineStr">
        <is>
          <t>페라이트</t>
        </is>
      </c>
      <c r="C316" s="137" t="inlineStr">
        <is>
          <t>ADX4000W</t>
        </is>
      </c>
      <c r="D316" s="84" t="inlineStr">
        <is>
          <t>큰 페라이트</t>
        </is>
      </c>
      <c r="E316" s="13" t="inlineStr">
        <is>
          <t>ZCAT-1730-0730</t>
        </is>
      </c>
      <c r="F316" s="100" t="n"/>
      <c r="G316" s="9" t="n"/>
      <c r="H316" s="9" t="inlineStr">
        <is>
          <t>HLP</t>
        </is>
      </c>
      <c r="I316" s="14" t="n"/>
      <c r="J316" s="14" t="n"/>
      <c r="K316" s="12" t="n">
        <v>301</v>
      </c>
      <c r="L316" s="9" t="n"/>
      <c r="M316" s="9" t="n"/>
      <c r="N316" s="9" t="n"/>
      <c r="O316" s="40">
        <f>K316+V316-AE316-AZ316</f>
        <v/>
      </c>
      <c r="P316" s="12" t="n"/>
      <c r="Q316" s="138" t="n"/>
      <c r="R316" s="16" t="n"/>
      <c r="S316" s="139" t="n"/>
      <c r="T316" s="16" t="n"/>
      <c r="U316" s="139" t="n"/>
      <c r="V316" s="16">
        <f>P316+R316+T316</f>
        <v/>
      </c>
      <c r="W316" s="16" t="n"/>
      <c r="X316" s="139" t="n"/>
      <c r="Y316" s="16" t="n"/>
      <c r="Z316" s="139" t="n"/>
      <c r="AA316" s="16" t="n"/>
      <c r="AB316" s="139" t="n"/>
      <c r="AC316" s="16" t="n"/>
      <c r="AD316" s="139" t="n"/>
      <c r="AE316" s="16">
        <f>(W316+Y316+AA316+AC316)</f>
        <v/>
      </c>
      <c r="AF316" s="140" t="n"/>
      <c r="AG316" s="138" t="n"/>
      <c r="AH316" s="16" t="n"/>
      <c r="AI316" s="138" t="n"/>
      <c r="AJ316" s="16" t="n"/>
      <c r="AK316" s="138" t="n"/>
      <c r="AL316" s="16" t="n"/>
      <c r="AM316" s="138" t="n"/>
      <c r="AN316" s="16" t="n"/>
      <c r="AO316" s="138" t="n"/>
      <c r="AP316" s="16" t="n"/>
      <c r="AQ316" s="138" t="n"/>
      <c r="AR316" s="16" t="n"/>
      <c r="AS316" s="138" t="n"/>
      <c r="AT316" s="16" t="n"/>
      <c r="AU316" s="138" t="n"/>
      <c r="AV316" s="16" t="n"/>
      <c r="AW316" s="138" t="n"/>
      <c r="AX316" s="16" t="n"/>
      <c r="AY316" s="138" t="n"/>
      <c r="AZ316" s="16">
        <f>AF316+AH316+AJ316+AL316+AN316+AP316+AR316+AT316+AV316+AX316</f>
        <v/>
      </c>
      <c r="BA316" s="16" t="n"/>
      <c r="BB316" s="139" t="n"/>
      <c r="BC316" s="16" t="n"/>
      <c r="BD316" s="139" t="n"/>
      <c r="BE316" s="16">
        <f>(BA316+BC316)</f>
        <v/>
      </c>
    </row>
    <row r="317" ht="22.5" customFormat="1" customHeight="1" s="8">
      <c r="A317" s="9" t="n"/>
      <c r="B317" s="136" t="inlineStr">
        <is>
          <t>페라이트</t>
        </is>
      </c>
      <c r="C317" s="137" t="inlineStr">
        <is>
          <t>ADX4000W</t>
        </is>
      </c>
      <c r="D317" s="84" t="inlineStr">
        <is>
          <t>작은 페라이트</t>
        </is>
      </c>
      <c r="E317" s="13" t="inlineStr">
        <is>
          <t>ZCAT-1325-0530</t>
        </is>
      </c>
      <c r="F317" s="100" t="n"/>
      <c r="G317" s="9" t="n"/>
      <c r="H317" s="9" t="inlineStr">
        <is>
          <t>HLP</t>
        </is>
      </c>
      <c r="I317" s="14" t="n"/>
      <c r="J317" s="14" t="n"/>
      <c r="K317" s="12" t="n">
        <v>352</v>
      </c>
      <c r="L317" s="9" t="n"/>
      <c r="M317" s="9" t="n"/>
      <c r="N317" s="9" t="n"/>
      <c r="O317" s="40">
        <f>K317+V317-AE317-AZ317</f>
        <v/>
      </c>
      <c r="P317" s="12" t="n"/>
      <c r="Q317" s="138" t="n"/>
      <c r="R317" s="16" t="n"/>
      <c r="S317" s="139" t="n"/>
      <c r="T317" s="16" t="n"/>
      <c r="U317" s="139" t="n"/>
      <c r="V317" s="16">
        <f>P317+R317+T317</f>
        <v/>
      </c>
      <c r="W317" s="16" t="n"/>
      <c r="X317" s="139" t="n"/>
      <c r="Y317" s="16" t="n"/>
      <c r="Z317" s="139" t="n"/>
      <c r="AA317" s="16" t="n"/>
      <c r="AB317" s="139" t="n"/>
      <c r="AC317" s="16" t="n"/>
      <c r="AD317" s="139" t="n"/>
      <c r="AE317" s="16">
        <f>(W317+Y317+AA317+AC317)</f>
        <v/>
      </c>
      <c r="AF317" s="140" t="n"/>
      <c r="AG317" s="138" t="n"/>
      <c r="AH317" s="16" t="n"/>
      <c r="AI317" s="138" t="n"/>
      <c r="AJ317" s="16" t="n"/>
      <c r="AK317" s="138" t="n"/>
      <c r="AL317" s="16" t="n"/>
      <c r="AM317" s="138" t="n"/>
      <c r="AN317" s="16" t="n"/>
      <c r="AO317" s="138" t="n"/>
      <c r="AP317" s="16" t="n"/>
      <c r="AQ317" s="138" t="n"/>
      <c r="AR317" s="16" t="n"/>
      <c r="AS317" s="138" t="n"/>
      <c r="AT317" s="16" t="n"/>
      <c r="AU317" s="138" t="n"/>
      <c r="AV317" s="16" t="n"/>
      <c r="AW317" s="138" t="n"/>
      <c r="AX317" s="16" t="n"/>
      <c r="AY317" s="138" t="n"/>
      <c r="AZ317" s="16">
        <f>AF317+AH317+AJ317+AL317+AN317+AP317+AR317+AT317+AV317+AX317</f>
        <v/>
      </c>
      <c r="BA317" s="16" t="n"/>
      <c r="BB317" s="139" t="n"/>
      <c r="BC317" s="16" t="n"/>
      <c r="BD317" s="139" t="n"/>
      <c r="BE317" s="16">
        <f>(BA317+BC317)</f>
        <v/>
      </c>
    </row>
    <row r="318" ht="22.5" customFormat="1" customHeight="1" s="8">
      <c r="A318" s="9" t="n"/>
      <c r="B318" s="136" t="inlineStr">
        <is>
          <t>동글</t>
        </is>
      </c>
      <c r="C318" s="137" t="inlineStr">
        <is>
          <t>ADX4000W</t>
        </is>
      </c>
      <c r="D318" s="84" t="inlineStr">
        <is>
          <t>TP-LINK (WAN1000M)-동글</t>
        </is>
      </c>
      <c r="E318" s="13" t="n"/>
      <c r="F318" s="100" t="n"/>
      <c r="G318" s="9" t="n"/>
      <c r="H318" s="9" t="inlineStr">
        <is>
          <t>직구</t>
        </is>
      </c>
      <c r="I318" s="14" t="n"/>
      <c r="J318" s="14" t="n"/>
      <c r="K318" s="12" t="n">
        <v>200</v>
      </c>
      <c r="L318" s="9" t="n"/>
      <c r="M318" s="9" t="n"/>
      <c r="N318" s="9" t="n"/>
      <c r="O318" s="40">
        <f>K318+V318-AE318-AZ318</f>
        <v/>
      </c>
      <c r="P318" s="12" t="n"/>
      <c r="Q318" s="138" t="n"/>
      <c r="R318" s="16" t="n"/>
      <c r="S318" s="139" t="n"/>
      <c r="T318" s="16" t="n"/>
      <c r="U318" s="139" t="n"/>
      <c r="V318" s="16">
        <f>P318+R318+T318</f>
        <v/>
      </c>
      <c r="W318" s="16" t="n"/>
      <c r="X318" s="139" t="n"/>
      <c r="Y318" s="16" t="n"/>
      <c r="Z318" s="139" t="n"/>
      <c r="AA318" s="16" t="n"/>
      <c r="AB318" s="139" t="n"/>
      <c r="AC318" s="16" t="n"/>
      <c r="AD318" s="139" t="n"/>
      <c r="AE318" s="16">
        <f>(W318+Y318+AA318+AC318)</f>
        <v/>
      </c>
      <c r="AF318" s="140" t="n"/>
      <c r="AG318" s="138" t="n"/>
      <c r="AH318" s="16" t="n"/>
      <c r="AI318" s="138" t="n"/>
      <c r="AJ318" s="16" t="n"/>
      <c r="AK318" s="138" t="n"/>
      <c r="AL318" s="16" t="n"/>
      <c r="AM318" s="138" t="n"/>
      <c r="AN318" s="16" t="n"/>
      <c r="AO318" s="138" t="n"/>
      <c r="AP318" s="16" t="n"/>
      <c r="AQ318" s="138" t="n"/>
      <c r="AR318" s="16" t="n"/>
      <c r="AS318" s="138" t="n"/>
      <c r="AT318" s="16" t="n"/>
      <c r="AU318" s="138" t="n"/>
      <c r="AV318" s="16" t="n"/>
      <c r="AW318" s="138" t="n"/>
      <c r="AX318" s="16" t="n"/>
      <c r="AY318" s="138" t="n"/>
      <c r="AZ318" s="16">
        <f>AF318+AH318+AJ318+AL318+AN318+AP318+AR318+AT318+AV318+AX318</f>
        <v/>
      </c>
      <c r="BA318" s="16" t="n"/>
      <c r="BB318" s="139" t="n"/>
      <c r="BC318" s="16" t="n"/>
      <c r="BD318" s="139" t="n"/>
      <c r="BE318" s="16">
        <f>(BA318+BC318)</f>
        <v/>
      </c>
    </row>
    <row r="319" ht="22.5" customFormat="1" customHeight="1" s="8">
      <c r="A319" s="9" t="n"/>
      <c r="B319" s="136" t="inlineStr">
        <is>
          <t>동글</t>
        </is>
      </c>
      <c r="C319" s="137" t="inlineStr">
        <is>
          <t>ADX4000W</t>
        </is>
      </c>
      <c r="D319" s="84" t="inlineStr">
        <is>
          <t>ip TIME 무선 랜카드 [N100UM]</t>
        </is>
      </c>
      <c r="E319" s="13" t="n"/>
      <c r="F319" s="100" t="n"/>
      <c r="G319" s="9" t="n"/>
      <c r="H319" s="9" t="inlineStr">
        <is>
          <t>직구</t>
        </is>
      </c>
      <c r="I319" s="14" t="n"/>
      <c r="J319" s="14" t="n"/>
      <c r="K319" s="12" t="n">
        <v>35</v>
      </c>
      <c r="L319" s="9" t="n"/>
      <c r="M319" s="9" t="n"/>
      <c r="N319" s="9" t="n"/>
      <c r="O319" s="40">
        <f>K319+V319-AE319-AZ319</f>
        <v/>
      </c>
      <c r="P319" s="12" t="n"/>
      <c r="Q319" s="138" t="n"/>
      <c r="R319" s="16" t="n"/>
      <c r="S319" s="139" t="n"/>
      <c r="T319" s="16" t="n"/>
      <c r="U319" s="139" t="n"/>
      <c r="V319" s="16">
        <f>P319+R319+T319</f>
        <v/>
      </c>
      <c r="W319" s="16" t="n"/>
      <c r="X319" s="139" t="n"/>
      <c r="Y319" s="16" t="n"/>
      <c r="Z319" s="139" t="n"/>
      <c r="AA319" s="16" t="n"/>
      <c r="AB319" s="139" t="n"/>
      <c r="AC319" s="16" t="n"/>
      <c r="AD319" s="139" t="n"/>
      <c r="AE319" s="16">
        <f>(W319+Y319+AA319+AC319)</f>
        <v/>
      </c>
      <c r="AF319" s="140" t="n"/>
      <c r="AG319" s="138" t="n"/>
      <c r="AH319" s="16" t="n"/>
      <c r="AI319" s="138" t="n"/>
      <c r="AJ319" s="16" t="n"/>
      <c r="AK319" s="138" t="n"/>
      <c r="AL319" s="16" t="n"/>
      <c r="AM319" s="138" t="n"/>
      <c r="AN319" s="16" t="n"/>
      <c r="AO319" s="138" t="n"/>
      <c r="AP319" s="16" t="n"/>
      <c r="AQ319" s="138" t="n"/>
      <c r="AR319" s="16" t="n"/>
      <c r="AS319" s="138" t="n"/>
      <c r="AT319" s="16" t="n"/>
      <c r="AU319" s="138" t="n"/>
      <c r="AV319" s="16" t="n"/>
      <c r="AW319" s="138" t="n"/>
      <c r="AX319" s="16" t="n"/>
      <c r="AY319" s="138" t="n"/>
      <c r="AZ319" s="16">
        <f>AF319+AH319+AJ319+AL319+AN319+AP319+AR319+AT319+AV319+AX319</f>
        <v/>
      </c>
      <c r="BA319" s="16" t="n"/>
      <c r="BB319" s="139" t="n"/>
      <c r="BC319" s="16" t="n"/>
      <c r="BD319" s="139" t="n"/>
      <c r="BE319" s="16">
        <f>(BA319+BC319)</f>
        <v/>
      </c>
    </row>
    <row r="320" ht="22.5" customFormat="1" customHeight="1" s="8">
      <c r="A320" s="9" t="n"/>
      <c r="B320" s="136" t="inlineStr">
        <is>
          <t>동글</t>
        </is>
      </c>
      <c r="C320" s="137" t="inlineStr">
        <is>
          <t>ADX4000W</t>
        </is>
      </c>
      <c r="D320" s="84" t="inlineStr">
        <is>
          <t>ELECOM WIFI (10DR)</t>
        </is>
      </c>
      <c r="E320" s="13" t="inlineStr">
        <is>
          <t>WDC-150SU2M</t>
        </is>
      </c>
      <c r="F320" s="100" t="n"/>
      <c r="G320" s="9" t="n"/>
      <c r="H320" s="9" t="inlineStr">
        <is>
          <t>일본 지사</t>
        </is>
      </c>
      <c r="I320" s="14" t="n"/>
      <c r="J320" s="14" t="n"/>
      <c r="K320" s="12" t="n">
        <v>0</v>
      </c>
      <c r="L320" s="9" t="n"/>
      <c r="M320" s="9" t="n"/>
      <c r="N320" s="9" t="n"/>
      <c r="O320" s="40">
        <f>K320+V320-AE320-AZ320</f>
        <v/>
      </c>
      <c r="P320" s="12" t="n"/>
      <c r="Q320" s="138" t="n"/>
      <c r="R320" s="16" t="n"/>
      <c r="S320" s="139" t="n"/>
      <c r="T320" s="16" t="n"/>
      <c r="U320" s="139" t="n"/>
      <c r="V320" s="16">
        <f>P320+R320+T320</f>
        <v/>
      </c>
      <c r="W320" s="16" t="n"/>
      <c r="X320" s="139" t="n"/>
      <c r="Y320" s="16" t="n"/>
      <c r="Z320" s="139" t="n"/>
      <c r="AA320" s="16" t="n"/>
      <c r="AB320" s="139" t="n"/>
      <c r="AC320" s="16" t="n"/>
      <c r="AD320" s="139" t="n"/>
      <c r="AE320" s="16">
        <f>(W320+Y320+AA320+AC320)</f>
        <v/>
      </c>
      <c r="AF320" s="140" t="n"/>
      <c r="AG320" s="138" t="n"/>
      <c r="AH320" s="16" t="n"/>
      <c r="AI320" s="138" t="n"/>
      <c r="AJ320" s="16" t="n"/>
      <c r="AK320" s="138" t="n"/>
      <c r="AL320" s="16" t="n"/>
      <c r="AM320" s="138" t="n"/>
      <c r="AN320" s="16" t="n"/>
      <c r="AO320" s="138" t="n"/>
      <c r="AP320" s="16" t="n"/>
      <c r="AQ320" s="138" t="n"/>
      <c r="AR320" s="16" t="n"/>
      <c r="AS320" s="138" t="n"/>
      <c r="AT320" s="16" t="n"/>
      <c r="AU320" s="138" t="n"/>
      <c r="AV320" s="16" t="n"/>
      <c r="AW320" s="138" t="n"/>
      <c r="AX320" s="16" t="n"/>
      <c r="AY320" s="138" t="n"/>
      <c r="AZ320" s="16">
        <f>AF320+AH320+AJ320+AL320+AN320+AP320+AR320+AT320+AV320+AX320</f>
        <v/>
      </c>
      <c r="BA320" s="16" t="n"/>
      <c r="BB320" s="139" t="n"/>
      <c r="BC320" s="16" t="n"/>
      <c r="BD320" s="139" t="n"/>
      <c r="BE320" s="16">
        <f>(BA320+BC320)</f>
        <v/>
      </c>
    </row>
    <row r="321" ht="22.5" customFormat="1" customHeight="1" s="8">
      <c r="A321" s="9" t="n"/>
      <c r="B321" s="136" t="inlineStr">
        <is>
          <t>USB</t>
        </is>
      </c>
      <c r="C321" s="137" t="inlineStr">
        <is>
          <t>ADX4000W</t>
        </is>
      </c>
      <c r="D321" s="84" t="inlineStr">
        <is>
          <t>USB 메모리</t>
        </is>
      </c>
      <c r="E321" s="13" t="inlineStr">
        <is>
          <t>16GB</t>
        </is>
      </c>
      <c r="F321" s="100" t="n"/>
      <c r="G321" s="9" t="n"/>
      <c r="H321" s="9" t="inlineStr">
        <is>
          <t>직구</t>
        </is>
      </c>
      <c r="I321" s="14" t="n"/>
      <c r="J321" s="14" t="n"/>
      <c r="K321" s="12" t="n">
        <v>20</v>
      </c>
      <c r="L321" s="9" t="n"/>
      <c r="M321" s="9" t="n"/>
      <c r="N321" s="9" t="n"/>
      <c r="O321" s="40">
        <f>K321+V321-AE321-AZ321</f>
        <v/>
      </c>
      <c r="P321" s="12" t="n"/>
      <c r="Q321" s="138" t="n"/>
      <c r="R321" s="16" t="n"/>
      <c r="S321" s="139" t="n"/>
      <c r="T321" s="16" t="n"/>
      <c r="U321" s="139" t="n"/>
      <c r="V321" s="16">
        <f>P321+R321+T321</f>
        <v/>
      </c>
      <c r="W321" s="16" t="n"/>
      <c r="X321" s="139" t="n"/>
      <c r="Y321" s="16" t="n"/>
      <c r="Z321" s="139" t="n"/>
      <c r="AA321" s="16" t="n"/>
      <c r="AB321" s="139" t="n"/>
      <c r="AC321" s="16" t="n"/>
      <c r="AD321" s="139" t="n"/>
      <c r="AE321" s="16">
        <f>(W321+Y321+AA321+AC321)</f>
        <v/>
      </c>
      <c r="AF321" s="140" t="n"/>
      <c r="AG321" s="138" t="n"/>
      <c r="AH321" s="16" t="n"/>
      <c r="AI321" s="138" t="n"/>
      <c r="AJ321" s="16" t="n"/>
      <c r="AK321" s="138" t="n"/>
      <c r="AL321" s="16" t="n"/>
      <c r="AM321" s="138" t="n"/>
      <c r="AN321" s="16" t="n"/>
      <c r="AO321" s="138" t="n"/>
      <c r="AP321" s="16" t="n"/>
      <c r="AQ321" s="138" t="n"/>
      <c r="AR321" s="16" t="n"/>
      <c r="AS321" s="138" t="n"/>
      <c r="AT321" s="16" t="n"/>
      <c r="AU321" s="138" t="n"/>
      <c r="AV321" s="16" t="n"/>
      <c r="AW321" s="138" t="n"/>
      <c r="AX321" s="16" t="n"/>
      <c r="AY321" s="138" t="n"/>
      <c r="AZ321" s="16">
        <f>AF321+AH321+AJ321+AL321+AN321+AP321+AR321+AT321+AV321+AX321</f>
        <v/>
      </c>
      <c r="BA321" s="16" t="n"/>
      <c r="BB321" s="139" t="n"/>
      <c r="BC321" s="16" t="n"/>
      <c r="BD321" s="139" t="n"/>
      <c r="BE321" s="16">
        <f>(BA321+BC321)</f>
        <v/>
      </c>
    </row>
    <row r="322" ht="22.5" customFormat="1" customHeight="1" s="8">
      <c r="A322" s="9" t="n"/>
      <c r="B322" s="136" t="inlineStr">
        <is>
          <t>클립</t>
        </is>
      </c>
      <c r="C322" s="137" t="inlineStr">
        <is>
          <t>ADX4000W</t>
        </is>
      </c>
      <c r="D322" s="84" t="inlineStr">
        <is>
          <t>Q 클립</t>
        </is>
      </c>
      <c r="E322" s="13" t="n"/>
      <c r="F322" s="100" t="n"/>
      <c r="G322" s="9" t="n"/>
      <c r="H322" s="9" t="inlineStr">
        <is>
          <t>직구</t>
        </is>
      </c>
      <c r="I322" s="14" t="n"/>
      <c r="J322" s="14" t="n"/>
      <c r="K322" s="12" t="n">
        <v>0</v>
      </c>
      <c r="L322" s="9" t="n"/>
      <c r="M322" s="9" t="n"/>
      <c r="N322" s="9" t="n"/>
      <c r="O322" s="40">
        <f>K322+V322-AE322-AZ322</f>
        <v/>
      </c>
      <c r="P322" s="12" t="n"/>
      <c r="Q322" s="138" t="n"/>
      <c r="R322" s="16" t="n"/>
      <c r="S322" s="139" t="n"/>
      <c r="T322" s="16" t="n"/>
      <c r="U322" s="139" t="n"/>
      <c r="V322" s="16">
        <f>P322+R322+T322</f>
        <v/>
      </c>
      <c r="W322" s="16" t="n"/>
      <c r="X322" s="139" t="n"/>
      <c r="Y322" s="16" t="n"/>
      <c r="Z322" s="139" t="n"/>
      <c r="AA322" s="16" t="n"/>
      <c r="AB322" s="139" t="n"/>
      <c r="AC322" s="16" t="n"/>
      <c r="AD322" s="139" t="n"/>
      <c r="AE322" s="16">
        <f>(W322+Y322+AA322+AC322)</f>
        <v/>
      </c>
      <c r="AF322" s="140" t="n"/>
      <c r="AG322" s="138" t="n"/>
      <c r="AH322" s="16" t="n"/>
      <c r="AI322" s="138" t="n"/>
      <c r="AJ322" s="16" t="n"/>
      <c r="AK322" s="138" t="n"/>
      <c r="AL322" s="16" t="n"/>
      <c r="AM322" s="138" t="n"/>
      <c r="AN322" s="16" t="n"/>
      <c r="AO322" s="138" t="n"/>
      <c r="AP322" s="16" t="n"/>
      <c r="AQ322" s="138" t="n"/>
      <c r="AR322" s="16" t="n"/>
      <c r="AS322" s="138" t="n"/>
      <c r="AT322" s="16" t="n"/>
      <c r="AU322" s="138" t="n"/>
      <c r="AV322" s="16" t="n"/>
      <c r="AW322" s="138" t="n"/>
      <c r="AX322" s="16" t="n"/>
      <c r="AY322" s="138" t="n"/>
      <c r="AZ322" s="16">
        <f>AF322+AH322+AJ322+AL322+AN322+AP322+AR322+AT322+AV322+AX322</f>
        <v/>
      </c>
      <c r="BA322" s="16" t="n"/>
      <c r="BB322" s="139" t="n"/>
      <c r="BC322" s="16" t="n"/>
      <c r="BD322" s="139" t="n"/>
      <c r="BE322" s="16">
        <f>(BA322+BC322)</f>
        <v/>
      </c>
    </row>
    <row r="323" ht="22.5" customFormat="1" customHeight="1" s="8">
      <c r="A323" s="9" t="n"/>
      <c r="B323" s="136" t="inlineStr">
        <is>
          <t>클립</t>
        </is>
      </c>
      <c r="C323" s="137" t="inlineStr">
        <is>
          <t>ADX4000W</t>
        </is>
      </c>
      <c r="D323" s="84" t="inlineStr">
        <is>
          <t>L 클립</t>
        </is>
      </c>
      <c r="E323" s="13" t="n"/>
      <c r="F323" s="100" t="n"/>
      <c r="G323" s="9" t="n"/>
      <c r="H323" s="9" t="inlineStr">
        <is>
          <t>직구</t>
        </is>
      </c>
      <c r="I323" s="14" t="n"/>
      <c r="J323" s="14" t="n"/>
      <c r="K323" s="12" t="n">
        <v>0</v>
      </c>
      <c r="L323" s="9" t="n"/>
      <c r="M323" s="9" t="n"/>
      <c r="N323" s="9" t="n"/>
      <c r="O323" s="40">
        <f>K323+V323-AE323-AZ323</f>
        <v/>
      </c>
      <c r="P323" s="12" t="n"/>
      <c r="Q323" s="138" t="n"/>
      <c r="R323" s="16" t="n"/>
      <c r="S323" s="139" t="n"/>
      <c r="T323" s="16" t="n"/>
      <c r="U323" s="139" t="n"/>
      <c r="V323" s="16">
        <f>P323+R323+T323</f>
        <v/>
      </c>
      <c r="W323" s="16" t="n"/>
      <c r="X323" s="139" t="n"/>
      <c r="Y323" s="16" t="n"/>
      <c r="Z323" s="139" t="n"/>
      <c r="AA323" s="16" t="n"/>
      <c r="AB323" s="139" t="n"/>
      <c r="AC323" s="16" t="n"/>
      <c r="AD323" s="139" t="n"/>
      <c r="AE323" s="16">
        <f>(W323+Y323+AA323+AC323)</f>
        <v/>
      </c>
      <c r="AF323" s="140" t="n"/>
      <c r="AG323" s="138" t="n"/>
      <c r="AH323" s="16" t="n"/>
      <c r="AI323" s="138" t="n"/>
      <c r="AJ323" s="16" t="n"/>
      <c r="AK323" s="138" t="n"/>
      <c r="AL323" s="16" t="n"/>
      <c r="AM323" s="138" t="n"/>
      <c r="AN323" s="16" t="n"/>
      <c r="AO323" s="138" t="n"/>
      <c r="AP323" s="16" t="n"/>
      <c r="AQ323" s="138" t="n"/>
      <c r="AR323" s="16" t="n"/>
      <c r="AS323" s="138" t="n"/>
      <c r="AT323" s="16" t="n"/>
      <c r="AU323" s="138" t="n"/>
      <c r="AV323" s="16" t="n"/>
      <c r="AW323" s="138" t="n"/>
      <c r="AX323" s="16" t="n"/>
      <c r="AY323" s="138" t="n"/>
      <c r="AZ323" s="16">
        <f>AF323+AH323+AJ323+AL323+AN323+AP323+AR323+AT323+AV323+AX323</f>
        <v/>
      </c>
      <c r="BA323" s="16" t="n"/>
      <c r="BB323" s="139" t="n"/>
      <c r="BC323" s="16" t="n"/>
      <c r="BD323" s="139" t="n"/>
      <c r="BE323" s="16">
        <f>(BA323+BC323)</f>
        <v/>
      </c>
    </row>
    <row r="324" ht="22.5" customFormat="1" customHeight="1" s="8">
      <c r="A324" s="9" t="n"/>
      <c r="B324" s="136" t="inlineStr">
        <is>
          <t>실리콘</t>
        </is>
      </c>
      <c r="C324" s="137" t="inlineStr">
        <is>
          <t>ADX4000W</t>
        </is>
      </c>
      <c r="D324" s="84" t="inlineStr">
        <is>
          <t>HAND GUIDE</t>
        </is>
      </c>
      <c r="E324" s="13" t="inlineStr">
        <is>
          <t>ABS 난연 화이트</t>
        </is>
      </c>
      <c r="F324" s="100" t="n"/>
      <c r="G324" s="9" t="n"/>
      <c r="H324" s="9" t="inlineStr">
        <is>
          <t>천우</t>
        </is>
      </c>
      <c r="I324" s="14" t="n"/>
      <c r="J324" s="14" t="n"/>
      <c r="K324" s="12" t="n">
        <v>490</v>
      </c>
      <c r="L324" s="9" t="n"/>
      <c r="M324" s="9" t="n"/>
      <c r="N324" s="9" t="n"/>
      <c r="O324" s="40">
        <f>K324+V324-AE324-AZ324</f>
        <v/>
      </c>
      <c r="P324" s="12" t="n"/>
      <c r="Q324" s="138" t="n"/>
      <c r="R324" s="16" t="n"/>
      <c r="S324" s="139" t="n"/>
      <c r="T324" s="16" t="n"/>
      <c r="U324" s="139" t="n"/>
      <c r="V324" s="16">
        <f>P324+R324+T324</f>
        <v/>
      </c>
      <c r="W324" s="16" t="n"/>
      <c r="X324" s="139" t="n"/>
      <c r="Y324" s="16" t="n"/>
      <c r="Z324" s="139" t="n"/>
      <c r="AA324" s="16" t="n"/>
      <c r="AB324" s="139" t="n"/>
      <c r="AC324" s="16" t="n"/>
      <c r="AD324" s="139" t="n"/>
      <c r="AE324" s="16">
        <f>(W324+Y324+AA324+AC324)</f>
        <v/>
      </c>
      <c r="AF324" s="140" t="n"/>
      <c r="AG324" s="138" t="n"/>
      <c r="AH324" s="16" t="n"/>
      <c r="AI324" s="138" t="n"/>
      <c r="AJ324" s="16" t="n"/>
      <c r="AK324" s="138" t="n"/>
      <c r="AL324" s="16" t="n"/>
      <c r="AM324" s="138" t="n"/>
      <c r="AN324" s="16" t="n"/>
      <c r="AO324" s="138" t="n"/>
      <c r="AP324" s="16" t="n"/>
      <c r="AQ324" s="138" t="n"/>
      <c r="AR324" s="16" t="n"/>
      <c r="AS324" s="138" t="n"/>
      <c r="AT324" s="16" t="n"/>
      <c r="AU324" s="138" t="n"/>
      <c r="AV324" s="16" t="n"/>
      <c r="AW324" s="138" t="n"/>
      <c r="AX324" s="16" t="n"/>
      <c r="AY324" s="138" t="n"/>
      <c r="AZ324" s="16">
        <f>AF324+AH324+AJ324+AL324+AN324+AP324+AR324+AT324+AV324+AX324</f>
        <v/>
      </c>
      <c r="BA324" s="16" t="n"/>
      <c r="BB324" s="139" t="n"/>
      <c r="BC324" s="16" t="n"/>
      <c r="BD324" s="139" t="n"/>
      <c r="BE324" s="16">
        <f>(BA324+BC324)</f>
        <v/>
      </c>
    </row>
    <row r="325" ht="22.5" customFormat="1" customHeight="1" s="8">
      <c r="A325" s="9" t="n"/>
      <c r="B325" s="136" t="inlineStr">
        <is>
          <t>인조가죽</t>
        </is>
      </c>
      <c r="C325" s="137" t="inlineStr">
        <is>
          <t>ADX4000W</t>
        </is>
      </c>
      <c r="D325" s="84" t="inlineStr">
        <is>
          <t>HAND STRAP -손잡이(터치펜)(유럽용)</t>
        </is>
      </c>
      <c r="E325" s="13" t="inlineStr">
        <is>
          <t>인조 가죽, AL(Cr도금), SUS Φ2.0</t>
        </is>
      </c>
      <c r="F325" s="100" t="n"/>
      <c r="G325" s="9" t="n"/>
      <c r="H325" s="9" t="inlineStr">
        <is>
          <t>굿모닝코리아유통</t>
        </is>
      </c>
      <c r="I325" s="14" t="n"/>
      <c r="J325" s="14" t="n"/>
      <c r="K325" s="12" t="n">
        <v>71</v>
      </c>
      <c r="L325" s="9" t="n"/>
      <c r="M325" s="9" t="n"/>
      <c r="N325" s="9" t="n"/>
      <c r="O325" s="40">
        <f>K325+V325-AE325-AZ325</f>
        <v/>
      </c>
      <c r="P325" s="12" t="n"/>
      <c r="Q325" s="138" t="n"/>
      <c r="R325" s="16" t="n"/>
      <c r="S325" s="139" t="n"/>
      <c r="T325" s="16" t="n"/>
      <c r="U325" s="139" t="n"/>
      <c r="V325" s="16">
        <f>P325+R325+T325</f>
        <v/>
      </c>
      <c r="W325" s="16" t="n"/>
      <c r="X325" s="139" t="n"/>
      <c r="Y325" s="16" t="n"/>
      <c r="Z325" s="139" t="n"/>
      <c r="AA325" s="16" t="n"/>
      <c r="AB325" s="139" t="n"/>
      <c r="AC325" s="16" t="n"/>
      <c r="AD325" s="139" t="n"/>
      <c r="AE325" s="16">
        <f>(W325+Y325+AA325+AC325)</f>
        <v/>
      </c>
      <c r="AF325" s="140" t="n"/>
      <c r="AG325" s="138" t="n"/>
      <c r="AH325" s="16" t="n"/>
      <c r="AI325" s="138" t="n"/>
      <c r="AJ325" s="16" t="n"/>
      <c r="AK325" s="138" t="n"/>
      <c r="AL325" s="16" t="n"/>
      <c r="AM325" s="138" t="n"/>
      <c r="AN325" s="16" t="n"/>
      <c r="AO325" s="138" t="n"/>
      <c r="AP325" s="16" t="n"/>
      <c r="AQ325" s="138" t="n"/>
      <c r="AR325" s="16" t="n"/>
      <c r="AS325" s="138" t="n"/>
      <c r="AT325" s="16" t="n"/>
      <c r="AU325" s="138" t="n"/>
      <c r="AV325" s="16" t="n"/>
      <c r="AW325" s="138" t="n"/>
      <c r="AX325" s="16" t="n"/>
      <c r="AY325" s="138" t="n"/>
      <c r="AZ325" s="16">
        <f>AF325+AH325+AJ325+AL325+AN325+AP325+AR325+AT325+AV325+AX325</f>
        <v/>
      </c>
      <c r="BA325" s="16" t="n"/>
      <c r="BB325" s="139" t="n"/>
      <c r="BC325" s="16" t="n"/>
      <c r="BD325" s="139" t="n"/>
      <c r="BE325" s="16">
        <f>(BA325+BC325)</f>
        <v/>
      </c>
    </row>
    <row r="326" ht="22.5" customFormat="1" customHeight="1" s="8">
      <c r="A326" s="9" t="n"/>
      <c r="B326" s="136" t="inlineStr">
        <is>
          <t>인조가죽</t>
        </is>
      </c>
      <c r="C326" s="137" t="inlineStr">
        <is>
          <t>ADX4000W</t>
        </is>
      </c>
      <c r="D326" s="84" t="inlineStr">
        <is>
          <t>HAND STRAP -손잡이(터치펜)</t>
        </is>
      </c>
      <c r="E326" s="13" t="inlineStr">
        <is>
          <t>인조 가죽, AL(Cr도금), SUS Φ2.0</t>
        </is>
      </c>
      <c r="F326" s="100" t="n"/>
      <c r="G326" s="9" t="n"/>
      <c r="H326" s="9" t="inlineStr">
        <is>
          <t>굿모닝코리아유통</t>
        </is>
      </c>
      <c r="I326" s="14" t="n"/>
      <c r="J326" s="14" t="n"/>
      <c r="K326" s="12" t="n">
        <v>144</v>
      </c>
      <c r="L326" s="9" t="n"/>
      <c r="M326" s="9" t="n"/>
      <c r="N326" s="9" t="n"/>
      <c r="O326" s="40">
        <f>K326+V326-AE326-AZ326</f>
        <v/>
      </c>
      <c r="P326" s="12" t="n"/>
      <c r="Q326" s="138" t="n"/>
      <c r="R326" s="16" t="n"/>
      <c r="S326" s="139" t="n"/>
      <c r="T326" s="16" t="n"/>
      <c r="U326" s="139" t="n"/>
      <c r="V326" s="16">
        <f>P326+R326+T326</f>
        <v/>
      </c>
      <c r="W326" s="16" t="n"/>
      <c r="X326" s="139" t="n"/>
      <c r="Y326" s="16" t="n"/>
      <c r="Z326" s="139" t="n"/>
      <c r="AA326" s="16" t="n"/>
      <c r="AB326" s="139" t="n"/>
      <c r="AC326" s="16" t="n"/>
      <c r="AD326" s="139" t="n"/>
      <c r="AE326" s="16">
        <f>(W326+Y326+AA326+AC326)</f>
        <v/>
      </c>
      <c r="AF326" s="140" t="n"/>
      <c r="AG326" s="138" t="n"/>
      <c r="AH326" s="16" t="n"/>
      <c r="AI326" s="138" t="n"/>
      <c r="AJ326" s="16" t="n"/>
      <c r="AK326" s="138" t="n"/>
      <c r="AL326" s="16" t="n"/>
      <c r="AM326" s="138" t="n"/>
      <c r="AN326" s="16" t="n"/>
      <c r="AO326" s="138" t="n"/>
      <c r="AP326" s="16" t="n"/>
      <c r="AQ326" s="138" t="n"/>
      <c r="AR326" s="16" t="n"/>
      <c r="AS326" s="138" t="n"/>
      <c r="AT326" s="16" t="n"/>
      <c r="AU326" s="138" t="n"/>
      <c r="AV326" s="16" t="n"/>
      <c r="AW326" s="138" t="n"/>
      <c r="AX326" s="16" t="n"/>
      <c r="AY326" s="138" t="n"/>
      <c r="AZ326" s="16">
        <f>AF326+AH326+AJ326+AL326+AN326+AP326+AR326+AT326+AV326+AX326</f>
        <v/>
      </c>
      <c r="BA326" s="16" t="n"/>
      <c r="BB326" s="139" t="n"/>
      <c r="BC326" s="16" t="n"/>
      <c r="BD326" s="139" t="n"/>
      <c r="BE326" s="16">
        <f>(BA326+BC326)</f>
        <v/>
      </c>
    </row>
    <row r="327" ht="22.5" customFormat="1" customHeight="1" s="8">
      <c r="A327" s="9" t="n"/>
      <c r="B327" s="141" t="inlineStr">
        <is>
          <t>PCB</t>
        </is>
      </c>
      <c r="C327" s="137" t="inlineStr">
        <is>
          <t>ADX6000S</t>
        </is>
      </c>
      <c r="D327" s="62" t="inlineStr">
        <is>
          <t>CTR B/D</t>
        </is>
      </c>
      <c r="E327" s="36" t="n"/>
      <c r="F327" s="100" t="n"/>
      <c r="G327" s="22" t="n"/>
      <c r="H327" s="22" t="inlineStr">
        <is>
          <t>HLP</t>
        </is>
      </c>
      <c r="I327" s="14" t="n"/>
      <c r="J327" s="14" t="n"/>
      <c r="K327" s="12" t="n">
        <v>235</v>
      </c>
      <c r="L327" s="9" t="n"/>
      <c r="M327" s="9" t="n"/>
      <c r="N327" s="9" t="n"/>
      <c r="O327" s="40">
        <f>K327+V327-AE327-AZ327</f>
        <v/>
      </c>
      <c r="P327" s="12" t="n"/>
      <c r="Q327" s="138" t="n"/>
      <c r="R327" s="16" t="n"/>
      <c r="S327" s="139" t="n"/>
      <c r="T327" s="16" t="n"/>
      <c r="U327" s="139" t="n"/>
      <c r="V327" s="16">
        <f>P327+R327+T327</f>
        <v/>
      </c>
      <c r="W327" s="16" t="n"/>
      <c r="X327" s="139" t="n"/>
      <c r="Y327" s="16" t="n"/>
      <c r="Z327" s="139" t="n"/>
      <c r="AA327" s="16" t="n"/>
      <c r="AB327" s="139" t="n"/>
      <c r="AC327" s="16" t="n"/>
      <c r="AD327" s="139" t="n"/>
      <c r="AE327" s="16">
        <f>(W327+Y327+AA327+AC327)</f>
        <v/>
      </c>
      <c r="AF327" s="140" t="n"/>
      <c r="AG327" s="138" t="n"/>
      <c r="AH327" s="16" t="n"/>
      <c r="AI327" s="138" t="n"/>
      <c r="AJ327" s="16" t="n"/>
      <c r="AK327" s="138" t="n"/>
      <c r="AL327" s="16" t="n"/>
      <c r="AM327" s="138" t="n"/>
      <c r="AN327" s="16" t="n"/>
      <c r="AO327" s="138" t="n"/>
      <c r="AP327" s="16" t="n"/>
      <c r="AQ327" s="138" t="n"/>
      <c r="AR327" s="16" t="n"/>
      <c r="AS327" s="138" t="n"/>
      <c r="AT327" s="16" t="n"/>
      <c r="AU327" s="138" t="n"/>
      <c r="AV327" s="16" t="n"/>
      <c r="AW327" s="138" t="n"/>
      <c r="AX327" s="16" t="n"/>
      <c r="AY327" s="138" t="n"/>
      <c r="AZ327" s="16">
        <f>AF327+AH327+AJ327+AL327+AN327+AP327+AR327+AT327+AV327+AX327</f>
        <v/>
      </c>
      <c r="BA327" s="16" t="n"/>
      <c r="BB327" s="139" t="n"/>
      <c r="BC327" s="16" t="n"/>
      <c r="BD327" s="139" t="n"/>
      <c r="BE327" s="16">
        <f>(BA327+BC327)</f>
        <v/>
      </c>
    </row>
    <row r="328" ht="22.5" customFormat="1" customHeight="1" s="8">
      <c r="A328" s="9" t="n"/>
      <c r="B328" s="141" t="inlineStr">
        <is>
          <t>PCB</t>
        </is>
      </c>
      <c r="C328" s="137" t="inlineStr">
        <is>
          <t>ADX6000</t>
        </is>
      </c>
      <c r="D328" s="62" t="inlineStr">
        <is>
          <t>CON BD</t>
        </is>
      </c>
      <c r="E328" s="36" t="inlineStr">
        <is>
          <t>V2.0.1</t>
        </is>
      </c>
      <c r="F328" s="100" t="n"/>
      <c r="G328" s="22" t="n"/>
      <c r="H328" s="22" t="inlineStr">
        <is>
          <t>HLP</t>
        </is>
      </c>
      <c r="I328" s="14" t="n"/>
      <c r="J328" s="14" t="n"/>
      <c r="K328" s="12" t="n">
        <v>500</v>
      </c>
      <c r="L328" s="9" t="n"/>
      <c r="M328" s="9" t="n"/>
      <c r="N328" s="9" t="n"/>
      <c r="O328" s="40">
        <f>K328+V328-AE328-AZ328</f>
        <v/>
      </c>
      <c r="P328" s="12" t="n"/>
      <c r="Q328" s="138" t="n"/>
      <c r="R328" s="16" t="n"/>
      <c r="S328" s="139" t="n"/>
      <c r="T328" s="16" t="n"/>
      <c r="U328" s="139" t="n"/>
      <c r="V328" s="16">
        <f>P328+R328+T328</f>
        <v/>
      </c>
      <c r="W328" s="16" t="n"/>
      <c r="X328" s="139" t="n"/>
      <c r="Y328" s="16" t="n"/>
      <c r="Z328" s="139" t="n"/>
      <c r="AA328" s="16" t="n"/>
      <c r="AB328" s="139" t="n"/>
      <c r="AC328" s="16" t="n"/>
      <c r="AD328" s="139" t="n"/>
      <c r="AE328" s="16">
        <f>(W328+Y328+AA328+AC328)</f>
        <v/>
      </c>
      <c r="AF328" s="140" t="n"/>
      <c r="AG328" s="138" t="n"/>
      <c r="AH328" s="16" t="n"/>
      <c r="AI328" s="138" t="n"/>
      <c r="AJ328" s="16" t="n"/>
      <c r="AK328" s="138" t="n"/>
      <c r="AL328" s="16" t="n"/>
      <c r="AM328" s="138" t="n"/>
      <c r="AN328" s="16" t="n"/>
      <c r="AO328" s="138" t="n"/>
      <c r="AP328" s="16" t="n"/>
      <c r="AQ328" s="138" t="n"/>
      <c r="AR328" s="16" t="n"/>
      <c r="AS328" s="138" t="n"/>
      <c r="AT328" s="16" t="n"/>
      <c r="AU328" s="138" t="n"/>
      <c r="AV328" s="16" t="n"/>
      <c r="AW328" s="138" t="n"/>
      <c r="AX328" s="16" t="n"/>
      <c r="AY328" s="138" t="n"/>
      <c r="AZ328" s="16">
        <f>AF328+AH328+AJ328+AL328+AN328+AP328+AR328+AT328+AV328+AX328</f>
        <v/>
      </c>
      <c r="BA328" s="16" t="n"/>
      <c r="BB328" s="139" t="n"/>
      <c r="BC328" s="16" t="n"/>
      <c r="BD328" s="139" t="n"/>
      <c r="BE328" s="16">
        <f>(BA328+BC328)</f>
        <v/>
      </c>
    </row>
    <row r="329" ht="22.5" customFormat="1" customHeight="1" s="8">
      <c r="A329" s="9" t="n"/>
      <c r="B329" s="136" t="inlineStr">
        <is>
          <t>PCB</t>
        </is>
      </c>
      <c r="C329" s="137" t="inlineStr">
        <is>
          <t>ADX6000S</t>
        </is>
      </c>
      <c r="D329" s="65" t="inlineStr">
        <is>
          <t>LCD B/D</t>
        </is>
      </c>
      <c r="E329" s="13" t="n"/>
      <c r="F329" s="100" t="n"/>
      <c r="G329" s="9" t="n"/>
      <c r="H329" s="9" t="inlineStr">
        <is>
          <t>HLP</t>
        </is>
      </c>
      <c r="I329" s="14" t="n"/>
      <c r="J329" s="14" t="n"/>
      <c r="K329" s="12" t="n">
        <v>205</v>
      </c>
      <c r="L329" s="9" t="n"/>
      <c r="M329" s="9" t="n"/>
      <c r="N329" s="9" t="n"/>
      <c r="O329" s="40">
        <f>K329+V329-AE329-AZ329</f>
        <v/>
      </c>
      <c r="P329" s="12" t="n"/>
      <c r="Q329" s="138" t="n"/>
      <c r="R329" s="16" t="n"/>
      <c r="S329" s="139" t="n"/>
      <c r="T329" s="16" t="n"/>
      <c r="U329" s="139" t="n"/>
      <c r="V329" s="16">
        <f>P329+R329+T329</f>
        <v/>
      </c>
      <c r="W329" s="16" t="n"/>
      <c r="X329" s="139" t="n"/>
      <c r="Y329" s="16" t="n"/>
      <c r="Z329" s="139" t="n"/>
      <c r="AA329" s="16" t="n"/>
      <c r="AB329" s="139" t="n"/>
      <c r="AC329" s="16" t="n"/>
      <c r="AD329" s="139" t="n"/>
      <c r="AE329" s="16">
        <f>(W329+Y329+AA329+AC329)</f>
        <v/>
      </c>
      <c r="AF329" s="140" t="n"/>
      <c r="AG329" s="138" t="n"/>
      <c r="AH329" s="16" t="n"/>
      <c r="AI329" s="138" t="n"/>
      <c r="AJ329" s="16" t="n"/>
      <c r="AK329" s="138" t="n"/>
      <c r="AL329" s="16" t="n"/>
      <c r="AM329" s="138" t="n"/>
      <c r="AN329" s="16" t="n"/>
      <c r="AO329" s="138" t="n"/>
      <c r="AP329" s="16" t="n"/>
      <c r="AQ329" s="138" t="n"/>
      <c r="AR329" s="16" t="n"/>
      <c r="AS329" s="138" t="n"/>
      <c r="AT329" s="16" t="n"/>
      <c r="AU329" s="138" t="n"/>
      <c r="AV329" s="16" t="n"/>
      <c r="AW329" s="138" t="n"/>
      <c r="AX329" s="16" t="n"/>
      <c r="AY329" s="138" t="n"/>
      <c r="AZ329" s="16">
        <f>AF329+AH329+AJ329+AL329+AN329+AP329+AR329+AT329+AV329+AX329</f>
        <v/>
      </c>
      <c r="BA329" s="16" t="n"/>
      <c r="BB329" s="139" t="n"/>
      <c r="BC329" s="16" t="n"/>
      <c r="BD329" s="139" t="n"/>
      <c r="BE329" s="16">
        <f>(BA329+BC329)</f>
        <v/>
      </c>
    </row>
    <row r="330" ht="22.5" customFormat="1" customHeight="1" s="8">
      <c r="A330" s="9" t="n"/>
      <c r="B330" s="136" t="inlineStr">
        <is>
          <t>PCB</t>
        </is>
      </c>
      <c r="C330" s="137" t="inlineStr">
        <is>
          <t>ADX6000S</t>
        </is>
      </c>
      <c r="D330" s="88" t="inlineStr">
        <is>
          <t>ETC CARRIER BD</t>
        </is>
      </c>
      <c r="E330" s="13" t="inlineStr">
        <is>
          <t>IEC-1000</t>
        </is>
      </c>
      <c r="F330" s="100" t="n"/>
      <c r="G330" s="9" t="n"/>
      <c r="H330" s="9" t="inlineStr">
        <is>
          <t>HLP</t>
        </is>
      </c>
      <c r="I330" s="14" t="n"/>
      <c r="J330" s="14" t="n"/>
      <c r="K330" s="12" t="n">
        <v>90</v>
      </c>
      <c r="L330" s="9" t="n"/>
      <c r="M330" s="9" t="n"/>
      <c r="N330" s="9" t="n"/>
      <c r="O330" s="40">
        <f>K330+V330-AE330-AZ330</f>
        <v/>
      </c>
      <c r="P330" s="12" t="n"/>
      <c r="Q330" s="138" t="n"/>
      <c r="R330" s="16" t="n"/>
      <c r="S330" s="139" t="n"/>
      <c r="T330" s="16" t="n"/>
      <c r="U330" s="139" t="n"/>
      <c r="V330" s="16">
        <f>P330+R330+T330</f>
        <v/>
      </c>
      <c r="W330" s="16" t="n"/>
      <c r="X330" s="139" t="n"/>
      <c r="Y330" s="16" t="n"/>
      <c r="Z330" s="139" t="n"/>
      <c r="AA330" s="16" t="n"/>
      <c r="AB330" s="139" t="n"/>
      <c r="AC330" s="16" t="n"/>
      <c r="AD330" s="139" t="n"/>
      <c r="AE330" s="16">
        <f>(W330+Y330+AA330+AC330)</f>
        <v/>
      </c>
      <c r="AF330" s="140" t="n"/>
      <c r="AG330" s="138" t="n"/>
      <c r="AH330" s="16" t="n"/>
      <c r="AI330" s="138" t="n"/>
      <c r="AJ330" s="16" t="n"/>
      <c r="AK330" s="138" t="n"/>
      <c r="AL330" s="16" t="n"/>
      <c r="AM330" s="138" t="n"/>
      <c r="AN330" s="16" t="n"/>
      <c r="AO330" s="138" t="n"/>
      <c r="AP330" s="16" t="n"/>
      <c r="AQ330" s="138" t="n"/>
      <c r="AR330" s="16" t="n"/>
      <c r="AS330" s="138" t="n"/>
      <c r="AT330" s="16" t="n"/>
      <c r="AU330" s="138" t="n"/>
      <c r="AV330" s="16" t="n"/>
      <c r="AW330" s="138" t="n"/>
      <c r="AX330" s="16" t="n"/>
      <c r="AY330" s="138" t="n"/>
      <c r="AZ330" s="16">
        <f>AF330+AH330+AJ330+AL330+AN330+AP330+AR330+AT330+AV330+AX330</f>
        <v/>
      </c>
      <c r="BA330" s="16" t="n"/>
      <c r="BB330" s="139" t="n"/>
      <c r="BC330" s="16" t="n"/>
      <c r="BD330" s="139" t="n"/>
      <c r="BE330" s="16">
        <f>(BA330+BC330)</f>
        <v/>
      </c>
    </row>
    <row r="331" ht="22.5" customFormat="1" customHeight="1" s="8">
      <c r="A331" s="9" t="n"/>
      <c r="B331" s="136" t="inlineStr">
        <is>
          <t>PCB</t>
        </is>
      </c>
      <c r="C331" s="137" t="inlineStr">
        <is>
          <t>ADX6000S</t>
        </is>
      </c>
      <c r="D331" s="84" t="inlineStr">
        <is>
          <t>ETC FRONT BD</t>
        </is>
      </c>
      <c r="E331" s="13" t="inlineStr">
        <is>
          <t>리모콘 포트 수정 신형 얇은 것</t>
        </is>
      </c>
      <c r="F331" s="100" t="n"/>
      <c r="G331" s="9" t="n"/>
      <c r="H331" s="9" t="inlineStr">
        <is>
          <t>HLP</t>
        </is>
      </c>
      <c r="I331" s="14" t="n"/>
      <c r="J331" s="14" t="n"/>
      <c r="K331" s="12" t="n">
        <v>109</v>
      </c>
      <c r="L331" s="9" t="n"/>
      <c r="M331" s="9" t="n"/>
      <c r="N331" s="9" t="n"/>
      <c r="O331" s="40">
        <f>K331+V331-AE331-AZ331</f>
        <v/>
      </c>
      <c r="P331" s="12" t="n"/>
      <c r="Q331" s="138" t="n"/>
      <c r="R331" s="16" t="n"/>
      <c r="S331" s="139" t="n"/>
      <c r="T331" s="16" t="n"/>
      <c r="U331" s="139" t="n"/>
      <c r="V331" s="16">
        <f>P331+R331+T331</f>
        <v/>
      </c>
      <c r="W331" s="16" t="n"/>
      <c r="X331" s="139" t="n"/>
      <c r="Y331" s="16" t="n"/>
      <c r="Z331" s="139" t="n"/>
      <c r="AA331" s="16" t="n"/>
      <c r="AB331" s="139" t="n"/>
      <c r="AC331" s="16" t="n"/>
      <c r="AD331" s="139" t="n"/>
      <c r="AE331" s="16">
        <f>(W331+Y331+AA331+AC331)</f>
        <v/>
      </c>
      <c r="AF331" s="140" t="n"/>
      <c r="AG331" s="138" t="n"/>
      <c r="AH331" s="16" t="n"/>
      <c r="AI331" s="138" t="n"/>
      <c r="AJ331" s="16" t="n"/>
      <c r="AK331" s="138" t="n"/>
      <c r="AL331" s="16" t="n"/>
      <c r="AM331" s="138" t="n"/>
      <c r="AN331" s="16" t="n"/>
      <c r="AO331" s="138" t="n"/>
      <c r="AP331" s="16" t="n"/>
      <c r="AQ331" s="138" t="n"/>
      <c r="AR331" s="16" t="n"/>
      <c r="AS331" s="138" t="n"/>
      <c r="AT331" s="16" t="n"/>
      <c r="AU331" s="138" t="n"/>
      <c r="AV331" s="16" t="n"/>
      <c r="AW331" s="138" t="n"/>
      <c r="AX331" s="16" t="n"/>
      <c r="AY331" s="138" t="n"/>
      <c r="AZ331" s="16">
        <f>AF331+AH331+AJ331+AL331+AN331+AP331+AR331+AT331+AV331+AX331</f>
        <v/>
      </c>
      <c r="BA331" s="16" t="n"/>
      <c r="BB331" s="139" t="n"/>
      <c r="BC331" s="16" t="n"/>
      <c r="BD331" s="139" t="n"/>
      <c r="BE331" s="16">
        <f>(BA331+BC331)</f>
        <v/>
      </c>
    </row>
    <row r="332" ht="22.5" customFormat="1" customHeight="1" s="8">
      <c r="A332" s="9" t="n"/>
      <c r="B332" s="136" t="inlineStr">
        <is>
          <t>PCB</t>
        </is>
      </c>
      <c r="C332" s="137" t="inlineStr">
        <is>
          <t>ADX6000</t>
        </is>
      </c>
      <c r="D332" s="84" t="inlineStr">
        <is>
          <t>Power Switch B/D</t>
        </is>
      </c>
      <c r="E332" s="13" t="n"/>
      <c r="F332" s="100" t="n"/>
      <c r="G332" s="9" t="n"/>
      <c r="H332" s="9" t="inlineStr">
        <is>
          <t>HLP</t>
        </is>
      </c>
      <c r="I332" s="14" t="n"/>
      <c r="J332" s="14" t="n"/>
      <c r="K332" s="12" t="n">
        <v>106</v>
      </c>
      <c r="L332" s="9" t="n"/>
      <c r="M332" s="9" t="n"/>
      <c r="N332" s="9" t="n"/>
      <c r="O332" s="40">
        <f>K332+V332-AE332-AZ332</f>
        <v/>
      </c>
      <c r="P332" s="12" t="n"/>
      <c r="Q332" s="138" t="n"/>
      <c r="R332" s="16" t="n"/>
      <c r="S332" s="139" t="n"/>
      <c r="T332" s="16" t="n"/>
      <c r="U332" s="139" t="n"/>
      <c r="V332" s="16">
        <f>P332+R332+T332</f>
        <v/>
      </c>
      <c r="W332" s="16" t="n"/>
      <c r="X332" s="139" t="n"/>
      <c r="Y332" s="16" t="n"/>
      <c r="Z332" s="139" t="n"/>
      <c r="AA332" s="16" t="n"/>
      <c r="AB332" s="139" t="n"/>
      <c r="AC332" s="16" t="n"/>
      <c r="AD332" s="139" t="n"/>
      <c r="AE332" s="16">
        <f>(W332+Y332+AA332+AC332)</f>
        <v/>
      </c>
      <c r="AF332" s="140" t="n"/>
      <c r="AG332" s="138" t="n"/>
      <c r="AH332" s="16" t="n"/>
      <c r="AI332" s="138" t="n"/>
      <c r="AJ332" s="16" t="n"/>
      <c r="AK332" s="138" t="n"/>
      <c r="AL332" s="16" t="n"/>
      <c r="AM332" s="138" t="n"/>
      <c r="AN332" s="16" t="n"/>
      <c r="AO332" s="138" t="n"/>
      <c r="AP332" s="16" t="n"/>
      <c r="AQ332" s="138" t="n"/>
      <c r="AR332" s="16" t="n"/>
      <c r="AS332" s="138" t="n"/>
      <c r="AT332" s="16" t="n"/>
      <c r="AU332" s="138" t="n"/>
      <c r="AV332" s="16" t="n"/>
      <c r="AW332" s="138" t="n"/>
      <c r="AX332" s="16" t="n"/>
      <c r="AY332" s="138" t="n"/>
      <c r="AZ332" s="16">
        <f>AF332+AH332+AJ332+AL332+AN332+AP332+AR332+AT332+AV332+AX332</f>
        <v/>
      </c>
      <c r="BA332" s="16" t="n"/>
      <c r="BB332" s="139" t="n"/>
      <c r="BC332" s="16" t="n"/>
      <c r="BD332" s="139" t="n"/>
      <c r="BE332" s="16">
        <f>(BA332+BC332)</f>
        <v/>
      </c>
    </row>
    <row r="333" ht="22.5" customFormat="1" customHeight="1" s="8">
      <c r="A333" s="9" t="n"/>
      <c r="B333" s="136" t="inlineStr">
        <is>
          <t>PCB</t>
        </is>
      </c>
      <c r="C333" s="137" t="inlineStr">
        <is>
          <t>ADX6000</t>
        </is>
      </c>
      <c r="D333" s="84" t="inlineStr">
        <is>
          <t>EX B/D</t>
        </is>
      </c>
      <c r="E333" s="13" t="n"/>
      <c r="F333" s="100" t="n"/>
      <c r="G333" s="9" t="n"/>
      <c r="H333" s="9" t="inlineStr">
        <is>
          <t>HLP</t>
        </is>
      </c>
      <c r="I333" s="14" t="n"/>
      <c r="J333" s="14" t="n"/>
      <c r="K333" s="12" t="n">
        <v>108</v>
      </c>
      <c r="L333" s="9" t="n"/>
      <c r="M333" s="9" t="n"/>
      <c r="N333" s="9" t="n"/>
      <c r="O333" s="40">
        <f>K333+V333-AE333-AZ333</f>
        <v/>
      </c>
      <c r="P333" s="12" t="n"/>
      <c r="Q333" s="138" t="n"/>
      <c r="R333" s="16" t="n"/>
      <c r="S333" s="139" t="n"/>
      <c r="T333" s="16" t="n"/>
      <c r="U333" s="139" t="n"/>
      <c r="V333" s="16">
        <f>P333+R333+T333</f>
        <v/>
      </c>
      <c r="W333" s="16" t="n"/>
      <c r="X333" s="139" t="n"/>
      <c r="Y333" s="16" t="n"/>
      <c r="Z333" s="139" t="n"/>
      <c r="AA333" s="16" t="n"/>
      <c r="AB333" s="139" t="n"/>
      <c r="AC333" s="16" t="n"/>
      <c r="AD333" s="139" t="n"/>
      <c r="AE333" s="16">
        <f>(W333+Y333+AA333+AC333)</f>
        <v/>
      </c>
      <c r="AF333" s="140" t="n"/>
      <c r="AG333" s="138" t="n"/>
      <c r="AH333" s="16" t="n"/>
      <c r="AI333" s="138" t="n"/>
      <c r="AJ333" s="16" t="n"/>
      <c r="AK333" s="138" t="n"/>
      <c r="AL333" s="16" t="n"/>
      <c r="AM333" s="138" t="n"/>
      <c r="AN333" s="16" t="n"/>
      <c r="AO333" s="138" t="n"/>
      <c r="AP333" s="16" t="n"/>
      <c r="AQ333" s="138" t="n"/>
      <c r="AR333" s="16" t="n"/>
      <c r="AS333" s="138" t="n"/>
      <c r="AT333" s="16" t="n"/>
      <c r="AU333" s="138" t="n"/>
      <c r="AV333" s="16" t="n"/>
      <c r="AW333" s="138" t="n"/>
      <c r="AX333" s="16" t="n"/>
      <c r="AY333" s="138" t="n"/>
      <c r="AZ333" s="16">
        <f>AF333+AH333+AJ333+AL333+AN333+AP333+AR333+AT333+AV333+AX333</f>
        <v/>
      </c>
      <c r="BA333" s="16" t="n"/>
      <c r="BB333" s="139" t="n"/>
      <c r="BC333" s="16" t="n"/>
      <c r="BD333" s="139" t="n"/>
      <c r="BE333" s="16">
        <f>(BA333+BC333)</f>
        <v/>
      </c>
    </row>
    <row r="334" ht="22.5" customFormat="1" customHeight="1" s="8">
      <c r="A334" s="9" t="n"/>
      <c r="B334" s="136" t="inlineStr">
        <is>
          <t>PCB</t>
        </is>
      </c>
      <c r="C334" s="137" t="inlineStr">
        <is>
          <t>ADX6000</t>
        </is>
      </c>
      <c r="D334" s="84" t="inlineStr">
        <is>
          <t>관전류 B/D</t>
        </is>
      </c>
      <c r="E334" s="13" t="n"/>
      <c r="F334" s="100" t="n"/>
      <c r="G334" s="9" t="n"/>
      <c r="H334" s="9" t="inlineStr">
        <is>
          <t>HLP</t>
        </is>
      </c>
      <c r="I334" s="14" t="n"/>
      <c r="J334" s="14" t="n"/>
      <c r="K334" s="12" t="n">
        <v>280</v>
      </c>
      <c r="L334" s="9" t="n"/>
      <c r="M334" s="9" t="n"/>
      <c r="N334" s="9" t="n"/>
      <c r="O334" s="40">
        <f>K334+V334-AE334-AZ334</f>
        <v/>
      </c>
      <c r="P334" s="12" t="n"/>
      <c r="Q334" s="138" t="n"/>
      <c r="R334" s="16" t="n"/>
      <c r="S334" s="139" t="n"/>
      <c r="T334" s="16" t="n"/>
      <c r="U334" s="139" t="n"/>
      <c r="V334" s="16">
        <f>P334+R334+T334</f>
        <v/>
      </c>
      <c r="W334" s="16" t="n"/>
      <c r="X334" s="139" t="n"/>
      <c r="Y334" s="16" t="n"/>
      <c r="Z334" s="139" t="n"/>
      <c r="AA334" s="16" t="n"/>
      <c r="AB334" s="139" t="n"/>
      <c r="AC334" s="16" t="n"/>
      <c r="AD334" s="139" t="n"/>
      <c r="AE334" s="16">
        <f>(W334+Y334+AA334+AC334)</f>
        <v/>
      </c>
      <c r="AF334" s="140" t="n"/>
      <c r="AG334" s="138" t="n"/>
      <c r="AH334" s="16" t="n"/>
      <c r="AI334" s="138" t="n"/>
      <c r="AJ334" s="16" t="n"/>
      <c r="AK334" s="138" t="n"/>
      <c r="AL334" s="16" t="n"/>
      <c r="AM334" s="138" t="n"/>
      <c r="AN334" s="16" t="n"/>
      <c r="AO334" s="138" t="n"/>
      <c r="AP334" s="16" t="n"/>
      <c r="AQ334" s="138" t="n"/>
      <c r="AR334" s="16" t="n"/>
      <c r="AS334" s="138" t="n"/>
      <c r="AT334" s="16" t="n"/>
      <c r="AU334" s="138" t="n"/>
      <c r="AV334" s="16" t="n"/>
      <c r="AW334" s="138" t="n"/>
      <c r="AX334" s="16" t="n"/>
      <c r="AY334" s="138" t="n"/>
      <c r="AZ334" s="16">
        <f>AF334+AH334+AJ334+AL334+AN334+AP334+AR334+AT334+AV334+AX334</f>
        <v/>
      </c>
      <c r="BA334" s="16" t="n"/>
      <c r="BB334" s="139" t="n"/>
      <c r="BC334" s="16" t="n"/>
      <c r="BD334" s="139" t="n"/>
      <c r="BE334" s="16">
        <f>(BA334+BC334)</f>
        <v/>
      </c>
    </row>
    <row r="335" ht="22.5" customFormat="1" customHeight="1" s="8">
      <c r="A335" s="9" t="n"/>
      <c r="B335" s="136" t="inlineStr">
        <is>
          <t>PCB</t>
        </is>
      </c>
      <c r="C335" s="137" t="inlineStr">
        <is>
          <t>ADX6000</t>
        </is>
      </c>
      <c r="D335" s="84" t="inlineStr">
        <is>
          <t>Battery Bridge B/D</t>
        </is>
      </c>
      <c r="E335" s="13" t="n"/>
      <c r="F335" s="100" t="n"/>
      <c r="G335" s="9" t="n"/>
      <c r="H335" s="9" t="inlineStr">
        <is>
          <t>HLP</t>
        </is>
      </c>
      <c r="I335" s="14" t="n"/>
      <c r="J335" s="14" t="n"/>
      <c r="K335" s="12" t="n">
        <v>192</v>
      </c>
      <c r="L335" s="9" t="n"/>
      <c r="M335" s="9" t="n"/>
      <c r="N335" s="9" t="n"/>
      <c r="O335" s="40">
        <f>K335+V335-AE335-AZ335</f>
        <v/>
      </c>
      <c r="P335" s="12" t="n"/>
      <c r="Q335" s="138" t="n"/>
      <c r="R335" s="16" t="n"/>
      <c r="S335" s="139" t="n"/>
      <c r="T335" s="16" t="n"/>
      <c r="U335" s="139" t="n"/>
      <c r="V335" s="16">
        <f>P335+R335+T335</f>
        <v/>
      </c>
      <c r="W335" s="16" t="n"/>
      <c r="X335" s="139" t="n"/>
      <c r="Y335" s="16" t="n"/>
      <c r="Z335" s="139" t="n"/>
      <c r="AA335" s="16" t="n"/>
      <c r="AB335" s="139" t="n"/>
      <c r="AC335" s="16" t="n"/>
      <c r="AD335" s="139" t="n"/>
      <c r="AE335" s="16">
        <f>(W335+Y335+AA335+AC335)</f>
        <v/>
      </c>
      <c r="AF335" s="140" t="n"/>
      <c r="AG335" s="138" t="n"/>
      <c r="AH335" s="16" t="n"/>
      <c r="AI335" s="138" t="n"/>
      <c r="AJ335" s="16" t="n"/>
      <c r="AK335" s="138" t="n"/>
      <c r="AL335" s="16" t="n"/>
      <c r="AM335" s="138" t="n"/>
      <c r="AN335" s="16" t="n"/>
      <c r="AO335" s="138" t="n"/>
      <c r="AP335" s="16" t="n"/>
      <c r="AQ335" s="138" t="n"/>
      <c r="AR335" s="16" t="n"/>
      <c r="AS335" s="138" t="n"/>
      <c r="AT335" s="16" t="n"/>
      <c r="AU335" s="138" t="n"/>
      <c r="AV335" s="16" t="n"/>
      <c r="AW335" s="138" t="n"/>
      <c r="AX335" s="16" t="n"/>
      <c r="AY335" s="138" t="n"/>
      <c r="AZ335" s="16">
        <f>AF335+AH335+AJ335+AL335+AN335+AP335+AR335+AT335+AV335+AX335</f>
        <v/>
      </c>
      <c r="BA335" s="16" t="n"/>
      <c r="BB335" s="139" t="n"/>
      <c r="BC335" s="16" t="n"/>
      <c r="BD335" s="139" t="n"/>
      <c r="BE335" s="16">
        <f>(BA335+BC335)</f>
        <v/>
      </c>
    </row>
    <row r="336" ht="22.5" customFormat="1" customHeight="1" s="8">
      <c r="A336" s="9" t="n"/>
      <c r="B336" s="136" t="inlineStr">
        <is>
          <t>PCB</t>
        </is>
      </c>
      <c r="C336" s="137" t="inlineStr">
        <is>
          <t>ADX6000</t>
        </is>
      </c>
      <c r="D336" s="84" t="inlineStr">
        <is>
          <t>Battery Connect B/D</t>
        </is>
      </c>
      <c r="E336" s="13" t="n"/>
      <c r="F336" s="100" t="n"/>
      <c r="G336" s="9" t="n"/>
      <c r="H336" s="9" t="inlineStr">
        <is>
          <t>HLP</t>
        </is>
      </c>
      <c r="I336" s="14" t="n"/>
      <c r="J336" s="14" t="n"/>
      <c r="K336" s="12" t="n">
        <v>194</v>
      </c>
      <c r="L336" s="9" t="n"/>
      <c r="M336" s="9" t="n"/>
      <c r="N336" s="9" t="n"/>
      <c r="O336" s="40">
        <f>K336+V336-AE336-AZ336</f>
        <v/>
      </c>
      <c r="P336" s="12" t="n"/>
      <c r="Q336" s="138" t="n"/>
      <c r="R336" s="16" t="n"/>
      <c r="S336" s="139" t="n"/>
      <c r="T336" s="16" t="n"/>
      <c r="U336" s="139" t="n"/>
      <c r="V336" s="16">
        <f>P336+R336+T336</f>
        <v/>
      </c>
      <c r="W336" s="16" t="n"/>
      <c r="X336" s="139" t="n"/>
      <c r="Y336" s="16" t="n"/>
      <c r="Z336" s="139" t="n"/>
      <c r="AA336" s="16" t="n"/>
      <c r="AB336" s="139" t="n"/>
      <c r="AC336" s="16" t="n"/>
      <c r="AD336" s="139" t="n"/>
      <c r="AE336" s="16">
        <f>(W336+Y336+AA336+AC336)</f>
        <v/>
      </c>
      <c r="AF336" s="140" t="n"/>
      <c r="AG336" s="138" t="n"/>
      <c r="AH336" s="16" t="n"/>
      <c r="AI336" s="138" t="n"/>
      <c r="AJ336" s="16" t="n"/>
      <c r="AK336" s="138" t="n"/>
      <c r="AL336" s="16" t="n"/>
      <c r="AM336" s="138" t="n"/>
      <c r="AN336" s="16" t="n"/>
      <c r="AO336" s="138" t="n"/>
      <c r="AP336" s="16" t="n"/>
      <c r="AQ336" s="138" t="n"/>
      <c r="AR336" s="16" t="n"/>
      <c r="AS336" s="138" t="n"/>
      <c r="AT336" s="16" t="n"/>
      <c r="AU336" s="138" t="n"/>
      <c r="AV336" s="16" t="n"/>
      <c r="AW336" s="138" t="n"/>
      <c r="AX336" s="16" t="n"/>
      <c r="AY336" s="138" t="n"/>
      <c r="AZ336" s="16">
        <f>AF336+AH336+AJ336+AL336+AN336+AP336+AR336+AT336+AV336+AX336</f>
        <v/>
      </c>
      <c r="BA336" s="16" t="n"/>
      <c r="BB336" s="139" t="n"/>
      <c r="BC336" s="16" t="n"/>
      <c r="BD336" s="139" t="n"/>
      <c r="BE336" s="16">
        <f>(BA336+BC336)</f>
        <v/>
      </c>
    </row>
    <row r="337" ht="22.5" customFormat="1" customHeight="1" s="8">
      <c r="A337" s="9" t="n"/>
      <c r="B337" s="136" t="inlineStr">
        <is>
          <t>PCB</t>
        </is>
      </c>
      <c r="C337" s="137" t="inlineStr">
        <is>
          <t>ADX6000</t>
        </is>
      </c>
      <c r="D337" s="84" t="inlineStr">
        <is>
          <t>Cradle B/D</t>
        </is>
      </c>
      <c r="E337" s="13" t="n"/>
      <c r="F337" s="100" t="n"/>
      <c r="G337" s="9" t="n"/>
      <c r="H337" s="9" t="inlineStr">
        <is>
          <t>HLP</t>
        </is>
      </c>
      <c r="I337" s="14" t="n"/>
      <c r="J337" s="14" t="n"/>
      <c r="K337" s="12" t="n">
        <v>0</v>
      </c>
      <c r="L337" s="9" t="n"/>
      <c r="M337" s="9" t="n"/>
      <c r="N337" s="9" t="n"/>
      <c r="O337" s="40">
        <f>K337+V337-AE337-AZ337</f>
        <v/>
      </c>
      <c r="P337" s="12" t="n"/>
      <c r="Q337" s="138" t="n"/>
      <c r="R337" s="16" t="n"/>
      <c r="S337" s="139" t="n"/>
      <c r="T337" s="16" t="n"/>
      <c r="U337" s="139" t="n"/>
      <c r="V337" s="16">
        <f>P337+R337+T337</f>
        <v/>
      </c>
      <c r="W337" s="16" t="n"/>
      <c r="X337" s="139" t="n"/>
      <c r="Y337" s="16" t="n"/>
      <c r="Z337" s="139" t="n"/>
      <c r="AA337" s="16" t="n"/>
      <c r="AB337" s="139" t="n"/>
      <c r="AC337" s="16" t="n"/>
      <c r="AD337" s="139" t="n"/>
      <c r="AE337" s="16">
        <f>(W337+Y337+AA337+AC337)</f>
        <v/>
      </c>
      <c r="AF337" s="140" t="n"/>
      <c r="AG337" s="138" t="n"/>
      <c r="AH337" s="16" t="n"/>
      <c r="AI337" s="138" t="n"/>
      <c r="AJ337" s="16" t="n"/>
      <c r="AK337" s="138" t="n"/>
      <c r="AL337" s="16" t="n"/>
      <c r="AM337" s="138" t="n"/>
      <c r="AN337" s="16" t="n"/>
      <c r="AO337" s="138" t="n"/>
      <c r="AP337" s="16" t="n"/>
      <c r="AQ337" s="138" t="n"/>
      <c r="AR337" s="16" t="n"/>
      <c r="AS337" s="138" t="n"/>
      <c r="AT337" s="16" t="n"/>
      <c r="AU337" s="138" t="n"/>
      <c r="AV337" s="16" t="n"/>
      <c r="AW337" s="138" t="n"/>
      <c r="AX337" s="16" t="n"/>
      <c r="AY337" s="138" t="n"/>
      <c r="AZ337" s="16">
        <f>AF337+AH337+AJ337+AL337+AN337+AP337+AR337+AT337+AV337+AX337</f>
        <v/>
      </c>
      <c r="BA337" s="16" t="n"/>
      <c r="BB337" s="139" t="n"/>
      <c r="BC337" s="16" t="n"/>
      <c r="BD337" s="139" t="n"/>
      <c r="BE337" s="16">
        <f>(BA337+BC337)</f>
        <v/>
      </c>
    </row>
    <row r="338" ht="22.5" customFormat="1" customHeight="1" s="8">
      <c r="A338" s="9" t="n"/>
      <c r="B338" s="136" t="inlineStr">
        <is>
          <t>CABLE</t>
        </is>
      </c>
      <c r="C338" s="137" t="inlineStr">
        <is>
          <t>ADX4000W, ADX6000</t>
        </is>
      </c>
      <c r="D338" s="145" t="inlineStr">
        <is>
          <t>스피커 2핀</t>
        </is>
      </c>
      <c r="E338" s="13" t="inlineStr">
        <is>
          <t>12505HS-02+SORDER 200mm</t>
        </is>
      </c>
      <c r="F338" s="100" t="n"/>
      <c r="G338" s="9" t="n"/>
      <c r="H338" s="9" t="inlineStr">
        <is>
          <t>HLP</t>
        </is>
      </c>
      <c r="I338" s="14" t="n"/>
      <c r="J338" s="14" t="n"/>
      <c r="K338" s="12" t="n">
        <v>157</v>
      </c>
      <c r="L338" s="9" t="n"/>
      <c r="M338" s="9" t="n"/>
      <c r="N338" s="9" t="n"/>
      <c r="O338" s="40">
        <f>K338+V338-AE338-AZ338</f>
        <v/>
      </c>
      <c r="P338" s="12" t="n"/>
      <c r="Q338" s="138" t="n"/>
      <c r="R338" s="16" t="n"/>
      <c r="S338" s="139" t="n"/>
      <c r="T338" s="16" t="n"/>
      <c r="U338" s="139" t="n"/>
      <c r="V338" s="16">
        <f>P338+R338+T338</f>
        <v/>
      </c>
      <c r="W338" s="16" t="n"/>
      <c r="X338" s="139" t="n"/>
      <c r="Y338" s="16" t="n"/>
      <c r="Z338" s="139" t="n"/>
      <c r="AA338" s="16" t="n"/>
      <c r="AB338" s="139" t="n"/>
      <c r="AC338" s="16" t="n"/>
      <c r="AD338" s="139" t="n"/>
      <c r="AE338" s="16">
        <f>(W338+Y338+AA338+AC338)</f>
        <v/>
      </c>
      <c r="AF338" s="140" t="n"/>
      <c r="AG338" s="138" t="n"/>
      <c r="AH338" s="16" t="n"/>
      <c r="AI338" s="138" t="n"/>
      <c r="AJ338" s="16" t="n"/>
      <c r="AK338" s="138" t="n"/>
      <c r="AL338" s="16" t="n"/>
      <c r="AM338" s="138" t="n"/>
      <c r="AN338" s="16" t="n"/>
      <c r="AO338" s="138" t="n"/>
      <c r="AP338" s="16" t="n"/>
      <c r="AQ338" s="138" t="n"/>
      <c r="AR338" s="16" t="n"/>
      <c r="AS338" s="138" t="n"/>
      <c r="AT338" s="16" t="n"/>
      <c r="AU338" s="138" t="n"/>
      <c r="AV338" s="16" t="n"/>
      <c r="AW338" s="138" t="n"/>
      <c r="AX338" s="16" t="n"/>
      <c r="AY338" s="138" t="n"/>
      <c r="AZ338" s="16">
        <f>AF338+AH338+AJ338+AL338+AN338+AP338+AR338+AT338+AV338+AX338</f>
        <v/>
      </c>
      <c r="BA338" s="16" t="n"/>
      <c r="BB338" s="139" t="n"/>
      <c r="BC338" s="16" t="n"/>
      <c r="BD338" s="139" t="n"/>
      <c r="BE338" s="16">
        <f>(BA338+BC338)</f>
        <v/>
      </c>
    </row>
    <row r="339" ht="22.5" customFormat="1" customHeight="1" s="8">
      <c r="A339" s="9" t="n"/>
      <c r="B339" s="136" t="inlineStr">
        <is>
          <t>CABLE</t>
        </is>
      </c>
      <c r="C339" s="137" t="inlineStr">
        <is>
          <t>ADX6000S</t>
        </is>
      </c>
      <c r="D339" s="60" t="inlineStr">
        <is>
          <t>하네스 1번</t>
        </is>
      </c>
      <c r="E339" s="13" t="inlineStr">
        <is>
          <t>12505HS-06, 12505HS-04, 12505HS-03, 12505HS-02 CTR, CURRENT, FRONT, PC BD연결 / 180mm, 140mm, 200mm</t>
        </is>
      </c>
      <c r="F339" s="100" t="n"/>
      <c r="G339" s="9" t="n"/>
      <c r="H339" s="9" t="inlineStr">
        <is>
          <t>HLP</t>
        </is>
      </c>
      <c r="I339" s="14" t="n"/>
      <c r="J339" s="14" t="n"/>
      <c r="K339" s="12" t="n">
        <v>123</v>
      </c>
      <c r="L339" s="9" t="n"/>
      <c r="M339" s="9" t="n"/>
      <c r="N339" s="9" t="n"/>
      <c r="O339" s="40">
        <f>K339+V339-AE339-AZ339</f>
        <v/>
      </c>
      <c r="P339" s="12" t="n"/>
      <c r="Q339" s="138" t="n"/>
      <c r="R339" s="16" t="n"/>
      <c r="S339" s="139" t="n"/>
      <c r="T339" s="16" t="n"/>
      <c r="U339" s="139" t="n"/>
      <c r="V339" s="16">
        <f>P339+R339+T339</f>
        <v/>
      </c>
      <c r="W339" s="16" t="n"/>
      <c r="X339" s="139" t="n"/>
      <c r="Y339" s="16" t="n"/>
      <c r="Z339" s="139" t="n"/>
      <c r="AA339" s="16" t="n"/>
      <c r="AB339" s="139" t="n"/>
      <c r="AC339" s="16" t="n"/>
      <c r="AD339" s="139" t="n"/>
      <c r="AE339" s="16">
        <f>(W339+Y339+AA339+AC339)</f>
        <v/>
      </c>
      <c r="AF339" s="140" t="n"/>
      <c r="AG339" s="138" t="n"/>
      <c r="AH339" s="16" t="n"/>
      <c r="AI339" s="138" t="n"/>
      <c r="AJ339" s="16" t="n"/>
      <c r="AK339" s="138" t="n"/>
      <c r="AL339" s="16" t="n"/>
      <c r="AM339" s="138" t="n"/>
      <c r="AN339" s="16" t="n"/>
      <c r="AO339" s="138" t="n"/>
      <c r="AP339" s="16" t="n"/>
      <c r="AQ339" s="138" t="n"/>
      <c r="AR339" s="16" t="n"/>
      <c r="AS339" s="138" t="n"/>
      <c r="AT339" s="16" t="n"/>
      <c r="AU339" s="138" t="n"/>
      <c r="AV339" s="16" t="n"/>
      <c r="AW339" s="138" t="n"/>
      <c r="AX339" s="16" t="n"/>
      <c r="AY339" s="138" t="n"/>
      <c r="AZ339" s="16">
        <f>AF339+AH339+AJ339+AL339+AN339+AP339+AR339+AT339+AV339+AX339</f>
        <v/>
      </c>
      <c r="BA339" s="16" t="n"/>
      <c r="BB339" s="139" t="n"/>
      <c r="BC339" s="16" t="n"/>
      <c r="BD339" s="139" t="n"/>
      <c r="BE339" s="16">
        <f>(BA339+BC339)</f>
        <v/>
      </c>
    </row>
    <row r="340" ht="22.5" customFormat="1" customHeight="1" s="8">
      <c r="A340" s="9" t="n"/>
      <c r="B340" s="136" t="inlineStr">
        <is>
          <t>CABLE</t>
        </is>
      </c>
      <c r="C340" s="137" t="inlineStr">
        <is>
          <t>ADX6000S</t>
        </is>
      </c>
      <c r="D340" s="84" t="inlineStr">
        <is>
          <t>하네스 2번</t>
        </is>
      </c>
      <c r="E340" s="13" t="inlineStr">
        <is>
          <t>12505HS-04, USB-105 PC, FRONT BD 연결 / 70mm</t>
        </is>
      </c>
      <c r="F340" s="100" t="n"/>
      <c r="G340" s="9" t="n"/>
      <c r="H340" s="9" t="inlineStr">
        <is>
          <t>HLP</t>
        </is>
      </c>
      <c r="I340" s="14" t="n"/>
      <c r="J340" s="14" t="n"/>
      <c r="K340" s="12" t="n">
        <v>240</v>
      </c>
      <c r="L340" s="9" t="n"/>
      <c r="M340" s="9" t="n"/>
      <c r="N340" s="9" t="n"/>
      <c r="O340" s="40">
        <f>K340+V340-AE340-AZ340</f>
        <v/>
      </c>
      <c r="P340" s="12" t="n"/>
      <c r="Q340" s="138" t="n"/>
      <c r="R340" s="16" t="n"/>
      <c r="S340" s="139" t="n"/>
      <c r="T340" s="16" t="n"/>
      <c r="U340" s="139" t="n"/>
      <c r="V340" s="16">
        <f>P340+R340+T340</f>
        <v/>
      </c>
      <c r="W340" s="16" t="n"/>
      <c r="X340" s="139" t="n"/>
      <c r="Y340" s="16" t="n"/>
      <c r="Z340" s="139" t="n"/>
      <c r="AA340" s="16" t="n"/>
      <c r="AB340" s="139" t="n"/>
      <c r="AC340" s="16" t="n"/>
      <c r="AD340" s="139" t="n"/>
      <c r="AE340" s="16">
        <f>(W340+Y340+AA340+AC340)</f>
        <v/>
      </c>
      <c r="AF340" s="140" t="n"/>
      <c r="AG340" s="138" t="n"/>
      <c r="AH340" s="16" t="n"/>
      <c r="AI340" s="138" t="n"/>
      <c r="AJ340" s="16" t="n"/>
      <c r="AK340" s="138" t="n"/>
      <c r="AL340" s="16" t="n"/>
      <c r="AM340" s="138" t="n"/>
      <c r="AN340" s="16" t="n"/>
      <c r="AO340" s="138" t="n"/>
      <c r="AP340" s="16" t="n"/>
      <c r="AQ340" s="138" t="n"/>
      <c r="AR340" s="16" t="n"/>
      <c r="AS340" s="138" t="n"/>
      <c r="AT340" s="16" t="n"/>
      <c r="AU340" s="138" t="n"/>
      <c r="AV340" s="16" t="n"/>
      <c r="AW340" s="138" t="n"/>
      <c r="AX340" s="16" t="n"/>
      <c r="AY340" s="138" t="n"/>
      <c r="AZ340" s="16">
        <f>AF340+AH340+AJ340+AL340+AN340+AP340+AR340+AT340+AV340+AX340</f>
        <v/>
      </c>
      <c r="BA340" s="16" t="n"/>
      <c r="BB340" s="139" t="n"/>
      <c r="BC340" s="16" t="n"/>
      <c r="BD340" s="139" t="n"/>
      <c r="BE340" s="16">
        <f>(BA340+BC340)</f>
        <v/>
      </c>
    </row>
    <row r="341" ht="22.5" customFormat="1" customHeight="1" s="8">
      <c r="A341" s="9" t="n"/>
      <c r="B341" s="136" t="inlineStr">
        <is>
          <t>CABLE</t>
        </is>
      </c>
      <c r="C341" s="137" t="inlineStr">
        <is>
          <t>ADX6000</t>
        </is>
      </c>
      <c r="D341" s="84" t="inlineStr">
        <is>
          <t>하네스 3번</t>
        </is>
      </c>
      <c r="E341" s="13" t="inlineStr">
        <is>
          <t>Power&amp;Exp Connector 12핀 / 160mm, 70mm</t>
        </is>
      </c>
      <c r="F341" s="100" t="n"/>
      <c r="G341" s="9" t="n"/>
      <c r="H341" s="9" t="inlineStr">
        <is>
          <t>HLP</t>
        </is>
      </c>
      <c r="I341" s="14" t="n"/>
      <c r="J341" s="14" t="n"/>
      <c r="K341" s="12" t="n">
        <v>203</v>
      </c>
      <c r="L341" s="9" t="n"/>
      <c r="M341" s="9" t="n"/>
      <c r="N341" s="9" t="n"/>
      <c r="O341" s="40">
        <f>K341+V341-AE341-AZ341</f>
        <v/>
      </c>
      <c r="P341" s="12" t="n"/>
      <c r="Q341" s="138" t="n"/>
      <c r="R341" s="16" t="n"/>
      <c r="S341" s="139" t="n"/>
      <c r="T341" s="16" t="n"/>
      <c r="U341" s="139" t="n"/>
      <c r="V341" s="16">
        <f>P341+R341+T341</f>
        <v/>
      </c>
      <c r="W341" s="16" t="n"/>
      <c r="X341" s="139" t="n"/>
      <c r="Y341" s="16" t="n"/>
      <c r="Z341" s="139" t="n"/>
      <c r="AA341" s="16" t="n"/>
      <c r="AB341" s="139" t="n"/>
      <c r="AC341" s="16" t="n"/>
      <c r="AD341" s="139" t="n"/>
      <c r="AE341" s="16">
        <f>(W341+Y341+AA341+AC341)</f>
        <v/>
      </c>
      <c r="AF341" s="140" t="n"/>
      <c r="AG341" s="138" t="n"/>
      <c r="AH341" s="16" t="n"/>
      <c r="AI341" s="138" t="n"/>
      <c r="AJ341" s="16" t="n"/>
      <c r="AK341" s="138" t="n"/>
      <c r="AL341" s="16" t="n"/>
      <c r="AM341" s="138" t="n"/>
      <c r="AN341" s="16" t="n"/>
      <c r="AO341" s="138" t="n"/>
      <c r="AP341" s="16" t="n"/>
      <c r="AQ341" s="138" t="n"/>
      <c r="AR341" s="16" t="n"/>
      <c r="AS341" s="138" t="n"/>
      <c r="AT341" s="16" t="n"/>
      <c r="AU341" s="138" t="n"/>
      <c r="AV341" s="16" t="n"/>
      <c r="AW341" s="138" t="n"/>
      <c r="AX341" s="16" t="n"/>
      <c r="AY341" s="138" t="n"/>
      <c r="AZ341" s="16">
        <f>AF341+AH341+AJ341+AL341+AN341+AP341+AR341+AT341+AV341+AX341</f>
        <v/>
      </c>
      <c r="BA341" s="16" t="n"/>
      <c r="BB341" s="139" t="n"/>
      <c r="BC341" s="16" t="n"/>
      <c r="BD341" s="139" t="n"/>
      <c r="BE341" s="16">
        <f>(BA341+BC341)</f>
        <v/>
      </c>
    </row>
    <row r="342" ht="22.5" customFormat="1" customHeight="1" s="8">
      <c r="A342" s="9" t="n"/>
      <c r="B342" s="136" t="inlineStr">
        <is>
          <t>CABLE</t>
        </is>
      </c>
      <c r="C342" s="137" t="inlineStr">
        <is>
          <t>ADX6000</t>
        </is>
      </c>
      <c r="D342" s="84" t="inlineStr">
        <is>
          <t>하네스 5번</t>
        </is>
      </c>
      <c r="E342" s="13" t="inlineStr">
        <is>
          <t>컬리메이터 LED 2핀 / 300mm</t>
        </is>
      </c>
      <c r="F342" s="100" t="n"/>
      <c r="G342" s="9" t="n"/>
      <c r="H342" s="9" t="inlineStr">
        <is>
          <t>HLP</t>
        </is>
      </c>
      <c r="I342" s="14" t="n"/>
      <c r="J342" s="14" t="n"/>
      <c r="K342" s="12" t="n">
        <v>0</v>
      </c>
      <c r="L342" s="9" t="n"/>
      <c r="M342" s="9" t="n"/>
      <c r="N342" s="9" t="n"/>
      <c r="O342" s="40">
        <f>K342+V342-AE342-AZ342</f>
        <v/>
      </c>
      <c r="P342" s="12" t="n"/>
      <c r="Q342" s="138" t="n"/>
      <c r="R342" s="16" t="n"/>
      <c r="S342" s="139" t="n"/>
      <c r="T342" s="16" t="n"/>
      <c r="U342" s="139" t="n"/>
      <c r="V342" s="16">
        <f>P342+R342+T342</f>
        <v/>
      </c>
      <c r="W342" s="16" t="n"/>
      <c r="X342" s="139" t="n"/>
      <c r="Y342" s="16" t="n"/>
      <c r="Z342" s="139" t="n"/>
      <c r="AA342" s="16" t="n"/>
      <c r="AB342" s="139" t="n"/>
      <c r="AC342" s="16" t="n"/>
      <c r="AD342" s="139" t="n"/>
      <c r="AE342" s="16">
        <f>(W342+Y342+AA342+AC342)</f>
        <v/>
      </c>
      <c r="AF342" s="140" t="n"/>
      <c r="AG342" s="138" t="n"/>
      <c r="AH342" s="16" t="n"/>
      <c r="AI342" s="138" t="n"/>
      <c r="AJ342" s="16" t="n"/>
      <c r="AK342" s="138" t="n"/>
      <c r="AL342" s="16" t="n"/>
      <c r="AM342" s="138" t="n"/>
      <c r="AN342" s="16" t="n"/>
      <c r="AO342" s="138" t="n"/>
      <c r="AP342" s="16" t="n"/>
      <c r="AQ342" s="138" t="n"/>
      <c r="AR342" s="16" t="n"/>
      <c r="AS342" s="138" t="n"/>
      <c r="AT342" s="16" t="n"/>
      <c r="AU342" s="138" t="n"/>
      <c r="AV342" s="16" t="n"/>
      <c r="AW342" s="138" t="n"/>
      <c r="AX342" s="16" t="n"/>
      <c r="AY342" s="138" t="n"/>
      <c r="AZ342" s="16">
        <f>AF342+AH342+AJ342+AL342+AN342+AP342+AR342+AT342+AV342+AX342</f>
        <v/>
      </c>
      <c r="BA342" s="16" t="n"/>
      <c r="BB342" s="139" t="n"/>
      <c r="BC342" s="16" t="n"/>
      <c r="BD342" s="139" t="n"/>
      <c r="BE342" s="16">
        <f>(BA342+BC342)</f>
        <v/>
      </c>
    </row>
    <row r="343" ht="22.5" customFormat="1" customHeight="1" s="8">
      <c r="A343" s="9" t="n"/>
      <c r="B343" s="136" t="inlineStr">
        <is>
          <t>CABLE</t>
        </is>
      </c>
      <c r="C343" s="137" t="inlineStr">
        <is>
          <t>ADX6000S</t>
        </is>
      </c>
      <c r="D343" s="84" t="inlineStr">
        <is>
          <t>하네스 6번</t>
        </is>
      </c>
      <c r="E343" s="13" t="inlineStr">
        <is>
          <t>SMH250-02 PC 전원 케이블 / 130mm</t>
        </is>
      </c>
      <c r="F343" s="100" t="n"/>
      <c r="G343" s="9" t="n"/>
      <c r="H343" s="9" t="inlineStr">
        <is>
          <t>HLP</t>
        </is>
      </c>
      <c r="I343" s="14" t="n"/>
      <c r="J343" s="14" t="n"/>
      <c r="K343" s="12" t="n">
        <v>234</v>
      </c>
      <c r="L343" s="9" t="n"/>
      <c r="M343" s="9" t="n"/>
      <c r="N343" s="9" t="n"/>
      <c r="O343" s="40">
        <f>K343+V343-AE343-AZ343</f>
        <v/>
      </c>
      <c r="P343" s="12" t="n"/>
      <c r="Q343" s="138" t="n"/>
      <c r="R343" s="16" t="n"/>
      <c r="S343" s="139" t="n"/>
      <c r="T343" s="16" t="n"/>
      <c r="U343" s="139" t="n"/>
      <c r="V343" s="16">
        <f>P343+R343+T343</f>
        <v/>
      </c>
      <c r="W343" s="16" t="n"/>
      <c r="X343" s="139" t="n"/>
      <c r="Y343" s="16" t="n"/>
      <c r="Z343" s="139" t="n"/>
      <c r="AA343" s="16" t="n"/>
      <c r="AB343" s="139" t="n"/>
      <c r="AC343" s="16" t="n"/>
      <c r="AD343" s="139" t="n"/>
      <c r="AE343" s="16">
        <f>(W343+Y343+AA343+AC343)</f>
        <v/>
      </c>
      <c r="AF343" s="140" t="n"/>
      <c r="AG343" s="138" t="n"/>
      <c r="AH343" s="16" t="n"/>
      <c r="AI343" s="138" t="n"/>
      <c r="AJ343" s="16" t="n"/>
      <c r="AK343" s="138" t="n"/>
      <c r="AL343" s="16" t="n"/>
      <c r="AM343" s="138" t="n"/>
      <c r="AN343" s="16" t="n"/>
      <c r="AO343" s="138" t="n"/>
      <c r="AP343" s="16" t="n"/>
      <c r="AQ343" s="138" t="n"/>
      <c r="AR343" s="16" t="n"/>
      <c r="AS343" s="138" t="n"/>
      <c r="AT343" s="16" t="n"/>
      <c r="AU343" s="138" t="n"/>
      <c r="AV343" s="16" t="n"/>
      <c r="AW343" s="138" t="n"/>
      <c r="AX343" s="16" t="n"/>
      <c r="AY343" s="138" t="n"/>
      <c r="AZ343" s="16">
        <f>AF343+AH343+AJ343+AL343+AN343+AP343+AR343+AT343+AV343+AX343</f>
        <v/>
      </c>
      <c r="BA343" s="16" t="n"/>
      <c r="BB343" s="139" t="n"/>
      <c r="BC343" s="16" t="n"/>
      <c r="BD343" s="139" t="n"/>
      <c r="BE343" s="16">
        <f>(BA343+BC343)</f>
        <v/>
      </c>
    </row>
    <row r="344" ht="22.5" customFormat="1" customHeight="1" s="8">
      <c r="A344" s="9" t="n"/>
      <c r="B344" s="136" t="inlineStr">
        <is>
          <t>CABLE</t>
        </is>
      </c>
      <c r="C344" s="137" t="inlineStr">
        <is>
          <t>ADX6000S</t>
        </is>
      </c>
      <c r="D344" s="84" t="inlineStr">
        <is>
          <t>하네스 7번</t>
        </is>
      </c>
      <c r="E344" s="13" t="inlineStr">
        <is>
          <t>DF19G-20S-1C(0.5) (2EA) LVDS 케이블 / 160mm 힌지 작업시 발주</t>
        </is>
      </c>
      <c r="F344" s="100" t="n"/>
      <c r="G344" s="9" t="n"/>
      <c r="H344" s="9" t="inlineStr">
        <is>
          <t>HLP</t>
        </is>
      </c>
      <c r="I344" s="14" t="n"/>
      <c r="J344" s="14" t="n"/>
      <c r="K344" s="12" t="n">
        <v>512</v>
      </c>
      <c r="L344" s="9" t="n"/>
      <c r="M344" s="9" t="n"/>
      <c r="N344" s="9" t="n"/>
      <c r="O344" s="40">
        <f>K344+V344-AE344-AZ344</f>
        <v/>
      </c>
      <c r="P344" s="12" t="n"/>
      <c r="Q344" s="138" t="n"/>
      <c r="R344" s="16" t="n"/>
      <c r="S344" s="139" t="n"/>
      <c r="T344" s="16" t="n"/>
      <c r="U344" s="139" t="n"/>
      <c r="V344" s="16">
        <f>P344+R344+T344</f>
        <v/>
      </c>
      <c r="W344" s="16" t="n"/>
      <c r="X344" s="139" t="n"/>
      <c r="Y344" s="16" t="n"/>
      <c r="Z344" s="139" t="n"/>
      <c r="AA344" s="16" t="n"/>
      <c r="AB344" s="139" t="n"/>
      <c r="AC344" s="16" t="n"/>
      <c r="AD344" s="139" t="n"/>
      <c r="AE344" s="16">
        <f>(W344+Y344+AA344+AC344)</f>
        <v/>
      </c>
      <c r="AF344" s="140" t="n"/>
      <c r="AG344" s="138" t="n"/>
      <c r="AH344" s="16" t="n"/>
      <c r="AI344" s="138" t="n"/>
      <c r="AJ344" s="16" t="n"/>
      <c r="AK344" s="138" t="n"/>
      <c r="AL344" s="16" t="n"/>
      <c r="AM344" s="138" t="n"/>
      <c r="AN344" s="16" t="n"/>
      <c r="AO344" s="138" t="n"/>
      <c r="AP344" s="16" t="n"/>
      <c r="AQ344" s="138" t="n"/>
      <c r="AR344" s="16" t="n"/>
      <c r="AS344" s="138" t="n"/>
      <c r="AT344" s="16" t="n"/>
      <c r="AU344" s="138" t="n"/>
      <c r="AV344" s="16" t="n"/>
      <c r="AW344" s="138" t="n"/>
      <c r="AX344" s="16" t="n"/>
      <c r="AY344" s="138" t="n"/>
      <c r="AZ344" s="16">
        <f>AF344+AH344+AJ344+AL344+AN344+AP344+AR344+AT344+AV344+AX344</f>
        <v/>
      </c>
      <c r="BA344" s="16" t="n"/>
      <c r="BB344" s="139" t="n"/>
      <c r="BC344" s="16" t="n"/>
      <c r="BD344" s="139" t="n"/>
      <c r="BE344" s="16">
        <f>(BA344+BC344)</f>
        <v/>
      </c>
    </row>
    <row r="345" ht="22.5" customFormat="1" customHeight="1" s="8">
      <c r="A345" s="9" t="n"/>
      <c r="B345" s="136" t="inlineStr">
        <is>
          <t>CABLE</t>
        </is>
      </c>
      <c r="C345" s="137" t="inlineStr">
        <is>
          <t>ADX6000S</t>
        </is>
      </c>
      <c r="D345" s="84" t="inlineStr">
        <is>
          <t>하네스 9-1번</t>
        </is>
      </c>
      <c r="E345" s="13" t="inlineStr">
        <is>
          <t>12505HS-03 Carrier Mini BD 케이블 / 100mm (한쪽만 커넥터)</t>
        </is>
      </c>
      <c r="F345" s="100" t="n"/>
      <c r="G345" s="9" t="n"/>
      <c r="H345" s="9" t="inlineStr">
        <is>
          <t>HLP</t>
        </is>
      </c>
      <c r="I345" s="14" t="n"/>
      <c r="J345" s="14" t="n"/>
      <c r="K345" s="12" t="n">
        <v>501</v>
      </c>
      <c r="L345" s="9" t="n"/>
      <c r="M345" s="9" t="n"/>
      <c r="N345" s="9" t="n"/>
      <c r="O345" s="40">
        <f>K345+V345-AE345-AZ345</f>
        <v/>
      </c>
      <c r="P345" s="12" t="n"/>
      <c r="Q345" s="138" t="n"/>
      <c r="R345" s="16" t="n"/>
      <c r="S345" s="139" t="n"/>
      <c r="T345" s="16" t="n"/>
      <c r="U345" s="139" t="n"/>
      <c r="V345" s="16">
        <f>P345+R345+T345</f>
        <v/>
      </c>
      <c r="W345" s="16" t="n"/>
      <c r="X345" s="139" t="n"/>
      <c r="Y345" s="16" t="n"/>
      <c r="Z345" s="139" t="n"/>
      <c r="AA345" s="16" t="n"/>
      <c r="AB345" s="139" t="n"/>
      <c r="AC345" s="16" t="n"/>
      <c r="AD345" s="139" t="n"/>
      <c r="AE345" s="16">
        <f>(W345+Y345+AA345+AC345)</f>
        <v/>
      </c>
      <c r="AF345" s="140" t="n"/>
      <c r="AG345" s="138" t="n"/>
      <c r="AH345" s="16" t="n"/>
      <c r="AI345" s="138" t="n"/>
      <c r="AJ345" s="16" t="n"/>
      <c r="AK345" s="138" t="n"/>
      <c r="AL345" s="16" t="n"/>
      <c r="AM345" s="138" t="n"/>
      <c r="AN345" s="16" t="n"/>
      <c r="AO345" s="138" t="n"/>
      <c r="AP345" s="16" t="n"/>
      <c r="AQ345" s="138" t="n"/>
      <c r="AR345" s="16" t="n"/>
      <c r="AS345" s="138" t="n"/>
      <c r="AT345" s="16" t="n"/>
      <c r="AU345" s="138" t="n"/>
      <c r="AV345" s="16" t="n"/>
      <c r="AW345" s="138" t="n"/>
      <c r="AX345" s="16" t="n"/>
      <c r="AY345" s="138" t="n"/>
      <c r="AZ345" s="16">
        <f>AF345+AH345+AJ345+AL345+AN345+AP345+AR345+AT345+AV345+AX345</f>
        <v/>
      </c>
      <c r="BA345" s="16" t="n"/>
      <c r="BB345" s="139" t="n"/>
      <c r="BC345" s="16" t="n"/>
      <c r="BD345" s="139" t="n"/>
      <c r="BE345" s="16">
        <f>(BA345+BC345)</f>
        <v/>
      </c>
    </row>
    <row r="346" ht="22.5" customFormat="1" customHeight="1" s="8">
      <c r="A346" s="9" t="n"/>
      <c r="B346" s="136" t="inlineStr">
        <is>
          <t>CABLE</t>
        </is>
      </c>
      <c r="C346" s="137" t="inlineStr">
        <is>
          <t>ADX6000S</t>
        </is>
      </c>
      <c r="D346" s="84" t="inlineStr">
        <is>
          <t>하네스 10번</t>
        </is>
      </c>
      <c r="E346" s="13" t="inlineStr">
        <is>
          <t>CHW0640-03, 1205HS-03 PC, CTR BD 연결 / 130mm</t>
        </is>
      </c>
      <c r="F346" s="100" t="n"/>
      <c r="G346" s="9" t="n"/>
      <c r="H346" s="9" t="inlineStr">
        <is>
          <t>HLP</t>
        </is>
      </c>
      <c r="I346" s="14" t="n"/>
      <c r="J346" s="14" t="n"/>
      <c r="K346" s="12" t="n">
        <v>210</v>
      </c>
      <c r="L346" s="9" t="n"/>
      <c r="M346" s="9" t="n"/>
      <c r="N346" s="9" t="n"/>
      <c r="O346" s="40">
        <f>K346+V346-AE346-AZ346</f>
        <v/>
      </c>
      <c r="P346" s="12" t="n"/>
      <c r="Q346" s="138" t="n"/>
      <c r="R346" s="16" t="n"/>
      <c r="S346" s="139" t="n"/>
      <c r="T346" s="16" t="n"/>
      <c r="U346" s="139" t="n"/>
      <c r="V346" s="16">
        <f>P346+R346+T346</f>
        <v/>
      </c>
      <c r="W346" s="16" t="n"/>
      <c r="X346" s="139" t="n"/>
      <c r="Y346" s="16" t="n"/>
      <c r="Z346" s="139" t="n"/>
      <c r="AA346" s="16" t="n"/>
      <c r="AB346" s="139" t="n"/>
      <c r="AC346" s="16" t="n"/>
      <c r="AD346" s="139" t="n"/>
      <c r="AE346" s="16">
        <f>(W346+Y346+AA346+AC346)</f>
        <v/>
      </c>
      <c r="AF346" s="140" t="n"/>
      <c r="AG346" s="138" t="n"/>
      <c r="AH346" s="16" t="n"/>
      <c r="AI346" s="138" t="n"/>
      <c r="AJ346" s="16" t="n"/>
      <c r="AK346" s="138" t="n"/>
      <c r="AL346" s="16" t="n"/>
      <c r="AM346" s="138" t="n"/>
      <c r="AN346" s="16" t="n"/>
      <c r="AO346" s="138" t="n"/>
      <c r="AP346" s="16" t="n"/>
      <c r="AQ346" s="138" t="n"/>
      <c r="AR346" s="16" t="n"/>
      <c r="AS346" s="138" t="n"/>
      <c r="AT346" s="16" t="n"/>
      <c r="AU346" s="138" t="n"/>
      <c r="AV346" s="16" t="n"/>
      <c r="AW346" s="138" t="n"/>
      <c r="AX346" s="16" t="n"/>
      <c r="AY346" s="138" t="n"/>
      <c r="AZ346" s="16">
        <f>AF346+AH346+AJ346+AL346+AN346+AP346+AR346+AT346+AV346+AX346</f>
        <v/>
      </c>
      <c r="BA346" s="16" t="n"/>
      <c r="BB346" s="139" t="n"/>
      <c r="BC346" s="16" t="n"/>
      <c r="BD346" s="139" t="n"/>
      <c r="BE346" s="16">
        <f>(BA346+BC346)</f>
        <v/>
      </c>
    </row>
    <row r="347" ht="22.5" customFormat="1" customHeight="1" s="8">
      <c r="A347" s="9" t="n"/>
      <c r="B347" s="136" t="inlineStr">
        <is>
          <t>CABLE</t>
        </is>
      </c>
      <c r="C347" s="137" t="inlineStr">
        <is>
          <t>ADX6000</t>
        </is>
      </c>
      <c r="D347" s="84" t="inlineStr">
        <is>
          <t>하네스 11번</t>
        </is>
      </c>
      <c r="E347" s="13" t="inlineStr">
        <is>
          <t>Battery BD 02 [4핀,2핀,Dual] 탈착, 외부 BAT BD 연결 / 90mm, 80mm</t>
        </is>
      </c>
      <c r="F347" s="100" t="n"/>
      <c r="G347" s="9" t="n"/>
      <c r="H347" s="9" t="inlineStr">
        <is>
          <t>HLP</t>
        </is>
      </c>
      <c r="I347" s="14" t="n"/>
      <c r="J347" s="14" t="n"/>
      <c r="K347" s="12" t="n">
        <v>354</v>
      </c>
      <c r="L347" s="9" t="n"/>
      <c r="M347" s="9" t="n"/>
      <c r="N347" s="9" t="n"/>
      <c r="O347" s="40">
        <f>K347+V347-AE347-AZ347</f>
        <v/>
      </c>
      <c r="P347" s="12" t="n"/>
      <c r="Q347" s="138" t="n"/>
      <c r="R347" s="16" t="n"/>
      <c r="S347" s="139" t="n"/>
      <c r="T347" s="16" t="n"/>
      <c r="U347" s="139" t="n"/>
      <c r="V347" s="16">
        <f>P347+R347+T347</f>
        <v/>
      </c>
      <c r="W347" s="16" t="n"/>
      <c r="X347" s="139" t="n"/>
      <c r="Y347" s="16" t="n"/>
      <c r="Z347" s="139" t="n"/>
      <c r="AA347" s="16" t="n"/>
      <c r="AB347" s="139" t="n"/>
      <c r="AC347" s="16" t="n"/>
      <c r="AD347" s="139" t="n"/>
      <c r="AE347" s="16">
        <f>(W347+Y347+AA347+AC347)</f>
        <v/>
      </c>
      <c r="AF347" s="140" t="n"/>
      <c r="AG347" s="138" t="n"/>
      <c r="AH347" s="16" t="n"/>
      <c r="AI347" s="138" t="n"/>
      <c r="AJ347" s="16" t="n"/>
      <c r="AK347" s="138" t="n"/>
      <c r="AL347" s="16" t="n"/>
      <c r="AM347" s="138" t="n"/>
      <c r="AN347" s="16" t="n"/>
      <c r="AO347" s="138" t="n"/>
      <c r="AP347" s="16" t="n"/>
      <c r="AQ347" s="138" t="n"/>
      <c r="AR347" s="16" t="n"/>
      <c r="AS347" s="138" t="n"/>
      <c r="AT347" s="16" t="n"/>
      <c r="AU347" s="138" t="n"/>
      <c r="AV347" s="16" t="n"/>
      <c r="AW347" s="138" t="n"/>
      <c r="AX347" s="16" t="n"/>
      <c r="AY347" s="138" t="n"/>
      <c r="AZ347" s="16">
        <f>AF347+AH347+AJ347+AL347+AN347+AP347+AR347+AT347+AV347+AX347</f>
        <v/>
      </c>
      <c r="BA347" s="16" t="n"/>
      <c r="BB347" s="139" t="n"/>
      <c r="BC347" s="16" t="n"/>
      <c r="BD347" s="139" t="n"/>
      <c r="BE347" s="16">
        <f>(BA347+BC347)</f>
        <v/>
      </c>
    </row>
    <row r="348" ht="22.5" customFormat="1" customHeight="1" s="8">
      <c r="A348" s="9" t="n"/>
      <c r="B348" s="136" t="inlineStr">
        <is>
          <t>CABLE</t>
        </is>
      </c>
      <c r="C348" s="137" t="inlineStr">
        <is>
          <t>ADX6000S</t>
        </is>
      </c>
      <c r="D348" s="84" t="inlineStr">
        <is>
          <t>하네스 14번</t>
        </is>
      </c>
      <c r="E348" s="13" t="inlineStr">
        <is>
          <t>FFC Cable 40핀 / 50mm - 사용안함</t>
        </is>
      </c>
      <c r="F348" s="100" t="n"/>
      <c r="G348" s="9" t="n"/>
      <c r="H348" s="9" t="inlineStr">
        <is>
          <t>HLP</t>
        </is>
      </c>
      <c r="I348" s="14" t="n"/>
      <c r="J348" s="14" t="n"/>
      <c r="K348" s="12" t="n">
        <v>0</v>
      </c>
      <c r="L348" s="9" t="n"/>
      <c r="M348" s="9" t="n"/>
      <c r="N348" s="9" t="n"/>
      <c r="O348" s="40">
        <f>K348+V348-AE348-AZ348</f>
        <v/>
      </c>
      <c r="P348" s="12" t="n"/>
      <c r="Q348" s="138" t="n"/>
      <c r="R348" s="16" t="n"/>
      <c r="S348" s="139" t="n"/>
      <c r="T348" s="16" t="n"/>
      <c r="U348" s="139" t="n"/>
      <c r="V348" s="16">
        <f>P348+R348+T348</f>
        <v/>
      </c>
      <c r="W348" s="16" t="n"/>
      <c r="X348" s="139" t="n"/>
      <c r="Y348" s="16" t="n"/>
      <c r="Z348" s="139" t="n"/>
      <c r="AA348" s="16" t="n"/>
      <c r="AB348" s="139" t="n"/>
      <c r="AC348" s="16" t="n"/>
      <c r="AD348" s="139" t="n"/>
      <c r="AE348" s="16">
        <f>(W348+Y348+AA348+AC348)</f>
        <v/>
      </c>
      <c r="AF348" s="140" t="n"/>
      <c r="AG348" s="138" t="n"/>
      <c r="AH348" s="16" t="n"/>
      <c r="AI348" s="138" t="n"/>
      <c r="AJ348" s="16" t="n"/>
      <c r="AK348" s="138" t="n"/>
      <c r="AL348" s="16" t="n"/>
      <c r="AM348" s="138" t="n"/>
      <c r="AN348" s="16" t="n"/>
      <c r="AO348" s="138" t="n"/>
      <c r="AP348" s="16" t="n"/>
      <c r="AQ348" s="138" t="n"/>
      <c r="AR348" s="16" t="n"/>
      <c r="AS348" s="138" t="n"/>
      <c r="AT348" s="16" t="n"/>
      <c r="AU348" s="138" t="n"/>
      <c r="AV348" s="16" t="n"/>
      <c r="AW348" s="138" t="n"/>
      <c r="AX348" s="16" t="n"/>
      <c r="AY348" s="138" t="n"/>
      <c r="AZ348" s="16">
        <f>AF348+AH348+AJ348+AL348+AN348+AP348+AR348+AT348+AV348+AX348</f>
        <v/>
      </c>
      <c r="BA348" s="16" t="n"/>
      <c r="BB348" s="139" t="n"/>
      <c r="BC348" s="16" t="n"/>
      <c r="BD348" s="139" t="n"/>
      <c r="BE348" s="16">
        <f>(BA348+BC348)</f>
        <v/>
      </c>
    </row>
    <row r="349" ht="22.5" customFormat="1" customHeight="1" s="8">
      <c r="A349" s="9" t="n"/>
      <c r="B349" s="136" t="inlineStr">
        <is>
          <t>CABLE</t>
        </is>
      </c>
      <c r="C349" s="137" t="inlineStr">
        <is>
          <t>ADX6000</t>
        </is>
      </c>
      <c r="D349" s="85" t="inlineStr">
        <is>
          <t>Battery BD 01 Wire Harness (2핀)</t>
        </is>
      </c>
      <c r="E349" s="23" t="inlineStr">
        <is>
          <t>80mm</t>
        </is>
      </c>
      <c r="F349" s="100" t="n"/>
      <c r="G349" s="9" t="n"/>
      <c r="H349" s="9" t="inlineStr">
        <is>
          <t>HLP</t>
        </is>
      </c>
      <c r="I349" s="14" t="n"/>
      <c r="J349" s="14" t="n"/>
      <c r="K349" s="12" t="n">
        <v>712</v>
      </c>
      <c r="L349" s="9" t="n"/>
      <c r="M349" s="9" t="n"/>
      <c r="N349" s="9" t="n"/>
      <c r="O349" s="40">
        <f>K349+V349-AE349-AZ349</f>
        <v/>
      </c>
      <c r="P349" s="12" t="n"/>
      <c r="Q349" s="138" t="n"/>
      <c r="R349" s="16" t="n"/>
      <c r="S349" s="139" t="n"/>
      <c r="T349" s="16" t="n"/>
      <c r="U349" s="139" t="n"/>
      <c r="V349" s="16">
        <f>P349+R349+T349</f>
        <v/>
      </c>
      <c r="W349" s="16" t="n"/>
      <c r="X349" s="139" t="n"/>
      <c r="Y349" s="16" t="n"/>
      <c r="Z349" s="139" t="n"/>
      <c r="AA349" s="16" t="n"/>
      <c r="AB349" s="139" t="n"/>
      <c r="AC349" s="16" t="n"/>
      <c r="AD349" s="139" t="n"/>
      <c r="AE349" s="16">
        <f>(W349+Y349+AA349+AC349)</f>
        <v/>
      </c>
      <c r="AF349" s="140" t="n"/>
      <c r="AG349" s="138" t="n"/>
      <c r="AH349" s="16" t="n"/>
      <c r="AI349" s="138" t="n"/>
      <c r="AJ349" s="16" t="n"/>
      <c r="AK349" s="138" t="n"/>
      <c r="AL349" s="16" t="n"/>
      <c r="AM349" s="138" t="n"/>
      <c r="AN349" s="16" t="n"/>
      <c r="AO349" s="138" t="n"/>
      <c r="AP349" s="16" t="n"/>
      <c r="AQ349" s="138" t="n"/>
      <c r="AR349" s="16" t="n"/>
      <c r="AS349" s="138" t="n"/>
      <c r="AT349" s="16" t="n"/>
      <c r="AU349" s="138" t="n"/>
      <c r="AV349" s="16" t="n"/>
      <c r="AW349" s="138" t="n"/>
      <c r="AX349" s="16" t="n"/>
      <c r="AY349" s="138" t="n"/>
      <c r="AZ349" s="16">
        <f>AF349+AH349+AJ349+AL349+AN349+AP349+AR349+AT349+AV349+AX349</f>
        <v/>
      </c>
      <c r="BA349" s="16" t="n"/>
      <c r="BB349" s="139" t="n"/>
      <c r="BC349" s="16" t="n"/>
      <c r="BD349" s="139" t="n"/>
      <c r="BE349" s="16">
        <f>(BA349+BC349)</f>
        <v/>
      </c>
    </row>
    <row r="350" ht="22.5" customFormat="1" customHeight="1" s="8">
      <c r="A350" s="9" t="n"/>
      <c r="B350" s="136" t="inlineStr">
        <is>
          <t>PANEL</t>
        </is>
      </c>
      <c r="C350" s="137" t="inlineStr">
        <is>
          <t>ADX6000S</t>
        </is>
      </c>
      <c r="D350" s="65" t="inlineStr">
        <is>
          <t>4.3" LCD (신형)</t>
        </is>
      </c>
      <c r="E350" s="13" t="inlineStr">
        <is>
          <t>IEC-1000</t>
        </is>
      </c>
      <c r="F350" s="100" t="n"/>
      <c r="G350" s="9" t="n"/>
      <c r="H350" s="9" t="inlineStr">
        <is>
          <t>에이치앤에스</t>
        </is>
      </c>
      <c r="I350" s="14" t="n"/>
      <c r="J350" s="14" t="n"/>
      <c r="K350" s="12" t="n">
        <v>0</v>
      </c>
      <c r="L350" s="9" t="n"/>
      <c r="M350" s="9" t="n"/>
      <c r="N350" s="9" t="n"/>
      <c r="O350" s="40">
        <f>K350+V350-AE350-AZ350</f>
        <v/>
      </c>
      <c r="P350" s="12" t="n"/>
      <c r="Q350" s="138" t="n"/>
      <c r="R350" s="16" t="n"/>
      <c r="S350" s="139" t="n"/>
      <c r="T350" s="16" t="n"/>
      <c r="U350" s="139" t="n"/>
      <c r="V350" s="16">
        <f>P350+R350+T350</f>
        <v/>
      </c>
      <c r="W350" s="16" t="n"/>
      <c r="X350" s="139" t="n"/>
      <c r="Y350" s="16" t="n"/>
      <c r="Z350" s="139" t="n"/>
      <c r="AA350" s="16" t="n"/>
      <c r="AB350" s="139" t="n"/>
      <c r="AC350" s="16" t="n"/>
      <c r="AD350" s="139" t="n"/>
      <c r="AE350" s="16">
        <f>(W350+Y350+AA350+AC350)</f>
        <v/>
      </c>
      <c r="AF350" s="140" t="n"/>
      <c r="AG350" s="138" t="n"/>
      <c r="AH350" s="16" t="n"/>
      <c r="AI350" s="138" t="n"/>
      <c r="AJ350" s="16" t="n"/>
      <c r="AK350" s="138" t="n"/>
      <c r="AL350" s="16" t="n"/>
      <c r="AM350" s="138" t="n"/>
      <c r="AN350" s="16" t="n"/>
      <c r="AO350" s="138" t="n"/>
      <c r="AP350" s="16" t="n"/>
      <c r="AQ350" s="138" t="n"/>
      <c r="AR350" s="16" t="n"/>
      <c r="AS350" s="138" t="n"/>
      <c r="AT350" s="16" t="n"/>
      <c r="AU350" s="138" t="n"/>
      <c r="AV350" s="16" t="n"/>
      <c r="AW350" s="138" t="n"/>
      <c r="AX350" s="16" t="n"/>
      <c r="AY350" s="138" t="n"/>
      <c r="AZ350" s="16">
        <f>AF350+AH350+AJ350+AL350+AN350+AP350+AR350+AT350+AV350+AX350</f>
        <v/>
      </c>
      <c r="BA350" s="16" t="n"/>
      <c r="BB350" s="139" t="n"/>
      <c r="BC350" s="16" t="n"/>
      <c r="BD350" s="139" t="n"/>
      <c r="BE350" s="16">
        <f>(BA350+BC350)</f>
        <v/>
      </c>
    </row>
    <row r="351" ht="22.5" customFormat="1" customHeight="1" s="8">
      <c r="A351" s="9" t="n"/>
      <c r="B351" s="136" t="inlineStr">
        <is>
          <t>MODULE</t>
        </is>
      </c>
      <c r="C351" s="137" t="inlineStr">
        <is>
          <t>ADX6000S</t>
        </is>
      </c>
      <c r="D351" s="84" t="inlineStr">
        <is>
          <t>4.3" Module (신형)</t>
        </is>
      </c>
      <c r="E351" s="13" t="inlineStr">
        <is>
          <t>IEC-1000</t>
        </is>
      </c>
      <c r="F351" s="100" t="n"/>
      <c r="G351" s="9" t="n"/>
      <c r="H351" s="9" t="inlineStr">
        <is>
          <t>에이치앤에스</t>
        </is>
      </c>
      <c r="I351" s="14" t="n"/>
      <c r="J351" s="14" t="n"/>
      <c r="K351" s="12" t="n">
        <v>0</v>
      </c>
      <c r="L351" s="9" t="n"/>
      <c r="M351" s="9" t="n"/>
      <c r="N351" s="9" t="n"/>
      <c r="O351" s="40">
        <f>K351+V351-AE351-AZ351</f>
        <v/>
      </c>
      <c r="P351" s="12" t="n"/>
      <c r="Q351" s="138" t="n"/>
      <c r="R351" s="16" t="n"/>
      <c r="S351" s="139" t="n"/>
      <c r="T351" s="16" t="n"/>
      <c r="U351" s="139" t="n"/>
      <c r="V351" s="16">
        <f>P351+R351+T351</f>
        <v/>
      </c>
      <c r="W351" s="16" t="n"/>
      <c r="X351" s="139" t="n"/>
      <c r="Y351" s="16" t="n"/>
      <c r="Z351" s="139" t="n"/>
      <c r="AA351" s="16" t="n"/>
      <c r="AB351" s="139" t="n"/>
      <c r="AC351" s="16" t="n"/>
      <c r="AD351" s="139" t="n"/>
      <c r="AE351" s="16">
        <f>(W351+Y351+AA351+AC351)</f>
        <v/>
      </c>
      <c r="AF351" s="140" t="n"/>
      <c r="AG351" s="138" t="n"/>
      <c r="AH351" s="16" t="n"/>
      <c r="AI351" s="138" t="n"/>
      <c r="AJ351" s="16" t="n"/>
      <c r="AK351" s="138" t="n"/>
      <c r="AL351" s="16" t="n"/>
      <c r="AM351" s="138" t="n"/>
      <c r="AN351" s="16" t="n"/>
      <c r="AO351" s="138" t="n"/>
      <c r="AP351" s="16" t="n"/>
      <c r="AQ351" s="138" t="n"/>
      <c r="AR351" s="16" t="n"/>
      <c r="AS351" s="138" t="n"/>
      <c r="AT351" s="16" t="n"/>
      <c r="AU351" s="138" t="n"/>
      <c r="AV351" s="16" t="n"/>
      <c r="AW351" s="138" t="n"/>
      <c r="AX351" s="16" t="n"/>
      <c r="AY351" s="138" t="n"/>
      <c r="AZ351" s="16">
        <f>AF351+AH351+AJ351+AL351+AN351+AP351+AR351+AT351+AV351+AX351</f>
        <v/>
      </c>
      <c r="BA351" s="16" t="n"/>
      <c r="BB351" s="139" t="n"/>
      <c r="BC351" s="16" t="n"/>
      <c r="BD351" s="139" t="n"/>
      <c r="BE351" s="16">
        <f>(BA351+BC351)</f>
        <v/>
      </c>
    </row>
    <row r="352" ht="22.5" customFormat="1" customHeight="1" s="8">
      <c r="A352" s="9" t="n"/>
      <c r="B352" s="136" t="inlineStr">
        <is>
          <t>ABS 난연</t>
        </is>
      </c>
      <c r="C352" s="137" t="inlineStr">
        <is>
          <t>ADX6000</t>
        </is>
      </c>
      <c r="D352" s="84" t="inlineStr">
        <is>
          <t>컬리메이터 TOP 사출</t>
        </is>
      </c>
      <c r="E352" s="13" t="inlineStr">
        <is>
          <t>ABS 난연 화이트 + 스프레이</t>
        </is>
      </c>
      <c r="F352" s="100" t="n"/>
      <c r="G352" s="9" t="n"/>
      <c r="H352" s="9" t="inlineStr">
        <is>
          <t>천우</t>
        </is>
      </c>
      <c r="I352" s="14" t="n"/>
      <c r="J352" s="14" t="n"/>
      <c r="K352" s="12" t="n">
        <v>348</v>
      </c>
      <c r="L352" s="9" t="n"/>
      <c r="M352" s="9" t="n"/>
      <c r="N352" s="9" t="n"/>
      <c r="O352" s="40">
        <f>K352+V352-AE352-AZ352</f>
        <v/>
      </c>
      <c r="P352" s="12" t="n"/>
      <c r="Q352" s="138" t="n"/>
      <c r="R352" s="16" t="n"/>
      <c r="S352" s="139" t="n"/>
      <c r="T352" s="16" t="n"/>
      <c r="U352" s="139" t="n"/>
      <c r="V352" s="16">
        <f>P352+R352+T352</f>
        <v/>
      </c>
      <c r="W352" s="16" t="n"/>
      <c r="X352" s="139" t="n"/>
      <c r="Y352" s="16" t="n"/>
      <c r="Z352" s="139" t="n"/>
      <c r="AA352" s="16" t="n"/>
      <c r="AB352" s="139" t="n"/>
      <c r="AC352" s="16" t="n"/>
      <c r="AD352" s="139" t="n"/>
      <c r="AE352" s="16">
        <f>(W352+Y352+AA352+AC352)</f>
        <v/>
      </c>
      <c r="AF352" s="140" t="n"/>
      <c r="AG352" s="138" t="n"/>
      <c r="AH352" s="16" t="n"/>
      <c r="AI352" s="138" t="n"/>
      <c r="AJ352" s="16" t="n"/>
      <c r="AK352" s="138" t="n"/>
      <c r="AL352" s="16" t="n"/>
      <c r="AM352" s="138" t="n"/>
      <c r="AN352" s="16" t="n"/>
      <c r="AO352" s="138" t="n"/>
      <c r="AP352" s="16" t="n"/>
      <c r="AQ352" s="138" t="n"/>
      <c r="AR352" s="16" t="n"/>
      <c r="AS352" s="138" t="n"/>
      <c r="AT352" s="16" t="n"/>
      <c r="AU352" s="138" t="n"/>
      <c r="AV352" s="16" t="n"/>
      <c r="AW352" s="138" t="n"/>
      <c r="AX352" s="16" t="n"/>
      <c r="AY352" s="138" t="n"/>
      <c r="AZ352" s="16">
        <f>AF352+AH352+AJ352+AL352+AN352+AP352+AR352+AT352+AV352+AX352</f>
        <v/>
      </c>
      <c r="BA352" s="16" t="n"/>
      <c r="BB352" s="139" t="n"/>
      <c r="BC352" s="16" t="n"/>
      <c r="BD352" s="139" t="n"/>
      <c r="BE352" s="16">
        <f>(BA352+BC352)</f>
        <v/>
      </c>
    </row>
    <row r="353" ht="22.5" customFormat="1" customHeight="1" s="8">
      <c r="A353" s="9" t="n"/>
      <c r="B353" s="136" t="inlineStr">
        <is>
          <t>ABS 난연</t>
        </is>
      </c>
      <c r="C353" s="137" t="inlineStr">
        <is>
          <t>ADX6000</t>
        </is>
      </c>
      <c r="D353" s="84" t="inlineStr">
        <is>
          <t>컬리메이터 BOTTOM 사출</t>
        </is>
      </c>
      <c r="E353" s="13" t="inlineStr">
        <is>
          <t>ABS 난연 화이트 + 스프레이</t>
        </is>
      </c>
      <c r="F353" s="100" t="n"/>
      <c r="G353" s="9" t="n"/>
      <c r="H353" s="9" t="inlineStr">
        <is>
          <t>천우</t>
        </is>
      </c>
      <c r="I353" s="14" t="n"/>
      <c r="J353" s="14" t="n"/>
      <c r="K353" s="12" t="n">
        <v>326</v>
      </c>
      <c r="L353" s="9" t="n"/>
      <c r="M353" s="9" t="n"/>
      <c r="N353" s="9" t="n"/>
      <c r="O353" s="40">
        <f>K353+V353-AE353-AZ353</f>
        <v/>
      </c>
      <c r="P353" s="12" t="n"/>
      <c r="Q353" s="138" t="n"/>
      <c r="R353" s="16" t="n"/>
      <c r="S353" s="139" t="n"/>
      <c r="T353" s="16" t="n"/>
      <c r="U353" s="139" t="n"/>
      <c r="V353" s="16">
        <f>P353+R353+T353</f>
        <v/>
      </c>
      <c r="W353" s="16" t="n"/>
      <c r="X353" s="139" t="n"/>
      <c r="Y353" s="16" t="n"/>
      <c r="Z353" s="139" t="n"/>
      <c r="AA353" s="16" t="n"/>
      <c r="AB353" s="139" t="n"/>
      <c r="AC353" s="16" t="n"/>
      <c r="AD353" s="139" t="n"/>
      <c r="AE353" s="16">
        <f>(W353+Y353+AA353+AC353)</f>
        <v/>
      </c>
      <c r="AF353" s="140" t="n"/>
      <c r="AG353" s="138" t="n"/>
      <c r="AH353" s="16" t="n"/>
      <c r="AI353" s="138" t="n"/>
      <c r="AJ353" s="16" t="n"/>
      <c r="AK353" s="138" t="n"/>
      <c r="AL353" s="16" t="n"/>
      <c r="AM353" s="138" t="n"/>
      <c r="AN353" s="16" t="n"/>
      <c r="AO353" s="138" t="n"/>
      <c r="AP353" s="16" t="n"/>
      <c r="AQ353" s="138" t="n"/>
      <c r="AR353" s="16" t="n"/>
      <c r="AS353" s="138" t="n"/>
      <c r="AT353" s="16" t="n"/>
      <c r="AU353" s="138" t="n"/>
      <c r="AV353" s="16" t="n"/>
      <c r="AW353" s="138" t="n"/>
      <c r="AX353" s="16" t="n"/>
      <c r="AY353" s="138" t="n"/>
      <c r="AZ353" s="16">
        <f>AF353+AH353+AJ353+AL353+AN353+AP353+AR353+AT353+AV353+AX353</f>
        <v/>
      </c>
      <c r="BA353" s="16" t="n"/>
      <c r="BB353" s="139" t="n"/>
      <c r="BC353" s="16" t="n"/>
      <c r="BD353" s="139" t="n"/>
      <c r="BE353" s="16">
        <f>(BA353+BC353)</f>
        <v/>
      </c>
    </row>
    <row r="354" ht="22.5" customFormat="1" customHeight="1" s="8">
      <c r="A354" s="9" t="n"/>
      <c r="B354" s="136" t="inlineStr">
        <is>
          <t>ABS 난연</t>
        </is>
      </c>
      <c r="C354" s="137" t="inlineStr">
        <is>
          <t>ADX6000</t>
        </is>
      </c>
      <c r="D354" s="84" t="inlineStr">
        <is>
          <t>컬리메이터 FRONT 사출</t>
        </is>
      </c>
      <c r="E354" s="13" t="inlineStr">
        <is>
          <t>ABS 난연 화이트 + 스프레이</t>
        </is>
      </c>
      <c r="F354" s="100" t="n"/>
      <c r="G354" s="9" t="n"/>
      <c r="H354" s="9" t="inlineStr">
        <is>
          <t>천우</t>
        </is>
      </c>
      <c r="I354" s="14" t="n"/>
      <c r="J354" s="14" t="n"/>
      <c r="K354" s="12" t="n">
        <v>306</v>
      </c>
      <c r="L354" s="9" t="n"/>
      <c r="M354" s="9" t="n"/>
      <c r="N354" s="9" t="n"/>
      <c r="O354" s="40">
        <f>K354+V354-AE354-AZ354</f>
        <v/>
      </c>
      <c r="P354" s="12" t="n"/>
      <c r="Q354" s="138" t="n"/>
      <c r="R354" s="16" t="n"/>
      <c r="S354" s="139" t="n"/>
      <c r="T354" s="16" t="n"/>
      <c r="U354" s="139" t="n"/>
      <c r="V354" s="16">
        <f>P354+R354+T354</f>
        <v/>
      </c>
      <c r="W354" s="16" t="n"/>
      <c r="X354" s="139" t="n"/>
      <c r="Y354" s="16" t="n"/>
      <c r="Z354" s="139" t="n"/>
      <c r="AA354" s="16" t="n"/>
      <c r="AB354" s="139" t="n"/>
      <c r="AC354" s="16" t="n"/>
      <c r="AD354" s="139" t="n"/>
      <c r="AE354" s="16">
        <f>(W354+Y354+AA354+AC354)</f>
        <v/>
      </c>
      <c r="AF354" s="140" t="n"/>
      <c r="AG354" s="138" t="n"/>
      <c r="AH354" s="16" t="n"/>
      <c r="AI354" s="138" t="n"/>
      <c r="AJ354" s="16" t="n"/>
      <c r="AK354" s="138" t="n"/>
      <c r="AL354" s="16" t="n"/>
      <c r="AM354" s="138" t="n"/>
      <c r="AN354" s="16" t="n"/>
      <c r="AO354" s="138" t="n"/>
      <c r="AP354" s="16" t="n"/>
      <c r="AQ354" s="138" t="n"/>
      <c r="AR354" s="16" t="n"/>
      <c r="AS354" s="138" t="n"/>
      <c r="AT354" s="16" t="n"/>
      <c r="AU354" s="138" t="n"/>
      <c r="AV354" s="16" t="n"/>
      <c r="AW354" s="138" t="n"/>
      <c r="AX354" s="16" t="n"/>
      <c r="AY354" s="138" t="n"/>
      <c r="AZ354" s="16">
        <f>AF354+AH354+AJ354+AL354+AN354+AP354+AR354+AT354+AV354+AX354</f>
        <v/>
      </c>
      <c r="BA354" s="16" t="n"/>
      <c r="BB354" s="139" t="n"/>
      <c r="BC354" s="16" t="n"/>
      <c r="BD354" s="139" t="n"/>
      <c r="BE354" s="16">
        <f>(BA354+BC354)</f>
        <v/>
      </c>
    </row>
    <row r="355" ht="22.5" customFormat="1" customHeight="1" s="8">
      <c r="A355" s="9" t="n"/>
      <c r="B355" s="136" t="inlineStr">
        <is>
          <t>ABS 난연</t>
        </is>
      </c>
      <c r="C355" s="137" t="inlineStr">
        <is>
          <t>ADX6000</t>
        </is>
      </c>
      <c r="D355" s="84" t="inlineStr">
        <is>
          <t>컬리메이터 FRONT 사출</t>
        </is>
      </c>
      <c r="E355" s="13" t="inlineStr">
        <is>
          <t>ABS 난연 화이트 + 스프레이(블랙무광)</t>
        </is>
      </c>
      <c r="F355" s="100" t="n"/>
      <c r="G355" s="9" t="n"/>
      <c r="H355" s="9" t="inlineStr">
        <is>
          <t>천우</t>
        </is>
      </c>
      <c r="I355" s="14" t="n"/>
      <c r="J355" s="14" t="n"/>
      <c r="K355" s="12" t="n">
        <v>0</v>
      </c>
      <c r="L355" s="9" t="n"/>
      <c r="M355" s="9" t="n"/>
      <c r="N355" s="9" t="n"/>
      <c r="O355" s="40">
        <f>K355+V355-AE355-AZ355</f>
        <v/>
      </c>
      <c r="P355" s="12" t="n"/>
      <c r="Q355" s="138" t="n"/>
      <c r="R355" s="16" t="n"/>
      <c r="S355" s="139" t="n"/>
      <c r="T355" s="16" t="n"/>
      <c r="U355" s="139" t="n"/>
      <c r="V355" s="16">
        <f>P355+R355+T355</f>
        <v/>
      </c>
      <c r="W355" s="16" t="n"/>
      <c r="X355" s="139" t="n"/>
      <c r="Y355" s="16" t="n"/>
      <c r="Z355" s="139" t="n"/>
      <c r="AA355" s="16" t="n"/>
      <c r="AB355" s="139" t="n"/>
      <c r="AC355" s="16" t="n"/>
      <c r="AD355" s="139" t="n"/>
      <c r="AE355" s="16">
        <f>(W355+Y355+AA355+AC355)</f>
        <v/>
      </c>
      <c r="AF355" s="140" t="n"/>
      <c r="AG355" s="138" t="n"/>
      <c r="AH355" s="16" t="n"/>
      <c r="AI355" s="138" t="n"/>
      <c r="AJ355" s="16" t="n"/>
      <c r="AK355" s="138" t="n"/>
      <c r="AL355" s="16" t="n"/>
      <c r="AM355" s="138" t="n"/>
      <c r="AN355" s="16" t="n"/>
      <c r="AO355" s="138" t="n"/>
      <c r="AP355" s="16" t="n"/>
      <c r="AQ355" s="138" t="n"/>
      <c r="AR355" s="16" t="n"/>
      <c r="AS355" s="138" t="n"/>
      <c r="AT355" s="16" t="n"/>
      <c r="AU355" s="138" t="n"/>
      <c r="AV355" s="16" t="n"/>
      <c r="AW355" s="138" t="n"/>
      <c r="AX355" s="16" t="n"/>
      <c r="AY355" s="138" t="n"/>
      <c r="AZ355" s="16">
        <f>AF355+AH355+AJ355+AL355+AN355+AP355+AR355+AT355+AV355+AX355</f>
        <v/>
      </c>
      <c r="BA355" s="16" t="n"/>
      <c r="BB355" s="139" t="n"/>
      <c r="BC355" s="16" t="n"/>
      <c r="BD355" s="139" t="n"/>
      <c r="BE355" s="16">
        <f>(BA355+BC355)</f>
        <v/>
      </c>
    </row>
    <row r="356" ht="22.5" customFormat="1" customHeight="1" s="8">
      <c r="A356" s="9" t="n"/>
      <c r="B356" s="136" t="inlineStr">
        <is>
          <t>ABS 난연</t>
        </is>
      </c>
      <c r="C356" s="137" t="inlineStr">
        <is>
          <t>ADX6000</t>
        </is>
      </c>
      <c r="D356" s="84" t="inlineStr">
        <is>
          <t>일체형 컬리메이터</t>
        </is>
      </c>
      <c r="E356" s="13" t="inlineStr">
        <is>
          <t>ABS 난연 블랙</t>
        </is>
      </c>
      <c r="F356" s="100" t="n"/>
      <c r="G356" s="9" t="n"/>
      <c r="H356" s="9" t="inlineStr">
        <is>
          <t>금오몰드</t>
        </is>
      </c>
      <c r="I356" s="14" t="n"/>
      <c r="J356" s="14" t="n"/>
      <c r="K356" s="12" t="n">
        <v>0</v>
      </c>
      <c r="L356" s="9" t="n"/>
      <c r="M356" s="9" t="n"/>
      <c r="N356" s="9" t="n"/>
      <c r="O356" s="40">
        <f>K356+V356-AE356-AZ356</f>
        <v/>
      </c>
      <c r="P356" s="12" t="n"/>
      <c r="Q356" s="138" t="n"/>
      <c r="R356" s="16" t="n"/>
      <c r="S356" s="139" t="n"/>
      <c r="T356" s="16" t="n"/>
      <c r="U356" s="139" t="n"/>
      <c r="V356" s="16">
        <f>P356+R356+T356</f>
        <v/>
      </c>
      <c r="W356" s="16" t="n"/>
      <c r="X356" s="139" t="n"/>
      <c r="Y356" s="16" t="n"/>
      <c r="Z356" s="139" t="n"/>
      <c r="AA356" s="16" t="n"/>
      <c r="AB356" s="139" t="n"/>
      <c r="AC356" s="16" t="n"/>
      <c r="AD356" s="139" t="n"/>
      <c r="AE356" s="16">
        <f>(W356+Y356+AA356+AC356)</f>
        <v/>
      </c>
      <c r="AF356" s="140" t="n"/>
      <c r="AG356" s="138" t="n"/>
      <c r="AH356" s="16" t="n"/>
      <c r="AI356" s="138" t="n"/>
      <c r="AJ356" s="16" t="n"/>
      <c r="AK356" s="138" t="n"/>
      <c r="AL356" s="16" t="n"/>
      <c r="AM356" s="138" t="n"/>
      <c r="AN356" s="16" t="n"/>
      <c r="AO356" s="138" t="n"/>
      <c r="AP356" s="16" t="n"/>
      <c r="AQ356" s="138" t="n"/>
      <c r="AR356" s="16" t="n"/>
      <c r="AS356" s="138" t="n"/>
      <c r="AT356" s="16" t="n"/>
      <c r="AU356" s="138" t="n"/>
      <c r="AV356" s="16" t="n"/>
      <c r="AW356" s="138" t="n"/>
      <c r="AX356" s="16" t="n"/>
      <c r="AY356" s="138" t="n"/>
      <c r="AZ356" s="16">
        <f>AF356+AH356+AJ356+AL356+AN356+AP356+AR356+AT356+AV356+AX356</f>
        <v/>
      </c>
      <c r="BA356" s="16" t="n"/>
      <c r="BB356" s="139" t="n"/>
      <c r="BC356" s="16" t="n"/>
      <c r="BD356" s="139" t="n"/>
      <c r="BE356" s="16">
        <f>(BA356+BC356)</f>
        <v/>
      </c>
    </row>
    <row r="357" ht="22.5" customFormat="1" customHeight="1" s="8">
      <c r="A357" s="9" t="n"/>
      <c r="B357" s="136" t="inlineStr">
        <is>
          <t>ABS 난연</t>
        </is>
      </c>
      <c r="C357" s="137" t="inlineStr">
        <is>
          <t>ADX6000</t>
        </is>
      </c>
      <c r="D357" s="84" t="inlineStr">
        <is>
          <t>LCD Cover 사출</t>
        </is>
      </c>
      <c r="E357" s="13" t="inlineStr">
        <is>
          <t>ABS 난연 화이트+ 색바랜 노란색 398</t>
        </is>
      </c>
      <c r="F357" s="100" t="n"/>
      <c r="G357" s="9" t="n"/>
      <c r="H357" s="9" t="inlineStr">
        <is>
          <t>천우</t>
        </is>
      </c>
      <c r="I357" s="14" t="n"/>
      <c r="J357" s="14" t="n"/>
      <c r="K357" s="12" t="n">
        <v>327</v>
      </c>
      <c r="L357" s="9" t="n"/>
      <c r="M357" s="9" t="n"/>
      <c r="N357" s="9" t="n"/>
      <c r="O357" s="40">
        <f>K357+V357-AE357-AZ357</f>
        <v/>
      </c>
      <c r="P357" s="12" t="n"/>
      <c r="Q357" s="138" t="n"/>
      <c r="R357" s="16" t="n"/>
      <c r="S357" s="139" t="n"/>
      <c r="T357" s="16" t="n"/>
      <c r="U357" s="139" t="n"/>
      <c r="V357" s="16">
        <f>P357+R357+T357</f>
        <v/>
      </c>
      <c r="W357" s="16" t="n"/>
      <c r="X357" s="139" t="n"/>
      <c r="Y357" s="16" t="n"/>
      <c r="Z357" s="139" t="n"/>
      <c r="AA357" s="16" t="n"/>
      <c r="AB357" s="139" t="n"/>
      <c r="AC357" s="16" t="n"/>
      <c r="AD357" s="139" t="n"/>
      <c r="AE357" s="16">
        <f>(W357+Y357+AA357+AC357)</f>
        <v/>
      </c>
      <c r="AF357" s="140" t="n"/>
      <c r="AG357" s="138" t="n"/>
      <c r="AH357" s="16" t="n"/>
      <c r="AI357" s="138" t="n"/>
      <c r="AJ357" s="16" t="n"/>
      <c r="AK357" s="138" t="n"/>
      <c r="AL357" s="16" t="n"/>
      <c r="AM357" s="138" t="n"/>
      <c r="AN357" s="16" t="n"/>
      <c r="AO357" s="138" t="n"/>
      <c r="AP357" s="16" t="n"/>
      <c r="AQ357" s="138" t="n"/>
      <c r="AR357" s="16" t="n"/>
      <c r="AS357" s="138" t="n"/>
      <c r="AT357" s="16" t="n"/>
      <c r="AU357" s="138" t="n"/>
      <c r="AV357" s="16" t="n"/>
      <c r="AW357" s="138" t="n"/>
      <c r="AX357" s="16" t="n"/>
      <c r="AY357" s="138" t="n"/>
      <c r="AZ357" s="16">
        <f>AF357+AH357+AJ357+AL357+AN357+AP357+AR357+AT357+AV357+AX357</f>
        <v/>
      </c>
      <c r="BA357" s="16" t="n"/>
      <c r="BB357" s="139" t="n"/>
      <c r="BC357" s="16" t="n"/>
      <c r="BD357" s="139" t="n"/>
      <c r="BE357" s="16">
        <f>(BA357+BC357)</f>
        <v/>
      </c>
    </row>
    <row r="358" ht="22.5" customFormat="1" customHeight="1" s="8">
      <c r="A358" s="9" t="n"/>
      <c r="B358" s="136" t="inlineStr">
        <is>
          <t>ABS 난연</t>
        </is>
      </c>
      <c r="C358" s="137" t="inlineStr">
        <is>
          <t>ADX6000</t>
        </is>
      </c>
      <c r="D358" s="84" t="inlineStr">
        <is>
          <t xml:space="preserve">LCD Inner Cover 사출 </t>
        </is>
      </c>
      <c r="E358" s="13" t="inlineStr">
        <is>
          <t>ABS 난연 화이트 + 스프레이</t>
        </is>
      </c>
      <c r="F358" s="100" t="n"/>
      <c r="G358" s="9" t="n"/>
      <c r="H358" s="9" t="inlineStr">
        <is>
          <t>천우</t>
        </is>
      </c>
      <c r="I358" s="14" t="n"/>
      <c r="J358" s="14" t="n"/>
      <c r="K358" s="12" t="n">
        <v>355</v>
      </c>
      <c r="L358" s="9" t="n"/>
      <c r="M358" s="9" t="n"/>
      <c r="N358" s="9" t="n"/>
      <c r="O358" s="40">
        <f>K358+V358-AE358-AZ358</f>
        <v/>
      </c>
      <c r="P358" s="12" t="n"/>
      <c r="Q358" s="138" t="n"/>
      <c r="R358" s="16" t="n"/>
      <c r="S358" s="139" t="n"/>
      <c r="T358" s="16" t="n"/>
      <c r="U358" s="139" t="n"/>
      <c r="V358" s="16">
        <f>P358+R358+T358</f>
        <v/>
      </c>
      <c r="W358" s="16" t="n"/>
      <c r="X358" s="139" t="n"/>
      <c r="Y358" s="16" t="n"/>
      <c r="Z358" s="139" t="n"/>
      <c r="AA358" s="16" t="n"/>
      <c r="AB358" s="139" t="n"/>
      <c r="AC358" s="16" t="n"/>
      <c r="AD358" s="139" t="n"/>
      <c r="AE358" s="16">
        <f>(W358+Y358+AA358+AC358)</f>
        <v/>
      </c>
      <c r="AF358" s="140" t="n"/>
      <c r="AG358" s="138" t="n"/>
      <c r="AH358" s="16" t="n"/>
      <c r="AI358" s="138" t="n"/>
      <c r="AJ358" s="16" t="n"/>
      <c r="AK358" s="138" t="n"/>
      <c r="AL358" s="16" t="n"/>
      <c r="AM358" s="138" t="n"/>
      <c r="AN358" s="16" t="n"/>
      <c r="AO358" s="138" t="n"/>
      <c r="AP358" s="16" t="n"/>
      <c r="AQ358" s="138" t="n"/>
      <c r="AR358" s="16" t="n"/>
      <c r="AS358" s="138" t="n"/>
      <c r="AT358" s="16" t="n"/>
      <c r="AU358" s="138" t="n"/>
      <c r="AV358" s="16" t="n"/>
      <c r="AW358" s="138" t="n"/>
      <c r="AX358" s="16" t="n"/>
      <c r="AY358" s="138" t="n"/>
      <c r="AZ358" s="16">
        <f>AF358+AH358+AJ358+AL358+AN358+AP358+AR358+AT358+AV358+AX358</f>
        <v/>
      </c>
      <c r="BA358" s="16" t="n"/>
      <c r="BB358" s="139" t="n"/>
      <c r="BC358" s="16" t="n"/>
      <c r="BD358" s="139" t="n"/>
      <c r="BE358" s="16">
        <f>(BA358+BC358)</f>
        <v/>
      </c>
    </row>
    <row r="359" ht="22.5" customFormat="1" customHeight="1" s="8">
      <c r="A359" s="9" t="n"/>
      <c r="B359" s="136" t="inlineStr">
        <is>
          <t>ABS 난연</t>
        </is>
      </c>
      <c r="C359" s="137" t="inlineStr">
        <is>
          <t>ADX6000</t>
        </is>
      </c>
      <c r="D359" s="84" t="inlineStr">
        <is>
          <t>LCD 힌지 사출 커버 TOP</t>
        </is>
      </c>
      <c r="E359" s="13" t="inlineStr">
        <is>
          <t>ABS 난연 화이트 + 스프레이</t>
        </is>
      </c>
      <c r="F359" s="100" t="n"/>
      <c r="G359" s="9" t="n"/>
      <c r="H359" s="9" t="inlineStr">
        <is>
          <t>천우</t>
        </is>
      </c>
      <c r="I359" s="14" t="n"/>
      <c r="J359" s="14" t="n"/>
      <c r="K359" s="12" t="n">
        <v>0</v>
      </c>
      <c r="L359" s="9" t="n"/>
      <c r="M359" s="9" t="n"/>
      <c r="N359" s="9" t="n"/>
      <c r="O359" s="40">
        <f>K359+V359-AE359-AZ359</f>
        <v/>
      </c>
      <c r="P359" s="12" t="n"/>
      <c r="Q359" s="138" t="n"/>
      <c r="R359" s="16" t="n"/>
      <c r="S359" s="139" t="n"/>
      <c r="T359" s="16" t="n"/>
      <c r="U359" s="139" t="n"/>
      <c r="V359" s="16">
        <f>P359+R359+T359</f>
        <v/>
      </c>
      <c r="W359" s="16" t="n"/>
      <c r="X359" s="139" t="n"/>
      <c r="Y359" s="16" t="n"/>
      <c r="Z359" s="139" t="n"/>
      <c r="AA359" s="16" t="n"/>
      <c r="AB359" s="139" t="n"/>
      <c r="AC359" s="16" t="n"/>
      <c r="AD359" s="139" t="n"/>
      <c r="AE359" s="16">
        <f>(W359+Y359+AA359+AC359)</f>
        <v/>
      </c>
      <c r="AF359" s="140" t="n"/>
      <c r="AG359" s="138" t="n"/>
      <c r="AH359" s="16" t="n"/>
      <c r="AI359" s="138" t="n"/>
      <c r="AJ359" s="16" t="n"/>
      <c r="AK359" s="138" t="n"/>
      <c r="AL359" s="16" t="n"/>
      <c r="AM359" s="138" t="n"/>
      <c r="AN359" s="16" t="n"/>
      <c r="AO359" s="138" t="n"/>
      <c r="AP359" s="16" t="n"/>
      <c r="AQ359" s="138" t="n"/>
      <c r="AR359" s="16" t="n"/>
      <c r="AS359" s="138" t="n"/>
      <c r="AT359" s="16" t="n"/>
      <c r="AU359" s="138" t="n"/>
      <c r="AV359" s="16" t="n"/>
      <c r="AW359" s="138" t="n"/>
      <c r="AX359" s="16" t="n"/>
      <c r="AY359" s="138" t="n"/>
      <c r="AZ359" s="16">
        <f>AF359+AH359+AJ359+AL359+AN359+AP359+AR359+AT359+AV359+AX359</f>
        <v/>
      </c>
      <c r="BA359" s="16" t="n"/>
      <c r="BB359" s="139" t="n"/>
      <c r="BC359" s="16" t="n"/>
      <c r="BD359" s="139" t="n"/>
      <c r="BE359" s="16">
        <f>(BA359+BC359)</f>
        <v/>
      </c>
    </row>
    <row r="360" ht="22.5" customFormat="1" customHeight="1" s="8">
      <c r="A360" s="9" t="n"/>
      <c r="B360" s="136" t="inlineStr">
        <is>
          <t>ABS 난연</t>
        </is>
      </c>
      <c r="C360" s="137" t="inlineStr">
        <is>
          <t>ADX6000</t>
        </is>
      </c>
      <c r="D360" s="84" t="inlineStr">
        <is>
          <t>LCD 힌지 사출 커버 BOTTOM</t>
        </is>
      </c>
      <c r="E360" s="13" t="inlineStr">
        <is>
          <t>ABS 난연 화이트 + 스프레이</t>
        </is>
      </c>
      <c r="F360" s="100" t="n"/>
      <c r="G360" s="9" t="n"/>
      <c r="H360" s="9" t="inlineStr">
        <is>
          <t>천우</t>
        </is>
      </c>
      <c r="I360" s="14" t="n"/>
      <c r="J360" s="14" t="n"/>
      <c r="K360" s="12" t="n">
        <v>26</v>
      </c>
      <c r="L360" s="9" t="n"/>
      <c r="M360" s="9" t="n"/>
      <c r="N360" s="9" t="n"/>
      <c r="O360" s="40">
        <f>K360+V360-AE360-AZ360</f>
        <v/>
      </c>
      <c r="P360" s="12" t="n"/>
      <c r="Q360" s="138" t="n"/>
      <c r="R360" s="16" t="n"/>
      <c r="S360" s="139" t="n"/>
      <c r="T360" s="16" t="n"/>
      <c r="U360" s="139" t="n"/>
      <c r="V360" s="16">
        <f>P360+R360+T360</f>
        <v/>
      </c>
      <c r="W360" s="16" t="n"/>
      <c r="X360" s="139" t="n"/>
      <c r="Y360" s="16" t="n"/>
      <c r="Z360" s="139" t="n"/>
      <c r="AA360" s="16" t="n"/>
      <c r="AB360" s="139" t="n"/>
      <c r="AC360" s="16" t="n"/>
      <c r="AD360" s="139" t="n"/>
      <c r="AE360" s="16">
        <f>(W360+Y360+AA360+AC360)</f>
        <v/>
      </c>
      <c r="AF360" s="140" t="n"/>
      <c r="AG360" s="138" t="n"/>
      <c r="AH360" s="16" t="n"/>
      <c r="AI360" s="138" t="n"/>
      <c r="AJ360" s="16" t="n"/>
      <c r="AK360" s="138" t="n"/>
      <c r="AL360" s="16" t="n"/>
      <c r="AM360" s="138" t="n"/>
      <c r="AN360" s="16" t="n"/>
      <c r="AO360" s="138" t="n"/>
      <c r="AP360" s="16" t="n"/>
      <c r="AQ360" s="138" t="n"/>
      <c r="AR360" s="16" t="n"/>
      <c r="AS360" s="138" t="n"/>
      <c r="AT360" s="16" t="n"/>
      <c r="AU360" s="138" t="n"/>
      <c r="AV360" s="16" t="n"/>
      <c r="AW360" s="138" t="n"/>
      <c r="AX360" s="16" t="n"/>
      <c r="AY360" s="138" t="n"/>
      <c r="AZ360" s="16">
        <f>AF360+AH360+AJ360+AL360+AN360+AP360+AR360+AT360+AV360+AX360</f>
        <v/>
      </c>
      <c r="BA360" s="16" t="n"/>
      <c r="BB360" s="139" t="n"/>
      <c r="BC360" s="16" t="n"/>
      <c r="BD360" s="139" t="n"/>
      <c r="BE360" s="16">
        <f>(BA360+BC360)</f>
        <v/>
      </c>
    </row>
    <row r="361" ht="22.5" customFormat="1" customHeight="1" s="8">
      <c r="A361" s="9" t="n"/>
      <c r="B361" s="136" t="inlineStr">
        <is>
          <t>ABS 난연</t>
        </is>
      </c>
      <c r="C361" s="137" t="inlineStr">
        <is>
          <t>ADX6000</t>
        </is>
      </c>
      <c r="D361" s="84" t="inlineStr">
        <is>
          <t>LCD 사출 나사 커버</t>
        </is>
      </c>
      <c r="E361" s="13" t="inlineStr">
        <is>
          <t>ABS 난연 화이트 + 스프레이</t>
        </is>
      </c>
      <c r="F361" s="100" t="n"/>
      <c r="G361" s="9" t="n"/>
      <c r="H361" s="9" t="inlineStr">
        <is>
          <t>천우</t>
        </is>
      </c>
      <c r="I361" s="14" t="n"/>
      <c r="J361" s="14" t="n"/>
      <c r="K361" s="12" t="n">
        <v>1009</v>
      </c>
      <c r="L361" s="9" t="n"/>
      <c r="M361" s="9" t="n"/>
      <c r="N361" s="9" t="n"/>
      <c r="O361" s="40">
        <f>K361+V361-AE361-AZ361</f>
        <v/>
      </c>
      <c r="P361" s="12" t="n"/>
      <c r="Q361" s="138" t="n"/>
      <c r="R361" s="16" t="n"/>
      <c r="S361" s="139" t="n"/>
      <c r="T361" s="16" t="n"/>
      <c r="U361" s="139" t="n"/>
      <c r="V361" s="16">
        <f>P361+R361+T361</f>
        <v/>
      </c>
      <c r="W361" s="16" t="n"/>
      <c r="X361" s="139" t="n"/>
      <c r="Y361" s="16" t="n"/>
      <c r="Z361" s="139" t="n"/>
      <c r="AA361" s="16" t="n"/>
      <c r="AB361" s="139" t="n"/>
      <c r="AC361" s="16" t="n"/>
      <c r="AD361" s="139" t="n"/>
      <c r="AE361" s="16">
        <f>(W361+Y361+AA361+AC361)</f>
        <v/>
      </c>
      <c r="AF361" s="140" t="n"/>
      <c r="AG361" s="138" t="n"/>
      <c r="AH361" s="16" t="n"/>
      <c r="AI361" s="138" t="n"/>
      <c r="AJ361" s="16" t="n"/>
      <c r="AK361" s="138" t="n"/>
      <c r="AL361" s="16" t="n"/>
      <c r="AM361" s="138" t="n"/>
      <c r="AN361" s="16" t="n"/>
      <c r="AO361" s="138" t="n"/>
      <c r="AP361" s="16" t="n"/>
      <c r="AQ361" s="138" t="n"/>
      <c r="AR361" s="16" t="n"/>
      <c r="AS361" s="138" t="n"/>
      <c r="AT361" s="16" t="n"/>
      <c r="AU361" s="138" t="n"/>
      <c r="AV361" s="16" t="n"/>
      <c r="AW361" s="138" t="n"/>
      <c r="AX361" s="16" t="n"/>
      <c r="AY361" s="138" t="n"/>
      <c r="AZ361" s="16">
        <f>AF361+AH361+AJ361+AL361+AN361+AP361+AR361+AT361+AV361+AX361</f>
        <v/>
      </c>
      <c r="BA361" s="16" t="n"/>
      <c r="BB361" s="139" t="n"/>
      <c r="BC361" s="16" t="n"/>
      <c r="BD361" s="139" t="n"/>
      <c r="BE361" s="16">
        <f>(BA361+BC361)</f>
        <v/>
      </c>
    </row>
    <row r="362" ht="22.5" customFormat="1" customHeight="1" s="8">
      <c r="A362" s="9" t="n"/>
      <c r="B362" s="136" t="inlineStr">
        <is>
          <t>ABS 난연</t>
        </is>
      </c>
      <c r="C362" s="137" t="inlineStr">
        <is>
          <t>ADX6000</t>
        </is>
      </c>
      <c r="D362" s="85" t="inlineStr">
        <is>
          <t>Main PC 거치대 사출</t>
        </is>
      </c>
      <c r="E362" s="13" t="inlineStr">
        <is>
          <t>ABS 난연 화이트</t>
        </is>
      </c>
      <c r="F362" s="100" t="n"/>
      <c r="G362" s="9" t="n"/>
      <c r="H362" s="9" t="inlineStr">
        <is>
          <t>천우</t>
        </is>
      </c>
      <c r="I362" s="14" t="n"/>
      <c r="J362" s="14" t="n"/>
      <c r="K362" s="12" t="n">
        <v>335</v>
      </c>
      <c r="L362" s="9" t="n"/>
      <c r="M362" s="9" t="n"/>
      <c r="N362" s="9" t="n"/>
      <c r="O362" s="40">
        <f>K362+V362-AE362-AZ362</f>
        <v/>
      </c>
      <c r="P362" s="12" t="n"/>
      <c r="Q362" s="138" t="n"/>
      <c r="R362" s="16" t="n"/>
      <c r="S362" s="139" t="n"/>
      <c r="T362" s="16" t="n"/>
      <c r="U362" s="139" t="n"/>
      <c r="V362" s="16">
        <f>P362+R362+T362</f>
        <v/>
      </c>
      <c r="W362" s="16" t="n"/>
      <c r="X362" s="139" t="n"/>
      <c r="Y362" s="16" t="n"/>
      <c r="Z362" s="139" t="n"/>
      <c r="AA362" s="16" t="n"/>
      <c r="AB362" s="139" t="n"/>
      <c r="AC362" s="16" t="n"/>
      <c r="AD362" s="139" t="n"/>
      <c r="AE362" s="16">
        <f>(W362+Y362+AA362+AC362)</f>
        <v/>
      </c>
      <c r="AF362" s="140" t="n"/>
      <c r="AG362" s="138" t="n"/>
      <c r="AH362" s="16" t="n"/>
      <c r="AI362" s="138" t="n"/>
      <c r="AJ362" s="16" t="n"/>
      <c r="AK362" s="138" t="n"/>
      <c r="AL362" s="16" t="n"/>
      <c r="AM362" s="138" t="n"/>
      <c r="AN362" s="16" t="n"/>
      <c r="AO362" s="138" t="n"/>
      <c r="AP362" s="16" t="n"/>
      <c r="AQ362" s="138" t="n"/>
      <c r="AR362" s="16" t="n"/>
      <c r="AS362" s="138" t="n"/>
      <c r="AT362" s="16" t="n"/>
      <c r="AU362" s="138" t="n"/>
      <c r="AV362" s="16" t="n"/>
      <c r="AW362" s="138" t="n"/>
      <c r="AX362" s="16" t="n"/>
      <c r="AY362" s="138" t="n"/>
      <c r="AZ362" s="16">
        <f>AF362+AH362+AJ362+AL362+AN362+AP362+AR362+AT362+AV362+AX362</f>
        <v/>
      </c>
      <c r="BA362" s="16" t="n"/>
      <c r="BB362" s="139" t="n"/>
      <c r="BC362" s="16" t="n"/>
      <c r="BD362" s="139" t="n"/>
      <c r="BE362" s="16">
        <f>(BA362+BC362)</f>
        <v/>
      </c>
    </row>
    <row r="363" ht="22.5" customFormat="1" customHeight="1" s="8">
      <c r="A363" s="9" t="n"/>
      <c r="B363" s="136" t="inlineStr">
        <is>
          <t>ABS 난연</t>
        </is>
      </c>
      <c r="C363" s="137" t="inlineStr">
        <is>
          <t>ADX6000</t>
        </is>
      </c>
      <c r="D363" s="60" t="inlineStr">
        <is>
          <t>BODY LEFT 사출</t>
        </is>
      </c>
      <c r="E363" s="13" t="inlineStr">
        <is>
          <t>ABS 난연 화이트 + 스프레이</t>
        </is>
      </c>
      <c r="F363" s="100" t="n"/>
      <c r="G363" s="9" t="n"/>
      <c r="H363" s="9" t="inlineStr">
        <is>
          <t>천우</t>
        </is>
      </c>
      <c r="I363" s="14" t="n"/>
      <c r="J363" s="14" t="n"/>
      <c r="K363" s="12" t="n">
        <v>0</v>
      </c>
      <c r="L363" s="9" t="n"/>
      <c r="M363" s="9" t="n"/>
      <c r="N363" s="9" t="n"/>
      <c r="O363" s="40">
        <f>K363+V363-AE363-AZ363</f>
        <v/>
      </c>
      <c r="P363" s="12" t="n"/>
      <c r="Q363" s="138" t="n"/>
      <c r="R363" s="16" t="n"/>
      <c r="S363" s="139" t="n"/>
      <c r="T363" s="16" t="n"/>
      <c r="U363" s="139" t="n"/>
      <c r="V363" s="16">
        <f>P363+R363+T363</f>
        <v/>
      </c>
      <c r="W363" s="16" t="n"/>
      <c r="X363" s="139" t="n"/>
      <c r="Y363" s="16" t="n"/>
      <c r="Z363" s="139" t="n"/>
      <c r="AA363" s="16" t="n"/>
      <c r="AB363" s="139" t="n"/>
      <c r="AC363" s="16" t="n"/>
      <c r="AD363" s="139" t="n"/>
      <c r="AE363" s="16">
        <f>(W363+Y363+AA363+AC363)</f>
        <v/>
      </c>
      <c r="AF363" s="140" t="n"/>
      <c r="AG363" s="138" t="n"/>
      <c r="AH363" s="16" t="n"/>
      <c r="AI363" s="138" t="n"/>
      <c r="AJ363" s="16" t="n"/>
      <c r="AK363" s="138" t="n"/>
      <c r="AL363" s="16" t="n"/>
      <c r="AM363" s="138" t="n"/>
      <c r="AN363" s="16" t="n"/>
      <c r="AO363" s="138" t="n"/>
      <c r="AP363" s="16" t="n"/>
      <c r="AQ363" s="138" t="n"/>
      <c r="AR363" s="16" t="n"/>
      <c r="AS363" s="138" t="n"/>
      <c r="AT363" s="16" t="n"/>
      <c r="AU363" s="138" t="n"/>
      <c r="AV363" s="16" t="n"/>
      <c r="AW363" s="138" t="n"/>
      <c r="AX363" s="16" t="n"/>
      <c r="AY363" s="138" t="n"/>
      <c r="AZ363" s="16">
        <f>AF363+AH363+AJ363+AL363+AN363+AP363+AR363+AT363+AV363+AX363</f>
        <v/>
      </c>
      <c r="BA363" s="16" t="n"/>
      <c r="BB363" s="139" t="n"/>
      <c r="BC363" s="16" t="n"/>
      <c r="BD363" s="139" t="n"/>
      <c r="BE363" s="16">
        <f>(BA363+BC363)</f>
        <v/>
      </c>
    </row>
    <row r="364" ht="22.5" customFormat="1" customHeight="1" s="8">
      <c r="A364" s="9" t="n"/>
      <c r="B364" s="136" t="inlineStr">
        <is>
          <t>ABS 난연</t>
        </is>
      </c>
      <c r="C364" s="137" t="inlineStr">
        <is>
          <t>ADX6000</t>
        </is>
      </c>
      <c r="D364" s="85" t="inlineStr">
        <is>
          <t>BODY LEFT 사출 배터리 커버</t>
        </is>
      </c>
      <c r="E364" s="13" t="inlineStr">
        <is>
          <t>ABS 난연 화이트 + 스프레이</t>
        </is>
      </c>
      <c r="F364" s="100" t="n"/>
      <c r="G364" s="9" t="n"/>
      <c r="H364" s="9" t="inlineStr">
        <is>
          <t>천우</t>
        </is>
      </c>
      <c r="I364" s="14" t="n"/>
      <c r="J364" s="14" t="n"/>
      <c r="K364" s="12" t="n">
        <v>536</v>
      </c>
      <c r="L364" s="9" t="n"/>
      <c r="M364" s="9" t="n"/>
      <c r="N364" s="9" t="n"/>
      <c r="O364" s="40">
        <f>K364+V364-AE364-AZ364</f>
        <v/>
      </c>
      <c r="P364" s="12" t="n"/>
      <c r="Q364" s="138" t="n"/>
      <c r="R364" s="16" t="n"/>
      <c r="S364" s="139" t="n"/>
      <c r="T364" s="16" t="n"/>
      <c r="U364" s="139" t="n"/>
      <c r="V364" s="16">
        <f>P364+R364+T364</f>
        <v/>
      </c>
      <c r="W364" s="16" t="n"/>
      <c r="X364" s="139" t="n"/>
      <c r="Y364" s="16" t="n"/>
      <c r="Z364" s="139" t="n"/>
      <c r="AA364" s="16" t="n"/>
      <c r="AB364" s="139" t="n"/>
      <c r="AC364" s="16" t="n"/>
      <c r="AD364" s="139" t="n"/>
      <c r="AE364" s="16">
        <f>(W364+Y364+AA364+AC364)</f>
        <v/>
      </c>
      <c r="AF364" s="140" t="n"/>
      <c r="AG364" s="138" t="n"/>
      <c r="AH364" s="16" t="n"/>
      <c r="AI364" s="138" t="n"/>
      <c r="AJ364" s="16" t="n"/>
      <c r="AK364" s="138" t="n"/>
      <c r="AL364" s="16" t="n"/>
      <c r="AM364" s="138" t="n"/>
      <c r="AN364" s="16" t="n"/>
      <c r="AO364" s="138" t="n"/>
      <c r="AP364" s="16" t="n"/>
      <c r="AQ364" s="138" t="n"/>
      <c r="AR364" s="16" t="n"/>
      <c r="AS364" s="138" t="n"/>
      <c r="AT364" s="16" t="n"/>
      <c r="AU364" s="138" t="n"/>
      <c r="AV364" s="16" t="n"/>
      <c r="AW364" s="138" t="n"/>
      <c r="AX364" s="16" t="n"/>
      <c r="AY364" s="138" t="n"/>
      <c r="AZ364" s="16">
        <f>AF364+AH364+AJ364+AL364+AN364+AP364+AR364+AT364+AV364+AX364</f>
        <v/>
      </c>
      <c r="BA364" s="16" t="n"/>
      <c r="BB364" s="139" t="n"/>
      <c r="BC364" s="16" t="n"/>
      <c r="BD364" s="139" t="n"/>
      <c r="BE364" s="16">
        <f>(BA364+BC364)</f>
        <v/>
      </c>
    </row>
    <row r="365" ht="22.5" customFormat="1" customHeight="1" s="8">
      <c r="A365" s="9" t="n"/>
      <c r="B365" s="136" t="inlineStr">
        <is>
          <t>ABS 난연</t>
        </is>
      </c>
      <c r="C365" s="137" t="inlineStr">
        <is>
          <t>ADX6000</t>
        </is>
      </c>
      <c r="D365" s="101" t="inlineStr">
        <is>
          <t>BODY RIGHT 사출</t>
        </is>
      </c>
      <c r="E365" s="13" t="inlineStr">
        <is>
          <t>ABS 난연 화이트 + 스프레이</t>
        </is>
      </c>
      <c r="F365" s="100" t="n"/>
      <c r="G365" s="9" t="n"/>
      <c r="H365" s="9" t="inlineStr">
        <is>
          <t>천우</t>
        </is>
      </c>
      <c r="I365" s="14" t="n"/>
      <c r="J365" s="14" t="n"/>
      <c r="K365" s="12" t="n">
        <v>8</v>
      </c>
      <c r="L365" s="9" t="n"/>
      <c r="M365" s="9" t="n"/>
      <c r="N365" s="9" t="n"/>
      <c r="O365" s="40">
        <f>K365+V365-AE365-AZ365</f>
        <v/>
      </c>
      <c r="P365" s="12" t="n"/>
      <c r="Q365" s="138" t="n"/>
      <c r="R365" s="16" t="n"/>
      <c r="S365" s="139" t="n"/>
      <c r="T365" s="16" t="n"/>
      <c r="U365" s="139" t="n"/>
      <c r="V365" s="16">
        <f>P365+R365+T365</f>
        <v/>
      </c>
      <c r="W365" s="16" t="n"/>
      <c r="X365" s="139" t="n"/>
      <c r="Y365" s="16" t="n"/>
      <c r="Z365" s="139" t="n"/>
      <c r="AA365" s="16" t="n"/>
      <c r="AB365" s="139" t="n"/>
      <c r="AC365" s="16" t="n"/>
      <c r="AD365" s="139" t="n"/>
      <c r="AE365" s="16">
        <f>(W365+Y365+AA365+AC365)</f>
        <v/>
      </c>
      <c r="AF365" s="140" t="n"/>
      <c r="AG365" s="138" t="n"/>
      <c r="AH365" s="16" t="n"/>
      <c r="AI365" s="138" t="n"/>
      <c r="AJ365" s="16" t="n"/>
      <c r="AK365" s="138" t="n"/>
      <c r="AL365" s="16" t="n"/>
      <c r="AM365" s="138" t="n"/>
      <c r="AN365" s="16" t="n"/>
      <c r="AO365" s="138" t="n"/>
      <c r="AP365" s="16" t="n"/>
      <c r="AQ365" s="138" t="n"/>
      <c r="AR365" s="16" t="n"/>
      <c r="AS365" s="138" t="n"/>
      <c r="AT365" s="16" t="n"/>
      <c r="AU365" s="138" t="n"/>
      <c r="AV365" s="16" t="n"/>
      <c r="AW365" s="138" t="n"/>
      <c r="AX365" s="16" t="n"/>
      <c r="AY365" s="138" t="n"/>
      <c r="AZ365" s="16">
        <f>AF365+AH365+AJ365+AL365+AN365+AP365+AR365+AT365+AV365+AX365</f>
        <v/>
      </c>
      <c r="BA365" s="16" t="n"/>
      <c r="BB365" s="139" t="n"/>
      <c r="BC365" s="16" t="n"/>
      <c r="BD365" s="139" t="n"/>
      <c r="BE365" s="16">
        <f>(BA365+BC365)</f>
        <v/>
      </c>
    </row>
    <row r="366" ht="22.5" customFormat="1" customHeight="1" s="8">
      <c r="A366" s="9" t="n"/>
      <c r="B366" s="136" t="inlineStr">
        <is>
          <t>ABS 난연</t>
        </is>
      </c>
      <c r="C366" s="137" t="inlineStr">
        <is>
          <t>ADX6000</t>
        </is>
      </c>
      <c r="D366" s="84" t="inlineStr">
        <is>
          <t>HANDLE LEFT 사출</t>
        </is>
      </c>
      <c r="E366" s="13" t="inlineStr">
        <is>
          <t>ABS 난연 화이트 + 스프레이</t>
        </is>
      </c>
      <c r="F366" s="100" t="n"/>
      <c r="G366" s="9" t="n"/>
      <c r="H366" s="9" t="inlineStr">
        <is>
          <t>천우</t>
        </is>
      </c>
      <c r="I366" s="14" t="n"/>
      <c r="J366" s="14" t="n"/>
      <c r="K366" s="12" t="n">
        <v>586</v>
      </c>
      <c r="L366" s="9" t="n"/>
      <c r="M366" s="9" t="n"/>
      <c r="N366" s="9" t="n"/>
      <c r="O366" s="40">
        <f>K366+V366-AE366-AZ366</f>
        <v/>
      </c>
      <c r="P366" s="12" t="n"/>
      <c r="Q366" s="138" t="n"/>
      <c r="R366" s="16" t="n"/>
      <c r="S366" s="139" t="n"/>
      <c r="T366" s="16" t="n"/>
      <c r="U366" s="139" t="n"/>
      <c r="V366" s="16">
        <f>P366+R366+T366</f>
        <v/>
      </c>
      <c r="W366" s="16" t="n"/>
      <c r="X366" s="139" t="n"/>
      <c r="Y366" s="16" t="n"/>
      <c r="Z366" s="139" t="n"/>
      <c r="AA366" s="16" t="n"/>
      <c r="AB366" s="139" t="n"/>
      <c r="AC366" s="16" t="n"/>
      <c r="AD366" s="139" t="n"/>
      <c r="AE366" s="16">
        <f>(W366+Y366+AA366+AC366)</f>
        <v/>
      </c>
      <c r="AF366" s="140" t="n"/>
      <c r="AG366" s="138" t="n"/>
      <c r="AH366" s="16" t="n"/>
      <c r="AI366" s="138" t="n"/>
      <c r="AJ366" s="16" t="n"/>
      <c r="AK366" s="138" t="n"/>
      <c r="AL366" s="16" t="n"/>
      <c r="AM366" s="138" t="n"/>
      <c r="AN366" s="16" t="n"/>
      <c r="AO366" s="138" t="n"/>
      <c r="AP366" s="16" t="n"/>
      <c r="AQ366" s="138" t="n"/>
      <c r="AR366" s="16" t="n"/>
      <c r="AS366" s="138" t="n"/>
      <c r="AT366" s="16" t="n"/>
      <c r="AU366" s="138" t="n"/>
      <c r="AV366" s="16" t="n"/>
      <c r="AW366" s="138" t="n"/>
      <c r="AX366" s="16" t="n"/>
      <c r="AY366" s="138" t="n"/>
      <c r="AZ366" s="16">
        <f>AF366+AH366+AJ366+AL366+AN366+AP366+AR366+AT366+AV366+AX366</f>
        <v/>
      </c>
      <c r="BA366" s="16" t="n"/>
      <c r="BB366" s="139" t="n"/>
      <c r="BC366" s="16" t="n"/>
      <c r="BD366" s="139" t="n"/>
      <c r="BE366" s="16">
        <f>(BA366+BC366)</f>
        <v/>
      </c>
    </row>
    <row r="367" ht="22.5" customFormat="1" customHeight="1" s="8">
      <c r="A367" s="9" t="n"/>
      <c r="B367" s="136" t="inlineStr">
        <is>
          <t>ABS 난연</t>
        </is>
      </c>
      <c r="C367" s="137" t="inlineStr">
        <is>
          <t>ADX6000</t>
        </is>
      </c>
      <c r="D367" s="85" t="inlineStr">
        <is>
          <t>HANDLE RIGHT 사출</t>
        </is>
      </c>
      <c r="E367" s="13" t="inlineStr">
        <is>
          <t>ABS 난연 화이트 + 스프레이</t>
        </is>
      </c>
      <c r="F367" s="100" t="n"/>
      <c r="G367" s="9" t="n"/>
      <c r="H367" s="9" t="inlineStr">
        <is>
          <t>천우</t>
        </is>
      </c>
      <c r="I367" s="14" t="n"/>
      <c r="J367" s="14" t="n"/>
      <c r="K367" s="12" t="n">
        <v>309</v>
      </c>
      <c r="L367" s="9" t="n"/>
      <c r="M367" s="9" t="n"/>
      <c r="N367" s="9" t="n"/>
      <c r="O367" s="40">
        <f>K367+V367-AE367-AZ367</f>
        <v/>
      </c>
      <c r="P367" s="12" t="n"/>
      <c r="Q367" s="138" t="n"/>
      <c r="R367" s="16" t="n"/>
      <c r="S367" s="139" t="n"/>
      <c r="T367" s="16" t="n"/>
      <c r="U367" s="139" t="n"/>
      <c r="V367" s="16">
        <f>P367+R367+T367</f>
        <v/>
      </c>
      <c r="W367" s="16" t="n"/>
      <c r="X367" s="139" t="n"/>
      <c r="Y367" s="16" t="n"/>
      <c r="Z367" s="139" t="n"/>
      <c r="AA367" s="16" t="n"/>
      <c r="AB367" s="139" t="n"/>
      <c r="AC367" s="16" t="n"/>
      <c r="AD367" s="139" t="n"/>
      <c r="AE367" s="16">
        <f>(W367+Y367+AA367+AC367)</f>
        <v/>
      </c>
      <c r="AF367" s="140" t="n"/>
      <c r="AG367" s="138" t="n"/>
      <c r="AH367" s="16" t="n"/>
      <c r="AI367" s="138" t="n"/>
      <c r="AJ367" s="16" t="n"/>
      <c r="AK367" s="138" t="n"/>
      <c r="AL367" s="16" t="n"/>
      <c r="AM367" s="138" t="n"/>
      <c r="AN367" s="16" t="n"/>
      <c r="AO367" s="138" t="n"/>
      <c r="AP367" s="16" t="n"/>
      <c r="AQ367" s="138" t="n"/>
      <c r="AR367" s="16" t="n"/>
      <c r="AS367" s="138" t="n"/>
      <c r="AT367" s="16" t="n"/>
      <c r="AU367" s="138" t="n"/>
      <c r="AV367" s="16" t="n"/>
      <c r="AW367" s="138" t="n"/>
      <c r="AX367" s="16" t="n"/>
      <c r="AY367" s="138" t="n"/>
      <c r="AZ367" s="16">
        <f>AF367+AH367+AJ367+AL367+AN367+AP367+AR367+AT367+AV367+AX367</f>
        <v/>
      </c>
      <c r="BA367" s="16" t="n"/>
      <c r="BB367" s="139" t="n"/>
      <c r="BC367" s="16" t="n"/>
      <c r="BD367" s="139" t="n"/>
      <c r="BE367" s="16">
        <f>(BA367+BC367)</f>
        <v/>
      </c>
    </row>
    <row r="368" ht="22.5" customFormat="1" customHeight="1" s="8">
      <c r="A368" s="9" t="n"/>
      <c r="B368" s="136" t="inlineStr">
        <is>
          <t>ABS 난연</t>
        </is>
      </c>
      <c r="C368" s="137" t="inlineStr">
        <is>
          <t>ADX6000</t>
        </is>
      </c>
      <c r="D368" s="86" t="inlineStr">
        <is>
          <t>CRADLE TOP 사출</t>
        </is>
      </c>
      <c r="E368" s="23" t="inlineStr">
        <is>
          <t>ABS 난연 화이트 + 스프레이</t>
        </is>
      </c>
      <c r="F368" s="100" t="n"/>
      <c r="G368" s="9" t="n"/>
      <c r="H368" s="9" t="inlineStr">
        <is>
          <t>천우</t>
        </is>
      </c>
      <c r="I368" s="14" t="n"/>
      <c r="J368" s="14" t="n"/>
      <c r="K368" s="12" t="n">
        <v>109</v>
      </c>
      <c r="L368" s="9" t="n"/>
      <c r="M368" s="9" t="n"/>
      <c r="N368" s="9" t="n"/>
      <c r="O368" s="40">
        <f>K368+V368-AE368-AZ368</f>
        <v/>
      </c>
      <c r="P368" s="12" t="n"/>
      <c r="Q368" s="138" t="n"/>
      <c r="R368" s="16" t="n"/>
      <c r="S368" s="139" t="n"/>
      <c r="T368" s="16" t="n"/>
      <c r="U368" s="139" t="n"/>
      <c r="V368" s="16">
        <f>P368+R368+T368</f>
        <v/>
      </c>
      <c r="W368" s="16" t="n"/>
      <c r="X368" s="139" t="n"/>
      <c r="Y368" s="16" t="n"/>
      <c r="Z368" s="139" t="n"/>
      <c r="AA368" s="16" t="n"/>
      <c r="AB368" s="139" t="n"/>
      <c r="AC368" s="16" t="n"/>
      <c r="AD368" s="139" t="n"/>
      <c r="AE368" s="16">
        <f>(W368+Y368+AA368+AC368)</f>
        <v/>
      </c>
      <c r="AF368" s="140" t="n"/>
      <c r="AG368" s="138" t="n"/>
      <c r="AH368" s="16" t="n"/>
      <c r="AI368" s="138" t="n"/>
      <c r="AJ368" s="16" t="n"/>
      <c r="AK368" s="138" t="n"/>
      <c r="AL368" s="16" t="n"/>
      <c r="AM368" s="138" t="n"/>
      <c r="AN368" s="16" t="n"/>
      <c r="AO368" s="138" t="n"/>
      <c r="AP368" s="16" t="n"/>
      <c r="AQ368" s="138" t="n"/>
      <c r="AR368" s="16" t="n"/>
      <c r="AS368" s="138" t="n"/>
      <c r="AT368" s="16" t="n"/>
      <c r="AU368" s="138" t="n"/>
      <c r="AV368" s="16" t="n"/>
      <c r="AW368" s="138" t="n"/>
      <c r="AX368" s="16" t="n"/>
      <c r="AY368" s="138" t="n"/>
      <c r="AZ368" s="16">
        <f>AF368+AH368+AJ368+AL368+AN368+AP368+AR368+AT368+AV368+AX368</f>
        <v/>
      </c>
      <c r="BA368" s="16" t="n"/>
      <c r="BB368" s="139" t="n"/>
      <c r="BC368" s="16" t="n"/>
      <c r="BD368" s="139" t="n"/>
      <c r="BE368" s="16">
        <f>(BA368+BC368)</f>
        <v/>
      </c>
    </row>
    <row r="369" ht="22.5" customFormat="1" customHeight="1" s="8">
      <c r="A369" s="9" t="n"/>
      <c r="B369" s="136" t="inlineStr">
        <is>
          <t>ABS 난연</t>
        </is>
      </c>
      <c r="C369" s="137" t="inlineStr">
        <is>
          <t>ADX6000</t>
        </is>
      </c>
      <c r="D369" s="85" t="inlineStr">
        <is>
          <t>CRADLE BOTTOM 사출</t>
        </is>
      </c>
      <c r="E369" s="23" t="inlineStr">
        <is>
          <t>ABS 난연 화이트 + 스프레이 블랙</t>
        </is>
      </c>
      <c r="F369" s="100" t="n"/>
      <c r="G369" s="9" t="n"/>
      <c r="H369" s="9" t="inlineStr">
        <is>
          <t>천우</t>
        </is>
      </c>
      <c r="I369" s="14" t="n"/>
      <c r="J369" s="14" t="n"/>
      <c r="K369" s="12" t="n">
        <v>21</v>
      </c>
      <c r="L369" s="9" t="n"/>
      <c r="M369" s="9" t="n"/>
      <c r="N369" s="9" t="n"/>
      <c r="O369" s="40">
        <f>K369+V369-AE369-AZ369</f>
        <v/>
      </c>
      <c r="P369" s="12" t="n"/>
      <c r="Q369" s="138" t="n"/>
      <c r="R369" s="16" t="n"/>
      <c r="S369" s="139" t="n"/>
      <c r="T369" s="16" t="n"/>
      <c r="U369" s="139" t="n"/>
      <c r="V369" s="16">
        <f>P369+R369+T369</f>
        <v/>
      </c>
      <c r="W369" s="16" t="n"/>
      <c r="X369" s="139" t="n"/>
      <c r="Y369" s="16" t="n"/>
      <c r="Z369" s="139" t="n"/>
      <c r="AA369" s="16" t="n"/>
      <c r="AB369" s="139" t="n"/>
      <c r="AC369" s="16" t="n"/>
      <c r="AD369" s="139" t="n"/>
      <c r="AE369" s="16">
        <f>(W369+Y369+AA369+AC369)</f>
        <v/>
      </c>
      <c r="AF369" s="140" t="n"/>
      <c r="AG369" s="138" t="n"/>
      <c r="AH369" s="16" t="n"/>
      <c r="AI369" s="138" t="n"/>
      <c r="AJ369" s="16" t="n"/>
      <c r="AK369" s="138" t="n"/>
      <c r="AL369" s="16" t="n"/>
      <c r="AM369" s="138" t="n"/>
      <c r="AN369" s="16" t="n"/>
      <c r="AO369" s="138" t="n"/>
      <c r="AP369" s="16" t="n"/>
      <c r="AQ369" s="138" t="n"/>
      <c r="AR369" s="16" t="n"/>
      <c r="AS369" s="138" t="n"/>
      <c r="AT369" s="16" t="n"/>
      <c r="AU369" s="138" t="n"/>
      <c r="AV369" s="16" t="n"/>
      <c r="AW369" s="138" t="n"/>
      <c r="AX369" s="16" t="n"/>
      <c r="AY369" s="138" t="n"/>
      <c r="AZ369" s="16">
        <f>AF369+AH369+AJ369+AL369+AN369+AP369+AR369+AT369+AV369+AX369</f>
        <v/>
      </c>
      <c r="BA369" s="16" t="n"/>
      <c r="BB369" s="139" t="n"/>
      <c r="BC369" s="16" t="n"/>
      <c r="BD369" s="139" t="n"/>
      <c r="BE369" s="16">
        <f>(BA369+BC369)</f>
        <v/>
      </c>
    </row>
    <row r="370" ht="22.5" customFormat="1" customHeight="1" s="8">
      <c r="A370" s="9" t="n"/>
      <c r="B370" s="136" t="inlineStr">
        <is>
          <t>ABS 난연</t>
        </is>
      </c>
      <c r="C370" s="137" t="inlineStr">
        <is>
          <t>ADX6000</t>
        </is>
      </c>
      <c r="D370" s="63" t="inlineStr">
        <is>
          <t>CRADLE LED Guide 사출</t>
        </is>
      </c>
      <c r="E370" s="23" t="inlineStr">
        <is>
          <t>ABS 난연 화이트 + 스프레이</t>
        </is>
      </c>
      <c r="F370" s="100" t="n"/>
      <c r="G370" s="9" t="n"/>
      <c r="H370" s="9" t="inlineStr">
        <is>
          <t>천우</t>
        </is>
      </c>
      <c r="I370" s="14" t="n"/>
      <c r="J370" s="14" t="n"/>
      <c r="K370" s="12" t="n">
        <v>193</v>
      </c>
      <c r="L370" s="9" t="n"/>
      <c r="M370" s="9" t="n"/>
      <c r="N370" s="9" t="n"/>
      <c r="O370" s="40">
        <f>K370+V370-AE370-AZ370</f>
        <v/>
      </c>
      <c r="P370" s="12" t="n"/>
      <c r="Q370" s="138" t="n"/>
      <c r="R370" s="16" t="n"/>
      <c r="S370" s="139" t="n"/>
      <c r="T370" s="16" t="n"/>
      <c r="U370" s="139" t="n"/>
      <c r="V370" s="16">
        <f>P370+R370+T370</f>
        <v/>
      </c>
      <c r="W370" s="16" t="n"/>
      <c r="X370" s="139" t="n"/>
      <c r="Y370" s="16" t="n"/>
      <c r="Z370" s="139" t="n"/>
      <c r="AA370" s="16" t="n"/>
      <c r="AB370" s="139" t="n"/>
      <c r="AC370" s="16" t="n"/>
      <c r="AD370" s="139" t="n"/>
      <c r="AE370" s="16">
        <f>(W370+Y370+AA370+AC370)</f>
        <v/>
      </c>
      <c r="AF370" s="140" t="n"/>
      <c r="AG370" s="138" t="n"/>
      <c r="AH370" s="16" t="n"/>
      <c r="AI370" s="138" t="n"/>
      <c r="AJ370" s="16" t="n"/>
      <c r="AK370" s="138" t="n"/>
      <c r="AL370" s="16" t="n"/>
      <c r="AM370" s="138" t="n"/>
      <c r="AN370" s="16" t="n"/>
      <c r="AO370" s="138" t="n"/>
      <c r="AP370" s="16" t="n"/>
      <c r="AQ370" s="138" t="n"/>
      <c r="AR370" s="16" t="n"/>
      <c r="AS370" s="138" t="n"/>
      <c r="AT370" s="16" t="n"/>
      <c r="AU370" s="138" t="n"/>
      <c r="AV370" s="16" t="n"/>
      <c r="AW370" s="138" t="n"/>
      <c r="AX370" s="16" t="n"/>
      <c r="AY370" s="138" t="n"/>
      <c r="AZ370" s="16">
        <f>AF370+AH370+AJ370+AL370+AN370+AP370+AR370+AT370+AV370+AX370</f>
        <v/>
      </c>
      <c r="BA370" s="16" t="n"/>
      <c r="BB370" s="139" t="n"/>
      <c r="BC370" s="16" t="n"/>
      <c r="BD370" s="139" t="n"/>
      <c r="BE370" s="16">
        <f>(BA370+BC370)</f>
        <v/>
      </c>
    </row>
    <row r="371" ht="22.5" customFormat="1" customHeight="1" s="8">
      <c r="A371" s="9" t="n"/>
      <c r="B371" s="136" t="inlineStr">
        <is>
          <t>ABS 난연</t>
        </is>
      </c>
      <c r="C371" s="137" t="inlineStr">
        <is>
          <t>ADX6000</t>
        </is>
      </c>
      <c r="D371" s="63" t="inlineStr">
        <is>
          <t>리모콘 포트 가이드</t>
        </is>
      </c>
      <c r="E371" s="13" t="inlineStr">
        <is>
          <t>ABS 난연 화이트</t>
        </is>
      </c>
      <c r="F371" s="100" t="n"/>
      <c r="G371" s="9" t="n"/>
      <c r="H371" s="9" t="inlineStr">
        <is>
          <t>월드씨앤피</t>
        </is>
      </c>
      <c r="I371" s="14" t="n"/>
      <c r="J371" s="14" t="n"/>
      <c r="K371" s="12" t="n">
        <v>352</v>
      </c>
      <c r="L371" s="9" t="n"/>
      <c r="M371" s="9" t="n"/>
      <c r="N371" s="9" t="n"/>
      <c r="O371" s="40">
        <f>K371+V371-AE371-AZ371</f>
        <v/>
      </c>
      <c r="P371" s="12" t="n"/>
      <c r="Q371" s="138" t="n"/>
      <c r="R371" s="16" t="n"/>
      <c r="S371" s="139" t="n"/>
      <c r="T371" s="16" t="n"/>
      <c r="U371" s="139" t="n"/>
      <c r="V371" s="16">
        <f>P371+R371+T371</f>
        <v/>
      </c>
      <c r="W371" s="16" t="n"/>
      <c r="X371" s="139" t="n"/>
      <c r="Y371" s="16" t="n"/>
      <c r="Z371" s="139" t="n"/>
      <c r="AA371" s="16" t="n"/>
      <c r="AB371" s="139" t="n"/>
      <c r="AC371" s="16" t="n"/>
      <c r="AD371" s="139" t="n"/>
      <c r="AE371" s="16">
        <f>(W371+Y371+AA371+AC371)</f>
        <v/>
      </c>
      <c r="AF371" s="140" t="n"/>
      <c r="AG371" s="138" t="n"/>
      <c r="AH371" s="16" t="n"/>
      <c r="AI371" s="138" t="n"/>
      <c r="AJ371" s="16" t="n"/>
      <c r="AK371" s="138" t="n"/>
      <c r="AL371" s="16" t="n"/>
      <c r="AM371" s="138" t="n"/>
      <c r="AN371" s="16" t="n"/>
      <c r="AO371" s="138" t="n"/>
      <c r="AP371" s="16" t="n"/>
      <c r="AQ371" s="138" t="n"/>
      <c r="AR371" s="16" t="n"/>
      <c r="AS371" s="138" t="n"/>
      <c r="AT371" s="16" t="n"/>
      <c r="AU371" s="138" t="n"/>
      <c r="AV371" s="16" t="n"/>
      <c r="AW371" s="138" t="n"/>
      <c r="AX371" s="16" t="n"/>
      <c r="AY371" s="138" t="n"/>
      <c r="AZ371" s="16">
        <f>AF371+AH371+AJ371+AL371+AN371+AP371+AR371+AT371+AV371+AX371</f>
        <v/>
      </c>
      <c r="BA371" s="16" t="n"/>
      <c r="BB371" s="139" t="n"/>
      <c r="BC371" s="16" t="n"/>
      <c r="BD371" s="139" t="n"/>
      <c r="BE371" s="16">
        <f>(BA371+BC371)</f>
        <v/>
      </c>
    </row>
    <row r="372" ht="22.5" customFormat="1" customHeight="1" s="8">
      <c r="A372" s="9" t="n"/>
      <c r="B372" s="136" t="inlineStr">
        <is>
          <t>아크릴</t>
        </is>
      </c>
      <c r="C372" s="137" t="inlineStr">
        <is>
          <t>ADX6000</t>
        </is>
      </c>
      <c r="D372" s="60" t="inlineStr">
        <is>
          <t>Power Button 사출</t>
        </is>
      </c>
      <c r="E372" s="23" t="inlineStr">
        <is>
          <t>스모그 투명 아크릴</t>
        </is>
      </c>
      <c r="F372" s="100" t="n"/>
      <c r="G372" s="9" t="n"/>
      <c r="H372" s="9" t="inlineStr">
        <is>
          <t>천우</t>
        </is>
      </c>
      <c r="I372" s="14" t="n"/>
      <c r="J372" s="14" t="n"/>
      <c r="K372" s="12" t="n">
        <v>379</v>
      </c>
      <c r="L372" s="9" t="n"/>
      <c r="M372" s="9" t="n"/>
      <c r="N372" s="9" t="n"/>
      <c r="O372" s="40">
        <f>K372+V372-AE372-AZ372</f>
        <v/>
      </c>
      <c r="P372" s="12" t="n"/>
      <c r="Q372" s="138" t="n"/>
      <c r="R372" s="16" t="n"/>
      <c r="S372" s="139" t="n"/>
      <c r="T372" s="16" t="n"/>
      <c r="U372" s="139" t="n"/>
      <c r="V372" s="16">
        <f>P372+R372+T372</f>
        <v/>
      </c>
      <c r="W372" s="16" t="n"/>
      <c r="X372" s="139" t="n"/>
      <c r="Y372" s="16" t="n"/>
      <c r="Z372" s="139" t="n"/>
      <c r="AA372" s="16" t="n"/>
      <c r="AB372" s="139" t="n"/>
      <c r="AC372" s="16" t="n"/>
      <c r="AD372" s="139" t="n"/>
      <c r="AE372" s="16">
        <f>(W372+Y372+AA372+AC372)</f>
        <v/>
      </c>
      <c r="AF372" s="140" t="n"/>
      <c r="AG372" s="138" t="n"/>
      <c r="AH372" s="16" t="n"/>
      <c r="AI372" s="138" t="n"/>
      <c r="AJ372" s="16" t="n"/>
      <c r="AK372" s="138" t="n"/>
      <c r="AL372" s="16" t="n"/>
      <c r="AM372" s="138" t="n"/>
      <c r="AN372" s="16" t="n"/>
      <c r="AO372" s="138" t="n"/>
      <c r="AP372" s="16" t="n"/>
      <c r="AQ372" s="138" t="n"/>
      <c r="AR372" s="16" t="n"/>
      <c r="AS372" s="138" t="n"/>
      <c r="AT372" s="16" t="n"/>
      <c r="AU372" s="138" t="n"/>
      <c r="AV372" s="16" t="n"/>
      <c r="AW372" s="138" t="n"/>
      <c r="AX372" s="16" t="n"/>
      <c r="AY372" s="138" t="n"/>
      <c r="AZ372" s="16">
        <f>AF372+AH372+AJ372+AL372+AN372+AP372+AR372+AT372+AV372+AX372</f>
        <v/>
      </c>
      <c r="BA372" s="16" t="n"/>
      <c r="BB372" s="139" t="n"/>
      <c r="BC372" s="16" t="n"/>
      <c r="BD372" s="139" t="n"/>
      <c r="BE372" s="16">
        <f>(BA372+BC372)</f>
        <v/>
      </c>
    </row>
    <row r="373" ht="22.5" customFormat="1" customHeight="1" s="8">
      <c r="A373" s="9" t="n"/>
      <c r="B373" s="136" t="inlineStr">
        <is>
          <t>아크릴</t>
        </is>
      </c>
      <c r="C373" s="137" t="inlineStr">
        <is>
          <t>ADX6000</t>
        </is>
      </c>
      <c r="D373" s="85" t="inlineStr">
        <is>
          <t>Black Deco Guide</t>
        </is>
      </c>
      <c r="E373" s="23" t="inlineStr">
        <is>
          <t>스모그 투명 아크릴</t>
        </is>
      </c>
      <c r="F373" s="100" t="n"/>
      <c r="G373" s="9" t="n"/>
      <c r="H373" s="9" t="inlineStr">
        <is>
          <t>천우</t>
        </is>
      </c>
      <c r="I373" s="14" t="n"/>
      <c r="J373" s="14" t="n"/>
      <c r="K373" s="12" t="n">
        <v>4</v>
      </c>
      <c r="L373" s="9" t="n"/>
      <c r="M373" s="9" t="n"/>
      <c r="N373" s="9" t="n"/>
      <c r="O373" s="40">
        <f>K373+V373-AE373-AZ373</f>
        <v/>
      </c>
      <c r="P373" s="12" t="n"/>
      <c r="Q373" s="138" t="n"/>
      <c r="R373" s="16" t="n"/>
      <c r="S373" s="139" t="n"/>
      <c r="T373" s="16" t="n"/>
      <c r="U373" s="139" t="n"/>
      <c r="V373" s="16">
        <f>P373+R373+T373</f>
        <v/>
      </c>
      <c r="W373" s="16" t="n"/>
      <c r="X373" s="139" t="n"/>
      <c r="Y373" s="16" t="n"/>
      <c r="Z373" s="139" t="n"/>
      <c r="AA373" s="16" t="n"/>
      <c r="AB373" s="139" t="n"/>
      <c r="AC373" s="16" t="n"/>
      <c r="AD373" s="139" t="n"/>
      <c r="AE373" s="16">
        <f>(W373+Y373+AA373+AC373)</f>
        <v/>
      </c>
      <c r="AF373" s="140" t="n"/>
      <c r="AG373" s="138" t="n"/>
      <c r="AH373" s="16" t="n"/>
      <c r="AI373" s="138" t="n"/>
      <c r="AJ373" s="16" t="n"/>
      <c r="AK373" s="138" t="n"/>
      <c r="AL373" s="16" t="n"/>
      <c r="AM373" s="138" t="n"/>
      <c r="AN373" s="16" t="n"/>
      <c r="AO373" s="138" t="n"/>
      <c r="AP373" s="16" t="n"/>
      <c r="AQ373" s="138" t="n"/>
      <c r="AR373" s="16" t="n"/>
      <c r="AS373" s="138" t="n"/>
      <c r="AT373" s="16" t="n"/>
      <c r="AU373" s="138" t="n"/>
      <c r="AV373" s="16" t="n"/>
      <c r="AW373" s="138" t="n"/>
      <c r="AX373" s="16" t="n"/>
      <c r="AY373" s="138" t="n"/>
      <c r="AZ373" s="16">
        <f>AF373+AH373+AJ373+AL373+AN373+AP373+AR373+AT373+AV373+AX373</f>
        <v/>
      </c>
      <c r="BA373" s="16" t="n"/>
      <c r="BB373" s="139" t="n"/>
      <c r="BC373" s="16" t="n"/>
      <c r="BD373" s="139" t="n"/>
      <c r="BE373" s="16">
        <f>(BA373+BC373)</f>
        <v/>
      </c>
    </row>
    <row r="374" ht="22.5" customFormat="1" customHeight="1" s="8">
      <c r="A374" s="9" t="n"/>
      <c r="B374" s="136" t="inlineStr">
        <is>
          <t>아크릴</t>
        </is>
      </c>
      <c r="C374" s="137" t="inlineStr">
        <is>
          <t>ADX6000</t>
        </is>
      </c>
      <c r="D374" s="84" t="inlineStr">
        <is>
          <t>EX Button 사출</t>
        </is>
      </c>
      <c r="E374" s="23" t="inlineStr">
        <is>
          <t>스모그 투명 아크릴</t>
        </is>
      </c>
      <c r="F374" s="100" t="n"/>
      <c r="G374" s="9" t="n"/>
      <c r="H374" s="9" t="inlineStr">
        <is>
          <t>천우</t>
        </is>
      </c>
      <c r="I374" s="14" t="n"/>
      <c r="J374" s="14" t="n"/>
      <c r="K374" s="12" t="n">
        <v>575</v>
      </c>
      <c r="L374" s="9" t="n"/>
      <c r="M374" s="9" t="n"/>
      <c r="N374" s="9" t="n"/>
      <c r="O374" s="40">
        <f>K374+V374-AE374-AZ374</f>
        <v/>
      </c>
      <c r="P374" s="12" t="n"/>
      <c r="Q374" s="138" t="n"/>
      <c r="R374" s="16" t="n"/>
      <c r="S374" s="139" t="n"/>
      <c r="T374" s="16" t="n"/>
      <c r="U374" s="139" t="n"/>
      <c r="V374" s="16">
        <f>P374+R374+T374</f>
        <v/>
      </c>
      <c r="W374" s="16" t="n"/>
      <c r="X374" s="139" t="n"/>
      <c r="Y374" s="16" t="n"/>
      <c r="Z374" s="139" t="n"/>
      <c r="AA374" s="16" t="n"/>
      <c r="AB374" s="139" t="n"/>
      <c r="AC374" s="16" t="n"/>
      <c r="AD374" s="139" t="n"/>
      <c r="AE374" s="16">
        <f>(W374+Y374+AA374+AC374)</f>
        <v/>
      </c>
      <c r="AF374" s="140" t="n"/>
      <c r="AG374" s="138" t="n"/>
      <c r="AH374" s="16" t="n"/>
      <c r="AI374" s="138" t="n"/>
      <c r="AJ374" s="16" t="n"/>
      <c r="AK374" s="138" t="n"/>
      <c r="AL374" s="16" t="n"/>
      <c r="AM374" s="138" t="n"/>
      <c r="AN374" s="16" t="n"/>
      <c r="AO374" s="138" t="n"/>
      <c r="AP374" s="16" t="n"/>
      <c r="AQ374" s="138" t="n"/>
      <c r="AR374" s="16" t="n"/>
      <c r="AS374" s="138" t="n"/>
      <c r="AT374" s="16" t="n"/>
      <c r="AU374" s="138" t="n"/>
      <c r="AV374" s="16" t="n"/>
      <c r="AW374" s="138" t="n"/>
      <c r="AX374" s="16" t="n"/>
      <c r="AY374" s="138" t="n"/>
      <c r="AZ374" s="16">
        <f>AF374+AH374+AJ374+AL374+AN374+AP374+AR374+AT374+AV374+AX374</f>
        <v/>
      </c>
      <c r="BA374" s="16" t="n"/>
      <c r="BB374" s="139" t="n"/>
      <c r="BC374" s="16" t="n"/>
      <c r="BD374" s="139" t="n"/>
      <c r="BE374" s="16">
        <f>(BA374+BC374)</f>
        <v/>
      </c>
    </row>
    <row r="375" ht="22.5" customFormat="1" customHeight="1" s="8">
      <c r="A375" s="9" t="n"/>
      <c r="B375" s="136" t="inlineStr">
        <is>
          <t>아크릴</t>
        </is>
      </c>
      <c r="C375" s="137" t="inlineStr">
        <is>
          <t>ADX6000</t>
        </is>
      </c>
      <c r="D375" s="84" t="inlineStr">
        <is>
          <t>LCD 아크릴 가이드</t>
        </is>
      </c>
      <c r="E375" s="23" t="inlineStr">
        <is>
          <t>투명 아크릴</t>
        </is>
      </c>
      <c r="F375" s="100" t="n"/>
      <c r="G375" s="9" t="n"/>
      <c r="H375" s="9" t="inlineStr">
        <is>
          <t>아크릴최가</t>
        </is>
      </c>
      <c r="I375" s="14" t="n"/>
      <c r="J375" s="14" t="n"/>
      <c r="K375" s="12" t="n">
        <v>56</v>
      </c>
      <c r="L375" s="9" t="n"/>
      <c r="M375" s="9" t="n"/>
      <c r="N375" s="9" t="n"/>
      <c r="O375" s="40">
        <f>K375+V375-AE375-AZ375</f>
        <v/>
      </c>
      <c r="P375" s="12" t="n"/>
      <c r="Q375" s="138" t="n"/>
      <c r="R375" s="16" t="n"/>
      <c r="S375" s="139" t="n"/>
      <c r="T375" s="16" t="n"/>
      <c r="U375" s="139" t="n"/>
      <c r="V375" s="16">
        <f>P375+R375+T375</f>
        <v/>
      </c>
      <c r="W375" s="16" t="n"/>
      <c r="X375" s="139" t="n"/>
      <c r="Y375" s="16" t="n"/>
      <c r="Z375" s="139" t="n"/>
      <c r="AA375" s="16" t="n"/>
      <c r="AB375" s="139" t="n"/>
      <c r="AC375" s="16" t="n"/>
      <c r="AD375" s="139" t="n"/>
      <c r="AE375" s="16">
        <f>(W375+Y375+AA375+AC375)</f>
        <v/>
      </c>
      <c r="AF375" s="140" t="n"/>
      <c r="AG375" s="138" t="n"/>
      <c r="AH375" s="16" t="n"/>
      <c r="AI375" s="138" t="n"/>
      <c r="AJ375" s="16" t="n"/>
      <c r="AK375" s="138" t="n"/>
      <c r="AL375" s="16" t="n"/>
      <c r="AM375" s="138" t="n"/>
      <c r="AN375" s="16" t="n"/>
      <c r="AO375" s="138" t="n"/>
      <c r="AP375" s="16" t="n"/>
      <c r="AQ375" s="138" t="n"/>
      <c r="AR375" s="16" t="n"/>
      <c r="AS375" s="138" t="n"/>
      <c r="AT375" s="16" t="n"/>
      <c r="AU375" s="138" t="n"/>
      <c r="AV375" s="16" t="n"/>
      <c r="AW375" s="138" t="n"/>
      <c r="AX375" s="16" t="n"/>
      <c r="AY375" s="138" t="n"/>
      <c r="AZ375" s="16">
        <f>AF375+AH375+AJ375+AL375+AN375+AP375+AR375+AT375+AV375+AX375</f>
        <v/>
      </c>
      <c r="BA375" s="16" t="n"/>
      <c r="BB375" s="139" t="n"/>
      <c r="BC375" s="16" t="n"/>
      <c r="BD375" s="139" t="n"/>
      <c r="BE375" s="16">
        <f>(BA375+BC375)</f>
        <v/>
      </c>
    </row>
    <row r="376" ht="22.5" customFormat="1" customHeight="1" s="8">
      <c r="A376" s="9" t="n"/>
      <c r="B376" s="136" t="inlineStr">
        <is>
          <t>아크릴</t>
        </is>
      </c>
      <c r="C376" s="137" t="inlineStr">
        <is>
          <t>ADX6000</t>
        </is>
      </c>
      <c r="D376" s="84" t="inlineStr">
        <is>
          <t>아크릴 투명 십자 panel</t>
        </is>
      </c>
      <c r="E376" s="23" t="inlineStr">
        <is>
          <t>아크릴 + 실크 인쇄</t>
        </is>
      </c>
      <c r="F376" s="100" t="n"/>
      <c r="G376" s="9" t="n"/>
      <c r="H376" s="9" t="inlineStr">
        <is>
          <t>아크릴최가</t>
        </is>
      </c>
      <c r="I376" s="14" t="n"/>
      <c r="J376" s="14" t="n"/>
      <c r="K376" s="12" t="n">
        <v>0</v>
      </c>
      <c r="L376" s="9" t="n"/>
      <c r="M376" s="9" t="n"/>
      <c r="N376" s="9" t="n"/>
      <c r="O376" s="40">
        <f>K376+V376-AE376-AZ376</f>
        <v/>
      </c>
      <c r="P376" s="12" t="n"/>
      <c r="Q376" s="138" t="n"/>
      <c r="R376" s="16" t="n"/>
      <c r="S376" s="139" t="n"/>
      <c r="T376" s="16" t="n"/>
      <c r="U376" s="139" t="n"/>
      <c r="V376" s="16">
        <f>P376+R376+T376</f>
        <v/>
      </c>
      <c r="W376" s="16" t="n"/>
      <c r="X376" s="139" t="n"/>
      <c r="Y376" s="16" t="n"/>
      <c r="Z376" s="139" t="n"/>
      <c r="AA376" s="16" t="n"/>
      <c r="AB376" s="139" t="n"/>
      <c r="AC376" s="16" t="n"/>
      <c r="AD376" s="139" t="n"/>
      <c r="AE376" s="16">
        <f>(W376+Y376+AA376+AC376)</f>
        <v/>
      </c>
      <c r="AF376" s="140" t="n"/>
      <c r="AG376" s="138" t="n"/>
      <c r="AH376" s="16" t="n"/>
      <c r="AI376" s="138" t="n"/>
      <c r="AJ376" s="16" t="n"/>
      <c r="AK376" s="138" t="n"/>
      <c r="AL376" s="16" t="n"/>
      <c r="AM376" s="138" t="n"/>
      <c r="AN376" s="16" t="n"/>
      <c r="AO376" s="138" t="n"/>
      <c r="AP376" s="16" t="n"/>
      <c r="AQ376" s="138" t="n"/>
      <c r="AR376" s="16" t="n"/>
      <c r="AS376" s="138" t="n"/>
      <c r="AT376" s="16" t="n"/>
      <c r="AU376" s="138" t="n"/>
      <c r="AV376" s="16" t="n"/>
      <c r="AW376" s="138" t="n"/>
      <c r="AX376" s="16" t="n"/>
      <c r="AY376" s="138" t="n"/>
      <c r="AZ376" s="16">
        <f>AF376+AH376+AJ376+AL376+AN376+AP376+AR376+AT376+AV376+AX376</f>
        <v/>
      </c>
      <c r="BA376" s="16" t="n"/>
      <c r="BB376" s="139" t="n"/>
      <c r="BC376" s="16" t="n"/>
      <c r="BD376" s="139" t="n"/>
      <c r="BE376" s="16">
        <f>(BA376+BC376)</f>
        <v/>
      </c>
    </row>
    <row r="377" ht="22.5" customFormat="1" customHeight="1" s="8">
      <c r="A377" s="9" t="n"/>
      <c r="B377" s="136" t="inlineStr">
        <is>
          <t>STEEL</t>
        </is>
      </c>
      <c r="C377" s="137" t="inlineStr">
        <is>
          <t>ADX6000</t>
        </is>
      </c>
      <c r="D377" s="84" t="inlineStr">
        <is>
          <t>LCD HINGE</t>
        </is>
      </c>
      <c r="E377" s="13" t="inlineStr">
        <is>
          <t>가공</t>
        </is>
      </c>
      <c r="F377" s="100" t="n"/>
      <c r="G377" s="9" t="n"/>
      <c r="H377" s="9" t="inlineStr">
        <is>
          <t>디엔케이시스템</t>
        </is>
      </c>
      <c r="I377" s="14" t="n"/>
      <c r="J377" s="14" t="n"/>
      <c r="K377" s="12" t="n">
        <v>12</v>
      </c>
      <c r="L377" s="9" t="n"/>
      <c r="M377" s="9" t="n"/>
      <c r="N377" s="9" t="n"/>
      <c r="O377" s="40">
        <f>K377+V377-AE377-AZ377</f>
        <v/>
      </c>
      <c r="P377" s="12" t="n"/>
      <c r="Q377" s="138" t="n"/>
      <c r="R377" s="16" t="n"/>
      <c r="S377" s="139" t="n"/>
      <c r="T377" s="16" t="n"/>
      <c r="U377" s="139" t="n"/>
      <c r="V377" s="16">
        <f>P377+R377+T377</f>
        <v/>
      </c>
      <c r="W377" s="16" t="n"/>
      <c r="X377" s="139" t="n"/>
      <c r="Y377" s="16" t="n"/>
      <c r="Z377" s="139" t="n"/>
      <c r="AA377" s="16" t="n"/>
      <c r="AB377" s="139" t="n"/>
      <c r="AC377" s="16" t="n"/>
      <c r="AD377" s="139" t="n"/>
      <c r="AE377" s="16">
        <f>(W377+Y377+AA377+AC377)</f>
        <v/>
      </c>
      <c r="AF377" s="140" t="n"/>
      <c r="AG377" s="138" t="n"/>
      <c r="AH377" s="16" t="n"/>
      <c r="AI377" s="138" t="n"/>
      <c r="AJ377" s="16" t="n"/>
      <c r="AK377" s="138" t="n"/>
      <c r="AL377" s="16" t="n"/>
      <c r="AM377" s="138" t="n"/>
      <c r="AN377" s="16" t="n"/>
      <c r="AO377" s="138" t="n"/>
      <c r="AP377" s="16" t="n"/>
      <c r="AQ377" s="138" t="n"/>
      <c r="AR377" s="16" t="n"/>
      <c r="AS377" s="138" t="n"/>
      <c r="AT377" s="16" t="n"/>
      <c r="AU377" s="138" t="n"/>
      <c r="AV377" s="16" t="n"/>
      <c r="AW377" s="138" t="n"/>
      <c r="AX377" s="16" t="n"/>
      <c r="AY377" s="138" t="n"/>
      <c r="AZ377" s="16">
        <f>AF377+AH377+AJ377+AL377+AN377+AP377+AR377+AT377+AV377+AX377</f>
        <v/>
      </c>
      <c r="BA377" s="16" t="n"/>
      <c r="BB377" s="139" t="n"/>
      <c r="BC377" s="16" t="n"/>
      <c r="BD377" s="139" t="n"/>
      <c r="BE377" s="16">
        <f>(BA377+BC377)</f>
        <v/>
      </c>
    </row>
    <row r="378" ht="22.5" customFormat="1" customHeight="1" s="8">
      <c r="A378" s="9" t="n"/>
      <c r="B378" s="136" t="inlineStr">
        <is>
          <t>AL</t>
        </is>
      </c>
      <c r="C378" s="137" t="inlineStr">
        <is>
          <t>ADX6000</t>
        </is>
      </c>
      <c r="D378" s="84" t="inlineStr">
        <is>
          <t>Base Block</t>
        </is>
      </c>
      <c r="E378" s="13" t="inlineStr">
        <is>
          <t>AL 가공 + 흑색 아노다이징</t>
        </is>
      </c>
      <c r="F378" s="100" t="n"/>
      <c r="G378" s="9" t="n"/>
      <c r="H378" s="9" t="inlineStr">
        <is>
          <t>제이케이시스템</t>
        </is>
      </c>
      <c r="I378" s="14" t="n"/>
      <c r="J378" s="14" t="n"/>
      <c r="K378" s="12" t="n">
        <v>0</v>
      </c>
      <c r="L378" s="9" t="n"/>
      <c r="M378" s="9" t="n"/>
      <c r="N378" s="9" t="n"/>
      <c r="O378" s="40">
        <f>K378+V378-AE378-AZ378</f>
        <v/>
      </c>
      <c r="P378" s="12" t="n"/>
      <c r="Q378" s="138" t="n"/>
      <c r="R378" s="16" t="n"/>
      <c r="S378" s="139" t="n"/>
      <c r="T378" s="16" t="n"/>
      <c r="U378" s="139" t="n"/>
      <c r="V378" s="16">
        <f>P378+R378+T378</f>
        <v/>
      </c>
      <c r="W378" s="16" t="n"/>
      <c r="X378" s="139" t="n"/>
      <c r="Y378" s="16" t="n"/>
      <c r="Z378" s="139" t="n"/>
      <c r="AA378" s="16" t="n"/>
      <c r="AB378" s="139" t="n"/>
      <c r="AC378" s="16" t="n"/>
      <c r="AD378" s="139" t="n"/>
      <c r="AE378" s="16">
        <f>(W378+Y378+AA378+AC378)</f>
        <v/>
      </c>
      <c r="AF378" s="140" t="n"/>
      <c r="AG378" s="138" t="n"/>
      <c r="AH378" s="16" t="n"/>
      <c r="AI378" s="138" t="n"/>
      <c r="AJ378" s="16" t="n"/>
      <c r="AK378" s="138" t="n"/>
      <c r="AL378" s="16" t="n"/>
      <c r="AM378" s="138" t="n"/>
      <c r="AN378" s="16" t="n"/>
      <c r="AO378" s="138" t="n"/>
      <c r="AP378" s="16" t="n"/>
      <c r="AQ378" s="138" t="n"/>
      <c r="AR378" s="16" t="n"/>
      <c r="AS378" s="138" t="n"/>
      <c r="AT378" s="16" t="n"/>
      <c r="AU378" s="138" t="n"/>
      <c r="AV378" s="16" t="n"/>
      <c r="AW378" s="138" t="n"/>
      <c r="AX378" s="16" t="n"/>
      <c r="AY378" s="138" t="n"/>
      <c r="AZ378" s="16">
        <f>AF378+AH378+AJ378+AL378+AN378+AP378+AR378+AT378+AV378+AX378</f>
        <v/>
      </c>
      <c r="BA378" s="16" t="n"/>
      <c r="BB378" s="139" t="n"/>
      <c r="BC378" s="16" t="n"/>
      <c r="BD378" s="139" t="n"/>
      <c r="BE378" s="16">
        <f>(BA378+BC378)</f>
        <v/>
      </c>
    </row>
    <row r="379" ht="22.5" customFormat="1" customHeight="1" s="8">
      <c r="A379" s="9" t="n"/>
      <c r="B379" s="136" t="inlineStr">
        <is>
          <t>AL</t>
        </is>
      </c>
      <c r="C379" s="137" t="inlineStr">
        <is>
          <t>ADX6000</t>
        </is>
      </c>
      <c r="D379" s="63" t="inlineStr">
        <is>
          <t>Bottom Block</t>
        </is>
      </c>
      <c r="E379" s="13" t="inlineStr">
        <is>
          <t>AL 가공 + 흑색 아노다이징</t>
        </is>
      </c>
      <c r="F379" s="100" t="n"/>
      <c r="G379" s="9" t="n"/>
      <c r="H379" s="9" t="inlineStr">
        <is>
          <t>제이케이시스템</t>
        </is>
      </c>
      <c r="I379" s="14" t="n"/>
      <c r="J379" s="14" t="n"/>
      <c r="K379" s="12" t="n">
        <v>27</v>
      </c>
      <c r="L379" s="9" t="n"/>
      <c r="M379" s="9" t="n"/>
      <c r="N379" s="9" t="n"/>
      <c r="O379" s="40">
        <f>K379+V379-AE379-AZ379</f>
        <v/>
      </c>
      <c r="P379" s="12" t="n"/>
      <c r="Q379" s="138" t="n"/>
      <c r="R379" s="16" t="n"/>
      <c r="S379" s="139" t="n"/>
      <c r="T379" s="16" t="n"/>
      <c r="U379" s="139" t="n"/>
      <c r="V379" s="16">
        <f>P379+R379+T379</f>
        <v/>
      </c>
      <c r="W379" s="16" t="n"/>
      <c r="X379" s="139" t="n"/>
      <c r="Y379" s="16" t="n"/>
      <c r="Z379" s="139" t="n"/>
      <c r="AA379" s="16" t="n"/>
      <c r="AB379" s="139" t="n"/>
      <c r="AC379" s="16" t="n"/>
      <c r="AD379" s="139" t="n"/>
      <c r="AE379" s="16">
        <f>(W379+Y379+AA379+AC379)</f>
        <v/>
      </c>
      <c r="AF379" s="140" t="n"/>
      <c r="AG379" s="138" t="n"/>
      <c r="AH379" s="16" t="n"/>
      <c r="AI379" s="138" t="n"/>
      <c r="AJ379" s="16" t="n"/>
      <c r="AK379" s="138" t="n"/>
      <c r="AL379" s="16" t="n"/>
      <c r="AM379" s="138" t="n"/>
      <c r="AN379" s="16" t="n"/>
      <c r="AO379" s="138" t="n"/>
      <c r="AP379" s="16" t="n"/>
      <c r="AQ379" s="138" t="n"/>
      <c r="AR379" s="16" t="n"/>
      <c r="AS379" s="138" t="n"/>
      <c r="AT379" s="16" t="n"/>
      <c r="AU379" s="138" t="n"/>
      <c r="AV379" s="16" t="n"/>
      <c r="AW379" s="138" t="n"/>
      <c r="AX379" s="16" t="n"/>
      <c r="AY379" s="138" t="n"/>
      <c r="AZ379" s="16">
        <f>AF379+AH379+AJ379+AL379+AN379+AP379+AR379+AT379+AV379+AX379</f>
        <v/>
      </c>
      <c r="BA379" s="16" t="n"/>
      <c r="BB379" s="139" t="n"/>
      <c r="BC379" s="16" t="n"/>
      <c r="BD379" s="139" t="n"/>
      <c r="BE379" s="16">
        <f>(BA379+BC379)</f>
        <v/>
      </c>
    </row>
    <row r="380" ht="22.5" customFormat="1" customHeight="1" s="8">
      <c r="A380" s="9" t="n"/>
      <c r="B380" s="136" t="inlineStr">
        <is>
          <t>AL</t>
        </is>
      </c>
      <c r="C380" s="137" t="inlineStr">
        <is>
          <t>ADX6000</t>
        </is>
      </c>
      <c r="D380" s="63" t="inlineStr">
        <is>
          <t>알루미늄 브라켓 6 hole</t>
        </is>
      </c>
      <c r="E380" s="13" t="inlineStr">
        <is>
          <t>AL 가공 + 백색 아노다이징</t>
        </is>
      </c>
      <c r="F380" s="100" t="n"/>
      <c r="G380" s="9" t="n"/>
      <c r="H380" s="9" t="inlineStr">
        <is>
          <t>제이케이시스템</t>
        </is>
      </c>
      <c r="I380" s="14" t="n"/>
      <c r="J380" s="14" t="n"/>
      <c r="K380" s="12" t="n">
        <v>0</v>
      </c>
      <c r="L380" s="9" t="n"/>
      <c r="M380" s="9" t="n"/>
      <c r="N380" s="9" t="n"/>
      <c r="O380" s="40">
        <f>K380+V380-AE380-AZ380</f>
        <v/>
      </c>
      <c r="P380" s="12" t="n"/>
      <c r="Q380" s="138" t="n"/>
      <c r="R380" s="16" t="n"/>
      <c r="S380" s="139" t="n"/>
      <c r="T380" s="16" t="n"/>
      <c r="U380" s="139" t="n"/>
      <c r="V380" s="16">
        <f>P380+R380+T380</f>
        <v/>
      </c>
      <c r="W380" s="16" t="n"/>
      <c r="X380" s="139" t="n"/>
      <c r="Y380" s="16" t="n"/>
      <c r="Z380" s="139" t="n"/>
      <c r="AA380" s="16" t="n"/>
      <c r="AB380" s="139" t="n"/>
      <c r="AC380" s="16" t="n"/>
      <c r="AD380" s="139" t="n"/>
      <c r="AE380" s="16">
        <f>(W380+Y380+AA380+AC380)</f>
        <v/>
      </c>
      <c r="AF380" s="140" t="n"/>
      <c r="AG380" s="138" t="n"/>
      <c r="AH380" s="16" t="n"/>
      <c r="AI380" s="138" t="n"/>
      <c r="AJ380" s="16" t="n"/>
      <c r="AK380" s="138" t="n"/>
      <c r="AL380" s="16" t="n"/>
      <c r="AM380" s="138" t="n"/>
      <c r="AN380" s="16" t="n"/>
      <c r="AO380" s="138" t="n"/>
      <c r="AP380" s="16" t="n"/>
      <c r="AQ380" s="138" t="n"/>
      <c r="AR380" s="16" t="n"/>
      <c r="AS380" s="138" t="n"/>
      <c r="AT380" s="16" t="n"/>
      <c r="AU380" s="138" t="n"/>
      <c r="AV380" s="16" t="n"/>
      <c r="AW380" s="138" t="n"/>
      <c r="AX380" s="16" t="n"/>
      <c r="AY380" s="138" t="n"/>
      <c r="AZ380" s="16">
        <f>AF380+AH380+AJ380+AL380+AN380+AP380+AR380+AT380+AV380+AX380</f>
        <v/>
      </c>
      <c r="BA380" s="16" t="n"/>
      <c r="BB380" s="139" t="n"/>
      <c r="BC380" s="16" t="n"/>
      <c r="BD380" s="139" t="n"/>
      <c r="BE380" s="16">
        <f>(BA380+BC380)</f>
        <v/>
      </c>
    </row>
    <row r="381" ht="22.5" customFormat="1" customHeight="1" s="8">
      <c r="A381" s="9" t="n"/>
      <c r="B381" s="136" t="inlineStr">
        <is>
          <t>RUBBER</t>
        </is>
      </c>
      <c r="C381" s="137" t="inlineStr">
        <is>
          <t>ADX6000</t>
        </is>
      </c>
      <c r="D381" s="144" t="inlineStr">
        <is>
          <t>CRADLE FOOT RUBBER</t>
        </is>
      </c>
      <c r="E381" s="13" t="inlineStr">
        <is>
          <t>RUBBER</t>
        </is>
      </c>
      <c r="F381" s="100" t="n"/>
      <c r="G381" s="9" t="n"/>
      <c r="H381" s="9" t="inlineStr">
        <is>
          <t>남경화학</t>
        </is>
      </c>
      <c r="I381" s="14" t="n"/>
      <c r="J381" s="14" t="n"/>
      <c r="K381" s="12" t="n">
        <v>3600</v>
      </c>
      <c r="L381" s="9" t="n"/>
      <c r="M381" s="9" t="n"/>
      <c r="N381" s="9" t="n"/>
      <c r="O381" s="40">
        <f>K381+V381-AE381-AZ381</f>
        <v/>
      </c>
      <c r="P381" s="12" t="n"/>
      <c r="Q381" s="138" t="n"/>
      <c r="R381" s="16" t="n"/>
      <c r="S381" s="139" t="n"/>
      <c r="T381" s="16" t="n"/>
      <c r="U381" s="139" t="n"/>
      <c r="V381" s="16">
        <f>P381+R381+T381</f>
        <v/>
      </c>
      <c r="W381" s="16" t="n"/>
      <c r="X381" s="139" t="n"/>
      <c r="Y381" s="16" t="n"/>
      <c r="Z381" s="139" t="n"/>
      <c r="AA381" s="16" t="n"/>
      <c r="AB381" s="139" t="n"/>
      <c r="AC381" s="16" t="n"/>
      <c r="AD381" s="139" t="n"/>
      <c r="AE381" s="16">
        <f>(W381+Y381+AA381+AC381)</f>
        <v/>
      </c>
      <c r="AF381" s="140" t="n"/>
      <c r="AG381" s="138" t="n"/>
      <c r="AH381" s="16" t="n"/>
      <c r="AI381" s="138" t="n"/>
      <c r="AJ381" s="16" t="n"/>
      <c r="AK381" s="138" t="n"/>
      <c r="AL381" s="16" t="n"/>
      <c r="AM381" s="138" t="n"/>
      <c r="AN381" s="16" t="n"/>
      <c r="AO381" s="138" t="n"/>
      <c r="AP381" s="16" t="n"/>
      <c r="AQ381" s="138" t="n"/>
      <c r="AR381" s="16" t="n"/>
      <c r="AS381" s="138" t="n"/>
      <c r="AT381" s="16" t="n"/>
      <c r="AU381" s="138" t="n"/>
      <c r="AV381" s="16" t="n"/>
      <c r="AW381" s="138" t="n"/>
      <c r="AX381" s="16" t="n"/>
      <c r="AY381" s="138" t="n"/>
      <c r="AZ381" s="16">
        <f>AF381+AH381+AJ381+AL381+AN381+AP381+AR381+AT381+AV381+AX381</f>
        <v/>
      </c>
      <c r="BA381" s="16" t="n"/>
      <c r="BB381" s="139" t="n"/>
      <c r="BC381" s="16" t="n"/>
      <c r="BD381" s="139" t="n"/>
      <c r="BE381" s="16">
        <f>(BA381+BC381)</f>
        <v/>
      </c>
    </row>
    <row r="382" ht="22.5" customFormat="1" customHeight="1" s="8">
      <c r="A382" s="9" t="n"/>
      <c r="B382" s="136" t="inlineStr">
        <is>
          <t>SUS</t>
        </is>
      </c>
      <c r="C382" s="137" t="inlineStr">
        <is>
          <t>ADX6000</t>
        </is>
      </c>
      <c r="D382" s="63" t="inlineStr">
        <is>
          <t>손잡이 핀</t>
        </is>
      </c>
      <c r="E382" s="13" t="inlineStr">
        <is>
          <t>가공</t>
        </is>
      </c>
      <c r="F382" s="100" t="n"/>
      <c r="G382" s="9" t="n"/>
      <c r="H382" s="9" t="inlineStr">
        <is>
          <t>다우정밀</t>
        </is>
      </c>
      <c r="I382" s="14" t="n"/>
      <c r="J382" s="14" t="n"/>
      <c r="K382" s="12" t="n">
        <v>0</v>
      </c>
      <c r="L382" s="9" t="n"/>
      <c r="M382" s="9" t="n"/>
      <c r="N382" s="9" t="n"/>
      <c r="O382" s="40">
        <f>K382+V382-AE382-AZ382</f>
        <v/>
      </c>
      <c r="P382" s="12" t="n"/>
      <c r="Q382" s="138" t="n"/>
      <c r="R382" s="16" t="n"/>
      <c r="S382" s="139" t="n"/>
      <c r="T382" s="16" t="n"/>
      <c r="U382" s="139" t="n"/>
      <c r="V382" s="16">
        <f>P382+R382+T382</f>
        <v/>
      </c>
      <c r="W382" s="16" t="n"/>
      <c r="X382" s="139" t="n"/>
      <c r="Y382" s="16" t="n"/>
      <c r="Z382" s="139" t="n"/>
      <c r="AA382" s="16" t="n"/>
      <c r="AB382" s="139" t="n"/>
      <c r="AC382" s="16" t="n"/>
      <c r="AD382" s="139" t="n"/>
      <c r="AE382" s="16">
        <f>(W382+Y382+AA382+AC382)</f>
        <v/>
      </c>
      <c r="AF382" s="140" t="n"/>
      <c r="AG382" s="138" t="n"/>
      <c r="AH382" s="16" t="n"/>
      <c r="AI382" s="138" t="n"/>
      <c r="AJ382" s="16" t="n"/>
      <c r="AK382" s="138" t="n"/>
      <c r="AL382" s="16" t="n"/>
      <c r="AM382" s="138" t="n"/>
      <c r="AN382" s="16" t="n"/>
      <c r="AO382" s="138" t="n"/>
      <c r="AP382" s="16" t="n"/>
      <c r="AQ382" s="138" t="n"/>
      <c r="AR382" s="16" t="n"/>
      <c r="AS382" s="138" t="n"/>
      <c r="AT382" s="16" t="n"/>
      <c r="AU382" s="138" t="n"/>
      <c r="AV382" s="16" t="n"/>
      <c r="AW382" s="138" t="n"/>
      <c r="AX382" s="16" t="n"/>
      <c r="AY382" s="138" t="n"/>
      <c r="AZ382" s="16">
        <f>AF382+AH382+AJ382+AL382+AN382+AP382+AR382+AT382+AV382+AX382</f>
        <v/>
      </c>
      <c r="BA382" s="16" t="n"/>
      <c r="BB382" s="139" t="n"/>
      <c r="BC382" s="16" t="n"/>
      <c r="BD382" s="139" t="n"/>
      <c r="BE382" s="16">
        <f>(BA382+BC382)</f>
        <v/>
      </c>
    </row>
    <row r="383" ht="22.5" customFormat="1" customHeight="1" s="8">
      <c r="A383" s="9" t="n"/>
      <c r="B383" s="136" t="inlineStr">
        <is>
          <t>페라이트</t>
        </is>
      </c>
      <c r="C383" s="137" t="inlineStr">
        <is>
          <t>ADX6000</t>
        </is>
      </c>
      <c r="D383" s="63" t="inlineStr">
        <is>
          <t>중간 페라이트 코어</t>
        </is>
      </c>
      <c r="E383" s="13" t="inlineStr">
        <is>
          <t>ZCAT 1518-0730</t>
        </is>
      </c>
      <c r="F383" s="100" t="n"/>
      <c r="G383" s="9" t="n"/>
      <c r="H383" s="9" t="inlineStr">
        <is>
          <t>HLP</t>
        </is>
      </c>
      <c r="I383" s="14" t="n"/>
      <c r="J383" s="14" t="n"/>
      <c r="K383" s="12" t="n">
        <v>384</v>
      </c>
      <c r="L383" s="9" t="n"/>
      <c r="M383" s="9" t="n"/>
      <c r="N383" s="9" t="n"/>
      <c r="O383" s="40">
        <f>K383+V383-AE383-AZ383</f>
        <v/>
      </c>
      <c r="P383" s="12" t="n"/>
      <c r="Q383" s="138" t="n"/>
      <c r="R383" s="16" t="n"/>
      <c r="S383" s="139" t="n"/>
      <c r="T383" s="16" t="n"/>
      <c r="U383" s="139" t="n"/>
      <c r="V383" s="16">
        <f>P383+R383+T383</f>
        <v/>
      </c>
      <c r="W383" s="16" t="n"/>
      <c r="X383" s="139" t="n"/>
      <c r="Y383" s="16" t="n"/>
      <c r="Z383" s="139" t="n"/>
      <c r="AA383" s="16" t="n"/>
      <c r="AB383" s="139" t="n"/>
      <c r="AC383" s="16" t="n"/>
      <c r="AD383" s="139" t="n"/>
      <c r="AE383" s="16">
        <f>(W383+Y383+AA383+AC383)</f>
        <v/>
      </c>
      <c r="AF383" s="140" t="n"/>
      <c r="AG383" s="138" t="n"/>
      <c r="AH383" s="16" t="n"/>
      <c r="AI383" s="138" t="n"/>
      <c r="AJ383" s="16" t="n"/>
      <c r="AK383" s="138" t="n"/>
      <c r="AL383" s="16" t="n"/>
      <c r="AM383" s="138" t="n"/>
      <c r="AN383" s="16" t="n"/>
      <c r="AO383" s="138" t="n"/>
      <c r="AP383" s="16" t="n"/>
      <c r="AQ383" s="138" t="n"/>
      <c r="AR383" s="16" t="n"/>
      <c r="AS383" s="138" t="n"/>
      <c r="AT383" s="16" t="n"/>
      <c r="AU383" s="138" t="n"/>
      <c r="AV383" s="16" t="n"/>
      <c r="AW383" s="138" t="n"/>
      <c r="AX383" s="16" t="n"/>
      <c r="AY383" s="138" t="n"/>
      <c r="AZ383" s="16">
        <f>AF383+AH383+AJ383+AL383+AN383+AP383+AR383+AT383+AV383+AX383</f>
        <v/>
      </c>
      <c r="BA383" s="16" t="n"/>
      <c r="BB383" s="139" t="n"/>
      <c r="BC383" s="16" t="n"/>
      <c r="BD383" s="139" t="n"/>
      <c r="BE383" s="16">
        <f>(BA383+BC383)</f>
        <v/>
      </c>
    </row>
    <row r="384" ht="22.5" customFormat="1" customHeight="1" s="8">
      <c r="A384" s="9" t="n"/>
      <c r="B384" s="136" t="inlineStr">
        <is>
          <t>스티커</t>
        </is>
      </c>
      <c r="C384" s="137" t="inlineStr">
        <is>
          <t>ADX6000S</t>
        </is>
      </c>
      <c r="D384" s="63" t="inlineStr">
        <is>
          <t>LCD 배젤 스티커</t>
        </is>
      </c>
      <c r="E384" s="13" t="n"/>
      <c r="F384" s="100" t="n"/>
      <c r="G384" s="9" t="n"/>
      <c r="H384" s="9" t="inlineStr">
        <is>
          <t>그라피아스크린</t>
        </is>
      </c>
      <c r="I384" s="14" t="n"/>
      <c r="J384" s="14" t="n"/>
      <c r="K384" s="12" t="n">
        <v>0</v>
      </c>
      <c r="L384" s="9" t="n"/>
      <c r="M384" s="9" t="n"/>
      <c r="N384" s="9" t="n"/>
      <c r="O384" s="40">
        <f>K384+V384-AE384-AZ384</f>
        <v/>
      </c>
      <c r="P384" s="12" t="n"/>
      <c r="Q384" s="138" t="n"/>
      <c r="R384" s="16" t="n"/>
      <c r="S384" s="139" t="n"/>
      <c r="T384" s="16" t="n"/>
      <c r="U384" s="139" t="n"/>
      <c r="V384" s="16">
        <f>P384+R384+T384</f>
        <v/>
      </c>
      <c r="W384" s="16" t="n"/>
      <c r="X384" s="139" t="n"/>
      <c r="Y384" s="16" t="n"/>
      <c r="Z384" s="139" t="n"/>
      <c r="AA384" s="16" t="n"/>
      <c r="AB384" s="139" t="n"/>
      <c r="AC384" s="16" t="n"/>
      <c r="AD384" s="139" t="n"/>
      <c r="AE384" s="16">
        <f>(W384+Y384+AA384+AC384)</f>
        <v/>
      </c>
      <c r="AF384" s="140" t="n"/>
      <c r="AG384" s="138" t="n"/>
      <c r="AH384" s="16" t="n"/>
      <c r="AI384" s="138" t="n"/>
      <c r="AJ384" s="16" t="n"/>
      <c r="AK384" s="138" t="n"/>
      <c r="AL384" s="16" t="n"/>
      <c r="AM384" s="138" t="n"/>
      <c r="AN384" s="16" t="n"/>
      <c r="AO384" s="138" t="n"/>
      <c r="AP384" s="16" t="n"/>
      <c r="AQ384" s="138" t="n"/>
      <c r="AR384" s="16" t="n"/>
      <c r="AS384" s="138" t="n"/>
      <c r="AT384" s="16" t="n"/>
      <c r="AU384" s="138" t="n"/>
      <c r="AV384" s="16" t="n"/>
      <c r="AW384" s="138" t="n"/>
      <c r="AX384" s="16" t="n"/>
      <c r="AY384" s="138" t="n"/>
      <c r="AZ384" s="16">
        <f>AF384+AH384+AJ384+AL384+AN384+AP384+AR384+AT384+AV384+AX384</f>
        <v/>
      </c>
      <c r="BA384" s="16" t="n"/>
      <c r="BB384" s="139" t="n"/>
      <c r="BC384" s="16" t="n"/>
      <c r="BD384" s="139" t="n"/>
      <c r="BE384" s="16">
        <f>(BA384+BC384)</f>
        <v/>
      </c>
    </row>
    <row r="385" ht="22.5" customFormat="1" customHeight="1" s="8">
      <c r="A385" s="9" t="n"/>
      <c r="B385" s="136" t="inlineStr">
        <is>
          <t>스티커</t>
        </is>
      </c>
      <c r="C385" s="137" t="inlineStr">
        <is>
          <t>ADX6000S</t>
        </is>
      </c>
      <c r="D385" s="63" t="inlineStr">
        <is>
          <t>Front Port Sticker</t>
        </is>
      </c>
      <c r="E385" s="13" t="inlineStr">
        <is>
          <t>리모콘 포트 수정 신형</t>
        </is>
      </c>
      <c r="F385" s="100" t="n"/>
      <c r="G385" s="9" t="n"/>
      <c r="H385" s="9" t="inlineStr">
        <is>
          <t>그라피아스크린</t>
        </is>
      </c>
      <c r="I385" s="14" t="n"/>
      <c r="J385" s="14" t="n"/>
      <c r="K385" s="12" t="n">
        <v>0</v>
      </c>
      <c r="L385" s="9" t="n"/>
      <c r="M385" s="9" t="n"/>
      <c r="N385" s="9" t="n"/>
      <c r="O385" s="40">
        <f>K385+V385-AE385-AZ385</f>
        <v/>
      </c>
      <c r="P385" s="12" t="n"/>
      <c r="Q385" s="138" t="n"/>
      <c r="R385" s="16" t="n"/>
      <c r="S385" s="139" t="n"/>
      <c r="T385" s="16" t="n"/>
      <c r="U385" s="139" t="n"/>
      <c r="V385" s="16">
        <f>P385+R385+T385</f>
        <v/>
      </c>
      <c r="W385" s="16" t="n"/>
      <c r="X385" s="139" t="n"/>
      <c r="Y385" s="16" t="n"/>
      <c r="Z385" s="139" t="n"/>
      <c r="AA385" s="16" t="n"/>
      <c r="AB385" s="139" t="n"/>
      <c r="AC385" s="16" t="n"/>
      <c r="AD385" s="139" t="n"/>
      <c r="AE385" s="16">
        <f>(W385+Y385+AA385+AC385)</f>
        <v/>
      </c>
      <c r="AF385" s="140" t="n"/>
      <c r="AG385" s="138" t="n"/>
      <c r="AH385" s="16" t="n"/>
      <c r="AI385" s="138" t="n"/>
      <c r="AJ385" s="16" t="n"/>
      <c r="AK385" s="138" t="n"/>
      <c r="AL385" s="16" t="n"/>
      <c r="AM385" s="138" t="n"/>
      <c r="AN385" s="16" t="n"/>
      <c r="AO385" s="138" t="n"/>
      <c r="AP385" s="16" t="n"/>
      <c r="AQ385" s="138" t="n"/>
      <c r="AR385" s="16" t="n"/>
      <c r="AS385" s="138" t="n"/>
      <c r="AT385" s="16" t="n"/>
      <c r="AU385" s="138" t="n"/>
      <c r="AV385" s="16" t="n"/>
      <c r="AW385" s="138" t="n"/>
      <c r="AX385" s="16" t="n"/>
      <c r="AY385" s="138" t="n"/>
      <c r="AZ385" s="16">
        <f>AF385+AH385+AJ385+AL385+AN385+AP385+AR385+AT385+AV385+AX385</f>
        <v/>
      </c>
      <c r="BA385" s="16" t="n"/>
      <c r="BB385" s="139" t="n"/>
      <c r="BC385" s="16" t="n"/>
      <c r="BD385" s="139" t="n"/>
      <c r="BE385" s="16">
        <f>(BA385+BC385)</f>
        <v/>
      </c>
    </row>
    <row r="386" ht="22.5" customFormat="1" customHeight="1" s="8">
      <c r="A386" s="9" t="n"/>
      <c r="B386" s="136" t="inlineStr">
        <is>
          <t>인조가죽</t>
        </is>
      </c>
      <c r="C386" s="137" t="inlineStr">
        <is>
          <t>ADX6000</t>
        </is>
      </c>
      <c r="D386" s="63" t="inlineStr">
        <is>
          <t>LCD 힌지 가죽 커버</t>
        </is>
      </c>
      <c r="E386" s="13" t="inlineStr">
        <is>
          <t>인조 가죽</t>
        </is>
      </c>
      <c r="F386" s="100" t="n"/>
      <c r="G386" s="9" t="n"/>
      <c r="H386" s="9" t="inlineStr">
        <is>
          <t>굿모닝코리아유통</t>
        </is>
      </c>
      <c r="I386" s="14" t="n"/>
      <c r="J386" s="14" t="n"/>
      <c r="K386" s="12" t="n">
        <v>0</v>
      </c>
      <c r="L386" s="9" t="n"/>
      <c r="M386" s="9" t="n"/>
      <c r="N386" s="9" t="n"/>
      <c r="O386" s="40">
        <f>K386+V386-AE386-AZ386</f>
        <v/>
      </c>
      <c r="P386" s="12" t="n"/>
      <c r="Q386" s="138" t="n"/>
      <c r="R386" s="16" t="n"/>
      <c r="S386" s="139" t="n"/>
      <c r="T386" s="16" t="n"/>
      <c r="U386" s="139" t="n"/>
      <c r="V386" s="16">
        <f>P386+R386+T386</f>
        <v/>
      </c>
      <c r="W386" s="16" t="n"/>
      <c r="X386" s="139" t="n"/>
      <c r="Y386" s="16" t="n"/>
      <c r="Z386" s="139" t="n"/>
      <c r="AA386" s="16" t="n"/>
      <c r="AB386" s="139" t="n"/>
      <c r="AC386" s="16" t="n"/>
      <c r="AD386" s="139" t="n"/>
      <c r="AE386" s="16">
        <f>(W386+Y386+AA386+AC386)</f>
        <v/>
      </c>
      <c r="AF386" s="140" t="n"/>
      <c r="AG386" s="138" t="n"/>
      <c r="AH386" s="16" t="n"/>
      <c r="AI386" s="138" t="n"/>
      <c r="AJ386" s="16" t="n"/>
      <c r="AK386" s="138" t="n"/>
      <c r="AL386" s="16" t="n"/>
      <c r="AM386" s="138" t="n"/>
      <c r="AN386" s="16" t="n"/>
      <c r="AO386" s="138" t="n"/>
      <c r="AP386" s="16" t="n"/>
      <c r="AQ386" s="138" t="n"/>
      <c r="AR386" s="16" t="n"/>
      <c r="AS386" s="138" t="n"/>
      <c r="AT386" s="16" t="n"/>
      <c r="AU386" s="138" t="n"/>
      <c r="AV386" s="16" t="n"/>
      <c r="AW386" s="138" t="n"/>
      <c r="AX386" s="16" t="n"/>
      <c r="AY386" s="138" t="n"/>
      <c r="AZ386" s="16">
        <f>AF386+AH386+AJ386+AL386+AN386+AP386+AR386+AT386+AV386+AX386</f>
        <v/>
      </c>
      <c r="BA386" s="16" t="n"/>
      <c r="BB386" s="139" t="n"/>
      <c r="BC386" s="16" t="n"/>
      <c r="BD386" s="139" t="n"/>
      <c r="BE386" s="16">
        <f>(BA386+BC386)</f>
        <v/>
      </c>
    </row>
    <row r="387" ht="22.5" customFormat="1" customHeight="1" s="8">
      <c r="A387" s="9" t="n"/>
      <c r="B387" s="136" t="inlineStr">
        <is>
          <t>인조가죽</t>
        </is>
      </c>
      <c r="C387" s="137" t="inlineStr">
        <is>
          <t>ADX6000</t>
        </is>
      </c>
      <c r="D387" s="60" t="inlineStr">
        <is>
          <t>가죽 손잡이 (탈착배터리 터치펜 X)</t>
        </is>
      </c>
      <c r="E387" s="13" t="inlineStr">
        <is>
          <t>인조 가죽</t>
        </is>
      </c>
      <c r="F387" s="100" t="n"/>
      <c r="G387" s="9" t="n"/>
      <c r="H387" s="9" t="inlineStr">
        <is>
          <t>굿모닝코리아유통</t>
        </is>
      </c>
      <c r="I387" s="14" t="n"/>
      <c r="J387" s="14" t="n"/>
      <c r="K387" s="12" t="n">
        <v>192</v>
      </c>
      <c r="L387" s="9" t="n"/>
      <c r="M387" s="9" t="n"/>
      <c r="N387" s="9" t="n"/>
      <c r="O387" s="40">
        <f>K387+V387-AE387-AZ387</f>
        <v/>
      </c>
      <c r="P387" s="12" t="n"/>
      <c r="Q387" s="138" t="n"/>
      <c r="R387" s="16" t="n"/>
      <c r="S387" s="139" t="n"/>
      <c r="T387" s="16" t="n"/>
      <c r="U387" s="139" t="n"/>
      <c r="V387" s="16">
        <f>P387+R387+T387</f>
        <v/>
      </c>
      <c r="W387" s="16" t="n"/>
      <c r="X387" s="139" t="n"/>
      <c r="Y387" s="16" t="n"/>
      <c r="Z387" s="139" t="n"/>
      <c r="AA387" s="16" t="n"/>
      <c r="AB387" s="139" t="n"/>
      <c r="AC387" s="16" t="n"/>
      <c r="AD387" s="139" t="n"/>
      <c r="AE387" s="16">
        <f>(W387+Y387+AA387+AC387)</f>
        <v/>
      </c>
      <c r="AF387" s="140" t="n"/>
      <c r="AG387" s="138" t="n"/>
      <c r="AH387" s="16" t="n"/>
      <c r="AI387" s="138" t="n"/>
      <c r="AJ387" s="16" t="n"/>
      <c r="AK387" s="138" t="n"/>
      <c r="AL387" s="16" t="n"/>
      <c r="AM387" s="138" t="n"/>
      <c r="AN387" s="16" t="n"/>
      <c r="AO387" s="138" t="n"/>
      <c r="AP387" s="16" t="n"/>
      <c r="AQ387" s="138" t="n"/>
      <c r="AR387" s="16" t="n"/>
      <c r="AS387" s="138" t="n"/>
      <c r="AT387" s="16" t="n"/>
      <c r="AU387" s="138" t="n"/>
      <c r="AV387" s="16" t="n"/>
      <c r="AW387" s="138" t="n"/>
      <c r="AX387" s="16" t="n"/>
      <c r="AY387" s="138" t="n"/>
      <c r="AZ387" s="16">
        <f>AF387+AH387+AJ387+AL387+AN387+AP387+AR387+AT387+AV387+AX387</f>
        <v/>
      </c>
      <c r="BA387" s="16" t="n"/>
      <c r="BB387" s="139" t="n"/>
      <c r="BC387" s="16" t="n"/>
      <c r="BD387" s="139" t="n"/>
      <c r="BE387" s="16">
        <f>(BA387+BC387)</f>
        <v/>
      </c>
    </row>
    <row r="388" ht="22.5" customFormat="1" customHeight="1" s="8">
      <c r="A388" s="9" t="n"/>
      <c r="B388" s="136" t="inlineStr">
        <is>
          <t>자석</t>
        </is>
      </c>
      <c r="C388" s="137" t="inlineStr">
        <is>
          <t>ADX6000</t>
        </is>
      </c>
      <c r="D388" s="60" t="inlineStr">
        <is>
          <t>자석</t>
        </is>
      </c>
      <c r="E388" s="13" t="n"/>
      <c r="F388" s="100" t="n"/>
      <c r="G388" s="9" t="n"/>
      <c r="H388" s="9" t="inlineStr">
        <is>
          <t>일성마그네트</t>
        </is>
      </c>
      <c r="I388" s="14" t="n"/>
      <c r="J388" s="14" t="n"/>
      <c r="K388" s="12" t="n">
        <v>0</v>
      </c>
      <c r="L388" s="9" t="n"/>
      <c r="M388" s="9" t="n"/>
      <c r="N388" s="9" t="n"/>
      <c r="O388" s="40">
        <f>K388+V388-AE388-AZ388</f>
        <v/>
      </c>
      <c r="P388" s="12" t="n"/>
      <c r="Q388" s="138" t="n"/>
      <c r="R388" s="16" t="n"/>
      <c r="S388" s="139" t="n"/>
      <c r="T388" s="16" t="n"/>
      <c r="U388" s="139" t="n"/>
      <c r="V388" s="16">
        <f>P388+R388+T388</f>
        <v/>
      </c>
      <c r="W388" s="16" t="n"/>
      <c r="X388" s="139" t="n"/>
      <c r="Y388" s="16" t="n"/>
      <c r="Z388" s="139" t="n"/>
      <c r="AA388" s="16" t="n"/>
      <c r="AB388" s="139" t="n"/>
      <c r="AC388" s="16" t="n"/>
      <c r="AD388" s="139" t="n"/>
      <c r="AE388" s="16">
        <f>(W388+Y388+AA388+AC388)</f>
        <v/>
      </c>
      <c r="AF388" s="140" t="n"/>
      <c r="AG388" s="138" t="n"/>
      <c r="AH388" s="16" t="n"/>
      <c r="AI388" s="138" t="n"/>
      <c r="AJ388" s="16" t="n"/>
      <c r="AK388" s="138" t="n"/>
      <c r="AL388" s="16" t="n"/>
      <c r="AM388" s="138" t="n"/>
      <c r="AN388" s="16" t="n"/>
      <c r="AO388" s="138" t="n"/>
      <c r="AP388" s="16" t="n"/>
      <c r="AQ388" s="138" t="n"/>
      <c r="AR388" s="16" t="n"/>
      <c r="AS388" s="138" t="n"/>
      <c r="AT388" s="16" t="n"/>
      <c r="AU388" s="138" t="n"/>
      <c r="AV388" s="16" t="n"/>
      <c r="AW388" s="138" t="n"/>
      <c r="AX388" s="16" t="n"/>
      <c r="AY388" s="138" t="n"/>
      <c r="AZ388" s="16">
        <f>AF388+AH388+AJ388+AL388+AN388+AP388+AR388+AT388+AV388+AX388</f>
        <v/>
      </c>
      <c r="BA388" s="16" t="n"/>
      <c r="BB388" s="139" t="n"/>
      <c r="BC388" s="16" t="n"/>
      <c r="BD388" s="139" t="n"/>
      <c r="BE388" s="16">
        <f>(BA388+BC388)</f>
        <v/>
      </c>
    </row>
    <row r="389" ht="22.5" customFormat="1" customHeight="1" s="8">
      <c r="A389" s="9" t="n"/>
      <c r="B389" s="136" t="inlineStr">
        <is>
          <t>배터리</t>
        </is>
      </c>
      <c r="C389" s="137" t="inlineStr">
        <is>
          <t>DX3000, ADX4000W</t>
        </is>
      </c>
      <c r="D389" s="63" t="inlineStr">
        <is>
          <t>기본 배터리</t>
        </is>
      </c>
      <c r="E389" s="13" t="inlineStr">
        <is>
          <t>PF435060HP</t>
        </is>
      </c>
      <c r="F389" s="99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40">
        <f>K389+V389-AE389-AZ389</f>
        <v/>
      </c>
      <c r="P389" s="12" t="n"/>
      <c r="Q389" s="138" t="n"/>
      <c r="R389" s="16" t="n"/>
      <c r="S389" s="139" t="n"/>
      <c r="T389" s="16" t="n"/>
      <c r="U389" s="139" t="n"/>
      <c r="V389" s="16">
        <f>P389+R389+T389</f>
        <v/>
      </c>
      <c r="W389" s="16" t="n"/>
      <c r="X389" s="139" t="n"/>
      <c r="Y389" s="16" t="n"/>
      <c r="Z389" s="139" t="n"/>
      <c r="AA389" s="16" t="n"/>
      <c r="AB389" s="139" t="n"/>
      <c r="AC389" s="16" t="n"/>
      <c r="AD389" s="139" t="n"/>
      <c r="AE389" s="16">
        <f>(W389+Y389+AA389+AC389)</f>
        <v/>
      </c>
      <c r="AF389" s="140" t="n"/>
      <c r="AG389" s="138" t="n"/>
      <c r="AH389" s="16" t="n"/>
      <c r="AI389" s="138" t="n"/>
      <c r="AJ389" s="16" t="n"/>
      <c r="AK389" s="138" t="n"/>
      <c r="AL389" s="16" t="n"/>
      <c r="AM389" s="138" t="n"/>
      <c r="AN389" s="16" t="n"/>
      <c r="AO389" s="138" t="n"/>
      <c r="AP389" s="16" t="n"/>
      <c r="AQ389" s="138" t="n"/>
      <c r="AR389" s="16" t="n"/>
      <c r="AS389" s="138" t="n"/>
      <c r="AT389" s="16" t="n"/>
      <c r="AU389" s="138" t="n"/>
      <c r="AV389" s="16" t="n"/>
      <c r="AW389" s="138" t="n"/>
      <c r="AX389" s="16" t="n"/>
      <c r="AY389" s="138" t="n"/>
      <c r="AZ389" s="16">
        <f>AF389+AH389+AJ389+AL389+AN389+AP389+AR389+AT389+AV389+AX389</f>
        <v/>
      </c>
      <c r="BA389" s="16" t="n"/>
      <c r="BB389" s="139" t="n"/>
      <c r="BC389" s="16" t="n"/>
      <c r="BD389" s="139" t="n"/>
      <c r="BE389" s="16">
        <f>(BA389+BC389)</f>
        <v/>
      </c>
    </row>
    <row r="390" ht="22.5" customFormat="1" customHeight="1" s="8">
      <c r="A390" s="9" t="n"/>
      <c r="B390" s="136" t="inlineStr">
        <is>
          <t>배터리</t>
        </is>
      </c>
      <c r="C390" s="137" t="inlineStr">
        <is>
          <t>DX3000</t>
        </is>
      </c>
      <c r="D390" s="63" t="inlineStr">
        <is>
          <t>내부 배터리</t>
        </is>
      </c>
      <c r="E390" s="13" t="inlineStr">
        <is>
          <t>PF435060HP</t>
        </is>
      </c>
      <c r="F390" s="99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40">
        <f>K390+V390-AE390-AZ390</f>
        <v/>
      </c>
      <c r="P390" s="12" t="n"/>
      <c r="Q390" s="138" t="n"/>
      <c r="R390" s="16" t="n"/>
      <c r="S390" s="139" t="n"/>
      <c r="T390" s="16" t="n"/>
      <c r="U390" s="139" t="n"/>
      <c r="V390" s="16">
        <f>P390+R390+T390</f>
        <v/>
      </c>
      <c r="W390" s="16" t="n"/>
      <c r="X390" s="139" t="n"/>
      <c r="Y390" s="16" t="n"/>
      <c r="Z390" s="139" t="n"/>
      <c r="AA390" s="16" t="n"/>
      <c r="AB390" s="139" t="n"/>
      <c r="AC390" s="16" t="n"/>
      <c r="AD390" s="139" t="n"/>
      <c r="AE390" s="16">
        <f>(W390+Y390+AA390+AC390)</f>
        <v/>
      </c>
      <c r="AF390" s="140" t="n"/>
      <c r="AG390" s="138" t="n"/>
      <c r="AH390" s="16" t="n"/>
      <c r="AI390" s="138" t="n"/>
      <c r="AJ390" s="16" t="n"/>
      <c r="AK390" s="138" t="n"/>
      <c r="AL390" s="16" t="n"/>
      <c r="AM390" s="138" t="n"/>
      <c r="AN390" s="16" t="n"/>
      <c r="AO390" s="138" t="n"/>
      <c r="AP390" s="16" t="n"/>
      <c r="AQ390" s="138" t="n"/>
      <c r="AR390" s="16" t="n"/>
      <c r="AS390" s="138" t="n"/>
      <c r="AT390" s="16" t="n"/>
      <c r="AU390" s="138" t="n"/>
      <c r="AV390" s="16" t="n"/>
      <c r="AW390" s="138" t="n"/>
      <c r="AX390" s="16" t="n"/>
      <c r="AY390" s="138" t="n"/>
      <c r="AZ390" s="16">
        <f>AF390+AH390+AJ390+AL390+AN390+AP390+AR390+AT390+AV390+AX390</f>
        <v/>
      </c>
      <c r="BA390" s="16" t="n"/>
      <c r="BB390" s="139" t="n"/>
      <c r="BC390" s="16" t="n"/>
      <c r="BD390" s="139" t="n"/>
      <c r="BE390" s="16">
        <f>(BA390+BC390)</f>
        <v/>
      </c>
    </row>
    <row r="391" ht="22.5" customFormat="1" customHeight="1" s="8">
      <c r="A391" s="9" t="n"/>
      <c r="B391" s="136" t="inlineStr">
        <is>
          <t>배터리</t>
        </is>
      </c>
      <c r="C391" s="137" t="inlineStr">
        <is>
          <t>COCOON</t>
        </is>
      </c>
      <c r="D391" s="63" t="inlineStr">
        <is>
          <t>내부 배터리</t>
        </is>
      </c>
      <c r="E391" s="13" t="inlineStr">
        <is>
          <t>PF605060HP</t>
        </is>
      </c>
      <c r="F391" s="99" t="n"/>
      <c r="G391" s="9" t="n"/>
      <c r="H391" s="9" t="inlineStr">
        <is>
          <t>비앤테크</t>
        </is>
      </c>
      <c r="I391" s="14" t="n"/>
      <c r="J391" s="14" t="n"/>
      <c r="K391" s="12" t="n">
        <v>0</v>
      </c>
      <c r="L391" s="9" t="n"/>
      <c r="M391" s="9" t="n"/>
      <c r="N391" s="9" t="n"/>
      <c r="O391" s="40">
        <f>K391+V391-AE391-AZ391</f>
        <v/>
      </c>
      <c r="P391" s="12" t="n"/>
      <c r="Q391" s="138" t="n"/>
      <c r="R391" s="16" t="n"/>
      <c r="S391" s="139" t="n"/>
      <c r="T391" s="16" t="n"/>
      <c r="U391" s="139" t="n"/>
      <c r="V391" s="16">
        <f>P391+R391+T391</f>
        <v/>
      </c>
      <c r="W391" s="16" t="n"/>
      <c r="X391" s="139" t="n"/>
      <c r="Y391" s="16" t="n"/>
      <c r="Z391" s="139" t="n"/>
      <c r="AA391" s="16" t="n"/>
      <c r="AB391" s="139" t="n"/>
      <c r="AC391" s="16" t="n"/>
      <c r="AD391" s="139" t="n"/>
      <c r="AE391" s="16">
        <f>(W391+Y391+AA391+AC391)</f>
        <v/>
      </c>
      <c r="AF391" s="140" t="n"/>
      <c r="AG391" s="138" t="n"/>
      <c r="AH391" s="16" t="n"/>
      <c r="AI391" s="138" t="n"/>
      <c r="AJ391" s="16" t="n"/>
      <c r="AK391" s="138" t="n"/>
      <c r="AL391" s="16" t="n"/>
      <c r="AM391" s="138" t="n"/>
      <c r="AN391" s="16" t="n"/>
      <c r="AO391" s="138" t="n"/>
      <c r="AP391" s="16" t="n"/>
      <c r="AQ391" s="138" t="n"/>
      <c r="AR391" s="16" t="n"/>
      <c r="AS391" s="138" t="n"/>
      <c r="AT391" s="16" t="n"/>
      <c r="AU391" s="138" t="n"/>
      <c r="AV391" s="16" t="n"/>
      <c r="AW391" s="138" t="n"/>
      <c r="AX391" s="16" t="n"/>
      <c r="AY391" s="138" t="n"/>
      <c r="AZ391" s="16">
        <f>AF391+AH391+AJ391+AL391+AN391+AP391+AR391+AT391+AV391+AX391</f>
        <v/>
      </c>
      <c r="BA391" s="16" t="n"/>
      <c r="BB391" s="139" t="n"/>
      <c r="BC391" s="16" t="n"/>
      <c r="BD391" s="139" t="n"/>
      <c r="BE391" s="16">
        <f>(BA391+BC391)</f>
        <v/>
      </c>
    </row>
    <row r="392" ht="22.5" customFormat="1" customHeight="1" s="8">
      <c r="A392" s="9" t="n"/>
      <c r="B392" s="136" t="inlineStr">
        <is>
          <t>배터리</t>
        </is>
      </c>
      <c r="C392" s="137" t="inlineStr">
        <is>
          <t>COCOON</t>
        </is>
      </c>
      <c r="D392" s="63" t="inlineStr">
        <is>
          <t>외부 배터리</t>
        </is>
      </c>
      <c r="E392" s="13" t="inlineStr">
        <is>
          <t>PF605060HP</t>
        </is>
      </c>
      <c r="F392" s="99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40">
        <f>K392+V392-AE392-AZ392</f>
        <v/>
      </c>
      <c r="P392" s="12" t="n"/>
      <c r="Q392" s="138" t="n"/>
      <c r="R392" s="16" t="n"/>
      <c r="S392" s="139" t="n"/>
      <c r="T392" s="16" t="n"/>
      <c r="U392" s="139" t="n"/>
      <c r="V392" s="16">
        <f>P392+R392+T392</f>
        <v/>
      </c>
      <c r="W392" s="16" t="n"/>
      <c r="X392" s="139" t="n"/>
      <c r="Y392" s="16" t="n"/>
      <c r="Z392" s="139" t="n"/>
      <c r="AA392" s="16" t="n"/>
      <c r="AB392" s="139" t="n"/>
      <c r="AC392" s="16" t="n"/>
      <c r="AD392" s="139" t="n"/>
      <c r="AE392" s="16">
        <f>(W392+Y392+AA392+AC392)</f>
        <v/>
      </c>
      <c r="AF392" s="140" t="n"/>
      <c r="AG392" s="138" t="n"/>
      <c r="AH392" s="16" t="n"/>
      <c r="AI392" s="138" t="n"/>
      <c r="AJ392" s="16" t="n"/>
      <c r="AK392" s="138" t="n"/>
      <c r="AL392" s="16" t="n"/>
      <c r="AM392" s="138" t="n"/>
      <c r="AN392" s="16" t="n"/>
      <c r="AO392" s="138" t="n"/>
      <c r="AP392" s="16" t="n"/>
      <c r="AQ392" s="138" t="n"/>
      <c r="AR392" s="16" t="n"/>
      <c r="AS392" s="138" t="n"/>
      <c r="AT392" s="16" t="n"/>
      <c r="AU392" s="138" t="n"/>
      <c r="AV392" s="16" t="n"/>
      <c r="AW392" s="138" t="n"/>
      <c r="AX392" s="16" t="n"/>
      <c r="AY392" s="138" t="n"/>
      <c r="AZ392" s="16">
        <f>AF392+AH392+AJ392+AL392+AN392+AP392+AR392+AT392+AV392+AX392</f>
        <v/>
      </c>
      <c r="BA392" s="16" t="n"/>
      <c r="BB392" s="139" t="n"/>
      <c r="BC392" s="16" t="n"/>
      <c r="BD392" s="139" t="n"/>
      <c r="BE392" s="16">
        <f>(BA392+BC392)</f>
        <v/>
      </c>
    </row>
    <row r="393" ht="22.5" customFormat="1" customHeight="1" s="8">
      <c r="A393" s="9" t="n"/>
      <c r="B393" s="136" t="inlineStr">
        <is>
          <t>배터리</t>
        </is>
      </c>
      <c r="C393" s="137" t="inlineStr">
        <is>
          <t>DX3000</t>
        </is>
      </c>
      <c r="D393" s="63" t="inlineStr">
        <is>
          <t>소형 외부배터리</t>
        </is>
      </c>
      <c r="E393" s="13" t="inlineStr">
        <is>
          <t>PF435060HP</t>
        </is>
      </c>
      <c r="F393" s="99" t="n"/>
      <c r="G393" s="9" t="n"/>
      <c r="H393" s="9" t="inlineStr">
        <is>
          <t>비앤테크</t>
        </is>
      </c>
      <c r="I393" s="14" t="n"/>
      <c r="J393" s="14" t="n"/>
      <c r="K393" s="12" t="n">
        <v>0</v>
      </c>
      <c r="L393" s="9" t="n"/>
      <c r="M393" s="9" t="n"/>
      <c r="N393" s="9" t="n"/>
      <c r="O393" s="40">
        <f>K393+V393-AE393-AZ393</f>
        <v/>
      </c>
      <c r="P393" s="12" t="n"/>
      <c r="Q393" s="138" t="n"/>
      <c r="R393" s="16" t="n"/>
      <c r="S393" s="139" t="n"/>
      <c r="T393" s="16" t="n"/>
      <c r="U393" s="139" t="n"/>
      <c r="V393" s="16">
        <f>P393+R393+T393</f>
        <v/>
      </c>
      <c r="W393" s="16" t="n"/>
      <c r="X393" s="139" t="n"/>
      <c r="Y393" s="16" t="n"/>
      <c r="Z393" s="139" t="n"/>
      <c r="AA393" s="16" t="n"/>
      <c r="AB393" s="139" t="n"/>
      <c r="AC393" s="16" t="n"/>
      <c r="AD393" s="139" t="n"/>
      <c r="AE393" s="16">
        <f>(W393+Y393+AA393+AC393)</f>
        <v/>
      </c>
      <c r="AF393" s="140" t="n"/>
      <c r="AG393" s="138" t="n"/>
      <c r="AH393" s="16" t="n"/>
      <c r="AI393" s="138" t="n"/>
      <c r="AJ393" s="16" t="n"/>
      <c r="AK393" s="138" t="n"/>
      <c r="AL393" s="16" t="n"/>
      <c r="AM393" s="138" t="n"/>
      <c r="AN393" s="16" t="n"/>
      <c r="AO393" s="138" t="n"/>
      <c r="AP393" s="16" t="n"/>
      <c r="AQ393" s="138" t="n"/>
      <c r="AR393" s="16" t="n"/>
      <c r="AS393" s="138" t="n"/>
      <c r="AT393" s="16" t="n"/>
      <c r="AU393" s="138" t="n"/>
      <c r="AV393" s="16" t="n"/>
      <c r="AW393" s="138" t="n"/>
      <c r="AX393" s="16" t="n"/>
      <c r="AY393" s="138" t="n"/>
      <c r="AZ393" s="16">
        <f>AF393+AH393+AJ393+AL393+AN393+AP393+AR393+AT393+AV393+AX393</f>
        <v/>
      </c>
      <c r="BA393" s="16" t="n"/>
      <c r="BB393" s="139" t="n"/>
      <c r="BC393" s="16" t="n"/>
      <c r="BD393" s="139" t="n"/>
      <c r="BE393" s="16">
        <f>(BA393+BC393)</f>
        <v/>
      </c>
    </row>
    <row r="394" ht="22.5" customFormat="1" customHeight="1" s="8">
      <c r="A394" s="9" t="n"/>
      <c r="B394" s="136" t="inlineStr">
        <is>
          <t>배터리</t>
        </is>
      </c>
      <c r="C394" s="137" t="inlineStr">
        <is>
          <t>ADX6000</t>
        </is>
      </c>
      <c r="D394" s="60" t="inlineStr">
        <is>
          <t>기본 배터리</t>
        </is>
      </c>
      <c r="E394" s="13" t="inlineStr">
        <is>
          <t>LIP1902A 18.5V 5S 50C 2100mAh</t>
        </is>
      </c>
      <c r="F394" s="99" t="n"/>
      <c r="G394" s="9" t="n"/>
      <c r="H394" s="9" t="inlineStr">
        <is>
          <t>비앤테크</t>
        </is>
      </c>
      <c r="I394" s="14" t="n"/>
      <c r="J394" s="14" t="n"/>
      <c r="K394" s="12" t="n">
        <v>190</v>
      </c>
      <c r="L394" s="9" t="n"/>
      <c r="M394" s="9" t="n"/>
      <c r="N394" s="9" t="n"/>
      <c r="O394" s="40">
        <f>K394+V394-AE394-AZ394</f>
        <v/>
      </c>
      <c r="P394" s="12" t="n"/>
      <c r="Q394" s="138" t="n"/>
      <c r="R394" s="16" t="n"/>
      <c r="S394" s="139" t="n"/>
      <c r="T394" s="16" t="n"/>
      <c r="U394" s="139" t="n"/>
      <c r="V394" s="16">
        <f>P394+R394+T394</f>
        <v/>
      </c>
      <c r="W394" s="16" t="n"/>
      <c r="X394" s="139" t="n"/>
      <c r="Y394" s="16" t="n"/>
      <c r="Z394" s="139" t="n"/>
      <c r="AA394" s="16" t="n"/>
      <c r="AB394" s="139" t="n"/>
      <c r="AC394" s="16" t="n"/>
      <c r="AD394" s="139" t="n"/>
      <c r="AE394" s="16">
        <f>(W394+Y394+AA394+AC394)</f>
        <v/>
      </c>
      <c r="AF394" s="140" t="n"/>
      <c r="AG394" s="138" t="n"/>
      <c r="AH394" s="16" t="n"/>
      <c r="AI394" s="138" t="n"/>
      <c r="AJ394" s="16" t="n"/>
      <c r="AK394" s="138" t="n"/>
      <c r="AL394" s="16" t="n"/>
      <c r="AM394" s="138" t="n"/>
      <c r="AN394" s="16" t="n"/>
      <c r="AO394" s="138" t="n"/>
      <c r="AP394" s="16" t="n"/>
      <c r="AQ394" s="138" t="n"/>
      <c r="AR394" s="16" t="n"/>
      <c r="AS394" s="138" t="n"/>
      <c r="AT394" s="16" t="n"/>
      <c r="AU394" s="138" t="n"/>
      <c r="AV394" s="16" t="n"/>
      <c r="AW394" s="138" t="n"/>
      <c r="AX394" s="16" t="n"/>
      <c r="AY394" s="138" t="n"/>
      <c r="AZ394" s="16">
        <f>AF394+AH394+AJ394+AL394+AN394+AP394+AR394+AT394+AV394+AX394</f>
        <v/>
      </c>
      <c r="BA394" s="16" t="n"/>
      <c r="BB394" s="139" t="n"/>
      <c r="BC394" s="16" t="n"/>
      <c r="BD394" s="139" t="n"/>
      <c r="BE394" s="16">
        <f>(BA394+BC394)</f>
        <v/>
      </c>
    </row>
    <row r="395" ht="22.5" customFormat="1" customHeight="1" s="8">
      <c r="A395" s="9" t="n"/>
      <c r="B395" s="136" t="inlineStr">
        <is>
          <t>배터리</t>
        </is>
      </c>
      <c r="C395" s="137" t="inlineStr">
        <is>
          <t>ADX6000</t>
        </is>
      </c>
      <c r="D395" s="63" t="inlineStr">
        <is>
          <t>외부 배터리</t>
        </is>
      </c>
      <c r="E395" s="13" t="inlineStr">
        <is>
          <t>LIP1902A_5035127SH25</t>
        </is>
      </c>
      <c r="F395" s="99" t="n"/>
      <c r="G395" s="9" t="n"/>
      <c r="H395" s="9" t="inlineStr">
        <is>
          <t>비앤테크</t>
        </is>
      </c>
      <c r="I395" s="14" t="n"/>
      <c r="J395" s="14" t="n"/>
      <c r="K395" s="12" t="n">
        <v>0</v>
      </c>
      <c r="L395" s="9" t="n"/>
      <c r="M395" s="9" t="n"/>
      <c r="N395" s="9" t="n"/>
      <c r="O395" s="40">
        <f>K395+V395-AE395-AZ395</f>
        <v/>
      </c>
      <c r="P395" s="12" t="n"/>
      <c r="Q395" s="138" t="n"/>
      <c r="R395" s="16" t="n"/>
      <c r="S395" s="139" t="n"/>
      <c r="T395" s="16" t="n"/>
      <c r="U395" s="139" t="n"/>
      <c r="V395" s="16">
        <f>P395+R395+T395</f>
        <v/>
      </c>
      <c r="W395" s="16" t="n"/>
      <c r="X395" s="139" t="n"/>
      <c r="Y395" s="16" t="n"/>
      <c r="Z395" s="139" t="n"/>
      <c r="AA395" s="16" t="n"/>
      <c r="AB395" s="139" t="n"/>
      <c r="AC395" s="16" t="n"/>
      <c r="AD395" s="139" t="n"/>
      <c r="AE395" s="16">
        <f>(W395+Y395+AA395+AC395)</f>
        <v/>
      </c>
      <c r="AF395" s="140" t="n"/>
      <c r="AG395" s="138" t="n"/>
      <c r="AH395" s="16" t="n"/>
      <c r="AI395" s="138" t="n"/>
      <c r="AJ395" s="16" t="n"/>
      <c r="AK395" s="138" t="n"/>
      <c r="AL395" s="16" t="n"/>
      <c r="AM395" s="138" t="n"/>
      <c r="AN395" s="16" t="n"/>
      <c r="AO395" s="138" t="n"/>
      <c r="AP395" s="16" t="n"/>
      <c r="AQ395" s="138" t="n"/>
      <c r="AR395" s="16" t="n"/>
      <c r="AS395" s="138" t="n"/>
      <c r="AT395" s="16" t="n"/>
      <c r="AU395" s="138" t="n"/>
      <c r="AV395" s="16" t="n"/>
      <c r="AW395" s="138" t="n"/>
      <c r="AX395" s="16" t="n"/>
      <c r="AY395" s="138" t="n"/>
      <c r="AZ395" s="16">
        <f>AF395+AH395+AJ395+AL395+AN395+AP395+AR395+AT395+AV395+AX395</f>
        <v/>
      </c>
      <c r="BA395" s="16" t="n"/>
      <c r="BB395" s="139" t="n"/>
      <c r="BC395" s="16" t="n"/>
      <c r="BD395" s="139" t="n"/>
      <c r="BE395" s="16">
        <f>(BA395+BC395)</f>
        <v/>
      </c>
    </row>
    <row r="396" ht="22.5" customFormat="1" customHeight="1" s="8">
      <c r="A396" s="9" t="n"/>
      <c r="B396" s="136" t="inlineStr">
        <is>
          <t>CORD</t>
        </is>
      </c>
      <c r="C396" s="142" t="inlineStr">
        <is>
          <t>공용</t>
        </is>
      </c>
      <c r="D396" s="89" t="inlineStr">
        <is>
          <t>2구 AC코드 C타입</t>
        </is>
      </c>
      <c r="E396" s="13" t="inlineStr">
        <is>
          <t>220V</t>
        </is>
      </c>
      <c r="F396" s="99" t="n"/>
      <c r="G396" s="9" t="n"/>
      <c r="H396" s="9" t="inlineStr">
        <is>
          <t>브리지파워</t>
        </is>
      </c>
      <c r="I396" s="14" t="n"/>
      <c r="J396" s="14" t="n"/>
      <c r="K396" s="12" t="n">
        <v>1300</v>
      </c>
      <c r="L396" s="9" t="n"/>
      <c r="M396" s="9" t="n"/>
      <c r="N396" s="9" t="n"/>
      <c r="O396" s="40">
        <f>K396+V396-AE396-AZ396</f>
        <v/>
      </c>
      <c r="P396" s="12" t="n"/>
      <c r="Q396" s="138" t="n"/>
      <c r="R396" s="16" t="n"/>
      <c r="S396" s="139" t="n"/>
      <c r="T396" s="16" t="n"/>
      <c r="U396" s="139" t="n"/>
      <c r="V396" s="16">
        <f>P396+R396+T396</f>
        <v/>
      </c>
      <c r="W396" s="16" t="n"/>
      <c r="X396" s="139" t="n"/>
      <c r="Y396" s="16" t="n"/>
      <c r="Z396" s="139" t="n"/>
      <c r="AA396" s="16" t="n"/>
      <c r="AB396" s="139" t="n"/>
      <c r="AC396" s="16" t="n"/>
      <c r="AD396" s="139" t="n"/>
      <c r="AE396" s="16">
        <f>(W396+Y396+AA396+AC396)</f>
        <v/>
      </c>
      <c r="AF396" s="140" t="n"/>
      <c r="AG396" s="138" t="n"/>
      <c r="AH396" s="16" t="n"/>
      <c r="AI396" s="138" t="n"/>
      <c r="AJ396" s="16" t="n"/>
      <c r="AK396" s="138" t="n"/>
      <c r="AL396" s="16" t="n"/>
      <c r="AM396" s="138" t="n"/>
      <c r="AN396" s="16" t="n"/>
      <c r="AO396" s="138" t="n"/>
      <c r="AP396" s="16" t="n"/>
      <c r="AQ396" s="138" t="n"/>
      <c r="AR396" s="16" t="n"/>
      <c r="AS396" s="138" t="n"/>
      <c r="AT396" s="16" t="n"/>
      <c r="AU396" s="138" t="n"/>
      <c r="AV396" s="16" t="n"/>
      <c r="AW396" s="138" t="n"/>
      <c r="AX396" s="16" t="n"/>
      <c r="AY396" s="138" t="n"/>
      <c r="AZ396" s="16">
        <f>AF396+AH396+AJ396+AL396+AN396+AP396+AR396+AT396+AV396+AX396</f>
        <v/>
      </c>
      <c r="BA396" s="16" t="n"/>
      <c r="BB396" s="139" t="n"/>
      <c r="BC396" s="16" t="n"/>
      <c r="BD396" s="139" t="n"/>
      <c r="BE396" s="16">
        <f>(BA396+BC396)</f>
        <v/>
      </c>
    </row>
    <row r="397" ht="22.5" customFormat="1" customHeight="1" s="8">
      <c r="A397" s="9" t="n"/>
      <c r="B397" s="136" t="inlineStr">
        <is>
          <t>CORD</t>
        </is>
      </c>
      <c r="C397" s="142" t="inlineStr">
        <is>
          <t>공용</t>
        </is>
      </c>
      <c r="D397" s="63" t="inlineStr">
        <is>
          <t>2구 AC코드 A타입</t>
        </is>
      </c>
      <c r="E397" s="13" t="inlineStr">
        <is>
          <t>일본용, 110V</t>
        </is>
      </c>
      <c r="F397" s="99" t="n"/>
      <c r="G397" s="9" t="n"/>
      <c r="H397" s="9" t="inlineStr">
        <is>
          <t>브리지파워</t>
        </is>
      </c>
      <c r="I397" s="14" t="n"/>
      <c r="J397" s="14" t="n"/>
      <c r="K397" s="12" t="n">
        <v>0</v>
      </c>
      <c r="L397" s="9" t="n"/>
      <c r="M397" s="9" t="n"/>
      <c r="N397" s="9" t="n"/>
      <c r="O397" s="40">
        <f>K397+V397-AE397-AZ397</f>
        <v/>
      </c>
      <c r="P397" s="12" t="n"/>
      <c r="Q397" s="138" t="n"/>
      <c r="R397" s="16" t="n"/>
      <c r="S397" s="139" t="n"/>
      <c r="T397" s="16" t="n"/>
      <c r="U397" s="139" t="n"/>
      <c r="V397" s="16">
        <f>P397+R397+T397</f>
        <v/>
      </c>
      <c r="W397" s="16" t="n"/>
      <c r="X397" s="139" t="n"/>
      <c r="Y397" s="16" t="n"/>
      <c r="Z397" s="139" t="n"/>
      <c r="AA397" s="16" t="n"/>
      <c r="AB397" s="139" t="n"/>
      <c r="AC397" s="16" t="n"/>
      <c r="AD397" s="139" t="n"/>
      <c r="AE397" s="16">
        <f>(W397+Y397+AA397+AC397)</f>
        <v/>
      </c>
      <c r="AF397" s="140" t="n"/>
      <c r="AG397" s="138" t="n"/>
      <c r="AH397" s="16" t="n"/>
      <c r="AI397" s="138" t="n"/>
      <c r="AJ397" s="16" t="n"/>
      <c r="AK397" s="138" t="n"/>
      <c r="AL397" s="16" t="n"/>
      <c r="AM397" s="138" t="n"/>
      <c r="AN397" s="16" t="n"/>
      <c r="AO397" s="138" t="n"/>
      <c r="AP397" s="16" t="n"/>
      <c r="AQ397" s="138" t="n"/>
      <c r="AR397" s="16" t="n"/>
      <c r="AS397" s="138" t="n"/>
      <c r="AT397" s="16" t="n"/>
      <c r="AU397" s="138" t="n"/>
      <c r="AV397" s="16" t="n"/>
      <c r="AW397" s="138" t="n"/>
      <c r="AX397" s="16" t="n"/>
      <c r="AY397" s="138" t="n"/>
      <c r="AZ397" s="16">
        <f>AF397+AH397+AJ397+AL397+AN397+AP397+AR397+AT397+AV397+AX397</f>
        <v/>
      </c>
      <c r="BA397" s="16" t="n"/>
      <c r="BB397" s="139" t="n"/>
      <c r="BC397" s="16" t="n"/>
      <c r="BD397" s="139" t="n"/>
      <c r="BE397" s="16">
        <f>(BA397+BC397)</f>
        <v/>
      </c>
    </row>
    <row r="398" ht="22.5" customFormat="1" customHeight="1" s="8">
      <c r="A398" s="9" t="n"/>
      <c r="B398" s="136" t="inlineStr">
        <is>
          <t>CORD</t>
        </is>
      </c>
      <c r="C398" s="142" t="inlineStr">
        <is>
          <t>공용</t>
        </is>
      </c>
      <c r="D398" s="63" t="inlineStr">
        <is>
          <t>3구 접지 AC 코드</t>
        </is>
      </c>
      <c r="E398" s="13" t="inlineStr">
        <is>
          <t>유럽용, 220V</t>
        </is>
      </c>
      <c r="F398" s="99" t="n"/>
      <c r="G398" s="9" t="n"/>
      <c r="H398" s="9" t="inlineStr">
        <is>
          <t>브리지파워</t>
        </is>
      </c>
      <c r="I398" s="14" t="n"/>
      <c r="J398" s="14" t="n"/>
      <c r="K398" s="12" t="n">
        <v>208</v>
      </c>
      <c r="L398" s="9" t="n"/>
      <c r="M398" s="9" t="n"/>
      <c r="N398" s="9" t="n"/>
      <c r="O398" s="40">
        <f>K398+V398-AE398-AZ398</f>
        <v/>
      </c>
      <c r="P398" s="12" t="n"/>
      <c r="Q398" s="138" t="n"/>
      <c r="R398" s="16" t="n"/>
      <c r="S398" s="139" t="n"/>
      <c r="T398" s="16" t="n"/>
      <c r="U398" s="139" t="n"/>
      <c r="V398" s="16">
        <f>P398+R398+T398</f>
        <v/>
      </c>
      <c r="W398" s="16" t="n"/>
      <c r="X398" s="139" t="n"/>
      <c r="Y398" s="16" t="n"/>
      <c r="Z398" s="139" t="n"/>
      <c r="AA398" s="16" t="n"/>
      <c r="AB398" s="139" t="n"/>
      <c r="AC398" s="16" t="n"/>
      <c r="AD398" s="139" t="n"/>
      <c r="AE398" s="16">
        <f>(W398+Y398+AA398+AC398)</f>
        <v/>
      </c>
      <c r="AF398" s="140" t="n"/>
      <c r="AG398" s="138" t="n"/>
      <c r="AH398" s="16" t="n"/>
      <c r="AI398" s="138" t="n"/>
      <c r="AJ398" s="16" t="n"/>
      <c r="AK398" s="138" t="n"/>
      <c r="AL398" s="16" t="n"/>
      <c r="AM398" s="138" t="n"/>
      <c r="AN398" s="16" t="n"/>
      <c r="AO398" s="138" t="n"/>
      <c r="AP398" s="16" t="n"/>
      <c r="AQ398" s="138" t="n"/>
      <c r="AR398" s="16" t="n"/>
      <c r="AS398" s="138" t="n"/>
      <c r="AT398" s="16" t="n"/>
      <c r="AU398" s="138" t="n"/>
      <c r="AV398" s="16" t="n"/>
      <c r="AW398" s="138" t="n"/>
      <c r="AX398" s="16" t="n"/>
      <c r="AY398" s="138" t="n"/>
      <c r="AZ398" s="16">
        <f>AF398+AH398+AJ398+AL398+AN398+AP398+AR398+AT398+AV398+AX398</f>
        <v/>
      </c>
      <c r="BA398" s="16" t="n"/>
      <c r="BB398" s="139" t="n"/>
      <c r="BC398" s="16" t="n"/>
      <c r="BD398" s="139" t="n"/>
      <c r="BE398" s="16">
        <f>(BA398+BC398)</f>
        <v/>
      </c>
    </row>
    <row r="399" ht="22.5" customFormat="1" customHeight="1" s="8">
      <c r="A399" s="9" t="n"/>
      <c r="B399" s="136" t="inlineStr">
        <is>
          <t>CORD</t>
        </is>
      </c>
      <c r="C399" s="142" t="inlineStr">
        <is>
          <t>공용</t>
        </is>
      </c>
      <c r="D399" s="63" t="inlineStr">
        <is>
          <t>3구 접지 AC 코드 A타입</t>
        </is>
      </c>
      <c r="E399" s="13" t="inlineStr">
        <is>
          <t>일본용, 110V</t>
        </is>
      </c>
      <c r="F399" s="99" t="n"/>
      <c r="G399" s="9" t="n"/>
      <c r="H399" s="9" t="inlineStr">
        <is>
          <t>브리지파워</t>
        </is>
      </c>
      <c r="I399" s="14" t="n"/>
      <c r="J399" s="14" t="n"/>
      <c r="K399" s="12" t="n">
        <v>96</v>
      </c>
      <c r="L399" s="9" t="n"/>
      <c r="M399" s="9" t="n"/>
      <c r="N399" s="9" t="n"/>
      <c r="O399" s="40">
        <f>K399+V399-AE399-AZ399</f>
        <v/>
      </c>
      <c r="P399" s="12" t="n"/>
      <c r="Q399" s="138" t="n"/>
      <c r="R399" s="16" t="n"/>
      <c r="S399" s="139" t="n"/>
      <c r="T399" s="16" t="n"/>
      <c r="U399" s="139" t="n"/>
      <c r="V399" s="16">
        <f>P399+R399+T399</f>
        <v/>
      </c>
      <c r="W399" s="16" t="n"/>
      <c r="X399" s="139" t="n"/>
      <c r="Y399" s="16" t="n"/>
      <c r="Z399" s="139" t="n"/>
      <c r="AA399" s="16" t="n"/>
      <c r="AB399" s="139" t="n"/>
      <c r="AC399" s="16" t="n"/>
      <c r="AD399" s="139" t="n"/>
      <c r="AE399" s="16">
        <f>(W399+Y399+AA399+AC399)</f>
        <v/>
      </c>
      <c r="AF399" s="140" t="n"/>
      <c r="AG399" s="138" t="n"/>
      <c r="AH399" s="16" t="n"/>
      <c r="AI399" s="138" t="n"/>
      <c r="AJ399" s="16" t="n"/>
      <c r="AK399" s="138" t="n"/>
      <c r="AL399" s="16" t="n"/>
      <c r="AM399" s="138" t="n"/>
      <c r="AN399" s="16" t="n"/>
      <c r="AO399" s="138" t="n"/>
      <c r="AP399" s="16" t="n"/>
      <c r="AQ399" s="138" t="n"/>
      <c r="AR399" s="16" t="n"/>
      <c r="AS399" s="138" t="n"/>
      <c r="AT399" s="16" t="n"/>
      <c r="AU399" s="138" t="n"/>
      <c r="AV399" s="16" t="n"/>
      <c r="AW399" s="138" t="n"/>
      <c r="AX399" s="16" t="n"/>
      <c r="AY399" s="138" t="n"/>
      <c r="AZ399" s="16">
        <f>AF399+AH399+AJ399+AL399+AN399+AP399+AR399+AT399+AV399+AX399</f>
        <v/>
      </c>
      <c r="BA399" s="16" t="n"/>
      <c r="BB399" s="139" t="n"/>
      <c r="BC399" s="16" t="n"/>
      <c r="BD399" s="139" t="n"/>
      <c r="BE399" s="16">
        <f>(BA399+BC399)</f>
        <v/>
      </c>
    </row>
    <row r="400" ht="22.5" customFormat="1" customHeight="1" s="8">
      <c r="A400" s="9" t="n"/>
      <c r="B400" s="136" t="inlineStr">
        <is>
          <t>CORD</t>
        </is>
      </c>
      <c r="C400" s="142" t="inlineStr">
        <is>
          <t>공용</t>
        </is>
      </c>
      <c r="D400" s="63" t="inlineStr">
        <is>
          <t>3구 접지 AC코드 B타입</t>
        </is>
      </c>
      <c r="E400" s="13" t="inlineStr">
        <is>
          <t>미국용</t>
        </is>
      </c>
      <c r="F400" s="99" t="n"/>
      <c r="G400" s="9" t="n"/>
      <c r="H400" s="9" t="inlineStr">
        <is>
          <t>브리지파워</t>
        </is>
      </c>
      <c r="I400" s="14" t="n"/>
      <c r="J400" s="14" t="n"/>
      <c r="K400" s="12" t="n">
        <v>600</v>
      </c>
      <c r="L400" s="9" t="n"/>
      <c r="M400" s="9" t="n"/>
      <c r="N400" s="9" t="n"/>
      <c r="O400" s="40">
        <f>K400+V400-AE400-AZ400</f>
        <v/>
      </c>
      <c r="P400" s="12" t="n"/>
      <c r="Q400" s="138" t="n"/>
      <c r="R400" s="16" t="n"/>
      <c r="S400" s="139" t="n"/>
      <c r="T400" s="16" t="n"/>
      <c r="U400" s="139" t="n"/>
      <c r="V400" s="16">
        <f>P400+R400+T400</f>
        <v/>
      </c>
      <c r="W400" s="16" t="n"/>
      <c r="X400" s="139" t="n"/>
      <c r="Y400" s="16" t="n"/>
      <c r="Z400" s="139" t="n"/>
      <c r="AA400" s="16" t="n"/>
      <c r="AB400" s="139" t="n"/>
      <c r="AC400" s="16" t="n"/>
      <c r="AD400" s="139" t="n"/>
      <c r="AE400" s="16">
        <f>(W400+Y400+AA400+AC400)</f>
        <v/>
      </c>
      <c r="AF400" s="140" t="n"/>
      <c r="AG400" s="138" t="n"/>
      <c r="AH400" s="16" t="n"/>
      <c r="AI400" s="138" t="n"/>
      <c r="AJ400" s="16" t="n"/>
      <c r="AK400" s="138" t="n"/>
      <c r="AL400" s="16" t="n"/>
      <c r="AM400" s="138" t="n"/>
      <c r="AN400" s="16" t="n"/>
      <c r="AO400" s="138" t="n"/>
      <c r="AP400" s="16" t="n"/>
      <c r="AQ400" s="138" t="n"/>
      <c r="AR400" s="16" t="n"/>
      <c r="AS400" s="138" t="n"/>
      <c r="AT400" s="16" t="n"/>
      <c r="AU400" s="138" t="n"/>
      <c r="AV400" s="16" t="n"/>
      <c r="AW400" s="138" t="n"/>
      <c r="AX400" s="16" t="n"/>
      <c r="AY400" s="138" t="n"/>
      <c r="AZ400" s="16">
        <f>AF400+AH400+AJ400+AL400+AN400+AP400+AR400+AT400+AV400+AX400</f>
        <v/>
      </c>
      <c r="BA400" s="16" t="n"/>
      <c r="BB400" s="139" t="n"/>
      <c r="BC400" s="16" t="n"/>
      <c r="BD400" s="139" t="n"/>
      <c r="BE400" s="16">
        <f>(BA400+BC400)</f>
        <v/>
      </c>
    </row>
    <row r="401" ht="22.5" customFormat="1" customHeight="1" s="8">
      <c r="A401" s="9" t="n"/>
      <c r="B401" s="136" t="inlineStr">
        <is>
          <t>CORD</t>
        </is>
      </c>
      <c r="C401" s="142" t="inlineStr">
        <is>
          <t>공용</t>
        </is>
      </c>
      <c r="D401" s="63" t="inlineStr">
        <is>
          <t>3구 접지 AC코드 I타입</t>
        </is>
      </c>
      <c r="E401" s="13" t="inlineStr">
        <is>
          <t>호주, 중국 공용</t>
        </is>
      </c>
      <c r="F401" s="99" t="n"/>
      <c r="G401" s="9" t="n"/>
      <c r="H401" s="9" t="inlineStr">
        <is>
          <t>브리지파워</t>
        </is>
      </c>
      <c r="I401" s="14" t="n"/>
      <c r="J401" s="14" t="n"/>
      <c r="K401" s="12" t="n">
        <v>190</v>
      </c>
      <c r="L401" s="9" t="n"/>
      <c r="M401" s="9" t="n"/>
      <c r="N401" s="9" t="n"/>
      <c r="O401" s="40">
        <f>K401+V401-AE401-AZ401</f>
        <v/>
      </c>
      <c r="P401" s="12" t="n"/>
      <c r="Q401" s="138" t="n"/>
      <c r="R401" s="16" t="n"/>
      <c r="S401" s="139" t="n"/>
      <c r="T401" s="16" t="n"/>
      <c r="U401" s="139" t="n"/>
      <c r="V401" s="16">
        <f>P401+R401+T401</f>
        <v/>
      </c>
      <c r="W401" s="16" t="n"/>
      <c r="X401" s="139" t="n"/>
      <c r="Y401" s="16" t="n"/>
      <c r="Z401" s="139" t="n"/>
      <c r="AA401" s="16" t="n"/>
      <c r="AB401" s="139" t="n"/>
      <c r="AC401" s="16" t="n"/>
      <c r="AD401" s="139" t="n"/>
      <c r="AE401" s="16">
        <f>(W401+Y401+AA401+AC401)</f>
        <v/>
      </c>
      <c r="AF401" s="140" t="n"/>
      <c r="AG401" s="138" t="n"/>
      <c r="AH401" s="16" t="n"/>
      <c r="AI401" s="138" t="n"/>
      <c r="AJ401" s="16" t="n"/>
      <c r="AK401" s="138" t="n"/>
      <c r="AL401" s="16" t="n"/>
      <c r="AM401" s="138" t="n"/>
      <c r="AN401" s="16" t="n"/>
      <c r="AO401" s="138" t="n"/>
      <c r="AP401" s="16" t="n"/>
      <c r="AQ401" s="138" t="n"/>
      <c r="AR401" s="16" t="n"/>
      <c r="AS401" s="138" t="n"/>
      <c r="AT401" s="16" t="n"/>
      <c r="AU401" s="138" t="n"/>
      <c r="AV401" s="16" t="n"/>
      <c r="AW401" s="138" t="n"/>
      <c r="AX401" s="16" t="n"/>
      <c r="AY401" s="138" t="n"/>
      <c r="AZ401" s="16">
        <f>AF401+AH401+AJ401+AL401+AN401+AP401+AR401+AT401+AV401+AX401</f>
        <v/>
      </c>
      <c r="BA401" s="16" t="n"/>
      <c r="BB401" s="139" t="n"/>
      <c r="BC401" s="16" t="n"/>
      <c r="BD401" s="139" t="n"/>
      <c r="BE401" s="16">
        <f>(BA401+BC401)</f>
        <v/>
      </c>
    </row>
    <row r="402" ht="22.5" customFormat="1" customHeight="1" s="8">
      <c r="A402" s="9" t="n"/>
      <c r="B402" s="136" t="inlineStr">
        <is>
          <t>CORD</t>
        </is>
      </c>
      <c r="C402" s="142" t="inlineStr">
        <is>
          <t>공용</t>
        </is>
      </c>
      <c r="D402" s="60" t="inlineStr">
        <is>
          <t>3구 접지 AC코드 G타입</t>
        </is>
      </c>
      <c r="E402" s="13" t="inlineStr">
        <is>
          <t>영국용</t>
        </is>
      </c>
      <c r="F402" s="99" t="n"/>
      <c r="G402" s="9" t="n"/>
      <c r="H402" s="9" t="inlineStr">
        <is>
          <t>브리지파워</t>
        </is>
      </c>
      <c r="I402" s="14" t="n"/>
      <c r="J402" s="14" t="n"/>
      <c r="K402" s="12" t="n">
        <v>300</v>
      </c>
      <c r="L402" s="9" t="n"/>
      <c r="M402" s="9" t="n"/>
      <c r="N402" s="9" t="n"/>
      <c r="O402" s="40">
        <f>K402+V402-AE402-AZ402</f>
        <v/>
      </c>
      <c r="P402" s="12" t="n"/>
      <c r="Q402" s="138" t="n"/>
      <c r="R402" s="16" t="n"/>
      <c r="S402" s="139" t="n"/>
      <c r="T402" s="16" t="n"/>
      <c r="U402" s="139" t="n"/>
      <c r="V402" s="16">
        <f>P402+R402+T402</f>
        <v/>
      </c>
      <c r="W402" s="16" t="n"/>
      <c r="X402" s="139" t="n"/>
      <c r="Y402" s="16" t="n"/>
      <c r="Z402" s="139" t="n"/>
      <c r="AA402" s="16" t="n"/>
      <c r="AB402" s="139" t="n"/>
      <c r="AC402" s="16" t="n"/>
      <c r="AD402" s="139" t="n"/>
      <c r="AE402" s="16">
        <f>(W402+Y402+AA402+AC402)</f>
        <v/>
      </c>
      <c r="AF402" s="140" t="n"/>
      <c r="AG402" s="138" t="n"/>
      <c r="AH402" s="16" t="n"/>
      <c r="AI402" s="138" t="n"/>
      <c r="AJ402" s="16" t="n"/>
      <c r="AK402" s="138" t="n"/>
      <c r="AL402" s="16" t="n"/>
      <c r="AM402" s="138" t="n"/>
      <c r="AN402" s="16" t="n"/>
      <c r="AO402" s="138" t="n"/>
      <c r="AP402" s="16" t="n"/>
      <c r="AQ402" s="138" t="n"/>
      <c r="AR402" s="16" t="n"/>
      <c r="AS402" s="138" t="n"/>
      <c r="AT402" s="16" t="n"/>
      <c r="AU402" s="138" t="n"/>
      <c r="AV402" s="16" t="n"/>
      <c r="AW402" s="138" t="n"/>
      <c r="AX402" s="16" t="n"/>
      <c r="AY402" s="138" t="n"/>
      <c r="AZ402" s="16">
        <f>AF402+AH402+AJ402+AL402+AN402+AP402+AR402+AT402+AV402+AX402</f>
        <v/>
      </c>
      <c r="BA402" s="16" t="n"/>
      <c r="BB402" s="139" t="n"/>
      <c r="BC402" s="16" t="n"/>
      <c r="BD402" s="139" t="n"/>
      <c r="BE402" s="16">
        <f>(BA402+BC402)</f>
        <v/>
      </c>
    </row>
    <row r="403" ht="22.5" customFormat="1" customHeight="1" s="8">
      <c r="A403" s="9" t="n"/>
      <c r="B403" s="136" t="inlineStr">
        <is>
          <t>ADAPTER</t>
        </is>
      </c>
      <c r="C403" s="142" t="inlineStr">
        <is>
          <t>공용</t>
        </is>
      </c>
      <c r="D403" s="60" t="inlineStr">
        <is>
          <t>2구 충전기</t>
        </is>
      </c>
      <c r="E403" s="13" t="inlineStr">
        <is>
          <t>BPL910S16N01, 220V</t>
        </is>
      </c>
      <c r="F403" s="99" t="n"/>
      <c r="G403" s="9" t="n"/>
      <c r="H403" s="9" t="inlineStr">
        <is>
          <t>브리지파워</t>
        </is>
      </c>
      <c r="I403" s="14" t="n"/>
      <c r="J403" s="14" t="n"/>
      <c r="K403" s="12" t="n">
        <v>560</v>
      </c>
      <c r="L403" s="9" t="n"/>
      <c r="M403" s="9" t="n"/>
      <c r="N403" s="9" t="n"/>
      <c r="O403" s="40">
        <f>K403+V403-AE403-AZ403</f>
        <v/>
      </c>
      <c r="P403" s="12" t="n"/>
      <c r="Q403" s="138" t="n"/>
      <c r="R403" s="16" t="n"/>
      <c r="S403" s="139" t="n"/>
      <c r="T403" s="16" t="n"/>
      <c r="U403" s="139" t="n"/>
      <c r="V403" s="16">
        <f>P403+R403+T403</f>
        <v/>
      </c>
      <c r="W403" s="16" t="n"/>
      <c r="X403" s="139" t="n"/>
      <c r="Y403" s="16" t="n"/>
      <c r="Z403" s="139" t="n"/>
      <c r="AA403" s="16" t="n"/>
      <c r="AB403" s="139" t="n"/>
      <c r="AC403" s="16" t="n"/>
      <c r="AD403" s="139" t="n"/>
      <c r="AE403" s="16">
        <f>(W403+Y403+AA403+AC403)</f>
        <v/>
      </c>
      <c r="AF403" s="140" t="n"/>
      <c r="AG403" s="138" t="n"/>
      <c r="AH403" s="16" t="n"/>
      <c r="AI403" s="138" t="n"/>
      <c r="AJ403" s="16" t="n"/>
      <c r="AK403" s="138" t="n"/>
      <c r="AL403" s="16" t="n"/>
      <c r="AM403" s="138" t="n"/>
      <c r="AN403" s="16" t="n"/>
      <c r="AO403" s="138" t="n"/>
      <c r="AP403" s="16" t="n"/>
      <c r="AQ403" s="138" t="n"/>
      <c r="AR403" s="16" t="n"/>
      <c r="AS403" s="138" t="n"/>
      <c r="AT403" s="16" t="n"/>
      <c r="AU403" s="138" t="n"/>
      <c r="AV403" s="16" t="n"/>
      <c r="AW403" s="138" t="n"/>
      <c r="AX403" s="16" t="n"/>
      <c r="AY403" s="138" t="n"/>
      <c r="AZ403" s="16">
        <f>AF403+AH403+AJ403+AL403+AN403+AP403+AR403+AT403+AV403+AX403</f>
        <v/>
      </c>
      <c r="BA403" s="16" t="n"/>
      <c r="BB403" s="139" t="n"/>
      <c r="BC403" s="16" t="n"/>
      <c r="BD403" s="139" t="n"/>
      <c r="BE403" s="16">
        <f>(BA403+BC403)</f>
        <v/>
      </c>
    </row>
    <row r="404" ht="22.5" customFormat="1" customHeight="1" s="8">
      <c r="A404" s="9" t="n"/>
      <c r="B404" s="136" t="inlineStr">
        <is>
          <t>ADAPTER</t>
        </is>
      </c>
      <c r="C404" s="142" t="inlineStr">
        <is>
          <t>공용</t>
        </is>
      </c>
      <c r="D404" s="60" t="inlineStr">
        <is>
          <t>3구 충전기</t>
        </is>
      </c>
      <c r="E404" s="13" t="inlineStr">
        <is>
          <t>BPL910S16F01, (미국, 호주 공용)</t>
        </is>
      </c>
      <c r="F404" s="99" t="n"/>
      <c r="G404" s="9" t="n"/>
      <c r="H404" s="9" t="inlineStr">
        <is>
          <t>브리지파워</t>
        </is>
      </c>
      <c r="I404" s="14" t="n"/>
      <c r="J404" s="14" t="n"/>
      <c r="K404" s="12" t="n">
        <v>560</v>
      </c>
      <c r="L404" s="9" t="n"/>
      <c r="M404" s="9" t="n"/>
      <c r="N404" s="9" t="n"/>
      <c r="O404" s="40">
        <f>K404+V404-AE404-AZ404</f>
        <v/>
      </c>
      <c r="P404" s="12" t="n"/>
      <c r="Q404" s="138" t="n"/>
      <c r="R404" s="16" t="n"/>
      <c r="S404" s="139" t="n"/>
      <c r="T404" s="16" t="n"/>
      <c r="U404" s="139" t="n"/>
      <c r="V404" s="16">
        <f>P404+R404+T404</f>
        <v/>
      </c>
      <c r="W404" s="16" t="n"/>
      <c r="X404" s="139" t="n"/>
      <c r="Y404" s="16" t="n"/>
      <c r="Z404" s="139" t="n"/>
      <c r="AA404" s="16" t="n"/>
      <c r="AB404" s="139" t="n"/>
      <c r="AC404" s="16" t="n"/>
      <c r="AD404" s="139" t="n"/>
      <c r="AE404" s="16">
        <f>(W404+Y404+AA404+AC404)</f>
        <v/>
      </c>
      <c r="AF404" s="140" t="n"/>
      <c r="AG404" s="138" t="n"/>
      <c r="AH404" s="16" t="n"/>
      <c r="AI404" s="138" t="n"/>
      <c r="AJ404" s="16" t="n"/>
      <c r="AK404" s="138" t="n"/>
      <c r="AL404" s="16" t="n"/>
      <c r="AM404" s="138" t="n"/>
      <c r="AN404" s="16" t="n"/>
      <c r="AO404" s="138" t="n"/>
      <c r="AP404" s="16" t="n"/>
      <c r="AQ404" s="138" t="n"/>
      <c r="AR404" s="16" t="n"/>
      <c r="AS404" s="138" t="n"/>
      <c r="AT404" s="16" t="n"/>
      <c r="AU404" s="138" t="n"/>
      <c r="AV404" s="16" t="n"/>
      <c r="AW404" s="138" t="n"/>
      <c r="AX404" s="16" t="n"/>
      <c r="AY404" s="138" t="n"/>
      <c r="AZ404" s="16">
        <f>AF404+AH404+AJ404+AL404+AN404+AP404+AR404+AT404+AV404+AX404</f>
        <v/>
      </c>
      <c r="BA404" s="16" t="n"/>
      <c r="BB404" s="139" t="n"/>
      <c r="BC404" s="16" t="n"/>
      <c r="BD404" s="139" t="n"/>
      <c r="BE404" s="16">
        <f>(BA404+BC404)</f>
        <v/>
      </c>
    </row>
    <row r="405" ht="22.5" customFormat="1" customHeight="1" s="8">
      <c r="A405" s="9" t="n"/>
      <c r="B405" s="136" t="inlineStr">
        <is>
          <t>ADAPTER</t>
        </is>
      </c>
      <c r="C405" s="137" t="inlineStr">
        <is>
          <t>ADX6000</t>
        </is>
      </c>
      <c r="D405" s="65" t="inlineStr">
        <is>
          <t>20.7V 1.7A 충전기</t>
        </is>
      </c>
      <c r="E405" s="13" t="inlineStr">
        <is>
          <t>5S 어댑터</t>
        </is>
      </c>
      <c r="F405" s="99" t="n"/>
      <c r="G405" s="9" t="n"/>
      <c r="H405" s="9" t="inlineStr">
        <is>
          <t>브리지파워</t>
        </is>
      </c>
      <c r="I405" s="14" t="n"/>
      <c r="J405" s="14" t="n"/>
      <c r="K405" s="12" t="n">
        <v>1040</v>
      </c>
      <c r="L405" s="9" t="n"/>
      <c r="M405" s="9" t="n"/>
      <c r="N405" s="9" t="n"/>
      <c r="O405" s="40">
        <f>K405+V405-AE405-AZ405</f>
        <v/>
      </c>
      <c r="P405" s="12" t="n"/>
      <c r="Q405" s="138" t="n"/>
      <c r="R405" s="16" t="n"/>
      <c r="S405" s="139" t="n"/>
      <c r="T405" s="16" t="n"/>
      <c r="U405" s="139" t="n"/>
      <c r="V405" s="16">
        <f>P405+R405+T405</f>
        <v/>
      </c>
      <c r="W405" s="16" t="n"/>
      <c r="X405" s="139" t="n"/>
      <c r="Y405" s="16" t="n"/>
      <c r="Z405" s="139" t="n"/>
      <c r="AA405" s="16" t="n"/>
      <c r="AB405" s="139" t="n"/>
      <c r="AC405" s="16" t="n"/>
      <c r="AD405" s="139" t="n"/>
      <c r="AE405" s="16">
        <f>(W405+Y405+AA405+AC405)</f>
        <v/>
      </c>
      <c r="AF405" s="140" t="n">
        <v>20</v>
      </c>
      <c r="AG405" s="138" t="n">
        <v>46029</v>
      </c>
      <c r="AH405" s="16" t="n"/>
      <c r="AI405" s="138" t="n"/>
      <c r="AJ405" s="16" t="n"/>
      <c r="AK405" s="138" t="n"/>
      <c r="AL405" s="16" t="n"/>
      <c r="AM405" s="138" t="n"/>
      <c r="AN405" s="16" t="n"/>
      <c r="AO405" s="138" t="n"/>
      <c r="AP405" s="16" t="n"/>
      <c r="AQ405" s="138" t="n"/>
      <c r="AR405" s="16" t="n"/>
      <c r="AS405" s="138" t="n"/>
      <c r="AT405" s="16" t="n"/>
      <c r="AU405" s="138" t="n"/>
      <c r="AV405" s="16" t="n"/>
      <c r="AW405" s="138" t="n"/>
      <c r="AX405" s="16" t="n"/>
      <c r="AY405" s="138" t="n"/>
      <c r="AZ405" s="16">
        <f>AF405+AH405+AJ405+AL405+AN405+AP405+AR405+AT405+AV405+AX405</f>
        <v/>
      </c>
      <c r="BA405" s="16" t="n"/>
      <c r="BB405" s="139" t="n"/>
      <c r="BC405" s="16" t="n"/>
      <c r="BD405" s="139" t="n"/>
      <c r="BE405" s="16">
        <f>(BA405+BC405)</f>
        <v/>
      </c>
    </row>
    <row r="406" ht="22.5" customFormat="1" customHeight="1" s="8">
      <c r="A406" s="9" t="n"/>
      <c r="B406" s="136" t="inlineStr">
        <is>
          <t>ADAPTER</t>
        </is>
      </c>
      <c r="C406" s="137" t="inlineStr">
        <is>
          <t>ADX6000</t>
        </is>
      </c>
      <c r="D406" s="60" t="inlineStr">
        <is>
          <t>25.2V 1.7A 충전기</t>
        </is>
      </c>
      <c r="E406" s="13" t="inlineStr">
        <is>
          <t>6S 어댑터 (중국용)</t>
        </is>
      </c>
      <c r="F406" s="99" t="n"/>
      <c r="G406" s="9" t="n"/>
      <c r="H406" s="9" t="inlineStr">
        <is>
          <t>브리지파워</t>
        </is>
      </c>
      <c r="I406" s="14" t="n"/>
      <c r="J406" s="14" t="n"/>
      <c r="K406" s="12" t="n">
        <v>7</v>
      </c>
      <c r="L406" s="9" t="n"/>
      <c r="M406" s="9" t="n"/>
      <c r="N406" s="9" t="n"/>
      <c r="O406" s="40">
        <f>K406+V406-AE406-AZ406</f>
        <v/>
      </c>
      <c r="P406" s="12" t="n"/>
      <c r="Q406" s="138" t="n"/>
      <c r="R406" s="16" t="n"/>
      <c r="S406" s="139" t="n"/>
      <c r="T406" s="16" t="n"/>
      <c r="U406" s="139" t="n"/>
      <c r="V406" s="16">
        <f>P406+R406+T406</f>
        <v/>
      </c>
      <c r="W406" s="16" t="n"/>
      <c r="X406" s="139" t="n"/>
      <c r="Y406" s="16" t="n"/>
      <c r="Z406" s="139" t="n"/>
      <c r="AA406" s="16" t="n"/>
      <c r="AB406" s="139" t="n"/>
      <c r="AC406" s="16" t="n"/>
      <c r="AD406" s="139" t="n"/>
      <c r="AE406" s="16">
        <f>(W406+Y406+AA406+AC406)</f>
        <v/>
      </c>
      <c r="AF406" s="140" t="n"/>
      <c r="AG406" s="138" t="n"/>
      <c r="AH406" s="16" t="n"/>
      <c r="AI406" s="138" t="n"/>
      <c r="AJ406" s="16" t="n"/>
      <c r="AK406" s="138" t="n"/>
      <c r="AL406" s="16" t="n"/>
      <c r="AM406" s="138" t="n"/>
      <c r="AN406" s="16" t="n"/>
      <c r="AO406" s="138" t="n"/>
      <c r="AP406" s="16" t="n"/>
      <c r="AQ406" s="138" t="n"/>
      <c r="AR406" s="16" t="n"/>
      <c r="AS406" s="138" t="n"/>
      <c r="AT406" s="16" t="n"/>
      <c r="AU406" s="138" t="n"/>
      <c r="AV406" s="16" t="n"/>
      <c r="AW406" s="138" t="n"/>
      <c r="AX406" s="16" t="n"/>
      <c r="AY406" s="138" t="n"/>
      <c r="AZ406" s="16">
        <f>AF406+AH406+AJ406+AL406+AN406+AP406+AR406+AT406+AV406+AX406</f>
        <v/>
      </c>
      <c r="BA406" s="16" t="n"/>
      <c r="BB406" s="139" t="n"/>
      <c r="BC406" s="16" t="n"/>
      <c r="BD406" s="139" t="n"/>
      <c r="BE406" s="16">
        <f>(BA406+BC406)</f>
        <v/>
      </c>
    </row>
    <row r="407" ht="22.5" customFormat="1" customHeight="1" s="8">
      <c r="A407" s="9" t="n"/>
      <c r="B407" s="136" t="inlineStr">
        <is>
          <t>ADAPTER</t>
        </is>
      </c>
      <c r="C407" s="142" t="inlineStr">
        <is>
          <t>공용</t>
        </is>
      </c>
      <c r="D407" s="60" t="inlineStr">
        <is>
          <t>15V 1.0A 충전기</t>
        </is>
      </c>
      <c r="E407" s="13" t="inlineStr">
        <is>
          <t>220V</t>
        </is>
      </c>
      <c r="F407" s="99" t="n"/>
      <c r="G407" s="9" t="n"/>
      <c r="H407" s="9" t="inlineStr">
        <is>
          <t>브리지파워</t>
        </is>
      </c>
      <c r="I407" s="14" t="n"/>
      <c r="J407" s="14" t="n"/>
      <c r="K407" s="12" t="n">
        <v>0</v>
      </c>
      <c r="L407" s="9" t="n"/>
      <c r="M407" s="9" t="n"/>
      <c r="N407" s="9" t="n"/>
      <c r="O407" s="40">
        <f>K407+V407-AE407-AZ407</f>
        <v/>
      </c>
      <c r="P407" s="12" t="n"/>
      <c r="Q407" s="138" t="n"/>
      <c r="R407" s="16" t="n"/>
      <c r="S407" s="139" t="n"/>
      <c r="T407" s="16" t="n"/>
      <c r="U407" s="139" t="n"/>
      <c r="V407" s="16">
        <f>P407+R407+T407</f>
        <v/>
      </c>
      <c r="W407" s="16" t="n"/>
      <c r="X407" s="139" t="n"/>
      <c r="Y407" s="16" t="n"/>
      <c r="Z407" s="139" t="n"/>
      <c r="AA407" s="16" t="n"/>
      <c r="AB407" s="139" t="n"/>
      <c r="AC407" s="16" t="n"/>
      <c r="AD407" s="139" t="n"/>
      <c r="AE407" s="16">
        <f>(W407+Y407+AA407+AC407)</f>
        <v/>
      </c>
      <c r="AF407" s="140" t="n"/>
      <c r="AG407" s="138" t="n"/>
      <c r="AH407" s="16" t="n"/>
      <c r="AI407" s="138" t="n"/>
      <c r="AJ407" s="16" t="n"/>
      <c r="AK407" s="138" t="n"/>
      <c r="AL407" s="16" t="n"/>
      <c r="AM407" s="138" t="n"/>
      <c r="AN407" s="16" t="n"/>
      <c r="AO407" s="138" t="n"/>
      <c r="AP407" s="16" t="n"/>
      <c r="AQ407" s="138" t="n"/>
      <c r="AR407" s="16" t="n"/>
      <c r="AS407" s="138" t="n"/>
      <c r="AT407" s="16" t="n"/>
      <c r="AU407" s="138" t="n"/>
      <c r="AV407" s="16" t="n"/>
      <c r="AW407" s="138" t="n"/>
      <c r="AX407" s="16" t="n"/>
      <c r="AY407" s="138" t="n"/>
      <c r="AZ407" s="16">
        <f>AF407+AH407+AJ407+AL407+AN407+AP407+AR407+AT407+AV407+AX407</f>
        <v/>
      </c>
      <c r="BA407" s="16" t="n"/>
      <c r="BB407" s="139" t="n"/>
      <c r="BC407" s="16" t="n"/>
      <c r="BD407" s="139" t="n"/>
      <c r="BE407" s="16">
        <f>(BA407+BC407)</f>
        <v/>
      </c>
    </row>
    <row r="408" ht="22.5" customFormat="1" customHeight="1" s="8">
      <c r="A408" s="9" t="n"/>
      <c r="B408" s="136" t="inlineStr">
        <is>
          <t>ADAPTER</t>
        </is>
      </c>
      <c r="C408" s="142" t="inlineStr">
        <is>
          <t>공용</t>
        </is>
      </c>
      <c r="D408" s="63" t="inlineStr">
        <is>
          <t>15V 1.0A 충전기</t>
        </is>
      </c>
      <c r="E408" s="13" t="inlineStr">
        <is>
          <t>110V</t>
        </is>
      </c>
      <c r="F408" s="99" t="n"/>
      <c r="G408" s="9" t="n"/>
      <c r="H408" s="9" t="inlineStr">
        <is>
          <t>브리지파워</t>
        </is>
      </c>
      <c r="I408" s="14" t="n"/>
      <c r="J408" s="14" t="n"/>
      <c r="K408" s="12" t="n">
        <v>0</v>
      </c>
      <c r="L408" s="9" t="n"/>
      <c r="M408" s="9" t="n"/>
      <c r="N408" s="9" t="n"/>
      <c r="O408" s="40">
        <f>K408+V408-AE408-AZ408</f>
        <v/>
      </c>
      <c r="P408" s="12" t="n"/>
      <c r="Q408" s="138" t="n"/>
      <c r="R408" s="16" t="n"/>
      <c r="S408" s="139" t="n"/>
      <c r="T408" s="16" t="n"/>
      <c r="U408" s="139" t="n"/>
      <c r="V408" s="16">
        <f>P408+R408+T408</f>
        <v/>
      </c>
      <c r="W408" s="16" t="n"/>
      <c r="X408" s="139" t="n"/>
      <c r="Y408" s="16" t="n"/>
      <c r="Z408" s="139" t="n"/>
      <c r="AA408" s="16" t="n"/>
      <c r="AB408" s="139" t="n"/>
      <c r="AC408" s="16" t="n"/>
      <c r="AD408" s="139" t="n"/>
      <c r="AE408" s="16">
        <f>(W408+Y408+AA408+AC408)</f>
        <v/>
      </c>
      <c r="AF408" s="140" t="n"/>
      <c r="AG408" s="138" t="n"/>
      <c r="AH408" s="16" t="n"/>
      <c r="AI408" s="138" t="n"/>
      <c r="AJ408" s="16" t="n"/>
      <c r="AK408" s="138" t="n"/>
      <c r="AL408" s="16" t="n"/>
      <c r="AM408" s="138" t="n"/>
      <c r="AN408" s="16" t="n"/>
      <c r="AO408" s="138" t="n"/>
      <c r="AP408" s="16" t="n"/>
      <c r="AQ408" s="138" t="n"/>
      <c r="AR408" s="16" t="n"/>
      <c r="AS408" s="138" t="n"/>
      <c r="AT408" s="16" t="n"/>
      <c r="AU408" s="138" t="n"/>
      <c r="AV408" s="16" t="n"/>
      <c r="AW408" s="138" t="n"/>
      <c r="AX408" s="16" t="n"/>
      <c r="AY408" s="138" t="n"/>
      <c r="AZ408" s="16">
        <f>AF408+AH408+AJ408+AL408+AN408+AP408+AR408+AT408+AV408+AX408</f>
        <v/>
      </c>
      <c r="BA408" s="16" t="n"/>
      <c r="BB408" s="139" t="n"/>
      <c r="BC408" s="16" t="n"/>
      <c r="BD408" s="139" t="n"/>
      <c r="BE408" s="16">
        <f>(BA408+BC408)</f>
        <v/>
      </c>
    </row>
    <row r="409" ht="22.5" customFormat="1" customHeight="1" s="8">
      <c r="A409" s="9" t="n"/>
      <c r="B409" s="136" t="inlineStr">
        <is>
          <t>충전 변환 젠더</t>
        </is>
      </c>
      <c r="C409" s="142" t="inlineStr">
        <is>
          <t>공용</t>
        </is>
      </c>
      <c r="D409" s="63" t="inlineStr">
        <is>
          <t>외부배터리 충전용 잭</t>
        </is>
      </c>
      <c r="E409" s="13" t="n"/>
      <c r="F409" s="99" t="n"/>
      <c r="G409" s="9" t="n"/>
      <c r="H409" s="9" t="inlineStr">
        <is>
          <t>직구</t>
        </is>
      </c>
      <c r="I409" s="14" t="n"/>
      <c r="J409" s="14" t="n"/>
      <c r="K409" s="12" t="n">
        <v>0</v>
      </c>
      <c r="L409" s="9" t="n"/>
      <c r="M409" s="9" t="n"/>
      <c r="N409" s="9" t="n"/>
      <c r="O409" s="40">
        <f>K409+V409-AE409-AZ409</f>
        <v/>
      </c>
      <c r="P409" s="12" t="n"/>
      <c r="Q409" s="138" t="n"/>
      <c r="R409" s="16" t="n"/>
      <c r="S409" s="139" t="n"/>
      <c r="T409" s="16" t="n"/>
      <c r="U409" s="139" t="n"/>
      <c r="V409" s="16">
        <f>P409+R409+T409</f>
        <v/>
      </c>
      <c r="W409" s="16" t="n"/>
      <c r="X409" s="139" t="n"/>
      <c r="Y409" s="16" t="n"/>
      <c r="Z409" s="139" t="n"/>
      <c r="AA409" s="16" t="n"/>
      <c r="AB409" s="139" t="n"/>
      <c r="AC409" s="16" t="n"/>
      <c r="AD409" s="139" t="n"/>
      <c r="AE409" s="16">
        <f>(W409+Y409+AA409+AC409)</f>
        <v/>
      </c>
      <c r="AF409" s="140" t="n"/>
      <c r="AG409" s="138" t="n"/>
      <c r="AH409" s="16" t="n"/>
      <c r="AI409" s="138" t="n"/>
      <c r="AJ409" s="16" t="n"/>
      <c r="AK409" s="138" t="n"/>
      <c r="AL409" s="16" t="n"/>
      <c r="AM409" s="138" t="n"/>
      <c r="AN409" s="16" t="n"/>
      <c r="AO409" s="138" t="n"/>
      <c r="AP409" s="16" t="n"/>
      <c r="AQ409" s="138" t="n"/>
      <c r="AR409" s="16" t="n"/>
      <c r="AS409" s="138" t="n"/>
      <c r="AT409" s="16" t="n"/>
      <c r="AU409" s="138" t="n"/>
      <c r="AV409" s="16" t="n"/>
      <c r="AW409" s="138" t="n"/>
      <c r="AX409" s="16" t="n"/>
      <c r="AY409" s="138" t="n"/>
      <c r="AZ409" s="16">
        <f>AF409+AH409+AJ409+AL409+AN409+AP409+AR409+AT409+AV409+AX409</f>
        <v/>
      </c>
      <c r="BA409" s="16" t="n"/>
      <c r="BB409" s="139" t="n"/>
      <c r="BC409" s="16" t="n"/>
      <c r="BD409" s="139" t="n"/>
      <c r="BE409" s="16">
        <f>(BA409+BC409)</f>
        <v/>
      </c>
    </row>
    <row r="410" ht="22.5" customFormat="1" customHeight="1" s="8">
      <c r="A410" s="9" t="n"/>
      <c r="B410" s="136" t="inlineStr">
        <is>
          <t>배터리 충전기</t>
        </is>
      </c>
      <c r="C410" s="137" t="inlineStr">
        <is>
          <t>DX3000, ADX4000W</t>
        </is>
      </c>
      <c r="D410" s="60" t="inlineStr">
        <is>
          <t>거치대</t>
        </is>
      </c>
      <c r="E410" s="13" t="inlineStr">
        <is>
          <t>D-910</t>
        </is>
      </c>
      <c r="F410" s="99" t="n"/>
      <c r="G410" s="9" t="n"/>
      <c r="H410" s="9" t="inlineStr">
        <is>
          <t>HLP</t>
        </is>
      </c>
      <c r="I410" s="14" t="n"/>
      <c r="J410" s="14" t="n"/>
      <c r="K410" s="12" t="n">
        <v>0</v>
      </c>
      <c r="L410" s="9" t="n"/>
      <c r="M410" s="9" t="n"/>
      <c r="N410" s="9" t="n"/>
      <c r="O410" s="40">
        <f>K410+V410-AE410-AZ410</f>
        <v/>
      </c>
      <c r="P410" s="12" t="n"/>
      <c r="Q410" s="138" t="n"/>
      <c r="R410" s="16" t="n"/>
      <c r="S410" s="139" t="n"/>
      <c r="T410" s="16" t="n"/>
      <c r="U410" s="139" t="n"/>
      <c r="V410" s="16">
        <f>P410+R410+T410</f>
        <v/>
      </c>
      <c r="W410" s="16" t="n"/>
      <c r="X410" s="139" t="n"/>
      <c r="Y410" s="16" t="n"/>
      <c r="Z410" s="139" t="n"/>
      <c r="AA410" s="16" t="n"/>
      <c r="AB410" s="139" t="n"/>
      <c r="AC410" s="16" t="n"/>
      <c r="AD410" s="139" t="n"/>
      <c r="AE410" s="16">
        <f>(W410+Y410+AA410+AC410)</f>
        <v/>
      </c>
      <c r="AF410" s="140" t="n"/>
      <c r="AG410" s="138" t="n"/>
      <c r="AH410" s="16" t="n"/>
      <c r="AI410" s="138" t="n"/>
      <c r="AJ410" s="16" t="n"/>
      <c r="AK410" s="138" t="n"/>
      <c r="AL410" s="16" t="n"/>
      <c r="AM410" s="138" t="n"/>
      <c r="AN410" s="16" t="n"/>
      <c r="AO410" s="138" t="n"/>
      <c r="AP410" s="16" t="n"/>
      <c r="AQ410" s="138" t="n"/>
      <c r="AR410" s="16" t="n"/>
      <c r="AS410" s="138" t="n"/>
      <c r="AT410" s="16" t="n"/>
      <c r="AU410" s="138" t="n"/>
      <c r="AV410" s="16" t="n"/>
      <c r="AW410" s="138" t="n"/>
      <c r="AX410" s="16" t="n"/>
      <c r="AY410" s="138" t="n"/>
      <c r="AZ410" s="16">
        <f>AF410+AH410+AJ410+AL410+AN410+AP410+AR410+AT410+AV410+AX410</f>
        <v/>
      </c>
      <c r="BA410" s="16" t="n"/>
      <c r="BB410" s="139" t="n"/>
      <c r="BC410" s="16" t="n"/>
      <c r="BD410" s="139" t="n"/>
      <c r="BE410" s="16">
        <f>(BA410+BC410)</f>
        <v/>
      </c>
    </row>
    <row r="411" ht="22.5" customFormat="1" customHeight="1" s="8">
      <c r="A411" s="9" t="n"/>
      <c r="B411" s="136" t="inlineStr">
        <is>
          <t>CABLE</t>
        </is>
      </c>
      <c r="C411" s="142" t="inlineStr">
        <is>
          <t>공용</t>
        </is>
      </c>
      <c r="D411" s="63" t="inlineStr">
        <is>
          <t>외부 배터리 와이어 케이블</t>
        </is>
      </c>
      <c r="E411" s="13" t="n"/>
      <c r="F411" s="99" t="n"/>
      <c r="G411" s="9" t="n"/>
      <c r="H411" s="9" t="inlineStr">
        <is>
          <t>HLP</t>
        </is>
      </c>
      <c r="I411" s="14" t="n"/>
      <c r="J411" s="14" t="n"/>
      <c r="K411" s="12" t="n">
        <v>0</v>
      </c>
      <c r="L411" s="9" t="n"/>
      <c r="M411" s="9" t="n"/>
      <c r="N411" s="9" t="n"/>
      <c r="O411" s="40">
        <f>K411+V411-AE411-AZ411</f>
        <v/>
      </c>
      <c r="P411" s="12" t="n"/>
      <c r="Q411" s="138" t="n"/>
      <c r="R411" s="16" t="n"/>
      <c r="S411" s="139" t="n"/>
      <c r="T411" s="16" t="n"/>
      <c r="U411" s="139" t="n"/>
      <c r="V411" s="16">
        <f>P411+R411+T411</f>
        <v/>
      </c>
      <c r="W411" s="16" t="n"/>
      <c r="X411" s="139" t="n"/>
      <c r="Y411" s="16" t="n"/>
      <c r="Z411" s="139" t="n"/>
      <c r="AA411" s="16" t="n"/>
      <c r="AB411" s="139" t="n"/>
      <c r="AC411" s="16" t="n"/>
      <c r="AD411" s="139" t="n"/>
      <c r="AE411" s="16">
        <f>(W411+Y411+AA411+AC411)</f>
        <v/>
      </c>
      <c r="AF411" s="140" t="n"/>
      <c r="AG411" s="138" t="n"/>
      <c r="AH411" s="16" t="n"/>
      <c r="AI411" s="138" t="n"/>
      <c r="AJ411" s="16" t="n"/>
      <c r="AK411" s="138" t="n"/>
      <c r="AL411" s="16" t="n"/>
      <c r="AM411" s="138" t="n"/>
      <c r="AN411" s="16" t="n"/>
      <c r="AO411" s="138" t="n"/>
      <c r="AP411" s="16" t="n"/>
      <c r="AQ411" s="138" t="n"/>
      <c r="AR411" s="16" t="n"/>
      <c r="AS411" s="138" t="n"/>
      <c r="AT411" s="16" t="n"/>
      <c r="AU411" s="138" t="n"/>
      <c r="AV411" s="16" t="n"/>
      <c r="AW411" s="138" t="n"/>
      <c r="AX411" s="16" t="n"/>
      <c r="AY411" s="138" t="n"/>
      <c r="AZ411" s="16">
        <f>AF411+AH411+AJ411+AL411+AN411+AP411+AR411+AT411+AV411+AX411</f>
        <v/>
      </c>
      <c r="BA411" s="16" t="n"/>
      <c r="BB411" s="139" t="n"/>
      <c r="BC411" s="16" t="n"/>
      <c r="BD411" s="139" t="n"/>
      <c r="BE411" s="16">
        <f>(BA411+BC411)</f>
        <v/>
      </c>
    </row>
    <row r="412" ht="22.5" customFormat="1" customHeight="1" s="8">
      <c r="A412" s="9" t="n"/>
      <c r="B412" s="136" t="inlineStr">
        <is>
          <t>CABLE</t>
        </is>
      </c>
      <c r="C412" s="137" t="inlineStr">
        <is>
          <t>ADX4000W</t>
        </is>
      </c>
      <c r="D412" s="63" t="inlineStr">
        <is>
          <t>USB 2.0 CABLE</t>
        </is>
      </c>
      <c r="E412" s="13" t="inlineStr">
        <is>
          <t>U-30136, 3m</t>
        </is>
      </c>
      <c r="F412" s="99" t="n"/>
      <c r="G412" s="9" t="n"/>
      <c r="H412" s="9" t="inlineStr">
        <is>
          <t>유그린</t>
        </is>
      </c>
      <c r="I412" s="14" t="n"/>
      <c r="J412" s="14" t="n"/>
      <c r="K412" s="12" t="n">
        <v>0</v>
      </c>
      <c r="L412" s="9" t="n"/>
      <c r="M412" s="9" t="n"/>
      <c r="N412" s="9" t="n"/>
      <c r="O412" s="40">
        <f>K412+V412-AE412-AZ412</f>
        <v/>
      </c>
      <c r="P412" s="12" t="n"/>
      <c r="Q412" s="138" t="n"/>
      <c r="R412" s="16" t="n"/>
      <c r="S412" s="139" t="n"/>
      <c r="T412" s="16" t="n"/>
      <c r="U412" s="139" t="n"/>
      <c r="V412" s="16">
        <f>P412+R412+T412</f>
        <v/>
      </c>
      <c r="W412" s="16" t="n"/>
      <c r="X412" s="139" t="n"/>
      <c r="Y412" s="16" t="n"/>
      <c r="Z412" s="139" t="n"/>
      <c r="AA412" s="16" t="n"/>
      <c r="AB412" s="139" t="n"/>
      <c r="AC412" s="16" t="n"/>
      <c r="AD412" s="139" t="n"/>
      <c r="AE412" s="16">
        <f>(W412+Y412+AA412+AC412)</f>
        <v/>
      </c>
      <c r="AF412" s="140" t="n"/>
      <c r="AG412" s="138" t="n"/>
      <c r="AH412" s="16" t="n"/>
      <c r="AI412" s="138" t="n"/>
      <c r="AJ412" s="16" t="n"/>
      <c r="AK412" s="138" t="n"/>
      <c r="AL412" s="16" t="n"/>
      <c r="AM412" s="138" t="n"/>
      <c r="AN412" s="16" t="n"/>
      <c r="AO412" s="138" t="n"/>
      <c r="AP412" s="16" t="n"/>
      <c r="AQ412" s="138" t="n"/>
      <c r="AR412" s="16" t="n"/>
      <c r="AS412" s="138" t="n"/>
      <c r="AT412" s="16" t="n"/>
      <c r="AU412" s="138" t="n"/>
      <c r="AV412" s="16" t="n"/>
      <c r="AW412" s="138" t="n"/>
      <c r="AX412" s="16" t="n"/>
      <c r="AY412" s="138" t="n"/>
      <c r="AZ412" s="16">
        <f>AF412+AH412+AJ412+AL412+AN412+AP412+AR412+AT412+AV412+AX412</f>
        <v/>
      </c>
      <c r="BA412" s="16" t="n"/>
      <c r="BB412" s="139" t="n"/>
      <c r="BC412" s="16" t="n"/>
      <c r="BD412" s="139" t="n"/>
      <c r="BE412" s="16">
        <f>(BA412+BC412)</f>
        <v/>
      </c>
    </row>
    <row r="413" ht="22.5" customFormat="1" customHeight="1" s="8">
      <c r="A413" s="9" t="n"/>
      <c r="B413" s="136" t="inlineStr">
        <is>
          <t>CABLE</t>
        </is>
      </c>
      <c r="C413" s="137" t="inlineStr">
        <is>
          <t>ADX4000W</t>
        </is>
      </c>
      <c r="D413" s="60" t="inlineStr">
        <is>
          <t>USB 2.0 CABLE</t>
        </is>
      </c>
      <c r="E413" s="13" t="inlineStr">
        <is>
          <t>PMM369-0200, 2m</t>
        </is>
      </c>
      <c r="F413" s="99" t="n"/>
      <c r="G413" s="9" t="n"/>
      <c r="H413" s="9" t="inlineStr">
        <is>
          <t>강원전자</t>
        </is>
      </c>
      <c r="I413" s="14" t="n"/>
      <c r="J413" s="14" t="n"/>
      <c r="K413" s="12" t="n">
        <v>0</v>
      </c>
      <c r="L413" s="9" t="n"/>
      <c r="M413" s="9" t="n"/>
      <c r="N413" s="9" t="n"/>
      <c r="O413" s="40">
        <f>K413+V413-AE413-AZ413</f>
        <v/>
      </c>
      <c r="P413" s="12" t="n"/>
      <c r="Q413" s="138" t="n"/>
      <c r="R413" s="16" t="n"/>
      <c r="S413" s="139" t="n"/>
      <c r="T413" s="16" t="n"/>
      <c r="U413" s="139" t="n"/>
      <c r="V413" s="16">
        <f>P413+R413+T413</f>
        <v/>
      </c>
      <c r="W413" s="16" t="n"/>
      <c r="X413" s="139" t="n"/>
      <c r="Y413" s="16" t="n"/>
      <c r="Z413" s="139" t="n"/>
      <c r="AA413" s="16" t="n"/>
      <c r="AB413" s="139" t="n"/>
      <c r="AC413" s="16" t="n"/>
      <c r="AD413" s="139" t="n"/>
      <c r="AE413" s="16">
        <f>(W413+Y413+AA413+AC413)</f>
        <v/>
      </c>
      <c r="AF413" s="140" t="n"/>
      <c r="AG413" s="138" t="n"/>
      <c r="AH413" s="16" t="n"/>
      <c r="AI413" s="138" t="n"/>
      <c r="AJ413" s="16" t="n"/>
      <c r="AK413" s="138" t="n"/>
      <c r="AL413" s="16" t="n"/>
      <c r="AM413" s="138" t="n"/>
      <c r="AN413" s="16" t="n"/>
      <c r="AO413" s="138" t="n"/>
      <c r="AP413" s="16" t="n"/>
      <c r="AQ413" s="138" t="n"/>
      <c r="AR413" s="16" t="n"/>
      <c r="AS413" s="138" t="n"/>
      <c r="AT413" s="16" t="n"/>
      <c r="AU413" s="138" t="n"/>
      <c r="AV413" s="16" t="n"/>
      <c r="AW413" s="138" t="n"/>
      <c r="AX413" s="16" t="n"/>
      <c r="AY413" s="138" t="n"/>
      <c r="AZ413" s="16">
        <f>AF413+AH413+AJ413+AL413+AN413+AP413+AR413+AT413+AV413+AX413</f>
        <v/>
      </c>
      <c r="BA413" s="16" t="n"/>
      <c r="BB413" s="139" t="n"/>
      <c r="BC413" s="16" t="n"/>
      <c r="BD413" s="139" t="n"/>
      <c r="BE413" s="16">
        <f>(BA413+BC413)</f>
        <v/>
      </c>
    </row>
    <row r="414" ht="22.5" customFormat="1" customHeight="1" s="8">
      <c r="A414" s="9" t="n"/>
      <c r="B414" s="136" t="inlineStr">
        <is>
          <t>CABLE</t>
        </is>
      </c>
      <c r="C414" s="137" t="inlineStr">
        <is>
          <t>ADX4000W</t>
        </is>
      </c>
      <c r="D414" s="60" t="inlineStr">
        <is>
          <t>USB 2.0 CABLE</t>
        </is>
      </c>
      <c r="E414" s="13" t="inlineStr">
        <is>
          <t>PMM369-0100, 1m</t>
        </is>
      </c>
      <c r="F414" s="99" t="n"/>
      <c r="G414" s="9" t="n"/>
      <c r="H414" s="9" t="inlineStr">
        <is>
          <t>강원전자</t>
        </is>
      </c>
      <c r="I414" s="14" t="n"/>
      <c r="J414" s="14" t="n"/>
      <c r="K414" s="12" t="n">
        <v>0</v>
      </c>
      <c r="L414" s="9" t="n"/>
      <c r="M414" s="9" t="n"/>
      <c r="N414" s="9" t="n"/>
      <c r="O414" s="40">
        <f>K414+V414-AE414-AZ414</f>
        <v/>
      </c>
      <c r="P414" s="12" t="n"/>
      <c r="Q414" s="138" t="n"/>
      <c r="R414" s="16" t="n"/>
      <c r="S414" s="139" t="n"/>
      <c r="T414" s="16" t="n"/>
      <c r="U414" s="139" t="n"/>
      <c r="V414" s="16">
        <f>P414+R414+T414</f>
        <v/>
      </c>
      <c r="W414" s="16" t="n"/>
      <c r="X414" s="139" t="n"/>
      <c r="Y414" s="16" t="n"/>
      <c r="Z414" s="139" t="n"/>
      <c r="AA414" s="16" t="n"/>
      <c r="AB414" s="139" t="n"/>
      <c r="AC414" s="16" t="n"/>
      <c r="AD414" s="139" t="n"/>
      <c r="AE414" s="16">
        <f>(W414+Y414+AA414+AC414)</f>
        <v/>
      </c>
      <c r="AF414" s="140" t="n"/>
      <c r="AG414" s="138" t="n"/>
      <c r="AH414" s="16" t="n"/>
      <c r="AI414" s="138" t="n"/>
      <c r="AJ414" s="16" t="n"/>
      <c r="AK414" s="138" t="n"/>
      <c r="AL414" s="16" t="n"/>
      <c r="AM414" s="138" t="n"/>
      <c r="AN414" s="16" t="n"/>
      <c r="AO414" s="138" t="n"/>
      <c r="AP414" s="16" t="n"/>
      <c r="AQ414" s="138" t="n"/>
      <c r="AR414" s="16" t="n"/>
      <c r="AS414" s="138" t="n"/>
      <c r="AT414" s="16" t="n"/>
      <c r="AU414" s="138" t="n"/>
      <c r="AV414" s="16" t="n"/>
      <c r="AW414" s="138" t="n"/>
      <c r="AX414" s="16" t="n"/>
      <c r="AY414" s="138" t="n"/>
      <c r="AZ414" s="16">
        <f>AF414+AH414+AJ414+AL414+AN414+AP414+AR414+AT414+AV414+AX414</f>
        <v/>
      </c>
      <c r="BA414" s="16" t="n"/>
      <c r="BB414" s="139" t="n"/>
      <c r="BC414" s="16" t="n"/>
      <c r="BD414" s="139" t="n"/>
      <c r="BE414" s="16">
        <f>(BA414+BC414)</f>
        <v/>
      </c>
    </row>
    <row r="415" ht="22.5" customFormat="1" customHeight="1" s="8">
      <c r="A415" s="9" t="n"/>
      <c r="B415" s="136" t="inlineStr">
        <is>
          <t>CABLE</t>
        </is>
      </c>
      <c r="C415" s="137" t="inlineStr">
        <is>
          <t>ADX6000</t>
        </is>
      </c>
      <c r="D415" s="60" t="inlineStr">
        <is>
          <t>PC Link Cable</t>
        </is>
      </c>
      <c r="E415" s="13" t="n"/>
      <c r="F415" s="99" t="n"/>
      <c r="G415" s="9" t="n"/>
      <c r="H415" s="9" t="inlineStr">
        <is>
          <t>직구</t>
        </is>
      </c>
      <c r="I415" s="14" t="n"/>
      <c r="J415" s="14" t="n"/>
      <c r="K415" s="12" t="n">
        <v>27</v>
      </c>
      <c r="L415" s="9" t="n"/>
      <c r="M415" s="9" t="n"/>
      <c r="N415" s="9" t="n"/>
      <c r="O415" s="40">
        <f>K415+V415-AE415-AZ415</f>
        <v/>
      </c>
      <c r="P415" s="12" t="n"/>
      <c r="Q415" s="138" t="n"/>
      <c r="R415" s="16" t="n"/>
      <c r="S415" s="139" t="n"/>
      <c r="T415" s="16" t="n"/>
      <c r="U415" s="139" t="n"/>
      <c r="V415" s="16">
        <f>P415+R415+T415</f>
        <v/>
      </c>
      <c r="W415" s="16" t="n"/>
      <c r="X415" s="139" t="n"/>
      <c r="Y415" s="16" t="n"/>
      <c r="Z415" s="139" t="n"/>
      <c r="AA415" s="16" t="n"/>
      <c r="AB415" s="139" t="n"/>
      <c r="AC415" s="16" t="n"/>
      <c r="AD415" s="139" t="n"/>
      <c r="AE415" s="16">
        <f>(W415+Y415+AA415+AC415)</f>
        <v/>
      </c>
      <c r="AF415" s="140" t="n"/>
      <c r="AG415" s="138" t="n"/>
      <c r="AH415" s="16" t="n"/>
      <c r="AI415" s="138" t="n"/>
      <c r="AJ415" s="16" t="n"/>
      <c r="AK415" s="138" t="n"/>
      <c r="AL415" s="16" t="n"/>
      <c r="AM415" s="138" t="n"/>
      <c r="AN415" s="16" t="n"/>
      <c r="AO415" s="138" t="n"/>
      <c r="AP415" s="16" t="n"/>
      <c r="AQ415" s="138" t="n"/>
      <c r="AR415" s="16" t="n"/>
      <c r="AS415" s="138" t="n"/>
      <c r="AT415" s="16" t="n"/>
      <c r="AU415" s="138" t="n"/>
      <c r="AV415" s="16" t="n"/>
      <c r="AW415" s="138" t="n"/>
      <c r="AX415" s="16" t="n"/>
      <c r="AY415" s="138" t="n"/>
      <c r="AZ415" s="16">
        <f>AF415+AH415+AJ415+AL415+AN415+AP415+AR415+AT415+AV415+AX415</f>
        <v/>
      </c>
      <c r="BA415" s="16" t="n"/>
      <c r="BB415" s="139" t="n"/>
      <c r="BC415" s="16" t="n"/>
      <c r="BD415" s="139" t="n"/>
      <c r="BE415" s="16">
        <f>(BA415+BC415)</f>
        <v/>
      </c>
    </row>
    <row r="416" ht="22.5" customFormat="1" customHeight="1" s="8">
      <c r="A416" s="9" t="n"/>
      <c r="B416" s="136" t="inlineStr">
        <is>
          <t>PCB</t>
        </is>
      </c>
      <c r="C416" s="142" t="inlineStr">
        <is>
          <t>공용</t>
        </is>
      </c>
      <c r="D416" s="63" t="inlineStr">
        <is>
          <t>외부 배터리 쪽 보드</t>
        </is>
      </c>
      <c r="E416" s="13" t="inlineStr">
        <is>
          <t>EX BATTERY BD</t>
        </is>
      </c>
      <c r="F416" s="99" t="n"/>
      <c r="G416" s="9" t="n"/>
      <c r="H416" s="9" t="inlineStr">
        <is>
          <t>HLP</t>
        </is>
      </c>
      <c r="I416" s="14" t="n"/>
      <c r="J416" s="14" t="n"/>
      <c r="K416" s="12" t="n">
        <v>0</v>
      </c>
      <c r="L416" s="9" t="n"/>
      <c r="M416" s="9" t="n"/>
      <c r="N416" s="9" t="n"/>
      <c r="O416" s="40">
        <f>K416+V416-AE416-AZ416</f>
        <v/>
      </c>
      <c r="P416" s="12" t="n"/>
      <c r="Q416" s="138" t="n"/>
      <c r="R416" s="16" t="n"/>
      <c r="S416" s="139" t="n"/>
      <c r="T416" s="16" t="n"/>
      <c r="U416" s="139" t="n"/>
      <c r="V416" s="16">
        <f>P416+R416+T416</f>
        <v/>
      </c>
      <c r="W416" s="16" t="n"/>
      <c r="X416" s="139" t="n"/>
      <c r="Y416" s="16" t="n"/>
      <c r="Z416" s="139" t="n"/>
      <c r="AA416" s="16" t="n"/>
      <c r="AB416" s="139" t="n"/>
      <c r="AC416" s="16" t="n"/>
      <c r="AD416" s="139" t="n"/>
      <c r="AE416" s="16">
        <f>(W416+Y416+AA416+AC416)</f>
        <v/>
      </c>
      <c r="AF416" s="140" t="n"/>
      <c r="AG416" s="138" t="n"/>
      <c r="AH416" s="16" t="n"/>
      <c r="AI416" s="138" t="n"/>
      <c r="AJ416" s="16" t="n"/>
      <c r="AK416" s="138" t="n"/>
      <c r="AL416" s="16" t="n"/>
      <c r="AM416" s="138" t="n"/>
      <c r="AN416" s="16" t="n"/>
      <c r="AO416" s="138" t="n"/>
      <c r="AP416" s="16" t="n"/>
      <c r="AQ416" s="138" t="n"/>
      <c r="AR416" s="16" t="n"/>
      <c r="AS416" s="138" t="n"/>
      <c r="AT416" s="16" t="n"/>
      <c r="AU416" s="138" t="n"/>
      <c r="AV416" s="16" t="n"/>
      <c r="AW416" s="138" t="n"/>
      <c r="AX416" s="16" t="n"/>
      <c r="AY416" s="138" t="n"/>
      <c r="AZ416" s="16">
        <f>AF416+AH416+AJ416+AL416+AN416+AP416+AR416+AT416+AV416+AX416</f>
        <v/>
      </c>
      <c r="BA416" s="16" t="n"/>
      <c r="BB416" s="139" t="n"/>
      <c r="BC416" s="16" t="n"/>
      <c r="BD416" s="139" t="n"/>
      <c r="BE416" s="16">
        <f>(BA416+BC416)</f>
        <v/>
      </c>
    </row>
    <row r="417" ht="22.5" customFormat="1" customHeight="1" s="8">
      <c r="A417" s="9" t="n"/>
      <c r="B417" s="136" t="inlineStr">
        <is>
          <t>가방</t>
        </is>
      </c>
      <c r="C417" s="137" t="inlineStr">
        <is>
          <t>DX3000</t>
        </is>
      </c>
      <c r="D417" s="63" t="inlineStr">
        <is>
          <t>가방+내부 FOAM(계란판)</t>
        </is>
      </c>
      <c r="E417" s="13" t="n"/>
      <c r="F417" s="99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40">
        <f>K417+V417-AE417-AZ417</f>
        <v/>
      </c>
      <c r="P417" s="12" t="n"/>
      <c r="Q417" s="138" t="n"/>
      <c r="R417" s="16" t="n"/>
      <c r="S417" s="139" t="n"/>
      <c r="T417" s="16" t="n"/>
      <c r="U417" s="139" t="n"/>
      <c r="V417" s="16">
        <f>P417+R417+T417</f>
        <v/>
      </c>
      <c r="W417" s="16" t="n"/>
      <c r="X417" s="139" t="n"/>
      <c r="Y417" s="16" t="n"/>
      <c r="Z417" s="139" t="n"/>
      <c r="AA417" s="16" t="n"/>
      <c r="AB417" s="139" t="n"/>
      <c r="AC417" s="16" t="n"/>
      <c r="AD417" s="139" t="n"/>
      <c r="AE417" s="16">
        <f>(W417+Y417+AA417+AC417)</f>
        <v/>
      </c>
      <c r="AF417" s="140" t="n"/>
      <c r="AG417" s="138" t="n"/>
      <c r="AH417" s="16" t="n"/>
      <c r="AI417" s="138" t="n"/>
      <c r="AJ417" s="16" t="n"/>
      <c r="AK417" s="138" t="n"/>
      <c r="AL417" s="16" t="n"/>
      <c r="AM417" s="138" t="n"/>
      <c r="AN417" s="16" t="n"/>
      <c r="AO417" s="138" t="n"/>
      <c r="AP417" s="16" t="n"/>
      <c r="AQ417" s="138" t="n"/>
      <c r="AR417" s="16" t="n"/>
      <c r="AS417" s="138" t="n"/>
      <c r="AT417" s="16" t="n"/>
      <c r="AU417" s="138" t="n"/>
      <c r="AV417" s="16" t="n"/>
      <c r="AW417" s="138" t="n"/>
      <c r="AX417" s="16" t="n"/>
      <c r="AY417" s="138" t="n"/>
      <c r="AZ417" s="16">
        <f>AF417+AH417+AJ417+AL417+AN417+AP417+AR417+AT417+AV417+AX417</f>
        <v/>
      </c>
      <c r="BA417" s="16" t="n"/>
      <c r="BB417" s="139" t="n"/>
      <c r="BC417" s="16" t="n"/>
      <c r="BD417" s="139" t="n"/>
      <c r="BE417" s="16">
        <f>(BA417+BC417)</f>
        <v/>
      </c>
    </row>
    <row r="418" ht="22.5" customFormat="1" customHeight="1" s="8">
      <c r="A418" s="9" t="n"/>
      <c r="B418" s="136" t="inlineStr">
        <is>
          <t>가방</t>
        </is>
      </c>
      <c r="C418" s="137" t="inlineStr">
        <is>
          <t>DX3000</t>
        </is>
      </c>
      <c r="D418" s="65" t="inlineStr">
        <is>
          <t>가방+내장재 X</t>
        </is>
      </c>
      <c r="E418" s="13" t="n"/>
      <c r="F418" s="99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40">
        <f>K418+V418-AE418-AZ418</f>
        <v/>
      </c>
      <c r="P418" s="12" t="n"/>
      <c r="Q418" s="138" t="n"/>
      <c r="R418" s="16" t="n"/>
      <c r="S418" s="139" t="n"/>
      <c r="T418" s="16" t="n"/>
      <c r="U418" s="139" t="n"/>
      <c r="V418" s="16">
        <f>P418+R418+T418</f>
        <v/>
      </c>
      <c r="W418" s="16" t="n"/>
      <c r="X418" s="139" t="n"/>
      <c r="Y418" s="16" t="n"/>
      <c r="Z418" s="139" t="n"/>
      <c r="AA418" s="16" t="n"/>
      <c r="AB418" s="139" t="n"/>
      <c r="AC418" s="16" t="n"/>
      <c r="AD418" s="139" t="n"/>
      <c r="AE418" s="16">
        <f>(W418+Y418+AA418+AC418)</f>
        <v/>
      </c>
      <c r="AF418" s="140" t="n"/>
      <c r="AG418" s="138" t="n"/>
      <c r="AH418" s="16" t="n"/>
      <c r="AI418" s="138" t="n"/>
      <c r="AJ418" s="16" t="n"/>
      <c r="AK418" s="138" t="n"/>
      <c r="AL418" s="16" t="n"/>
      <c r="AM418" s="138" t="n"/>
      <c r="AN418" s="16" t="n"/>
      <c r="AO418" s="138" t="n"/>
      <c r="AP418" s="16" t="n"/>
      <c r="AQ418" s="138" t="n"/>
      <c r="AR418" s="16" t="n"/>
      <c r="AS418" s="138" t="n"/>
      <c r="AT418" s="16" t="n"/>
      <c r="AU418" s="138" t="n"/>
      <c r="AV418" s="16" t="n"/>
      <c r="AW418" s="138" t="n"/>
      <c r="AX418" s="16" t="n"/>
      <c r="AY418" s="138" t="n"/>
      <c r="AZ418" s="16">
        <f>AF418+AH418+AJ418+AL418+AN418+AP418+AR418+AT418+AV418+AX418</f>
        <v/>
      </c>
      <c r="BA418" s="16" t="n"/>
      <c r="BB418" s="139" t="n"/>
      <c r="BC418" s="16" t="n"/>
      <c r="BD418" s="139" t="n"/>
      <c r="BE418" s="16">
        <f>(BA418+BC418)</f>
        <v/>
      </c>
    </row>
    <row r="419" ht="22.5" customFormat="1" customHeight="1" s="8">
      <c r="A419" s="9" t="n"/>
      <c r="B419" s="136" t="inlineStr">
        <is>
          <t>가방</t>
        </is>
      </c>
      <c r="C419" s="137" t="inlineStr">
        <is>
          <t>DX3000</t>
        </is>
      </c>
      <c r="D419" s="65" t="inlineStr">
        <is>
          <t>가방(로고 없는것)+내부 FOAM(계란판)</t>
        </is>
      </c>
      <c r="E419" s="13" t="n"/>
      <c r="F419" s="99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40">
        <f>K419+V419-AE419-AZ419</f>
        <v/>
      </c>
      <c r="P419" s="12" t="n"/>
      <c r="Q419" s="138" t="n"/>
      <c r="R419" s="16" t="n"/>
      <c r="S419" s="139" t="n"/>
      <c r="T419" s="16" t="n"/>
      <c r="U419" s="139" t="n"/>
      <c r="V419" s="16">
        <f>P419+R419+T419</f>
        <v/>
      </c>
      <c r="W419" s="16" t="n"/>
      <c r="X419" s="139" t="n"/>
      <c r="Y419" s="16" t="n"/>
      <c r="Z419" s="139" t="n"/>
      <c r="AA419" s="16" t="n"/>
      <c r="AB419" s="139" t="n"/>
      <c r="AC419" s="16" t="n"/>
      <c r="AD419" s="139" t="n"/>
      <c r="AE419" s="16">
        <f>(W419+Y419+AA419+AC419)</f>
        <v/>
      </c>
      <c r="AF419" s="140" t="n"/>
      <c r="AG419" s="138" t="n"/>
      <c r="AH419" s="16" t="n"/>
      <c r="AI419" s="138" t="n"/>
      <c r="AJ419" s="16" t="n"/>
      <c r="AK419" s="138" t="n"/>
      <c r="AL419" s="16" t="n"/>
      <c r="AM419" s="138" t="n"/>
      <c r="AN419" s="16" t="n"/>
      <c r="AO419" s="138" t="n"/>
      <c r="AP419" s="16" t="n"/>
      <c r="AQ419" s="138" t="n"/>
      <c r="AR419" s="16" t="n"/>
      <c r="AS419" s="138" t="n"/>
      <c r="AT419" s="16" t="n"/>
      <c r="AU419" s="138" t="n"/>
      <c r="AV419" s="16" t="n"/>
      <c r="AW419" s="138" t="n"/>
      <c r="AX419" s="16" t="n"/>
      <c r="AY419" s="138" t="n"/>
      <c r="AZ419" s="16">
        <f>AF419+AH419+AJ419+AL419+AN419+AP419+AR419+AT419+AV419+AX419</f>
        <v/>
      </c>
      <c r="BA419" s="16" t="n"/>
      <c r="BB419" s="139" t="n"/>
      <c r="BC419" s="16" t="n"/>
      <c r="BD419" s="139" t="n"/>
      <c r="BE419" s="16">
        <f>(BA419+BC419)</f>
        <v/>
      </c>
    </row>
    <row r="420" ht="22.5" customFormat="1" customHeight="1" s="8">
      <c r="A420" s="9" t="n"/>
      <c r="B420" s="136" t="inlineStr">
        <is>
          <t>가방</t>
        </is>
      </c>
      <c r="C420" s="137" t="inlineStr">
        <is>
          <t>DX3000</t>
        </is>
      </c>
      <c r="D420" s="65" t="inlineStr">
        <is>
          <t>가방(로고 없는것)+내장재 X</t>
        </is>
      </c>
      <c r="E420" s="13" t="n"/>
      <c r="F420" s="99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40">
        <f>K420+V420-AE420-AZ420</f>
        <v/>
      </c>
      <c r="P420" s="12" t="n"/>
      <c r="Q420" s="138" t="n"/>
      <c r="R420" s="16" t="n"/>
      <c r="S420" s="139" t="n"/>
      <c r="T420" s="16" t="n"/>
      <c r="U420" s="139" t="n"/>
      <c r="V420" s="16">
        <f>P420+R420+T420</f>
        <v/>
      </c>
      <c r="W420" s="16" t="n"/>
      <c r="X420" s="139" t="n"/>
      <c r="Y420" s="16" t="n"/>
      <c r="Z420" s="139" t="n"/>
      <c r="AA420" s="16" t="n"/>
      <c r="AB420" s="139" t="n"/>
      <c r="AC420" s="16" t="n"/>
      <c r="AD420" s="139" t="n"/>
      <c r="AE420" s="16">
        <f>(W420+Y420+AA420+AC420)</f>
        <v/>
      </c>
      <c r="AF420" s="140" t="n"/>
      <c r="AG420" s="138" t="n"/>
      <c r="AH420" s="16" t="n"/>
      <c r="AI420" s="138" t="n"/>
      <c r="AJ420" s="16" t="n"/>
      <c r="AK420" s="138" t="n"/>
      <c r="AL420" s="16" t="n"/>
      <c r="AM420" s="138" t="n"/>
      <c r="AN420" s="16" t="n"/>
      <c r="AO420" s="138" t="n"/>
      <c r="AP420" s="16" t="n"/>
      <c r="AQ420" s="138" t="n"/>
      <c r="AR420" s="16" t="n"/>
      <c r="AS420" s="138" t="n"/>
      <c r="AT420" s="16" t="n"/>
      <c r="AU420" s="138" t="n"/>
      <c r="AV420" s="16" t="n"/>
      <c r="AW420" s="138" t="n"/>
      <c r="AX420" s="16" t="n"/>
      <c r="AY420" s="138" t="n"/>
      <c r="AZ420" s="16">
        <f>AF420+AH420+AJ420+AL420+AN420+AP420+AR420+AT420+AV420+AX420</f>
        <v/>
      </c>
      <c r="BA420" s="16" t="n"/>
      <c r="BB420" s="139" t="n"/>
      <c r="BC420" s="16" t="n"/>
      <c r="BD420" s="139" t="n"/>
      <c r="BE420" s="16">
        <f>(BA420+BC420)</f>
        <v/>
      </c>
    </row>
    <row r="421" ht="22.5" customFormat="1" customHeight="1" s="8">
      <c r="A421" s="9" t="n"/>
      <c r="B421" s="136" t="inlineStr">
        <is>
          <t>가방</t>
        </is>
      </c>
      <c r="C421" s="137" t="inlineStr">
        <is>
          <t>COCOON</t>
        </is>
      </c>
      <c r="D421" s="65" t="inlineStr">
        <is>
          <t>가방+내부FOAM(계란판)_공용</t>
        </is>
      </c>
      <c r="E421" s="13" t="n"/>
      <c r="F421" s="99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40">
        <f>K421+V421-AE421-AZ421</f>
        <v/>
      </c>
      <c r="P421" s="12" t="n"/>
      <c r="Q421" s="138" t="n"/>
      <c r="R421" s="16" t="n"/>
      <c r="S421" s="139" t="n"/>
      <c r="T421" s="16" t="n"/>
      <c r="U421" s="139" t="n"/>
      <c r="V421" s="16">
        <f>P421+R421+T421</f>
        <v/>
      </c>
      <c r="W421" s="16" t="n"/>
      <c r="X421" s="139" t="n"/>
      <c r="Y421" s="16" t="n"/>
      <c r="Z421" s="139" t="n"/>
      <c r="AA421" s="16" t="n"/>
      <c r="AB421" s="139" t="n"/>
      <c r="AC421" s="16" t="n"/>
      <c r="AD421" s="139" t="n"/>
      <c r="AE421" s="16">
        <f>(W421+Y421+AA421+AC421)</f>
        <v/>
      </c>
      <c r="AF421" s="140" t="n"/>
      <c r="AG421" s="138" t="n"/>
      <c r="AH421" s="16" t="n"/>
      <c r="AI421" s="138" t="n"/>
      <c r="AJ421" s="16" t="n"/>
      <c r="AK421" s="138" t="n"/>
      <c r="AL421" s="16" t="n"/>
      <c r="AM421" s="138" t="n"/>
      <c r="AN421" s="16" t="n"/>
      <c r="AO421" s="138" t="n"/>
      <c r="AP421" s="16" t="n"/>
      <c r="AQ421" s="138" t="n"/>
      <c r="AR421" s="16" t="n"/>
      <c r="AS421" s="138" t="n"/>
      <c r="AT421" s="16" t="n"/>
      <c r="AU421" s="138" t="n"/>
      <c r="AV421" s="16" t="n"/>
      <c r="AW421" s="138" t="n"/>
      <c r="AX421" s="16" t="n"/>
      <c r="AY421" s="138" t="n"/>
      <c r="AZ421" s="16">
        <f>AF421+AH421+AJ421+AL421+AN421+AP421+AR421+AT421+AV421+AX421</f>
        <v/>
      </c>
      <c r="BA421" s="16" t="n"/>
      <c r="BB421" s="139" t="n"/>
      <c r="BC421" s="16" t="n"/>
      <c r="BD421" s="139" t="n"/>
      <c r="BE421" s="16">
        <f>(BA421+BC421)</f>
        <v/>
      </c>
    </row>
    <row r="422" ht="22.5" customFormat="1" customHeight="1" s="8">
      <c r="A422" s="9" t="n"/>
      <c r="B422" s="136" t="inlineStr">
        <is>
          <t>가방</t>
        </is>
      </c>
      <c r="C422" s="137" t="inlineStr">
        <is>
          <t>COCOON</t>
        </is>
      </c>
      <c r="D422" s="65" t="inlineStr">
        <is>
          <t>가방(로고 없는것)+내부 FOAM(계란판)</t>
        </is>
      </c>
      <c r="E422" s="13" t="n"/>
      <c r="F422" s="99" t="n"/>
      <c r="G422" s="9" t="n"/>
      <c r="H422" s="9" t="inlineStr">
        <is>
          <t>굿모닝코리아유통</t>
        </is>
      </c>
      <c r="I422" s="14" t="n"/>
      <c r="J422" s="14" t="n"/>
      <c r="K422" s="12" t="n">
        <v>0</v>
      </c>
      <c r="L422" s="9" t="n"/>
      <c r="M422" s="9" t="n"/>
      <c r="N422" s="9" t="n"/>
      <c r="O422" s="40">
        <f>K422+V422-AE422-AZ422</f>
        <v/>
      </c>
      <c r="P422" s="12" t="n"/>
      <c r="Q422" s="138" t="n"/>
      <c r="R422" s="16" t="n"/>
      <c r="S422" s="139" t="n"/>
      <c r="T422" s="16" t="n"/>
      <c r="U422" s="139" t="n"/>
      <c r="V422" s="16">
        <f>P422+R422+T422</f>
        <v/>
      </c>
      <c r="W422" s="16" t="n"/>
      <c r="X422" s="139" t="n"/>
      <c r="Y422" s="16" t="n"/>
      <c r="Z422" s="139" t="n"/>
      <c r="AA422" s="16" t="n"/>
      <c r="AB422" s="139" t="n"/>
      <c r="AC422" s="16" t="n"/>
      <c r="AD422" s="139" t="n"/>
      <c r="AE422" s="16">
        <f>(W422+Y422+AA422+AC422)</f>
        <v/>
      </c>
      <c r="AF422" s="140" t="n"/>
      <c r="AG422" s="138" t="n"/>
      <c r="AH422" s="16" t="n"/>
      <c r="AI422" s="138" t="n"/>
      <c r="AJ422" s="16" t="n"/>
      <c r="AK422" s="138" t="n"/>
      <c r="AL422" s="16" t="n"/>
      <c r="AM422" s="138" t="n"/>
      <c r="AN422" s="16" t="n"/>
      <c r="AO422" s="138" t="n"/>
      <c r="AP422" s="16" t="n"/>
      <c r="AQ422" s="138" t="n"/>
      <c r="AR422" s="16" t="n"/>
      <c r="AS422" s="138" t="n"/>
      <c r="AT422" s="16" t="n"/>
      <c r="AU422" s="138" t="n"/>
      <c r="AV422" s="16" t="n"/>
      <c r="AW422" s="138" t="n"/>
      <c r="AX422" s="16" t="n"/>
      <c r="AY422" s="138" t="n"/>
      <c r="AZ422" s="16">
        <f>AF422+AH422+AJ422+AL422+AN422+AP422+AR422+AT422+AV422+AX422</f>
        <v/>
      </c>
      <c r="BA422" s="16" t="n"/>
      <c r="BB422" s="139" t="n"/>
      <c r="BC422" s="16" t="n"/>
      <c r="BD422" s="139" t="n"/>
      <c r="BE422" s="16">
        <f>(BA422+BC422)</f>
        <v/>
      </c>
    </row>
    <row r="423" ht="22.5" customFormat="1" customHeight="1" s="8">
      <c r="A423" s="9" t="n"/>
      <c r="B423" s="136" t="inlineStr">
        <is>
          <t>가방</t>
        </is>
      </c>
      <c r="C423" s="137" t="inlineStr">
        <is>
          <t>COCOON</t>
        </is>
      </c>
      <c r="D423" s="63" t="inlineStr">
        <is>
          <t>가방(로고 없는것)+내장재 X</t>
        </is>
      </c>
      <c r="E423" s="13" t="n"/>
      <c r="F423" s="99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40">
        <f>K423+V423-AE423-AZ423</f>
        <v/>
      </c>
      <c r="P423" s="12" t="n"/>
      <c r="Q423" s="138" t="n"/>
      <c r="R423" s="16" t="n"/>
      <c r="S423" s="139" t="n"/>
      <c r="T423" s="16" t="n"/>
      <c r="U423" s="139" t="n"/>
      <c r="V423" s="16">
        <f>P423+R423+T423</f>
        <v/>
      </c>
      <c r="W423" s="16" t="n"/>
      <c r="X423" s="139" t="n"/>
      <c r="Y423" s="16" t="n"/>
      <c r="Z423" s="139" t="n"/>
      <c r="AA423" s="16" t="n"/>
      <c r="AB423" s="139" t="n"/>
      <c r="AC423" s="16" t="n"/>
      <c r="AD423" s="139" t="n"/>
      <c r="AE423" s="16">
        <f>(W423+Y423+AA423+AC423)</f>
        <v/>
      </c>
      <c r="AF423" s="140" t="n"/>
      <c r="AG423" s="138" t="n"/>
      <c r="AH423" s="16" t="n"/>
      <c r="AI423" s="138" t="n"/>
      <c r="AJ423" s="16" t="n"/>
      <c r="AK423" s="138" t="n"/>
      <c r="AL423" s="16" t="n"/>
      <c r="AM423" s="138" t="n"/>
      <c r="AN423" s="16" t="n"/>
      <c r="AO423" s="138" t="n"/>
      <c r="AP423" s="16" t="n"/>
      <c r="AQ423" s="138" t="n"/>
      <c r="AR423" s="16" t="n"/>
      <c r="AS423" s="138" t="n"/>
      <c r="AT423" s="16" t="n"/>
      <c r="AU423" s="138" t="n"/>
      <c r="AV423" s="16" t="n"/>
      <c r="AW423" s="138" t="n"/>
      <c r="AX423" s="16" t="n"/>
      <c r="AY423" s="138" t="n"/>
      <c r="AZ423" s="16">
        <f>AF423+AH423+AJ423+AL423+AN423+AP423+AR423+AT423+AV423+AX423</f>
        <v/>
      </c>
      <c r="BA423" s="16" t="n"/>
      <c r="BB423" s="139" t="n"/>
      <c r="BC423" s="16" t="n"/>
      <c r="BD423" s="139" t="n"/>
      <c r="BE423" s="16">
        <f>(BA423+BC423)</f>
        <v/>
      </c>
    </row>
    <row r="424" ht="22.5" customFormat="1" customHeight="1" s="8">
      <c r="A424" s="9" t="n"/>
      <c r="B424" s="136" t="inlineStr">
        <is>
          <t>가방</t>
        </is>
      </c>
      <c r="C424" s="137" t="inlineStr">
        <is>
          <t>ADX6000</t>
        </is>
      </c>
      <c r="D424" s="63" t="inlineStr">
        <is>
          <t>가방+내부FOAM(계란판)_공용</t>
        </is>
      </c>
      <c r="E424" s="18" t="n"/>
      <c r="F424" s="99" t="n"/>
      <c r="G424" s="9" t="n"/>
      <c r="H424" s="9" t="inlineStr">
        <is>
          <t>굿모닝코리아유통</t>
        </is>
      </c>
      <c r="I424" s="14" t="n"/>
      <c r="J424" s="14" t="n"/>
      <c r="K424" s="12" t="n">
        <v>0</v>
      </c>
      <c r="L424" s="9" t="n"/>
      <c r="M424" s="9" t="n"/>
      <c r="N424" s="9" t="n"/>
      <c r="O424" s="40">
        <f>K424+V424-AE424-AZ424</f>
        <v/>
      </c>
      <c r="P424" s="12" t="n"/>
      <c r="Q424" s="138" t="n"/>
      <c r="R424" s="16" t="n"/>
      <c r="S424" s="139" t="n"/>
      <c r="T424" s="16" t="n"/>
      <c r="U424" s="139" t="n"/>
      <c r="V424" s="16">
        <f>P424+R424+T424</f>
        <v/>
      </c>
      <c r="W424" s="16" t="n"/>
      <c r="X424" s="139" t="n"/>
      <c r="Y424" s="16" t="n"/>
      <c r="Z424" s="139" t="n"/>
      <c r="AA424" s="16" t="n"/>
      <c r="AB424" s="139" t="n"/>
      <c r="AC424" s="16" t="n"/>
      <c r="AD424" s="139" t="n"/>
      <c r="AE424" s="16">
        <f>(W424+Y424+AA424+AC424)</f>
        <v/>
      </c>
      <c r="AF424" s="140" t="n"/>
      <c r="AG424" s="138" t="n"/>
      <c r="AH424" s="16" t="n"/>
      <c r="AI424" s="138" t="n"/>
      <c r="AJ424" s="16" t="n"/>
      <c r="AK424" s="138" t="n"/>
      <c r="AL424" s="16" t="n"/>
      <c r="AM424" s="138" t="n"/>
      <c r="AN424" s="16" t="n"/>
      <c r="AO424" s="138" t="n"/>
      <c r="AP424" s="16" t="n"/>
      <c r="AQ424" s="138" t="n"/>
      <c r="AR424" s="16" t="n"/>
      <c r="AS424" s="138" t="n"/>
      <c r="AT424" s="16" t="n"/>
      <c r="AU424" s="138" t="n"/>
      <c r="AV424" s="16" t="n"/>
      <c r="AW424" s="138" t="n"/>
      <c r="AX424" s="16" t="n"/>
      <c r="AY424" s="138" t="n"/>
      <c r="AZ424" s="16">
        <f>AF424+AH424+AJ424+AL424+AN424+AP424+AR424+AT424+AV424+AX424</f>
        <v/>
      </c>
      <c r="BA424" s="16" t="n"/>
      <c r="BB424" s="139" t="n"/>
      <c r="BC424" s="16" t="n"/>
      <c r="BD424" s="139" t="n"/>
      <c r="BE424" s="16">
        <f>(BA424+BC424)</f>
        <v/>
      </c>
    </row>
    <row r="425" ht="22.5" customFormat="1" customHeight="1" s="8">
      <c r="A425" s="9" t="n"/>
      <c r="B425" s="136" t="inlineStr">
        <is>
          <t>가방</t>
        </is>
      </c>
      <c r="C425" s="137" t="inlineStr">
        <is>
          <t>ADX6000</t>
        </is>
      </c>
      <c r="D425" s="63" t="inlineStr">
        <is>
          <t>가방 (뱅가드)</t>
        </is>
      </c>
      <c r="E425" s="13" t="n"/>
      <c r="F425" s="99" t="n"/>
      <c r="G425" s="9" t="n"/>
      <c r="H425" s="9" t="inlineStr">
        <is>
          <t>수프림</t>
        </is>
      </c>
      <c r="I425" s="14" t="n"/>
      <c r="J425" s="14" t="n"/>
      <c r="K425" s="12" t="n">
        <v>0</v>
      </c>
      <c r="L425" s="9" t="n"/>
      <c r="M425" s="9" t="n"/>
      <c r="N425" s="9" t="n"/>
      <c r="O425" s="40">
        <f>K425+V425-AE425-AZ425</f>
        <v/>
      </c>
      <c r="P425" s="12" t="n"/>
      <c r="Q425" s="138" t="n"/>
      <c r="R425" s="16" t="n"/>
      <c r="S425" s="139" t="n"/>
      <c r="T425" s="16" t="n"/>
      <c r="U425" s="139" t="n"/>
      <c r="V425" s="16">
        <f>P425+R425+T425</f>
        <v/>
      </c>
      <c r="W425" s="16" t="n"/>
      <c r="X425" s="139" t="n"/>
      <c r="Y425" s="16" t="n"/>
      <c r="Z425" s="139" t="n"/>
      <c r="AA425" s="16" t="n"/>
      <c r="AB425" s="139" t="n"/>
      <c r="AC425" s="16" t="n"/>
      <c r="AD425" s="139" t="n"/>
      <c r="AE425" s="16">
        <f>(W425+Y425+AA425+AC425)</f>
        <v/>
      </c>
      <c r="AF425" s="140" t="n"/>
      <c r="AG425" s="138" t="n"/>
      <c r="AH425" s="16" t="n"/>
      <c r="AI425" s="138" t="n"/>
      <c r="AJ425" s="16" t="n"/>
      <c r="AK425" s="138" t="n"/>
      <c r="AL425" s="16" t="n"/>
      <c r="AM425" s="138" t="n"/>
      <c r="AN425" s="16" t="n"/>
      <c r="AO425" s="138" t="n"/>
      <c r="AP425" s="16" t="n"/>
      <c r="AQ425" s="138" t="n"/>
      <c r="AR425" s="16" t="n"/>
      <c r="AS425" s="138" t="n"/>
      <c r="AT425" s="16" t="n"/>
      <c r="AU425" s="138" t="n"/>
      <c r="AV425" s="16" t="n"/>
      <c r="AW425" s="138" t="n"/>
      <c r="AX425" s="16" t="n"/>
      <c r="AY425" s="138" t="n"/>
      <c r="AZ425" s="16">
        <f>AF425+AH425+AJ425+AL425+AN425+AP425+AR425+AT425+AV425+AX425</f>
        <v/>
      </c>
      <c r="BA425" s="16" t="n"/>
      <c r="BB425" s="139" t="n"/>
      <c r="BC425" s="16" t="n"/>
      <c r="BD425" s="139" t="n"/>
      <c r="BE425" s="16">
        <f>(BA425+BC425)</f>
        <v/>
      </c>
    </row>
    <row r="426" ht="22.5" customFormat="1" customHeight="1" s="8">
      <c r="A426" s="9" t="n"/>
      <c r="B426" s="136" t="inlineStr">
        <is>
          <t>가방</t>
        </is>
      </c>
      <c r="C426" s="137" t="inlineStr">
        <is>
          <t>ADX6000</t>
        </is>
      </c>
      <c r="D426" s="63" t="inlineStr">
        <is>
          <t>FDXD-810 센서 가방 (뱅가드)</t>
        </is>
      </c>
      <c r="E426" s="13" t="n"/>
      <c r="F426" s="99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40">
        <f>K426+V426-AE426-AZ426</f>
        <v/>
      </c>
      <c r="P426" s="12" t="n"/>
      <c r="Q426" s="138" t="n"/>
      <c r="R426" s="16" t="n"/>
      <c r="S426" s="139" t="n"/>
      <c r="T426" s="16" t="n"/>
      <c r="U426" s="139" t="n"/>
      <c r="V426" s="16">
        <f>P426+R426+T426</f>
        <v/>
      </c>
      <c r="W426" s="16" t="n"/>
      <c r="X426" s="139" t="n"/>
      <c r="Y426" s="16" t="n"/>
      <c r="Z426" s="139" t="n"/>
      <c r="AA426" s="16" t="n"/>
      <c r="AB426" s="139" t="n"/>
      <c r="AC426" s="16" t="n"/>
      <c r="AD426" s="139" t="n"/>
      <c r="AE426" s="16">
        <f>(W426+Y426+AA426+AC426)</f>
        <v/>
      </c>
      <c r="AF426" s="140" t="n"/>
      <c r="AG426" s="138" t="n"/>
      <c r="AH426" s="16" t="n"/>
      <c r="AI426" s="138" t="n"/>
      <c r="AJ426" s="16" t="n"/>
      <c r="AK426" s="138" t="n"/>
      <c r="AL426" s="16" t="n"/>
      <c r="AM426" s="138" t="n"/>
      <c r="AN426" s="16" t="n"/>
      <c r="AO426" s="138" t="n"/>
      <c r="AP426" s="16" t="n"/>
      <c r="AQ426" s="138" t="n"/>
      <c r="AR426" s="16" t="n"/>
      <c r="AS426" s="138" t="n"/>
      <c r="AT426" s="16" t="n"/>
      <c r="AU426" s="138" t="n"/>
      <c r="AV426" s="16" t="n"/>
      <c r="AW426" s="138" t="n"/>
      <c r="AX426" s="16" t="n"/>
      <c r="AY426" s="138" t="n"/>
      <c r="AZ426" s="16">
        <f>AF426+AH426+AJ426+AL426+AN426+AP426+AR426+AT426+AV426+AX426</f>
        <v/>
      </c>
      <c r="BA426" s="16" t="n"/>
      <c r="BB426" s="139" t="n"/>
      <c r="BC426" s="16" t="n"/>
      <c r="BD426" s="139" t="n"/>
      <c r="BE426" s="16">
        <f>(BA426+BC426)</f>
        <v/>
      </c>
    </row>
    <row r="427" ht="22.5" customFormat="1" customHeight="1" s="8">
      <c r="A427" s="9" t="n"/>
      <c r="B427" s="136" t="inlineStr">
        <is>
          <t>PU FOAM</t>
        </is>
      </c>
      <c r="C427" s="137" t="inlineStr">
        <is>
          <t>DX3000, ADX4000W</t>
        </is>
      </c>
      <c r="D427" s="65" t="inlineStr">
        <is>
          <t>계란판</t>
        </is>
      </c>
      <c r="E427" s="13" t="n"/>
      <c r="F427" s="99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40">
        <f>K427+V427-AE427-AZ427</f>
        <v/>
      </c>
      <c r="P427" s="12" t="n"/>
      <c r="Q427" s="138" t="n"/>
      <c r="R427" s="16" t="n"/>
      <c r="S427" s="139" t="n"/>
      <c r="T427" s="16" t="n"/>
      <c r="U427" s="139" t="n"/>
      <c r="V427" s="16">
        <f>P427+R427+T427</f>
        <v/>
      </c>
      <c r="W427" s="16" t="n"/>
      <c r="X427" s="139" t="n"/>
      <c r="Y427" s="16" t="n"/>
      <c r="Z427" s="139" t="n"/>
      <c r="AA427" s="16" t="n"/>
      <c r="AB427" s="139" t="n"/>
      <c r="AC427" s="16" t="n"/>
      <c r="AD427" s="139" t="n"/>
      <c r="AE427" s="16">
        <f>(W427+Y427+AA427+AC427)</f>
        <v/>
      </c>
      <c r="AF427" s="140" t="n"/>
      <c r="AG427" s="138" t="n"/>
      <c r="AH427" s="16" t="n"/>
      <c r="AI427" s="138" t="n"/>
      <c r="AJ427" s="16" t="n"/>
      <c r="AK427" s="138" t="n"/>
      <c r="AL427" s="16" t="n"/>
      <c r="AM427" s="138" t="n"/>
      <c r="AN427" s="16" t="n"/>
      <c r="AO427" s="138" t="n"/>
      <c r="AP427" s="16" t="n"/>
      <c r="AQ427" s="138" t="n"/>
      <c r="AR427" s="16" t="n"/>
      <c r="AS427" s="138" t="n"/>
      <c r="AT427" s="16" t="n"/>
      <c r="AU427" s="138" t="n"/>
      <c r="AV427" s="16" t="n"/>
      <c r="AW427" s="138" t="n"/>
      <c r="AX427" s="16" t="n"/>
      <c r="AY427" s="138" t="n"/>
      <c r="AZ427" s="16">
        <f>AF427+AH427+AJ427+AL427+AN427+AP427+AR427+AT427+AV427+AX427</f>
        <v/>
      </c>
      <c r="BA427" s="16" t="n"/>
      <c r="BB427" s="139" t="n"/>
      <c r="BC427" s="16" t="n"/>
      <c r="BD427" s="139" t="n"/>
      <c r="BE427" s="16">
        <f>(BA427+BC427)</f>
        <v/>
      </c>
    </row>
    <row r="428" ht="22.5" customFormat="1" customHeight="1" s="8">
      <c r="A428" s="9" t="n"/>
      <c r="B428" s="136" t="inlineStr">
        <is>
          <t>PU FOAM</t>
        </is>
      </c>
      <c r="C428" s="137" t="inlineStr">
        <is>
          <t>COCOON, ADX6000</t>
        </is>
      </c>
      <c r="D428" s="63" t="inlineStr">
        <is>
          <t>계란판</t>
        </is>
      </c>
      <c r="E428" s="13" t="n"/>
      <c r="F428" s="99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40">
        <f>K428+V428-AE428-AZ428</f>
        <v/>
      </c>
      <c r="P428" s="12" t="n"/>
      <c r="Q428" s="138" t="n"/>
      <c r="R428" s="16" t="n"/>
      <c r="S428" s="139" t="n"/>
      <c r="T428" s="16" t="n"/>
      <c r="U428" s="139" t="n"/>
      <c r="V428" s="16">
        <f>P428+R428+T428</f>
        <v/>
      </c>
      <c r="W428" s="16" t="n"/>
      <c r="X428" s="139" t="n"/>
      <c r="Y428" s="16" t="n"/>
      <c r="Z428" s="139" t="n"/>
      <c r="AA428" s="16" t="n"/>
      <c r="AB428" s="139" t="n"/>
      <c r="AC428" s="16" t="n"/>
      <c r="AD428" s="139" t="n"/>
      <c r="AE428" s="16">
        <f>(W428+Y428+AA428+AC428)</f>
        <v/>
      </c>
      <c r="AF428" s="140" t="n"/>
      <c r="AG428" s="138" t="n"/>
      <c r="AH428" s="16" t="n"/>
      <c r="AI428" s="138" t="n"/>
      <c r="AJ428" s="16" t="n"/>
      <c r="AK428" s="138" t="n"/>
      <c r="AL428" s="16" t="n"/>
      <c r="AM428" s="138" t="n"/>
      <c r="AN428" s="16" t="n"/>
      <c r="AO428" s="138" t="n"/>
      <c r="AP428" s="16" t="n"/>
      <c r="AQ428" s="138" t="n"/>
      <c r="AR428" s="16" t="n"/>
      <c r="AS428" s="138" t="n"/>
      <c r="AT428" s="16" t="n"/>
      <c r="AU428" s="138" t="n"/>
      <c r="AV428" s="16" t="n"/>
      <c r="AW428" s="138" t="n"/>
      <c r="AX428" s="16" t="n"/>
      <c r="AY428" s="138" t="n"/>
      <c r="AZ428" s="16">
        <f>AF428+AH428+AJ428+AL428+AN428+AP428+AR428+AT428+AV428+AX428</f>
        <v/>
      </c>
      <c r="BA428" s="16" t="n"/>
      <c r="BB428" s="139" t="n"/>
      <c r="BC428" s="16" t="n"/>
      <c r="BD428" s="139" t="n"/>
      <c r="BE428" s="16">
        <f>(BA428+BC428)</f>
        <v/>
      </c>
    </row>
    <row r="429" ht="22.5" customFormat="1" customHeight="1" s="8">
      <c r="A429" s="9" t="n"/>
      <c r="B429" s="136" t="inlineStr">
        <is>
          <t>PU FOAM</t>
        </is>
      </c>
      <c r="C429" s="137" t="inlineStr">
        <is>
          <t>DX3000</t>
        </is>
      </c>
      <c r="D429" s="63" t="inlineStr">
        <is>
          <t>가방 내부 폼</t>
        </is>
      </c>
      <c r="E429" s="13" t="inlineStr">
        <is>
          <t>15cm cone</t>
        </is>
      </c>
      <c r="F429" s="99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40">
        <f>K429+V429-AE429-AZ429</f>
        <v/>
      </c>
      <c r="P429" s="12" t="n"/>
      <c r="Q429" s="138" t="n"/>
      <c r="R429" s="16" t="n"/>
      <c r="S429" s="139" t="n"/>
      <c r="T429" s="16" t="n"/>
      <c r="U429" s="139" t="n"/>
      <c r="V429" s="16">
        <f>P429+R429+T429</f>
        <v/>
      </c>
      <c r="W429" s="16" t="n"/>
      <c r="X429" s="139" t="n"/>
      <c r="Y429" s="16" t="n"/>
      <c r="Z429" s="139" t="n"/>
      <c r="AA429" s="16" t="n"/>
      <c r="AB429" s="139" t="n"/>
      <c r="AC429" s="16" t="n"/>
      <c r="AD429" s="139" t="n"/>
      <c r="AE429" s="16">
        <f>(W429+Y429+AA429+AC429)</f>
        <v/>
      </c>
      <c r="AF429" s="140" t="n"/>
      <c r="AG429" s="138" t="n"/>
      <c r="AH429" s="16" t="n"/>
      <c r="AI429" s="138" t="n"/>
      <c r="AJ429" s="16" t="n"/>
      <c r="AK429" s="138" t="n"/>
      <c r="AL429" s="16" t="n"/>
      <c r="AM429" s="138" t="n"/>
      <c r="AN429" s="16" t="n"/>
      <c r="AO429" s="138" t="n"/>
      <c r="AP429" s="16" t="n"/>
      <c r="AQ429" s="138" t="n"/>
      <c r="AR429" s="16" t="n"/>
      <c r="AS429" s="138" t="n"/>
      <c r="AT429" s="16" t="n"/>
      <c r="AU429" s="138" t="n"/>
      <c r="AV429" s="16" t="n"/>
      <c r="AW429" s="138" t="n"/>
      <c r="AX429" s="16" t="n"/>
      <c r="AY429" s="138" t="n"/>
      <c r="AZ429" s="16">
        <f>AF429+AH429+AJ429+AL429+AN429+AP429+AR429+AT429+AV429+AX429</f>
        <v/>
      </c>
      <c r="BA429" s="16" t="n"/>
      <c r="BB429" s="139" t="n"/>
      <c r="BC429" s="16" t="n"/>
      <c r="BD429" s="139" t="n"/>
      <c r="BE429" s="16">
        <f>(BA429+BC429)</f>
        <v/>
      </c>
    </row>
    <row r="430" ht="22.5" customFormat="1" customHeight="1" s="8">
      <c r="A430" s="9" t="n"/>
      <c r="B430" s="136" t="inlineStr">
        <is>
          <t>PU FOAM</t>
        </is>
      </c>
      <c r="C430" s="137" t="inlineStr">
        <is>
          <t>DX3000</t>
        </is>
      </c>
      <c r="D430" s="90" t="inlineStr">
        <is>
          <t>가방 내부 폼</t>
        </is>
      </c>
      <c r="E430" s="13" t="inlineStr">
        <is>
          <t>20cm cone용, 20 * 80</t>
        </is>
      </c>
      <c r="F430" s="99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40">
        <f>K430+V430-AE430-AZ430</f>
        <v/>
      </c>
      <c r="P430" s="12" t="n"/>
      <c r="Q430" s="138" t="n"/>
      <c r="R430" s="16" t="n"/>
      <c r="S430" s="139" t="n"/>
      <c r="T430" s="16" t="n"/>
      <c r="U430" s="139" t="n"/>
      <c r="V430" s="16">
        <f>P430+R430+T430</f>
        <v/>
      </c>
      <c r="W430" s="16" t="n"/>
      <c r="X430" s="139" t="n"/>
      <c r="Y430" s="16" t="n"/>
      <c r="Z430" s="139" t="n"/>
      <c r="AA430" s="16" t="n"/>
      <c r="AB430" s="139" t="n"/>
      <c r="AC430" s="16" t="n"/>
      <c r="AD430" s="139" t="n"/>
      <c r="AE430" s="16">
        <f>(W430+Y430+AA430+AC430)</f>
        <v/>
      </c>
      <c r="AF430" s="140" t="n"/>
      <c r="AG430" s="138" t="n"/>
      <c r="AH430" s="16" t="n"/>
      <c r="AI430" s="138" t="n"/>
      <c r="AJ430" s="16" t="n"/>
      <c r="AK430" s="138" t="n"/>
      <c r="AL430" s="16" t="n"/>
      <c r="AM430" s="138" t="n"/>
      <c r="AN430" s="16" t="n"/>
      <c r="AO430" s="138" t="n"/>
      <c r="AP430" s="16" t="n"/>
      <c r="AQ430" s="138" t="n"/>
      <c r="AR430" s="16" t="n"/>
      <c r="AS430" s="138" t="n"/>
      <c r="AT430" s="16" t="n"/>
      <c r="AU430" s="138" t="n"/>
      <c r="AV430" s="16" t="n"/>
      <c r="AW430" s="138" t="n"/>
      <c r="AX430" s="16" t="n"/>
      <c r="AY430" s="138" t="n"/>
      <c r="AZ430" s="16">
        <f>AF430+AH430+AJ430+AL430+AN430+AP430+AR430+AT430+AV430+AX430</f>
        <v/>
      </c>
      <c r="BA430" s="16" t="n"/>
      <c r="BB430" s="139" t="n"/>
      <c r="BC430" s="16" t="n"/>
      <c r="BD430" s="139" t="n"/>
      <c r="BE430" s="16">
        <f>(BA430+BC430)</f>
        <v/>
      </c>
    </row>
    <row r="431" ht="22.5" customFormat="1" customHeight="1" s="8">
      <c r="A431" s="9" t="n"/>
      <c r="B431" s="136" t="inlineStr">
        <is>
          <t>PU FOAM</t>
        </is>
      </c>
      <c r="C431" s="137" t="inlineStr">
        <is>
          <t>ADX4000W</t>
        </is>
      </c>
      <c r="D431" s="63" t="inlineStr">
        <is>
          <t>가방 내부 폼</t>
        </is>
      </c>
      <c r="E431" s="13" t="inlineStr">
        <is>
          <t>15cm cone</t>
        </is>
      </c>
      <c r="F431" s="99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40">
        <f>K431+V431-AE431-AZ431</f>
        <v/>
      </c>
      <c r="P431" s="12" t="n"/>
      <c r="Q431" s="138" t="n"/>
      <c r="R431" s="16" t="n"/>
      <c r="S431" s="139" t="n"/>
      <c r="T431" s="16" t="n"/>
      <c r="U431" s="139" t="n"/>
      <c r="V431" s="16">
        <f>P431+R431+T431</f>
        <v/>
      </c>
      <c r="W431" s="16" t="n"/>
      <c r="X431" s="139" t="n"/>
      <c r="Y431" s="16" t="n"/>
      <c r="Z431" s="139" t="n"/>
      <c r="AA431" s="16" t="n"/>
      <c r="AB431" s="139" t="n"/>
      <c r="AC431" s="16" t="n"/>
      <c r="AD431" s="139" t="n"/>
      <c r="AE431" s="16">
        <f>(W431+Y431+AA431+AC431)</f>
        <v/>
      </c>
      <c r="AF431" s="140" t="n"/>
      <c r="AG431" s="138" t="n"/>
      <c r="AH431" s="16" t="n"/>
      <c r="AI431" s="138" t="n"/>
      <c r="AJ431" s="16" t="n"/>
      <c r="AK431" s="138" t="n"/>
      <c r="AL431" s="16" t="n"/>
      <c r="AM431" s="138" t="n"/>
      <c r="AN431" s="16" t="n"/>
      <c r="AO431" s="138" t="n"/>
      <c r="AP431" s="16" t="n"/>
      <c r="AQ431" s="138" t="n"/>
      <c r="AR431" s="16" t="n"/>
      <c r="AS431" s="138" t="n"/>
      <c r="AT431" s="16" t="n"/>
      <c r="AU431" s="138" t="n"/>
      <c r="AV431" s="16" t="n"/>
      <c r="AW431" s="138" t="n"/>
      <c r="AX431" s="16" t="n"/>
      <c r="AY431" s="138" t="n"/>
      <c r="AZ431" s="16">
        <f>AF431+AH431+AJ431+AL431+AN431+AP431+AR431+AT431+AV431+AX431</f>
        <v/>
      </c>
      <c r="BA431" s="16" t="n"/>
      <c r="BB431" s="139" t="n"/>
      <c r="BC431" s="16" t="n"/>
      <c r="BD431" s="139" t="n"/>
      <c r="BE431" s="16">
        <f>(BA431+BC431)</f>
        <v/>
      </c>
    </row>
    <row r="432" ht="22.5" customFormat="1" customHeight="1" s="8">
      <c r="A432" s="9" t="n"/>
      <c r="B432" s="136" t="inlineStr">
        <is>
          <t>PU FOAM</t>
        </is>
      </c>
      <c r="C432" s="137" t="inlineStr">
        <is>
          <t>ADX4000W</t>
        </is>
      </c>
      <c r="D432" s="63" t="inlineStr">
        <is>
          <t>가방 내부 폼</t>
        </is>
      </c>
      <c r="E432" s="13" t="inlineStr">
        <is>
          <t>20cm cone용, 40 * 60</t>
        </is>
      </c>
      <c r="F432" s="99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40">
        <f>K432+V432-AE432-AZ432</f>
        <v/>
      </c>
      <c r="P432" s="12" t="n"/>
      <c r="Q432" s="138" t="n"/>
      <c r="R432" s="16" t="n"/>
      <c r="S432" s="139" t="n"/>
      <c r="T432" s="16" t="n"/>
      <c r="U432" s="139" t="n"/>
      <c r="V432" s="16">
        <f>P432+R432+T432</f>
        <v/>
      </c>
      <c r="W432" s="16" t="n"/>
      <c r="X432" s="139" t="n"/>
      <c r="Y432" s="16" t="n"/>
      <c r="Z432" s="139" t="n"/>
      <c r="AA432" s="16" t="n"/>
      <c r="AB432" s="139" t="n"/>
      <c r="AC432" s="16" t="n"/>
      <c r="AD432" s="139" t="n"/>
      <c r="AE432" s="16">
        <f>(W432+Y432+AA432+AC432)</f>
        <v/>
      </c>
      <c r="AF432" s="140" t="n"/>
      <c r="AG432" s="138" t="n"/>
      <c r="AH432" s="16" t="n"/>
      <c r="AI432" s="138" t="n"/>
      <c r="AJ432" s="16" t="n"/>
      <c r="AK432" s="138" t="n"/>
      <c r="AL432" s="16" t="n"/>
      <c r="AM432" s="138" t="n"/>
      <c r="AN432" s="16" t="n"/>
      <c r="AO432" s="138" t="n"/>
      <c r="AP432" s="16" t="n"/>
      <c r="AQ432" s="138" t="n"/>
      <c r="AR432" s="16" t="n"/>
      <c r="AS432" s="138" t="n"/>
      <c r="AT432" s="16" t="n"/>
      <c r="AU432" s="138" t="n"/>
      <c r="AV432" s="16" t="n"/>
      <c r="AW432" s="138" t="n"/>
      <c r="AX432" s="16" t="n"/>
      <c r="AY432" s="138" t="n"/>
      <c r="AZ432" s="16">
        <f>AF432+AH432+AJ432+AL432+AN432+AP432+AR432+AT432+AV432+AX432</f>
        <v/>
      </c>
      <c r="BA432" s="16" t="n"/>
      <c r="BB432" s="139" t="n"/>
      <c r="BC432" s="16" t="n"/>
      <c r="BD432" s="139" t="n"/>
      <c r="BE432" s="16">
        <f>(BA432+BC432)</f>
        <v/>
      </c>
    </row>
    <row r="433" ht="22.5" customFormat="1" customHeight="1" s="8">
      <c r="A433" s="9" t="n"/>
      <c r="B433" s="136" t="inlineStr">
        <is>
          <t>PU FOAM</t>
        </is>
      </c>
      <c r="C433" s="137" t="inlineStr">
        <is>
          <t>COCOON</t>
        </is>
      </c>
      <c r="D433" s="60" t="inlineStr">
        <is>
          <t>가방 내부 폼 상판</t>
        </is>
      </c>
      <c r="E433" s="13" t="inlineStr">
        <is>
          <t>18cm</t>
        </is>
      </c>
      <c r="F433" s="99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40">
        <f>K433+V433-AE433-AZ433</f>
        <v/>
      </c>
      <c r="P433" s="12" t="n"/>
      <c r="Q433" s="138" t="n"/>
      <c r="R433" s="16" t="n"/>
      <c r="S433" s="139" t="n"/>
      <c r="T433" s="16" t="n"/>
      <c r="U433" s="139" t="n"/>
      <c r="V433" s="16">
        <f>P433+R433+T433</f>
        <v/>
      </c>
      <c r="W433" s="16" t="n"/>
      <c r="X433" s="139" t="n"/>
      <c r="Y433" s="16" t="n"/>
      <c r="Z433" s="139" t="n"/>
      <c r="AA433" s="16" t="n"/>
      <c r="AB433" s="139" t="n"/>
      <c r="AC433" s="16" t="n"/>
      <c r="AD433" s="139" t="n"/>
      <c r="AE433" s="16">
        <f>(W433+Y433+AA433+AC433)</f>
        <v/>
      </c>
      <c r="AF433" s="140" t="n"/>
      <c r="AG433" s="138" t="n"/>
      <c r="AH433" s="16" t="n"/>
      <c r="AI433" s="138" t="n"/>
      <c r="AJ433" s="16" t="n"/>
      <c r="AK433" s="138" t="n"/>
      <c r="AL433" s="16" t="n"/>
      <c r="AM433" s="138" t="n"/>
      <c r="AN433" s="16" t="n"/>
      <c r="AO433" s="138" t="n"/>
      <c r="AP433" s="16" t="n"/>
      <c r="AQ433" s="138" t="n"/>
      <c r="AR433" s="16" t="n"/>
      <c r="AS433" s="138" t="n"/>
      <c r="AT433" s="16" t="n"/>
      <c r="AU433" s="138" t="n"/>
      <c r="AV433" s="16" t="n"/>
      <c r="AW433" s="138" t="n"/>
      <c r="AX433" s="16" t="n"/>
      <c r="AY433" s="138" t="n"/>
      <c r="AZ433" s="16">
        <f>AF433+AH433+AJ433+AL433+AN433+AP433+AR433+AT433+AV433+AX433</f>
        <v/>
      </c>
      <c r="BA433" s="16" t="n"/>
      <c r="BB433" s="139" t="n"/>
      <c r="BC433" s="16" t="n"/>
      <c r="BD433" s="139" t="n"/>
      <c r="BE433" s="16">
        <f>(BA433+BC433)</f>
        <v/>
      </c>
    </row>
    <row r="434" ht="22.5" customFormat="1" customHeight="1" s="8">
      <c r="A434" s="9" t="n"/>
      <c r="B434" s="136" t="inlineStr">
        <is>
          <t>PU FOAM</t>
        </is>
      </c>
      <c r="C434" s="137" t="inlineStr">
        <is>
          <t>COCOON</t>
        </is>
      </c>
      <c r="D434" s="60" t="inlineStr">
        <is>
          <t>가방 내부 폼 하판</t>
        </is>
      </c>
      <c r="E434" s="13" t="inlineStr">
        <is>
          <t>18cm</t>
        </is>
      </c>
      <c r="F434" s="99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40">
        <f>K434+V434-AE434-AZ434</f>
        <v/>
      </c>
      <c r="P434" s="12" t="n"/>
      <c r="Q434" s="138" t="n"/>
      <c r="R434" s="16" t="n"/>
      <c r="S434" s="139" t="n"/>
      <c r="T434" s="16" t="n"/>
      <c r="U434" s="139" t="n"/>
      <c r="V434" s="16">
        <f>P434+R434+T434</f>
        <v/>
      </c>
      <c r="W434" s="16" t="n"/>
      <c r="X434" s="139" t="n"/>
      <c r="Y434" s="16" t="n"/>
      <c r="Z434" s="139" t="n"/>
      <c r="AA434" s="16" t="n"/>
      <c r="AB434" s="139" t="n"/>
      <c r="AC434" s="16" t="n"/>
      <c r="AD434" s="139" t="n"/>
      <c r="AE434" s="16">
        <f>(W434+Y434+AA434+AC434)</f>
        <v/>
      </c>
      <c r="AF434" s="140" t="n"/>
      <c r="AG434" s="138" t="n"/>
      <c r="AH434" s="16" t="n"/>
      <c r="AI434" s="138" t="n"/>
      <c r="AJ434" s="16" t="n"/>
      <c r="AK434" s="138" t="n"/>
      <c r="AL434" s="16" t="n"/>
      <c r="AM434" s="138" t="n"/>
      <c r="AN434" s="16" t="n"/>
      <c r="AO434" s="138" t="n"/>
      <c r="AP434" s="16" t="n"/>
      <c r="AQ434" s="138" t="n"/>
      <c r="AR434" s="16" t="n"/>
      <c r="AS434" s="138" t="n"/>
      <c r="AT434" s="16" t="n"/>
      <c r="AU434" s="138" t="n"/>
      <c r="AV434" s="16" t="n"/>
      <c r="AW434" s="138" t="n"/>
      <c r="AX434" s="16" t="n"/>
      <c r="AY434" s="138" t="n"/>
      <c r="AZ434" s="16">
        <f>AF434+AH434+AJ434+AL434+AN434+AP434+AR434+AT434+AV434+AX434</f>
        <v/>
      </c>
      <c r="BA434" s="16" t="n"/>
      <c r="BB434" s="139" t="n"/>
      <c r="BC434" s="16" t="n"/>
      <c r="BD434" s="139" t="n"/>
      <c r="BE434" s="16">
        <f>(BA434+BC434)</f>
        <v/>
      </c>
    </row>
    <row r="435" ht="22.5" customFormat="1" customHeight="1" s="8">
      <c r="A435" s="9" t="n"/>
      <c r="B435" s="136" t="inlineStr">
        <is>
          <t>PU FOAM</t>
        </is>
      </c>
      <c r="C435" s="137" t="inlineStr">
        <is>
          <t>COCOON</t>
        </is>
      </c>
      <c r="D435" s="60" t="inlineStr">
        <is>
          <t>가방 내부 폼 상판</t>
        </is>
      </c>
      <c r="E435" s="13" t="inlineStr">
        <is>
          <t>20cm</t>
        </is>
      </c>
      <c r="F435" s="99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40">
        <f>K435+V435-AE435-AZ435</f>
        <v/>
      </c>
      <c r="P435" s="12" t="n"/>
      <c r="Q435" s="138" t="n"/>
      <c r="R435" s="16" t="n"/>
      <c r="S435" s="139" t="n"/>
      <c r="T435" s="16" t="n"/>
      <c r="U435" s="139" t="n"/>
      <c r="V435" s="16">
        <f>P435+R435+T435</f>
        <v/>
      </c>
      <c r="W435" s="16" t="n"/>
      <c r="X435" s="139" t="n"/>
      <c r="Y435" s="16" t="n"/>
      <c r="Z435" s="139" t="n"/>
      <c r="AA435" s="16" t="n"/>
      <c r="AB435" s="139" t="n"/>
      <c r="AC435" s="16" t="n"/>
      <c r="AD435" s="139" t="n"/>
      <c r="AE435" s="16">
        <f>(W435+Y435+AA435+AC435)</f>
        <v/>
      </c>
      <c r="AF435" s="140" t="n"/>
      <c r="AG435" s="138" t="n"/>
      <c r="AH435" s="16" t="n"/>
      <c r="AI435" s="138" t="n"/>
      <c r="AJ435" s="16" t="n"/>
      <c r="AK435" s="138" t="n"/>
      <c r="AL435" s="16" t="n"/>
      <c r="AM435" s="138" t="n"/>
      <c r="AN435" s="16" t="n"/>
      <c r="AO435" s="138" t="n"/>
      <c r="AP435" s="16" t="n"/>
      <c r="AQ435" s="138" t="n"/>
      <c r="AR435" s="16" t="n"/>
      <c r="AS435" s="138" t="n"/>
      <c r="AT435" s="16" t="n"/>
      <c r="AU435" s="138" t="n"/>
      <c r="AV435" s="16" t="n"/>
      <c r="AW435" s="138" t="n"/>
      <c r="AX435" s="16" t="n"/>
      <c r="AY435" s="138" t="n"/>
      <c r="AZ435" s="16">
        <f>AF435+AH435+AJ435+AL435+AN435+AP435+AR435+AT435+AV435+AX435</f>
        <v/>
      </c>
      <c r="BA435" s="16" t="n"/>
      <c r="BB435" s="139" t="n"/>
      <c r="BC435" s="16" t="n"/>
      <c r="BD435" s="139" t="n"/>
      <c r="BE435" s="16">
        <f>(BA435+BC435)</f>
        <v/>
      </c>
    </row>
    <row r="436" ht="22.5" customFormat="1" customHeight="1" s="8">
      <c r="A436" s="9" t="n"/>
      <c r="B436" s="136" t="inlineStr">
        <is>
          <t>PU FOAM</t>
        </is>
      </c>
      <c r="C436" s="137" t="inlineStr">
        <is>
          <t>COCOON</t>
        </is>
      </c>
      <c r="D436" s="60" t="inlineStr">
        <is>
          <t>가방 내부 폼 하판</t>
        </is>
      </c>
      <c r="E436" s="13" t="inlineStr">
        <is>
          <t>20cm</t>
        </is>
      </c>
      <c r="F436" s="99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40">
        <f>K436+V436-AE436-AZ436</f>
        <v/>
      </c>
      <c r="P436" s="12" t="n"/>
      <c r="Q436" s="138" t="n"/>
      <c r="R436" s="16" t="n"/>
      <c r="S436" s="139" t="n"/>
      <c r="T436" s="16" t="n"/>
      <c r="U436" s="139" t="n"/>
      <c r="V436" s="16">
        <f>P436+R436+T436</f>
        <v/>
      </c>
      <c r="W436" s="16" t="n"/>
      <c r="X436" s="139" t="n"/>
      <c r="Y436" s="16" t="n"/>
      <c r="Z436" s="139" t="n"/>
      <c r="AA436" s="16" t="n"/>
      <c r="AB436" s="139" t="n"/>
      <c r="AC436" s="16" t="n"/>
      <c r="AD436" s="139" t="n"/>
      <c r="AE436" s="16">
        <f>(W436+Y436+AA436+AC436)</f>
        <v/>
      </c>
      <c r="AF436" s="140" t="n"/>
      <c r="AG436" s="138" t="n"/>
      <c r="AH436" s="16" t="n"/>
      <c r="AI436" s="138" t="n"/>
      <c r="AJ436" s="16" t="n"/>
      <c r="AK436" s="138" t="n"/>
      <c r="AL436" s="16" t="n"/>
      <c r="AM436" s="138" t="n"/>
      <c r="AN436" s="16" t="n"/>
      <c r="AO436" s="138" t="n"/>
      <c r="AP436" s="16" t="n"/>
      <c r="AQ436" s="138" t="n"/>
      <c r="AR436" s="16" t="n"/>
      <c r="AS436" s="138" t="n"/>
      <c r="AT436" s="16" t="n"/>
      <c r="AU436" s="138" t="n"/>
      <c r="AV436" s="16" t="n"/>
      <c r="AW436" s="138" t="n"/>
      <c r="AX436" s="16" t="n"/>
      <c r="AY436" s="138" t="n"/>
      <c r="AZ436" s="16">
        <f>AF436+AH436+AJ436+AL436+AN436+AP436+AR436+AT436+AV436+AX436</f>
        <v/>
      </c>
      <c r="BA436" s="16" t="n"/>
      <c r="BB436" s="139" t="n"/>
      <c r="BC436" s="16" t="n"/>
      <c r="BD436" s="139" t="n"/>
      <c r="BE436" s="16">
        <f>(BA436+BC436)</f>
        <v/>
      </c>
    </row>
    <row r="437" ht="22.5" customFormat="1" customHeight="1" s="8">
      <c r="A437" s="9" t="n"/>
      <c r="B437" s="136" t="inlineStr">
        <is>
          <t>PU FOAM</t>
        </is>
      </c>
      <c r="C437" s="137" t="inlineStr">
        <is>
          <t>ADX6000FB</t>
        </is>
      </c>
      <c r="D437" s="65" t="inlineStr">
        <is>
          <t>가방 내부 폼 상판 (신형)</t>
        </is>
      </c>
      <c r="E437" s="13" t="n"/>
      <c r="F437" s="99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40">
        <f>K437+V437-AE437-AZ437</f>
        <v/>
      </c>
      <c r="P437" s="12" t="n"/>
      <c r="Q437" s="138" t="n"/>
      <c r="R437" s="16" t="n"/>
      <c r="S437" s="139" t="n"/>
      <c r="T437" s="16" t="n"/>
      <c r="U437" s="139" t="n"/>
      <c r="V437" s="16">
        <f>P437+R437+T437</f>
        <v/>
      </c>
      <c r="W437" s="16" t="n"/>
      <c r="X437" s="139" t="n"/>
      <c r="Y437" s="16" t="n"/>
      <c r="Z437" s="139" t="n"/>
      <c r="AA437" s="16" t="n"/>
      <c r="AB437" s="139" t="n"/>
      <c r="AC437" s="16" t="n"/>
      <c r="AD437" s="139" t="n"/>
      <c r="AE437" s="16">
        <f>(W437+Y437+AA437+AC437)</f>
        <v/>
      </c>
      <c r="AF437" s="140" t="n"/>
      <c r="AG437" s="138" t="n"/>
      <c r="AH437" s="16" t="n"/>
      <c r="AI437" s="138" t="n"/>
      <c r="AJ437" s="16" t="n"/>
      <c r="AK437" s="138" t="n"/>
      <c r="AL437" s="16" t="n"/>
      <c r="AM437" s="138" t="n"/>
      <c r="AN437" s="16" t="n"/>
      <c r="AO437" s="138" t="n"/>
      <c r="AP437" s="16" t="n"/>
      <c r="AQ437" s="138" t="n"/>
      <c r="AR437" s="16" t="n"/>
      <c r="AS437" s="138" t="n"/>
      <c r="AT437" s="16" t="n"/>
      <c r="AU437" s="138" t="n"/>
      <c r="AV437" s="16" t="n"/>
      <c r="AW437" s="138" t="n"/>
      <c r="AX437" s="16" t="n"/>
      <c r="AY437" s="138" t="n"/>
      <c r="AZ437" s="16">
        <f>AF437+AH437+AJ437+AL437+AN437+AP437+AR437+AT437+AV437+AX437</f>
        <v/>
      </c>
      <c r="BA437" s="16" t="n"/>
      <c r="BB437" s="139" t="n"/>
      <c r="BC437" s="16" t="n"/>
      <c r="BD437" s="139" t="n"/>
      <c r="BE437" s="16">
        <f>(BA437+BC437)</f>
        <v/>
      </c>
    </row>
    <row r="438" ht="22.5" customFormat="1" customHeight="1" s="8">
      <c r="A438" s="9" t="n"/>
      <c r="B438" s="136" t="inlineStr">
        <is>
          <t>PU FOAM</t>
        </is>
      </c>
      <c r="C438" s="137" t="inlineStr">
        <is>
          <t>ADX6000FB</t>
        </is>
      </c>
      <c r="D438" s="65" t="inlineStr">
        <is>
          <t>가방 내부 폼 중간판 (신형)</t>
        </is>
      </c>
      <c r="E438" s="13" t="n"/>
      <c r="F438" s="99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40">
        <f>K438+V438-AE438-AZ438</f>
        <v/>
      </c>
      <c r="P438" s="12" t="n"/>
      <c r="Q438" s="138" t="n"/>
      <c r="R438" s="16" t="n"/>
      <c r="S438" s="139" t="n"/>
      <c r="T438" s="16" t="n"/>
      <c r="U438" s="139" t="n"/>
      <c r="V438" s="16">
        <f>P438+R438+T438</f>
        <v/>
      </c>
      <c r="W438" s="16" t="n"/>
      <c r="X438" s="139" t="n"/>
      <c r="Y438" s="16" t="n"/>
      <c r="Z438" s="139" t="n"/>
      <c r="AA438" s="16" t="n"/>
      <c r="AB438" s="139" t="n"/>
      <c r="AC438" s="16" t="n"/>
      <c r="AD438" s="139" t="n"/>
      <c r="AE438" s="16">
        <f>(W438+Y438+AA438+AC438)</f>
        <v/>
      </c>
      <c r="AF438" s="140" t="n"/>
      <c r="AG438" s="138" t="n"/>
      <c r="AH438" s="16" t="n"/>
      <c r="AI438" s="138" t="n"/>
      <c r="AJ438" s="16" t="n"/>
      <c r="AK438" s="138" t="n"/>
      <c r="AL438" s="16" t="n"/>
      <c r="AM438" s="138" t="n"/>
      <c r="AN438" s="16" t="n"/>
      <c r="AO438" s="138" t="n"/>
      <c r="AP438" s="16" t="n"/>
      <c r="AQ438" s="138" t="n"/>
      <c r="AR438" s="16" t="n"/>
      <c r="AS438" s="138" t="n"/>
      <c r="AT438" s="16" t="n"/>
      <c r="AU438" s="138" t="n"/>
      <c r="AV438" s="16" t="n"/>
      <c r="AW438" s="138" t="n"/>
      <c r="AX438" s="16" t="n"/>
      <c r="AY438" s="138" t="n"/>
      <c r="AZ438" s="16">
        <f>AF438+AH438+AJ438+AL438+AN438+AP438+AR438+AT438+AV438+AX438</f>
        <v/>
      </c>
      <c r="BA438" s="16" t="n"/>
      <c r="BB438" s="139" t="n"/>
      <c r="BC438" s="16" t="n"/>
      <c r="BD438" s="139" t="n"/>
      <c r="BE438" s="16">
        <f>(BA438+BC438)</f>
        <v/>
      </c>
    </row>
    <row r="439" ht="22.5" customFormat="1" customHeight="1" s="8">
      <c r="A439" s="9" t="n"/>
      <c r="B439" s="136" t="inlineStr">
        <is>
          <t>PU FOAM</t>
        </is>
      </c>
      <c r="C439" s="137" t="inlineStr">
        <is>
          <t>ADX6000FB</t>
        </is>
      </c>
      <c r="D439" s="65" t="inlineStr">
        <is>
          <t>가방 내부 폼 하판 (신형)</t>
        </is>
      </c>
      <c r="E439" s="13" t="n"/>
      <c r="F439" s="99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40">
        <f>K439+V439-AE439-AZ439</f>
        <v/>
      </c>
      <c r="P439" s="12" t="n"/>
      <c r="Q439" s="138" t="n"/>
      <c r="R439" s="16" t="n"/>
      <c r="S439" s="139" t="n"/>
      <c r="T439" s="16" t="n"/>
      <c r="U439" s="139" t="n"/>
      <c r="V439" s="16">
        <f>P439+R439+T439</f>
        <v/>
      </c>
      <c r="W439" s="16" t="n"/>
      <c r="X439" s="139" t="n"/>
      <c r="Y439" s="16" t="n"/>
      <c r="Z439" s="139" t="n"/>
      <c r="AA439" s="16" t="n"/>
      <c r="AB439" s="139" t="n"/>
      <c r="AC439" s="16" t="n"/>
      <c r="AD439" s="139" t="n"/>
      <c r="AE439" s="16">
        <f>(W439+Y439+AA439+AC439)</f>
        <v/>
      </c>
      <c r="AF439" s="140" t="n"/>
      <c r="AG439" s="138" t="n"/>
      <c r="AH439" s="16" t="n"/>
      <c r="AI439" s="138" t="n"/>
      <c r="AJ439" s="16" t="n"/>
      <c r="AK439" s="138" t="n"/>
      <c r="AL439" s="16" t="n"/>
      <c r="AM439" s="138" t="n"/>
      <c r="AN439" s="16" t="n"/>
      <c r="AO439" s="138" t="n"/>
      <c r="AP439" s="16" t="n"/>
      <c r="AQ439" s="138" t="n"/>
      <c r="AR439" s="16" t="n"/>
      <c r="AS439" s="138" t="n"/>
      <c r="AT439" s="16" t="n"/>
      <c r="AU439" s="138" t="n"/>
      <c r="AV439" s="16" t="n"/>
      <c r="AW439" s="138" t="n"/>
      <c r="AX439" s="16" t="n"/>
      <c r="AY439" s="138" t="n"/>
      <c r="AZ439" s="16">
        <f>AF439+AH439+AJ439+AL439+AN439+AP439+AR439+AT439+AV439+AX439</f>
        <v/>
      </c>
      <c r="BA439" s="16" t="n"/>
      <c r="BB439" s="139" t="n"/>
      <c r="BC439" s="16" t="n"/>
      <c r="BD439" s="139" t="n"/>
      <c r="BE439" s="16">
        <f>(BA439+BC439)</f>
        <v/>
      </c>
    </row>
    <row r="440" ht="22.5" customFormat="1" customHeight="1" s="8">
      <c r="A440" s="9" t="n"/>
      <c r="B440" s="136" t="inlineStr">
        <is>
          <t>PU FOAM</t>
        </is>
      </c>
      <c r="C440" s="137" t="inlineStr">
        <is>
          <t>ADX6000</t>
        </is>
      </c>
      <c r="D440" s="65" t="inlineStr">
        <is>
          <t>가방 내장재</t>
        </is>
      </c>
      <c r="E440" s="13" t="inlineStr">
        <is>
          <t>47 * 36.5 * 2.5T</t>
        </is>
      </c>
      <c r="F440" s="99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40">
        <f>K440+V440-AE440-AZ440</f>
        <v/>
      </c>
      <c r="P440" s="12" t="n"/>
      <c r="Q440" s="138" t="n"/>
      <c r="R440" s="16" t="n"/>
      <c r="S440" s="139" t="n"/>
      <c r="T440" s="16" t="n"/>
      <c r="U440" s="139" t="n"/>
      <c r="V440" s="16">
        <f>P440+R440+T440</f>
        <v/>
      </c>
      <c r="W440" s="16" t="n"/>
      <c r="X440" s="139" t="n"/>
      <c r="Y440" s="16" t="n"/>
      <c r="Z440" s="139" t="n"/>
      <c r="AA440" s="16" t="n"/>
      <c r="AB440" s="139" t="n"/>
      <c r="AC440" s="16" t="n"/>
      <c r="AD440" s="139" t="n"/>
      <c r="AE440" s="16">
        <f>(W440+Y440+AA440+AC440)</f>
        <v/>
      </c>
      <c r="AF440" s="140" t="n"/>
      <c r="AG440" s="138" t="n"/>
      <c r="AH440" s="16" t="n"/>
      <c r="AI440" s="138" t="n"/>
      <c r="AJ440" s="16" t="n"/>
      <c r="AK440" s="138" t="n"/>
      <c r="AL440" s="16" t="n"/>
      <c r="AM440" s="138" t="n"/>
      <c r="AN440" s="16" t="n"/>
      <c r="AO440" s="138" t="n"/>
      <c r="AP440" s="16" t="n"/>
      <c r="AQ440" s="138" t="n"/>
      <c r="AR440" s="16" t="n"/>
      <c r="AS440" s="138" t="n"/>
      <c r="AT440" s="16" t="n"/>
      <c r="AU440" s="138" t="n"/>
      <c r="AV440" s="16" t="n"/>
      <c r="AW440" s="138" t="n"/>
      <c r="AX440" s="16" t="n"/>
      <c r="AY440" s="138" t="n"/>
      <c r="AZ440" s="16">
        <f>AF440+AH440+AJ440+AL440+AN440+AP440+AR440+AT440+AV440+AX440</f>
        <v/>
      </c>
      <c r="BA440" s="16" t="n"/>
      <c r="BB440" s="139" t="n"/>
      <c r="BC440" s="16" t="n"/>
      <c r="BD440" s="139" t="n"/>
      <c r="BE440" s="16">
        <f>(BA440+BC440)</f>
        <v/>
      </c>
    </row>
    <row r="441" ht="22.5" customFormat="1" customHeight="1" s="8">
      <c r="A441" s="9" t="n"/>
      <c r="B441" s="136" t="inlineStr">
        <is>
          <t>PU FOAM</t>
        </is>
      </c>
      <c r="C441" s="137" t="inlineStr">
        <is>
          <t>ADX6000</t>
        </is>
      </c>
      <c r="D441" s="65" t="inlineStr">
        <is>
          <t>가방 내장재</t>
        </is>
      </c>
      <c r="E441" s="13" t="inlineStr">
        <is>
          <t>47 * 36.5 * 5.5T</t>
        </is>
      </c>
      <c r="F441" s="99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40">
        <f>K441+V441-AE441-AZ441</f>
        <v/>
      </c>
      <c r="P441" s="12" t="n"/>
      <c r="Q441" s="138" t="n"/>
      <c r="R441" s="16" t="n"/>
      <c r="S441" s="139" t="n"/>
      <c r="T441" s="16" t="n"/>
      <c r="U441" s="139" t="n"/>
      <c r="V441" s="16">
        <f>P441+R441+T441</f>
        <v/>
      </c>
      <c r="W441" s="16" t="n"/>
      <c r="X441" s="139" t="n"/>
      <c r="Y441" s="16" t="n"/>
      <c r="Z441" s="139" t="n"/>
      <c r="AA441" s="16" t="n"/>
      <c r="AB441" s="139" t="n"/>
      <c r="AC441" s="16" t="n"/>
      <c r="AD441" s="139" t="n"/>
      <c r="AE441" s="16">
        <f>(W441+Y441+AA441+AC441)</f>
        <v/>
      </c>
      <c r="AF441" s="140" t="n"/>
      <c r="AG441" s="138" t="n"/>
      <c r="AH441" s="16" t="n"/>
      <c r="AI441" s="138" t="n"/>
      <c r="AJ441" s="16" t="n"/>
      <c r="AK441" s="138" t="n"/>
      <c r="AL441" s="16" t="n"/>
      <c r="AM441" s="138" t="n"/>
      <c r="AN441" s="16" t="n"/>
      <c r="AO441" s="138" t="n"/>
      <c r="AP441" s="16" t="n"/>
      <c r="AQ441" s="138" t="n"/>
      <c r="AR441" s="16" t="n"/>
      <c r="AS441" s="138" t="n"/>
      <c r="AT441" s="16" t="n"/>
      <c r="AU441" s="138" t="n"/>
      <c r="AV441" s="16" t="n"/>
      <c r="AW441" s="138" t="n"/>
      <c r="AX441" s="16" t="n"/>
      <c r="AY441" s="138" t="n"/>
      <c r="AZ441" s="16">
        <f>AF441+AH441+AJ441+AL441+AN441+AP441+AR441+AT441+AV441+AX441</f>
        <v/>
      </c>
      <c r="BA441" s="16" t="n"/>
      <c r="BB441" s="139" t="n"/>
      <c r="BC441" s="16" t="n"/>
      <c r="BD441" s="139" t="n"/>
      <c r="BE441" s="16">
        <f>(BA441+BC441)</f>
        <v/>
      </c>
    </row>
    <row r="442" ht="22.5" customFormat="1" customHeight="1" s="8">
      <c r="A442" s="9" t="n"/>
      <c r="B442" s="136" t="inlineStr">
        <is>
          <t>PU FOAM</t>
        </is>
      </c>
      <c r="C442" s="137" t="inlineStr">
        <is>
          <t>ADX6000</t>
        </is>
      </c>
      <c r="D442" s="65" t="inlineStr">
        <is>
          <t>가방 내장재</t>
        </is>
      </c>
      <c r="E442" s="13" t="inlineStr">
        <is>
          <t>47 * 36.5 * 7.5T</t>
        </is>
      </c>
      <c r="F442" s="99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40">
        <f>K442+V442-AE442-AZ442</f>
        <v/>
      </c>
      <c r="P442" s="12" t="n"/>
      <c r="Q442" s="138" t="n"/>
      <c r="R442" s="16" t="n"/>
      <c r="S442" s="139" t="n"/>
      <c r="T442" s="16" t="n"/>
      <c r="U442" s="139" t="n"/>
      <c r="V442" s="16">
        <f>P442+R442+T442</f>
        <v/>
      </c>
      <c r="W442" s="16" t="n"/>
      <c r="X442" s="139" t="n"/>
      <c r="Y442" s="16" t="n"/>
      <c r="Z442" s="139" t="n"/>
      <c r="AA442" s="16" t="n"/>
      <c r="AB442" s="139" t="n"/>
      <c r="AC442" s="16" t="n"/>
      <c r="AD442" s="139" t="n"/>
      <c r="AE442" s="16">
        <f>(W442+Y442+AA442+AC442)</f>
        <v/>
      </c>
      <c r="AF442" s="140" t="n"/>
      <c r="AG442" s="138" t="n"/>
      <c r="AH442" s="16" t="n"/>
      <c r="AI442" s="138" t="n"/>
      <c r="AJ442" s="16" t="n"/>
      <c r="AK442" s="138" t="n"/>
      <c r="AL442" s="16" t="n"/>
      <c r="AM442" s="138" t="n"/>
      <c r="AN442" s="16" t="n"/>
      <c r="AO442" s="138" t="n"/>
      <c r="AP442" s="16" t="n"/>
      <c r="AQ442" s="138" t="n"/>
      <c r="AR442" s="16" t="n"/>
      <c r="AS442" s="138" t="n"/>
      <c r="AT442" s="16" t="n"/>
      <c r="AU442" s="138" t="n"/>
      <c r="AV442" s="16" t="n"/>
      <c r="AW442" s="138" t="n"/>
      <c r="AX442" s="16" t="n"/>
      <c r="AY442" s="138" t="n"/>
      <c r="AZ442" s="16">
        <f>AF442+AH442+AJ442+AL442+AN442+AP442+AR442+AT442+AV442+AX442</f>
        <v/>
      </c>
      <c r="BA442" s="16" t="n"/>
      <c r="BB442" s="139" t="n"/>
      <c r="BC442" s="16" t="n"/>
      <c r="BD442" s="139" t="n"/>
      <c r="BE442" s="16">
        <f>(BA442+BC442)</f>
        <v/>
      </c>
    </row>
    <row r="443" ht="22.5" customFormat="1" customHeight="1" s="8">
      <c r="A443" s="9" t="n"/>
      <c r="B443" s="136" t="inlineStr">
        <is>
          <t>PU FOAM</t>
        </is>
      </c>
      <c r="C443" s="137" t="inlineStr">
        <is>
          <t>공용</t>
        </is>
      </c>
      <c r="D443" s="65" t="inlineStr">
        <is>
          <t>센서 내장재 상단</t>
        </is>
      </c>
      <c r="E443" s="13" t="inlineStr">
        <is>
          <t xml:space="preserve">   </t>
        </is>
      </c>
      <c r="F443" s="99" t="n"/>
      <c r="G443" s="9" t="n"/>
      <c r="H443" s="9" t="inlineStr">
        <is>
          <t>굿모닝코리아유통</t>
        </is>
      </c>
      <c r="I443" s="14" t="n"/>
      <c r="J443" s="14" t="n"/>
      <c r="K443" s="12" t="n">
        <v>0</v>
      </c>
      <c r="L443" s="9" t="n"/>
      <c r="M443" s="9" t="n"/>
      <c r="N443" s="9" t="n"/>
      <c r="O443" s="40">
        <f>K443+V443-AE443-AZ443</f>
        <v/>
      </c>
      <c r="P443" s="12" t="n"/>
      <c r="Q443" s="138" t="n"/>
      <c r="R443" s="16" t="n"/>
      <c r="S443" s="139" t="n"/>
      <c r="T443" s="16" t="n"/>
      <c r="U443" s="139" t="n"/>
      <c r="V443" s="16">
        <f>P443+R443+T443</f>
        <v/>
      </c>
      <c r="W443" s="16" t="n"/>
      <c r="X443" s="139" t="n"/>
      <c r="Y443" s="16" t="n"/>
      <c r="Z443" s="139" t="n"/>
      <c r="AA443" s="16" t="n"/>
      <c r="AB443" s="139" t="n"/>
      <c r="AC443" s="16" t="n"/>
      <c r="AD443" s="139" t="n"/>
      <c r="AE443" s="16">
        <f>(W443+Y443+AA443+AC443)</f>
        <v/>
      </c>
      <c r="AF443" s="140" t="n"/>
      <c r="AG443" s="138" t="n"/>
      <c r="AH443" s="16" t="n"/>
      <c r="AI443" s="138" t="n"/>
      <c r="AJ443" s="16" t="n"/>
      <c r="AK443" s="138" t="n"/>
      <c r="AL443" s="16" t="n"/>
      <c r="AM443" s="138" t="n"/>
      <c r="AN443" s="16" t="n"/>
      <c r="AO443" s="138" t="n"/>
      <c r="AP443" s="16" t="n"/>
      <c r="AQ443" s="138" t="n"/>
      <c r="AR443" s="16" t="n"/>
      <c r="AS443" s="138" t="n"/>
      <c r="AT443" s="16" t="n"/>
      <c r="AU443" s="138" t="n"/>
      <c r="AV443" s="16" t="n"/>
      <c r="AW443" s="138" t="n"/>
      <c r="AX443" s="16" t="n"/>
      <c r="AY443" s="138" t="n"/>
      <c r="AZ443" s="16">
        <f>AF443+AH443+AJ443+AL443+AN443+AP443+AR443+AT443+AV443+AX443</f>
        <v/>
      </c>
      <c r="BA443" s="16" t="n"/>
      <c r="BB443" s="139" t="n"/>
      <c r="BC443" s="16" t="n"/>
      <c r="BD443" s="139" t="n"/>
      <c r="BE443" s="16">
        <f>(BA443+BC443)</f>
        <v/>
      </c>
    </row>
    <row r="444" ht="22.5" customFormat="1" customHeight="1" s="8">
      <c r="A444" s="9" t="n"/>
      <c r="B444" s="136" t="inlineStr">
        <is>
          <t>PU FOAM</t>
        </is>
      </c>
      <c r="C444" s="137" t="inlineStr">
        <is>
          <t>공용</t>
        </is>
      </c>
      <c r="D444" s="60" t="inlineStr">
        <is>
          <t>센서 내장재 중간</t>
        </is>
      </c>
      <c r="E444" s="13" t="inlineStr">
        <is>
          <t>45 * 55.5 * 2T, 접착 X</t>
        </is>
      </c>
      <c r="F444" s="99" t="n"/>
      <c r="G444" s="9" t="n"/>
      <c r="H444" s="9" t="inlineStr">
        <is>
          <t>굿모닝코리아유통</t>
        </is>
      </c>
      <c r="I444" s="14" t="n"/>
      <c r="J444" s="14" t="n"/>
      <c r="K444" s="12" t="n">
        <v>0</v>
      </c>
      <c r="L444" s="9" t="n"/>
      <c r="M444" s="9" t="n"/>
      <c r="N444" s="9" t="n"/>
      <c r="O444" s="40">
        <f>K444+V444-AE444-AZ444</f>
        <v/>
      </c>
      <c r="P444" s="12" t="n"/>
      <c r="Q444" s="138" t="n"/>
      <c r="R444" s="16" t="n"/>
      <c r="S444" s="139" t="n"/>
      <c r="T444" s="16" t="n"/>
      <c r="U444" s="139" t="n"/>
      <c r="V444" s="16">
        <f>P444+R444+T444</f>
        <v/>
      </c>
      <c r="W444" s="16" t="n"/>
      <c r="X444" s="139" t="n"/>
      <c r="Y444" s="16" t="n"/>
      <c r="Z444" s="139" t="n"/>
      <c r="AA444" s="16" t="n"/>
      <c r="AB444" s="139" t="n"/>
      <c r="AC444" s="16" t="n"/>
      <c r="AD444" s="139" t="n"/>
      <c r="AE444" s="16">
        <f>(W444+Y444+AA444+AC444)</f>
        <v/>
      </c>
      <c r="AF444" s="140" t="n"/>
      <c r="AG444" s="138" t="n"/>
      <c r="AH444" s="16" t="n"/>
      <c r="AI444" s="138" t="n"/>
      <c r="AJ444" s="16" t="n"/>
      <c r="AK444" s="138" t="n"/>
      <c r="AL444" s="16" t="n"/>
      <c r="AM444" s="138" t="n"/>
      <c r="AN444" s="16" t="n"/>
      <c r="AO444" s="138" t="n"/>
      <c r="AP444" s="16" t="n"/>
      <c r="AQ444" s="138" t="n"/>
      <c r="AR444" s="16" t="n"/>
      <c r="AS444" s="138" t="n"/>
      <c r="AT444" s="16" t="n"/>
      <c r="AU444" s="138" t="n"/>
      <c r="AV444" s="16" t="n"/>
      <c r="AW444" s="138" t="n"/>
      <c r="AX444" s="16" t="n"/>
      <c r="AY444" s="138" t="n"/>
      <c r="AZ444" s="16">
        <f>AF444+AH444+AJ444+AL444+AN444+AP444+AR444+AT444+AV444+AX444</f>
        <v/>
      </c>
      <c r="BA444" s="16" t="n"/>
      <c r="BB444" s="139" t="n"/>
      <c r="BC444" s="16" t="n"/>
      <c r="BD444" s="139" t="n"/>
      <c r="BE444" s="16">
        <f>(BA444+BC444)</f>
        <v/>
      </c>
    </row>
    <row r="445" ht="22.5" customFormat="1" customHeight="1" s="8">
      <c r="A445" s="9" t="n"/>
      <c r="B445" s="136" t="inlineStr">
        <is>
          <t>PU FOAM</t>
        </is>
      </c>
      <c r="C445" s="137" t="inlineStr">
        <is>
          <t>공용</t>
        </is>
      </c>
      <c r="D445" s="60" t="inlineStr">
        <is>
          <t>센서 내장재 하단</t>
        </is>
      </c>
      <c r="E445" s="13" t="inlineStr">
        <is>
          <t>45 * 55.5 * 8T</t>
        </is>
      </c>
      <c r="F445" s="99" t="n"/>
      <c r="G445" s="9" t="n"/>
      <c r="H445" s="9" t="inlineStr">
        <is>
          <t>굿모닝코리아유통</t>
        </is>
      </c>
      <c r="I445" s="14" t="n"/>
      <c r="J445" s="14" t="n"/>
      <c r="K445" s="12" t="n">
        <v>0</v>
      </c>
      <c r="L445" s="9" t="n"/>
      <c r="M445" s="9" t="n"/>
      <c r="N445" s="9" t="n"/>
      <c r="O445" s="40">
        <f>K445+V445-AE445-AZ445</f>
        <v/>
      </c>
      <c r="P445" s="12" t="n"/>
      <c r="Q445" s="138" t="n"/>
      <c r="R445" s="16" t="n"/>
      <c r="S445" s="139" t="n"/>
      <c r="T445" s="16" t="n"/>
      <c r="U445" s="139" t="n"/>
      <c r="V445" s="16">
        <f>P445+R445+T445</f>
        <v/>
      </c>
      <c r="W445" s="16" t="n"/>
      <c r="X445" s="139" t="n"/>
      <c r="Y445" s="16" t="n"/>
      <c r="Z445" s="139" t="n"/>
      <c r="AA445" s="16" t="n"/>
      <c r="AB445" s="139" t="n"/>
      <c r="AC445" s="16" t="n"/>
      <c r="AD445" s="139" t="n"/>
      <c r="AE445" s="16">
        <f>(W445+Y445+AA445+AC445)</f>
        <v/>
      </c>
      <c r="AF445" s="140" t="n"/>
      <c r="AG445" s="138" t="n"/>
      <c r="AH445" s="16" t="n"/>
      <c r="AI445" s="138" t="n"/>
      <c r="AJ445" s="16" t="n"/>
      <c r="AK445" s="138" t="n"/>
      <c r="AL445" s="16" t="n"/>
      <c r="AM445" s="138" t="n"/>
      <c r="AN445" s="16" t="n"/>
      <c r="AO445" s="138" t="n"/>
      <c r="AP445" s="16" t="n"/>
      <c r="AQ445" s="138" t="n"/>
      <c r="AR445" s="16" t="n"/>
      <c r="AS445" s="138" t="n"/>
      <c r="AT445" s="16" t="n"/>
      <c r="AU445" s="138" t="n"/>
      <c r="AV445" s="16" t="n"/>
      <c r="AW445" s="138" t="n"/>
      <c r="AX445" s="16" t="n"/>
      <c r="AY445" s="138" t="n"/>
      <c r="AZ445" s="16">
        <f>AF445+AH445+AJ445+AL445+AN445+AP445+AR445+AT445+AV445+AX445</f>
        <v/>
      </c>
      <c r="BA445" s="16" t="n"/>
      <c r="BB445" s="139" t="n"/>
      <c r="BC445" s="16" t="n"/>
      <c r="BD445" s="139" t="n"/>
      <c r="BE445" s="16">
        <f>(BA445+BC445)</f>
        <v/>
      </c>
    </row>
    <row r="446" ht="22.5" customFormat="1" customHeight="1" s="8">
      <c r="A446" s="9" t="n"/>
      <c r="B446" s="136" t="inlineStr">
        <is>
          <t>PE FOAM</t>
        </is>
      </c>
      <c r="C446" s="137" t="inlineStr">
        <is>
          <t>공용</t>
        </is>
      </c>
      <c r="D446" s="60" t="inlineStr">
        <is>
          <t>체스트 &amp; 베드 스탠드 박스 내장재 상, 하판</t>
        </is>
      </c>
      <c r="E446" s="13" t="inlineStr">
        <is>
          <t>230 * 130 * 30T</t>
        </is>
      </c>
      <c r="F446" s="99" t="n"/>
      <c r="G446" s="9" t="n"/>
      <c r="H446" s="9" t="inlineStr">
        <is>
          <t>에이팩산업</t>
        </is>
      </c>
      <c r="I446" s="14" t="n"/>
      <c r="J446" s="14" t="n"/>
      <c r="K446" s="12" t="n">
        <v>0</v>
      </c>
      <c r="L446" s="9" t="n"/>
      <c r="M446" s="9" t="n"/>
      <c r="N446" s="9" t="n"/>
      <c r="O446" s="40">
        <f>K446+V446-AE446-AZ446</f>
        <v/>
      </c>
      <c r="P446" s="12" t="n"/>
      <c r="Q446" s="138" t="n"/>
      <c r="R446" s="16" t="n"/>
      <c r="S446" s="139" t="n"/>
      <c r="T446" s="16" t="n"/>
      <c r="U446" s="139" t="n"/>
      <c r="V446" s="16">
        <f>P446+R446+T446</f>
        <v/>
      </c>
      <c r="W446" s="16" t="n"/>
      <c r="X446" s="139" t="n"/>
      <c r="Y446" s="16" t="n"/>
      <c r="Z446" s="139" t="n"/>
      <c r="AA446" s="16" t="n"/>
      <c r="AB446" s="139" t="n"/>
      <c r="AC446" s="16" t="n"/>
      <c r="AD446" s="139" t="n"/>
      <c r="AE446" s="16">
        <f>(W446+Y446+AA446+AC446)</f>
        <v/>
      </c>
      <c r="AF446" s="140" t="n"/>
      <c r="AG446" s="138" t="n"/>
      <c r="AH446" s="16" t="n"/>
      <c r="AI446" s="138" t="n"/>
      <c r="AJ446" s="16" t="n"/>
      <c r="AK446" s="138" t="n"/>
      <c r="AL446" s="16" t="n"/>
      <c r="AM446" s="138" t="n"/>
      <c r="AN446" s="16" t="n"/>
      <c r="AO446" s="138" t="n"/>
      <c r="AP446" s="16" t="n"/>
      <c r="AQ446" s="138" t="n"/>
      <c r="AR446" s="16" t="n"/>
      <c r="AS446" s="138" t="n"/>
      <c r="AT446" s="16" t="n"/>
      <c r="AU446" s="138" t="n"/>
      <c r="AV446" s="16" t="n"/>
      <c r="AW446" s="138" t="n"/>
      <c r="AX446" s="16" t="n"/>
      <c r="AY446" s="138" t="n"/>
      <c r="AZ446" s="16">
        <f>AF446+AH446+AJ446+AL446+AN446+AP446+AR446+AT446+AV446+AX446</f>
        <v/>
      </c>
      <c r="BA446" s="16" t="n"/>
      <c r="BB446" s="139" t="n"/>
      <c r="BC446" s="16" t="n"/>
      <c r="BD446" s="139" t="n"/>
      <c r="BE446" s="16">
        <f>(BA446+BC446)</f>
        <v/>
      </c>
    </row>
    <row r="447" ht="22.5" customFormat="1" customHeight="1" s="8">
      <c r="A447" s="9" t="n"/>
      <c r="B447" s="136" t="inlineStr">
        <is>
          <t>PE FOAM</t>
        </is>
      </c>
      <c r="C447" s="137" t="inlineStr">
        <is>
          <t>공용</t>
        </is>
      </c>
      <c r="D447" s="60" t="inlineStr">
        <is>
          <t>체스트 &amp; 베드 스탠드 박스 내장재 좌, 우판</t>
        </is>
      </c>
      <c r="E447" s="13" t="inlineStr">
        <is>
          <t>130 * 980 * 30T</t>
        </is>
      </c>
      <c r="F447" s="99" t="n"/>
      <c r="G447" s="9" t="n"/>
      <c r="H447" s="9" t="inlineStr">
        <is>
          <t>에이팩산업</t>
        </is>
      </c>
      <c r="I447" s="14" t="n"/>
      <c r="J447" s="14" t="n"/>
      <c r="K447" s="12" t="n">
        <v>0</v>
      </c>
      <c r="L447" s="9" t="n"/>
      <c r="M447" s="9" t="n"/>
      <c r="N447" s="9" t="n"/>
      <c r="O447" s="40">
        <f>K447+V447-AE447-AZ447</f>
        <v/>
      </c>
      <c r="P447" s="12" t="n"/>
      <c r="Q447" s="138" t="n"/>
      <c r="R447" s="16" t="n"/>
      <c r="S447" s="139" t="n"/>
      <c r="T447" s="16" t="n"/>
      <c r="U447" s="139" t="n"/>
      <c r="V447" s="16">
        <f>P447+R447+T447</f>
        <v/>
      </c>
      <c r="W447" s="16" t="n"/>
      <c r="X447" s="139" t="n"/>
      <c r="Y447" s="16" t="n"/>
      <c r="Z447" s="139" t="n"/>
      <c r="AA447" s="16" t="n"/>
      <c r="AB447" s="139" t="n"/>
      <c r="AC447" s="16" t="n"/>
      <c r="AD447" s="139" t="n"/>
      <c r="AE447" s="16">
        <f>(W447+Y447+AA447+AC447)</f>
        <v/>
      </c>
      <c r="AF447" s="140" t="n"/>
      <c r="AG447" s="138" t="n"/>
      <c r="AH447" s="16" t="n"/>
      <c r="AI447" s="138" t="n"/>
      <c r="AJ447" s="16" t="n"/>
      <c r="AK447" s="138" t="n"/>
      <c r="AL447" s="16" t="n"/>
      <c r="AM447" s="138" t="n"/>
      <c r="AN447" s="16" t="n"/>
      <c r="AO447" s="138" t="n"/>
      <c r="AP447" s="16" t="n"/>
      <c r="AQ447" s="138" t="n"/>
      <c r="AR447" s="16" t="n"/>
      <c r="AS447" s="138" t="n"/>
      <c r="AT447" s="16" t="n"/>
      <c r="AU447" s="138" t="n"/>
      <c r="AV447" s="16" t="n"/>
      <c r="AW447" s="138" t="n"/>
      <c r="AX447" s="16" t="n"/>
      <c r="AY447" s="138" t="n"/>
      <c r="AZ447" s="16">
        <f>AF447+AH447+AJ447+AL447+AN447+AP447+AR447+AT447+AV447+AX447</f>
        <v/>
      </c>
      <c r="BA447" s="16" t="n"/>
      <c r="BB447" s="139" t="n"/>
      <c r="BC447" s="16" t="n"/>
      <c r="BD447" s="139" t="n"/>
      <c r="BE447" s="16">
        <f>(BA447+BC447)</f>
        <v/>
      </c>
    </row>
    <row r="448" ht="22.5" customFormat="1" customHeight="1" s="8">
      <c r="A448" s="9" t="n"/>
      <c r="B448" s="136" t="inlineStr">
        <is>
          <t>PE FOAM</t>
        </is>
      </c>
      <c r="C448" s="137" t="inlineStr">
        <is>
          <t>공용</t>
        </is>
      </c>
      <c r="D448" s="60" t="inlineStr">
        <is>
          <t>체스트 &amp; 베드 스탠드 박스 내장재 전, 후판</t>
        </is>
      </c>
      <c r="E448" s="13" t="inlineStr">
        <is>
          <t>230 * 920 * 30T</t>
        </is>
      </c>
      <c r="F448" s="99" t="n"/>
      <c r="G448" s="9" t="n"/>
      <c r="H448" s="9" t="inlineStr">
        <is>
          <t>에이팩산업</t>
        </is>
      </c>
      <c r="I448" s="14" t="n"/>
      <c r="J448" s="14" t="n"/>
      <c r="K448" s="12" t="n">
        <v>0</v>
      </c>
      <c r="L448" s="9" t="n"/>
      <c r="M448" s="9" t="n"/>
      <c r="N448" s="9" t="n"/>
      <c r="O448" s="40">
        <f>K448+V448-AE448-AZ448</f>
        <v/>
      </c>
      <c r="P448" s="12" t="n"/>
      <c r="Q448" s="138" t="n"/>
      <c r="R448" s="16" t="n"/>
      <c r="S448" s="139" t="n"/>
      <c r="T448" s="16" t="n"/>
      <c r="U448" s="139" t="n"/>
      <c r="V448" s="16">
        <f>P448+R448+T448</f>
        <v/>
      </c>
      <c r="W448" s="16" t="n"/>
      <c r="X448" s="139" t="n"/>
      <c r="Y448" s="16" t="n"/>
      <c r="Z448" s="139" t="n"/>
      <c r="AA448" s="16" t="n"/>
      <c r="AB448" s="139" t="n"/>
      <c r="AC448" s="16" t="n"/>
      <c r="AD448" s="139" t="n"/>
      <c r="AE448" s="16">
        <f>(W448+Y448+AA448+AC448)</f>
        <v/>
      </c>
      <c r="AF448" s="140" t="n"/>
      <c r="AG448" s="138" t="n"/>
      <c r="AH448" s="16" t="n"/>
      <c r="AI448" s="138" t="n"/>
      <c r="AJ448" s="16" t="n"/>
      <c r="AK448" s="138" t="n"/>
      <c r="AL448" s="16" t="n"/>
      <c r="AM448" s="138" t="n"/>
      <c r="AN448" s="16" t="n"/>
      <c r="AO448" s="138" t="n"/>
      <c r="AP448" s="16" t="n"/>
      <c r="AQ448" s="138" t="n"/>
      <c r="AR448" s="16" t="n"/>
      <c r="AS448" s="138" t="n"/>
      <c r="AT448" s="16" t="n"/>
      <c r="AU448" s="138" t="n"/>
      <c r="AV448" s="16" t="n"/>
      <c r="AW448" s="138" t="n"/>
      <c r="AX448" s="16" t="n"/>
      <c r="AY448" s="138" t="n"/>
      <c r="AZ448" s="16">
        <f>AF448+AH448+AJ448+AL448+AN448+AP448+AR448+AT448+AV448+AX448</f>
        <v/>
      </c>
      <c r="BA448" s="16" t="n"/>
      <c r="BB448" s="139" t="n"/>
      <c r="BC448" s="16" t="n"/>
      <c r="BD448" s="139" t="n"/>
      <c r="BE448" s="16">
        <f>(BA448+BC448)</f>
        <v/>
      </c>
    </row>
    <row r="449" ht="22.5" customFormat="1" customHeight="1" s="8">
      <c r="A449" s="9" t="n"/>
      <c r="B449" s="136" t="inlineStr">
        <is>
          <t>BOX</t>
        </is>
      </c>
      <c r="C449" s="137" t="inlineStr">
        <is>
          <t>DX3000, ADX4000W</t>
        </is>
      </c>
      <c r="D449" s="60" t="inlineStr">
        <is>
          <t>카톤 박스</t>
        </is>
      </c>
      <c r="E449" s="13" t="inlineStr">
        <is>
          <t>495 * 472 * 380</t>
        </is>
      </c>
      <c r="F449" s="99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40">
        <f>K449+V449-AE449-AZ449</f>
        <v/>
      </c>
      <c r="P449" s="12" t="n"/>
      <c r="Q449" s="138" t="n"/>
      <c r="R449" s="16" t="n"/>
      <c r="S449" s="139" t="n"/>
      <c r="T449" s="16" t="n"/>
      <c r="U449" s="139" t="n"/>
      <c r="V449" s="16">
        <f>P449+R449+T449</f>
        <v/>
      </c>
      <c r="W449" s="16" t="n"/>
      <c r="X449" s="139" t="n"/>
      <c r="Y449" s="16" t="n"/>
      <c r="Z449" s="139" t="n"/>
      <c r="AA449" s="16" t="n"/>
      <c r="AB449" s="139" t="n"/>
      <c r="AC449" s="16" t="n"/>
      <c r="AD449" s="139" t="n"/>
      <c r="AE449" s="16">
        <f>(W449+Y449+AA449+AC449)</f>
        <v/>
      </c>
      <c r="AF449" s="140" t="n"/>
      <c r="AG449" s="138" t="n"/>
      <c r="AH449" s="16" t="n"/>
      <c r="AI449" s="138" t="n"/>
      <c r="AJ449" s="16" t="n"/>
      <c r="AK449" s="138" t="n"/>
      <c r="AL449" s="16" t="n"/>
      <c r="AM449" s="138" t="n"/>
      <c r="AN449" s="16" t="n"/>
      <c r="AO449" s="138" t="n"/>
      <c r="AP449" s="16" t="n"/>
      <c r="AQ449" s="138" t="n"/>
      <c r="AR449" s="16" t="n"/>
      <c r="AS449" s="138" t="n"/>
      <c r="AT449" s="16" t="n"/>
      <c r="AU449" s="138" t="n"/>
      <c r="AV449" s="16" t="n"/>
      <c r="AW449" s="138" t="n"/>
      <c r="AX449" s="16" t="n"/>
      <c r="AY449" s="138" t="n"/>
      <c r="AZ449" s="16">
        <f>AF449+AH449+AJ449+AL449+AN449+AP449+AR449+AT449+AV449+AX449</f>
        <v/>
      </c>
      <c r="BA449" s="16" t="n"/>
      <c r="BB449" s="139" t="n"/>
      <c r="BC449" s="16" t="n"/>
      <c r="BD449" s="139" t="n"/>
      <c r="BE449" s="16">
        <f>(BA449+BC449)</f>
        <v/>
      </c>
    </row>
    <row r="450" ht="22.5" customFormat="1" customHeight="1" s="8">
      <c r="A450" s="9" t="n"/>
      <c r="B450" s="136" t="inlineStr">
        <is>
          <t>BOX</t>
        </is>
      </c>
      <c r="C450" s="137" t="inlineStr">
        <is>
          <t>DX3000, ADX4000W</t>
        </is>
      </c>
      <c r="D450" s="63" t="inlineStr">
        <is>
          <t>영문 박스</t>
        </is>
      </c>
      <c r="E450" s="13" t="inlineStr">
        <is>
          <t>450 * 240 * 360</t>
        </is>
      </c>
      <c r="F450" s="99" t="n"/>
      <c r="G450" s="9" t="n"/>
      <c r="H450" s="9" t="inlineStr">
        <is>
          <t>대성칼라</t>
        </is>
      </c>
      <c r="I450" s="14" t="n"/>
      <c r="J450" s="14" t="n"/>
      <c r="K450" s="12" t="n">
        <v>0</v>
      </c>
      <c r="L450" s="9" t="n"/>
      <c r="M450" s="9" t="n"/>
      <c r="N450" s="9" t="n"/>
      <c r="O450" s="40">
        <f>K450+V450-AE450-AZ450</f>
        <v/>
      </c>
      <c r="P450" s="12" t="n"/>
      <c r="Q450" s="138" t="n"/>
      <c r="R450" s="16" t="n"/>
      <c r="S450" s="139" t="n"/>
      <c r="T450" s="16" t="n"/>
      <c r="U450" s="139" t="n"/>
      <c r="V450" s="16">
        <f>P450+R450+T450</f>
        <v/>
      </c>
      <c r="W450" s="16" t="n"/>
      <c r="X450" s="139" t="n"/>
      <c r="Y450" s="16" t="n"/>
      <c r="Z450" s="139" t="n"/>
      <c r="AA450" s="16" t="n"/>
      <c r="AB450" s="139" t="n"/>
      <c r="AC450" s="16" t="n"/>
      <c r="AD450" s="139" t="n"/>
      <c r="AE450" s="16">
        <f>(W450+Y450+AA450+AC450)</f>
        <v/>
      </c>
      <c r="AF450" s="140" t="n"/>
      <c r="AG450" s="138" t="n"/>
      <c r="AH450" s="16" t="n"/>
      <c r="AI450" s="138" t="n"/>
      <c r="AJ450" s="16" t="n"/>
      <c r="AK450" s="138" t="n"/>
      <c r="AL450" s="16" t="n"/>
      <c r="AM450" s="138" t="n"/>
      <c r="AN450" s="16" t="n"/>
      <c r="AO450" s="138" t="n"/>
      <c r="AP450" s="16" t="n"/>
      <c r="AQ450" s="138" t="n"/>
      <c r="AR450" s="16" t="n"/>
      <c r="AS450" s="138" t="n"/>
      <c r="AT450" s="16" t="n"/>
      <c r="AU450" s="138" t="n"/>
      <c r="AV450" s="16" t="n"/>
      <c r="AW450" s="138" t="n"/>
      <c r="AX450" s="16" t="n"/>
      <c r="AY450" s="138" t="n"/>
      <c r="AZ450" s="16">
        <f>AF450+AH450+AJ450+AL450+AN450+AP450+AR450+AT450+AV450+AX450</f>
        <v/>
      </c>
      <c r="BA450" s="16" t="n"/>
      <c r="BB450" s="139" t="n"/>
      <c r="BC450" s="16" t="n"/>
      <c r="BD450" s="139" t="n"/>
      <c r="BE450" s="16">
        <f>(BA450+BC450)</f>
        <v/>
      </c>
    </row>
    <row r="451" ht="22.5" customFormat="1" customHeight="1" s="8">
      <c r="A451" s="9" t="n"/>
      <c r="B451" s="136" t="inlineStr">
        <is>
          <t>BOX</t>
        </is>
      </c>
      <c r="C451" s="137" t="inlineStr">
        <is>
          <t>COCOON</t>
        </is>
      </c>
      <c r="D451" s="60" t="inlineStr">
        <is>
          <t>카톤 박스</t>
        </is>
      </c>
      <c r="E451" s="13" t="inlineStr">
        <is>
          <t>500 * 460 * 520</t>
        </is>
      </c>
      <c r="F451" s="99" t="n"/>
      <c r="G451" s="9" t="n"/>
      <c r="H451" s="9" t="inlineStr">
        <is>
          <t>대성칼라</t>
        </is>
      </c>
      <c r="I451" s="14" t="n"/>
      <c r="J451" s="14" t="n"/>
      <c r="K451" s="12" t="n">
        <v>0</v>
      </c>
      <c r="L451" s="9" t="n"/>
      <c r="M451" s="9" t="n"/>
      <c r="N451" s="9" t="n"/>
      <c r="O451" s="40">
        <f>K451+V451-AE451-AZ451</f>
        <v/>
      </c>
      <c r="P451" s="12" t="n"/>
      <c r="Q451" s="138" t="n"/>
      <c r="R451" s="16" t="n"/>
      <c r="S451" s="139" t="n"/>
      <c r="T451" s="16" t="n"/>
      <c r="U451" s="139" t="n"/>
      <c r="V451" s="16">
        <f>P451+R451+T451</f>
        <v/>
      </c>
      <c r="W451" s="16" t="n"/>
      <c r="X451" s="139" t="n"/>
      <c r="Y451" s="16" t="n"/>
      <c r="Z451" s="139" t="n"/>
      <c r="AA451" s="16" t="n"/>
      <c r="AB451" s="139" t="n"/>
      <c r="AC451" s="16" t="n"/>
      <c r="AD451" s="139" t="n"/>
      <c r="AE451" s="16">
        <f>(W451+Y451+AA451+AC451)</f>
        <v/>
      </c>
      <c r="AF451" s="140" t="n"/>
      <c r="AG451" s="138" t="n"/>
      <c r="AH451" s="16" t="n"/>
      <c r="AI451" s="138" t="n"/>
      <c r="AJ451" s="16" t="n"/>
      <c r="AK451" s="138" t="n"/>
      <c r="AL451" s="16" t="n"/>
      <c r="AM451" s="138" t="n"/>
      <c r="AN451" s="16" t="n"/>
      <c r="AO451" s="138" t="n"/>
      <c r="AP451" s="16" t="n"/>
      <c r="AQ451" s="138" t="n"/>
      <c r="AR451" s="16" t="n"/>
      <c r="AS451" s="138" t="n"/>
      <c r="AT451" s="16" t="n"/>
      <c r="AU451" s="138" t="n"/>
      <c r="AV451" s="16" t="n"/>
      <c r="AW451" s="138" t="n"/>
      <c r="AX451" s="16" t="n"/>
      <c r="AY451" s="138" t="n"/>
      <c r="AZ451" s="16">
        <f>AF451+AH451+AJ451+AL451+AN451+AP451+AR451+AT451+AV451+AX451</f>
        <v/>
      </c>
      <c r="BA451" s="16" t="n"/>
      <c r="BB451" s="139" t="n"/>
      <c r="BC451" s="16" t="n"/>
      <c r="BD451" s="139" t="n"/>
      <c r="BE451" s="16">
        <f>(BA451+BC451)</f>
        <v/>
      </c>
    </row>
    <row r="452" ht="22.5" customFormat="1" customHeight="1" s="8">
      <c r="A452" s="9" t="n"/>
      <c r="B452" s="136" t="inlineStr">
        <is>
          <t>BOX</t>
        </is>
      </c>
      <c r="C452" s="137" t="inlineStr">
        <is>
          <t>COCOON</t>
        </is>
      </c>
      <c r="D452" s="63" t="inlineStr">
        <is>
          <t>영문 박스</t>
        </is>
      </c>
      <c r="E452" s="13" t="inlineStr">
        <is>
          <t>450 * 240 * 490</t>
        </is>
      </c>
      <c r="F452" s="99" t="n"/>
      <c r="G452" s="9" t="n"/>
      <c r="H452" s="9" t="inlineStr">
        <is>
          <t>대성칼라</t>
        </is>
      </c>
      <c r="I452" s="14" t="n"/>
      <c r="J452" s="14" t="n"/>
      <c r="K452" s="12" t="n">
        <v>0</v>
      </c>
      <c r="L452" s="9" t="n"/>
      <c r="M452" s="9" t="n"/>
      <c r="N452" s="9" t="n"/>
      <c r="O452" s="40">
        <f>K452+V452-AE452-AZ452</f>
        <v/>
      </c>
      <c r="P452" s="12" t="n"/>
      <c r="Q452" s="138" t="n"/>
      <c r="R452" s="16" t="n"/>
      <c r="S452" s="139" t="n"/>
      <c r="T452" s="16" t="n"/>
      <c r="U452" s="139" t="n"/>
      <c r="V452" s="16">
        <f>P452+R452+T452</f>
        <v/>
      </c>
      <c r="W452" s="16" t="n"/>
      <c r="X452" s="139" t="n"/>
      <c r="Y452" s="16" t="n"/>
      <c r="Z452" s="139" t="n"/>
      <c r="AA452" s="16" t="n"/>
      <c r="AB452" s="139" t="n"/>
      <c r="AC452" s="16" t="n"/>
      <c r="AD452" s="139" t="n"/>
      <c r="AE452" s="16">
        <f>(W452+Y452+AA452+AC452)</f>
        <v/>
      </c>
      <c r="AF452" s="140" t="n"/>
      <c r="AG452" s="138" t="n"/>
      <c r="AH452" s="16" t="n"/>
      <c r="AI452" s="138" t="n"/>
      <c r="AJ452" s="16" t="n"/>
      <c r="AK452" s="138" t="n"/>
      <c r="AL452" s="16" t="n"/>
      <c r="AM452" s="138" t="n"/>
      <c r="AN452" s="16" t="n"/>
      <c r="AO452" s="138" t="n"/>
      <c r="AP452" s="16" t="n"/>
      <c r="AQ452" s="138" t="n"/>
      <c r="AR452" s="16" t="n"/>
      <c r="AS452" s="138" t="n"/>
      <c r="AT452" s="16" t="n"/>
      <c r="AU452" s="138" t="n"/>
      <c r="AV452" s="16" t="n"/>
      <c r="AW452" s="138" t="n"/>
      <c r="AX452" s="16" t="n"/>
      <c r="AY452" s="138" t="n"/>
      <c r="AZ452" s="16">
        <f>AF452+AH452+AJ452+AL452+AN452+AP452+AR452+AT452+AV452+AX452</f>
        <v/>
      </c>
      <c r="BA452" s="16" t="n"/>
      <c r="BB452" s="139" t="n"/>
      <c r="BC452" s="16" t="n"/>
      <c r="BD452" s="139" t="n"/>
      <c r="BE452" s="16">
        <f>(BA452+BC452)</f>
        <v/>
      </c>
    </row>
    <row r="453" ht="22.5" customFormat="1" customHeight="1" s="8">
      <c r="A453" s="9" t="n"/>
      <c r="B453" s="136" t="inlineStr">
        <is>
          <t>BOX</t>
        </is>
      </c>
      <c r="C453" s="137" t="inlineStr">
        <is>
          <t>SOLO</t>
        </is>
      </c>
      <c r="D453" s="63" t="inlineStr">
        <is>
          <t>제품박스(I/N BOX)</t>
        </is>
      </c>
      <c r="E453" s="13" t="inlineStr">
        <is>
          <t>KLB.K.KLB (B) 410 * 390 *180</t>
        </is>
      </c>
      <c r="F453" s="99" t="n"/>
      <c r="G453" s="9" t="n"/>
      <c r="H453" s="9" t="inlineStr">
        <is>
          <t>지성수출포장</t>
        </is>
      </c>
      <c r="I453" s="14" t="n"/>
      <c r="J453" s="14" t="n"/>
      <c r="K453" s="12" t="n">
        <v>0</v>
      </c>
      <c r="L453" s="9" t="n"/>
      <c r="M453" s="9" t="n"/>
      <c r="N453" s="9" t="n"/>
      <c r="O453" s="40">
        <f>K453+V453-AE453-AZ453</f>
        <v/>
      </c>
      <c r="P453" s="12" t="n"/>
      <c r="Q453" s="138" t="n"/>
      <c r="R453" s="16" t="n"/>
      <c r="S453" s="139" t="n"/>
      <c r="T453" s="16" t="n"/>
      <c r="U453" s="139" t="n"/>
      <c r="V453" s="16">
        <f>P453+R453+T453</f>
        <v/>
      </c>
      <c r="W453" s="16" t="n"/>
      <c r="X453" s="139" t="n"/>
      <c r="Y453" s="16" t="n"/>
      <c r="Z453" s="139" t="n"/>
      <c r="AA453" s="16" t="n"/>
      <c r="AB453" s="139" t="n"/>
      <c r="AC453" s="16" t="n"/>
      <c r="AD453" s="139" t="n"/>
      <c r="AE453" s="16">
        <f>(W453+Y453+AA453+AC453)</f>
        <v/>
      </c>
      <c r="AF453" s="140" t="n"/>
      <c r="AG453" s="138" t="n"/>
      <c r="AH453" s="16" t="n"/>
      <c r="AI453" s="138" t="n"/>
      <c r="AJ453" s="16" t="n"/>
      <c r="AK453" s="138" t="n"/>
      <c r="AL453" s="16" t="n"/>
      <c r="AM453" s="138" t="n"/>
      <c r="AN453" s="16" t="n"/>
      <c r="AO453" s="138" t="n"/>
      <c r="AP453" s="16" t="n"/>
      <c r="AQ453" s="138" t="n"/>
      <c r="AR453" s="16" t="n"/>
      <c r="AS453" s="138" t="n"/>
      <c r="AT453" s="16" t="n"/>
      <c r="AU453" s="138" t="n"/>
      <c r="AV453" s="16" t="n"/>
      <c r="AW453" s="138" t="n"/>
      <c r="AX453" s="16" t="n"/>
      <c r="AY453" s="138" t="n"/>
      <c r="AZ453" s="16">
        <f>AF453+AH453+AJ453+AL453+AN453+AP453+AR453+AT453+AV453+AX453</f>
        <v/>
      </c>
      <c r="BA453" s="16" t="n"/>
      <c r="BB453" s="139" t="n"/>
      <c r="BC453" s="16" t="n"/>
      <c r="BD453" s="139" t="n"/>
      <c r="BE453" s="16">
        <f>(BA453+BC453)</f>
        <v/>
      </c>
    </row>
    <row r="454" ht="22.5" customFormat="1" customHeight="1" s="8">
      <c r="A454" s="9" t="n"/>
      <c r="B454" s="136" t="inlineStr">
        <is>
          <t>BOX</t>
        </is>
      </c>
      <c r="C454" s="137" t="inlineStr">
        <is>
          <t>SOLO</t>
        </is>
      </c>
      <c r="D454" s="60" t="inlineStr">
        <is>
          <t>카톤박스(C/T BOX)</t>
        </is>
      </c>
      <c r="E454" s="13" t="inlineStr">
        <is>
          <t>KLB.4K (BA/W) 430 * 380 * 420</t>
        </is>
      </c>
      <c r="F454" s="99" t="n"/>
      <c r="G454" s="9" t="n"/>
      <c r="H454" s="9" t="inlineStr">
        <is>
          <t>지성수출포장</t>
        </is>
      </c>
      <c r="I454" s="14" t="n"/>
      <c r="J454" s="14" t="n"/>
      <c r="K454" s="12" t="n">
        <v>0</v>
      </c>
      <c r="L454" s="9" t="n"/>
      <c r="M454" s="9" t="n"/>
      <c r="N454" s="9" t="n"/>
      <c r="O454" s="40">
        <f>K454+V454-AE454-AZ454</f>
        <v/>
      </c>
      <c r="P454" s="12" t="n"/>
      <c r="Q454" s="138" t="n"/>
      <c r="R454" s="16" t="n"/>
      <c r="S454" s="139" t="n"/>
      <c r="T454" s="16" t="n"/>
      <c r="U454" s="139" t="n"/>
      <c r="V454" s="16">
        <f>P454+R454+T454</f>
        <v/>
      </c>
      <c r="W454" s="16" t="n"/>
      <c r="X454" s="139" t="n"/>
      <c r="Y454" s="16" t="n"/>
      <c r="Z454" s="139" t="n"/>
      <c r="AA454" s="16" t="n"/>
      <c r="AB454" s="139" t="n"/>
      <c r="AC454" s="16" t="n"/>
      <c r="AD454" s="139" t="n"/>
      <c r="AE454" s="16">
        <f>(W454+Y454+AA454+AC454)</f>
        <v/>
      </c>
      <c r="AF454" s="140" t="n"/>
      <c r="AG454" s="138" t="n"/>
      <c r="AH454" s="16" t="n"/>
      <c r="AI454" s="138" t="n"/>
      <c r="AJ454" s="16" t="n"/>
      <c r="AK454" s="138" t="n"/>
      <c r="AL454" s="16" t="n"/>
      <c r="AM454" s="138" t="n"/>
      <c r="AN454" s="16" t="n"/>
      <c r="AO454" s="138" t="n"/>
      <c r="AP454" s="16" t="n"/>
      <c r="AQ454" s="138" t="n"/>
      <c r="AR454" s="16" t="n"/>
      <c r="AS454" s="138" t="n"/>
      <c r="AT454" s="16" t="n"/>
      <c r="AU454" s="138" t="n"/>
      <c r="AV454" s="16" t="n"/>
      <c r="AW454" s="138" t="n"/>
      <c r="AX454" s="16" t="n"/>
      <c r="AY454" s="138" t="n"/>
      <c r="AZ454" s="16">
        <f>AF454+AH454+AJ454+AL454+AN454+AP454+AR454+AT454+AV454+AX454</f>
        <v/>
      </c>
      <c r="BA454" s="16" t="n"/>
      <c r="BB454" s="139" t="n"/>
      <c r="BC454" s="16" t="n"/>
      <c r="BD454" s="139" t="n"/>
      <c r="BE454" s="16">
        <f>(BA454+BC454)</f>
        <v/>
      </c>
    </row>
    <row r="455" ht="22.5" customFormat="1" customHeight="1" s="8">
      <c r="A455" s="9" t="n"/>
      <c r="B455" s="136" t="inlineStr">
        <is>
          <t>BOX</t>
        </is>
      </c>
      <c r="C455" s="137" t="inlineStr">
        <is>
          <t>ADX6000</t>
        </is>
      </c>
      <c r="D455" s="60" t="inlineStr">
        <is>
          <t>카톤 박스</t>
        </is>
      </c>
      <c r="E455" s="13" t="n"/>
      <c r="F455" s="99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40">
        <f>K455+V455-AE455-AZ455</f>
        <v/>
      </c>
      <c r="P455" s="12" t="n"/>
      <c r="Q455" s="138" t="n"/>
      <c r="R455" s="16" t="n"/>
      <c r="S455" s="139" t="n"/>
      <c r="T455" s="16" t="n"/>
      <c r="U455" s="139" t="n"/>
      <c r="V455" s="16">
        <f>P455+R455+T455</f>
        <v/>
      </c>
      <c r="W455" s="16" t="n"/>
      <c r="X455" s="139" t="n"/>
      <c r="Y455" s="16" t="n"/>
      <c r="Z455" s="139" t="n"/>
      <c r="AA455" s="16" t="n"/>
      <c r="AB455" s="139" t="n"/>
      <c r="AC455" s="16" t="n"/>
      <c r="AD455" s="139" t="n"/>
      <c r="AE455" s="16">
        <f>(W455+Y455+AA455+AC455)</f>
        <v/>
      </c>
      <c r="AF455" s="140" t="n"/>
      <c r="AG455" s="138" t="n"/>
      <c r="AH455" s="16" t="n"/>
      <c r="AI455" s="138" t="n"/>
      <c r="AJ455" s="16" t="n"/>
      <c r="AK455" s="138" t="n"/>
      <c r="AL455" s="16" t="n"/>
      <c r="AM455" s="138" t="n"/>
      <c r="AN455" s="16" t="n"/>
      <c r="AO455" s="138" t="n"/>
      <c r="AP455" s="16" t="n"/>
      <c r="AQ455" s="138" t="n"/>
      <c r="AR455" s="16" t="n"/>
      <c r="AS455" s="138" t="n"/>
      <c r="AT455" s="16" t="n"/>
      <c r="AU455" s="138" t="n"/>
      <c r="AV455" s="16" t="n"/>
      <c r="AW455" s="138" t="n"/>
      <c r="AX455" s="16" t="n"/>
      <c r="AY455" s="138" t="n"/>
      <c r="AZ455" s="16">
        <f>AF455+AH455+AJ455+AL455+AN455+AP455+AR455+AT455+AV455+AX455</f>
        <v/>
      </c>
      <c r="BA455" s="16" t="n"/>
      <c r="BB455" s="139" t="n"/>
      <c r="BC455" s="16" t="n"/>
      <c r="BD455" s="139" t="n"/>
      <c r="BE455" s="16">
        <f>(BA455+BC455)</f>
        <v/>
      </c>
    </row>
    <row r="456" ht="22.5" customFormat="1" customHeight="1" s="8">
      <c r="A456" s="9" t="n"/>
      <c r="B456" s="136" t="inlineStr">
        <is>
          <t>BOX</t>
        </is>
      </c>
      <c r="C456" s="137" t="inlineStr">
        <is>
          <t>ADX6000S</t>
        </is>
      </c>
      <c r="D456" s="60" t="inlineStr">
        <is>
          <t>카톤 박스</t>
        </is>
      </c>
      <c r="E456" s="13" t="n"/>
      <c r="F456" s="99" t="n"/>
      <c r="G456" s="9" t="n"/>
      <c r="H456" s="9" t="inlineStr">
        <is>
          <t>제이디자인</t>
        </is>
      </c>
      <c r="I456" s="14" t="n"/>
      <c r="J456" s="14" t="n"/>
      <c r="K456" s="12" t="n">
        <v>0</v>
      </c>
      <c r="L456" s="9" t="n"/>
      <c r="M456" s="9" t="n"/>
      <c r="N456" s="9" t="n"/>
      <c r="O456" s="40">
        <f>K456+V456-AE456-AZ456</f>
        <v/>
      </c>
      <c r="P456" s="12" t="n"/>
      <c r="Q456" s="138" t="n"/>
      <c r="R456" s="16" t="n"/>
      <c r="S456" s="139" t="n"/>
      <c r="T456" s="16" t="n"/>
      <c r="U456" s="139" t="n"/>
      <c r="V456" s="16">
        <f>P456+R456+T456</f>
        <v/>
      </c>
      <c r="W456" s="16" t="n"/>
      <c r="X456" s="139" t="n"/>
      <c r="Y456" s="16" t="n"/>
      <c r="Z456" s="139" t="n"/>
      <c r="AA456" s="16" t="n"/>
      <c r="AB456" s="139" t="n"/>
      <c r="AC456" s="16" t="n"/>
      <c r="AD456" s="139" t="n"/>
      <c r="AE456" s="16">
        <f>(W456+Y456+AA456+AC456)</f>
        <v/>
      </c>
      <c r="AF456" s="140" t="n"/>
      <c r="AG456" s="138" t="n"/>
      <c r="AH456" s="16" t="n"/>
      <c r="AI456" s="138" t="n"/>
      <c r="AJ456" s="16" t="n"/>
      <c r="AK456" s="138" t="n"/>
      <c r="AL456" s="16" t="n"/>
      <c r="AM456" s="138" t="n"/>
      <c r="AN456" s="16" t="n"/>
      <c r="AO456" s="138" t="n"/>
      <c r="AP456" s="16" t="n"/>
      <c r="AQ456" s="138" t="n"/>
      <c r="AR456" s="16" t="n"/>
      <c r="AS456" s="138" t="n"/>
      <c r="AT456" s="16" t="n"/>
      <c r="AU456" s="138" t="n"/>
      <c r="AV456" s="16" t="n"/>
      <c r="AW456" s="138" t="n"/>
      <c r="AX456" s="16" t="n"/>
      <c r="AY456" s="138" t="n"/>
      <c r="AZ456" s="16">
        <f>AF456+AH456+AJ456+AL456+AN456+AP456+AR456+AT456+AV456+AX456</f>
        <v/>
      </c>
      <c r="BA456" s="16" t="n"/>
      <c r="BB456" s="139" t="n"/>
      <c r="BC456" s="16" t="n"/>
      <c r="BD456" s="139" t="n"/>
      <c r="BE456" s="16">
        <f>(BA456+BC456)</f>
        <v/>
      </c>
    </row>
    <row r="457" ht="22.5" customFormat="1" customHeight="1" s="8">
      <c r="A457" s="9" t="n"/>
      <c r="B457" s="136" t="inlineStr">
        <is>
          <t>BOX</t>
        </is>
      </c>
      <c r="C457" s="137" t="inlineStr">
        <is>
          <t>ADX6000S</t>
        </is>
      </c>
      <c r="D457" s="63" t="inlineStr">
        <is>
          <t>제품 박스</t>
        </is>
      </c>
      <c r="E457" s="13" t="n"/>
      <c r="F457" s="99" t="n"/>
      <c r="G457" s="9" t="n"/>
      <c r="H457" s="9" t="inlineStr">
        <is>
          <t>제이디자인</t>
        </is>
      </c>
      <c r="I457" s="14" t="n"/>
      <c r="J457" s="14" t="n"/>
      <c r="K457" s="12" t="n">
        <v>0</v>
      </c>
      <c r="L457" s="9" t="n"/>
      <c r="M457" s="9" t="n"/>
      <c r="N457" s="9" t="n"/>
      <c r="O457" s="40">
        <f>K457+V457-AE457-AZ457</f>
        <v/>
      </c>
      <c r="P457" s="12" t="n"/>
      <c r="Q457" s="138" t="n"/>
      <c r="R457" s="16" t="n"/>
      <c r="S457" s="139" t="n"/>
      <c r="T457" s="16" t="n"/>
      <c r="U457" s="139" t="n"/>
      <c r="V457" s="16">
        <f>P457+R457+T457</f>
        <v/>
      </c>
      <c r="W457" s="16" t="n"/>
      <c r="X457" s="139" t="n"/>
      <c r="Y457" s="16" t="n"/>
      <c r="Z457" s="139" t="n"/>
      <c r="AA457" s="16" t="n"/>
      <c r="AB457" s="139" t="n"/>
      <c r="AC457" s="16" t="n"/>
      <c r="AD457" s="139" t="n"/>
      <c r="AE457" s="16">
        <f>(W457+Y457+AA457+AC457)</f>
        <v/>
      </c>
      <c r="AF457" s="140" t="n"/>
      <c r="AG457" s="138" t="n"/>
      <c r="AH457" s="16" t="n"/>
      <c r="AI457" s="138" t="n"/>
      <c r="AJ457" s="16" t="n"/>
      <c r="AK457" s="138" t="n"/>
      <c r="AL457" s="16" t="n"/>
      <c r="AM457" s="138" t="n"/>
      <c r="AN457" s="16" t="n"/>
      <c r="AO457" s="138" t="n"/>
      <c r="AP457" s="16" t="n"/>
      <c r="AQ457" s="138" t="n"/>
      <c r="AR457" s="16" t="n"/>
      <c r="AS457" s="138" t="n"/>
      <c r="AT457" s="16" t="n"/>
      <c r="AU457" s="138" t="n"/>
      <c r="AV457" s="16" t="n"/>
      <c r="AW457" s="138" t="n"/>
      <c r="AX457" s="16" t="n"/>
      <c r="AY457" s="138" t="n"/>
      <c r="AZ457" s="16">
        <f>AF457+AH457+AJ457+AL457+AN457+AP457+AR457+AT457+AV457+AX457</f>
        <v/>
      </c>
      <c r="BA457" s="16" t="n"/>
      <c r="BB457" s="139" t="n"/>
      <c r="BC457" s="16" t="n"/>
      <c r="BD457" s="139" t="n"/>
      <c r="BE457" s="16">
        <f>(BA457+BC457)</f>
        <v/>
      </c>
    </row>
    <row r="458" ht="22.5" customFormat="1" customHeight="1" s="8">
      <c r="A458" s="9" t="n"/>
      <c r="B458" s="136" t="inlineStr">
        <is>
          <t>BOX</t>
        </is>
      </c>
      <c r="C458" s="137" t="inlineStr">
        <is>
          <t>공용</t>
        </is>
      </c>
      <c r="D458" s="63" t="inlineStr">
        <is>
          <t>저가 제품 박스 (小)</t>
        </is>
      </c>
      <c r="E458" s="13" t="n"/>
      <c r="F458" s="99" t="n"/>
      <c r="G458" s="9" t="n"/>
      <c r="H458" s="9" t="inlineStr">
        <is>
          <t>제이디자인</t>
        </is>
      </c>
      <c r="I458" s="14" t="n"/>
      <c r="J458" s="14" t="n"/>
      <c r="K458" s="12" t="n">
        <v>0</v>
      </c>
      <c r="L458" s="9" t="n"/>
      <c r="M458" s="9" t="n"/>
      <c r="N458" s="9" t="n"/>
      <c r="O458" s="40">
        <f>K458+V458-AE458-AZ458</f>
        <v/>
      </c>
      <c r="P458" s="12" t="n"/>
      <c r="Q458" s="138" t="n"/>
      <c r="R458" s="16" t="n"/>
      <c r="S458" s="139" t="n"/>
      <c r="T458" s="16" t="n"/>
      <c r="U458" s="139" t="n"/>
      <c r="V458" s="16">
        <f>P458+R458+T458</f>
        <v/>
      </c>
      <c r="W458" s="16" t="n"/>
      <c r="X458" s="139" t="n"/>
      <c r="Y458" s="16" t="n"/>
      <c r="Z458" s="139" t="n"/>
      <c r="AA458" s="16" t="n"/>
      <c r="AB458" s="139" t="n"/>
      <c r="AC458" s="16" t="n"/>
      <c r="AD458" s="139" t="n"/>
      <c r="AE458" s="16">
        <f>(W458+Y458+AA458+AC458)</f>
        <v/>
      </c>
      <c r="AF458" s="140" t="n"/>
      <c r="AG458" s="138" t="n"/>
      <c r="AH458" s="16" t="n"/>
      <c r="AI458" s="138" t="n"/>
      <c r="AJ458" s="16" t="n"/>
      <c r="AK458" s="138" t="n"/>
      <c r="AL458" s="16" t="n"/>
      <c r="AM458" s="138" t="n"/>
      <c r="AN458" s="16" t="n"/>
      <c r="AO458" s="138" t="n"/>
      <c r="AP458" s="16" t="n"/>
      <c r="AQ458" s="138" t="n"/>
      <c r="AR458" s="16" t="n"/>
      <c r="AS458" s="138" t="n"/>
      <c r="AT458" s="16" t="n"/>
      <c r="AU458" s="138" t="n"/>
      <c r="AV458" s="16" t="n"/>
      <c r="AW458" s="138" t="n"/>
      <c r="AX458" s="16" t="n"/>
      <c r="AY458" s="138" t="n"/>
      <c r="AZ458" s="16">
        <f>AF458+AH458+AJ458+AL458+AN458+AP458+AR458+AT458+AV458+AX458</f>
        <v/>
      </c>
      <c r="BA458" s="16" t="n"/>
      <c r="BB458" s="139" t="n"/>
      <c r="BC458" s="16" t="n"/>
      <c r="BD458" s="139" t="n"/>
      <c r="BE458" s="16">
        <f>(BA458+BC458)</f>
        <v/>
      </c>
    </row>
    <row r="459" ht="22.5" customFormat="1" customHeight="1" s="8">
      <c r="A459" s="9" t="n"/>
      <c r="B459" s="136" t="inlineStr">
        <is>
          <t>BOX</t>
        </is>
      </c>
      <c r="C459" s="137" t="inlineStr">
        <is>
          <t>공용</t>
        </is>
      </c>
      <c r="D459" s="63" t="inlineStr">
        <is>
          <t>무지 박스 1개</t>
        </is>
      </c>
      <c r="E459" s="13" t="inlineStr">
        <is>
          <t>450 * 260 * 510(H)mm</t>
        </is>
      </c>
      <c r="F459" s="99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40">
        <f>K459+V459-AE459-AZ459</f>
        <v/>
      </c>
      <c r="P459" s="12" t="n"/>
      <c r="Q459" s="138" t="n"/>
      <c r="R459" s="16" t="n"/>
      <c r="S459" s="139" t="n"/>
      <c r="T459" s="16" t="n"/>
      <c r="U459" s="139" t="n"/>
      <c r="V459" s="16">
        <f>P459+R459+T459</f>
        <v/>
      </c>
      <c r="W459" s="16" t="n"/>
      <c r="X459" s="139" t="n"/>
      <c r="Y459" s="16" t="n"/>
      <c r="Z459" s="139" t="n"/>
      <c r="AA459" s="16" t="n"/>
      <c r="AB459" s="139" t="n"/>
      <c r="AC459" s="16" t="n"/>
      <c r="AD459" s="139" t="n"/>
      <c r="AE459" s="16">
        <f>(W459+Y459+AA459+AC459)</f>
        <v/>
      </c>
      <c r="AF459" s="140" t="n"/>
      <c r="AG459" s="138" t="n"/>
      <c r="AH459" s="16" t="n"/>
      <c r="AI459" s="138" t="n"/>
      <c r="AJ459" s="16" t="n"/>
      <c r="AK459" s="138" t="n"/>
      <c r="AL459" s="16" t="n"/>
      <c r="AM459" s="138" t="n"/>
      <c r="AN459" s="16" t="n"/>
      <c r="AO459" s="138" t="n"/>
      <c r="AP459" s="16" t="n"/>
      <c r="AQ459" s="138" t="n"/>
      <c r="AR459" s="16" t="n"/>
      <c r="AS459" s="138" t="n"/>
      <c r="AT459" s="16" t="n"/>
      <c r="AU459" s="138" t="n"/>
      <c r="AV459" s="16" t="n"/>
      <c r="AW459" s="138" t="n"/>
      <c r="AX459" s="16" t="n"/>
      <c r="AY459" s="138" t="n"/>
      <c r="AZ459" s="16">
        <f>AF459+AH459+AJ459+AL459+AN459+AP459+AR459+AT459+AV459+AX459</f>
        <v/>
      </c>
      <c r="BA459" s="16" t="n"/>
      <c r="BB459" s="139" t="n"/>
      <c r="BC459" s="16" t="n"/>
      <c r="BD459" s="139" t="n"/>
      <c r="BE459" s="16">
        <f>(BA459+BC459)</f>
        <v/>
      </c>
    </row>
    <row r="460" ht="22.5" customFormat="1" customHeight="1" s="8">
      <c r="A460" s="9" t="n"/>
      <c r="B460" s="136" t="inlineStr">
        <is>
          <t>BOX</t>
        </is>
      </c>
      <c r="C460" s="137" t="inlineStr">
        <is>
          <t>공용</t>
        </is>
      </c>
      <c r="D460" s="63" t="inlineStr">
        <is>
          <t>무지 박스 2개</t>
        </is>
      </c>
      <c r="E460" s="13" t="inlineStr">
        <is>
          <t>475 * 295 * 220(H)mm</t>
        </is>
      </c>
      <c r="F460" s="99" t="n"/>
      <c r="G460" s="9" t="n"/>
      <c r="H460" s="9" t="inlineStr">
        <is>
          <t>박스바다</t>
        </is>
      </c>
      <c r="I460" s="14" t="n"/>
      <c r="J460" s="14" t="n"/>
      <c r="K460" s="12" t="n">
        <v>0</v>
      </c>
      <c r="L460" s="9" t="n"/>
      <c r="M460" s="9" t="n"/>
      <c r="N460" s="9" t="n"/>
      <c r="O460" s="40">
        <f>K460+V460-AE460-AZ460</f>
        <v/>
      </c>
      <c r="P460" s="12" t="n"/>
      <c r="Q460" s="138" t="n"/>
      <c r="R460" s="16" t="n"/>
      <c r="S460" s="139" t="n"/>
      <c r="T460" s="16" t="n"/>
      <c r="U460" s="139" t="n"/>
      <c r="V460" s="16">
        <f>P460+R460+T460</f>
        <v/>
      </c>
      <c r="W460" s="16" t="n"/>
      <c r="X460" s="139" t="n"/>
      <c r="Y460" s="16" t="n"/>
      <c r="Z460" s="139" t="n"/>
      <c r="AA460" s="16" t="n"/>
      <c r="AB460" s="139" t="n"/>
      <c r="AC460" s="16" t="n"/>
      <c r="AD460" s="139" t="n"/>
      <c r="AE460" s="16">
        <f>(W460+Y460+AA460+AC460)</f>
        <v/>
      </c>
      <c r="AF460" s="140" t="n"/>
      <c r="AG460" s="138" t="n"/>
      <c r="AH460" s="16" t="n"/>
      <c r="AI460" s="138" t="n"/>
      <c r="AJ460" s="16" t="n"/>
      <c r="AK460" s="138" t="n"/>
      <c r="AL460" s="16" t="n"/>
      <c r="AM460" s="138" t="n"/>
      <c r="AN460" s="16" t="n"/>
      <c r="AO460" s="138" t="n"/>
      <c r="AP460" s="16" t="n"/>
      <c r="AQ460" s="138" t="n"/>
      <c r="AR460" s="16" t="n"/>
      <c r="AS460" s="138" t="n"/>
      <c r="AT460" s="16" t="n"/>
      <c r="AU460" s="138" t="n"/>
      <c r="AV460" s="16" t="n"/>
      <c r="AW460" s="138" t="n"/>
      <c r="AX460" s="16" t="n"/>
      <c r="AY460" s="138" t="n"/>
      <c r="AZ460" s="16">
        <f>AF460+AH460+AJ460+AL460+AN460+AP460+AR460+AT460+AV460+AX460</f>
        <v/>
      </c>
      <c r="BA460" s="16" t="n"/>
      <c r="BB460" s="139" t="n"/>
      <c r="BC460" s="16" t="n"/>
      <c r="BD460" s="139" t="n"/>
      <c r="BE460" s="16">
        <f>(BA460+BC460)</f>
        <v/>
      </c>
    </row>
    <row r="461" ht="22.5" customFormat="1" customHeight="1" s="8">
      <c r="A461" s="9" t="n"/>
      <c r="B461" s="136" t="inlineStr">
        <is>
          <t>BOX</t>
        </is>
      </c>
      <c r="C461" s="137" t="inlineStr">
        <is>
          <t>공용</t>
        </is>
      </c>
      <c r="D461" s="63" t="inlineStr">
        <is>
          <t>무지 박스 4개</t>
        </is>
      </c>
      <c r="E461" s="13" t="inlineStr">
        <is>
          <t>475 * 295 * 430(H)mm</t>
        </is>
      </c>
      <c r="F461" s="99" t="n"/>
      <c r="G461" s="9" t="n"/>
      <c r="H461" s="9" t="inlineStr">
        <is>
          <t>박스바다</t>
        </is>
      </c>
      <c r="I461" s="14" t="n"/>
      <c r="J461" s="14" t="n"/>
      <c r="K461" s="12" t="n">
        <v>0</v>
      </c>
      <c r="L461" s="9" t="n"/>
      <c r="M461" s="9" t="n"/>
      <c r="N461" s="9" t="n"/>
      <c r="O461" s="40">
        <f>K461+V461-AE461-AZ461</f>
        <v/>
      </c>
      <c r="P461" s="12" t="n"/>
      <c r="Q461" s="138" t="n"/>
      <c r="R461" s="16" t="n"/>
      <c r="S461" s="139" t="n"/>
      <c r="T461" s="16" t="n"/>
      <c r="U461" s="139" t="n"/>
      <c r="V461" s="16">
        <f>P461+R461+T461</f>
        <v/>
      </c>
      <c r="W461" s="16" t="n"/>
      <c r="X461" s="139" t="n"/>
      <c r="Y461" s="16" t="n"/>
      <c r="Z461" s="139" t="n"/>
      <c r="AA461" s="16" t="n"/>
      <c r="AB461" s="139" t="n"/>
      <c r="AC461" s="16" t="n"/>
      <c r="AD461" s="139" t="n"/>
      <c r="AE461" s="16">
        <f>(W461+Y461+AA461+AC461)</f>
        <v/>
      </c>
      <c r="AF461" s="140" t="n"/>
      <c r="AG461" s="138" t="n"/>
      <c r="AH461" s="16" t="n"/>
      <c r="AI461" s="138" t="n"/>
      <c r="AJ461" s="16" t="n"/>
      <c r="AK461" s="138" t="n"/>
      <c r="AL461" s="16" t="n"/>
      <c r="AM461" s="138" t="n"/>
      <c r="AN461" s="16" t="n"/>
      <c r="AO461" s="138" t="n"/>
      <c r="AP461" s="16" t="n"/>
      <c r="AQ461" s="138" t="n"/>
      <c r="AR461" s="16" t="n"/>
      <c r="AS461" s="138" t="n"/>
      <c r="AT461" s="16" t="n"/>
      <c r="AU461" s="138" t="n"/>
      <c r="AV461" s="16" t="n"/>
      <c r="AW461" s="138" t="n"/>
      <c r="AX461" s="16" t="n"/>
      <c r="AY461" s="138" t="n"/>
      <c r="AZ461" s="16">
        <f>AF461+AH461+AJ461+AL461+AN461+AP461+AR461+AT461+AV461+AX461</f>
        <v/>
      </c>
      <c r="BA461" s="16" t="n"/>
      <c r="BB461" s="139" t="n"/>
      <c r="BC461" s="16" t="n"/>
      <c r="BD461" s="139" t="n"/>
      <c r="BE461" s="16">
        <f>(BA461+BC461)</f>
        <v/>
      </c>
    </row>
    <row r="462" ht="22.5" customFormat="1" customHeight="1" s="8">
      <c r="A462" s="9" t="n"/>
      <c r="B462" s="136" t="inlineStr">
        <is>
          <t>BOX</t>
        </is>
      </c>
      <c r="C462" s="137" t="inlineStr">
        <is>
          <t>공용</t>
        </is>
      </c>
      <c r="D462" s="63" t="inlineStr">
        <is>
          <t>무지 박스 6개</t>
        </is>
      </c>
      <c r="E462" s="13" t="inlineStr">
        <is>
          <t>700 * 300 * 430(H)mm</t>
        </is>
      </c>
      <c r="F462" s="99" t="n"/>
      <c r="G462" s="9" t="n"/>
      <c r="H462" s="9" t="inlineStr">
        <is>
          <t>박스바다</t>
        </is>
      </c>
      <c r="I462" s="14" t="n"/>
      <c r="J462" s="14" t="n"/>
      <c r="K462" s="12" t="n">
        <v>0</v>
      </c>
      <c r="L462" s="9" t="n"/>
      <c r="M462" s="9" t="n"/>
      <c r="N462" s="9" t="n"/>
      <c r="O462" s="40">
        <f>K462+V462-AE462-AZ462</f>
        <v/>
      </c>
      <c r="P462" s="12" t="n"/>
      <c r="Q462" s="138" t="n"/>
      <c r="R462" s="16" t="n"/>
      <c r="S462" s="139" t="n"/>
      <c r="T462" s="16" t="n"/>
      <c r="U462" s="139" t="n"/>
      <c r="V462" s="16">
        <f>P462+R462+T462</f>
        <v/>
      </c>
      <c r="W462" s="16" t="n"/>
      <c r="X462" s="139" t="n"/>
      <c r="Y462" s="16" t="n"/>
      <c r="Z462" s="139" t="n"/>
      <c r="AA462" s="16" t="n"/>
      <c r="AB462" s="139" t="n"/>
      <c r="AC462" s="16" t="n"/>
      <c r="AD462" s="139" t="n"/>
      <c r="AE462" s="16">
        <f>(W462+Y462+AA462+AC462)</f>
        <v/>
      </c>
      <c r="AF462" s="140" t="n"/>
      <c r="AG462" s="138" t="n"/>
      <c r="AH462" s="16" t="n"/>
      <c r="AI462" s="138" t="n"/>
      <c r="AJ462" s="16" t="n"/>
      <c r="AK462" s="138" t="n"/>
      <c r="AL462" s="16" t="n"/>
      <c r="AM462" s="138" t="n"/>
      <c r="AN462" s="16" t="n"/>
      <c r="AO462" s="138" t="n"/>
      <c r="AP462" s="16" t="n"/>
      <c r="AQ462" s="138" t="n"/>
      <c r="AR462" s="16" t="n"/>
      <c r="AS462" s="138" t="n"/>
      <c r="AT462" s="16" t="n"/>
      <c r="AU462" s="138" t="n"/>
      <c r="AV462" s="16" t="n"/>
      <c r="AW462" s="138" t="n"/>
      <c r="AX462" s="16" t="n"/>
      <c r="AY462" s="138" t="n"/>
      <c r="AZ462" s="16">
        <f>AF462+AH462+AJ462+AL462+AN462+AP462+AR462+AT462+AV462+AX462</f>
        <v/>
      </c>
      <c r="BA462" s="16" t="n"/>
      <c r="BB462" s="139" t="n"/>
      <c r="BC462" s="16" t="n"/>
      <c r="BD462" s="139" t="n"/>
      <c r="BE462" s="16">
        <f>(BA462+BC462)</f>
        <v/>
      </c>
    </row>
    <row r="463" ht="22.5" customFormat="1" customHeight="1" s="8">
      <c r="A463" s="9" t="n"/>
      <c r="B463" s="136" t="inlineStr">
        <is>
          <t>BOX</t>
        </is>
      </c>
      <c r="C463" s="137" t="inlineStr">
        <is>
          <t>공용</t>
        </is>
      </c>
      <c r="D463" s="63" t="inlineStr">
        <is>
          <t>Rex 구강 카메라 박스</t>
        </is>
      </c>
      <c r="E463" s="13" t="n"/>
      <c r="F463" s="99" t="n"/>
      <c r="G463" s="9" t="n"/>
      <c r="H463" s="9" t="inlineStr">
        <is>
          <t>제이디자인</t>
        </is>
      </c>
      <c r="I463" s="14" t="n"/>
      <c r="J463" s="14" t="n"/>
      <c r="K463" s="12" t="n">
        <v>0</v>
      </c>
      <c r="L463" s="9" t="n"/>
      <c r="M463" s="9" t="n"/>
      <c r="N463" s="9" t="n"/>
      <c r="O463" s="40">
        <f>K463+V463-AE463-AZ463</f>
        <v/>
      </c>
      <c r="P463" s="12" t="n"/>
      <c r="Q463" s="138" t="n"/>
      <c r="R463" s="16" t="n"/>
      <c r="S463" s="139" t="n"/>
      <c r="T463" s="16" t="n"/>
      <c r="U463" s="139" t="n"/>
      <c r="V463" s="16">
        <f>P463+R463+T463</f>
        <v/>
      </c>
      <c r="W463" s="16" t="n"/>
      <c r="X463" s="139" t="n"/>
      <c r="Y463" s="16" t="n"/>
      <c r="Z463" s="139" t="n"/>
      <c r="AA463" s="16" t="n"/>
      <c r="AB463" s="139" t="n"/>
      <c r="AC463" s="16" t="n"/>
      <c r="AD463" s="139" t="n"/>
      <c r="AE463" s="16">
        <f>(W463+Y463+AA463+AC463)</f>
        <v/>
      </c>
      <c r="AF463" s="140" t="n"/>
      <c r="AG463" s="138" t="n"/>
      <c r="AH463" s="16" t="n"/>
      <c r="AI463" s="138" t="n"/>
      <c r="AJ463" s="16" t="n"/>
      <c r="AK463" s="138" t="n"/>
      <c r="AL463" s="16" t="n"/>
      <c r="AM463" s="138" t="n"/>
      <c r="AN463" s="16" t="n"/>
      <c r="AO463" s="138" t="n"/>
      <c r="AP463" s="16" t="n"/>
      <c r="AQ463" s="138" t="n"/>
      <c r="AR463" s="16" t="n"/>
      <c r="AS463" s="138" t="n"/>
      <c r="AT463" s="16" t="n"/>
      <c r="AU463" s="138" t="n"/>
      <c r="AV463" s="16" t="n"/>
      <c r="AW463" s="138" t="n"/>
      <c r="AX463" s="16" t="n"/>
      <c r="AY463" s="138" t="n"/>
      <c r="AZ463" s="16">
        <f>AF463+AH463+AJ463+AL463+AN463+AP463+AR463+AT463+AV463+AX463</f>
        <v/>
      </c>
      <c r="BA463" s="16" t="n"/>
      <c r="BB463" s="139" t="n"/>
      <c r="BC463" s="16" t="n"/>
      <c r="BD463" s="139" t="n"/>
      <c r="BE463" s="16">
        <f>(BA463+BC463)</f>
        <v/>
      </c>
    </row>
    <row r="464" ht="22.5" customFormat="1" customHeight="1" s="8">
      <c r="A464" s="9" t="n"/>
      <c r="B464" s="136" t="inlineStr">
        <is>
          <t>BOX</t>
        </is>
      </c>
      <c r="C464" s="137" t="inlineStr">
        <is>
          <t>공용</t>
        </is>
      </c>
      <c r="D464" s="63" t="inlineStr">
        <is>
          <t>Rex2 센서 박스</t>
        </is>
      </c>
      <c r="E464" s="13" t="n"/>
      <c r="F464" s="99" t="n"/>
      <c r="G464" s="9" t="n"/>
      <c r="H464" s="9" t="inlineStr">
        <is>
          <t>제이디자인</t>
        </is>
      </c>
      <c r="I464" s="14" t="n"/>
      <c r="J464" s="14" t="n"/>
      <c r="K464" s="12" t="n">
        <v>0</v>
      </c>
      <c r="L464" s="9" t="n"/>
      <c r="M464" s="9" t="n"/>
      <c r="N464" s="9" t="n"/>
      <c r="O464" s="40">
        <f>K464+V464-AE464-AZ464</f>
        <v/>
      </c>
      <c r="P464" s="12" t="n"/>
      <c r="Q464" s="138" t="n"/>
      <c r="R464" s="16" t="n"/>
      <c r="S464" s="139" t="n"/>
      <c r="T464" s="16" t="n"/>
      <c r="U464" s="139" t="n"/>
      <c r="V464" s="16">
        <f>P464+R464+T464</f>
        <v/>
      </c>
      <c r="W464" s="16" t="n"/>
      <c r="X464" s="139" t="n"/>
      <c r="Y464" s="16" t="n"/>
      <c r="Z464" s="139" t="n"/>
      <c r="AA464" s="16" t="n"/>
      <c r="AB464" s="139" t="n"/>
      <c r="AC464" s="16" t="n"/>
      <c r="AD464" s="139" t="n"/>
      <c r="AE464" s="16">
        <f>(W464+Y464+AA464+AC464)</f>
        <v/>
      </c>
      <c r="AF464" s="140" t="n"/>
      <c r="AG464" s="138" t="n"/>
      <c r="AH464" s="16" t="n"/>
      <c r="AI464" s="138" t="n"/>
      <c r="AJ464" s="16" t="n"/>
      <c r="AK464" s="138" t="n"/>
      <c r="AL464" s="16" t="n"/>
      <c r="AM464" s="138" t="n"/>
      <c r="AN464" s="16" t="n"/>
      <c r="AO464" s="138" t="n"/>
      <c r="AP464" s="16" t="n"/>
      <c r="AQ464" s="138" t="n"/>
      <c r="AR464" s="16" t="n"/>
      <c r="AS464" s="138" t="n"/>
      <c r="AT464" s="16" t="n"/>
      <c r="AU464" s="138" t="n"/>
      <c r="AV464" s="16" t="n"/>
      <c r="AW464" s="138" t="n"/>
      <c r="AX464" s="16" t="n"/>
      <c r="AY464" s="138" t="n"/>
      <c r="AZ464" s="16">
        <f>AF464+AH464+AJ464+AL464+AN464+AP464+AR464+AT464+AV464+AX464</f>
        <v/>
      </c>
      <c r="BA464" s="16" t="n"/>
      <c r="BB464" s="139" t="n"/>
      <c r="BC464" s="16" t="n"/>
      <c r="BD464" s="139" t="n"/>
      <c r="BE464" s="16">
        <f>(BA464+BC464)</f>
        <v/>
      </c>
    </row>
    <row r="465" ht="22.5" customFormat="1" customHeight="1" s="8">
      <c r="A465" s="9" t="n"/>
      <c r="B465" s="136" t="inlineStr">
        <is>
          <t>BOX</t>
        </is>
      </c>
      <c r="C465" s="137" t="inlineStr">
        <is>
          <t>공용</t>
        </is>
      </c>
      <c r="D465" s="63" t="inlineStr">
        <is>
          <t>ADX6000 센서 무지 박스</t>
        </is>
      </c>
      <c r="E465" s="13" t="n"/>
      <c r="F465" s="99" t="n"/>
      <c r="G465" s="9" t="n"/>
      <c r="H465" s="9" t="inlineStr">
        <is>
          <t>박스바다</t>
        </is>
      </c>
      <c r="I465" s="14" t="n"/>
      <c r="J465" s="14" t="n"/>
      <c r="K465" s="12" t="n">
        <v>0</v>
      </c>
      <c r="L465" s="9" t="n"/>
      <c r="M465" s="9" t="n"/>
      <c r="N465" s="9" t="n"/>
      <c r="O465" s="40">
        <f>K465+V465-AE465-AZ465</f>
        <v/>
      </c>
      <c r="P465" s="12" t="n"/>
      <c r="Q465" s="138" t="n"/>
      <c r="R465" s="16" t="n"/>
      <c r="S465" s="139" t="n"/>
      <c r="T465" s="16" t="n"/>
      <c r="U465" s="139" t="n"/>
      <c r="V465" s="16">
        <f>P465+R465+T465</f>
        <v/>
      </c>
      <c r="W465" s="16" t="n"/>
      <c r="X465" s="139" t="n"/>
      <c r="Y465" s="16" t="n"/>
      <c r="Z465" s="139" t="n"/>
      <c r="AA465" s="16" t="n"/>
      <c r="AB465" s="139" t="n"/>
      <c r="AC465" s="16" t="n"/>
      <c r="AD465" s="139" t="n"/>
      <c r="AE465" s="16">
        <f>(W465+Y465+AA465+AC465)</f>
        <v/>
      </c>
      <c r="AF465" s="140" t="n"/>
      <c r="AG465" s="138" t="n"/>
      <c r="AH465" s="16" t="n"/>
      <c r="AI465" s="138" t="n"/>
      <c r="AJ465" s="16" t="n"/>
      <c r="AK465" s="138" t="n"/>
      <c r="AL465" s="16" t="n"/>
      <c r="AM465" s="138" t="n"/>
      <c r="AN465" s="16" t="n"/>
      <c r="AO465" s="138" t="n"/>
      <c r="AP465" s="16" t="n"/>
      <c r="AQ465" s="138" t="n"/>
      <c r="AR465" s="16" t="n"/>
      <c r="AS465" s="138" t="n"/>
      <c r="AT465" s="16" t="n"/>
      <c r="AU465" s="138" t="n"/>
      <c r="AV465" s="16" t="n"/>
      <c r="AW465" s="138" t="n"/>
      <c r="AX465" s="16" t="n"/>
      <c r="AY465" s="138" t="n"/>
      <c r="AZ465" s="16">
        <f>AF465+AH465+AJ465+AL465+AN465+AP465+AR465+AT465+AV465+AX465</f>
        <v/>
      </c>
      <c r="BA465" s="16" t="n"/>
      <c r="BB465" s="139" t="n"/>
      <c r="BC465" s="16" t="n"/>
      <c r="BD465" s="139" t="n"/>
      <c r="BE465" s="16">
        <f>(BA465+BC465)</f>
        <v/>
      </c>
    </row>
    <row r="466" ht="22.5" customFormat="1" customHeight="1" s="8">
      <c r="A466" s="9" t="n"/>
      <c r="B466" s="136" t="inlineStr">
        <is>
          <t>BOX</t>
        </is>
      </c>
      <c r="C466" s="137" t="inlineStr">
        <is>
          <t>공용</t>
        </is>
      </c>
      <c r="D466" s="63" t="inlineStr">
        <is>
          <t>체스트 &amp; 베드 스탠드 박스</t>
        </is>
      </c>
      <c r="E466" s="13" t="inlineStr">
        <is>
          <t>1000 * 300 * 150</t>
        </is>
      </c>
      <c r="F466" s="99" t="n"/>
      <c r="G466" s="9" t="n"/>
      <c r="H466" s="9" t="inlineStr">
        <is>
          <t>지성수출포장</t>
        </is>
      </c>
      <c r="I466" s="14" t="n"/>
      <c r="J466" s="14" t="n"/>
      <c r="K466" s="12" t="n">
        <v>0</v>
      </c>
      <c r="L466" s="9" t="n"/>
      <c r="M466" s="9" t="n"/>
      <c r="N466" s="9" t="n"/>
      <c r="O466" s="40">
        <f>K466+V466-AE466-AZ466</f>
        <v/>
      </c>
      <c r="P466" s="12" t="n"/>
      <c r="Q466" s="138" t="n"/>
      <c r="R466" s="16" t="n"/>
      <c r="S466" s="139" t="n"/>
      <c r="T466" s="16" t="n"/>
      <c r="U466" s="139" t="n"/>
      <c r="V466" s="16">
        <f>P466+R466+T466</f>
        <v/>
      </c>
      <c r="W466" s="16" t="n"/>
      <c r="X466" s="139" t="n"/>
      <c r="Y466" s="16" t="n"/>
      <c r="Z466" s="139" t="n"/>
      <c r="AA466" s="16" t="n"/>
      <c r="AB466" s="139" t="n"/>
      <c r="AC466" s="16" t="n"/>
      <c r="AD466" s="139" t="n"/>
      <c r="AE466" s="16">
        <f>(W466+Y466+AA466+AC466)</f>
        <v/>
      </c>
      <c r="AF466" s="140" t="n"/>
      <c r="AG466" s="138" t="n"/>
      <c r="AH466" s="16" t="n"/>
      <c r="AI466" s="138" t="n"/>
      <c r="AJ466" s="16" t="n"/>
      <c r="AK466" s="138" t="n"/>
      <c r="AL466" s="16" t="n"/>
      <c r="AM466" s="138" t="n"/>
      <c r="AN466" s="16" t="n"/>
      <c r="AO466" s="138" t="n"/>
      <c r="AP466" s="16" t="n"/>
      <c r="AQ466" s="138" t="n"/>
      <c r="AR466" s="16" t="n"/>
      <c r="AS466" s="138" t="n"/>
      <c r="AT466" s="16" t="n"/>
      <c r="AU466" s="138" t="n"/>
      <c r="AV466" s="16" t="n"/>
      <c r="AW466" s="138" t="n"/>
      <c r="AX466" s="16" t="n"/>
      <c r="AY466" s="138" t="n"/>
      <c r="AZ466" s="16">
        <f>AF466+AH466+AJ466+AL466+AN466+AP466+AR466+AT466+AV466+AX466</f>
        <v/>
      </c>
      <c r="BA466" s="16" t="n"/>
      <c r="BB466" s="139" t="n"/>
      <c r="BC466" s="16" t="n"/>
      <c r="BD466" s="139" t="n"/>
      <c r="BE466" s="16">
        <f>(BA466+BC466)</f>
        <v/>
      </c>
    </row>
    <row r="467" ht="22.5" customFormat="1" customHeight="1" s="8">
      <c r="A467" s="9" t="n"/>
      <c r="B467" s="136" t="inlineStr">
        <is>
          <t>스티로폼</t>
        </is>
      </c>
      <c r="C467" s="137" t="inlineStr">
        <is>
          <t>ADX6000</t>
        </is>
      </c>
      <c r="D467" s="60" t="inlineStr">
        <is>
          <t>제품박스 상, 하 스티로폼</t>
        </is>
      </c>
      <c r="E467" s="13" t="inlineStr">
        <is>
          <t>60.5 * 27.5 * 3T</t>
        </is>
      </c>
      <c r="F467" s="99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40">
        <f>K467+V467-AE467-AZ467</f>
        <v/>
      </c>
      <c r="P467" s="12" t="n"/>
      <c r="Q467" s="138" t="n"/>
      <c r="R467" s="16" t="n"/>
      <c r="S467" s="139" t="n"/>
      <c r="T467" s="16" t="n"/>
      <c r="U467" s="139" t="n"/>
      <c r="V467" s="16">
        <f>P467+R467+T467</f>
        <v/>
      </c>
      <c r="W467" s="16" t="n"/>
      <c r="X467" s="139" t="n"/>
      <c r="Y467" s="16" t="n"/>
      <c r="Z467" s="139" t="n"/>
      <c r="AA467" s="16" t="n"/>
      <c r="AB467" s="139" t="n"/>
      <c r="AC467" s="16" t="n"/>
      <c r="AD467" s="139" t="n"/>
      <c r="AE467" s="16">
        <f>(W467+Y467+AA467+AC467)</f>
        <v/>
      </c>
      <c r="AF467" s="140" t="n"/>
      <c r="AG467" s="138" t="n"/>
      <c r="AH467" s="16" t="n"/>
      <c r="AI467" s="138" t="n"/>
      <c r="AJ467" s="16" t="n"/>
      <c r="AK467" s="138" t="n"/>
      <c r="AL467" s="16" t="n"/>
      <c r="AM467" s="138" t="n"/>
      <c r="AN467" s="16" t="n"/>
      <c r="AO467" s="138" t="n"/>
      <c r="AP467" s="16" t="n"/>
      <c r="AQ467" s="138" t="n"/>
      <c r="AR467" s="16" t="n"/>
      <c r="AS467" s="138" t="n"/>
      <c r="AT467" s="16" t="n"/>
      <c r="AU467" s="138" t="n"/>
      <c r="AV467" s="16" t="n"/>
      <c r="AW467" s="138" t="n"/>
      <c r="AX467" s="16" t="n"/>
      <c r="AY467" s="138" t="n"/>
      <c r="AZ467" s="16">
        <f>AF467+AH467+AJ467+AL467+AN467+AP467+AR467+AT467+AV467+AX467</f>
        <v/>
      </c>
      <c r="BA467" s="16" t="n"/>
      <c r="BB467" s="139" t="n"/>
      <c r="BC467" s="16" t="n"/>
      <c r="BD467" s="139" t="n"/>
      <c r="BE467" s="16">
        <f>(BA467+BC467)</f>
        <v/>
      </c>
    </row>
    <row r="468" ht="22.5" customFormat="1" customHeight="1" s="8">
      <c r="A468" s="9" t="n"/>
      <c r="B468" s="136" t="inlineStr">
        <is>
          <t>스티로폼</t>
        </is>
      </c>
      <c r="C468" s="137" t="inlineStr">
        <is>
          <t>ADX6000</t>
        </is>
      </c>
      <c r="D468" s="63" t="inlineStr">
        <is>
          <t>제품박스 좁은 스티로폼</t>
        </is>
      </c>
      <c r="E468" s="13" t="inlineStr">
        <is>
          <t>42.5 * 27.5 * 3T</t>
        </is>
      </c>
      <c r="F468" s="99" t="n"/>
      <c r="G468" s="9" t="n"/>
      <c r="H468" s="9" t="inlineStr">
        <is>
          <t>굿모닝코리아유통</t>
        </is>
      </c>
      <c r="I468" s="14" t="n"/>
      <c r="J468" s="14" t="n"/>
      <c r="K468" s="12" t="n">
        <v>0</v>
      </c>
      <c r="L468" s="9" t="n"/>
      <c r="M468" s="9" t="n"/>
      <c r="N468" s="9" t="n"/>
      <c r="O468" s="40">
        <f>K468+V468-AE468-AZ468</f>
        <v/>
      </c>
      <c r="P468" s="12" t="n"/>
      <c r="Q468" s="138" t="n"/>
      <c r="R468" s="16" t="n"/>
      <c r="S468" s="139" t="n"/>
      <c r="T468" s="16" t="n"/>
      <c r="U468" s="139" t="n"/>
      <c r="V468" s="16">
        <f>P468+R468+T468</f>
        <v/>
      </c>
      <c r="W468" s="16" t="n"/>
      <c r="X468" s="139" t="n"/>
      <c r="Y468" s="16" t="n"/>
      <c r="Z468" s="139" t="n"/>
      <c r="AA468" s="16" t="n"/>
      <c r="AB468" s="139" t="n"/>
      <c r="AC468" s="16" t="n"/>
      <c r="AD468" s="139" t="n"/>
      <c r="AE468" s="16">
        <f>(W468+Y468+AA468+AC468)</f>
        <v/>
      </c>
      <c r="AF468" s="140" t="n"/>
      <c r="AG468" s="138" t="n"/>
      <c r="AH468" s="16" t="n"/>
      <c r="AI468" s="138" t="n"/>
      <c r="AJ468" s="16" t="n"/>
      <c r="AK468" s="138" t="n"/>
      <c r="AL468" s="16" t="n"/>
      <c r="AM468" s="138" t="n"/>
      <c r="AN468" s="16" t="n"/>
      <c r="AO468" s="138" t="n"/>
      <c r="AP468" s="16" t="n"/>
      <c r="AQ468" s="138" t="n"/>
      <c r="AR468" s="16" t="n"/>
      <c r="AS468" s="138" t="n"/>
      <c r="AT468" s="16" t="n"/>
      <c r="AU468" s="138" t="n"/>
      <c r="AV468" s="16" t="n"/>
      <c r="AW468" s="138" t="n"/>
      <c r="AX468" s="16" t="n"/>
      <c r="AY468" s="138" t="n"/>
      <c r="AZ468" s="16">
        <f>AF468+AH468+AJ468+AL468+AN468+AP468+AR468+AT468+AV468+AX468</f>
        <v/>
      </c>
      <c r="BA468" s="16" t="n"/>
      <c r="BB468" s="139" t="n"/>
      <c r="BC468" s="16" t="n"/>
      <c r="BD468" s="139" t="n"/>
      <c r="BE468" s="16">
        <f>(BA468+BC468)</f>
        <v/>
      </c>
    </row>
    <row r="469" ht="22.5" customFormat="1" customHeight="1" s="8">
      <c r="A469" s="9" t="n"/>
      <c r="B469" s="136" t="inlineStr">
        <is>
          <t>스티로폼</t>
        </is>
      </c>
      <c r="C469" s="137" t="inlineStr">
        <is>
          <t>ADX6000</t>
        </is>
      </c>
      <c r="D469" s="65" t="inlineStr">
        <is>
          <t>제품박스 넒은 스티로폼</t>
        </is>
      </c>
      <c r="E469" s="13" t="inlineStr">
        <is>
          <t>42.5 * 55 * 3.5T</t>
        </is>
      </c>
      <c r="F469" s="99" t="n"/>
      <c r="G469" s="9" t="n"/>
      <c r="H469" s="9" t="inlineStr">
        <is>
          <t>굿모닝코리아유통</t>
        </is>
      </c>
      <c r="I469" s="14" t="n"/>
      <c r="J469" s="14" t="n"/>
      <c r="K469" s="12" t="n">
        <v>0</v>
      </c>
      <c r="L469" s="9" t="n"/>
      <c r="M469" s="9" t="n"/>
      <c r="N469" s="9" t="n"/>
      <c r="O469" s="40">
        <f>K469+V469-AE469-AZ469</f>
        <v/>
      </c>
      <c r="P469" s="12" t="n"/>
      <c r="Q469" s="138" t="n"/>
      <c r="R469" s="16" t="n"/>
      <c r="S469" s="139" t="n"/>
      <c r="T469" s="16" t="n"/>
      <c r="U469" s="139" t="n"/>
      <c r="V469" s="16">
        <f>P469+R469+T469</f>
        <v/>
      </c>
      <c r="W469" s="16" t="n"/>
      <c r="X469" s="139" t="n"/>
      <c r="Y469" s="16" t="n"/>
      <c r="Z469" s="139" t="n"/>
      <c r="AA469" s="16" t="n"/>
      <c r="AB469" s="139" t="n"/>
      <c r="AC469" s="16" t="n"/>
      <c r="AD469" s="139" t="n"/>
      <c r="AE469" s="16">
        <f>(W469+Y469+AA469+AC469)</f>
        <v/>
      </c>
      <c r="AF469" s="140" t="n"/>
      <c r="AG469" s="138" t="n"/>
      <c r="AH469" s="16" t="n"/>
      <c r="AI469" s="138" t="n"/>
      <c r="AJ469" s="16" t="n"/>
      <c r="AK469" s="138" t="n"/>
      <c r="AL469" s="16" t="n"/>
      <c r="AM469" s="138" t="n"/>
      <c r="AN469" s="16" t="n"/>
      <c r="AO469" s="138" t="n"/>
      <c r="AP469" s="16" t="n"/>
      <c r="AQ469" s="138" t="n"/>
      <c r="AR469" s="16" t="n"/>
      <c r="AS469" s="138" t="n"/>
      <c r="AT469" s="16" t="n"/>
      <c r="AU469" s="138" t="n"/>
      <c r="AV469" s="16" t="n"/>
      <c r="AW469" s="138" t="n"/>
      <c r="AX469" s="16" t="n"/>
      <c r="AY469" s="138" t="n"/>
      <c r="AZ469" s="16">
        <f>AF469+AH469+AJ469+AL469+AN469+AP469+AR469+AT469+AV469+AX469</f>
        <v/>
      </c>
      <c r="BA469" s="16" t="n"/>
      <c r="BB469" s="139" t="n"/>
      <c r="BC469" s="16" t="n"/>
      <c r="BD469" s="139" t="n"/>
      <c r="BE469" s="16">
        <f>(BA469+BC469)</f>
        <v/>
      </c>
    </row>
    <row r="470" ht="22.5" customFormat="1" customHeight="1" s="8">
      <c r="A470" s="9" t="n"/>
      <c r="B470" s="136" t="inlineStr">
        <is>
          <t>스티로폼</t>
        </is>
      </c>
      <c r="C470" s="137" t="inlineStr">
        <is>
          <t>공용</t>
        </is>
      </c>
      <c r="D470" s="65" t="inlineStr">
        <is>
          <t>DR Tech 센서 상, 하 스티로폼</t>
        </is>
      </c>
      <c r="E470" s="13" t="inlineStr">
        <is>
          <t>45.5 * 42 * 3T</t>
        </is>
      </c>
      <c r="F470" s="99" t="n"/>
      <c r="G470" s="9" t="n"/>
      <c r="H470" s="9" t="inlineStr">
        <is>
          <t>굿모닝코리아유통</t>
        </is>
      </c>
      <c r="I470" s="14" t="n"/>
      <c r="J470" s="14" t="n"/>
      <c r="K470" s="12" t="n">
        <v>0</v>
      </c>
      <c r="L470" s="9" t="n"/>
      <c r="M470" s="9" t="n"/>
      <c r="N470" s="9" t="n"/>
      <c r="O470" s="40">
        <f>K470+V470-AE470-AZ470</f>
        <v/>
      </c>
      <c r="P470" s="12" t="n"/>
      <c r="Q470" s="138" t="n"/>
      <c r="R470" s="16" t="n"/>
      <c r="S470" s="139" t="n"/>
      <c r="T470" s="16" t="n"/>
      <c r="U470" s="139" t="n"/>
      <c r="V470" s="16">
        <f>P470+R470+T470</f>
        <v/>
      </c>
      <c r="W470" s="16" t="n"/>
      <c r="X470" s="139" t="n"/>
      <c r="Y470" s="16" t="n"/>
      <c r="Z470" s="139" t="n"/>
      <c r="AA470" s="16" t="n"/>
      <c r="AB470" s="139" t="n"/>
      <c r="AC470" s="16" t="n"/>
      <c r="AD470" s="139" t="n"/>
      <c r="AE470" s="16">
        <f>(W470+Y470+AA470+AC470)</f>
        <v/>
      </c>
      <c r="AF470" s="140" t="n"/>
      <c r="AG470" s="138" t="n"/>
      <c r="AH470" s="16" t="n"/>
      <c r="AI470" s="138" t="n"/>
      <c r="AJ470" s="16" t="n"/>
      <c r="AK470" s="138" t="n"/>
      <c r="AL470" s="16" t="n"/>
      <c r="AM470" s="138" t="n"/>
      <c r="AN470" s="16" t="n"/>
      <c r="AO470" s="138" t="n"/>
      <c r="AP470" s="16" t="n"/>
      <c r="AQ470" s="138" t="n"/>
      <c r="AR470" s="16" t="n"/>
      <c r="AS470" s="138" t="n"/>
      <c r="AT470" s="16" t="n"/>
      <c r="AU470" s="138" t="n"/>
      <c r="AV470" s="16" t="n"/>
      <c r="AW470" s="138" t="n"/>
      <c r="AX470" s="16" t="n"/>
      <c r="AY470" s="138" t="n"/>
      <c r="AZ470" s="16">
        <f>AF470+AH470+AJ470+AL470+AN470+AP470+AR470+AT470+AV470+AX470</f>
        <v/>
      </c>
      <c r="BA470" s="16" t="n"/>
      <c r="BB470" s="139" t="n"/>
      <c r="BC470" s="16" t="n"/>
      <c r="BD470" s="139" t="n"/>
      <c r="BE470" s="16">
        <f>(BA470+BC470)</f>
        <v/>
      </c>
    </row>
    <row r="471" ht="22.5" customFormat="1" customHeight="1" s="8">
      <c r="A471" s="9" t="n"/>
      <c r="B471" s="136" t="inlineStr">
        <is>
          <t>내부폼</t>
        </is>
      </c>
      <c r="C471" s="137" t="inlineStr">
        <is>
          <t>SOLO</t>
        </is>
      </c>
      <c r="D471" s="65" t="inlineStr">
        <is>
          <t>내부폼 (가교 PAD) SET</t>
        </is>
      </c>
      <c r="E471" s="13" t="n"/>
      <c r="F471" s="99" t="n"/>
      <c r="G471" s="9" t="n"/>
      <c r="H471" s="9" t="inlineStr">
        <is>
          <t>에이팩산업</t>
        </is>
      </c>
      <c r="I471" s="14" t="n"/>
      <c r="J471" s="14" t="n"/>
      <c r="K471" s="12" t="n">
        <v>0</v>
      </c>
      <c r="L471" s="9" t="n"/>
      <c r="M471" s="9" t="n"/>
      <c r="N471" s="9" t="n"/>
      <c r="O471" s="40">
        <f>K471+V471-AE471-AZ471</f>
        <v/>
      </c>
      <c r="P471" s="12" t="n"/>
      <c r="Q471" s="138" t="n"/>
      <c r="R471" s="16" t="n"/>
      <c r="S471" s="139" t="n"/>
      <c r="T471" s="16" t="n"/>
      <c r="U471" s="139" t="n"/>
      <c r="V471" s="16">
        <f>P471+R471+T471</f>
        <v/>
      </c>
      <c r="W471" s="16" t="n"/>
      <c r="X471" s="139" t="n"/>
      <c r="Y471" s="16" t="n"/>
      <c r="Z471" s="139" t="n"/>
      <c r="AA471" s="16" t="n"/>
      <c r="AB471" s="139" t="n"/>
      <c r="AC471" s="16" t="n"/>
      <c r="AD471" s="139" t="n"/>
      <c r="AE471" s="16">
        <f>(W471+Y471+AA471+AC471)</f>
        <v/>
      </c>
      <c r="AF471" s="140" t="n"/>
      <c r="AG471" s="138" t="n"/>
      <c r="AH471" s="16" t="n"/>
      <c r="AI471" s="138" t="n"/>
      <c r="AJ471" s="16" t="n"/>
      <c r="AK471" s="138" t="n"/>
      <c r="AL471" s="16" t="n"/>
      <c r="AM471" s="138" t="n"/>
      <c r="AN471" s="16" t="n"/>
      <c r="AO471" s="138" t="n"/>
      <c r="AP471" s="16" t="n"/>
      <c r="AQ471" s="138" t="n"/>
      <c r="AR471" s="16" t="n"/>
      <c r="AS471" s="138" t="n"/>
      <c r="AT471" s="16" t="n"/>
      <c r="AU471" s="138" t="n"/>
      <c r="AV471" s="16" t="n"/>
      <c r="AW471" s="138" t="n"/>
      <c r="AX471" s="16" t="n"/>
      <c r="AY471" s="138" t="n"/>
      <c r="AZ471" s="16">
        <f>AF471+AH471+AJ471+AL471+AN471+AP471+AR471+AT471+AV471+AX471</f>
        <v/>
      </c>
      <c r="BA471" s="16" t="n"/>
      <c r="BB471" s="139" t="n"/>
      <c r="BC471" s="16" t="n"/>
      <c r="BD471" s="139" t="n"/>
      <c r="BE471" s="16">
        <f>(BA471+BC471)</f>
        <v/>
      </c>
    </row>
    <row r="472" ht="22.5" customFormat="1" customHeight="1" s="8">
      <c r="A472" s="9" t="n"/>
      <c r="B472" s="136" t="inlineStr">
        <is>
          <t>에어셀</t>
        </is>
      </c>
      <c r="C472" s="137" t="inlineStr">
        <is>
          <t>DX3000</t>
        </is>
      </c>
      <c r="D472" s="65" t="inlineStr">
        <is>
          <t>에어셀 TOP</t>
        </is>
      </c>
      <c r="E472" s="13" t="inlineStr">
        <is>
          <t>JD010211-02</t>
        </is>
      </c>
      <c r="F472" s="99" t="n"/>
      <c r="G472" s="9" t="n"/>
      <c r="H472" s="9" t="inlineStr">
        <is>
          <t>에어패킹</t>
        </is>
      </c>
      <c r="I472" s="14" t="n"/>
      <c r="J472" s="14" t="n"/>
      <c r="K472" s="12" t="n">
        <v>0</v>
      </c>
      <c r="L472" s="9" t="n"/>
      <c r="M472" s="9" t="n"/>
      <c r="N472" s="9" t="n"/>
      <c r="O472" s="40">
        <f>K472+V472-AE472-AZ472</f>
        <v/>
      </c>
      <c r="P472" s="12" t="n"/>
      <c r="Q472" s="138" t="n"/>
      <c r="R472" s="16" t="n"/>
      <c r="S472" s="139" t="n"/>
      <c r="T472" s="16" t="n"/>
      <c r="U472" s="139" t="n"/>
      <c r="V472" s="16">
        <f>P472+R472+T472</f>
        <v/>
      </c>
      <c r="W472" s="16" t="n"/>
      <c r="X472" s="139" t="n"/>
      <c r="Y472" s="16" t="n"/>
      <c r="Z472" s="139" t="n"/>
      <c r="AA472" s="16" t="n"/>
      <c r="AB472" s="139" t="n"/>
      <c r="AC472" s="16" t="n"/>
      <c r="AD472" s="139" t="n"/>
      <c r="AE472" s="16">
        <f>(W472+Y472+AA472+AC472)</f>
        <v/>
      </c>
      <c r="AF472" s="140" t="n"/>
      <c r="AG472" s="138" t="n"/>
      <c r="AH472" s="16" t="n"/>
      <c r="AI472" s="138" t="n"/>
      <c r="AJ472" s="16" t="n"/>
      <c r="AK472" s="138" t="n"/>
      <c r="AL472" s="16" t="n"/>
      <c r="AM472" s="138" t="n"/>
      <c r="AN472" s="16" t="n"/>
      <c r="AO472" s="138" t="n"/>
      <c r="AP472" s="16" t="n"/>
      <c r="AQ472" s="138" t="n"/>
      <c r="AR472" s="16" t="n"/>
      <c r="AS472" s="138" t="n"/>
      <c r="AT472" s="16" t="n"/>
      <c r="AU472" s="138" t="n"/>
      <c r="AV472" s="16" t="n"/>
      <c r="AW472" s="138" t="n"/>
      <c r="AX472" s="16" t="n"/>
      <c r="AY472" s="138" t="n"/>
      <c r="AZ472" s="16">
        <f>AF472+AH472+AJ472+AL472+AN472+AP472+AR472+AT472+AV472+AX472</f>
        <v/>
      </c>
      <c r="BA472" s="16" t="n"/>
      <c r="BB472" s="139" t="n"/>
      <c r="BC472" s="16" t="n"/>
      <c r="BD472" s="139" t="n"/>
      <c r="BE472" s="16">
        <f>(BA472+BC472)</f>
        <v/>
      </c>
    </row>
    <row r="473" ht="22.5" customFormat="1" customHeight="1" s="8">
      <c r="A473" s="9" t="n"/>
      <c r="B473" s="136" t="inlineStr">
        <is>
          <t>에어셀</t>
        </is>
      </c>
      <c r="C473" s="137" t="inlineStr">
        <is>
          <t>DX3000</t>
        </is>
      </c>
      <c r="D473" s="65" t="inlineStr">
        <is>
          <t>에어셀 BOTTOM</t>
        </is>
      </c>
      <c r="E473" s="13" t="inlineStr">
        <is>
          <t>JD010212-02</t>
        </is>
      </c>
      <c r="F473" s="99" t="n"/>
      <c r="G473" s="9" t="n"/>
      <c r="H473" s="9" t="inlineStr">
        <is>
          <t>에어패킹</t>
        </is>
      </c>
      <c r="I473" s="14" t="n"/>
      <c r="J473" s="14" t="n"/>
      <c r="K473" s="12" t="n">
        <v>0</v>
      </c>
      <c r="L473" s="9" t="n"/>
      <c r="M473" s="9" t="n"/>
      <c r="N473" s="9" t="n"/>
      <c r="O473" s="40">
        <f>K473+V473-AE473-AZ473</f>
        <v/>
      </c>
      <c r="P473" s="12" t="n"/>
      <c r="Q473" s="138" t="n"/>
      <c r="R473" s="16" t="n"/>
      <c r="S473" s="139" t="n"/>
      <c r="T473" s="16" t="n"/>
      <c r="U473" s="139" t="n"/>
      <c r="V473" s="16">
        <f>P473+R473+T473</f>
        <v/>
      </c>
      <c r="W473" s="16" t="n"/>
      <c r="X473" s="139" t="n"/>
      <c r="Y473" s="16" t="n"/>
      <c r="Z473" s="139" t="n"/>
      <c r="AA473" s="16" t="n"/>
      <c r="AB473" s="139" t="n"/>
      <c r="AC473" s="16" t="n"/>
      <c r="AD473" s="139" t="n"/>
      <c r="AE473" s="16">
        <f>(W473+Y473+AA473+AC473)</f>
        <v/>
      </c>
      <c r="AF473" s="140" t="n"/>
      <c r="AG473" s="138" t="n"/>
      <c r="AH473" s="16" t="n"/>
      <c r="AI473" s="138" t="n"/>
      <c r="AJ473" s="16" t="n"/>
      <c r="AK473" s="138" t="n"/>
      <c r="AL473" s="16" t="n"/>
      <c r="AM473" s="138" t="n"/>
      <c r="AN473" s="16" t="n"/>
      <c r="AO473" s="138" t="n"/>
      <c r="AP473" s="16" t="n"/>
      <c r="AQ473" s="138" t="n"/>
      <c r="AR473" s="16" t="n"/>
      <c r="AS473" s="138" t="n"/>
      <c r="AT473" s="16" t="n"/>
      <c r="AU473" s="138" t="n"/>
      <c r="AV473" s="16" t="n"/>
      <c r="AW473" s="138" t="n"/>
      <c r="AX473" s="16" t="n"/>
      <c r="AY473" s="138" t="n"/>
      <c r="AZ473" s="16">
        <f>AF473+AH473+AJ473+AL473+AN473+AP473+AR473+AT473+AV473+AX473</f>
        <v/>
      </c>
      <c r="BA473" s="16" t="n"/>
      <c r="BB473" s="139" t="n"/>
      <c r="BC473" s="16" t="n"/>
      <c r="BD473" s="139" t="n"/>
      <c r="BE473" s="16">
        <f>(BA473+BC473)</f>
        <v/>
      </c>
    </row>
    <row r="474" ht="22.5" customFormat="1" customHeight="1" s="8">
      <c r="A474" s="9" t="n"/>
      <c r="B474" s="136" t="inlineStr">
        <is>
          <t>에어셀</t>
        </is>
      </c>
      <c r="C474" s="137" t="inlineStr">
        <is>
          <t>COCOON</t>
        </is>
      </c>
      <c r="D474" s="65" t="inlineStr">
        <is>
          <t>에어셀 TOP</t>
        </is>
      </c>
      <c r="E474" s="13" t="inlineStr">
        <is>
          <t>JD010311-01</t>
        </is>
      </c>
      <c r="F474" s="99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40">
        <f>K474+V474-AE474-AZ474</f>
        <v/>
      </c>
      <c r="P474" s="12" t="n"/>
      <c r="Q474" s="138" t="n"/>
      <c r="R474" s="16" t="n"/>
      <c r="S474" s="139" t="n"/>
      <c r="T474" s="16" t="n"/>
      <c r="U474" s="139" t="n"/>
      <c r="V474" s="16">
        <f>P474+R474+T474</f>
        <v/>
      </c>
      <c r="W474" s="16" t="n"/>
      <c r="X474" s="139" t="n"/>
      <c r="Y474" s="16" t="n"/>
      <c r="Z474" s="139" t="n"/>
      <c r="AA474" s="16" t="n"/>
      <c r="AB474" s="139" t="n"/>
      <c r="AC474" s="16" t="n"/>
      <c r="AD474" s="139" t="n"/>
      <c r="AE474" s="16">
        <f>(W474+Y474+AA474+AC474)</f>
        <v/>
      </c>
      <c r="AF474" s="140" t="n"/>
      <c r="AG474" s="138" t="n"/>
      <c r="AH474" s="16" t="n"/>
      <c r="AI474" s="138" t="n"/>
      <c r="AJ474" s="16" t="n"/>
      <c r="AK474" s="138" t="n"/>
      <c r="AL474" s="16" t="n"/>
      <c r="AM474" s="138" t="n"/>
      <c r="AN474" s="16" t="n"/>
      <c r="AO474" s="138" t="n"/>
      <c r="AP474" s="16" t="n"/>
      <c r="AQ474" s="138" t="n"/>
      <c r="AR474" s="16" t="n"/>
      <c r="AS474" s="138" t="n"/>
      <c r="AT474" s="16" t="n"/>
      <c r="AU474" s="138" t="n"/>
      <c r="AV474" s="16" t="n"/>
      <c r="AW474" s="138" t="n"/>
      <c r="AX474" s="16" t="n"/>
      <c r="AY474" s="138" t="n"/>
      <c r="AZ474" s="16">
        <f>AF474+AH474+AJ474+AL474+AN474+AP474+AR474+AT474+AV474+AX474</f>
        <v/>
      </c>
      <c r="BA474" s="16" t="n"/>
      <c r="BB474" s="139" t="n"/>
      <c r="BC474" s="16" t="n"/>
      <c r="BD474" s="139" t="n"/>
      <c r="BE474" s="16">
        <f>(BA474+BC474)</f>
        <v/>
      </c>
    </row>
    <row r="475" ht="22.5" customFormat="1" customHeight="1" s="8">
      <c r="A475" s="9" t="n"/>
      <c r="B475" s="136" t="inlineStr">
        <is>
          <t>에어셀</t>
        </is>
      </c>
      <c r="C475" s="137" t="inlineStr">
        <is>
          <t>COCOON</t>
        </is>
      </c>
      <c r="D475" s="65" t="inlineStr">
        <is>
          <t>에어셀 BOTTOM</t>
        </is>
      </c>
      <c r="E475" s="13" t="inlineStr">
        <is>
          <t>JD010312-01</t>
        </is>
      </c>
      <c r="F475" s="99" t="n"/>
      <c r="G475" s="9" t="n"/>
      <c r="H475" s="9" t="inlineStr">
        <is>
          <t>인디스에어</t>
        </is>
      </c>
      <c r="I475" s="14" t="n"/>
      <c r="J475" s="14" t="n"/>
      <c r="K475" s="12" t="n">
        <v>0</v>
      </c>
      <c r="L475" s="9" t="n"/>
      <c r="M475" s="9" t="n"/>
      <c r="N475" s="9" t="n"/>
      <c r="O475" s="40">
        <f>K475+V475-AE475-AZ475</f>
        <v/>
      </c>
      <c r="P475" s="12" t="n"/>
      <c r="Q475" s="138" t="n"/>
      <c r="R475" s="16" t="n"/>
      <c r="S475" s="139" t="n"/>
      <c r="T475" s="16" t="n"/>
      <c r="U475" s="139" t="n"/>
      <c r="V475" s="16">
        <f>P475+R475+T475</f>
        <v/>
      </c>
      <c r="W475" s="16" t="n"/>
      <c r="X475" s="139" t="n"/>
      <c r="Y475" s="16" t="n"/>
      <c r="Z475" s="139" t="n"/>
      <c r="AA475" s="16" t="n"/>
      <c r="AB475" s="139" t="n"/>
      <c r="AC475" s="16" t="n"/>
      <c r="AD475" s="139" t="n"/>
      <c r="AE475" s="16">
        <f>(W475+Y475+AA475+AC475)</f>
        <v/>
      </c>
      <c r="AF475" s="140" t="n"/>
      <c r="AG475" s="138" t="n"/>
      <c r="AH475" s="16" t="n"/>
      <c r="AI475" s="138" t="n"/>
      <c r="AJ475" s="16" t="n"/>
      <c r="AK475" s="138" t="n"/>
      <c r="AL475" s="16" t="n"/>
      <c r="AM475" s="138" t="n"/>
      <c r="AN475" s="16" t="n"/>
      <c r="AO475" s="138" t="n"/>
      <c r="AP475" s="16" t="n"/>
      <c r="AQ475" s="138" t="n"/>
      <c r="AR475" s="16" t="n"/>
      <c r="AS475" s="138" t="n"/>
      <c r="AT475" s="16" t="n"/>
      <c r="AU475" s="138" t="n"/>
      <c r="AV475" s="16" t="n"/>
      <c r="AW475" s="138" t="n"/>
      <c r="AX475" s="16" t="n"/>
      <c r="AY475" s="138" t="n"/>
      <c r="AZ475" s="16">
        <f>AF475+AH475+AJ475+AL475+AN475+AP475+AR475+AT475+AV475+AX475</f>
        <v/>
      </c>
      <c r="BA475" s="16" t="n"/>
      <c r="BB475" s="139" t="n"/>
      <c r="BC475" s="16" t="n"/>
      <c r="BD475" s="139" t="n"/>
      <c r="BE475" s="16">
        <f>(BA475+BC475)</f>
        <v/>
      </c>
    </row>
    <row r="476" ht="22.5" customFormat="1" customHeight="1" s="8">
      <c r="A476" s="9" t="n"/>
      <c r="B476" s="136" t="inlineStr">
        <is>
          <t>에어셀</t>
        </is>
      </c>
      <c r="C476" s="137" t="inlineStr">
        <is>
          <t>공용</t>
        </is>
      </c>
      <c r="D476" s="65" t="inlineStr">
        <is>
          <t>저가 박스  에어셀 Main</t>
        </is>
      </c>
      <c r="E476" s="13" t="inlineStr">
        <is>
          <t>JD010411-01</t>
        </is>
      </c>
      <c r="F476" s="99" t="n"/>
      <c r="G476" s="9" t="n"/>
      <c r="H476" s="9" t="inlineStr">
        <is>
          <t>인디스에어</t>
        </is>
      </c>
      <c r="I476" s="14" t="n"/>
      <c r="J476" s="14" t="n"/>
      <c r="K476" s="12" t="n">
        <v>0</v>
      </c>
      <c r="L476" s="9" t="n"/>
      <c r="M476" s="9" t="n"/>
      <c r="N476" s="9" t="n"/>
      <c r="O476" s="40">
        <f>K476+V476-AE476-AZ476</f>
        <v/>
      </c>
      <c r="P476" s="12" t="n"/>
      <c r="Q476" s="138" t="n"/>
      <c r="R476" s="16" t="n"/>
      <c r="S476" s="139" t="n"/>
      <c r="T476" s="16" t="n"/>
      <c r="U476" s="139" t="n"/>
      <c r="V476" s="16">
        <f>P476+R476+T476</f>
        <v/>
      </c>
      <c r="W476" s="16" t="n"/>
      <c r="X476" s="139" t="n"/>
      <c r="Y476" s="16" t="n"/>
      <c r="Z476" s="139" t="n"/>
      <c r="AA476" s="16" t="n"/>
      <c r="AB476" s="139" t="n"/>
      <c r="AC476" s="16" t="n"/>
      <c r="AD476" s="139" t="n"/>
      <c r="AE476" s="16">
        <f>(W476+Y476+AA476+AC476)</f>
        <v/>
      </c>
      <c r="AF476" s="140" t="n"/>
      <c r="AG476" s="138" t="n"/>
      <c r="AH476" s="16" t="n"/>
      <c r="AI476" s="138" t="n"/>
      <c r="AJ476" s="16" t="n"/>
      <c r="AK476" s="138" t="n"/>
      <c r="AL476" s="16" t="n"/>
      <c r="AM476" s="138" t="n"/>
      <c r="AN476" s="16" t="n"/>
      <c r="AO476" s="138" t="n"/>
      <c r="AP476" s="16" t="n"/>
      <c r="AQ476" s="138" t="n"/>
      <c r="AR476" s="16" t="n"/>
      <c r="AS476" s="138" t="n"/>
      <c r="AT476" s="16" t="n"/>
      <c r="AU476" s="138" t="n"/>
      <c r="AV476" s="16" t="n"/>
      <c r="AW476" s="138" t="n"/>
      <c r="AX476" s="16" t="n"/>
      <c r="AY476" s="138" t="n"/>
      <c r="AZ476" s="16">
        <f>AF476+AH476+AJ476+AL476+AN476+AP476+AR476+AT476+AV476+AX476</f>
        <v/>
      </c>
      <c r="BA476" s="16" t="n"/>
      <c r="BB476" s="139" t="n"/>
      <c r="BC476" s="16" t="n"/>
      <c r="BD476" s="139" t="n"/>
      <c r="BE476" s="16">
        <f>(BA476+BC476)</f>
        <v/>
      </c>
    </row>
    <row r="477" ht="22.5" customFormat="1" customHeight="1" s="8">
      <c r="A477" s="9" t="n"/>
      <c r="B477" s="136" t="inlineStr">
        <is>
          <t>에어셀</t>
        </is>
      </c>
      <c r="C477" s="137" t="inlineStr">
        <is>
          <t>공용</t>
        </is>
      </c>
      <c r="D477" s="60" t="inlineStr">
        <is>
          <t>저가 박스  에어셀 ACC</t>
        </is>
      </c>
      <c r="E477" s="13" t="inlineStr">
        <is>
          <t>JD010412-01</t>
        </is>
      </c>
      <c r="F477" s="99" t="n"/>
      <c r="G477" s="9" t="n"/>
      <c r="H477" s="9" t="inlineStr">
        <is>
          <t>인디스에어</t>
        </is>
      </c>
      <c r="I477" s="14" t="n"/>
      <c r="J477" s="14" t="n"/>
      <c r="K477" s="12" t="n">
        <v>0</v>
      </c>
      <c r="L477" s="9" t="n"/>
      <c r="M477" s="9" t="n"/>
      <c r="N477" s="9" t="n"/>
      <c r="O477" s="40">
        <f>K477+V477-AE477-AZ477</f>
        <v/>
      </c>
      <c r="P477" s="12" t="n"/>
      <c r="Q477" s="138" t="n"/>
      <c r="R477" s="16" t="n"/>
      <c r="S477" s="139" t="n"/>
      <c r="T477" s="16" t="n"/>
      <c r="U477" s="139" t="n"/>
      <c r="V477" s="16">
        <f>P477+R477+T477</f>
        <v/>
      </c>
      <c r="W477" s="16" t="n"/>
      <c r="X477" s="139" t="n"/>
      <c r="Y477" s="16" t="n"/>
      <c r="Z477" s="139" t="n"/>
      <c r="AA477" s="16" t="n"/>
      <c r="AB477" s="139" t="n"/>
      <c r="AC477" s="16" t="n"/>
      <c r="AD477" s="139" t="n"/>
      <c r="AE477" s="16">
        <f>(W477+Y477+AA477+AC477)</f>
        <v/>
      </c>
      <c r="AF477" s="140" t="n"/>
      <c r="AG477" s="138" t="n"/>
      <c r="AH477" s="16" t="n"/>
      <c r="AI477" s="138" t="n"/>
      <c r="AJ477" s="16" t="n"/>
      <c r="AK477" s="138" t="n"/>
      <c r="AL477" s="16" t="n"/>
      <c r="AM477" s="138" t="n"/>
      <c r="AN477" s="16" t="n"/>
      <c r="AO477" s="138" t="n"/>
      <c r="AP477" s="16" t="n"/>
      <c r="AQ477" s="138" t="n"/>
      <c r="AR477" s="16" t="n"/>
      <c r="AS477" s="138" t="n"/>
      <c r="AT477" s="16" t="n"/>
      <c r="AU477" s="138" t="n"/>
      <c r="AV477" s="16" t="n"/>
      <c r="AW477" s="138" t="n"/>
      <c r="AX477" s="16" t="n"/>
      <c r="AY477" s="138" t="n"/>
      <c r="AZ477" s="16">
        <f>AF477+AH477+AJ477+AL477+AN477+AP477+AR477+AT477+AV477+AX477</f>
        <v/>
      </c>
      <c r="BA477" s="16" t="n"/>
      <c r="BB477" s="139" t="n"/>
      <c r="BC477" s="16" t="n"/>
      <c r="BD477" s="139" t="n"/>
      <c r="BE477" s="16">
        <f>(BA477+BC477)</f>
        <v/>
      </c>
    </row>
    <row r="478" ht="22.5" customFormat="1" customHeight="1" s="8">
      <c r="A478" s="9" t="n"/>
      <c r="B478" s="136" t="inlineStr">
        <is>
          <t>넥스트랩</t>
        </is>
      </c>
      <c r="C478" s="137" t="inlineStr">
        <is>
          <t>공용</t>
        </is>
      </c>
      <c r="D478" s="63" t="inlineStr">
        <is>
          <t>넥스트 랩</t>
        </is>
      </c>
      <c r="E478" s="13" t="inlineStr">
        <is>
          <t>포켓</t>
        </is>
      </c>
      <c r="F478" s="99" t="n"/>
      <c r="G478" s="9" t="n"/>
      <c r="H478" s="9" t="inlineStr">
        <is>
          <t>피엔에스</t>
        </is>
      </c>
      <c r="I478" s="14" t="n"/>
      <c r="J478" s="14" t="n"/>
      <c r="K478" s="12" t="n">
        <v>0</v>
      </c>
      <c r="L478" s="9" t="n"/>
      <c r="M478" s="9" t="n"/>
      <c r="N478" s="9" t="n"/>
      <c r="O478" s="40">
        <f>K478+V478-AE478-AZ478</f>
        <v/>
      </c>
      <c r="P478" s="12" t="n"/>
      <c r="Q478" s="138" t="n"/>
      <c r="R478" s="16" t="n"/>
      <c r="S478" s="139" t="n"/>
      <c r="T478" s="16" t="n"/>
      <c r="U478" s="139" t="n"/>
      <c r="V478" s="16">
        <f>P478+R478+T478</f>
        <v/>
      </c>
      <c r="W478" s="16" t="n"/>
      <c r="X478" s="139" t="n"/>
      <c r="Y478" s="16" t="n"/>
      <c r="Z478" s="139" t="n"/>
      <c r="AA478" s="16" t="n"/>
      <c r="AB478" s="139" t="n"/>
      <c r="AC478" s="16" t="n"/>
      <c r="AD478" s="139" t="n"/>
      <c r="AE478" s="16">
        <f>(W478+Y478+AA478+AC478)</f>
        <v/>
      </c>
      <c r="AF478" s="140" t="n"/>
      <c r="AG478" s="138" t="n"/>
      <c r="AH478" s="16" t="n"/>
      <c r="AI478" s="138" t="n"/>
      <c r="AJ478" s="16" t="n"/>
      <c r="AK478" s="138" t="n"/>
      <c r="AL478" s="16" t="n"/>
      <c r="AM478" s="138" t="n"/>
      <c r="AN478" s="16" t="n"/>
      <c r="AO478" s="138" t="n"/>
      <c r="AP478" s="16" t="n"/>
      <c r="AQ478" s="138" t="n"/>
      <c r="AR478" s="16" t="n"/>
      <c r="AS478" s="138" t="n"/>
      <c r="AT478" s="16" t="n"/>
      <c r="AU478" s="138" t="n"/>
      <c r="AV478" s="16" t="n"/>
      <c r="AW478" s="138" t="n"/>
      <c r="AX478" s="16" t="n"/>
      <c r="AY478" s="138" t="n"/>
      <c r="AZ478" s="16">
        <f>AF478+AH478+AJ478+AL478+AN478+AP478+AR478+AT478+AV478+AX478</f>
        <v/>
      </c>
      <c r="BA478" s="16" t="n"/>
      <c r="BB478" s="139" t="n"/>
      <c r="BC478" s="16" t="n"/>
      <c r="BD478" s="139" t="n"/>
      <c r="BE478" s="16">
        <f>(BA478+BC478)</f>
        <v/>
      </c>
    </row>
    <row r="479" ht="22.5" customFormat="1" customHeight="1" s="8">
      <c r="A479" s="9" t="n"/>
      <c r="B479" s="136" t="inlineStr">
        <is>
          <t>넥스트랩</t>
        </is>
      </c>
      <c r="C479" s="137" t="inlineStr">
        <is>
          <t>공용</t>
        </is>
      </c>
      <c r="D479" s="63" t="inlineStr">
        <is>
          <t>넥스트 랩</t>
        </is>
      </c>
      <c r="E479" s="13" t="inlineStr">
        <is>
          <t>포켓 구형</t>
        </is>
      </c>
      <c r="F479" s="99" t="n"/>
      <c r="G479" s="9" t="n"/>
      <c r="H479" s="9" t="inlineStr">
        <is>
          <t>씨티무역</t>
        </is>
      </c>
      <c r="I479" s="14" t="n"/>
      <c r="J479" s="14" t="n"/>
      <c r="K479" s="12" t="n">
        <v>0</v>
      </c>
      <c r="L479" s="9" t="n"/>
      <c r="M479" s="9" t="n"/>
      <c r="N479" s="9" t="n"/>
      <c r="O479" s="40">
        <f>K479+V479-AE479-AZ479</f>
        <v/>
      </c>
      <c r="P479" s="12" t="n"/>
      <c r="Q479" s="138" t="n"/>
      <c r="R479" s="16" t="n"/>
      <c r="S479" s="139" t="n"/>
      <c r="T479" s="16" t="n"/>
      <c r="U479" s="139" t="n"/>
      <c r="V479" s="16">
        <f>P479+R479+T479</f>
        <v/>
      </c>
      <c r="W479" s="16" t="n"/>
      <c r="X479" s="139" t="n"/>
      <c r="Y479" s="16" t="n"/>
      <c r="Z479" s="139" t="n"/>
      <c r="AA479" s="16" t="n"/>
      <c r="AB479" s="139" t="n"/>
      <c r="AC479" s="16" t="n"/>
      <c r="AD479" s="139" t="n"/>
      <c r="AE479" s="16">
        <f>(W479+Y479+AA479+AC479)</f>
        <v/>
      </c>
      <c r="AF479" s="140" t="n"/>
      <c r="AG479" s="138" t="n"/>
      <c r="AH479" s="16" t="n"/>
      <c r="AI479" s="138" t="n"/>
      <c r="AJ479" s="16" t="n"/>
      <c r="AK479" s="138" t="n"/>
      <c r="AL479" s="16" t="n"/>
      <c r="AM479" s="138" t="n"/>
      <c r="AN479" s="16" t="n"/>
      <c r="AO479" s="138" t="n"/>
      <c r="AP479" s="16" t="n"/>
      <c r="AQ479" s="138" t="n"/>
      <c r="AR479" s="16" t="n"/>
      <c r="AS479" s="138" t="n"/>
      <c r="AT479" s="16" t="n"/>
      <c r="AU479" s="138" t="n"/>
      <c r="AV479" s="16" t="n"/>
      <c r="AW479" s="138" t="n"/>
      <c r="AX479" s="16" t="n"/>
      <c r="AY479" s="138" t="n"/>
      <c r="AZ479" s="16">
        <f>AF479+AH479+AJ479+AL479+AN479+AP479+AR479+AT479+AV479+AX479</f>
        <v/>
      </c>
      <c r="BA479" s="16" t="n"/>
      <c r="BB479" s="139" t="n"/>
      <c r="BC479" s="16" t="n"/>
      <c r="BD479" s="139" t="n"/>
      <c r="BE479" s="16">
        <f>(BA479+BC479)</f>
        <v/>
      </c>
    </row>
    <row r="480" ht="22.5" customFormat="1" customHeight="1" s="8">
      <c r="A480" s="9" t="n"/>
      <c r="B480" s="136" t="inlineStr">
        <is>
          <t>넥스트랩</t>
        </is>
      </c>
      <c r="C480" s="137" t="inlineStr">
        <is>
          <t>공용</t>
        </is>
      </c>
      <c r="D480" s="65" t="inlineStr">
        <is>
          <t>넥스트 랩</t>
        </is>
      </c>
      <c r="E480" s="13" t="inlineStr">
        <is>
          <t>포켓 X</t>
        </is>
      </c>
      <c r="F480" s="99" t="n"/>
      <c r="G480" s="9" t="n"/>
      <c r="H480" s="9" t="inlineStr">
        <is>
          <t>씨티무역</t>
        </is>
      </c>
      <c r="I480" s="14" t="n"/>
      <c r="J480" s="14" t="n"/>
      <c r="K480" s="12" t="n">
        <v>24</v>
      </c>
      <c r="L480" s="9" t="n"/>
      <c r="M480" s="9" t="n"/>
      <c r="N480" s="9" t="n"/>
      <c r="O480" s="40">
        <f>K480+V480-AE480-AZ480</f>
        <v/>
      </c>
      <c r="P480" s="12" t="n"/>
      <c r="Q480" s="138" t="n"/>
      <c r="R480" s="16" t="n"/>
      <c r="S480" s="139" t="n"/>
      <c r="T480" s="16" t="n"/>
      <c r="U480" s="139" t="n"/>
      <c r="V480" s="16">
        <f>P480+R480+T480</f>
        <v/>
      </c>
      <c r="W480" s="16" t="n"/>
      <c r="X480" s="139" t="n"/>
      <c r="Y480" s="16" t="n"/>
      <c r="Z480" s="139" t="n"/>
      <c r="AA480" s="16" t="n"/>
      <c r="AB480" s="139" t="n"/>
      <c r="AC480" s="16" t="n"/>
      <c r="AD480" s="139" t="n"/>
      <c r="AE480" s="16">
        <f>(W480+Y480+AA480+AC480)</f>
        <v/>
      </c>
      <c r="AF480" s="140" t="n"/>
      <c r="AG480" s="138" t="n"/>
      <c r="AH480" s="16" t="n"/>
      <c r="AI480" s="138" t="n"/>
      <c r="AJ480" s="16" t="n"/>
      <c r="AK480" s="138" t="n"/>
      <c r="AL480" s="16" t="n"/>
      <c r="AM480" s="138" t="n"/>
      <c r="AN480" s="16" t="n"/>
      <c r="AO480" s="138" t="n"/>
      <c r="AP480" s="16" t="n"/>
      <c r="AQ480" s="138" t="n"/>
      <c r="AR480" s="16" t="n"/>
      <c r="AS480" s="138" t="n"/>
      <c r="AT480" s="16" t="n"/>
      <c r="AU480" s="138" t="n"/>
      <c r="AV480" s="16" t="n"/>
      <c r="AW480" s="138" t="n"/>
      <c r="AX480" s="16" t="n"/>
      <c r="AY480" s="138" t="n"/>
      <c r="AZ480" s="16">
        <f>AF480+AH480+AJ480+AL480+AN480+AP480+AR480+AT480+AV480+AX480</f>
        <v/>
      </c>
      <c r="BA480" s="16" t="n"/>
      <c r="BB480" s="139" t="n"/>
      <c r="BC480" s="16" t="n"/>
      <c r="BD480" s="139" t="n"/>
      <c r="BE480" s="16">
        <f>(BA480+BC480)</f>
        <v/>
      </c>
    </row>
    <row r="481" ht="22.5" customFormat="1" customHeight="1" s="8">
      <c r="A481" s="9" t="n"/>
      <c r="B481" s="136" t="inlineStr">
        <is>
          <t>숄더스트랩</t>
        </is>
      </c>
      <c r="C481" s="137" t="inlineStr">
        <is>
          <t>DX3000</t>
        </is>
      </c>
      <c r="D481" s="63" t="inlineStr">
        <is>
          <t>제품 어깨끈</t>
        </is>
      </c>
      <c r="E481" s="13" t="inlineStr">
        <is>
          <t>구형</t>
        </is>
      </c>
      <c r="F481" s="99" t="n"/>
      <c r="G481" s="9" t="n"/>
      <c r="H481" s="9" t="inlineStr">
        <is>
          <t>굿모닝코리아유통</t>
        </is>
      </c>
      <c r="I481" s="14" t="n"/>
      <c r="J481" s="14" t="n"/>
      <c r="K481" s="12" t="n">
        <v>77</v>
      </c>
      <c r="L481" s="9" t="n"/>
      <c r="M481" s="9" t="n"/>
      <c r="N481" s="9" t="n"/>
      <c r="O481" s="40">
        <f>K481+V481-AE481-AZ481</f>
        <v/>
      </c>
      <c r="P481" s="12" t="n"/>
      <c r="Q481" s="138" t="n"/>
      <c r="R481" s="16" t="n"/>
      <c r="S481" s="139" t="n"/>
      <c r="T481" s="16" t="n"/>
      <c r="U481" s="139" t="n"/>
      <c r="V481" s="16">
        <f>P481+R481+T481</f>
        <v/>
      </c>
      <c r="W481" s="16" t="n"/>
      <c r="X481" s="139" t="n"/>
      <c r="Y481" s="16" t="n"/>
      <c r="Z481" s="139" t="n"/>
      <c r="AA481" s="16" t="n"/>
      <c r="AB481" s="139" t="n"/>
      <c r="AC481" s="16" t="n"/>
      <c r="AD481" s="139" t="n"/>
      <c r="AE481" s="16">
        <f>(W481+Y481+AA481+AC481)</f>
        <v/>
      </c>
      <c r="AF481" s="140" t="n"/>
      <c r="AG481" s="138" t="n"/>
      <c r="AH481" s="16" t="n"/>
      <c r="AI481" s="138" t="n"/>
      <c r="AJ481" s="16" t="n"/>
      <c r="AK481" s="138" t="n"/>
      <c r="AL481" s="16" t="n"/>
      <c r="AM481" s="138" t="n"/>
      <c r="AN481" s="16" t="n"/>
      <c r="AO481" s="138" t="n"/>
      <c r="AP481" s="16" t="n"/>
      <c r="AQ481" s="138" t="n"/>
      <c r="AR481" s="16" t="n"/>
      <c r="AS481" s="138" t="n"/>
      <c r="AT481" s="16" t="n"/>
      <c r="AU481" s="138" t="n"/>
      <c r="AV481" s="16" t="n"/>
      <c r="AW481" s="138" t="n"/>
      <c r="AX481" s="16" t="n"/>
      <c r="AY481" s="138" t="n"/>
      <c r="AZ481" s="16">
        <f>AF481+AH481+AJ481+AL481+AN481+AP481+AR481+AT481+AV481+AX481</f>
        <v/>
      </c>
      <c r="BA481" s="16" t="n"/>
      <c r="BB481" s="139" t="n"/>
      <c r="BC481" s="16" t="n"/>
      <c r="BD481" s="139" t="n"/>
      <c r="BE481" s="16">
        <f>(BA481+BC481)</f>
        <v/>
      </c>
    </row>
    <row r="482" ht="22.5" customFormat="1" customHeight="1" s="8">
      <c r="A482" s="9" t="n"/>
      <c r="B482" s="136" t="inlineStr">
        <is>
          <t>숄더스트랩</t>
        </is>
      </c>
      <c r="C482" s="137" t="inlineStr">
        <is>
          <t>DX3000</t>
        </is>
      </c>
      <c r="D482" s="60" t="inlineStr">
        <is>
          <t>가방끈</t>
        </is>
      </c>
      <c r="E482" s="13" t="inlineStr">
        <is>
          <t>일본용</t>
        </is>
      </c>
      <c r="F482" s="99" t="n"/>
      <c r="G482" s="9" t="n"/>
      <c r="H482" s="9" t="inlineStr">
        <is>
          <t>굿모닝코리아유통</t>
        </is>
      </c>
      <c r="I482" s="14" t="n"/>
      <c r="J482" s="14" t="n"/>
      <c r="K482" s="12" t="n">
        <v>20</v>
      </c>
      <c r="L482" s="9" t="n"/>
      <c r="M482" s="9" t="n"/>
      <c r="N482" s="9" t="n"/>
      <c r="O482" s="40">
        <f>K482+V482-AE482-AZ482</f>
        <v/>
      </c>
      <c r="P482" s="12" t="n"/>
      <c r="Q482" s="138" t="n"/>
      <c r="R482" s="16" t="n"/>
      <c r="S482" s="139" t="n"/>
      <c r="T482" s="16" t="n"/>
      <c r="U482" s="139" t="n"/>
      <c r="V482" s="16">
        <f>P482+R482+T482</f>
        <v/>
      </c>
      <c r="W482" s="16" t="n"/>
      <c r="X482" s="139" t="n"/>
      <c r="Y482" s="16" t="n"/>
      <c r="Z482" s="139" t="n"/>
      <c r="AA482" s="16" t="n"/>
      <c r="AB482" s="139" t="n"/>
      <c r="AC482" s="16" t="n"/>
      <c r="AD482" s="139" t="n"/>
      <c r="AE482" s="16">
        <f>(W482+Y482+AA482+AC482)</f>
        <v/>
      </c>
      <c r="AF482" s="140" t="n"/>
      <c r="AG482" s="138" t="n"/>
      <c r="AH482" s="16" t="n"/>
      <c r="AI482" s="138" t="n"/>
      <c r="AJ482" s="16" t="n"/>
      <c r="AK482" s="138" t="n"/>
      <c r="AL482" s="16" t="n"/>
      <c r="AM482" s="138" t="n"/>
      <c r="AN482" s="16" t="n"/>
      <c r="AO482" s="138" t="n"/>
      <c r="AP482" s="16" t="n"/>
      <c r="AQ482" s="138" t="n"/>
      <c r="AR482" s="16" t="n"/>
      <c r="AS482" s="138" t="n"/>
      <c r="AT482" s="16" t="n"/>
      <c r="AU482" s="138" t="n"/>
      <c r="AV482" s="16" t="n"/>
      <c r="AW482" s="138" t="n"/>
      <c r="AX482" s="16" t="n"/>
      <c r="AY482" s="138" t="n"/>
      <c r="AZ482" s="16">
        <f>AF482+AH482+AJ482+AL482+AN482+AP482+AR482+AT482+AV482+AX482</f>
        <v/>
      </c>
      <c r="BA482" s="16" t="n"/>
      <c r="BB482" s="139" t="n"/>
      <c r="BC482" s="16" t="n"/>
      <c r="BD482" s="139" t="n"/>
      <c r="BE482" s="16">
        <f>(BA482+BC482)</f>
        <v/>
      </c>
    </row>
    <row r="483" ht="22.5" customFormat="1" customHeight="1" s="8">
      <c r="A483" s="9" t="n"/>
      <c r="B483" s="136" t="inlineStr">
        <is>
          <t>스트랩</t>
        </is>
      </c>
      <c r="C483" s="137" t="inlineStr">
        <is>
          <t>DX3000</t>
        </is>
      </c>
      <c r="D483" s="63" t="inlineStr">
        <is>
          <t>DX3000 핸드 스트랩</t>
        </is>
      </c>
      <c r="E483" s="13" t="n"/>
      <c r="F483" s="99" t="n"/>
      <c r="G483" s="9" t="n"/>
      <c r="H483" s="9" t="inlineStr">
        <is>
          <t>굿모닝코리아유통</t>
        </is>
      </c>
      <c r="I483" s="14" t="n"/>
      <c r="J483" s="14" t="n"/>
      <c r="K483" s="12" t="n">
        <v>0</v>
      </c>
      <c r="L483" s="9" t="n"/>
      <c r="M483" s="9" t="n"/>
      <c r="N483" s="9" t="n"/>
      <c r="O483" s="40">
        <f>K483+V483-AE483-AZ483</f>
        <v/>
      </c>
      <c r="P483" s="12" t="n"/>
      <c r="Q483" s="138" t="n"/>
      <c r="R483" s="16" t="n"/>
      <c r="S483" s="139" t="n"/>
      <c r="T483" s="16" t="n"/>
      <c r="U483" s="139" t="n"/>
      <c r="V483" s="16">
        <f>P483+R483+T483</f>
        <v/>
      </c>
      <c r="W483" s="16" t="n"/>
      <c r="X483" s="139" t="n"/>
      <c r="Y483" s="16" t="n"/>
      <c r="Z483" s="139" t="n"/>
      <c r="AA483" s="16" t="n"/>
      <c r="AB483" s="139" t="n"/>
      <c r="AC483" s="16" t="n"/>
      <c r="AD483" s="139" t="n"/>
      <c r="AE483" s="16">
        <f>(W483+Y483+AA483+AC483)</f>
        <v/>
      </c>
      <c r="AF483" s="140" t="n"/>
      <c r="AG483" s="138" t="n"/>
      <c r="AH483" s="16" t="n"/>
      <c r="AI483" s="138" t="n"/>
      <c r="AJ483" s="16" t="n"/>
      <c r="AK483" s="138" t="n"/>
      <c r="AL483" s="16" t="n"/>
      <c r="AM483" s="138" t="n"/>
      <c r="AN483" s="16" t="n"/>
      <c r="AO483" s="138" t="n"/>
      <c r="AP483" s="16" t="n"/>
      <c r="AQ483" s="138" t="n"/>
      <c r="AR483" s="16" t="n"/>
      <c r="AS483" s="138" t="n"/>
      <c r="AT483" s="16" t="n"/>
      <c r="AU483" s="138" t="n"/>
      <c r="AV483" s="16" t="n"/>
      <c r="AW483" s="138" t="n"/>
      <c r="AX483" s="16" t="n"/>
      <c r="AY483" s="138" t="n"/>
      <c r="AZ483" s="16">
        <f>AF483+AH483+AJ483+AL483+AN483+AP483+AR483+AT483+AV483+AX483</f>
        <v/>
      </c>
      <c r="BA483" s="16" t="n"/>
      <c r="BB483" s="139" t="n"/>
      <c r="BC483" s="16" t="n"/>
      <c r="BD483" s="139" t="n"/>
      <c r="BE483" s="16">
        <f>(BA483+BC483)</f>
        <v/>
      </c>
    </row>
    <row r="484" ht="22.5" customFormat="1" customHeight="1" s="8">
      <c r="A484" s="9" t="n"/>
      <c r="B484" s="136" t="inlineStr">
        <is>
          <t>연아크릴</t>
        </is>
      </c>
      <c r="C484" s="137" t="inlineStr">
        <is>
          <t>공용</t>
        </is>
      </c>
      <c r="D484" s="63" t="inlineStr">
        <is>
          <t>연아크릴 쉴드 8T</t>
        </is>
      </c>
      <c r="E484" s="13" t="inlineStr">
        <is>
          <t>153 * ∮65 * 8T</t>
        </is>
      </c>
      <c r="F484" s="99" t="n"/>
      <c r="G484" s="9" t="n"/>
      <c r="H484" s="9" t="inlineStr">
        <is>
          <t>선일쉴드텍</t>
        </is>
      </c>
      <c r="I484" s="14" t="n"/>
      <c r="J484" s="14" t="n"/>
      <c r="K484" s="12" t="n">
        <v>194</v>
      </c>
      <c r="L484" s="9" t="n"/>
      <c r="M484" s="9" t="n"/>
      <c r="N484" s="9" t="n"/>
      <c r="O484" s="40">
        <f>K484+V484-AE484-AZ484</f>
        <v/>
      </c>
      <c r="P484" s="12" t="n"/>
      <c r="Q484" s="138" t="n"/>
      <c r="R484" s="16" t="n"/>
      <c r="S484" s="139" t="n"/>
      <c r="T484" s="16" t="n"/>
      <c r="U484" s="139" t="n"/>
      <c r="V484" s="16">
        <f>P484+R484+T484</f>
        <v/>
      </c>
      <c r="W484" s="16" t="n"/>
      <c r="X484" s="139" t="n"/>
      <c r="Y484" s="16" t="n"/>
      <c r="Z484" s="139" t="n"/>
      <c r="AA484" s="16" t="n"/>
      <c r="AB484" s="139" t="n"/>
      <c r="AC484" s="16" t="n"/>
      <c r="AD484" s="139" t="n"/>
      <c r="AE484" s="16">
        <f>(W484+Y484+AA484+AC484)</f>
        <v/>
      </c>
      <c r="AF484" s="140" t="n"/>
      <c r="AG484" s="138" t="n"/>
      <c r="AH484" s="16" t="n"/>
      <c r="AI484" s="138" t="n"/>
      <c r="AJ484" s="16" t="n"/>
      <c r="AK484" s="138" t="n"/>
      <c r="AL484" s="16" t="n"/>
      <c r="AM484" s="138" t="n"/>
      <c r="AN484" s="16" t="n"/>
      <c r="AO484" s="138" t="n"/>
      <c r="AP484" s="16" t="n"/>
      <c r="AQ484" s="138" t="n"/>
      <c r="AR484" s="16" t="n"/>
      <c r="AS484" s="138" t="n"/>
      <c r="AT484" s="16" t="n"/>
      <c r="AU484" s="138" t="n"/>
      <c r="AV484" s="16" t="n"/>
      <c r="AW484" s="138" t="n"/>
      <c r="AX484" s="16" t="n"/>
      <c r="AY484" s="138" t="n"/>
      <c r="AZ484" s="16">
        <f>AF484+AH484+AJ484+AL484+AN484+AP484+AR484+AT484+AV484+AX484</f>
        <v/>
      </c>
      <c r="BA484" s="16" t="n"/>
      <c r="BB484" s="139" t="n"/>
      <c r="BC484" s="16" t="n"/>
      <c r="BD484" s="139" t="n"/>
      <c r="BE484" s="16">
        <f>(BA484+BC484)</f>
        <v/>
      </c>
    </row>
    <row r="485" ht="22.5" customFormat="1" customHeight="1" s="8">
      <c r="A485" s="9" t="n"/>
      <c r="B485" s="136" t="inlineStr">
        <is>
          <t>연아크릴</t>
        </is>
      </c>
      <c r="C485" s="137" t="inlineStr">
        <is>
          <t>공용</t>
        </is>
      </c>
      <c r="D485" s="63" t="inlineStr">
        <is>
          <t>연아크릴 쉴드 8T</t>
        </is>
      </c>
      <c r="E485" s="13" t="inlineStr">
        <is>
          <t>153 * ∮65 * 8T</t>
        </is>
      </c>
      <c r="F485" s="99" t="n"/>
      <c r="G485" s="9" t="n"/>
      <c r="H485" s="9" t="inlineStr">
        <is>
          <t>중국</t>
        </is>
      </c>
      <c r="I485" s="14" t="n"/>
      <c r="J485" s="14" t="n"/>
      <c r="K485" s="12" t="n">
        <v>442</v>
      </c>
      <c r="L485" s="9" t="n"/>
      <c r="M485" s="9" t="n"/>
      <c r="N485" s="9" t="n"/>
      <c r="O485" s="40">
        <f>K485+V485-AE485-AZ485</f>
        <v/>
      </c>
      <c r="P485" s="12" t="n"/>
      <c r="Q485" s="138" t="n"/>
      <c r="R485" s="16" t="n"/>
      <c r="S485" s="139" t="n"/>
      <c r="T485" s="16" t="n"/>
      <c r="U485" s="139" t="n"/>
      <c r="V485" s="16">
        <f>P485+R485+T485</f>
        <v/>
      </c>
      <c r="W485" s="16" t="n"/>
      <c r="X485" s="139" t="n"/>
      <c r="Y485" s="16" t="n"/>
      <c r="Z485" s="139" t="n"/>
      <c r="AA485" s="16" t="n"/>
      <c r="AB485" s="139" t="n"/>
      <c r="AC485" s="16" t="n"/>
      <c r="AD485" s="139" t="n"/>
      <c r="AE485" s="16">
        <f>(W485+Y485+AA485+AC485)</f>
        <v/>
      </c>
      <c r="AF485" s="140" t="n"/>
      <c r="AG485" s="138" t="n"/>
      <c r="AH485" s="16" t="n"/>
      <c r="AI485" s="138" t="n"/>
      <c r="AJ485" s="16" t="n"/>
      <c r="AK485" s="138" t="n"/>
      <c r="AL485" s="16" t="n"/>
      <c r="AM485" s="138" t="n"/>
      <c r="AN485" s="16" t="n"/>
      <c r="AO485" s="138" t="n"/>
      <c r="AP485" s="16" t="n"/>
      <c r="AQ485" s="138" t="n"/>
      <c r="AR485" s="16" t="n"/>
      <c r="AS485" s="138" t="n"/>
      <c r="AT485" s="16" t="n"/>
      <c r="AU485" s="138" t="n"/>
      <c r="AV485" s="16" t="n"/>
      <c r="AW485" s="138" t="n"/>
      <c r="AX485" s="16" t="n"/>
      <c r="AY485" s="138" t="n"/>
      <c r="AZ485" s="16">
        <f>AF485+AH485+AJ485+AL485+AN485+AP485+AR485+AT485+AV485+AX485</f>
        <v/>
      </c>
      <c r="BA485" s="16" t="n"/>
      <c r="BB485" s="139" t="n"/>
      <c r="BC485" s="16" t="n"/>
      <c r="BD485" s="139" t="n"/>
      <c r="BE485" s="16">
        <f>(BA485+BC485)</f>
        <v/>
      </c>
    </row>
    <row r="486" ht="22.5" customFormat="1" customHeight="1" s="8">
      <c r="A486" s="9" t="n"/>
      <c r="B486" s="136" t="inlineStr">
        <is>
          <t>연아크릴</t>
        </is>
      </c>
      <c r="C486" s="137" t="inlineStr">
        <is>
          <t>공용</t>
        </is>
      </c>
      <c r="D486" s="63" t="inlineStr">
        <is>
          <t>연아크릴 쉴드 12T</t>
        </is>
      </c>
      <c r="E486" s="13" t="inlineStr">
        <is>
          <t>153 * ∮65 * 12T</t>
        </is>
      </c>
      <c r="F486" s="99" t="n"/>
      <c r="G486" s="9" t="n"/>
      <c r="H486" s="9" t="inlineStr">
        <is>
          <t>선일쉴드텍</t>
        </is>
      </c>
      <c r="I486" s="14" t="n"/>
      <c r="J486" s="14" t="n"/>
      <c r="K486" s="12" t="n">
        <v>24</v>
      </c>
      <c r="L486" s="9" t="n"/>
      <c r="M486" s="9" t="n"/>
      <c r="N486" s="9" t="n"/>
      <c r="O486" s="40">
        <f>K486+V486-AE486-AZ486</f>
        <v/>
      </c>
      <c r="P486" s="12" t="n"/>
      <c r="Q486" s="138" t="n"/>
      <c r="R486" s="16" t="n"/>
      <c r="S486" s="139" t="n"/>
      <c r="T486" s="16" t="n"/>
      <c r="U486" s="139" t="n"/>
      <c r="V486" s="16">
        <f>P486+R486+T486</f>
        <v/>
      </c>
      <c r="W486" s="16" t="n"/>
      <c r="X486" s="139" t="n"/>
      <c r="Y486" s="16" t="n"/>
      <c r="Z486" s="139" t="n"/>
      <c r="AA486" s="16" t="n"/>
      <c r="AB486" s="139" t="n"/>
      <c r="AC486" s="16" t="n"/>
      <c r="AD486" s="139" t="n"/>
      <c r="AE486" s="16">
        <f>(W486+Y486+AA486+AC486)</f>
        <v/>
      </c>
      <c r="AF486" s="140" t="n"/>
      <c r="AG486" s="138" t="n"/>
      <c r="AH486" s="16" t="n"/>
      <c r="AI486" s="138" t="n"/>
      <c r="AJ486" s="16" t="n"/>
      <c r="AK486" s="138" t="n"/>
      <c r="AL486" s="16" t="n"/>
      <c r="AM486" s="138" t="n"/>
      <c r="AN486" s="16" t="n"/>
      <c r="AO486" s="138" t="n"/>
      <c r="AP486" s="16" t="n"/>
      <c r="AQ486" s="138" t="n"/>
      <c r="AR486" s="16" t="n"/>
      <c r="AS486" s="138" t="n"/>
      <c r="AT486" s="16" t="n"/>
      <c r="AU486" s="138" t="n"/>
      <c r="AV486" s="16" t="n"/>
      <c r="AW486" s="138" t="n"/>
      <c r="AX486" s="16" t="n"/>
      <c r="AY486" s="138" t="n"/>
      <c r="AZ486" s="16">
        <f>AF486+AH486+AJ486+AL486+AN486+AP486+AR486+AT486+AV486+AX486</f>
        <v/>
      </c>
      <c r="BA486" s="16" t="n"/>
      <c r="BB486" s="139" t="n"/>
      <c r="BC486" s="16" t="n"/>
      <c r="BD486" s="139" t="n"/>
      <c r="BE486" s="16">
        <f>(BA486+BC486)</f>
        <v/>
      </c>
    </row>
    <row r="487" ht="22.5" customFormat="1" customHeight="1" s="8">
      <c r="A487" s="9" t="n"/>
      <c r="B487" s="136" t="inlineStr">
        <is>
          <t>연아크릴</t>
        </is>
      </c>
      <c r="C487" s="137" t="inlineStr">
        <is>
          <t>공용</t>
        </is>
      </c>
      <c r="D487" s="63" t="inlineStr">
        <is>
          <t>연아크릴 쉴드 12T</t>
        </is>
      </c>
      <c r="E487" s="13" t="inlineStr">
        <is>
          <t>153 * ∮65 * 12T</t>
        </is>
      </c>
      <c r="F487" s="99" t="n"/>
      <c r="G487" s="9" t="n"/>
      <c r="H487" s="9" t="inlineStr">
        <is>
          <t>중국</t>
        </is>
      </c>
      <c r="I487" s="14" t="n"/>
      <c r="J487" s="14" t="n"/>
      <c r="K487" s="12" t="n">
        <v>274</v>
      </c>
      <c r="L487" s="9" t="n"/>
      <c r="M487" s="9" t="n"/>
      <c r="N487" s="9" t="n"/>
      <c r="O487" s="40">
        <f>K487+V487-AE487-AZ487</f>
        <v/>
      </c>
      <c r="P487" s="12" t="n"/>
      <c r="Q487" s="138" t="n"/>
      <c r="R487" s="16" t="n"/>
      <c r="S487" s="139" t="n"/>
      <c r="T487" s="16" t="n"/>
      <c r="U487" s="139" t="n"/>
      <c r="V487" s="16">
        <f>P487+R487+T487</f>
        <v/>
      </c>
      <c r="W487" s="16" t="n"/>
      <c r="X487" s="139" t="n"/>
      <c r="Y487" s="16" t="n"/>
      <c r="Z487" s="139" t="n"/>
      <c r="AA487" s="16" t="n"/>
      <c r="AB487" s="139" t="n"/>
      <c r="AC487" s="16" t="n"/>
      <c r="AD487" s="139" t="n"/>
      <c r="AE487" s="16">
        <f>(W487+Y487+AA487+AC487)</f>
        <v/>
      </c>
      <c r="AF487" s="140" t="n"/>
      <c r="AG487" s="138" t="n"/>
      <c r="AH487" s="16" t="n"/>
      <c r="AI487" s="138" t="n"/>
      <c r="AJ487" s="16" t="n"/>
      <c r="AK487" s="138" t="n"/>
      <c r="AL487" s="16" t="n"/>
      <c r="AM487" s="138" t="n"/>
      <c r="AN487" s="16" t="n"/>
      <c r="AO487" s="138" t="n"/>
      <c r="AP487" s="16" t="n"/>
      <c r="AQ487" s="138" t="n"/>
      <c r="AR487" s="16" t="n"/>
      <c r="AS487" s="138" t="n"/>
      <c r="AT487" s="16" t="n"/>
      <c r="AU487" s="138" t="n"/>
      <c r="AV487" s="16" t="n"/>
      <c r="AW487" s="138" t="n"/>
      <c r="AX487" s="16" t="n"/>
      <c r="AY487" s="138" t="n"/>
      <c r="AZ487" s="16">
        <f>AF487+AH487+AJ487+AL487+AN487+AP487+AR487+AT487+AV487+AX487</f>
        <v/>
      </c>
      <c r="BA487" s="16" t="n"/>
      <c r="BB487" s="139" t="n"/>
      <c r="BC487" s="16" t="n"/>
      <c r="BD487" s="139" t="n"/>
      <c r="BE487" s="16">
        <f>(BA487+BC487)</f>
        <v/>
      </c>
    </row>
    <row r="488" ht="22.5" customFormat="1" customHeight="1" s="8">
      <c r="A488" s="9" t="n"/>
      <c r="B488" s="136" t="inlineStr">
        <is>
          <t>연아크릴</t>
        </is>
      </c>
      <c r="C488" s="137" t="inlineStr">
        <is>
          <t>공용</t>
        </is>
      </c>
      <c r="D488" s="60" t="inlineStr">
        <is>
          <t>연아크릴 쉴드 12T</t>
        </is>
      </c>
      <c r="E488" s="13" t="inlineStr">
        <is>
          <t>153 * ∮60 * 12T</t>
        </is>
      </c>
      <c r="F488" s="99" t="n"/>
      <c r="G488" s="9" t="n"/>
      <c r="H488" s="9" t="inlineStr">
        <is>
          <t>선일쉴드텍</t>
        </is>
      </c>
      <c r="I488" s="14" t="n"/>
      <c r="J488" s="14" t="n"/>
      <c r="K488" s="12" t="n">
        <v>0</v>
      </c>
      <c r="L488" s="9" t="n"/>
      <c r="M488" s="9" t="n"/>
      <c r="N488" s="9" t="n"/>
      <c r="O488" s="40">
        <f>K488+V488-AE488-AZ488</f>
        <v/>
      </c>
      <c r="P488" s="12" t="n"/>
      <c r="Q488" s="138" t="n"/>
      <c r="R488" s="16" t="n"/>
      <c r="S488" s="139" t="n"/>
      <c r="T488" s="16" t="n"/>
      <c r="U488" s="139" t="n"/>
      <c r="V488" s="16">
        <f>P488+R488+T488</f>
        <v/>
      </c>
      <c r="W488" s="16" t="n"/>
      <c r="X488" s="139" t="n"/>
      <c r="Y488" s="16" t="n"/>
      <c r="Z488" s="139" t="n"/>
      <c r="AA488" s="16" t="n"/>
      <c r="AB488" s="139" t="n"/>
      <c r="AC488" s="16" t="n"/>
      <c r="AD488" s="139" t="n"/>
      <c r="AE488" s="16">
        <f>(W488+Y488+AA488+AC488)</f>
        <v/>
      </c>
      <c r="AF488" s="140" t="n"/>
      <c r="AG488" s="138" t="n"/>
      <c r="AH488" s="16" t="n"/>
      <c r="AI488" s="138" t="n"/>
      <c r="AJ488" s="16" t="n"/>
      <c r="AK488" s="138" t="n"/>
      <c r="AL488" s="16" t="n"/>
      <c r="AM488" s="138" t="n"/>
      <c r="AN488" s="16" t="n"/>
      <c r="AO488" s="138" t="n"/>
      <c r="AP488" s="16" t="n"/>
      <c r="AQ488" s="138" t="n"/>
      <c r="AR488" s="16" t="n"/>
      <c r="AS488" s="138" t="n"/>
      <c r="AT488" s="16" t="n"/>
      <c r="AU488" s="138" t="n"/>
      <c r="AV488" s="16" t="n"/>
      <c r="AW488" s="138" t="n"/>
      <c r="AX488" s="16" t="n"/>
      <c r="AY488" s="138" t="n"/>
      <c r="AZ488" s="16">
        <f>AF488+AH488+AJ488+AL488+AN488+AP488+AR488+AT488+AV488+AX488</f>
        <v/>
      </c>
      <c r="BA488" s="16" t="n"/>
      <c r="BB488" s="139" t="n"/>
      <c r="BC488" s="16" t="n"/>
      <c r="BD488" s="139" t="n"/>
      <c r="BE488" s="16">
        <f>(BA488+BC488)</f>
        <v/>
      </c>
    </row>
    <row r="489" ht="22.5" customFormat="1" customHeight="1" s="8">
      <c r="A489" s="9" t="n"/>
      <c r="B489" s="136" t="inlineStr">
        <is>
          <t>연아크릴</t>
        </is>
      </c>
      <c r="C489" s="137" t="inlineStr">
        <is>
          <t>공용</t>
        </is>
      </c>
      <c r="D489" s="60" t="inlineStr">
        <is>
          <t>연아크릴 쉴드 12T</t>
        </is>
      </c>
      <c r="E489" s="13" t="inlineStr">
        <is>
          <t>153 * ∮60 * 12T</t>
        </is>
      </c>
      <c r="F489" s="99" t="n"/>
      <c r="G489" s="9" t="n"/>
      <c r="H489" s="9" t="inlineStr">
        <is>
          <t>중국</t>
        </is>
      </c>
      <c r="I489" s="14" t="n"/>
      <c r="J489" s="14" t="n"/>
      <c r="K489" s="12" t="n">
        <v>80</v>
      </c>
      <c r="L489" s="9" t="n"/>
      <c r="M489" s="9" t="n"/>
      <c r="N489" s="9" t="n"/>
      <c r="O489" s="40">
        <f>K489+V489-AE489-AZ489</f>
        <v/>
      </c>
      <c r="P489" s="12" t="n"/>
      <c r="Q489" s="138" t="n"/>
      <c r="R489" s="16" t="n"/>
      <c r="S489" s="139" t="n"/>
      <c r="T489" s="16" t="n"/>
      <c r="U489" s="139" t="n"/>
      <c r="V489" s="16">
        <f>P489+R489+T489</f>
        <v/>
      </c>
      <c r="W489" s="16" t="n"/>
      <c r="X489" s="139" t="n"/>
      <c r="Y489" s="16" t="n"/>
      <c r="Z489" s="139" t="n"/>
      <c r="AA489" s="16" t="n"/>
      <c r="AB489" s="139" t="n"/>
      <c r="AC489" s="16" t="n"/>
      <c r="AD489" s="139" t="n"/>
      <c r="AE489" s="16">
        <f>(W489+Y489+AA489+AC489)</f>
        <v/>
      </c>
      <c r="AF489" s="140" t="n"/>
      <c r="AG489" s="138" t="n"/>
      <c r="AH489" s="16" t="n"/>
      <c r="AI489" s="138" t="n"/>
      <c r="AJ489" s="16" t="n"/>
      <c r="AK489" s="138" t="n"/>
      <c r="AL489" s="16" t="n"/>
      <c r="AM489" s="138" t="n"/>
      <c r="AN489" s="16" t="n"/>
      <c r="AO489" s="138" t="n"/>
      <c r="AP489" s="16" t="n"/>
      <c r="AQ489" s="138" t="n"/>
      <c r="AR489" s="16" t="n"/>
      <c r="AS489" s="138" t="n"/>
      <c r="AT489" s="16" t="n"/>
      <c r="AU489" s="138" t="n"/>
      <c r="AV489" s="16" t="n"/>
      <c r="AW489" s="138" t="n"/>
      <c r="AX489" s="16" t="n"/>
      <c r="AY489" s="138" t="n"/>
      <c r="AZ489" s="16">
        <f>AF489+AH489+AJ489+AL489+AN489+AP489+AR489+AT489+AV489+AX489</f>
        <v/>
      </c>
      <c r="BA489" s="16" t="n"/>
      <c r="BB489" s="139" t="n"/>
      <c r="BC489" s="16" t="n"/>
      <c r="BD489" s="139" t="n"/>
      <c r="BE489" s="16">
        <f>(BA489+BC489)</f>
        <v/>
      </c>
    </row>
    <row r="490" ht="22.5" customFormat="1" customHeight="1" s="8">
      <c r="A490" s="9" t="n"/>
      <c r="B490" s="136" t="inlineStr">
        <is>
          <t>연아크릴</t>
        </is>
      </c>
      <c r="C490" s="137" t="inlineStr">
        <is>
          <t>ADX6000</t>
        </is>
      </c>
      <c r="D490" s="60" t="inlineStr">
        <is>
          <t>사각 연아크릴 쉴드</t>
        </is>
      </c>
      <c r="E490" s="13" t="inlineStr">
        <is>
          <t>직사각형, 215 * 199mm 8T</t>
        </is>
      </c>
      <c r="F490" s="99" t="n"/>
      <c r="G490" s="9" t="n"/>
      <c r="H490" s="9" t="inlineStr">
        <is>
          <t>선일쉴드텍</t>
        </is>
      </c>
      <c r="I490" s="14" t="n"/>
      <c r="J490" s="14" t="n"/>
      <c r="K490" s="12" t="n">
        <v>0</v>
      </c>
      <c r="L490" s="9" t="n"/>
      <c r="M490" s="9" t="n"/>
      <c r="N490" s="9" t="n"/>
      <c r="O490" s="40">
        <f>K490+V490-AE490-AZ490</f>
        <v/>
      </c>
      <c r="P490" s="12" t="n"/>
      <c r="Q490" s="138" t="n"/>
      <c r="R490" s="16" t="n"/>
      <c r="S490" s="139" t="n"/>
      <c r="T490" s="16" t="n"/>
      <c r="U490" s="139" t="n"/>
      <c r="V490" s="16">
        <f>P490+R490+T490</f>
        <v/>
      </c>
      <c r="W490" s="16" t="n"/>
      <c r="X490" s="139" t="n"/>
      <c r="Y490" s="16" t="n"/>
      <c r="Z490" s="139" t="n"/>
      <c r="AA490" s="16" t="n"/>
      <c r="AB490" s="139" t="n"/>
      <c r="AC490" s="16" t="n"/>
      <c r="AD490" s="139" t="n"/>
      <c r="AE490" s="16">
        <f>(W490+Y490+AA490+AC490)</f>
        <v/>
      </c>
      <c r="AF490" s="140" t="n"/>
      <c r="AG490" s="138" t="n"/>
      <c r="AH490" s="16" t="n"/>
      <c r="AI490" s="138" t="n"/>
      <c r="AJ490" s="16" t="n"/>
      <c r="AK490" s="138" t="n"/>
      <c r="AL490" s="16" t="n"/>
      <c r="AM490" s="138" t="n"/>
      <c r="AN490" s="16" t="n"/>
      <c r="AO490" s="138" t="n"/>
      <c r="AP490" s="16" t="n"/>
      <c r="AQ490" s="138" t="n"/>
      <c r="AR490" s="16" t="n"/>
      <c r="AS490" s="138" t="n"/>
      <c r="AT490" s="16" t="n"/>
      <c r="AU490" s="138" t="n"/>
      <c r="AV490" s="16" t="n"/>
      <c r="AW490" s="138" t="n"/>
      <c r="AX490" s="16" t="n"/>
      <c r="AY490" s="138" t="n"/>
      <c r="AZ490" s="16">
        <f>AF490+AH490+AJ490+AL490+AN490+AP490+AR490+AT490+AV490+AX490</f>
        <v/>
      </c>
      <c r="BA490" s="16" t="n"/>
      <c r="BB490" s="139" t="n"/>
      <c r="BC490" s="16" t="n"/>
      <c r="BD490" s="139" t="n"/>
      <c r="BE490" s="16">
        <f>(BA490+BC490)</f>
        <v/>
      </c>
    </row>
    <row r="491" ht="22.5" customFormat="1" customHeight="1" s="8">
      <c r="A491" s="9" t="n"/>
      <c r="B491" s="136" t="inlineStr">
        <is>
          <t>연아크릴</t>
        </is>
      </c>
      <c r="C491" s="137" t="inlineStr">
        <is>
          <t>ADX6000</t>
        </is>
      </c>
      <c r="D491" s="60" t="inlineStr">
        <is>
          <t>사각 연아크릴 쉴드</t>
        </is>
      </c>
      <c r="E491" s="13" t="inlineStr">
        <is>
          <t>직사각형, 215 * 199mm 8T</t>
        </is>
      </c>
      <c r="F491" s="99" t="n"/>
      <c r="G491" s="9" t="n"/>
      <c r="H491" s="9" t="inlineStr">
        <is>
          <t>중국</t>
        </is>
      </c>
      <c r="I491" s="14" t="n"/>
      <c r="J491" s="14" t="n"/>
      <c r="K491" s="12" t="n">
        <v>59</v>
      </c>
      <c r="L491" s="9" t="n"/>
      <c r="M491" s="9" t="n"/>
      <c r="N491" s="9" t="n"/>
      <c r="O491" s="40">
        <f>K491+V491-AE491-AZ491</f>
        <v/>
      </c>
      <c r="P491" s="12" t="n"/>
      <c r="Q491" s="138" t="n"/>
      <c r="R491" s="16" t="n"/>
      <c r="S491" s="139" t="n"/>
      <c r="T491" s="16" t="n"/>
      <c r="U491" s="139" t="n"/>
      <c r="V491" s="16">
        <f>P491+R491+T491</f>
        <v/>
      </c>
      <c r="W491" s="16" t="n"/>
      <c r="X491" s="139" t="n"/>
      <c r="Y491" s="16" t="n"/>
      <c r="Z491" s="139" t="n"/>
      <c r="AA491" s="16" t="n"/>
      <c r="AB491" s="139" t="n"/>
      <c r="AC491" s="16" t="n"/>
      <c r="AD491" s="139" t="n"/>
      <c r="AE491" s="16">
        <f>(W491+Y491+AA491+AC491)</f>
        <v/>
      </c>
      <c r="AF491" s="140" t="n"/>
      <c r="AG491" s="138" t="n"/>
      <c r="AH491" s="16" t="n"/>
      <c r="AI491" s="138" t="n"/>
      <c r="AJ491" s="16" t="n"/>
      <c r="AK491" s="138" t="n"/>
      <c r="AL491" s="16" t="n"/>
      <c r="AM491" s="138" t="n"/>
      <c r="AN491" s="16" t="n"/>
      <c r="AO491" s="138" t="n"/>
      <c r="AP491" s="16" t="n"/>
      <c r="AQ491" s="138" t="n"/>
      <c r="AR491" s="16" t="n"/>
      <c r="AS491" s="138" t="n"/>
      <c r="AT491" s="16" t="n"/>
      <c r="AU491" s="138" t="n"/>
      <c r="AV491" s="16" t="n"/>
      <c r="AW491" s="138" t="n"/>
      <c r="AX491" s="16" t="n"/>
      <c r="AY491" s="138" t="n"/>
      <c r="AZ491" s="16">
        <f>AF491+AH491+AJ491+AL491+AN491+AP491+AR491+AT491+AV491+AX491</f>
        <v/>
      </c>
      <c r="BA491" s="16" t="n"/>
      <c r="BB491" s="139" t="n"/>
      <c r="BC491" s="16" t="n"/>
      <c r="BD491" s="139" t="n"/>
      <c r="BE491" s="16">
        <f>(BA491+BC491)</f>
        <v/>
      </c>
    </row>
    <row r="492" ht="22.5" customFormat="1" customHeight="1" s="8">
      <c r="A492" s="9" t="n"/>
      <c r="B492" s="136" t="inlineStr">
        <is>
          <t>연아크릴</t>
        </is>
      </c>
      <c r="C492" s="137" t="inlineStr">
        <is>
          <t>ADX6000</t>
        </is>
      </c>
      <c r="D492" s="60" t="inlineStr">
        <is>
          <t>사각 연아크릴 쉴드</t>
        </is>
      </c>
      <c r="E492" s="13" t="inlineStr">
        <is>
          <t>정사각형, 215 * 205mm</t>
        </is>
      </c>
      <c r="F492" s="99" t="n"/>
      <c r="G492" s="9" t="n"/>
      <c r="H492" s="9" t="inlineStr">
        <is>
          <t>선일쉴드텍</t>
        </is>
      </c>
      <c r="I492" s="14" t="n"/>
      <c r="J492" s="14" t="n"/>
      <c r="K492" s="12" t="n">
        <v>0</v>
      </c>
      <c r="L492" s="9" t="n"/>
      <c r="M492" s="9" t="n"/>
      <c r="N492" s="9" t="n"/>
      <c r="O492" s="40">
        <f>K492+V492-AE492-AZ492</f>
        <v/>
      </c>
      <c r="P492" s="12" t="n"/>
      <c r="Q492" s="138" t="n"/>
      <c r="R492" s="16" t="n"/>
      <c r="S492" s="139" t="n"/>
      <c r="T492" s="16" t="n"/>
      <c r="U492" s="139" t="n"/>
      <c r="V492" s="16">
        <f>P492+R492+T492</f>
        <v/>
      </c>
      <c r="W492" s="16" t="n"/>
      <c r="X492" s="139" t="n"/>
      <c r="Y492" s="16" t="n"/>
      <c r="Z492" s="139" t="n"/>
      <c r="AA492" s="16" t="n"/>
      <c r="AB492" s="139" t="n"/>
      <c r="AC492" s="16" t="n"/>
      <c r="AD492" s="139" t="n"/>
      <c r="AE492" s="16">
        <f>(W492+Y492+AA492+AC492)</f>
        <v/>
      </c>
      <c r="AF492" s="140" t="n"/>
      <c r="AG492" s="138" t="n"/>
      <c r="AH492" s="16" t="n"/>
      <c r="AI492" s="138" t="n"/>
      <c r="AJ492" s="16" t="n"/>
      <c r="AK492" s="138" t="n"/>
      <c r="AL492" s="16" t="n"/>
      <c r="AM492" s="138" t="n"/>
      <c r="AN492" s="16" t="n"/>
      <c r="AO492" s="138" t="n"/>
      <c r="AP492" s="16" t="n"/>
      <c r="AQ492" s="138" t="n"/>
      <c r="AR492" s="16" t="n"/>
      <c r="AS492" s="138" t="n"/>
      <c r="AT492" s="16" t="n"/>
      <c r="AU492" s="138" t="n"/>
      <c r="AV492" s="16" t="n"/>
      <c r="AW492" s="138" t="n"/>
      <c r="AX492" s="16" t="n"/>
      <c r="AY492" s="138" t="n"/>
      <c r="AZ492" s="16">
        <f>AF492+AH492+AJ492+AL492+AN492+AP492+AR492+AT492+AV492+AX492</f>
        <v/>
      </c>
      <c r="BA492" s="16" t="n"/>
      <c r="BB492" s="139" t="n"/>
      <c r="BC492" s="16" t="n"/>
      <c r="BD492" s="139" t="n"/>
      <c r="BE492" s="16">
        <f>(BA492+BC492)</f>
        <v/>
      </c>
    </row>
    <row r="493" ht="22.5" customFormat="1" customHeight="1" s="8">
      <c r="A493" s="9" t="n"/>
      <c r="B493" s="136" t="inlineStr">
        <is>
          <t>오링</t>
        </is>
      </c>
      <c r="C493" s="137" t="inlineStr">
        <is>
          <t>ADX6000</t>
        </is>
      </c>
      <c r="D493" s="60" t="inlineStr">
        <is>
          <t xml:space="preserve">연아크릴 실리콘 오링 </t>
        </is>
      </c>
      <c r="E493" s="13" t="n"/>
      <c r="F493" s="99" t="n"/>
      <c r="G493" s="9" t="n"/>
      <c r="H493" s="9" t="inlineStr">
        <is>
          <t>직구</t>
        </is>
      </c>
      <c r="I493" s="14" t="n"/>
      <c r="J493" s="14" t="n"/>
      <c r="K493" s="12" t="n">
        <v>50</v>
      </c>
      <c r="L493" s="9" t="n"/>
      <c r="M493" s="9" t="n"/>
      <c r="N493" s="9" t="n"/>
      <c r="O493" s="40">
        <f>K493+V493-AE493-AZ493</f>
        <v/>
      </c>
      <c r="P493" s="12" t="n"/>
      <c r="Q493" s="138" t="n"/>
      <c r="R493" s="16" t="n"/>
      <c r="S493" s="139" t="n"/>
      <c r="T493" s="16" t="n"/>
      <c r="U493" s="139" t="n"/>
      <c r="V493" s="16">
        <f>P493+R493+T493</f>
        <v/>
      </c>
      <c r="W493" s="16" t="n"/>
      <c r="X493" s="139" t="n"/>
      <c r="Y493" s="16" t="n"/>
      <c r="Z493" s="139" t="n"/>
      <c r="AA493" s="16" t="n"/>
      <c r="AB493" s="139" t="n"/>
      <c r="AC493" s="16" t="n"/>
      <c r="AD493" s="139" t="n"/>
      <c r="AE493" s="16">
        <f>(W493+Y493+AA493+AC493)</f>
        <v/>
      </c>
      <c r="AF493" s="140" t="n"/>
      <c r="AG493" s="138" t="n"/>
      <c r="AH493" s="16" t="n"/>
      <c r="AI493" s="138" t="n"/>
      <c r="AJ493" s="16" t="n"/>
      <c r="AK493" s="138" t="n"/>
      <c r="AL493" s="16" t="n"/>
      <c r="AM493" s="138" t="n"/>
      <c r="AN493" s="16" t="n"/>
      <c r="AO493" s="138" t="n"/>
      <c r="AP493" s="16" t="n"/>
      <c r="AQ493" s="138" t="n"/>
      <c r="AR493" s="16" t="n"/>
      <c r="AS493" s="138" t="n"/>
      <c r="AT493" s="16" t="n"/>
      <c r="AU493" s="138" t="n"/>
      <c r="AV493" s="16" t="n"/>
      <c r="AW493" s="138" t="n"/>
      <c r="AX493" s="16" t="n"/>
      <c r="AY493" s="138" t="n"/>
      <c r="AZ493" s="16">
        <f>AF493+AH493+AJ493+AL493+AN493+AP493+AR493+AT493+AV493+AX493</f>
        <v/>
      </c>
      <c r="BA493" s="16" t="n"/>
      <c r="BB493" s="139" t="n"/>
      <c r="BC493" s="16" t="n"/>
      <c r="BD493" s="139" t="n"/>
      <c r="BE493" s="16">
        <f>(BA493+BC493)</f>
        <v/>
      </c>
    </row>
    <row r="494" ht="22.5" customFormat="1" customHeight="1" s="8">
      <c r="A494" s="9" t="n"/>
      <c r="B494" s="136" t="inlineStr">
        <is>
          <t>오링</t>
        </is>
      </c>
      <c r="C494" s="137" t="inlineStr">
        <is>
          <t xml:space="preserve">DX3000 </t>
        </is>
      </c>
      <c r="D494" s="60" t="inlineStr">
        <is>
          <t xml:space="preserve">연아크릴 실리콘 오링 </t>
        </is>
      </c>
      <c r="E494" s="13" t="n"/>
      <c r="F494" s="99" t="n"/>
      <c r="G494" s="9" t="n"/>
      <c r="H494" s="9" t="inlineStr">
        <is>
          <t>직구</t>
        </is>
      </c>
      <c r="I494" s="14" t="n"/>
      <c r="J494" s="14" t="n"/>
      <c r="K494" s="12" t="n">
        <v>100</v>
      </c>
      <c r="L494" s="9" t="n"/>
      <c r="M494" s="9" t="n"/>
      <c r="N494" s="9" t="n"/>
      <c r="O494" s="40">
        <f>K494+V494-AE494-AZ494</f>
        <v/>
      </c>
      <c r="P494" s="12" t="n"/>
      <c r="Q494" s="138" t="n"/>
      <c r="R494" s="16" t="n"/>
      <c r="S494" s="139" t="n"/>
      <c r="T494" s="16" t="n"/>
      <c r="U494" s="139" t="n"/>
      <c r="V494" s="16">
        <f>P494+R494+T494</f>
        <v/>
      </c>
      <c r="W494" s="16" t="n"/>
      <c r="X494" s="139" t="n"/>
      <c r="Y494" s="16" t="n"/>
      <c r="Z494" s="139" t="n"/>
      <c r="AA494" s="16" t="n"/>
      <c r="AB494" s="139" t="n"/>
      <c r="AC494" s="16" t="n"/>
      <c r="AD494" s="139" t="n"/>
      <c r="AE494" s="16">
        <f>(W494+Y494+AA494+AC494)</f>
        <v/>
      </c>
      <c r="AF494" s="140" t="n"/>
      <c r="AG494" s="138" t="n"/>
      <c r="AH494" s="16" t="n"/>
      <c r="AI494" s="138" t="n"/>
      <c r="AJ494" s="16" t="n"/>
      <c r="AK494" s="138" t="n"/>
      <c r="AL494" s="16" t="n"/>
      <c r="AM494" s="138" t="n"/>
      <c r="AN494" s="16" t="n"/>
      <c r="AO494" s="138" t="n"/>
      <c r="AP494" s="16" t="n"/>
      <c r="AQ494" s="138" t="n"/>
      <c r="AR494" s="16" t="n"/>
      <c r="AS494" s="138" t="n"/>
      <c r="AT494" s="16" t="n"/>
      <c r="AU494" s="138" t="n"/>
      <c r="AV494" s="16" t="n"/>
      <c r="AW494" s="138" t="n"/>
      <c r="AX494" s="16" t="n"/>
      <c r="AY494" s="138" t="n"/>
      <c r="AZ494" s="16">
        <f>AF494+AH494+AJ494+AL494+AN494+AP494+AR494+AT494+AV494+AX494</f>
        <v/>
      </c>
      <c r="BA494" s="16" t="n"/>
      <c r="BB494" s="139" t="n"/>
      <c r="BC494" s="16" t="n"/>
      <c r="BD494" s="139" t="n"/>
      <c r="BE494" s="16">
        <f>(BA494+BC494)</f>
        <v/>
      </c>
    </row>
    <row r="495" ht="22.5" customFormat="1" customHeight="1" s="8">
      <c r="A495" s="9" t="n"/>
      <c r="B495" s="136" t="inlineStr">
        <is>
          <t>오링</t>
        </is>
      </c>
      <c r="C495" s="137" t="inlineStr">
        <is>
          <t>ADX4000W</t>
        </is>
      </c>
      <c r="D495" s="63" t="inlineStr">
        <is>
          <t xml:space="preserve">연아크릴 실리콘 오링 </t>
        </is>
      </c>
      <c r="E495" s="13" t="n"/>
      <c r="F495" s="99" t="n"/>
      <c r="G495" s="9" t="n"/>
      <c r="H495" s="9" t="inlineStr">
        <is>
          <t>직구</t>
        </is>
      </c>
      <c r="I495" s="14" t="n"/>
      <c r="J495" s="14" t="n"/>
      <c r="K495" s="12" t="n">
        <v>0</v>
      </c>
      <c r="L495" s="9" t="n"/>
      <c r="M495" s="9" t="n"/>
      <c r="N495" s="9" t="n"/>
      <c r="O495" s="40">
        <f>K495+V495-AE495-AZ495</f>
        <v/>
      </c>
      <c r="P495" s="12" t="n"/>
      <c r="Q495" s="138" t="n"/>
      <c r="R495" s="16" t="n"/>
      <c r="S495" s="139" t="n"/>
      <c r="T495" s="16" t="n"/>
      <c r="U495" s="139" t="n"/>
      <c r="V495" s="16">
        <f>P495+R495+T495</f>
        <v/>
      </c>
      <c r="W495" s="16" t="n"/>
      <c r="X495" s="139" t="n"/>
      <c r="Y495" s="16" t="n"/>
      <c r="Z495" s="139" t="n"/>
      <c r="AA495" s="16" t="n"/>
      <c r="AB495" s="139" t="n"/>
      <c r="AC495" s="16" t="n"/>
      <c r="AD495" s="139" t="n"/>
      <c r="AE495" s="16">
        <f>(W495+Y495+AA495+AC495)</f>
        <v/>
      </c>
      <c r="AF495" s="140" t="n"/>
      <c r="AG495" s="138" t="n"/>
      <c r="AH495" s="16" t="n"/>
      <c r="AI495" s="138" t="n"/>
      <c r="AJ495" s="16" t="n"/>
      <c r="AK495" s="138" t="n"/>
      <c r="AL495" s="16" t="n"/>
      <c r="AM495" s="138" t="n"/>
      <c r="AN495" s="16" t="n"/>
      <c r="AO495" s="138" t="n"/>
      <c r="AP495" s="16" t="n"/>
      <c r="AQ495" s="138" t="n"/>
      <c r="AR495" s="16" t="n"/>
      <c r="AS495" s="138" t="n"/>
      <c r="AT495" s="16" t="n"/>
      <c r="AU495" s="138" t="n"/>
      <c r="AV495" s="16" t="n"/>
      <c r="AW495" s="138" t="n"/>
      <c r="AX495" s="16" t="n"/>
      <c r="AY495" s="138" t="n"/>
      <c r="AZ495" s="16">
        <f>AF495+AH495+AJ495+AL495+AN495+AP495+AR495+AT495+AV495+AX495</f>
        <v/>
      </c>
      <c r="BA495" s="16" t="n"/>
      <c r="BB495" s="139" t="n"/>
      <c r="BC495" s="16" t="n"/>
      <c r="BD495" s="139" t="n"/>
      <c r="BE495" s="16">
        <f>(BA495+BC495)</f>
        <v/>
      </c>
    </row>
    <row r="496" ht="22.5" customFormat="1" customHeight="1" s="8">
      <c r="A496" s="9" t="n"/>
      <c r="B496" s="136" t="inlineStr">
        <is>
          <t>AL 스티커</t>
        </is>
      </c>
      <c r="C496" s="137" t="inlineStr">
        <is>
          <t xml:space="preserve">DX3000 </t>
        </is>
      </c>
      <c r="D496" s="63" t="inlineStr">
        <is>
          <t>IRay D3 NAME PLATE</t>
        </is>
      </c>
      <c r="E496" s="13" t="n"/>
      <c r="F496" s="99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40">
        <f>K496+V496-AE496-AZ496</f>
        <v/>
      </c>
      <c r="P496" s="12" t="n"/>
      <c r="Q496" s="138" t="n"/>
      <c r="R496" s="16" t="n"/>
      <c r="S496" s="139" t="n"/>
      <c r="T496" s="16" t="n"/>
      <c r="U496" s="139" t="n"/>
      <c r="V496" s="16">
        <f>P496+R496+T496</f>
        <v/>
      </c>
      <c r="W496" s="16" t="n"/>
      <c r="X496" s="139" t="n"/>
      <c r="Y496" s="16" t="n"/>
      <c r="Z496" s="139" t="n"/>
      <c r="AA496" s="16" t="n"/>
      <c r="AB496" s="139" t="n"/>
      <c r="AC496" s="16" t="n"/>
      <c r="AD496" s="139" t="n"/>
      <c r="AE496" s="16">
        <f>(W496+Y496+AA496+AC496)</f>
        <v/>
      </c>
      <c r="AF496" s="140" t="n"/>
      <c r="AG496" s="138" t="n"/>
      <c r="AH496" s="16" t="n"/>
      <c r="AI496" s="138" t="n"/>
      <c r="AJ496" s="16" t="n"/>
      <c r="AK496" s="138" t="n"/>
      <c r="AL496" s="16" t="n"/>
      <c r="AM496" s="138" t="n"/>
      <c r="AN496" s="16" t="n"/>
      <c r="AO496" s="138" t="n"/>
      <c r="AP496" s="16" t="n"/>
      <c r="AQ496" s="138" t="n"/>
      <c r="AR496" s="16" t="n"/>
      <c r="AS496" s="138" t="n"/>
      <c r="AT496" s="16" t="n"/>
      <c r="AU496" s="138" t="n"/>
      <c r="AV496" s="16" t="n"/>
      <c r="AW496" s="138" t="n"/>
      <c r="AX496" s="16" t="n"/>
      <c r="AY496" s="138" t="n"/>
      <c r="AZ496" s="16">
        <f>AF496+AH496+AJ496+AL496+AN496+AP496+AR496+AT496+AV496+AX496</f>
        <v/>
      </c>
      <c r="BA496" s="16" t="n"/>
      <c r="BB496" s="139" t="n"/>
      <c r="BC496" s="16" t="n"/>
      <c r="BD496" s="139" t="n"/>
      <c r="BE496" s="16">
        <f>(BA496+BC496)</f>
        <v/>
      </c>
    </row>
    <row r="497" ht="22.5" customFormat="1" customHeight="1" s="8">
      <c r="A497" s="9" t="n"/>
      <c r="B497" s="136" t="inlineStr">
        <is>
          <t>AL 스티커</t>
        </is>
      </c>
      <c r="C497" s="137" t="inlineStr">
        <is>
          <t>DX3000</t>
        </is>
      </c>
      <c r="D497" s="65" t="inlineStr">
        <is>
          <t>NAME PLATE</t>
        </is>
      </c>
      <c r="E497" s="13" t="n"/>
      <c r="F497" s="99" t="n"/>
      <c r="G497" s="9" t="n"/>
      <c r="H497" s="9" t="inlineStr">
        <is>
          <t>에덴상공사</t>
        </is>
      </c>
      <c r="I497" s="14" t="n"/>
      <c r="J497" s="14" t="n"/>
      <c r="K497" s="12" t="n">
        <v>0</v>
      </c>
      <c r="L497" s="9" t="n"/>
      <c r="M497" s="9" t="n"/>
      <c r="N497" s="9" t="n"/>
      <c r="O497" s="40">
        <f>K497+V497-AE497-AZ497</f>
        <v/>
      </c>
      <c r="P497" s="12" t="n"/>
      <c r="Q497" s="138" t="n"/>
      <c r="R497" s="16" t="n"/>
      <c r="S497" s="139" t="n"/>
      <c r="T497" s="16" t="n"/>
      <c r="U497" s="139" t="n"/>
      <c r="V497" s="16">
        <f>P497+R497+T497</f>
        <v/>
      </c>
      <c r="W497" s="16" t="n"/>
      <c r="X497" s="139" t="n"/>
      <c r="Y497" s="16" t="n"/>
      <c r="Z497" s="139" t="n"/>
      <c r="AA497" s="16" t="n"/>
      <c r="AB497" s="139" t="n"/>
      <c r="AC497" s="16" t="n"/>
      <c r="AD497" s="139" t="n"/>
      <c r="AE497" s="16">
        <f>(W497+Y497+AA497+AC497)</f>
        <v/>
      </c>
      <c r="AF497" s="140" t="n"/>
      <c r="AG497" s="138" t="n"/>
      <c r="AH497" s="16" t="n"/>
      <c r="AI497" s="138" t="n"/>
      <c r="AJ497" s="16" t="n"/>
      <c r="AK497" s="138" t="n"/>
      <c r="AL497" s="16" t="n"/>
      <c r="AM497" s="138" t="n"/>
      <c r="AN497" s="16" t="n"/>
      <c r="AO497" s="138" t="n"/>
      <c r="AP497" s="16" t="n"/>
      <c r="AQ497" s="138" t="n"/>
      <c r="AR497" s="16" t="n"/>
      <c r="AS497" s="138" t="n"/>
      <c r="AT497" s="16" t="n"/>
      <c r="AU497" s="138" t="n"/>
      <c r="AV497" s="16" t="n"/>
      <c r="AW497" s="138" t="n"/>
      <c r="AX497" s="16" t="n"/>
      <c r="AY497" s="138" t="n"/>
      <c r="AZ497" s="16">
        <f>AF497+AH497+AJ497+AL497+AN497+AP497+AR497+AT497+AV497+AX497</f>
        <v/>
      </c>
      <c r="BA497" s="16" t="n"/>
      <c r="BB497" s="139" t="n"/>
      <c r="BC497" s="16" t="n"/>
      <c r="BD497" s="139" t="n"/>
      <c r="BE497" s="16">
        <f>(BA497+BC497)</f>
        <v/>
      </c>
    </row>
    <row r="498" ht="22.5" customFormat="1" customHeight="1" s="8">
      <c r="A498" s="9" t="n"/>
      <c r="B498" s="136" t="inlineStr">
        <is>
          <t>AL 스티커</t>
        </is>
      </c>
      <c r="C498" s="137" t="inlineStr">
        <is>
          <t>DX3000</t>
        </is>
      </c>
      <c r="D498" s="63" t="inlineStr">
        <is>
          <t>우루과이 NAME PLATE</t>
        </is>
      </c>
      <c r="E498" s="13" t="n"/>
      <c r="F498" s="99" t="n"/>
      <c r="G498" s="9" t="n"/>
      <c r="H498" s="9" t="inlineStr">
        <is>
          <t>에덴상공사</t>
        </is>
      </c>
      <c r="I498" s="14" t="n"/>
      <c r="J498" s="14" t="n"/>
      <c r="K498" s="12" t="n">
        <v>0</v>
      </c>
      <c r="L498" s="9" t="n"/>
      <c r="M498" s="9" t="n"/>
      <c r="N498" s="9" t="n"/>
      <c r="O498" s="40">
        <f>K498+V498-AE498-AZ498</f>
        <v/>
      </c>
      <c r="P498" s="12" t="n"/>
      <c r="Q498" s="138" t="n"/>
      <c r="R498" s="16" t="n"/>
      <c r="S498" s="139" t="n"/>
      <c r="T498" s="16" t="n"/>
      <c r="U498" s="139" t="n"/>
      <c r="V498" s="16">
        <f>P498+R498+T498</f>
        <v/>
      </c>
      <c r="W498" s="16" t="n"/>
      <c r="X498" s="139" t="n"/>
      <c r="Y498" s="16" t="n"/>
      <c r="Z498" s="139" t="n"/>
      <c r="AA498" s="16" t="n"/>
      <c r="AB498" s="139" t="n"/>
      <c r="AC498" s="16" t="n"/>
      <c r="AD498" s="139" t="n"/>
      <c r="AE498" s="16">
        <f>(W498+Y498+AA498+AC498)</f>
        <v/>
      </c>
      <c r="AF498" s="140" t="n"/>
      <c r="AG498" s="138" t="n"/>
      <c r="AH498" s="16" t="n"/>
      <c r="AI498" s="138" t="n"/>
      <c r="AJ498" s="16" t="n"/>
      <c r="AK498" s="138" t="n"/>
      <c r="AL498" s="16" t="n"/>
      <c r="AM498" s="138" t="n"/>
      <c r="AN498" s="16" t="n"/>
      <c r="AO498" s="138" t="n"/>
      <c r="AP498" s="16" t="n"/>
      <c r="AQ498" s="138" t="n"/>
      <c r="AR498" s="16" t="n"/>
      <c r="AS498" s="138" t="n"/>
      <c r="AT498" s="16" t="n"/>
      <c r="AU498" s="138" t="n"/>
      <c r="AV498" s="16" t="n"/>
      <c r="AW498" s="138" t="n"/>
      <c r="AX498" s="16" t="n"/>
      <c r="AY498" s="138" t="n"/>
      <c r="AZ498" s="16">
        <f>AF498+AH498+AJ498+AL498+AN498+AP498+AR498+AT498+AV498+AX498</f>
        <v/>
      </c>
      <c r="BA498" s="16" t="n"/>
      <c r="BB498" s="139" t="n"/>
      <c r="BC498" s="16" t="n"/>
      <c r="BD498" s="139" t="n"/>
      <c r="BE498" s="16">
        <f>(BA498+BC498)</f>
        <v/>
      </c>
    </row>
    <row r="499" ht="22.5" customFormat="1" customHeight="1" s="8">
      <c r="A499" s="9" t="n"/>
      <c r="B499" s="136" t="inlineStr">
        <is>
          <t>AL 스티커</t>
        </is>
      </c>
      <c r="C499" s="137" t="inlineStr">
        <is>
          <t>ADX4000W</t>
        </is>
      </c>
      <c r="D499" s="63" t="inlineStr">
        <is>
          <t>NAME PLATE</t>
        </is>
      </c>
      <c r="E499" s="13" t="n"/>
      <c r="F499" s="99" t="n"/>
      <c r="G499" s="9" t="n"/>
      <c r="H499" s="9" t="inlineStr">
        <is>
          <t>에덴상공사</t>
        </is>
      </c>
      <c r="I499" s="14" t="n"/>
      <c r="J499" s="14" t="n"/>
      <c r="K499" s="12" t="n">
        <v>0</v>
      </c>
      <c r="L499" s="9" t="n"/>
      <c r="M499" s="9" t="n"/>
      <c r="N499" s="9" t="n"/>
      <c r="O499" s="40">
        <f>K499+V499-AE499-AZ499</f>
        <v/>
      </c>
      <c r="P499" s="12" t="n"/>
      <c r="Q499" s="138" t="n"/>
      <c r="R499" s="16" t="n"/>
      <c r="S499" s="139" t="n"/>
      <c r="T499" s="16" t="n"/>
      <c r="U499" s="139" t="n"/>
      <c r="V499" s="16">
        <f>P499+R499+T499</f>
        <v/>
      </c>
      <c r="W499" s="16" t="n"/>
      <c r="X499" s="139" t="n"/>
      <c r="Y499" s="16" t="n"/>
      <c r="Z499" s="139" t="n"/>
      <c r="AA499" s="16" t="n"/>
      <c r="AB499" s="139" t="n"/>
      <c r="AC499" s="16" t="n"/>
      <c r="AD499" s="139" t="n"/>
      <c r="AE499" s="16">
        <f>(W499+Y499+AA499+AC499)</f>
        <v/>
      </c>
      <c r="AF499" s="140" t="n"/>
      <c r="AG499" s="138" t="n"/>
      <c r="AH499" s="16" t="n"/>
      <c r="AI499" s="138" t="n"/>
      <c r="AJ499" s="16" t="n"/>
      <c r="AK499" s="138" t="n"/>
      <c r="AL499" s="16" t="n"/>
      <c r="AM499" s="138" t="n"/>
      <c r="AN499" s="16" t="n"/>
      <c r="AO499" s="138" t="n"/>
      <c r="AP499" s="16" t="n"/>
      <c r="AQ499" s="138" t="n"/>
      <c r="AR499" s="16" t="n"/>
      <c r="AS499" s="138" t="n"/>
      <c r="AT499" s="16" t="n"/>
      <c r="AU499" s="138" t="n"/>
      <c r="AV499" s="16" t="n"/>
      <c r="AW499" s="138" t="n"/>
      <c r="AX499" s="16" t="n"/>
      <c r="AY499" s="138" t="n"/>
      <c r="AZ499" s="16">
        <f>AF499+AH499+AJ499+AL499+AN499+AP499+AR499+AT499+AV499+AX499</f>
        <v/>
      </c>
      <c r="BA499" s="16" t="n"/>
      <c r="BB499" s="139" t="n"/>
      <c r="BC499" s="16" t="n"/>
      <c r="BD499" s="139" t="n"/>
      <c r="BE499" s="16">
        <f>(BA499+BC499)</f>
        <v/>
      </c>
    </row>
    <row r="500" ht="22.5" customFormat="1" customHeight="1" s="8">
      <c r="A500" s="9" t="n"/>
      <c r="B500" s="136" t="inlineStr">
        <is>
          <t>AL 스티커</t>
        </is>
      </c>
      <c r="C500" s="137" t="inlineStr">
        <is>
          <t>ADX6000</t>
        </is>
      </c>
      <c r="D500" s="63" t="inlineStr">
        <is>
          <t>ADX6000 NAME PLATE</t>
        </is>
      </c>
      <c r="E500" s="13" t="n"/>
      <c r="F500" s="99" t="n"/>
      <c r="G500" s="9" t="n"/>
      <c r="H500" s="9" t="inlineStr">
        <is>
          <t>에덴상공사</t>
        </is>
      </c>
      <c r="I500" s="14" t="n"/>
      <c r="J500" s="14" t="n"/>
      <c r="K500" s="12" t="n">
        <v>993</v>
      </c>
      <c r="L500" s="9" t="n"/>
      <c r="M500" s="9" t="n"/>
      <c r="N500" s="9" t="n"/>
      <c r="O500" s="40">
        <f>K500+V500-AE500-AZ500</f>
        <v/>
      </c>
      <c r="P500" s="12" t="n"/>
      <c r="Q500" s="138" t="n"/>
      <c r="R500" s="16" t="n"/>
      <c r="S500" s="139" t="n"/>
      <c r="T500" s="16" t="n"/>
      <c r="U500" s="139" t="n"/>
      <c r="V500" s="16">
        <f>P500+R500+T500</f>
        <v/>
      </c>
      <c r="W500" s="16" t="n"/>
      <c r="X500" s="139" t="n"/>
      <c r="Y500" s="16" t="n"/>
      <c r="Z500" s="139" t="n"/>
      <c r="AA500" s="16" t="n"/>
      <c r="AB500" s="139" t="n"/>
      <c r="AC500" s="16" t="n"/>
      <c r="AD500" s="139" t="n"/>
      <c r="AE500" s="16">
        <f>(W500+Y500+AA500+AC500)</f>
        <v/>
      </c>
      <c r="AF500" s="140" t="n"/>
      <c r="AG500" s="138" t="n"/>
      <c r="AH500" s="16" t="n"/>
      <c r="AI500" s="138" t="n"/>
      <c r="AJ500" s="16" t="n"/>
      <c r="AK500" s="138" t="n"/>
      <c r="AL500" s="16" t="n"/>
      <c r="AM500" s="138" t="n"/>
      <c r="AN500" s="16" t="n"/>
      <c r="AO500" s="138" t="n"/>
      <c r="AP500" s="16" t="n"/>
      <c r="AQ500" s="138" t="n"/>
      <c r="AR500" s="16" t="n"/>
      <c r="AS500" s="138" t="n"/>
      <c r="AT500" s="16" t="n"/>
      <c r="AU500" s="138" t="n"/>
      <c r="AV500" s="16" t="n"/>
      <c r="AW500" s="138" t="n"/>
      <c r="AX500" s="16" t="n"/>
      <c r="AY500" s="138" t="n"/>
      <c r="AZ500" s="16">
        <f>AF500+AH500+AJ500+AL500+AN500+AP500+AR500+AT500+AV500+AX500</f>
        <v/>
      </c>
      <c r="BA500" s="16" t="n"/>
      <c r="BB500" s="139" t="n"/>
      <c r="BC500" s="16" t="n"/>
      <c r="BD500" s="139" t="n"/>
      <c r="BE500" s="16">
        <f>(BA500+BC500)</f>
        <v/>
      </c>
    </row>
    <row r="501" ht="22.5" customFormat="1" customHeight="1" s="8">
      <c r="A501" s="9" t="n"/>
      <c r="B501" s="136" t="inlineStr">
        <is>
          <t>AL 스티커</t>
        </is>
      </c>
      <c r="C501" s="137" t="inlineStr">
        <is>
          <t>ADX6000</t>
        </is>
      </c>
      <c r="D501" s="79" t="inlineStr">
        <is>
          <t>IRay A6 NAME PLATE</t>
        </is>
      </c>
      <c r="E501" s="13" t="n"/>
      <c r="F501" s="99" t="n"/>
      <c r="G501" s="9" t="n"/>
      <c r="H501" s="9" t="inlineStr">
        <is>
          <t>에덴상공사</t>
        </is>
      </c>
      <c r="I501" s="14" t="n"/>
      <c r="J501" s="14" t="n"/>
      <c r="K501" s="12" t="n">
        <v>789</v>
      </c>
      <c r="L501" s="9" t="n"/>
      <c r="M501" s="9" t="n"/>
      <c r="N501" s="9" t="n"/>
      <c r="O501" s="40">
        <f>K501+V501-AE501-AZ501</f>
        <v/>
      </c>
      <c r="P501" s="12" t="n"/>
      <c r="Q501" s="138" t="n"/>
      <c r="R501" s="16" t="n"/>
      <c r="S501" s="139" t="n"/>
      <c r="T501" s="16" t="n"/>
      <c r="U501" s="139" t="n"/>
      <c r="V501" s="16">
        <f>P501+R501+T501</f>
        <v/>
      </c>
      <c r="W501" s="16" t="n"/>
      <c r="X501" s="139" t="n"/>
      <c r="Y501" s="16" t="n"/>
      <c r="Z501" s="139" t="n"/>
      <c r="AA501" s="16" t="n"/>
      <c r="AB501" s="139" t="n"/>
      <c r="AC501" s="16" t="n"/>
      <c r="AD501" s="139" t="n"/>
      <c r="AE501" s="16">
        <f>(W501+Y501+AA501+AC501)</f>
        <v/>
      </c>
      <c r="AF501" s="140" t="n"/>
      <c r="AG501" s="138" t="n"/>
      <c r="AH501" s="16" t="n"/>
      <c r="AI501" s="138" t="n"/>
      <c r="AJ501" s="16" t="n"/>
      <c r="AK501" s="138" t="n"/>
      <c r="AL501" s="16" t="n"/>
      <c r="AM501" s="138" t="n"/>
      <c r="AN501" s="16" t="n"/>
      <c r="AO501" s="138" t="n"/>
      <c r="AP501" s="16" t="n"/>
      <c r="AQ501" s="138" t="n"/>
      <c r="AR501" s="16" t="n"/>
      <c r="AS501" s="138" t="n"/>
      <c r="AT501" s="16" t="n"/>
      <c r="AU501" s="138" t="n"/>
      <c r="AV501" s="16" t="n"/>
      <c r="AW501" s="138" t="n"/>
      <c r="AX501" s="16" t="n"/>
      <c r="AY501" s="138" t="n"/>
      <c r="AZ501" s="16">
        <f>AF501+AH501+AJ501+AL501+AN501+AP501+AR501+AT501+AV501+AX501</f>
        <v/>
      </c>
      <c r="BA501" s="16" t="n"/>
      <c r="BB501" s="139" t="n"/>
      <c r="BC501" s="16" t="n"/>
      <c r="BD501" s="139" t="n"/>
      <c r="BE501" s="16">
        <f>(BA501+BC501)</f>
        <v/>
      </c>
    </row>
    <row r="502" ht="22.5" customFormat="1" customHeight="1" s="8">
      <c r="A502" s="9" t="n"/>
      <c r="B502" s="136" t="inlineStr">
        <is>
          <t>AL 스티커</t>
        </is>
      </c>
      <c r="C502" s="137" t="inlineStr">
        <is>
          <t>ADX6000</t>
        </is>
      </c>
      <c r="D502" s="91" t="inlineStr">
        <is>
          <t>IRay A6S NAME PLATE</t>
        </is>
      </c>
      <c r="E502" s="13" t="n"/>
      <c r="F502" s="99" t="n"/>
      <c r="G502" s="9" t="n"/>
      <c r="H502" s="9" t="inlineStr">
        <is>
          <t>에덴상공사</t>
        </is>
      </c>
      <c r="I502" s="14" t="n"/>
      <c r="J502" s="14" t="n"/>
      <c r="K502" s="12" t="n">
        <v>893</v>
      </c>
      <c r="L502" s="9" t="n"/>
      <c r="M502" s="9" t="n"/>
      <c r="N502" s="9" t="n"/>
      <c r="O502" s="40">
        <f>K502+V502-AE502-AZ502</f>
        <v/>
      </c>
      <c r="P502" s="12" t="n"/>
      <c r="Q502" s="138" t="n"/>
      <c r="R502" s="16" t="n"/>
      <c r="S502" s="139" t="n"/>
      <c r="T502" s="16" t="n"/>
      <c r="U502" s="139" t="n"/>
      <c r="V502" s="16">
        <f>P502+R502+T502</f>
        <v/>
      </c>
      <c r="W502" s="16" t="n"/>
      <c r="X502" s="139" t="n"/>
      <c r="Y502" s="16" t="n"/>
      <c r="Z502" s="139" t="n"/>
      <c r="AA502" s="16" t="n"/>
      <c r="AB502" s="139" t="n"/>
      <c r="AC502" s="16" t="n"/>
      <c r="AD502" s="139" t="n"/>
      <c r="AE502" s="16">
        <f>(W502+Y502+AA502+AC502)</f>
        <v/>
      </c>
      <c r="AF502" s="140" t="n"/>
      <c r="AG502" s="138" t="n"/>
      <c r="AH502" s="16" t="n"/>
      <c r="AI502" s="138" t="n"/>
      <c r="AJ502" s="16" t="n"/>
      <c r="AK502" s="138" t="n"/>
      <c r="AL502" s="16" t="n"/>
      <c r="AM502" s="138" t="n"/>
      <c r="AN502" s="16" t="n"/>
      <c r="AO502" s="138" t="n"/>
      <c r="AP502" s="16" t="n"/>
      <c r="AQ502" s="138" t="n"/>
      <c r="AR502" s="16" t="n"/>
      <c r="AS502" s="138" t="n"/>
      <c r="AT502" s="16" t="n"/>
      <c r="AU502" s="138" t="n"/>
      <c r="AV502" s="16" t="n"/>
      <c r="AW502" s="138" t="n"/>
      <c r="AX502" s="16" t="n"/>
      <c r="AY502" s="138" t="n"/>
      <c r="AZ502" s="16">
        <f>AF502+AH502+AJ502+AL502+AN502+AP502+AR502+AT502+AV502+AX502</f>
        <v/>
      </c>
      <c r="BA502" s="16" t="n"/>
      <c r="BB502" s="139" t="n"/>
      <c r="BC502" s="16" t="n"/>
      <c r="BD502" s="139" t="n"/>
      <c r="BE502" s="16">
        <f>(BA502+BC502)</f>
        <v/>
      </c>
    </row>
    <row r="503" ht="22.5" customFormat="1" customHeight="1" s="8">
      <c r="A503" s="9" t="n"/>
      <c r="B503" s="136" t="inlineStr">
        <is>
          <t>AL 스티커</t>
        </is>
      </c>
      <c r="C503" s="137" t="inlineStr">
        <is>
          <t>ADX6000</t>
        </is>
      </c>
      <c r="D503" s="79" t="inlineStr">
        <is>
          <t>DEXCOWIN NAME PLATE</t>
        </is>
      </c>
      <c r="E503" s="13" t="inlineStr">
        <is>
          <t>FDXD-810 디텍터용</t>
        </is>
      </c>
      <c r="F503" s="99" t="n"/>
      <c r="G503" s="9" t="n"/>
      <c r="H503" s="9" t="inlineStr">
        <is>
          <t>에덴상공사</t>
        </is>
      </c>
      <c r="I503" s="14" t="n"/>
      <c r="J503" s="14" t="n"/>
      <c r="K503" s="12" t="n">
        <v>216</v>
      </c>
      <c r="L503" s="9" t="n"/>
      <c r="M503" s="9" t="n"/>
      <c r="N503" s="9" t="n"/>
      <c r="O503" s="40">
        <f>K503+V503-AE503-AZ503</f>
        <v/>
      </c>
      <c r="P503" s="12" t="n"/>
      <c r="Q503" s="138" t="n"/>
      <c r="R503" s="16" t="n"/>
      <c r="S503" s="139" t="n"/>
      <c r="T503" s="16" t="n"/>
      <c r="U503" s="139" t="n"/>
      <c r="V503" s="16">
        <f>P503+R503+T503</f>
        <v/>
      </c>
      <c r="W503" s="16" t="n"/>
      <c r="X503" s="139" t="n"/>
      <c r="Y503" s="16" t="n"/>
      <c r="Z503" s="139" t="n"/>
      <c r="AA503" s="16" t="n"/>
      <c r="AB503" s="139" t="n"/>
      <c r="AC503" s="16" t="n"/>
      <c r="AD503" s="139" t="n"/>
      <c r="AE503" s="16">
        <f>(W503+Y503+AA503+AC503)</f>
        <v/>
      </c>
      <c r="AF503" s="140" t="n"/>
      <c r="AG503" s="138" t="n"/>
      <c r="AH503" s="16" t="n"/>
      <c r="AI503" s="138" t="n"/>
      <c r="AJ503" s="16" t="n"/>
      <c r="AK503" s="138" t="n"/>
      <c r="AL503" s="16" t="n"/>
      <c r="AM503" s="138" t="n"/>
      <c r="AN503" s="16" t="n"/>
      <c r="AO503" s="138" t="n"/>
      <c r="AP503" s="16" t="n"/>
      <c r="AQ503" s="138" t="n"/>
      <c r="AR503" s="16" t="n"/>
      <c r="AS503" s="138" t="n"/>
      <c r="AT503" s="16" t="n"/>
      <c r="AU503" s="138" t="n"/>
      <c r="AV503" s="16" t="n"/>
      <c r="AW503" s="138" t="n"/>
      <c r="AX503" s="16" t="n"/>
      <c r="AY503" s="138" t="n"/>
      <c r="AZ503" s="16">
        <f>AF503+AH503+AJ503+AL503+AN503+AP503+AR503+AT503+AV503+AX503</f>
        <v/>
      </c>
      <c r="BA503" s="16" t="n"/>
      <c r="BB503" s="139" t="n"/>
      <c r="BC503" s="16" t="n"/>
      <c r="BD503" s="139" t="n"/>
      <c r="BE503" s="16">
        <f>(BA503+BC503)</f>
        <v/>
      </c>
    </row>
    <row r="504" ht="22.5" customFormat="1" customHeight="1" s="8">
      <c r="A504" s="9" t="n"/>
      <c r="B504" s="136" t="inlineStr">
        <is>
          <t>AL 스티커</t>
        </is>
      </c>
      <c r="C504" s="137" t="inlineStr">
        <is>
          <t>ADX6000</t>
        </is>
      </c>
      <c r="D504" s="79" t="inlineStr">
        <is>
          <t>DEXCOWIN NAME PLATE</t>
        </is>
      </c>
      <c r="E504" s="13" t="inlineStr">
        <is>
          <t>뱅가드 가방용</t>
        </is>
      </c>
      <c r="F504" s="99" t="n"/>
      <c r="G504" s="9" t="n"/>
      <c r="H504" s="9" t="inlineStr">
        <is>
          <t>에덴상공사</t>
        </is>
      </c>
      <c r="I504" s="14" t="n"/>
      <c r="J504" s="14" t="n"/>
      <c r="K504" s="12" t="n">
        <v>57</v>
      </c>
      <c r="L504" s="9" t="n"/>
      <c r="M504" s="9" t="n"/>
      <c r="N504" s="9" t="n"/>
      <c r="O504" s="40">
        <f>K504+V504-AE504-AZ504</f>
        <v/>
      </c>
      <c r="P504" s="12" t="n"/>
      <c r="Q504" s="138" t="n"/>
      <c r="R504" s="16" t="n"/>
      <c r="S504" s="139" t="n"/>
      <c r="T504" s="16" t="n"/>
      <c r="U504" s="139" t="n"/>
      <c r="V504" s="16">
        <f>P504+R504+T504</f>
        <v/>
      </c>
      <c r="W504" s="16" t="n"/>
      <c r="X504" s="139" t="n"/>
      <c r="Y504" s="16" t="n"/>
      <c r="Z504" s="139" t="n"/>
      <c r="AA504" s="16" t="n"/>
      <c r="AB504" s="139" t="n"/>
      <c r="AC504" s="16" t="n"/>
      <c r="AD504" s="139" t="n"/>
      <c r="AE504" s="16">
        <f>(W504+Y504+AA504+AC504)</f>
        <v/>
      </c>
      <c r="AF504" s="140" t="n"/>
      <c r="AG504" s="138" t="n"/>
      <c r="AH504" s="16" t="n"/>
      <c r="AI504" s="138" t="n"/>
      <c r="AJ504" s="16" t="n"/>
      <c r="AK504" s="138" t="n"/>
      <c r="AL504" s="16" t="n"/>
      <c r="AM504" s="138" t="n"/>
      <c r="AN504" s="16" t="n"/>
      <c r="AO504" s="138" t="n"/>
      <c r="AP504" s="16" t="n"/>
      <c r="AQ504" s="138" t="n"/>
      <c r="AR504" s="16" t="n"/>
      <c r="AS504" s="138" t="n"/>
      <c r="AT504" s="16" t="n"/>
      <c r="AU504" s="138" t="n"/>
      <c r="AV504" s="16" t="n"/>
      <c r="AW504" s="138" t="n"/>
      <c r="AX504" s="16" t="n"/>
      <c r="AY504" s="138" t="n"/>
      <c r="AZ504" s="16">
        <f>AF504+AH504+AJ504+AL504+AN504+AP504+AR504+AT504+AV504+AX504</f>
        <v/>
      </c>
      <c r="BA504" s="16" t="n"/>
      <c r="BB504" s="139" t="n"/>
      <c r="BC504" s="16" t="n"/>
      <c r="BD504" s="139" t="n"/>
      <c r="BE504" s="16">
        <f>(BA504+BC504)</f>
        <v/>
      </c>
    </row>
    <row r="505" ht="22.5" customFormat="1" customHeight="1" s="8">
      <c r="A505" s="9" t="n"/>
      <c r="B505" s="136" t="inlineStr">
        <is>
          <t>AL 스티커</t>
        </is>
      </c>
      <c r="C505" s="137" t="inlineStr">
        <is>
          <t>공용</t>
        </is>
      </c>
      <c r="D505" s="79" t="inlineStr">
        <is>
          <t>SUS PLATE</t>
        </is>
      </c>
      <c r="E505" s="13" t="n"/>
      <c r="F505" s="99" t="n"/>
      <c r="G505" s="9" t="n"/>
      <c r="H505" s="9" t="inlineStr">
        <is>
          <t>에덴상공사</t>
        </is>
      </c>
      <c r="I505" s="14" t="n"/>
      <c r="J505" s="14" t="n"/>
      <c r="K505" s="12" t="n">
        <v>0</v>
      </c>
      <c r="L505" s="9" t="n"/>
      <c r="M505" s="9" t="n"/>
      <c r="N505" s="9" t="n"/>
      <c r="O505" s="40">
        <f>K505+V505-AE505-AZ505</f>
        <v/>
      </c>
      <c r="P505" s="12" t="n"/>
      <c r="Q505" s="138" t="n"/>
      <c r="R505" s="16" t="n"/>
      <c r="S505" s="139" t="n"/>
      <c r="T505" s="16" t="n"/>
      <c r="U505" s="139" t="n"/>
      <c r="V505" s="16">
        <f>P505+R505+T505</f>
        <v/>
      </c>
      <c r="W505" s="16" t="n"/>
      <c r="X505" s="139" t="n"/>
      <c r="Y505" s="16" t="n"/>
      <c r="Z505" s="139" t="n"/>
      <c r="AA505" s="16" t="n"/>
      <c r="AB505" s="139" t="n"/>
      <c r="AC505" s="16" t="n"/>
      <c r="AD505" s="139" t="n"/>
      <c r="AE505" s="16">
        <f>(W505+Y505+AA505+AC505)</f>
        <v/>
      </c>
      <c r="AF505" s="140" t="n"/>
      <c r="AG505" s="138" t="n"/>
      <c r="AH505" s="16" t="n"/>
      <c r="AI505" s="138" t="n"/>
      <c r="AJ505" s="16" t="n"/>
      <c r="AK505" s="138" t="n"/>
      <c r="AL505" s="16" t="n"/>
      <c r="AM505" s="138" t="n"/>
      <c r="AN505" s="16" t="n"/>
      <c r="AO505" s="138" t="n"/>
      <c r="AP505" s="16" t="n"/>
      <c r="AQ505" s="138" t="n"/>
      <c r="AR505" s="16" t="n"/>
      <c r="AS505" s="138" t="n"/>
      <c r="AT505" s="16" t="n"/>
      <c r="AU505" s="138" t="n"/>
      <c r="AV505" s="16" t="n"/>
      <c r="AW505" s="138" t="n"/>
      <c r="AX505" s="16" t="n"/>
      <c r="AY505" s="138" t="n"/>
      <c r="AZ505" s="16">
        <f>AF505+AH505+AJ505+AL505+AN505+AP505+AR505+AT505+AV505+AX505</f>
        <v/>
      </c>
      <c r="BA505" s="16" t="n"/>
      <c r="BB505" s="139" t="n"/>
      <c r="BC505" s="16" t="n"/>
      <c r="BD505" s="139" t="n"/>
      <c r="BE505" s="16">
        <f>(BA505+BC505)</f>
        <v/>
      </c>
    </row>
    <row r="506" ht="22.5" customFormat="1" customHeight="1" s="8">
      <c r="A506" s="9" t="n"/>
      <c r="B506" s="136" t="inlineStr">
        <is>
          <t>AL 스티커</t>
        </is>
      </c>
      <c r="C506" s="137" t="inlineStr">
        <is>
          <t>공용</t>
        </is>
      </c>
      <c r="D506" s="79" t="inlineStr">
        <is>
          <t>DEXCOWIN NAME PLATE</t>
        </is>
      </c>
      <c r="E506" s="13" t="inlineStr">
        <is>
          <t>DR Tech 센서용</t>
        </is>
      </c>
      <c r="F506" s="99" t="n"/>
      <c r="G506" s="9" t="n"/>
      <c r="H506" s="9" t="inlineStr">
        <is>
          <t>에덴상공사</t>
        </is>
      </c>
      <c r="I506" s="14" t="n"/>
      <c r="J506" s="14" t="n"/>
      <c r="K506" s="12" t="n">
        <v>0</v>
      </c>
      <c r="L506" s="9" t="n"/>
      <c r="M506" s="9" t="n"/>
      <c r="N506" s="9" t="n"/>
      <c r="O506" s="40">
        <f>K506+V506-AE506-AZ506</f>
        <v/>
      </c>
      <c r="P506" s="12" t="n"/>
      <c r="Q506" s="138" t="n"/>
      <c r="R506" s="16" t="n"/>
      <c r="S506" s="139" t="n"/>
      <c r="T506" s="16" t="n"/>
      <c r="U506" s="139" t="n"/>
      <c r="V506" s="16">
        <f>P506+R506+T506</f>
        <v/>
      </c>
      <c r="W506" s="16" t="n"/>
      <c r="X506" s="139" t="n"/>
      <c r="Y506" s="16" t="n"/>
      <c r="Z506" s="139" t="n"/>
      <c r="AA506" s="16" t="n"/>
      <c r="AB506" s="139" t="n"/>
      <c r="AC506" s="16" t="n"/>
      <c r="AD506" s="139" t="n"/>
      <c r="AE506" s="16">
        <f>(W506+Y506+AA506+AC506)</f>
        <v/>
      </c>
      <c r="AF506" s="140" t="n"/>
      <c r="AG506" s="138" t="n"/>
      <c r="AH506" s="16" t="n"/>
      <c r="AI506" s="138" t="n"/>
      <c r="AJ506" s="16" t="n"/>
      <c r="AK506" s="138" t="n"/>
      <c r="AL506" s="16" t="n"/>
      <c r="AM506" s="138" t="n"/>
      <c r="AN506" s="16" t="n"/>
      <c r="AO506" s="138" t="n"/>
      <c r="AP506" s="16" t="n"/>
      <c r="AQ506" s="138" t="n"/>
      <c r="AR506" s="16" t="n"/>
      <c r="AS506" s="138" t="n"/>
      <c r="AT506" s="16" t="n"/>
      <c r="AU506" s="138" t="n"/>
      <c r="AV506" s="16" t="n"/>
      <c r="AW506" s="138" t="n"/>
      <c r="AX506" s="16" t="n"/>
      <c r="AY506" s="138" t="n"/>
      <c r="AZ506" s="16">
        <f>AF506+AH506+AJ506+AL506+AN506+AP506+AR506+AT506+AV506+AX506</f>
        <v/>
      </c>
      <c r="BA506" s="16" t="n"/>
      <c r="BB506" s="139" t="n"/>
      <c r="BC506" s="16" t="n"/>
      <c r="BD506" s="139" t="n"/>
      <c r="BE506" s="16">
        <f>(BA506+BC506)</f>
        <v/>
      </c>
    </row>
    <row r="507" ht="22.5" customFormat="1" customHeight="1" s="8">
      <c r="A507" s="9" t="n"/>
      <c r="B507" s="136" t="inlineStr">
        <is>
          <t>AL 스티커</t>
        </is>
      </c>
      <c r="C507" s="137" t="inlineStr">
        <is>
          <t>공용</t>
        </is>
      </c>
      <c r="D507" s="79" t="inlineStr">
        <is>
          <t>DEXCOWIN NAME PLATE</t>
        </is>
      </c>
      <c r="E507" s="13" t="inlineStr">
        <is>
          <t>가방용</t>
        </is>
      </c>
      <c r="F507" s="99" t="n"/>
      <c r="G507" s="9" t="n"/>
      <c r="H507" s="9" t="inlineStr">
        <is>
          <t>에덴상공사</t>
        </is>
      </c>
      <c r="I507" s="14" t="n"/>
      <c r="J507" s="14" t="n"/>
      <c r="K507" s="12" t="n">
        <v>0</v>
      </c>
      <c r="L507" s="9" t="n"/>
      <c r="M507" s="9" t="n"/>
      <c r="N507" s="9" t="n"/>
      <c r="O507" s="40">
        <f>K507+V507-AE507-AZ507</f>
        <v/>
      </c>
      <c r="P507" s="12" t="n"/>
      <c r="Q507" s="138" t="n"/>
      <c r="R507" s="16" t="n"/>
      <c r="S507" s="139" t="n"/>
      <c r="T507" s="16" t="n"/>
      <c r="U507" s="139" t="n"/>
      <c r="V507" s="16">
        <f>P507+R507+T507</f>
        <v/>
      </c>
      <c r="W507" s="16" t="n"/>
      <c r="X507" s="139" t="n"/>
      <c r="Y507" s="16" t="n"/>
      <c r="Z507" s="139" t="n"/>
      <c r="AA507" s="16" t="n"/>
      <c r="AB507" s="139" t="n"/>
      <c r="AC507" s="16" t="n"/>
      <c r="AD507" s="139" t="n"/>
      <c r="AE507" s="16">
        <f>(W507+Y507+AA507+AC507)</f>
        <v/>
      </c>
      <c r="AF507" s="140" t="n"/>
      <c r="AG507" s="138" t="n"/>
      <c r="AH507" s="16" t="n"/>
      <c r="AI507" s="138" t="n"/>
      <c r="AJ507" s="16" t="n"/>
      <c r="AK507" s="138" t="n"/>
      <c r="AL507" s="16" t="n"/>
      <c r="AM507" s="138" t="n"/>
      <c r="AN507" s="16" t="n"/>
      <c r="AO507" s="138" t="n"/>
      <c r="AP507" s="16" t="n"/>
      <c r="AQ507" s="138" t="n"/>
      <c r="AR507" s="16" t="n"/>
      <c r="AS507" s="138" t="n"/>
      <c r="AT507" s="16" t="n"/>
      <c r="AU507" s="138" t="n"/>
      <c r="AV507" s="16" t="n"/>
      <c r="AW507" s="138" t="n"/>
      <c r="AX507" s="16" t="n"/>
      <c r="AY507" s="138" t="n"/>
      <c r="AZ507" s="16">
        <f>AF507+AH507+AJ507+AL507+AN507+AP507+AR507+AT507+AV507+AX507</f>
        <v/>
      </c>
      <c r="BA507" s="16" t="n"/>
      <c r="BB507" s="139" t="n"/>
      <c r="BC507" s="16" t="n"/>
      <c r="BD507" s="139" t="n"/>
      <c r="BE507" s="16">
        <f>(BA507+BC507)</f>
        <v/>
      </c>
    </row>
    <row r="508" ht="22.5" customFormat="1" customHeight="1" s="8">
      <c r="A508" s="9" t="n"/>
      <c r="B508" s="136" t="inlineStr">
        <is>
          <t>에폭시 스티커</t>
        </is>
      </c>
      <c r="C508" s="137" t="inlineStr">
        <is>
          <t>ADX6000S</t>
        </is>
      </c>
      <c r="D508" s="65" t="inlineStr">
        <is>
          <t>손잡이 에폭시 스티커</t>
        </is>
      </c>
      <c r="E508" s="13" t="n"/>
      <c r="F508" s="99" t="n"/>
      <c r="G508" s="9" t="n"/>
      <c r="H508" s="24" t="inlineStr">
        <is>
          <t>거광에폭시</t>
        </is>
      </c>
      <c r="I508" s="14" t="n"/>
      <c r="J508" s="14" t="n"/>
      <c r="K508" s="12" t="n">
        <v>0</v>
      </c>
      <c r="L508" s="9" t="n"/>
      <c r="M508" s="9" t="n"/>
      <c r="N508" s="9" t="n"/>
      <c r="O508" s="40">
        <f>K508+V508-AE508-AZ508</f>
        <v/>
      </c>
      <c r="P508" s="12" t="n"/>
      <c r="Q508" s="138" t="n"/>
      <c r="R508" s="16" t="n"/>
      <c r="S508" s="139" t="n"/>
      <c r="T508" s="16" t="n"/>
      <c r="U508" s="139" t="n"/>
      <c r="V508" s="16">
        <f>P508+R508+T508</f>
        <v/>
      </c>
      <c r="W508" s="16" t="n"/>
      <c r="X508" s="139" t="n"/>
      <c r="Y508" s="16" t="n"/>
      <c r="Z508" s="139" t="n"/>
      <c r="AA508" s="16" t="n"/>
      <c r="AB508" s="139" t="n"/>
      <c r="AC508" s="16" t="n"/>
      <c r="AD508" s="139" t="n"/>
      <c r="AE508" s="16">
        <f>(W508+Y508+AA508+AC508)</f>
        <v/>
      </c>
      <c r="AF508" s="140" t="n"/>
      <c r="AG508" s="138" t="n"/>
      <c r="AH508" s="16" t="n"/>
      <c r="AI508" s="138" t="n"/>
      <c r="AJ508" s="16" t="n"/>
      <c r="AK508" s="138" t="n"/>
      <c r="AL508" s="16" t="n"/>
      <c r="AM508" s="138" t="n"/>
      <c r="AN508" s="16" t="n"/>
      <c r="AO508" s="138" t="n"/>
      <c r="AP508" s="16" t="n"/>
      <c r="AQ508" s="138" t="n"/>
      <c r="AR508" s="16" t="n"/>
      <c r="AS508" s="138" t="n"/>
      <c r="AT508" s="16" t="n"/>
      <c r="AU508" s="138" t="n"/>
      <c r="AV508" s="16" t="n"/>
      <c r="AW508" s="138" t="n"/>
      <c r="AX508" s="16" t="n"/>
      <c r="AY508" s="138" t="n"/>
      <c r="AZ508" s="16">
        <f>AF508+AH508+AJ508+AL508+AN508+AP508+AR508+AT508+AV508+AX508</f>
        <v/>
      </c>
      <c r="BA508" s="16" t="n"/>
      <c r="BB508" s="139" t="n"/>
      <c r="BC508" s="16" t="n"/>
      <c r="BD508" s="139" t="n"/>
      <c r="BE508" s="16">
        <f>(BA508+BC508)</f>
        <v/>
      </c>
    </row>
    <row r="509" ht="22.5" customFormat="1" customHeight="1" s="8">
      <c r="A509" s="9" t="n"/>
      <c r="B509" s="136" t="inlineStr">
        <is>
          <t>패드</t>
        </is>
      </c>
      <c r="C509" s="137" t="inlineStr">
        <is>
          <t>공용</t>
        </is>
      </c>
      <c r="D509" s="65" t="inlineStr">
        <is>
          <t>패드</t>
        </is>
      </c>
      <c r="E509" s="13" t="n"/>
      <c r="F509" s="99" t="n"/>
      <c r="G509" s="9" t="n"/>
      <c r="H509" s="9" t="inlineStr">
        <is>
          <t>가온패드</t>
        </is>
      </c>
      <c r="I509" s="14" t="n"/>
      <c r="J509" s="14" t="n"/>
      <c r="K509" s="12" t="n">
        <v>0</v>
      </c>
      <c r="L509" s="9" t="n"/>
      <c r="M509" s="9" t="n"/>
      <c r="N509" s="9" t="n"/>
      <c r="O509" s="40">
        <f>K509+V509-AE509-AZ509</f>
        <v/>
      </c>
      <c r="P509" s="12" t="n"/>
      <c r="Q509" s="138" t="n"/>
      <c r="R509" s="16" t="n"/>
      <c r="S509" s="139" t="n"/>
      <c r="T509" s="16" t="n"/>
      <c r="U509" s="139" t="n"/>
      <c r="V509" s="16">
        <f>P509+R509+T509</f>
        <v/>
      </c>
      <c r="W509" s="16" t="n"/>
      <c r="X509" s="139" t="n"/>
      <c r="Y509" s="16" t="n"/>
      <c r="Z509" s="139" t="n"/>
      <c r="AA509" s="16" t="n"/>
      <c r="AB509" s="139" t="n"/>
      <c r="AC509" s="16" t="n"/>
      <c r="AD509" s="139" t="n"/>
      <c r="AE509" s="16">
        <f>(W509+Y509+AA509+AC509)</f>
        <v/>
      </c>
      <c r="AF509" s="140" t="n"/>
      <c r="AG509" s="138" t="n"/>
      <c r="AH509" s="16" t="n"/>
      <c r="AI509" s="138" t="n"/>
      <c r="AJ509" s="16" t="n"/>
      <c r="AK509" s="138" t="n"/>
      <c r="AL509" s="16" t="n"/>
      <c r="AM509" s="138" t="n"/>
      <c r="AN509" s="16" t="n"/>
      <c r="AO509" s="138" t="n"/>
      <c r="AP509" s="16" t="n"/>
      <c r="AQ509" s="138" t="n"/>
      <c r="AR509" s="16" t="n"/>
      <c r="AS509" s="138" t="n"/>
      <c r="AT509" s="16" t="n"/>
      <c r="AU509" s="138" t="n"/>
      <c r="AV509" s="16" t="n"/>
      <c r="AW509" s="138" t="n"/>
      <c r="AX509" s="16" t="n"/>
      <c r="AY509" s="138" t="n"/>
      <c r="AZ509" s="16">
        <f>AF509+AH509+AJ509+AL509+AN509+AP509+AR509+AT509+AV509+AX509</f>
        <v/>
      </c>
      <c r="BA509" s="16" t="n"/>
      <c r="BB509" s="139" t="n"/>
      <c r="BC509" s="16" t="n"/>
      <c r="BD509" s="139" t="n"/>
      <c r="BE509" s="16">
        <f>(BA509+BC509)</f>
        <v/>
      </c>
    </row>
    <row r="510" ht="22.5" customFormat="1" customHeight="1" s="8">
      <c r="A510" s="9" t="n"/>
      <c r="B510" s="136" t="inlineStr">
        <is>
          <t>카메라</t>
        </is>
      </c>
      <c r="C510" s="137" t="inlineStr">
        <is>
          <t>공용</t>
        </is>
      </c>
      <c r="D510" s="63" t="inlineStr">
        <is>
          <t>구강 카메라</t>
        </is>
      </c>
      <c r="E510" s="13" t="n"/>
      <c r="F510" s="99" t="n"/>
      <c r="G510" s="9" t="n"/>
      <c r="H510" s="9" t="n"/>
      <c r="I510" s="14" t="n"/>
      <c r="J510" s="14" t="n"/>
      <c r="K510" s="12" t="n">
        <v>0</v>
      </c>
      <c r="L510" s="9" t="n"/>
      <c r="M510" s="9" t="n"/>
      <c r="N510" s="9" t="n"/>
      <c r="O510" s="40">
        <f>K510+V510-AE510-AZ510</f>
        <v/>
      </c>
      <c r="P510" s="12" t="n"/>
      <c r="Q510" s="138" t="n"/>
      <c r="R510" s="16" t="n"/>
      <c r="S510" s="139" t="n"/>
      <c r="T510" s="16" t="n"/>
      <c r="U510" s="139" t="n"/>
      <c r="V510" s="16">
        <f>P510+R510+T510</f>
        <v/>
      </c>
      <c r="W510" s="16" t="n"/>
      <c r="X510" s="139" t="n"/>
      <c r="Y510" s="16" t="n"/>
      <c r="Z510" s="139" t="n"/>
      <c r="AA510" s="16" t="n"/>
      <c r="AB510" s="139" t="n"/>
      <c r="AC510" s="16" t="n"/>
      <c r="AD510" s="139" t="n"/>
      <c r="AE510" s="16">
        <f>(W510+Y510+AA510+AC510)</f>
        <v/>
      </c>
      <c r="AF510" s="140" t="n"/>
      <c r="AG510" s="138" t="n"/>
      <c r="AH510" s="16" t="n"/>
      <c r="AI510" s="138" t="n"/>
      <c r="AJ510" s="16" t="n"/>
      <c r="AK510" s="138" t="n"/>
      <c r="AL510" s="16" t="n"/>
      <c r="AM510" s="138" t="n"/>
      <c r="AN510" s="16" t="n"/>
      <c r="AO510" s="138" t="n"/>
      <c r="AP510" s="16" t="n"/>
      <c r="AQ510" s="138" t="n"/>
      <c r="AR510" s="16" t="n"/>
      <c r="AS510" s="138" t="n"/>
      <c r="AT510" s="16" t="n"/>
      <c r="AU510" s="138" t="n"/>
      <c r="AV510" s="16" t="n"/>
      <c r="AW510" s="138" t="n"/>
      <c r="AX510" s="16" t="n"/>
      <c r="AY510" s="138" t="n"/>
      <c r="AZ510" s="16">
        <f>AF510+AH510+AJ510+AL510+AN510+AP510+AR510+AT510+AV510+AX510</f>
        <v/>
      </c>
      <c r="BA510" s="16" t="n"/>
      <c r="BB510" s="139" t="n"/>
      <c r="BC510" s="16" t="n"/>
      <c r="BD510" s="139" t="n"/>
      <c r="BE510" s="16">
        <f>(BA510+BC510)</f>
        <v/>
      </c>
    </row>
    <row r="511" ht="22.5" customFormat="1" customHeight="1" s="8">
      <c r="A511" s="9" t="n"/>
      <c r="B511" s="136" t="inlineStr">
        <is>
          <t>센서 케이스</t>
        </is>
      </c>
      <c r="C511" s="137" t="inlineStr">
        <is>
          <t>공용</t>
        </is>
      </c>
      <c r="D511" s="60" t="inlineStr">
        <is>
          <t>330N 센서 케이스</t>
        </is>
      </c>
      <c r="E511" s="13" t="n"/>
      <c r="F511" s="99" t="n"/>
      <c r="G511" s="9" t="n"/>
      <c r="H511" s="9" t="inlineStr">
        <is>
          <t>다우정밀</t>
        </is>
      </c>
      <c r="I511" s="14" t="n"/>
      <c r="J511" s="14" t="n"/>
      <c r="K511" s="12" t="n">
        <v>0</v>
      </c>
      <c r="L511" s="9" t="n"/>
      <c r="M511" s="9" t="n"/>
      <c r="N511" s="9" t="n"/>
      <c r="O511" s="40">
        <f>K511+V511-AE511-AZ511</f>
        <v/>
      </c>
      <c r="P511" s="12" t="n"/>
      <c r="Q511" s="138" t="n"/>
      <c r="R511" s="16" t="n"/>
      <c r="S511" s="139" t="n"/>
      <c r="T511" s="16" t="n"/>
      <c r="U511" s="139" t="n"/>
      <c r="V511" s="16">
        <f>P511+R511+T511</f>
        <v/>
      </c>
      <c r="W511" s="16" t="n"/>
      <c r="X511" s="139" t="n"/>
      <c r="Y511" s="16" t="n"/>
      <c r="Z511" s="139" t="n"/>
      <c r="AA511" s="16" t="n"/>
      <c r="AB511" s="139" t="n"/>
      <c r="AC511" s="16" t="n"/>
      <c r="AD511" s="139" t="n"/>
      <c r="AE511" s="16">
        <f>(W511+Y511+AA511+AC511)</f>
        <v/>
      </c>
      <c r="AF511" s="140" t="n"/>
      <c r="AG511" s="138" t="n"/>
      <c r="AH511" s="16" t="n"/>
      <c r="AI511" s="138" t="n"/>
      <c r="AJ511" s="16" t="n"/>
      <c r="AK511" s="138" t="n"/>
      <c r="AL511" s="16" t="n"/>
      <c r="AM511" s="138" t="n"/>
      <c r="AN511" s="16" t="n"/>
      <c r="AO511" s="138" t="n"/>
      <c r="AP511" s="16" t="n"/>
      <c r="AQ511" s="138" t="n"/>
      <c r="AR511" s="16" t="n"/>
      <c r="AS511" s="138" t="n"/>
      <c r="AT511" s="16" t="n"/>
      <c r="AU511" s="138" t="n"/>
      <c r="AV511" s="16" t="n"/>
      <c r="AW511" s="138" t="n"/>
      <c r="AX511" s="16" t="n"/>
      <c r="AY511" s="138" t="n"/>
      <c r="AZ511" s="16">
        <f>AF511+AH511+AJ511+AL511+AN511+AP511+AR511+AT511+AV511+AX511</f>
        <v/>
      </c>
      <c r="BA511" s="16" t="n"/>
      <c r="BB511" s="139" t="n"/>
      <c r="BC511" s="16" t="n"/>
      <c r="BD511" s="139" t="n"/>
      <c r="BE511" s="16">
        <f>(BA511+BC511)</f>
        <v/>
      </c>
    </row>
    <row r="512" ht="22.5" customFormat="1" customHeight="1" s="8">
      <c r="A512" s="9" t="n"/>
      <c r="B512" s="136" t="inlineStr">
        <is>
          <t>센서</t>
        </is>
      </c>
      <c r="C512" s="137" t="inlineStr">
        <is>
          <t>공용</t>
        </is>
      </c>
      <c r="D512" s="60" t="inlineStr">
        <is>
          <t>17*17 DRTECH 센서</t>
        </is>
      </c>
      <c r="E512" s="13" t="n"/>
      <c r="F512" s="99" t="n"/>
      <c r="G512" s="9" t="n"/>
      <c r="H512" s="9" t="inlineStr">
        <is>
          <t>디알텍</t>
        </is>
      </c>
      <c r="I512" s="14" t="n"/>
      <c r="J512" s="14" t="n"/>
      <c r="K512" s="12" t="n">
        <v>0</v>
      </c>
      <c r="L512" s="9" t="n"/>
      <c r="M512" s="9" t="n"/>
      <c r="N512" s="9" t="n"/>
      <c r="O512" s="40">
        <f>K512+V512-AE512-AZ512</f>
        <v/>
      </c>
      <c r="P512" s="12" t="n"/>
      <c r="Q512" s="138" t="n"/>
      <c r="R512" s="16" t="n"/>
      <c r="S512" s="139" t="n"/>
      <c r="T512" s="16" t="n"/>
      <c r="U512" s="139" t="n"/>
      <c r="V512" s="16">
        <f>P512+R512+T512</f>
        <v/>
      </c>
      <c r="W512" s="16" t="n"/>
      <c r="X512" s="139" t="n"/>
      <c r="Y512" s="16" t="n"/>
      <c r="Z512" s="139" t="n"/>
      <c r="AA512" s="16" t="n"/>
      <c r="AB512" s="139" t="n"/>
      <c r="AC512" s="16" t="n"/>
      <c r="AD512" s="139" t="n"/>
      <c r="AE512" s="16">
        <f>(W512+Y512+AA512+AC512)</f>
        <v/>
      </c>
      <c r="AF512" s="140" t="n"/>
      <c r="AG512" s="138" t="n"/>
      <c r="AH512" s="16" t="n"/>
      <c r="AI512" s="138" t="n"/>
      <c r="AJ512" s="16" t="n"/>
      <c r="AK512" s="138" t="n"/>
      <c r="AL512" s="16" t="n"/>
      <c r="AM512" s="138" t="n"/>
      <c r="AN512" s="16" t="n"/>
      <c r="AO512" s="138" t="n"/>
      <c r="AP512" s="16" t="n"/>
      <c r="AQ512" s="138" t="n"/>
      <c r="AR512" s="16" t="n"/>
      <c r="AS512" s="138" t="n"/>
      <c r="AT512" s="16" t="n"/>
      <c r="AU512" s="138" t="n"/>
      <c r="AV512" s="16" t="n"/>
      <c r="AW512" s="138" t="n"/>
      <c r="AX512" s="16" t="n"/>
      <c r="AY512" s="138" t="n"/>
      <c r="AZ512" s="16">
        <f>AF512+AH512+AJ512+AL512+AN512+AP512+AR512+AT512+AV512+AX512</f>
        <v/>
      </c>
      <c r="BA512" s="16" t="n"/>
      <c r="BB512" s="139" t="n"/>
      <c r="BC512" s="16" t="n"/>
      <c r="BD512" s="139" t="n"/>
      <c r="BE512" s="16">
        <f>(BA512+BC512)</f>
        <v/>
      </c>
    </row>
    <row r="513" ht="22.5" customFormat="1" customHeight="1" s="8">
      <c r="A513" s="9" t="n"/>
      <c r="B513" s="136" t="inlineStr">
        <is>
          <t>센서</t>
        </is>
      </c>
      <c r="C513" s="137" t="inlineStr">
        <is>
          <t>공용</t>
        </is>
      </c>
      <c r="D513" s="60" t="inlineStr">
        <is>
          <t>330N DRTECH 센서</t>
        </is>
      </c>
      <c r="E513" s="13" t="n"/>
      <c r="F513" s="99" t="n"/>
      <c r="G513" s="9" t="n"/>
      <c r="H513" s="9" t="inlineStr">
        <is>
          <t>디알텍</t>
        </is>
      </c>
      <c r="I513" s="14" t="n"/>
      <c r="J513" s="14" t="n"/>
      <c r="K513" s="12" t="n">
        <v>0</v>
      </c>
      <c r="L513" s="9" t="n"/>
      <c r="M513" s="9" t="n"/>
      <c r="N513" s="9" t="n"/>
      <c r="O513" s="40">
        <f>K513+V513-AE513-AZ513</f>
        <v/>
      </c>
      <c r="P513" s="12" t="n"/>
      <c r="Q513" s="138" t="n"/>
      <c r="R513" s="16" t="n"/>
      <c r="S513" s="139" t="n"/>
      <c r="T513" s="16" t="n"/>
      <c r="U513" s="139" t="n"/>
      <c r="V513" s="16">
        <f>P513+R513+T513</f>
        <v/>
      </c>
      <c r="W513" s="16" t="n"/>
      <c r="X513" s="139" t="n"/>
      <c r="Y513" s="16" t="n"/>
      <c r="Z513" s="139" t="n"/>
      <c r="AA513" s="16" t="n"/>
      <c r="AB513" s="139" t="n"/>
      <c r="AC513" s="16" t="n"/>
      <c r="AD513" s="139" t="n"/>
      <c r="AE513" s="16">
        <f>(W513+Y513+AA513+AC513)</f>
        <v/>
      </c>
      <c r="AF513" s="140" t="n"/>
      <c r="AG513" s="138" t="n"/>
      <c r="AH513" s="16" t="n"/>
      <c r="AI513" s="138" t="n"/>
      <c r="AJ513" s="16" t="n"/>
      <c r="AK513" s="138" t="n"/>
      <c r="AL513" s="16" t="n"/>
      <c r="AM513" s="138" t="n"/>
      <c r="AN513" s="16" t="n"/>
      <c r="AO513" s="138" t="n"/>
      <c r="AP513" s="16" t="n"/>
      <c r="AQ513" s="138" t="n"/>
      <c r="AR513" s="16" t="n"/>
      <c r="AS513" s="138" t="n"/>
      <c r="AT513" s="16" t="n"/>
      <c r="AU513" s="138" t="n"/>
      <c r="AV513" s="16" t="n"/>
      <c r="AW513" s="138" t="n"/>
      <c r="AX513" s="16" t="n"/>
      <c r="AY513" s="138" t="n"/>
      <c r="AZ513" s="16">
        <f>AF513+AH513+AJ513+AL513+AN513+AP513+AR513+AT513+AV513+AX513</f>
        <v/>
      </c>
      <c r="BA513" s="16" t="n"/>
      <c r="BB513" s="139" t="n"/>
      <c r="BC513" s="16" t="n"/>
      <c r="BD513" s="139" t="n"/>
      <c r="BE513" s="16">
        <f>(BA513+BC513)</f>
        <v/>
      </c>
    </row>
    <row r="514" ht="22.5" customFormat="1" customHeight="1" s="8">
      <c r="A514" s="9" t="n"/>
      <c r="B514" s="136" t="inlineStr">
        <is>
          <t>센서</t>
        </is>
      </c>
      <c r="C514" s="137" t="inlineStr">
        <is>
          <t>공용</t>
        </is>
      </c>
      <c r="D514" s="60" t="inlineStr">
        <is>
          <t>810 DRTECH 센서</t>
        </is>
      </c>
      <c r="E514" s="13" t="n"/>
      <c r="F514" s="99" t="n"/>
      <c r="G514" s="9" t="n"/>
      <c r="H514" s="9" t="inlineStr">
        <is>
          <t>디알텍</t>
        </is>
      </c>
      <c r="I514" s="14" t="n"/>
      <c r="J514" s="14" t="n"/>
      <c r="K514" s="12" t="n">
        <v>0</v>
      </c>
      <c r="L514" s="9" t="n"/>
      <c r="M514" s="9" t="n"/>
      <c r="N514" s="9" t="n"/>
      <c r="O514" s="40">
        <f>K514+V514-AE514-AZ514</f>
        <v/>
      </c>
      <c r="P514" s="12" t="n"/>
      <c r="Q514" s="138" t="n"/>
      <c r="R514" s="16" t="n"/>
      <c r="S514" s="139" t="n"/>
      <c r="T514" s="16" t="n"/>
      <c r="U514" s="139" t="n"/>
      <c r="V514" s="16">
        <f>P514+R514+T514</f>
        <v/>
      </c>
      <c r="W514" s="16" t="n"/>
      <c r="X514" s="139" t="n"/>
      <c r="Y514" s="16" t="n"/>
      <c r="Z514" s="139" t="n"/>
      <c r="AA514" s="16" t="n"/>
      <c r="AB514" s="139" t="n"/>
      <c r="AC514" s="16" t="n"/>
      <c r="AD514" s="139" t="n"/>
      <c r="AE514" s="16">
        <f>(W514+Y514+AA514+AC514)</f>
        <v/>
      </c>
      <c r="AF514" s="140" t="n"/>
      <c r="AG514" s="138" t="n"/>
      <c r="AH514" s="16" t="n"/>
      <c r="AI514" s="138" t="n"/>
      <c r="AJ514" s="16" t="n"/>
      <c r="AK514" s="138" t="n"/>
      <c r="AL514" s="16" t="n"/>
      <c r="AM514" s="138" t="n"/>
      <c r="AN514" s="16" t="n"/>
      <c r="AO514" s="138" t="n"/>
      <c r="AP514" s="16" t="n"/>
      <c r="AQ514" s="138" t="n"/>
      <c r="AR514" s="16" t="n"/>
      <c r="AS514" s="138" t="n"/>
      <c r="AT514" s="16" t="n"/>
      <c r="AU514" s="138" t="n"/>
      <c r="AV514" s="16" t="n"/>
      <c r="AW514" s="138" t="n"/>
      <c r="AX514" s="16" t="n"/>
      <c r="AY514" s="138" t="n"/>
      <c r="AZ514" s="16">
        <f>AF514+AH514+AJ514+AL514+AN514+AP514+AR514+AT514+AV514+AX514</f>
        <v/>
      </c>
      <c r="BA514" s="16" t="n"/>
      <c r="BB514" s="139" t="n"/>
      <c r="BC514" s="16" t="n"/>
      <c r="BD514" s="139" t="n"/>
      <c r="BE514" s="16">
        <f>(BA514+BC514)</f>
        <v/>
      </c>
    </row>
    <row r="515" ht="22.5" customFormat="1" customHeight="1" s="8">
      <c r="A515" s="9" t="n"/>
      <c r="B515" s="136" t="inlineStr">
        <is>
          <t>센서</t>
        </is>
      </c>
      <c r="C515" s="137" t="inlineStr">
        <is>
          <t>공용</t>
        </is>
      </c>
      <c r="D515" s="60" t="inlineStr">
        <is>
          <t>HDI 1000 [Rex2 Classic/1.5]</t>
        </is>
      </c>
      <c r="E515" s="13" t="n"/>
      <c r="F515" s="99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40">
        <f>K515+V515-AE515-AZ515</f>
        <v/>
      </c>
      <c r="P515" s="12" t="n"/>
      <c r="Q515" s="138" t="n"/>
      <c r="R515" s="16" t="n"/>
      <c r="S515" s="139" t="n"/>
      <c r="T515" s="16" t="n"/>
      <c r="U515" s="139" t="n"/>
      <c r="V515" s="16">
        <f>P515+R515+T515</f>
        <v/>
      </c>
      <c r="W515" s="16" t="n"/>
      <c r="X515" s="139" t="n"/>
      <c r="Y515" s="16" t="n"/>
      <c r="Z515" s="139" t="n"/>
      <c r="AA515" s="16" t="n"/>
      <c r="AB515" s="139" t="n"/>
      <c r="AC515" s="16" t="n"/>
      <c r="AD515" s="139" t="n"/>
      <c r="AE515" s="16">
        <f>(W515+Y515+AA515+AC515)</f>
        <v/>
      </c>
      <c r="AF515" s="140" t="n"/>
      <c r="AG515" s="138" t="n"/>
      <c r="AH515" s="16" t="n"/>
      <c r="AI515" s="138" t="n"/>
      <c r="AJ515" s="16" t="n"/>
      <c r="AK515" s="138" t="n"/>
      <c r="AL515" s="16" t="n"/>
      <c r="AM515" s="138" t="n"/>
      <c r="AN515" s="16" t="n"/>
      <c r="AO515" s="138" t="n"/>
      <c r="AP515" s="16" t="n"/>
      <c r="AQ515" s="138" t="n"/>
      <c r="AR515" s="16" t="n"/>
      <c r="AS515" s="138" t="n"/>
      <c r="AT515" s="16" t="n"/>
      <c r="AU515" s="138" t="n"/>
      <c r="AV515" s="16" t="n"/>
      <c r="AW515" s="138" t="n"/>
      <c r="AX515" s="16" t="n"/>
      <c r="AY515" s="138" t="n"/>
      <c r="AZ515" s="16">
        <f>AF515+AH515+AJ515+AL515+AN515+AP515+AR515+AT515+AV515+AX515</f>
        <v/>
      </c>
      <c r="BA515" s="16" t="n"/>
      <c r="BB515" s="139" t="n"/>
      <c r="BC515" s="16" t="n"/>
      <c r="BD515" s="139" t="n"/>
      <c r="BE515" s="16">
        <f>(BA515+BC515)</f>
        <v/>
      </c>
    </row>
    <row r="516" ht="22.5" customFormat="1" customHeight="1" s="8">
      <c r="A516" s="9" t="n"/>
      <c r="B516" s="136" t="inlineStr">
        <is>
          <t>센서</t>
        </is>
      </c>
      <c r="C516" s="137" t="inlineStr">
        <is>
          <t>공용</t>
        </is>
      </c>
      <c r="D516" s="60" t="inlineStr">
        <is>
          <t>HDI 2000 [Rex2 Premium/1.5]</t>
        </is>
      </c>
      <c r="E516" s="13" t="n"/>
      <c r="F516" s="99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40">
        <f>K516+V516-AE516-AZ516</f>
        <v/>
      </c>
      <c r="P516" s="12" t="n"/>
      <c r="Q516" s="138" t="n"/>
      <c r="R516" s="16" t="n"/>
      <c r="S516" s="139" t="n"/>
      <c r="T516" s="16" t="n"/>
      <c r="U516" s="139" t="n"/>
      <c r="V516" s="16">
        <f>P516+R516+T516</f>
        <v/>
      </c>
      <c r="W516" s="16" t="n"/>
      <c r="X516" s="139" t="n"/>
      <c r="Y516" s="16" t="n"/>
      <c r="Z516" s="139" t="n"/>
      <c r="AA516" s="16" t="n"/>
      <c r="AB516" s="139" t="n"/>
      <c r="AC516" s="16" t="n"/>
      <c r="AD516" s="139" t="n"/>
      <c r="AE516" s="16">
        <f>(W516+Y516+AA516+AC516)</f>
        <v/>
      </c>
      <c r="AF516" s="140" t="n"/>
      <c r="AG516" s="138" t="n"/>
      <c r="AH516" s="16" t="n"/>
      <c r="AI516" s="138" t="n"/>
      <c r="AJ516" s="16" t="n"/>
      <c r="AK516" s="138" t="n"/>
      <c r="AL516" s="16" t="n"/>
      <c r="AM516" s="138" t="n"/>
      <c r="AN516" s="16" t="n"/>
      <c r="AO516" s="138" t="n"/>
      <c r="AP516" s="16" t="n"/>
      <c r="AQ516" s="138" t="n"/>
      <c r="AR516" s="16" t="n"/>
      <c r="AS516" s="138" t="n"/>
      <c r="AT516" s="16" t="n"/>
      <c r="AU516" s="138" t="n"/>
      <c r="AV516" s="16" t="n"/>
      <c r="AW516" s="138" t="n"/>
      <c r="AX516" s="16" t="n"/>
      <c r="AY516" s="138" t="n"/>
      <c r="AZ516" s="16">
        <f>AF516+AH516+AJ516+AL516+AN516+AP516+AR516+AT516+AV516+AX516</f>
        <v/>
      </c>
      <c r="BA516" s="16" t="n"/>
      <c r="BB516" s="139" t="n"/>
      <c r="BC516" s="16" t="n"/>
      <c r="BD516" s="139" t="n"/>
      <c r="BE516" s="16">
        <f>(BA516+BC516)</f>
        <v/>
      </c>
    </row>
    <row r="517" ht="22.5" customFormat="1" customHeight="1" s="8">
      <c r="A517" s="9" t="n"/>
      <c r="B517" s="136" t="inlineStr">
        <is>
          <t>센서</t>
        </is>
      </c>
      <c r="C517" s="137" t="inlineStr">
        <is>
          <t>공용</t>
        </is>
      </c>
      <c r="D517" s="60" t="inlineStr">
        <is>
          <t>HDI 2000 [Rex2 Premium/2.0]</t>
        </is>
      </c>
      <c r="E517" s="13" t="n"/>
      <c r="F517" s="99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40">
        <f>K517+V517-AE517-AZ517</f>
        <v/>
      </c>
      <c r="P517" s="12" t="n"/>
      <c r="Q517" s="138" t="n"/>
      <c r="R517" s="16" t="n"/>
      <c r="S517" s="139" t="n"/>
      <c r="T517" s="16" t="n"/>
      <c r="U517" s="139" t="n"/>
      <c r="V517" s="16">
        <f>P517+R517+T517</f>
        <v/>
      </c>
      <c r="W517" s="16" t="n"/>
      <c r="X517" s="139" t="n"/>
      <c r="Y517" s="16" t="n"/>
      <c r="Z517" s="139" t="n"/>
      <c r="AA517" s="16" t="n"/>
      <c r="AB517" s="139" t="n"/>
      <c r="AC517" s="16" t="n"/>
      <c r="AD517" s="139" t="n"/>
      <c r="AE517" s="16">
        <f>(W517+Y517+AA517+AC517)</f>
        <v/>
      </c>
      <c r="AF517" s="140" t="n"/>
      <c r="AG517" s="138" t="n"/>
      <c r="AH517" s="16" t="n"/>
      <c r="AI517" s="138" t="n"/>
      <c r="AJ517" s="16" t="n"/>
      <c r="AK517" s="138" t="n"/>
      <c r="AL517" s="16" t="n"/>
      <c r="AM517" s="138" t="n"/>
      <c r="AN517" s="16" t="n"/>
      <c r="AO517" s="138" t="n"/>
      <c r="AP517" s="16" t="n"/>
      <c r="AQ517" s="138" t="n"/>
      <c r="AR517" s="16" t="n"/>
      <c r="AS517" s="138" t="n"/>
      <c r="AT517" s="16" t="n"/>
      <c r="AU517" s="138" t="n"/>
      <c r="AV517" s="16" t="n"/>
      <c r="AW517" s="138" t="n"/>
      <c r="AX517" s="16" t="n"/>
      <c r="AY517" s="138" t="n"/>
      <c r="AZ517" s="16">
        <f>AF517+AH517+AJ517+AL517+AN517+AP517+AR517+AT517+AV517+AX517</f>
        <v/>
      </c>
      <c r="BA517" s="16" t="n"/>
      <c r="BB517" s="139" t="n"/>
      <c r="BC517" s="16" t="n"/>
      <c r="BD517" s="139" t="n"/>
      <c r="BE517" s="16">
        <f>(BA517+BC517)</f>
        <v/>
      </c>
    </row>
    <row r="518" ht="22.5" customFormat="1" customHeight="1" s="8">
      <c r="A518" s="9" t="n"/>
      <c r="B518" s="136" t="inlineStr">
        <is>
          <t>센서</t>
        </is>
      </c>
      <c r="C518" s="137" t="inlineStr">
        <is>
          <t>공용</t>
        </is>
      </c>
      <c r="D518" s="60" t="inlineStr">
        <is>
          <t>HDI-S [Rex2 Premium/1.0]</t>
        </is>
      </c>
      <c r="E518" s="13" t="n"/>
      <c r="F518" s="99" t="n"/>
      <c r="G518" s="9" t="n"/>
      <c r="H518" s="9" t="inlineStr">
        <is>
          <t>레이언스</t>
        </is>
      </c>
      <c r="I518" s="14" t="n"/>
      <c r="J518" s="14" t="n"/>
      <c r="K518" s="12" t="n">
        <v>0</v>
      </c>
      <c r="L518" s="9" t="n"/>
      <c r="M518" s="9" t="n"/>
      <c r="N518" s="9" t="n"/>
      <c r="O518" s="40">
        <f>K518+V518-AE518-AZ518</f>
        <v/>
      </c>
      <c r="P518" s="12" t="n"/>
      <c r="Q518" s="138" t="n"/>
      <c r="R518" s="16" t="n"/>
      <c r="S518" s="139" t="n"/>
      <c r="T518" s="16" t="n"/>
      <c r="U518" s="139" t="n"/>
      <c r="V518" s="16">
        <f>P518+R518+T518</f>
        <v/>
      </c>
      <c r="W518" s="16" t="n"/>
      <c r="X518" s="139" t="n"/>
      <c r="Y518" s="16" t="n"/>
      <c r="Z518" s="139" t="n"/>
      <c r="AA518" s="16" t="n"/>
      <c r="AB518" s="139" t="n"/>
      <c r="AC518" s="16" t="n"/>
      <c r="AD518" s="139" t="n"/>
      <c r="AE518" s="16">
        <f>(W518+Y518+AA518+AC518)</f>
        <v/>
      </c>
      <c r="AF518" s="140" t="n"/>
      <c r="AG518" s="138" t="n"/>
      <c r="AH518" s="16" t="n"/>
      <c r="AI518" s="138" t="n"/>
      <c r="AJ518" s="16" t="n"/>
      <c r="AK518" s="138" t="n"/>
      <c r="AL518" s="16" t="n"/>
      <c r="AM518" s="138" t="n"/>
      <c r="AN518" s="16" t="n"/>
      <c r="AO518" s="138" t="n"/>
      <c r="AP518" s="16" t="n"/>
      <c r="AQ518" s="138" t="n"/>
      <c r="AR518" s="16" t="n"/>
      <c r="AS518" s="138" t="n"/>
      <c r="AT518" s="16" t="n"/>
      <c r="AU518" s="138" t="n"/>
      <c r="AV518" s="16" t="n"/>
      <c r="AW518" s="138" t="n"/>
      <c r="AX518" s="16" t="n"/>
      <c r="AY518" s="138" t="n"/>
      <c r="AZ518" s="16">
        <f>AF518+AH518+AJ518+AL518+AN518+AP518+AR518+AT518+AV518+AX518</f>
        <v/>
      </c>
      <c r="BA518" s="16" t="n"/>
      <c r="BB518" s="139" t="n"/>
      <c r="BC518" s="16" t="n"/>
      <c r="BD518" s="139" t="n"/>
      <c r="BE518" s="16">
        <f>(BA518+BC518)</f>
        <v/>
      </c>
    </row>
    <row r="519" ht="22.5" customFormat="1" customHeight="1" s="8">
      <c r="A519" s="9" t="n"/>
      <c r="B519" s="136" t="inlineStr">
        <is>
          <t>센서</t>
        </is>
      </c>
      <c r="C519" s="137" t="inlineStr">
        <is>
          <t>공용</t>
        </is>
      </c>
      <c r="D519" s="60" t="inlineStr">
        <is>
          <t>HDI-S [Rex2 Premium/1.5]</t>
        </is>
      </c>
      <c r="E519" s="13" t="n"/>
      <c r="F519" s="99" t="n"/>
      <c r="G519" s="9" t="n"/>
      <c r="H519" s="9" t="inlineStr">
        <is>
          <t>레이언스</t>
        </is>
      </c>
      <c r="I519" s="14" t="n"/>
      <c r="J519" s="14" t="n"/>
      <c r="K519" s="12" t="n">
        <v>0</v>
      </c>
      <c r="L519" s="9" t="n"/>
      <c r="M519" s="9" t="n"/>
      <c r="N519" s="9" t="n"/>
      <c r="O519" s="40">
        <f>K519+V519-AE519-AZ519</f>
        <v/>
      </c>
      <c r="P519" s="12" t="n"/>
      <c r="Q519" s="138" t="n"/>
      <c r="R519" s="16" t="n"/>
      <c r="S519" s="139" t="n"/>
      <c r="T519" s="16" t="n"/>
      <c r="U519" s="139" t="n"/>
      <c r="V519" s="16">
        <f>P519+R519+T519</f>
        <v/>
      </c>
      <c r="W519" s="16" t="n"/>
      <c r="X519" s="139" t="n"/>
      <c r="Y519" s="16" t="n"/>
      <c r="Z519" s="139" t="n"/>
      <c r="AA519" s="16" t="n"/>
      <c r="AB519" s="139" t="n"/>
      <c r="AC519" s="16" t="n"/>
      <c r="AD519" s="139" t="n"/>
      <c r="AE519" s="16">
        <f>(W519+Y519+AA519+AC519)</f>
        <v/>
      </c>
      <c r="AF519" s="140" t="n"/>
      <c r="AG519" s="138" t="n"/>
      <c r="AH519" s="16" t="n"/>
      <c r="AI519" s="138" t="n"/>
      <c r="AJ519" s="16" t="n"/>
      <c r="AK519" s="138" t="n"/>
      <c r="AL519" s="16" t="n"/>
      <c r="AM519" s="138" t="n"/>
      <c r="AN519" s="16" t="n"/>
      <c r="AO519" s="138" t="n"/>
      <c r="AP519" s="16" t="n"/>
      <c r="AQ519" s="138" t="n"/>
      <c r="AR519" s="16" t="n"/>
      <c r="AS519" s="138" t="n"/>
      <c r="AT519" s="16" t="n"/>
      <c r="AU519" s="138" t="n"/>
      <c r="AV519" s="16" t="n"/>
      <c r="AW519" s="138" t="n"/>
      <c r="AX519" s="16" t="n"/>
      <c r="AY519" s="138" t="n"/>
      <c r="AZ519" s="16">
        <f>AF519+AH519+AJ519+AL519+AN519+AP519+AR519+AT519+AV519+AX519</f>
        <v/>
      </c>
      <c r="BA519" s="16" t="n"/>
      <c r="BB519" s="139" t="n"/>
      <c r="BC519" s="16" t="n"/>
      <c r="BD519" s="139" t="n"/>
      <c r="BE519" s="16">
        <f>(BA519+BC519)</f>
        <v/>
      </c>
    </row>
    <row r="520" ht="22.5" customFormat="1" customHeight="1" s="8">
      <c r="A520" s="9" t="n"/>
      <c r="B520" s="136" t="inlineStr">
        <is>
          <t>센서</t>
        </is>
      </c>
      <c r="C520" s="137" t="inlineStr">
        <is>
          <t>공용</t>
        </is>
      </c>
      <c r="D520" s="60" t="inlineStr">
        <is>
          <t>HDI-S [Rex2 Premium/2.0]</t>
        </is>
      </c>
      <c r="E520" s="13" t="n"/>
      <c r="F520" s="99" t="n"/>
      <c r="G520" s="9" t="n"/>
      <c r="H520" s="9" t="inlineStr">
        <is>
          <t>레이언스</t>
        </is>
      </c>
      <c r="I520" s="14" t="n"/>
      <c r="J520" s="14" t="n"/>
      <c r="K520" s="12" t="n">
        <v>0</v>
      </c>
      <c r="L520" s="9" t="n"/>
      <c r="M520" s="9" t="n"/>
      <c r="N520" s="9" t="n"/>
      <c r="O520" s="40">
        <f>K520+V520-AE520-AZ520</f>
        <v/>
      </c>
      <c r="P520" s="12" t="n"/>
      <c r="Q520" s="138" t="n"/>
      <c r="R520" s="16" t="n"/>
      <c r="S520" s="139" t="n"/>
      <c r="T520" s="16" t="n"/>
      <c r="U520" s="139" t="n"/>
      <c r="V520" s="16">
        <f>P520+R520+T520</f>
        <v/>
      </c>
      <c r="W520" s="16" t="n"/>
      <c r="X520" s="139" t="n"/>
      <c r="Y520" s="16" t="n"/>
      <c r="Z520" s="139" t="n"/>
      <c r="AA520" s="16" t="n"/>
      <c r="AB520" s="139" t="n"/>
      <c r="AC520" s="16" t="n"/>
      <c r="AD520" s="139" t="n"/>
      <c r="AE520" s="16">
        <f>(W520+Y520+AA520+AC520)</f>
        <v/>
      </c>
      <c r="AF520" s="140" t="n"/>
      <c r="AG520" s="138" t="n"/>
      <c r="AH520" s="16" t="n"/>
      <c r="AI520" s="138" t="n"/>
      <c r="AJ520" s="16" t="n"/>
      <c r="AK520" s="138" t="n"/>
      <c r="AL520" s="16" t="n"/>
      <c r="AM520" s="138" t="n"/>
      <c r="AN520" s="16" t="n"/>
      <c r="AO520" s="138" t="n"/>
      <c r="AP520" s="16" t="n"/>
      <c r="AQ520" s="138" t="n"/>
      <c r="AR520" s="16" t="n"/>
      <c r="AS520" s="138" t="n"/>
      <c r="AT520" s="16" t="n"/>
      <c r="AU520" s="138" t="n"/>
      <c r="AV520" s="16" t="n"/>
      <c r="AW520" s="138" t="n"/>
      <c r="AX520" s="16" t="n"/>
      <c r="AY520" s="138" t="n"/>
      <c r="AZ520" s="16">
        <f>AF520+AH520+AJ520+AL520+AN520+AP520+AR520+AT520+AV520+AX520</f>
        <v/>
      </c>
      <c r="BA520" s="16" t="n"/>
      <c r="BB520" s="139" t="n"/>
      <c r="BC520" s="16" t="n"/>
      <c r="BD520" s="139" t="n"/>
      <c r="BE520" s="16">
        <f>(BA520+BC520)</f>
        <v/>
      </c>
    </row>
    <row r="521" ht="22.5" customFormat="1" customHeight="1" s="8">
      <c r="A521" s="9" t="n"/>
      <c r="B521" s="136" t="inlineStr">
        <is>
          <t>센서</t>
        </is>
      </c>
      <c r="C521" s="137" t="inlineStr">
        <is>
          <t>공용</t>
        </is>
      </c>
      <c r="D521" s="60" t="inlineStr">
        <is>
          <t>CMOS 센서 (#1)</t>
        </is>
      </c>
      <c r="E521" s="13" t="inlineStr">
        <is>
          <t>EV71JU215A-C-00B1</t>
        </is>
      </c>
      <c r="F521" s="99" t="n"/>
      <c r="G521" s="9" t="n"/>
      <c r="H521" s="9" t="inlineStr">
        <is>
          <t>E2V</t>
        </is>
      </c>
      <c r="I521" s="14" t="n"/>
      <c r="J521" s="14" t="n"/>
      <c r="K521" s="12" t="n">
        <v>0</v>
      </c>
      <c r="L521" s="9" t="n"/>
      <c r="M521" s="9" t="n"/>
      <c r="N521" s="9" t="n"/>
      <c r="O521" s="40">
        <f>K521+V521-AE521-AZ521</f>
        <v/>
      </c>
      <c r="P521" s="12" t="n"/>
      <c r="Q521" s="138" t="n"/>
      <c r="R521" s="16" t="n"/>
      <c r="S521" s="139" t="n"/>
      <c r="T521" s="16" t="n"/>
      <c r="U521" s="139" t="n"/>
      <c r="V521" s="16">
        <f>P521+R521+T521</f>
        <v/>
      </c>
      <c r="W521" s="16" t="n"/>
      <c r="X521" s="139" t="n"/>
      <c r="Y521" s="16" t="n"/>
      <c r="Z521" s="139" t="n"/>
      <c r="AA521" s="16" t="n"/>
      <c r="AB521" s="139" t="n"/>
      <c r="AC521" s="16" t="n"/>
      <c r="AD521" s="139" t="n"/>
      <c r="AE521" s="16">
        <f>(W521+Y521+AA521+AC521)</f>
        <v/>
      </c>
      <c r="AF521" s="140" t="n"/>
      <c r="AG521" s="138" t="n"/>
      <c r="AH521" s="16" t="n"/>
      <c r="AI521" s="138" t="n"/>
      <c r="AJ521" s="16" t="n"/>
      <c r="AK521" s="138" t="n"/>
      <c r="AL521" s="16" t="n"/>
      <c r="AM521" s="138" t="n"/>
      <c r="AN521" s="16" t="n"/>
      <c r="AO521" s="138" t="n"/>
      <c r="AP521" s="16" t="n"/>
      <c r="AQ521" s="138" t="n"/>
      <c r="AR521" s="16" t="n"/>
      <c r="AS521" s="138" t="n"/>
      <c r="AT521" s="16" t="n"/>
      <c r="AU521" s="138" t="n"/>
      <c r="AV521" s="16" t="n"/>
      <c r="AW521" s="138" t="n"/>
      <c r="AX521" s="16" t="n"/>
      <c r="AY521" s="138" t="n"/>
      <c r="AZ521" s="16">
        <f>AF521+AH521+AJ521+AL521+AN521+AP521+AR521+AT521+AV521+AX521</f>
        <v/>
      </c>
      <c r="BA521" s="16" t="n"/>
      <c r="BB521" s="139" t="n"/>
      <c r="BC521" s="16" t="n"/>
      <c r="BD521" s="139" t="n"/>
      <c r="BE521" s="16">
        <f>(BA521+BC521)</f>
        <v/>
      </c>
    </row>
    <row r="522" ht="22.5" customFormat="1" customHeight="1" s="8">
      <c r="A522" s="9" t="n"/>
      <c r="B522" s="136" t="inlineStr">
        <is>
          <t>센서</t>
        </is>
      </c>
      <c r="C522" s="137" t="inlineStr">
        <is>
          <t>공용</t>
        </is>
      </c>
      <c r="D522" s="60" t="inlineStr">
        <is>
          <t>CMOS 센서 (#2)</t>
        </is>
      </c>
      <c r="E522" s="13" t="inlineStr">
        <is>
          <t>EV71JU213A-C-00B1</t>
        </is>
      </c>
      <c r="F522" s="99" t="n"/>
      <c r="G522" s="9" t="n"/>
      <c r="H522" s="9" t="inlineStr">
        <is>
          <t>E2V</t>
        </is>
      </c>
      <c r="I522" s="14" t="n"/>
      <c r="J522" s="14" t="n"/>
      <c r="K522" s="12" t="n">
        <v>0</v>
      </c>
      <c r="L522" s="9" t="n"/>
      <c r="M522" s="9" t="n"/>
      <c r="N522" s="9" t="n"/>
      <c r="O522" s="40">
        <f>K522+V522-AE522-AZ522</f>
        <v/>
      </c>
      <c r="P522" s="12" t="n"/>
      <c r="Q522" s="138" t="n"/>
      <c r="R522" s="16" t="n"/>
      <c r="S522" s="139" t="n"/>
      <c r="T522" s="16" t="n"/>
      <c r="U522" s="139" t="n"/>
      <c r="V522" s="16">
        <f>P522+R522+T522</f>
        <v/>
      </c>
      <c r="W522" s="16" t="n"/>
      <c r="X522" s="139" t="n"/>
      <c r="Y522" s="16" t="n"/>
      <c r="Z522" s="139" t="n"/>
      <c r="AA522" s="16" t="n"/>
      <c r="AB522" s="139" t="n"/>
      <c r="AC522" s="16" t="n"/>
      <c r="AD522" s="139" t="n"/>
      <c r="AE522" s="16">
        <f>(W522+Y522+AA522+AC522)</f>
        <v/>
      </c>
      <c r="AF522" s="140" t="n"/>
      <c r="AG522" s="138" t="n"/>
      <c r="AH522" s="16" t="n"/>
      <c r="AI522" s="138" t="n"/>
      <c r="AJ522" s="16" t="n"/>
      <c r="AK522" s="138" t="n"/>
      <c r="AL522" s="16" t="n"/>
      <c r="AM522" s="138" t="n"/>
      <c r="AN522" s="16" t="n"/>
      <c r="AO522" s="138" t="n"/>
      <c r="AP522" s="16" t="n"/>
      <c r="AQ522" s="138" t="n"/>
      <c r="AR522" s="16" t="n"/>
      <c r="AS522" s="138" t="n"/>
      <c r="AT522" s="16" t="n"/>
      <c r="AU522" s="138" t="n"/>
      <c r="AV522" s="16" t="n"/>
      <c r="AW522" s="138" t="n"/>
      <c r="AX522" s="16" t="n"/>
      <c r="AY522" s="138" t="n"/>
      <c r="AZ522" s="16">
        <f>AF522+AH522+AJ522+AL522+AN522+AP522+AR522+AT522+AV522+AX522</f>
        <v/>
      </c>
      <c r="BA522" s="16" t="n"/>
      <c r="BB522" s="139" t="n"/>
      <c r="BC522" s="16" t="n"/>
      <c r="BD522" s="139" t="n"/>
      <c r="BE522" s="16">
        <f>(BA522+BC522)</f>
        <v/>
      </c>
    </row>
    <row r="523" ht="22.5" customFormat="1" customHeight="1" s="8">
      <c r="A523" s="9" t="n"/>
      <c r="B523" s="136" t="inlineStr">
        <is>
          <t>RUBBER</t>
        </is>
      </c>
      <c r="C523" s="137" t="inlineStr">
        <is>
          <t>공용</t>
        </is>
      </c>
      <c r="D523" s="60" t="inlineStr">
        <is>
          <t>SCREW CAP</t>
        </is>
      </c>
      <c r="E523" s="13" t="inlineStr">
        <is>
          <t>RUBBER</t>
        </is>
      </c>
      <c r="F523" s="99" t="n"/>
      <c r="G523" s="9" t="n"/>
      <c r="H523" s="9" t="inlineStr">
        <is>
          <t>남경화학</t>
        </is>
      </c>
      <c r="I523" s="14" t="n"/>
      <c r="J523" s="14" t="n"/>
      <c r="K523" s="12" t="n">
        <v>0</v>
      </c>
      <c r="L523" s="9" t="n"/>
      <c r="M523" s="9" t="n"/>
      <c r="N523" s="9" t="n"/>
      <c r="O523" s="40">
        <f>K523+V523-AE523-AZ523</f>
        <v/>
      </c>
      <c r="P523" s="12" t="n"/>
      <c r="Q523" s="138" t="n"/>
      <c r="R523" s="16" t="n"/>
      <c r="S523" s="139" t="n"/>
      <c r="T523" s="16" t="n"/>
      <c r="U523" s="139" t="n"/>
      <c r="V523" s="16">
        <f>P523+R523+T523</f>
        <v/>
      </c>
      <c r="W523" s="16" t="n"/>
      <c r="X523" s="139" t="n"/>
      <c r="Y523" s="16" t="n"/>
      <c r="Z523" s="139" t="n"/>
      <c r="AA523" s="16" t="n"/>
      <c r="AB523" s="139" t="n"/>
      <c r="AC523" s="16" t="n"/>
      <c r="AD523" s="139" t="n"/>
      <c r="AE523" s="16">
        <f>(W523+Y523+AA523+AC523)</f>
        <v/>
      </c>
      <c r="AF523" s="140" t="n"/>
      <c r="AG523" s="138" t="n"/>
      <c r="AH523" s="16" t="n"/>
      <c r="AI523" s="138" t="n"/>
      <c r="AJ523" s="16" t="n"/>
      <c r="AK523" s="138" t="n"/>
      <c r="AL523" s="16" t="n"/>
      <c r="AM523" s="138" t="n"/>
      <c r="AN523" s="16" t="n"/>
      <c r="AO523" s="138" t="n"/>
      <c r="AP523" s="16" t="n"/>
      <c r="AQ523" s="138" t="n"/>
      <c r="AR523" s="16" t="n"/>
      <c r="AS523" s="138" t="n"/>
      <c r="AT523" s="16" t="n"/>
      <c r="AU523" s="138" t="n"/>
      <c r="AV523" s="16" t="n"/>
      <c r="AW523" s="138" t="n"/>
      <c r="AX523" s="16" t="n"/>
      <c r="AY523" s="138" t="n"/>
      <c r="AZ523" s="16">
        <f>AF523+AH523+AJ523+AL523+AN523+AP523+AR523+AT523+AV523+AX523</f>
        <v/>
      </c>
      <c r="BA523" s="16" t="n"/>
      <c r="BB523" s="139" t="n"/>
      <c r="BC523" s="16" t="n"/>
      <c r="BD523" s="139" t="n"/>
      <c r="BE523" s="16">
        <f>(BA523+BC523)</f>
        <v/>
      </c>
    </row>
    <row r="524" ht="22.5" customFormat="1" customHeight="1" s="8">
      <c r="A524" s="9" t="n"/>
      <c r="B524" s="136" t="inlineStr">
        <is>
          <t>RUBBER</t>
        </is>
      </c>
      <c r="C524" s="137" t="inlineStr">
        <is>
          <t>ADX6000</t>
        </is>
      </c>
      <c r="D524" s="60" t="inlineStr">
        <is>
          <t>Cradle RUBBER</t>
        </is>
      </c>
      <c r="E524" s="13" t="inlineStr">
        <is>
          <t>FOOT RUBBER</t>
        </is>
      </c>
      <c r="F524" s="99" t="n"/>
      <c r="G524" s="9" t="n"/>
      <c r="H524" s="9" t="inlineStr">
        <is>
          <t>남경화학</t>
        </is>
      </c>
      <c r="I524" s="14" t="n"/>
      <c r="J524" s="14" t="n"/>
      <c r="K524" s="12" t="n">
        <v>0</v>
      </c>
      <c r="L524" s="9" t="n"/>
      <c r="M524" s="9" t="n"/>
      <c r="N524" s="9" t="n"/>
      <c r="O524" s="40">
        <f>K524+V524-AE524-AZ524</f>
        <v/>
      </c>
      <c r="P524" s="12" t="n"/>
      <c r="Q524" s="138" t="n"/>
      <c r="R524" s="16" t="n"/>
      <c r="S524" s="139" t="n"/>
      <c r="T524" s="16" t="n"/>
      <c r="U524" s="139" t="n"/>
      <c r="V524" s="16">
        <f>P524+R524+T524</f>
        <v/>
      </c>
      <c r="W524" s="16" t="n"/>
      <c r="X524" s="139" t="n"/>
      <c r="Y524" s="16" t="n"/>
      <c r="Z524" s="139" t="n"/>
      <c r="AA524" s="16" t="n"/>
      <c r="AB524" s="139" t="n"/>
      <c r="AC524" s="16" t="n"/>
      <c r="AD524" s="139" t="n"/>
      <c r="AE524" s="16">
        <f>(W524+Y524+AA524+AC524)</f>
        <v/>
      </c>
      <c r="AF524" s="140" t="n"/>
      <c r="AG524" s="138" t="n"/>
      <c r="AH524" s="16" t="n"/>
      <c r="AI524" s="138" t="n"/>
      <c r="AJ524" s="16" t="n"/>
      <c r="AK524" s="138" t="n"/>
      <c r="AL524" s="16" t="n"/>
      <c r="AM524" s="138" t="n"/>
      <c r="AN524" s="16" t="n"/>
      <c r="AO524" s="138" t="n"/>
      <c r="AP524" s="16" t="n"/>
      <c r="AQ524" s="138" t="n"/>
      <c r="AR524" s="16" t="n"/>
      <c r="AS524" s="138" t="n"/>
      <c r="AT524" s="16" t="n"/>
      <c r="AU524" s="138" t="n"/>
      <c r="AV524" s="16" t="n"/>
      <c r="AW524" s="138" t="n"/>
      <c r="AX524" s="16" t="n"/>
      <c r="AY524" s="138" t="n"/>
      <c r="AZ524" s="16">
        <f>AF524+AH524+AJ524+AL524+AN524+AP524+AR524+AT524+AV524+AX524</f>
        <v/>
      </c>
      <c r="BA524" s="16" t="n"/>
      <c r="BB524" s="139" t="n"/>
      <c r="BC524" s="16" t="n"/>
      <c r="BD524" s="139" t="n"/>
      <c r="BE524" s="16">
        <f>(BA524+BC524)</f>
        <v/>
      </c>
    </row>
    <row r="525" ht="22.5" customFormat="1" customHeight="1" s="8">
      <c r="A525" s="9" t="n"/>
      <c r="B525" s="136" t="inlineStr">
        <is>
          <t>볼트캡</t>
        </is>
      </c>
      <c r="C525" s="137" t="inlineStr">
        <is>
          <t>공용</t>
        </is>
      </c>
      <c r="D525" s="60" t="inlineStr">
        <is>
          <t>볼트마개</t>
        </is>
      </c>
      <c r="E525" s="13" t="n"/>
      <c r="F525" s="99" t="n"/>
      <c r="G525" s="9" t="n"/>
      <c r="H525" s="9" t="inlineStr">
        <is>
          <t>직구</t>
        </is>
      </c>
      <c r="I525" s="14" t="n"/>
      <c r="J525" s="14" t="n"/>
      <c r="K525" s="12" t="n">
        <v>0</v>
      </c>
      <c r="L525" s="9" t="n"/>
      <c r="M525" s="9" t="n"/>
      <c r="N525" s="9" t="n"/>
      <c r="O525" s="40">
        <f>K525+V525-AE525-AZ525</f>
        <v/>
      </c>
      <c r="P525" s="12" t="n"/>
      <c r="Q525" s="138" t="n"/>
      <c r="R525" s="16" t="n"/>
      <c r="S525" s="139" t="n"/>
      <c r="T525" s="16" t="n"/>
      <c r="U525" s="139" t="n"/>
      <c r="V525" s="16">
        <f>P525+R525+T525</f>
        <v/>
      </c>
      <c r="W525" s="16" t="n"/>
      <c r="X525" s="139" t="n"/>
      <c r="Y525" s="16" t="n"/>
      <c r="Z525" s="139" t="n"/>
      <c r="AA525" s="16" t="n"/>
      <c r="AB525" s="139" t="n"/>
      <c r="AC525" s="16" t="n"/>
      <c r="AD525" s="139" t="n"/>
      <c r="AE525" s="16">
        <f>(W525+Y525+AA525+AC525)</f>
        <v/>
      </c>
      <c r="AF525" s="140" t="n"/>
      <c r="AG525" s="138" t="n"/>
      <c r="AH525" s="16" t="n"/>
      <c r="AI525" s="138" t="n"/>
      <c r="AJ525" s="16" t="n"/>
      <c r="AK525" s="138" t="n"/>
      <c r="AL525" s="16" t="n"/>
      <c r="AM525" s="138" t="n"/>
      <c r="AN525" s="16" t="n"/>
      <c r="AO525" s="138" t="n"/>
      <c r="AP525" s="16" t="n"/>
      <c r="AQ525" s="138" t="n"/>
      <c r="AR525" s="16" t="n"/>
      <c r="AS525" s="138" t="n"/>
      <c r="AT525" s="16" t="n"/>
      <c r="AU525" s="138" t="n"/>
      <c r="AV525" s="16" t="n"/>
      <c r="AW525" s="138" t="n"/>
      <c r="AX525" s="16" t="n"/>
      <c r="AY525" s="138" t="n"/>
      <c r="AZ525" s="16">
        <f>AF525+AH525+AJ525+AL525+AN525+AP525+AR525+AT525+AV525+AX525</f>
        <v/>
      </c>
      <c r="BA525" s="16" t="n"/>
      <c r="BB525" s="139" t="n"/>
      <c r="BC525" s="16" t="n"/>
      <c r="BD525" s="139" t="n"/>
      <c r="BE525" s="16">
        <f>(BA525+BC525)</f>
        <v/>
      </c>
    </row>
    <row r="526" ht="22.5" customFormat="1" customHeight="1" s="8">
      <c r="A526" s="9" t="n"/>
      <c r="B526" s="136" t="inlineStr">
        <is>
          <t>합지</t>
        </is>
      </c>
      <c r="C526" s="137" t="n"/>
      <c r="D526" s="60" t="inlineStr">
        <is>
          <t>CD 케이스</t>
        </is>
      </c>
      <c r="E526" s="13" t="inlineStr">
        <is>
          <t>COCOON</t>
        </is>
      </c>
      <c r="F526" s="99" t="n"/>
      <c r="G526" s="9" t="n"/>
      <c r="H526" s="9" t="inlineStr">
        <is>
          <t>제이디자인</t>
        </is>
      </c>
      <c r="I526" s="14" t="n"/>
      <c r="J526" s="14" t="n"/>
      <c r="K526" s="12" t="n">
        <v>236</v>
      </c>
      <c r="L526" s="9" t="n"/>
      <c r="M526" s="9" t="n"/>
      <c r="N526" s="9" t="n"/>
      <c r="O526" s="40">
        <f>K526+V526-AE526-AZ526</f>
        <v/>
      </c>
      <c r="P526" s="12" t="n"/>
      <c r="Q526" s="138" t="n"/>
      <c r="R526" s="16" t="n"/>
      <c r="S526" s="139" t="n"/>
      <c r="T526" s="16" t="n"/>
      <c r="U526" s="139" t="n"/>
      <c r="V526" s="16">
        <f>P526+R526+T526</f>
        <v/>
      </c>
      <c r="W526" s="16" t="n"/>
      <c r="X526" s="139" t="n"/>
      <c r="Y526" s="16" t="n"/>
      <c r="Z526" s="139" t="n"/>
      <c r="AA526" s="16" t="n"/>
      <c r="AB526" s="139" t="n"/>
      <c r="AC526" s="16" t="n"/>
      <c r="AD526" s="139" t="n"/>
      <c r="AE526" s="16">
        <f>(W526+Y526+AA526+AC526)</f>
        <v/>
      </c>
      <c r="AF526" s="140" t="n"/>
      <c r="AG526" s="138" t="n"/>
      <c r="AH526" s="16" t="n"/>
      <c r="AI526" s="138" t="n"/>
      <c r="AJ526" s="16" t="n"/>
      <c r="AK526" s="138" t="n"/>
      <c r="AL526" s="16" t="n"/>
      <c r="AM526" s="138" t="n"/>
      <c r="AN526" s="16" t="n"/>
      <c r="AO526" s="138" t="n"/>
      <c r="AP526" s="16" t="n"/>
      <c r="AQ526" s="138" t="n"/>
      <c r="AR526" s="16" t="n"/>
      <c r="AS526" s="138" t="n"/>
      <c r="AT526" s="16" t="n"/>
      <c r="AU526" s="138" t="n"/>
      <c r="AV526" s="16" t="n"/>
      <c r="AW526" s="138" t="n"/>
      <c r="AX526" s="16" t="n"/>
      <c r="AY526" s="138" t="n"/>
      <c r="AZ526" s="16">
        <f>AF526+AH526+AJ526+AL526+AN526+AP526+AR526+AT526+AV526+AX526</f>
        <v/>
      </c>
      <c r="BA526" s="16" t="n"/>
      <c r="BB526" s="139" t="n"/>
      <c r="BC526" s="16" t="n"/>
      <c r="BD526" s="139" t="n"/>
      <c r="BE526" s="16">
        <f>(BA526+BC526)</f>
        <v/>
      </c>
    </row>
    <row r="527" ht="22.5" customFormat="1" customHeight="1" s="8">
      <c r="A527" s="9" t="n"/>
      <c r="B527" s="136" t="inlineStr">
        <is>
          <t>ABS</t>
        </is>
      </c>
      <c r="C527" s="137" t="n"/>
      <c r="D527" s="60" t="inlineStr">
        <is>
          <t>공 CD</t>
        </is>
      </c>
      <c r="E527" s="13" t="n"/>
      <c r="F527" s="99" t="n"/>
      <c r="G527" s="9" t="n"/>
      <c r="H527" s="9" t="inlineStr">
        <is>
          <t>제이디자인</t>
        </is>
      </c>
      <c r="I527" s="14" t="n"/>
      <c r="J527" s="14" t="n"/>
      <c r="K527" s="12" t="n">
        <v>0</v>
      </c>
      <c r="L527" s="9" t="n"/>
      <c r="M527" s="9" t="n"/>
      <c r="N527" s="9" t="n"/>
      <c r="O527" s="40">
        <f>K527+V527-AE527-AZ527</f>
        <v/>
      </c>
      <c r="P527" s="12" t="n"/>
      <c r="Q527" s="138" t="n"/>
      <c r="R527" s="16" t="n"/>
      <c r="S527" s="139" t="n"/>
      <c r="T527" s="16" t="n"/>
      <c r="U527" s="139" t="n"/>
      <c r="V527" s="16">
        <f>P527+R527+T527</f>
        <v/>
      </c>
      <c r="W527" s="16" t="n"/>
      <c r="X527" s="139" t="n"/>
      <c r="Y527" s="16" t="n"/>
      <c r="Z527" s="139" t="n"/>
      <c r="AA527" s="16" t="n"/>
      <c r="AB527" s="139" t="n"/>
      <c r="AC527" s="16" t="n"/>
      <c r="AD527" s="139" t="n"/>
      <c r="AE527" s="16">
        <f>(W527+Y527+AA527+AC527)</f>
        <v/>
      </c>
      <c r="AF527" s="140" t="n"/>
      <c r="AG527" s="138" t="n"/>
      <c r="AH527" s="16" t="n"/>
      <c r="AI527" s="138" t="n"/>
      <c r="AJ527" s="16" t="n"/>
      <c r="AK527" s="138" t="n"/>
      <c r="AL527" s="16" t="n"/>
      <c r="AM527" s="138" t="n"/>
      <c r="AN527" s="16" t="n"/>
      <c r="AO527" s="138" t="n"/>
      <c r="AP527" s="16" t="n"/>
      <c r="AQ527" s="138" t="n"/>
      <c r="AR527" s="16" t="n"/>
      <c r="AS527" s="138" t="n"/>
      <c r="AT527" s="16" t="n"/>
      <c r="AU527" s="138" t="n"/>
      <c r="AV527" s="16" t="n"/>
      <c r="AW527" s="138" t="n"/>
      <c r="AX527" s="16" t="n"/>
      <c r="AY527" s="138" t="n"/>
      <c r="AZ527" s="16">
        <f>AF527+AH527+AJ527+AL527+AN527+AP527+AR527+AT527+AV527+AX527</f>
        <v/>
      </c>
      <c r="BA527" s="16" t="n"/>
      <c r="BB527" s="139" t="n"/>
      <c r="BC527" s="16" t="n"/>
      <c r="BD527" s="139" t="n"/>
      <c r="BE527" s="16">
        <f>(BA527+BC527)</f>
        <v/>
      </c>
    </row>
    <row r="528" ht="22.5" customFormat="1" customHeight="1" s="8">
      <c r="A528" s="9" t="n"/>
      <c r="B528" s="136" t="inlineStr">
        <is>
          <t>ABS</t>
        </is>
      </c>
      <c r="C528" s="137" t="n"/>
      <c r="D528" s="63" t="inlineStr">
        <is>
          <t>터치 팬</t>
        </is>
      </c>
      <c r="E528" s="13" t="n"/>
      <c r="F528" s="99" t="n"/>
      <c r="G528" s="9" t="n"/>
      <c r="H528" s="9" t="inlineStr">
        <is>
          <t>직구</t>
        </is>
      </c>
      <c r="I528" s="14" t="n"/>
      <c r="J528" s="14" t="n"/>
      <c r="K528" s="12" t="n">
        <v>0</v>
      </c>
      <c r="L528" s="9" t="n"/>
      <c r="M528" s="9" t="n"/>
      <c r="N528" s="9" t="n"/>
      <c r="O528" s="40">
        <f>K528+V528-AE528-AZ528</f>
        <v/>
      </c>
      <c r="P528" s="12" t="n"/>
      <c r="Q528" s="138" t="n"/>
      <c r="R528" s="16" t="n"/>
      <c r="S528" s="139" t="n"/>
      <c r="T528" s="16" t="n"/>
      <c r="U528" s="139" t="n"/>
      <c r="V528" s="16">
        <f>P528+R528+T528</f>
        <v/>
      </c>
      <c r="W528" s="16" t="n"/>
      <c r="X528" s="139" t="n"/>
      <c r="Y528" s="16" t="n"/>
      <c r="Z528" s="139" t="n"/>
      <c r="AA528" s="16" t="n"/>
      <c r="AB528" s="139" t="n"/>
      <c r="AC528" s="16" t="n"/>
      <c r="AD528" s="139" t="n"/>
      <c r="AE528" s="16">
        <f>(W528+Y528+AA528+AC528)</f>
        <v/>
      </c>
      <c r="AF528" s="140" t="n"/>
      <c r="AG528" s="138" t="n"/>
      <c r="AH528" s="16" t="n"/>
      <c r="AI528" s="138" t="n"/>
      <c r="AJ528" s="16" t="n"/>
      <c r="AK528" s="138" t="n"/>
      <c r="AL528" s="16" t="n"/>
      <c r="AM528" s="138" t="n"/>
      <c r="AN528" s="16" t="n"/>
      <c r="AO528" s="138" t="n"/>
      <c r="AP528" s="16" t="n"/>
      <c r="AQ528" s="138" t="n"/>
      <c r="AR528" s="16" t="n"/>
      <c r="AS528" s="138" t="n"/>
      <c r="AT528" s="16" t="n"/>
      <c r="AU528" s="138" t="n"/>
      <c r="AV528" s="16" t="n"/>
      <c r="AW528" s="138" t="n"/>
      <c r="AX528" s="16" t="n"/>
      <c r="AY528" s="138" t="n"/>
      <c r="AZ528" s="16">
        <f>AF528+AH528+AJ528+AL528+AN528+AP528+AR528+AT528+AV528+AX528</f>
        <v/>
      </c>
      <c r="BA528" s="16" t="n"/>
      <c r="BB528" s="139" t="n"/>
      <c r="BC528" s="16" t="n"/>
      <c r="BD528" s="139" t="n"/>
      <c r="BE528" s="16">
        <f>(BA528+BC528)</f>
        <v/>
      </c>
    </row>
    <row r="529" ht="22.5" customFormat="1" customHeight="1" s="8">
      <c r="A529" s="9" t="n"/>
      <c r="B529" s="136" t="inlineStr">
        <is>
          <t>ABS</t>
        </is>
      </c>
      <c r="C529" s="137" t="n"/>
      <c r="D529" s="91" t="inlineStr">
        <is>
          <t>틸트 암 부쉬</t>
        </is>
      </c>
      <c r="E529" s="13" t="n"/>
      <c r="F529" s="99" t="n"/>
      <c r="G529" s="9" t="n"/>
      <c r="H529" s="9" t="inlineStr">
        <is>
          <t>에이스힌지텍</t>
        </is>
      </c>
      <c r="I529" s="14" t="n"/>
      <c r="J529" s="14" t="n"/>
      <c r="K529" s="12" t="n">
        <v>0</v>
      </c>
      <c r="L529" s="9" t="n"/>
      <c r="M529" s="9" t="n"/>
      <c r="N529" s="9" t="n"/>
      <c r="O529" s="40">
        <f>K529+V529-AE529-AZ529</f>
        <v/>
      </c>
      <c r="P529" s="12" t="n"/>
      <c r="Q529" s="138" t="n"/>
      <c r="R529" s="16" t="n"/>
      <c r="S529" s="139" t="n"/>
      <c r="T529" s="16" t="n"/>
      <c r="U529" s="139" t="n"/>
      <c r="V529" s="16">
        <f>P529+R529+T529</f>
        <v/>
      </c>
      <c r="W529" s="16" t="n"/>
      <c r="X529" s="139" t="n"/>
      <c r="Y529" s="16" t="n"/>
      <c r="Z529" s="139" t="n"/>
      <c r="AA529" s="16" t="n"/>
      <c r="AB529" s="139" t="n"/>
      <c r="AC529" s="16" t="n"/>
      <c r="AD529" s="139" t="n"/>
      <c r="AE529" s="16">
        <f>(W529+Y529+AA529+AC529)</f>
        <v/>
      </c>
      <c r="AF529" s="140" t="n"/>
      <c r="AG529" s="138" t="n"/>
      <c r="AH529" s="16" t="n"/>
      <c r="AI529" s="138" t="n"/>
      <c r="AJ529" s="16" t="n"/>
      <c r="AK529" s="138" t="n"/>
      <c r="AL529" s="16" t="n"/>
      <c r="AM529" s="138" t="n"/>
      <c r="AN529" s="16" t="n"/>
      <c r="AO529" s="138" t="n"/>
      <c r="AP529" s="16" t="n"/>
      <c r="AQ529" s="138" t="n"/>
      <c r="AR529" s="16" t="n"/>
      <c r="AS529" s="138" t="n"/>
      <c r="AT529" s="16" t="n"/>
      <c r="AU529" s="138" t="n"/>
      <c r="AV529" s="16" t="n"/>
      <c r="AW529" s="138" t="n"/>
      <c r="AX529" s="16" t="n"/>
      <c r="AY529" s="138" t="n"/>
      <c r="AZ529" s="16">
        <f>AF529+AH529+AJ529+AL529+AN529+AP529+AR529+AT529+AV529+AX529</f>
        <v/>
      </c>
      <c r="BA529" s="16" t="n"/>
      <c r="BB529" s="139" t="n"/>
      <c r="BC529" s="16" t="n"/>
      <c r="BD529" s="139" t="n"/>
      <c r="BE529" s="16">
        <f>(BA529+BC529)</f>
        <v/>
      </c>
    </row>
    <row r="530" ht="22.5" customFormat="1" customHeight="1" s="8">
      <c r="A530" s="9" t="n"/>
      <c r="B530" s="136" t="inlineStr">
        <is>
          <t>ABS</t>
        </is>
      </c>
      <c r="C530" s="137" t="inlineStr">
        <is>
          <t>ADX6000</t>
        </is>
      </c>
      <c r="D530" s="60" t="inlineStr">
        <is>
          <t>스탠드 부속품 (바-부쉬)</t>
        </is>
      </c>
      <c r="E530" s="13" t="n"/>
      <c r="F530" s="99" t="n"/>
      <c r="G530" s="9" t="n"/>
      <c r="H530" s="9" t="inlineStr">
        <is>
          <t>에이스힌지텍</t>
        </is>
      </c>
      <c r="I530" s="14" t="n"/>
      <c r="J530" s="14" t="n"/>
      <c r="K530" s="12" t="n">
        <v>7</v>
      </c>
      <c r="L530" s="9" t="n"/>
      <c r="M530" s="9" t="n"/>
      <c r="N530" s="9" t="n"/>
      <c r="O530" s="40">
        <f>K530+V530-AE530-AZ530</f>
        <v/>
      </c>
      <c r="P530" s="12" t="n"/>
      <c r="Q530" s="138" t="n"/>
      <c r="R530" s="16" t="n"/>
      <c r="S530" s="139" t="n"/>
      <c r="T530" s="16" t="n"/>
      <c r="U530" s="139" t="n"/>
      <c r="V530" s="16">
        <f>P530+R530+T530</f>
        <v/>
      </c>
      <c r="W530" s="16" t="n"/>
      <c r="X530" s="139" t="n"/>
      <c r="Y530" s="16" t="n"/>
      <c r="Z530" s="139" t="n"/>
      <c r="AA530" s="16" t="n"/>
      <c r="AB530" s="139" t="n"/>
      <c r="AC530" s="16" t="n"/>
      <c r="AD530" s="139" t="n"/>
      <c r="AE530" s="16">
        <f>(W530+Y530+AA530+AC530)</f>
        <v/>
      </c>
      <c r="AF530" s="140" t="n"/>
      <c r="AG530" s="138" t="n"/>
      <c r="AH530" s="16" t="n"/>
      <c r="AI530" s="138" t="n"/>
      <c r="AJ530" s="16" t="n"/>
      <c r="AK530" s="138" t="n"/>
      <c r="AL530" s="16" t="n"/>
      <c r="AM530" s="138" t="n"/>
      <c r="AN530" s="16" t="n"/>
      <c r="AO530" s="138" t="n"/>
      <c r="AP530" s="16" t="n"/>
      <c r="AQ530" s="138" t="n"/>
      <c r="AR530" s="16" t="n"/>
      <c r="AS530" s="138" t="n"/>
      <c r="AT530" s="16" t="n"/>
      <c r="AU530" s="138" t="n"/>
      <c r="AV530" s="16" t="n"/>
      <c r="AW530" s="138" t="n"/>
      <c r="AX530" s="16" t="n"/>
      <c r="AY530" s="138" t="n"/>
      <c r="AZ530" s="16">
        <f>AF530+AH530+AJ530+AL530+AN530+AP530+AR530+AT530+AV530+AX530</f>
        <v/>
      </c>
      <c r="BA530" s="16" t="n"/>
      <c r="BB530" s="139" t="n"/>
      <c r="BC530" s="16" t="n"/>
      <c r="BD530" s="139" t="n"/>
      <c r="BE530" s="16">
        <f>(BA530+BC530)</f>
        <v/>
      </c>
    </row>
    <row r="531" ht="22.5" customFormat="1" customHeight="1" s="8">
      <c r="A531" s="9" t="n"/>
      <c r="B531" s="136" t="inlineStr">
        <is>
          <t>SUS</t>
        </is>
      </c>
      <c r="C531" s="137" t="inlineStr">
        <is>
          <t>ADX6000</t>
        </is>
      </c>
      <c r="D531" s="60" t="inlineStr">
        <is>
          <t>스탠드 부속품 (바-부쉬링)</t>
        </is>
      </c>
      <c r="E531" s="13" t="n"/>
      <c r="F531" s="99" t="n"/>
      <c r="G531" s="9" t="n"/>
      <c r="H531" s="9" t="inlineStr">
        <is>
          <t>에이스힌지텍</t>
        </is>
      </c>
      <c r="I531" s="14" t="n"/>
      <c r="J531" s="14" t="n"/>
      <c r="K531" s="12" t="n">
        <v>10</v>
      </c>
      <c r="L531" s="9" t="n"/>
      <c r="M531" s="9" t="n"/>
      <c r="N531" s="9" t="n"/>
      <c r="O531" s="40">
        <f>K531+V531-AE531-AZ531</f>
        <v/>
      </c>
      <c r="P531" s="12" t="n"/>
      <c r="Q531" s="138" t="n"/>
      <c r="R531" s="16" t="n"/>
      <c r="S531" s="139" t="n"/>
      <c r="T531" s="16" t="n"/>
      <c r="U531" s="139" t="n"/>
      <c r="V531" s="16">
        <f>P531+R531+T531</f>
        <v/>
      </c>
      <c r="W531" s="16" t="n"/>
      <c r="X531" s="139" t="n"/>
      <c r="Y531" s="16" t="n"/>
      <c r="Z531" s="139" t="n"/>
      <c r="AA531" s="16" t="n"/>
      <c r="AB531" s="139" t="n"/>
      <c r="AC531" s="16" t="n"/>
      <c r="AD531" s="139" t="n"/>
      <c r="AE531" s="16">
        <f>(W531+Y531+AA531+AC531)</f>
        <v/>
      </c>
      <c r="AF531" s="140" t="n"/>
      <c r="AG531" s="138" t="n"/>
      <c r="AH531" s="16" t="n"/>
      <c r="AI531" s="138" t="n"/>
      <c r="AJ531" s="16" t="n"/>
      <c r="AK531" s="138" t="n"/>
      <c r="AL531" s="16" t="n"/>
      <c r="AM531" s="138" t="n"/>
      <c r="AN531" s="16" t="n"/>
      <c r="AO531" s="138" t="n"/>
      <c r="AP531" s="16" t="n"/>
      <c r="AQ531" s="138" t="n"/>
      <c r="AR531" s="16" t="n"/>
      <c r="AS531" s="138" t="n"/>
      <c r="AT531" s="16" t="n"/>
      <c r="AU531" s="138" t="n"/>
      <c r="AV531" s="16" t="n"/>
      <c r="AW531" s="138" t="n"/>
      <c r="AX531" s="16" t="n"/>
      <c r="AY531" s="138" t="n"/>
      <c r="AZ531" s="16">
        <f>AF531+AH531+AJ531+AL531+AN531+AP531+AR531+AT531+AV531+AX531</f>
        <v/>
      </c>
      <c r="BA531" s="16" t="n"/>
      <c r="BB531" s="139" t="n"/>
      <c r="BC531" s="16" t="n"/>
      <c r="BD531" s="139" t="n"/>
      <c r="BE531" s="16">
        <f>(BA531+BC531)</f>
        <v/>
      </c>
    </row>
    <row r="532" ht="22.5" customFormat="1" customHeight="1" s="8">
      <c r="A532" s="9" t="n"/>
      <c r="B532" s="136" t="inlineStr">
        <is>
          <t>브라켓</t>
        </is>
      </c>
      <c r="C532" s="137" t="inlineStr">
        <is>
          <t>ADX6000</t>
        </is>
      </c>
      <c r="D532" s="63" t="inlineStr">
        <is>
          <t>스탠드 브라켓(암연결용)</t>
        </is>
      </c>
      <c r="E532" s="13" t="n"/>
      <c r="F532" s="99" t="n"/>
      <c r="G532" s="9" t="n"/>
      <c r="H532" s="9" t="inlineStr">
        <is>
          <t>에이스힌지텍</t>
        </is>
      </c>
      <c r="I532" s="14" t="n"/>
      <c r="J532" s="14" t="n"/>
      <c r="K532" s="12" t="n">
        <v>0</v>
      </c>
      <c r="L532" s="9" t="n"/>
      <c r="M532" s="9" t="n"/>
      <c r="N532" s="9" t="n"/>
      <c r="O532" s="40">
        <f>K532+V532-AE532-AZ532</f>
        <v/>
      </c>
      <c r="P532" s="12" t="n"/>
      <c r="Q532" s="138" t="n"/>
      <c r="R532" s="16" t="n"/>
      <c r="S532" s="139" t="n"/>
      <c r="T532" s="16" t="n"/>
      <c r="U532" s="139" t="n"/>
      <c r="V532" s="16">
        <f>P532+R532+T532</f>
        <v/>
      </c>
      <c r="W532" s="16" t="n"/>
      <c r="X532" s="139" t="n"/>
      <c r="Y532" s="16" t="n"/>
      <c r="Z532" s="139" t="n"/>
      <c r="AA532" s="16" t="n"/>
      <c r="AB532" s="139" t="n"/>
      <c r="AC532" s="16" t="n"/>
      <c r="AD532" s="139" t="n"/>
      <c r="AE532" s="16">
        <f>(W532+Y532+AA532+AC532)</f>
        <v/>
      </c>
      <c r="AF532" s="140" t="n"/>
      <c r="AG532" s="138" t="n"/>
      <c r="AH532" s="16" t="n"/>
      <c r="AI532" s="138" t="n"/>
      <c r="AJ532" s="16" t="n"/>
      <c r="AK532" s="138" t="n"/>
      <c r="AL532" s="16" t="n"/>
      <c r="AM532" s="138" t="n"/>
      <c r="AN532" s="16" t="n"/>
      <c r="AO532" s="138" t="n"/>
      <c r="AP532" s="16" t="n"/>
      <c r="AQ532" s="138" t="n"/>
      <c r="AR532" s="16" t="n"/>
      <c r="AS532" s="138" t="n"/>
      <c r="AT532" s="16" t="n"/>
      <c r="AU532" s="138" t="n"/>
      <c r="AV532" s="16" t="n"/>
      <c r="AW532" s="138" t="n"/>
      <c r="AX532" s="16" t="n"/>
      <c r="AY532" s="138" t="n"/>
      <c r="AZ532" s="16">
        <f>AF532+AH532+AJ532+AL532+AN532+AP532+AR532+AT532+AV532+AX532</f>
        <v/>
      </c>
      <c r="BA532" s="16" t="n"/>
      <c r="BB532" s="139" t="n"/>
      <c r="BC532" s="16" t="n"/>
      <c r="BD532" s="139" t="n"/>
      <c r="BE532" s="16">
        <f>(BA532+BC532)</f>
        <v/>
      </c>
    </row>
    <row r="533" ht="22.5" customFormat="1" customHeight="1" s="8">
      <c r="A533" s="9" t="n"/>
      <c r="B533" s="136" t="inlineStr">
        <is>
          <t>브라켓</t>
        </is>
      </c>
      <c r="C533" s="137" t="inlineStr">
        <is>
          <t>ADX6000</t>
        </is>
      </c>
      <c r="D533" s="63" t="inlineStr">
        <is>
          <t>스탠드 브라켓(제품용)</t>
        </is>
      </c>
      <c r="E533" s="13" t="n"/>
      <c r="F533" s="99" t="n"/>
      <c r="G533" s="9" t="n"/>
      <c r="H533" s="9" t="inlineStr">
        <is>
          <t>다우정밀</t>
        </is>
      </c>
      <c r="I533" s="14" t="n"/>
      <c r="J533" s="14" t="n"/>
      <c r="K533" s="12" t="n">
        <v>0</v>
      </c>
      <c r="L533" s="9" t="n"/>
      <c r="M533" s="9" t="n"/>
      <c r="N533" s="9" t="n"/>
      <c r="O533" s="40">
        <f>K533+V533-AE533-AZ533</f>
        <v/>
      </c>
      <c r="P533" s="12" t="n"/>
      <c r="Q533" s="138" t="n"/>
      <c r="R533" s="16" t="n"/>
      <c r="S533" s="139" t="n"/>
      <c r="T533" s="16" t="n"/>
      <c r="U533" s="139" t="n"/>
      <c r="V533" s="16">
        <f>P533+R533+T533</f>
        <v/>
      </c>
      <c r="W533" s="16" t="n"/>
      <c r="X533" s="139" t="n"/>
      <c r="Y533" s="16" t="n"/>
      <c r="Z533" s="139" t="n"/>
      <c r="AA533" s="16" t="n"/>
      <c r="AB533" s="139" t="n"/>
      <c r="AC533" s="16" t="n"/>
      <c r="AD533" s="139" t="n"/>
      <c r="AE533" s="16">
        <f>(W533+Y533+AA533+AC533)</f>
        <v/>
      </c>
      <c r="AF533" s="140" t="n"/>
      <c r="AG533" s="138" t="n"/>
      <c r="AH533" s="16" t="n"/>
      <c r="AI533" s="138" t="n"/>
      <c r="AJ533" s="16" t="n"/>
      <c r="AK533" s="138" t="n"/>
      <c r="AL533" s="16" t="n"/>
      <c r="AM533" s="138" t="n"/>
      <c r="AN533" s="16" t="n"/>
      <c r="AO533" s="138" t="n"/>
      <c r="AP533" s="16" t="n"/>
      <c r="AQ533" s="138" t="n"/>
      <c r="AR533" s="16" t="n"/>
      <c r="AS533" s="138" t="n"/>
      <c r="AT533" s="16" t="n"/>
      <c r="AU533" s="138" t="n"/>
      <c r="AV533" s="16" t="n"/>
      <c r="AW533" s="138" t="n"/>
      <c r="AX533" s="16" t="n"/>
      <c r="AY533" s="138" t="n"/>
      <c r="AZ533" s="16">
        <f>AF533+AH533+AJ533+AL533+AN533+AP533+AR533+AT533+AV533+AX533</f>
        <v/>
      </c>
      <c r="BA533" s="16" t="n"/>
      <c r="BB533" s="139" t="n"/>
      <c r="BC533" s="16" t="n"/>
      <c r="BD533" s="139" t="n"/>
      <c r="BE533" s="16">
        <f>(BA533+BC533)</f>
        <v/>
      </c>
    </row>
    <row r="534" ht="22.5" customFormat="1" customHeight="1" s="8">
      <c r="A534" s="9" t="n"/>
      <c r="B534" s="136" t="inlineStr">
        <is>
          <t>제품 거치대</t>
        </is>
      </c>
      <c r="C534" s="137" t="inlineStr">
        <is>
          <t>ADX4000W</t>
        </is>
      </c>
      <c r="D534" s="63" t="inlineStr">
        <is>
          <t>스탠드홀드</t>
        </is>
      </c>
      <c r="E534" s="13" t="inlineStr">
        <is>
          <t>은색</t>
        </is>
      </c>
      <c r="F534" s="99" t="n"/>
      <c r="G534" s="9" t="n"/>
      <c r="H534" s="9" t="inlineStr">
        <is>
          <t>제이케이시스템</t>
        </is>
      </c>
      <c r="I534" s="14" t="n"/>
      <c r="J534" s="14" t="n"/>
      <c r="K534" s="12" t="n">
        <v>0</v>
      </c>
      <c r="L534" s="9" t="n"/>
      <c r="M534" s="9" t="n"/>
      <c r="N534" s="9" t="n"/>
      <c r="O534" s="40">
        <f>K534+V534-AE534-AZ534</f>
        <v/>
      </c>
      <c r="P534" s="12" t="n"/>
      <c r="Q534" s="138" t="n"/>
      <c r="R534" s="16" t="n"/>
      <c r="S534" s="139" t="n"/>
      <c r="T534" s="16" t="n"/>
      <c r="U534" s="139" t="n"/>
      <c r="V534" s="16">
        <f>P534+R534+T534</f>
        <v/>
      </c>
      <c r="W534" s="16" t="n"/>
      <c r="X534" s="139" t="n"/>
      <c r="Y534" s="16" t="n"/>
      <c r="Z534" s="139" t="n"/>
      <c r="AA534" s="16" t="n"/>
      <c r="AB534" s="139" t="n"/>
      <c r="AC534" s="16" t="n"/>
      <c r="AD534" s="139" t="n"/>
      <c r="AE534" s="16">
        <f>(W534+Y534+AA534+AC534)</f>
        <v/>
      </c>
      <c r="AF534" s="140" t="n"/>
      <c r="AG534" s="138" t="n"/>
      <c r="AH534" s="16" t="n"/>
      <c r="AI534" s="138" t="n"/>
      <c r="AJ534" s="16" t="n"/>
      <c r="AK534" s="138" t="n"/>
      <c r="AL534" s="16" t="n"/>
      <c r="AM534" s="138" t="n"/>
      <c r="AN534" s="16" t="n"/>
      <c r="AO534" s="138" t="n"/>
      <c r="AP534" s="16" t="n"/>
      <c r="AQ534" s="138" t="n"/>
      <c r="AR534" s="16" t="n"/>
      <c r="AS534" s="138" t="n"/>
      <c r="AT534" s="16" t="n"/>
      <c r="AU534" s="138" t="n"/>
      <c r="AV534" s="16" t="n"/>
      <c r="AW534" s="138" t="n"/>
      <c r="AX534" s="16" t="n"/>
      <c r="AY534" s="138" t="n"/>
      <c r="AZ534" s="16">
        <f>AF534+AH534+AJ534+AL534+AN534+AP534+AR534+AT534+AV534+AX534</f>
        <v/>
      </c>
      <c r="BA534" s="16" t="n"/>
      <c r="BB534" s="139" t="n"/>
      <c r="BC534" s="16" t="n"/>
      <c r="BD534" s="139" t="n"/>
      <c r="BE534" s="16">
        <f>(BA534+BC534)</f>
        <v/>
      </c>
    </row>
    <row r="535" ht="22.5" customFormat="1" customHeight="1" s="8">
      <c r="A535" s="9" t="n"/>
      <c r="B535" s="136" t="inlineStr">
        <is>
          <t>제품 거치대</t>
        </is>
      </c>
      <c r="C535" s="137" t="inlineStr">
        <is>
          <t>DX3000</t>
        </is>
      </c>
      <c r="D535" s="63" t="inlineStr">
        <is>
          <t>스탠드홀드</t>
        </is>
      </c>
      <c r="E535" s="13" t="n"/>
      <c r="F535" s="99" t="n"/>
      <c r="G535" s="9" t="n"/>
      <c r="H535" s="9" t="inlineStr">
        <is>
          <t>제이케이시스템</t>
        </is>
      </c>
      <c r="I535" s="14" t="n"/>
      <c r="J535" s="14" t="n"/>
      <c r="K535" s="12" t="n">
        <v>0</v>
      </c>
      <c r="L535" s="9" t="n"/>
      <c r="M535" s="9" t="n"/>
      <c r="N535" s="9" t="n"/>
      <c r="O535" s="40">
        <f>K535+V535-AE535-AZ535</f>
        <v/>
      </c>
      <c r="P535" s="12" t="n"/>
      <c r="Q535" s="138" t="n"/>
      <c r="R535" s="16" t="n"/>
      <c r="S535" s="139" t="n"/>
      <c r="T535" s="16" t="n"/>
      <c r="U535" s="139" t="n"/>
      <c r="V535" s="16">
        <f>P535+R535+T535</f>
        <v/>
      </c>
      <c r="W535" s="16" t="n"/>
      <c r="X535" s="139" t="n"/>
      <c r="Y535" s="16" t="n"/>
      <c r="Z535" s="139" t="n"/>
      <c r="AA535" s="16" t="n"/>
      <c r="AB535" s="139" t="n"/>
      <c r="AC535" s="16" t="n"/>
      <c r="AD535" s="139" t="n"/>
      <c r="AE535" s="16">
        <f>(W535+Y535+AA535+AC535)</f>
        <v/>
      </c>
      <c r="AF535" s="140" t="n"/>
      <c r="AG535" s="138" t="n"/>
      <c r="AH535" s="16" t="n"/>
      <c r="AI535" s="138" t="n"/>
      <c r="AJ535" s="16" t="n"/>
      <c r="AK535" s="138" t="n"/>
      <c r="AL535" s="16" t="n"/>
      <c r="AM535" s="138" t="n"/>
      <c r="AN535" s="16" t="n"/>
      <c r="AO535" s="138" t="n"/>
      <c r="AP535" s="16" t="n"/>
      <c r="AQ535" s="138" t="n"/>
      <c r="AR535" s="16" t="n"/>
      <c r="AS535" s="138" t="n"/>
      <c r="AT535" s="16" t="n"/>
      <c r="AU535" s="138" t="n"/>
      <c r="AV535" s="16" t="n"/>
      <c r="AW535" s="138" t="n"/>
      <c r="AX535" s="16" t="n"/>
      <c r="AY535" s="138" t="n"/>
      <c r="AZ535" s="16">
        <f>AF535+AH535+AJ535+AL535+AN535+AP535+AR535+AT535+AV535+AX535</f>
        <v/>
      </c>
      <c r="BA535" s="16" t="n"/>
      <c r="BB535" s="139" t="n"/>
      <c r="BC535" s="16" t="n"/>
      <c r="BD535" s="139" t="n"/>
      <c r="BE535" s="16">
        <f>(BA535+BC535)</f>
        <v/>
      </c>
    </row>
    <row r="536" ht="22.5" customFormat="1" customHeight="1" s="8">
      <c r="A536" s="9" t="n"/>
      <c r="B536" s="136" t="inlineStr">
        <is>
          <t>제품 거치대</t>
        </is>
      </c>
      <c r="C536" s="137" t="inlineStr">
        <is>
          <t>ADX4000W</t>
        </is>
      </c>
      <c r="D536" s="60" t="inlineStr">
        <is>
          <t>스탠드홀드(신형)</t>
        </is>
      </c>
      <c r="E536" s="13" t="inlineStr">
        <is>
          <t>흰색</t>
        </is>
      </c>
      <c r="F536" s="99" t="n"/>
      <c r="G536" s="9" t="n"/>
      <c r="H536" s="9" t="inlineStr">
        <is>
          <t>제이케이시스템</t>
        </is>
      </c>
      <c r="I536" s="14" t="n"/>
      <c r="J536" s="14" t="n"/>
      <c r="K536" s="12" t="n">
        <v>0</v>
      </c>
      <c r="L536" s="9" t="n"/>
      <c r="M536" s="9" t="n"/>
      <c r="N536" s="9" t="n"/>
      <c r="O536" s="40">
        <f>K536+V536-AE536-AZ536</f>
        <v/>
      </c>
      <c r="P536" s="12" t="n"/>
      <c r="Q536" s="138" t="n"/>
      <c r="R536" s="16" t="n"/>
      <c r="S536" s="139" t="n"/>
      <c r="T536" s="16" t="n"/>
      <c r="U536" s="139" t="n"/>
      <c r="V536" s="16">
        <f>P536+R536+T536</f>
        <v/>
      </c>
      <c r="W536" s="16" t="n"/>
      <c r="X536" s="139" t="n"/>
      <c r="Y536" s="16" t="n"/>
      <c r="Z536" s="139" t="n"/>
      <c r="AA536" s="16" t="n"/>
      <c r="AB536" s="139" t="n"/>
      <c r="AC536" s="16" t="n"/>
      <c r="AD536" s="139" t="n"/>
      <c r="AE536" s="16">
        <f>(W536+Y536+AA536+AC536)</f>
        <v/>
      </c>
      <c r="AF536" s="140" t="n"/>
      <c r="AG536" s="138" t="n"/>
      <c r="AH536" s="16" t="n"/>
      <c r="AI536" s="138" t="n"/>
      <c r="AJ536" s="16" t="n"/>
      <c r="AK536" s="138" t="n"/>
      <c r="AL536" s="16" t="n"/>
      <c r="AM536" s="138" t="n"/>
      <c r="AN536" s="16" t="n"/>
      <c r="AO536" s="138" t="n"/>
      <c r="AP536" s="16" t="n"/>
      <c r="AQ536" s="138" t="n"/>
      <c r="AR536" s="16" t="n"/>
      <c r="AS536" s="138" t="n"/>
      <c r="AT536" s="16" t="n"/>
      <c r="AU536" s="138" t="n"/>
      <c r="AV536" s="16" t="n"/>
      <c r="AW536" s="138" t="n"/>
      <c r="AX536" s="16" t="n"/>
      <c r="AY536" s="138" t="n"/>
      <c r="AZ536" s="16">
        <f>AF536+AH536+AJ536+AL536+AN536+AP536+AR536+AT536+AV536+AX536</f>
        <v/>
      </c>
      <c r="BA536" s="16" t="n"/>
      <c r="BB536" s="139" t="n"/>
      <c r="BC536" s="16" t="n"/>
      <c r="BD536" s="139" t="n"/>
      <c r="BE536" s="16">
        <f>(BA536+BC536)</f>
        <v/>
      </c>
    </row>
    <row r="537" ht="22.5" customFormat="1" customHeight="1" s="8">
      <c r="A537" s="9" t="n"/>
      <c r="B537" s="136" t="inlineStr">
        <is>
          <t>ABS 난연</t>
        </is>
      </c>
      <c r="C537" s="137" t="inlineStr">
        <is>
          <t>DX3000, ADX4000W</t>
        </is>
      </c>
      <c r="D537" s="60" t="inlineStr">
        <is>
          <t>배터리 거치대 사출 SETS</t>
        </is>
      </c>
      <c r="E537" s="13" t="n"/>
      <c r="F537" s="99" t="n"/>
      <c r="G537" s="9" t="n"/>
      <c r="H537" s="9" t="inlineStr">
        <is>
          <t>다성 ENG</t>
        </is>
      </c>
      <c r="I537" s="14" t="n"/>
      <c r="J537" s="14" t="n"/>
      <c r="K537" s="12" t="n">
        <v>0</v>
      </c>
      <c r="L537" s="9" t="n"/>
      <c r="M537" s="9" t="n"/>
      <c r="N537" s="9" t="n"/>
      <c r="O537" s="40">
        <f>K537+V537-AE537-AZ537</f>
        <v/>
      </c>
      <c r="P537" s="12" t="n"/>
      <c r="Q537" s="138" t="n"/>
      <c r="R537" s="16" t="n"/>
      <c r="S537" s="139" t="n"/>
      <c r="T537" s="16" t="n"/>
      <c r="U537" s="139" t="n"/>
      <c r="V537" s="16">
        <f>P537+R537+T537</f>
        <v/>
      </c>
      <c r="W537" s="16" t="n"/>
      <c r="X537" s="139" t="n"/>
      <c r="Y537" s="16" t="n"/>
      <c r="Z537" s="139" t="n"/>
      <c r="AA537" s="16" t="n"/>
      <c r="AB537" s="139" t="n"/>
      <c r="AC537" s="16" t="n"/>
      <c r="AD537" s="139" t="n"/>
      <c r="AE537" s="16">
        <f>(W537+Y537+AA537+AC537)</f>
        <v/>
      </c>
      <c r="AF537" s="140" t="n"/>
      <c r="AG537" s="138" t="n"/>
      <c r="AH537" s="16" t="n"/>
      <c r="AI537" s="138" t="n"/>
      <c r="AJ537" s="16" t="n"/>
      <c r="AK537" s="138" t="n"/>
      <c r="AL537" s="16" t="n"/>
      <c r="AM537" s="138" t="n"/>
      <c r="AN537" s="16" t="n"/>
      <c r="AO537" s="138" t="n"/>
      <c r="AP537" s="16" t="n"/>
      <c r="AQ537" s="138" t="n"/>
      <c r="AR537" s="16" t="n"/>
      <c r="AS537" s="138" t="n"/>
      <c r="AT537" s="16" t="n"/>
      <c r="AU537" s="138" t="n"/>
      <c r="AV537" s="16" t="n"/>
      <c r="AW537" s="138" t="n"/>
      <c r="AX537" s="16" t="n"/>
      <c r="AY537" s="138" t="n"/>
      <c r="AZ537" s="16">
        <f>AF537+AH537+AJ537+AL537+AN537+AP537+AR537+AT537+AV537+AX537</f>
        <v/>
      </c>
      <c r="BA537" s="16" t="n"/>
      <c r="BB537" s="139" t="n"/>
      <c r="BC537" s="16" t="n"/>
      <c r="BD537" s="139" t="n"/>
      <c r="BE537" s="16">
        <f>(BA537+BC537)</f>
        <v/>
      </c>
    </row>
    <row r="538" ht="22.5" customFormat="1" customHeight="1" s="8">
      <c r="A538" s="9" t="n"/>
      <c r="B538" s="136" t="inlineStr">
        <is>
          <t>신주</t>
        </is>
      </c>
      <c r="C538" s="137" t="inlineStr">
        <is>
          <t>DX3000, ADX4000W</t>
        </is>
      </c>
      <c r="D538" s="63" t="inlineStr">
        <is>
          <t>배터리 거치대용 신주핀</t>
        </is>
      </c>
      <c r="E538" s="13" t="n"/>
      <c r="F538" s="99" t="n"/>
      <c r="G538" s="9" t="n"/>
      <c r="H538" s="9" t="inlineStr">
        <is>
          <t>다우정밀</t>
        </is>
      </c>
      <c r="I538" s="14" t="n"/>
      <c r="J538" s="14" t="n"/>
      <c r="K538" s="12" t="n">
        <v>0</v>
      </c>
      <c r="L538" s="9" t="n"/>
      <c r="M538" s="9" t="n"/>
      <c r="N538" s="9" t="n"/>
      <c r="O538" s="40">
        <f>K538+V538-AE538-AZ538</f>
        <v/>
      </c>
      <c r="P538" s="12" t="n"/>
      <c r="Q538" s="138" t="n"/>
      <c r="R538" s="16" t="n"/>
      <c r="S538" s="139" t="n"/>
      <c r="T538" s="16" t="n"/>
      <c r="U538" s="139" t="n"/>
      <c r="V538" s="16">
        <f>P538+R538+T538</f>
        <v/>
      </c>
      <c r="W538" s="16" t="n"/>
      <c r="X538" s="139" t="n"/>
      <c r="Y538" s="16" t="n"/>
      <c r="Z538" s="139" t="n"/>
      <c r="AA538" s="16" t="n"/>
      <c r="AB538" s="139" t="n"/>
      <c r="AC538" s="16" t="n"/>
      <c r="AD538" s="139" t="n"/>
      <c r="AE538" s="16">
        <f>(W538+Y538+AA538+AC538)</f>
        <v/>
      </c>
      <c r="AF538" s="140" t="n"/>
      <c r="AG538" s="138" t="n"/>
      <c r="AH538" s="16" t="n"/>
      <c r="AI538" s="138" t="n"/>
      <c r="AJ538" s="16" t="n"/>
      <c r="AK538" s="138" t="n"/>
      <c r="AL538" s="16" t="n"/>
      <c r="AM538" s="138" t="n"/>
      <c r="AN538" s="16" t="n"/>
      <c r="AO538" s="138" t="n"/>
      <c r="AP538" s="16" t="n"/>
      <c r="AQ538" s="138" t="n"/>
      <c r="AR538" s="16" t="n"/>
      <c r="AS538" s="138" t="n"/>
      <c r="AT538" s="16" t="n"/>
      <c r="AU538" s="138" t="n"/>
      <c r="AV538" s="16" t="n"/>
      <c r="AW538" s="138" t="n"/>
      <c r="AX538" s="16" t="n"/>
      <c r="AY538" s="138" t="n"/>
      <c r="AZ538" s="16">
        <f>AF538+AH538+AJ538+AL538+AN538+AP538+AR538+AT538+AV538+AX538</f>
        <v/>
      </c>
      <c r="BA538" s="16" t="n"/>
      <c r="BB538" s="139" t="n"/>
      <c r="BC538" s="16" t="n"/>
      <c r="BD538" s="139" t="n"/>
      <c r="BE538" s="16">
        <f>(BA538+BC538)</f>
        <v/>
      </c>
    </row>
    <row r="539" ht="22.5" customFormat="1" customHeight="1" s="8">
      <c r="A539" s="9" t="n"/>
      <c r="B539" s="136" t="inlineStr">
        <is>
          <t>브라켓</t>
        </is>
      </c>
      <c r="C539" s="137" t="inlineStr">
        <is>
          <t>공용</t>
        </is>
      </c>
      <c r="D539" s="63" t="inlineStr">
        <is>
          <t>스탠드 브라켓 조인트 셋트</t>
        </is>
      </c>
      <c r="E539" s="13" t="n"/>
      <c r="F539" s="99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40">
        <f>K539+V539-AE539-AZ539</f>
        <v/>
      </c>
      <c r="P539" s="12" t="n"/>
      <c r="Q539" s="138" t="n"/>
      <c r="R539" s="16" t="n"/>
      <c r="S539" s="139" t="n"/>
      <c r="T539" s="16" t="n"/>
      <c r="U539" s="139" t="n"/>
      <c r="V539" s="16">
        <f>P539+R539+T539</f>
        <v/>
      </c>
      <c r="W539" s="16" t="n"/>
      <c r="X539" s="139" t="n"/>
      <c r="Y539" s="16" t="n"/>
      <c r="Z539" s="139" t="n"/>
      <c r="AA539" s="16" t="n"/>
      <c r="AB539" s="139" t="n"/>
      <c r="AC539" s="16" t="n"/>
      <c r="AD539" s="139" t="n"/>
      <c r="AE539" s="16">
        <f>(W539+Y539+AA539+AC539)</f>
        <v/>
      </c>
      <c r="AF539" s="140" t="n"/>
      <c r="AG539" s="138" t="n"/>
      <c r="AH539" s="16" t="n"/>
      <c r="AI539" s="138" t="n"/>
      <c r="AJ539" s="16" t="n"/>
      <c r="AK539" s="138" t="n"/>
      <c r="AL539" s="16" t="n"/>
      <c r="AM539" s="138" t="n"/>
      <c r="AN539" s="16" t="n"/>
      <c r="AO539" s="138" t="n"/>
      <c r="AP539" s="16" t="n"/>
      <c r="AQ539" s="138" t="n"/>
      <c r="AR539" s="16" t="n"/>
      <c r="AS539" s="138" t="n"/>
      <c r="AT539" s="16" t="n"/>
      <c r="AU539" s="138" t="n"/>
      <c r="AV539" s="16" t="n"/>
      <c r="AW539" s="138" t="n"/>
      <c r="AX539" s="16" t="n"/>
      <c r="AY539" s="138" t="n"/>
      <c r="AZ539" s="16">
        <f>AF539+AH539+AJ539+AL539+AN539+AP539+AR539+AT539+AV539+AX539</f>
        <v/>
      </c>
      <c r="BA539" s="16" t="n"/>
      <c r="BB539" s="139" t="n"/>
      <c r="BC539" s="16" t="n"/>
      <c r="BD539" s="139" t="n"/>
      <c r="BE539" s="16">
        <f>(BA539+BC539)</f>
        <v/>
      </c>
    </row>
    <row r="540" ht="22.5" customFormat="1" customHeight="1" s="8">
      <c r="A540" s="9" t="n"/>
      <c r="B540" s="136" t="inlineStr">
        <is>
          <t>브라켓</t>
        </is>
      </c>
      <c r="C540" s="137" t="inlineStr">
        <is>
          <t>공용</t>
        </is>
      </c>
      <c r="D540" s="63" t="inlineStr">
        <is>
          <t>스탠드 브라켓 족의학용</t>
        </is>
      </c>
      <c r="E540" s="13" t="n"/>
      <c r="F540" s="99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40">
        <f>K540+V540-AE540-AZ540</f>
        <v/>
      </c>
      <c r="P540" s="12" t="n"/>
      <c r="Q540" s="138" t="n"/>
      <c r="R540" s="16" t="n"/>
      <c r="S540" s="139" t="n"/>
      <c r="T540" s="16" t="n"/>
      <c r="U540" s="139" t="n"/>
      <c r="V540" s="16">
        <f>P540+R540+T540</f>
        <v/>
      </c>
      <c r="W540" s="16" t="n"/>
      <c r="X540" s="139" t="n"/>
      <c r="Y540" s="16" t="n"/>
      <c r="Z540" s="139" t="n"/>
      <c r="AA540" s="16" t="n"/>
      <c r="AB540" s="139" t="n"/>
      <c r="AC540" s="16" t="n"/>
      <c r="AD540" s="139" t="n"/>
      <c r="AE540" s="16">
        <f>(W540+Y540+AA540+AC540)</f>
        <v/>
      </c>
      <c r="AF540" s="140" t="n"/>
      <c r="AG540" s="138" t="n"/>
      <c r="AH540" s="16" t="n"/>
      <c r="AI540" s="138" t="n"/>
      <c r="AJ540" s="16" t="n"/>
      <c r="AK540" s="138" t="n"/>
      <c r="AL540" s="16" t="n"/>
      <c r="AM540" s="138" t="n"/>
      <c r="AN540" s="16" t="n"/>
      <c r="AO540" s="138" t="n"/>
      <c r="AP540" s="16" t="n"/>
      <c r="AQ540" s="138" t="n"/>
      <c r="AR540" s="16" t="n"/>
      <c r="AS540" s="138" t="n"/>
      <c r="AT540" s="16" t="n"/>
      <c r="AU540" s="138" t="n"/>
      <c r="AV540" s="16" t="n"/>
      <c r="AW540" s="138" t="n"/>
      <c r="AX540" s="16" t="n"/>
      <c r="AY540" s="138" t="n"/>
      <c r="AZ540" s="16">
        <f>AF540+AH540+AJ540+AL540+AN540+AP540+AR540+AT540+AV540+AX540</f>
        <v/>
      </c>
      <c r="BA540" s="16" t="n"/>
      <c r="BB540" s="139" t="n"/>
      <c r="BC540" s="16" t="n"/>
      <c r="BD540" s="139" t="n"/>
      <c r="BE540" s="16">
        <f>(BA540+BC540)</f>
        <v/>
      </c>
    </row>
    <row r="541" ht="22.5" customFormat="1" customHeight="1" s="8">
      <c r="A541" s="9" t="n"/>
      <c r="B541" s="136" t="inlineStr">
        <is>
          <t>브라켓</t>
        </is>
      </c>
      <c r="C541" s="137" t="inlineStr">
        <is>
          <t>ADX6000</t>
        </is>
      </c>
      <c r="D541" s="63" t="inlineStr">
        <is>
          <t>국내용 스탠드 브라켓 1. BLOCK</t>
        </is>
      </c>
      <c r="E541" s="13" t="n"/>
      <c r="F541" s="99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40">
        <f>K541+V541-AE541-AZ541</f>
        <v/>
      </c>
      <c r="P541" s="12" t="n"/>
      <c r="Q541" s="138" t="n"/>
      <c r="R541" s="16" t="n"/>
      <c r="S541" s="139" t="n"/>
      <c r="T541" s="16" t="n"/>
      <c r="U541" s="139" t="n"/>
      <c r="V541" s="16">
        <f>P541+R541+T541</f>
        <v/>
      </c>
      <c r="W541" s="16" t="n"/>
      <c r="X541" s="139" t="n"/>
      <c r="Y541" s="16" t="n"/>
      <c r="Z541" s="139" t="n"/>
      <c r="AA541" s="16" t="n"/>
      <c r="AB541" s="139" t="n"/>
      <c r="AC541" s="16" t="n"/>
      <c r="AD541" s="139" t="n"/>
      <c r="AE541" s="16">
        <f>(W541+Y541+AA541+AC541)</f>
        <v/>
      </c>
      <c r="AF541" s="140" t="n"/>
      <c r="AG541" s="138" t="n"/>
      <c r="AH541" s="16" t="n"/>
      <c r="AI541" s="138" t="n"/>
      <c r="AJ541" s="16" t="n"/>
      <c r="AK541" s="138" t="n"/>
      <c r="AL541" s="16" t="n"/>
      <c r="AM541" s="138" t="n"/>
      <c r="AN541" s="16" t="n"/>
      <c r="AO541" s="138" t="n"/>
      <c r="AP541" s="16" t="n"/>
      <c r="AQ541" s="138" t="n"/>
      <c r="AR541" s="16" t="n"/>
      <c r="AS541" s="138" t="n"/>
      <c r="AT541" s="16" t="n"/>
      <c r="AU541" s="138" t="n"/>
      <c r="AV541" s="16" t="n"/>
      <c r="AW541" s="138" t="n"/>
      <c r="AX541" s="16" t="n"/>
      <c r="AY541" s="138" t="n"/>
      <c r="AZ541" s="16">
        <f>AF541+AH541+AJ541+AL541+AN541+AP541+AR541+AT541+AV541+AX541</f>
        <v/>
      </c>
      <c r="BA541" s="16" t="n"/>
      <c r="BB541" s="139" t="n"/>
      <c r="BC541" s="16" t="n"/>
      <c r="BD541" s="139" t="n"/>
      <c r="BE541" s="16">
        <f>(BA541+BC541)</f>
        <v/>
      </c>
    </row>
    <row r="542" ht="22.5" customFormat="1" customHeight="1" s="8">
      <c r="A542" s="9" t="n"/>
      <c r="B542" s="136" t="inlineStr">
        <is>
          <t>브라켓</t>
        </is>
      </c>
      <c r="C542" s="137" t="inlineStr">
        <is>
          <t>ADX6000</t>
        </is>
      </c>
      <c r="D542" s="60" t="inlineStr">
        <is>
          <t>국내용 스탠드 브라켓 2. ARM</t>
        </is>
      </c>
      <c r="E542" s="13" t="n"/>
      <c r="F542" s="99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40">
        <f>K542+V542-AE542-AZ542</f>
        <v/>
      </c>
      <c r="P542" s="12" t="n"/>
      <c r="Q542" s="138" t="n"/>
      <c r="R542" s="16" t="n"/>
      <c r="S542" s="139" t="n"/>
      <c r="T542" s="16" t="n"/>
      <c r="U542" s="139" t="n"/>
      <c r="V542" s="16">
        <f>P542+R542+T542</f>
        <v/>
      </c>
      <c r="W542" s="16" t="n"/>
      <c r="X542" s="139" t="n"/>
      <c r="Y542" s="16" t="n"/>
      <c r="Z542" s="139" t="n"/>
      <c r="AA542" s="16" t="n"/>
      <c r="AB542" s="139" t="n"/>
      <c r="AC542" s="16" t="n"/>
      <c r="AD542" s="139" t="n"/>
      <c r="AE542" s="16">
        <f>(W542+Y542+AA542+AC542)</f>
        <v/>
      </c>
      <c r="AF542" s="140" t="n"/>
      <c r="AG542" s="138" t="n"/>
      <c r="AH542" s="16" t="n"/>
      <c r="AI542" s="138" t="n"/>
      <c r="AJ542" s="16" t="n"/>
      <c r="AK542" s="138" t="n"/>
      <c r="AL542" s="16" t="n"/>
      <c r="AM542" s="138" t="n"/>
      <c r="AN542" s="16" t="n"/>
      <c r="AO542" s="138" t="n"/>
      <c r="AP542" s="16" t="n"/>
      <c r="AQ542" s="138" t="n"/>
      <c r="AR542" s="16" t="n"/>
      <c r="AS542" s="138" t="n"/>
      <c r="AT542" s="16" t="n"/>
      <c r="AU542" s="138" t="n"/>
      <c r="AV542" s="16" t="n"/>
      <c r="AW542" s="138" t="n"/>
      <c r="AX542" s="16" t="n"/>
      <c r="AY542" s="138" t="n"/>
      <c r="AZ542" s="16">
        <f>AF542+AH542+AJ542+AL542+AN542+AP542+AR542+AT542+AV542+AX542</f>
        <v/>
      </c>
      <c r="BA542" s="16" t="n"/>
      <c r="BB542" s="139" t="n"/>
      <c r="BC542" s="16" t="n"/>
      <c r="BD542" s="139" t="n"/>
      <c r="BE542" s="16">
        <f>(BA542+BC542)</f>
        <v/>
      </c>
    </row>
    <row r="543" ht="22.5" customFormat="1" customHeight="1" s="8">
      <c r="A543" s="9" t="n"/>
      <c r="B543" s="136" t="inlineStr">
        <is>
          <t>브라켓</t>
        </is>
      </c>
      <c r="C543" s="137" t="inlineStr">
        <is>
          <t>ADX6000</t>
        </is>
      </c>
      <c r="D543" s="60" t="inlineStr">
        <is>
          <t>국내용 스탠드 브라켓 3. TILT BODY</t>
        </is>
      </c>
      <c r="E543" s="13" t="n"/>
      <c r="F543" s="99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40">
        <f>K543+V543-AE543-AZ543</f>
        <v/>
      </c>
      <c r="P543" s="12" t="n"/>
      <c r="Q543" s="138" t="n"/>
      <c r="R543" s="16" t="n"/>
      <c r="S543" s="139" t="n"/>
      <c r="T543" s="16" t="n"/>
      <c r="U543" s="139" t="n"/>
      <c r="V543" s="16">
        <f>P543+R543+T543</f>
        <v/>
      </c>
      <c r="W543" s="16" t="n"/>
      <c r="X543" s="139" t="n"/>
      <c r="Y543" s="16" t="n"/>
      <c r="Z543" s="139" t="n"/>
      <c r="AA543" s="16" t="n"/>
      <c r="AB543" s="139" t="n"/>
      <c r="AC543" s="16" t="n"/>
      <c r="AD543" s="139" t="n"/>
      <c r="AE543" s="16">
        <f>(W543+Y543+AA543+AC543)</f>
        <v/>
      </c>
      <c r="AF543" s="140" t="n"/>
      <c r="AG543" s="138" t="n"/>
      <c r="AH543" s="16" t="n"/>
      <c r="AI543" s="138" t="n"/>
      <c r="AJ543" s="16" t="n"/>
      <c r="AK543" s="138" t="n"/>
      <c r="AL543" s="16" t="n"/>
      <c r="AM543" s="138" t="n"/>
      <c r="AN543" s="16" t="n"/>
      <c r="AO543" s="138" t="n"/>
      <c r="AP543" s="16" t="n"/>
      <c r="AQ543" s="138" t="n"/>
      <c r="AR543" s="16" t="n"/>
      <c r="AS543" s="138" t="n"/>
      <c r="AT543" s="16" t="n"/>
      <c r="AU543" s="138" t="n"/>
      <c r="AV543" s="16" t="n"/>
      <c r="AW543" s="138" t="n"/>
      <c r="AX543" s="16" t="n"/>
      <c r="AY543" s="138" t="n"/>
      <c r="AZ543" s="16">
        <f>AF543+AH543+AJ543+AL543+AN543+AP543+AR543+AT543+AV543+AX543</f>
        <v/>
      </c>
      <c r="BA543" s="16" t="n"/>
      <c r="BB543" s="139" t="n"/>
      <c r="BC543" s="16" t="n"/>
      <c r="BD543" s="139" t="n"/>
      <c r="BE543" s="16">
        <f>(BA543+BC543)</f>
        <v/>
      </c>
    </row>
    <row r="544" ht="22.5" customFormat="1" customHeight="1" s="8">
      <c r="A544" s="9" t="n"/>
      <c r="B544" s="136" t="inlineStr">
        <is>
          <t>브라켓</t>
        </is>
      </c>
      <c r="C544" s="137" t="inlineStr">
        <is>
          <t>ADX6000</t>
        </is>
      </c>
      <c r="D544" s="60" t="inlineStr">
        <is>
          <t>국내용 스탠드 브라켓 4. BASE</t>
        </is>
      </c>
      <c r="E544" s="13" t="n"/>
      <c r="F544" s="99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40">
        <f>K544+V544-AE544-AZ544</f>
        <v/>
      </c>
      <c r="P544" s="12" t="n"/>
      <c r="Q544" s="138" t="n"/>
      <c r="R544" s="16" t="n"/>
      <c r="S544" s="139" t="n"/>
      <c r="T544" s="16" t="n"/>
      <c r="U544" s="139" t="n"/>
      <c r="V544" s="16">
        <f>P544+R544+T544</f>
        <v/>
      </c>
      <c r="W544" s="16" t="n"/>
      <c r="X544" s="139" t="n"/>
      <c r="Y544" s="16" t="n"/>
      <c r="Z544" s="139" t="n"/>
      <c r="AA544" s="16" t="n"/>
      <c r="AB544" s="139" t="n"/>
      <c r="AC544" s="16" t="n"/>
      <c r="AD544" s="139" t="n"/>
      <c r="AE544" s="16">
        <f>(W544+Y544+AA544+AC544)</f>
        <v/>
      </c>
      <c r="AF544" s="140" t="n"/>
      <c r="AG544" s="138" t="n"/>
      <c r="AH544" s="16" t="n"/>
      <c r="AI544" s="138" t="n"/>
      <c r="AJ544" s="16" t="n"/>
      <c r="AK544" s="138" t="n"/>
      <c r="AL544" s="16" t="n"/>
      <c r="AM544" s="138" t="n"/>
      <c r="AN544" s="16" t="n"/>
      <c r="AO544" s="138" t="n"/>
      <c r="AP544" s="16" t="n"/>
      <c r="AQ544" s="138" t="n"/>
      <c r="AR544" s="16" t="n"/>
      <c r="AS544" s="138" t="n"/>
      <c r="AT544" s="16" t="n"/>
      <c r="AU544" s="138" t="n"/>
      <c r="AV544" s="16" t="n"/>
      <c r="AW544" s="138" t="n"/>
      <c r="AX544" s="16" t="n"/>
      <c r="AY544" s="138" t="n"/>
      <c r="AZ544" s="16">
        <f>AF544+AH544+AJ544+AL544+AN544+AP544+AR544+AT544+AV544+AX544</f>
        <v/>
      </c>
      <c r="BA544" s="16" t="n"/>
      <c r="BB544" s="139" t="n"/>
      <c r="BC544" s="16" t="n"/>
      <c r="BD544" s="139" t="n"/>
      <c r="BE544" s="16">
        <f>(BA544+BC544)</f>
        <v/>
      </c>
    </row>
    <row r="545" ht="22.5" customFormat="1" customHeight="1" s="8">
      <c r="A545" s="9" t="n"/>
      <c r="B545" s="136" t="inlineStr">
        <is>
          <t>브라켓</t>
        </is>
      </c>
      <c r="C545" s="137" t="inlineStr">
        <is>
          <t>ADX6000</t>
        </is>
      </c>
      <c r="D545" s="60" t="inlineStr">
        <is>
          <t>국내용 스탠드 브라켓 5. SHAFT</t>
        </is>
      </c>
      <c r="E545" s="13" t="n"/>
      <c r="F545" s="99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40">
        <f>K545+V545-AE545-AZ545</f>
        <v/>
      </c>
      <c r="P545" s="12" t="n"/>
      <c r="Q545" s="138" t="n"/>
      <c r="R545" s="16" t="n"/>
      <c r="S545" s="139" t="n"/>
      <c r="T545" s="16" t="n"/>
      <c r="U545" s="139" t="n"/>
      <c r="V545" s="16">
        <f>P545+R545+T545</f>
        <v/>
      </c>
      <c r="W545" s="16" t="n"/>
      <c r="X545" s="139" t="n"/>
      <c r="Y545" s="16" t="n"/>
      <c r="Z545" s="139" t="n"/>
      <c r="AA545" s="16" t="n"/>
      <c r="AB545" s="139" t="n"/>
      <c r="AC545" s="16" t="n"/>
      <c r="AD545" s="139" t="n"/>
      <c r="AE545" s="16">
        <f>(W545+Y545+AA545+AC545)</f>
        <v/>
      </c>
      <c r="AF545" s="140" t="n"/>
      <c r="AG545" s="138" t="n"/>
      <c r="AH545" s="16" t="n"/>
      <c r="AI545" s="138" t="n"/>
      <c r="AJ545" s="16" t="n"/>
      <c r="AK545" s="138" t="n"/>
      <c r="AL545" s="16" t="n"/>
      <c r="AM545" s="138" t="n"/>
      <c r="AN545" s="16" t="n"/>
      <c r="AO545" s="138" t="n"/>
      <c r="AP545" s="16" t="n"/>
      <c r="AQ545" s="138" t="n"/>
      <c r="AR545" s="16" t="n"/>
      <c r="AS545" s="138" t="n"/>
      <c r="AT545" s="16" t="n"/>
      <c r="AU545" s="138" t="n"/>
      <c r="AV545" s="16" t="n"/>
      <c r="AW545" s="138" t="n"/>
      <c r="AX545" s="16" t="n"/>
      <c r="AY545" s="138" t="n"/>
      <c r="AZ545" s="16">
        <f>AF545+AH545+AJ545+AL545+AN545+AP545+AR545+AT545+AV545+AX545</f>
        <v/>
      </c>
      <c r="BA545" s="16" t="n"/>
      <c r="BB545" s="139" t="n"/>
      <c r="BC545" s="16" t="n"/>
      <c r="BD545" s="139" t="n"/>
      <c r="BE545" s="16">
        <f>(BA545+BC545)</f>
        <v/>
      </c>
    </row>
    <row r="546" ht="22.5" customFormat="1" customHeight="1" s="8">
      <c r="A546" s="9" t="n"/>
      <c r="B546" s="136" t="inlineStr">
        <is>
          <t>브라켓</t>
        </is>
      </c>
      <c r="C546" s="137" t="inlineStr">
        <is>
          <t>ADX6000</t>
        </is>
      </c>
      <c r="D546" s="63" t="inlineStr">
        <is>
          <t>국내용 스탠드 브라켓 6. PUSH PLATE</t>
        </is>
      </c>
      <c r="E546" s="13" t="n"/>
      <c r="F546" s="99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40">
        <f>K546+V546-AE546-AZ546</f>
        <v/>
      </c>
      <c r="P546" s="12" t="n"/>
      <c r="Q546" s="138" t="n"/>
      <c r="R546" s="16" t="n"/>
      <c r="S546" s="139" t="n"/>
      <c r="T546" s="16" t="n"/>
      <c r="U546" s="139" t="n"/>
      <c r="V546" s="16">
        <f>P546+R546+T546</f>
        <v/>
      </c>
      <c r="W546" s="16" t="n"/>
      <c r="X546" s="139" t="n"/>
      <c r="Y546" s="16" t="n"/>
      <c r="Z546" s="139" t="n"/>
      <c r="AA546" s="16" t="n"/>
      <c r="AB546" s="139" t="n"/>
      <c r="AC546" s="16" t="n"/>
      <c r="AD546" s="139" t="n"/>
      <c r="AE546" s="16">
        <f>(W546+Y546+AA546+AC546)</f>
        <v/>
      </c>
      <c r="AF546" s="140" t="n"/>
      <c r="AG546" s="138" t="n"/>
      <c r="AH546" s="16" t="n"/>
      <c r="AI546" s="138" t="n"/>
      <c r="AJ546" s="16" t="n"/>
      <c r="AK546" s="138" t="n"/>
      <c r="AL546" s="16" t="n"/>
      <c r="AM546" s="138" t="n"/>
      <c r="AN546" s="16" t="n"/>
      <c r="AO546" s="138" t="n"/>
      <c r="AP546" s="16" t="n"/>
      <c r="AQ546" s="138" t="n"/>
      <c r="AR546" s="16" t="n"/>
      <c r="AS546" s="138" t="n"/>
      <c r="AT546" s="16" t="n"/>
      <c r="AU546" s="138" t="n"/>
      <c r="AV546" s="16" t="n"/>
      <c r="AW546" s="138" t="n"/>
      <c r="AX546" s="16" t="n"/>
      <c r="AY546" s="138" t="n"/>
      <c r="AZ546" s="16">
        <f>AF546+AH546+AJ546+AL546+AN546+AP546+AR546+AT546+AV546+AX546</f>
        <v/>
      </c>
      <c r="BA546" s="16" t="n"/>
      <c r="BB546" s="139" t="n"/>
      <c r="BC546" s="16" t="n"/>
      <c r="BD546" s="139" t="n"/>
      <c r="BE546" s="16">
        <f>(BA546+BC546)</f>
        <v/>
      </c>
    </row>
    <row r="547" ht="22.5" customFormat="1" customHeight="1" s="8">
      <c r="A547" s="9" t="n"/>
      <c r="B547" s="136" t="inlineStr">
        <is>
          <t>브라켓</t>
        </is>
      </c>
      <c r="C547" s="137" t="inlineStr">
        <is>
          <t>ADX6000</t>
        </is>
      </c>
      <c r="D547" s="63" t="inlineStr">
        <is>
          <t>국내용 스탠드 브라켓 7. EASY LOCK PLATE</t>
        </is>
      </c>
      <c r="E547" s="13" t="n"/>
      <c r="F547" s="99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40">
        <f>K547+V547-AE547-AZ547</f>
        <v/>
      </c>
      <c r="P547" s="12" t="n"/>
      <c r="Q547" s="138" t="n"/>
      <c r="R547" s="16" t="n"/>
      <c r="S547" s="139" t="n"/>
      <c r="T547" s="16" t="n"/>
      <c r="U547" s="139" t="n"/>
      <c r="V547" s="16">
        <f>P547+R547+T547</f>
        <v/>
      </c>
      <c r="W547" s="16" t="n"/>
      <c r="X547" s="139" t="n"/>
      <c r="Y547" s="16" t="n"/>
      <c r="Z547" s="139" t="n"/>
      <c r="AA547" s="16" t="n"/>
      <c r="AB547" s="139" t="n"/>
      <c r="AC547" s="16" t="n"/>
      <c r="AD547" s="139" t="n"/>
      <c r="AE547" s="16">
        <f>(W547+Y547+AA547+AC547)</f>
        <v/>
      </c>
      <c r="AF547" s="140" t="n"/>
      <c r="AG547" s="138" t="n"/>
      <c r="AH547" s="16" t="n"/>
      <c r="AI547" s="138" t="n"/>
      <c r="AJ547" s="16" t="n"/>
      <c r="AK547" s="138" t="n"/>
      <c r="AL547" s="16" t="n"/>
      <c r="AM547" s="138" t="n"/>
      <c r="AN547" s="16" t="n"/>
      <c r="AO547" s="138" t="n"/>
      <c r="AP547" s="16" t="n"/>
      <c r="AQ547" s="138" t="n"/>
      <c r="AR547" s="16" t="n"/>
      <c r="AS547" s="138" t="n"/>
      <c r="AT547" s="16" t="n"/>
      <c r="AU547" s="138" t="n"/>
      <c r="AV547" s="16" t="n"/>
      <c r="AW547" s="138" t="n"/>
      <c r="AX547" s="16" t="n"/>
      <c r="AY547" s="138" t="n"/>
      <c r="AZ547" s="16">
        <f>AF547+AH547+AJ547+AL547+AN547+AP547+AR547+AT547+AV547+AX547</f>
        <v/>
      </c>
      <c r="BA547" s="16" t="n"/>
      <c r="BB547" s="139" t="n"/>
      <c r="BC547" s="16" t="n"/>
      <c r="BD547" s="139" t="n"/>
      <c r="BE547" s="16">
        <f>(BA547+BC547)</f>
        <v/>
      </c>
    </row>
    <row r="548" ht="22.5" customFormat="1" customHeight="1" s="8">
      <c r="A548" s="9" t="n"/>
      <c r="B548" s="136" t="inlineStr">
        <is>
          <t>브라켓</t>
        </is>
      </c>
      <c r="C548" s="137" t="inlineStr">
        <is>
          <t>ADX6000</t>
        </is>
      </c>
      <c r="D548" s="79" t="inlineStr">
        <is>
          <t>국내용 스탠드 브라켓 8. MOUNT</t>
        </is>
      </c>
      <c r="E548" s="13" t="n"/>
      <c r="F548" s="99" t="n"/>
      <c r="G548" s="9" t="n"/>
      <c r="H548" s="9" t="inlineStr">
        <is>
          <t>제이케이시스템</t>
        </is>
      </c>
      <c r="I548" s="14" t="n"/>
      <c r="J548" s="14" t="n"/>
      <c r="K548" s="12" t="n">
        <v>0</v>
      </c>
      <c r="L548" s="9" t="n"/>
      <c r="M548" s="9" t="n"/>
      <c r="N548" s="9" t="n"/>
      <c r="O548" s="40">
        <f>K548+V548-AE548-AZ548</f>
        <v/>
      </c>
      <c r="P548" s="12" t="n"/>
      <c r="Q548" s="138" t="n"/>
      <c r="R548" s="16" t="n"/>
      <c r="S548" s="139" t="n"/>
      <c r="T548" s="16" t="n"/>
      <c r="U548" s="139" t="n"/>
      <c r="V548" s="16">
        <f>P548+R548+T548</f>
        <v/>
      </c>
      <c r="W548" s="16" t="n"/>
      <c r="X548" s="139" t="n"/>
      <c r="Y548" s="16" t="n"/>
      <c r="Z548" s="139" t="n"/>
      <c r="AA548" s="16" t="n"/>
      <c r="AB548" s="139" t="n"/>
      <c r="AC548" s="16" t="n"/>
      <c r="AD548" s="139" t="n"/>
      <c r="AE548" s="16">
        <f>(W548+Y548+AA548+AC548)</f>
        <v/>
      </c>
      <c r="AF548" s="140" t="n"/>
      <c r="AG548" s="138" t="n"/>
      <c r="AH548" s="16" t="n"/>
      <c r="AI548" s="138" t="n"/>
      <c r="AJ548" s="16" t="n"/>
      <c r="AK548" s="138" t="n"/>
      <c r="AL548" s="16" t="n"/>
      <c r="AM548" s="138" t="n"/>
      <c r="AN548" s="16" t="n"/>
      <c r="AO548" s="138" t="n"/>
      <c r="AP548" s="16" t="n"/>
      <c r="AQ548" s="138" t="n"/>
      <c r="AR548" s="16" t="n"/>
      <c r="AS548" s="138" t="n"/>
      <c r="AT548" s="16" t="n"/>
      <c r="AU548" s="138" t="n"/>
      <c r="AV548" s="16" t="n"/>
      <c r="AW548" s="138" t="n"/>
      <c r="AX548" s="16" t="n"/>
      <c r="AY548" s="138" t="n"/>
      <c r="AZ548" s="16">
        <f>AF548+AH548+AJ548+AL548+AN548+AP548+AR548+AT548+AV548+AX548</f>
        <v/>
      </c>
      <c r="BA548" s="16" t="n"/>
      <c r="BB548" s="139" t="n"/>
      <c r="BC548" s="16" t="n"/>
      <c r="BD548" s="139" t="n"/>
      <c r="BE548" s="16">
        <f>(BA548+BC548)</f>
        <v/>
      </c>
    </row>
    <row r="549" ht="22.5" customFormat="1" customHeight="1" s="8">
      <c r="A549" s="9" t="n"/>
      <c r="B549" s="136" t="inlineStr">
        <is>
          <t>브라켓</t>
        </is>
      </c>
      <c r="C549" s="137" t="inlineStr">
        <is>
          <t>ADX6000</t>
        </is>
      </c>
      <c r="D549" s="91" t="inlineStr">
        <is>
          <t>국내용 스탠드 브라켓 9. 조임 손잡이</t>
        </is>
      </c>
      <c r="E549" s="13" t="n"/>
      <c r="F549" s="99" t="n"/>
      <c r="G549" s="9" t="n"/>
      <c r="H549" s="9" t="inlineStr">
        <is>
          <t>제이케이시스템</t>
        </is>
      </c>
      <c r="I549" s="14" t="n"/>
      <c r="J549" s="14" t="n"/>
      <c r="K549" s="12" t="n">
        <v>0</v>
      </c>
      <c r="L549" s="9" t="n"/>
      <c r="M549" s="9" t="n"/>
      <c r="N549" s="9" t="n"/>
      <c r="O549" s="40">
        <f>K549+V549-AE549-AZ549</f>
        <v/>
      </c>
      <c r="P549" s="12" t="n"/>
      <c r="Q549" s="138" t="n"/>
      <c r="R549" s="16" t="n"/>
      <c r="S549" s="139" t="n"/>
      <c r="T549" s="16" t="n"/>
      <c r="U549" s="139" t="n"/>
      <c r="V549" s="16">
        <f>P549+R549+T549</f>
        <v/>
      </c>
      <c r="W549" s="16" t="n"/>
      <c r="X549" s="139" t="n"/>
      <c r="Y549" s="16" t="n"/>
      <c r="Z549" s="139" t="n"/>
      <c r="AA549" s="16" t="n"/>
      <c r="AB549" s="139" t="n"/>
      <c r="AC549" s="16" t="n"/>
      <c r="AD549" s="139" t="n"/>
      <c r="AE549" s="16">
        <f>(W549+Y549+AA549+AC549)</f>
        <v/>
      </c>
      <c r="AF549" s="140" t="n"/>
      <c r="AG549" s="138" t="n"/>
      <c r="AH549" s="16" t="n"/>
      <c r="AI549" s="138" t="n"/>
      <c r="AJ549" s="16" t="n"/>
      <c r="AK549" s="138" t="n"/>
      <c r="AL549" s="16" t="n"/>
      <c r="AM549" s="138" t="n"/>
      <c r="AN549" s="16" t="n"/>
      <c r="AO549" s="138" t="n"/>
      <c r="AP549" s="16" t="n"/>
      <c r="AQ549" s="138" t="n"/>
      <c r="AR549" s="16" t="n"/>
      <c r="AS549" s="138" t="n"/>
      <c r="AT549" s="16" t="n"/>
      <c r="AU549" s="138" t="n"/>
      <c r="AV549" s="16" t="n"/>
      <c r="AW549" s="138" t="n"/>
      <c r="AX549" s="16" t="n"/>
      <c r="AY549" s="138" t="n"/>
      <c r="AZ549" s="16">
        <f>AF549+AH549+AJ549+AL549+AN549+AP549+AR549+AT549+AV549+AX549</f>
        <v/>
      </c>
      <c r="BA549" s="16" t="n"/>
      <c r="BB549" s="139" t="n"/>
      <c r="BC549" s="16" t="n"/>
      <c r="BD549" s="139" t="n"/>
      <c r="BE549" s="16">
        <f>(BA549+BC549)</f>
        <v/>
      </c>
    </row>
    <row r="550" ht="22.5" customFormat="1" customHeight="1" s="8">
      <c r="A550" s="9" t="n"/>
      <c r="B550" s="136" t="inlineStr">
        <is>
          <t>전자 각도기</t>
        </is>
      </c>
      <c r="C550" s="137" t="inlineStr">
        <is>
          <t>ADX6000S</t>
        </is>
      </c>
      <c r="D550" s="79" t="inlineStr">
        <is>
          <t>전자 각도기</t>
        </is>
      </c>
      <c r="E550" s="13" t="n"/>
      <c r="F550" s="99" t="n"/>
      <c r="G550" s="9" t="n"/>
      <c r="H550" s="9" t="inlineStr">
        <is>
          <t>제이케이시스템</t>
        </is>
      </c>
      <c r="I550" s="14" t="n"/>
      <c r="J550" s="14" t="n"/>
      <c r="K550" s="12" t="n">
        <v>0</v>
      </c>
      <c r="L550" s="9" t="n"/>
      <c r="M550" s="9" t="n"/>
      <c r="N550" s="9" t="n"/>
      <c r="O550" s="40">
        <f>K550+V550-AE550-AZ550</f>
        <v/>
      </c>
      <c r="P550" s="12" t="n"/>
      <c r="Q550" s="138" t="n"/>
      <c r="R550" s="16" t="n"/>
      <c r="S550" s="139" t="n"/>
      <c r="T550" s="16" t="n"/>
      <c r="U550" s="139" t="n"/>
      <c r="V550" s="16">
        <f>P550+R550+T550</f>
        <v/>
      </c>
      <c r="W550" s="16" t="n"/>
      <c r="X550" s="139" t="n"/>
      <c r="Y550" s="16" t="n"/>
      <c r="Z550" s="139" t="n"/>
      <c r="AA550" s="16" t="n"/>
      <c r="AB550" s="139" t="n"/>
      <c r="AC550" s="16" t="n"/>
      <c r="AD550" s="139" t="n"/>
      <c r="AE550" s="16">
        <f>(W550+Y550+AA550+AC550)</f>
        <v/>
      </c>
      <c r="AF550" s="140" t="n"/>
      <c r="AG550" s="138" t="n"/>
      <c r="AH550" s="16" t="n"/>
      <c r="AI550" s="138" t="n"/>
      <c r="AJ550" s="16" t="n"/>
      <c r="AK550" s="138" t="n"/>
      <c r="AL550" s="16" t="n"/>
      <c r="AM550" s="138" t="n"/>
      <c r="AN550" s="16" t="n"/>
      <c r="AO550" s="138" t="n"/>
      <c r="AP550" s="16" t="n"/>
      <c r="AQ550" s="138" t="n"/>
      <c r="AR550" s="16" t="n"/>
      <c r="AS550" s="138" t="n"/>
      <c r="AT550" s="16" t="n"/>
      <c r="AU550" s="138" t="n"/>
      <c r="AV550" s="16" t="n"/>
      <c r="AW550" s="138" t="n"/>
      <c r="AX550" s="16" t="n"/>
      <c r="AY550" s="138" t="n"/>
      <c r="AZ550" s="16">
        <f>AF550+AH550+AJ550+AL550+AN550+AP550+AR550+AT550+AV550+AX550</f>
        <v/>
      </c>
      <c r="BA550" s="16" t="n"/>
      <c r="BB550" s="139" t="n"/>
      <c r="BC550" s="16" t="n"/>
      <c r="BD550" s="139" t="n"/>
      <c r="BE550" s="16">
        <f>(BA550+BC550)</f>
        <v/>
      </c>
    </row>
    <row r="551" ht="22.5" customFormat="1" customHeight="1" s="8">
      <c r="A551" s="9" t="n"/>
      <c r="B551" s="136" t="inlineStr">
        <is>
          <t>AL 거치대</t>
        </is>
      </c>
      <c r="C551" s="137" t="inlineStr">
        <is>
          <t>ADX6000</t>
        </is>
      </c>
      <c r="D551" s="79" t="inlineStr">
        <is>
          <t>각도기 거치대</t>
        </is>
      </c>
      <c r="E551" s="13" t="n"/>
      <c r="F551" s="99" t="n"/>
      <c r="G551" s="9" t="n"/>
      <c r="H551" s="9" t="inlineStr">
        <is>
          <t>다우정밀</t>
        </is>
      </c>
      <c r="I551" s="14" t="n"/>
      <c r="J551" s="14" t="n"/>
      <c r="K551" s="12" t="n">
        <v>37</v>
      </c>
      <c r="L551" s="9" t="n"/>
      <c r="M551" s="9" t="n"/>
      <c r="N551" s="9" t="n"/>
      <c r="O551" s="40">
        <f>K551+V551-AE551-AZ551</f>
        <v/>
      </c>
      <c r="P551" s="12" t="n"/>
      <c r="Q551" s="138" t="n"/>
      <c r="R551" s="16" t="n"/>
      <c r="S551" s="139" t="n"/>
      <c r="T551" s="16" t="n"/>
      <c r="U551" s="139" t="n"/>
      <c r="V551" s="16">
        <f>P551+R551+T551</f>
        <v/>
      </c>
      <c r="W551" s="16" t="n"/>
      <c r="X551" s="139" t="n"/>
      <c r="Y551" s="16" t="n"/>
      <c r="Z551" s="139" t="n"/>
      <c r="AA551" s="16" t="n"/>
      <c r="AB551" s="139" t="n"/>
      <c r="AC551" s="16" t="n"/>
      <c r="AD551" s="139" t="n"/>
      <c r="AE551" s="16">
        <f>(W551+Y551+AA551+AC551)</f>
        <v/>
      </c>
      <c r="AF551" s="140" t="n"/>
      <c r="AG551" s="138" t="n"/>
      <c r="AH551" s="16" t="n"/>
      <c r="AI551" s="138" t="n"/>
      <c r="AJ551" s="16" t="n"/>
      <c r="AK551" s="138" t="n"/>
      <c r="AL551" s="16" t="n"/>
      <c r="AM551" s="138" t="n"/>
      <c r="AN551" s="16" t="n"/>
      <c r="AO551" s="138" t="n"/>
      <c r="AP551" s="16" t="n"/>
      <c r="AQ551" s="138" t="n"/>
      <c r="AR551" s="16" t="n"/>
      <c r="AS551" s="138" t="n"/>
      <c r="AT551" s="16" t="n"/>
      <c r="AU551" s="138" t="n"/>
      <c r="AV551" s="16" t="n"/>
      <c r="AW551" s="138" t="n"/>
      <c r="AX551" s="16" t="n"/>
      <c r="AY551" s="138" t="n"/>
      <c r="AZ551" s="16">
        <f>AF551+AH551+AJ551+AL551+AN551+AP551+AR551+AT551+AV551+AX551</f>
        <v/>
      </c>
      <c r="BA551" s="16" t="n"/>
      <c r="BB551" s="139" t="n"/>
      <c r="BC551" s="16" t="n"/>
      <c r="BD551" s="139" t="n"/>
      <c r="BE551" s="16">
        <f>(BA551+BC551)</f>
        <v/>
      </c>
    </row>
    <row r="552" ht="22.5" customFormat="1" customHeight="1" s="8">
      <c r="A552" s="9" t="n"/>
      <c r="B552" s="136" t="inlineStr">
        <is>
          <t>SUS</t>
        </is>
      </c>
      <c r="C552" s="137" t="inlineStr">
        <is>
          <t>ADX6000</t>
        </is>
      </c>
      <c r="D552" s="79" t="inlineStr">
        <is>
          <t>각도기 내부 철판</t>
        </is>
      </c>
      <c r="E552" s="13" t="n"/>
      <c r="F552" s="99" t="n"/>
      <c r="G552" s="9" t="n"/>
      <c r="H552" s="9" t="inlineStr">
        <is>
          <t>다우정밀</t>
        </is>
      </c>
      <c r="I552" s="14" t="n"/>
      <c r="J552" s="14" t="n"/>
      <c r="K552" s="12" t="n">
        <v>91</v>
      </c>
      <c r="L552" s="9" t="n"/>
      <c r="M552" s="9" t="n"/>
      <c r="N552" s="9" t="n"/>
      <c r="O552" s="40">
        <f>K552+V552-AE552-AZ552</f>
        <v/>
      </c>
      <c r="P552" s="12" t="n"/>
      <c r="Q552" s="138" t="n"/>
      <c r="R552" s="16" t="n"/>
      <c r="S552" s="139" t="n"/>
      <c r="T552" s="16" t="n"/>
      <c r="U552" s="139" t="n"/>
      <c r="V552" s="16">
        <f>P552+R552+T552</f>
        <v/>
      </c>
      <c r="W552" s="16" t="n"/>
      <c r="X552" s="139" t="n"/>
      <c r="Y552" s="16" t="n"/>
      <c r="Z552" s="139" t="n"/>
      <c r="AA552" s="16" t="n"/>
      <c r="AB552" s="139" t="n"/>
      <c r="AC552" s="16" t="n"/>
      <c r="AD552" s="139" t="n"/>
      <c r="AE552" s="16">
        <f>(W552+Y552+AA552+AC552)</f>
        <v/>
      </c>
      <c r="AF552" s="140" t="n"/>
      <c r="AG552" s="138" t="n"/>
      <c r="AH552" s="16" t="n"/>
      <c r="AI552" s="138" t="n"/>
      <c r="AJ552" s="16" t="n"/>
      <c r="AK552" s="138" t="n"/>
      <c r="AL552" s="16" t="n"/>
      <c r="AM552" s="138" t="n"/>
      <c r="AN552" s="16" t="n"/>
      <c r="AO552" s="138" t="n"/>
      <c r="AP552" s="16" t="n"/>
      <c r="AQ552" s="138" t="n"/>
      <c r="AR552" s="16" t="n"/>
      <c r="AS552" s="138" t="n"/>
      <c r="AT552" s="16" t="n"/>
      <c r="AU552" s="138" t="n"/>
      <c r="AV552" s="16" t="n"/>
      <c r="AW552" s="138" t="n"/>
      <c r="AX552" s="16" t="n"/>
      <c r="AY552" s="138" t="n"/>
      <c r="AZ552" s="16">
        <f>AF552+AH552+AJ552+AL552+AN552+AP552+AR552+AT552+AV552+AX552</f>
        <v/>
      </c>
      <c r="BA552" s="16" t="n"/>
      <c r="BB552" s="139" t="n"/>
      <c r="BC552" s="16" t="n"/>
      <c r="BD552" s="139" t="n"/>
      <c r="BE552" s="16">
        <f>(BA552+BC552)</f>
        <v/>
      </c>
    </row>
    <row r="553" ht="22.5" customFormat="1" customHeight="1" s="8">
      <c r="A553" s="9" t="n"/>
      <c r="B553" s="136" t="inlineStr">
        <is>
          <t>ABS 난연</t>
        </is>
      </c>
      <c r="C553" s="137" t="inlineStr">
        <is>
          <t>ADX6000</t>
        </is>
      </c>
      <c r="D553" s="65" t="inlineStr">
        <is>
          <t>각도기 홀더</t>
        </is>
      </c>
      <c r="E553" s="13" t="n"/>
      <c r="F553" s="99" t="n"/>
      <c r="G553" s="9" t="n"/>
      <c r="H553" s="24" t="inlineStr">
        <is>
          <t>제이케이시스템</t>
        </is>
      </c>
      <c r="I553" s="14" t="n"/>
      <c r="J553" s="14" t="n"/>
      <c r="K553" s="12" t="n">
        <v>0</v>
      </c>
      <c r="L553" s="9" t="n"/>
      <c r="M553" s="9" t="n"/>
      <c r="N553" s="9" t="n"/>
      <c r="O553" s="40">
        <f>K553+V553-AE553-AZ553</f>
        <v/>
      </c>
      <c r="P553" s="12" t="n"/>
      <c r="Q553" s="138" t="n"/>
      <c r="R553" s="16" t="n"/>
      <c r="S553" s="139" t="n"/>
      <c r="T553" s="16" t="n"/>
      <c r="U553" s="139" t="n"/>
      <c r="V553" s="16">
        <f>P553+R553+T553</f>
        <v/>
      </c>
      <c r="W553" s="16" t="n"/>
      <c r="X553" s="139" t="n"/>
      <c r="Y553" s="16" t="n"/>
      <c r="Z553" s="139" t="n"/>
      <c r="AA553" s="16" t="n"/>
      <c r="AB553" s="139" t="n"/>
      <c r="AC553" s="16" t="n"/>
      <c r="AD553" s="139" t="n"/>
      <c r="AE553" s="16">
        <f>(W553+Y553+AA553+AC553)</f>
        <v/>
      </c>
      <c r="AF553" s="140" t="n"/>
      <c r="AG553" s="138" t="n"/>
      <c r="AH553" s="16" t="n"/>
      <c r="AI553" s="138" t="n"/>
      <c r="AJ553" s="16" t="n"/>
      <c r="AK553" s="138" t="n"/>
      <c r="AL553" s="16" t="n"/>
      <c r="AM553" s="138" t="n"/>
      <c r="AN553" s="16" t="n"/>
      <c r="AO553" s="138" t="n"/>
      <c r="AP553" s="16" t="n"/>
      <c r="AQ553" s="138" t="n"/>
      <c r="AR553" s="16" t="n"/>
      <c r="AS553" s="138" t="n"/>
      <c r="AT553" s="16" t="n"/>
      <c r="AU553" s="138" t="n"/>
      <c r="AV553" s="16" t="n"/>
      <c r="AW553" s="138" t="n"/>
      <c r="AX553" s="16" t="n"/>
      <c r="AY553" s="138" t="n"/>
      <c r="AZ553" s="16">
        <f>AF553+AH553+AJ553+AL553+AN553+AP553+AR553+AT553+AV553+AX553</f>
        <v/>
      </c>
      <c r="BA553" s="16" t="n"/>
      <c r="BB553" s="139" t="n"/>
      <c r="BC553" s="16" t="n"/>
      <c r="BD553" s="139" t="n"/>
      <c r="BE553" s="16">
        <f>(BA553+BC553)</f>
        <v/>
      </c>
    </row>
    <row r="554" ht="22.5" customFormat="1" customHeight="1" s="8">
      <c r="A554" s="9" t="n"/>
      <c r="B554" s="136" t="inlineStr">
        <is>
          <t>아크릴</t>
        </is>
      </c>
      <c r="C554" s="137" t="inlineStr">
        <is>
          <t>ADX6000S</t>
        </is>
      </c>
      <c r="D554" s="65" t="inlineStr">
        <is>
          <t>사각 줄자 가이드</t>
        </is>
      </c>
      <c r="E554" s="13" t="n"/>
      <c r="F554" s="99" t="n"/>
      <c r="G554" s="9" t="n"/>
      <c r="H554" s="9" t="inlineStr">
        <is>
          <t>아크릴최가</t>
        </is>
      </c>
      <c r="I554" s="14" t="n"/>
      <c r="J554" s="14" t="n"/>
      <c r="K554" s="12" t="n">
        <v>53</v>
      </c>
      <c r="L554" s="9" t="n"/>
      <c r="M554" s="9" t="n"/>
      <c r="N554" s="9" t="n"/>
      <c r="O554" s="40">
        <f>K554+V554-AE554-AZ554</f>
        <v/>
      </c>
      <c r="P554" s="12" t="n"/>
      <c r="Q554" s="138" t="n"/>
      <c r="R554" s="16" t="n"/>
      <c r="S554" s="139" t="n"/>
      <c r="T554" s="16" t="n"/>
      <c r="U554" s="139" t="n"/>
      <c r="V554" s="16">
        <f>P554+R554+T554</f>
        <v/>
      </c>
      <c r="W554" s="16" t="n"/>
      <c r="X554" s="139" t="n"/>
      <c r="Y554" s="16" t="n"/>
      <c r="Z554" s="139" t="n"/>
      <c r="AA554" s="16" t="n"/>
      <c r="AB554" s="139" t="n"/>
      <c r="AC554" s="16" t="n"/>
      <c r="AD554" s="139" t="n"/>
      <c r="AE554" s="16">
        <f>(W554+Y554+AA554+AC554)</f>
        <v/>
      </c>
      <c r="AF554" s="140" t="n"/>
      <c r="AG554" s="138" t="n"/>
      <c r="AH554" s="16" t="n"/>
      <c r="AI554" s="138" t="n"/>
      <c r="AJ554" s="16" t="n"/>
      <c r="AK554" s="138" t="n"/>
      <c r="AL554" s="16" t="n"/>
      <c r="AM554" s="138" t="n"/>
      <c r="AN554" s="16" t="n"/>
      <c r="AO554" s="138" t="n"/>
      <c r="AP554" s="16" t="n"/>
      <c r="AQ554" s="138" t="n"/>
      <c r="AR554" s="16" t="n"/>
      <c r="AS554" s="138" t="n"/>
      <c r="AT554" s="16" t="n"/>
      <c r="AU554" s="138" t="n"/>
      <c r="AV554" s="16" t="n"/>
      <c r="AW554" s="138" t="n"/>
      <c r="AX554" s="16" t="n"/>
      <c r="AY554" s="138" t="n"/>
      <c r="AZ554" s="16">
        <f>AF554+AH554+AJ554+AL554+AN554+AP554+AR554+AT554+AV554+AX554</f>
        <v/>
      </c>
      <c r="BA554" s="16" t="n"/>
      <c r="BB554" s="139" t="n"/>
      <c r="BC554" s="16" t="n"/>
      <c r="BD554" s="139" t="n"/>
      <c r="BE554" s="16">
        <f>(BA554+BC554)</f>
        <v/>
      </c>
    </row>
    <row r="555" ht="21.95" customFormat="1" customHeight="1" s="8">
      <c r="A555" s="9" t="n"/>
      <c r="B555" s="136" t="inlineStr">
        <is>
          <t>완제품</t>
        </is>
      </c>
      <c r="C555" s="137" t="inlineStr">
        <is>
          <t>공용</t>
        </is>
      </c>
      <c r="D555" s="63" t="inlineStr">
        <is>
          <t>AlmyT STAND BODY SET</t>
        </is>
      </c>
      <c r="E555" s="13" t="n"/>
      <c r="F555" s="99" t="n"/>
      <c r="G555" s="9" t="n"/>
      <c r="H555" s="9" t="inlineStr">
        <is>
          <t>에이스힌지텍</t>
        </is>
      </c>
      <c r="I555" s="14" t="n"/>
      <c r="J555" s="14" t="n"/>
      <c r="K555" s="12" t="n">
        <v>0</v>
      </c>
      <c r="L555" s="9" t="n"/>
      <c r="M555" s="9" t="n"/>
      <c r="N555" s="9" t="n"/>
      <c r="O555" s="40">
        <f>K555+V555-AE555-AZ555</f>
        <v/>
      </c>
      <c r="P555" s="12" t="n"/>
      <c r="Q555" s="138" t="n"/>
      <c r="R555" s="16" t="n"/>
      <c r="S555" s="139" t="n"/>
      <c r="T555" s="16" t="n"/>
      <c r="U555" s="139" t="n"/>
      <c r="V555" s="16">
        <f>P555+R555+T555</f>
        <v/>
      </c>
      <c r="W555" s="16" t="n"/>
      <c r="X555" s="139" t="n"/>
      <c r="Y555" s="16" t="n"/>
      <c r="Z555" s="139" t="n"/>
      <c r="AA555" s="16" t="n"/>
      <c r="AB555" s="139" t="n"/>
      <c r="AC555" s="16" t="n"/>
      <c r="AD555" s="139" t="n"/>
      <c r="AE555" s="16">
        <f>(W555+Y555+AA555+AC555)</f>
        <v/>
      </c>
      <c r="AF555" s="140" t="n"/>
      <c r="AG555" s="138" t="n"/>
      <c r="AH555" s="16" t="n"/>
      <c r="AI555" s="138" t="n"/>
      <c r="AJ555" s="16" t="n"/>
      <c r="AK555" s="138" t="n"/>
      <c r="AL555" s="16" t="n"/>
      <c r="AM555" s="138" t="n"/>
      <c r="AN555" s="16" t="n"/>
      <c r="AO555" s="138" t="n"/>
      <c r="AP555" s="16" t="n"/>
      <c r="AQ555" s="138" t="n"/>
      <c r="AR555" s="16" t="n"/>
      <c r="AS555" s="138" t="n"/>
      <c r="AT555" s="16" t="n"/>
      <c r="AU555" s="138" t="n"/>
      <c r="AV555" s="16" t="n"/>
      <c r="AW555" s="138" t="n"/>
      <c r="AX555" s="16" t="n"/>
      <c r="AY555" s="138" t="n"/>
      <c r="AZ555" s="16">
        <f>AF555+AH555+AJ555+AL555+AN555+AP555+AR555+AT555+AV555+AX555</f>
        <v/>
      </c>
      <c r="BA555" s="16" t="n"/>
      <c r="BB555" s="139" t="n"/>
      <c r="BC555" s="16" t="n"/>
      <c r="BD555" s="139" t="n"/>
      <c r="BE555" s="16">
        <f>(BA555+BC555)</f>
        <v/>
      </c>
    </row>
    <row r="556" ht="21.95" customFormat="1" customHeight="1" s="8">
      <c r="A556" s="9" t="n"/>
      <c r="B556" s="136" t="inlineStr">
        <is>
          <t>완제품</t>
        </is>
      </c>
      <c r="C556" s="137" t="inlineStr">
        <is>
          <t>공용</t>
        </is>
      </c>
      <c r="D556" s="60" t="inlineStr">
        <is>
          <t>AlmyT STAND ACC SET</t>
        </is>
      </c>
      <c r="E556" s="13" t="n"/>
      <c r="F556" s="99" t="n"/>
      <c r="G556" s="9" t="n"/>
      <c r="H556" s="9" t="inlineStr">
        <is>
          <t>에이스힌지텍</t>
        </is>
      </c>
      <c r="I556" s="14" t="n"/>
      <c r="J556" s="14" t="n"/>
      <c r="K556" s="12" t="n">
        <v>0</v>
      </c>
      <c r="L556" s="9" t="n"/>
      <c r="M556" s="9" t="n"/>
      <c r="N556" s="9" t="n"/>
      <c r="O556" s="40">
        <f>K556+V556-AE556-AZ556</f>
        <v/>
      </c>
      <c r="P556" s="12" t="n"/>
      <c r="Q556" s="138" t="n"/>
      <c r="R556" s="16" t="n"/>
      <c r="S556" s="139" t="n"/>
      <c r="T556" s="16" t="n"/>
      <c r="U556" s="139" t="n"/>
      <c r="V556" s="16">
        <f>P556+R556+T556</f>
        <v/>
      </c>
      <c r="W556" s="16" t="n"/>
      <c r="X556" s="139" t="n"/>
      <c r="Y556" s="16" t="n"/>
      <c r="Z556" s="139" t="n"/>
      <c r="AA556" s="16" t="n"/>
      <c r="AB556" s="139" t="n"/>
      <c r="AC556" s="16" t="n"/>
      <c r="AD556" s="139" t="n"/>
      <c r="AE556" s="16">
        <f>(W556+Y556+AA556+AC556)</f>
        <v/>
      </c>
      <c r="AF556" s="140" t="n"/>
      <c r="AG556" s="138" t="n"/>
      <c r="AH556" s="16" t="n"/>
      <c r="AI556" s="138" t="n"/>
      <c r="AJ556" s="16" t="n"/>
      <c r="AK556" s="138" t="n"/>
      <c r="AL556" s="16" t="n"/>
      <c r="AM556" s="138" t="n"/>
      <c r="AN556" s="16" t="n"/>
      <c r="AO556" s="138" t="n"/>
      <c r="AP556" s="16" t="n"/>
      <c r="AQ556" s="138" t="n"/>
      <c r="AR556" s="16" t="n"/>
      <c r="AS556" s="138" t="n"/>
      <c r="AT556" s="16" t="n"/>
      <c r="AU556" s="138" t="n"/>
      <c r="AV556" s="16" t="n"/>
      <c r="AW556" s="138" t="n"/>
      <c r="AX556" s="16" t="n"/>
      <c r="AY556" s="138" t="n"/>
      <c r="AZ556" s="16">
        <f>AF556+AH556+AJ556+AL556+AN556+AP556+AR556+AT556+AV556+AX556</f>
        <v/>
      </c>
      <c r="BA556" s="16" t="n"/>
      <c r="BB556" s="139" t="n"/>
      <c r="BC556" s="16" t="n"/>
      <c r="BD556" s="139" t="n"/>
      <c r="BE556" s="16">
        <f>(BA556+BC556)</f>
        <v/>
      </c>
    </row>
    <row r="557" ht="21.95" customFormat="1" customHeight="1" s="8">
      <c r="A557" s="9" t="n"/>
      <c r="B557" s="136" t="inlineStr">
        <is>
          <t>완제품</t>
        </is>
      </c>
      <c r="C557" s="137" t="inlineStr">
        <is>
          <t>공용</t>
        </is>
      </c>
      <c r="D557" s="63" t="inlineStr">
        <is>
          <t>체스트 &amp; 베드 스탠드</t>
        </is>
      </c>
      <c r="E557" s="13" t="n"/>
      <c r="F557" s="99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40">
        <f>K557+V557-AE557-AZ557</f>
        <v/>
      </c>
      <c r="P557" s="12" t="n"/>
      <c r="Q557" s="138" t="n"/>
      <c r="R557" s="16" t="n"/>
      <c r="S557" s="139" t="n"/>
      <c r="T557" s="16" t="n"/>
      <c r="U557" s="139" t="n"/>
      <c r="V557" s="16">
        <f>P557+R557+T557</f>
        <v/>
      </c>
      <c r="W557" s="16" t="n"/>
      <c r="X557" s="139" t="n"/>
      <c r="Y557" s="16" t="n"/>
      <c r="Z557" s="139" t="n"/>
      <c r="AA557" s="16" t="n"/>
      <c r="AB557" s="139" t="n"/>
      <c r="AC557" s="16" t="n"/>
      <c r="AD557" s="139" t="n"/>
      <c r="AE557" s="16">
        <f>(W557+Y557+AA557+AC557)</f>
        <v/>
      </c>
      <c r="AF557" s="140" t="n"/>
      <c r="AG557" s="138" t="n"/>
      <c r="AH557" s="16" t="n"/>
      <c r="AI557" s="138" t="n"/>
      <c r="AJ557" s="16" t="n"/>
      <c r="AK557" s="138" t="n"/>
      <c r="AL557" s="16" t="n"/>
      <c r="AM557" s="138" t="n"/>
      <c r="AN557" s="16" t="n"/>
      <c r="AO557" s="138" t="n"/>
      <c r="AP557" s="16" t="n"/>
      <c r="AQ557" s="138" t="n"/>
      <c r="AR557" s="16" t="n"/>
      <c r="AS557" s="138" t="n"/>
      <c r="AT557" s="16" t="n"/>
      <c r="AU557" s="138" t="n"/>
      <c r="AV557" s="16" t="n"/>
      <c r="AW557" s="138" t="n"/>
      <c r="AX557" s="16" t="n"/>
      <c r="AY557" s="138" t="n"/>
      <c r="AZ557" s="16">
        <f>AF557+AH557+AJ557+AL557+AN557+AP557+AR557+AT557+AV557+AX557</f>
        <v/>
      </c>
      <c r="BA557" s="16" t="n"/>
      <c r="BB557" s="139" t="n"/>
      <c r="BC557" s="16" t="n"/>
      <c r="BD557" s="139" t="n"/>
      <c r="BE557" s="16">
        <f>(BA557+BC557)</f>
        <v/>
      </c>
    </row>
    <row r="558" ht="21.95" customFormat="1" customHeight="1" s="8">
      <c r="A558" s="9" t="n"/>
      <c r="B558" s="136" t="inlineStr">
        <is>
          <t>완제품</t>
        </is>
      </c>
      <c r="C558" s="137" t="inlineStr">
        <is>
          <t>공용</t>
        </is>
      </c>
      <c r="D558" s="63" t="inlineStr">
        <is>
          <t>체스트 &amp; 베드 암 파이프</t>
        </is>
      </c>
      <c r="E558" s="13" t="n"/>
      <c r="F558" s="99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40">
        <f>K558+V558-AE558-AZ558</f>
        <v/>
      </c>
      <c r="P558" s="12" t="n"/>
      <c r="Q558" s="138" t="n"/>
      <c r="R558" s="16" t="n"/>
      <c r="S558" s="139" t="n"/>
      <c r="T558" s="16" t="n"/>
      <c r="U558" s="139" t="n"/>
      <c r="V558" s="16">
        <f>P558+R558+T558</f>
        <v/>
      </c>
      <c r="W558" s="16" t="n"/>
      <c r="X558" s="139" t="n"/>
      <c r="Y558" s="16" t="n"/>
      <c r="Z558" s="139" t="n"/>
      <c r="AA558" s="16" t="n"/>
      <c r="AB558" s="139" t="n"/>
      <c r="AC558" s="16" t="n"/>
      <c r="AD558" s="139" t="n"/>
      <c r="AE558" s="16">
        <f>(W558+Y558+AA558+AC558)</f>
        <v/>
      </c>
      <c r="AF558" s="140" t="n"/>
      <c r="AG558" s="138" t="n"/>
      <c r="AH558" s="16" t="n"/>
      <c r="AI558" s="138" t="n"/>
      <c r="AJ558" s="16" t="n"/>
      <c r="AK558" s="138" t="n"/>
      <c r="AL558" s="16" t="n"/>
      <c r="AM558" s="138" t="n"/>
      <c r="AN558" s="16" t="n"/>
      <c r="AO558" s="138" t="n"/>
      <c r="AP558" s="16" t="n"/>
      <c r="AQ558" s="138" t="n"/>
      <c r="AR558" s="16" t="n"/>
      <c r="AS558" s="138" t="n"/>
      <c r="AT558" s="16" t="n"/>
      <c r="AU558" s="138" t="n"/>
      <c r="AV558" s="16" t="n"/>
      <c r="AW558" s="138" t="n"/>
      <c r="AX558" s="16" t="n"/>
      <c r="AY558" s="138" t="n"/>
      <c r="AZ558" s="16">
        <f>AF558+AH558+AJ558+AL558+AN558+AP558+AR558+AT558+AV558+AX558</f>
        <v/>
      </c>
      <c r="BA558" s="16" t="n"/>
      <c r="BB558" s="139" t="n"/>
      <c r="BC558" s="16" t="n"/>
      <c r="BD558" s="139" t="n"/>
      <c r="BE558" s="16">
        <f>(BA558+BC558)</f>
        <v/>
      </c>
    </row>
    <row r="559" ht="22.5" customFormat="1" customHeight="1" s="8">
      <c r="A559" s="9" t="n"/>
      <c r="B559" s="136" t="inlineStr">
        <is>
          <t>완제품</t>
        </is>
      </c>
      <c r="C559" s="137" t="inlineStr">
        <is>
          <t>공용</t>
        </is>
      </c>
      <c r="D559" s="63" t="inlineStr">
        <is>
          <t>체스트 &amp; 베드 조인트 암</t>
        </is>
      </c>
      <c r="E559" s="13" t="n"/>
      <c r="F559" s="99" t="n"/>
      <c r="G559" s="9" t="n"/>
      <c r="H559" s="9" t="inlineStr">
        <is>
          <t>로움텍</t>
        </is>
      </c>
      <c r="I559" s="14" t="n"/>
      <c r="J559" s="14" t="n"/>
      <c r="K559" s="12" t="n">
        <v>0</v>
      </c>
      <c r="L559" s="9" t="n"/>
      <c r="M559" s="9" t="n"/>
      <c r="N559" s="9" t="n"/>
      <c r="O559" s="40">
        <f>K559+V559-AE559-AZ559</f>
        <v/>
      </c>
      <c r="P559" s="12" t="n"/>
      <c r="Q559" s="138" t="n"/>
      <c r="R559" s="16" t="n"/>
      <c r="S559" s="139" t="n"/>
      <c r="T559" s="16" t="n"/>
      <c r="U559" s="139" t="n"/>
      <c r="V559" s="16">
        <f>P559+R559+T559</f>
        <v/>
      </c>
      <c r="W559" s="16" t="n"/>
      <c r="X559" s="139" t="n"/>
      <c r="Y559" s="16" t="n"/>
      <c r="Z559" s="139" t="n"/>
      <c r="AA559" s="16" t="n"/>
      <c r="AB559" s="139" t="n"/>
      <c r="AC559" s="16" t="n"/>
      <c r="AD559" s="139" t="n"/>
      <c r="AE559" s="16">
        <f>(W559+Y559+AA559+AC559)</f>
        <v/>
      </c>
      <c r="AF559" s="140" t="n"/>
      <c r="AG559" s="138" t="n"/>
      <c r="AH559" s="16" t="n"/>
      <c r="AI559" s="138" t="n"/>
      <c r="AJ559" s="16" t="n"/>
      <c r="AK559" s="138" t="n"/>
      <c r="AL559" s="16" t="n"/>
      <c r="AM559" s="138" t="n"/>
      <c r="AN559" s="16" t="n"/>
      <c r="AO559" s="138" t="n"/>
      <c r="AP559" s="16" t="n"/>
      <c r="AQ559" s="138" t="n"/>
      <c r="AR559" s="16" t="n"/>
      <c r="AS559" s="138" t="n"/>
      <c r="AT559" s="16" t="n"/>
      <c r="AU559" s="138" t="n"/>
      <c r="AV559" s="16" t="n"/>
      <c r="AW559" s="138" t="n"/>
      <c r="AX559" s="16" t="n"/>
      <c r="AY559" s="138" t="n"/>
      <c r="AZ559" s="16">
        <f>AF559+AH559+AJ559+AL559+AN559+AP559+AR559+AT559+AV559+AX559</f>
        <v/>
      </c>
      <c r="BA559" s="16" t="n"/>
      <c r="BB559" s="139" t="n"/>
      <c r="BC559" s="16" t="n"/>
      <c r="BD559" s="139" t="n"/>
      <c r="BE559" s="16">
        <f>(BA559+BC559)</f>
        <v/>
      </c>
    </row>
    <row r="560" ht="22.5" customFormat="1" customHeight="1" s="8">
      <c r="A560" s="9" t="n"/>
      <c r="B560" s="136" t="inlineStr">
        <is>
          <t>완제품</t>
        </is>
      </c>
      <c r="C560" s="137" t="inlineStr">
        <is>
          <t>공용</t>
        </is>
      </c>
      <c r="D560" s="63" t="inlineStr">
        <is>
          <t>체스트 &amp; 베드 픽스 블럭 A, B (육각 렌치 3, 5)</t>
        </is>
      </c>
      <c r="E560" s="13" t="n"/>
      <c r="F560" s="99" t="n"/>
      <c r="G560" s="9" t="n"/>
      <c r="H560" s="9" t="inlineStr">
        <is>
          <t>로움텍</t>
        </is>
      </c>
      <c r="I560" s="14" t="n"/>
      <c r="J560" s="14" t="n"/>
      <c r="K560" s="12" t="n">
        <v>0</v>
      </c>
      <c r="L560" s="9" t="n"/>
      <c r="M560" s="9" t="n"/>
      <c r="N560" s="9" t="n"/>
      <c r="O560" s="40">
        <f>K560+V560-AE560-AZ560</f>
        <v/>
      </c>
      <c r="P560" s="12" t="n"/>
      <c r="Q560" s="138" t="n"/>
      <c r="R560" s="16" t="n"/>
      <c r="S560" s="139" t="n"/>
      <c r="T560" s="16" t="n"/>
      <c r="U560" s="139" t="n"/>
      <c r="V560" s="16">
        <f>P560+R560+T560</f>
        <v/>
      </c>
      <c r="W560" s="16" t="n"/>
      <c r="X560" s="139" t="n"/>
      <c r="Y560" s="16" t="n"/>
      <c r="Z560" s="139" t="n"/>
      <c r="AA560" s="16" t="n"/>
      <c r="AB560" s="139" t="n"/>
      <c r="AC560" s="16" t="n"/>
      <c r="AD560" s="139" t="n"/>
      <c r="AE560" s="16">
        <f>(W560+Y560+AA560+AC560)</f>
        <v/>
      </c>
      <c r="AF560" s="140" t="n"/>
      <c r="AG560" s="138" t="n"/>
      <c r="AH560" s="16" t="n"/>
      <c r="AI560" s="138" t="n"/>
      <c r="AJ560" s="16" t="n"/>
      <c r="AK560" s="138" t="n"/>
      <c r="AL560" s="16" t="n"/>
      <c r="AM560" s="138" t="n"/>
      <c r="AN560" s="16" t="n"/>
      <c r="AO560" s="138" t="n"/>
      <c r="AP560" s="16" t="n"/>
      <c r="AQ560" s="138" t="n"/>
      <c r="AR560" s="16" t="n"/>
      <c r="AS560" s="138" t="n"/>
      <c r="AT560" s="16" t="n"/>
      <c r="AU560" s="138" t="n"/>
      <c r="AV560" s="16" t="n"/>
      <c r="AW560" s="138" t="n"/>
      <c r="AX560" s="16" t="n"/>
      <c r="AY560" s="138" t="n"/>
      <c r="AZ560" s="16">
        <f>AF560+AH560+AJ560+AL560+AN560+AP560+AR560+AT560+AV560+AX560</f>
        <v/>
      </c>
      <c r="BA560" s="16" t="n"/>
      <c r="BB560" s="139" t="n"/>
      <c r="BC560" s="16" t="n"/>
      <c r="BD560" s="139" t="n"/>
      <c r="BE560" s="16">
        <f>(BA560+BC560)</f>
        <v/>
      </c>
    </row>
    <row r="561" ht="22.5" customFormat="1" customHeight="1" s="8">
      <c r="A561" s="9" t="n"/>
      <c r="B561" s="136" t="inlineStr">
        <is>
          <t>완제품</t>
        </is>
      </c>
      <c r="C561" s="137" t="inlineStr">
        <is>
          <t>공용</t>
        </is>
      </c>
      <c r="D561" s="60" t="inlineStr">
        <is>
          <t>접이식 스탠드 SET</t>
        </is>
      </c>
      <c r="E561" s="13" t="inlineStr">
        <is>
          <t>정형외과용</t>
        </is>
      </c>
      <c r="F561" s="99" t="n"/>
      <c r="G561" s="9" t="n"/>
      <c r="H561" s="9" t="inlineStr">
        <is>
          <t>로움텍</t>
        </is>
      </c>
      <c r="I561" s="14" t="n"/>
      <c r="J561" s="14" t="n"/>
      <c r="K561" s="12" t="n">
        <v>0</v>
      </c>
      <c r="L561" s="9" t="n"/>
      <c r="M561" s="9" t="n"/>
      <c r="N561" s="9" t="n"/>
      <c r="O561" s="40">
        <f>K561+V561-AE561-AZ561</f>
        <v/>
      </c>
      <c r="P561" s="12" t="n"/>
      <c r="Q561" s="138" t="n"/>
      <c r="R561" s="16" t="n"/>
      <c r="S561" s="139" t="n"/>
      <c r="T561" s="16" t="n"/>
      <c r="U561" s="139" t="n"/>
      <c r="V561" s="16">
        <f>P561+R561+T561</f>
        <v/>
      </c>
      <c r="W561" s="16" t="n"/>
      <c r="X561" s="139" t="n"/>
      <c r="Y561" s="16" t="n"/>
      <c r="Z561" s="139" t="n"/>
      <c r="AA561" s="16" t="n"/>
      <c r="AB561" s="139" t="n"/>
      <c r="AC561" s="16" t="n"/>
      <c r="AD561" s="139" t="n"/>
      <c r="AE561" s="16">
        <f>(W561+Y561+AA561+AC561)</f>
        <v/>
      </c>
      <c r="AF561" s="140" t="n"/>
      <c r="AG561" s="138" t="n"/>
      <c r="AH561" s="16" t="n"/>
      <c r="AI561" s="138" t="n"/>
      <c r="AJ561" s="16" t="n"/>
      <c r="AK561" s="138" t="n"/>
      <c r="AL561" s="16" t="n"/>
      <c r="AM561" s="138" t="n"/>
      <c r="AN561" s="16" t="n"/>
      <c r="AO561" s="138" t="n"/>
      <c r="AP561" s="16" t="n"/>
      <c r="AQ561" s="138" t="n"/>
      <c r="AR561" s="16" t="n"/>
      <c r="AS561" s="138" t="n"/>
      <c r="AT561" s="16" t="n"/>
      <c r="AU561" s="138" t="n"/>
      <c r="AV561" s="16" t="n"/>
      <c r="AW561" s="138" t="n"/>
      <c r="AX561" s="16" t="n"/>
      <c r="AY561" s="138" t="n"/>
      <c r="AZ561" s="16">
        <f>AF561+AH561+AJ561+AL561+AN561+AP561+AR561+AT561+AV561+AX561</f>
        <v/>
      </c>
      <c r="BA561" s="16" t="n"/>
      <c r="BB561" s="139" t="n"/>
      <c r="BC561" s="16" t="n"/>
      <c r="BD561" s="139" t="n"/>
      <c r="BE561" s="16">
        <f>(BA561+BC561)</f>
        <v/>
      </c>
    </row>
    <row r="562" ht="22.5" customFormat="1" customHeight="1" s="8">
      <c r="A562" s="9" t="n"/>
      <c r="B562" s="136" t="inlineStr">
        <is>
          <t>유선리모콘</t>
        </is>
      </c>
      <c r="C562" s="137" t="inlineStr">
        <is>
          <t>공용</t>
        </is>
      </c>
      <c r="D562" s="60" t="inlineStr">
        <is>
          <t>REMOTE CONTROL</t>
        </is>
      </c>
      <c r="E562" s="13" t="inlineStr">
        <is>
          <t>RW20, 3m  + 샘플 1EA</t>
        </is>
      </c>
      <c r="F562" s="99" t="n"/>
      <c r="G562" s="9" t="n"/>
      <c r="H562" s="9" t="inlineStr">
        <is>
          <t>중국</t>
        </is>
      </c>
      <c r="I562" s="14" t="n"/>
      <c r="J562" s="14" t="n"/>
      <c r="K562" s="12" t="n">
        <v>0</v>
      </c>
      <c r="L562" s="9" t="n"/>
      <c r="M562" s="9" t="n"/>
      <c r="N562" s="9" t="n"/>
      <c r="O562" s="40">
        <f>K562+V562-AE562-AZ562</f>
        <v/>
      </c>
      <c r="P562" s="12" t="n"/>
      <c r="Q562" s="138" t="n"/>
      <c r="R562" s="16" t="n"/>
      <c r="S562" s="139" t="n"/>
      <c r="T562" s="16" t="n"/>
      <c r="U562" s="139" t="n"/>
      <c r="V562" s="16">
        <f>P562+R562+T562</f>
        <v/>
      </c>
      <c r="W562" s="16" t="n"/>
      <c r="X562" s="139" t="n"/>
      <c r="Y562" s="16" t="n"/>
      <c r="Z562" s="139" t="n"/>
      <c r="AA562" s="16" t="n"/>
      <c r="AB562" s="139" t="n"/>
      <c r="AC562" s="16" t="n"/>
      <c r="AD562" s="139" t="n"/>
      <c r="AE562" s="16">
        <f>(W562+Y562+AA562+AC562)</f>
        <v/>
      </c>
      <c r="AF562" s="140" t="n"/>
      <c r="AG562" s="138" t="n"/>
      <c r="AH562" s="16" t="n"/>
      <c r="AI562" s="138" t="n"/>
      <c r="AJ562" s="16" t="n"/>
      <c r="AK562" s="138" t="n"/>
      <c r="AL562" s="16" t="n"/>
      <c r="AM562" s="138" t="n"/>
      <c r="AN562" s="16" t="n"/>
      <c r="AO562" s="138" t="n"/>
      <c r="AP562" s="16" t="n"/>
      <c r="AQ562" s="138" t="n"/>
      <c r="AR562" s="16" t="n"/>
      <c r="AS562" s="138" t="n"/>
      <c r="AT562" s="16" t="n"/>
      <c r="AU562" s="138" t="n"/>
      <c r="AV562" s="16" t="n"/>
      <c r="AW562" s="138" t="n"/>
      <c r="AX562" s="16" t="n"/>
      <c r="AY562" s="138" t="n"/>
      <c r="AZ562" s="16">
        <f>AF562+AH562+AJ562+AL562+AN562+AP562+AR562+AT562+AV562+AX562</f>
        <v/>
      </c>
      <c r="BA562" s="16" t="n"/>
      <c r="BB562" s="139" t="n"/>
      <c r="BC562" s="16" t="n"/>
      <c r="BD562" s="139" t="n"/>
      <c r="BE562" s="16">
        <f>(BA562+BC562)</f>
        <v/>
      </c>
    </row>
    <row r="563" ht="22.5" customFormat="1" customHeight="1" s="8">
      <c r="A563" s="9" t="n"/>
      <c r="B563" s="136" t="inlineStr">
        <is>
          <t>유선리모콘</t>
        </is>
      </c>
      <c r="C563" s="137" t="inlineStr">
        <is>
          <t>공용</t>
        </is>
      </c>
      <c r="D563" s="60" t="inlineStr">
        <is>
          <t>FOOT SWITCH</t>
        </is>
      </c>
      <c r="E563" s="13" t="n"/>
      <c r="F563" s="99" t="n"/>
      <c r="G563" s="9" t="n"/>
      <c r="H563" s="9" t="inlineStr">
        <is>
          <t>직구</t>
        </is>
      </c>
      <c r="I563" s="14" t="n"/>
      <c r="J563" s="14" t="n"/>
      <c r="K563" s="12" t="n">
        <v>0</v>
      </c>
      <c r="L563" s="9" t="n"/>
      <c r="M563" s="9" t="n"/>
      <c r="N563" s="9" t="n"/>
      <c r="O563" s="40">
        <f>K563+V563-AE563-AZ563</f>
        <v/>
      </c>
      <c r="P563" s="12" t="n"/>
      <c r="Q563" s="138" t="n"/>
      <c r="R563" s="16" t="n"/>
      <c r="S563" s="139" t="n"/>
      <c r="T563" s="16" t="n"/>
      <c r="U563" s="139" t="n"/>
      <c r="V563" s="16">
        <f>P563+R563+T563</f>
        <v/>
      </c>
      <c r="W563" s="16" t="n"/>
      <c r="X563" s="139" t="n"/>
      <c r="Y563" s="16" t="n"/>
      <c r="Z563" s="139" t="n"/>
      <c r="AA563" s="16" t="n"/>
      <c r="AB563" s="139" t="n"/>
      <c r="AC563" s="16" t="n"/>
      <c r="AD563" s="139" t="n"/>
      <c r="AE563" s="16">
        <f>(W563+Y563+AA563+AC563)</f>
        <v/>
      </c>
      <c r="AF563" s="140" t="n"/>
      <c r="AG563" s="138" t="n"/>
      <c r="AH563" s="16" t="n"/>
      <c r="AI563" s="138" t="n"/>
      <c r="AJ563" s="16" t="n"/>
      <c r="AK563" s="138" t="n"/>
      <c r="AL563" s="16" t="n"/>
      <c r="AM563" s="138" t="n"/>
      <c r="AN563" s="16" t="n"/>
      <c r="AO563" s="138" t="n"/>
      <c r="AP563" s="16" t="n"/>
      <c r="AQ563" s="138" t="n"/>
      <c r="AR563" s="16" t="n"/>
      <c r="AS563" s="138" t="n"/>
      <c r="AT563" s="16" t="n"/>
      <c r="AU563" s="138" t="n"/>
      <c r="AV563" s="16" t="n"/>
      <c r="AW563" s="138" t="n"/>
      <c r="AX563" s="16" t="n"/>
      <c r="AY563" s="138" t="n"/>
      <c r="AZ563" s="16">
        <f>AF563+AH563+AJ563+AL563+AN563+AP563+AR563+AT563+AV563+AX563</f>
        <v/>
      </c>
      <c r="BA563" s="16" t="n"/>
      <c r="BB563" s="139" t="n"/>
      <c r="BC563" s="16" t="n"/>
      <c r="BD563" s="139" t="n"/>
      <c r="BE563" s="16">
        <f>(BA563+BC563)</f>
        <v/>
      </c>
    </row>
    <row r="564" ht="22.5" customFormat="1" customHeight="1" s="8">
      <c r="A564" s="9" t="n"/>
      <c r="B564" s="136" t="inlineStr">
        <is>
          <t>스위치</t>
        </is>
      </c>
      <c r="C564" s="137" t="inlineStr">
        <is>
          <t>공용</t>
        </is>
      </c>
      <c r="D564" s="60" t="inlineStr">
        <is>
          <t>리드스위치</t>
        </is>
      </c>
      <c r="E564" s="13" t="n"/>
      <c r="F564" s="99" t="n"/>
      <c r="G564" s="9" t="n"/>
      <c r="H564" s="9" t="inlineStr">
        <is>
          <t>HLP</t>
        </is>
      </c>
      <c r="I564" s="14" t="n"/>
      <c r="J564" s="14" t="n"/>
      <c r="K564" s="12" t="n">
        <v>0</v>
      </c>
      <c r="L564" s="9" t="n"/>
      <c r="M564" s="9" t="n"/>
      <c r="N564" s="9" t="n"/>
      <c r="O564" s="40">
        <f>K564+V564-AE564-AZ564</f>
        <v/>
      </c>
      <c r="P564" s="12" t="n"/>
      <c r="Q564" s="138" t="n"/>
      <c r="R564" s="16" t="n"/>
      <c r="S564" s="139" t="n"/>
      <c r="T564" s="16" t="n"/>
      <c r="U564" s="139" t="n"/>
      <c r="V564" s="16">
        <f>P564+R564+T564</f>
        <v/>
      </c>
      <c r="W564" s="16" t="n"/>
      <c r="X564" s="139" t="n"/>
      <c r="Y564" s="16" t="n"/>
      <c r="Z564" s="139" t="n"/>
      <c r="AA564" s="16" t="n"/>
      <c r="AB564" s="139" t="n"/>
      <c r="AC564" s="16" t="n"/>
      <c r="AD564" s="139" t="n"/>
      <c r="AE564" s="16">
        <f>(W564+Y564+AA564+AC564)</f>
        <v/>
      </c>
      <c r="AF564" s="140" t="n"/>
      <c r="AG564" s="138" t="n"/>
      <c r="AH564" s="16" t="n"/>
      <c r="AI564" s="138" t="n"/>
      <c r="AJ564" s="16" t="n"/>
      <c r="AK564" s="138" t="n"/>
      <c r="AL564" s="16" t="n"/>
      <c r="AM564" s="138" t="n"/>
      <c r="AN564" s="16" t="n"/>
      <c r="AO564" s="138" t="n"/>
      <c r="AP564" s="16" t="n"/>
      <c r="AQ564" s="138" t="n"/>
      <c r="AR564" s="16" t="n"/>
      <c r="AS564" s="138" t="n"/>
      <c r="AT564" s="16" t="n"/>
      <c r="AU564" s="138" t="n"/>
      <c r="AV564" s="16" t="n"/>
      <c r="AW564" s="138" t="n"/>
      <c r="AX564" s="16" t="n"/>
      <c r="AY564" s="138" t="n"/>
      <c r="AZ564" s="16">
        <f>AF564+AH564+AJ564+AL564+AN564+AP564+AR564+AT564+AV564+AX564</f>
        <v/>
      </c>
      <c r="BA564" s="16" t="n"/>
      <c r="BB564" s="139" t="n"/>
      <c r="BC564" s="16" t="n"/>
      <c r="BD564" s="139" t="n"/>
      <c r="BE564" s="16">
        <f>(BA564+BC564)</f>
        <v/>
      </c>
    </row>
    <row r="565" ht="22.5" customFormat="1" customHeight="1" s="8">
      <c r="A565" s="9" t="n"/>
      <c r="B565" s="136" t="inlineStr">
        <is>
          <t>오링</t>
        </is>
      </c>
      <c r="C565" s="137" t="inlineStr">
        <is>
          <t>공용</t>
        </is>
      </c>
      <c r="D565" s="63" t="inlineStr">
        <is>
          <t>쉴드 오링</t>
        </is>
      </c>
      <c r="E565" s="13" t="inlineStr">
        <is>
          <t>AN-036, 60∮</t>
        </is>
      </c>
      <c r="F565" s="99" t="n"/>
      <c r="G565" s="9" t="n"/>
      <c r="H565" s="9" t="inlineStr">
        <is>
          <t>직구</t>
        </is>
      </c>
      <c r="I565" s="14" t="n"/>
      <c r="J565" s="14" t="n"/>
      <c r="K565" s="12" t="n">
        <v>0</v>
      </c>
      <c r="L565" s="9" t="n"/>
      <c r="M565" s="9" t="n"/>
      <c r="N565" s="9" t="n"/>
      <c r="O565" s="40">
        <f>K565+V565-AE565-AZ565</f>
        <v/>
      </c>
      <c r="P565" s="12" t="n"/>
      <c r="Q565" s="138" t="n"/>
      <c r="R565" s="16" t="n"/>
      <c r="S565" s="139" t="n"/>
      <c r="T565" s="16" t="n"/>
      <c r="U565" s="139" t="n"/>
      <c r="V565" s="16">
        <f>P565+R565+T565</f>
        <v/>
      </c>
      <c r="W565" s="16" t="n"/>
      <c r="X565" s="139" t="n"/>
      <c r="Y565" s="16" t="n"/>
      <c r="Z565" s="139" t="n"/>
      <c r="AA565" s="16" t="n"/>
      <c r="AB565" s="139" t="n"/>
      <c r="AC565" s="16" t="n"/>
      <c r="AD565" s="139" t="n"/>
      <c r="AE565" s="16">
        <f>(W565+Y565+AA565+AC565)</f>
        <v/>
      </c>
      <c r="AF565" s="140" t="n"/>
      <c r="AG565" s="138" t="n"/>
      <c r="AH565" s="16" t="n"/>
      <c r="AI565" s="138" t="n"/>
      <c r="AJ565" s="16" t="n"/>
      <c r="AK565" s="138" t="n"/>
      <c r="AL565" s="16" t="n"/>
      <c r="AM565" s="138" t="n"/>
      <c r="AN565" s="16" t="n"/>
      <c r="AO565" s="138" t="n"/>
      <c r="AP565" s="16" t="n"/>
      <c r="AQ565" s="138" t="n"/>
      <c r="AR565" s="16" t="n"/>
      <c r="AS565" s="138" t="n"/>
      <c r="AT565" s="16" t="n"/>
      <c r="AU565" s="138" t="n"/>
      <c r="AV565" s="16" t="n"/>
      <c r="AW565" s="138" t="n"/>
      <c r="AX565" s="16" t="n"/>
      <c r="AY565" s="138" t="n"/>
      <c r="AZ565" s="16">
        <f>AF565+AH565+AJ565+AL565+AN565+AP565+AR565+AT565+AV565+AX565</f>
        <v/>
      </c>
      <c r="BA565" s="16" t="n"/>
      <c r="BB565" s="139" t="n"/>
      <c r="BC565" s="16" t="n"/>
      <c r="BD565" s="139" t="n"/>
      <c r="BE565" s="16">
        <f>(BA565+BC565)</f>
        <v/>
      </c>
    </row>
    <row r="566" ht="22.5" customFormat="1" customHeight="1" s="8">
      <c r="A566" s="9" t="n"/>
      <c r="B566" s="136" t="inlineStr">
        <is>
          <t>라벨</t>
        </is>
      </c>
      <c r="C566" s="137" t="inlineStr">
        <is>
          <t>ADX4000W</t>
        </is>
      </c>
      <c r="D566" s="90" t="inlineStr">
        <is>
          <t>OS라이센서 라벨</t>
        </is>
      </c>
      <c r="E566" s="13" t="inlineStr">
        <is>
          <t>Windows Embedded Standard 7 "E"</t>
        </is>
      </c>
      <c r="F566" s="99" t="n"/>
      <c r="G566" s="9" t="n"/>
      <c r="H566" s="9" t="inlineStr">
        <is>
          <t>한컴MDS</t>
        </is>
      </c>
      <c r="I566" s="14" t="n"/>
      <c r="J566" s="14" t="n"/>
      <c r="K566" s="12" t="n">
        <v>0</v>
      </c>
      <c r="L566" s="9" t="n"/>
      <c r="M566" s="9" t="n"/>
      <c r="N566" s="9" t="n"/>
      <c r="O566" s="40">
        <f>K566+V566-AE566-AZ566</f>
        <v/>
      </c>
      <c r="P566" s="12" t="n"/>
      <c r="Q566" s="138" t="n"/>
      <c r="R566" s="16" t="n"/>
      <c r="S566" s="139" t="n"/>
      <c r="T566" s="16" t="n"/>
      <c r="U566" s="139" t="n"/>
      <c r="V566" s="16">
        <f>P566+R566+T566</f>
        <v/>
      </c>
      <c r="W566" s="16" t="n"/>
      <c r="X566" s="139" t="n"/>
      <c r="Y566" s="16" t="n"/>
      <c r="Z566" s="139" t="n"/>
      <c r="AA566" s="16" t="n"/>
      <c r="AB566" s="139" t="n"/>
      <c r="AC566" s="16" t="n"/>
      <c r="AD566" s="139" t="n"/>
      <c r="AE566" s="16">
        <f>(W566+Y566+AA566+AC566)</f>
        <v/>
      </c>
      <c r="AF566" s="140" t="n"/>
      <c r="AG566" s="138" t="n"/>
      <c r="AH566" s="16" t="n"/>
      <c r="AI566" s="138" t="n"/>
      <c r="AJ566" s="16" t="n"/>
      <c r="AK566" s="138" t="n"/>
      <c r="AL566" s="16" t="n"/>
      <c r="AM566" s="138" t="n"/>
      <c r="AN566" s="16" t="n"/>
      <c r="AO566" s="138" t="n"/>
      <c r="AP566" s="16" t="n"/>
      <c r="AQ566" s="138" t="n"/>
      <c r="AR566" s="16" t="n"/>
      <c r="AS566" s="138" t="n"/>
      <c r="AT566" s="16" t="n"/>
      <c r="AU566" s="138" t="n"/>
      <c r="AV566" s="16" t="n"/>
      <c r="AW566" s="138" t="n"/>
      <c r="AX566" s="16" t="n"/>
      <c r="AY566" s="138" t="n"/>
      <c r="AZ566" s="16">
        <f>AF566+AH566+AJ566+AL566+AN566+AP566+AR566+AT566+AV566+AX566</f>
        <v/>
      </c>
      <c r="BA566" s="16" t="n"/>
      <c r="BB566" s="139" t="n"/>
      <c r="BC566" s="16" t="n"/>
      <c r="BD566" s="139" t="n"/>
      <c r="BE566" s="16">
        <f>(BA566+BC566)</f>
        <v/>
      </c>
    </row>
    <row r="567" ht="22.5" customFormat="1" customHeight="1" s="8">
      <c r="A567" s="9" t="n"/>
      <c r="B567" s="136" t="inlineStr">
        <is>
          <t>실리콘</t>
        </is>
      </c>
      <c r="C567" s="137" t="inlineStr">
        <is>
          <t>DX3000</t>
        </is>
      </c>
      <c r="D567" s="60" t="inlineStr">
        <is>
          <t>실리콘 캡</t>
        </is>
      </c>
      <c r="E567" s="13" t="inlineStr">
        <is>
          <t>LSR 투명 실리콘</t>
        </is>
      </c>
      <c r="F567" s="99" t="n"/>
      <c r="G567" s="9" t="n"/>
      <c r="H567" s="9" t="inlineStr">
        <is>
          <t>가연테크</t>
        </is>
      </c>
      <c r="I567" s="14" t="n"/>
      <c r="J567" s="14" t="n"/>
      <c r="K567" s="12" t="n">
        <v>1200</v>
      </c>
      <c r="L567" s="9" t="n"/>
      <c r="M567" s="9" t="n"/>
      <c r="N567" s="9" t="n"/>
      <c r="O567" s="40">
        <f>K567+V567-AE567-AZ567</f>
        <v/>
      </c>
      <c r="P567" s="12" t="n"/>
      <c r="Q567" s="138" t="n"/>
      <c r="R567" s="16" t="n"/>
      <c r="S567" s="139" t="n"/>
      <c r="T567" s="16" t="n"/>
      <c r="U567" s="139" t="n"/>
      <c r="V567" s="16">
        <f>P567+R567+T567</f>
        <v/>
      </c>
      <c r="W567" s="16" t="n"/>
      <c r="X567" s="139" t="n"/>
      <c r="Y567" s="16" t="n"/>
      <c r="Z567" s="139" t="n"/>
      <c r="AA567" s="16" t="n"/>
      <c r="AB567" s="139" t="n"/>
      <c r="AC567" s="16" t="n"/>
      <c r="AD567" s="139" t="n"/>
      <c r="AE567" s="16">
        <f>(W567+Y567+AA567+AC567)</f>
        <v/>
      </c>
      <c r="AF567" s="140" t="n"/>
      <c r="AG567" s="138" t="n"/>
      <c r="AH567" s="16" t="n"/>
      <c r="AI567" s="138" t="n"/>
      <c r="AJ567" s="16" t="n"/>
      <c r="AK567" s="138" t="n"/>
      <c r="AL567" s="16" t="n"/>
      <c r="AM567" s="138" t="n"/>
      <c r="AN567" s="16" t="n"/>
      <c r="AO567" s="138" t="n"/>
      <c r="AP567" s="16" t="n"/>
      <c r="AQ567" s="138" t="n"/>
      <c r="AR567" s="16" t="n"/>
      <c r="AS567" s="138" t="n"/>
      <c r="AT567" s="16" t="n"/>
      <c r="AU567" s="138" t="n"/>
      <c r="AV567" s="16" t="n"/>
      <c r="AW567" s="138" t="n"/>
      <c r="AX567" s="16" t="n"/>
      <c r="AY567" s="138" t="n"/>
      <c r="AZ567" s="16">
        <f>AF567+AH567+AJ567+AL567+AN567+AP567+AR567+AT567+AV567+AX567</f>
        <v/>
      </c>
      <c r="BA567" s="16" t="n"/>
      <c r="BB567" s="139" t="n"/>
      <c r="BC567" s="16" t="n"/>
      <c r="BD567" s="139" t="n"/>
      <c r="BE567" s="16">
        <f>(BA567+BC567)</f>
        <v/>
      </c>
    </row>
    <row r="568" ht="22.5" customFormat="1" customHeight="1" s="8">
      <c r="A568" s="9" t="n"/>
      <c r="B568" s="151" t="n"/>
      <c r="C568" s="152" t="n"/>
      <c r="D568" s="92" t="n"/>
      <c r="E568" s="51" t="n"/>
      <c r="F568" s="52" t="n"/>
      <c r="G568" s="49" t="n"/>
      <c r="H568" s="49" t="n"/>
      <c r="I568" s="53" t="n"/>
      <c r="J568" s="53" t="n"/>
      <c r="K568" s="12" t="n">
        <v>0</v>
      </c>
      <c r="L568" s="49" t="n"/>
      <c r="M568" s="49" t="n"/>
      <c r="N568" s="49" t="n"/>
      <c r="O568" s="153" t="n"/>
      <c r="P568" s="52" t="n"/>
      <c r="Q568" s="154" t="n"/>
      <c r="R568" s="58" t="n"/>
      <c r="S568" s="155" t="n"/>
      <c r="T568" s="58" t="n"/>
      <c r="U568" s="155" t="n"/>
      <c r="V568" s="58" t="n"/>
      <c r="W568" s="58" t="n"/>
      <c r="X568" s="155" t="n"/>
      <c r="Y568" s="58" t="n"/>
      <c r="Z568" s="155" t="n"/>
      <c r="AA568" s="58" t="n"/>
      <c r="AB568" s="155" t="n"/>
      <c r="AC568" s="58" t="n"/>
      <c r="AD568" s="155" t="n"/>
      <c r="AE568" s="58" t="n"/>
      <c r="AF568" s="156" t="n"/>
      <c r="AG568" s="154" t="n"/>
      <c r="AH568" s="58" t="n"/>
      <c r="AI568" s="154" t="n"/>
      <c r="AJ568" s="58" t="n"/>
      <c r="AK568" s="154" t="n"/>
      <c r="AL568" s="58" t="n"/>
      <c r="AM568" s="154" t="n"/>
      <c r="AN568" s="58" t="n"/>
      <c r="AO568" s="154" t="n"/>
      <c r="AP568" s="58" t="n"/>
      <c r="AQ568" s="154" t="n"/>
      <c r="AR568" s="58" t="n"/>
      <c r="AS568" s="154" t="n"/>
      <c r="AT568" s="58" t="n"/>
      <c r="AU568" s="154" t="n"/>
      <c r="AV568" s="58" t="n"/>
      <c r="AW568" s="154" t="n"/>
      <c r="AX568" s="58" t="n"/>
      <c r="AY568" s="154" t="n"/>
      <c r="AZ568" s="58" t="n"/>
      <c r="BA568" s="58" t="n"/>
      <c r="BB568" s="155" t="n"/>
      <c r="BC568" s="58" t="n"/>
      <c r="BD568" s="155" t="n"/>
      <c r="BE568" s="58" t="n"/>
    </row>
    <row r="569" ht="21.95" customFormat="1" customHeight="1" s="8">
      <c r="A569" s="9" t="n">
        <v>999</v>
      </c>
      <c r="B569" s="136" t="inlineStr">
        <is>
          <t>ABS 난연</t>
        </is>
      </c>
      <c r="C569" s="137" t="inlineStr">
        <is>
          <t>DX3000</t>
        </is>
      </c>
      <c r="D569" s="60" t="inlineStr">
        <is>
          <t>Battery Pack</t>
        </is>
      </c>
      <c r="E569" s="11" t="inlineStr">
        <is>
          <t xml:space="preserve">사급자재 </t>
        </is>
      </c>
      <c r="F569" s="12" t="n"/>
      <c r="G569" s="9" t="n"/>
      <c r="H569" s="9" t="inlineStr">
        <is>
          <t>천우</t>
        </is>
      </c>
      <c r="I569" s="14" t="n"/>
      <c r="J569" s="14" t="n"/>
      <c r="K569" s="12" t="n">
        <v>0</v>
      </c>
      <c r="L569" s="9" t="n"/>
      <c r="M569" s="9" t="n"/>
      <c r="N569" s="9" t="n"/>
      <c r="O569" s="40">
        <f>K569+V569-AE569-AZ569</f>
        <v/>
      </c>
      <c r="P569" s="12" t="n"/>
      <c r="Q569" s="138" t="n"/>
      <c r="R569" s="16" t="n"/>
      <c r="S569" s="139" t="n"/>
      <c r="T569" s="16" t="n"/>
      <c r="U569" s="139" t="n"/>
      <c r="V569" s="16">
        <f>P569+R569+T569</f>
        <v/>
      </c>
      <c r="W569" s="16" t="n"/>
      <c r="X569" s="139" t="n"/>
      <c r="Y569" s="16" t="n"/>
      <c r="Z569" s="139" t="n"/>
      <c r="AA569" s="16" t="n"/>
      <c r="AB569" s="139" t="n"/>
      <c r="AC569" s="16" t="n"/>
      <c r="AD569" s="139" t="n"/>
      <c r="AE569" s="16">
        <f>(W569+Y569+AA569+AC569)</f>
        <v/>
      </c>
      <c r="AF569" s="140" t="n"/>
      <c r="AG569" s="138" t="n"/>
      <c r="AH569" s="16" t="n"/>
      <c r="AI569" s="138" t="n"/>
      <c r="AJ569" s="16" t="n"/>
      <c r="AK569" s="138" t="n"/>
      <c r="AL569" s="16" t="n"/>
      <c r="AM569" s="138" t="n"/>
      <c r="AN569" s="16" t="n"/>
      <c r="AO569" s="138" t="n"/>
      <c r="AP569" s="16" t="n"/>
      <c r="AQ569" s="138" t="n"/>
      <c r="AR569" s="16" t="n"/>
      <c r="AS569" s="138" t="n"/>
      <c r="AT569" s="16" t="n"/>
      <c r="AU569" s="138" t="n"/>
      <c r="AV569" s="16" t="n"/>
      <c r="AW569" s="138" t="n"/>
      <c r="AX569" s="16" t="n"/>
      <c r="AY569" s="138" t="n"/>
      <c r="AZ569" s="16">
        <f>AF569+AH569+AJ569+AL569+AN569+AP569+AR569+AT569+AV569+AX569</f>
        <v/>
      </c>
      <c r="BA569" s="16" t="n"/>
      <c r="BB569" s="139" t="n"/>
      <c r="BC569" s="16" t="n"/>
      <c r="BD569" s="139" t="n"/>
      <c r="BE569" s="16">
        <f>(BA569+BC569)</f>
        <v/>
      </c>
    </row>
    <row r="570" ht="21.95" customFormat="1" customHeight="1" s="8">
      <c r="A570" s="9" t="n">
        <v>999</v>
      </c>
      <c r="B570" s="136" t="inlineStr">
        <is>
          <t>ABS 난연</t>
        </is>
      </c>
      <c r="C570" s="137" t="inlineStr">
        <is>
          <t>DX3000</t>
        </is>
      </c>
      <c r="D570" s="60" t="inlineStr">
        <is>
          <t>Battery Case</t>
        </is>
      </c>
      <c r="E570" s="11" t="inlineStr">
        <is>
          <t xml:space="preserve">사급자재 </t>
        </is>
      </c>
      <c r="F570" s="12" t="n"/>
      <c r="G570" s="9" t="n"/>
      <c r="H570" s="9" t="inlineStr">
        <is>
          <t>천우</t>
        </is>
      </c>
      <c r="I570" s="14" t="n"/>
      <c r="J570" s="14" t="n"/>
      <c r="K570" s="12" t="n">
        <v>0</v>
      </c>
      <c r="L570" s="9" t="n"/>
      <c r="M570" s="9" t="n"/>
      <c r="N570" s="9" t="n"/>
      <c r="O570" s="40">
        <f>K570+V570-AE570-AZ570</f>
        <v/>
      </c>
      <c r="P570" s="12" t="n"/>
      <c r="Q570" s="138" t="n"/>
      <c r="R570" s="16" t="n"/>
      <c r="S570" s="139" t="n"/>
      <c r="T570" s="16" t="n"/>
      <c r="U570" s="139" t="n"/>
      <c r="V570" s="16">
        <f>P570+R570+T570</f>
        <v/>
      </c>
      <c r="W570" s="16" t="n"/>
      <c r="X570" s="139" t="n"/>
      <c r="Y570" s="16" t="n"/>
      <c r="Z570" s="139" t="n"/>
      <c r="AA570" s="16" t="n"/>
      <c r="AB570" s="139" t="n"/>
      <c r="AC570" s="16" t="n"/>
      <c r="AD570" s="139" t="n"/>
      <c r="AE570" s="16">
        <f>(W570+Y570+AA570+AC570)</f>
        <v/>
      </c>
      <c r="AF570" s="140" t="n"/>
      <c r="AG570" s="138" t="n"/>
      <c r="AH570" s="16" t="n"/>
      <c r="AI570" s="138" t="n"/>
      <c r="AJ570" s="16" t="n"/>
      <c r="AK570" s="138" t="n"/>
      <c r="AL570" s="16" t="n"/>
      <c r="AM570" s="138" t="n"/>
      <c r="AN570" s="16" t="n"/>
      <c r="AO570" s="138" t="n"/>
      <c r="AP570" s="16" t="n"/>
      <c r="AQ570" s="138" t="n"/>
      <c r="AR570" s="16" t="n"/>
      <c r="AS570" s="138" t="n"/>
      <c r="AT570" s="16" t="n"/>
      <c r="AU570" s="138" t="n"/>
      <c r="AV570" s="16" t="n"/>
      <c r="AW570" s="138" t="n"/>
      <c r="AX570" s="16" t="n"/>
      <c r="AY570" s="138" t="n"/>
      <c r="AZ570" s="16">
        <f>AF570+AH570+AJ570+AL570+AN570+AP570+AR570+AT570+AV570+AX570</f>
        <v/>
      </c>
      <c r="BA570" s="16" t="n"/>
      <c r="BB570" s="139" t="n"/>
      <c r="BC570" s="16" t="n"/>
      <c r="BD570" s="139" t="n"/>
      <c r="BE570" s="16">
        <f>(BA570+BC570)</f>
        <v/>
      </c>
    </row>
    <row r="571" ht="21.95" customFormat="1" customHeight="1" s="8">
      <c r="A571" s="9" t="n">
        <v>999</v>
      </c>
      <c r="B571" s="136" t="inlineStr">
        <is>
          <t>신주</t>
        </is>
      </c>
      <c r="C571" s="137" t="inlineStr">
        <is>
          <t>공용</t>
        </is>
      </c>
      <c r="D571" s="60" t="inlineStr">
        <is>
          <t>배터리 내부 단자</t>
        </is>
      </c>
      <c r="E571" s="11" t="inlineStr">
        <is>
          <t xml:space="preserve">사급자재 </t>
        </is>
      </c>
      <c r="F571" s="12" t="n"/>
      <c r="G571" s="9" t="n"/>
      <c r="H571" s="9" t="inlineStr">
        <is>
          <t>해진정밀</t>
        </is>
      </c>
      <c r="I571" s="14" t="n"/>
      <c r="J571" s="14" t="n"/>
      <c r="K571" s="12" t="n">
        <v>0</v>
      </c>
      <c r="L571" s="9" t="n"/>
      <c r="M571" s="9" t="n"/>
      <c r="N571" s="9" t="n"/>
      <c r="O571" s="40">
        <f>K571+V571-AE571-AZ571</f>
        <v/>
      </c>
      <c r="P571" s="12" t="n"/>
      <c r="Q571" s="138" t="n"/>
      <c r="R571" s="16" t="n"/>
      <c r="S571" s="139" t="n"/>
      <c r="T571" s="16" t="n"/>
      <c r="U571" s="139" t="n"/>
      <c r="V571" s="16">
        <f>P571+R571+T571</f>
        <v/>
      </c>
      <c r="W571" s="16" t="n"/>
      <c r="X571" s="139" t="n"/>
      <c r="Y571" s="16" t="n"/>
      <c r="Z571" s="139" t="n"/>
      <c r="AA571" s="16" t="n"/>
      <c r="AB571" s="139" t="n"/>
      <c r="AC571" s="16" t="n"/>
      <c r="AD571" s="139" t="n"/>
      <c r="AE571" s="16">
        <f>(W571+Y571+AA571+AC571)</f>
        <v/>
      </c>
      <c r="AF571" s="140" t="n"/>
      <c r="AG571" s="138" t="n"/>
      <c r="AH571" s="16" t="n"/>
      <c r="AI571" s="138" t="n"/>
      <c r="AJ571" s="16" t="n"/>
      <c r="AK571" s="138" t="n"/>
      <c r="AL571" s="16" t="n"/>
      <c r="AM571" s="138" t="n"/>
      <c r="AN571" s="16" t="n"/>
      <c r="AO571" s="138" t="n"/>
      <c r="AP571" s="16" t="n"/>
      <c r="AQ571" s="138" t="n"/>
      <c r="AR571" s="16" t="n"/>
      <c r="AS571" s="138" t="n"/>
      <c r="AT571" s="16" t="n"/>
      <c r="AU571" s="138" t="n"/>
      <c r="AV571" s="16" t="n"/>
      <c r="AW571" s="138" t="n"/>
      <c r="AX571" s="16" t="n"/>
      <c r="AY571" s="138" t="n"/>
      <c r="AZ571" s="16">
        <f>AF571+AH571+AJ571+AL571+AN571+AP571+AR571+AT571+AV571+AX571</f>
        <v/>
      </c>
      <c r="BA571" s="16" t="n"/>
      <c r="BB571" s="139" t="n"/>
      <c r="BC571" s="16" t="n"/>
      <c r="BD571" s="139" t="n"/>
      <c r="BE571" s="16">
        <f>(BA571+BC571)</f>
        <v/>
      </c>
    </row>
    <row r="572" ht="22.5" customFormat="1" customHeight="1" s="8">
      <c r="A572" s="9" t="n">
        <v>32</v>
      </c>
      <c r="B572" s="136" t="inlineStr">
        <is>
          <t>BOARD</t>
        </is>
      </c>
      <c r="C572" s="137" t="inlineStr">
        <is>
          <t>ADX6000</t>
        </is>
      </c>
      <c r="D572" s="64" t="inlineStr">
        <is>
          <t>고압베어 B/D</t>
        </is>
      </c>
      <c r="E572" s="11" t="inlineStr">
        <is>
          <t>구형 고압보드</t>
        </is>
      </c>
      <c r="F572" s="99" t="n"/>
      <c r="G572" s="9" t="n"/>
      <c r="H572" s="9" t="inlineStr">
        <is>
          <t>한샘디지텍</t>
        </is>
      </c>
      <c r="I572" s="14" t="n"/>
      <c r="J572" s="14" t="n"/>
      <c r="K572" s="12" t="n">
        <v>0</v>
      </c>
      <c r="L572" s="9" t="n"/>
      <c r="M572" s="9" t="n"/>
      <c r="N572" s="9" t="n"/>
      <c r="O572" s="40">
        <f>K572+V572-AE572-AZ572</f>
        <v/>
      </c>
      <c r="P572" s="12" t="n"/>
      <c r="Q572" s="138" t="n"/>
      <c r="R572" s="16" t="n"/>
      <c r="S572" s="139" t="n"/>
      <c r="T572" s="16" t="n"/>
      <c r="U572" s="139" t="n"/>
      <c r="V572" s="16">
        <f>P572+R572+T572</f>
        <v/>
      </c>
      <c r="W572" s="16" t="n"/>
      <c r="X572" s="139" t="n"/>
      <c r="Y572" s="16" t="n"/>
      <c r="Z572" s="139" t="n"/>
      <c r="AA572" s="16" t="n"/>
      <c r="AB572" s="139" t="n"/>
      <c r="AC572" s="16" t="n"/>
      <c r="AD572" s="139" t="n"/>
      <c r="AE572" s="16">
        <f>(W572+Y572+AA572+AC572)</f>
        <v/>
      </c>
      <c r="AF572" s="140" t="n"/>
      <c r="AG572" s="138" t="n"/>
      <c r="AH572" s="16" t="n"/>
      <c r="AI572" s="138" t="n"/>
      <c r="AJ572" s="16" t="n"/>
      <c r="AK572" s="138" t="n"/>
      <c r="AL572" s="16" t="n"/>
      <c r="AM572" s="138" t="n"/>
      <c r="AN572" s="16" t="n"/>
      <c r="AO572" s="138" t="n"/>
      <c r="AP572" s="16" t="n"/>
      <c r="AQ572" s="138" t="n"/>
      <c r="AR572" s="16" t="n"/>
      <c r="AS572" s="138" t="n"/>
      <c r="AT572" s="16" t="n"/>
      <c r="AU572" s="138" t="n"/>
      <c r="AV572" s="16" t="n"/>
      <c r="AW572" s="138" t="n"/>
      <c r="AX572" s="16" t="n"/>
      <c r="AY572" s="138" t="n"/>
      <c r="AZ572" s="16">
        <f>AF572+AH572+AJ572+AL572+AN572+AP572+AR572+AT572+AV572+AX572</f>
        <v/>
      </c>
      <c r="BA572" s="16" t="n"/>
      <c r="BB572" s="139" t="n"/>
      <c r="BC572" s="16" t="n"/>
      <c r="BD572" s="139" t="n"/>
      <c r="BE572" s="16">
        <f>(BA572+BC572)</f>
        <v/>
      </c>
    </row>
    <row r="573" ht="22.5" customFormat="1" customHeight="1" s="8">
      <c r="A573" s="9" t="n">
        <v>60</v>
      </c>
      <c r="B573" s="141" t="inlineStr">
        <is>
          <t>BOARD</t>
        </is>
      </c>
      <c r="C573" s="137" t="inlineStr">
        <is>
          <t>ADX6000</t>
        </is>
      </c>
      <c r="D573" s="62" t="inlineStr">
        <is>
          <t>8핀 B/D</t>
        </is>
      </c>
      <c r="E573" s="36" t="inlineStr">
        <is>
          <t>구형 8핀 보드</t>
        </is>
      </c>
      <c r="F573" s="99" t="n"/>
      <c r="G573" s="22" t="n"/>
      <c r="H573" s="22" t="inlineStr">
        <is>
          <t>한샘디지텍</t>
        </is>
      </c>
      <c r="I573" s="14" t="n"/>
      <c r="J573" s="14" t="n"/>
      <c r="K573" s="12" t="n">
        <v>0</v>
      </c>
      <c r="L573" s="9" t="n"/>
      <c r="M573" s="9" t="n"/>
      <c r="N573" s="9" t="n"/>
      <c r="O573" s="40">
        <f>K573+V573-AE573-AZ573</f>
        <v/>
      </c>
      <c r="P573" s="12" t="n"/>
      <c r="Q573" s="138" t="n"/>
      <c r="R573" s="16" t="n"/>
      <c r="S573" s="139" t="n"/>
      <c r="T573" s="16" t="n"/>
      <c r="U573" s="139" t="n"/>
      <c r="V573" s="16">
        <f>P573+R573+T573</f>
        <v/>
      </c>
      <c r="W573" s="16" t="n"/>
      <c r="X573" s="139" t="n"/>
      <c r="Y573" s="16" t="n"/>
      <c r="Z573" s="139" t="n"/>
      <c r="AA573" s="16" t="n"/>
      <c r="AB573" s="139" t="n"/>
      <c r="AC573" s="16" t="n"/>
      <c r="AD573" s="139" t="n"/>
      <c r="AE573" s="16">
        <f>(W573+Y573+AA573+AC573)</f>
        <v/>
      </c>
      <c r="AF573" s="140" t="n"/>
      <c r="AG573" s="138" t="n"/>
      <c r="AH573" s="16" t="n"/>
      <c r="AI573" s="138" t="n"/>
      <c r="AJ573" s="16" t="n"/>
      <c r="AK573" s="138" t="n"/>
      <c r="AL573" s="16" t="n"/>
      <c r="AM573" s="138" t="n"/>
      <c r="AN573" s="16" t="n"/>
      <c r="AO573" s="138" t="n"/>
      <c r="AP573" s="16" t="n"/>
      <c r="AQ573" s="138" t="n"/>
      <c r="AR573" s="16" t="n"/>
      <c r="AS573" s="138" t="n"/>
      <c r="AT573" s="16" t="n"/>
      <c r="AU573" s="138" t="n"/>
      <c r="AV573" s="16" t="n"/>
      <c r="AW573" s="138" t="n"/>
      <c r="AX573" s="16" t="n"/>
      <c r="AY573" s="138" t="n"/>
      <c r="AZ573" s="16">
        <f>AF573+AH573+AJ573+AL573+AN573+AP573+AR573+AT573+AV573+AX573</f>
        <v/>
      </c>
      <c r="BA573" s="16" t="n"/>
      <c r="BB573" s="139" t="n"/>
      <c r="BC573" s="16" t="n"/>
      <c r="BD573" s="139" t="n"/>
      <c r="BE573" s="16">
        <f>(BA573+BC573)</f>
        <v/>
      </c>
    </row>
    <row r="574" ht="21.95" customFormat="1" customHeight="1" s="8">
      <c r="A574" s="9" t="n">
        <v>999</v>
      </c>
      <c r="B574" s="136" t="inlineStr">
        <is>
          <t>다이오드</t>
        </is>
      </c>
      <c r="C574" s="137" t="inlineStr">
        <is>
          <t>SOLO</t>
        </is>
      </c>
      <c r="D574" s="60" t="inlineStr">
        <is>
          <t>고압 다이오드</t>
        </is>
      </c>
      <c r="E574" s="11" t="inlineStr">
        <is>
          <t>SPF01-15</t>
        </is>
      </c>
      <c r="F574" s="12" t="n"/>
      <c r="G574" s="9" t="n"/>
      <c r="H574" s="9" t="inlineStr">
        <is>
          <t>비지티</t>
        </is>
      </c>
      <c r="I574" s="14" t="n"/>
      <c r="J574" s="14" t="n"/>
      <c r="K574" s="12" t="n">
        <v>0</v>
      </c>
      <c r="L574" s="9" t="n"/>
      <c r="M574" s="9" t="n"/>
      <c r="N574" s="9" t="n"/>
      <c r="O574" s="40">
        <f>K574+V574-AE574-AZ574</f>
        <v/>
      </c>
      <c r="P574" s="12" t="n"/>
      <c r="Q574" s="138" t="n"/>
      <c r="R574" s="16" t="n"/>
      <c r="S574" s="139" t="n"/>
      <c r="T574" s="16" t="n"/>
      <c r="U574" s="139" t="n"/>
      <c r="V574" s="16">
        <f>P574+R574+T574</f>
        <v/>
      </c>
      <c r="W574" s="16" t="n"/>
      <c r="X574" s="139" t="n"/>
      <c r="Y574" s="16" t="n"/>
      <c r="Z574" s="139" t="n"/>
      <c r="AA574" s="16" t="n"/>
      <c r="AB574" s="139" t="n"/>
      <c r="AC574" s="16" t="n"/>
      <c r="AD574" s="139" t="n"/>
      <c r="AE574" s="16">
        <f>(W574+Y574+AA574+AC574)</f>
        <v/>
      </c>
      <c r="AF574" s="140" t="n"/>
      <c r="AG574" s="138" t="n"/>
      <c r="AH574" s="16" t="n"/>
      <c r="AI574" s="138" t="n"/>
      <c r="AJ574" s="16" t="n"/>
      <c r="AK574" s="138" t="n"/>
      <c r="AL574" s="16" t="n"/>
      <c r="AM574" s="138" t="n"/>
      <c r="AN574" s="16" t="n"/>
      <c r="AO574" s="138" t="n"/>
      <c r="AP574" s="16" t="n"/>
      <c r="AQ574" s="138" t="n"/>
      <c r="AR574" s="16" t="n"/>
      <c r="AS574" s="138" t="n"/>
      <c r="AT574" s="16" t="n"/>
      <c r="AU574" s="138" t="n"/>
      <c r="AV574" s="16" t="n"/>
      <c r="AW574" s="138" t="n"/>
      <c r="AX574" s="16" t="n"/>
      <c r="AY574" s="138" t="n"/>
      <c r="AZ574" s="16">
        <f>AF574+AH574+AJ574+AL574+AN574+AP574+AR574+AT574+AV574+AX574</f>
        <v/>
      </c>
      <c r="BA574" s="16" t="n"/>
      <c r="BB574" s="139" t="n"/>
      <c r="BC574" s="16" t="n"/>
      <c r="BD574" s="139" t="n"/>
      <c r="BE574" s="16">
        <f>(BA574+BC574)</f>
        <v/>
      </c>
    </row>
    <row r="575" ht="21.95" customFormat="1" customHeight="1" s="8">
      <c r="A575" s="9" t="n">
        <v>999</v>
      </c>
      <c r="B575" s="136" t="inlineStr">
        <is>
          <t>세라믹</t>
        </is>
      </c>
      <c r="C575" s="137" t="inlineStr">
        <is>
          <t>SOLO</t>
        </is>
      </c>
      <c r="D575" s="60" t="inlineStr">
        <is>
          <t>고압용 칩 세라믹 콘덴서</t>
        </is>
      </c>
      <c r="E575" s="11" t="inlineStr">
        <is>
          <t>2220J6K00222KXT</t>
        </is>
      </c>
      <c r="F575" s="12" t="n"/>
      <c r="G575" s="9" t="n"/>
      <c r="H575" s="9" t="inlineStr">
        <is>
          <t>비지티</t>
        </is>
      </c>
      <c r="I575" s="14" t="n"/>
      <c r="J575" s="14" t="n"/>
      <c r="K575" s="12" t="n">
        <v>0</v>
      </c>
      <c r="L575" s="9" t="n"/>
      <c r="M575" s="9" t="n"/>
      <c r="N575" s="9" t="n"/>
      <c r="O575" s="40">
        <f>K575+V575-AE575-AZ575</f>
        <v/>
      </c>
      <c r="P575" s="12" t="n"/>
      <c r="Q575" s="138" t="n"/>
      <c r="R575" s="16" t="n"/>
      <c r="S575" s="139" t="n"/>
      <c r="T575" s="16" t="n"/>
      <c r="U575" s="139" t="n"/>
      <c r="V575" s="16">
        <f>P575+R575+T575</f>
        <v/>
      </c>
      <c r="W575" s="16" t="n"/>
      <c r="X575" s="139" t="n"/>
      <c r="Y575" s="16" t="n"/>
      <c r="Z575" s="139" t="n"/>
      <c r="AA575" s="16" t="n"/>
      <c r="AB575" s="139" t="n"/>
      <c r="AC575" s="16" t="n"/>
      <c r="AD575" s="139" t="n"/>
      <c r="AE575" s="16">
        <f>(W575+Y575+AA575+AC575)</f>
        <v/>
      </c>
      <c r="AF575" s="140" t="n"/>
      <c r="AG575" s="138" t="n"/>
      <c r="AH575" s="16" t="n"/>
      <c r="AI575" s="138" t="n"/>
      <c r="AJ575" s="16" t="n"/>
      <c r="AK575" s="138" t="n"/>
      <c r="AL575" s="16" t="n"/>
      <c r="AM575" s="138" t="n"/>
      <c r="AN575" s="16" t="n"/>
      <c r="AO575" s="138" t="n"/>
      <c r="AP575" s="16" t="n"/>
      <c r="AQ575" s="138" t="n"/>
      <c r="AR575" s="16" t="n"/>
      <c r="AS575" s="138" t="n"/>
      <c r="AT575" s="16" t="n"/>
      <c r="AU575" s="138" t="n"/>
      <c r="AV575" s="16" t="n"/>
      <c r="AW575" s="138" t="n"/>
      <c r="AX575" s="16" t="n"/>
      <c r="AY575" s="138" t="n"/>
      <c r="AZ575" s="16">
        <f>AF575+AH575+AJ575+AL575+AN575+AP575+AR575+AT575+AV575+AX575</f>
        <v/>
      </c>
      <c r="BA575" s="16" t="n"/>
      <c r="BB575" s="139" t="n"/>
      <c r="BC575" s="16" t="n"/>
      <c r="BD575" s="139" t="n"/>
      <c r="BE575" s="16">
        <f>(BA575+BC575)</f>
        <v/>
      </c>
    </row>
    <row r="576" ht="21.95" customFormat="1" customHeight="1" s="8">
      <c r="A576" s="9" t="n">
        <v>999</v>
      </c>
      <c r="B576" s="141" t="inlineStr">
        <is>
          <t>HDPE</t>
        </is>
      </c>
      <c r="C576" s="142" t="inlineStr">
        <is>
          <t>SOLO</t>
        </is>
      </c>
      <c r="D576" s="62" t="inlineStr">
        <is>
          <t>세라믹 튜브 하우징 파이프</t>
        </is>
      </c>
      <c r="E576" s="36" t="inlineStr">
        <is>
          <t>HDPE</t>
        </is>
      </c>
      <c r="F576" s="21" t="n"/>
      <c r="G576" s="22" t="n"/>
      <c r="H576" s="22" t="inlineStr">
        <is>
          <t>용봉화학</t>
        </is>
      </c>
      <c r="I576" s="14" t="n"/>
      <c r="J576" s="14" t="n"/>
      <c r="K576" s="12" t="n">
        <v>0</v>
      </c>
      <c r="L576" s="9" t="n"/>
      <c r="M576" s="9" t="n"/>
      <c r="N576" s="9" t="n"/>
      <c r="O576" s="40">
        <f>K576+V576-AE576-AZ576</f>
        <v/>
      </c>
      <c r="P576" s="12" t="n"/>
      <c r="Q576" s="138" t="n"/>
      <c r="R576" s="16" t="n"/>
      <c r="S576" s="139" t="n"/>
      <c r="T576" s="16" t="n"/>
      <c r="U576" s="139" t="n"/>
      <c r="V576" s="16">
        <f>P576+R576+T576</f>
        <v/>
      </c>
      <c r="W576" s="16" t="n"/>
      <c r="X576" s="139" t="n"/>
      <c r="Y576" s="16" t="n"/>
      <c r="Z576" s="139" t="n"/>
      <c r="AA576" s="16" t="n"/>
      <c r="AB576" s="139" t="n"/>
      <c r="AC576" s="16" t="n"/>
      <c r="AD576" s="139" t="n"/>
      <c r="AE576" s="16">
        <f>(W576+Y576+AA576+AC576)</f>
        <v/>
      </c>
      <c r="AF576" s="140" t="n"/>
      <c r="AG576" s="138" t="n"/>
      <c r="AH576" s="16" t="n"/>
      <c r="AI576" s="138" t="n"/>
      <c r="AJ576" s="16" t="n"/>
      <c r="AK576" s="138" t="n"/>
      <c r="AL576" s="16" t="n"/>
      <c r="AM576" s="138" t="n"/>
      <c r="AN576" s="16" t="n"/>
      <c r="AO576" s="138" t="n"/>
      <c r="AP576" s="16" t="n"/>
      <c r="AQ576" s="138" t="n"/>
      <c r="AR576" s="16" t="n"/>
      <c r="AS576" s="138" t="n"/>
      <c r="AT576" s="16" t="n"/>
      <c r="AU576" s="138" t="n"/>
      <c r="AV576" s="16" t="n"/>
      <c r="AW576" s="138" t="n"/>
      <c r="AX576" s="16" t="n"/>
      <c r="AY576" s="138" t="n"/>
      <c r="AZ576" s="16">
        <f>AF576+AH576+AJ576+AL576+AN576+AP576+AR576+AT576+AV576+AX576</f>
        <v/>
      </c>
      <c r="BA576" s="16" t="n"/>
      <c r="BB576" s="139" t="n"/>
      <c r="BC576" s="16" t="n"/>
      <c r="BD576" s="139" t="n"/>
      <c r="BE576" s="16">
        <f>(BA576+BC576)</f>
        <v/>
      </c>
    </row>
    <row r="577" ht="21.95" customFormat="1" customHeight="1" s="8">
      <c r="A577" s="9" t="n">
        <v>999</v>
      </c>
      <c r="B577" s="141" t="inlineStr">
        <is>
          <t>HDPE</t>
        </is>
      </c>
      <c r="C577" s="142" t="inlineStr">
        <is>
          <t>SOLO</t>
        </is>
      </c>
      <c r="D577" s="62" t="inlineStr">
        <is>
          <t>내부 케이스</t>
        </is>
      </c>
      <c r="E577" s="36" t="inlineStr">
        <is>
          <t>HDPE</t>
        </is>
      </c>
      <c r="F577" s="21" t="n"/>
      <c r="G577" s="22" t="n"/>
      <c r="H577" s="22" t="inlineStr">
        <is>
          <t>용봉화학</t>
        </is>
      </c>
      <c r="I577" s="14" t="n"/>
      <c r="J577" s="14" t="n"/>
      <c r="K577" s="12" t="n">
        <v>0</v>
      </c>
      <c r="L577" s="9" t="n"/>
      <c r="M577" s="9" t="n"/>
      <c r="N577" s="9" t="n"/>
      <c r="O577" s="40">
        <f>K577+V577-AE577-AZ577</f>
        <v/>
      </c>
      <c r="P577" s="12" t="n"/>
      <c r="Q577" s="138" t="n"/>
      <c r="R577" s="16" t="n"/>
      <c r="S577" s="139" t="n"/>
      <c r="T577" s="16" t="n"/>
      <c r="U577" s="139" t="n"/>
      <c r="V577" s="16">
        <f>P577+R577+T577</f>
        <v/>
      </c>
      <c r="W577" s="16" t="n"/>
      <c r="X577" s="139" t="n"/>
      <c r="Y577" s="16" t="n"/>
      <c r="Z577" s="139" t="n"/>
      <c r="AA577" s="16" t="n"/>
      <c r="AB577" s="139" t="n"/>
      <c r="AC577" s="16" t="n"/>
      <c r="AD577" s="139" t="n"/>
      <c r="AE577" s="16">
        <f>(W577+Y577+AA577+AC577)</f>
        <v/>
      </c>
      <c r="AF577" s="140" t="n"/>
      <c r="AG577" s="138" t="n"/>
      <c r="AH577" s="16" t="n"/>
      <c r="AI577" s="138" t="n"/>
      <c r="AJ577" s="16" t="n"/>
      <c r="AK577" s="138" t="n"/>
      <c r="AL577" s="16" t="n"/>
      <c r="AM577" s="138" t="n"/>
      <c r="AN577" s="16" t="n"/>
      <c r="AO577" s="138" t="n"/>
      <c r="AP577" s="16" t="n"/>
      <c r="AQ577" s="138" t="n"/>
      <c r="AR577" s="16" t="n"/>
      <c r="AS577" s="138" t="n"/>
      <c r="AT577" s="16" t="n"/>
      <c r="AU577" s="138" t="n"/>
      <c r="AV577" s="16" t="n"/>
      <c r="AW577" s="138" t="n"/>
      <c r="AX577" s="16" t="n"/>
      <c r="AY577" s="138" t="n"/>
      <c r="AZ577" s="16">
        <f>AF577+AH577+AJ577+AL577+AN577+AP577+AR577+AT577+AV577+AX577</f>
        <v/>
      </c>
      <c r="BA577" s="16" t="n"/>
      <c r="BB577" s="139" t="n"/>
      <c r="BC577" s="16" t="n"/>
      <c r="BD577" s="139" t="n"/>
      <c r="BE577" s="16">
        <f>(BA577+BC577)</f>
        <v/>
      </c>
    </row>
    <row r="578" ht="21.95" customFormat="1" customHeight="1" s="8">
      <c r="A578" s="9" t="n">
        <v>999</v>
      </c>
      <c r="B578" s="141" t="inlineStr">
        <is>
          <t>HDPE</t>
        </is>
      </c>
      <c r="C578" s="142" t="inlineStr">
        <is>
          <t>SOLO</t>
        </is>
      </c>
      <c r="D578" s="62" t="inlineStr">
        <is>
          <t>고압 격벽</t>
        </is>
      </c>
      <c r="E578" s="36" t="inlineStr">
        <is>
          <t>HDPE</t>
        </is>
      </c>
      <c r="F578" s="21" t="n"/>
      <c r="G578" s="22" t="n"/>
      <c r="H578" s="22" t="inlineStr">
        <is>
          <t>용봉화학</t>
        </is>
      </c>
      <c r="I578" s="14" t="n"/>
      <c r="J578" s="14" t="n"/>
      <c r="K578" s="12" t="n">
        <v>0</v>
      </c>
      <c r="L578" s="9" t="n"/>
      <c r="M578" s="9" t="n"/>
      <c r="N578" s="9" t="n"/>
      <c r="O578" s="40">
        <f>K578+V578-AE578-AZ578</f>
        <v/>
      </c>
      <c r="P578" s="12" t="n"/>
      <c r="Q578" s="138" t="n"/>
      <c r="R578" s="16" t="n"/>
      <c r="S578" s="139" t="n"/>
      <c r="T578" s="16" t="n"/>
      <c r="U578" s="139" t="n"/>
      <c r="V578" s="16">
        <f>P578+R578+T578</f>
        <v/>
      </c>
      <c r="W578" s="16" t="n"/>
      <c r="X578" s="139" t="n"/>
      <c r="Y578" s="16" t="n"/>
      <c r="Z578" s="139" t="n"/>
      <c r="AA578" s="16" t="n"/>
      <c r="AB578" s="139" t="n"/>
      <c r="AC578" s="16" t="n"/>
      <c r="AD578" s="139" t="n"/>
      <c r="AE578" s="16">
        <f>(W578+Y578+AA578+AC578)</f>
        <v/>
      </c>
      <c r="AF578" s="140" t="n"/>
      <c r="AG578" s="138" t="n"/>
      <c r="AH578" s="16" t="n"/>
      <c r="AI578" s="138" t="n"/>
      <c r="AJ578" s="16" t="n"/>
      <c r="AK578" s="138" t="n"/>
      <c r="AL578" s="16" t="n"/>
      <c r="AM578" s="138" t="n"/>
      <c r="AN578" s="16" t="n"/>
      <c r="AO578" s="138" t="n"/>
      <c r="AP578" s="16" t="n"/>
      <c r="AQ578" s="138" t="n"/>
      <c r="AR578" s="16" t="n"/>
      <c r="AS578" s="138" t="n"/>
      <c r="AT578" s="16" t="n"/>
      <c r="AU578" s="138" t="n"/>
      <c r="AV578" s="16" t="n"/>
      <c r="AW578" s="138" t="n"/>
      <c r="AX578" s="16" t="n"/>
      <c r="AY578" s="138" t="n"/>
      <c r="AZ578" s="16">
        <f>AF578+AH578+AJ578+AL578+AN578+AP578+AR578+AT578+AV578+AX578</f>
        <v/>
      </c>
      <c r="BA578" s="16" t="n"/>
      <c r="BB578" s="139" t="n"/>
      <c r="BC578" s="16" t="n"/>
      <c r="BD578" s="139" t="n"/>
      <c r="BE578" s="16">
        <f>(BA578+BC578)</f>
        <v/>
      </c>
    </row>
    <row r="579" ht="22.5" customFormat="1" customHeight="1" s="8">
      <c r="A579" s="9" t="n">
        <v>999</v>
      </c>
      <c r="B579" s="136" t="inlineStr">
        <is>
          <t>AL</t>
        </is>
      </c>
      <c r="C579" s="137" t="inlineStr">
        <is>
          <t>SOLO</t>
        </is>
      </c>
      <c r="D579" s="83" t="inlineStr">
        <is>
          <t>에이밍 필터</t>
        </is>
      </c>
      <c r="E579" s="13" t="inlineStr">
        <is>
          <t>0.5T * Φ40 에이밍 은경 추가 필터</t>
        </is>
      </c>
      <c r="F579" s="100" t="n"/>
      <c r="G579" s="9" t="n"/>
      <c r="H579" s="9" t="n"/>
      <c r="I579" s="14" t="n"/>
      <c r="J579" s="14" t="n"/>
      <c r="K579" s="12" t="n">
        <v>0</v>
      </c>
      <c r="L579" s="9" t="n"/>
      <c r="M579" s="9" t="n"/>
      <c r="N579" s="9" t="n"/>
      <c r="O579" s="40">
        <f>K579+V579-AE579-AZ579</f>
        <v/>
      </c>
      <c r="P579" s="12" t="n"/>
      <c r="Q579" s="138" t="n"/>
      <c r="R579" s="16" t="n"/>
      <c r="S579" s="139" t="n"/>
      <c r="T579" s="16" t="n"/>
      <c r="U579" s="139" t="n"/>
      <c r="V579" s="16">
        <f>P579+R579+T579</f>
        <v/>
      </c>
      <c r="W579" s="16" t="n"/>
      <c r="X579" s="139" t="n"/>
      <c r="Y579" s="16" t="n"/>
      <c r="Z579" s="139" t="n"/>
      <c r="AA579" s="16" t="n"/>
      <c r="AB579" s="139" t="n"/>
      <c r="AC579" s="16" t="n"/>
      <c r="AD579" s="139" t="n"/>
      <c r="AE579" s="16">
        <f>(W579+Y579+AA579+AC579)</f>
        <v/>
      </c>
      <c r="AF579" s="140" t="n"/>
      <c r="AG579" s="138" t="n"/>
      <c r="AH579" s="16" t="n"/>
      <c r="AI579" s="138" t="n"/>
      <c r="AJ579" s="16" t="n"/>
      <c r="AK579" s="138" t="n"/>
      <c r="AL579" s="16" t="n"/>
      <c r="AM579" s="138" t="n"/>
      <c r="AN579" s="16" t="n"/>
      <c r="AO579" s="138" t="n"/>
      <c r="AP579" s="16" t="n"/>
      <c r="AQ579" s="138" t="n"/>
      <c r="AR579" s="16" t="n"/>
      <c r="AS579" s="138" t="n"/>
      <c r="AT579" s="16" t="n"/>
      <c r="AU579" s="138" t="n"/>
      <c r="AV579" s="16" t="n"/>
      <c r="AW579" s="138" t="n"/>
      <c r="AX579" s="16" t="n"/>
      <c r="AY579" s="138" t="n"/>
      <c r="AZ579" s="16">
        <f>AF579+AH579+AJ579+AL579+AN579+AP579+AR579+AT579+AV579+AX579</f>
        <v/>
      </c>
      <c r="BA579" s="16" t="n"/>
      <c r="BB579" s="139" t="n"/>
      <c r="BC579" s="16" t="n"/>
      <c r="BD579" s="139" t="n"/>
      <c r="BE579" s="16">
        <f>(BA579+BC579)</f>
        <v/>
      </c>
    </row>
    <row r="580" ht="22.5" customFormat="1" customHeight="1" s="8">
      <c r="A580" s="9" t="n">
        <v>999</v>
      </c>
      <c r="B580" s="141" t="inlineStr">
        <is>
          <t>PCB</t>
        </is>
      </c>
      <c r="C580" s="137" t="inlineStr">
        <is>
          <t>COCOON</t>
        </is>
      </c>
      <c r="D580" s="70" t="inlineStr">
        <is>
          <t xml:space="preserve">CTR B/D (ST용) </t>
        </is>
      </c>
      <c r="E580" s="36" t="n"/>
      <c r="F580" s="21" t="n"/>
      <c r="G580" s="22" t="n"/>
      <c r="H580" s="22" t="inlineStr">
        <is>
          <t>HLP</t>
        </is>
      </c>
      <c r="I580" s="14" t="n"/>
      <c r="J580" s="14" t="n"/>
      <c r="K580" s="12" t="n">
        <v>0</v>
      </c>
      <c r="L580" s="9" t="n"/>
      <c r="M580" s="9" t="n"/>
      <c r="N580" s="9" t="n"/>
      <c r="O580" s="40">
        <f>K580+V580-AE580-AZ580</f>
        <v/>
      </c>
      <c r="P580" s="12" t="n"/>
      <c r="Q580" s="138" t="n"/>
      <c r="R580" s="16" t="n"/>
      <c r="S580" s="139" t="n"/>
      <c r="T580" s="16" t="n"/>
      <c r="U580" s="139" t="n"/>
      <c r="V580" s="16">
        <f>P580+R580+T580</f>
        <v/>
      </c>
      <c r="W580" s="16" t="n"/>
      <c r="X580" s="139" t="n"/>
      <c r="Y580" s="16" t="n"/>
      <c r="Z580" s="139" t="n"/>
      <c r="AA580" s="16" t="n"/>
      <c r="AB580" s="139" t="n"/>
      <c r="AC580" s="16" t="n"/>
      <c r="AD580" s="139" t="n"/>
      <c r="AE580" s="16">
        <f>(W580+Y580+AA580+AC580)</f>
        <v/>
      </c>
      <c r="AF580" s="140" t="n"/>
      <c r="AG580" s="138" t="n"/>
      <c r="AH580" s="16" t="n"/>
      <c r="AI580" s="138" t="n"/>
      <c r="AJ580" s="16" t="n"/>
      <c r="AK580" s="138" t="n"/>
      <c r="AL580" s="16" t="n"/>
      <c r="AM580" s="138" t="n"/>
      <c r="AN580" s="16" t="n"/>
      <c r="AO580" s="138" t="n"/>
      <c r="AP580" s="16" t="n"/>
      <c r="AQ580" s="138" t="n"/>
      <c r="AR580" s="16" t="n"/>
      <c r="AS580" s="138" t="n"/>
      <c r="AT580" s="16" t="n"/>
      <c r="AU580" s="138" t="n"/>
      <c r="AV580" s="16" t="n"/>
      <c r="AW580" s="138" t="n"/>
      <c r="AX580" s="16" t="n"/>
      <c r="AY580" s="138" t="n"/>
      <c r="AZ580" s="16">
        <f>AF580+AH580+AJ580+AL580+AN580+AP580+AR580+AT580+AV580+AX580</f>
        <v/>
      </c>
      <c r="BA580" s="16" t="n"/>
      <c r="BB580" s="139" t="n"/>
      <c r="BC580" s="16" t="n"/>
      <c r="BD580" s="139" t="n"/>
      <c r="BE580" s="16">
        <f>(BA580+BC580)</f>
        <v/>
      </c>
    </row>
    <row r="581" ht="22.5" customFormat="1" customHeight="1" s="8">
      <c r="A581" s="9" t="n">
        <v>999</v>
      </c>
      <c r="B581" s="141" t="inlineStr">
        <is>
          <t>PCB</t>
        </is>
      </c>
      <c r="C581" s="137" t="inlineStr">
        <is>
          <t>ADX4000W</t>
        </is>
      </c>
      <c r="D581" s="62" t="inlineStr">
        <is>
          <t>CTR B/D (구형)</t>
        </is>
      </c>
      <c r="E581" s="36" t="n"/>
      <c r="F581" s="21" t="n"/>
      <c r="G581" s="22" t="n"/>
      <c r="H581" s="22" t="n"/>
      <c r="I581" s="14" t="n"/>
      <c r="J581" s="14" t="n"/>
      <c r="K581" s="12" t="n">
        <v>0</v>
      </c>
      <c r="L581" s="9" t="n"/>
      <c r="M581" s="9" t="n"/>
      <c r="N581" s="9" t="n"/>
      <c r="O581" s="40">
        <f>K581+V581-AE581-AZ581</f>
        <v/>
      </c>
      <c r="P581" s="12" t="n"/>
      <c r="Q581" s="138" t="n"/>
      <c r="R581" s="16" t="n"/>
      <c r="S581" s="139" t="n"/>
      <c r="T581" s="16" t="n"/>
      <c r="U581" s="139" t="n"/>
      <c r="V581" s="16" t="n"/>
      <c r="W581" s="16" t="n"/>
      <c r="X581" s="139" t="n"/>
      <c r="Y581" s="16" t="n"/>
      <c r="Z581" s="139" t="n"/>
      <c r="AA581" s="16" t="n"/>
      <c r="AB581" s="139" t="n"/>
      <c r="AC581" s="16" t="n"/>
      <c r="AD581" s="139" t="n"/>
      <c r="AE581" s="16" t="n"/>
      <c r="AF581" s="140" t="n"/>
      <c r="AG581" s="138" t="n"/>
      <c r="AH581" s="16" t="n"/>
      <c r="AI581" s="138" t="n"/>
      <c r="AJ581" s="16" t="n"/>
      <c r="AK581" s="138" t="n"/>
      <c r="AL581" s="16" t="n"/>
      <c r="AM581" s="138" t="n"/>
      <c r="AN581" s="16" t="n"/>
      <c r="AO581" s="138" t="n"/>
      <c r="AP581" s="16" t="n"/>
      <c r="AQ581" s="138" t="n"/>
      <c r="AR581" s="16" t="n"/>
      <c r="AS581" s="138" t="n"/>
      <c r="AT581" s="16" t="n"/>
      <c r="AU581" s="138" t="n"/>
      <c r="AV581" s="16" t="n"/>
      <c r="AW581" s="138" t="n"/>
      <c r="AX581" s="16" t="n"/>
      <c r="AY581" s="138" t="n"/>
      <c r="AZ581" s="16" t="n"/>
      <c r="BA581" s="16" t="n"/>
      <c r="BB581" s="139" t="n"/>
      <c r="BC581" s="16" t="n"/>
      <c r="BD581" s="139" t="n"/>
      <c r="BE581" s="16" t="n"/>
    </row>
    <row r="582" ht="22.5" customFormat="1" customHeight="1" s="8">
      <c r="A582" s="9" t="n">
        <v>999</v>
      </c>
      <c r="B582" s="141" t="inlineStr">
        <is>
          <t>PANEL</t>
        </is>
      </c>
      <c r="C582" s="137" t="inlineStr">
        <is>
          <t>DX3000</t>
        </is>
      </c>
      <c r="D582" s="62" t="inlineStr">
        <is>
          <t>OLED PANEL</t>
        </is>
      </c>
      <c r="E582" s="36" t="n"/>
      <c r="F582" s="21" t="n"/>
      <c r="G582" s="22" t="n"/>
      <c r="H582" s="22" t="inlineStr">
        <is>
          <t>HLP</t>
        </is>
      </c>
      <c r="I582" s="14" t="n"/>
      <c r="J582" s="14" t="n"/>
      <c r="K582" s="12" t="n">
        <v>0</v>
      </c>
      <c r="L582" s="9" t="n"/>
      <c r="M582" s="9" t="n"/>
      <c r="N582" s="9" t="n"/>
      <c r="O582" s="40">
        <f>K582+V582-AE582-AZ582</f>
        <v/>
      </c>
      <c r="P582" s="12" t="n"/>
      <c r="Q582" s="138" t="n"/>
      <c r="R582" s="16" t="n"/>
      <c r="S582" s="139" t="n"/>
      <c r="T582" s="16" t="n"/>
      <c r="U582" s="139" t="n"/>
      <c r="V582" s="16">
        <f>P582+R582+T582</f>
        <v/>
      </c>
      <c r="W582" s="16" t="n"/>
      <c r="X582" s="139" t="n"/>
      <c r="Y582" s="16" t="n"/>
      <c r="Z582" s="139" t="n"/>
      <c r="AA582" s="16" t="n"/>
      <c r="AB582" s="139" t="n"/>
      <c r="AC582" s="16" t="n"/>
      <c r="AD582" s="139" t="n"/>
      <c r="AE582" s="16">
        <f>(W582+Y582+AA582+AC582)</f>
        <v/>
      </c>
      <c r="AF582" s="140" t="n"/>
      <c r="AG582" s="138" t="n"/>
      <c r="AH582" s="16" t="n"/>
      <c r="AI582" s="138" t="n"/>
      <c r="AJ582" s="16" t="n"/>
      <c r="AK582" s="138" t="n"/>
      <c r="AL582" s="16" t="n"/>
      <c r="AM582" s="138" t="n"/>
      <c r="AN582" s="16" t="n"/>
      <c r="AO582" s="138" t="n"/>
      <c r="AP582" s="16" t="n"/>
      <c r="AQ582" s="138" t="n"/>
      <c r="AR582" s="16" t="n"/>
      <c r="AS582" s="138" t="n"/>
      <c r="AT582" s="16" t="n"/>
      <c r="AU582" s="138" t="n"/>
      <c r="AV582" s="16" t="n"/>
      <c r="AW582" s="138" t="n"/>
      <c r="AX582" s="16" t="n"/>
      <c r="AY582" s="138" t="n"/>
      <c r="AZ582" s="16">
        <f>AF582+AH582+AJ582+AL582+AN582+AP582+AR582+AT582+AV582+AX582</f>
        <v/>
      </c>
      <c r="BA582" s="16" t="n"/>
      <c r="BB582" s="139" t="n"/>
      <c r="BC582" s="16" t="n"/>
      <c r="BD582" s="139" t="n"/>
      <c r="BE582" s="16">
        <f>(BA582+BC582)</f>
        <v/>
      </c>
    </row>
    <row r="583" ht="22.5" customFormat="1" customHeight="1" s="8">
      <c r="A583" s="9" t="n">
        <v>999</v>
      </c>
      <c r="B583" s="141" t="inlineStr">
        <is>
          <t>ABS 난연</t>
        </is>
      </c>
      <c r="C583" s="137" t="inlineStr">
        <is>
          <t>DX3000</t>
        </is>
      </c>
      <c r="D583" s="62" t="inlineStr">
        <is>
          <t>OLED GUIDE</t>
        </is>
      </c>
      <c r="E583" s="36" t="inlineStr">
        <is>
          <t>ABS 난연 블랙</t>
        </is>
      </c>
      <c r="F583" s="21" t="n"/>
      <c r="G583" s="22" t="n"/>
      <c r="H583" s="22" t="inlineStr">
        <is>
          <t>뉴퓨처</t>
        </is>
      </c>
      <c r="I583" s="14" t="n"/>
      <c r="J583" s="14" t="n"/>
      <c r="K583" s="12" t="n">
        <v>0</v>
      </c>
      <c r="L583" s="9" t="n"/>
      <c r="M583" s="9" t="n"/>
      <c r="N583" s="9" t="n"/>
      <c r="O583" s="40">
        <f>K583+V583-AE583-AZ583</f>
        <v/>
      </c>
      <c r="P583" s="12" t="n"/>
      <c r="Q583" s="138" t="n"/>
      <c r="R583" s="16" t="n"/>
      <c r="S583" s="139" t="n"/>
      <c r="T583" s="16" t="n"/>
      <c r="U583" s="139" t="n"/>
      <c r="V583" s="16">
        <f>P583+R583+T583</f>
        <v/>
      </c>
      <c r="W583" s="16" t="n"/>
      <c r="X583" s="139" t="n"/>
      <c r="Y583" s="16" t="n"/>
      <c r="Z583" s="139" t="n"/>
      <c r="AA583" s="16" t="n"/>
      <c r="AB583" s="139" t="n"/>
      <c r="AC583" s="16" t="n"/>
      <c r="AD583" s="139" t="n"/>
      <c r="AE583" s="16">
        <f>(W583+Y583+AA583+AC583)</f>
        <v/>
      </c>
      <c r="AF583" s="140" t="n"/>
      <c r="AG583" s="138" t="n"/>
      <c r="AH583" s="16" t="n"/>
      <c r="AI583" s="138" t="n"/>
      <c r="AJ583" s="16" t="n"/>
      <c r="AK583" s="138" t="n"/>
      <c r="AL583" s="16" t="n"/>
      <c r="AM583" s="138" t="n"/>
      <c r="AN583" s="16" t="n"/>
      <c r="AO583" s="138" t="n"/>
      <c r="AP583" s="16" t="n"/>
      <c r="AQ583" s="138" t="n"/>
      <c r="AR583" s="16" t="n"/>
      <c r="AS583" s="138" t="n"/>
      <c r="AT583" s="16" t="n"/>
      <c r="AU583" s="138" t="n"/>
      <c r="AV583" s="16" t="n"/>
      <c r="AW583" s="138" t="n"/>
      <c r="AX583" s="16" t="n"/>
      <c r="AY583" s="138" t="n"/>
      <c r="AZ583" s="16">
        <f>AF583+AH583+AJ583+AL583+AN583+AP583+AR583+AT583+AV583+AX583</f>
        <v/>
      </c>
      <c r="BA583" s="16" t="n"/>
      <c r="BB583" s="139" t="n"/>
      <c r="BC583" s="16" t="n"/>
      <c r="BD583" s="139" t="n"/>
      <c r="BE583" s="16">
        <f>(BA583+BC583)</f>
        <v/>
      </c>
    </row>
    <row r="584" ht="22.5" customFormat="1" customHeight="1" s="8">
      <c r="A584" s="9" t="n">
        <v>999</v>
      </c>
      <c r="B584" s="141" t="inlineStr">
        <is>
          <t>PCB</t>
        </is>
      </c>
      <c r="C584" s="137" t="inlineStr">
        <is>
          <t>DX3000</t>
        </is>
      </c>
      <c r="D584" s="62" t="inlineStr">
        <is>
          <t>EX B/D (원버턴)</t>
        </is>
      </c>
      <c r="E584" s="20" t="n"/>
      <c r="F584" s="21" t="n"/>
      <c r="G584" s="22" t="n"/>
      <c r="H584" s="22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40">
        <f>K584+V584-AE584-AZ584</f>
        <v/>
      </c>
      <c r="P584" s="12" t="n"/>
      <c r="Q584" s="138" t="n"/>
      <c r="R584" s="16" t="n"/>
      <c r="S584" s="139" t="n"/>
      <c r="T584" s="16" t="n"/>
      <c r="U584" s="139" t="n"/>
      <c r="V584" s="16">
        <f>P584+R584+T584</f>
        <v/>
      </c>
      <c r="W584" s="16" t="n"/>
      <c r="X584" s="139" t="n"/>
      <c r="Y584" s="16" t="n"/>
      <c r="Z584" s="139" t="n"/>
      <c r="AA584" s="16" t="n"/>
      <c r="AB584" s="139" t="n"/>
      <c r="AC584" s="16" t="n"/>
      <c r="AD584" s="139" t="n"/>
      <c r="AE584" s="16">
        <f>(W584+Y584+AA584+AC584)</f>
        <v/>
      </c>
      <c r="AF584" s="140" t="n"/>
      <c r="AG584" s="138" t="n"/>
      <c r="AH584" s="16" t="n"/>
      <c r="AI584" s="138" t="n"/>
      <c r="AJ584" s="16" t="n"/>
      <c r="AK584" s="138" t="n"/>
      <c r="AL584" s="16" t="n"/>
      <c r="AM584" s="138" t="n"/>
      <c r="AN584" s="16" t="n"/>
      <c r="AO584" s="138" t="n"/>
      <c r="AP584" s="16" t="n"/>
      <c r="AQ584" s="138" t="n"/>
      <c r="AR584" s="16" t="n"/>
      <c r="AS584" s="138" t="n"/>
      <c r="AT584" s="16" t="n"/>
      <c r="AU584" s="138" t="n"/>
      <c r="AV584" s="16" t="n"/>
      <c r="AW584" s="138" t="n"/>
      <c r="AX584" s="16" t="n"/>
      <c r="AY584" s="138" t="n"/>
      <c r="AZ584" s="16">
        <f>AF584+AH584+AJ584+AL584+AN584+AP584+AR584+AT584+AV584+AX584</f>
        <v/>
      </c>
      <c r="BA584" s="16" t="n"/>
      <c r="BB584" s="139" t="n"/>
      <c r="BC584" s="16" t="n"/>
      <c r="BD584" s="139" t="n"/>
      <c r="BE584" s="16">
        <f>(BA584+BC584)</f>
        <v/>
      </c>
    </row>
    <row r="585" ht="22.5" customFormat="1" customHeight="1" s="8">
      <c r="A585" s="9" t="n">
        <v>999</v>
      </c>
      <c r="B585" s="141" t="inlineStr">
        <is>
          <t>CABLE</t>
        </is>
      </c>
      <c r="C585" s="137" t="inlineStr">
        <is>
          <t>DX3000</t>
        </is>
      </c>
      <c r="D585" s="62" t="inlineStr">
        <is>
          <t>FFC 10핀</t>
        </is>
      </c>
      <c r="E585" s="36" t="n"/>
      <c r="F585" s="21" t="n"/>
      <c r="G585" s="22" t="n"/>
      <c r="H585" s="22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40">
        <f>K585+V585-AE585-AZ585</f>
        <v/>
      </c>
      <c r="P585" s="12" t="n"/>
      <c r="Q585" s="138" t="n"/>
      <c r="R585" s="16" t="n"/>
      <c r="S585" s="139" t="n"/>
      <c r="T585" s="16" t="n"/>
      <c r="U585" s="139" t="n"/>
      <c r="V585" s="16">
        <f>P585+R585+T585</f>
        <v/>
      </c>
      <c r="W585" s="16" t="n"/>
      <c r="X585" s="139" t="n"/>
      <c r="Y585" s="16" t="n"/>
      <c r="Z585" s="139" t="n"/>
      <c r="AA585" s="16" t="n"/>
      <c r="AB585" s="139" t="n"/>
      <c r="AC585" s="16" t="n"/>
      <c r="AD585" s="139" t="n"/>
      <c r="AE585" s="16">
        <f>(W585+Y585+AA585+AC585)</f>
        <v/>
      </c>
      <c r="AF585" s="140" t="n"/>
      <c r="AG585" s="138" t="n"/>
      <c r="AH585" s="16" t="n"/>
      <c r="AI585" s="138" t="n"/>
      <c r="AJ585" s="16" t="n"/>
      <c r="AK585" s="138" t="n"/>
      <c r="AL585" s="16" t="n"/>
      <c r="AM585" s="138" t="n"/>
      <c r="AN585" s="16" t="n"/>
      <c r="AO585" s="138" t="n"/>
      <c r="AP585" s="16" t="n"/>
      <c r="AQ585" s="138" t="n"/>
      <c r="AR585" s="16" t="n"/>
      <c r="AS585" s="138" t="n"/>
      <c r="AT585" s="16" t="n"/>
      <c r="AU585" s="138" t="n"/>
      <c r="AV585" s="16" t="n"/>
      <c r="AW585" s="138" t="n"/>
      <c r="AX585" s="16" t="n"/>
      <c r="AY585" s="138" t="n"/>
      <c r="AZ585" s="16">
        <f>AF585+AH585+AJ585+AL585+AN585+AP585+AR585+AT585+AV585+AX585</f>
        <v/>
      </c>
      <c r="BA585" s="16" t="n"/>
      <c r="BB585" s="139" t="n"/>
      <c r="BC585" s="16" t="n"/>
      <c r="BD585" s="139" t="n"/>
      <c r="BE585" s="16">
        <f>(BA585+BC585)</f>
        <v/>
      </c>
    </row>
    <row r="586" ht="22.5" customFormat="1" customHeight="1" s="8">
      <c r="A586" s="9" t="n">
        <v>999</v>
      </c>
      <c r="B586" s="136" t="inlineStr">
        <is>
          <t>CABLE</t>
        </is>
      </c>
      <c r="C586" s="137" t="inlineStr">
        <is>
          <t>COCOON</t>
        </is>
      </c>
      <c r="D586" s="78" t="inlineStr">
        <is>
          <t>하네스 3-1번</t>
        </is>
      </c>
      <c r="E586" s="13" t="inlineStr">
        <is>
          <t>FFC CABLE 1mm*30P*200*A CTR BD*OP BD FFC CABLE (같은 방향) (구형, 신형)</t>
        </is>
      </c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40">
        <f>K586+V586-AE586-AZ586</f>
        <v/>
      </c>
      <c r="P586" s="12" t="n"/>
      <c r="Q586" s="138" t="n"/>
      <c r="R586" s="16" t="n"/>
      <c r="S586" s="139" t="n"/>
      <c r="T586" s="16" t="n"/>
      <c r="U586" s="139" t="n"/>
      <c r="V586" s="16">
        <f>P586+R586+T586</f>
        <v/>
      </c>
      <c r="W586" s="16" t="n"/>
      <c r="X586" s="139" t="n"/>
      <c r="Y586" s="16" t="n"/>
      <c r="Z586" s="139" t="n"/>
      <c r="AA586" s="16" t="n"/>
      <c r="AB586" s="139" t="n"/>
      <c r="AC586" s="16" t="n"/>
      <c r="AD586" s="139" t="n"/>
      <c r="AE586" s="16">
        <f>(W586+Y586+AA586+AC586)</f>
        <v/>
      </c>
      <c r="AF586" s="140" t="n"/>
      <c r="AG586" s="138" t="n"/>
      <c r="AH586" s="16" t="n"/>
      <c r="AI586" s="138" t="n"/>
      <c r="AJ586" s="16" t="n"/>
      <c r="AK586" s="138" t="n"/>
      <c r="AL586" s="16" t="n"/>
      <c r="AM586" s="138" t="n"/>
      <c r="AN586" s="16" t="n"/>
      <c r="AO586" s="138" t="n"/>
      <c r="AP586" s="16" t="n"/>
      <c r="AQ586" s="138" t="n"/>
      <c r="AR586" s="16" t="n"/>
      <c r="AS586" s="138" t="n"/>
      <c r="AT586" s="16" t="n"/>
      <c r="AU586" s="138" t="n"/>
      <c r="AV586" s="16" t="n"/>
      <c r="AW586" s="138" t="n"/>
      <c r="AX586" s="16" t="n"/>
      <c r="AY586" s="138" t="n"/>
      <c r="AZ586" s="16">
        <f>AF586+AH586+AJ586+AL586+AN586+AP586+AR586+AT586+AV586+AX586</f>
        <v/>
      </c>
      <c r="BA586" s="16" t="n"/>
      <c r="BB586" s="139" t="n"/>
      <c r="BC586" s="16" t="n"/>
      <c r="BD586" s="139" t="n"/>
      <c r="BE586" s="16">
        <f>(BA586+BC586)</f>
        <v/>
      </c>
    </row>
    <row r="587" ht="22.5" customFormat="1" customHeight="1" s="8">
      <c r="A587" s="9" t="n">
        <v>999</v>
      </c>
      <c r="B587" s="136" t="inlineStr">
        <is>
          <t>CABLE</t>
        </is>
      </c>
      <c r="C587" s="137" t="inlineStr">
        <is>
          <t>COCOON</t>
        </is>
      </c>
      <c r="D587" s="145" t="inlineStr">
        <is>
          <t>하네스 12번</t>
        </is>
      </c>
      <c r="E587" s="13" t="inlineStr">
        <is>
          <t>FLAT 30P 2.0mm, L=205mm, 1:1 CTR BD * OP BD 연결 30핀</t>
        </is>
      </c>
      <c r="F587" s="12" t="n"/>
      <c r="G587" s="9" t="n"/>
      <c r="H587" s="9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40">
        <f>K587+V587-AE587-AZ587</f>
        <v/>
      </c>
      <c r="P587" s="12" t="n"/>
      <c r="Q587" s="138" t="n"/>
      <c r="R587" s="16" t="n"/>
      <c r="S587" s="139" t="n"/>
      <c r="T587" s="16" t="n"/>
      <c r="U587" s="139" t="n"/>
      <c r="V587" s="16">
        <f>P587+R587+T587</f>
        <v/>
      </c>
      <c r="W587" s="16" t="n"/>
      <c r="X587" s="139" t="n"/>
      <c r="Y587" s="16" t="n"/>
      <c r="Z587" s="139" t="n"/>
      <c r="AA587" s="16" t="n"/>
      <c r="AB587" s="139" t="n"/>
      <c r="AC587" s="16" t="n"/>
      <c r="AD587" s="139" t="n"/>
      <c r="AE587" s="16">
        <f>(W587+Y587+AA587+AC587)</f>
        <v/>
      </c>
      <c r="AF587" s="140" t="n"/>
      <c r="AG587" s="138" t="n"/>
      <c r="AH587" s="16" t="n"/>
      <c r="AI587" s="138" t="n"/>
      <c r="AJ587" s="16" t="n"/>
      <c r="AK587" s="138" t="n"/>
      <c r="AL587" s="16" t="n"/>
      <c r="AM587" s="138" t="n"/>
      <c r="AN587" s="16" t="n"/>
      <c r="AO587" s="138" t="n"/>
      <c r="AP587" s="16" t="n"/>
      <c r="AQ587" s="138" t="n"/>
      <c r="AR587" s="16" t="n"/>
      <c r="AS587" s="138" t="n"/>
      <c r="AT587" s="16" t="n"/>
      <c r="AU587" s="138" t="n"/>
      <c r="AV587" s="16" t="n"/>
      <c r="AW587" s="138" t="n"/>
      <c r="AX587" s="16" t="n"/>
      <c r="AY587" s="138" t="n"/>
      <c r="AZ587" s="16">
        <f>AF587+AH587+AJ587+AL587+AN587+AP587+AR587+AT587+AV587+AX587</f>
        <v/>
      </c>
      <c r="BA587" s="16" t="n"/>
      <c r="BB587" s="139" t="n"/>
      <c r="BC587" s="16" t="n"/>
      <c r="BD587" s="139" t="n"/>
      <c r="BE587" s="16">
        <f>(BA587+BC587)</f>
        <v/>
      </c>
    </row>
    <row r="588" ht="22.5" customFormat="1" customHeight="1" s="8">
      <c r="A588" s="9" t="n">
        <v>999</v>
      </c>
      <c r="B588" s="136" t="inlineStr">
        <is>
          <t>CABLE</t>
        </is>
      </c>
      <c r="C588" s="137" t="inlineStr">
        <is>
          <t>COCOON</t>
        </is>
      </c>
      <c r="D588" s="145" t="inlineStr">
        <is>
          <t>하네스 7-1번</t>
        </is>
      </c>
      <c r="E588" s="13" t="inlineStr">
        <is>
          <t>12505HS-05 70mm OP BD+TOUCH BD 5핀</t>
        </is>
      </c>
      <c r="F588" s="12" t="n"/>
      <c r="G588" s="9" t="n"/>
      <c r="H588" s="9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40">
        <f>K588+V588-AE588-AZ588</f>
        <v/>
      </c>
      <c r="P588" s="12" t="n"/>
      <c r="Q588" s="138" t="n"/>
      <c r="R588" s="16" t="n"/>
      <c r="S588" s="139" t="n"/>
      <c r="T588" s="16" t="n"/>
      <c r="U588" s="139" t="n"/>
      <c r="V588" s="16">
        <f>P588+R588+T588</f>
        <v/>
      </c>
      <c r="W588" s="16" t="n"/>
      <c r="X588" s="139" t="n"/>
      <c r="Y588" s="16" t="n"/>
      <c r="Z588" s="139" t="n"/>
      <c r="AA588" s="16" t="n"/>
      <c r="AB588" s="139" t="n"/>
      <c r="AC588" s="16" t="n"/>
      <c r="AD588" s="139" t="n"/>
      <c r="AE588" s="16">
        <f>(W588+Y588+AA588+AC588)</f>
        <v/>
      </c>
      <c r="AF588" s="140" t="n"/>
      <c r="AG588" s="138" t="n"/>
      <c r="AH588" s="16" t="n"/>
      <c r="AI588" s="138" t="n"/>
      <c r="AJ588" s="16" t="n"/>
      <c r="AK588" s="138" t="n"/>
      <c r="AL588" s="16" t="n"/>
      <c r="AM588" s="138" t="n"/>
      <c r="AN588" s="16" t="n"/>
      <c r="AO588" s="138" t="n"/>
      <c r="AP588" s="16" t="n"/>
      <c r="AQ588" s="138" t="n"/>
      <c r="AR588" s="16" t="n"/>
      <c r="AS588" s="138" t="n"/>
      <c r="AT588" s="16" t="n"/>
      <c r="AU588" s="138" t="n"/>
      <c r="AV588" s="16" t="n"/>
      <c r="AW588" s="138" t="n"/>
      <c r="AX588" s="16" t="n"/>
      <c r="AY588" s="138" t="n"/>
      <c r="AZ588" s="16">
        <f>AF588+AH588+AJ588+AL588+AN588+AP588+AR588+AT588+AV588+AX588</f>
        <v/>
      </c>
      <c r="BA588" s="16" t="n"/>
      <c r="BB588" s="139" t="n"/>
      <c r="BC588" s="16" t="n"/>
      <c r="BD588" s="139" t="n"/>
      <c r="BE588" s="16">
        <f>(BA588+BC588)</f>
        <v/>
      </c>
    </row>
    <row r="589" ht="22.5" customFormat="1" customHeight="1" s="8">
      <c r="A589" s="9" t="n">
        <v>999</v>
      </c>
      <c r="B589" s="136" t="inlineStr">
        <is>
          <t>PCB</t>
        </is>
      </c>
      <c r="C589" s="137" t="inlineStr">
        <is>
          <t>COCOON</t>
        </is>
      </c>
      <c r="D589" s="145" t="inlineStr">
        <is>
          <t>POWER BD</t>
        </is>
      </c>
      <c r="E589" s="13" t="n"/>
      <c r="F589" s="12" t="n"/>
      <c r="G589" s="9" t="n"/>
      <c r="H589" s="9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40">
        <f>K589+V589-AE589-AZ589</f>
        <v/>
      </c>
      <c r="P589" s="12" t="n"/>
      <c r="Q589" s="138" t="n"/>
      <c r="R589" s="16" t="n"/>
      <c r="S589" s="139" t="n"/>
      <c r="T589" s="16" t="n"/>
      <c r="U589" s="139" t="n"/>
      <c r="V589" s="16">
        <f>P589+R589+T589</f>
        <v/>
      </c>
      <c r="W589" s="16" t="n"/>
      <c r="X589" s="139" t="n"/>
      <c r="Y589" s="16" t="n"/>
      <c r="Z589" s="139" t="n"/>
      <c r="AA589" s="16" t="n"/>
      <c r="AB589" s="139" t="n"/>
      <c r="AC589" s="16" t="n"/>
      <c r="AD589" s="139" t="n"/>
      <c r="AE589" s="16">
        <f>(W589+Y589+AA589+AC589)</f>
        <v/>
      </c>
      <c r="AF589" s="140" t="n"/>
      <c r="AG589" s="138" t="n"/>
      <c r="AH589" s="16" t="n"/>
      <c r="AI589" s="138" t="n"/>
      <c r="AJ589" s="16" t="n"/>
      <c r="AK589" s="138" t="n"/>
      <c r="AL589" s="16" t="n"/>
      <c r="AM589" s="138" t="n"/>
      <c r="AN589" s="16" t="n"/>
      <c r="AO589" s="138" t="n"/>
      <c r="AP589" s="16" t="n"/>
      <c r="AQ589" s="138" t="n"/>
      <c r="AR589" s="16" t="n"/>
      <c r="AS589" s="138" t="n"/>
      <c r="AT589" s="16" t="n"/>
      <c r="AU589" s="138" t="n"/>
      <c r="AV589" s="16" t="n"/>
      <c r="AW589" s="138" t="n"/>
      <c r="AX589" s="16" t="n"/>
      <c r="AY589" s="138" t="n"/>
      <c r="AZ589" s="16">
        <f>AF589+AH589+AJ589+AL589+AN589+AP589+AR589+AT589+AV589+AX589</f>
        <v/>
      </c>
      <c r="BA589" s="16" t="n"/>
      <c r="BB589" s="139" t="n"/>
      <c r="BC589" s="16" t="n"/>
      <c r="BD589" s="139" t="n"/>
      <c r="BE589" s="16">
        <f>(BA589+BC589)</f>
        <v/>
      </c>
    </row>
    <row r="590" ht="22.5" customFormat="1" customHeight="1" s="8">
      <c r="A590" s="9" t="n"/>
      <c r="B590" s="141" t="inlineStr">
        <is>
          <t>PCB</t>
        </is>
      </c>
      <c r="C590" s="137" t="inlineStr">
        <is>
          <t>ADX6000</t>
        </is>
      </c>
      <c r="D590" s="62" t="inlineStr">
        <is>
          <t>CTR B/D</t>
        </is>
      </c>
      <c r="E590" s="36" t="n"/>
      <c r="F590" s="100" t="n"/>
      <c r="G590" s="22" t="n"/>
      <c r="H590" s="22" t="inlineStr">
        <is>
          <t>HLP</t>
        </is>
      </c>
      <c r="I590" s="14" t="n"/>
      <c r="J590" s="14" t="n"/>
      <c r="K590" s="12" t="n">
        <v>0</v>
      </c>
      <c r="L590" s="9" t="n"/>
      <c r="M590" s="9" t="n"/>
      <c r="N590" s="9" t="n"/>
      <c r="O590" s="40">
        <f>K590+V590-AE590-AZ590</f>
        <v/>
      </c>
      <c r="P590" s="12" t="n"/>
      <c r="Q590" s="138" t="n"/>
      <c r="R590" s="16" t="n"/>
      <c r="S590" s="139" t="n"/>
      <c r="T590" s="16" t="n"/>
      <c r="U590" s="139" t="n"/>
      <c r="V590" s="16">
        <f>P590+R590+T590</f>
        <v/>
      </c>
      <c r="W590" s="16" t="n"/>
      <c r="X590" s="139" t="n"/>
      <c r="Y590" s="16" t="n"/>
      <c r="Z590" s="139" t="n"/>
      <c r="AA590" s="16" t="n"/>
      <c r="AB590" s="139" t="n"/>
      <c r="AC590" s="16" t="n"/>
      <c r="AD590" s="139" t="n"/>
      <c r="AE590" s="16">
        <f>(W590+Y590+AA590+AC590)</f>
        <v/>
      </c>
      <c r="AF590" s="140" t="n"/>
      <c r="AG590" s="138" t="n"/>
      <c r="AH590" s="16" t="n"/>
      <c r="AI590" s="138" t="n"/>
      <c r="AJ590" s="16" t="n"/>
      <c r="AK590" s="138" t="n"/>
      <c r="AL590" s="16" t="n"/>
      <c r="AM590" s="138" t="n"/>
      <c r="AN590" s="16" t="n"/>
      <c r="AO590" s="138" t="n"/>
      <c r="AP590" s="16" t="n"/>
      <c r="AQ590" s="138" t="n"/>
      <c r="AR590" s="16" t="n"/>
      <c r="AS590" s="138" t="n"/>
      <c r="AT590" s="16" t="n"/>
      <c r="AU590" s="138" t="n"/>
      <c r="AV590" s="16" t="n"/>
      <c r="AW590" s="138" t="n"/>
      <c r="AX590" s="16" t="n"/>
      <c r="AY590" s="138" t="n"/>
      <c r="AZ590" s="16">
        <f>AF590+AH590+AJ590+AL590+AN590+AP590+AR590+AT590+AV590+AX590</f>
        <v/>
      </c>
      <c r="BA590" s="16" t="n"/>
      <c r="BB590" s="139" t="n"/>
      <c r="BC590" s="16" t="n"/>
      <c r="BD590" s="139" t="n"/>
      <c r="BE590" s="16">
        <f>(BA590+BC590)</f>
        <v/>
      </c>
    </row>
    <row r="591" ht="22.5" customFormat="1" customHeight="1" s="8">
      <c r="A591" s="9" t="n"/>
      <c r="B591" s="141" t="inlineStr">
        <is>
          <t>PCB</t>
        </is>
      </c>
      <c r="C591" s="137" t="inlineStr">
        <is>
          <t>ADX6000</t>
        </is>
      </c>
      <c r="D591" s="71" t="inlineStr">
        <is>
          <t>INNER USB B/D</t>
        </is>
      </c>
      <c r="E591" s="36" t="n"/>
      <c r="F591" s="100" t="n"/>
      <c r="G591" s="22" t="n"/>
      <c r="H591" s="22" t="inlineStr">
        <is>
          <t>HLP</t>
        </is>
      </c>
      <c r="I591" s="14" t="n"/>
      <c r="J591" s="14" t="n"/>
      <c r="K591" s="12" t="n">
        <v>0</v>
      </c>
      <c r="L591" s="9" t="n"/>
      <c r="M591" s="9" t="n"/>
      <c r="N591" s="9" t="n"/>
      <c r="O591" s="40">
        <f>K591+V591-AE591-AZ591</f>
        <v/>
      </c>
      <c r="P591" s="12" t="n"/>
      <c r="Q591" s="138" t="n"/>
      <c r="R591" s="16" t="n"/>
      <c r="S591" s="139" t="n"/>
      <c r="T591" s="16" t="n"/>
      <c r="U591" s="139" t="n"/>
      <c r="V591" s="16">
        <f>P591+R591+T591</f>
        <v/>
      </c>
      <c r="W591" s="16" t="n"/>
      <c r="X591" s="139" t="n"/>
      <c r="Y591" s="16" t="n"/>
      <c r="Z591" s="139" t="n"/>
      <c r="AA591" s="16" t="n"/>
      <c r="AB591" s="139" t="n"/>
      <c r="AC591" s="16" t="n"/>
      <c r="AD591" s="139" t="n"/>
      <c r="AE591" s="16">
        <f>(W591+Y591+AA591+AC591)</f>
        <v/>
      </c>
      <c r="AF591" s="140" t="n"/>
      <c r="AG591" s="138" t="n"/>
      <c r="AH591" s="16" t="n"/>
      <c r="AI591" s="138" t="n"/>
      <c r="AJ591" s="16" t="n"/>
      <c r="AK591" s="138" t="n"/>
      <c r="AL591" s="16" t="n"/>
      <c r="AM591" s="138" t="n"/>
      <c r="AN591" s="16" t="n"/>
      <c r="AO591" s="138" t="n"/>
      <c r="AP591" s="16" t="n"/>
      <c r="AQ591" s="138" t="n"/>
      <c r="AR591" s="16" t="n"/>
      <c r="AS591" s="138" t="n"/>
      <c r="AT591" s="16" t="n"/>
      <c r="AU591" s="138" t="n"/>
      <c r="AV591" s="16" t="n"/>
      <c r="AW591" s="138" t="n"/>
      <c r="AX591" s="16" t="n"/>
      <c r="AY591" s="138" t="n"/>
      <c r="AZ591" s="16">
        <f>AF591+AH591+AJ591+AL591+AN591+AP591+AR591+AT591+AV591+AX591</f>
        <v/>
      </c>
      <c r="BA591" s="16" t="n"/>
      <c r="BB591" s="139" t="n"/>
      <c r="BC591" s="16" t="n"/>
      <c r="BD591" s="139" t="n"/>
      <c r="BE591" s="16">
        <f>(BA591+BC591)</f>
        <v/>
      </c>
    </row>
    <row r="592" ht="22.5" customFormat="1" customHeight="1" s="8">
      <c r="A592" s="9" t="n"/>
      <c r="B592" s="136" t="inlineStr">
        <is>
          <t>PCB</t>
        </is>
      </c>
      <c r="C592" s="137" t="inlineStr">
        <is>
          <t>ADX6000</t>
        </is>
      </c>
      <c r="D592" s="84" t="inlineStr">
        <is>
          <t>LCD B/D</t>
        </is>
      </c>
      <c r="E592" s="13" t="n"/>
      <c r="F592" s="100" t="n"/>
      <c r="G592" s="9" t="n"/>
      <c r="H592" s="9" t="inlineStr">
        <is>
          <t>HLP</t>
        </is>
      </c>
      <c r="I592" s="14" t="n"/>
      <c r="J592" s="14" t="n"/>
      <c r="K592" s="12" t="n">
        <v>0</v>
      </c>
      <c r="L592" s="9" t="n"/>
      <c r="M592" s="9" t="n"/>
      <c r="N592" s="9" t="n"/>
      <c r="O592" s="40">
        <f>K592+V592-AE592-AZ592</f>
        <v/>
      </c>
      <c r="P592" s="12" t="n"/>
      <c r="Q592" s="138" t="n"/>
      <c r="R592" s="16" t="n"/>
      <c r="S592" s="139" t="n"/>
      <c r="T592" s="16" t="n"/>
      <c r="U592" s="139" t="n"/>
      <c r="V592" s="16">
        <f>P592+R592+T592</f>
        <v/>
      </c>
      <c r="W592" s="16" t="n"/>
      <c r="X592" s="139" t="n"/>
      <c r="Y592" s="16" t="n"/>
      <c r="Z592" s="139" t="n"/>
      <c r="AA592" s="16" t="n"/>
      <c r="AB592" s="139" t="n"/>
      <c r="AC592" s="16" t="n"/>
      <c r="AD592" s="139" t="n"/>
      <c r="AE592" s="16">
        <f>(W592+Y592+AA592+AC592)</f>
        <v/>
      </c>
      <c r="AF592" s="140" t="n"/>
      <c r="AG592" s="138" t="n"/>
      <c r="AH592" s="16" t="n"/>
      <c r="AI592" s="138" t="n"/>
      <c r="AJ592" s="16" t="n"/>
      <c r="AK592" s="138" t="n"/>
      <c r="AL592" s="16" t="n"/>
      <c r="AM592" s="138" t="n"/>
      <c r="AN592" s="16" t="n"/>
      <c r="AO592" s="138" t="n"/>
      <c r="AP592" s="16" t="n"/>
      <c r="AQ592" s="138" t="n"/>
      <c r="AR592" s="16" t="n"/>
      <c r="AS592" s="138" t="n"/>
      <c r="AT592" s="16" t="n"/>
      <c r="AU592" s="138" t="n"/>
      <c r="AV592" s="16" t="n"/>
      <c r="AW592" s="138" t="n"/>
      <c r="AX592" s="16" t="n"/>
      <c r="AY592" s="138" t="n"/>
      <c r="AZ592" s="16">
        <f>AF592+AH592+AJ592+AL592+AN592+AP592+AR592+AT592+AV592+AX592</f>
        <v/>
      </c>
      <c r="BA592" s="16" t="n"/>
      <c r="BB592" s="139" t="n"/>
      <c r="BC592" s="16" t="n"/>
      <c r="BD592" s="139" t="n"/>
      <c r="BE592" s="16">
        <f>(BA592+BC592)</f>
        <v/>
      </c>
    </row>
    <row r="593" ht="22.5" customFormat="1" customHeight="1" s="8">
      <c r="A593" s="9" t="n"/>
      <c r="B593" s="136" t="inlineStr">
        <is>
          <t>PCB</t>
        </is>
      </c>
      <c r="C593" s="137" t="inlineStr">
        <is>
          <t>ADX6000</t>
        </is>
      </c>
      <c r="D593" s="65" t="inlineStr">
        <is>
          <t>Carrier B/D (구형 KONTRON)</t>
        </is>
      </c>
      <c r="E593" s="13" t="n"/>
      <c r="F593" s="100" t="n"/>
      <c r="G593" s="9" t="n"/>
      <c r="H593" s="9" t="inlineStr">
        <is>
          <t>비씨엠테크</t>
        </is>
      </c>
      <c r="I593" s="14" t="n"/>
      <c r="J593" s="14" t="n"/>
      <c r="K593" s="12" t="n">
        <v>0</v>
      </c>
      <c r="L593" s="9" t="n"/>
      <c r="M593" s="9" t="n"/>
      <c r="N593" s="9" t="n"/>
      <c r="O593" s="40">
        <f>K593+V593-AE593-AZ593</f>
        <v/>
      </c>
      <c r="P593" s="12" t="n"/>
      <c r="Q593" s="138" t="n"/>
      <c r="R593" s="16" t="n"/>
      <c r="S593" s="139" t="n"/>
      <c r="T593" s="16" t="n"/>
      <c r="U593" s="139" t="n"/>
      <c r="V593" s="16">
        <f>P593+R593+T593</f>
        <v/>
      </c>
      <c r="W593" s="16" t="n"/>
      <c r="X593" s="139" t="n"/>
      <c r="Y593" s="16" t="n"/>
      <c r="Z593" s="139" t="n"/>
      <c r="AA593" s="16" t="n"/>
      <c r="AB593" s="139" t="n"/>
      <c r="AC593" s="16" t="n"/>
      <c r="AD593" s="139" t="n"/>
      <c r="AE593" s="16">
        <f>(W593+Y593+AA593+AC593)</f>
        <v/>
      </c>
      <c r="AF593" s="140" t="n"/>
      <c r="AG593" s="138" t="n"/>
      <c r="AH593" s="16" t="n"/>
      <c r="AI593" s="138" t="n"/>
      <c r="AJ593" s="16" t="n"/>
      <c r="AK593" s="138" t="n"/>
      <c r="AL593" s="16" t="n"/>
      <c r="AM593" s="138" t="n"/>
      <c r="AN593" s="16" t="n"/>
      <c r="AO593" s="138" t="n"/>
      <c r="AP593" s="16" t="n"/>
      <c r="AQ593" s="138" t="n"/>
      <c r="AR593" s="16" t="n"/>
      <c r="AS593" s="138" t="n"/>
      <c r="AT593" s="16" t="n"/>
      <c r="AU593" s="138" t="n"/>
      <c r="AV593" s="16" t="n"/>
      <c r="AW593" s="138" t="n"/>
      <c r="AX593" s="16" t="n"/>
      <c r="AY593" s="138" t="n"/>
      <c r="AZ593" s="16">
        <f>AF593+AH593+AJ593+AL593+AN593+AP593+AR593+AT593+AV593+AX593</f>
        <v/>
      </c>
      <c r="BA593" s="16" t="n"/>
      <c r="BB593" s="139" t="n"/>
      <c r="BC593" s="16" t="n"/>
      <c r="BD593" s="139" t="n"/>
      <c r="BE593" s="16">
        <f>(BA593+BC593)</f>
        <v/>
      </c>
    </row>
    <row r="594" ht="22.5" customFormat="1" customHeight="1" s="8">
      <c r="A594" s="9" t="n"/>
      <c r="B594" s="136" t="inlineStr">
        <is>
          <t>PCB</t>
        </is>
      </c>
      <c r="C594" s="137" t="inlineStr">
        <is>
          <t>ADX6000</t>
        </is>
      </c>
      <c r="D594" s="84" t="inlineStr">
        <is>
          <t>Carrier B/D (신형 DFI)</t>
        </is>
      </c>
      <c r="E594" s="13" t="n"/>
      <c r="F594" s="100" t="n"/>
      <c r="G594" s="9" t="n"/>
      <c r="H594" s="9" t="inlineStr">
        <is>
          <t>비씨엠테크</t>
        </is>
      </c>
      <c r="I594" s="14" t="n"/>
      <c r="J594" s="14" t="n"/>
      <c r="K594" s="12" t="n">
        <v>0</v>
      </c>
      <c r="L594" s="9" t="n"/>
      <c r="M594" s="9" t="n"/>
      <c r="N594" s="9" t="n"/>
      <c r="O594" s="40">
        <f>K594+V594-AE594-AZ594</f>
        <v/>
      </c>
      <c r="P594" s="12" t="n"/>
      <c r="Q594" s="138" t="n"/>
      <c r="R594" s="16" t="n"/>
      <c r="S594" s="139" t="n"/>
      <c r="T594" s="16" t="n"/>
      <c r="U594" s="139" t="n"/>
      <c r="V594" s="16">
        <f>P594+R594+T594</f>
        <v/>
      </c>
      <c r="W594" s="16" t="n"/>
      <c r="X594" s="139" t="n"/>
      <c r="Y594" s="16" t="n"/>
      <c r="Z594" s="139" t="n"/>
      <c r="AA594" s="16" t="n"/>
      <c r="AB594" s="139" t="n"/>
      <c r="AC594" s="16" t="n"/>
      <c r="AD594" s="139" t="n"/>
      <c r="AE594" s="16">
        <f>(W594+Y594+AA594+AC594)</f>
        <v/>
      </c>
      <c r="AF594" s="140" t="n"/>
      <c r="AG594" s="138" t="n"/>
      <c r="AH594" s="16" t="n"/>
      <c r="AI594" s="138" t="n"/>
      <c r="AJ594" s="16" t="n"/>
      <c r="AK594" s="138" t="n"/>
      <c r="AL594" s="16" t="n"/>
      <c r="AM594" s="138" t="n"/>
      <c r="AN594" s="16" t="n"/>
      <c r="AO594" s="138" t="n"/>
      <c r="AP594" s="16" t="n"/>
      <c r="AQ594" s="138" t="n"/>
      <c r="AR594" s="16" t="n"/>
      <c r="AS594" s="138" t="n"/>
      <c r="AT594" s="16" t="n"/>
      <c r="AU594" s="138" t="n"/>
      <c r="AV594" s="16" t="n"/>
      <c r="AW594" s="138" t="n"/>
      <c r="AX594" s="16" t="n"/>
      <c r="AY594" s="138" t="n"/>
      <c r="AZ594" s="16">
        <f>AF594+AH594+AJ594+AL594+AN594+AP594+AR594+AT594+AV594+AX594</f>
        <v/>
      </c>
      <c r="BA594" s="16" t="n"/>
      <c r="BB594" s="139" t="n"/>
      <c r="BC594" s="16" t="n"/>
      <c r="BD594" s="139" t="n"/>
      <c r="BE594" s="16">
        <f>(BA594+BC594)</f>
        <v/>
      </c>
    </row>
    <row r="595" ht="22.5" customFormat="1" customHeight="1" s="8">
      <c r="A595" s="9" t="n"/>
      <c r="B595" s="136" t="inlineStr">
        <is>
          <t>PCB</t>
        </is>
      </c>
      <c r="C595" s="137" t="inlineStr">
        <is>
          <t>ADX6000S</t>
        </is>
      </c>
      <c r="D595" s="88" t="inlineStr">
        <is>
          <t>ETC CARRIER BD</t>
        </is>
      </c>
      <c r="E595" s="13" t="n"/>
      <c r="F595" s="100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40">
        <f>K595+V595-AE595-AZ595</f>
        <v/>
      </c>
      <c r="P595" s="12" t="n"/>
      <c r="Q595" s="138" t="n"/>
      <c r="R595" s="16" t="n"/>
      <c r="S595" s="139" t="n"/>
      <c r="T595" s="16" t="n"/>
      <c r="U595" s="139" t="n"/>
      <c r="V595" s="16">
        <f>P595+R595+T595</f>
        <v/>
      </c>
      <c r="W595" s="16" t="n"/>
      <c r="X595" s="139" t="n"/>
      <c r="Y595" s="16" t="n"/>
      <c r="Z595" s="139" t="n"/>
      <c r="AA595" s="16" t="n"/>
      <c r="AB595" s="139" t="n"/>
      <c r="AC595" s="16" t="n"/>
      <c r="AD595" s="139" t="n"/>
      <c r="AE595" s="16">
        <f>(W595+Y595+AA595+AC595)</f>
        <v/>
      </c>
      <c r="AF595" s="140" t="n"/>
      <c r="AG595" s="138" t="n"/>
      <c r="AH595" s="16" t="n"/>
      <c r="AI595" s="138" t="n"/>
      <c r="AJ595" s="16" t="n"/>
      <c r="AK595" s="138" t="n"/>
      <c r="AL595" s="16" t="n"/>
      <c r="AM595" s="138" t="n"/>
      <c r="AN595" s="16" t="n"/>
      <c r="AO595" s="138" t="n"/>
      <c r="AP595" s="16" t="n"/>
      <c r="AQ595" s="138" t="n"/>
      <c r="AR595" s="16" t="n"/>
      <c r="AS595" s="138" t="n"/>
      <c r="AT595" s="16" t="n"/>
      <c r="AU595" s="138" t="n"/>
      <c r="AV595" s="16" t="n"/>
      <c r="AW595" s="138" t="n"/>
      <c r="AX595" s="16" t="n"/>
      <c r="AY595" s="138" t="n"/>
      <c r="AZ595" s="16">
        <f>AF595+AH595+AJ595+AL595+AN595+AP595+AR595+AT595+AV595+AX595</f>
        <v/>
      </c>
      <c r="BA595" s="16" t="n"/>
      <c r="BB595" s="139" t="n"/>
      <c r="BC595" s="16" t="n"/>
      <c r="BD595" s="139" t="n"/>
      <c r="BE595" s="16">
        <f>(BA595+BC595)</f>
        <v/>
      </c>
    </row>
    <row r="596" ht="22.5" customFormat="1" customHeight="1" s="8">
      <c r="A596" s="9" t="n"/>
      <c r="B596" s="136" t="inlineStr">
        <is>
          <t>PCB</t>
        </is>
      </c>
      <c r="C596" s="137" t="inlineStr">
        <is>
          <t>ADX6000S</t>
        </is>
      </c>
      <c r="D596" s="88" t="inlineStr">
        <is>
          <t>ETC CARRIER MINI BD</t>
        </is>
      </c>
      <c r="E596" s="13" t="n"/>
      <c r="F596" s="100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40">
        <f>K596+V596-AE596-AZ596</f>
        <v/>
      </c>
      <c r="P596" s="12" t="n"/>
      <c r="Q596" s="138" t="n"/>
      <c r="R596" s="16" t="n"/>
      <c r="S596" s="139" t="n"/>
      <c r="T596" s="16" t="n"/>
      <c r="U596" s="139" t="n"/>
      <c r="V596" s="16">
        <f>P596+R596+T596</f>
        <v/>
      </c>
      <c r="W596" s="16" t="n"/>
      <c r="X596" s="139" t="n"/>
      <c r="Y596" s="16" t="n"/>
      <c r="Z596" s="139" t="n"/>
      <c r="AA596" s="16" t="n"/>
      <c r="AB596" s="139" t="n"/>
      <c r="AC596" s="16" t="n"/>
      <c r="AD596" s="139" t="n"/>
      <c r="AE596" s="16">
        <f>(W596+Y596+AA596+AC596)</f>
        <v/>
      </c>
      <c r="AF596" s="140" t="n"/>
      <c r="AG596" s="138" t="n"/>
      <c r="AH596" s="16" t="n"/>
      <c r="AI596" s="138" t="n"/>
      <c r="AJ596" s="16" t="n"/>
      <c r="AK596" s="138" t="n"/>
      <c r="AL596" s="16" t="n"/>
      <c r="AM596" s="138" t="n"/>
      <c r="AN596" s="16" t="n"/>
      <c r="AO596" s="138" t="n"/>
      <c r="AP596" s="16" t="n"/>
      <c r="AQ596" s="138" t="n"/>
      <c r="AR596" s="16" t="n"/>
      <c r="AS596" s="138" t="n"/>
      <c r="AT596" s="16" t="n"/>
      <c r="AU596" s="138" t="n"/>
      <c r="AV596" s="16" t="n"/>
      <c r="AW596" s="138" t="n"/>
      <c r="AX596" s="16" t="n"/>
      <c r="AY596" s="138" t="n"/>
      <c r="AZ596" s="16">
        <f>AF596+AH596+AJ596+AL596+AN596+AP596+AR596+AT596+AV596+AX596</f>
        <v/>
      </c>
      <c r="BA596" s="16" t="n"/>
      <c r="BB596" s="139" t="n"/>
      <c r="BC596" s="16" t="n"/>
      <c r="BD596" s="139" t="n"/>
      <c r="BE596" s="16">
        <f>(BA596+BC596)</f>
        <v/>
      </c>
    </row>
    <row r="597" ht="22.5" customFormat="1" customHeight="1" s="8">
      <c r="A597" s="9" t="n"/>
      <c r="B597" s="136" t="inlineStr">
        <is>
          <t>PCB</t>
        </is>
      </c>
      <c r="C597" s="137" t="inlineStr">
        <is>
          <t>ADX6000</t>
        </is>
      </c>
      <c r="D597" s="88" t="inlineStr">
        <is>
          <t>Front Micro B/D</t>
        </is>
      </c>
      <c r="E597" s="13" t="n"/>
      <c r="F597" s="100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40">
        <f>K597+V597-AE597-AZ597</f>
        <v/>
      </c>
      <c r="P597" s="12" t="n"/>
      <c r="Q597" s="138" t="n"/>
      <c r="R597" s="16" t="n"/>
      <c r="S597" s="139" t="n"/>
      <c r="T597" s="16" t="n"/>
      <c r="U597" s="139" t="n"/>
      <c r="V597" s="16">
        <f>P597+R597+T597</f>
        <v/>
      </c>
      <c r="W597" s="16" t="n"/>
      <c r="X597" s="139" t="n"/>
      <c r="Y597" s="16" t="n"/>
      <c r="Z597" s="139" t="n"/>
      <c r="AA597" s="16" t="n"/>
      <c r="AB597" s="139" t="n"/>
      <c r="AC597" s="16" t="n"/>
      <c r="AD597" s="139" t="n"/>
      <c r="AE597" s="16">
        <f>(W597+Y597+AA597+AC597)</f>
        <v/>
      </c>
      <c r="AF597" s="140" t="n"/>
      <c r="AG597" s="138" t="n"/>
      <c r="AH597" s="16" t="n"/>
      <c r="AI597" s="138" t="n"/>
      <c r="AJ597" s="16" t="n"/>
      <c r="AK597" s="138" t="n"/>
      <c r="AL597" s="16" t="n"/>
      <c r="AM597" s="138" t="n"/>
      <c r="AN597" s="16" t="n"/>
      <c r="AO597" s="138" t="n"/>
      <c r="AP597" s="16" t="n"/>
      <c r="AQ597" s="138" t="n"/>
      <c r="AR597" s="16" t="n"/>
      <c r="AS597" s="138" t="n"/>
      <c r="AT597" s="16" t="n"/>
      <c r="AU597" s="138" t="n"/>
      <c r="AV597" s="16" t="n"/>
      <c r="AW597" s="138" t="n"/>
      <c r="AX597" s="16" t="n"/>
      <c r="AY597" s="138" t="n"/>
      <c r="AZ597" s="16">
        <f>AF597+AH597+AJ597+AL597+AN597+AP597+AR597+AT597+AV597+AX597</f>
        <v/>
      </c>
      <c r="BA597" s="16" t="n"/>
      <c r="BB597" s="139" t="n"/>
      <c r="BC597" s="16" t="n"/>
      <c r="BD597" s="139" t="n"/>
      <c r="BE597" s="16">
        <f>(BA597+BC597)</f>
        <v/>
      </c>
    </row>
    <row r="598" ht="22.5" customFormat="1" customHeight="1" s="8">
      <c r="A598" s="9" t="n"/>
      <c r="B598" s="136" t="inlineStr">
        <is>
          <t>PCB</t>
        </is>
      </c>
      <c r="C598" s="137" t="inlineStr">
        <is>
          <t>ADX6000</t>
        </is>
      </c>
      <c r="D598" s="88" t="inlineStr">
        <is>
          <t>Front Connector B/D</t>
        </is>
      </c>
      <c r="E598" s="13" t="n"/>
      <c r="F598" s="100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40">
        <f>K598+V598-AE598-AZ598</f>
        <v/>
      </c>
      <c r="P598" s="12" t="n"/>
      <c r="Q598" s="138" t="n"/>
      <c r="R598" s="16" t="n"/>
      <c r="S598" s="139" t="n"/>
      <c r="T598" s="16" t="n"/>
      <c r="U598" s="139" t="n"/>
      <c r="V598" s="16">
        <f>P598+R598+T598</f>
        <v/>
      </c>
      <c r="W598" s="16" t="n"/>
      <c r="X598" s="139" t="n"/>
      <c r="Y598" s="16" t="n"/>
      <c r="Z598" s="139" t="n"/>
      <c r="AA598" s="16" t="n"/>
      <c r="AB598" s="139" t="n"/>
      <c r="AC598" s="16" t="n"/>
      <c r="AD598" s="139" t="n"/>
      <c r="AE598" s="16">
        <f>(W598+Y598+AA598+AC598)</f>
        <v/>
      </c>
      <c r="AF598" s="140" t="n"/>
      <c r="AG598" s="138" t="n"/>
      <c r="AH598" s="16" t="n"/>
      <c r="AI598" s="138" t="n"/>
      <c r="AJ598" s="16" t="n"/>
      <c r="AK598" s="138" t="n"/>
      <c r="AL598" s="16" t="n"/>
      <c r="AM598" s="138" t="n"/>
      <c r="AN598" s="16" t="n"/>
      <c r="AO598" s="138" t="n"/>
      <c r="AP598" s="16" t="n"/>
      <c r="AQ598" s="138" t="n"/>
      <c r="AR598" s="16" t="n"/>
      <c r="AS598" s="138" t="n"/>
      <c r="AT598" s="16" t="n"/>
      <c r="AU598" s="138" t="n"/>
      <c r="AV598" s="16" t="n"/>
      <c r="AW598" s="138" t="n"/>
      <c r="AX598" s="16" t="n"/>
      <c r="AY598" s="138" t="n"/>
      <c r="AZ598" s="16">
        <f>AF598+AH598+AJ598+AL598+AN598+AP598+AR598+AT598+AV598+AX598</f>
        <v/>
      </c>
      <c r="BA598" s="16" t="n"/>
      <c r="BB598" s="139" t="n"/>
      <c r="BC598" s="16" t="n"/>
      <c r="BD598" s="139" t="n"/>
      <c r="BE598" s="16">
        <f>(BA598+BC598)</f>
        <v/>
      </c>
    </row>
    <row r="599" ht="22.5" customFormat="1" customHeight="1" s="8">
      <c r="A599" s="9" t="n"/>
      <c r="B599" s="136" t="inlineStr">
        <is>
          <t>PCB</t>
        </is>
      </c>
      <c r="C599" s="137" t="inlineStr">
        <is>
          <t>ADX6000S</t>
        </is>
      </c>
      <c r="D599" s="88" t="inlineStr">
        <is>
          <t xml:space="preserve">ETC FRONT BD </t>
        </is>
      </c>
      <c r="E599" s="13" t="n"/>
      <c r="F599" s="100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40">
        <f>K599+V599-AE599-AZ599</f>
        <v/>
      </c>
      <c r="P599" s="12" t="n"/>
      <c r="Q599" s="138" t="n"/>
      <c r="R599" s="16" t="n"/>
      <c r="S599" s="139" t="n"/>
      <c r="T599" s="16" t="n"/>
      <c r="U599" s="139" t="n"/>
      <c r="V599" s="16">
        <f>P599+R599+T599</f>
        <v/>
      </c>
      <c r="W599" s="16" t="n"/>
      <c r="X599" s="139" t="n"/>
      <c r="Y599" s="16" t="n"/>
      <c r="Z599" s="139" t="n"/>
      <c r="AA599" s="16" t="n"/>
      <c r="AB599" s="139" t="n"/>
      <c r="AC599" s="16" t="n"/>
      <c r="AD599" s="139" t="n"/>
      <c r="AE599" s="16">
        <f>(W599+Y599+AA599+AC599)</f>
        <v/>
      </c>
      <c r="AF599" s="140" t="n"/>
      <c r="AG599" s="138" t="n"/>
      <c r="AH599" s="16" t="n"/>
      <c r="AI599" s="138" t="n"/>
      <c r="AJ599" s="16" t="n"/>
      <c r="AK599" s="138" t="n"/>
      <c r="AL599" s="16" t="n"/>
      <c r="AM599" s="138" t="n"/>
      <c r="AN599" s="16" t="n"/>
      <c r="AO599" s="138" t="n"/>
      <c r="AP599" s="16" t="n"/>
      <c r="AQ599" s="138" t="n"/>
      <c r="AR599" s="16" t="n"/>
      <c r="AS599" s="138" t="n"/>
      <c r="AT599" s="16" t="n"/>
      <c r="AU599" s="138" t="n"/>
      <c r="AV599" s="16" t="n"/>
      <c r="AW599" s="138" t="n"/>
      <c r="AX599" s="16" t="n"/>
      <c r="AY599" s="138" t="n"/>
      <c r="AZ599" s="16">
        <f>AF599+AH599+AJ599+AL599+AN599+AP599+AR599+AT599+AV599+AX599</f>
        <v/>
      </c>
      <c r="BA599" s="16" t="n"/>
      <c r="BB599" s="139" t="n"/>
      <c r="BC599" s="16" t="n"/>
      <c r="BD599" s="139" t="n"/>
      <c r="BE599" s="16">
        <f>(BA599+BC599)</f>
        <v/>
      </c>
    </row>
    <row r="600" ht="22.5" customFormat="1" customHeight="1" s="8">
      <c r="A600" s="9" t="n"/>
      <c r="B600" s="136" t="inlineStr">
        <is>
          <t>PCB</t>
        </is>
      </c>
      <c r="C600" s="137" t="inlineStr">
        <is>
          <t>ADX6000S</t>
        </is>
      </c>
      <c r="D600" s="84" t="inlineStr">
        <is>
          <t>ETC FRONT BD</t>
        </is>
      </c>
      <c r="E600" s="13" t="inlineStr">
        <is>
          <t>리모콘 포트 수정 신형</t>
        </is>
      </c>
      <c r="F600" s="100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40">
        <f>K600+V600-AE600-AZ600</f>
        <v/>
      </c>
      <c r="P600" s="12" t="n"/>
      <c r="Q600" s="138" t="n"/>
      <c r="R600" s="16" t="n"/>
      <c r="S600" s="139" t="n"/>
      <c r="T600" s="16" t="n"/>
      <c r="U600" s="139" t="n"/>
      <c r="V600" s="16">
        <f>P600+R600+T600</f>
        <v/>
      </c>
      <c r="W600" s="16" t="n"/>
      <c r="X600" s="139" t="n"/>
      <c r="Y600" s="16" t="n"/>
      <c r="Z600" s="139" t="n"/>
      <c r="AA600" s="16" t="n"/>
      <c r="AB600" s="139" t="n"/>
      <c r="AC600" s="16" t="n"/>
      <c r="AD600" s="139" t="n"/>
      <c r="AE600" s="16">
        <f>(W600+Y600+AA600+AC600)</f>
        <v/>
      </c>
      <c r="AF600" s="140" t="n"/>
      <c r="AG600" s="138" t="n"/>
      <c r="AH600" s="16" t="n"/>
      <c r="AI600" s="138" t="n"/>
      <c r="AJ600" s="16" t="n"/>
      <c r="AK600" s="138" t="n"/>
      <c r="AL600" s="16" t="n"/>
      <c r="AM600" s="138" t="n"/>
      <c r="AN600" s="16" t="n"/>
      <c r="AO600" s="138" t="n"/>
      <c r="AP600" s="16" t="n"/>
      <c r="AQ600" s="138" t="n"/>
      <c r="AR600" s="16" t="n"/>
      <c r="AS600" s="138" t="n"/>
      <c r="AT600" s="16" t="n"/>
      <c r="AU600" s="138" t="n"/>
      <c r="AV600" s="16" t="n"/>
      <c r="AW600" s="138" t="n"/>
      <c r="AX600" s="16" t="n"/>
      <c r="AY600" s="138" t="n"/>
      <c r="AZ600" s="16">
        <f>AF600+AH600+AJ600+AL600+AN600+AP600+AR600+AT600+AV600+AX600</f>
        <v/>
      </c>
      <c r="BA600" s="16" t="n"/>
      <c r="BB600" s="139" t="n"/>
      <c r="BC600" s="16" t="n"/>
      <c r="BD600" s="139" t="n"/>
      <c r="BE600" s="16">
        <f>(BA600+BC600)</f>
        <v/>
      </c>
    </row>
    <row r="601" ht="22.5" customFormat="1" customHeight="1" s="8">
      <c r="A601" s="9" t="n"/>
      <c r="B601" s="136" t="inlineStr">
        <is>
          <t>PCB</t>
        </is>
      </c>
      <c r="C601" s="137" t="inlineStr">
        <is>
          <t>ADX6000</t>
        </is>
      </c>
      <c r="D601" s="65" t="inlineStr">
        <is>
          <t>컬리메이터 LED B/D</t>
        </is>
      </c>
      <c r="E601" s="13" t="inlineStr">
        <is>
          <t>신형 LED 작은것</t>
        </is>
      </c>
      <c r="F601" s="100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40">
        <f>K601+V601-AE601-AZ601</f>
        <v/>
      </c>
      <c r="P601" s="12" t="n"/>
      <c r="Q601" s="138" t="n"/>
      <c r="R601" s="16" t="n"/>
      <c r="S601" s="139" t="n"/>
      <c r="T601" s="16" t="n"/>
      <c r="U601" s="139" t="n"/>
      <c r="V601" s="16">
        <f>P601+R601+T601</f>
        <v/>
      </c>
      <c r="W601" s="16" t="n"/>
      <c r="X601" s="139" t="n"/>
      <c r="Y601" s="16" t="n"/>
      <c r="Z601" s="139" t="n"/>
      <c r="AA601" s="16" t="n"/>
      <c r="AB601" s="139" t="n"/>
      <c r="AC601" s="16" t="n"/>
      <c r="AD601" s="139" t="n"/>
      <c r="AE601" s="16">
        <f>(W601+Y601+AA601+AC601)</f>
        <v/>
      </c>
      <c r="AF601" s="140" t="n"/>
      <c r="AG601" s="138" t="n"/>
      <c r="AH601" s="16" t="n"/>
      <c r="AI601" s="138" t="n"/>
      <c r="AJ601" s="16" t="n"/>
      <c r="AK601" s="138" t="n"/>
      <c r="AL601" s="16" t="n"/>
      <c r="AM601" s="138" t="n"/>
      <c r="AN601" s="16" t="n"/>
      <c r="AO601" s="138" t="n"/>
      <c r="AP601" s="16" t="n"/>
      <c r="AQ601" s="138" t="n"/>
      <c r="AR601" s="16" t="n"/>
      <c r="AS601" s="138" t="n"/>
      <c r="AT601" s="16" t="n"/>
      <c r="AU601" s="138" t="n"/>
      <c r="AV601" s="16" t="n"/>
      <c r="AW601" s="138" t="n"/>
      <c r="AX601" s="16" t="n"/>
      <c r="AY601" s="138" t="n"/>
      <c r="AZ601" s="16">
        <f>AF601+AH601+AJ601+AL601+AN601+AP601+AR601+AT601+AV601+AX601</f>
        <v/>
      </c>
      <c r="BA601" s="16" t="n"/>
      <c r="BB601" s="139" t="n"/>
      <c r="BC601" s="16" t="n"/>
      <c r="BD601" s="139" t="n"/>
      <c r="BE601" s="16">
        <f>(BA601+BC601)</f>
        <v/>
      </c>
    </row>
    <row r="602" ht="22.5" customFormat="1" customHeight="1" s="8">
      <c r="A602" s="9" t="n"/>
      <c r="B602" s="136" t="inlineStr">
        <is>
          <t>PCB</t>
        </is>
      </c>
      <c r="C602" s="137" t="inlineStr">
        <is>
          <t>ADX6000</t>
        </is>
      </c>
      <c r="D602" s="65" t="inlineStr">
        <is>
          <t>컬리메이터 LED B/D</t>
        </is>
      </c>
      <c r="E602" s="13" t="inlineStr">
        <is>
          <t>신형 LED, 밝기 수정</t>
        </is>
      </c>
      <c r="F602" s="100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40">
        <f>K602+V602-AE602-AZ602</f>
        <v/>
      </c>
      <c r="P602" s="12" t="n"/>
      <c r="Q602" s="138" t="n"/>
      <c r="R602" s="16" t="n"/>
      <c r="S602" s="139" t="n"/>
      <c r="T602" s="16" t="n"/>
      <c r="U602" s="139" t="n"/>
      <c r="V602" s="16">
        <f>P602+R602+T602</f>
        <v/>
      </c>
      <c r="W602" s="16" t="n"/>
      <c r="X602" s="139" t="n"/>
      <c r="Y602" s="16" t="n"/>
      <c r="Z602" s="139" t="n"/>
      <c r="AA602" s="16" t="n"/>
      <c r="AB602" s="139" t="n"/>
      <c r="AC602" s="16" t="n"/>
      <c r="AD602" s="139" t="n"/>
      <c r="AE602" s="16">
        <f>(W602+Y602+AA602+AC602)</f>
        <v/>
      </c>
      <c r="AF602" s="140" t="n"/>
      <c r="AG602" s="138" t="n"/>
      <c r="AH602" s="16" t="n"/>
      <c r="AI602" s="138" t="n"/>
      <c r="AJ602" s="16" t="n"/>
      <c r="AK602" s="138" t="n"/>
      <c r="AL602" s="16" t="n"/>
      <c r="AM602" s="138" t="n"/>
      <c r="AN602" s="16" t="n"/>
      <c r="AO602" s="138" t="n"/>
      <c r="AP602" s="16" t="n"/>
      <c r="AQ602" s="138" t="n"/>
      <c r="AR602" s="16" t="n"/>
      <c r="AS602" s="138" t="n"/>
      <c r="AT602" s="16" t="n"/>
      <c r="AU602" s="138" t="n"/>
      <c r="AV602" s="16" t="n"/>
      <c r="AW602" s="138" t="n"/>
      <c r="AX602" s="16" t="n"/>
      <c r="AY602" s="138" t="n"/>
      <c r="AZ602" s="16">
        <f>AF602+AH602+AJ602+AL602+AN602+AP602+AR602+AT602+AV602+AX602</f>
        <v/>
      </c>
      <c r="BA602" s="16" t="n"/>
      <c r="BB602" s="139" t="n"/>
      <c r="BC602" s="16" t="n"/>
      <c r="BD602" s="139" t="n"/>
      <c r="BE602" s="16">
        <f>(BA602+BC602)</f>
        <v/>
      </c>
    </row>
    <row r="603" ht="22.5" customFormat="1" customHeight="1" s="8">
      <c r="A603" s="9" t="n"/>
      <c r="B603" s="136" t="inlineStr">
        <is>
          <t>PCB</t>
        </is>
      </c>
      <c r="C603" s="137" t="inlineStr">
        <is>
          <t>ADX6000</t>
        </is>
      </c>
      <c r="D603" s="84" t="inlineStr">
        <is>
          <t>ETC EX BATTERY BD</t>
        </is>
      </c>
      <c r="E603" s="13" t="n"/>
      <c r="F603" s="100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40">
        <f>K603+V603-AE603-AZ603</f>
        <v/>
      </c>
      <c r="P603" s="12" t="n"/>
      <c r="Q603" s="138" t="n"/>
      <c r="R603" s="16" t="n"/>
      <c r="S603" s="139" t="n"/>
      <c r="T603" s="16" t="n"/>
      <c r="U603" s="139" t="n"/>
      <c r="V603" s="16">
        <f>P603+R603+T603</f>
        <v/>
      </c>
      <c r="W603" s="16" t="n"/>
      <c r="X603" s="139" t="n"/>
      <c r="Y603" s="16" t="n"/>
      <c r="Z603" s="139" t="n"/>
      <c r="AA603" s="16" t="n"/>
      <c r="AB603" s="139" t="n"/>
      <c r="AC603" s="16" t="n"/>
      <c r="AD603" s="139" t="n"/>
      <c r="AE603" s="16">
        <f>(W603+Y603+AA603+AC603)</f>
        <v/>
      </c>
      <c r="AF603" s="140" t="n"/>
      <c r="AG603" s="138" t="n"/>
      <c r="AH603" s="16" t="n"/>
      <c r="AI603" s="138" t="n"/>
      <c r="AJ603" s="16" t="n"/>
      <c r="AK603" s="138" t="n"/>
      <c r="AL603" s="16" t="n"/>
      <c r="AM603" s="138" t="n"/>
      <c r="AN603" s="16" t="n"/>
      <c r="AO603" s="138" t="n"/>
      <c r="AP603" s="16" t="n"/>
      <c r="AQ603" s="138" t="n"/>
      <c r="AR603" s="16" t="n"/>
      <c r="AS603" s="138" t="n"/>
      <c r="AT603" s="16" t="n"/>
      <c r="AU603" s="138" t="n"/>
      <c r="AV603" s="16" t="n"/>
      <c r="AW603" s="138" t="n"/>
      <c r="AX603" s="16" t="n"/>
      <c r="AY603" s="138" t="n"/>
      <c r="AZ603" s="16">
        <f>AF603+AH603+AJ603+AL603+AN603+AP603+AR603+AT603+AV603+AX603</f>
        <v/>
      </c>
      <c r="BA603" s="16" t="n"/>
      <c r="BB603" s="139" t="n"/>
      <c r="BC603" s="16" t="n"/>
      <c r="BD603" s="139" t="n"/>
      <c r="BE603" s="16">
        <f>(BA603+BC603)</f>
        <v/>
      </c>
    </row>
    <row r="604" ht="22.5" customFormat="1" customHeight="1" s="8">
      <c r="A604" s="9" t="n"/>
      <c r="B604" s="136" t="inlineStr">
        <is>
          <t>PCB</t>
        </is>
      </c>
      <c r="C604" s="137" t="inlineStr">
        <is>
          <t>ADX6000</t>
        </is>
      </c>
      <c r="D604" s="84" t="inlineStr">
        <is>
          <t>ETC RESIST BD</t>
        </is>
      </c>
      <c r="E604" s="13" t="n"/>
      <c r="F604" s="100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40">
        <f>K604+V604-AE604-AZ604</f>
        <v/>
      </c>
      <c r="P604" s="12" t="n"/>
      <c r="Q604" s="138" t="n"/>
      <c r="R604" s="16" t="n"/>
      <c r="S604" s="139" t="n"/>
      <c r="T604" s="16" t="n"/>
      <c r="U604" s="139" t="n"/>
      <c r="V604" s="16">
        <f>P604+R604+T604</f>
        <v/>
      </c>
      <c r="W604" s="16" t="n"/>
      <c r="X604" s="139" t="n"/>
      <c r="Y604" s="16" t="n"/>
      <c r="Z604" s="139" t="n"/>
      <c r="AA604" s="16" t="n"/>
      <c r="AB604" s="139" t="n"/>
      <c r="AC604" s="16" t="n"/>
      <c r="AD604" s="139" t="n"/>
      <c r="AE604" s="16">
        <f>(W604+Y604+AA604+AC604)</f>
        <v/>
      </c>
      <c r="AF604" s="140" t="n"/>
      <c r="AG604" s="138" t="n"/>
      <c r="AH604" s="16" t="n"/>
      <c r="AI604" s="138" t="n"/>
      <c r="AJ604" s="16" t="n"/>
      <c r="AK604" s="138" t="n"/>
      <c r="AL604" s="16" t="n"/>
      <c r="AM604" s="138" t="n"/>
      <c r="AN604" s="16" t="n"/>
      <c r="AO604" s="138" t="n"/>
      <c r="AP604" s="16" t="n"/>
      <c r="AQ604" s="138" t="n"/>
      <c r="AR604" s="16" t="n"/>
      <c r="AS604" s="138" t="n"/>
      <c r="AT604" s="16" t="n"/>
      <c r="AU604" s="138" t="n"/>
      <c r="AV604" s="16" t="n"/>
      <c r="AW604" s="138" t="n"/>
      <c r="AX604" s="16" t="n"/>
      <c r="AY604" s="138" t="n"/>
      <c r="AZ604" s="16">
        <f>AF604+AH604+AJ604+AL604+AN604+AP604+AR604+AT604+AV604+AX604</f>
        <v/>
      </c>
      <c r="BA604" s="16" t="n"/>
      <c r="BB604" s="139" t="n"/>
      <c r="BC604" s="16" t="n"/>
      <c r="BD604" s="139" t="n"/>
      <c r="BE604" s="16">
        <f>(BA604+BC604)</f>
        <v/>
      </c>
    </row>
    <row r="605" ht="22.5" customFormat="1" customHeight="1" s="8">
      <c r="A605" s="9" t="n"/>
      <c r="B605" s="136" t="inlineStr">
        <is>
          <t>PCB</t>
        </is>
      </c>
      <c r="C605" s="137" t="inlineStr">
        <is>
          <t>ADX6000</t>
        </is>
      </c>
      <c r="D605" s="84" t="inlineStr">
        <is>
          <t>ETC CAP BANK BD</t>
        </is>
      </c>
      <c r="E605" s="13" t="n"/>
      <c r="F605" s="100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40">
        <f>K605+V605-AE605-AZ605</f>
        <v/>
      </c>
      <c r="P605" s="12" t="n"/>
      <c r="Q605" s="138" t="n"/>
      <c r="R605" s="16" t="n"/>
      <c r="S605" s="139" t="n"/>
      <c r="T605" s="16" t="n"/>
      <c r="U605" s="139" t="n"/>
      <c r="V605" s="16">
        <f>P605+R605+T605</f>
        <v/>
      </c>
      <c r="W605" s="16" t="n"/>
      <c r="X605" s="139" t="n"/>
      <c r="Y605" s="16" t="n"/>
      <c r="Z605" s="139" t="n"/>
      <c r="AA605" s="16" t="n"/>
      <c r="AB605" s="139" t="n"/>
      <c r="AC605" s="16" t="n"/>
      <c r="AD605" s="139" t="n"/>
      <c r="AE605" s="16">
        <f>(W605+Y605+AA605+AC605)</f>
        <v/>
      </c>
      <c r="AF605" s="140" t="n"/>
      <c r="AG605" s="138" t="n"/>
      <c r="AH605" s="16" t="n"/>
      <c r="AI605" s="138" t="n"/>
      <c r="AJ605" s="16" t="n"/>
      <c r="AK605" s="138" t="n"/>
      <c r="AL605" s="16" t="n"/>
      <c r="AM605" s="138" t="n"/>
      <c r="AN605" s="16" t="n"/>
      <c r="AO605" s="138" t="n"/>
      <c r="AP605" s="16" t="n"/>
      <c r="AQ605" s="138" t="n"/>
      <c r="AR605" s="16" t="n"/>
      <c r="AS605" s="138" t="n"/>
      <c r="AT605" s="16" t="n"/>
      <c r="AU605" s="138" t="n"/>
      <c r="AV605" s="16" t="n"/>
      <c r="AW605" s="138" t="n"/>
      <c r="AX605" s="16" t="n"/>
      <c r="AY605" s="138" t="n"/>
      <c r="AZ605" s="16">
        <f>AF605+AH605+AJ605+AL605+AN605+AP605+AR605+AT605+AV605+AX605</f>
        <v/>
      </c>
      <c r="BA605" s="16" t="n"/>
      <c r="BB605" s="139" t="n"/>
      <c r="BC605" s="16" t="n"/>
      <c r="BD605" s="139" t="n"/>
      <c r="BE605" s="16">
        <f>(BA605+BC605)</f>
        <v/>
      </c>
    </row>
    <row r="606" ht="22.5" customFormat="1" customHeight="1" s="8">
      <c r="A606" s="9" t="n"/>
      <c r="B606" s="136" t="inlineStr">
        <is>
          <t>PCB</t>
        </is>
      </c>
      <c r="C606" s="137" t="inlineStr">
        <is>
          <t>ADX6000</t>
        </is>
      </c>
      <c r="D606" s="84" t="inlineStr">
        <is>
          <t>LED DRIVER B/D</t>
        </is>
      </c>
      <c r="E606" s="13" t="inlineStr">
        <is>
          <t>V1.0.0</t>
        </is>
      </c>
      <c r="F606" s="100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40">
        <f>K606+V606-AE606-AZ606</f>
        <v/>
      </c>
      <c r="P606" s="12" t="n"/>
      <c r="Q606" s="138" t="n"/>
      <c r="R606" s="16" t="n"/>
      <c r="S606" s="139" t="n"/>
      <c r="T606" s="16" t="n"/>
      <c r="U606" s="139" t="n"/>
      <c r="V606" s="16">
        <f>P606+R606+T606</f>
        <v/>
      </c>
      <c r="W606" s="16" t="n"/>
      <c r="X606" s="139" t="n"/>
      <c r="Y606" s="16" t="n"/>
      <c r="Z606" s="139" t="n"/>
      <c r="AA606" s="16" t="n"/>
      <c r="AB606" s="139" t="n"/>
      <c r="AC606" s="16" t="n"/>
      <c r="AD606" s="139" t="n"/>
      <c r="AE606" s="16">
        <f>(W606+Y606+AA606+AC606)</f>
        <v/>
      </c>
      <c r="AF606" s="140" t="n"/>
      <c r="AG606" s="138" t="n"/>
      <c r="AH606" s="16" t="n"/>
      <c r="AI606" s="138" t="n"/>
      <c r="AJ606" s="16" t="n"/>
      <c r="AK606" s="138" t="n"/>
      <c r="AL606" s="16" t="n"/>
      <c r="AM606" s="138" t="n"/>
      <c r="AN606" s="16" t="n"/>
      <c r="AO606" s="138" t="n"/>
      <c r="AP606" s="16" t="n"/>
      <c r="AQ606" s="138" t="n"/>
      <c r="AR606" s="16" t="n"/>
      <c r="AS606" s="138" t="n"/>
      <c r="AT606" s="16" t="n"/>
      <c r="AU606" s="138" t="n"/>
      <c r="AV606" s="16" t="n"/>
      <c r="AW606" s="138" t="n"/>
      <c r="AX606" s="16" t="n"/>
      <c r="AY606" s="138" t="n"/>
      <c r="AZ606" s="16">
        <f>AF606+AH606+AJ606+AL606+AN606+AP606+AR606+AT606+AV606+AX606</f>
        <v/>
      </c>
      <c r="BA606" s="16" t="n"/>
      <c r="BB606" s="139" t="n"/>
      <c r="BC606" s="16" t="n"/>
      <c r="BD606" s="139" t="n"/>
      <c r="BE606" s="16">
        <f>(BA606+BC606)</f>
        <v/>
      </c>
    </row>
    <row r="607" ht="22.5" customFormat="1" customHeight="1" s="8">
      <c r="A607" s="9" t="n"/>
      <c r="B607" s="136" t="inlineStr">
        <is>
          <t>PCB</t>
        </is>
      </c>
      <c r="C607" s="137" t="inlineStr">
        <is>
          <t>ADX6000</t>
        </is>
      </c>
      <c r="D607" s="84" t="inlineStr">
        <is>
          <t>DRTech FDXD-810, FLAATZ-N330 CTR Battery B/D</t>
        </is>
      </c>
      <c r="E607" s="13" t="inlineStr">
        <is>
          <t>구형</t>
        </is>
      </c>
      <c r="F607" s="100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40">
        <f>K607+V607-AE607-AZ607</f>
        <v/>
      </c>
      <c r="P607" s="12" t="n"/>
      <c r="Q607" s="138" t="n"/>
      <c r="R607" s="16" t="n"/>
      <c r="S607" s="139" t="n"/>
      <c r="T607" s="16" t="n"/>
      <c r="U607" s="139" t="n"/>
      <c r="V607" s="16">
        <f>P607+R607+T607</f>
        <v/>
      </c>
      <c r="W607" s="16" t="n"/>
      <c r="X607" s="139" t="n"/>
      <c r="Y607" s="16" t="n"/>
      <c r="Z607" s="139" t="n"/>
      <c r="AA607" s="16" t="n"/>
      <c r="AB607" s="139" t="n"/>
      <c r="AC607" s="16" t="n"/>
      <c r="AD607" s="139" t="n"/>
      <c r="AE607" s="16">
        <f>(W607+Y607+AA607+AC607)</f>
        <v/>
      </c>
      <c r="AF607" s="140" t="n"/>
      <c r="AG607" s="138" t="n"/>
      <c r="AH607" s="16" t="n"/>
      <c r="AI607" s="138" t="n"/>
      <c r="AJ607" s="16" t="n"/>
      <c r="AK607" s="138" t="n"/>
      <c r="AL607" s="16" t="n"/>
      <c r="AM607" s="138" t="n"/>
      <c r="AN607" s="16" t="n"/>
      <c r="AO607" s="138" t="n"/>
      <c r="AP607" s="16" t="n"/>
      <c r="AQ607" s="138" t="n"/>
      <c r="AR607" s="16" t="n"/>
      <c r="AS607" s="138" t="n"/>
      <c r="AT607" s="16" t="n"/>
      <c r="AU607" s="138" t="n"/>
      <c r="AV607" s="16" t="n"/>
      <c r="AW607" s="138" t="n"/>
      <c r="AX607" s="16" t="n"/>
      <c r="AY607" s="138" t="n"/>
      <c r="AZ607" s="16">
        <f>AF607+AH607+AJ607+AL607+AN607+AP607+AR607+AT607+AV607+AX607</f>
        <v/>
      </c>
      <c r="BA607" s="16" t="n"/>
      <c r="BB607" s="139" t="n"/>
      <c r="BC607" s="16" t="n"/>
      <c r="BD607" s="139" t="n"/>
      <c r="BE607" s="16">
        <f>(BA607+BC607)</f>
        <v/>
      </c>
    </row>
    <row r="608" ht="22.5" customFormat="1" customHeight="1" s="8">
      <c r="A608" s="9" t="n"/>
      <c r="B608" s="136" t="inlineStr">
        <is>
          <t>PCB</t>
        </is>
      </c>
      <c r="C608" s="137" t="inlineStr">
        <is>
          <t>ADX6000</t>
        </is>
      </c>
      <c r="D608" s="84" t="inlineStr">
        <is>
          <t>DRTech FDXD-810, FLAATZ-N330 CTR Battery B/D</t>
        </is>
      </c>
      <c r="E608" s="13" t="inlineStr">
        <is>
          <t>신형</t>
        </is>
      </c>
      <c r="F608" s="100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40">
        <f>K608+V608-AE608-AZ608</f>
        <v/>
      </c>
      <c r="P608" s="12" t="n"/>
      <c r="Q608" s="138" t="n"/>
      <c r="R608" s="16" t="n"/>
      <c r="S608" s="139" t="n"/>
      <c r="T608" s="16" t="n"/>
      <c r="U608" s="139" t="n"/>
      <c r="V608" s="16">
        <f>P608+R608+T608</f>
        <v/>
      </c>
      <c r="W608" s="16" t="n"/>
      <c r="X608" s="139" t="n"/>
      <c r="Y608" s="16" t="n"/>
      <c r="Z608" s="139" t="n"/>
      <c r="AA608" s="16" t="n"/>
      <c r="AB608" s="139" t="n"/>
      <c r="AC608" s="16" t="n"/>
      <c r="AD608" s="139" t="n"/>
      <c r="AE608" s="16">
        <f>(W608+Y608+AA608+AC608)</f>
        <v/>
      </c>
      <c r="AF608" s="140" t="n"/>
      <c r="AG608" s="138" t="n"/>
      <c r="AH608" s="16" t="n"/>
      <c r="AI608" s="138" t="n"/>
      <c r="AJ608" s="16" t="n"/>
      <c r="AK608" s="138" t="n"/>
      <c r="AL608" s="16" t="n"/>
      <c r="AM608" s="138" t="n"/>
      <c r="AN608" s="16" t="n"/>
      <c r="AO608" s="138" t="n"/>
      <c r="AP608" s="16" t="n"/>
      <c r="AQ608" s="138" t="n"/>
      <c r="AR608" s="16" t="n"/>
      <c r="AS608" s="138" t="n"/>
      <c r="AT608" s="16" t="n"/>
      <c r="AU608" s="138" t="n"/>
      <c r="AV608" s="16" t="n"/>
      <c r="AW608" s="138" t="n"/>
      <c r="AX608" s="16" t="n"/>
      <c r="AY608" s="138" t="n"/>
      <c r="AZ608" s="16">
        <f>AF608+AH608+AJ608+AL608+AN608+AP608+AR608+AT608+AV608+AX608</f>
        <v/>
      </c>
      <c r="BA608" s="16" t="n"/>
      <c r="BB608" s="139" t="n"/>
      <c r="BC608" s="16" t="n"/>
      <c r="BD608" s="139" t="n"/>
      <c r="BE608" s="16">
        <f>(BA608+BC608)</f>
        <v/>
      </c>
    </row>
    <row r="609" ht="22.5" customFormat="1" customHeight="1" s="8">
      <c r="A609" s="9" t="n"/>
      <c r="B609" s="136" t="inlineStr">
        <is>
          <t>CABLE</t>
        </is>
      </c>
      <c r="C609" s="137" t="inlineStr">
        <is>
          <t>ADX6000</t>
        </is>
      </c>
      <c r="D609" s="60" t="inlineStr">
        <is>
          <t>FFC (16핀)</t>
        </is>
      </c>
      <c r="E609" s="13" t="inlineStr">
        <is>
          <t>82mm</t>
        </is>
      </c>
      <c r="F609" s="100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40">
        <f>K609+V609-AE609-AZ609</f>
        <v/>
      </c>
      <c r="P609" s="12" t="n"/>
      <c r="Q609" s="138" t="n"/>
      <c r="R609" s="16" t="n"/>
      <c r="S609" s="139" t="n"/>
      <c r="T609" s="16" t="n"/>
      <c r="U609" s="139" t="n"/>
      <c r="V609" s="16">
        <f>P609+R609+T609</f>
        <v/>
      </c>
      <c r="W609" s="16" t="n"/>
      <c r="X609" s="139" t="n"/>
      <c r="Y609" s="16" t="n"/>
      <c r="Z609" s="139" t="n"/>
      <c r="AA609" s="16" t="n"/>
      <c r="AB609" s="139" t="n"/>
      <c r="AC609" s="16" t="n"/>
      <c r="AD609" s="139" t="n"/>
      <c r="AE609" s="16">
        <f>(W609+Y609+AA609+AC609)</f>
        <v/>
      </c>
      <c r="AF609" s="140" t="n"/>
      <c r="AG609" s="138" t="n"/>
      <c r="AH609" s="16" t="n"/>
      <c r="AI609" s="138" t="n"/>
      <c r="AJ609" s="16" t="n"/>
      <c r="AK609" s="138" t="n"/>
      <c r="AL609" s="16" t="n"/>
      <c r="AM609" s="138" t="n"/>
      <c r="AN609" s="16" t="n"/>
      <c r="AO609" s="138" t="n"/>
      <c r="AP609" s="16" t="n"/>
      <c r="AQ609" s="138" t="n"/>
      <c r="AR609" s="16" t="n"/>
      <c r="AS609" s="138" t="n"/>
      <c r="AT609" s="16" t="n"/>
      <c r="AU609" s="138" t="n"/>
      <c r="AV609" s="16" t="n"/>
      <c r="AW609" s="138" t="n"/>
      <c r="AX609" s="16" t="n"/>
      <c r="AY609" s="138" t="n"/>
      <c r="AZ609" s="16">
        <f>AF609+AH609+AJ609+AL609+AN609+AP609+AR609+AT609+AV609+AX609</f>
        <v/>
      </c>
      <c r="BA609" s="16" t="n"/>
      <c r="BB609" s="139" t="n"/>
      <c r="BC609" s="16" t="n"/>
      <c r="BD609" s="139" t="n"/>
      <c r="BE609" s="16">
        <f>(BA609+BC609)</f>
        <v/>
      </c>
    </row>
    <row r="610" ht="22.5" customFormat="1" customHeight="1" s="8">
      <c r="A610" s="9" t="n"/>
      <c r="B610" s="136" t="inlineStr">
        <is>
          <t>CABLE</t>
        </is>
      </c>
      <c r="C610" s="137" t="inlineStr">
        <is>
          <t>ADX6000</t>
        </is>
      </c>
      <c r="D610" s="84" t="inlineStr">
        <is>
          <t>하네스 8번</t>
        </is>
      </c>
      <c r="E610" s="13" t="inlineStr">
        <is>
          <t>YH396-04V - 2EA CAP BANK 케이블 / 120mm</t>
        </is>
      </c>
      <c r="F610" s="100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40">
        <f>K610+V610-AE610-AZ610</f>
        <v/>
      </c>
      <c r="P610" s="12" t="n"/>
      <c r="Q610" s="138" t="n"/>
      <c r="R610" s="16" t="n"/>
      <c r="S610" s="139" t="n"/>
      <c r="T610" s="16" t="n"/>
      <c r="U610" s="139" t="n"/>
      <c r="V610" s="16">
        <f>P610+R610+T610</f>
        <v/>
      </c>
      <c r="W610" s="16" t="n"/>
      <c r="X610" s="139" t="n"/>
      <c r="Y610" s="16" t="n"/>
      <c r="Z610" s="139" t="n"/>
      <c r="AA610" s="16" t="n"/>
      <c r="AB610" s="139" t="n"/>
      <c r="AC610" s="16" t="n"/>
      <c r="AD610" s="139" t="n"/>
      <c r="AE610" s="16">
        <f>(W610+Y610+AA610+AC610)</f>
        <v/>
      </c>
      <c r="AF610" s="140" t="n"/>
      <c r="AG610" s="138" t="n"/>
      <c r="AH610" s="16" t="n"/>
      <c r="AI610" s="138" t="n"/>
      <c r="AJ610" s="16" t="n"/>
      <c r="AK610" s="138" t="n"/>
      <c r="AL610" s="16" t="n"/>
      <c r="AM610" s="138" t="n"/>
      <c r="AN610" s="16" t="n"/>
      <c r="AO610" s="138" t="n"/>
      <c r="AP610" s="16" t="n"/>
      <c r="AQ610" s="138" t="n"/>
      <c r="AR610" s="16" t="n"/>
      <c r="AS610" s="138" t="n"/>
      <c r="AT610" s="16" t="n"/>
      <c r="AU610" s="138" t="n"/>
      <c r="AV610" s="16" t="n"/>
      <c r="AW610" s="138" t="n"/>
      <c r="AX610" s="16" t="n"/>
      <c r="AY610" s="138" t="n"/>
      <c r="AZ610" s="16">
        <f>AF610+AH610+AJ610+AL610+AN610+AP610+AR610+AT610+AV610+AX610</f>
        <v/>
      </c>
      <c r="BA610" s="16" t="n"/>
      <c r="BB610" s="139" t="n"/>
      <c r="BC610" s="16" t="n"/>
      <c r="BD610" s="139" t="n"/>
      <c r="BE610" s="16">
        <f>(BA610+BC610)</f>
        <v/>
      </c>
    </row>
    <row r="611" ht="22.5" customFormat="1" customHeight="1" s="8">
      <c r="A611" s="9" t="n"/>
      <c r="B611" s="136" t="inlineStr">
        <is>
          <t>CABLE</t>
        </is>
      </c>
      <c r="C611" s="137" t="inlineStr">
        <is>
          <t>ADX6000S</t>
        </is>
      </c>
      <c r="D611" s="84" t="inlineStr">
        <is>
          <t>하네스 9번</t>
        </is>
      </c>
      <c r="E611" s="13" t="inlineStr">
        <is>
          <t>12505HS-03 Carrier Mini BD 케이블 / 100mm</t>
        </is>
      </c>
      <c r="F611" s="100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40">
        <f>K611+V611-AE611-AZ611</f>
        <v/>
      </c>
      <c r="P611" s="12" t="n"/>
      <c r="Q611" s="138" t="n"/>
      <c r="R611" s="16" t="n"/>
      <c r="S611" s="139" t="n"/>
      <c r="T611" s="16" t="n"/>
      <c r="U611" s="139" t="n"/>
      <c r="V611" s="16">
        <f>P611+R611+T611</f>
        <v/>
      </c>
      <c r="W611" s="16" t="n"/>
      <c r="X611" s="139" t="n"/>
      <c r="Y611" s="16" t="n"/>
      <c r="Z611" s="139" t="n"/>
      <c r="AA611" s="16" t="n"/>
      <c r="AB611" s="139" t="n"/>
      <c r="AC611" s="16" t="n"/>
      <c r="AD611" s="139" t="n"/>
      <c r="AE611" s="16">
        <f>(W611+Y611+AA611+AC611)</f>
        <v/>
      </c>
      <c r="AF611" s="140" t="n"/>
      <c r="AG611" s="138" t="n"/>
      <c r="AH611" s="16" t="n"/>
      <c r="AI611" s="138" t="n"/>
      <c r="AJ611" s="16" t="n"/>
      <c r="AK611" s="138" t="n"/>
      <c r="AL611" s="16" t="n"/>
      <c r="AM611" s="138" t="n"/>
      <c r="AN611" s="16" t="n"/>
      <c r="AO611" s="138" t="n"/>
      <c r="AP611" s="16" t="n"/>
      <c r="AQ611" s="138" t="n"/>
      <c r="AR611" s="16" t="n"/>
      <c r="AS611" s="138" t="n"/>
      <c r="AT611" s="16" t="n"/>
      <c r="AU611" s="138" t="n"/>
      <c r="AV611" s="16" t="n"/>
      <c r="AW611" s="138" t="n"/>
      <c r="AX611" s="16" t="n"/>
      <c r="AY611" s="138" t="n"/>
      <c r="AZ611" s="16">
        <f>AF611+AH611+AJ611+AL611+AN611+AP611+AR611+AT611+AV611+AX611</f>
        <v/>
      </c>
      <c r="BA611" s="16" t="n"/>
      <c r="BB611" s="139" t="n"/>
      <c r="BC611" s="16" t="n"/>
      <c r="BD611" s="139" t="n"/>
      <c r="BE611" s="16">
        <f>(BA611+BC611)</f>
        <v/>
      </c>
    </row>
    <row r="612" ht="22.5" customFormat="1" customHeight="1" s="8">
      <c r="A612" s="9" t="n"/>
      <c r="B612" s="136" t="inlineStr">
        <is>
          <t>CABLE</t>
        </is>
      </c>
      <c r="C612" s="137" t="inlineStr">
        <is>
          <t>ADX6000</t>
        </is>
      </c>
      <c r="D612" s="84" t="inlineStr">
        <is>
          <t>하네스 12번</t>
        </is>
      </c>
      <c r="E612" s="13" t="inlineStr">
        <is>
          <t>YH396-04V - 1EA 외부단자 케이블 / 200mm</t>
        </is>
      </c>
      <c r="F612" s="100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40">
        <f>K612+V612-AE612-AZ612</f>
        <v/>
      </c>
      <c r="P612" s="12" t="n"/>
      <c r="Q612" s="138" t="n"/>
      <c r="R612" s="16" t="n"/>
      <c r="S612" s="139" t="n"/>
      <c r="T612" s="16" t="n"/>
      <c r="U612" s="139" t="n"/>
      <c r="V612" s="16">
        <f>P612+R612+T612</f>
        <v/>
      </c>
      <c r="W612" s="16" t="n"/>
      <c r="X612" s="139" t="n"/>
      <c r="Y612" s="16" t="n"/>
      <c r="Z612" s="139" t="n"/>
      <c r="AA612" s="16" t="n"/>
      <c r="AB612" s="139" t="n"/>
      <c r="AC612" s="16" t="n"/>
      <c r="AD612" s="139" t="n"/>
      <c r="AE612" s="16">
        <f>(W612+Y612+AA612+AC612)</f>
        <v/>
      </c>
      <c r="AF612" s="140" t="n"/>
      <c r="AG612" s="138" t="n"/>
      <c r="AH612" s="16" t="n"/>
      <c r="AI612" s="138" t="n"/>
      <c r="AJ612" s="16" t="n"/>
      <c r="AK612" s="138" t="n"/>
      <c r="AL612" s="16" t="n"/>
      <c r="AM612" s="138" t="n"/>
      <c r="AN612" s="16" t="n"/>
      <c r="AO612" s="138" t="n"/>
      <c r="AP612" s="16" t="n"/>
      <c r="AQ612" s="138" t="n"/>
      <c r="AR612" s="16" t="n"/>
      <c r="AS612" s="138" t="n"/>
      <c r="AT612" s="16" t="n"/>
      <c r="AU612" s="138" t="n"/>
      <c r="AV612" s="16" t="n"/>
      <c r="AW612" s="138" t="n"/>
      <c r="AX612" s="16" t="n"/>
      <c r="AY612" s="138" t="n"/>
      <c r="AZ612" s="16">
        <f>AF612+AH612+AJ612+AL612+AN612+AP612+AR612+AT612+AV612+AX612</f>
        <v/>
      </c>
      <c r="BA612" s="16" t="n"/>
      <c r="BB612" s="139" t="n"/>
      <c r="BC612" s="16" t="n"/>
      <c r="BD612" s="139" t="n"/>
      <c r="BE612" s="16">
        <f>(BA612+BC612)</f>
        <v/>
      </c>
    </row>
    <row r="613" ht="22.5" customFormat="1" customHeight="1" s="8">
      <c r="A613" s="9" t="n"/>
      <c r="B613" s="136" t="inlineStr">
        <is>
          <t>CABLE</t>
        </is>
      </c>
      <c r="C613" s="137" t="inlineStr">
        <is>
          <t>ADX6000</t>
        </is>
      </c>
      <c r="D613" s="84" t="inlineStr">
        <is>
          <t>하네스 13번</t>
        </is>
      </c>
      <c r="E613" s="13" t="inlineStr">
        <is>
          <t>DC Connector Cable 외부배터리 케이블 / 360mm</t>
        </is>
      </c>
      <c r="F613" s="100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40">
        <f>K613+V613-AE613-AZ613</f>
        <v/>
      </c>
      <c r="P613" s="12" t="n"/>
      <c r="Q613" s="138" t="n"/>
      <c r="R613" s="16" t="n"/>
      <c r="S613" s="139" t="n"/>
      <c r="T613" s="16" t="n"/>
      <c r="U613" s="139" t="n"/>
      <c r="V613" s="16">
        <f>P613+R613+T613</f>
        <v/>
      </c>
      <c r="W613" s="16" t="n"/>
      <c r="X613" s="139" t="n"/>
      <c r="Y613" s="16" t="n"/>
      <c r="Z613" s="139" t="n"/>
      <c r="AA613" s="16" t="n"/>
      <c r="AB613" s="139" t="n"/>
      <c r="AC613" s="16" t="n"/>
      <c r="AD613" s="139" t="n"/>
      <c r="AE613" s="16">
        <f>(W613+Y613+AA613+AC613)</f>
        <v/>
      </c>
      <c r="AF613" s="140" t="n"/>
      <c r="AG613" s="138" t="n"/>
      <c r="AH613" s="16" t="n"/>
      <c r="AI613" s="138" t="n"/>
      <c r="AJ613" s="16" t="n"/>
      <c r="AK613" s="138" t="n"/>
      <c r="AL613" s="16" t="n"/>
      <c r="AM613" s="138" t="n"/>
      <c r="AN613" s="16" t="n"/>
      <c r="AO613" s="138" t="n"/>
      <c r="AP613" s="16" t="n"/>
      <c r="AQ613" s="138" t="n"/>
      <c r="AR613" s="16" t="n"/>
      <c r="AS613" s="138" t="n"/>
      <c r="AT613" s="16" t="n"/>
      <c r="AU613" s="138" t="n"/>
      <c r="AV613" s="16" t="n"/>
      <c r="AW613" s="138" t="n"/>
      <c r="AX613" s="16" t="n"/>
      <c r="AY613" s="138" t="n"/>
      <c r="AZ613" s="16">
        <f>AF613+AH613+AJ613+AL613+AN613+AP613+AR613+AT613+AV613+AX613</f>
        <v/>
      </c>
      <c r="BA613" s="16" t="n"/>
      <c r="BB613" s="139" t="n"/>
      <c r="BC613" s="16" t="n"/>
      <c r="BD613" s="139" t="n"/>
      <c r="BE613" s="16">
        <f>(BA613+BC613)</f>
        <v/>
      </c>
    </row>
    <row r="614" ht="22.5" customFormat="1" customHeight="1" s="8">
      <c r="A614" s="9" t="n"/>
      <c r="B614" s="136" t="inlineStr">
        <is>
          <t>CABLE</t>
        </is>
      </c>
      <c r="C614" s="137" t="inlineStr">
        <is>
          <t>ADX6000</t>
        </is>
      </c>
      <c r="D614" s="87" t="inlineStr">
        <is>
          <t>USB Connector Wire Harness (4핀)</t>
        </is>
      </c>
      <c r="E614" s="13" t="inlineStr">
        <is>
          <t>100mm</t>
        </is>
      </c>
      <c r="F614" s="100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40">
        <f>K614+V614-AE614-AZ614</f>
        <v/>
      </c>
      <c r="P614" s="12" t="n"/>
      <c r="Q614" s="138" t="n"/>
      <c r="R614" s="16" t="n"/>
      <c r="S614" s="139" t="n"/>
      <c r="T614" s="16" t="n"/>
      <c r="U614" s="139" t="n"/>
      <c r="V614" s="16">
        <f>P614+R614+T614</f>
        <v/>
      </c>
      <c r="W614" s="16" t="n"/>
      <c r="X614" s="139" t="n"/>
      <c r="Y614" s="16" t="n"/>
      <c r="Z614" s="139" t="n"/>
      <c r="AA614" s="16" t="n"/>
      <c r="AB614" s="139" t="n"/>
      <c r="AC614" s="16" t="n"/>
      <c r="AD614" s="139" t="n"/>
      <c r="AE614" s="16">
        <f>(W614+Y614+AA614+AC614)</f>
        <v/>
      </c>
      <c r="AF614" s="140" t="n"/>
      <c r="AG614" s="138" t="n"/>
      <c r="AH614" s="16" t="n"/>
      <c r="AI614" s="138" t="n"/>
      <c r="AJ614" s="16" t="n"/>
      <c r="AK614" s="138" t="n"/>
      <c r="AL614" s="16" t="n"/>
      <c r="AM614" s="138" t="n"/>
      <c r="AN614" s="16" t="n"/>
      <c r="AO614" s="138" t="n"/>
      <c r="AP614" s="16" t="n"/>
      <c r="AQ614" s="138" t="n"/>
      <c r="AR614" s="16" t="n"/>
      <c r="AS614" s="138" t="n"/>
      <c r="AT614" s="16" t="n"/>
      <c r="AU614" s="138" t="n"/>
      <c r="AV614" s="16" t="n"/>
      <c r="AW614" s="138" t="n"/>
      <c r="AX614" s="16" t="n"/>
      <c r="AY614" s="138" t="n"/>
      <c r="AZ614" s="16">
        <f>AF614+AH614+AJ614+AL614+AN614+AP614+AR614+AT614+AV614+AX614</f>
        <v/>
      </c>
      <c r="BA614" s="16" t="n"/>
      <c r="BB614" s="139" t="n"/>
      <c r="BC614" s="16" t="n"/>
      <c r="BD614" s="139" t="n"/>
      <c r="BE614" s="16">
        <f>(BA614+BC614)</f>
        <v/>
      </c>
    </row>
    <row r="615" ht="22.5" customFormat="1" customHeight="1" s="8">
      <c r="A615" s="9" t="n"/>
      <c r="B615" s="136" t="inlineStr">
        <is>
          <t>CABLE</t>
        </is>
      </c>
      <c r="C615" s="137" t="inlineStr">
        <is>
          <t>ADX6000</t>
        </is>
      </c>
      <c r="D615" s="60" t="inlineStr">
        <is>
          <t>Front USB Wire Harness (4핀)</t>
        </is>
      </c>
      <c r="E615" s="13" t="inlineStr">
        <is>
          <t>80mm</t>
        </is>
      </c>
      <c r="F615" s="100" t="n"/>
      <c r="G615" s="9" t="n"/>
      <c r="H615" s="9" t="inlineStr">
        <is>
          <t>HLP</t>
        </is>
      </c>
      <c r="I615" s="14" t="n"/>
      <c r="J615" s="14" t="n"/>
      <c r="K615" s="12" t="n">
        <v>0</v>
      </c>
      <c r="L615" s="9" t="n"/>
      <c r="M615" s="9" t="n"/>
      <c r="N615" s="9" t="n"/>
      <c r="O615" s="40">
        <f>K615+V615-AE615-AZ615</f>
        <v/>
      </c>
      <c r="P615" s="12" t="n"/>
      <c r="Q615" s="138" t="n"/>
      <c r="R615" s="16" t="n"/>
      <c r="S615" s="139" t="n"/>
      <c r="T615" s="16" t="n"/>
      <c r="U615" s="139" t="n"/>
      <c r="V615" s="16">
        <f>P615+R615+T615</f>
        <v/>
      </c>
      <c r="W615" s="16" t="n"/>
      <c r="X615" s="139" t="n"/>
      <c r="Y615" s="16" t="n"/>
      <c r="Z615" s="139" t="n"/>
      <c r="AA615" s="16" t="n"/>
      <c r="AB615" s="139" t="n"/>
      <c r="AC615" s="16" t="n"/>
      <c r="AD615" s="139" t="n"/>
      <c r="AE615" s="16">
        <f>(W615+Y615+AA615+AC615)</f>
        <v/>
      </c>
      <c r="AF615" s="140" t="n"/>
      <c r="AG615" s="138" t="n"/>
      <c r="AH615" s="16" t="n"/>
      <c r="AI615" s="138" t="n"/>
      <c r="AJ615" s="16" t="n"/>
      <c r="AK615" s="138" t="n"/>
      <c r="AL615" s="16" t="n"/>
      <c r="AM615" s="138" t="n"/>
      <c r="AN615" s="16" t="n"/>
      <c r="AO615" s="138" t="n"/>
      <c r="AP615" s="16" t="n"/>
      <c r="AQ615" s="138" t="n"/>
      <c r="AR615" s="16" t="n"/>
      <c r="AS615" s="138" t="n"/>
      <c r="AT615" s="16" t="n"/>
      <c r="AU615" s="138" t="n"/>
      <c r="AV615" s="16" t="n"/>
      <c r="AW615" s="138" t="n"/>
      <c r="AX615" s="16" t="n"/>
      <c r="AY615" s="138" t="n"/>
      <c r="AZ615" s="16">
        <f>AF615+AH615+AJ615+AL615+AN615+AP615+AR615+AT615+AV615+AX615</f>
        <v/>
      </c>
      <c r="BA615" s="16" t="n"/>
      <c r="BB615" s="139" t="n"/>
      <c r="BC615" s="16" t="n"/>
      <c r="BD615" s="139" t="n"/>
      <c r="BE615" s="16">
        <f>(BA615+BC615)</f>
        <v/>
      </c>
    </row>
    <row r="616" ht="22.5" customFormat="1" customHeight="1" s="8">
      <c r="A616" s="9" t="n"/>
      <c r="B616" s="136" t="inlineStr">
        <is>
          <t>CABLE</t>
        </is>
      </c>
      <c r="C616" s="137" t="inlineStr">
        <is>
          <t>ADX6000</t>
        </is>
      </c>
      <c r="D616" s="60" t="inlineStr">
        <is>
          <t>RS422 통신 Wire Harness (6핀)</t>
        </is>
      </c>
      <c r="E616" s="13" t="inlineStr">
        <is>
          <t>120mm</t>
        </is>
      </c>
      <c r="F616" s="100" t="n"/>
      <c r="G616" s="9" t="n"/>
      <c r="H616" s="9" t="inlineStr">
        <is>
          <t>HLP</t>
        </is>
      </c>
      <c r="I616" s="14" t="n"/>
      <c r="J616" s="14" t="n"/>
      <c r="K616" s="12" t="n">
        <v>0</v>
      </c>
      <c r="L616" s="9" t="n"/>
      <c r="M616" s="9" t="n"/>
      <c r="N616" s="9" t="n"/>
      <c r="O616" s="40">
        <f>K616+V616-AE616-AZ616</f>
        <v/>
      </c>
      <c r="P616" s="12" t="n"/>
      <c r="Q616" s="138" t="n"/>
      <c r="R616" s="16" t="n"/>
      <c r="S616" s="139" t="n"/>
      <c r="T616" s="16" t="n"/>
      <c r="U616" s="139" t="n"/>
      <c r="V616" s="16">
        <f>P616+R616+T616</f>
        <v/>
      </c>
      <c r="W616" s="16" t="n"/>
      <c r="X616" s="139" t="n"/>
      <c r="Y616" s="16" t="n"/>
      <c r="Z616" s="139" t="n"/>
      <c r="AA616" s="16" t="n"/>
      <c r="AB616" s="139" t="n"/>
      <c r="AC616" s="16" t="n"/>
      <c r="AD616" s="139" t="n"/>
      <c r="AE616" s="16">
        <f>(W616+Y616+AA616+AC616)</f>
        <v/>
      </c>
      <c r="AF616" s="140" t="n"/>
      <c r="AG616" s="138" t="n"/>
      <c r="AH616" s="16" t="n"/>
      <c r="AI616" s="138" t="n"/>
      <c r="AJ616" s="16" t="n"/>
      <c r="AK616" s="138" t="n"/>
      <c r="AL616" s="16" t="n"/>
      <c r="AM616" s="138" t="n"/>
      <c r="AN616" s="16" t="n"/>
      <c r="AO616" s="138" t="n"/>
      <c r="AP616" s="16" t="n"/>
      <c r="AQ616" s="138" t="n"/>
      <c r="AR616" s="16" t="n"/>
      <c r="AS616" s="138" t="n"/>
      <c r="AT616" s="16" t="n"/>
      <c r="AU616" s="138" t="n"/>
      <c r="AV616" s="16" t="n"/>
      <c r="AW616" s="138" t="n"/>
      <c r="AX616" s="16" t="n"/>
      <c r="AY616" s="138" t="n"/>
      <c r="AZ616" s="16">
        <f>AF616+AH616+AJ616+AL616+AN616+AP616+AR616+AT616+AV616+AX616</f>
        <v/>
      </c>
      <c r="BA616" s="16" t="n"/>
      <c r="BB616" s="139" t="n"/>
      <c r="BC616" s="16" t="n"/>
      <c r="BD616" s="139" t="n"/>
      <c r="BE616" s="16">
        <f>(BA616+BC616)</f>
        <v/>
      </c>
    </row>
    <row r="617" ht="22.5" customFormat="1" customHeight="1" s="8">
      <c r="A617" s="9" t="n"/>
      <c r="B617" s="136" t="inlineStr">
        <is>
          <t>CABLE</t>
        </is>
      </c>
      <c r="C617" s="137" t="inlineStr">
        <is>
          <t>ADX6000</t>
        </is>
      </c>
      <c r="D617" s="60" t="inlineStr">
        <is>
          <t>PC Connector Wire Harness (7핀)</t>
        </is>
      </c>
      <c r="E617" s="13" t="inlineStr">
        <is>
          <t>100mm, 140mm, 200mm</t>
        </is>
      </c>
      <c r="F617" s="100" t="n"/>
      <c r="G617" s="9" t="n"/>
      <c r="H617" s="9" t="inlineStr">
        <is>
          <t>HLP</t>
        </is>
      </c>
      <c r="I617" s="14" t="n"/>
      <c r="J617" s="14" t="n"/>
      <c r="K617" s="12" t="n">
        <v>0</v>
      </c>
      <c r="L617" s="9" t="n"/>
      <c r="M617" s="9" t="n"/>
      <c r="N617" s="9" t="n"/>
      <c r="O617" s="40">
        <f>K617+V617-AE617-AZ617</f>
        <v/>
      </c>
      <c r="P617" s="12" t="n"/>
      <c r="Q617" s="138" t="n"/>
      <c r="R617" s="16" t="n"/>
      <c r="S617" s="139" t="n"/>
      <c r="T617" s="16" t="n"/>
      <c r="U617" s="139" t="n"/>
      <c r="V617" s="16">
        <f>P617+R617+T617</f>
        <v/>
      </c>
      <c r="W617" s="16" t="n"/>
      <c r="X617" s="139" t="n"/>
      <c r="Y617" s="16" t="n"/>
      <c r="Z617" s="139" t="n"/>
      <c r="AA617" s="16" t="n"/>
      <c r="AB617" s="139" t="n"/>
      <c r="AC617" s="16" t="n"/>
      <c r="AD617" s="139" t="n"/>
      <c r="AE617" s="16">
        <f>(W617+Y617+AA617+AC617)</f>
        <v/>
      </c>
      <c r="AF617" s="140" t="n"/>
      <c r="AG617" s="138" t="n"/>
      <c r="AH617" s="16" t="n"/>
      <c r="AI617" s="138" t="n"/>
      <c r="AJ617" s="16" t="n"/>
      <c r="AK617" s="138" t="n"/>
      <c r="AL617" s="16" t="n"/>
      <c r="AM617" s="138" t="n"/>
      <c r="AN617" s="16" t="n"/>
      <c r="AO617" s="138" t="n"/>
      <c r="AP617" s="16" t="n"/>
      <c r="AQ617" s="138" t="n"/>
      <c r="AR617" s="16" t="n"/>
      <c r="AS617" s="138" t="n"/>
      <c r="AT617" s="16" t="n"/>
      <c r="AU617" s="138" t="n"/>
      <c r="AV617" s="16" t="n"/>
      <c r="AW617" s="138" t="n"/>
      <c r="AX617" s="16" t="n"/>
      <c r="AY617" s="138" t="n"/>
      <c r="AZ617" s="16">
        <f>AF617+AH617+AJ617+AL617+AN617+AP617+AR617+AT617+AV617+AX617</f>
        <v/>
      </c>
      <c r="BA617" s="16" t="n"/>
      <c r="BB617" s="139" t="n"/>
      <c r="BC617" s="16" t="n"/>
      <c r="BD617" s="139" t="n"/>
      <c r="BE617" s="16">
        <f>(BA617+BC617)</f>
        <v/>
      </c>
    </row>
    <row r="618" ht="22.5" customFormat="1" customHeight="1" s="8">
      <c r="A618" s="9" t="n"/>
      <c r="B618" s="136" t="inlineStr">
        <is>
          <t>PANEL</t>
        </is>
      </c>
      <c r="C618" s="137" t="inlineStr">
        <is>
          <t>ADX6000S</t>
        </is>
      </c>
      <c r="D618" s="84" t="inlineStr">
        <is>
          <t>4.3" LCD</t>
        </is>
      </c>
      <c r="E618" s="13" t="inlineStr">
        <is>
          <t>IEC266lite-43, OS 영문</t>
        </is>
      </c>
      <c r="F618" s="100" t="n"/>
      <c r="G618" s="9" t="n"/>
      <c r="H618" s="9" t="inlineStr">
        <is>
          <t>에이치앤에스</t>
        </is>
      </c>
      <c r="I618" s="14" t="n"/>
      <c r="J618" s="14" t="n"/>
      <c r="K618" s="12" t="n">
        <v>0</v>
      </c>
      <c r="L618" s="9" t="n"/>
      <c r="M618" s="9" t="n"/>
      <c r="N618" s="9" t="n"/>
      <c r="O618" s="40">
        <f>K618+V618-AE618-AZ618</f>
        <v/>
      </c>
      <c r="P618" s="12" t="n"/>
      <c r="Q618" s="138" t="n"/>
      <c r="R618" s="16" t="n"/>
      <c r="S618" s="139" t="n"/>
      <c r="T618" s="16" t="n"/>
      <c r="U618" s="139" t="n"/>
      <c r="V618" s="16">
        <f>P618+R618+T618</f>
        <v/>
      </c>
      <c r="W618" s="16" t="n"/>
      <c r="X618" s="139" t="n"/>
      <c r="Y618" s="16" t="n"/>
      <c r="Z618" s="139" t="n"/>
      <c r="AA618" s="16" t="n"/>
      <c r="AB618" s="139" t="n"/>
      <c r="AC618" s="16" t="n"/>
      <c r="AD618" s="139" t="n"/>
      <c r="AE618" s="16">
        <f>(W618+Y618+AA618+AC618)</f>
        <v/>
      </c>
      <c r="AF618" s="140" t="n"/>
      <c r="AG618" s="138" t="n"/>
      <c r="AH618" s="16" t="n"/>
      <c r="AI618" s="138" t="n"/>
      <c r="AJ618" s="16" t="n"/>
      <c r="AK618" s="138" t="n"/>
      <c r="AL618" s="16" t="n"/>
      <c r="AM618" s="138" t="n"/>
      <c r="AN618" s="16" t="n"/>
      <c r="AO618" s="138" t="n"/>
      <c r="AP618" s="16" t="n"/>
      <c r="AQ618" s="138" t="n"/>
      <c r="AR618" s="16" t="n"/>
      <c r="AS618" s="138" t="n"/>
      <c r="AT618" s="16" t="n"/>
      <c r="AU618" s="138" t="n"/>
      <c r="AV618" s="16" t="n"/>
      <c r="AW618" s="138" t="n"/>
      <c r="AX618" s="16" t="n"/>
      <c r="AY618" s="138" t="n"/>
      <c r="AZ618" s="16">
        <f>AF618+AH618+AJ618+AL618+AN618+AP618+AR618+AT618+AV618+AX618</f>
        <v/>
      </c>
      <c r="BA618" s="16" t="n"/>
      <c r="BB618" s="139" t="n"/>
      <c r="BC618" s="16" t="n"/>
      <c r="BD618" s="139" t="n"/>
      <c r="BE618" s="16">
        <f>(BA618+BC618)</f>
        <v/>
      </c>
    </row>
    <row r="619" ht="22.5" customFormat="1" customHeight="1" s="8">
      <c r="A619" s="9" t="n"/>
      <c r="B619" s="136" t="inlineStr">
        <is>
          <t>MODULE</t>
        </is>
      </c>
      <c r="C619" s="137" t="inlineStr">
        <is>
          <t>ADX6000S</t>
        </is>
      </c>
      <c r="D619" s="84" t="inlineStr">
        <is>
          <t>4.3" Module</t>
        </is>
      </c>
      <c r="E619" s="13" t="inlineStr">
        <is>
          <t>IEC266lite-43, OS 영문</t>
        </is>
      </c>
      <c r="F619" s="100" t="n"/>
      <c r="G619" s="9" t="n"/>
      <c r="H619" s="9" t="inlineStr">
        <is>
          <t>에이치앤에스</t>
        </is>
      </c>
      <c r="I619" s="14" t="n"/>
      <c r="J619" s="14" t="n"/>
      <c r="K619" s="12" t="n">
        <v>0</v>
      </c>
      <c r="L619" s="9" t="n"/>
      <c r="M619" s="9" t="n"/>
      <c r="N619" s="9" t="n"/>
      <c r="O619" s="40">
        <f>K619+V619-AE619-AZ619</f>
        <v/>
      </c>
      <c r="P619" s="12" t="n"/>
      <c r="Q619" s="138" t="n"/>
      <c r="R619" s="16" t="n"/>
      <c r="S619" s="139" t="n"/>
      <c r="T619" s="16" t="n"/>
      <c r="U619" s="139" t="n"/>
      <c r="V619" s="16">
        <f>P619+R619+T619</f>
        <v/>
      </c>
      <c r="W619" s="16" t="n"/>
      <c r="X619" s="139" t="n"/>
      <c r="Y619" s="16" t="n"/>
      <c r="Z619" s="139" t="n"/>
      <c r="AA619" s="16" t="n"/>
      <c r="AB619" s="139" t="n"/>
      <c r="AC619" s="16" t="n"/>
      <c r="AD619" s="139" t="n"/>
      <c r="AE619" s="16">
        <f>(W619+Y619+AA619+AC619)</f>
        <v/>
      </c>
      <c r="AF619" s="140" t="n"/>
      <c r="AG619" s="138" t="n"/>
      <c r="AH619" s="16" t="n"/>
      <c r="AI619" s="138" t="n"/>
      <c r="AJ619" s="16" t="n"/>
      <c r="AK619" s="138" t="n"/>
      <c r="AL619" s="16" t="n"/>
      <c r="AM619" s="138" t="n"/>
      <c r="AN619" s="16" t="n"/>
      <c r="AO619" s="138" t="n"/>
      <c r="AP619" s="16" t="n"/>
      <c r="AQ619" s="138" t="n"/>
      <c r="AR619" s="16" t="n"/>
      <c r="AS619" s="138" t="n"/>
      <c r="AT619" s="16" t="n"/>
      <c r="AU619" s="138" t="n"/>
      <c r="AV619" s="16" t="n"/>
      <c r="AW619" s="138" t="n"/>
      <c r="AX619" s="16" t="n"/>
      <c r="AY619" s="138" t="n"/>
      <c r="AZ619" s="16">
        <f>AF619+AH619+AJ619+AL619+AN619+AP619+AR619+AT619+AV619+AX619</f>
        <v/>
      </c>
      <c r="BA619" s="16" t="n"/>
      <c r="BB619" s="139" t="n"/>
      <c r="BC619" s="16" t="n"/>
      <c r="BD619" s="139" t="n"/>
      <c r="BE619" s="16">
        <f>(BA619+BC619)</f>
        <v/>
      </c>
    </row>
    <row r="620" ht="22.5" customFormat="1" customHeight="1" s="8">
      <c r="A620" s="9" t="n"/>
      <c r="B620" s="136" t="inlineStr">
        <is>
          <t>ABS 난연</t>
        </is>
      </c>
      <c r="C620" s="137" t="inlineStr">
        <is>
          <t>ADX6000</t>
        </is>
      </c>
      <c r="D620" s="84" t="inlineStr">
        <is>
          <t>컬리메이터 REAR 사출</t>
        </is>
      </c>
      <c r="E620" s="13" t="inlineStr">
        <is>
          <t>ABS 난연 화이트 + 스프레이</t>
        </is>
      </c>
      <c r="F620" s="100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40">
        <f>K620+V620-AE620-AZ620</f>
        <v/>
      </c>
      <c r="P620" s="12" t="n"/>
      <c r="Q620" s="138" t="n"/>
      <c r="R620" s="16" t="n"/>
      <c r="S620" s="139" t="n"/>
      <c r="T620" s="16" t="n"/>
      <c r="U620" s="139" t="n"/>
      <c r="V620" s="16">
        <f>P620+R620+T620</f>
        <v/>
      </c>
      <c r="W620" s="16" t="n"/>
      <c r="X620" s="139" t="n"/>
      <c r="Y620" s="16" t="n"/>
      <c r="Z620" s="139" t="n"/>
      <c r="AA620" s="16" t="n"/>
      <c r="AB620" s="139" t="n"/>
      <c r="AC620" s="16" t="n"/>
      <c r="AD620" s="139" t="n"/>
      <c r="AE620" s="16">
        <f>(W620+Y620+AA620+AC620)</f>
        <v/>
      </c>
      <c r="AF620" s="140" t="n"/>
      <c r="AG620" s="138" t="n"/>
      <c r="AH620" s="16" t="n"/>
      <c r="AI620" s="138" t="n"/>
      <c r="AJ620" s="16" t="n"/>
      <c r="AK620" s="138" t="n"/>
      <c r="AL620" s="16" t="n"/>
      <c r="AM620" s="138" t="n"/>
      <c r="AN620" s="16" t="n"/>
      <c r="AO620" s="138" t="n"/>
      <c r="AP620" s="16" t="n"/>
      <c r="AQ620" s="138" t="n"/>
      <c r="AR620" s="16" t="n"/>
      <c r="AS620" s="138" t="n"/>
      <c r="AT620" s="16" t="n"/>
      <c r="AU620" s="138" t="n"/>
      <c r="AV620" s="16" t="n"/>
      <c r="AW620" s="138" t="n"/>
      <c r="AX620" s="16" t="n"/>
      <c r="AY620" s="138" t="n"/>
      <c r="AZ620" s="16">
        <f>AF620+AH620+AJ620+AL620+AN620+AP620+AR620+AT620+AV620+AX620</f>
        <v/>
      </c>
      <c r="BA620" s="16" t="n"/>
      <c r="BB620" s="139" t="n"/>
      <c r="BC620" s="16" t="n"/>
      <c r="BD620" s="139" t="n"/>
      <c r="BE620" s="16">
        <f>(BA620+BC620)</f>
        <v/>
      </c>
    </row>
    <row r="621" ht="22.5" customFormat="1" customHeight="1" s="8">
      <c r="A621" s="9" t="n"/>
      <c r="B621" s="136" t="inlineStr">
        <is>
          <t>ABS 난연</t>
        </is>
      </c>
      <c r="C621" s="137" t="inlineStr">
        <is>
          <t>ADX6000</t>
        </is>
      </c>
      <c r="D621" s="84" t="inlineStr">
        <is>
          <t>컬리메이터 내부하우징 사출</t>
        </is>
      </c>
      <c r="E621" s="13" t="inlineStr">
        <is>
          <t>ABS 난연 화이트 + 스프레이</t>
        </is>
      </c>
      <c r="F621" s="100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40">
        <f>K621+V621-AE621-AZ621</f>
        <v/>
      </c>
      <c r="P621" s="12" t="n"/>
      <c r="Q621" s="138" t="n"/>
      <c r="R621" s="16" t="n"/>
      <c r="S621" s="139" t="n"/>
      <c r="T621" s="16" t="n"/>
      <c r="U621" s="139" t="n"/>
      <c r="V621" s="16">
        <f>P621+R621+T621</f>
        <v/>
      </c>
      <c r="W621" s="16" t="n"/>
      <c r="X621" s="139" t="n"/>
      <c r="Y621" s="16" t="n"/>
      <c r="Z621" s="139" t="n"/>
      <c r="AA621" s="16" t="n"/>
      <c r="AB621" s="139" t="n"/>
      <c r="AC621" s="16" t="n"/>
      <c r="AD621" s="139" t="n"/>
      <c r="AE621" s="16">
        <f>(W621+Y621+AA621+AC621)</f>
        <v/>
      </c>
      <c r="AF621" s="140" t="n"/>
      <c r="AG621" s="138" t="n"/>
      <c r="AH621" s="16" t="n"/>
      <c r="AI621" s="138" t="n"/>
      <c r="AJ621" s="16" t="n"/>
      <c r="AK621" s="138" t="n"/>
      <c r="AL621" s="16" t="n"/>
      <c r="AM621" s="138" t="n"/>
      <c r="AN621" s="16" t="n"/>
      <c r="AO621" s="138" t="n"/>
      <c r="AP621" s="16" t="n"/>
      <c r="AQ621" s="138" t="n"/>
      <c r="AR621" s="16" t="n"/>
      <c r="AS621" s="138" t="n"/>
      <c r="AT621" s="16" t="n"/>
      <c r="AU621" s="138" t="n"/>
      <c r="AV621" s="16" t="n"/>
      <c r="AW621" s="138" t="n"/>
      <c r="AX621" s="16" t="n"/>
      <c r="AY621" s="138" t="n"/>
      <c r="AZ621" s="16">
        <f>AF621+AH621+AJ621+AL621+AN621+AP621+AR621+AT621+AV621+AX621</f>
        <v/>
      </c>
      <c r="BA621" s="16" t="n"/>
      <c r="BB621" s="139" t="n"/>
      <c r="BC621" s="16" t="n"/>
      <c r="BD621" s="139" t="n"/>
      <c r="BE621" s="16">
        <f>(BA621+BC621)</f>
        <v/>
      </c>
    </row>
    <row r="622" ht="22.5" customFormat="1" customHeight="1" s="8">
      <c r="A622" s="9" t="n"/>
      <c r="B622" s="136" t="inlineStr">
        <is>
          <t>ABS 난연</t>
        </is>
      </c>
      <c r="C622" s="137" t="inlineStr">
        <is>
          <t>ADX6000</t>
        </is>
      </c>
      <c r="D622" s="84" t="inlineStr">
        <is>
          <t>컬리메이터 내부브릿지 사출</t>
        </is>
      </c>
      <c r="E622" s="13" t="inlineStr">
        <is>
          <t>ABS 난연 화이트 + 스프레이</t>
        </is>
      </c>
      <c r="F622" s="100" t="n"/>
      <c r="G622" s="9" t="n"/>
      <c r="H622" s="9" t="inlineStr">
        <is>
          <t>천우</t>
        </is>
      </c>
      <c r="I622" s="14" t="n"/>
      <c r="J622" s="14" t="n"/>
      <c r="K622" s="12" t="n">
        <v>0</v>
      </c>
      <c r="L622" s="9" t="n"/>
      <c r="M622" s="9" t="n"/>
      <c r="N622" s="9" t="n"/>
      <c r="O622" s="40">
        <f>K622+V622-AE622-AZ622</f>
        <v/>
      </c>
      <c r="P622" s="12" t="n"/>
      <c r="Q622" s="138" t="n"/>
      <c r="R622" s="16" t="n"/>
      <c r="S622" s="139" t="n"/>
      <c r="T622" s="16" t="n"/>
      <c r="U622" s="139" t="n"/>
      <c r="V622" s="16">
        <f>P622+R622+T622</f>
        <v/>
      </c>
      <c r="W622" s="16" t="n"/>
      <c r="X622" s="139" t="n"/>
      <c r="Y622" s="16" t="n"/>
      <c r="Z622" s="139" t="n"/>
      <c r="AA622" s="16" t="n"/>
      <c r="AB622" s="139" t="n"/>
      <c r="AC622" s="16" t="n"/>
      <c r="AD622" s="139" t="n"/>
      <c r="AE622" s="16">
        <f>(W622+Y622+AA622+AC622)</f>
        <v/>
      </c>
      <c r="AF622" s="140" t="n"/>
      <c r="AG622" s="138" t="n"/>
      <c r="AH622" s="16" t="n"/>
      <c r="AI622" s="138" t="n"/>
      <c r="AJ622" s="16" t="n"/>
      <c r="AK622" s="138" t="n"/>
      <c r="AL622" s="16" t="n"/>
      <c r="AM622" s="138" t="n"/>
      <c r="AN622" s="16" t="n"/>
      <c r="AO622" s="138" t="n"/>
      <c r="AP622" s="16" t="n"/>
      <c r="AQ622" s="138" t="n"/>
      <c r="AR622" s="16" t="n"/>
      <c r="AS622" s="138" t="n"/>
      <c r="AT622" s="16" t="n"/>
      <c r="AU622" s="138" t="n"/>
      <c r="AV622" s="16" t="n"/>
      <c r="AW622" s="138" t="n"/>
      <c r="AX622" s="16" t="n"/>
      <c r="AY622" s="138" t="n"/>
      <c r="AZ622" s="16">
        <f>AF622+AH622+AJ622+AL622+AN622+AP622+AR622+AT622+AV622+AX622</f>
        <v/>
      </c>
      <c r="BA622" s="16" t="n"/>
      <c r="BB622" s="139" t="n"/>
      <c r="BC622" s="16" t="n"/>
      <c r="BD622" s="139" t="n"/>
      <c r="BE622" s="16">
        <f>(BA622+BC622)</f>
        <v/>
      </c>
    </row>
    <row r="623" ht="22.5" customFormat="1" customHeight="1" s="8">
      <c r="A623" s="9" t="n"/>
      <c r="B623" s="136" t="inlineStr">
        <is>
          <t>ABS 난연</t>
        </is>
      </c>
      <c r="C623" s="137" t="inlineStr">
        <is>
          <t>ADX6000</t>
        </is>
      </c>
      <c r="D623" s="84" t="inlineStr">
        <is>
          <t>컬리메이터 MIRROR 거치대 사출</t>
        </is>
      </c>
      <c r="E623" s="13" t="inlineStr">
        <is>
          <t>ABS 난연 화이트 + 스프레이  블랙</t>
        </is>
      </c>
      <c r="F623" s="100" t="n"/>
      <c r="G623" s="9" t="n"/>
      <c r="H623" s="9" t="inlineStr">
        <is>
          <t>천우</t>
        </is>
      </c>
      <c r="I623" s="14" t="n"/>
      <c r="J623" s="14" t="n"/>
      <c r="K623" s="12" t="n">
        <v>0</v>
      </c>
      <c r="L623" s="9" t="n"/>
      <c r="M623" s="9" t="n"/>
      <c r="N623" s="9" t="n"/>
      <c r="O623" s="40">
        <f>K623+V623-AE623-AZ623</f>
        <v/>
      </c>
      <c r="P623" s="12" t="n"/>
      <c r="Q623" s="138" t="n"/>
      <c r="R623" s="16" t="n"/>
      <c r="S623" s="139" t="n"/>
      <c r="T623" s="16" t="n"/>
      <c r="U623" s="139" t="n"/>
      <c r="V623" s="16">
        <f>P623+R623+T623</f>
        <v/>
      </c>
      <c r="W623" s="16" t="n"/>
      <c r="X623" s="139" t="n"/>
      <c r="Y623" s="16" t="n"/>
      <c r="Z623" s="139" t="n"/>
      <c r="AA623" s="16" t="n"/>
      <c r="AB623" s="139" t="n"/>
      <c r="AC623" s="16" t="n"/>
      <c r="AD623" s="139" t="n"/>
      <c r="AE623" s="16">
        <f>(W623+Y623+AA623+AC623)</f>
        <v/>
      </c>
      <c r="AF623" s="140" t="n"/>
      <c r="AG623" s="138" t="n"/>
      <c r="AH623" s="16" t="n"/>
      <c r="AI623" s="138" t="n"/>
      <c r="AJ623" s="16" t="n"/>
      <c r="AK623" s="138" t="n"/>
      <c r="AL623" s="16" t="n"/>
      <c r="AM623" s="138" t="n"/>
      <c r="AN623" s="16" t="n"/>
      <c r="AO623" s="138" t="n"/>
      <c r="AP623" s="16" t="n"/>
      <c r="AQ623" s="138" t="n"/>
      <c r="AR623" s="16" t="n"/>
      <c r="AS623" s="138" t="n"/>
      <c r="AT623" s="16" t="n"/>
      <c r="AU623" s="138" t="n"/>
      <c r="AV623" s="16" t="n"/>
      <c r="AW623" s="138" t="n"/>
      <c r="AX623" s="16" t="n"/>
      <c r="AY623" s="138" t="n"/>
      <c r="AZ623" s="16">
        <f>AF623+AH623+AJ623+AL623+AN623+AP623+AR623+AT623+AV623+AX623</f>
        <v/>
      </c>
      <c r="BA623" s="16" t="n"/>
      <c r="BB623" s="139" t="n"/>
      <c r="BC623" s="16" t="n"/>
      <c r="BD623" s="139" t="n"/>
      <c r="BE623" s="16">
        <f>(BA623+BC623)</f>
        <v/>
      </c>
    </row>
    <row r="624" ht="22.5" customFormat="1" customHeight="1" s="8">
      <c r="A624" s="9" t="n"/>
      <c r="B624" s="136" t="inlineStr">
        <is>
          <t>ABS 난연</t>
        </is>
      </c>
      <c r="C624" s="137" t="inlineStr">
        <is>
          <t>ADX6000</t>
        </is>
      </c>
      <c r="D624" s="86" t="inlineStr">
        <is>
          <t>Micro USB 사출 가이드</t>
        </is>
      </c>
      <c r="E624" s="23" t="inlineStr">
        <is>
          <t>ABS 난연 화이트 + 스프레이</t>
        </is>
      </c>
      <c r="F624" s="100" t="n"/>
      <c r="G624" s="9" t="n"/>
      <c r="H624" s="9" t="inlineStr">
        <is>
          <t>천우</t>
        </is>
      </c>
      <c r="I624" s="14" t="n"/>
      <c r="J624" s="14" t="n"/>
      <c r="K624" s="12" t="n">
        <v>0</v>
      </c>
      <c r="L624" s="9" t="n"/>
      <c r="M624" s="9" t="n"/>
      <c r="N624" s="9" t="n"/>
      <c r="O624" s="40">
        <f>K624+V624-AE624-AZ624</f>
        <v/>
      </c>
      <c r="P624" s="12" t="n"/>
      <c r="Q624" s="138" t="n"/>
      <c r="R624" s="16" t="n"/>
      <c r="S624" s="139" t="n"/>
      <c r="T624" s="16" t="n"/>
      <c r="U624" s="139" t="n"/>
      <c r="V624" s="16">
        <f>P624+R624+T624</f>
        <v/>
      </c>
      <c r="W624" s="16" t="n"/>
      <c r="X624" s="139" t="n"/>
      <c r="Y624" s="16" t="n"/>
      <c r="Z624" s="139" t="n"/>
      <c r="AA624" s="16" t="n"/>
      <c r="AB624" s="139" t="n"/>
      <c r="AC624" s="16" t="n"/>
      <c r="AD624" s="139" t="n"/>
      <c r="AE624" s="16">
        <f>(W624+Y624+AA624+AC624)</f>
        <v/>
      </c>
      <c r="AF624" s="140" t="n"/>
      <c r="AG624" s="138" t="n"/>
      <c r="AH624" s="16" t="n"/>
      <c r="AI624" s="138" t="n"/>
      <c r="AJ624" s="16" t="n"/>
      <c r="AK624" s="138" t="n"/>
      <c r="AL624" s="16" t="n"/>
      <c r="AM624" s="138" t="n"/>
      <c r="AN624" s="16" t="n"/>
      <c r="AO624" s="138" t="n"/>
      <c r="AP624" s="16" t="n"/>
      <c r="AQ624" s="138" t="n"/>
      <c r="AR624" s="16" t="n"/>
      <c r="AS624" s="138" t="n"/>
      <c r="AT624" s="16" t="n"/>
      <c r="AU624" s="138" t="n"/>
      <c r="AV624" s="16" t="n"/>
      <c r="AW624" s="138" t="n"/>
      <c r="AX624" s="16" t="n"/>
      <c r="AY624" s="138" t="n"/>
      <c r="AZ624" s="16">
        <f>AF624+AH624+AJ624+AL624+AN624+AP624+AR624+AT624+AV624+AX624</f>
        <v/>
      </c>
      <c r="BA624" s="16" t="n"/>
      <c r="BB624" s="139" t="n"/>
      <c r="BC624" s="16" t="n"/>
      <c r="BD624" s="139" t="n"/>
      <c r="BE624" s="16">
        <f>(BA624+BC624)</f>
        <v/>
      </c>
    </row>
    <row r="625" ht="22.5" customFormat="1" customHeight="1" s="8">
      <c r="A625" s="9" t="n"/>
      <c r="B625" s="136" t="inlineStr">
        <is>
          <t>아크릴</t>
        </is>
      </c>
      <c r="C625" s="137" t="inlineStr">
        <is>
          <t>ADX6000</t>
        </is>
      </c>
      <c r="D625" s="86" t="inlineStr">
        <is>
          <t>아크릴 은경</t>
        </is>
      </c>
      <c r="E625" s="23" t="inlineStr">
        <is>
          <t>아크릴 + 불량42</t>
        </is>
      </c>
      <c r="F625" s="100" t="n"/>
      <c r="G625" s="9" t="n"/>
      <c r="H625" s="9" t="inlineStr">
        <is>
          <t>아크릴최가</t>
        </is>
      </c>
      <c r="I625" s="14" t="n"/>
      <c r="J625" s="14" t="n"/>
      <c r="K625" s="12" t="n">
        <v>0</v>
      </c>
      <c r="L625" s="9" t="n"/>
      <c r="M625" s="9" t="n"/>
      <c r="N625" s="9" t="n"/>
      <c r="O625" s="40">
        <f>K625+V625-AE625-AZ625</f>
        <v/>
      </c>
      <c r="P625" s="12" t="n"/>
      <c r="Q625" s="138" t="n"/>
      <c r="R625" s="16" t="n"/>
      <c r="S625" s="139" t="n"/>
      <c r="T625" s="16" t="n"/>
      <c r="U625" s="139" t="n"/>
      <c r="V625" s="16">
        <f>P625+R625+T625</f>
        <v/>
      </c>
      <c r="W625" s="16" t="n"/>
      <c r="X625" s="139" t="n"/>
      <c r="Y625" s="16" t="n"/>
      <c r="Z625" s="139" t="n"/>
      <c r="AA625" s="16" t="n"/>
      <c r="AB625" s="139" t="n"/>
      <c r="AC625" s="16" t="n"/>
      <c r="AD625" s="139" t="n"/>
      <c r="AE625" s="16">
        <f>(W625+Y625+AA625+AC625)</f>
        <v/>
      </c>
      <c r="AF625" s="140" t="n"/>
      <c r="AG625" s="138" t="n"/>
      <c r="AH625" s="16" t="n"/>
      <c r="AI625" s="138" t="n"/>
      <c r="AJ625" s="16" t="n"/>
      <c r="AK625" s="138" t="n"/>
      <c r="AL625" s="16" t="n"/>
      <c r="AM625" s="138" t="n"/>
      <c r="AN625" s="16" t="n"/>
      <c r="AO625" s="138" t="n"/>
      <c r="AP625" s="16" t="n"/>
      <c r="AQ625" s="138" t="n"/>
      <c r="AR625" s="16" t="n"/>
      <c r="AS625" s="138" t="n"/>
      <c r="AT625" s="16" t="n"/>
      <c r="AU625" s="138" t="n"/>
      <c r="AV625" s="16" t="n"/>
      <c r="AW625" s="138" t="n"/>
      <c r="AX625" s="16" t="n"/>
      <c r="AY625" s="138" t="n"/>
      <c r="AZ625" s="16">
        <f>AF625+AH625+AJ625+AL625+AN625+AP625+AR625+AT625+AV625+AX625</f>
        <v/>
      </c>
      <c r="BA625" s="16" t="n"/>
      <c r="BB625" s="139" t="n"/>
      <c r="BC625" s="16" t="n"/>
      <c r="BD625" s="139" t="n"/>
      <c r="BE625" s="16">
        <f>(BA625+BC625)</f>
        <v/>
      </c>
    </row>
    <row r="626" ht="22.5" customFormat="1" customHeight="1" s="8">
      <c r="A626" s="9" t="n"/>
      <c r="B626" s="136" t="inlineStr">
        <is>
          <t>AL + STEEL</t>
        </is>
      </c>
      <c r="C626" s="137" t="inlineStr">
        <is>
          <t>ADX6000</t>
        </is>
      </c>
      <c r="D626" s="84" t="inlineStr">
        <is>
          <t>스킨가드 FRAME</t>
        </is>
      </c>
      <c r="E626" s="13" t="inlineStr">
        <is>
          <t>AL 가공 + 흑색 아노다이징</t>
        </is>
      </c>
      <c r="F626" s="100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40">
        <f>K626+V626-AE626-AZ626</f>
        <v/>
      </c>
      <c r="P626" s="12" t="n"/>
      <c r="Q626" s="138" t="n"/>
      <c r="R626" s="16" t="n"/>
      <c r="S626" s="139" t="n"/>
      <c r="T626" s="16" t="n"/>
      <c r="U626" s="139" t="n"/>
      <c r="V626" s="16">
        <f>P626+R626+T626</f>
        <v/>
      </c>
      <c r="W626" s="16" t="n"/>
      <c r="X626" s="139" t="n"/>
      <c r="Y626" s="16" t="n"/>
      <c r="Z626" s="139" t="n"/>
      <c r="AA626" s="16" t="n"/>
      <c r="AB626" s="139" t="n"/>
      <c r="AC626" s="16" t="n"/>
      <c r="AD626" s="139" t="n"/>
      <c r="AE626" s="16">
        <f>(W626+Y626+AA626+AC626)</f>
        <v/>
      </c>
      <c r="AF626" s="140" t="n"/>
      <c r="AG626" s="138" t="n"/>
      <c r="AH626" s="16" t="n"/>
      <c r="AI626" s="138" t="n"/>
      <c r="AJ626" s="16" t="n"/>
      <c r="AK626" s="138" t="n"/>
      <c r="AL626" s="16" t="n"/>
      <c r="AM626" s="138" t="n"/>
      <c r="AN626" s="16" t="n"/>
      <c r="AO626" s="138" t="n"/>
      <c r="AP626" s="16" t="n"/>
      <c r="AQ626" s="138" t="n"/>
      <c r="AR626" s="16" t="n"/>
      <c r="AS626" s="138" t="n"/>
      <c r="AT626" s="16" t="n"/>
      <c r="AU626" s="138" t="n"/>
      <c r="AV626" s="16" t="n"/>
      <c r="AW626" s="138" t="n"/>
      <c r="AX626" s="16" t="n"/>
      <c r="AY626" s="138" t="n"/>
      <c r="AZ626" s="16">
        <f>AF626+AH626+AJ626+AL626+AN626+AP626+AR626+AT626+AV626+AX626</f>
        <v/>
      </c>
      <c r="BA626" s="16" t="n"/>
      <c r="BB626" s="139" t="n"/>
      <c r="BC626" s="16" t="n"/>
      <c r="BD626" s="139" t="n"/>
      <c r="BE626" s="16">
        <f>(BA626+BC626)</f>
        <v/>
      </c>
    </row>
    <row r="627" ht="22.5" customFormat="1" customHeight="1" s="8">
      <c r="A627" s="9" t="n"/>
      <c r="B627" s="136" t="inlineStr">
        <is>
          <t>AL + STEEL</t>
        </is>
      </c>
      <c r="C627" s="137" t="inlineStr">
        <is>
          <t>ADX6000</t>
        </is>
      </c>
      <c r="D627" s="60" t="inlineStr">
        <is>
          <t>스킨가드 BODY</t>
        </is>
      </c>
      <c r="E627" s="13" t="inlineStr">
        <is>
          <t>벨크로, AL 가공</t>
        </is>
      </c>
      <c r="F627" s="100" t="n"/>
      <c r="G627" s="9" t="n"/>
      <c r="H627" s="9" t="inlineStr">
        <is>
          <t>제이케이시스템</t>
        </is>
      </c>
      <c r="I627" s="14" t="n"/>
      <c r="J627" s="14" t="n"/>
      <c r="K627" s="12" t="n">
        <v>0</v>
      </c>
      <c r="L627" s="9" t="n"/>
      <c r="M627" s="9" t="n"/>
      <c r="N627" s="9" t="n"/>
      <c r="O627" s="40">
        <f>K627+V627-AE627-AZ627</f>
        <v/>
      </c>
      <c r="P627" s="12" t="n"/>
      <c r="Q627" s="138" t="n"/>
      <c r="R627" s="16" t="n"/>
      <c r="S627" s="139" t="n"/>
      <c r="T627" s="16" t="n"/>
      <c r="U627" s="139" t="n"/>
      <c r="V627" s="16">
        <f>P627+R627+T627</f>
        <v/>
      </c>
      <c r="W627" s="16" t="n"/>
      <c r="X627" s="139" t="n"/>
      <c r="Y627" s="16" t="n"/>
      <c r="Z627" s="139" t="n"/>
      <c r="AA627" s="16" t="n"/>
      <c r="AB627" s="139" t="n"/>
      <c r="AC627" s="16" t="n"/>
      <c r="AD627" s="139" t="n"/>
      <c r="AE627" s="16">
        <f>(W627+Y627+AA627+AC627)</f>
        <v/>
      </c>
      <c r="AF627" s="140" t="n"/>
      <c r="AG627" s="138" t="n"/>
      <c r="AH627" s="16" t="n"/>
      <c r="AI627" s="138" t="n"/>
      <c r="AJ627" s="16" t="n"/>
      <c r="AK627" s="138" t="n"/>
      <c r="AL627" s="16" t="n"/>
      <c r="AM627" s="138" t="n"/>
      <c r="AN627" s="16" t="n"/>
      <c r="AO627" s="138" t="n"/>
      <c r="AP627" s="16" t="n"/>
      <c r="AQ627" s="138" t="n"/>
      <c r="AR627" s="16" t="n"/>
      <c r="AS627" s="138" t="n"/>
      <c r="AT627" s="16" t="n"/>
      <c r="AU627" s="138" t="n"/>
      <c r="AV627" s="16" t="n"/>
      <c r="AW627" s="138" t="n"/>
      <c r="AX627" s="16" t="n"/>
      <c r="AY627" s="138" t="n"/>
      <c r="AZ627" s="16">
        <f>AF627+AH627+AJ627+AL627+AN627+AP627+AR627+AT627+AV627+AX627</f>
        <v/>
      </c>
      <c r="BA627" s="16" t="n"/>
      <c r="BB627" s="139" t="n"/>
      <c r="BC627" s="16" t="n"/>
      <c r="BD627" s="139" t="n"/>
      <c r="BE627" s="16">
        <f>(BA627+BC627)</f>
        <v/>
      </c>
    </row>
    <row r="628" ht="22.5" customFormat="1" customHeight="1" s="8">
      <c r="A628" s="9" t="n"/>
      <c r="B628" s="136" t="inlineStr">
        <is>
          <t>AL + STEEL</t>
        </is>
      </c>
      <c r="C628" s="137" t="inlineStr">
        <is>
          <t>ADX6000</t>
        </is>
      </c>
      <c r="D628" s="60" t="inlineStr">
        <is>
          <t>스킨가드 구형</t>
        </is>
      </c>
      <c r="E628" s="13" t="n"/>
      <c r="F628" s="100" t="n"/>
      <c r="G628" s="9" t="n"/>
      <c r="H628" s="9" t="inlineStr">
        <is>
          <t>제이케이시스템</t>
        </is>
      </c>
      <c r="I628" s="14" t="n"/>
      <c r="J628" s="14" t="n"/>
      <c r="K628" s="12" t="n">
        <v>23</v>
      </c>
      <c r="L628" s="9" t="n"/>
      <c r="M628" s="9" t="n"/>
      <c r="N628" s="9" t="n"/>
      <c r="O628" s="40">
        <f>K628+V628-AE628-AZ628</f>
        <v/>
      </c>
      <c r="P628" s="12" t="n"/>
      <c r="Q628" s="138" t="n"/>
      <c r="R628" s="16" t="n"/>
      <c r="S628" s="139" t="n"/>
      <c r="T628" s="16" t="n"/>
      <c r="U628" s="139" t="n"/>
      <c r="V628" s="16">
        <f>P628+R628+T628</f>
        <v/>
      </c>
      <c r="W628" s="16" t="n"/>
      <c r="X628" s="139" t="n"/>
      <c r="Y628" s="16" t="n"/>
      <c r="Z628" s="139" t="n"/>
      <c r="AA628" s="16" t="n"/>
      <c r="AB628" s="139" t="n"/>
      <c r="AC628" s="16" t="n"/>
      <c r="AD628" s="139" t="n"/>
      <c r="AE628" s="16">
        <f>(W628+Y628+AA628+AC628)</f>
        <v/>
      </c>
      <c r="AF628" s="140" t="n"/>
      <c r="AG628" s="138" t="n"/>
      <c r="AH628" s="16" t="n"/>
      <c r="AI628" s="138" t="n"/>
      <c r="AJ628" s="16" t="n"/>
      <c r="AK628" s="138" t="n"/>
      <c r="AL628" s="16" t="n"/>
      <c r="AM628" s="138" t="n"/>
      <c r="AN628" s="16" t="n"/>
      <c r="AO628" s="138" t="n"/>
      <c r="AP628" s="16" t="n"/>
      <c r="AQ628" s="138" t="n"/>
      <c r="AR628" s="16" t="n"/>
      <c r="AS628" s="138" t="n"/>
      <c r="AT628" s="16" t="n"/>
      <c r="AU628" s="138" t="n"/>
      <c r="AV628" s="16" t="n"/>
      <c r="AW628" s="138" t="n"/>
      <c r="AX628" s="16" t="n"/>
      <c r="AY628" s="138" t="n"/>
      <c r="AZ628" s="16">
        <f>AF628+AH628+AJ628+AL628+AN628+AP628+AR628+AT628+AV628+AX628</f>
        <v/>
      </c>
      <c r="BA628" s="16" t="n"/>
      <c r="BB628" s="139" t="n"/>
      <c r="BC628" s="16" t="n"/>
      <c r="BD628" s="139" t="n"/>
      <c r="BE628" s="16">
        <f>(BA628+BC628)</f>
        <v/>
      </c>
    </row>
    <row r="629" ht="22.5" customFormat="1" customHeight="1" s="8">
      <c r="A629" s="9" t="n"/>
      <c r="B629" s="136" t="inlineStr">
        <is>
          <t>AL</t>
        </is>
      </c>
      <c r="C629" s="137" t="inlineStr">
        <is>
          <t>ADX6000</t>
        </is>
      </c>
      <c r="D629" s="60" t="inlineStr">
        <is>
          <t>Top Block</t>
        </is>
      </c>
      <c r="E629" s="13" t="inlineStr">
        <is>
          <t>AL 가공 + 흑색 아노다이징</t>
        </is>
      </c>
      <c r="F629" s="100" t="n"/>
      <c r="G629" s="9" t="n"/>
      <c r="H629" s="9" t="inlineStr">
        <is>
          <t>제이케이시스템</t>
        </is>
      </c>
      <c r="I629" s="14" t="n"/>
      <c r="J629" s="14" t="n"/>
      <c r="K629" s="12" t="n">
        <v>0</v>
      </c>
      <c r="L629" s="9" t="n"/>
      <c r="M629" s="9" t="n"/>
      <c r="N629" s="9" t="n"/>
      <c r="O629" s="40">
        <f>K629+V629-AE629-AZ629</f>
        <v/>
      </c>
      <c r="P629" s="12" t="n"/>
      <c r="Q629" s="138" t="n"/>
      <c r="R629" s="16" t="n"/>
      <c r="S629" s="139" t="n"/>
      <c r="T629" s="16" t="n"/>
      <c r="U629" s="139" t="n"/>
      <c r="V629" s="16">
        <f>P629+R629+T629</f>
        <v/>
      </c>
      <c r="W629" s="16" t="n"/>
      <c r="X629" s="139" t="n"/>
      <c r="Y629" s="16" t="n"/>
      <c r="Z629" s="139" t="n"/>
      <c r="AA629" s="16" t="n"/>
      <c r="AB629" s="139" t="n"/>
      <c r="AC629" s="16" t="n"/>
      <c r="AD629" s="139" t="n"/>
      <c r="AE629" s="16">
        <f>(W629+Y629+AA629+AC629)</f>
        <v/>
      </c>
      <c r="AF629" s="140" t="n"/>
      <c r="AG629" s="138" t="n"/>
      <c r="AH629" s="16" t="n"/>
      <c r="AI629" s="138" t="n"/>
      <c r="AJ629" s="16" t="n"/>
      <c r="AK629" s="138" t="n"/>
      <c r="AL629" s="16" t="n"/>
      <c r="AM629" s="138" t="n"/>
      <c r="AN629" s="16" t="n"/>
      <c r="AO629" s="138" t="n"/>
      <c r="AP629" s="16" t="n"/>
      <c r="AQ629" s="138" t="n"/>
      <c r="AR629" s="16" t="n"/>
      <c r="AS629" s="138" t="n"/>
      <c r="AT629" s="16" t="n"/>
      <c r="AU629" s="138" t="n"/>
      <c r="AV629" s="16" t="n"/>
      <c r="AW629" s="138" t="n"/>
      <c r="AX629" s="16" t="n"/>
      <c r="AY629" s="138" t="n"/>
      <c r="AZ629" s="16">
        <f>AF629+AH629+AJ629+AL629+AN629+AP629+AR629+AT629+AV629+AX629</f>
        <v/>
      </c>
      <c r="BA629" s="16" t="n"/>
      <c r="BB629" s="139" t="n"/>
      <c r="BC629" s="16" t="n"/>
      <c r="BD629" s="139" t="n"/>
      <c r="BE629" s="16">
        <f>(BA629+BC629)</f>
        <v/>
      </c>
    </row>
    <row r="630" ht="22.5" customFormat="1" customHeight="1" s="8">
      <c r="A630" s="9" t="n"/>
      <c r="B630" s="136" t="inlineStr">
        <is>
          <t>AL</t>
        </is>
      </c>
      <c r="C630" s="137" t="inlineStr">
        <is>
          <t>ADX6000</t>
        </is>
      </c>
      <c r="D630" s="63" t="inlineStr">
        <is>
          <t>알루미늄 브라켓 4 hole</t>
        </is>
      </c>
      <c r="E630" s="13" t="inlineStr">
        <is>
          <t>AL 가공 + 백색 아노다이징</t>
        </is>
      </c>
      <c r="F630" s="100" t="n"/>
      <c r="G630" s="9" t="n"/>
      <c r="H630" s="9" t="inlineStr">
        <is>
          <t>제이케이시스템</t>
        </is>
      </c>
      <c r="I630" s="14" t="n"/>
      <c r="J630" s="14" t="n"/>
      <c r="K630" s="12" t="n">
        <v>0</v>
      </c>
      <c r="L630" s="9" t="n"/>
      <c r="M630" s="9" t="n"/>
      <c r="N630" s="9" t="n"/>
      <c r="O630" s="40">
        <f>K630+V630-AE630-AZ630</f>
        <v/>
      </c>
      <c r="P630" s="12" t="n"/>
      <c r="Q630" s="138" t="n"/>
      <c r="R630" s="16" t="n"/>
      <c r="S630" s="139" t="n"/>
      <c r="T630" s="16" t="n"/>
      <c r="U630" s="139" t="n"/>
      <c r="V630" s="16">
        <f>P630+R630+T630</f>
        <v/>
      </c>
      <c r="W630" s="16" t="n"/>
      <c r="X630" s="139" t="n"/>
      <c r="Y630" s="16" t="n"/>
      <c r="Z630" s="139" t="n"/>
      <c r="AA630" s="16" t="n"/>
      <c r="AB630" s="139" t="n"/>
      <c r="AC630" s="16" t="n"/>
      <c r="AD630" s="139" t="n"/>
      <c r="AE630" s="16">
        <f>(W630+Y630+AA630+AC630)</f>
        <v/>
      </c>
      <c r="AF630" s="140" t="n"/>
      <c r="AG630" s="138" t="n"/>
      <c r="AH630" s="16" t="n"/>
      <c r="AI630" s="138" t="n"/>
      <c r="AJ630" s="16" t="n"/>
      <c r="AK630" s="138" t="n"/>
      <c r="AL630" s="16" t="n"/>
      <c r="AM630" s="138" t="n"/>
      <c r="AN630" s="16" t="n"/>
      <c r="AO630" s="138" t="n"/>
      <c r="AP630" s="16" t="n"/>
      <c r="AQ630" s="138" t="n"/>
      <c r="AR630" s="16" t="n"/>
      <c r="AS630" s="138" t="n"/>
      <c r="AT630" s="16" t="n"/>
      <c r="AU630" s="138" t="n"/>
      <c r="AV630" s="16" t="n"/>
      <c r="AW630" s="138" t="n"/>
      <c r="AX630" s="16" t="n"/>
      <c r="AY630" s="138" t="n"/>
      <c r="AZ630" s="16">
        <f>AF630+AH630+AJ630+AL630+AN630+AP630+AR630+AT630+AV630+AX630</f>
        <v/>
      </c>
      <c r="BA630" s="16" t="n"/>
      <c r="BB630" s="139" t="n"/>
      <c r="BC630" s="16" t="n"/>
      <c r="BD630" s="139" t="n"/>
      <c r="BE630" s="16">
        <f>(BA630+BC630)</f>
        <v/>
      </c>
    </row>
    <row r="631" ht="22.5" customFormat="1" customHeight="1" s="8">
      <c r="A631" s="9" t="n"/>
      <c r="B631" s="136" t="inlineStr">
        <is>
          <t>AL</t>
        </is>
      </c>
      <c r="C631" s="137" t="inlineStr">
        <is>
          <t>ADX6000</t>
        </is>
      </c>
      <c r="D631" s="63" t="inlineStr">
        <is>
          <t>컬리메이터 LED 알루미늄 가이드</t>
        </is>
      </c>
      <c r="E631" s="13" t="inlineStr">
        <is>
          <t>AL 가공 + 흑색 아노다이징</t>
        </is>
      </c>
      <c r="F631" s="100" t="n"/>
      <c r="G631" s="9" t="n"/>
      <c r="H631" s="9" t="inlineStr">
        <is>
          <t>다우정밀</t>
        </is>
      </c>
      <c r="I631" s="14" t="n"/>
      <c r="J631" s="14" t="n"/>
      <c r="K631" s="12" t="n">
        <v>0</v>
      </c>
      <c r="L631" s="9" t="n"/>
      <c r="M631" s="9" t="n"/>
      <c r="N631" s="9" t="n"/>
      <c r="O631" s="40">
        <f>K631+V631-AE631-AZ631</f>
        <v/>
      </c>
      <c r="P631" s="12" t="n"/>
      <c r="Q631" s="138" t="n"/>
      <c r="R631" s="16" t="n"/>
      <c r="S631" s="139" t="n"/>
      <c r="T631" s="16" t="n"/>
      <c r="U631" s="139" t="n"/>
      <c r="V631" s="16">
        <f>P631+R631+T631</f>
        <v/>
      </c>
      <c r="W631" s="16" t="n"/>
      <c r="X631" s="139" t="n"/>
      <c r="Y631" s="16" t="n"/>
      <c r="Z631" s="139" t="n"/>
      <c r="AA631" s="16" t="n"/>
      <c r="AB631" s="139" t="n"/>
      <c r="AC631" s="16" t="n"/>
      <c r="AD631" s="139" t="n"/>
      <c r="AE631" s="16">
        <f>(W631+Y631+AA631+AC631)</f>
        <v/>
      </c>
      <c r="AF631" s="140" t="n"/>
      <c r="AG631" s="138" t="n"/>
      <c r="AH631" s="16" t="n"/>
      <c r="AI631" s="138" t="n"/>
      <c r="AJ631" s="16" t="n"/>
      <c r="AK631" s="138" t="n"/>
      <c r="AL631" s="16" t="n"/>
      <c r="AM631" s="138" t="n"/>
      <c r="AN631" s="16" t="n"/>
      <c r="AO631" s="138" t="n"/>
      <c r="AP631" s="16" t="n"/>
      <c r="AQ631" s="138" t="n"/>
      <c r="AR631" s="16" t="n"/>
      <c r="AS631" s="138" t="n"/>
      <c r="AT631" s="16" t="n"/>
      <c r="AU631" s="138" t="n"/>
      <c r="AV631" s="16" t="n"/>
      <c r="AW631" s="138" t="n"/>
      <c r="AX631" s="16" t="n"/>
      <c r="AY631" s="138" t="n"/>
      <c r="AZ631" s="16">
        <f>AF631+AH631+AJ631+AL631+AN631+AP631+AR631+AT631+AV631+AX631</f>
        <v/>
      </c>
      <c r="BA631" s="16" t="n"/>
      <c r="BB631" s="139" t="n"/>
      <c r="BC631" s="16" t="n"/>
      <c r="BD631" s="139" t="n"/>
      <c r="BE631" s="16">
        <f>(BA631+BC631)</f>
        <v/>
      </c>
    </row>
    <row r="632" ht="22.5" customFormat="1" customHeight="1" s="8">
      <c r="A632" s="9" t="n"/>
      <c r="B632" s="136" t="inlineStr">
        <is>
          <t>RUBBER</t>
        </is>
      </c>
      <c r="C632" s="137" t="inlineStr">
        <is>
          <t>ADX6000</t>
        </is>
      </c>
      <c r="D632" s="60" t="inlineStr">
        <is>
          <t>외부전원 연결 DC잭 고무링</t>
        </is>
      </c>
      <c r="E632" s="13" t="inlineStr">
        <is>
          <t>RUBBER</t>
        </is>
      </c>
      <c r="F632" s="100" t="n"/>
      <c r="G632" s="9" t="n"/>
      <c r="H632" s="9" t="inlineStr">
        <is>
          <t>직구</t>
        </is>
      </c>
      <c r="I632" s="14" t="n"/>
      <c r="J632" s="14" t="n"/>
      <c r="K632" s="12" t="n">
        <v>0</v>
      </c>
      <c r="L632" s="9" t="n"/>
      <c r="M632" s="9" t="n"/>
      <c r="N632" s="9" t="n"/>
      <c r="O632" s="40">
        <f>K632+V632-AE632-AZ632</f>
        <v/>
      </c>
      <c r="P632" s="12" t="n"/>
      <c r="Q632" s="138" t="n"/>
      <c r="R632" s="16" t="n"/>
      <c r="S632" s="139" t="n"/>
      <c r="T632" s="16" t="n"/>
      <c r="U632" s="139" t="n"/>
      <c r="V632" s="16">
        <f>P632+R632+T632</f>
        <v/>
      </c>
      <c r="W632" s="16" t="n"/>
      <c r="X632" s="139" t="n"/>
      <c r="Y632" s="16" t="n"/>
      <c r="Z632" s="139" t="n"/>
      <c r="AA632" s="16" t="n"/>
      <c r="AB632" s="139" t="n"/>
      <c r="AC632" s="16" t="n"/>
      <c r="AD632" s="139" t="n"/>
      <c r="AE632" s="16">
        <f>(W632+Y632+AA632+AC632)</f>
        <v/>
      </c>
      <c r="AF632" s="140" t="n"/>
      <c r="AG632" s="138" t="n"/>
      <c r="AH632" s="16" t="n"/>
      <c r="AI632" s="138" t="n"/>
      <c r="AJ632" s="16" t="n"/>
      <c r="AK632" s="138" t="n"/>
      <c r="AL632" s="16" t="n"/>
      <c r="AM632" s="138" t="n"/>
      <c r="AN632" s="16" t="n"/>
      <c r="AO632" s="138" t="n"/>
      <c r="AP632" s="16" t="n"/>
      <c r="AQ632" s="138" t="n"/>
      <c r="AR632" s="16" t="n"/>
      <c r="AS632" s="138" t="n"/>
      <c r="AT632" s="16" t="n"/>
      <c r="AU632" s="138" t="n"/>
      <c r="AV632" s="16" t="n"/>
      <c r="AW632" s="138" t="n"/>
      <c r="AX632" s="16" t="n"/>
      <c r="AY632" s="138" t="n"/>
      <c r="AZ632" s="16">
        <f>AF632+AH632+AJ632+AL632+AN632+AP632+AR632+AT632+AV632+AX632</f>
        <v/>
      </c>
      <c r="BA632" s="16" t="n"/>
      <c r="BB632" s="139" t="n"/>
      <c r="BC632" s="16" t="n"/>
      <c r="BD632" s="139" t="n"/>
      <c r="BE632" s="16">
        <f>(BA632+BC632)</f>
        <v/>
      </c>
    </row>
    <row r="633" ht="22.5" customFormat="1" customHeight="1" s="8">
      <c r="A633" s="9" t="n"/>
      <c r="B633" s="136" t="inlineStr">
        <is>
          <t>RUBBER</t>
        </is>
      </c>
      <c r="C633" s="137" t="inlineStr">
        <is>
          <t>ADX6000</t>
        </is>
      </c>
      <c r="D633" s="60" t="inlineStr">
        <is>
          <t>외부전원 연결 DC잭 너트</t>
        </is>
      </c>
      <c r="E633" s="13" t="n"/>
      <c r="F633" s="100" t="n"/>
      <c r="G633" s="9" t="n"/>
      <c r="H633" s="9" t="inlineStr">
        <is>
          <t>직구</t>
        </is>
      </c>
      <c r="I633" s="14" t="n"/>
      <c r="J633" s="14" t="n"/>
      <c r="K633" s="12" t="n">
        <v>0</v>
      </c>
      <c r="L633" s="9" t="n"/>
      <c r="M633" s="9" t="n"/>
      <c r="N633" s="9" t="n"/>
      <c r="O633" s="40">
        <f>K633+V633-AE633-AZ633</f>
        <v/>
      </c>
      <c r="P633" s="12" t="n"/>
      <c r="Q633" s="138" t="n"/>
      <c r="R633" s="16" t="n"/>
      <c r="S633" s="139" t="n"/>
      <c r="T633" s="16" t="n"/>
      <c r="U633" s="139" t="n"/>
      <c r="V633" s="16">
        <f>P633+R633+T633</f>
        <v/>
      </c>
      <c r="W633" s="16" t="n"/>
      <c r="X633" s="139" t="n"/>
      <c r="Y633" s="16" t="n"/>
      <c r="Z633" s="139" t="n"/>
      <c r="AA633" s="16" t="n"/>
      <c r="AB633" s="139" t="n"/>
      <c r="AC633" s="16" t="n"/>
      <c r="AD633" s="139" t="n"/>
      <c r="AE633" s="16">
        <f>(W633+Y633+AA633+AC633)</f>
        <v/>
      </c>
      <c r="AF633" s="140" t="n"/>
      <c r="AG633" s="138" t="n"/>
      <c r="AH633" s="16" t="n"/>
      <c r="AI633" s="138" t="n"/>
      <c r="AJ633" s="16" t="n"/>
      <c r="AK633" s="138" t="n"/>
      <c r="AL633" s="16" t="n"/>
      <c r="AM633" s="138" t="n"/>
      <c r="AN633" s="16" t="n"/>
      <c r="AO633" s="138" t="n"/>
      <c r="AP633" s="16" t="n"/>
      <c r="AQ633" s="138" t="n"/>
      <c r="AR633" s="16" t="n"/>
      <c r="AS633" s="138" t="n"/>
      <c r="AT633" s="16" t="n"/>
      <c r="AU633" s="138" t="n"/>
      <c r="AV633" s="16" t="n"/>
      <c r="AW633" s="138" t="n"/>
      <c r="AX633" s="16" t="n"/>
      <c r="AY633" s="138" t="n"/>
      <c r="AZ633" s="16">
        <f>AF633+AH633+AJ633+AL633+AN633+AP633+AR633+AT633+AV633+AX633</f>
        <v/>
      </c>
      <c r="BA633" s="16" t="n"/>
      <c r="BB633" s="139" t="n"/>
      <c r="BC633" s="16" t="n"/>
      <c r="BD633" s="139" t="n"/>
      <c r="BE633" s="16">
        <f>(BA633+BC633)</f>
        <v/>
      </c>
    </row>
    <row r="634" ht="22.5" customFormat="1" customHeight="1" s="8">
      <c r="A634" s="9" t="n"/>
      <c r="B634" s="136" t="inlineStr">
        <is>
          <t>스티커</t>
        </is>
      </c>
      <c r="C634" s="137" t="inlineStr">
        <is>
          <t>ADX6000</t>
        </is>
      </c>
      <c r="D634" s="63" t="inlineStr">
        <is>
          <t>Front Port Sticker</t>
        </is>
      </c>
      <c r="E634" s="13" t="n"/>
      <c r="F634" s="100" t="n"/>
      <c r="G634" s="9" t="n"/>
      <c r="H634" s="9" t="inlineStr">
        <is>
          <t>그라피아스크린</t>
        </is>
      </c>
      <c r="I634" s="14" t="n"/>
      <c r="J634" s="14" t="n"/>
      <c r="K634" s="12" t="n">
        <v>0</v>
      </c>
      <c r="L634" s="9" t="n"/>
      <c r="M634" s="9" t="n"/>
      <c r="N634" s="9" t="n"/>
      <c r="O634" s="40">
        <f>K634+V634-AE634-AZ634</f>
        <v/>
      </c>
      <c r="P634" s="12" t="n"/>
      <c r="Q634" s="138" t="n"/>
      <c r="R634" s="16" t="n"/>
      <c r="S634" s="139" t="n"/>
      <c r="T634" s="16" t="n"/>
      <c r="U634" s="139" t="n"/>
      <c r="V634" s="16">
        <f>P634+R634+T634</f>
        <v/>
      </c>
      <c r="W634" s="16" t="n"/>
      <c r="X634" s="139" t="n"/>
      <c r="Y634" s="16" t="n"/>
      <c r="Z634" s="139" t="n"/>
      <c r="AA634" s="16" t="n"/>
      <c r="AB634" s="139" t="n"/>
      <c r="AC634" s="16" t="n"/>
      <c r="AD634" s="139" t="n"/>
      <c r="AE634" s="16">
        <f>(W634+Y634+AA634+AC634)</f>
        <v/>
      </c>
      <c r="AF634" s="140" t="n"/>
      <c r="AG634" s="138" t="n"/>
      <c r="AH634" s="16" t="n"/>
      <c r="AI634" s="138" t="n"/>
      <c r="AJ634" s="16" t="n"/>
      <c r="AK634" s="138" t="n"/>
      <c r="AL634" s="16" t="n"/>
      <c r="AM634" s="138" t="n"/>
      <c r="AN634" s="16" t="n"/>
      <c r="AO634" s="138" t="n"/>
      <c r="AP634" s="16" t="n"/>
      <c r="AQ634" s="138" t="n"/>
      <c r="AR634" s="16" t="n"/>
      <c r="AS634" s="138" t="n"/>
      <c r="AT634" s="16" t="n"/>
      <c r="AU634" s="138" t="n"/>
      <c r="AV634" s="16" t="n"/>
      <c r="AW634" s="138" t="n"/>
      <c r="AX634" s="16" t="n"/>
      <c r="AY634" s="138" t="n"/>
      <c r="AZ634" s="16">
        <f>AF634+AH634+AJ634+AL634+AN634+AP634+AR634+AT634+AV634+AX634</f>
        <v/>
      </c>
      <c r="BA634" s="16" t="n"/>
      <c r="BB634" s="139" t="n"/>
      <c r="BC634" s="16" t="n"/>
      <c r="BD634" s="139" t="n"/>
      <c r="BE634" s="16">
        <f>(BA634+BC634)</f>
        <v/>
      </c>
    </row>
    <row r="635" ht="22.5" customFormat="1" customHeight="1" s="8">
      <c r="A635" s="9" t="n"/>
      <c r="B635" s="136" t="inlineStr">
        <is>
          <t>스티커</t>
        </is>
      </c>
      <c r="C635" s="137" t="inlineStr">
        <is>
          <t>ADX6000S</t>
        </is>
      </c>
      <c r="D635" s="60" t="inlineStr">
        <is>
          <t>Front Port Sticker</t>
        </is>
      </c>
      <c r="E635" s="13" t="n"/>
      <c r="F635" s="100" t="n"/>
      <c r="G635" s="9" t="n"/>
      <c r="H635" s="9" t="inlineStr">
        <is>
          <t>그라피아스크린</t>
        </is>
      </c>
      <c r="I635" s="14" t="n"/>
      <c r="J635" s="14" t="n"/>
      <c r="K635" s="12" t="n">
        <v>0</v>
      </c>
      <c r="L635" s="9" t="n"/>
      <c r="M635" s="9" t="n"/>
      <c r="N635" s="9" t="n"/>
      <c r="O635" s="40">
        <f>K635+V635-AE635-AZ635</f>
        <v/>
      </c>
      <c r="P635" s="12" t="n"/>
      <c r="Q635" s="138" t="n"/>
      <c r="R635" s="16" t="n"/>
      <c r="S635" s="139" t="n"/>
      <c r="T635" s="16" t="n"/>
      <c r="U635" s="139" t="n"/>
      <c r="V635" s="16">
        <f>P635+R635+T635</f>
        <v/>
      </c>
      <c r="W635" s="16" t="n"/>
      <c r="X635" s="139" t="n"/>
      <c r="Y635" s="16" t="n"/>
      <c r="Z635" s="139" t="n"/>
      <c r="AA635" s="16" t="n"/>
      <c r="AB635" s="139" t="n"/>
      <c r="AC635" s="16" t="n"/>
      <c r="AD635" s="139" t="n"/>
      <c r="AE635" s="16">
        <f>(W635+Y635+AA635+AC635)</f>
        <v/>
      </c>
      <c r="AF635" s="140" t="n"/>
      <c r="AG635" s="138" t="n"/>
      <c r="AH635" s="16" t="n"/>
      <c r="AI635" s="138" t="n"/>
      <c r="AJ635" s="16" t="n"/>
      <c r="AK635" s="138" t="n"/>
      <c r="AL635" s="16" t="n"/>
      <c r="AM635" s="138" t="n"/>
      <c r="AN635" s="16" t="n"/>
      <c r="AO635" s="138" t="n"/>
      <c r="AP635" s="16" t="n"/>
      <c r="AQ635" s="138" t="n"/>
      <c r="AR635" s="16" t="n"/>
      <c r="AS635" s="138" t="n"/>
      <c r="AT635" s="16" t="n"/>
      <c r="AU635" s="138" t="n"/>
      <c r="AV635" s="16" t="n"/>
      <c r="AW635" s="138" t="n"/>
      <c r="AX635" s="16" t="n"/>
      <c r="AY635" s="138" t="n"/>
      <c r="AZ635" s="16">
        <f>AF635+AH635+AJ635+AL635+AN635+AP635+AR635+AT635+AV635+AX635</f>
        <v/>
      </c>
      <c r="BA635" s="16" t="n"/>
      <c r="BB635" s="139" t="n"/>
      <c r="BC635" s="16" t="n"/>
      <c r="BD635" s="139" t="n"/>
      <c r="BE635" s="16">
        <f>(BA635+BC635)</f>
        <v/>
      </c>
    </row>
    <row r="636" ht="22.5" customFormat="1" customHeight="1" s="8">
      <c r="A636" s="9" t="n"/>
      <c r="B636" s="136" t="inlineStr">
        <is>
          <t>스티커</t>
        </is>
      </c>
      <c r="C636" s="137" t="inlineStr">
        <is>
          <t>ADX6000S</t>
        </is>
      </c>
      <c r="D636" s="63" t="inlineStr">
        <is>
          <t>Front Port Sticker</t>
        </is>
      </c>
      <c r="E636" s="13" t="inlineStr">
        <is>
          <t>USB 포트 제거형</t>
        </is>
      </c>
      <c r="F636" s="100" t="n"/>
      <c r="G636" s="9" t="n"/>
      <c r="H636" s="9" t="inlineStr">
        <is>
          <t>그라피아스크린</t>
        </is>
      </c>
      <c r="I636" s="14" t="n"/>
      <c r="J636" s="14" t="n"/>
      <c r="K636" s="12" t="n">
        <v>0</v>
      </c>
      <c r="L636" s="9" t="n"/>
      <c r="M636" s="9" t="n"/>
      <c r="N636" s="9" t="n"/>
      <c r="O636" s="40">
        <f>K636+V636-AE636-AZ636</f>
        <v/>
      </c>
      <c r="P636" s="12" t="n"/>
      <c r="Q636" s="138" t="n"/>
      <c r="R636" s="16" t="n"/>
      <c r="S636" s="139" t="n"/>
      <c r="T636" s="16" t="n"/>
      <c r="U636" s="139" t="n"/>
      <c r="V636" s="16">
        <f>P636+R636+T636</f>
        <v/>
      </c>
      <c r="W636" s="16" t="n"/>
      <c r="X636" s="139" t="n"/>
      <c r="Y636" s="16" t="n"/>
      <c r="Z636" s="139" t="n"/>
      <c r="AA636" s="16" t="n"/>
      <c r="AB636" s="139" t="n"/>
      <c r="AC636" s="16" t="n"/>
      <c r="AD636" s="139" t="n"/>
      <c r="AE636" s="16">
        <f>(W636+Y636+AA636+AC636)</f>
        <v/>
      </c>
      <c r="AF636" s="140" t="n"/>
      <c r="AG636" s="138" t="n"/>
      <c r="AH636" s="16" t="n"/>
      <c r="AI636" s="138" t="n"/>
      <c r="AJ636" s="16" t="n"/>
      <c r="AK636" s="138" t="n"/>
      <c r="AL636" s="16" t="n"/>
      <c r="AM636" s="138" t="n"/>
      <c r="AN636" s="16" t="n"/>
      <c r="AO636" s="138" t="n"/>
      <c r="AP636" s="16" t="n"/>
      <c r="AQ636" s="138" t="n"/>
      <c r="AR636" s="16" t="n"/>
      <c r="AS636" s="138" t="n"/>
      <c r="AT636" s="16" t="n"/>
      <c r="AU636" s="138" t="n"/>
      <c r="AV636" s="16" t="n"/>
      <c r="AW636" s="138" t="n"/>
      <c r="AX636" s="16" t="n"/>
      <c r="AY636" s="138" t="n"/>
      <c r="AZ636" s="16">
        <f>AF636+AH636+AJ636+AL636+AN636+AP636+AR636+AT636+AV636+AX636</f>
        <v/>
      </c>
      <c r="BA636" s="16" t="n"/>
      <c r="BB636" s="139" t="n"/>
      <c r="BC636" s="16" t="n"/>
      <c r="BD636" s="139" t="n"/>
      <c r="BE636" s="16">
        <f>(BA636+BC636)</f>
        <v/>
      </c>
    </row>
    <row r="637" ht="22.5" customFormat="1" customHeight="1" s="8">
      <c r="A637" s="9" t="n"/>
      <c r="B637" s="136" t="inlineStr">
        <is>
          <t>인조가죽</t>
        </is>
      </c>
      <c r="C637" s="137" t="inlineStr">
        <is>
          <t>ADX6000</t>
        </is>
      </c>
      <c r="D637" s="63" t="inlineStr">
        <is>
          <t>가죽 손잡이 (탈착배터리 터치펜 O)</t>
        </is>
      </c>
      <c r="E637" s="13" t="inlineStr">
        <is>
          <t>인조 가죽</t>
        </is>
      </c>
      <c r="F637" s="100" t="n"/>
      <c r="G637" s="9" t="n"/>
      <c r="H637" s="9" t="inlineStr">
        <is>
          <t>굿모닝코리아유통</t>
        </is>
      </c>
      <c r="I637" s="14" t="n"/>
      <c r="J637" s="14" t="n"/>
      <c r="K637" s="12" t="n">
        <v>0</v>
      </c>
      <c r="L637" s="9" t="n"/>
      <c r="M637" s="9" t="n"/>
      <c r="N637" s="9" t="n"/>
      <c r="O637" s="40">
        <f>K637+V637-AE637-AZ637</f>
        <v/>
      </c>
      <c r="P637" s="12" t="n"/>
      <c r="Q637" s="138" t="n"/>
      <c r="R637" s="16" t="n"/>
      <c r="S637" s="139" t="n"/>
      <c r="T637" s="16" t="n"/>
      <c r="U637" s="139" t="n"/>
      <c r="V637" s="16">
        <f>P637+R637+T637</f>
        <v/>
      </c>
      <c r="W637" s="16" t="n"/>
      <c r="X637" s="139" t="n"/>
      <c r="Y637" s="16" t="n"/>
      <c r="Z637" s="139" t="n"/>
      <c r="AA637" s="16" t="n"/>
      <c r="AB637" s="139" t="n"/>
      <c r="AC637" s="16" t="n"/>
      <c r="AD637" s="139" t="n"/>
      <c r="AE637" s="16">
        <f>(W637+Y637+AA637+AC637)</f>
        <v/>
      </c>
      <c r="AF637" s="140" t="n"/>
      <c r="AG637" s="138" t="n"/>
      <c r="AH637" s="16" t="n"/>
      <c r="AI637" s="138" t="n"/>
      <c r="AJ637" s="16" t="n"/>
      <c r="AK637" s="138" t="n"/>
      <c r="AL637" s="16" t="n"/>
      <c r="AM637" s="138" t="n"/>
      <c r="AN637" s="16" t="n"/>
      <c r="AO637" s="138" t="n"/>
      <c r="AP637" s="16" t="n"/>
      <c r="AQ637" s="138" t="n"/>
      <c r="AR637" s="16" t="n"/>
      <c r="AS637" s="138" t="n"/>
      <c r="AT637" s="16" t="n"/>
      <c r="AU637" s="138" t="n"/>
      <c r="AV637" s="16" t="n"/>
      <c r="AW637" s="138" t="n"/>
      <c r="AX637" s="16" t="n"/>
      <c r="AY637" s="138" t="n"/>
      <c r="AZ637" s="16">
        <f>AF637+AH637+AJ637+AL637+AN637+AP637+AR637+AT637+AV637+AX637</f>
        <v/>
      </c>
      <c r="BA637" s="16" t="n"/>
      <c r="BB637" s="139" t="n"/>
      <c r="BC637" s="16" t="n"/>
      <c r="BD637" s="139" t="n"/>
      <c r="BE637" s="16">
        <f>(BA637+BC637)</f>
        <v/>
      </c>
    </row>
    <row r="638" ht="22.5" customFormat="1" customHeight="1" s="8">
      <c r="A638" s="9" t="n"/>
      <c r="B638" s="136" t="inlineStr">
        <is>
          <t>인조가죽</t>
        </is>
      </c>
      <c r="C638" s="137" t="inlineStr">
        <is>
          <t>ADX6000</t>
        </is>
      </c>
      <c r="D638" s="60" t="inlineStr">
        <is>
          <t>가죽 손잡이 (외부배터리)</t>
        </is>
      </c>
      <c r="E638" s="13" t="inlineStr">
        <is>
          <t>인조 가죽</t>
        </is>
      </c>
      <c r="F638" s="100" t="n"/>
      <c r="G638" s="9" t="n"/>
      <c r="H638" s="9" t="inlineStr">
        <is>
          <t>굿모닝코리아유통</t>
        </is>
      </c>
      <c r="I638" s="14" t="n"/>
      <c r="J638" s="14" t="n"/>
      <c r="K638" s="12" t="n">
        <v>0</v>
      </c>
      <c r="L638" s="9" t="n"/>
      <c r="M638" s="9" t="n"/>
      <c r="N638" s="9" t="n"/>
      <c r="O638" s="40">
        <f>K638+V638-AE638-AZ638</f>
        <v/>
      </c>
      <c r="P638" s="12" t="n"/>
      <c r="Q638" s="138" t="n"/>
      <c r="R638" s="16" t="n"/>
      <c r="S638" s="139" t="n"/>
      <c r="T638" s="16" t="n"/>
      <c r="U638" s="139" t="n"/>
      <c r="V638" s="16">
        <f>P638+R638+T638</f>
        <v/>
      </c>
      <c r="W638" s="16" t="n"/>
      <c r="X638" s="139" t="n"/>
      <c r="Y638" s="16" t="n"/>
      <c r="Z638" s="139" t="n"/>
      <c r="AA638" s="16" t="n"/>
      <c r="AB638" s="139" t="n"/>
      <c r="AC638" s="16" t="n"/>
      <c r="AD638" s="139" t="n"/>
      <c r="AE638" s="16">
        <f>(W638+Y638+AA638+AC638)</f>
        <v/>
      </c>
      <c r="AF638" s="140" t="n"/>
      <c r="AG638" s="138" t="n"/>
      <c r="AH638" s="16" t="n"/>
      <c r="AI638" s="138" t="n"/>
      <c r="AJ638" s="16" t="n"/>
      <c r="AK638" s="138" t="n"/>
      <c r="AL638" s="16" t="n"/>
      <c r="AM638" s="138" t="n"/>
      <c r="AN638" s="16" t="n"/>
      <c r="AO638" s="138" t="n"/>
      <c r="AP638" s="16" t="n"/>
      <c r="AQ638" s="138" t="n"/>
      <c r="AR638" s="16" t="n"/>
      <c r="AS638" s="138" t="n"/>
      <c r="AT638" s="16" t="n"/>
      <c r="AU638" s="138" t="n"/>
      <c r="AV638" s="16" t="n"/>
      <c r="AW638" s="138" t="n"/>
      <c r="AX638" s="16" t="n"/>
      <c r="AY638" s="138" t="n"/>
      <c r="AZ638" s="16">
        <f>AF638+AH638+AJ638+AL638+AN638+AP638+AR638+AT638+AV638+AX638</f>
        <v/>
      </c>
      <c r="BA638" s="16" t="n"/>
      <c r="BB638" s="139" t="n"/>
      <c r="BC638" s="16" t="n"/>
      <c r="BD638" s="139" t="n"/>
      <c r="BE638" s="16">
        <f>(BA638+BC638)</f>
        <v/>
      </c>
    </row>
    <row r="639" ht="22.5" customFormat="1" customHeight="1" s="8">
      <c r="A639" s="9" t="n">
        <v>999</v>
      </c>
      <c r="B639" s="136" t="inlineStr">
        <is>
          <t>ABS 난연</t>
        </is>
      </c>
      <c r="C639" s="137" t="inlineStr">
        <is>
          <t>ADX6000</t>
        </is>
      </c>
      <c r="D639" s="60" t="inlineStr">
        <is>
          <t xml:space="preserve">BODY LEFT 사출(외부배터리 사출커팅) </t>
        </is>
      </c>
      <c r="E639" s="13" t="inlineStr">
        <is>
          <t>ABS 난연 화이트 + 스프레이 AS용</t>
        </is>
      </c>
      <c r="F639" s="100" t="n"/>
      <c r="G639" s="9" t="n"/>
      <c r="H639" s="9" t="inlineStr">
        <is>
          <t>천우</t>
        </is>
      </c>
      <c r="I639" s="14" t="n"/>
      <c r="J639" s="14" t="n"/>
      <c r="K639" s="12" t="n">
        <v>0</v>
      </c>
      <c r="L639" s="9" t="n"/>
      <c r="M639" s="9" t="n"/>
      <c r="N639" s="9" t="n"/>
      <c r="O639" s="40">
        <f>K639+V639-AE639-AZ639</f>
        <v/>
      </c>
      <c r="P639" s="12" t="n"/>
      <c r="Q639" s="138" t="n"/>
      <c r="R639" s="16" t="n"/>
      <c r="S639" s="139" t="n"/>
      <c r="T639" s="16" t="n"/>
      <c r="U639" s="139" t="n"/>
      <c r="V639" s="16">
        <f>P639+R639+T639</f>
        <v/>
      </c>
      <c r="W639" s="16" t="n"/>
      <c r="X639" s="139" t="n"/>
      <c r="Y639" s="16" t="n"/>
      <c r="Z639" s="139" t="n"/>
      <c r="AA639" s="16" t="n"/>
      <c r="AB639" s="139" t="n"/>
      <c r="AC639" s="16" t="n"/>
      <c r="AD639" s="139" t="n"/>
      <c r="AE639" s="16">
        <f>(W639+Y639+AA639+AC639)</f>
        <v/>
      </c>
      <c r="AF639" s="140" t="n"/>
      <c r="AG639" s="138" t="n"/>
      <c r="AH639" s="16" t="n"/>
      <c r="AI639" s="138" t="n"/>
      <c r="AJ639" s="16" t="n"/>
      <c r="AK639" s="138" t="n"/>
      <c r="AL639" s="16" t="n"/>
      <c r="AM639" s="138" t="n"/>
      <c r="AN639" s="16" t="n"/>
      <c r="AO639" s="138" t="n"/>
      <c r="AP639" s="16" t="n"/>
      <c r="AQ639" s="138" t="n"/>
      <c r="AR639" s="16" t="n"/>
      <c r="AS639" s="138" t="n"/>
      <c r="AT639" s="16" t="n"/>
      <c r="AU639" s="138" t="n"/>
      <c r="AV639" s="16" t="n"/>
      <c r="AW639" s="138" t="n"/>
      <c r="AX639" s="16" t="n"/>
      <c r="AY639" s="138" t="n"/>
      <c r="AZ639" s="16">
        <f>AF639+AH639+AJ639+AL639+AN639+AP639+AR639+AT639+AV639+AX639</f>
        <v/>
      </c>
      <c r="BA639" s="16" t="n"/>
      <c r="BB639" s="139" t="n"/>
      <c r="BC639" s="16" t="n"/>
      <c r="BD639" s="139" t="n"/>
      <c r="BE639" s="16">
        <f>(BA639+BC639)</f>
        <v/>
      </c>
    </row>
    <row r="640" ht="22.5" customFormat="1" customHeight="1" s="8">
      <c r="A640" s="9" t="n">
        <v>999</v>
      </c>
      <c r="B640" s="136" t="inlineStr">
        <is>
          <t>ABS 난연</t>
        </is>
      </c>
      <c r="C640" s="137" t="inlineStr">
        <is>
          <t>ADX6000</t>
        </is>
      </c>
      <c r="D640" s="60" t="inlineStr">
        <is>
          <t>BODY RIGHT 사출(외부배터리용)</t>
        </is>
      </c>
      <c r="E640" s="13" t="inlineStr">
        <is>
          <t>ABS 난연 화이트 + 스프레이 AS용</t>
        </is>
      </c>
      <c r="F640" s="100" t="n"/>
      <c r="G640" s="9" t="n"/>
      <c r="H640" s="9" t="inlineStr">
        <is>
          <t>천우</t>
        </is>
      </c>
      <c r="I640" s="14" t="n"/>
      <c r="J640" s="14" t="n"/>
      <c r="K640" s="12" t="n">
        <v>0</v>
      </c>
      <c r="L640" s="9" t="n"/>
      <c r="M640" s="9" t="n"/>
      <c r="N640" s="9" t="n"/>
      <c r="O640" s="40">
        <f>K640+V640-AE640-AZ640</f>
        <v/>
      </c>
      <c r="P640" s="12" t="n"/>
      <c r="Q640" s="138" t="n"/>
      <c r="R640" s="16" t="n"/>
      <c r="S640" s="139" t="n"/>
      <c r="T640" s="16" t="n"/>
      <c r="U640" s="139" t="n"/>
      <c r="V640" s="16">
        <f>P640+R640+T640</f>
        <v/>
      </c>
      <c r="W640" s="16" t="n"/>
      <c r="X640" s="139" t="n"/>
      <c r="Y640" s="16" t="n"/>
      <c r="Z640" s="139" t="n"/>
      <c r="AA640" s="16" t="n"/>
      <c r="AB640" s="139" t="n"/>
      <c r="AC640" s="16" t="n"/>
      <c r="AD640" s="139" t="n"/>
      <c r="AE640" s="16">
        <f>(W640+Y640+AA640+AC640)</f>
        <v/>
      </c>
      <c r="AF640" s="140" t="n"/>
      <c r="AG640" s="138" t="n"/>
      <c r="AH640" s="16" t="n"/>
      <c r="AI640" s="138" t="n"/>
      <c r="AJ640" s="16" t="n"/>
      <c r="AK640" s="138" t="n"/>
      <c r="AL640" s="16" t="n"/>
      <c r="AM640" s="138" t="n"/>
      <c r="AN640" s="16" t="n"/>
      <c r="AO640" s="138" t="n"/>
      <c r="AP640" s="16" t="n"/>
      <c r="AQ640" s="138" t="n"/>
      <c r="AR640" s="16" t="n"/>
      <c r="AS640" s="138" t="n"/>
      <c r="AT640" s="16" t="n"/>
      <c r="AU640" s="138" t="n"/>
      <c r="AV640" s="16" t="n"/>
      <c r="AW640" s="138" t="n"/>
      <c r="AX640" s="16" t="n"/>
      <c r="AY640" s="138" t="n"/>
      <c r="AZ640" s="16">
        <f>AF640+AH640+AJ640+AL640+AN640+AP640+AR640+AT640+AV640+AX640</f>
        <v/>
      </c>
      <c r="BA640" s="16" t="n"/>
      <c r="BB640" s="139" t="n"/>
      <c r="BC640" s="16" t="n"/>
      <c r="BD640" s="139" t="n"/>
      <c r="BE640" s="16">
        <f>(BA640+BC640)</f>
        <v/>
      </c>
    </row>
    <row r="641" ht="22.5" customFormat="1" customHeight="1" s="8">
      <c r="A641" s="9" t="n">
        <v>999</v>
      </c>
      <c r="B641" s="136" t="inlineStr">
        <is>
          <t>재공품</t>
        </is>
      </c>
      <c r="C641" s="137" t="inlineStr">
        <is>
          <t>ADX6000S</t>
        </is>
      </c>
      <c r="D641" s="60" t="inlineStr">
        <is>
          <t>RIGHT Ass'y</t>
        </is>
      </c>
      <c r="E641" s="13" t="inlineStr">
        <is>
          <t xml:space="preserve"> </t>
        </is>
      </c>
      <c r="F641" s="12" t="n"/>
      <c r="G641" s="9" t="n"/>
      <c r="H641" s="9" t="inlineStr">
        <is>
          <t>덱스코윈</t>
        </is>
      </c>
      <c r="I641" s="14" t="n"/>
      <c r="J641" s="14" t="n"/>
      <c r="K641" s="12" t="n">
        <v>0</v>
      </c>
      <c r="L641" s="9" t="n"/>
      <c r="M641" s="9" t="n"/>
      <c r="N641" s="9" t="n"/>
      <c r="O641" s="40">
        <f>K641+V641-AE641-AZ641</f>
        <v/>
      </c>
      <c r="P641" s="12" t="n"/>
      <c r="Q641" s="138" t="n"/>
      <c r="R641" s="16" t="n"/>
      <c r="S641" s="139" t="n"/>
      <c r="T641" s="16" t="n"/>
      <c r="U641" s="139" t="n"/>
      <c r="V641" s="16">
        <f>P641+R641+T641</f>
        <v/>
      </c>
      <c r="W641" s="16" t="n"/>
      <c r="X641" s="139" t="n"/>
      <c r="Y641" s="16" t="n"/>
      <c r="Z641" s="139" t="n"/>
      <c r="AA641" s="16" t="n"/>
      <c r="AB641" s="139" t="n"/>
      <c r="AC641" s="16" t="n"/>
      <c r="AD641" s="139" t="n"/>
      <c r="AE641" s="16">
        <f>(W641+Y641+AA641+AC641)</f>
        <v/>
      </c>
      <c r="AF641" s="140" t="n"/>
      <c r="AG641" s="138" t="n"/>
      <c r="AH641" s="16" t="n"/>
      <c r="AI641" s="138" t="n"/>
      <c r="AJ641" s="16" t="n"/>
      <c r="AK641" s="138" t="n"/>
      <c r="AL641" s="16" t="n"/>
      <c r="AM641" s="138" t="n"/>
      <c r="AN641" s="16" t="n"/>
      <c r="AO641" s="138" t="n"/>
      <c r="AP641" s="16" t="n"/>
      <c r="AQ641" s="138" t="n"/>
      <c r="AR641" s="16" t="n"/>
      <c r="AS641" s="138" t="n"/>
      <c r="AT641" s="16" t="n"/>
      <c r="AU641" s="138" t="n"/>
      <c r="AV641" s="16" t="n"/>
      <c r="AW641" s="138" t="n"/>
      <c r="AX641" s="16" t="n"/>
      <c r="AY641" s="138" t="n"/>
      <c r="AZ641" s="16">
        <f>AF641+AH641+AJ641+AL641+AN641+AP641+AR641+AT641+AV641+AX641</f>
        <v/>
      </c>
      <c r="BA641" s="16" t="n"/>
      <c r="BB641" s="139" t="n"/>
      <c r="BC641" s="16" t="n"/>
      <c r="BD641" s="139" t="n"/>
      <c r="BE641" s="16">
        <f>(BA641+BC641)</f>
        <v/>
      </c>
    </row>
    <row r="642" ht="22.5" customFormat="1" customHeight="1" s="8">
      <c r="A642" s="9" t="n">
        <v>999</v>
      </c>
      <c r="B642" s="136" t="inlineStr">
        <is>
          <t>재공품</t>
        </is>
      </c>
      <c r="C642" s="137" t="inlineStr">
        <is>
          <t>ADX6000S</t>
        </is>
      </c>
      <c r="D642" s="60" t="inlineStr">
        <is>
          <t>컬리메이터 내부하우징 사출 + 납</t>
        </is>
      </c>
      <c r="E642" s="13" t="n"/>
      <c r="F642" s="12" t="n"/>
      <c r="G642" s="9" t="n"/>
      <c r="H642" s="9" t="inlineStr">
        <is>
          <t>덱스코윈</t>
        </is>
      </c>
      <c r="I642" s="14" t="n"/>
      <c r="J642" s="14" t="n"/>
      <c r="K642" s="12" t="n">
        <v>0</v>
      </c>
      <c r="L642" s="9" t="n"/>
      <c r="M642" s="9" t="n"/>
      <c r="N642" s="9" t="n"/>
      <c r="O642" s="40">
        <f>K642+V642-AE642-AZ642</f>
        <v/>
      </c>
      <c r="P642" s="12" t="n"/>
      <c r="Q642" s="138" t="n"/>
      <c r="R642" s="16" t="n"/>
      <c r="S642" s="139" t="n"/>
      <c r="T642" s="16" t="n"/>
      <c r="U642" s="139" t="n"/>
      <c r="V642" s="16">
        <f>P642+R642+T642</f>
        <v/>
      </c>
      <c r="W642" s="16" t="n"/>
      <c r="X642" s="139" t="n"/>
      <c r="Y642" s="16" t="n"/>
      <c r="Z642" s="139" t="n"/>
      <c r="AA642" s="16" t="n"/>
      <c r="AB642" s="139" t="n"/>
      <c r="AC642" s="16" t="n"/>
      <c r="AD642" s="139" t="n"/>
      <c r="AE642" s="16">
        <f>(W642+Y642+AA642+AC642)</f>
        <v/>
      </c>
      <c r="AF642" s="140" t="n"/>
      <c r="AG642" s="138" t="n"/>
      <c r="AH642" s="16" t="n"/>
      <c r="AI642" s="138" t="n"/>
      <c r="AJ642" s="16" t="n"/>
      <c r="AK642" s="138" t="n"/>
      <c r="AL642" s="16" t="n"/>
      <c r="AM642" s="138" t="n"/>
      <c r="AN642" s="16" t="n"/>
      <c r="AO642" s="138" t="n"/>
      <c r="AP642" s="16" t="n"/>
      <c r="AQ642" s="138" t="n"/>
      <c r="AR642" s="16" t="n"/>
      <c r="AS642" s="138" t="n"/>
      <c r="AT642" s="16" t="n"/>
      <c r="AU642" s="138" t="n"/>
      <c r="AV642" s="16" t="n"/>
      <c r="AW642" s="138" t="n"/>
      <c r="AX642" s="16" t="n"/>
      <c r="AY642" s="138" t="n"/>
      <c r="AZ642" s="16">
        <f>AF642+AH642+AJ642+AL642+AN642+AP642+AR642+AT642+AV642+AX642</f>
        <v/>
      </c>
      <c r="BA642" s="16" t="n"/>
      <c r="BB642" s="139" t="n"/>
      <c r="BC642" s="16" t="n"/>
      <c r="BD642" s="139" t="n"/>
      <c r="BE642" s="16">
        <f>(BA642+BC642)</f>
        <v/>
      </c>
    </row>
    <row r="643" ht="22.5" customFormat="1" customHeight="1" s="8">
      <c r="A643" s="9" t="n">
        <v>999</v>
      </c>
      <c r="B643" s="136" t="inlineStr">
        <is>
          <t>CABLE</t>
        </is>
      </c>
      <c r="C643" s="137" t="n"/>
      <c r="D643" s="84" t="inlineStr">
        <is>
          <t>330N 센서 하네스 1번 (배터리팩 4핀)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40">
        <f>K643+V643-AE643-AZ643</f>
        <v/>
      </c>
      <c r="P643" s="12" t="n"/>
      <c r="Q643" s="138" t="n"/>
      <c r="R643" s="16" t="n"/>
      <c r="S643" s="139" t="n"/>
      <c r="T643" s="16" t="n"/>
      <c r="U643" s="139" t="n"/>
      <c r="V643" s="16">
        <f>P643+R643+T643</f>
        <v/>
      </c>
      <c r="W643" s="16" t="n"/>
      <c r="X643" s="139" t="n"/>
      <c r="Y643" s="16" t="n"/>
      <c r="Z643" s="139" t="n"/>
      <c r="AA643" s="16" t="n"/>
      <c r="AB643" s="139" t="n"/>
      <c r="AC643" s="16" t="n"/>
      <c r="AD643" s="139" t="n"/>
      <c r="AE643" s="16">
        <f>(W643+Y643+AA643+AC643)</f>
        <v/>
      </c>
      <c r="AF643" s="140" t="n"/>
      <c r="AG643" s="138" t="n"/>
      <c r="AH643" s="16" t="n"/>
      <c r="AI643" s="138" t="n"/>
      <c r="AJ643" s="16" t="n"/>
      <c r="AK643" s="138" t="n"/>
      <c r="AL643" s="16" t="n"/>
      <c r="AM643" s="138" t="n"/>
      <c r="AN643" s="16" t="n"/>
      <c r="AO643" s="138" t="n"/>
      <c r="AP643" s="16" t="n"/>
      <c r="AQ643" s="138" t="n"/>
      <c r="AR643" s="16" t="n"/>
      <c r="AS643" s="138" t="n"/>
      <c r="AT643" s="16" t="n"/>
      <c r="AU643" s="138" t="n"/>
      <c r="AV643" s="16" t="n"/>
      <c r="AW643" s="138" t="n"/>
      <c r="AX643" s="16" t="n"/>
      <c r="AY643" s="138" t="n"/>
      <c r="AZ643" s="16">
        <f>AF643+AH643+AJ643+AL643+AN643+AP643+AR643+AT643+AV643+AX643</f>
        <v/>
      </c>
      <c r="BA643" s="16" t="n"/>
      <c r="BB643" s="139" t="n"/>
      <c r="BC643" s="16" t="n"/>
      <c r="BD643" s="139" t="n"/>
      <c r="BE643" s="16">
        <f>(BA643+BC643)</f>
        <v/>
      </c>
    </row>
    <row r="644" ht="22.5" customFormat="1" customHeight="1" s="8">
      <c r="A644" s="9" t="n">
        <v>999</v>
      </c>
      <c r="B644" s="136" t="inlineStr">
        <is>
          <t>CABLE</t>
        </is>
      </c>
      <c r="C644" s="137" t="n"/>
      <c r="D644" s="84" t="inlineStr">
        <is>
          <t>330N 센서 하네스 2번 (전원 스위치 2핀)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40">
        <f>K644+V644-AE644-AZ644</f>
        <v/>
      </c>
      <c r="P644" s="12" t="n"/>
      <c r="Q644" s="138" t="n"/>
      <c r="R644" s="16" t="n"/>
      <c r="S644" s="139" t="n"/>
      <c r="T644" s="16" t="n"/>
      <c r="U644" s="139" t="n"/>
      <c r="V644" s="16">
        <f>P644+R644+T644</f>
        <v/>
      </c>
      <c r="W644" s="16" t="n"/>
      <c r="X644" s="139" t="n"/>
      <c r="Y644" s="16" t="n"/>
      <c r="Z644" s="139" t="n"/>
      <c r="AA644" s="16" t="n"/>
      <c r="AB644" s="139" t="n"/>
      <c r="AC644" s="16" t="n"/>
      <c r="AD644" s="139" t="n"/>
      <c r="AE644" s="16">
        <f>(W644+Y644+AA644+AC644)</f>
        <v/>
      </c>
      <c r="AF644" s="140" t="n"/>
      <c r="AG644" s="138" t="n"/>
      <c r="AH644" s="16" t="n"/>
      <c r="AI644" s="138" t="n"/>
      <c r="AJ644" s="16" t="n"/>
      <c r="AK644" s="138" t="n"/>
      <c r="AL644" s="16" t="n"/>
      <c r="AM644" s="138" t="n"/>
      <c r="AN644" s="16" t="n"/>
      <c r="AO644" s="138" t="n"/>
      <c r="AP644" s="16" t="n"/>
      <c r="AQ644" s="138" t="n"/>
      <c r="AR644" s="16" t="n"/>
      <c r="AS644" s="138" t="n"/>
      <c r="AT644" s="16" t="n"/>
      <c r="AU644" s="138" t="n"/>
      <c r="AV644" s="16" t="n"/>
      <c r="AW644" s="138" t="n"/>
      <c r="AX644" s="16" t="n"/>
      <c r="AY644" s="138" t="n"/>
      <c r="AZ644" s="16">
        <f>AF644+AH644+AJ644+AL644+AN644+AP644+AR644+AT644+AV644+AX644</f>
        <v/>
      </c>
      <c r="BA644" s="16" t="n"/>
      <c r="BB644" s="139" t="n"/>
      <c r="BC644" s="16" t="n"/>
      <c r="BD644" s="139" t="n"/>
      <c r="BE644" s="16">
        <f>(BA644+BC644)</f>
        <v/>
      </c>
    </row>
    <row r="645" ht="22.5" customFormat="1" customHeight="1" s="8">
      <c r="A645" s="9" t="n">
        <v>999</v>
      </c>
      <c r="B645" s="136" t="inlineStr">
        <is>
          <t>CABLE</t>
        </is>
      </c>
      <c r="C645" s="137" t="n"/>
      <c r="D645" s="84" t="inlineStr">
        <is>
          <t>330N 센서 하네스 3번 (플랫 24핀)</t>
        </is>
      </c>
      <c r="E645" s="13" t="n"/>
      <c r="F645" s="12" t="n"/>
      <c r="G645" s="9" t="n"/>
      <c r="H645" s="9" t="inlineStr">
        <is>
          <t>HLP</t>
        </is>
      </c>
      <c r="I645" s="14" t="n"/>
      <c r="J645" s="14" t="n"/>
      <c r="K645" s="12" t="n">
        <v>0</v>
      </c>
      <c r="L645" s="9" t="n"/>
      <c r="M645" s="9" t="n"/>
      <c r="N645" s="9" t="n"/>
      <c r="O645" s="40">
        <f>K645+V645-AE645-AZ645</f>
        <v/>
      </c>
      <c r="P645" s="12" t="n"/>
      <c r="Q645" s="138" t="n"/>
      <c r="R645" s="16" t="n"/>
      <c r="S645" s="139" t="n"/>
      <c r="T645" s="16" t="n"/>
      <c r="U645" s="139" t="n"/>
      <c r="V645" s="16">
        <f>P645+R645+T645</f>
        <v/>
      </c>
      <c r="W645" s="16" t="n"/>
      <c r="X645" s="139" t="n"/>
      <c r="Y645" s="16" t="n"/>
      <c r="Z645" s="139" t="n"/>
      <c r="AA645" s="16" t="n"/>
      <c r="AB645" s="139" t="n"/>
      <c r="AC645" s="16" t="n"/>
      <c r="AD645" s="139" t="n"/>
      <c r="AE645" s="16">
        <f>(W645+Y645+AA645+AC645)</f>
        <v/>
      </c>
      <c r="AF645" s="140" t="n"/>
      <c r="AG645" s="138" t="n"/>
      <c r="AH645" s="16" t="n"/>
      <c r="AI645" s="138" t="n"/>
      <c r="AJ645" s="16" t="n"/>
      <c r="AK645" s="138" t="n"/>
      <c r="AL645" s="16" t="n"/>
      <c r="AM645" s="138" t="n"/>
      <c r="AN645" s="16" t="n"/>
      <c r="AO645" s="138" t="n"/>
      <c r="AP645" s="16" t="n"/>
      <c r="AQ645" s="138" t="n"/>
      <c r="AR645" s="16" t="n"/>
      <c r="AS645" s="138" t="n"/>
      <c r="AT645" s="16" t="n"/>
      <c r="AU645" s="138" t="n"/>
      <c r="AV645" s="16" t="n"/>
      <c r="AW645" s="138" t="n"/>
      <c r="AX645" s="16" t="n"/>
      <c r="AY645" s="138" t="n"/>
      <c r="AZ645" s="16">
        <f>AF645+AH645+AJ645+AL645+AN645+AP645+AR645+AT645+AV645+AX645</f>
        <v/>
      </c>
      <c r="BA645" s="16" t="n"/>
      <c r="BB645" s="139" t="n"/>
      <c r="BC645" s="16" t="n"/>
      <c r="BD645" s="139" t="n"/>
      <c r="BE645" s="16">
        <f>(BA645+BC645)</f>
        <v/>
      </c>
    </row>
    <row r="646" ht="22.5" customFormat="1" customHeight="1" s="8">
      <c r="A646" s="9" t="n">
        <v>999</v>
      </c>
      <c r="B646" s="136" t="inlineStr">
        <is>
          <t>CABLE</t>
        </is>
      </c>
      <c r="C646" s="137" t="n"/>
      <c r="D646" s="84" t="inlineStr">
        <is>
          <t>330N 센서 하네스 4번 (8핀)</t>
        </is>
      </c>
      <c r="E646" s="13" t="n"/>
      <c r="F646" s="12" t="n"/>
      <c r="G646" s="9" t="n"/>
      <c r="H646" s="9" t="inlineStr">
        <is>
          <t>HLP</t>
        </is>
      </c>
      <c r="I646" s="14" t="n"/>
      <c r="J646" s="14" t="n"/>
      <c r="K646" s="12" t="n">
        <v>0</v>
      </c>
      <c r="L646" s="9" t="n"/>
      <c r="M646" s="9" t="n"/>
      <c r="N646" s="9" t="n"/>
      <c r="O646" s="40">
        <f>K646+V646-AE646-AZ646</f>
        <v/>
      </c>
      <c r="P646" s="12" t="n"/>
      <c r="Q646" s="138" t="n"/>
      <c r="R646" s="16" t="n"/>
      <c r="S646" s="139" t="n"/>
      <c r="T646" s="16" t="n"/>
      <c r="U646" s="139" t="n"/>
      <c r="V646" s="16">
        <f>P646+R646+T646</f>
        <v/>
      </c>
      <c r="W646" s="16" t="n"/>
      <c r="X646" s="139" t="n"/>
      <c r="Y646" s="16" t="n"/>
      <c r="Z646" s="139" t="n"/>
      <c r="AA646" s="16" t="n"/>
      <c r="AB646" s="139" t="n"/>
      <c r="AC646" s="16" t="n"/>
      <c r="AD646" s="139" t="n"/>
      <c r="AE646" s="16">
        <f>(W646+Y646+AA646+AC646)</f>
        <v/>
      </c>
      <c r="AF646" s="140" t="n"/>
      <c r="AG646" s="138" t="n"/>
      <c r="AH646" s="16" t="n"/>
      <c r="AI646" s="138" t="n"/>
      <c r="AJ646" s="16" t="n"/>
      <c r="AK646" s="138" t="n"/>
      <c r="AL646" s="16" t="n"/>
      <c r="AM646" s="138" t="n"/>
      <c r="AN646" s="16" t="n"/>
      <c r="AO646" s="138" t="n"/>
      <c r="AP646" s="16" t="n"/>
      <c r="AQ646" s="138" t="n"/>
      <c r="AR646" s="16" t="n"/>
      <c r="AS646" s="138" t="n"/>
      <c r="AT646" s="16" t="n"/>
      <c r="AU646" s="138" t="n"/>
      <c r="AV646" s="16" t="n"/>
      <c r="AW646" s="138" t="n"/>
      <c r="AX646" s="16" t="n"/>
      <c r="AY646" s="138" t="n"/>
      <c r="AZ646" s="16">
        <f>AF646+AH646+AJ646+AL646+AN646+AP646+AR646+AT646+AV646+AX646</f>
        <v/>
      </c>
      <c r="BA646" s="16" t="n"/>
      <c r="BB646" s="139" t="n"/>
      <c r="BC646" s="16" t="n"/>
      <c r="BD646" s="139" t="n"/>
      <c r="BE646" s="16">
        <f>(BA646+BC646)</f>
        <v/>
      </c>
    </row>
    <row r="647" ht="22.5" customFormat="1" customHeight="1" s="8">
      <c r="A647" s="9" t="n">
        <v>999</v>
      </c>
      <c r="B647" s="136" t="inlineStr">
        <is>
          <t>CABLE</t>
        </is>
      </c>
      <c r="C647" s="137" t="n"/>
      <c r="D647" s="84" t="inlineStr">
        <is>
          <t>330N 센서 하네스 5번 (인터페이스 케이블)</t>
        </is>
      </c>
      <c r="E647" s="13" t="n"/>
      <c r="F647" s="12" t="n"/>
      <c r="G647" s="9" t="n"/>
      <c r="H647" s="9" t="inlineStr">
        <is>
          <t>HLP</t>
        </is>
      </c>
      <c r="I647" s="14" t="n"/>
      <c r="J647" s="14" t="n"/>
      <c r="K647" s="12" t="n">
        <v>0</v>
      </c>
      <c r="L647" s="9" t="n"/>
      <c r="M647" s="9" t="n"/>
      <c r="N647" s="9" t="n"/>
      <c r="O647" s="40">
        <f>K647+V647-AE647-AZ647</f>
        <v/>
      </c>
      <c r="P647" s="12" t="n"/>
      <c r="Q647" s="138" t="n"/>
      <c r="R647" s="16" t="n"/>
      <c r="S647" s="139" t="n"/>
      <c r="T647" s="16" t="n"/>
      <c r="U647" s="139" t="n"/>
      <c r="V647" s="16">
        <f>P647+R647+T647</f>
        <v/>
      </c>
      <c r="W647" s="16" t="n"/>
      <c r="X647" s="139" t="n"/>
      <c r="Y647" s="16" t="n"/>
      <c r="Z647" s="139" t="n"/>
      <c r="AA647" s="16" t="n"/>
      <c r="AB647" s="139" t="n"/>
      <c r="AC647" s="16" t="n"/>
      <c r="AD647" s="139" t="n"/>
      <c r="AE647" s="16">
        <f>(W647+Y647+AA647+AC647)</f>
        <v/>
      </c>
      <c r="AF647" s="140" t="n"/>
      <c r="AG647" s="138" t="n"/>
      <c r="AH647" s="16" t="n"/>
      <c r="AI647" s="138" t="n"/>
      <c r="AJ647" s="16" t="n"/>
      <c r="AK647" s="138" t="n"/>
      <c r="AL647" s="16" t="n"/>
      <c r="AM647" s="138" t="n"/>
      <c r="AN647" s="16" t="n"/>
      <c r="AO647" s="138" t="n"/>
      <c r="AP647" s="16" t="n"/>
      <c r="AQ647" s="138" t="n"/>
      <c r="AR647" s="16" t="n"/>
      <c r="AS647" s="138" t="n"/>
      <c r="AT647" s="16" t="n"/>
      <c r="AU647" s="138" t="n"/>
      <c r="AV647" s="16" t="n"/>
      <c r="AW647" s="138" t="n"/>
      <c r="AX647" s="16" t="n"/>
      <c r="AY647" s="138" t="n"/>
      <c r="AZ647" s="16">
        <f>AF647+AH647+AJ647+AL647+AN647+AP647+AR647+AT647+AV647+AX647</f>
        <v/>
      </c>
      <c r="BA647" s="16" t="n"/>
      <c r="BB647" s="139" t="n"/>
      <c r="BC647" s="16" t="n"/>
      <c r="BD647" s="139" t="n"/>
      <c r="BE647" s="16">
        <f>(BA647+BC647)</f>
        <v/>
      </c>
    </row>
    <row r="648" ht="22.5" customFormat="1" customHeight="1" s="8">
      <c r="A648" s="9" t="n">
        <v>999</v>
      </c>
      <c r="B648" s="136" t="inlineStr">
        <is>
          <t>RUBBER</t>
        </is>
      </c>
      <c r="C648" s="137" t="n"/>
      <c r="D648" s="60" t="inlineStr">
        <is>
          <t>330N 센서 고무발</t>
        </is>
      </c>
      <c r="E648" s="13" t="n"/>
      <c r="F648" s="12" t="n"/>
      <c r="G648" s="9" t="n"/>
      <c r="H648" s="9" t="inlineStr">
        <is>
          <t>직구</t>
        </is>
      </c>
      <c r="I648" s="14" t="n"/>
      <c r="J648" s="14" t="n"/>
      <c r="K648" s="12" t="n">
        <v>0</v>
      </c>
      <c r="L648" s="9" t="n"/>
      <c r="M648" s="9" t="n"/>
      <c r="N648" s="9" t="n"/>
      <c r="O648" s="40">
        <f>K648+V648-AE648-AZ648</f>
        <v/>
      </c>
      <c r="P648" s="12" t="n"/>
      <c r="Q648" s="138" t="n"/>
      <c r="R648" s="16" t="n"/>
      <c r="S648" s="139" t="n"/>
      <c r="T648" s="16" t="n"/>
      <c r="U648" s="139" t="n"/>
      <c r="V648" s="16">
        <f>P648+R648+T648</f>
        <v/>
      </c>
      <c r="W648" s="16" t="n"/>
      <c r="X648" s="139" t="n"/>
      <c r="Y648" s="16" t="n"/>
      <c r="Z648" s="139" t="n"/>
      <c r="AA648" s="16" t="n"/>
      <c r="AB648" s="139" t="n"/>
      <c r="AC648" s="16" t="n"/>
      <c r="AD648" s="139" t="n"/>
      <c r="AE648" s="16">
        <f>(W648+Y648+AA648+AC648)</f>
        <v/>
      </c>
      <c r="AF648" s="140" t="n"/>
      <c r="AG648" s="138" t="n"/>
      <c r="AH648" s="16" t="n"/>
      <c r="AI648" s="138" t="n"/>
      <c r="AJ648" s="16" t="n"/>
      <c r="AK648" s="138" t="n"/>
      <c r="AL648" s="16" t="n"/>
      <c r="AM648" s="138" t="n"/>
      <c r="AN648" s="16" t="n"/>
      <c r="AO648" s="138" t="n"/>
      <c r="AP648" s="16" t="n"/>
      <c r="AQ648" s="138" t="n"/>
      <c r="AR648" s="16" t="n"/>
      <c r="AS648" s="138" t="n"/>
      <c r="AT648" s="16" t="n"/>
      <c r="AU648" s="138" t="n"/>
      <c r="AV648" s="16" t="n"/>
      <c r="AW648" s="138" t="n"/>
      <c r="AX648" s="16" t="n"/>
      <c r="AY648" s="138" t="n"/>
      <c r="AZ648" s="16">
        <f>AF648+AH648+AJ648+AL648+AN648+AP648+AR648+AT648+AV648+AX648</f>
        <v/>
      </c>
      <c r="BA648" s="16" t="n"/>
      <c r="BB648" s="139" t="n"/>
      <c r="BC648" s="16" t="n"/>
      <c r="BD648" s="139" t="n"/>
      <c r="BE648" s="16">
        <f>(BA648+BC648)</f>
        <v/>
      </c>
    </row>
    <row r="649" ht="22.5" customFormat="1" customHeight="1" s="8">
      <c r="A649" s="9" t="n">
        <v>999</v>
      </c>
      <c r="B649" s="136" t="inlineStr">
        <is>
          <t>AL + STEEL</t>
        </is>
      </c>
      <c r="C649" s="137" t="inlineStr">
        <is>
          <t>DX3000</t>
        </is>
      </c>
      <c r="D649" s="143" t="inlineStr">
        <is>
          <t>SKIN GUARD FRAME</t>
        </is>
      </c>
      <c r="E649" s="13" t="n"/>
      <c r="F649" s="12" t="n"/>
      <c r="G649" s="9" t="n"/>
      <c r="H649" s="9" t="inlineStr">
        <is>
          <t>제이케이시스템</t>
        </is>
      </c>
      <c r="I649" s="14" t="n"/>
      <c r="J649" s="14" t="n"/>
      <c r="K649" s="12" t="n">
        <v>0</v>
      </c>
      <c r="L649" s="9" t="n"/>
      <c r="M649" s="9" t="n"/>
      <c r="N649" s="9" t="n"/>
      <c r="O649" s="40">
        <f>K649+V649-AE649-AZ649</f>
        <v/>
      </c>
      <c r="P649" s="12" t="n"/>
      <c r="Q649" s="138" t="n"/>
      <c r="R649" s="16" t="n"/>
      <c r="S649" s="139" t="n"/>
      <c r="T649" s="16" t="n"/>
      <c r="U649" s="139" t="n"/>
      <c r="V649" s="16">
        <f>P649+R649+T649</f>
        <v/>
      </c>
      <c r="W649" s="16" t="n"/>
      <c r="X649" s="139" t="n"/>
      <c r="Y649" s="16" t="n"/>
      <c r="Z649" s="139" t="n"/>
      <c r="AA649" s="16" t="n"/>
      <c r="AB649" s="139" t="n"/>
      <c r="AC649" s="16" t="n"/>
      <c r="AD649" s="139" t="n"/>
      <c r="AE649" s="16">
        <f>(W649+Y649+AA649+AC649)</f>
        <v/>
      </c>
      <c r="AF649" s="140" t="n"/>
      <c r="AG649" s="138" t="n"/>
      <c r="AH649" s="16" t="n"/>
      <c r="AI649" s="138" t="n"/>
      <c r="AJ649" s="16" t="n"/>
      <c r="AK649" s="138" t="n"/>
      <c r="AL649" s="16" t="n"/>
      <c r="AM649" s="138" t="n"/>
      <c r="AN649" s="16" t="n"/>
      <c r="AO649" s="138" t="n"/>
      <c r="AP649" s="16" t="n"/>
      <c r="AQ649" s="138" t="n"/>
      <c r="AR649" s="16" t="n"/>
      <c r="AS649" s="138" t="n"/>
      <c r="AT649" s="16" t="n"/>
      <c r="AU649" s="138" t="n"/>
      <c r="AV649" s="16" t="n"/>
      <c r="AW649" s="138" t="n"/>
      <c r="AX649" s="16" t="n"/>
      <c r="AY649" s="138" t="n"/>
      <c r="AZ649" s="16">
        <f>AF649+AH649+AJ649+AL649+AN649+AP649+AR649+AT649+AV649+AX649</f>
        <v/>
      </c>
      <c r="BA649" s="16" t="n"/>
      <c r="BB649" s="139" t="n"/>
      <c r="BC649" s="16" t="n"/>
      <c r="BD649" s="139" t="n"/>
      <c r="BE649" s="16">
        <f>(BA649+BC649)</f>
        <v/>
      </c>
    </row>
    <row r="650" ht="22.5" customFormat="1" customHeight="1" s="8">
      <c r="A650" s="9" t="n">
        <v>999</v>
      </c>
      <c r="B650" s="136" t="inlineStr">
        <is>
          <t>AL + STEEL</t>
        </is>
      </c>
      <c r="C650" s="137" t="inlineStr">
        <is>
          <t>DX3000</t>
        </is>
      </c>
      <c r="D650" s="143" t="inlineStr">
        <is>
          <t>BOTTOM BLOCK</t>
        </is>
      </c>
      <c r="E650" s="13" t="n"/>
      <c r="F650" s="12" t="n"/>
      <c r="G650" s="9" t="n"/>
      <c r="H650" s="9" t="inlineStr">
        <is>
          <t>제이케이시스템</t>
        </is>
      </c>
      <c r="I650" s="14" t="n"/>
      <c r="J650" s="14" t="n"/>
      <c r="K650" s="12" t="n">
        <v>0</v>
      </c>
      <c r="L650" s="9" t="n"/>
      <c r="M650" s="9" t="n"/>
      <c r="N650" s="9" t="n"/>
      <c r="O650" s="40">
        <f>K650+V650-AE650-AZ650</f>
        <v/>
      </c>
      <c r="P650" s="12" t="n"/>
      <c r="Q650" s="138" t="n"/>
      <c r="R650" s="16" t="n"/>
      <c r="S650" s="139" t="n"/>
      <c r="T650" s="16" t="n"/>
      <c r="U650" s="139" t="n"/>
      <c r="V650" s="16">
        <f>P650+R650+T650</f>
        <v/>
      </c>
      <c r="W650" s="16" t="n"/>
      <c r="X650" s="139" t="n"/>
      <c r="Y650" s="16" t="n"/>
      <c r="Z650" s="139" t="n"/>
      <c r="AA650" s="16" t="n"/>
      <c r="AB650" s="139" t="n"/>
      <c r="AC650" s="16" t="n"/>
      <c r="AD650" s="139" t="n"/>
      <c r="AE650" s="16">
        <f>(W650+Y650+AA650+AC650)</f>
        <v/>
      </c>
      <c r="AF650" s="140" t="n"/>
      <c r="AG650" s="138" t="n"/>
      <c r="AH650" s="16" t="n"/>
      <c r="AI650" s="138" t="n"/>
      <c r="AJ650" s="16" t="n"/>
      <c r="AK650" s="138" t="n"/>
      <c r="AL650" s="16" t="n"/>
      <c r="AM650" s="138" t="n"/>
      <c r="AN650" s="16" t="n"/>
      <c r="AO650" s="138" t="n"/>
      <c r="AP650" s="16" t="n"/>
      <c r="AQ650" s="138" t="n"/>
      <c r="AR650" s="16" t="n"/>
      <c r="AS650" s="138" t="n"/>
      <c r="AT650" s="16" t="n"/>
      <c r="AU650" s="138" t="n"/>
      <c r="AV650" s="16" t="n"/>
      <c r="AW650" s="138" t="n"/>
      <c r="AX650" s="16" t="n"/>
      <c r="AY650" s="138" t="n"/>
      <c r="AZ650" s="16">
        <f>AF650+AH650+AJ650+AL650+AN650+AP650+AR650+AT650+AV650+AX650</f>
        <v/>
      </c>
      <c r="BA650" s="16" t="n"/>
      <c r="BB650" s="139" t="n"/>
      <c r="BC650" s="16" t="n"/>
      <c r="BD650" s="139" t="n"/>
      <c r="BE650" s="16">
        <f>(BA650+BC650)</f>
        <v/>
      </c>
    </row>
    <row r="651" ht="22.5" customFormat="1" customHeight="1" s="8">
      <c r="A651" s="9" t="n">
        <v>999</v>
      </c>
      <c r="B651" s="136" t="inlineStr">
        <is>
          <t>ADAPTER</t>
        </is>
      </c>
      <c r="C651" s="137" t="n"/>
      <c r="D651" s="60" t="inlineStr">
        <is>
          <t>SMPS (PSU)</t>
        </is>
      </c>
      <c r="E651" s="13" t="inlineStr">
        <is>
          <t>DEX-A085-M, 17V,5A(85W)</t>
        </is>
      </c>
      <c r="F651" s="12" t="n"/>
      <c r="G651" s="9" t="n"/>
      <c r="H651" s="9" t="inlineStr">
        <is>
          <t>두앤비무역</t>
        </is>
      </c>
      <c r="I651" s="14" t="n"/>
      <c r="J651" s="14" t="n"/>
      <c r="K651" s="12" t="n">
        <v>0</v>
      </c>
      <c r="L651" s="9" t="n"/>
      <c r="M651" s="9" t="n"/>
      <c r="N651" s="9" t="n"/>
      <c r="O651" s="40">
        <f>K651+V651-AE651-AZ651</f>
        <v/>
      </c>
      <c r="P651" s="12" t="n"/>
      <c r="Q651" s="138" t="n"/>
      <c r="R651" s="16" t="n"/>
      <c r="S651" s="139" t="n"/>
      <c r="T651" s="16" t="n"/>
      <c r="U651" s="139" t="n"/>
      <c r="V651" s="16">
        <f>P651+R651+T651</f>
        <v/>
      </c>
      <c r="W651" s="16" t="n"/>
      <c r="X651" s="139" t="n"/>
      <c r="Y651" s="16" t="n"/>
      <c r="Z651" s="139" t="n"/>
      <c r="AA651" s="16" t="n"/>
      <c r="AB651" s="139" t="n"/>
      <c r="AC651" s="16" t="n"/>
      <c r="AD651" s="139" t="n"/>
      <c r="AE651" s="16">
        <f>(W651+Y651+AA651+AC651)</f>
        <v/>
      </c>
      <c r="AF651" s="140" t="n"/>
      <c r="AG651" s="138" t="n"/>
      <c r="AH651" s="16" t="n"/>
      <c r="AI651" s="138" t="n"/>
      <c r="AJ651" s="16" t="n"/>
      <c r="AK651" s="138" t="n"/>
      <c r="AL651" s="16" t="n"/>
      <c r="AM651" s="138" t="n"/>
      <c r="AN651" s="16" t="n"/>
      <c r="AO651" s="138" t="n"/>
      <c r="AP651" s="16" t="n"/>
      <c r="AQ651" s="138" t="n"/>
      <c r="AR651" s="16" t="n"/>
      <c r="AS651" s="138" t="n"/>
      <c r="AT651" s="16" t="n"/>
      <c r="AU651" s="138" t="n"/>
      <c r="AV651" s="16" t="n"/>
      <c r="AW651" s="138" t="n"/>
      <c r="AX651" s="16" t="n"/>
      <c r="AY651" s="138" t="n"/>
      <c r="AZ651" s="16">
        <f>AF651+AH651+AJ651+AL651+AN651+AP651+AR651+AT651+AV651+AX651</f>
        <v/>
      </c>
      <c r="BA651" s="16" t="n"/>
      <c r="BB651" s="139" t="n"/>
      <c r="BC651" s="16" t="n"/>
      <c r="BD651" s="139" t="n"/>
      <c r="BE651" s="16">
        <f>(BA651+BC651)</f>
        <v/>
      </c>
    </row>
    <row r="652" ht="22.5" customFormat="1" customHeight="1" s="8">
      <c r="A652" s="9" t="n">
        <v>999</v>
      </c>
      <c r="B652" s="136" t="inlineStr">
        <is>
          <t>CABLE</t>
        </is>
      </c>
      <c r="C652" s="137" t="n"/>
      <c r="D652" s="60" t="inlineStr">
        <is>
          <t>마그네틱 젠더</t>
        </is>
      </c>
      <c r="E652" s="13" t="n"/>
      <c r="F652" s="12" t="n"/>
      <c r="G652" s="9" t="n"/>
      <c r="H652" s="9" t="inlineStr">
        <is>
          <t>HLP</t>
        </is>
      </c>
      <c r="I652" s="14" t="n"/>
      <c r="J652" s="14" t="n"/>
      <c r="K652" s="12" t="n">
        <v>0</v>
      </c>
      <c r="L652" s="9" t="n"/>
      <c r="M652" s="9" t="n"/>
      <c r="N652" s="9" t="n"/>
      <c r="O652" s="40">
        <f>K652+V652-AE652-AZ652</f>
        <v/>
      </c>
      <c r="P652" s="12" t="n"/>
      <c r="Q652" s="138" t="n"/>
      <c r="R652" s="16" t="n"/>
      <c r="S652" s="139" t="n"/>
      <c r="T652" s="16" t="n"/>
      <c r="U652" s="139" t="n"/>
      <c r="V652" s="16">
        <f>P652+R652+T652</f>
        <v/>
      </c>
      <c r="W652" s="16" t="n"/>
      <c r="X652" s="139" t="n"/>
      <c r="Y652" s="16" t="n"/>
      <c r="Z652" s="139" t="n"/>
      <c r="AA652" s="16" t="n"/>
      <c r="AB652" s="139" t="n"/>
      <c r="AC652" s="16" t="n"/>
      <c r="AD652" s="139" t="n"/>
      <c r="AE652" s="16">
        <f>(W652+Y652+AA652+AC652)</f>
        <v/>
      </c>
      <c r="AF652" s="140" t="n"/>
      <c r="AG652" s="138" t="n"/>
      <c r="AH652" s="16" t="n"/>
      <c r="AI652" s="138" t="n"/>
      <c r="AJ652" s="16" t="n"/>
      <c r="AK652" s="138" t="n"/>
      <c r="AL652" s="16" t="n"/>
      <c r="AM652" s="138" t="n"/>
      <c r="AN652" s="16" t="n"/>
      <c r="AO652" s="138" t="n"/>
      <c r="AP652" s="16" t="n"/>
      <c r="AQ652" s="138" t="n"/>
      <c r="AR652" s="16" t="n"/>
      <c r="AS652" s="138" t="n"/>
      <c r="AT652" s="16" t="n"/>
      <c r="AU652" s="138" t="n"/>
      <c r="AV652" s="16" t="n"/>
      <c r="AW652" s="138" t="n"/>
      <c r="AX652" s="16" t="n"/>
      <c r="AY652" s="138" t="n"/>
      <c r="AZ652" s="16">
        <f>AF652+AH652+AJ652+AL652+AN652+AP652+AR652+AT652+AV652+AX652</f>
        <v/>
      </c>
      <c r="BA652" s="16" t="n"/>
      <c r="BB652" s="139" t="n"/>
      <c r="BC652" s="16" t="n"/>
      <c r="BD652" s="139" t="n"/>
      <c r="BE652" s="16">
        <f>(BA652+BC652)</f>
        <v/>
      </c>
    </row>
    <row r="653" ht="22.5" customFormat="1" customHeight="1" s="8">
      <c r="A653" s="9" t="n">
        <v>999</v>
      </c>
      <c r="B653" s="136" t="inlineStr">
        <is>
          <t>스킨 가드</t>
        </is>
      </c>
      <c r="C653" s="137" t="n"/>
      <c r="D653" s="60" t="inlineStr">
        <is>
          <t>스킨가드</t>
        </is>
      </c>
      <c r="E653" s="13" t="inlineStr">
        <is>
          <t>구형, AL 가공 + 흑색 아노다이징</t>
        </is>
      </c>
      <c r="F653" s="12" t="n"/>
      <c r="G653" s="9" t="n"/>
      <c r="H653" s="9" t="inlineStr">
        <is>
          <t>제이케이시스템</t>
        </is>
      </c>
      <c r="I653" s="14" t="n"/>
      <c r="J653" s="14" t="n"/>
      <c r="K653" s="12" t="n">
        <v>0</v>
      </c>
      <c r="L653" s="9" t="n"/>
      <c r="M653" s="9" t="n"/>
      <c r="N653" s="9" t="n"/>
      <c r="O653" s="40">
        <f>K653+V653-AE653-AZ653</f>
        <v/>
      </c>
      <c r="P653" s="12" t="n"/>
      <c r="Q653" s="138" t="n"/>
      <c r="R653" s="16" t="n"/>
      <c r="S653" s="139" t="n"/>
      <c r="T653" s="16" t="n"/>
      <c r="U653" s="139" t="n"/>
      <c r="V653" s="16">
        <f>P653+R653+T653</f>
        <v/>
      </c>
      <c r="W653" s="16" t="n"/>
      <c r="X653" s="139" t="n"/>
      <c r="Y653" s="16" t="n"/>
      <c r="Z653" s="139" t="n"/>
      <c r="AA653" s="16" t="n"/>
      <c r="AB653" s="139" t="n"/>
      <c r="AC653" s="16" t="n"/>
      <c r="AD653" s="139" t="n"/>
      <c r="AE653" s="16">
        <f>(W653+Y653+AA653+AC653)</f>
        <v/>
      </c>
      <c r="AF653" s="140" t="n"/>
      <c r="AG653" s="138" t="n"/>
      <c r="AH653" s="16" t="n"/>
      <c r="AI653" s="138" t="n"/>
      <c r="AJ653" s="16" t="n"/>
      <c r="AK653" s="138" t="n"/>
      <c r="AL653" s="16" t="n"/>
      <c r="AM653" s="138" t="n"/>
      <c r="AN653" s="16" t="n"/>
      <c r="AO653" s="138" t="n"/>
      <c r="AP653" s="16" t="n"/>
      <c r="AQ653" s="138" t="n"/>
      <c r="AR653" s="16" t="n"/>
      <c r="AS653" s="138" t="n"/>
      <c r="AT653" s="16" t="n"/>
      <c r="AU653" s="138" t="n"/>
      <c r="AV653" s="16" t="n"/>
      <c r="AW653" s="138" t="n"/>
      <c r="AX653" s="16" t="n"/>
      <c r="AY653" s="138" t="n"/>
      <c r="AZ653" s="16">
        <f>AF653+AH653+AJ653+AL653+AN653+AP653+AR653+AT653+AV653+AX653</f>
        <v/>
      </c>
      <c r="BA653" s="16" t="n"/>
      <c r="BB653" s="139" t="n"/>
      <c r="BC653" s="16" t="n"/>
      <c r="BD653" s="139" t="n"/>
      <c r="BE653" s="16">
        <f>(BA653+BC653)</f>
        <v/>
      </c>
    </row>
    <row r="654" ht="22.5" customFormat="1" customHeight="1" s="8">
      <c r="A654" s="9" t="n">
        <v>999</v>
      </c>
      <c r="B654" s="136" t="inlineStr">
        <is>
          <t>케이블 스토퍼</t>
        </is>
      </c>
      <c r="C654" s="137" t="n"/>
      <c r="D654" s="60" t="inlineStr">
        <is>
          <t>와이어 몰드</t>
        </is>
      </c>
      <c r="E654" s="13" t="n"/>
      <c r="F654" s="12" t="n"/>
      <c r="G654" s="9" t="n"/>
      <c r="H654" s="9" t="inlineStr">
        <is>
          <t>동양전자</t>
        </is>
      </c>
      <c r="I654" s="14" t="n"/>
      <c r="J654" s="14" t="n"/>
      <c r="K654" s="12" t="n">
        <v>0</v>
      </c>
      <c r="L654" s="9" t="n"/>
      <c r="M654" s="9" t="n"/>
      <c r="N654" s="9" t="n"/>
      <c r="O654" s="40">
        <f>K654+V654-AE654-AZ654</f>
        <v/>
      </c>
      <c r="P654" s="12" t="n"/>
      <c r="Q654" s="138" t="n"/>
      <c r="R654" s="16" t="n"/>
      <c r="S654" s="139" t="n"/>
      <c r="T654" s="16" t="n"/>
      <c r="U654" s="139" t="n"/>
      <c r="V654" s="16">
        <f>P654+R654+T654</f>
        <v/>
      </c>
      <c r="W654" s="16" t="n"/>
      <c r="X654" s="139" t="n"/>
      <c r="Y654" s="16" t="n"/>
      <c r="Z654" s="139" t="n"/>
      <c r="AA654" s="16" t="n"/>
      <c r="AB654" s="139" t="n"/>
      <c r="AC654" s="16" t="n"/>
      <c r="AD654" s="139" t="n"/>
      <c r="AE654" s="16">
        <f>(W654+Y654+AA654+AC654)</f>
        <v/>
      </c>
      <c r="AF654" s="140" t="n"/>
      <c r="AG654" s="138" t="n"/>
      <c r="AH654" s="16" t="n"/>
      <c r="AI654" s="138" t="n"/>
      <c r="AJ654" s="16" t="n"/>
      <c r="AK654" s="138" t="n"/>
      <c r="AL654" s="16" t="n"/>
      <c r="AM654" s="138" t="n"/>
      <c r="AN654" s="16" t="n"/>
      <c r="AO654" s="138" t="n"/>
      <c r="AP654" s="16" t="n"/>
      <c r="AQ654" s="138" t="n"/>
      <c r="AR654" s="16" t="n"/>
      <c r="AS654" s="138" t="n"/>
      <c r="AT654" s="16" t="n"/>
      <c r="AU654" s="138" t="n"/>
      <c r="AV654" s="16" t="n"/>
      <c r="AW654" s="138" t="n"/>
      <c r="AX654" s="16" t="n"/>
      <c r="AY654" s="138" t="n"/>
      <c r="AZ654" s="16">
        <f>AF654+AH654+AJ654+AL654+AN654+AP654+AR654+AT654+AV654+AX654</f>
        <v/>
      </c>
      <c r="BA654" s="16" t="n"/>
      <c r="BB654" s="139" t="n"/>
      <c r="BC654" s="16" t="n"/>
      <c r="BD654" s="139" t="n"/>
      <c r="BE654" s="16">
        <f>(BA654+BC654)</f>
        <v/>
      </c>
    </row>
  </sheetData>
  <autoFilter ref="A3:BE654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2" hiddenButton="0" showButton="0"/>
    <filterColumn colId="53" hiddenButton="0" showButton="0"/>
    <filterColumn colId="54" hiddenButton="0" showButton="0"/>
    <sortState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conditionalFormatting sqref="O4:O654">
    <cfRule type="cellIs" priority="1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F677"/>
  <sheetViews>
    <sheetView showGridLines="0" tabSelected="1" zoomScaleNormal="100" workbookViewId="0">
      <pane xSplit="4" ySplit="3" topLeftCell="E187" activePane="bottomRight" state="frozen"/>
      <selection pane="topRight" activeCell="E1" sqref="E1"/>
      <selection pane="bottomLeft" activeCell="A5" sqref="A5"/>
      <selection pane="bottomRight" activeCell="D201" sqref="D201"/>
    </sheetView>
  </sheetViews>
  <sheetFormatPr baseColWidth="8" defaultRowHeight="13.5"/>
  <cols>
    <col width="3.75" customWidth="1" style="41" min="1" max="1"/>
    <col width="15.625" customWidth="1" style="117" min="2" max="2"/>
    <col outlineLevel="1" width="15.625" customWidth="1" style="118" min="3" max="3"/>
    <col width="35.25" customWidth="1" style="6" min="4" max="4"/>
    <col width="36.5" customWidth="1" style="7" min="5" max="5"/>
    <col hidden="1" outlineLevel="1" width="10.625" customWidth="1" style="41" min="6" max="6"/>
    <col collapsed="1" width="17.375" customWidth="1" style="8" min="7" max="7"/>
    <col width="15.625" customWidth="1" style="8" min="8" max="8"/>
    <col hidden="1" outlineLevel="1" width="11.25" customWidth="1" style="41" min="9" max="10"/>
    <col collapsed="1" width="7.5" customWidth="1" style="41" min="11" max="11"/>
    <col hidden="1" outlineLevel="1" width="8.5" customWidth="1" style="8" min="12" max="14"/>
    <col collapsed="1" width="7.5" customWidth="1" style="41" min="15" max="15"/>
    <col hidden="1" outlineLevel="1" width="5" customWidth="1" style="41" min="16" max="16"/>
    <col hidden="1" outlineLevel="1" width="5" customWidth="1" style="119" min="17" max="17"/>
    <col hidden="1" outlineLevel="1" width="5" customWidth="1" style="41" min="18" max="18"/>
    <col hidden="1" outlineLevel="1" width="5" customWidth="1" style="119" min="19" max="19"/>
    <col hidden="1" outlineLevel="1" width="5" customWidth="1" style="41" min="20" max="20"/>
    <col hidden="1" outlineLevel="1" width="5" customWidth="1" style="119" min="21" max="21"/>
    <col collapsed="1" width="5.625" customWidth="1" style="41" min="22" max="22"/>
    <col hidden="1" outlineLevel="1" width="5" customWidth="1" style="41" min="23" max="23"/>
    <col hidden="1" outlineLevel="1" width="5" customWidth="1" style="119" min="24" max="24"/>
    <col hidden="1" outlineLevel="1" width="5" customWidth="1" style="41" min="25" max="25"/>
    <col hidden="1" outlineLevel="1" width="5" customWidth="1" style="119" min="26" max="26"/>
    <col hidden="1" outlineLevel="1" width="5" customWidth="1" style="41" min="27" max="27"/>
    <col hidden="1" outlineLevel="1" width="5" customWidth="1" style="119" min="28" max="28"/>
    <col hidden="1" outlineLevel="1" width="5" customWidth="1" style="41" min="29" max="29"/>
    <col hidden="1" outlineLevel="1" width="5" customWidth="1" style="119" min="30" max="30"/>
    <col collapsed="1" width="5.625" customWidth="1" style="41" min="31" max="31"/>
    <col outlineLevel="1" width="5" customWidth="1" style="41" min="32" max="32"/>
    <col outlineLevel="1" width="5" customWidth="1" style="121" min="33" max="33"/>
    <col outlineLevel="1" width="5" customWidth="1" style="41" min="34" max="34"/>
    <col outlineLevel="1" width="5" customWidth="1" style="121" min="35" max="35"/>
    <col outlineLevel="1" width="5" customWidth="1" style="41" min="36" max="36"/>
    <col outlineLevel="1" width="5" customWidth="1" style="121" min="37" max="37"/>
    <col outlineLevel="1" width="5" customWidth="1" style="41" min="38" max="38"/>
    <col outlineLevel="1" width="5" customWidth="1" style="121" min="39" max="39"/>
    <col outlineLevel="1" width="5" customWidth="1" style="41" min="40" max="40"/>
    <col outlineLevel="1" width="5" customWidth="1" style="121" min="41" max="41"/>
    <col outlineLevel="1" width="5" customWidth="1" style="41" min="42" max="42"/>
    <col outlineLevel="1" width="5" customWidth="1" style="121" min="43" max="43"/>
    <col outlineLevel="1" width="5" customWidth="1" style="41" min="44" max="44"/>
    <col outlineLevel="1" width="5" customWidth="1" style="121" min="45" max="45"/>
    <col outlineLevel="1" width="5" customWidth="1" style="41" min="46" max="46"/>
    <col outlineLevel="1" width="5" customWidth="1" style="121" min="47" max="47"/>
    <col outlineLevel="1" width="5" customWidth="1" style="41" min="48" max="48"/>
    <col outlineLevel="1" width="5" customWidth="1" style="121" min="49" max="49"/>
    <col outlineLevel="1" width="5" customWidth="1" style="41" min="50" max="50"/>
    <col outlineLevel="1" width="5" customWidth="1" style="121" min="51" max="51"/>
    <col width="5.625" customWidth="1" style="41" min="52" max="52"/>
    <col hidden="1" outlineLevel="1" width="5" customWidth="1" style="41" min="53" max="53"/>
    <col hidden="1" outlineLevel="1" width="5" customWidth="1" style="119" min="54" max="54"/>
    <col hidden="1" outlineLevel="1" width="5" customWidth="1" style="41" min="55" max="55"/>
    <col hidden="1" outlineLevel="1" width="5" customWidth="1" style="119" min="56" max="56"/>
    <col collapsed="1" width="5.625" customWidth="1" style="41" min="57" max="57"/>
    <col width="9" customWidth="1" style="8" min="58" max="58"/>
    <col width="9" customWidth="1" style="41" min="59" max="16384"/>
  </cols>
  <sheetData>
    <row r="1" ht="27" customHeight="1" s="122">
      <c r="B1" s="123" t="n"/>
      <c r="C1" s="123" t="inlineStr">
        <is>
          <t>2026년 05월 자재 재고현황</t>
        </is>
      </c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38" t="n"/>
      <c r="P1" s="123" t="n"/>
      <c r="Q1" s="124" t="n"/>
    </row>
    <row r="2">
      <c r="A2" s="3" t="n"/>
      <c r="B2" s="3" t="n"/>
      <c r="C2" s="94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25" t="n"/>
    </row>
    <row r="3" ht="36" customFormat="1" customHeight="1" s="4">
      <c r="A3" s="26" t="inlineStr">
        <is>
          <t>No</t>
        </is>
      </c>
      <c r="B3" s="126" t="inlineStr">
        <is>
          <t>부품
종류</t>
        </is>
      </c>
      <c r="C3" s="127" t="n"/>
      <c r="D3" s="59" t="inlineStr">
        <is>
          <t>품명</t>
        </is>
      </c>
      <c r="E3" s="28" t="inlineStr">
        <is>
          <t>규격</t>
        </is>
      </c>
      <c r="F3" s="29" t="inlineStr">
        <is>
          <t>MAKER
품번</t>
        </is>
      </c>
      <c r="G3" s="128" t="inlineStr">
        <is>
          <t>MAKER</t>
        </is>
      </c>
      <c r="H3" s="128" t="inlineStr">
        <is>
          <t>공급처</t>
        </is>
      </c>
      <c r="I3" s="31" t="inlineStr">
        <is>
          <t>등록일자</t>
        </is>
      </c>
      <c r="J3" s="29" t="inlineStr">
        <is>
          <t>사용중지일</t>
        </is>
      </c>
      <c r="K3" s="39" t="inlineStr">
        <is>
          <t>전월재고</t>
        </is>
      </c>
      <c r="L3" s="129" t="inlineStr">
        <is>
          <t>MOQ</t>
        </is>
      </c>
      <c r="M3" s="129" t="inlineStr">
        <is>
          <t>납기</t>
        </is>
      </c>
      <c r="N3" s="129" t="inlineStr">
        <is>
          <t>안전재고수량</t>
        </is>
      </c>
      <c r="O3" s="39" t="inlineStr">
        <is>
          <t>현재고</t>
        </is>
      </c>
      <c r="P3" s="108" t="inlineStr">
        <is>
          <t>입고수량</t>
        </is>
      </c>
      <c r="Q3" s="130" t="n"/>
      <c r="R3" s="130" t="n"/>
      <c r="S3" s="130" t="n"/>
      <c r="T3" s="130" t="n"/>
      <c r="U3" s="131" t="n"/>
      <c r="V3" s="35" t="inlineStr">
        <is>
          <t>당월
입고</t>
        </is>
      </c>
      <c r="W3" s="132" t="inlineStr">
        <is>
          <t>원자재 불량 반출</t>
        </is>
      </c>
      <c r="X3" s="133" t="n"/>
      <c r="Y3" s="133" t="n"/>
      <c r="Z3" s="133" t="n"/>
      <c r="AA3" s="133" t="n"/>
      <c r="AB3" s="133" t="n"/>
      <c r="AC3" s="133" t="n"/>
      <c r="AD3" s="134" t="n"/>
      <c r="AE3" s="35" t="inlineStr">
        <is>
          <t>당월
반출</t>
        </is>
      </c>
      <c r="AF3" s="135" t="inlineStr">
        <is>
          <t>출고수량</t>
        </is>
      </c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130" t="n"/>
      <c r="AR3" s="130" t="n"/>
      <c r="AS3" s="130" t="n"/>
      <c r="AT3" s="130" t="n"/>
      <c r="AU3" s="130" t="n"/>
      <c r="AV3" s="130" t="n"/>
      <c r="AW3" s="130" t="n"/>
      <c r="AX3" s="130" t="n"/>
      <c r="AY3" s="131" t="n"/>
      <c r="AZ3" s="34" t="inlineStr">
        <is>
          <t>당월
출고</t>
        </is>
      </c>
      <c r="BA3" s="116" t="inlineStr">
        <is>
          <t>공정 불량</t>
        </is>
      </c>
      <c r="BB3" s="130" t="n"/>
      <c r="BC3" s="130" t="n"/>
      <c r="BD3" s="131" t="n"/>
      <c r="BE3" s="34" t="inlineStr">
        <is>
          <t>공정
불량</t>
        </is>
      </c>
      <c r="BF3" s="42" t="n"/>
    </row>
    <row r="4" ht="22.5" customHeight="1" s="122">
      <c r="A4" s="9" t="n"/>
      <c r="B4" s="136" t="inlineStr">
        <is>
          <t>전극</t>
        </is>
      </c>
      <c r="C4" s="137" t="inlineStr">
        <is>
          <t>DXDR-070</t>
        </is>
      </c>
      <c r="D4" s="60" t="inlineStr">
        <is>
          <t>전극(70kV)</t>
        </is>
      </c>
      <c r="E4" s="11" t="inlineStr">
        <is>
          <t>순철 도금</t>
        </is>
      </c>
      <c r="F4" s="99" t="n"/>
      <c r="G4" s="9" t="n"/>
      <c r="H4" s="9" t="n"/>
      <c r="I4" s="14" t="n"/>
      <c r="J4" s="14" t="n"/>
      <c r="K4" s="12" t="n"/>
      <c r="L4" s="9" t="n"/>
      <c r="M4" s="9" t="n"/>
      <c r="N4" s="9" t="n"/>
      <c r="O4" s="40">
        <f>K4+V4-AE4-AZ4</f>
        <v/>
      </c>
      <c r="P4" s="12" t="n"/>
      <c r="Q4" s="138" t="n"/>
      <c r="R4" s="16" t="n"/>
      <c r="S4" s="139" t="n"/>
      <c r="T4" s="16" t="n"/>
      <c r="U4" s="139" t="n"/>
      <c r="V4" s="16">
        <f>P4+R4+T4</f>
        <v/>
      </c>
      <c r="W4" s="16" t="n"/>
      <c r="X4" s="139" t="n"/>
      <c r="Y4" s="16" t="n"/>
      <c r="Z4" s="139" t="n"/>
      <c r="AA4" s="16" t="n"/>
      <c r="AB4" s="139" t="n"/>
      <c r="AC4" s="16" t="n"/>
      <c r="AD4" s="139" t="n"/>
      <c r="AE4" s="16">
        <f>(W4+Y4+AA4+AC4)</f>
        <v/>
      </c>
      <c r="AF4" s="16" t="n"/>
      <c r="AG4" s="138" t="n"/>
      <c r="AH4" s="16" t="n"/>
      <c r="AI4" s="138" t="n"/>
      <c r="AJ4" s="16" t="n"/>
      <c r="AK4" s="138" t="n"/>
      <c r="AL4" s="16" t="n"/>
      <c r="AM4" s="138" t="n"/>
      <c r="AN4" s="16" t="n"/>
      <c r="AO4" s="138" t="n"/>
      <c r="AP4" s="16" t="n"/>
      <c r="AQ4" s="138" t="n"/>
      <c r="AR4" s="16" t="n"/>
      <c r="AS4" s="138" t="n"/>
      <c r="AT4" s="16" t="n"/>
      <c r="AU4" s="138" t="n"/>
      <c r="AV4" s="16" t="n"/>
      <c r="AW4" s="138" t="n"/>
      <c r="AX4" s="16" t="n"/>
      <c r="AY4" s="138" t="n"/>
      <c r="AZ4" s="16" t="n"/>
      <c r="BA4" s="16" t="n"/>
      <c r="BB4" s="139" t="n"/>
      <c r="BC4" s="16" t="n"/>
      <c r="BD4" s="139" t="n"/>
      <c r="BE4" s="16" t="n"/>
    </row>
    <row r="5" ht="22.5" customHeight="1" s="122">
      <c r="A5" s="9" t="n"/>
      <c r="B5" s="136" t="inlineStr">
        <is>
          <t>필라멘트</t>
        </is>
      </c>
      <c r="C5" s="137" t="inlineStr">
        <is>
          <t>DXDR-070</t>
        </is>
      </c>
      <c r="D5" s="60" t="inlineStr">
        <is>
          <t>텅스텐 필라멘트</t>
        </is>
      </c>
      <c r="E5" s="11" t="n"/>
      <c r="F5" s="99" t="n"/>
      <c r="G5" s="9" t="n"/>
      <c r="H5" s="9" t="n"/>
      <c r="I5" s="14" t="n"/>
      <c r="J5" s="14" t="n"/>
      <c r="K5" s="12" t="n"/>
      <c r="L5" s="9" t="n"/>
      <c r="M5" s="9" t="n"/>
      <c r="N5" s="9" t="n"/>
      <c r="O5" s="40">
        <f>K5+V5-AE5-AZ5</f>
        <v/>
      </c>
      <c r="P5" s="12" t="n"/>
      <c r="Q5" s="138" t="n"/>
      <c r="R5" s="16" t="n"/>
      <c r="S5" s="139" t="n"/>
      <c r="T5" s="16" t="n"/>
      <c r="U5" s="139" t="n"/>
      <c r="V5" s="16">
        <f>P5+R5+T5</f>
        <v/>
      </c>
      <c r="W5" s="16" t="n"/>
      <c r="X5" s="139" t="n"/>
      <c r="Y5" s="16" t="n"/>
      <c r="Z5" s="139" t="n"/>
      <c r="AA5" s="16" t="n"/>
      <c r="AB5" s="139" t="n"/>
      <c r="AC5" s="16" t="n"/>
      <c r="AD5" s="139" t="n"/>
      <c r="AE5" s="16">
        <f>(W5+Y5+AA5+AC5)</f>
        <v/>
      </c>
      <c r="AF5" s="16" t="n"/>
      <c r="AG5" s="138" t="n"/>
      <c r="AH5" s="16" t="n"/>
      <c r="AI5" s="138" t="n"/>
      <c r="AJ5" s="16" t="n"/>
      <c r="AK5" s="138" t="n"/>
      <c r="AL5" s="16" t="n"/>
      <c r="AM5" s="138" t="n"/>
      <c r="AN5" s="16" t="n"/>
      <c r="AO5" s="138" t="n"/>
      <c r="AP5" s="16" t="n"/>
      <c r="AQ5" s="138" t="n"/>
      <c r="AR5" s="16" t="n"/>
      <c r="AS5" s="138" t="n"/>
      <c r="AT5" s="16" t="n"/>
      <c r="AU5" s="138" t="n"/>
      <c r="AV5" s="16" t="n"/>
      <c r="AW5" s="138" t="n"/>
      <c r="AX5" s="16" t="n"/>
      <c r="AY5" s="138" t="n"/>
      <c r="AZ5" s="16">
        <f>AF5+AH5+AJ5+AL5+AN5+AP5+AR5+AT5+AV5+AX5</f>
        <v/>
      </c>
      <c r="BA5" s="16" t="n"/>
      <c r="BB5" s="139" t="n"/>
      <c r="BC5" s="16" t="n"/>
      <c r="BD5" s="139" t="n"/>
      <c r="BE5" s="16">
        <f>(BA5+BC5)</f>
        <v/>
      </c>
    </row>
    <row r="6" ht="22.5" customHeight="1" s="122">
      <c r="A6" s="9" t="n"/>
      <c r="B6" s="136" t="inlineStr">
        <is>
          <t>필라멘트</t>
        </is>
      </c>
      <c r="C6" s="137" t="inlineStr">
        <is>
          <t>DXDR-070</t>
        </is>
      </c>
      <c r="D6" s="60" t="inlineStr">
        <is>
          <t>텅스텐 필라멘트</t>
        </is>
      </c>
      <c r="E6" s="11" t="n"/>
      <c r="F6" s="99" t="n"/>
      <c r="G6" s="9" t="n"/>
      <c r="H6" s="9" t="n"/>
      <c r="I6" s="14" t="n"/>
      <c r="J6" s="14" t="n"/>
      <c r="K6" s="12" t="n"/>
      <c r="L6" s="9" t="n"/>
      <c r="M6" s="9" t="n"/>
      <c r="N6" s="9" t="n"/>
      <c r="O6" s="40">
        <f>K6+V6-AE6-AZ6</f>
        <v/>
      </c>
      <c r="P6" s="12" t="n"/>
      <c r="Q6" s="138" t="n"/>
      <c r="R6" s="16" t="n"/>
      <c r="S6" s="139" t="n"/>
      <c r="T6" s="16" t="n"/>
      <c r="U6" s="139" t="n"/>
      <c r="V6" s="16">
        <f>P6+R6+T6</f>
        <v/>
      </c>
      <c r="W6" s="16" t="n"/>
      <c r="X6" s="139" t="n"/>
      <c r="Y6" s="16" t="n"/>
      <c r="Z6" s="139" t="n"/>
      <c r="AA6" s="16" t="n"/>
      <c r="AB6" s="139" t="n"/>
      <c r="AC6" s="16" t="n"/>
      <c r="AD6" s="139" t="n"/>
      <c r="AE6" s="16">
        <f>(W6+Y6+AA6+AC6)</f>
        <v/>
      </c>
      <c r="AF6" s="16" t="n"/>
      <c r="AG6" s="138" t="n"/>
      <c r="AH6" s="16" t="n"/>
      <c r="AI6" s="138" t="n"/>
      <c r="AJ6" s="16" t="n"/>
      <c r="AK6" s="138" t="n"/>
      <c r="AL6" s="16" t="n"/>
      <c r="AM6" s="138" t="n"/>
      <c r="AN6" s="16" t="n"/>
      <c r="AO6" s="138" t="n"/>
      <c r="AP6" s="16" t="n"/>
      <c r="AQ6" s="138" t="n"/>
      <c r="AR6" s="16" t="n"/>
      <c r="AS6" s="138" t="n"/>
      <c r="AT6" s="16" t="n"/>
      <c r="AU6" s="138" t="n"/>
      <c r="AV6" s="16" t="n"/>
      <c r="AW6" s="138" t="n"/>
      <c r="AX6" s="16" t="n"/>
      <c r="AY6" s="138" t="n"/>
      <c r="AZ6" s="16">
        <f>AF6+AH6+AJ6+AL6+AN6+AP6+AR6+AT6+AV6+AX6</f>
        <v/>
      </c>
      <c r="BA6" s="16" t="n"/>
      <c r="BB6" s="139" t="n"/>
      <c r="BC6" s="16" t="n"/>
      <c r="BD6" s="139" t="n"/>
      <c r="BE6" s="16">
        <f>(BA6+BC6)</f>
        <v/>
      </c>
    </row>
    <row r="7" ht="22.5" customHeight="1" s="122">
      <c r="A7" s="9" t="n"/>
      <c r="B7" s="136" t="inlineStr">
        <is>
          <t>게터</t>
        </is>
      </c>
      <c r="C7" s="137" t="inlineStr">
        <is>
          <t>DXDR-070,DXDR-100</t>
        </is>
      </c>
      <c r="D7" s="60" t="inlineStr">
        <is>
          <t>게터</t>
        </is>
      </c>
      <c r="E7" s="11" t="n"/>
      <c r="F7" s="99" t="n"/>
      <c r="G7" s="9" t="n"/>
      <c r="H7" s="9" t="n"/>
      <c r="I7" s="14" t="n"/>
      <c r="J7" s="14" t="n"/>
      <c r="K7" s="12" t="n"/>
      <c r="L7" s="9" t="n"/>
      <c r="M7" s="9" t="n"/>
      <c r="N7" s="9" t="n"/>
      <c r="O7" s="40">
        <f>K7+V7-AE7-AZ7</f>
        <v/>
      </c>
      <c r="P7" s="12" t="n"/>
      <c r="Q7" s="138" t="n"/>
      <c r="R7" s="16" t="n"/>
      <c r="S7" s="139" t="n"/>
      <c r="T7" s="16" t="n"/>
      <c r="U7" s="139" t="n"/>
      <c r="V7" s="16">
        <f>P7+R7+T7</f>
        <v/>
      </c>
      <c r="W7" s="16" t="n"/>
      <c r="X7" s="139" t="n"/>
      <c r="Y7" s="16" t="n"/>
      <c r="Z7" s="139" t="n"/>
      <c r="AA7" s="16" t="n"/>
      <c r="AB7" s="139" t="n"/>
      <c r="AC7" s="16" t="n"/>
      <c r="AD7" s="139" t="n"/>
      <c r="AE7" s="16">
        <f>(W7+Y7+AA7+AC7)</f>
        <v/>
      </c>
      <c r="AF7" s="16" t="n"/>
      <c r="AG7" s="138" t="n"/>
      <c r="AH7" s="16" t="n"/>
      <c r="AI7" s="138" t="n"/>
      <c r="AJ7" s="16" t="n"/>
      <c r="AK7" s="138" t="n"/>
      <c r="AL7" s="16" t="n"/>
      <c r="AM7" s="138" t="n"/>
      <c r="AN7" s="16" t="n"/>
      <c r="AO7" s="138" t="n"/>
      <c r="AP7" s="16" t="n"/>
      <c r="AQ7" s="138" t="n"/>
      <c r="AR7" s="16" t="n"/>
      <c r="AS7" s="138" t="n"/>
      <c r="AT7" s="16" t="n"/>
      <c r="AU7" s="138" t="n"/>
      <c r="AV7" s="16" t="n"/>
      <c r="AW7" s="138" t="n"/>
      <c r="AX7" s="16" t="n"/>
      <c r="AY7" s="138" t="n"/>
      <c r="AZ7" s="16">
        <f>AF7+AH7+AJ7+AL7+AN7+AP7+AR7+AT7+AV7+AX7</f>
        <v/>
      </c>
      <c r="BA7" s="16" t="n"/>
      <c r="BB7" s="139" t="n"/>
      <c r="BC7" s="16" t="n"/>
      <c r="BD7" s="139" t="n"/>
      <c r="BE7" s="16">
        <f>(BA7+BC7)</f>
        <v/>
      </c>
    </row>
    <row r="8" ht="22.5" customHeight="1" s="122">
      <c r="A8" s="9" t="n"/>
      <c r="B8" s="136" t="inlineStr">
        <is>
          <t>코바</t>
        </is>
      </c>
      <c r="C8" s="137" t="inlineStr">
        <is>
          <t>DXDR-070</t>
        </is>
      </c>
      <c r="D8" s="60" t="inlineStr">
        <is>
          <t>에노드</t>
        </is>
      </c>
      <c r="E8" s="36" t="n"/>
      <c r="F8" s="99" t="n"/>
      <c r="G8" s="9" t="n"/>
      <c r="H8" s="9" t="n"/>
      <c r="I8" s="14" t="n"/>
      <c r="J8" s="14" t="n"/>
      <c r="K8" s="12" t="n"/>
      <c r="L8" s="9" t="n"/>
      <c r="M8" s="9" t="n"/>
      <c r="N8" s="9" t="n"/>
      <c r="O8" s="40">
        <f>K8+V8-AE8-AZ8</f>
        <v/>
      </c>
      <c r="P8" s="12" t="n"/>
      <c r="Q8" s="138" t="n"/>
      <c r="R8" s="16" t="n"/>
      <c r="S8" s="139" t="n"/>
      <c r="T8" s="16" t="n"/>
      <c r="U8" s="139" t="n"/>
      <c r="V8" s="16">
        <f>P8+R8+T8</f>
        <v/>
      </c>
      <c r="W8" s="16" t="n"/>
      <c r="X8" s="139" t="n"/>
      <c r="Y8" s="16" t="n"/>
      <c r="Z8" s="139" t="n"/>
      <c r="AA8" s="16" t="n"/>
      <c r="AB8" s="139" t="n"/>
      <c r="AC8" s="16" t="n"/>
      <c r="AD8" s="139" t="n"/>
      <c r="AE8" s="16">
        <f>(W8+Y8+AA8+AC8)</f>
        <v/>
      </c>
      <c r="AF8" s="16" t="n"/>
      <c r="AG8" s="138" t="n"/>
      <c r="AH8" s="16" t="n"/>
      <c r="AI8" s="138" t="n"/>
      <c r="AJ8" s="16" t="n"/>
      <c r="AK8" s="138" t="n"/>
      <c r="AL8" s="16" t="n"/>
      <c r="AM8" s="138" t="n"/>
      <c r="AN8" s="16" t="n"/>
      <c r="AO8" s="138" t="n"/>
      <c r="AP8" s="16" t="n"/>
      <c r="AQ8" s="138" t="n"/>
      <c r="AR8" s="16" t="n"/>
      <c r="AS8" s="138" t="n"/>
      <c r="AT8" s="16" t="n"/>
      <c r="AU8" s="138" t="n"/>
      <c r="AV8" s="16" t="n"/>
      <c r="AW8" s="138" t="n"/>
      <c r="AX8" s="16" t="n"/>
      <c r="AY8" s="138" t="n"/>
      <c r="AZ8" s="16">
        <f>AF8+AH8+AJ8+AL8+AN8+AP8+AR8+AT8+AV8+AX8</f>
        <v/>
      </c>
      <c r="BA8" s="16" t="n"/>
      <c r="BB8" s="139" t="n"/>
      <c r="BC8" s="16" t="n"/>
      <c r="BD8" s="139" t="n"/>
      <c r="BE8" s="16">
        <f>(BA8+BC8)</f>
        <v/>
      </c>
    </row>
    <row r="9" ht="22.5" customHeight="1" s="122">
      <c r="A9" s="9" t="n"/>
      <c r="B9" s="136" t="inlineStr">
        <is>
          <t>코바</t>
        </is>
      </c>
      <c r="C9" s="137" t="inlineStr">
        <is>
          <t>DXDR-070</t>
        </is>
      </c>
      <c r="D9" s="62" t="inlineStr">
        <is>
          <t>포커서</t>
        </is>
      </c>
      <c r="E9" s="11" t="n"/>
      <c r="F9" s="99" t="n"/>
      <c r="G9" s="22" t="n"/>
      <c r="H9" s="22" t="n"/>
      <c r="I9" s="14" t="n"/>
      <c r="J9" s="14" t="n"/>
      <c r="K9" s="12" t="n"/>
      <c r="L9" s="9" t="n"/>
      <c r="M9" s="9" t="n"/>
      <c r="N9" s="9" t="n"/>
      <c r="O9" s="40">
        <f>K9+V9-AE9-AZ9</f>
        <v/>
      </c>
      <c r="P9" s="12" t="n"/>
      <c r="Q9" s="138" t="n"/>
      <c r="R9" s="16" t="n"/>
      <c r="S9" s="139" t="n"/>
      <c r="T9" s="16" t="n"/>
      <c r="U9" s="139" t="n"/>
      <c r="V9" s="16">
        <f>P9+R9+T9</f>
        <v/>
      </c>
      <c r="W9" s="16" t="n"/>
      <c r="X9" s="139" t="n"/>
      <c r="Y9" s="16" t="n"/>
      <c r="Z9" s="139" t="n"/>
      <c r="AA9" s="16" t="n"/>
      <c r="AB9" s="139" t="n"/>
      <c r="AC9" s="16" t="n"/>
      <c r="AD9" s="139" t="n"/>
      <c r="AE9" s="16">
        <f>(W9+Y9+AA9+AC9)</f>
        <v/>
      </c>
      <c r="AF9" s="16" t="n"/>
      <c r="AG9" s="138" t="n"/>
      <c r="AH9" s="16" t="n"/>
      <c r="AI9" s="138" t="n"/>
      <c r="AJ9" s="16" t="n"/>
      <c r="AK9" s="138" t="n"/>
      <c r="AL9" s="16" t="n"/>
      <c r="AM9" s="138" t="n"/>
      <c r="AN9" s="16" t="n"/>
      <c r="AO9" s="138" t="n"/>
      <c r="AP9" s="16" t="n"/>
      <c r="AQ9" s="138" t="n"/>
      <c r="AR9" s="16" t="n"/>
      <c r="AS9" s="138" t="n"/>
      <c r="AT9" s="16" t="n"/>
      <c r="AU9" s="138" t="n"/>
      <c r="AV9" s="16" t="n"/>
      <c r="AW9" s="138" t="n"/>
      <c r="AX9" s="16" t="n"/>
      <c r="AY9" s="138" t="n"/>
      <c r="AZ9" s="16">
        <f>AF9+AH9+AJ9+AL9+AN9+AP9+AR9+AT9+AV9+AX9</f>
        <v/>
      </c>
      <c r="BA9" s="16" t="n"/>
      <c r="BB9" s="139" t="n"/>
      <c r="BC9" s="16" t="n"/>
      <c r="BD9" s="139" t="n"/>
      <c r="BE9" s="16">
        <f>(BA9+BC9)</f>
        <v/>
      </c>
    </row>
    <row r="10" ht="22.5" customHeight="1" s="122">
      <c r="A10" s="9" t="n"/>
      <c r="B10" s="141" t="inlineStr">
        <is>
          <t>세라믹</t>
        </is>
      </c>
      <c r="C10" s="137" t="inlineStr">
        <is>
          <t>DXDR-070</t>
        </is>
      </c>
      <c r="D10" s="60" t="inlineStr">
        <is>
          <t>세라믹 바디</t>
        </is>
      </c>
      <c r="E10" s="36" t="n"/>
      <c r="F10" s="99" t="n"/>
      <c r="G10" s="22" t="n"/>
      <c r="H10" s="22" t="n"/>
      <c r="I10" s="14" t="n"/>
      <c r="J10" s="14" t="n"/>
      <c r="K10" s="12" t="n"/>
      <c r="L10" s="9" t="n"/>
      <c r="M10" s="9" t="n"/>
      <c r="N10" s="9" t="n"/>
      <c r="O10" s="40">
        <f>K10+V10-AE10-AZ10</f>
        <v/>
      </c>
      <c r="P10" s="12" t="n"/>
      <c r="Q10" s="138" t="n"/>
      <c r="R10" s="16" t="n"/>
      <c r="S10" s="139" t="n"/>
      <c r="T10" s="16" t="n"/>
      <c r="U10" s="139" t="n"/>
      <c r="V10" s="16">
        <f>P10+R10+T10</f>
        <v/>
      </c>
      <c r="W10" s="16" t="n"/>
      <c r="X10" s="139" t="n"/>
      <c r="Y10" s="16" t="n"/>
      <c r="Z10" s="139" t="n"/>
      <c r="AA10" s="16" t="n"/>
      <c r="AB10" s="139" t="n"/>
      <c r="AC10" s="16" t="n"/>
      <c r="AD10" s="139" t="n"/>
      <c r="AE10" s="16">
        <f>(W10+Y10+AA10+AC10)</f>
        <v/>
      </c>
      <c r="AF10" s="16" t="n"/>
      <c r="AG10" s="138" t="n"/>
      <c r="AH10" s="16" t="n"/>
      <c r="AI10" s="138" t="n"/>
      <c r="AJ10" s="16" t="n"/>
      <c r="AK10" s="138" t="n"/>
      <c r="AL10" s="16" t="n"/>
      <c r="AM10" s="138" t="n"/>
      <c r="AN10" s="16" t="n"/>
      <c r="AO10" s="138" t="n"/>
      <c r="AP10" s="16" t="n"/>
      <c r="AQ10" s="138" t="n"/>
      <c r="AR10" s="16" t="n"/>
      <c r="AS10" s="138" t="n"/>
      <c r="AT10" s="16" t="n"/>
      <c r="AU10" s="138" t="n"/>
      <c r="AV10" s="16" t="n"/>
      <c r="AW10" s="138" t="n"/>
      <c r="AX10" s="16" t="n"/>
      <c r="AY10" s="138" t="n"/>
      <c r="AZ10" s="16">
        <f>AF10+AH10+AJ10+AL10+AN10+AP10+AR10+AT10+AV10+AX10</f>
        <v/>
      </c>
      <c r="BA10" s="16" t="n"/>
      <c r="BB10" s="139" t="n"/>
      <c r="BC10" s="16" t="n"/>
      <c r="BD10" s="139" t="n"/>
      <c r="BE10" s="16">
        <f>(BA10+BC10)</f>
        <v/>
      </c>
    </row>
    <row r="11" ht="22.5" customHeight="1" s="122">
      <c r="A11" s="9" t="n"/>
      <c r="B11" s="141" t="inlineStr">
        <is>
          <t>세라믹</t>
        </is>
      </c>
      <c r="C11" s="137" t="inlineStr">
        <is>
          <t>DXDR-070</t>
        </is>
      </c>
      <c r="D11" s="60" t="inlineStr">
        <is>
          <t>세라믹 스템</t>
        </is>
      </c>
      <c r="E11" s="11" t="n"/>
      <c r="F11" s="99" t="n"/>
      <c r="G11" s="9" t="n"/>
      <c r="H11" s="9" t="n"/>
      <c r="I11" s="14" t="n"/>
      <c r="J11" s="14" t="n"/>
      <c r="K11" s="12" t="n"/>
      <c r="L11" s="9" t="n"/>
      <c r="M11" s="9" t="n"/>
      <c r="N11" s="9" t="n"/>
      <c r="O11" s="40">
        <f>K11+V11-AE11-AZ11</f>
        <v/>
      </c>
      <c r="P11" s="12" t="n"/>
      <c r="Q11" s="138" t="n"/>
      <c r="R11" s="16" t="n"/>
      <c r="S11" s="139" t="n"/>
      <c r="T11" s="16" t="n"/>
      <c r="U11" s="139" t="n"/>
      <c r="V11" s="16">
        <f>P11+R11+T11</f>
        <v/>
      </c>
      <c r="W11" s="16" t="n"/>
      <c r="X11" s="139" t="n"/>
      <c r="Y11" s="16" t="n"/>
      <c r="Z11" s="139" t="n"/>
      <c r="AA11" s="16" t="n"/>
      <c r="AB11" s="139" t="n"/>
      <c r="AC11" s="16" t="n"/>
      <c r="AD11" s="139" t="n"/>
      <c r="AE11" s="16">
        <f>(W11+Y11+AA11+AC11)</f>
        <v/>
      </c>
      <c r="AF11" s="16" t="n"/>
      <c r="AG11" s="138" t="n"/>
      <c r="AH11" s="16" t="n"/>
      <c r="AI11" s="138" t="n"/>
      <c r="AJ11" s="16" t="n"/>
      <c r="AK11" s="138" t="n"/>
      <c r="AL11" s="16" t="n"/>
      <c r="AM11" s="138" t="n"/>
      <c r="AN11" s="16" t="n"/>
      <c r="AO11" s="138" t="n"/>
      <c r="AP11" s="16" t="n"/>
      <c r="AQ11" s="138" t="n"/>
      <c r="AR11" s="16" t="n"/>
      <c r="AS11" s="138" t="n"/>
      <c r="AT11" s="16" t="n"/>
      <c r="AU11" s="138" t="n"/>
      <c r="AV11" s="16" t="n"/>
      <c r="AW11" s="138" t="n"/>
      <c r="AX11" s="16" t="n"/>
      <c r="AY11" s="138" t="n"/>
      <c r="AZ11" s="16">
        <f>AF11+AH11+AJ11+AL11+AN11+AP11+AR11+AT11+AV11+AX11</f>
        <v/>
      </c>
      <c r="BA11" s="16" t="n"/>
      <c r="BB11" s="139" t="n"/>
      <c r="BC11" s="16" t="n"/>
      <c r="BD11" s="139" t="n"/>
      <c r="BE11" s="16">
        <f>(BA11+BC11)</f>
        <v/>
      </c>
    </row>
    <row r="12" ht="22.5" customHeight="1" s="122">
      <c r="A12" s="9" t="n"/>
      <c r="B12" s="136" t="inlineStr">
        <is>
          <t>필러</t>
        </is>
      </c>
      <c r="C12" s="137" t="inlineStr">
        <is>
          <t>DXDR-070</t>
        </is>
      </c>
      <c r="D12" s="62" t="inlineStr">
        <is>
          <t>필러</t>
        </is>
      </c>
      <c r="E12" s="11" t="n"/>
      <c r="F12" s="99" t="n"/>
      <c r="G12" s="9" t="n"/>
      <c r="H12" s="9" t="n"/>
      <c r="I12" s="14" t="n"/>
      <c r="J12" s="14" t="n"/>
      <c r="K12" s="12" t="n"/>
      <c r="L12" s="9" t="n"/>
      <c r="M12" s="9" t="n"/>
      <c r="N12" s="9" t="n"/>
      <c r="O12" s="40">
        <f>K12+V12-AE12-AZ12</f>
        <v/>
      </c>
      <c r="P12" s="12" t="n"/>
      <c r="Q12" s="138" t="n"/>
      <c r="R12" s="16" t="n"/>
      <c r="S12" s="139" t="n"/>
      <c r="T12" s="16" t="n"/>
      <c r="U12" s="139" t="n"/>
      <c r="V12" s="16">
        <f>P12+R12+T12</f>
        <v/>
      </c>
      <c r="W12" s="16" t="n"/>
      <c r="X12" s="139" t="n"/>
      <c r="Y12" s="16" t="n"/>
      <c r="Z12" s="139" t="n"/>
      <c r="AA12" s="16" t="n"/>
      <c r="AB12" s="139" t="n"/>
      <c r="AC12" s="16" t="n"/>
      <c r="AD12" s="139" t="n"/>
      <c r="AE12" s="16">
        <f>(W12+Y12+AA12+AC12)</f>
        <v/>
      </c>
      <c r="AF12" s="16" t="n"/>
      <c r="AG12" s="138" t="n"/>
      <c r="AH12" s="16" t="n"/>
      <c r="AI12" s="138" t="n"/>
      <c r="AJ12" s="16" t="n"/>
      <c r="AK12" s="138" t="n"/>
      <c r="AL12" s="16" t="n"/>
      <c r="AM12" s="138" t="n"/>
      <c r="AN12" s="16" t="n"/>
      <c r="AO12" s="138" t="n"/>
      <c r="AP12" s="16" t="n"/>
      <c r="AQ12" s="138" t="n"/>
      <c r="AR12" s="16" t="n"/>
      <c r="AS12" s="138" t="n"/>
      <c r="AT12" s="16" t="n"/>
      <c r="AU12" s="138" t="n"/>
      <c r="AV12" s="16" t="n"/>
      <c r="AW12" s="138" t="n"/>
      <c r="AX12" s="16" t="n"/>
      <c r="AY12" s="138" t="n"/>
      <c r="AZ12" s="16">
        <f>AF12+AH12+AJ12+AL12+AN12+AP12+AR12+AT12+AV12+AX12</f>
        <v/>
      </c>
      <c r="BA12" s="16" t="n"/>
      <c r="BB12" s="139" t="n"/>
      <c r="BC12" s="16" t="n"/>
      <c r="BD12" s="139" t="n"/>
      <c r="BE12" s="16">
        <f>(BA12+BC12)</f>
        <v/>
      </c>
    </row>
    <row r="13" ht="22.5" customHeight="1" s="122">
      <c r="A13" s="9" t="n"/>
      <c r="B13" s="136" t="inlineStr">
        <is>
          <t>필러</t>
        </is>
      </c>
      <c r="C13" s="137" t="inlineStr">
        <is>
          <t>DXDR-070</t>
        </is>
      </c>
      <c r="D13" s="62" t="inlineStr">
        <is>
          <t>전극 필러</t>
        </is>
      </c>
      <c r="E13" s="11" t="n"/>
      <c r="F13" s="99" t="n"/>
      <c r="G13" s="9" t="n"/>
      <c r="H13" s="9" t="n"/>
      <c r="I13" s="14" t="n"/>
      <c r="J13" s="14" t="n"/>
      <c r="K13" s="12" t="n"/>
      <c r="L13" s="9" t="n"/>
      <c r="M13" s="9" t="n"/>
      <c r="N13" s="9" t="n"/>
      <c r="O13" s="40">
        <f>K13+V13-AE13-AZ13</f>
        <v/>
      </c>
      <c r="P13" s="12" t="n"/>
      <c r="Q13" s="138" t="n"/>
      <c r="R13" s="16" t="n"/>
      <c r="S13" s="139" t="n"/>
      <c r="T13" s="16" t="n"/>
      <c r="U13" s="139" t="n"/>
      <c r="V13" s="16">
        <f>P13+R13+T13</f>
        <v/>
      </c>
      <c r="W13" s="16" t="n"/>
      <c r="X13" s="139" t="n"/>
      <c r="Y13" s="16" t="n"/>
      <c r="Z13" s="139" t="n"/>
      <c r="AA13" s="16" t="n"/>
      <c r="AB13" s="139" t="n"/>
      <c r="AC13" s="16" t="n"/>
      <c r="AD13" s="139" t="n"/>
      <c r="AE13" s="16">
        <f>(W13+Y13+AA13+AC13)</f>
        <v/>
      </c>
      <c r="AF13" s="16" t="n"/>
      <c r="AG13" s="138" t="n"/>
      <c r="AH13" s="16" t="n"/>
      <c r="AI13" s="138" t="n"/>
      <c r="AJ13" s="16" t="n"/>
      <c r="AK13" s="138" t="n"/>
      <c r="AL13" s="16" t="n"/>
      <c r="AM13" s="138" t="n"/>
      <c r="AN13" s="16" t="n"/>
      <c r="AO13" s="138" t="n"/>
      <c r="AP13" s="16" t="n"/>
      <c r="AQ13" s="138" t="n"/>
      <c r="AR13" s="16" t="n"/>
      <c r="AS13" s="138" t="n"/>
      <c r="AT13" s="16" t="n"/>
      <c r="AU13" s="138" t="n"/>
      <c r="AV13" s="16" t="n"/>
      <c r="AW13" s="138" t="n"/>
      <c r="AX13" s="16" t="n"/>
      <c r="AY13" s="138" t="n"/>
      <c r="AZ13" s="16">
        <f>AF13+AH13+AJ13+AL13+AN13+AP13+AR13+AT13+AV13+AX13</f>
        <v/>
      </c>
      <c r="BA13" s="16" t="n"/>
      <c r="BB13" s="139" t="n"/>
      <c r="BC13" s="16" t="n"/>
      <c r="BD13" s="139" t="n"/>
      <c r="BE13" s="16">
        <f>(BA13+BC13)</f>
        <v/>
      </c>
    </row>
    <row r="14" ht="22.5" customHeight="1" s="122">
      <c r="A14" s="9" t="n"/>
      <c r="B14" s="136" t="inlineStr">
        <is>
          <t>전극</t>
        </is>
      </c>
      <c r="C14" s="137" t="inlineStr">
        <is>
          <t>DXDR-100</t>
        </is>
      </c>
      <c r="D14" s="60" t="inlineStr">
        <is>
          <t>전극(100kV)</t>
        </is>
      </c>
      <c r="E14" s="11" t="inlineStr">
        <is>
          <t>순철 도금</t>
        </is>
      </c>
      <c r="F14" s="99" t="n"/>
      <c r="G14" s="9" t="n"/>
      <c r="H14" s="9" t="n"/>
      <c r="I14" s="14" t="n"/>
      <c r="J14" s="14" t="n"/>
      <c r="K14" s="12" t="n"/>
      <c r="L14" s="9" t="n"/>
      <c r="M14" s="9" t="n"/>
      <c r="N14" s="9" t="n"/>
      <c r="O14" s="40">
        <f>K14+V14-AE14-AZ14</f>
        <v/>
      </c>
      <c r="P14" s="12" t="n"/>
      <c r="Q14" s="138" t="n"/>
      <c r="R14" s="16" t="n"/>
      <c r="S14" s="139" t="n"/>
      <c r="T14" s="16" t="n"/>
      <c r="U14" s="139" t="n"/>
      <c r="V14" s="16">
        <f>P14+R14+T14</f>
        <v/>
      </c>
      <c r="W14" s="16" t="n"/>
      <c r="X14" s="139" t="n"/>
      <c r="Y14" s="16" t="n"/>
      <c r="Z14" s="139" t="n"/>
      <c r="AA14" s="16" t="n"/>
      <c r="AB14" s="139" t="n"/>
      <c r="AC14" s="16" t="n"/>
      <c r="AD14" s="139" t="n"/>
      <c r="AE14" s="16">
        <f>(W14+Y14+AA14+AC14)</f>
        <v/>
      </c>
      <c r="AF14" s="16" t="n"/>
      <c r="AG14" s="138" t="n"/>
      <c r="AH14" s="16" t="n"/>
      <c r="AI14" s="138" t="n"/>
      <c r="AJ14" s="16" t="n"/>
      <c r="AK14" s="138" t="n"/>
      <c r="AL14" s="16" t="n"/>
      <c r="AM14" s="138" t="n"/>
      <c r="AN14" s="16" t="n"/>
      <c r="AO14" s="138" t="n"/>
      <c r="AP14" s="16" t="n"/>
      <c r="AQ14" s="138" t="n"/>
      <c r="AR14" s="16" t="n"/>
      <c r="AS14" s="138" t="n"/>
      <c r="AT14" s="16" t="n"/>
      <c r="AU14" s="138" t="n"/>
      <c r="AV14" s="16" t="n"/>
      <c r="AW14" s="138" t="n"/>
      <c r="AX14" s="16" t="n"/>
      <c r="AY14" s="138" t="n"/>
      <c r="AZ14" s="16">
        <f>AF14+AH14+AJ14+AL14+AN14+AP14+AR14+AT14+AV14+AX14</f>
        <v/>
      </c>
      <c r="BA14" s="16" t="n"/>
      <c r="BB14" s="139" t="n"/>
      <c r="BC14" s="16" t="n"/>
      <c r="BD14" s="139" t="n"/>
      <c r="BE14" s="16">
        <f>(BA14+BC14)</f>
        <v/>
      </c>
    </row>
    <row r="15" ht="22.5" customHeight="1" s="122">
      <c r="A15" s="9" t="n"/>
      <c r="B15" s="136" t="inlineStr">
        <is>
          <t>필라멘트</t>
        </is>
      </c>
      <c r="C15" s="137" t="inlineStr">
        <is>
          <t>DXDR-100</t>
        </is>
      </c>
      <c r="D15" s="60" t="inlineStr">
        <is>
          <t>텅스텐 필라멘트</t>
        </is>
      </c>
      <c r="E15" s="11" t="n"/>
      <c r="F15" s="99" t="n"/>
      <c r="G15" s="9" t="n"/>
      <c r="H15" s="9" t="n"/>
      <c r="I15" s="14" t="n"/>
      <c r="J15" s="14" t="n"/>
      <c r="K15" s="12" t="n"/>
      <c r="L15" s="9" t="n"/>
      <c r="M15" s="9" t="n"/>
      <c r="N15" s="9" t="n"/>
      <c r="O15" s="40">
        <f>K15+V15-AE15-AZ15</f>
        <v/>
      </c>
      <c r="P15" s="12" t="n"/>
      <c r="Q15" s="138" t="n"/>
      <c r="R15" s="16" t="n"/>
      <c r="S15" s="139" t="n"/>
      <c r="T15" s="16" t="n"/>
      <c r="U15" s="139" t="n"/>
      <c r="V15" s="16">
        <f>P15+R15+T15</f>
        <v/>
      </c>
      <c r="W15" s="16" t="n"/>
      <c r="X15" s="139" t="n"/>
      <c r="Y15" s="16" t="n"/>
      <c r="Z15" s="139" t="n"/>
      <c r="AA15" s="16" t="n"/>
      <c r="AB15" s="139" t="n"/>
      <c r="AC15" s="16" t="n"/>
      <c r="AD15" s="139" t="n"/>
      <c r="AE15" s="16">
        <f>(W15+Y15+AA15+AC15)</f>
        <v/>
      </c>
      <c r="AF15" s="16" t="n"/>
      <c r="AG15" s="138" t="n"/>
      <c r="AH15" s="16" t="n"/>
      <c r="AI15" s="138" t="n"/>
      <c r="AJ15" s="16" t="n"/>
      <c r="AK15" s="138" t="n"/>
      <c r="AL15" s="16" t="n"/>
      <c r="AM15" s="138" t="n"/>
      <c r="AN15" s="16" t="n"/>
      <c r="AO15" s="138" t="n"/>
      <c r="AP15" s="16" t="n"/>
      <c r="AQ15" s="138" t="n"/>
      <c r="AR15" s="16" t="n"/>
      <c r="AS15" s="138" t="n"/>
      <c r="AT15" s="16" t="n"/>
      <c r="AU15" s="138" t="n"/>
      <c r="AV15" s="16" t="n"/>
      <c r="AW15" s="138" t="n"/>
      <c r="AX15" s="16" t="n"/>
      <c r="AY15" s="138" t="n"/>
      <c r="AZ15" s="16">
        <f>AF15+AH15+AJ15+AL15+AN15+AP15+AR15+AT15+AV15+AX15</f>
        <v/>
      </c>
      <c r="BA15" s="16" t="n"/>
      <c r="BB15" s="139" t="n"/>
      <c r="BC15" s="16" t="n"/>
      <c r="BD15" s="139" t="n"/>
      <c r="BE15" s="16">
        <f>(BA15+BC15)</f>
        <v/>
      </c>
    </row>
    <row r="16" ht="22.5" customHeight="1" s="122">
      <c r="A16" s="9" t="n"/>
      <c r="B16" s="136" t="inlineStr">
        <is>
          <t>코바</t>
        </is>
      </c>
      <c r="C16" s="137" t="inlineStr">
        <is>
          <t>DXDR-100</t>
        </is>
      </c>
      <c r="D16" s="60" t="inlineStr">
        <is>
          <t>에노드</t>
        </is>
      </c>
      <c r="E16" s="11" t="n"/>
      <c r="F16" s="99" t="n"/>
      <c r="G16" s="9" t="n"/>
      <c r="H16" s="9" t="n"/>
      <c r="I16" s="14" t="n"/>
      <c r="J16" s="14" t="n"/>
      <c r="K16" s="12" t="n"/>
      <c r="L16" s="9" t="n"/>
      <c r="M16" s="9" t="n"/>
      <c r="N16" s="9" t="n"/>
      <c r="O16" s="40">
        <f>K16+V16-AE16-AZ16</f>
        <v/>
      </c>
      <c r="P16" s="12" t="n"/>
      <c r="Q16" s="138" t="n"/>
      <c r="R16" s="16" t="n"/>
      <c r="S16" s="139" t="n"/>
      <c r="T16" s="16" t="n"/>
      <c r="U16" s="139" t="n"/>
      <c r="V16" s="16">
        <f>P16+R16+T16</f>
        <v/>
      </c>
      <c r="W16" s="16" t="n"/>
      <c r="X16" s="139" t="n"/>
      <c r="Y16" s="16" t="n"/>
      <c r="Z16" s="139" t="n"/>
      <c r="AA16" s="16" t="n"/>
      <c r="AB16" s="139" t="n"/>
      <c r="AC16" s="16" t="n"/>
      <c r="AD16" s="139" t="n"/>
      <c r="AE16" s="16">
        <f>(W16+Y16+AA16+AC16)</f>
        <v/>
      </c>
      <c r="AF16" s="16" t="n"/>
      <c r="AG16" s="138" t="n"/>
      <c r="AH16" s="16" t="n"/>
      <c r="AI16" s="138" t="n"/>
      <c r="AJ16" s="16" t="n"/>
      <c r="AK16" s="138" t="n"/>
      <c r="AL16" s="16" t="n"/>
      <c r="AM16" s="138" t="n"/>
      <c r="AN16" s="16" t="n"/>
      <c r="AO16" s="138" t="n"/>
      <c r="AP16" s="16" t="n"/>
      <c r="AQ16" s="138" t="n"/>
      <c r="AR16" s="16" t="n"/>
      <c r="AS16" s="138" t="n"/>
      <c r="AT16" s="16" t="n"/>
      <c r="AU16" s="138" t="n"/>
      <c r="AV16" s="16" t="n"/>
      <c r="AW16" s="138" t="n"/>
      <c r="AX16" s="16" t="n"/>
      <c r="AY16" s="138" t="n"/>
      <c r="AZ16" s="16">
        <f>AF16+AH16+AJ16+AL16+AN16+AP16+AR16+AT16+AV16+AX16</f>
        <v/>
      </c>
      <c r="BA16" s="16" t="n"/>
      <c r="BB16" s="139" t="n"/>
      <c r="BC16" s="16" t="n"/>
      <c r="BD16" s="139" t="n"/>
      <c r="BE16" s="16">
        <f>(BA16+BC16)</f>
        <v/>
      </c>
    </row>
    <row r="17" ht="22.5" customFormat="1" customHeight="1" s="8">
      <c r="A17" s="9" t="n"/>
      <c r="B17" s="136" t="inlineStr">
        <is>
          <t>코바</t>
        </is>
      </c>
      <c r="C17" s="137" t="inlineStr">
        <is>
          <t>DXDR-100</t>
        </is>
      </c>
      <c r="D17" s="60" t="inlineStr">
        <is>
          <t>에노드 링</t>
        </is>
      </c>
      <c r="E17" s="11" t="n"/>
      <c r="F17" s="99" t="n"/>
      <c r="G17" s="9" t="n"/>
      <c r="H17" s="9" t="n"/>
      <c r="I17" s="14" t="n"/>
      <c r="J17" s="14" t="n"/>
      <c r="K17" s="12" t="n"/>
      <c r="L17" s="9" t="n"/>
      <c r="M17" s="9" t="n"/>
      <c r="N17" s="9" t="n"/>
      <c r="O17" s="40">
        <f>K17+V17-AE17-AZ17</f>
        <v/>
      </c>
      <c r="P17" s="12" t="n"/>
      <c r="Q17" s="138" t="n"/>
      <c r="R17" s="16" t="n"/>
      <c r="S17" s="139" t="n"/>
      <c r="T17" s="16" t="n"/>
      <c r="U17" s="139" t="n"/>
      <c r="V17" s="16">
        <f>P17+R17+T17</f>
        <v/>
      </c>
      <c r="W17" s="16" t="n"/>
      <c r="X17" s="139" t="n"/>
      <c r="Y17" s="16" t="n"/>
      <c r="Z17" s="139" t="n"/>
      <c r="AA17" s="16" t="n"/>
      <c r="AB17" s="139" t="n"/>
      <c r="AC17" s="16" t="n"/>
      <c r="AD17" s="139" t="n"/>
      <c r="AE17" s="16">
        <f>(W17+Y17+AA17+AC17)</f>
        <v/>
      </c>
      <c r="AF17" s="16" t="n"/>
      <c r="AG17" s="138" t="n"/>
      <c r="AH17" s="16" t="n"/>
      <c r="AI17" s="138" t="n"/>
      <c r="AJ17" s="16" t="n"/>
      <c r="AK17" s="138" t="n"/>
      <c r="AL17" s="16" t="n"/>
      <c r="AM17" s="138" t="n"/>
      <c r="AN17" s="16" t="n"/>
      <c r="AO17" s="138" t="n"/>
      <c r="AP17" s="16" t="n"/>
      <c r="AQ17" s="138" t="n"/>
      <c r="AR17" s="16" t="n"/>
      <c r="AS17" s="138" t="n"/>
      <c r="AT17" s="16" t="n"/>
      <c r="AU17" s="138" t="n"/>
      <c r="AV17" s="16" t="n"/>
      <c r="AW17" s="138" t="n"/>
      <c r="AX17" s="16" t="n"/>
      <c r="AY17" s="138" t="n"/>
      <c r="AZ17" s="16">
        <f>AF17+AH17+AJ17+AL17+AN17+AP17+AR17+AT17+AV17+AX17</f>
        <v/>
      </c>
      <c r="BA17" s="16" t="n"/>
      <c r="BB17" s="139" t="n"/>
      <c r="BC17" s="16" t="n"/>
      <c r="BD17" s="139" t="n"/>
      <c r="BE17" s="16">
        <f>(BA17+BC17)</f>
        <v/>
      </c>
    </row>
    <row r="18" ht="22.5" customHeight="1" s="122">
      <c r="A18" s="9" t="n"/>
      <c r="B18" s="136" t="inlineStr">
        <is>
          <t>코바</t>
        </is>
      </c>
      <c r="C18" s="137" t="inlineStr">
        <is>
          <t>DXDR-100</t>
        </is>
      </c>
      <c r="D18" s="62" t="inlineStr">
        <is>
          <t>포커서</t>
        </is>
      </c>
      <c r="E18" s="11" t="n"/>
      <c r="F18" s="99" t="n"/>
      <c r="G18" s="9" t="n"/>
      <c r="H18" s="9" t="n"/>
      <c r="I18" s="14" t="n"/>
      <c r="J18" s="14" t="n"/>
      <c r="K18" s="12" t="n"/>
      <c r="L18" s="9" t="n"/>
      <c r="M18" s="9" t="n"/>
      <c r="N18" s="9" t="n"/>
      <c r="O18" s="40">
        <f>K18+V18-AE18-AZ18</f>
        <v/>
      </c>
      <c r="P18" s="12" t="n"/>
      <c r="Q18" s="138" t="n"/>
      <c r="R18" s="16" t="n"/>
      <c r="S18" s="139" t="n"/>
      <c r="T18" s="16" t="n"/>
      <c r="U18" s="139" t="n"/>
      <c r="V18" s="16">
        <f>P18+R18+T18</f>
        <v/>
      </c>
      <c r="W18" s="16" t="n"/>
      <c r="X18" s="139" t="n"/>
      <c r="Y18" s="16" t="n"/>
      <c r="Z18" s="139" t="n"/>
      <c r="AA18" s="16" t="n"/>
      <c r="AB18" s="139" t="n"/>
      <c r="AC18" s="16" t="n"/>
      <c r="AD18" s="139" t="n"/>
      <c r="AE18" s="16">
        <f>(W18+Y18+AA18+AC18)</f>
        <v/>
      </c>
      <c r="AF18" s="16" t="n"/>
      <c r="AG18" s="138" t="n"/>
      <c r="AH18" s="16" t="n"/>
      <c r="AI18" s="138" t="n"/>
      <c r="AJ18" s="16" t="n"/>
      <c r="AK18" s="138" t="n"/>
      <c r="AL18" s="16" t="n"/>
      <c r="AM18" s="138" t="n"/>
      <c r="AN18" s="16" t="n"/>
      <c r="AO18" s="138" t="n"/>
      <c r="AP18" s="16" t="n"/>
      <c r="AQ18" s="138" t="n"/>
      <c r="AR18" s="16" t="n"/>
      <c r="AS18" s="138" t="n"/>
      <c r="AT18" s="16" t="n"/>
      <c r="AU18" s="138" t="n"/>
      <c r="AV18" s="16" t="n"/>
      <c r="AW18" s="138" t="n"/>
      <c r="AX18" s="16" t="n"/>
      <c r="AY18" s="138" t="n"/>
      <c r="AZ18" s="16">
        <f>AF18+AH18+AJ18+AL18+AN18+AP18+AR18+AT18+AV18+AX18</f>
        <v/>
      </c>
      <c r="BA18" s="16" t="n"/>
      <c r="BB18" s="139" t="n"/>
      <c r="BC18" s="16" t="n"/>
      <c r="BD18" s="139" t="n"/>
      <c r="BE18" s="16">
        <f>(BA18+BC18)</f>
        <v/>
      </c>
    </row>
    <row r="19" ht="22.5" customHeight="1" s="122">
      <c r="A19" s="9" t="n"/>
      <c r="B19" s="141" t="inlineStr">
        <is>
          <t>세라믹</t>
        </is>
      </c>
      <c r="C19" s="137" t="inlineStr">
        <is>
          <t>DXDR-100</t>
        </is>
      </c>
      <c r="D19" s="60" t="inlineStr">
        <is>
          <t>세라믹 바디</t>
        </is>
      </c>
      <c r="E19" s="11" t="n"/>
      <c r="F19" s="99" t="n"/>
      <c r="G19" s="9" t="n"/>
      <c r="H19" s="9" t="n"/>
      <c r="I19" s="14" t="n"/>
      <c r="J19" s="14" t="n"/>
      <c r="K19" s="12" t="n"/>
      <c r="L19" s="9" t="n"/>
      <c r="M19" s="9" t="n"/>
      <c r="N19" s="9" t="n"/>
      <c r="O19" s="40">
        <f>K19+V19-AE19-AZ19</f>
        <v/>
      </c>
      <c r="P19" s="12" t="n"/>
      <c r="Q19" s="138" t="n"/>
      <c r="R19" s="16" t="n"/>
      <c r="S19" s="139" t="n"/>
      <c r="T19" s="16" t="n"/>
      <c r="U19" s="139" t="n"/>
      <c r="V19" s="16">
        <f>P19+R19+T19</f>
        <v/>
      </c>
      <c r="W19" s="16" t="n"/>
      <c r="X19" s="139" t="n"/>
      <c r="Y19" s="16" t="n"/>
      <c r="Z19" s="139" t="n"/>
      <c r="AA19" s="16" t="n"/>
      <c r="AB19" s="139" t="n"/>
      <c r="AC19" s="16" t="n"/>
      <c r="AD19" s="139" t="n"/>
      <c r="AE19" s="16">
        <f>(W19+Y19+AA19+AC19)</f>
        <v/>
      </c>
      <c r="AF19" s="16" t="n"/>
      <c r="AG19" s="138" t="n"/>
      <c r="AH19" s="16" t="n"/>
      <c r="AI19" s="138" t="n"/>
      <c r="AJ19" s="16" t="n"/>
      <c r="AK19" s="138" t="n"/>
      <c r="AL19" s="16" t="n"/>
      <c r="AM19" s="138" t="n"/>
      <c r="AN19" s="16" t="n"/>
      <c r="AO19" s="138" t="n"/>
      <c r="AP19" s="16" t="n"/>
      <c r="AQ19" s="138" t="n"/>
      <c r="AR19" s="16" t="n"/>
      <c r="AS19" s="138" t="n"/>
      <c r="AT19" s="16" t="n"/>
      <c r="AU19" s="138" t="n"/>
      <c r="AV19" s="16" t="n"/>
      <c r="AW19" s="138" t="n"/>
      <c r="AX19" s="16" t="n"/>
      <c r="AY19" s="138" t="n"/>
      <c r="AZ19" s="16">
        <f>AF19+AH19+AJ19+AL19+AN19+AP19+AR19+AT19+AV19+AX19</f>
        <v/>
      </c>
      <c r="BA19" s="16" t="n"/>
      <c r="BB19" s="139" t="n"/>
      <c r="BC19" s="16" t="n"/>
      <c r="BD19" s="139" t="n"/>
      <c r="BE19" s="16">
        <f>(BA19+BC19)</f>
        <v/>
      </c>
    </row>
    <row r="20" ht="22.5" customHeight="1" s="122">
      <c r="A20" s="9" t="n"/>
      <c r="B20" s="141" t="inlineStr">
        <is>
          <t>세라믹</t>
        </is>
      </c>
      <c r="C20" s="137" t="inlineStr">
        <is>
          <t>DXDR-100</t>
        </is>
      </c>
      <c r="D20" s="60" t="inlineStr">
        <is>
          <t>세라믹 슬리브</t>
        </is>
      </c>
      <c r="E20" s="11" t="n"/>
      <c r="F20" s="99" t="n"/>
      <c r="G20" s="9" t="n"/>
      <c r="H20" s="9" t="n"/>
      <c r="I20" s="14" t="n"/>
      <c r="J20" s="14" t="n"/>
      <c r="K20" s="12" t="n"/>
      <c r="L20" s="9" t="n"/>
      <c r="M20" s="9" t="n"/>
      <c r="N20" s="9" t="n"/>
      <c r="O20" s="40">
        <f>K20+V20-AE20-AZ20</f>
        <v/>
      </c>
      <c r="P20" s="12" t="n"/>
      <c r="Q20" s="138" t="n"/>
      <c r="R20" s="16" t="n"/>
      <c r="S20" s="139" t="n"/>
      <c r="T20" s="16" t="n"/>
      <c r="U20" s="139" t="n"/>
      <c r="V20" s="16">
        <f>P20+R20+T20</f>
        <v/>
      </c>
      <c r="W20" s="16" t="n"/>
      <c r="X20" s="139" t="n"/>
      <c r="Y20" s="16" t="n"/>
      <c r="Z20" s="139" t="n"/>
      <c r="AA20" s="16" t="n"/>
      <c r="AB20" s="139" t="n"/>
      <c r="AC20" s="16" t="n"/>
      <c r="AD20" s="139" t="n"/>
      <c r="AE20" s="16">
        <f>(W20+Y20+AA20+AC20)</f>
        <v/>
      </c>
      <c r="AF20" s="16" t="n"/>
      <c r="AG20" s="138" t="n"/>
      <c r="AH20" s="16" t="n"/>
      <c r="AI20" s="138" t="n"/>
      <c r="AJ20" s="16" t="n"/>
      <c r="AK20" s="138" t="n"/>
      <c r="AL20" s="16" t="n"/>
      <c r="AM20" s="138" t="n"/>
      <c r="AN20" s="16" t="n"/>
      <c r="AO20" s="138" t="n"/>
      <c r="AP20" s="16" t="n"/>
      <c r="AQ20" s="138" t="n"/>
      <c r="AR20" s="16" t="n"/>
      <c r="AS20" s="138" t="n"/>
      <c r="AT20" s="16" t="n"/>
      <c r="AU20" s="138" t="n"/>
      <c r="AV20" s="16" t="n"/>
      <c r="AW20" s="138" t="n"/>
      <c r="AX20" s="16" t="n"/>
      <c r="AY20" s="138" t="n"/>
      <c r="AZ20" s="16">
        <f>AF20+AH20+AJ20+AL20+AN20+AP20+AR20+AT20+AV20+AX20</f>
        <v/>
      </c>
      <c r="BA20" s="16" t="n"/>
      <c r="BB20" s="139" t="n"/>
      <c r="BC20" s="16" t="n"/>
      <c r="BD20" s="139" t="n"/>
      <c r="BE20" s="16">
        <f>(BA20+BC20)</f>
        <v/>
      </c>
    </row>
    <row r="21" ht="22.5" customHeight="1" s="122">
      <c r="A21" s="9" t="n"/>
      <c r="B21" s="136" t="inlineStr">
        <is>
          <t>필러</t>
        </is>
      </c>
      <c r="C21" s="137" t="inlineStr">
        <is>
          <t>DXDR-100</t>
        </is>
      </c>
      <c r="D21" s="62" t="inlineStr">
        <is>
          <t>필러</t>
        </is>
      </c>
      <c r="E21" s="11" t="n"/>
      <c r="F21" s="99" t="n"/>
      <c r="G21" s="9" t="n"/>
      <c r="H21" s="9" t="n"/>
      <c r="I21" s="14" t="n"/>
      <c r="J21" s="14" t="n"/>
      <c r="K21" s="12" t="n"/>
      <c r="L21" s="9" t="n"/>
      <c r="M21" s="9" t="n"/>
      <c r="N21" s="9" t="n"/>
      <c r="O21" s="40">
        <f>K21+V21-AE21-AZ21</f>
        <v/>
      </c>
      <c r="P21" s="12" t="n"/>
      <c r="Q21" s="138" t="n"/>
      <c r="R21" s="16" t="n"/>
      <c r="S21" s="139" t="n"/>
      <c r="T21" s="16" t="n"/>
      <c r="U21" s="139" t="n"/>
      <c r="V21" s="16">
        <f>P21+R21+T21</f>
        <v/>
      </c>
      <c r="W21" s="16" t="n"/>
      <c r="X21" s="139" t="n"/>
      <c r="Y21" s="16" t="n"/>
      <c r="Z21" s="139" t="n"/>
      <c r="AA21" s="16" t="n"/>
      <c r="AB21" s="139" t="n"/>
      <c r="AC21" s="16" t="n"/>
      <c r="AD21" s="139" t="n"/>
      <c r="AE21" s="16">
        <f>(W21+Y21+AA21+AC21)</f>
        <v/>
      </c>
      <c r="AF21" s="16" t="n"/>
      <c r="AG21" s="138" t="n"/>
      <c r="AH21" s="16" t="n"/>
      <c r="AI21" s="138" t="n"/>
      <c r="AJ21" s="16" t="n"/>
      <c r="AK21" s="138" t="n"/>
      <c r="AL21" s="16" t="n"/>
      <c r="AM21" s="138" t="n"/>
      <c r="AN21" s="16" t="n"/>
      <c r="AO21" s="138" t="n"/>
      <c r="AP21" s="16" t="n"/>
      <c r="AQ21" s="138" t="n"/>
      <c r="AR21" s="16" t="n"/>
      <c r="AS21" s="138" t="n"/>
      <c r="AT21" s="16" t="n"/>
      <c r="AU21" s="138" t="n"/>
      <c r="AV21" s="16" t="n"/>
      <c r="AW21" s="138" t="n"/>
      <c r="AX21" s="16" t="n"/>
      <c r="AY21" s="138" t="n"/>
      <c r="AZ21" s="16">
        <f>AF21+AH21+AJ21+AL21+AN21+AP21+AR21+AT21+AV21+AX21</f>
        <v/>
      </c>
      <c r="BA21" s="16" t="n"/>
      <c r="BB21" s="139" t="n"/>
      <c r="BC21" s="16" t="n"/>
      <c r="BD21" s="139" t="n"/>
      <c r="BE21" s="16">
        <f>(BA21+BC21)</f>
        <v/>
      </c>
    </row>
    <row r="22" ht="22.5" customHeight="1" s="122">
      <c r="A22" s="9" t="n"/>
      <c r="B22" s="136" t="inlineStr">
        <is>
          <t>필러</t>
        </is>
      </c>
      <c r="C22" s="137" t="inlineStr">
        <is>
          <t>DXDR-100</t>
        </is>
      </c>
      <c r="D22" s="62" t="inlineStr">
        <is>
          <t>전극 필러</t>
        </is>
      </c>
      <c r="E22" s="11" t="n"/>
      <c r="F22" s="99" t="n"/>
      <c r="G22" s="9" t="n"/>
      <c r="H22" s="9" t="n"/>
      <c r="I22" s="14" t="n"/>
      <c r="J22" s="14" t="n"/>
      <c r="K22" s="12" t="n"/>
      <c r="L22" s="9" t="n"/>
      <c r="M22" s="9" t="n"/>
      <c r="N22" s="9" t="n"/>
      <c r="O22" s="40">
        <f>K22+V22-AE22-AZ22</f>
        <v/>
      </c>
      <c r="P22" s="12" t="n"/>
      <c r="Q22" s="138" t="n"/>
      <c r="R22" s="16" t="n"/>
      <c r="S22" s="139" t="n"/>
      <c r="T22" s="16" t="n"/>
      <c r="U22" s="139" t="n"/>
      <c r="V22" s="16">
        <f>P22+R22+T22</f>
        <v/>
      </c>
      <c r="W22" s="16" t="n"/>
      <c r="X22" s="139" t="n"/>
      <c r="Y22" s="16" t="n"/>
      <c r="Z22" s="139" t="n"/>
      <c r="AA22" s="16" t="n"/>
      <c r="AB22" s="139" t="n"/>
      <c r="AC22" s="16" t="n"/>
      <c r="AD22" s="139" t="n"/>
      <c r="AE22" s="16">
        <f>(W22+Y22+AA22+AC22)</f>
        <v/>
      </c>
      <c r="AF22" s="16" t="n"/>
      <c r="AG22" s="138" t="n"/>
      <c r="AH22" s="16" t="n"/>
      <c r="AI22" s="138" t="n"/>
      <c r="AJ22" s="16" t="n"/>
      <c r="AK22" s="138" t="n"/>
      <c r="AL22" s="16" t="n"/>
      <c r="AM22" s="138" t="n"/>
      <c r="AN22" s="16" t="n"/>
      <c r="AO22" s="138" t="n"/>
      <c r="AP22" s="16" t="n"/>
      <c r="AQ22" s="138" t="n"/>
      <c r="AR22" s="16" t="n"/>
      <c r="AS22" s="138" t="n"/>
      <c r="AT22" s="16" t="n"/>
      <c r="AU22" s="138" t="n"/>
      <c r="AV22" s="16" t="n"/>
      <c r="AW22" s="138" t="n"/>
      <c r="AX22" s="16" t="n"/>
      <c r="AY22" s="138" t="n"/>
      <c r="AZ22" s="16">
        <f>AF22+AH22+AJ22+AL22+AN22+AP22+AR22+AT22+AV22+AX22</f>
        <v/>
      </c>
      <c r="BA22" s="16" t="n"/>
      <c r="BB22" s="139" t="n"/>
      <c r="BC22" s="16" t="n"/>
      <c r="BD22" s="139" t="n"/>
      <c r="BE22" s="16">
        <f>(BA22+BC22)</f>
        <v/>
      </c>
    </row>
    <row r="23" ht="22.5" customHeight="1" s="122">
      <c r="A23" s="9" t="n"/>
      <c r="B23" s="136" t="inlineStr">
        <is>
          <t>X-ray Tube</t>
        </is>
      </c>
      <c r="C23" s="137" t="inlineStr">
        <is>
          <t>DX3000, ADX4000W</t>
        </is>
      </c>
      <c r="D23" s="60" t="inlineStr">
        <is>
          <t>TUBE</t>
        </is>
      </c>
      <c r="E23" s="11" t="inlineStr">
        <is>
          <t>60KV D-081B</t>
        </is>
      </c>
      <c r="F23" s="99" t="n"/>
      <c r="G23" s="9" t="n"/>
      <c r="H23" s="9" t="inlineStr">
        <is>
          <t>신광포토레이</t>
        </is>
      </c>
      <c r="I23" s="14" t="n"/>
      <c r="J23" s="14" t="n"/>
      <c r="K23" s="12" t="n"/>
      <c r="L23" s="9" t="n"/>
      <c r="M23" s="9" t="n"/>
      <c r="N23" s="9" t="n"/>
      <c r="O23" s="40">
        <f>K23+V23-AE23-AZ23</f>
        <v/>
      </c>
      <c r="P23" s="12" t="n"/>
      <c r="Q23" s="138" t="n"/>
      <c r="R23" s="16" t="n"/>
      <c r="S23" s="139" t="n"/>
      <c r="T23" s="16" t="n"/>
      <c r="U23" s="139" t="n"/>
      <c r="V23" s="16">
        <f>P23+R23+T23</f>
        <v/>
      </c>
      <c r="W23" s="16" t="n"/>
      <c r="X23" s="139" t="n"/>
      <c r="Y23" s="16" t="n"/>
      <c r="Z23" s="139" t="n"/>
      <c r="AA23" s="16" t="n"/>
      <c r="AB23" s="139" t="n"/>
      <c r="AC23" s="16" t="n"/>
      <c r="AD23" s="139" t="n"/>
      <c r="AE23" s="16">
        <f>(W23+Y23+AA23+AC23)</f>
        <v/>
      </c>
      <c r="AF23" s="16" t="n"/>
      <c r="AG23" s="138" t="n"/>
      <c r="AH23" s="16" t="n"/>
      <c r="AI23" s="138" t="n"/>
      <c r="AJ23" s="16" t="n"/>
      <c r="AK23" s="138" t="n"/>
      <c r="AL23" s="16" t="n"/>
      <c r="AM23" s="138" t="n"/>
      <c r="AN23" s="16" t="n"/>
      <c r="AO23" s="138" t="n"/>
      <c r="AP23" s="16" t="n"/>
      <c r="AQ23" s="138" t="n"/>
      <c r="AR23" s="16" t="n"/>
      <c r="AS23" s="138" t="n"/>
      <c r="AT23" s="16" t="n"/>
      <c r="AU23" s="138" t="n"/>
      <c r="AV23" s="16" t="n"/>
      <c r="AW23" s="138" t="n"/>
      <c r="AX23" s="16" t="n"/>
      <c r="AY23" s="138" t="n"/>
      <c r="AZ23" s="16">
        <f>AF23+AH23+AJ23+AL23+AN23+AP23+AR23+AT23+AV23+AX23</f>
        <v/>
      </c>
      <c r="BA23" s="16" t="n"/>
      <c r="BB23" s="139" t="n"/>
      <c r="BC23" s="16" t="n"/>
      <c r="BD23" s="139" t="n"/>
      <c r="BE23" s="16">
        <f>(BA23+BC23)</f>
        <v/>
      </c>
    </row>
    <row r="24" ht="22.5" customHeight="1" s="122">
      <c r="A24" s="9" t="n"/>
      <c r="B24" s="136" t="inlineStr">
        <is>
          <t>X-ray Tube</t>
        </is>
      </c>
      <c r="C24" s="137" t="inlineStr">
        <is>
          <t>COCOON</t>
        </is>
      </c>
      <c r="D24" s="60" t="inlineStr">
        <is>
          <t>TUBE</t>
        </is>
      </c>
      <c r="E24" s="11" t="inlineStr">
        <is>
          <t>70KV D-041</t>
        </is>
      </c>
      <c r="F24" s="99" t="n"/>
      <c r="G24" s="9" t="n"/>
      <c r="H24" s="9" t="inlineStr">
        <is>
          <t>신광포토레이</t>
        </is>
      </c>
      <c r="I24" s="14" t="n"/>
      <c r="J24" s="14" t="n"/>
      <c r="K24" s="12" t="n"/>
      <c r="L24" s="9" t="n"/>
      <c r="M24" s="9" t="n"/>
      <c r="N24" s="9" t="n"/>
      <c r="O24" s="40">
        <f>K24+V24-AE24-AZ24</f>
        <v/>
      </c>
      <c r="P24" s="12" t="n"/>
      <c r="Q24" s="138" t="n"/>
      <c r="R24" s="16" t="n"/>
      <c r="S24" s="139" t="n"/>
      <c r="T24" s="16" t="n"/>
      <c r="U24" s="139" t="n"/>
      <c r="V24" s="16">
        <f>P24+R24+T24</f>
        <v/>
      </c>
      <c r="W24" s="16" t="n"/>
      <c r="X24" s="139" t="n"/>
      <c r="Y24" s="16" t="n"/>
      <c r="Z24" s="139" t="n"/>
      <c r="AA24" s="16" t="n"/>
      <c r="AB24" s="139" t="n"/>
      <c r="AC24" s="16" t="n"/>
      <c r="AD24" s="139" t="n"/>
      <c r="AE24" s="16">
        <f>(W24+Y24+AA24+AC24)</f>
        <v/>
      </c>
      <c r="AF24" s="16" t="n"/>
      <c r="AG24" s="138" t="n"/>
      <c r="AH24" s="16" t="n"/>
      <c r="AI24" s="138" t="n"/>
      <c r="AJ24" s="16" t="n"/>
      <c r="AK24" s="138" t="n"/>
      <c r="AL24" s="16" t="n"/>
      <c r="AM24" s="138" t="n"/>
      <c r="AN24" s="16" t="n"/>
      <c r="AO24" s="138" t="n"/>
      <c r="AP24" s="16" t="n"/>
      <c r="AQ24" s="138" t="n"/>
      <c r="AR24" s="16" t="n"/>
      <c r="AS24" s="138" t="n"/>
      <c r="AT24" s="16" t="n"/>
      <c r="AU24" s="138" t="n"/>
      <c r="AV24" s="16" t="n"/>
      <c r="AW24" s="138" t="n"/>
      <c r="AX24" s="16" t="n"/>
      <c r="AY24" s="138" t="n"/>
      <c r="AZ24" s="16">
        <f>AF24+AH24+AJ24+AL24+AN24+AP24+AR24+AT24+AV24+AX24</f>
        <v/>
      </c>
      <c r="BA24" s="16" t="n"/>
      <c r="BB24" s="139" t="n"/>
      <c r="BC24" s="16" t="n"/>
      <c r="BD24" s="139" t="n"/>
      <c r="BE24" s="16">
        <f>(BA24+BC24)</f>
        <v/>
      </c>
    </row>
    <row r="25" ht="22.5" customHeight="1" s="122">
      <c r="A25" s="9" t="n"/>
      <c r="B25" s="136" t="inlineStr">
        <is>
          <t>X-ray Tube</t>
        </is>
      </c>
      <c r="C25" s="137" t="inlineStr">
        <is>
          <t>SOLO</t>
        </is>
      </c>
      <c r="D25" s="60" t="inlineStr">
        <is>
          <t>TUBE</t>
        </is>
      </c>
      <c r="E25" s="11" t="inlineStr">
        <is>
          <t>70KV DXDR-070</t>
        </is>
      </c>
      <c r="F25" s="99" t="n"/>
      <c r="G25" s="9" t="n"/>
      <c r="H25" s="9" t="n"/>
      <c r="I25" s="14" t="n"/>
      <c r="J25" s="14" t="n"/>
      <c r="K25" s="12" t="n"/>
      <c r="L25" s="9" t="n"/>
      <c r="M25" s="9" t="n"/>
      <c r="N25" s="9" t="n"/>
      <c r="O25" s="40">
        <f>K25+V25-AE25-AZ25</f>
        <v/>
      </c>
      <c r="P25" s="12" t="n"/>
      <c r="Q25" s="138" t="n"/>
      <c r="R25" s="16" t="n"/>
      <c r="S25" s="139" t="n"/>
      <c r="T25" s="16" t="n"/>
      <c r="U25" s="139" t="n"/>
      <c r="V25" s="16">
        <f>P25+R25+T25</f>
        <v/>
      </c>
      <c r="W25" s="16" t="n"/>
      <c r="X25" s="139" t="n"/>
      <c r="Y25" s="16" t="n"/>
      <c r="Z25" s="139" t="n"/>
      <c r="AA25" s="16" t="n"/>
      <c r="AB25" s="139" t="n"/>
      <c r="AC25" s="16" t="n"/>
      <c r="AD25" s="139" t="n"/>
      <c r="AE25" s="16">
        <f>(W25+Y25+AA25+AC25)</f>
        <v/>
      </c>
      <c r="AF25" s="16" t="n"/>
      <c r="AG25" s="138" t="n"/>
      <c r="AH25" s="16" t="n"/>
      <c r="AI25" s="138" t="n"/>
      <c r="AJ25" s="16" t="n"/>
      <c r="AK25" s="138" t="n"/>
      <c r="AL25" s="16" t="n"/>
      <c r="AM25" s="138" t="n"/>
      <c r="AN25" s="16" t="n"/>
      <c r="AO25" s="138" t="n"/>
      <c r="AP25" s="16" t="n"/>
      <c r="AQ25" s="138" t="n"/>
      <c r="AR25" s="16" t="n"/>
      <c r="AS25" s="138" t="n"/>
      <c r="AT25" s="16" t="n"/>
      <c r="AU25" s="138" t="n"/>
      <c r="AV25" s="16" t="n"/>
      <c r="AW25" s="138" t="n"/>
      <c r="AX25" s="16" t="n"/>
      <c r="AY25" s="138" t="n"/>
      <c r="AZ25" s="16">
        <f>AF25+AH25+AJ25+AL25+AN25+AP25+AR25+AT25+AV25+AX25</f>
        <v/>
      </c>
      <c r="BA25" s="16" t="n"/>
      <c r="BB25" s="139" t="n"/>
      <c r="BC25" s="16" t="n"/>
      <c r="BD25" s="139" t="n"/>
      <c r="BE25" s="16">
        <f>(BA25+BC25)</f>
        <v/>
      </c>
    </row>
    <row r="26" ht="22.5" customHeight="1" s="122">
      <c r="A26" s="9" t="n"/>
      <c r="B26" s="136" t="inlineStr">
        <is>
          <t>X-ray Tube</t>
        </is>
      </c>
      <c r="C26" s="137" t="inlineStr">
        <is>
          <t>ADX6000</t>
        </is>
      </c>
      <c r="D26" s="60" t="inlineStr">
        <is>
          <t>TUBE</t>
        </is>
      </c>
      <c r="E26" s="11" t="inlineStr">
        <is>
          <t>80KV D-0813</t>
        </is>
      </c>
      <c r="F26" s="99" t="n"/>
      <c r="G26" s="9" t="n"/>
      <c r="H26" s="9" t="inlineStr">
        <is>
          <t>신광포토레이</t>
        </is>
      </c>
      <c r="I26" s="14" t="n"/>
      <c r="J26" s="14" t="n"/>
      <c r="K26" s="12" t="n"/>
      <c r="L26" s="9" t="n"/>
      <c r="M26" s="9" t="n"/>
      <c r="N26" s="9" t="n"/>
      <c r="O26" s="40">
        <f>K26+V26-AE26-AZ26</f>
        <v/>
      </c>
      <c r="P26" s="12" t="n"/>
      <c r="Q26" s="138" t="n"/>
      <c r="R26" s="16" t="n"/>
      <c r="S26" s="139" t="n"/>
      <c r="T26" s="16" t="n"/>
      <c r="U26" s="139" t="n"/>
      <c r="V26" s="16">
        <f>P26+R26+T26</f>
        <v/>
      </c>
      <c r="W26" s="16" t="n"/>
      <c r="X26" s="139" t="n"/>
      <c r="Y26" s="16" t="n"/>
      <c r="Z26" s="139" t="n"/>
      <c r="AA26" s="16" t="n"/>
      <c r="AB26" s="139" t="n"/>
      <c r="AC26" s="16" t="n"/>
      <c r="AD26" s="139" t="n"/>
      <c r="AE26" s="16">
        <f>(W26+Y26+AA26+AC26)</f>
        <v/>
      </c>
      <c r="AF26" s="16" t="n"/>
      <c r="AG26" s="138" t="n"/>
      <c r="AH26" s="16" t="n"/>
      <c r="AI26" s="138" t="n"/>
      <c r="AJ26" s="16" t="n"/>
      <c r="AK26" s="138" t="n"/>
      <c r="AL26" s="16" t="n"/>
      <c r="AM26" s="138" t="n"/>
      <c r="AN26" s="16" t="n"/>
      <c r="AO26" s="138" t="n"/>
      <c r="AP26" s="16" t="n"/>
      <c r="AQ26" s="138" t="n"/>
      <c r="AR26" s="16" t="n"/>
      <c r="AS26" s="138" t="n"/>
      <c r="AT26" s="16" t="n"/>
      <c r="AU26" s="138" t="n"/>
      <c r="AV26" s="16" t="n"/>
      <c r="AW26" s="138" t="n"/>
      <c r="AX26" s="16" t="n"/>
      <c r="AY26" s="138" t="n"/>
      <c r="AZ26" s="16">
        <f>AF26+AH26+AJ26+AL26+AN26+AP26+AR26+AT26+AV26+AX26</f>
        <v/>
      </c>
      <c r="BA26" s="16" t="n"/>
      <c r="BB26" s="139" t="n"/>
      <c r="BC26" s="16" t="n"/>
      <c r="BD26" s="139" t="n"/>
      <c r="BE26" s="16">
        <f>(BA26+BC26)</f>
        <v/>
      </c>
    </row>
    <row r="27" ht="22.5" customHeight="1" s="122">
      <c r="A27" s="9" t="n"/>
      <c r="B27" s="136" t="inlineStr">
        <is>
          <t>X-ray Tube</t>
        </is>
      </c>
      <c r="C27" s="137" t="inlineStr">
        <is>
          <t>ADX6000</t>
        </is>
      </c>
      <c r="D27" s="60" t="inlineStr">
        <is>
          <t>TUBE</t>
        </is>
      </c>
      <c r="E27" s="11" t="inlineStr">
        <is>
          <t>90kV OX / 70-1.0</t>
        </is>
      </c>
      <c r="F27" s="99" t="n"/>
      <c r="G27" s="9" t="n"/>
      <c r="H27" s="9" t="inlineStr">
        <is>
          <t>CEI</t>
        </is>
      </c>
      <c r="I27" s="14" t="n"/>
      <c r="J27" s="14" t="n"/>
      <c r="K27" s="12" t="n"/>
      <c r="L27" s="9" t="n"/>
      <c r="M27" s="9" t="n"/>
      <c r="N27" s="9" t="n"/>
      <c r="O27" s="40">
        <f>K27+V27-AE27-AZ27</f>
        <v/>
      </c>
      <c r="P27" s="12" t="n"/>
      <c r="Q27" s="138" t="n"/>
      <c r="R27" s="16" t="n"/>
      <c r="S27" s="139" t="n"/>
      <c r="T27" s="16" t="n"/>
      <c r="U27" s="139" t="n"/>
      <c r="V27" s="16">
        <f>P27+R27+T27</f>
        <v/>
      </c>
      <c r="W27" s="16" t="n"/>
      <c r="X27" s="139" t="n"/>
      <c r="Y27" s="16" t="n"/>
      <c r="Z27" s="139" t="n"/>
      <c r="AA27" s="16" t="n"/>
      <c r="AB27" s="139" t="n"/>
      <c r="AC27" s="16" t="n"/>
      <c r="AD27" s="139" t="n"/>
      <c r="AE27" s="16">
        <f>(W27+Y27+AA27+AC27)</f>
        <v/>
      </c>
      <c r="AF27" s="16" t="n"/>
      <c r="AG27" s="138" t="n"/>
      <c r="AH27" s="16" t="n"/>
      <c r="AI27" s="138" t="n"/>
      <c r="AJ27" s="16" t="n"/>
      <c r="AK27" s="138" t="n"/>
      <c r="AL27" s="16" t="n"/>
      <c r="AM27" s="138" t="n"/>
      <c r="AN27" s="16" t="n"/>
      <c r="AO27" s="138" t="n"/>
      <c r="AP27" s="16" t="n"/>
      <c r="AQ27" s="138" t="n"/>
      <c r="AR27" s="16" t="n"/>
      <c r="AS27" s="138" t="n"/>
      <c r="AT27" s="16" t="n"/>
      <c r="AU27" s="138" t="n"/>
      <c r="AV27" s="16" t="n"/>
      <c r="AW27" s="138" t="n"/>
      <c r="AX27" s="16" t="n"/>
      <c r="AY27" s="138" t="n"/>
      <c r="AZ27" s="16">
        <f>AF27+AH27+AJ27+AL27+AN27+AP27+AR27+AT27+AV27+AX27</f>
        <v/>
      </c>
      <c r="BA27" s="16" t="n"/>
      <c r="BB27" s="139" t="n"/>
      <c r="BC27" s="16" t="n"/>
      <c r="BD27" s="139" t="n"/>
      <c r="BE27" s="16">
        <f>(BA27+BC27)</f>
        <v/>
      </c>
    </row>
    <row r="28" ht="22.5" customHeight="1" s="122">
      <c r="A28" s="9" t="n"/>
      <c r="B28" s="136" t="inlineStr">
        <is>
          <t>X-ray Tube</t>
        </is>
      </c>
      <c r="C28" s="137" t="inlineStr">
        <is>
          <t>100kV</t>
        </is>
      </c>
      <c r="D28" s="60" t="inlineStr">
        <is>
          <t>TUBE</t>
        </is>
      </c>
      <c r="E28" s="11" t="inlineStr">
        <is>
          <t>100Kv DXDR-100</t>
        </is>
      </c>
      <c r="F28" s="99" t="n"/>
      <c r="G28" s="9" t="n"/>
      <c r="H28" s="9" t="n"/>
      <c r="I28" s="14" t="n"/>
      <c r="J28" s="14" t="n"/>
      <c r="K28" s="12" t="n"/>
      <c r="L28" s="9" t="n"/>
      <c r="M28" s="9" t="n"/>
      <c r="N28" s="9" t="n"/>
      <c r="O28" s="40">
        <f>K28+V28-AE28-AZ28</f>
        <v/>
      </c>
      <c r="P28" s="12" t="n"/>
      <c r="Q28" s="138" t="n"/>
      <c r="R28" s="16" t="n"/>
      <c r="S28" s="139" t="n"/>
      <c r="T28" s="16" t="n"/>
      <c r="U28" s="139" t="n"/>
      <c r="V28" s="16">
        <f>P28+R28+T28</f>
        <v/>
      </c>
      <c r="W28" s="16" t="n"/>
      <c r="X28" s="139" t="n"/>
      <c r="Y28" s="16" t="n"/>
      <c r="Z28" s="139" t="n"/>
      <c r="AA28" s="16" t="n"/>
      <c r="AB28" s="139" t="n"/>
      <c r="AC28" s="16" t="n"/>
      <c r="AD28" s="139" t="n"/>
      <c r="AE28" s="16">
        <f>(W28+Y28+AA28+AC28)</f>
        <v/>
      </c>
      <c r="AF28" s="16" t="n"/>
      <c r="AG28" s="138" t="n"/>
      <c r="AH28" s="16" t="n"/>
      <c r="AI28" s="138" t="n"/>
      <c r="AJ28" s="16" t="n"/>
      <c r="AK28" s="138" t="n"/>
      <c r="AL28" s="16" t="n"/>
      <c r="AM28" s="138" t="n"/>
      <c r="AN28" s="16" t="n"/>
      <c r="AO28" s="138" t="n"/>
      <c r="AP28" s="16" t="n"/>
      <c r="AQ28" s="138" t="n"/>
      <c r="AR28" s="16" t="n"/>
      <c r="AS28" s="138" t="n"/>
      <c r="AT28" s="16" t="n"/>
      <c r="AU28" s="138" t="n"/>
      <c r="AV28" s="16" t="n"/>
      <c r="AW28" s="138" t="n"/>
      <c r="AX28" s="16" t="n"/>
      <c r="AY28" s="138" t="n"/>
      <c r="AZ28" s="16">
        <f>AF28+AH28+AJ28+AL28+AN28+AP28+AR28+AT28+AV28+AX28</f>
        <v/>
      </c>
      <c r="BA28" s="16" t="n"/>
      <c r="BB28" s="139" t="n"/>
      <c r="BC28" s="16" t="n"/>
      <c r="BD28" s="139" t="n"/>
      <c r="BE28" s="16">
        <f>(BA28+BC28)</f>
        <v/>
      </c>
    </row>
    <row r="29" ht="22.5" customHeight="1" s="122">
      <c r="A29" s="9" t="n"/>
      <c r="B29" s="136" t="inlineStr">
        <is>
          <t>베이클라이트</t>
        </is>
      </c>
      <c r="C29" s="137" t="inlineStr">
        <is>
          <t>DX3000, ADX4000W ADX6000</t>
        </is>
      </c>
      <c r="D29" s="61" t="inlineStr">
        <is>
          <t>튜브 하우징 파이프</t>
        </is>
      </c>
      <c r="E29" s="11" t="inlineStr">
        <is>
          <t>베이클라이트</t>
        </is>
      </c>
      <c r="F29" s="99" t="n"/>
      <c r="G29" s="9" t="n"/>
      <c r="H29" s="9" t="inlineStr">
        <is>
          <t>용봉화학</t>
        </is>
      </c>
      <c r="I29" s="14" t="n"/>
      <c r="J29" s="14" t="n"/>
      <c r="K29" s="12" t="n">
        <v>1300</v>
      </c>
      <c r="L29" s="9" t="n"/>
      <c r="M29" s="9" t="n"/>
      <c r="N29" s="9" t="n"/>
      <c r="O29" s="40">
        <f>K29+V29-AE29-AZ29</f>
        <v/>
      </c>
      <c r="P29" s="12" t="n"/>
      <c r="Q29" s="138" t="n"/>
      <c r="R29" s="16" t="n"/>
      <c r="S29" s="139" t="n"/>
      <c r="T29" s="16" t="n"/>
      <c r="U29" s="139" t="n"/>
      <c r="V29" s="16">
        <f>P29+R29+T29</f>
        <v/>
      </c>
      <c r="W29" s="16" t="n"/>
      <c r="X29" s="139" t="n"/>
      <c r="Y29" s="16" t="n"/>
      <c r="Z29" s="139" t="n"/>
      <c r="AA29" s="16" t="n"/>
      <c r="AB29" s="139" t="n"/>
      <c r="AC29" s="16" t="n"/>
      <c r="AD29" s="139" t="n"/>
      <c r="AE29" s="16">
        <f>(W29+Y29+AA29+AC29)</f>
        <v/>
      </c>
      <c r="AF29" s="16" t="n"/>
      <c r="AG29" s="138" t="n"/>
      <c r="AH29" s="16" t="n"/>
      <c r="AI29" s="138" t="n"/>
      <c r="AJ29" s="16" t="n"/>
      <c r="AK29" s="138" t="n"/>
      <c r="AL29" s="16" t="n"/>
      <c r="AM29" s="138" t="n"/>
      <c r="AN29" s="16" t="n"/>
      <c r="AO29" s="138" t="n"/>
      <c r="AP29" s="16" t="n"/>
      <c r="AQ29" s="138" t="n"/>
      <c r="AR29" s="16" t="n"/>
      <c r="AS29" s="138" t="n"/>
      <c r="AT29" s="16" t="n"/>
      <c r="AU29" s="138" t="n"/>
      <c r="AV29" s="16" t="n"/>
      <c r="AW29" s="138" t="n"/>
      <c r="AX29" s="16" t="n"/>
      <c r="AY29" s="138" t="n"/>
      <c r="AZ29" s="16">
        <f>AF29+AH29+AJ29+AL29+AN29+AP29+AR29+AT29+AV29+AX29</f>
        <v/>
      </c>
      <c r="BA29" s="16" t="n"/>
      <c r="BB29" s="139" t="n"/>
      <c r="BC29" s="16" t="n"/>
      <c r="BD29" s="139" t="n"/>
      <c r="BE29" s="16">
        <f>(BA29+BC29)</f>
        <v/>
      </c>
    </row>
    <row r="30" ht="22.5" customHeight="1" s="122">
      <c r="A30" s="9" t="n"/>
      <c r="B30" s="141" t="inlineStr">
        <is>
          <t>HDPE</t>
        </is>
      </c>
      <c r="C30" s="137" t="inlineStr">
        <is>
          <t>COCOON</t>
        </is>
      </c>
      <c r="D30" s="62" t="inlineStr">
        <is>
          <t>튜브 하우징 파이프</t>
        </is>
      </c>
      <c r="E30" s="36" t="inlineStr">
        <is>
          <t>HDPE</t>
        </is>
      </c>
      <c r="F30" s="99" t="n"/>
      <c r="G30" s="22" t="n"/>
      <c r="H30" s="22" t="inlineStr">
        <is>
          <t>용봉화학</t>
        </is>
      </c>
      <c r="I30" s="14" t="n"/>
      <c r="J30" s="14" t="n"/>
      <c r="K30" s="12" t="n"/>
      <c r="L30" s="9" t="n"/>
      <c r="M30" s="9" t="n"/>
      <c r="N30" s="9" t="n"/>
      <c r="O30" s="40">
        <f>K30+V30-AE30-AZ30</f>
        <v/>
      </c>
      <c r="P30" s="12" t="n"/>
      <c r="Q30" s="138" t="n"/>
      <c r="R30" s="16" t="n"/>
      <c r="S30" s="139" t="n"/>
      <c r="T30" s="16" t="n"/>
      <c r="U30" s="139" t="n"/>
      <c r="V30" s="16">
        <f>P30+R30+T30</f>
        <v/>
      </c>
      <c r="W30" s="16" t="n"/>
      <c r="X30" s="139" t="n"/>
      <c r="Y30" s="16" t="n"/>
      <c r="Z30" s="139" t="n"/>
      <c r="AA30" s="16" t="n"/>
      <c r="AB30" s="139" t="n"/>
      <c r="AC30" s="16" t="n"/>
      <c r="AD30" s="139" t="n"/>
      <c r="AE30" s="16">
        <f>(W30+Y30+AA30+AC30)</f>
        <v/>
      </c>
      <c r="AF30" s="16" t="n"/>
      <c r="AG30" s="138" t="n"/>
      <c r="AH30" s="16" t="n"/>
      <c r="AI30" s="138" t="n"/>
      <c r="AJ30" s="16" t="n"/>
      <c r="AK30" s="138" t="n"/>
      <c r="AL30" s="16" t="n"/>
      <c r="AM30" s="138" t="n"/>
      <c r="AN30" s="16" t="n"/>
      <c r="AO30" s="138" t="n"/>
      <c r="AP30" s="16" t="n"/>
      <c r="AQ30" s="138" t="n"/>
      <c r="AR30" s="16" t="n"/>
      <c r="AS30" s="138" t="n"/>
      <c r="AT30" s="16" t="n"/>
      <c r="AU30" s="138" t="n"/>
      <c r="AV30" s="16" t="n"/>
      <c r="AW30" s="138" t="n"/>
      <c r="AX30" s="16" t="n"/>
      <c r="AY30" s="138" t="n"/>
      <c r="AZ30" s="16">
        <f>AF30+AH30+AJ30+AL30+AN30+AP30+AR30+AT30+AV30+AX30</f>
        <v/>
      </c>
      <c r="BA30" s="16" t="n"/>
      <c r="BB30" s="139" t="n"/>
      <c r="BC30" s="16" t="n"/>
      <c r="BD30" s="139" t="n"/>
      <c r="BE30" s="16">
        <f>(BA30+BC30)</f>
        <v/>
      </c>
    </row>
    <row r="31" ht="22.5" customHeight="1" s="122">
      <c r="A31" s="9" t="n"/>
      <c r="B31" s="141" t="inlineStr">
        <is>
          <t>HDPE</t>
        </is>
      </c>
      <c r="C31" s="137" t="inlineStr">
        <is>
          <t>SOLO</t>
        </is>
      </c>
      <c r="D31" s="62" t="inlineStr">
        <is>
          <t>튜브 하우징 파이프</t>
        </is>
      </c>
      <c r="E31" s="36" t="inlineStr">
        <is>
          <t>HDPE</t>
        </is>
      </c>
      <c r="F31" s="99" t="n"/>
      <c r="G31" s="22" t="n"/>
      <c r="H31" s="22" t="inlineStr">
        <is>
          <t>용봉화학</t>
        </is>
      </c>
      <c r="I31" s="14" t="n"/>
      <c r="J31" s="14" t="n"/>
      <c r="K31" s="12" t="n">
        <v>500</v>
      </c>
      <c r="L31" s="9" t="n"/>
      <c r="M31" s="9" t="n"/>
      <c r="N31" s="9" t="n"/>
      <c r="O31" s="40">
        <f>K31+V31-AE31-AZ31</f>
        <v/>
      </c>
      <c r="P31" s="12" t="n"/>
      <c r="Q31" s="138" t="n"/>
      <c r="R31" s="16" t="n"/>
      <c r="S31" s="139" t="n"/>
      <c r="T31" s="16" t="n"/>
      <c r="U31" s="139" t="n"/>
      <c r="V31" s="16">
        <f>P31+R31+T31</f>
        <v/>
      </c>
      <c r="W31" s="16" t="n"/>
      <c r="X31" s="139" t="n"/>
      <c r="Y31" s="16" t="n"/>
      <c r="Z31" s="139" t="n"/>
      <c r="AA31" s="16" t="n"/>
      <c r="AB31" s="139" t="n"/>
      <c r="AC31" s="16" t="n"/>
      <c r="AD31" s="139" t="n"/>
      <c r="AE31" s="16">
        <f>(W31+Y31+AA31+AC31)</f>
        <v/>
      </c>
      <c r="AF31" s="16" t="n"/>
      <c r="AG31" s="138" t="n"/>
      <c r="AH31" s="16" t="n"/>
      <c r="AI31" s="138" t="n"/>
      <c r="AJ31" s="16" t="n"/>
      <c r="AK31" s="138" t="n"/>
      <c r="AL31" s="16" t="n"/>
      <c r="AM31" s="138" t="n"/>
      <c r="AN31" s="16" t="n"/>
      <c r="AO31" s="138" t="n"/>
      <c r="AP31" s="16" t="n"/>
      <c r="AQ31" s="138" t="n"/>
      <c r="AR31" s="16" t="n"/>
      <c r="AS31" s="138" t="n"/>
      <c r="AT31" s="16" t="n"/>
      <c r="AU31" s="138" t="n"/>
      <c r="AV31" s="16" t="n"/>
      <c r="AW31" s="138" t="n"/>
      <c r="AX31" s="16" t="n"/>
      <c r="AY31" s="138" t="n"/>
      <c r="AZ31" s="16">
        <f>AF31+AH31+AJ31+AL31+AN31+AP31+AR31+AT31+AV31+AX31</f>
        <v/>
      </c>
      <c r="BA31" s="16" t="n"/>
      <c r="BB31" s="139" t="n"/>
      <c r="BC31" s="16" t="n"/>
      <c r="BD31" s="139" t="n"/>
      <c r="BE31" s="16">
        <f>(BA31+BC31)</f>
        <v/>
      </c>
    </row>
    <row r="32" ht="22.5" customHeight="1" s="122">
      <c r="A32" s="9" t="n"/>
      <c r="B32" s="141" t="inlineStr">
        <is>
          <t>HDPE</t>
        </is>
      </c>
      <c r="C32" s="137" t="inlineStr">
        <is>
          <t>COCOON, SOLO</t>
        </is>
      </c>
      <c r="D32" s="62" t="inlineStr">
        <is>
          <t>70kV 튜브 하우징 파이프</t>
        </is>
      </c>
      <c r="E32" s="36" t="inlineStr">
        <is>
          <t>HDPE</t>
        </is>
      </c>
      <c r="F32" s="99" t="n"/>
      <c r="G32" s="22" t="n"/>
      <c r="H32" s="22" t="inlineStr">
        <is>
          <t>용봉화학</t>
        </is>
      </c>
      <c r="I32" s="14" t="n"/>
      <c r="J32" s="14" t="n"/>
      <c r="K32" s="12" t="n">
        <v>0</v>
      </c>
      <c r="L32" s="9" t="n"/>
      <c r="M32" s="9" t="n"/>
      <c r="N32" s="9" t="n"/>
      <c r="O32" s="40">
        <f>K32+V32-AE32-AZ32</f>
        <v/>
      </c>
      <c r="P32" s="12" t="n"/>
      <c r="Q32" s="138" t="n"/>
      <c r="R32" s="16" t="n"/>
      <c r="S32" s="139" t="n"/>
      <c r="T32" s="16" t="n"/>
      <c r="U32" s="139" t="n"/>
      <c r="V32" s="16">
        <f>P32+R32+T32</f>
        <v/>
      </c>
      <c r="W32" s="16" t="n"/>
      <c r="X32" s="139" t="n"/>
      <c r="Y32" s="16" t="n"/>
      <c r="Z32" s="139" t="n"/>
      <c r="AA32" s="16" t="n"/>
      <c r="AB32" s="139" t="n"/>
      <c r="AC32" s="16" t="n"/>
      <c r="AD32" s="139" t="n"/>
      <c r="AE32" s="16">
        <f>(W32+Y32+AA32+AC32)</f>
        <v/>
      </c>
      <c r="AF32" s="16" t="n"/>
      <c r="AG32" s="138" t="n"/>
      <c r="AH32" s="16" t="n"/>
      <c r="AI32" s="138" t="n"/>
      <c r="AJ32" s="16" t="n"/>
      <c r="AK32" s="138" t="n"/>
      <c r="AL32" s="16" t="n"/>
      <c r="AM32" s="138" t="n"/>
      <c r="AN32" s="16" t="n"/>
      <c r="AO32" s="138" t="n"/>
      <c r="AP32" s="16" t="n"/>
      <c r="AQ32" s="138" t="n"/>
      <c r="AR32" s="16" t="n"/>
      <c r="AS32" s="138" t="n"/>
      <c r="AT32" s="16" t="n"/>
      <c r="AU32" s="138" t="n"/>
      <c r="AV32" s="16" t="n"/>
      <c r="AW32" s="138" t="n"/>
      <c r="AX32" s="16" t="n"/>
      <c r="AY32" s="138" t="n"/>
      <c r="AZ32" s="16" t="n"/>
      <c r="BA32" s="16" t="n"/>
      <c r="BB32" s="139" t="n"/>
      <c r="BC32" s="16" t="n"/>
      <c r="BD32" s="139" t="n"/>
      <c r="BE32" s="16" t="n"/>
    </row>
    <row r="33" ht="22.5" customHeight="1" s="122">
      <c r="A33" s="9" t="n"/>
      <c r="B33" s="136" t="inlineStr">
        <is>
          <t>램프</t>
        </is>
      </c>
      <c r="C33" s="137" t="inlineStr">
        <is>
          <t>DX3000, ADX4000W COCOON</t>
        </is>
      </c>
      <c r="D33" s="63" t="inlineStr">
        <is>
          <t>네온램프</t>
        </is>
      </c>
      <c r="E33" s="11" t="inlineStr">
        <is>
          <t>NEON-5T.5*13 red</t>
        </is>
      </c>
      <c r="F33" s="99" t="n"/>
      <c r="G33" s="9" t="n"/>
      <c r="H33" s="9" t="inlineStr">
        <is>
          <t>HLP</t>
        </is>
      </c>
      <c r="I33" s="14" t="n"/>
      <c r="J33" s="14" t="n"/>
      <c r="K33" s="12" t="n">
        <v>400</v>
      </c>
      <c r="L33" s="9" t="n"/>
      <c r="M33" s="9" t="n"/>
      <c r="N33" s="9" t="n"/>
      <c r="O33" s="40">
        <f>K33+V33-AE33-AZ33</f>
        <v/>
      </c>
      <c r="P33" s="12" t="n"/>
      <c r="Q33" s="138" t="n"/>
      <c r="R33" s="16" t="n"/>
      <c r="S33" s="139" t="n"/>
      <c r="T33" s="16" t="n"/>
      <c r="U33" s="139" t="n"/>
      <c r="V33" s="16">
        <f>P33+R33+T33</f>
        <v/>
      </c>
      <c r="W33" s="16" t="n"/>
      <c r="X33" s="139" t="n"/>
      <c r="Y33" s="16" t="n"/>
      <c r="Z33" s="139" t="n"/>
      <c r="AA33" s="16" t="n"/>
      <c r="AB33" s="139" t="n"/>
      <c r="AC33" s="16" t="n"/>
      <c r="AD33" s="139" t="n"/>
      <c r="AE33" s="16">
        <f>(W33+Y33+AA33+AC33)</f>
        <v/>
      </c>
      <c r="AF33" s="16" t="n"/>
      <c r="AG33" s="138" t="n"/>
      <c r="AH33" s="16" t="n"/>
      <c r="AI33" s="138" t="n"/>
      <c r="AJ33" s="16" t="n"/>
      <c r="AK33" s="138" t="n"/>
      <c r="AL33" s="16" t="n"/>
      <c r="AM33" s="138" t="n"/>
      <c r="AN33" s="16" t="n"/>
      <c r="AO33" s="138" t="n"/>
      <c r="AP33" s="16" t="n"/>
      <c r="AQ33" s="138" t="n"/>
      <c r="AR33" s="16" t="n"/>
      <c r="AS33" s="138" t="n"/>
      <c r="AT33" s="16" t="n"/>
      <c r="AU33" s="138" t="n"/>
      <c r="AV33" s="16" t="n"/>
      <c r="AW33" s="138" t="n"/>
      <c r="AX33" s="16" t="n"/>
      <c r="AY33" s="138" t="n"/>
      <c r="AZ33" s="16">
        <f>AF33+AH33+AJ33+AL33+AN33+AP33+AR33+AT33+AV33+AX33</f>
        <v/>
      </c>
      <c r="BA33" s="16" t="n"/>
      <c r="BB33" s="139" t="n"/>
      <c r="BC33" s="16" t="n"/>
      <c r="BD33" s="139" t="n"/>
      <c r="BE33" s="16">
        <f>(BA33+BC33)</f>
        <v/>
      </c>
    </row>
    <row r="34" ht="22.5" customHeight="1" s="122">
      <c r="A34" s="9" t="n"/>
      <c r="B34" s="136" t="inlineStr">
        <is>
          <t>다이오드</t>
        </is>
      </c>
      <c r="C34" s="137" t="inlineStr">
        <is>
          <t>DX3000, ADX4000W</t>
        </is>
      </c>
      <c r="D34" s="60" t="inlineStr">
        <is>
          <t>고압 다이오드</t>
        </is>
      </c>
      <c r="E34" s="11" t="inlineStr">
        <is>
          <t>2CL77 (20KV, 5mA)</t>
        </is>
      </c>
      <c r="F34" s="99" t="n"/>
      <c r="G34" s="9" t="n"/>
      <c r="H34" s="9" t="inlineStr">
        <is>
          <t>비지티</t>
        </is>
      </c>
      <c r="I34" s="14" t="n"/>
      <c r="J34" s="14" t="n"/>
      <c r="K34" s="12" t="n"/>
      <c r="L34" s="9" t="n"/>
      <c r="M34" s="9" t="n"/>
      <c r="N34" s="9" t="n"/>
      <c r="O34" s="40">
        <f>K34+V34-AE34-AZ34</f>
        <v/>
      </c>
      <c r="P34" s="12" t="n"/>
      <c r="Q34" s="138" t="n"/>
      <c r="R34" s="16" t="n"/>
      <c r="S34" s="139" t="n"/>
      <c r="T34" s="16" t="n"/>
      <c r="U34" s="139" t="n"/>
      <c r="V34" s="16">
        <f>P34+R34+T34</f>
        <v/>
      </c>
      <c r="W34" s="16" t="n"/>
      <c r="X34" s="139" t="n"/>
      <c r="Y34" s="16" t="n"/>
      <c r="Z34" s="139" t="n"/>
      <c r="AA34" s="16" t="n"/>
      <c r="AB34" s="139" t="n"/>
      <c r="AC34" s="16" t="n"/>
      <c r="AD34" s="139" t="n"/>
      <c r="AE34" s="16">
        <f>(W34+Y34+AA34+AC34)</f>
        <v/>
      </c>
      <c r="AF34" s="16" t="n"/>
      <c r="AG34" s="138" t="n"/>
      <c r="AH34" s="16" t="n"/>
      <c r="AI34" s="138" t="n"/>
      <c r="AJ34" s="16" t="n"/>
      <c r="AK34" s="138" t="n"/>
      <c r="AL34" s="16" t="n"/>
      <c r="AM34" s="138" t="n"/>
      <c r="AN34" s="16" t="n"/>
      <c r="AO34" s="138" t="n"/>
      <c r="AP34" s="16" t="n"/>
      <c r="AQ34" s="138" t="n"/>
      <c r="AR34" s="16" t="n"/>
      <c r="AS34" s="138" t="n"/>
      <c r="AT34" s="16" t="n"/>
      <c r="AU34" s="138" t="n"/>
      <c r="AV34" s="16" t="n"/>
      <c r="AW34" s="138" t="n"/>
      <c r="AX34" s="16" t="n"/>
      <c r="AY34" s="138" t="n"/>
      <c r="AZ34" s="16">
        <f>AF34+AH34+AJ34+AL34+AN34+AP34+AR34+AT34+AV34+AX34</f>
        <v/>
      </c>
      <c r="BA34" s="16" t="n"/>
      <c r="BB34" s="139" t="n"/>
      <c r="BC34" s="16" t="n"/>
      <c r="BD34" s="139" t="n"/>
      <c r="BE34" s="16">
        <f>(BA34+BC34)</f>
        <v/>
      </c>
    </row>
    <row r="35" ht="22.5" customHeight="1" s="122">
      <c r="A35" s="9" t="n"/>
      <c r="B35" s="136" t="inlineStr">
        <is>
          <t>다이오드</t>
        </is>
      </c>
      <c r="C35" s="137" t="inlineStr">
        <is>
          <t>DX3000, ADX4000W ADX6000</t>
        </is>
      </c>
      <c r="D35" s="60" t="inlineStr">
        <is>
          <t>고압 다이오드</t>
        </is>
      </c>
      <c r="E35" s="11" t="inlineStr">
        <is>
          <t>DL1500</t>
        </is>
      </c>
      <c r="F35" s="99" t="n"/>
      <c r="G35" s="9" t="n"/>
      <c r="H35" s="9" t="inlineStr">
        <is>
          <t>비지티</t>
        </is>
      </c>
      <c r="I35" s="14" t="n"/>
      <c r="J35" s="14" t="n"/>
      <c r="K35" s="12" t="n"/>
      <c r="L35" s="9" t="n"/>
      <c r="M35" s="9" t="n"/>
      <c r="N35" s="9" t="n"/>
      <c r="O35" s="40">
        <f>K35+V35-AE35-AZ35</f>
        <v/>
      </c>
      <c r="P35" s="12" t="n"/>
      <c r="Q35" s="138" t="n"/>
      <c r="R35" s="16" t="n"/>
      <c r="S35" s="139" t="n"/>
      <c r="T35" s="16" t="n"/>
      <c r="U35" s="139" t="n"/>
      <c r="V35" s="16">
        <f>P35+R35+T35</f>
        <v/>
      </c>
      <c r="W35" s="16" t="n"/>
      <c r="X35" s="139" t="n"/>
      <c r="Y35" s="16" t="n"/>
      <c r="Z35" s="139" t="n"/>
      <c r="AA35" s="16" t="n"/>
      <c r="AB35" s="139" t="n"/>
      <c r="AC35" s="16" t="n"/>
      <c r="AD35" s="139" t="n"/>
      <c r="AE35" s="16">
        <f>(W35+Y35+AA35+AC35)</f>
        <v/>
      </c>
      <c r="AF35" s="16" t="n"/>
      <c r="AG35" s="138" t="n"/>
      <c r="AH35" s="16" t="n"/>
      <c r="AI35" s="138" t="n"/>
      <c r="AJ35" s="16" t="n"/>
      <c r="AK35" s="138" t="n"/>
      <c r="AL35" s="16" t="n"/>
      <c r="AM35" s="138" t="n"/>
      <c r="AN35" s="16" t="n"/>
      <c r="AO35" s="138" t="n"/>
      <c r="AP35" s="16" t="n"/>
      <c r="AQ35" s="138" t="n"/>
      <c r="AR35" s="16" t="n"/>
      <c r="AS35" s="138" t="n"/>
      <c r="AT35" s="16" t="n"/>
      <c r="AU35" s="138" t="n"/>
      <c r="AV35" s="16" t="n"/>
      <c r="AW35" s="138" t="n"/>
      <c r="AX35" s="16" t="n"/>
      <c r="AY35" s="138" t="n"/>
      <c r="AZ35" s="16">
        <f>AF35+AH35+AJ35+AL35+AN35+AP35+AR35+AT35+AV35+AX35</f>
        <v/>
      </c>
      <c r="BA35" s="16" t="n"/>
      <c r="BB35" s="139" t="n"/>
      <c r="BC35" s="16" t="n"/>
      <c r="BD35" s="139" t="n"/>
      <c r="BE35" s="16">
        <f>(BA35+BC35)</f>
        <v/>
      </c>
    </row>
    <row r="36" ht="22.5" customHeight="1" s="122">
      <c r="A36" s="9" t="n"/>
      <c r="B36" s="136" t="inlineStr">
        <is>
          <t>다이오드</t>
        </is>
      </c>
      <c r="C36" s="137" t="inlineStr">
        <is>
          <t>COCOON</t>
        </is>
      </c>
      <c r="D36" s="60" t="inlineStr">
        <is>
          <t>고압 다이오드</t>
        </is>
      </c>
      <c r="E36" s="11" t="inlineStr">
        <is>
          <t>DD1800</t>
        </is>
      </c>
      <c r="F36" s="99" t="n"/>
      <c r="G36" s="9" t="n"/>
      <c r="H36" s="9" t="inlineStr">
        <is>
          <t>비지티</t>
        </is>
      </c>
      <c r="I36" s="14" t="n"/>
      <c r="J36" s="14" t="n"/>
      <c r="K36" s="12" t="n"/>
      <c r="L36" s="9" t="n"/>
      <c r="M36" s="9" t="n"/>
      <c r="N36" s="9" t="n"/>
      <c r="O36" s="40">
        <f>K36+V36-AE36-AZ36</f>
        <v/>
      </c>
      <c r="P36" s="12" t="n"/>
      <c r="Q36" s="138" t="n"/>
      <c r="R36" s="16" t="n"/>
      <c r="S36" s="139" t="n"/>
      <c r="T36" s="16" t="n"/>
      <c r="U36" s="139" t="n"/>
      <c r="V36" s="16">
        <f>P36+R36+T36</f>
        <v/>
      </c>
      <c r="W36" s="16" t="n"/>
      <c r="X36" s="139" t="n"/>
      <c r="Y36" s="16" t="n"/>
      <c r="Z36" s="139" t="n"/>
      <c r="AA36" s="16" t="n"/>
      <c r="AB36" s="139" t="n"/>
      <c r="AC36" s="16" t="n"/>
      <c r="AD36" s="139" t="n"/>
      <c r="AE36" s="16">
        <f>(W36+Y36+AA36+AC36)</f>
        <v/>
      </c>
      <c r="AF36" s="16" t="n"/>
      <c r="AG36" s="138" t="n"/>
      <c r="AH36" s="16" t="n"/>
      <c r="AI36" s="138" t="n"/>
      <c r="AJ36" s="16" t="n"/>
      <c r="AK36" s="138" t="n"/>
      <c r="AL36" s="16" t="n"/>
      <c r="AM36" s="138" t="n"/>
      <c r="AN36" s="16" t="n"/>
      <c r="AO36" s="138" t="n"/>
      <c r="AP36" s="16" t="n"/>
      <c r="AQ36" s="138" t="n"/>
      <c r="AR36" s="16" t="n"/>
      <c r="AS36" s="138" t="n"/>
      <c r="AT36" s="16" t="n"/>
      <c r="AU36" s="138" t="n"/>
      <c r="AV36" s="16" t="n"/>
      <c r="AW36" s="138" t="n"/>
      <c r="AX36" s="16" t="n"/>
      <c r="AY36" s="138" t="n"/>
      <c r="AZ36" s="16">
        <f>AF36+AH36+AJ36+AL36+AN36+AP36+AR36+AT36+AV36+AX36</f>
        <v/>
      </c>
      <c r="BA36" s="16" t="n"/>
      <c r="BB36" s="139" t="n"/>
      <c r="BC36" s="16" t="n"/>
      <c r="BD36" s="139" t="n"/>
      <c r="BE36" s="16">
        <f>(BA36+BC36)</f>
        <v/>
      </c>
    </row>
    <row r="37" ht="22.5" customHeight="1" s="122">
      <c r="A37" s="9" t="n"/>
      <c r="B37" s="136" t="inlineStr">
        <is>
          <t>저항</t>
        </is>
      </c>
      <c r="C37" s="137" t="inlineStr">
        <is>
          <t>DX3000, ADX4000W</t>
        </is>
      </c>
      <c r="D37" s="64" t="inlineStr">
        <is>
          <t>15㏀ 고압용 저항</t>
        </is>
      </c>
      <c r="E37" s="11" t="inlineStr">
        <is>
          <t>15㏀±1％, DIP-1/4W</t>
        </is>
      </c>
      <c r="F37" s="99" t="n"/>
      <c r="G37" s="9" t="n"/>
      <c r="H37" s="9" t="inlineStr">
        <is>
          <t>HLP</t>
        </is>
      </c>
      <c r="I37" s="14" t="n"/>
      <c r="J37" s="14" t="n"/>
      <c r="K37" s="12" t="n"/>
      <c r="L37" s="9" t="n"/>
      <c r="M37" s="9" t="n"/>
      <c r="N37" s="9" t="n"/>
      <c r="O37" s="40">
        <f>K37+V37-AE37-AZ37</f>
        <v/>
      </c>
      <c r="P37" s="12" t="n"/>
      <c r="Q37" s="138" t="n"/>
      <c r="R37" s="16" t="n"/>
      <c r="S37" s="139" t="n"/>
      <c r="T37" s="16" t="n"/>
      <c r="U37" s="139" t="n"/>
      <c r="V37" s="16">
        <f>P37+R37+T37</f>
        <v/>
      </c>
      <c r="W37" s="16" t="n"/>
      <c r="X37" s="139" t="n"/>
      <c r="Y37" s="16" t="n"/>
      <c r="Z37" s="139" t="n"/>
      <c r="AA37" s="16" t="n"/>
      <c r="AB37" s="139" t="n"/>
      <c r="AC37" s="16" t="n"/>
      <c r="AD37" s="139" t="n"/>
      <c r="AE37" s="16">
        <f>(W37+Y37+AA37+AC37)</f>
        <v/>
      </c>
      <c r="AF37" s="16" t="n"/>
      <c r="AG37" s="138" t="n"/>
      <c r="AH37" s="16" t="n"/>
      <c r="AI37" s="138" t="n"/>
      <c r="AJ37" s="16" t="n"/>
      <c r="AK37" s="138" t="n"/>
      <c r="AL37" s="16" t="n"/>
      <c r="AM37" s="138" t="n"/>
      <c r="AN37" s="16" t="n"/>
      <c r="AO37" s="138" t="n"/>
      <c r="AP37" s="16" t="n"/>
      <c r="AQ37" s="138" t="n"/>
      <c r="AR37" s="16" t="n"/>
      <c r="AS37" s="138" t="n"/>
      <c r="AT37" s="16" t="n"/>
      <c r="AU37" s="138" t="n"/>
      <c r="AV37" s="16" t="n"/>
      <c r="AW37" s="138" t="n"/>
      <c r="AX37" s="16" t="n"/>
      <c r="AY37" s="138" t="n"/>
      <c r="AZ37" s="16">
        <f>AF37+AH37+AJ37+AL37+AN37+AP37+AR37+AT37+AV37+AX37</f>
        <v/>
      </c>
      <c r="BA37" s="16" t="n"/>
      <c r="BB37" s="139" t="n"/>
      <c r="BC37" s="16" t="n"/>
      <c r="BD37" s="139" t="n"/>
      <c r="BE37" s="16">
        <f>(BA37+BC37)</f>
        <v/>
      </c>
    </row>
    <row r="38" ht="22.5" customHeight="1" s="122">
      <c r="A38" s="9" t="n"/>
      <c r="B38" s="136" t="inlineStr">
        <is>
          <t>저항</t>
        </is>
      </c>
      <c r="C38" s="137" t="inlineStr">
        <is>
          <t>DX3000, ADX4000W ADX6000</t>
        </is>
      </c>
      <c r="D38" s="64" t="inlineStr">
        <is>
          <t>30㏀ 고압용 저항</t>
        </is>
      </c>
      <c r="E38" s="11" t="inlineStr">
        <is>
          <t>30㏀±1％, DIP-1/4W</t>
        </is>
      </c>
      <c r="F38" s="99" t="n"/>
      <c r="G38" s="9" t="n"/>
      <c r="H38" s="9" t="inlineStr">
        <is>
          <t>HLP</t>
        </is>
      </c>
      <c r="I38" s="14" t="n"/>
      <c r="J38" s="14" t="n"/>
      <c r="K38" s="12" t="n">
        <v>5000</v>
      </c>
      <c r="L38" s="9" t="n"/>
      <c r="M38" s="9" t="n"/>
      <c r="N38" s="9" t="n"/>
      <c r="O38" s="40">
        <f>K38+V38-AE38-AZ38</f>
        <v/>
      </c>
      <c r="P38" s="12" t="n"/>
      <c r="Q38" s="138" t="n"/>
      <c r="R38" s="16" t="n"/>
      <c r="S38" s="139" t="n"/>
      <c r="T38" s="16" t="n"/>
      <c r="U38" s="139" t="n"/>
      <c r="V38" s="16">
        <f>P38+R38+T38</f>
        <v/>
      </c>
      <c r="W38" s="16" t="n"/>
      <c r="X38" s="139" t="n"/>
      <c r="Y38" s="16" t="n"/>
      <c r="Z38" s="139" t="n"/>
      <c r="AA38" s="16" t="n"/>
      <c r="AB38" s="139" t="n"/>
      <c r="AC38" s="16" t="n"/>
      <c r="AD38" s="139" t="n"/>
      <c r="AE38" s="16">
        <f>(W38+Y38+AA38+AC38)</f>
        <v/>
      </c>
      <c r="AF38" s="16" t="n"/>
      <c r="AG38" s="138" t="n"/>
      <c r="AH38" s="16" t="n"/>
      <c r="AI38" s="138" t="n"/>
      <c r="AJ38" s="16" t="n"/>
      <c r="AK38" s="138" t="n"/>
      <c r="AL38" s="16" t="n"/>
      <c r="AM38" s="138" t="n"/>
      <c r="AN38" s="16" t="n"/>
      <c r="AO38" s="138" t="n"/>
      <c r="AP38" s="16" t="n"/>
      <c r="AQ38" s="138" t="n"/>
      <c r="AR38" s="16" t="n"/>
      <c r="AS38" s="138" t="n"/>
      <c r="AT38" s="16" t="n"/>
      <c r="AU38" s="138" t="n"/>
      <c r="AV38" s="16" t="n"/>
      <c r="AW38" s="138" t="n"/>
      <c r="AX38" s="16" t="n"/>
      <c r="AY38" s="138" t="n"/>
      <c r="AZ38" s="16">
        <f>AF38+AH38+AJ38+AL38+AN38+AP38+AR38+AT38+AV38+AX38</f>
        <v/>
      </c>
      <c r="BA38" s="16" t="n"/>
      <c r="BB38" s="139" t="n"/>
      <c r="BC38" s="16" t="n"/>
      <c r="BD38" s="139" t="n"/>
      <c r="BE38" s="16">
        <f>(BA38+BC38)</f>
        <v/>
      </c>
    </row>
    <row r="39" ht="22.5" customHeight="1" s="122">
      <c r="A39" s="9" t="n"/>
      <c r="B39" s="136" t="inlineStr">
        <is>
          <t>저항</t>
        </is>
      </c>
      <c r="C39" s="137" t="inlineStr">
        <is>
          <t>ADX6000</t>
        </is>
      </c>
      <c r="D39" s="65" t="inlineStr">
        <is>
          <t>500Ω 고압용 저항</t>
        </is>
      </c>
      <c r="E39" s="11" t="inlineStr">
        <is>
          <t>500Ω±1％, DIP-1/4W</t>
        </is>
      </c>
      <c r="F39" s="99" t="n"/>
      <c r="G39" s="9" t="n"/>
      <c r="H39" s="9" t="inlineStr">
        <is>
          <t>HLP</t>
        </is>
      </c>
      <c r="I39" s="14" t="n"/>
      <c r="J39" s="14" t="n"/>
      <c r="K39" s="12" t="n">
        <v>5000</v>
      </c>
      <c r="L39" s="9" t="n"/>
      <c r="M39" s="9" t="n"/>
      <c r="N39" s="9" t="n"/>
      <c r="O39" s="40">
        <f>K39+V39-AE39-AZ39</f>
        <v/>
      </c>
      <c r="P39" s="12" t="n"/>
      <c r="Q39" s="138" t="n"/>
      <c r="R39" s="16" t="n"/>
      <c r="S39" s="139" t="n"/>
      <c r="T39" s="16" t="n"/>
      <c r="U39" s="139" t="n"/>
      <c r="V39" s="16">
        <f>P39+R39+T39</f>
        <v/>
      </c>
      <c r="W39" s="16" t="n"/>
      <c r="X39" s="139" t="n"/>
      <c r="Y39" s="16" t="n"/>
      <c r="Z39" s="139" t="n"/>
      <c r="AA39" s="16" t="n"/>
      <c r="AB39" s="139" t="n"/>
      <c r="AC39" s="16" t="n"/>
      <c r="AD39" s="139" t="n"/>
      <c r="AE39" s="16">
        <f>(W39+Y39+AA39+AC39)</f>
        <v/>
      </c>
      <c r="AF39" s="16" t="n"/>
      <c r="AG39" s="138" t="n"/>
      <c r="AH39" s="16" t="n"/>
      <c r="AI39" s="138" t="n"/>
      <c r="AJ39" s="16" t="n"/>
      <c r="AK39" s="138" t="n"/>
      <c r="AL39" s="16" t="n"/>
      <c r="AM39" s="138" t="n"/>
      <c r="AN39" s="16" t="n"/>
      <c r="AO39" s="138" t="n"/>
      <c r="AP39" s="16" t="n"/>
      <c r="AQ39" s="138" t="n"/>
      <c r="AR39" s="16" t="n"/>
      <c r="AS39" s="138" t="n"/>
      <c r="AT39" s="16" t="n"/>
      <c r="AU39" s="138" t="n"/>
      <c r="AV39" s="16" t="n"/>
      <c r="AW39" s="138" t="n"/>
      <c r="AX39" s="16" t="n"/>
      <c r="AY39" s="138" t="n"/>
      <c r="AZ39" s="16">
        <f>AF39+AH39+AJ39+AL39+AN39+AP39+AR39+AT39+AV39+AX39</f>
        <v/>
      </c>
      <c r="BA39" s="16" t="n"/>
      <c r="BB39" s="139" t="n"/>
      <c r="BC39" s="16" t="n"/>
      <c r="BD39" s="139" t="n"/>
      <c r="BE39" s="16">
        <f>(BA39+BC39)</f>
        <v/>
      </c>
    </row>
    <row r="40" ht="22.5" customFormat="1" customHeight="1" s="8">
      <c r="A40" s="9" t="n"/>
      <c r="B40" s="136" t="inlineStr">
        <is>
          <t>저항</t>
        </is>
      </c>
      <c r="C40" s="137" t="inlineStr">
        <is>
          <t>DX3000, ADX4000W</t>
        </is>
      </c>
      <c r="D40" s="63" t="inlineStr">
        <is>
          <t>1.7W,10kV 시멘트저항 짧은 것</t>
        </is>
      </c>
      <c r="E40" s="11" t="inlineStr">
        <is>
          <t>RK92-11XD 307J (1.7W,10kV,±5%,300ppm,Flat)</t>
        </is>
      </c>
      <c r="F40" s="99" t="n"/>
      <c r="G40" s="9" t="n"/>
      <c r="H40" s="9" t="inlineStr">
        <is>
          <t>비지티</t>
        </is>
      </c>
      <c r="I40" s="14" t="n"/>
      <c r="J40" s="14" t="n"/>
      <c r="K40" s="12" t="n"/>
      <c r="L40" s="9" t="n"/>
      <c r="M40" s="9" t="n"/>
      <c r="N40" s="9" t="n"/>
      <c r="O40" s="40">
        <f>K40+V40-AE40-AZ40</f>
        <v/>
      </c>
      <c r="P40" s="12" t="n"/>
      <c r="Q40" s="138" t="n"/>
      <c r="R40" s="16" t="n"/>
      <c r="S40" s="139" t="n"/>
      <c r="T40" s="16" t="n"/>
      <c r="U40" s="139" t="n"/>
      <c r="V40" s="16">
        <f>P40+R40+T40</f>
        <v/>
      </c>
      <c r="W40" s="16" t="n"/>
      <c r="X40" s="139" t="n"/>
      <c r="Y40" s="16" t="n"/>
      <c r="Z40" s="139" t="n"/>
      <c r="AA40" s="16" t="n"/>
      <c r="AB40" s="139" t="n"/>
      <c r="AC40" s="16" t="n"/>
      <c r="AD40" s="139" t="n"/>
      <c r="AE40" s="16">
        <f>(W40+Y40+AA40+AC40)</f>
        <v/>
      </c>
      <c r="AF40" s="16" t="n"/>
      <c r="AG40" s="138" t="n"/>
      <c r="AH40" s="16" t="n"/>
      <c r="AI40" s="138" t="n"/>
      <c r="AJ40" s="16" t="n"/>
      <c r="AK40" s="138" t="n"/>
      <c r="AL40" s="16" t="n"/>
      <c r="AM40" s="138" t="n"/>
      <c r="AN40" s="16" t="n"/>
      <c r="AO40" s="138" t="n"/>
      <c r="AP40" s="16" t="n"/>
      <c r="AQ40" s="138" t="n"/>
      <c r="AR40" s="16" t="n"/>
      <c r="AS40" s="138" t="n"/>
      <c r="AT40" s="16" t="n"/>
      <c r="AU40" s="138" t="n"/>
      <c r="AV40" s="16" t="n"/>
      <c r="AW40" s="138" t="n"/>
      <c r="AX40" s="16" t="n"/>
      <c r="AY40" s="138" t="n"/>
      <c r="AZ40" s="16">
        <f>AF40+AH40+AJ40+AL40+AN40+AP40+AR40+AT40+AV40+AX40</f>
        <v/>
      </c>
      <c r="BA40" s="16" t="n"/>
      <c r="BB40" s="139" t="n"/>
      <c r="BC40" s="16" t="n"/>
      <c r="BD40" s="139" t="n"/>
      <c r="BE40" s="16">
        <f>(BA40+BC40)</f>
        <v/>
      </c>
    </row>
    <row r="41" ht="22.5" customFormat="1" customHeight="1" s="8">
      <c r="A41" s="9" t="n"/>
      <c r="B41" s="136" t="inlineStr">
        <is>
          <t>저항</t>
        </is>
      </c>
      <c r="C41" s="137" t="inlineStr">
        <is>
          <t>COCOON</t>
        </is>
      </c>
      <c r="D41" s="60" t="inlineStr">
        <is>
          <t>2.7W,15kV 시멘트저항 긴 것</t>
        </is>
      </c>
      <c r="E41" s="11" t="inlineStr">
        <is>
          <t xml:space="preserve">RK92-18XD 307J (2.7W,15kV,±5%,300ppm,Flat) </t>
        </is>
      </c>
      <c r="F41" s="99" t="n"/>
      <c r="G41" s="9" t="n"/>
      <c r="H41" s="9" t="inlineStr">
        <is>
          <t>비지티</t>
        </is>
      </c>
      <c r="I41" s="14" t="n"/>
      <c r="J41" s="14" t="n"/>
      <c r="K41" s="12" t="n"/>
      <c r="L41" s="9" t="n"/>
      <c r="M41" s="9" t="n"/>
      <c r="N41" s="9" t="n"/>
      <c r="O41" s="40">
        <f>K41+V41-AE41-AZ41</f>
        <v/>
      </c>
      <c r="P41" s="12" t="n"/>
      <c r="Q41" s="138" t="n"/>
      <c r="R41" s="16" t="n"/>
      <c r="S41" s="139" t="n"/>
      <c r="T41" s="16" t="n"/>
      <c r="U41" s="139" t="n"/>
      <c r="V41" s="16">
        <f>P41+R41+T41</f>
        <v/>
      </c>
      <c r="W41" s="16" t="n"/>
      <c r="X41" s="139" t="n"/>
      <c r="Y41" s="16" t="n"/>
      <c r="Z41" s="139" t="n"/>
      <c r="AA41" s="16" t="n"/>
      <c r="AB41" s="139" t="n"/>
      <c r="AC41" s="16" t="n"/>
      <c r="AD41" s="139" t="n"/>
      <c r="AE41" s="16">
        <f>(W41+Y41+AA41+AC41)</f>
        <v/>
      </c>
      <c r="AF41" s="16" t="n"/>
      <c r="AG41" s="138" t="n"/>
      <c r="AH41" s="16" t="n"/>
      <c r="AI41" s="138" t="n"/>
      <c r="AJ41" s="16" t="n"/>
      <c r="AK41" s="138" t="n"/>
      <c r="AL41" s="16" t="n"/>
      <c r="AM41" s="138" t="n"/>
      <c r="AN41" s="16" t="n"/>
      <c r="AO41" s="138" t="n"/>
      <c r="AP41" s="16" t="n"/>
      <c r="AQ41" s="138" t="n"/>
      <c r="AR41" s="16" t="n"/>
      <c r="AS41" s="138" t="n"/>
      <c r="AT41" s="16" t="n"/>
      <c r="AU41" s="138" t="n"/>
      <c r="AV41" s="16" t="n"/>
      <c r="AW41" s="138" t="n"/>
      <c r="AX41" s="16" t="n"/>
      <c r="AY41" s="138" t="n"/>
      <c r="AZ41" s="16">
        <f>AF41+AH41+AJ41+AL41+AN41+AP41+AR41+AT41+AV41+AX41</f>
        <v/>
      </c>
      <c r="BA41" s="16" t="n"/>
      <c r="BB41" s="139" t="n"/>
      <c r="BC41" s="16" t="n"/>
      <c r="BD41" s="139" t="n"/>
      <c r="BE41" s="16">
        <f>(BA41+BC41)</f>
        <v/>
      </c>
    </row>
    <row r="42" ht="22.5" customFormat="1" customHeight="1" s="8">
      <c r="A42" s="9" t="n"/>
      <c r="B42" s="136" t="inlineStr">
        <is>
          <t>저항</t>
        </is>
      </c>
      <c r="C42" s="137" t="inlineStr">
        <is>
          <t>DX3000, ADX4000W ADX6000</t>
        </is>
      </c>
      <c r="D42" s="60" t="inlineStr">
        <is>
          <t>47k Surge 저항</t>
        </is>
      </c>
      <c r="E42" s="11" t="inlineStr">
        <is>
          <t>HPC-2C 47k/Surge</t>
        </is>
      </c>
      <c r="F42" s="99" t="n"/>
      <c r="G42" s="9" t="n"/>
      <c r="H42" s="9" t="inlineStr">
        <is>
          <t>비지티</t>
        </is>
      </c>
      <c r="I42" s="14" t="n"/>
      <c r="J42" s="14" t="n"/>
      <c r="K42" s="12" t="n"/>
      <c r="L42" s="9" t="n"/>
      <c r="M42" s="9" t="n"/>
      <c r="N42" s="9" t="n"/>
      <c r="O42" s="40">
        <f>K42+V42-AE42-AZ42</f>
        <v/>
      </c>
      <c r="P42" s="16" t="n"/>
      <c r="Q42" s="138" t="n"/>
      <c r="R42" s="16" t="n"/>
      <c r="S42" s="139" t="n"/>
      <c r="T42" s="16" t="n"/>
      <c r="U42" s="139" t="n"/>
      <c r="V42" s="16">
        <f>P42+R42+T42</f>
        <v/>
      </c>
      <c r="W42" s="16" t="n"/>
      <c r="X42" s="139" t="n"/>
      <c r="Y42" s="16" t="n"/>
      <c r="Z42" s="139" t="n"/>
      <c r="AA42" s="16" t="n"/>
      <c r="AB42" s="139" t="n"/>
      <c r="AC42" s="16" t="n"/>
      <c r="AD42" s="139" t="n"/>
      <c r="AE42" s="16">
        <f>(W42+Y42+AA42+AC42)</f>
        <v/>
      </c>
      <c r="AF42" s="16" t="n"/>
      <c r="AG42" s="138" t="n"/>
      <c r="AH42" s="16" t="n"/>
      <c r="AI42" s="138" t="n"/>
      <c r="AJ42" s="16" t="n"/>
      <c r="AK42" s="138" t="n"/>
      <c r="AL42" s="16" t="n"/>
      <c r="AM42" s="138" t="n"/>
      <c r="AN42" s="16" t="n"/>
      <c r="AO42" s="138" t="n"/>
      <c r="AP42" s="16" t="n"/>
      <c r="AQ42" s="138" t="n"/>
      <c r="AR42" s="16" t="n"/>
      <c r="AS42" s="138" t="n"/>
      <c r="AT42" s="16" t="n"/>
      <c r="AU42" s="138" t="n"/>
      <c r="AV42" s="16" t="n"/>
      <c r="AW42" s="138" t="n"/>
      <c r="AX42" s="16" t="n"/>
      <c r="AY42" s="138" t="n"/>
      <c r="AZ42" s="16">
        <f>AF42+AH42+AJ42+AL42+AN42+AP42+AR42+AT42+AV42+AX42</f>
        <v/>
      </c>
      <c r="BA42" s="16" t="n"/>
      <c r="BB42" s="139" t="n"/>
      <c r="BC42" s="16" t="n"/>
      <c r="BD42" s="139" t="n"/>
      <c r="BE42" s="16">
        <f>(BA42+BC42)</f>
        <v/>
      </c>
    </row>
    <row r="43" ht="22.5" customFormat="1" customHeight="1" s="8">
      <c r="A43" s="9" t="n"/>
      <c r="B43" s="136" t="inlineStr">
        <is>
          <t>세라믹</t>
        </is>
      </c>
      <c r="C43" s="137" t="inlineStr">
        <is>
          <t>DX3000, ADX4000W ADX6000</t>
        </is>
      </c>
      <c r="D43" s="64" t="inlineStr">
        <is>
          <t>100nF 칩세라믹 콘덴서</t>
        </is>
      </c>
      <c r="E43" s="11" t="inlineStr">
        <is>
          <t>3216B 100nF (1롤당 재고 4,000)</t>
        </is>
      </c>
      <c r="F43" s="99" t="n"/>
      <c r="G43" s="9" t="n"/>
      <c r="H43" s="9" t="inlineStr">
        <is>
          <t>HLP</t>
        </is>
      </c>
      <c r="I43" s="14" t="n"/>
      <c r="J43" s="14" t="n"/>
      <c r="K43" s="12" t="n">
        <v>1</v>
      </c>
      <c r="L43" s="9" t="n"/>
      <c r="M43" s="9" t="n"/>
      <c r="N43" s="9" t="n"/>
      <c r="O43" s="40">
        <f>K43+V43-AE43-AZ43</f>
        <v/>
      </c>
      <c r="P43" s="12" t="n"/>
      <c r="Q43" s="138" t="n"/>
      <c r="R43" s="16" t="n"/>
      <c r="S43" s="139" t="n"/>
      <c r="T43" s="16" t="n"/>
      <c r="U43" s="139" t="n"/>
      <c r="V43" s="16">
        <f>P43+R43+T43</f>
        <v/>
      </c>
      <c r="W43" s="16" t="n"/>
      <c r="X43" s="139" t="n"/>
      <c r="Y43" s="16" t="n"/>
      <c r="Z43" s="139" t="n"/>
      <c r="AA43" s="16" t="n"/>
      <c r="AB43" s="139" t="n"/>
      <c r="AC43" s="16" t="n"/>
      <c r="AD43" s="139" t="n"/>
      <c r="AE43" s="16">
        <f>(W43+Y43+AA43+AC43)</f>
        <v/>
      </c>
      <c r="AF43" s="16" t="n"/>
      <c r="AG43" s="138" t="n"/>
      <c r="AH43" s="16" t="n"/>
      <c r="AI43" s="138" t="n"/>
      <c r="AJ43" s="16" t="n"/>
      <c r="AK43" s="138" t="n"/>
      <c r="AL43" s="16" t="n"/>
      <c r="AM43" s="138" t="n"/>
      <c r="AN43" s="16" t="n"/>
      <c r="AO43" s="138" t="n"/>
      <c r="AP43" s="16" t="n"/>
      <c r="AQ43" s="138" t="n"/>
      <c r="AR43" s="16" t="n"/>
      <c r="AS43" s="138" t="n"/>
      <c r="AT43" s="16" t="n"/>
      <c r="AU43" s="138" t="n"/>
      <c r="AV43" s="16" t="n"/>
      <c r="AW43" s="138" t="n"/>
      <c r="AX43" s="16" t="n"/>
      <c r="AY43" s="138" t="n"/>
      <c r="AZ43" s="16">
        <f>AF43+AH43+AJ43+AL43+AN43+AP43+AR43+AT43+AV43+AX43</f>
        <v/>
      </c>
      <c r="BA43" s="16" t="n"/>
      <c r="BB43" s="139" t="n"/>
      <c r="BC43" s="16" t="n"/>
      <c r="BD43" s="139" t="n"/>
      <c r="BE43" s="16">
        <f>(BA43+BC43)</f>
        <v/>
      </c>
    </row>
    <row r="44" ht="22.5" customFormat="1" customHeight="1" s="8">
      <c r="A44" s="9" t="n"/>
      <c r="B44" s="136" t="inlineStr">
        <is>
          <t>세라믹</t>
        </is>
      </c>
      <c r="C44" s="137" t="inlineStr">
        <is>
          <t>DX3000, ADX4000W ADX6000</t>
        </is>
      </c>
      <c r="D44" s="64" t="inlineStr">
        <is>
          <t>F103Z 고압용 세라믹 콘덴서</t>
        </is>
      </c>
      <c r="E44" s="11" t="inlineStr">
        <is>
          <t>50V F103Z</t>
        </is>
      </c>
      <c r="F44" s="99" t="n"/>
      <c r="G44" s="9" t="n"/>
      <c r="H44" s="9" t="inlineStr">
        <is>
          <t>HLP</t>
        </is>
      </c>
      <c r="I44" s="14" t="n"/>
      <c r="J44" s="14" t="n"/>
      <c r="K44" s="12" t="n">
        <v>5000</v>
      </c>
      <c r="L44" s="9" t="n"/>
      <c r="M44" s="9" t="n"/>
      <c r="N44" s="9" t="n"/>
      <c r="O44" s="40">
        <f>K44+V44-AE44-AZ44</f>
        <v/>
      </c>
      <c r="P44" s="12" t="n"/>
      <c r="Q44" s="138" t="n"/>
      <c r="R44" s="16" t="n"/>
      <c r="S44" s="139" t="n"/>
      <c r="T44" s="16" t="n"/>
      <c r="U44" s="139" t="n"/>
      <c r="V44" s="16">
        <f>P44+R44+T44</f>
        <v/>
      </c>
      <c r="W44" s="16" t="n"/>
      <c r="X44" s="139" t="n"/>
      <c r="Y44" s="16" t="n"/>
      <c r="Z44" s="139" t="n"/>
      <c r="AA44" s="16" t="n"/>
      <c r="AB44" s="139" t="n"/>
      <c r="AC44" s="16" t="n"/>
      <c r="AD44" s="139" t="n"/>
      <c r="AE44" s="16">
        <f>(W44+Y44+AA44+AC44)</f>
        <v/>
      </c>
      <c r="AF44" s="16" t="n"/>
      <c r="AG44" s="138" t="n"/>
      <c r="AH44" s="16" t="n"/>
      <c r="AI44" s="138" t="n"/>
      <c r="AJ44" s="16" t="n"/>
      <c r="AK44" s="138" t="n"/>
      <c r="AL44" s="16" t="n"/>
      <c r="AM44" s="138" t="n"/>
      <c r="AN44" s="16" t="n"/>
      <c r="AO44" s="138" t="n"/>
      <c r="AP44" s="16" t="n"/>
      <c r="AQ44" s="138" t="n"/>
      <c r="AR44" s="16" t="n"/>
      <c r="AS44" s="138" t="n"/>
      <c r="AT44" s="16" t="n"/>
      <c r="AU44" s="138" t="n"/>
      <c r="AV44" s="16" t="n"/>
      <c r="AW44" s="138" t="n"/>
      <c r="AX44" s="16" t="n"/>
      <c r="AY44" s="138" t="n"/>
      <c r="AZ44" s="16">
        <f>AF44+AH44+AJ44+AL44+AN44+AP44+AR44+AT44+AV44+AX44</f>
        <v/>
      </c>
      <c r="BA44" s="16" t="n"/>
      <c r="BB44" s="139" t="n"/>
      <c r="BC44" s="16" t="n"/>
      <c r="BD44" s="139" t="n"/>
      <c r="BE44" s="16">
        <f>(BA44+BC44)</f>
        <v/>
      </c>
    </row>
    <row r="45" ht="22.5" customFormat="1" customHeight="1" s="8">
      <c r="A45" s="9" t="n"/>
      <c r="B45" s="136" t="inlineStr">
        <is>
          <t>세라믹</t>
        </is>
      </c>
      <c r="C45" s="137" t="inlineStr">
        <is>
          <t>DX3000, ADX4000W</t>
        </is>
      </c>
      <c r="D45" s="64" t="inlineStr">
        <is>
          <t>세라믹 큰 콘덴서</t>
        </is>
      </c>
      <c r="E45" s="11" t="inlineStr">
        <is>
          <t>DHR4E4C102K2FB</t>
        </is>
      </c>
      <c r="F45" s="99" t="n"/>
      <c r="G45" s="9" t="n"/>
      <c r="H45" s="9" t="inlineStr">
        <is>
          <t>비지티, HLP</t>
        </is>
      </c>
      <c r="I45" s="14" t="n"/>
      <c r="J45" s="14" t="n"/>
      <c r="K45" s="12" t="n">
        <v>4050</v>
      </c>
      <c r="L45" s="9" t="n"/>
      <c r="M45" s="9" t="n"/>
      <c r="N45" s="9" t="n"/>
      <c r="O45" s="40">
        <f>K45+V45-AE45-AZ45</f>
        <v/>
      </c>
      <c r="P45" s="12" t="n"/>
      <c r="Q45" s="138" t="n"/>
      <c r="R45" s="16" t="n"/>
      <c r="S45" s="139" t="n"/>
      <c r="T45" s="16" t="n"/>
      <c r="U45" s="139" t="n"/>
      <c r="V45" s="16">
        <f>P45+R45+T45</f>
        <v/>
      </c>
      <c r="W45" s="16" t="n"/>
      <c r="X45" s="139" t="n"/>
      <c r="Y45" s="16" t="n"/>
      <c r="Z45" s="139" t="n"/>
      <c r="AA45" s="16" t="n"/>
      <c r="AB45" s="139" t="n"/>
      <c r="AC45" s="16" t="n"/>
      <c r="AD45" s="139" t="n"/>
      <c r="AE45" s="16">
        <f>(W45+Y45+AA45+AC45)</f>
        <v/>
      </c>
      <c r="AF45" s="16" t="n"/>
      <c r="AG45" s="138" t="n"/>
      <c r="AH45" s="16" t="n"/>
      <c r="AI45" s="138" t="n"/>
      <c r="AJ45" s="16" t="n"/>
      <c r="AK45" s="138" t="n"/>
      <c r="AL45" s="16" t="n"/>
      <c r="AM45" s="138" t="n"/>
      <c r="AN45" s="16" t="n"/>
      <c r="AO45" s="138" t="n"/>
      <c r="AP45" s="16" t="n"/>
      <c r="AQ45" s="138" t="n"/>
      <c r="AR45" s="16" t="n"/>
      <c r="AS45" s="138" t="n"/>
      <c r="AT45" s="16" t="n"/>
      <c r="AU45" s="138" t="n"/>
      <c r="AV45" s="16" t="n"/>
      <c r="AW45" s="138" t="n"/>
      <c r="AX45" s="16" t="n"/>
      <c r="AY45" s="138" t="n"/>
      <c r="AZ45" s="16">
        <f>AF45+AH45+AJ45+AL45+AN45+AP45+AR45+AT45+AV45+AX45</f>
        <v/>
      </c>
      <c r="BA45" s="16" t="n"/>
      <c r="BB45" s="139" t="n"/>
      <c r="BC45" s="16" t="n"/>
      <c r="BD45" s="139" t="n"/>
      <c r="BE45" s="16">
        <f>(BA45+BC45)</f>
        <v/>
      </c>
    </row>
    <row r="46" ht="22.5" customFormat="1" customHeight="1" s="8">
      <c r="A46" s="9" t="n"/>
      <c r="B46" s="136" t="inlineStr">
        <is>
          <t>세라믹</t>
        </is>
      </c>
      <c r="C46" s="137" t="inlineStr">
        <is>
          <t>COCOON, 
ADX6000</t>
        </is>
      </c>
      <c r="D46" s="64" t="inlineStr">
        <is>
          <t>세라믹 작은 콘덴서 Murata</t>
        </is>
      </c>
      <c r="E46" s="11" t="inlineStr">
        <is>
          <t>680pF DHR4E4C681K2BB</t>
        </is>
      </c>
      <c r="F46" s="99" t="n"/>
      <c r="G46" s="9" t="n"/>
      <c r="H46" s="9" t="inlineStr">
        <is>
          <t>비지티, HLP</t>
        </is>
      </c>
      <c r="I46" s="14" t="n"/>
      <c r="J46" s="14" t="n"/>
      <c r="K46" s="12" t="n">
        <v>602</v>
      </c>
      <c r="L46" s="9" t="n"/>
      <c r="M46" s="9" t="n"/>
      <c r="N46" s="9" t="n"/>
      <c r="O46" s="40">
        <f>K46+V46-AE46-AZ46</f>
        <v/>
      </c>
      <c r="P46" s="12" t="n"/>
      <c r="Q46" s="138" t="n"/>
      <c r="R46" s="16" t="n"/>
      <c r="S46" s="139" t="n"/>
      <c r="T46" s="16" t="n"/>
      <c r="U46" s="139" t="n"/>
      <c r="V46" s="16">
        <f>P46+R46+T46</f>
        <v/>
      </c>
      <c r="W46" s="16" t="n"/>
      <c r="X46" s="139" t="n"/>
      <c r="Y46" s="16" t="n"/>
      <c r="Z46" s="139" t="n"/>
      <c r="AA46" s="16" t="n"/>
      <c r="AB46" s="139" t="n"/>
      <c r="AC46" s="16" t="n"/>
      <c r="AD46" s="139" t="n"/>
      <c r="AE46" s="16">
        <f>(W46+Y46+AA46+AC46)</f>
        <v/>
      </c>
      <c r="AF46" s="16" t="n"/>
      <c r="AG46" s="138" t="n"/>
      <c r="AH46" s="16" t="n"/>
      <c r="AI46" s="138" t="n"/>
      <c r="AJ46" s="16" t="n"/>
      <c r="AK46" s="138" t="n"/>
      <c r="AL46" s="16" t="n"/>
      <c r="AM46" s="138" t="n"/>
      <c r="AN46" s="16" t="n"/>
      <c r="AO46" s="138" t="n"/>
      <c r="AP46" s="16" t="n"/>
      <c r="AQ46" s="138" t="n"/>
      <c r="AR46" s="16" t="n"/>
      <c r="AS46" s="138" t="n"/>
      <c r="AT46" s="16" t="n"/>
      <c r="AU46" s="138" t="n"/>
      <c r="AV46" s="16" t="n"/>
      <c r="AW46" s="138" t="n"/>
      <c r="AX46" s="16" t="n"/>
      <c r="AY46" s="138" t="n"/>
      <c r="AZ46" s="16">
        <f>AF46+AH46+AJ46+AL46+AN46+AP46+AR46+AT46+AV46+AX46</f>
        <v/>
      </c>
      <c r="BA46" s="16" t="n"/>
      <c r="BB46" s="139" t="n"/>
      <c r="BC46" s="16" t="n"/>
      <c r="BD46" s="139" t="n"/>
      <c r="BE46" s="16">
        <f>(BA46+BC46)</f>
        <v/>
      </c>
    </row>
    <row r="47" ht="22.5" customFormat="1" customHeight="1" s="8">
      <c r="A47" s="9" t="n"/>
      <c r="B47" s="136" t="inlineStr">
        <is>
          <t>세라믹</t>
        </is>
      </c>
      <c r="C47" s="137" t="inlineStr">
        <is>
          <t>COCOON, 
ADX6000</t>
        </is>
      </c>
      <c r="D47" s="64" t="inlineStr">
        <is>
          <t>세라믹 작은 콘덴서 Vishay</t>
        </is>
      </c>
      <c r="E47" s="11" t="inlineStr">
        <is>
          <t>HVCC203Y6P681MCAX</t>
        </is>
      </c>
      <c r="F47" s="99" t="n"/>
      <c r="G47" s="9" t="n"/>
      <c r="H47" s="9" t="inlineStr">
        <is>
          <t>HLP</t>
        </is>
      </c>
      <c r="I47" s="14" t="n"/>
      <c r="J47" s="14" t="n"/>
      <c r="K47" s="12" t="n">
        <v>21150</v>
      </c>
      <c r="L47" s="9" t="n"/>
      <c r="M47" s="9" t="n"/>
      <c r="N47" s="9" t="n"/>
      <c r="O47" s="40">
        <f>K47+V47-AE47-AZ47</f>
        <v/>
      </c>
      <c r="P47" s="12" t="n"/>
      <c r="Q47" s="138" t="n"/>
      <c r="R47" s="16" t="n"/>
      <c r="S47" s="139" t="n"/>
      <c r="T47" s="16" t="n"/>
      <c r="U47" s="139" t="n"/>
      <c r="V47" s="16">
        <f>P47+R47+T47</f>
        <v/>
      </c>
      <c r="W47" s="16" t="n"/>
      <c r="X47" s="139" t="n"/>
      <c r="Y47" s="16" t="n"/>
      <c r="Z47" s="139" t="n"/>
      <c r="AA47" s="16" t="n"/>
      <c r="AB47" s="139" t="n"/>
      <c r="AC47" s="16" t="n"/>
      <c r="AD47" s="139" t="n"/>
      <c r="AE47" s="16">
        <f>(W47+Y47+AA47+AC47)</f>
        <v/>
      </c>
      <c r="AF47" s="16" t="n"/>
      <c r="AG47" s="138" t="n"/>
      <c r="AH47" s="16" t="n"/>
      <c r="AI47" s="138" t="n"/>
      <c r="AJ47" s="16" t="n"/>
      <c r="AK47" s="138" t="n"/>
      <c r="AL47" s="16" t="n"/>
      <c r="AM47" s="138" t="n"/>
      <c r="AN47" s="16" t="n"/>
      <c r="AO47" s="138" t="n"/>
      <c r="AP47" s="16" t="n"/>
      <c r="AQ47" s="138" t="n"/>
      <c r="AR47" s="16" t="n"/>
      <c r="AS47" s="138" t="n"/>
      <c r="AT47" s="16" t="n"/>
      <c r="AU47" s="138" t="n"/>
      <c r="AV47" s="16" t="n"/>
      <c r="AW47" s="138" t="n"/>
      <c r="AX47" s="16" t="n"/>
      <c r="AY47" s="138" t="n"/>
      <c r="AZ47" s="16">
        <f>AF47+AH47+AJ47+AL47+AN47+AP47+AR47+AT47+AV47+AX47</f>
        <v/>
      </c>
      <c r="BA47" s="16" t="n"/>
      <c r="BB47" s="139" t="n"/>
      <c r="BC47" s="16" t="n"/>
      <c r="BD47" s="139" t="n"/>
      <c r="BE47" s="16">
        <f>(BA47+BC47)</f>
        <v/>
      </c>
    </row>
    <row r="48" ht="22.5" customFormat="1" customHeight="1" s="8">
      <c r="A48" s="9" t="n"/>
      <c r="B48" s="136" t="inlineStr">
        <is>
          <t>센서</t>
        </is>
      </c>
      <c r="C48" s="137" t="inlineStr">
        <is>
          <t>COCOON</t>
        </is>
      </c>
      <c r="D48" s="60" t="inlineStr">
        <is>
          <t>온도센서</t>
        </is>
      </c>
      <c r="E48" s="11" t="inlineStr">
        <is>
          <t>LNTK103FW</t>
        </is>
      </c>
      <c r="F48" s="99" t="n"/>
      <c r="G48" s="9" t="n"/>
      <c r="H48" s="9" t="inlineStr">
        <is>
          <t>HLP</t>
        </is>
      </c>
      <c r="I48" s="14" t="n"/>
      <c r="J48" s="14" t="n"/>
      <c r="K48" s="12" t="n">
        <v>1000</v>
      </c>
      <c r="L48" s="9" t="n"/>
      <c r="M48" s="9" t="n"/>
      <c r="N48" s="9" t="n"/>
      <c r="O48" s="40">
        <f>K48+V48-AE48-AZ48</f>
        <v/>
      </c>
      <c r="P48" s="12" t="n"/>
      <c r="Q48" s="138" t="n"/>
      <c r="R48" s="16" t="n"/>
      <c r="S48" s="139" t="n"/>
      <c r="T48" s="16" t="n"/>
      <c r="U48" s="139" t="n"/>
      <c r="V48" s="16">
        <f>P48+R48+T48</f>
        <v/>
      </c>
      <c r="W48" s="16" t="n"/>
      <c r="X48" s="139" t="n"/>
      <c r="Y48" s="16" t="n"/>
      <c r="Z48" s="139" t="n"/>
      <c r="AA48" s="16" t="n"/>
      <c r="AB48" s="139" t="n"/>
      <c r="AC48" s="16" t="n"/>
      <c r="AD48" s="139" t="n"/>
      <c r="AE48" s="16">
        <f>(W48+Y48+AA48+AC48)</f>
        <v/>
      </c>
      <c r="AF48" s="16" t="n"/>
      <c r="AG48" s="138" t="n"/>
      <c r="AH48" s="16" t="n"/>
      <c r="AI48" s="138" t="n"/>
      <c r="AJ48" s="16" t="n"/>
      <c r="AK48" s="138" t="n"/>
      <c r="AL48" s="16" t="n"/>
      <c r="AM48" s="138" t="n"/>
      <c r="AN48" s="16" t="n"/>
      <c r="AO48" s="138" t="n"/>
      <c r="AP48" s="16" t="n"/>
      <c r="AQ48" s="138" t="n"/>
      <c r="AR48" s="16" t="n"/>
      <c r="AS48" s="138" t="n"/>
      <c r="AT48" s="16" t="n"/>
      <c r="AU48" s="138" t="n"/>
      <c r="AV48" s="16" t="n"/>
      <c r="AW48" s="138" t="n"/>
      <c r="AX48" s="16" t="n"/>
      <c r="AY48" s="138" t="n"/>
      <c r="AZ48" s="16">
        <f>AF48+AH48+AJ48+AL48+AN48+AP48+AR48+AT48+AV48+AX48</f>
        <v/>
      </c>
      <c r="BA48" s="16" t="n"/>
      <c r="BB48" s="139" t="n"/>
      <c r="BC48" s="16" t="n"/>
      <c r="BD48" s="139" t="n"/>
      <c r="BE48" s="16">
        <f>(BA48+BC48)</f>
        <v/>
      </c>
    </row>
    <row r="49" ht="22.5" customFormat="1" customHeight="1" s="8">
      <c r="A49" s="9" t="n"/>
      <c r="B49" s="136" t="inlineStr">
        <is>
          <t>트랜스</t>
        </is>
      </c>
      <c r="C49" s="137" t="inlineStr">
        <is>
          <t>DX3000, ADX4000W</t>
        </is>
      </c>
      <c r="D49" s="63" t="inlineStr">
        <is>
          <t>트랜스포머</t>
        </is>
      </c>
      <c r="E49" s="11" t="inlineStr">
        <is>
          <t>60kV</t>
        </is>
      </c>
      <c r="F49" s="99" t="n"/>
      <c r="G49" s="9" t="n"/>
      <c r="H49" s="9" t="inlineStr">
        <is>
          <t>미래메디칼</t>
        </is>
      </c>
      <c r="I49" s="14" t="n"/>
      <c r="J49" s="14" t="n"/>
      <c r="K49" s="12" t="n"/>
      <c r="L49" s="9" t="n"/>
      <c r="M49" s="9" t="n"/>
      <c r="N49" s="9" t="n"/>
      <c r="O49" s="40">
        <f>K49+V49-AE49-AZ49</f>
        <v/>
      </c>
      <c r="P49" s="12" t="n"/>
      <c r="Q49" s="138" t="n"/>
      <c r="R49" s="16" t="n"/>
      <c r="S49" s="139" t="n"/>
      <c r="T49" s="16" t="n"/>
      <c r="U49" s="139" t="n"/>
      <c r="V49" s="16">
        <f>P49+R49+T49</f>
        <v/>
      </c>
      <c r="W49" s="16" t="n"/>
      <c r="X49" s="139" t="n"/>
      <c r="Y49" s="16" t="n"/>
      <c r="Z49" s="139" t="n"/>
      <c r="AA49" s="16" t="n"/>
      <c r="AB49" s="139" t="n"/>
      <c r="AC49" s="16" t="n"/>
      <c r="AD49" s="139" t="n"/>
      <c r="AE49" s="16">
        <f>(W49+Y49+AA49+AC49)</f>
        <v/>
      </c>
      <c r="AF49" s="16" t="n"/>
      <c r="AG49" s="138" t="n"/>
      <c r="AH49" s="16" t="n"/>
      <c r="AI49" s="138" t="n"/>
      <c r="AJ49" s="16" t="n"/>
      <c r="AK49" s="138" t="n"/>
      <c r="AL49" s="16" t="n"/>
      <c r="AM49" s="138" t="n"/>
      <c r="AN49" s="16" t="n"/>
      <c r="AO49" s="138" t="n"/>
      <c r="AP49" s="16" t="n"/>
      <c r="AQ49" s="138" t="n"/>
      <c r="AR49" s="16" t="n"/>
      <c r="AS49" s="138" t="n"/>
      <c r="AT49" s="16" t="n"/>
      <c r="AU49" s="138" t="n"/>
      <c r="AV49" s="16" t="n"/>
      <c r="AW49" s="138" t="n"/>
      <c r="AX49" s="16" t="n"/>
      <c r="AY49" s="138" t="n"/>
      <c r="AZ49" s="16">
        <f>AF49+AH49+AJ49+AL49+AN49+AP49+AR49+AT49+AV49+AX49</f>
        <v/>
      </c>
      <c r="BA49" s="16" t="n"/>
      <c r="BB49" s="139" t="n"/>
      <c r="BC49" s="16" t="n"/>
      <c r="BD49" s="139" t="n"/>
      <c r="BE49" s="16">
        <f>(BA49+BC49)</f>
        <v/>
      </c>
    </row>
    <row r="50" ht="22.5" customFormat="1" customHeight="1" s="8">
      <c r="A50" s="9" t="n"/>
      <c r="B50" s="136" t="inlineStr">
        <is>
          <t>트랜스</t>
        </is>
      </c>
      <c r="C50" s="137" t="inlineStr">
        <is>
          <t>COCOON</t>
        </is>
      </c>
      <c r="D50" s="66" t="inlineStr">
        <is>
          <t>트랜스포머</t>
        </is>
      </c>
      <c r="E50" s="11" t="inlineStr">
        <is>
          <t>70kV</t>
        </is>
      </c>
      <c r="F50" s="99" t="n"/>
      <c r="G50" s="9" t="n"/>
      <c r="H50" s="9" t="inlineStr">
        <is>
          <t>미래메디칼</t>
        </is>
      </c>
      <c r="I50" s="14" t="n"/>
      <c r="J50" s="14" t="n"/>
      <c r="K50" s="12" t="n"/>
      <c r="L50" s="9" t="n"/>
      <c r="M50" s="9" t="n"/>
      <c r="N50" s="9" t="n"/>
      <c r="O50" s="40">
        <f>K50+V50-AE50-AZ50</f>
        <v/>
      </c>
      <c r="P50" s="12" t="n"/>
      <c r="Q50" s="138" t="n"/>
      <c r="R50" s="16" t="n"/>
      <c r="S50" s="139" t="n"/>
      <c r="T50" s="16" t="n"/>
      <c r="U50" s="139" t="n"/>
      <c r="V50" s="16">
        <f>P50+R50+T50</f>
        <v/>
      </c>
      <c r="W50" s="16" t="n"/>
      <c r="X50" s="139" t="n"/>
      <c r="Y50" s="16" t="n"/>
      <c r="Z50" s="139" t="n"/>
      <c r="AA50" s="16" t="n"/>
      <c r="AB50" s="139" t="n"/>
      <c r="AC50" s="16" t="n"/>
      <c r="AD50" s="139" t="n"/>
      <c r="AE50" s="16">
        <f>(W50+Y50+AA50+AC50)</f>
        <v/>
      </c>
      <c r="AF50" s="16" t="n"/>
      <c r="AG50" s="138" t="n"/>
      <c r="AH50" s="16" t="n"/>
      <c r="AI50" s="138" t="n"/>
      <c r="AJ50" s="16" t="n"/>
      <c r="AK50" s="138" t="n"/>
      <c r="AL50" s="16" t="n"/>
      <c r="AM50" s="138" t="n"/>
      <c r="AN50" s="16" t="n"/>
      <c r="AO50" s="138" t="n"/>
      <c r="AP50" s="16" t="n"/>
      <c r="AQ50" s="138" t="n"/>
      <c r="AR50" s="16" t="n"/>
      <c r="AS50" s="138" t="n"/>
      <c r="AT50" s="16" t="n"/>
      <c r="AU50" s="138" t="n"/>
      <c r="AV50" s="16" t="n"/>
      <c r="AW50" s="138" t="n"/>
      <c r="AX50" s="16" t="n"/>
      <c r="AY50" s="138" t="n"/>
      <c r="AZ50" s="16">
        <f>AF50+AH50+AJ50+AL50+AN50+AP50+AR50+AT50+AV50+AX50</f>
        <v/>
      </c>
      <c r="BA50" s="16" t="n"/>
      <c r="BB50" s="139" t="n"/>
      <c r="BC50" s="16" t="n"/>
      <c r="BD50" s="139" t="n"/>
      <c r="BE50" s="16">
        <f>(BA50+BC50)</f>
        <v/>
      </c>
    </row>
    <row r="51" ht="22.5" customFormat="1" customHeight="1" s="8">
      <c r="A51" s="9" t="n"/>
      <c r="B51" s="136" t="inlineStr">
        <is>
          <t>트랜스</t>
        </is>
      </c>
      <c r="C51" s="137" t="inlineStr">
        <is>
          <t>ADX6000</t>
        </is>
      </c>
      <c r="D51" s="65" t="inlineStr">
        <is>
          <t>트랜스포머 (800턴)</t>
        </is>
      </c>
      <c r="E51" s="11" t="inlineStr">
        <is>
          <t>80kV</t>
        </is>
      </c>
      <c r="F51" s="99" t="n"/>
      <c r="G51" s="9" t="n"/>
      <c r="H51" s="9" t="inlineStr">
        <is>
          <t>미래메디칼</t>
        </is>
      </c>
      <c r="I51" s="14" t="n"/>
      <c r="J51" s="14" t="n"/>
      <c r="K51" s="12" t="n">
        <v>100</v>
      </c>
      <c r="L51" s="9" t="n"/>
      <c r="M51" s="9" t="n"/>
      <c r="N51" s="9" t="n"/>
      <c r="O51" s="40">
        <f>K51+V51-AE51-AZ51</f>
        <v/>
      </c>
      <c r="P51" s="12" t="n"/>
      <c r="Q51" s="138" t="n"/>
      <c r="R51" s="16" t="n"/>
      <c r="S51" s="139" t="n"/>
      <c r="T51" s="16" t="n"/>
      <c r="U51" s="139" t="n"/>
      <c r="V51" s="16">
        <f>P51+R51+T51</f>
        <v/>
      </c>
      <c r="W51" s="16" t="n"/>
      <c r="X51" s="139" t="n"/>
      <c r="Y51" s="16" t="n"/>
      <c r="Z51" s="139" t="n"/>
      <c r="AA51" s="16" t="n"/>
      <c r="AB51" s="139" t="n"/>
      <c r="AC51" s="16" t="n"/>
      <c r="AD51" s="139" t="n"/>
      <c r="AE51" s="16">
        <f>(W51+Y51+AA51+AC51)</f>
        <v/>
      </c>
      <c r="AF51" s="16" t="n"/>
      <c r="AG51" s="138" t="n"/>
      <c r="AH51" s="16" t="n"/>
      <c r="AI51" s="138" t="n"/>
      <c r="AJ51" s="16" t="n"/>
      <c r="AK51" s="138" t="n"/>
      <c r="AL51" s="16" t="n"/>
      <c r="AM51" s="138" t="n"/>
      <c r="AN51" s="16" t="n"/>
      <c r="AO51" s="138" t="n"/>
      <c r="AP51" s="16" t="n"/>
      <c r="AQ51" s="138" t="n"/>
      <c r="AR51" s="16" t="n"/>
      <c r="AS51" s="138" t="n"/>
      <c r="AT51" s="16" t="n"/>
      <c r="AU51" s="138" t="n"/>
      <c r="AV51" s="16" t="n"/>
      <c r="AW51" s="138" t="n"/>
      <c r="AX51" s="16" t="n"/>
      <c r="AY51" s="138" t="n"/>
      <c r="AZ51" s="16">
        <f>AF51+AH51+AJ51+AL51+AN51+AP51+AR51+AT51+AV51+AX51</f>
        <v/>
      </c>
      <c r="BA51" s="16" t="n"/>
      <c r="BB51" s="139" t="n"/>
      <c r="BC51" s="16" t="n"/>
      <c r="BD51" s="139" t="n"/>
      <c r="BE51" s="16">
        <f>(BA51+BC51)</f>
        <v/>
      </c>
    </row>
    <row r="52" ht="22.5" customFormat="1" customHeight="1" s="8">
      <c r="A52" s="9" t="n"/>
      <c r="B52" s="136" t="inlineStr">
        <is>
          <t>트랜스</t>
        </is>
      </c>
      <c r="C52" s="137" t="inlineStr">
        <is>
          <t>SOLO</t>
        </is>
      </c>
      <c r="D52" s="65" t="inlineStr">
        <is>
          <t>트랜스포머</t>
        </is>
      </c>
      <c r="E52" s="11" t="inlineStr">
        <is>
          <t>70kV</t>
        </is>
      </c>
      <c r="F52" s="99" t="n"/>
      <c r="G52" s="9" t="n"/>
      <c r="H52" s="9" t="inlineStr">
        <is>
          <t>미래메디칼</t>
        </is>
      </c>
      <c r="I52" s="14" t="n"/>
      <c r="J52" s="14" t="n"/>
      <c r="K52" s="12" t="n">
        <v>100</v>
      </c>
      <c r="L52" s="9" t="n"/>
      <c r="M52" s="9" t="n"/>
      <c r="N52" s="9" t="n"/>
      <c r="O52" s="40">
        <f>K52+V52-AE52-AZ52</f>
        <v/>
      </c>
      <c r="P52" s="12" t="n"/>
      <c r="Q52" s="138" t="n"/>
      <c r="R52" s="16" t="n"/>
      <c r="S52" s="139" t="n"/>
      <c r="T52" s="16" t="n"/>
      <c r="U52" s="139" t="n"/>
      <c r="V52" s="16">
        <f>P52+R52+T52</f>
        <v/>
      </c>
      <c r="W52" s="16" t="n"/>
      <c r="X52" s="139" t="n"/>
      <c r="Y52" s="16" t="n"/>
      <c r="Z52" s="139" t="n"/>
      <c r="AA52" s="16" t="n"/>
      <c r="AB52" s="139" t="n"/>
      <c r="AC52" s="16" t="n"/>
      <c r="AD52" s="139" t="n"/>
      <c r="AE52" s="16">
        <f>(W52+Y52+AA52+AC52)</f>
        <v/>
      </c>
      <c r="AF52" s="16" t="n"/>
      <c r="AG52" s="138" t="n"/>
      <c r="AH52" s="16" t="n"/>
      <c r="AI52" s="138" t="n"/>
      <c r="AJ52" s="16" t="n"/>
      <c r="AK52" s="138" t="n"/>
      <c r="AL52" s="16" t="n"/>
      <c r="AM52" s="138" t="n"/>
      <c r="AN52" s="16" t="n"/>
      <c r="AO52" s="138" t="n"/>
      <c r="AP52" s="16" t="n"/>
      <c r="AQ52" s="138" t="n"/>
      <c r="AR52" s="16" t="n"/>
      <c r="AS52" s="138" t="n"/>
      <c r="AT52" s="16" t="n"/>
      <c r="AU52" s="138" t="n"/>
      <c r="AV52" s="16" t="n"/>
      <c r="AW52" s="138" t="n"/>
      <c r="AX52" s="16" t="n"/>
      <c r="AY52" s="138" t="n"/>
      <c r="AZ52" s="16" t="n"/>
      <c r="BA52" s="16" t="n"/>
      <c r="BB52" s="139" t="n"/>
      <c r="BC52" s="16" t="n"/>
      <c r="BD52" s="139" t="n"/>
      <c r="BE52" s="16" t="n"/>
    </row>
    <row r="53" ht="22.5" customFormat="1" customHeight="1" s="8">
      <c r="A53" s="9" t="n"/>
      <c r="B53" s="136" t="inlineStr">
        <is>
          <t>CORE</t>
        </is>
      </c>
      <c r="C53" s="137" t="inlineStr">
        <is>
          <t>DX3000, ADX4000W ADX6000</t>
        </is>
      </c>
      <c r="D53" s="65" t="inlineStr">
        <is>
          <t>T 코어 (히터트랜스용)</t>
        </is>
      </c>
      <c r="E53" s="11" t="inlineStr">
        <is>
          <t>T31 X 8 X 19E</t>
        </is>
      </c>
      <c r="F53" s="99" t="n"/>
      <c r="G53" s="9" t="n"/>
      <c r="H53" s="9" t="inlineStr">
        <is>
          <t>대영파츠넷</t>
        </is>
      </c>
      <c r="I53" s="14" t="n"/>
      <c r="J53" s="14" t="n"/>
      <c r="K53" s="12" t="n"/>
      <c r="L53" s="9" t="n"/>
      <c r="M53" s="9" t="n"/>
      <c r="N53" s="9" t="n"/>
      <c r="O53" s="40">
        <f>K53+V53-AE53-AZ53</f>
        <v/>
      </c>
      <c r="P53" s="12" t="n"/>
      <c r="Q53" s="138" t="n"/>
      <c r="R53" s="16" t="n"/>
      <c r="S53" s="139" t="n"/>
      <c r="T53" s="16" t="n"/>
      <c r="U53" s="139" t="n"/>
      <c r="V53" s="16">
        <f>P53+R53+T53</f>
        <v/>
      </c>
      <c r="W53" s="16" t="n"/>
      <c r="X53" s="139" t="n"/>
      <c r="Y53" s="16" t="n"/>
      <c r="Z53" s="139" t="n"/>
      <c r="AA53" s="16" t="n"/>
      <c r="AB53" s="139" t="n"/>
      <c r="AC53" s="16" t="n"/>
      <c r="AD53" s="139" t="n"/>
      <c r="AE53" s="16">
        <f>(W53+Y53+AA53+AC53)</f>
        <v/>
      </c>
      <c r="AF53" s="16" t="n"/>
      <c r="AG53" s="138" t="n"/>
      <c r="AH53" s="16" t="n"/>
      <c r="AI53" s="138" t="n"/>
      <c r="AJ53" s="16" t="n"/>
      <c r="AK53" s="138" t="n"/>
      <c r="AL53" s="16" t="n"/>
      <c r="AM53" s="138" t="n"/>
      <c r="AN53" s="16" t="n"/>
      <c r="AO53" s="138" t="n"/>
      <c r="AP53" s="16" t="n"/>
      <c r="AQ53" s="138" t="n"/>
      <c r="AR53" s="16" t="n"/>
      <c r="AS53" s="138" t="n"/>
      <c r="AT53" s="16" t="n"/>
      <c r="AU53" s="138" t="n"/>
      <c r="AV53" s="16" t="n"/>
      <c r="AW53" s="138" t="n"/>
      <c r="AX53" s="16" t="n"/>
      <c r="AY53" s="138" t="n"/>
      <c r="AZ53" s="16">
        <f>AF53+AH53+AJ53+AL53+AN53+AP53+AR53+AT53+AV53+AX53</f>
        <v/>
      </c>
      <c r="BA53" s="16" t="n"/>
      <c r="BB53" s="139" t="n"/>
      <c r="BC53" s="16" t="n"/>
      <c r="BD53" s="139" t="n"/>
      <c r="BE53" s="16">
        <f>(BA53+BC53)</f>
        <v/>
      </c>
    </row>
    <row r="54" ht="22.5" customFormat="1" customHeight="1" s="8">
      <c r="A54" s="9" t="n"/>
      <c r="B54" s="136" t="inlineStr">
        <is>
          <t>CORE</t>
        </is>
      </c>
      <c r="C54" s="137" t="inlineStr">
        <is>
          <t>SOLO</t>
        </is>
      </c>
      <c r="D54" s="65" t="inlineStr">
        <is>
          <t>T 코어 (히터트랜스용)</t>
        </is>
      </c>
      <c r="E54" s="11" t="inlineStr">
        <is>
          <t>TR22-14-6.5</t>
        </is>
      </c>
      <c r="F54" s="99" t="n"/>
      <c r="G54" s="9" t="n"/>
      <c r="H54" s="9" t="inlineStr">
        <is>
          <t>DCT,HLP</t>
        </is>
      </c>
      <c r="I54" s="14" t="n"/>
      <c r="J54" s="14" t="n"/>
      <c r="K54" s="12" t="n"/>
      <c r="L54" s="9" t="n"/>
      <c r="M54" s="9" t="n"/>
      <c r="N54" s="9" t="n"/>
      <c r="O54" s="40">
        <f>K54+V54-AE54-AZ54</f>
        <v/>
      </c>
      <c r="P54" s="12" t="n"/>
      <c r="Q54" s="138" t="n"/>
      <c r="R54" s="16" t="n"/>
      <c r="S54" s="139" t="n"/>
      <c r="T54" s="16" t="n"/>
      <c r="U54" s="139" t="n"/>
      <c r="V54" s="16">
        <f>P54+R54+T54</f>
        <v/>
      </c>
      <c r="W54" s="16" t="n"/>
      <c r="X54" s="139" t="n"/>
      <c r="Y54" s="16" t="n"/>
      <c r="Z54" s="139" t="n"/>
      <c r="AA54" s="16" t="n"/>
      <c r="AB54" s="139" t="n"/>
      <c r="AC54" s="16" t="n"/>
      <c r="AD54" s="139" t="n"/>
      <c r="AE54" s="16">
        <f>(W54+Y54+AA54+AC54)</f>
        <v/>
      </c>
      <c r="AF54" s="16" t="n"/>
      <c r="AG54" s="138" t="n"/>
      <c r="AH54" s="16" t="n"/>
      <c r="AI54" s="138" t="n"/>
      <c r="AJ54" s="16" t="n"/>
      <c r="AK54" s="138" t="n"/>
      <c r="AL54" s="16" t="n"/>
      <c r="AM54" s="138" t="n"/>
      <c r="AN54" s="16" t="n"/>
      <c r="AO54" s="138" t="n"/>
      <c r="AP54" s="16" t="n"/>
      <c r="AQ54" s="138" t="n"/>
      <c r="AR54" s="16" t="n"/>
      <c r="AS54" s="138" t="n"/>
      <c r="AT54" s="16" t="n"/>
      <c r="AU54" s="138" t="n"/>
      <c r="AV54" s="16" t="n"/>
      <c r="AW54" s="138" t="n"/>
      <c r="AX54" s="16" t="n"/>
      <c r="AY54" s="138" t="n"/>
      <c r="AZ54" s="16">
        <f>AF54+AH54+AJ54+AL54+AN54+AP54+AR54+AT54+AV54+AX54</f>
        <v/>
      </c>
      <c r="BA54" s="16" t="n"/>
      <c r="BB54" s="139" t="n"/>
      <c r="BC54" s="16" t="n"/>
      <c r="BD54" s="139" t="n"/>
      <c r="BE54" s="16">
        <f>(BA54+BC54)</f>
        <v/>
      </c>
    </row>
    <row r="55" ht="22.5" customFormat="1" customHeight="1" s="8">
      <c r="A55" s="9" t="n"/>
      <c r="B55" s="136" t="inlineStr">
        <is>
          <t>CORE</t>
        </is>
      </c>
      <c r="C55" s="137" t="inlineStr">
        <is>
          <t>ADX6000</t>
        </is>
      </c>
      <c r="D55" s="65" t="inlineStr">
        <is>
          <t>센더스트 코어</t>
        </is>
      </c>
      <c r="E55" s="11" t="inlineStr">
        <is>
          <t>CS234060</t>
        </is>
      </c>
      <c r="F55" s="99" t="n"/>
      <c r="G55" s="9" t="n"/>
      <c r="H55" s="9" t="inlineStr">
        <is>
          <t>도일코리아</t>
        </is>
      </c>
      <c r="I55" s="14" t="n"/>
      <c r="J55" s="14" t="n"/>
      <c r="K55" s="12" t="n">
        <v>248</v>
      </c>
      <c r="L55" s="9" t="n"/>
      <c r="M55" s="9" t="n"/>
      <c r="N55" s="9" t="n"/>
      <c r="O55" s="40">
        <f>K55+V55-AE55-AZ55</f>
        <v/>
      </c>
      <c r="P55" s="12" t="n"/>
      <c r="Q55" s="138" t="n"/>
      <c r="R55" s="16" t="n"/>
      <c r="S55" s="139" t="n"/>
      <c r="T55" s="16" t="n"/>
      <c r="U55" s="139" t="n"/>
      <c r="V55" s="16">
        <f>P55+R55+T55</f>
        <v/>
      </c>
      <c r="W55" s="16" t="n"/>
      <c r="X55" s="139" t="n"/>
      <c r="Y55" s="16" t="n"/>
      <c r="Z55" s="139" t="n"/>
      <c r="AA55" s="16" t="n"/>
      <c r="AB55" s="139" t="n"/>
      <c r="AC55" s="16" t="n"/>
      <c r="AD55" s="139" t="n"/>
      <c r="AE55" s="16">
        <f>(W55+Y55+AA55+AC55)</f>
        <v/>
      </c>
      <c r="AF55" s="16" t="n"/>
      <c r="AG55" s="138" t="n"/>
      <c r="AH55" s="16" t="n"/>
      <c r="AI55" s="138" t="n"/>
      <c r="AJ55" s="16" t="n"/>
      <c r="AK55" s="138" t="n"/>
      <c r="AL55" s="16" t="n"/>
      <c r="AM55" s="138" t="n"/>
      <c r="AN55" s="16" t="n"/>
      <c r="AO55" s="138" t="n"/>
      <c r="AP55" s="16" t="n"/>
      <c r="AQ55" s="138" t="n"/>
      <c r="AR55" s="16" t="n"/>
      <c r="AS55" s="138" t="n"/>
      <c r="AT55" s="16" t="n"/>
      <c r="AU55" s="138" t="n"/>
      <c r="AV55" s="16" t="n"/>
      <c r="AW55" s="138" t="n"/>
      <c r="AX55" s="16" t="n"/>
      <c r="AY55" s="138" t="n"/>
      <c r="AZ55" s="16">
        <f>AF55+AH55+AJ55+AL55+AN55+AP55+AR55+AT55+AV55+AX55</f>
        <v/>
      </c>
      <c r="BA55" s="16" t="n"/>
      <c r="BB55" s="139" t="n"/>
      <c r="BC55" s="16" t="n"/>
      <c r="BD55" s="139" t="n"/>
      <c r="BE55" s="16">
        <f>(BA55+BC55)</f>
        <v/>
      </c>
    </row>
    <row r="56" ht="22.5" customFormat="1" customHeight="1" s="8">
      <c r="A56" s="9" t="n"/>
      <c r="B56" s="136" t="inlineStr">
        <is>
          <t>CABLE</t>
        </is>
      </c>
      <c r="C56" s="137" t="inlineStr">
        <is>
          <t>DX3000, ADX4000W ADX6000</t>
        </is>
      </c>
      <c r="D56" s="65" t="inlineStr">
        <is>
          <t>TIW 권선 (히터트랜스용 선)</t>
        </is>
      </c>
      <c r="E56" s="11" t="inlineStr">
        <is>
          <t>(외경)0.7mm (내경)0.5mm, 4000m</t>
        </is>
      </c>
      <c r="F56" s="99" t="n"/>
      <c r="G56" s="9" t="n"/>
      <c r="H56" s="9" t="inlineStr">
        <is>
          <t>승리케이블</t>
        </is>
      </c>
      <c r="I56" s="14" t="n"/>
      <c r="J56" s="14" t="n"/>
      <c r="K56" s="12" t="n">
        <v>1</v>
      </c>
      <c r="L56" s="9" t="n"/>
      <c r="M56" s="9" t="n"/>
      <c r="N56" s="9" t="n"/>
      <c r="O56" s="40">
        <f>K56+V56-AE56-AZ56</f>
        <v/>
      </c>
      <c r="P56" s="12" t="n"/>
      <c r="Q56" s="138" t="n"/>
      <c r="R56" s="16" t="n"/>
      <c r="S56" s="139" t="n"/>
      <c r="T56" s="16" t="n"/>
      <c r="U56" s="139" t="n"/>
      <c r="V56" s="16">
        <f>P56+R56+T56</f>
        <v/>
      </c>
      <c r="W56" s="16" t="n"/>
      <c r="X56" s="139" t="n"/>
      <c r="Y56" s="16" t="n"/>
      <c r="Z56" s="139" t="n"/>
      <c r="AA56" s="16" t="n"/>
      <c r="AB56" s="139" t="n"/>
      <c r="AC56" s="16" t="n"/>
      <c r="AD56" s="139" t="n"/>
      <c r="AE56" s="16">
        <f>(W56+Y56+AA56+AC56)</f>
        <v/>
      </c>
      <c r="AF56" s="16" t="n"/>
      <c r="AG56" s="138" t="n"/>
      <c r="AH56" s="16" t="n"/>
      <c r="AI56" s="138" t="n"/>
      <c r="AJ56" s="16" t="n"/>
      <c r="AK56" s="138" t="n"/>
      <c r="AL56" s="16" t="n"/>
      <c r="AM56" s="138" t="n"/>
      <c r="AN56" s="16" t="n"/>
      <c r="AO56" s="138" t="n"/>
      <c r="AP56" s="16" t="n"/>
      <c r="AQ56" s="138" t="n"/>
      <c r="AR56" s="16" t="n"/>
      <c r="AS56" s="138" t="n"/>
      <c r="AT56" s="16" t="n"/>
      <c r="AU56" s="138" t="n"/>
      <c r="AV56" s="16" t="n"/>
      <c r="AW56" s="138" t="n"/>
      <c r="AX56" s="16" t="n"/>
      <c r="AY56" s="138" t="n"/>
      <c r="AZ56" s="16">
        <f>AF56+AH56+AJ56+AL56+AN56+AP56+AR56+AT56+AV56+AX56</f>
        <v/>
      </c>
      <c r="BA56" s="16" t="n"/>
      <c r="BB56" s="139" t="n"/>
      <c r="BC56" s="16" t="n"/>
      <c r="BD56" s="139" t="n"/>
      <c r="BE56" s="16">
        <f>(BA56+BC56)</f>
        <v/>
      </c>
    </row>
    <row r="57" ht="22.5" customFormat="1" customHeight="1" s="8">
      <c r="A57" s="9" t="n"/>
      <c r="B57" s="136" t="inlineStr">
        <is>
          <t>CABLE</t>
        </is>
      </c>
      <c r="C57" s="137" t="inlineStr">
        <is>
          <t>DX3000, ADX4000W ADX6000</t>
        </is>
      </c>
      <c r="D57" s="65" t="inlineStr">
        <is>
          <t>히터트랜스용 고압선(적색)</t>
        </is>
      </c>
      <c r="E57" s="11" t="inlineStr">
        <is>
          <t>40KVDC 22AWG</t>
        </is>
      </c>
      <c r="F57" s="99" t="n"/>
      <c r="G57" s="9" t="n"/>
      <c r="H57" s="9" t="inlineStr">
        <is>
          <t>HLP</t>
        </is>
      </c>
      <c r="I57" s="14" t="n"/>
      <c r="J57" s="14" t="n"/>
      <c r="K57" s="12" t="n">
        <v>1</v>
      </c>
      <c r="L57" s="9" t="n"/>
      <c r="M57" s="9" t="n"/>
      <c r="N57" s="9" t="n"/>
      <c r="O57" s="40">
        <f>K57+V57-AE57-AZ57</f>
        <v/>
      </c>
      <c r="P57" s="12" t="n"/>
      <c r="Q57" s="138" t="n"/>
      <c r="R57" s="16" t="n"/>
      <c r="S57" s="139" t="n"/>
      <c r="T57" s="16" t="n"/>
      <c r="U57" s="139" t="n"/>
      <c r="V57" s="16">
        <f>P57+R57+T57</f>
        <v/>
      </c>
      <c r="W57" s="16" t="n"/>
      <c r="X57" s="139" t="n"/>
      <c r="Y57" s="16" t="n"/>
      <c r="Z57" s="139" t="n"/>
      <c r="AA57" s="16" t="n"/>
      <c r="AB57" s="139" t="n"/>
      <c r="AC57" s="16" t="n"/>
      <c r="AD57" s="139" t="n"/>
      <c r="AE57" s="16">
        <f>(W57+Y57+AA57+AC57)</f>
        <v/>
      </c>
      <c r="AF57" s="16" t="n"/>
      <c r="AG57" s="138" t="n"/>
      <c r="AH57" s="16" t="n"/>
      <c r="AI57" s="138" t="n"/>
      <c r="AJ57" s="16" t="n"/>
      <c r="AK57" s="138" t="n"/>
      <c r="AL57" s="16" t="n"/>
      <c r="AM57" s="138" t="n"/>
      <c r="AN57" s="16" t="n"/>
      <c r="AO57" s="138" t="n"/>
      <c r="AP57" s="16" t="n"/>
      <c r="AQ57" s="138" t="n"/>
      <c r="AR57" s="16" t="n"/>
      <c r="AS57" s="138" t="n"/>
      <c r="AT57" s="16" t="n"/>
      <c r="AU57" s="138" t="n"/>
      <c r="AV57" s="16" t="n"/>
      <c r="AW57" s="138" t="n"/>
      <c r="AX57" s="16" t="n"/>
      <c r="AY57" s="138" t="n"/>
      <c r="AZ57" s="16">
        <f>AF57+AH57+AJ57+AL57+AN57+AP57+AR57+AT57+AV57+AX57</f>
        <v/>
      </c>
      <c r="BA57" s="16" t="n"/>
      <c r="BB57" s="139" t="n"/>
      <c r="BC57" s="16" t="n"/>
      <c r="BD57" s="139" t="n"/>
      <c r="BE57" s="16">
        <f>(BA57+BC57)</f>
        <v/>
      </c>
    </row>
    <row r="58" ht="22.5" customFormat="1" customHeight="1" s="8">
      <c r="A58" s="9" t="n"/>
      <c r="B58" s="136" t="inlineStr">
        <is>
          <t>CABLE</t>
        </is>
      </c>
      <c r="C58" s="137" t="inlineStr">
        <is>
          <t>SOLO</t>
        </is>
      </c>
      <c r="D58" s="65" t="inlineStr">
        <is>
          <t>히터트랜스용 고압선(흰색)</t>
        </is>
      </c>
      <c r="E58" s="11" t="inlineStr">
        <is>
          <t>DSI HV CABLE 2178</t>
        </is>
      </c>
      <c r="F58" s="99" t="n"/>
      <c r="G58" s="9" t="n"/>
      <c r="H58" s="9" t="inlineStr">
        <is>
          <t>BGT</t>
        </is>
      </c>
      <c r="I58" s="14" t="n"/>
      <c r="J58" s="14" t="n"/>
      <c r="K58" s="12" t="n"/>
      <c r="L58" s="9" t="n"/>
      <c r="M58" s="9" t="n"/>
      <c r="N58" s="9" t="n"/>
      <c r="O58" s="40">
        <f>K58+V58-AE58-AZ58</f>
        <v/>
      </c>
      <c r="P58" s="12" t="n"/>
      <c r="Q58" s="138" t="n"/>
      <c r="R58" s="16" t="n"/>
      <c r="S58" s="139" t="n"/>
      <c r="T58" s="16" t="n"/>
      <c r="U58" s="139" t="n"/>
      <c r="V58" s="16">
        <f>P58+R58+T58</f>
        <v/>
      </c>
      <c r="W58" s="16" t="n"/>
      <c r="X58" s="139" t="n"/>
      <c r="Y58" s="16" t="n"/>
      <c r="Z58" s="139" t="n"/>
      <c r="AA58" s="16" t="n"/>
      <c r="AB58" s="139" t="n"/>
      <c r="AC58" s="16" t="n"/>
      <c r="AD58" s="139" t="n"/>
      <c r="AE58" s="16">
        <f>(W58+Y58+AA58+AC58)</f>
        <v/>
      </c>
      <c r="AF58" s="16" t="n"/>
      <c r="AG58" s="138" t="n"/>
      <c r="AH58" s="16" t="n"/>
      <c r="AI58" s="138" t="n"/>
      <c r="AJ58" s="16" t="n"/>
      <c r="AK58" s="138" t="n"/>
      <c r="AL58" s="16" t="n"/>
      <c r="AM58" s="138" t="n"/>
      <c r="AN58" s="16" t="n"/>
      <c r="AO58" s="138" t="n"/>
      <c r="AP58" s="16" t="n"/>
      <c r="AQ58" s="138" t="n"/>
      <c r="AR58" s="16" t="n"/>
      <c r="AS58" s="138" t="n"/>
      <c r="AT58" s="16" t="n"/>
      <c r="AU58" s="138" t="n"/>
      <c r="AV58" s="16" t="n"/>
      <c r="AW58" s="138" t="n"/>
      <c r="AX58" s="16" t="n"/>
      <c r="AY58" s="138" t="n"/>
      <c r="AZ58" s="16">
        <f>AF58+AH58+AJ58+AL58+AN58+AP58+AR58+AT58+AV58+AX58</f>
        <v/>
      </c>
      <c r="BA58" s="16" t="n"/>
      <c r="BB58" s="139" t="n"/>
      <c r="BC58" s="16" t="n"/>
      <c r="BD58" s="139" t="n"/>
      <c r="BE58" s="16">
        <f>(BA58+BC58)</f>
        <v/>
      </c>
    </row>
    <row r="59" ht="22.5" customFormat="1" customHeight="1" s="8">
      <c r="A59" s="9" t="n"/>
      <c r="B59" s="136" t="inlineStr">
        <is>
          <t>BOARD</t>
        </is>
      </c>
      <c r="C59" s="137" t="inlineStr">
        <is>
          <t>DX3000, ADX4000W</t>
        </is>
      </c>
      <c r="D59" s="64" t="inlineStr">
        <is>
          <t>고압베어 B/D</t>
        </is>
      </c>
      <c r="E59" s="11" t="n"/>
      <c r="F59" s="99" t="n"/>
      <c r="G59" s="9" t="n"/>
      <c r="H59" s="9" t="inlineStr">
        <is>
          <t>한샘디지텍</t>
        </is>
      </c>
      <c r="I59" s="14" t="n"/>
      <c r="J59" s="14" t="n"/>
      <c r="K59" s="12" t="n"/>
      <c r="L59" s="9" t="n"/>
      <c r="M59" s="9" t="n"/>
      <c r="N59" s="9" t="n"/>
      <c r="O59" s="40">
        <f>K59+V59-AE59-AZ59</f>
        <v/>
      </c>
      <c r="P59" s="12" t="n"/>
      <c r="Q59" s="138" t="n"/>
      <c r="R59" s="16" t="n"/>
      <c r="S59" s="139" t="n"/>
      <c r="T59" s="16" t="n"/>
      <c r="U59" s="139" t="n"/>
      <c r="V59" s="16">
        <f>P59+R59+T59</f>
        <v/>
      </c>
      <c r="W59" s="16" t="n"/>
      <c r="X59" s="139" t="n"/>
      <c r="Y59" s="16" t="n"/>
      <c r="Z59" s="139" t="n"/>
      <c r="AA59" s="16" t="n"/>
      <c r="AB59" s="139" t="n"/>
      <c r="AC59" s="16" t="n"/>
      <c r="AD59" s="139" t="n"/>
      <c r="AE59" s="16">
        <f>(W59+Y59+AA59+AC59)</f>
        <v/>
      </c>
      <c r="AF59" s="16" t="n"/>
      <c r="AG59" s="138" t="n"/>
      <c r="AH59" s="16" t="n"/>
      <c r="AI59" s="138" t="n"/>
      <c r="AJ59" s="16" t="n"/>
      <c r="AK59" s="138" t="n"/>
      <c r="AL59" s="16" t="n"/>
      <c r="AM59" s="138" t="n"/>
      <c r="AN59" s="16" t="n"/>
      <c r="AO59" s="138" t="n"/>
      <c r="AP59" s="16" t="n"/>
      <c r="AQ59" s="138" t="n"/>
      <c r="AR59" s="16" t="n"/>
      <c r="AS59" s="138" t="n"/>
      <c r="AT59" s="16" t="n"/>
      <c r="AU59" s="138" t="n"/>
      <c r="AV59" s="16" t="n"/>
      <c r="AW59" s="138" t="n"/>
      <c r="AX59" s="16" t="n"/>
      <c r="AY59" s="138" t="n"/>
      <c r="AZ59" s="16">
        <f>AF59+AH59+AJ59+AL59+AN59+AP59+AR59+AT59+AV59+AX59</f>
        <v/>
      </c>
      <c r="BA59" s="16" t="n"/>
      <c r="BB59" s="139" t="n"/>
      <c r="BC59" s="16" t="n"/>
      <c r="BD59" s="139" t="n"/>
      <c r="BE59" s="16">
        <f>(BA59+BC59)</f>
        <v/>
      </c>
    </row>
    <row r="60" ht="22.5" customFormat="1" customHeight="1" s="8">
      <c r="A60" s="9" t="n"/>
      <c r="B60" s="136" t="inlineStr">
        <is>
          <t>BOARD</t>
        </is>
      </c>
      <c r="C60" s="137" t="inlineStr">
        <is>
          <t>DX3000</t>
        </is>
      </c>
      <c r="D60" s="67" t="inlineStr">
        <is>
          <t>고압베어 B/D - TFT</t>
        </is>
      </c>
      <c r="E60" s="11" t="inlineStr">
        <is>
          <t>70kV, 3mA (VER. 1.0.1)</t>
        </is>
      </c>
      <c r="F60" s="99" t="n"/>
      <c r="G60" s="9" t="n"/>
      <c r="H60" s="9" t="inlineStr">
        <is>
          <t>HLP</t>
        </is>
      </c>
      <c r="I60" s="14" t="n"/>
      <c r="J60" s="14" t="n"/>
      <c r="K60" s="12" t="n">
        <v>176</v>
      </c>
      <c r="L60" s="9" t="n"/>
      <c r="M60" s="9" t="n"/>
      <c r="N60" s="9" t="n"/>
      <c r="O60" s="40">
        <f>K60+V60-AE60-AZ60</f>
        <v/>
      </c>
      <c r="P60" s="12" t="n"/>
      <c r="Q60" s="138" t="n"/>
      <c r="R60" s="16" t="n"/>
      <c r="S60" s="139" t="n"/>
      <c r="T60" s="16" t="n"/>
      <c r="U60" s="139" t="n"/>
      <c r="V60" s="16">
        <f>P60+R60+T60</f>
        <v/>
      </c>
      <c r="W60" s="16" t="n"/>
      <c r="X60" s="139" t="n"/>
      <c r="Y60" s="16" t="n"/>
      <c r="Z60" s="139" t="n"/>
      <c r="AA60" s="16" t="n"/>
      <c r="AB60" s="139" t="n"/>
      <c r="AC60" s="16" t="n"/>
      <c r="AD60" s="139" t="n"/>
      <c r="AE60" s="16">
        <f>(W60+Y60+AA60+AC60)</f>
        <v/>
      </c>
      <c r="AF60" s="16" t="n"/>
      <c r="AG60" s="138" t="n"/>
      <c r="AH60" s="16" t="n"/>
      <c r="AI60" s="138" t="n"/>
      <c r="AJ60" s="16" t="n"/>
      <c r="AK60" s="138" t="n"/>
      <c r="AL60" s="16" t="n"/>
      <c r="AM60" s="138" t="n"/>
      <c r="AN60" s="16" t="n"/>
      <c r="AO60" s="138" t="n"/>
      <c r="AP60" s="16" t="n"/>
      <c r="AQ60" s="138" t="n"/>
      <c r="AR60" s="16" t="n"/>
      <c r="AS60" s="138" t="n"/>
      <c r="AT60" s="16" t="n"/>
      <c r="AU60" s="138" t="n"/>
      <c r="AV60" s="16" t="n"/>
      <c r="AW60" s="138" t="n"/>
      <c r="AX60" s="16" t="n"/>
      <c r="AY60" s="138" t="n"/>
      <c r="AZ60" s="16">
        <f>AF60+AH60+AJ60+AL60+AN60+AP60+AR60+AT60+AV60+AX60</f>
        <v/>
      </c>
      <c r="BA60" s="16" t="n"/>
      <c r="BB60" s="139" t="n"/>
      <c r="BC60" s="16" t="n"/>
      <c r="BD60" s="139" t="n"/>
      <c r="BE60" s="16">
        <f>(BA60+BC60)</f>
        <v/>
      </c>
    </row>
    <row r="61" ht="22.5" customFormat="1" customHeight="1" s="8">
      <c r="A61" s="9" t="n"/>
      <c r="B61" s="136" t="inlineStr">
        <is>
          <t>BOARD</t>
        </is>
      </c>
      <c r="C61" s="137" t="inlineStr">
        <is>
          <t>COCOON</t>
        </is>
      </c>
      <c r="D61" s="64" t="inlineStr">
        <is>
          <t>고압베어 B/D</t>
        </is>
      </c>
      <c r="E61" s="11" t="inlineStr">
        <is>
          <t xml:space="preserve">구형 </t>
        </is>
      </c>
      <c r="F61" s="99" t="n"/>
      <c r="G61" s="9" t="n"/>
      <c r="H61" s="9" t="inlineStr">
        <is>
          <t>한샘디지텍</t>
        </is>
      </c>
      <c r="I61" s="14" t="n"/>
      <c r="J61" s="14" t="n"/>
      <c r="K61" s="12" t="n"/>
      <c r="L61" s="9" t="n"/>
      <c r="M61" s="9" t="n"/>
      <c r="N61" s="9" t="n"/>
      <c r="O61" s="40">
        <f>K61+V61-AE61-AZ61</f>
        <v/>
      </c>
      <c r="P61" s="12" t="n"/>
      <c r="Q61" s="138" t="n"/>
      <c r="R61" s="16" t="n"/>
      <c r="S61" s="139" t="n"/>
      <c r="T61" s="16" t="n"/>
      <c r="U61" s="139" t="n"/>
      <c r="V61" s="16">
        <f>P61+R61+T61</f>
        <v/>
      </c>
      <c r="W61" s="16" t="n"/>
      <c r="X61" s="139" t="n"/>
      <c r="Y61" s="16" t="n"/>
      <c r="Z61" s="139" t="n"/>
      <c r="AA61" s="16" t="n"/>
      <c r="AB61" s="139" t="n"/>
      <c r="AC61" s="16" t="n"/>
      <c r="AD61" s="139" t="n"/>
      <c r="AE61" s="16">
        <f>(W61+Y61+AA61+AC61)</f>
        <v/>
      </c>
      <c r="AF61" s="16" t="n"/>
      <c r="AG61" s="138" t="n"/>
      <c r="AH61" s="16" t="n"/>
      <c r="AI61" s="138" t="n"/>
      <c r="AJ61" s="16" t="n"/>
      <c r="AK61" s="138" t="n"/>
      <c r="AL61" s="16" t="n"/>
      <c r="AM61" s="138" t="n"/>
      <c r="AN61" s="16" t="n"/>
      <c r="AO61" s="138" t="n"/>
      <c r="AP61" s="16" t="n"/>
      <c r="AQ61" s="138" t="n"/>
      <c r="AR61" s="16" t="n"/>
      <c r="AS61" s="138" t="n"/>
      <c r="AT61" s="16" t="n"/>
      <c r="AU61" s="138" t="n"/>
      <c r="AV61" s="16" t="n"/>
      <c r="AW61" s="138" t="n"/>
      <c r="AX61" s="16" t="n"/>
      <c r="AY61" s="138" t="n"/>
      <c r="AZ61" s="16">
        <f>AF61+AH61+AJ61+AL61+AN61+AP61+AR61+AT61+AV61+AX61</f>
        <v/>
      </c>
      <c r="BA61" s="16" t="n"/>
      <c r="BB61" s="139" t="n"/>
      <c r="BC61" s="16" t="n"/>
      <c r="BD61" s="139" t="n"/>
      <c r="BE61" s="16">
        <f>(BA61+BC61)</f>
        <v/>
      </c>
    </row>
    <row r="62" ht="22.5" customFormat="1" customHeight="1" s="8">
      <c r="A62" s="9" t="n"/>
      <c r="B62" s="136" t="inlineStr">
        <is>
          <t>BOARD</t>
        </is>
      </c>
      <c r="C62" s="137" t="inlineStr">
        <is>
          <t>COCOON</t>
        </is>
      </c>
      <c r="D62" s="64" t="inlineStr">
        <is>
          <t>고압베어 B/D</t>
        </is>
      </c>
      <c r="E62" s="11" t="inlineStr">
        <is>
          <t>신형 (VER. 2.12)</t>
        </is>
      </c>
      <c r="F62" s="99" t="n"/>
      <c r="G62" s="9" t="n"/>
      <c r="H62" s="9" t="inlineStr">
        <is>
          <t>한샘디지텍</t>
        </is>
      </c>
      <c r="I62" s="14" t="n"/>
      <c r="J62" s="14" t="n"/>
      <c r="K62" s="12" t="n">
        <v>1300</v>
      </c>
      <c r="L62" s="9" t="n"/>
      <c r="M62" s="9" t="n"/>
      <c r="N62" s="9" t="n"/>
      <c r="O62" s="40">
        <f>K62+V62-AE62-AZ62</f>
        <v/>
      </c>
      <c r="P62" s="12" t="n"/>
      <c r="Q62" s="138" t="n"/>
      <c r="R62" s="16" t="n"/>
      <c r="S62" s="139" t="n"/>
      <c r="T62" s="16" t="n"/>
      <c r="U62" s="139" t="n"/>
      <c r="V62" s="16">
        <f>P62+R62+T62</f>
        <v/>
      </c>
      <c r="W62" s="16" t="n"/>
      <c r="X62" s="139" t="n"/>
      <c r="Y62" s="16" t="n"/>
      <c r="Z62" s="139" t="n"/>
      <c r="AA62" s="16" t="n"/>
      <c r="AB62" s="139" t="n"/>
      <c r="AC62" s="16" t="n"/>
      <c r="AD62" s="139" t="n"/>
      <c r="AE62" s="16">
        <f>(W62+Y62+AA62+AC62)</f>
        <v/>
      </c>
      <c r="AF62" s="16" t="n"/>
      <c r="AG62" s="138" t="n"/>
      <c r="AH62" s="16" t="n"/>
      <c r="AI62" s="138" t="n"/>
      <c r="AJ62" s="16" t="n"/>
      <c r="AK62" s="138" t="n"/>
      <c r="AL62" s="16" t="n"/>
      <c r="AM62" s="138" t="n"/>
      <c r="AN62" s="16" t="n"/>
      <c r="AO62" s="138" t="n"/>
      <c r="AP62" s="16" t="n"/>
      <c r="AQ62" s="138" t="n"/>
      <c r="AR62" s="16" t="n"/>
      <c r="AS62" s="138" t="n"/>
      <c r="AT62" s="16" t="n"/>
      <c r="AU62" s="138" t="n"/>
      <c r="AV62" s="16" t="n"/>
      <c r="AW62" s="138" t="n"/>
      <c r="AX62" s="16" t="n"/>
      <c r="AY62" s="138" t="n"/>
      <c r="AZ62" s="16">
        <f>AF62+AH62+AJ62+AL62+AN62+AP62+AR62+AT62+AV62+AX62</f>
        <v/>
      </c>
      <c r="BA62" s="16" t="n"/>
      <c r="BB62" s="139" t="n"/>
      <c r="BC62" s="16" t="n"/>
      <c r="BD62" s="139" t="n"/>
      <c r="BE62" s="16">
        <f>(BA62+BC62)</f>
        <v/>
      </c>
    </row>
    <row r="63" ht="22.5" customFormat="1" customHeight="1" s="8">
      <c r="A63" s="9" t="n"/>
      <c r="B63" s="136" t="inlineStr">
        <is>
          <t>BOARD</t>
        </is>
      </c>
      <c r="C63" s="137" t="inlineStr">
        <is>
          <t>SOLO</t>
        </is>
      </c>
      <c r="D63" s="64" t="inlineStr">
        <is>
          <t>고압베어 B/D</t>
        </is>
      </c>
      <c r="E63" s="11" t="n"/>
      <c r="F63" s="99" t="n"/>
      <c r="G63" s="9" t="n"/>
      <c r="H63" s="9" t="inlineStr">
        <is>
          <t>HLP</t>
        </is>
      </c>
      <c r="I63" s="14" t="n"/>
      <c r="J63" s="14" t="n"/>
      <c r="K63" s="12" t="n"/>
      <c r="L63" s="9" t="n"/>
      <c r="M63" s="9" t="n"/>
      <c r="N63" s="9" t="n"/>
      <c r="O63" s="40">
        <f>K63+V63-AE63-AZ63</f>
        <v/>
      </c>
      <c r="P63" s="12" t="n"/>
      <c r="Q63" s="138" t="n"/>
      <c r="R63" s="16" t="n"/>
      <c r="S63" s="139" t="n"/>
      <c r="T63" s="16" t="n"/>
      <c r="U63" s="139" t="n"/>
      <c r="V63" s="16">
        <f>P63+R63+T63</f>
        <v/>
      </c>
      <c r="W63" s="16" t="n"/>
      <c r="X63" s="139" t="n"/>
      <c r="Y63" s="16" t="n"/>
      <c r="Z63" s="139" t="n"/>
      <c r="AA63" s="16" t="n"/>
      <c r="AB63" s="139" t="n"/>
      <c r="AC63" s="16" t="n"/>
      <c r="AD63" s="139" t="n"/>
      <c r="AE63" s="16">
        <f>(W63+Y63+AA63+AC63)</f>
        <v/>
      </c>
      <c r="AF63" s="16" t="n"/>
      <c r="AG63" s="138" t="n"/>
      <c r="AH63" s="16" t="n"/>
      <c r="AI63" s="138" t="n"/>
      <c r="AJ63" s="16" t="n"/>
      <c r="AK63" s="138" t="n"/>
      <c r="AL63" s="16" t="n"/>
      <c r="AM63" s="138" t="n"/>
      <c r="AN63" s="16" t="n"/>
      <c r="AO63" s="138" t="n"/>
      <c r="AP63" s="16" t="n"/>
      <c r="AQ63" s="138" t="n"/>
      <c r="AR63" s="16" t="n"/>
      <c r="AS63" s="138" t="n"/>
      <c r="AT63" s="16" t="n"/>
      <c r="AU63" s="138" t="n"/>
      <c r="AV63" s="16" t="n"/>
      <c r="AW63" s="138" t="n"/>
      <c r="AX63" s="16" t="n"/>
      <c r="AY63" s="138" t="n"/>
      <c r="AZ63" s="16">
        <f>AF63+AH63+AJ63+AL63+AN63+AP63+AR63+AT63+AV63+AX63</f>
        <v/>
      </c>
      <c r="BA63" s="16" t="n"/>
      <c r="BB63" s="139" t="n"/>
      <c r="BC63" s="16" t="n"/>
      <c r="BD63" s="139" t="n"/>
      <c r="BE63" s="16">
        <f>(BA63+BC63)</f>
        <v/>
      </c>
    </row>
    <row r="64" ht="22.5" customFormat="1" customHeight="1" s="8">
      <c r="A64" s="9" t="n"/>
      <c r="B64" s="136" t="inlineStr">
        <is>
          <t>BOARD</t>
        </is>
      </c>
      <c r="C64" s="137" t="inlineStr">
        <is>
          <t>ADX6000</t>
        </is>
      </c>
      <c r="D64" s="64" t="inlineStr">
        <is>
          <t>고압베어 B/D</t>
        </is>
      </c>
      <c r="E64" s="11" t="inlineStr">
        <is>
          <t xml:space="preserve">구형 </t>
        </is>
      </c>
      <c r="F64" s="99" t="n"/>
      <c r="G64" s="9" t="n"/>
      <c r="H64" s="9" t="inlineStr">
        <is>
          <t>한샘디지텍</t>
        </is>
      </c>
      <c r="I64" s="14" t="n"/>
      <c r="J64" s="14" t="n"/>
      <c r="K64" s="12" t="n">
        <v>0</v>
      </c>
      <c r="L64" s="9" t="n"/>
      <c r="M64" s="9" t="n"/>
      <c r="N64" s="9" t="n"/>
      <c r="O64" s="40">
        <f>K64+V64-AE64-AZ64</f>
        <v/>
      </c>
      <c r="P64" s="12" t="n"/>
      <c r="Q64" s="138" t="n"/>
      <c r="R64" s="16" t="n"/>
      <c r="S64" s="139" t="n"/>
      <c r="T64" s="16" t="n"/>
      <c r="U64" s="139" t="n"/>
      <c r="V64" s="16">
        <f>P64+R64+T64</f>
        <v/>
      </c>
      <c r="W64" s="16" t="n"/>
      <c r="X64" s="139" t="n"/>
      <c r="Y64" s="16" t="n"/>
      <c r="Z64" s="139" t="n"/>
      <c r="AA64" s="16" t="n"/>
      <c r="AB64" s="139" t="n"/>
      <c r="AC64" s="16" t="n"/>
      <c r="AD64" s="139" t="n"/>
      <c r="AE64" s="16">
        <f>(W64+Y64+AA64+AC64)</f>
        <v/>
      </c>
      <c r="AF64" s="16" t="n"/>
      <c r="AG64" s="138" t="n"/>
      <c r="AH64" s="16" t="n"/>
      <c r="AI64" s="138" t="n"/>
      <c r="AJ64" s="16" t="n"/>
      <c r="AK64" s="138" t="n"/>
      <c r="AL64" s="16" t="n"/>
      <c r="AM64" s="138" t="n"/>
      <c r="AN64" s="16" t="n"/>
      <c r="AO64" s="138" t="n"/>
      <c r="AP64" s="16" t="n"/>
      <c r="AQ64" s="138" t="n"/>
      <c r="AR64" s="16" t="n"/>
      <c r="AS64" s="138" t="n"/>
      <c r="AT64" s="16" t="n"/>
      <c r="AU64" s="138" t="n"/>
      <c r="AV64" s="16" t="n"/>
      <c r="AW64" s="138" t="n"/>
      <c r="AX64" s="16" t="n"/>
      <c r="AY64" s="138" t="n"/>
      <c r="AZ64" s="16">
        <f>AF64+AH64+AJ64+AL64+AN64+AP64+AR64+AT64+AV64+AX64</f>
        <v/>
      </c>
      <c r="BA64" s="16" t="n"/>
      <c r="BB64" s="139" t="n"/>
      <c r="BC64" s="16" t="n"/>
      <c r="BD64" s="139" t="n"/>
      <c r="BE64" s="16">
        <f>(BA64+BC64)</f>
        <v/>
      </c>
    </row>
    <row r="65" ht="22.5" customFormat="1" customHeight="1" s="8">
      <c r="A65" s="9" t="n"/>
      <c r="B65" s="136" t="inlineStr">
        <is>
          <t>BOARD</t>
        </is>
      </c>
      <c r="C65" s="137" t="inlineStr">
        <is>
          <t>ADX6000</t>
        </is>
      </c>
      <c r="D65" s="64" t="inlineStr">
        <is>
          <t>고압베어 B/D</t>
        </is>
      </c>
      <c r="E65" s="11" t="inlineStr">
        <is>
          <t>신형</t>
        </is>
      </c>
      <c r="F65" s="99" t="n"/>
      <c r="G65" s="9" t="n"/>
      <c r="H65" s="9" t="inlineStr">
        <is>
          <t>한샘디지텍</t>
        </is>
      </c>
      <c r="I65" s="14" t="n"/>
      <c r="J65" s="14" t="n"/>
      <c r="K65" s="12" t="n">
        <v>0</v>
      </c>
      <c r="L65" s="9" t="n"/>
      <c r="M65" s="9" t="n"/>
      <c r="N65" s="9" t="n"/>
      <c r="O65" s="40">
        <f>K65+V65-AE65-AZ65</f>
        <v/>
      </c>
      <c r="P65" s="12" t="n"/>
      <c r="Q65" s="138" t="n"/>
      <c r="R65" s="16" t="n"/>
      <c r="S65" s="139" t="n"/>
      <c r="T65" s="16" t="n"/>
      <c r="U65" s="139" t="n"/>
      <c r="V65" s="16">
        <f>P65+R65+T65</f>
        <v/>
      </c>
      <c r="W65" s="16" t="n"/>
      <c r="X65" s="139" t="n"/>
      <c r="Y65" s="16" t="n"/>
      <c r="Z65" s="139" t="n"/>
      <c r="AA65" s="16" t="n"/>
      <c r="AB65" s="139" t="n"/>
      <c r="AC65" s="16" t="n"/>
      <c r="AD65" s="139" t="n"/>
      <c r="AE65" s="16">
        <f>(W65+Y65+AA65+AC65)</f>
        <v/>
      </c>
      <c r="AF65" s="16" t="n"/>
      <c r="AG65" s="138" t="n"/>
      <c r="AH65" s="16" t="n"/>
      <c r="AI65" s="138" t="n"/>
      <c r="AJ65" s="16" t="n"/>
      <c r="AK65" s="138" t="n"/>
      <c r="AL65" s="16" t="n"/>
      <c r="AM65" s="138" t="n"/>
      <c r="AN65" s="16" t="n"/>
      <c r="AO65" s="138" t="n"/>
      <c r="AP65" s="16" t="n"/>
      <c r="AQ65" s="138" t="n"/>
      <c r="AR65" s="16" t="n"/>
      <c r="AS65" s="138" t="n"/>
      <c r="AT65" s="16" t="n"/>
      <c r="AU65" s="138" t="n"/>
      <c r="AV65" s="16" t="n"/>
      <c r="AW65" s="138" t="n"/>
      <c r="AX65" s="16" t="n"/>
      <c r="AY65" s="138" t="n"/>
      <c r="AZ65" s="16">
        <f>AF65+AH65+AJ65+AL65+AN65+AP65+AR65+AT65+AV65+AX65</f>
        <v/>
      </c>
      <c r="BA65" s="16" t="n"/>
      <c r="BB65" s="139" t="n"/>
      <c r="BC65" s="16" t="n"/>
      <c r="BD65" s="139" t="n"/>
      <c r="BE65" s="16">
        <f>(BA65+BC65)</f>
        <v/>
      </c>
    </row>
    <row r="66" ht="22.5" customFormat="1" customHeight="1" s="8">
      <c r="A66" s="9" t="n"/>
      <c r="B66" s="136" t="inlineStr">
        <is>
          <t>BOARD</t>
        </is>
      </c>
      <c r="C66" s="137" t="inlineStr">
        <is>
          <t>DX3000, ADX4000W</t>
        </is>
      </c>
      <c r="D66" s="61" t="inlineStr">
        <is>
          <t>튜브 고정 보드 에노드</t>
        </is>
      </c>
      <c r="E66" s="11" t="inlineStr">
        <is>
          <t>나사</t>
        </is>
      </c>
      <c r="F66" s="99" t="n"/>
      <c r="G66" s="9" t="n"/>
      <c r="H66" s="9" t="inlineStr">
        <is>
          <t>한샘디지텍</t>
        </is>
      </c>
      <c r="I66" s="14" t="n"/>
      <c r="J66" s="14" t="n"/>
      <c r="K66" s="12" t="n">
        <v>400</v>
      </c>
      <c r="L66" s="9" t="n"/>
      <c r="M66" s="9" t="n"/>
      <c r="N66" s="9" t="n"/>
      <c r="O66" s="40">
        <f>K66+V66-AE66-AZ66</f>
        <v/>
      </c>
      <c r="P66" s="12" t="n"/>
      <c r="Q66" s="138" t="n"/>
      <c r="R66" s="16" t="n"/>
      <c r="S66" s="139" t="n"/>
      <c r="T66" s="16" t="n"/>
      <c r="U66" s="139" t="n"/>
      <c r="V66" s="16">
        <f>P66+R66+T66</f>
        <v/>
      </c>
      <c r="W66" s="16" t="n"/>
      <c r="X66" s="139" t="n"/>
      <c r="Y66" s="16" t="n"/>
      <c r="Z66" s="139" t="n"/>
      <c r="AA66" s="16" t="n"/>
      <c r="AB66" s="139" t="n"/>
      <c r="AC66" s="16" t="n"/>
      <c r="AD66" s="139" t="n"/>
      <c r="AE66" s="16">
        <f>(W66+Y66+AA66+AC66)</f>
        <v/>
      </c>
      <c r="AF66" s="16" t="n"/>
      <c r="AG66" s="138" t="n"/>
      <c r="AH66" s="16" t="n"/>
      <c r="AI66" s="138" t="n"/>
      <c r="AJ66" s="16" t="n"/>
      <c r="AK66" s="138" t="n"/>
      <c r="AL66" s="16" t="n"/>
      <c r="AM66" s="138" t="n"/>
      <c r="AN66" s="16" t="n"/>
      <c r="AO66" s="138" t="n"/>
      <c r="AP66" s="16" t="n"/>
      <c r="AQ66" s="138" t="n"/>
      <c r="AR66" s="16" t="n"/>
      <c r="AS66" s="138" t="n"/>
      <c r="AT66" s="16" t="n"/>
      <c r="AU66" s="138" t="n"/>
      <c r="AV66" s="16" t="n"/>
      <c r="AW66" s="138" t="n"/>
      <c r="AX66" s="16" t="n"/>
      <c r="AY66" s="138" t="n"/>
      <c r="AZ66" s="16">
        <f>AF66+AH66+AJ66+AL66+AN66+AP66+AR66+AT66+AV66+AX66</f>
        <v/>
      </c>
      <c r="BA66" s="16" t="n"/>
      <c r="BB66" s="139" t="n"/>
      <c r="BC66" s="16" t="n"/>
      <c r="BD66" s="139" t="n"/>
      <c r="BE66" s="16">
        <f>(BA66+BC66)</f>
        <v/>
      </c>
    </row>
    <row r="67" ht="22.5" customFormat="1" customHeight="1" s="8">
      <c r="A67" s="9" t="n"/>
      <c r="B67" s="136" t="inlineStr">
        <is>
          <t>BOARD</t>
        </is>
      </c>
      <c r="C67" s="137" t="inlineStr">
        <is>
          <t>DX3000</t>
        </is>
      </c>
      <c r="D67" s="60" t="inlineStr">
        <is>
          <t>튜브 고정 보드 케소드</t>
        </is>
      </c>
      <c r="E67" s="11" t="inlineStr">
        <is>
          <t>필라멘트</t>
        </is>
      </c>
      <c r="F67" s="99" t="n"/>
      <c r="G67" s="9" t="n"/>
      <c r="H67" s="9" t="inlineStr">
        <is>
          <t>한샘디지텍</t>
        </is>
      </c>
      <c r="I67" s="14" t="n"/>
      <c r="J67" s="14" t="n"/>
      <c r="K67" s="12" t="n">
        <v>1000</v>
      </c>
      <c r="L67" s="9" t="n"/>
      <c r="M67" s="9" t="n"/>
      <c r="N67" s="9" t="n"/>
      <c r="O67" s="40">
        <f>K67+V67-AE67-AZ67</f>
        <v/>
      </c>
      <c r="P67" s="12" t="n"/>
      <c r="Q67" s="138" t="n"/>
      <c r="R67" s="16" t="n"/>
      <c r="S67" s="139" t="n"/>
      <c r="T67" s="16" t="n"/>
      <c r="U67" s="139" t="n"/>
      <c r="V67" s="16">
        <f>P67+R67+T67</f>
        <v/>
      </c>
      <c r="W67" s="16" t="n"/>
      <c r="X67" s="139" t="n"/>
      <c r="Y67" s="16" t="n"/>
      <c r="Z67" s="139" t="n"/>
      <c r="AA67" s="16" t="n"/>
      <c r="AB67" s="139" t="n"/>
      <c r="AC67" s="16" t="n"/>
      <c r="AD67" s="139" t="n"/>
      <c r="AE67" s="16">
        <f>(W67+Y67+AA67+AC67)</f>
        <v/>
      </c>
      <c r="AF67" s="16" t="n"/>
      <c r="AG67" s="138" t="n"/>
      <c r="AH67" s="16" t="n"/>
      <c r="AI67" s="138" t="n"/>
      <c r="AJ67" s="16" t="n"/>
      <c r="AK67" s="138" t="n"/>
      <c r="AL67" s="16" t="n"/>
      <c r="AM67" s="138" t="n"/>
      <c r="AN67" s="16" t="n"/>
      <c r="AO67" s="138" t="n"/>
      <c r="AP67" s="16" t="n"/>
      <c r="AQ67" s="138" t="n"/>
      <c r="AR67" s="16" t="n"/>
      <c r="AS67" s="138" t="n"/>
      <c r="AT67" s="16" t="n"/>
      <c r="AU67" s="138" t="n"/>
      <c r="AV67" s="16" t="n"/>
      <c r="AW67" s="138" t="n"/>
      <c r="AX67" s="16" t="n"/>
      <c r="AY67" s="138" t="n"/>
      <c r="AZ67" s="16">
        <f>AF67+AH67+AJ67+AL67+AN67+AP67+AR67+AT67+AV67+AX67</f>
        <v/>
      </c>
      <c r="BA67" s="16" t="n"/>
      <c r="BB67" s="139" t="n"/>
      <c r="BC67" s="16" t="n"/>
      <c r="BD67" s="139" t="n"/>
      <c r="BE67" s="16">
        <f>(BA67+BC67)</f>
        <v/>
      </c>
    </row>
    <row r="68" ht="22.5" customFormat="1" customHeight="1" s="8">
      <c r="A68" s="9" t="n"/>
      <c r="B68" s="136" t="inlineStr">
        <is>
          <t>BOARD</t>
        </is>
      </c>
      <c r="C68" s="137" t="inlineStr">
        <is>
          <t>ADX4000W</t>
        </is>
      </c>
      <c r="D68" s="68" t="inlineStr">
        <is>
          <t>튜브 고정 보드 케소드</t>
        </is>
      </c>
      <c r="E68" s="11" t="inlineStr">
        <is>
          <t>필라멘트</t>
        </is>
      </c>
      <c r="F68" s="99" t="n"/>
      <c r="G68" s="9" t="n"/>
      <c r="H68" s="9" t="inlineStr">
        <is>
          <t>한샘디지텍</t>
        </is>
      </c>
      <c r="I68" s="14" t="n"/>
      <c r="J68" s="14" t="n"/>
      <c r="K68" s="12" t="n">
        <v>960</v>
      </c>
      <c r="L68" s="9" t="n"/>
      <c r="M68" s="9" t="n"/>
      <c r="N68" s="9" t="n"/>
      <c r="O68" s="40">
        <f>K68+V68-AE68-AZ68</f>
        <v/>
      </c>
      <c r="P68" s="12" t="n"/>
      <c r="Q68" s="138" t="n"/>
      <c r="R68" s="16" t="n"/>
      <c r="S68" s="139" t="n"/>
      <c r="T68" s="16" t="n"/>
      <c r="U68" s="139" t="n"/>
      <c r="V68" s="16">
        <f>P68+R68+T68</f>
        <v/>
      </c>
      <c r="W68" s="16" t="n"/>
      <c r="X68" s="139" t="n"/>
      <c r="Y68" s="16" t="n"/>
      <c r="Z68" s="139" t="n"/>
      <c r="AA68" s="16" t="n"/>
      <c r="AB68" s="139" t="n"/>
      <c r="AC68" s="16" t="n"/>
      <c r="AD68" s="139" t="n"/>
      <c r="AE68" s="16">
        <f>(W68+Y68+AA68+AC68)</f>
        <v/>
      </c>
      <c r="AF68" s="16" t="n"/>
      <c r="AG68" s="138" t="n"/>
      <c r="AH68" s="16" t="n"/>
      <c r="AI68" s="138" t="n"/>
      <c r="AJ68" s="16" t="n"/>
      <c r="AK68" s="138" t="n"/>
      <c r="AL68" s="16" t="n"/>
      <c r="AM68" s="138" t="n"/>
      <c r="AN68" s="16" t="n"/>
      <c r="AO68" s="138" t="n"/>
      <c r="AP68" s="16" t="n"/>
      <c r="AQ68" s="138" t="n"/>
      <c r="AR68" s="16" t="n"/>
      <c r="AS68" s="138" t="n"/>
      <c r="AT68" s="16" t="n"/>
      <c r="AU68" s="138" t="n"/>
      <c r="AV68" s="16" t="n"/>
      <c r="AW68" s="138" t="n"/>
      <c r="AX68" s="16" t="n"/>
      <c r="AY68" s="138" t="n"/>
      <c r="AZ68" s="16">
        <f>AF68+AH68+AJ68+AL68+AN68+AP68+AR68+AT68+AV68+AX68</f>
        <v/>
      </c>
      <c r="BA68" s="16" t="n"/>
      <c r="BB68" s="139" t="n"/>
      <c r="BC68" s="16" t="n"/>
      <c r="BD68" s="139" t="n"/>
      <c r="BE68" s="16">
        <f>(BA68+BC68)</f>
        <v/>
      </c>
    </row>
    <row r="69" ht="22.5" customFormat="1" customHeight="1" s="8">
      <c r="A69" s="9" t="n"/>
      <c r="B69" s="136" t="inlineStr">
        <is>
          <t>BOARD</t>
        </is>
      </c>
      <c r="C69" s="137" t="inlineStr">
        <is>
          <t>COCOON</t>
        </is>
      </c>
      <c r="D69" s="65" t="inlineStr">
        <is>
          <t>튜브 고정 보드 에노드</t>
        </is>
      </c>
      <c r="E69" s="11" t="inlineStr">
        <is>
          <t>나사 (VER. 2.12)</t>
        </is>
      </c>
      <c r="F69" s="99" t="n"/>
      <c r="G69" s="9" t="n"/>
      <c r="H69" s="9" t="inlineStr">
        <is>
          <t>한샘디지텍</t>
        </is>
      </c>
      <c r="I69" s="14" t="n"/>
      <c r="J69" s="14" t="n"/>
      <c r="K69" s="12" t="n">
        <v>1314</v>
      </c>
      <c r="L69" s="9" t="n"/>
      <c r="M69" s="9" t="n"/>
      <c r="N69" s="9" t="n"/>
      <c r="O69" s="40">
        <f>K69+V69-AE69-AZ69</f>
        <v/>
      </c>
      <c r="P69" s="12" t="n"/>
      <c r="Q69" s="138" t="n"/>
      <c r="R69" s="16" t="n"/>
      <c r="S69" s="139" t="n"/>
      <c r="T69" s="16" t="n"/>
      <c r="U69" s="139" t="n"/>
      <c r="V69" s="16">
        <f>P69+R69+T69</f>
        <v/>
      </c>
      <c r="W69" s="16" t="n"/>
      <c r="X69" s="139" t="n"/>
      <c r="Y69" s="16" t="n"/>
      <c r="Z69" s="139" t="n"/>
      <c r="AA69" s="16" t="n"/>
      <c r="AB69" s="139" t="n"/>
      <c r="AC69" s="16" t="n"/>
      <c r="AD69" s="139" t="n"/>
      <c r="AE69" s="16">
        <f>(W69+Y69+AA69+AC69)</f>
        <v/>
      </c>
      <c r="AF69" s="16" t="n"/>
      <c r="AG69" s="138" t="n"/>
      <c r="AH69" s="16" t="n"/>
      <c r="AI69" s="138" t="n"/>
      <c r="AJ69" s="16" t="n"/>
      <c r="AK69" s="138" t="n"/>
      <c r="AL69" s="16" t="n"/>
      <c r="AM69" s="138" t="n"/>
      <c r="AN69" s="16" t="n"/>
      <c r="AO69" s="138" t="n"/>
      <c r="AP69" s="16" t="n"/>
      <c r="AQ69" s="138" t="n"/>
      <c r="AR69" s="16" t="n"/>
      <c r="AS69" s="138" t="n"/>
      <c r="AT69" s="16" t="n"/>
      <c r="AU69" s="138" t="n"/>
      <c r="AV69" s="16" t="n"/>
      <c r="AW69" s="138" t="n"/>
      <c r="AX69" s="16" t="n"/>
      <c r="AY69" s="138" t="n"/>
      <c r="AZ69" s="16">
        <f>AF69+AH69+AJ69+AL69+AN69+AP69+AR69+AT69+AV69+AX69</f>
        <v/>
      </c>
      <c r="BA69" s="16" t="n"/>
      <c r="BB69" s="139" t="n"/>
      <c r="BC69" s="16" t="n"/>
      <c r="BD69" s="139" t="n"/>
      <c r="BE69" s="16">
        <f>(BA69+BC69)</f>
        <v/>
      </c>
    </row>
    <row r="70" ht="22.5" customFormat="1" customHeight="1" s="8">
      <c r="A70" s="9" t="n"/>
      <c r="B70" s="136" t="inlineStr">
        <is>
          <t>BOARD</t>
        </is>
      </c>
      <c r="C70" s="137" t="inlineStr">
        <is>
          <t>ADX6000</t>
        </is>
      </c>
      <c r="D70" s="65" t="inlineStr">
        <is>
          <t>튜브 고정 보드 에노드</t>
        </is>
      </c>
      <c r="E70" s="11" t="inlineStr">
        <is>
          <t>나사</t>
        </is>
      </c>
      <c r="F70" s="99" t="n"/>
      <c r="G70" s="9" t="n"/>
      <c r="H70" s="9" t="inlineStr">
        <is>
          <t>한샘디지텍</t>
        </is>
      </c>
      <c r="I70" s="14" t="n"/>
      <c r="J70" s="14" t="n"/>
      <c r="K70" s="12" t="n"/>
      <c r="L70" s="9" t="n"/>
      <c r="M70" s="9" t="n"/>
      <c r="N70" s="9" t="n"/>
      <c r="O70" s="40">
        <f>K70+V70-AE70-AZ70</f>
        <v/>
      </c>
      <c r="P70" s="12" t="n"/>
      <c r="Q70" s="138" t="n"/>
      <c r="R70" s="16" t="n"/>
      <c r="S70" s="139" t="n"/>
      <c r="T70" s="16" t="n"/>
      <c r="U70" s="139" t="n"/>
      <c r="V70" s="16">
        <f>P70+R70+T70</f>
        <v/>
      </c>
      <c r="W70" s="16" t="n"/>
      <c r="X70" s="139" t="n"/>
      <c r="Y70" s="16" t="n"/>
      <c r="Z70" s="139" t="n"/>
      <c r="AA70" s="16" t="n"/>
      <c r="AB70" s="139" t="n"/>
      <c r="AC70" s="16" t="n"/>
      <c r="AD70" s="139" t="n"/>
      <c r="AE70" s="16">
        <f>(W70+Y70+AA70+AC70)</f>
        <v/>
      </c>
      <c r="AF70" s="16" t="n"/>
      <c r="AG70" s="138" t="n"/>
      <c r="AH70" s="16" t="n"/>
      <c r="AI70" s="138" t="n"/>
      <c r="AJ70" s="16" t="n"/>
      <c r="AK70" s="138" t="n"/>
      <c r="AL70" s="16" t="n"/>
      <c r="AM70" s="138" t="n"/>
      <c r="AN70" s="16" t="n"/>
      <c r="AO70" s="138" t="n"/>
      <c r="AP70" s="16" t="n"/>
      <c r="AQ70" s="138" t="n"/>
      <c r="AR70" s="16" t="n"/>
      <c r="AS70" s="138" t="n"/>
      <c r="AT70" s="16" t="n"/>
      <c r="AU70" s="138" t="n"/>
      <c r="AV70" s="16" t="n"/>
      <c r="AW70" s="138" t="n"/>
      <c r="AX70" s="16" t="n"/>
      <c r="AY70" s="138" t="n"/>
      <c r="AZ70" s="16">
        <f>AF70+AH70+AJ70+AL70+AN70+AP70+AR70+AT70+AV70+AX70</f>
        <v/>
      </c>
      <c r="BA70" s="16" t="n"/>
      <c r="BB70" s="139" t="n"/>
      <c r="BC70" s="16" t="n"/>
      <c r="BD70" s="139" t="n"/>
      <c r="BE70" s="16">
        <f>(BA70+BC70)</f>
        <v/>
      </c>
    </row>
    <row r="71" ht="22.5" customFormat="1" customHeight="1" s="8">
      <c r="A71" s="9" t="n"/>
      <c r="B71" s="136" t="inlineStr">
        <is>
          <t>BOARD</t>
        </is>
      </c>
      <c r="C71" s="137" t="inlineStr">
        <is>
          <t>ADX6000</t>
        </is>
      </c>
      <c r="D71" s="60" t="inlineStr">
        <is>
          <t>튜브 고정 보드 케소드</t>
        </is>
      </c>
      <c r="E71" s="11" t="inlineStr">
        <is>
          <t>필라멘트</t>
        </is>
      </c>
      <c r="F71" s="99" t="n"/>
      <c r="G71" s="9" t="n"/>
      <c r="H71" s="9" t="inlineStr">
        <is>
          <t>한샘디지텍</t>
        </is>
      </c>
      <c r="I71" s="14" t="n"/>
      <c r="J71" s="14" t="n"/>
      <c r="K71" s="12" t="n"/>
      <c r="L71" s="9" t="n"/>
      <c r="M71" s="9" t="n"/>
      <c r="N71" s="9" t="n"/>
      <c r="O71" s="40">
        <f>K71+V71-AE71-AZ71</f>
        <v/>
      </c>
      <c r="P71" s="12" t="n"/>
      <c r="Q71" s="138" t="n"/>
      <c r="R71" s="16" t="n"/>
      <c r="S71" s="139" t="n"/>
      <c r="T71" s="16" t="n"/>
      <c r="U71" s="139" t="n"/>
      <c r="V71" s="16">
        <f>P71+R71+T71</f>
        <v/>
      </c>
      <c r="W71" s="16" t="n"/>
      <c r="X71" s="139" t="n"/>
      <c r="Y71" s="16" t="n"/>
      <c r="Z71" s="139" t="n"/>
      <c r="AA71" s="16" t="n"/>
      <c r="AB71" s="139" t="n"/>
      <c r="AC71" s="16" t="n"/>
      <c r="AD71" s="139" t="n"/>
      <c r="AE71" s="16">
        <f>(W71+Y71+AA71+AC71)</f>
        <v/>
      </c>
      <c r="AF71" s="16" t="n"/>
      <c r="AG71" s="138" t="n"/>
      <c r="AH71" s="16" t="n"/>
      <c r="AI71" s="138" t="n"/>
      <c r="AJ71" s="16" t="n"/>
      <c r="AK71" s="138" t="n"/>
      <c r="AL71" s="16" t="n"/>
      <c r="AM71" s="138" t="n"/>
      <c r="AN71" s="16" t="n"/>
      <c r="AO71" s="138" t="n"/>
      <c r="AP71" s="16" t="n"/>
      <c r="AQ71" s="138" t="n"/>
      <c r="AR71" s="16" t="n"/>
      <c r="AS71" s="138" t="n"/>
      <c r="AT71" s="16" t="n"/>
      <c r="AU71" s="138" t="n"/>
      <c r="AV71" s="16" t="n"/>
      <c r="AW71" s="138" t="n"/>
      <c r="AX71" s="16" t="n"/>
      <c r="AY71" s="138" t="n"/>
      <c r="AZ71" s="16">
        <f>AF71+AH71+AJ71+AL71+AN71+AP71+AR71+AT71+AV71+AX71</f>
        <v/>
      </c>
      <c r="BA71" s="16" t="n"/>
      <c r="BB71" s="139" t="n"/>
      <c r="BC71" s="16" t="n"/>
      <c r="BD71" s="139" t="n"/>
      <c r="BE71" s="16">
        <f>(BA71+BC71)</f>
        <v/>
      </c>
    </row>
    <row r="72" ht="22.5" customFormat="1" customHeight="1" s="8">
      <c r="A72" s="9" t="n"/>
      <c r="B72" s="141" t="inlineStr">
        <is>
          <t>베이클라이트</t>
        </is>
      </c>
      <c r="C72" s="137" t="inlineStr">
        <is>
          <t>DX3000, ADX4000W ADX6000</t>
        </is>
      </c>
      <c r="D72" s="62" t="inlineStr">
        <is>
          <t>베이클라이트 케이스</t>
        </is>
      </c>
      <c r="E72" s="36" t="inlineStr">
        <is>
          <t>베이클라이트</t>
        </is>
      </c>
      <c r="F72" s="99" t="n"/>
      <c r="G72" s="22" t="n"/>
      <c r="H72" s="22" t="inlineStr">
        <is>
          <t>용봉화학</t>
        </is>
      </c>
      <c r="I72" s="14" t="n"/>
      <c r="J72" s="14" t="n"/>
      <c r="K72" s="12" t="n">
        <v>930</v>
      </c>
      <c r="L72" s="9" t="n"/>
      <c r="M72" s="9" t="n"/>
      <c r="N72" s="9" t="n"/>
      <c r="O72" s="40">
        <f>K72+V72-AE72-AZ72</f>
        <v/>
      </c>
      <c r="P72" s="12" t="n"/>
      <c r="Q72" s="138" t="n"/>
      <c r="R72" s="16" t="n"/>
      <c r="S72" s="139" t="n"/>
      <c r="T72" s="16" t="n"/>
      <c r="U72" s="139" t="n"/>
      <c r="V72" s="16">
        <f>P72+R72+T72</f>
        <v/>
      </c>
      <c r="W72" s="16" t="n"/>
      <c r="X72" s="139" t="n"/>
      <c r="Y72" s="16" t="n"/>
      <c r="Z72" s="139" t="n"/>
      <c r="AA72" s="16" t="n"/>
      <c r="AB72" s="139" t="n"/>
      <c r="AC72" s="16" t="n"/>
      <c r="AD72" s="139" t="n"/>
      <c r="AE72" s="16">
        <f>(W72+Y72+AA72+AC72)</f>
        <v/>
      </c>
      <c r="AF72" s="16" t="n"/>
      <c r="AG72" s="138" t="n"/>
      <c r="AH72" s="16" t="n"/>
      <c r="AI72" s="138" t="n"/>
      <c r="AJ72" s="16" t="n"/>
      <c r="AK72" s="138" t="n"/>
      <c r="AL72" s="16" t="n"/>
      <c r="AM72" s="138" t="n"/>
      <c r="AN72" s="16" t="n"/>
      <c r="AO72" s="138" t="n"/>
      <c r="AP72" s="16" t="n"/>
      <c r="AQ72" s="138" t="n"/>
      <c r="AR72" s="16" t="n"/>
      <c r="AS72" s="138" t="n"/>
      <c r="AT72" s="16" t="n"/>
      <c r="AU72" s="138" t="n"/>
      <c r="AV72" s="16" t="n"/>
      <c r="AW72" s="138" t="n"/>
      <c r="AX72" s="16" t="n"/>
      <c r="AY72" s="138" t="n"/>
      <c r="AZ72" s="16">
        <f>AF72+AH72+AJ72+AL72+AN72+AP72+AR72+AT72+AV72+AX72</f>
        <v/>
      </c>
      <c r="BA72" s="16" t="n"/>
      <c r="BB72" s="139" t="n"/>
      <c r="BC72" s="16" t="n"/>
      <c r="BD72" s="139" t="n"/>
      <c r="BE72" s="16">
        <f>(BA72+BC72)</f>
        <v/>
      </c>
    </row>
    <row r="73" ht="22.5" customFormat="1" customHeight="1" s="8">
      <c r="A73" s="9" t="n"/>
      <c r="B73" s="141" t="inlineStr">
        <is>
          <t>HDPE</t>
        </is>
      </c>
      <c r="C73" s="137" t="inlineStr">
        <is>
          <t>ADX6000</t>
        </is>
      </c>
      <c r="D73" s="62" t="inlineStr">
        <is>
          <t>NC 케이스</t>
        </is>
      </c>
      <c r="E73" s="36" t="inlineStr">
        <is>
          <t>HDPE</t>
        </is>
      </c>
      <c r="F73" s="99" t="n"/>
      <c r="G73" s="22" t="n"/>
      <c r="H73" s="22" t="inlineStr">
        <is>
          <t>용봉화학</t>
        </is>
      </c>
      <c r="I73" s="14" t="n"/>
      <c r="J73" s="14" t="n"/>
      <c r="K73" s="12" t="n">
        <v>109</v>
      </c>
      <c r="L73" s="9" t="n"/>
      <c r="M73" s="9" t="n"/>
      <c r="N73" s="9" t="n"/>
      <c r="O73" s="40">
        <f>K73+V73-AE73-AZ73</f>
        <v/>
      </c>
      <c r="P73" s="12" t="n"/>
      <c r="Q73" s="138" t="n"/>
      <c r="R73" s="16" t="n"/>
      <c r="S73" s="139" t="n"/>
      <c r="T73" s="16" t="n"/>
      <c r="U73" s="139" t="n"/>
      <c r="V73" s="16">
        <f>P73+R73+T73</f>
        <v/>
      </c>
      <c r="W73" s="16" t="n"/>
      <c r="X73" s="139" t="n"/>
      <c r="Y73" s="16" t="n"/>
      <c r="Z73" s="139" t="n"/>
      <c r="AA73" s="16" t="n"/>
      <c r="AB73" s="139" t="n"/>
      <c r="AC73" s="16" t="n"/>
      <c r="AD73" s="139" t="n"/>
      <c r="AE73" s="16">
        <f>(W73+Y73+AA73+AC73)</f>
        <v/>
      </c>
      <c r="AF73" s="16" t="n"/>
      <c r="AG73" s="138" t="n"/>
      <c r="AH73" s="16" t="n"/>
      <c r="AI73" s="138" t="n"/>
      <c r="AJ73" s="16" t="n"/>
      <c r="AK73" s="138" t="n"/>
      <c r="AL73" s="16" t="n"/>
      <c r="AM73" s="138" t="n"/>
      <c r="AN73" s="16" t="n"/>
      <c r="AO73" s="138" t="n"/>
      <c r="AP73" s="16" t="n"/>
      <c r="AQ73" s="138" t="n"/>
      <c r="AR73" s="16" t="n"/>
      <c r="AS73" s="138" t="n"/>
      <c r="AT73" s="16" t="n"/>
      <c r="AU73" s="138" t="n"/>
      <c r="AV73" s="16" t="n"/>
      <c r="AW73" s="138" t="n"/>
      <c r="AX73" s="16" t="n"/>
      <c r="AY73" s="138" t="n"/>
      <c r="AZ73" s="16" t="n"/>
      <c r="BA73" s="16" t="n"/>
      <c r="BB73" s="139" t="n"/>
      <c r="BC73" s="16" t="n"/>
      <c r="BD73" s="139" t="n"/>
      <c r="BE73" s="16" t="n"/>
    </row>
    <row r="74" ht="22.5" customFormat="1" customHeight="1" s="8">
      <c r="A74" s="9" t="n"/>
      <c r="B74" s="141" t="inlineStr">
        <is>
          <t>HDPE</t>
        </is>
      </c>
      <c r="C74" s="137" t="inlineStr">
        <is>
          <t>COCOON</t>
        </is>
      </c>
      <c r="D74" s="62" t="inlineStr">
        <is>
          <t>NC 케이스</t>
        </is>
      </c>
      <c r="E74" s="36" t="inlineStr">
        <is>
          <t>HDPE</t>
        </is>
      </c>
      <c r="F74" s="99" t="n"/>
      <c r="G74" s="22" t="n"/>
      <c r="H74" s="22" t="inlineStr">
        <is>
          <t>용봉화학</t>
        </is>
      </c>
      <c r="I74" s="14" t="n"/>
      <c r="J74" s="14" t="n"/>
      <c r="K74" s="12" t="n">
        <v>400</v>
      </c>
      <c r="L74" s="9" t="n"/>
      <c r="M74" s="9" t="n"/>
      <c r="N74" s="9" t="n"/>
      <c r="O74" s="40">
        <f>K74+V74-AE74-AZ74</f>
        <v/>
      </c>
      <c r="P74" s="12" t="n"/>
      <c r="Q74" s="138" t="n"/>
      <c r="R74" s="16" t="n"/>
      <c r="S74" s="139" t="n"/>
      <c r="T74" s="16" t="n"/>
      <c r="U74" s="139" t="n"/>
      <c r="V74" s="16">
        <f>P74+R74+T74</f>
        <v/>
      </c>
      <c r="W74" s="16" t="n"/>
      <c r="X74" s="139" t="n"/>
      <c r="Y74" s="16" t="n"/>
      <c r="Z74" s="139" t="n"/>
      <c r="AA74" s="16" t="n"/>
      <c r="AB74" s="139" t="n"/>
      <c r="AC74" s="16" t="n"/>
      <c r="AD74" s="139" t="n"/>
      <c r="AE74" s="16">
        <f>(W74+Y74+AA74+AC74)</f>
        <v/>
      </c>
      <c r="AF74" s="16" t="n"/>
      <c r="AG74" s="138" t="n"/>
      <c r="AH74" s="16" t="n"/>
      <c r="AI74" s="138" t="n"/>
      <c r="AJ74" s="16" t="n"/>
      <c r="AK74" s="138" t="n"/>
      <c r="AL74" s="16" t="n"/>
      <c r="AM74" s="138" t="n"/>
      <c r="AN74" s="16" t="n"/>
      <c r="AO74" s="138" t="n"/>
      <c r="AP74" s="16" t="n"/>
      <c r="AQ74" s="138" t="n"/>
      <c r="AR74" s="16" t="n"/>
      <c r="AS74" s="138" t="n"/>
      <c r="AT74" s="16" t="n"/>
      <c r="AU74" s="138" t="n"/>
      <c r="AV74" s="16" t="n"/>
      <c r="AW74" s="138" t="n"/>
      <c r="AX74" s="16" t="n"/>
      <c r="AY74" s="138" t="n"/>
      <c r="AZ74" s="16">
        <f>AF74+AH74+AJ74+AL74+AN74+AP74+AR74+AT74+AV74+AX74</f>
        <v/>
      </c>
      <c r="BA74" s="16" t="n"/>
      <c r="BB74" s="139" t="n"/>
      <c r="BC74" s="16" t="n"/>
      <c r="BD74" s="139" t="n"/>
      <c r="BE74" s="16">
        <f>(BA74+BC74)</f>
        <v/>
      </c>
    </row>
    <row r="75" ht="22.5" customFormat="1" customHeight="1" s="8">
      <c r="A75" s="9" t="n"/>
      <c r="B75" s="141" t="inlineStr">
        <is>
          <t>HDPE</t>
        </is>
      </c>
      <c r="C75" s="137" t="inlineStr">
        <is>
          <t>SOLO</t>
        </is>
      </c>
      <c r="D75" s="62" t="inlineStr">
        <is>
          <t>NC 케이스</t>
        </is>
      </c>
      <c r="E75" s="36" t="inlineStr">
        <is>
          <t>HDPE</t>
        </is>
      </c>
      <c r="F75" s="99" t="n"/>
      <c r="G75" s="22" t="n"/>
      <c r="H75" s="22" t="inlineStr">
        <is>
          <t>용봉화학</t>
        </is>
      </c>
      <c r="I75" s="14" t="n"/>
      <c r="J75" s="14" t="n"/>
      <c r="K75" s="12" t="n">
        <v>499</v>
      </c>
      <c r="L75" s="9" t="n"/>
      <c r="M75" s="9" t="n"/>
      <c r="N75" s="9" t="n"/>
      <c r="O75" s="40">
        <f>K75+V75-AE75-AZ75</f>
        <v/>
      </c>
      <c r="P75" s="12" t="n"/>
      <c r="Q75" s="138" t="n"/>
      <c r="R75" s="16" t="n"/>
      <c r="S75" s="139" t="n"/>
      <c r="T75" s="16" t="n"/>
      <c r="U75" s="139" t="n"/>
      <c r="V75" s="16">
        <f>P75+R75+T75</f>
        <v/>
      </c>
      <c r="W75" s="16" t="n"/>
      <c r="X75" s="139" t="n"/>
      <c r="Y75" s="16" t="n"/>
      <c r="Z75" s="139" t="n"/>
      <c r="AA75" s="16" t="n"/>
      <c r="AB75" s="139" t="n"/>
      <c r="AC75" s="16" t="n"/>
      <c r="AD75" s="139" t="n"/>
      <c r="AE75" s="16">
        <f>(W75+Y75+AA75+AC75)</f>
        <v/>
      </c>
      <c r="AF75" s="16" t="n"/>
      <c r="AG75" s="138" t="n"/>
      <c r="AH75" s="16" t="n"/>
      <c r="AI75" s="138" t="n"/>
      <c r="AJ75" s="16" t="n"/>
      <c r="AK75" s="138" t="n"/>
      <c r="AL75" s="16" t="n"/>
      <c r="AM75" s="138" t="n"/>
      <c r="AN75" s="16" t="n"/>
      <c r="AO75" s="138" t="n"/>
      <c r="AP75" s="16" t="n"/>
      <c r="AQ75" s="138" t="n"/>
      <c r="AR75" s="16" t="n"/>
      <c r="AS75" s="138" t="n"/>
      <c r="AT75" s="16" t="n"/>
      <c r="AU75" s="138" t="n"/>
      <c r="AV75" s="16" t="n"/>
      <c r="AW75" s="138" t="n"/>
      <c r="AX75" s="16" t="n"/>
      <c r="AY75" s="138" t="n"/>
      <c r="AZ75" s="16">
        <f>AF75+AH75+AJ75+AL75+AN75+AP75+AR75+AT75+AV75+AX75</f>
        <v/>
      </c>
      <c r="BA75" s="16" t="n"/>
      <c r="BB75" s="139" t="n"/>
      <c r="BC75" s="16" t="n"/>
      <c r="BD75" s="139" t="n"/>
      <c r="BE75" s="16">
        <f>(BA75+BC75)</f>
        <v/>
      </c>
    </row>
    <row r="76" ht="22.5" customFormat="1" customHeight="1" s="8">
      <c r="A76" s="9" t="n"/>
      <c r="B76" s="141" t="inlineStr">
        <is>
          <t>HDPE</t>
        </is>
      </c>
      <c r="C76" s="137" t="inlineStr">
        <is>
          <t>COCOON</t>
        </is>
      </c>
      <c r="D76" s="62" t="inlineStr">
        <is>
          <t>PE케이스 거치대</t>
        </is>
      </c>
      <c r="E76" s="36" t="inlineStr">
        <is>
          <t>HDPE</t>
        </is>
      </c>
      <c r="F76" s="99" t="n"/>
      <c r="G76" s="22" t="n"/>
      <c r="H76" s="22" t="inlineStr">
        <is>
          <t>용봉화학</t>
        </is>
      </c>
      <c r="I76" s="14" t="n"/>
      <c r="J76" s="14" t="n"/>
      <c r="K76" s="12" t="n">
        <v>750</v>
      </c>
      <c r="L76" s="9" t="n"/>
      <c r="M76" s="9" t="n"/>
      <c r="N76" s="9" t="n"/>
      <c r="O76" s="40">
        <f>K76+V76-AE76-AZ76</f>
        <v/>
      </c>
      <c r="P76" s="12" t="n"/>
      <c r="Q76" s="138" t="n"/>
      <c r="R76" s="16" t="n"/>
      <c r="S76" s="139" t="n"/>
      <c r="T76" s="16" t="n"/>
      <c r="U76" s="139" t="n"/>
      <c r="V76" s="16">
        <f>P76+R76+T76</f>
        <v/>
      </c>
      <c r="W76" s="16" t="n"/>
      <c r="X76" s="139" t="n"/>
      <c r="Y76" s="16" t="n"/>
      <c r="Z76" s="139" t="n"/>
      <c r="AA76" s="16" t="n"/>
      <c r="AB76" s="139" t="n"/>
      <c r="AC76" s="16" t="n"/>
      <c r="AD76" s="139" t="n"/>
      <c r="AE76" s="16">
        <f>(W76+Y76+AA76+AC76)</f>
        <v/>
      </c>
      <c r="AF76" s="16" t="n"/>
      <c r="AG76" s="138" t="n"/>
      <c r="AH76" s="16" t="n"/>
      <c r="AI76" s="138" t="n"/>
      <c r="AJ76" s="16" t="n"/>
      <c r="AK76" s="138" t="n"/>
      <c r="AL76" s="16" t="n"/>
      <c r="AM76" s="138" t="n"/>
      <c r="AN76" s="16" t="n"/>
      <c r="AO76" s="138" t="n"/>
      <c r="AP76" s="16" t="n"/>
      <c r="AQ76" s="138" t="n"/>
      <c r="AR76" s="16" t="n"/>
      <c r="AS76" s="138" t="n"/>
      <c r="AT76" s="16" t="n"/>
      <c r="AU76" s="138" t="n"/>
      <c r="AV76" s="16" t="n"/>
      <c r="AW76" s="138" t="n"/>
      <c r="AX76" s="16" t="n"/>
      <c r="AY76" s="138" t="n"/>
      <c r="AZ76" s="16">
        <f>AF76+AH76+AJ76+AL76+AN76+AP76+AR76+AT76+AV76+AX76</f>
        <v/>
      </c>
      <c r="BA76" s="16" t="n"/>
      <c r="BB76" s="139" t="n"/>
      <c r="BC76" s="16" t="n"/>
      <c r="BD76" s="139" t="n"/>
      <c r="BE76" s="16">
        <f>(BA76+BC76)</f>
        <v/>
      </c>
    </row>
    <row r="77" ht="22.5" customFormat="1" customHeight="1" s="8">
      <c r="A77" s="9" t="n"/>
      <c r="B77" s="141" t="inlineStr">
        <is>
          <t>황동</t>
        </is>
      </c>
      <c r="C77" s="137" t="inlineStr">
        <is>
          <t>DX3000</t>
        </is>
      </c>
      <c r="D77" s="69" t="inlineStr">
        <is>
          <t>신주 케이스</t>
        </is>
      </c>
      <c r="E77" s="36" t="inlineStr">
        <is>
          <t>0.6T</t>
        </is>
      </c>
      <c r="F77" s="99" t="n"/>
      <c r="G77" s="22" t="n"/>
      <c r="H77" s="22" t="inlineStr">
        <is>
          <t>해진정밀</t>
        </is>
      </c>
      <c r="I77" s="14" t="n"/>
      <c r="J77" s="14" t="n"/>
      <c r="K77" s="12" t="n"/>
      <c r="L77" s="9" t="n"/>
      <c r="M77" s="9" t="n"/>
      <c r="N77" s="9" t="n"/>
      <c r="O77" s="40">
        <f>K77+V77-AE77-AZ77</f>
        <v/>
      </c>
      <c r="P77" s="12" t="n"/>
      <c r="Q77" s="138" t="n"/>
      <c r="R77" s="16" t="n"/>
      <c r="S77" s="139" t="n"/>
      <c r="T77" s="16" t="n"/>
      <c r="U77" s="139" t="n"/>
      <c r="V77" s="16">
        <f>P77+R77+T77</f>
        <v/>
      </c>
      <c r="W77" s="16" t="n"/>
      <c r="X77" s="139" t="n"/>
      <c r="Y77" s="16" t="n"/>
      <c r="Z77" s="139" t="n"/>
      <c r="AA77" s="16" t="n"/>
      <c r="AB77" s="139" t="n"/>
      <c r="AC77" s="16" t="n"/>
      <c r="AD77" s="139" t="n"/>
      <c r="AE77" s="16">
        <f>(W77+Y77+AA77+AC77)</f>
        <v/>
      </c>
      <c r="AF77" s="16" t="n"/>
      <c r="AG77" s="138" t="n"/>
      <c r="AH77" s="16" t="n"/>
      <c r="AI77" s="138" t="n"/>
      <c r="AJ77" s="16" t="n"/>
      <c r="AK77" s="138" t="n"/>
      <c r="AL77" s="16" t="n"/>
      <c r="AM77" s="138" t="n"/>
      <c r="AN77" s="16" t="n"/>
      <c r="AO77" s="138" t="n"/>
      <c r="AP77" s="16" t="n"/>
      <c r="AQ77" s="138" t="n"/>
      <c r="AR77" s="16" t="n"/>
      <c r="AS77" s="138" t="n"/>
      <c r="AT77" s="16" t="n"/>
      <c r="AU77" s="138" t="n"/>
      <c r="AV77" s="16" t="n"/>
      <c r="AW77" s="138" t="n"/>
      <c r="AX77" s="16" t="n"/>
      <c r="AY77" s="138" t="n"/>
      <c r="AZ77" s="16">
        <f>AF77+AH77+AJ77+AL77+AN77+AP77+AR77+AT77+AV77+AX77</f>
        <v/>
      </c>
      <c r="BA77" s="16" t="n"/>
      <c r="BB77" s="139" t="n"/>
      <c r="BC77" s="16" t="n"/>
      <c r="BD77" s="139" t="n"/>
      <c r="BE77" s="16">
        <f>(BA77+BC77)</f>
        <v/>
      </c>
    </row>
    <row r="78" ht="22.5" customFormat="1" customHeight="1" s="8">
      <c r="A78" s="9" t="n"/>
      <c r="B78" s="141" t="inlineStr">
        <is>
          <t>황동</t>
        </is>
      </c>
      <c r="C78" s="137" t="inlineStr">
        <is>
          <t>COCOON</t>
        </is>
      </c>
      <c r="D78" s="62" t="inlineStr">
        <is>
          <t>신주 케이스</t>
        </is>
      </c>
      <c r="E78" s="36" t="inlineStr">
        <is>
          <t>0.6T</t>
        </is>
      </c>
      <c r="F78" s="99" t="n"/>
      <c r="G78" s="22" t="n"/>
      <c r="H78" s="22" t="inlineStr">
        <is>
          <t>디지아이</t>
        </is>
      </c>
      <c r="I78" s="14" t="n"/>
      <c r="J78" s="14" t="n"/>
      <c r="K78" s="12" t="n">
        <v>143</v>
      </c>
      <c r="L78" s="9" t="n"/>
      <c r="M78" s="9" t="n"/>
      <c r="N78" s="9" t="n"/>
      <c r="O78" s="40">
        <f>K78+V78-AE78-AZ78</f>
        <v/>
      </c>
      <c r="P78" s="12" t="n"/>
      <c r="Q78" s="138" t="n"/>
      <c r="R78" s="16" t="n"/>
      <c r="S78" s="139" t="n"/>
      <c r="T78" s="16" t="n"/>
      <c r="U78" s="139" t="n"/>
      <c r="V78" s="16">
        <f>P78+R78+T78</f>
        <v/>
      </c>
      <c r="W78" s="16" t="n"/>
      <c r="X78" s="139" t="n"/>
      <c r="Y78" s="16" t="n"/>
      <c r="Z78" s="139" t="n"/>
      <c r="AA78" s="16" t="n"/>
      <c r="AB78" s="139" t="n"/>
      <c r="AC78" s="16" t="n"/>
      <c r="AD78" s="139" t="n"/>
      <c r="AE78" s="16">
        <f>(W78+Y78+AA78+AC78)</f>
        <v/>
      </c>
      <c r="AF78" s="16" t="n"/>
      <c r="AG78" s="138" t="n"/>
      <c r="AH78" s="16" t="n"/>
      <c r="AI78" s="138" t="n"/>
      <c r="AJ78" s="16" t="n"/>
      <c r="AK78" s="138" t="n"/>
      <c r="AL78" s="16" t="n"/>
      <c r="AM78" s="138" t="n"/>
      <c r="AN78" s="16" t="n"/>
      <c r="AO78" s="138" t="n"/>
      <c r="AP78" s="16" t="n"/>
      <c r="AQ78" s="138" t="n"/>
      <c r="AR78" s="16" t="n"/>
      <c r="AS78" s="138" t="n"/>
      <c r="AT78" s="16" t="n"/>
      <c r="AU78" s="138" t="n"/>
      <c r="AV78" s="16" t="n"/>
      <c r="AW78" s="138" t="n"/>
      <c r="AX78" s="16" t="n"/>
      <c r="AY78" s="138" t="n"/>
      <c r="AZ78" s="16">
        <f>AF78+AH78+AJ78+AL78+AN78+AP78+AR78+AT78+AV78+AX78</f>
        <v/>
      </c>
      <c r="BA78" s="16" t="n"/>
      <c r="BB78" s="139" t="n"/>
      <c r="BC78" s="16" t="n"/>
      <c r="BD78" s="139" t="n"/>
      <c r="BE78" s="16">
        <f>(BA78+BC78)</f>
        <v/>
      </c>
    </row>
    <row r="79" ht="22.5" customFormat="1" customHeight="1" s="8">
      <c r="A79" s="9" t="n"/>
      <c r="B79" s="141" t="inlineStr">
        <is>
          <t>황동</t>
        </is>
      </c>
      <c r="C79" s="137" t="inlineStr">
        <is>
          <t>SOLO</t>
        </is>
      </c>
      <c r="D79" s="62" t="inlineStr">
        <is>
          <t>신주 케이스</t>
        </is>
      </c>
      <c r="E79" s="36" t="inlineStr">
        <is>
          <t>0.6T</t>
        </is>
      </c>
      <c r="F79" s="99" t="n"/>
      <c r="G79" s="22" t="n"/>
      <c r="H79" s="22" t="inlineStr">
        <is>
          <t>디지아이</t>
        </is>
      </c>
      <c r="I79" s="14" t="n"/>
      <c r="J79" s="14" t="n"/>
      <c r="K79" s="12" t="n"/>
      <c r="L79" s="9" t="n"/>
      <c r="M79" s="9" t="n"/>
      <c r="N79" s="9" t="n"/>
      <c r="O79" s="40">
        <f>K79+V79-AE79-AZ79</f>
        <v/>
      </c>
      <c r="P79" s="12" t="n"/>
      <c r="Q79" s="138" t="n"/>
      <c r="R79" s="16" t="n"/>
      <c r="S79" s="139" t="n"/>
      <c r="T79" s="16" t="n"/>
      <c r="U79" s="139" t="n"/>
      <c r="V79" s="16">
        <f>P79+R79+T79</f>
        <v/>
      </c>
      <c r="W79" s="16" t="n"/>
      <c r="X79" s="139" t="n"/>
      <c r="Y79" s="16" t="n"/>
      <c r="Z79" s="139" t="n"/>
      <c r="AA79" s="16" t="n"/>
      <c r="AB79" s="139" t="n"/>
      <c r="AC79" s="16" t="n"/>
      <c r="AD79" s="139" t="n"/>
      <c r="AE79" s="16">
        <f>(W79+Y79+AA79+AC79)</f>
        <v/>
      </c>
      <c r="AF79" s="16" t="n"/>
      <c r="AG79" s="138" t="n"/>
      <c r="AH79" s="16" t="n"/>
      <c r="AI79" s="138" t="n"/>
      <c r="AJ79" s="16" t="n"/>
      <c r="AK79" s="138" t="n"/>
      <c r="AL79" s="16" t="n"/>
      <c r="AM79" s="138" t="n"/>
      <c r="AN79" s="16" t="n"/>
      <c r="AO79" s="138" t="n"/>
      <c r="AP79" s="16" t="n"/>
      <c r="AQ79" s="138" t="n"/>
      <c r="AR79" s="16" t="n"/>
      <c r="AS79" s="138" t="n"/>
      <c r="AT79" s="16" t="n"/>
      <c r="AU79" s="138" t="n"/>
      <c r="AV79" s="16" t="n"/>
      <c r="AW79" s="138" t="n"/>
      <c r="AX79" s="16" t="n"/>
      <c r="AY79" s="138" t="n"/>
      <c r="AZ79" s="16">
        <f>AF79+AH79+AJ79+AL79+AN79+AP79+AR79+AT79+AV79+AX79</f>
        <v/>
      </c>
      <c r="BA79" s="16" t="n"/>
      <c r="BB79" s="139" t="n"/>
      <c r="BC79" s="16" t="n"/>
      <c r="BD79" s="139" t="n"/>
      <c r="BE79" s="16">
        <f>(BA79+BC79)</f>
        <v/>
      </c>
    </row>
    <row r="80" ht="22.5" customFormat="1" customHeight="1" s="8">
      <c r="A80" s="9" t="n"/>
      <c r="B80" s="141" t="inlineStr">
        <is>
          <t>황동</t>
        </is>
      </c>
      <c r="C80" s="137" t="inlineStr">
        <is>
          <t>ADX4000W</t>
        </is>
      </c>
      <c r="D80" s="62" t="inlineStr">
        <is>
          <t>신주 케이스</t>
        </is>
      </c>
      <c r="E80" s="36" t="inlineStr">
        <is>
          <t>0.6T</t>
        </is>
      </c>
      <c r="F80" s="99" t="n"/>
      <c r="G80" s="22" t="n"/>
      <c r="H80" s="22" t="inlineStr">
        <is>
          <t>해진정밀</t>
        </is>
      </c>
      <c r="I80" s="14" t="n"/>
      <c r="J80" s="14" t="n"/>
      <c r="K80" s="12" t="n"/>
      <c r="L80" s="9" t="n"/>
      <c r="M80" s="9" t="n"/>
      <c r="N80" s="9" t="n"/>
      <c r="O80" s="40">
        <f>K80+V80-AE80-AZ80</f>
        <v/>
      </c>
      <c r="P80" s="12" t="n"/>
      <c r="Q80" s="138" t="n"/>
      <c r="R80" s="16" t="n"/>
      <c r="S80" s="139" t="n"/>
      <c r="T80" s="16" t="n"/>
      <c r="U80" s="139" t="n"/>
      <c r="V80" s="16">
        <f>P80+R80+T80</f>
        <v/>
      </c>
      <c r="W80" s="16" t="n"/>
      <c r="X80" s="139" t="n"/>
      <c r="Y80" s="16" t="n"/>
      <c r="Z80" s="139" t="n"/>
      <c r="AA80" s="16" t="n"/>
      <c r="AB80" s="139" t="n"/>
      <c r="AC80" s="16" t="n"/>
      <c r="AD80" s="139" t="n"/>
      <c r="AE80" s="16">
        <f>(W80+Y80+AA80+AC80)</f>
        <v/>
      </c>
      <c r="AF80" s="16" t="n"/>
      <c r="AG80" s="138" t="n"/>
      <c r="AH80" s="16" t="n"/>
      <c r="AI80" s="138" t="n"/>
      <c r="AJ80" s="16" t="n"/>
      <c r="AK80" s="138" t="n"/>
      <c r="AL80" s="16" t="n"/>
      <c r="AM80" s="138" t="n"/>
      <c r="AN80" s="16" t="n"/>
      <c r="AO80" s="138" t="n"/>
      <c r="AP80" s="16" t="n"/>
      <c r="AQ80" s="138" t="n"/>
      <c r="AR80" s="16" t="n"/>
      <c r="AS80" s="138" t="n"/>
      <c r="AT80" s="16" t="n"/>
      <c r="AU80" s="138" t="n"/>
      <c r="AV80" s="16" t="n"/>
      <c r="AW80" s="138" t="n"/>
      <c r="AX80" s="16" t="n"/>
      <c r="AY80" s="138" t="n"/>
      <c r="AZ80" s="16">
        <f>AF80+AH80+AJ80+AL80+AN80+AP80+AR80+AT80+AV80+AX80</f>
        <v/>
      </c>
      <c r="BA80" s="16" t="n"/>
      <c r="BB80" s="139" t="n"/>
      <c r="BC80" s="16" t="n"/>
      <c r="BD80" s="139" t="n"/>
      <c r="BE80" s="16">
        <f>(BA80+BC80)</f>
        <v/>
      </c>
    </row>
    <row r="81" ht="22.5" customFormat="1" customHeight="1" s="8">
      <c r="A81" s="9" t="n"/>
      <c r="B81" s="141" t="inlineStr">
        <is>
          <t>황동</t>
        </is>
      </c>
      <c r="C81" s="137" t="inlineStr">
        <is>
          <t>ADX6000</t>
        </is>
      </c>
      <c r="D81" s="62" t="inlineStr">
        <is>
          <t>신주 케이스 (10P)</t>
        </is>
      </c>
      <c r="E81" s="36" t="inlineStr">
        <is>
          <t>0.6T + 193 (커팅전)</t>
        </is>
      </c>
      <c r="F81" s="99" t="n"/>
      <c r="G81" s="22" t="n"/>
      <c r="H81" s="22" t="inlineStr">
        <is>
          <t>해진정밀</t>
        </is>
      </c>
      <c r="I81" s="14" t="n"/>
      <c r="J81" s="14" t="n"/>
      <c r="K81" s="12" t="n">
        <v>123</v>
      </c>
      <c r="L81" s="9" t="n"/>
      <c r="M81" s="9" t="n"/>
      <c r="N81" s="9" t="n"/>
      <c r="O81" s="40">
        <f>K81+V81-AE81-AZ81</f>
        <v/>
      </c>
      <c r="P81" s="12" t="n"/>
      <c r="Q81" s="138" t="n"/>
      <c r="R81" s="16" t="n"/>
      <c r="S81" s="139" t="n"/>
      <c r="T81" s="16" t="n"/>
      <c r="U81" s="139" t="n"/>
      <c r="V81" s="16">
        <f>P81+R81+T81</f>
        <v/>
      </c>
      <c r="W81" s="16" t="n"/>
      <c r="X81" s="139" t="n"/>
      <c r="Y81" s="16" t="n"/>
      <c r="Z81" s="139" t="n"/>
      <c r="AA81" s="16" t="n"/>
      <c r="AB81" s="139" t="n"/>
      <c r="AC81" s="16" t="n"/>
      <c r="AD81" s="139" t="n"/>
      <c r="AE81" s="16">
        <f>(W81+Y81+AA81+AC81)</f>
        <v/>
      </c>
      <c r="AF81" s="16" t="n"/>
      <c r="AG81" s="138" t="n"/>
      <c r="AH81" s="16" t="n"/>
      <c r="AI81" s="138" t="n"/>
      <c r="AJ81" s="16" t="n"/>
      <c r="AK81" s="138" t="n"/>
      <c r="AL81" s="16" t="n"/>
      <c r="AM81" s="138" t="n"/>
      <c r="AN81" s="16" t="n"/>
      <c r="AO81" s="138" t="n"/>
      <c r="AP81" s="16" t="n"/>
      <c r="AQ81" s="138" t="n"/>
      <c r="AR81" s="16" t="n"/>
      <c r="AS81" s="138" t="n"/>
      <c r="AT81" s="16" t="n"/>
      <c r="AU81" s="138" t="n"/>
      <c r="AV81" s="16" t="n"/>
      <c r="AW81" s="138" t="n"/>
      <c r="AX81" s="16" t="n"/>
      <c r="AY81" s="138" t="n"/>
      <c r="AZ81" s="16">
        <f>AF81+AH81+AJ81+AL81+AN81+AP81+AR81+AT81+AV81+AX81</f>
        <v/>
      </c>
      <c r="BA81" s="16" t="n"/>
      <c r="BB81" s="139" t="n"/>
      <c r="BC81" s="16" t="n"/>
      <c r="BD81" s="139" t="n"/>
      <c r="BE81" s="16">
        <f>(BA81+BC81)</f>
        <v/>
      </c>
    </row>
    <row r="82" ht="22.5" customFormat="1" customHeight="1" s="8">
      <c r="A82" s="9" t="n"/>
      <c r="B82" s="141" t="inlineStr">
        <is>
          <t>황동</t>
        </is>
      </c>
      <c r="C82" s="137" t="inlineStr">
        <is>
          <t>DX3000, ADX4000W ADX6000</t>
        </is>
      </c>
      <c r="D82" s="62" t="inlineStr">
        <is>
          <t>신주 케이스 뚜껑</t>
        </is>
      </c>
      <c r="E82" s="36" t="inlineStr">
        <is>
          <t>0.6T</t>
        </is>
      </c>
      <c r="F82" s="99" t="n"/>
      <c r="G82" s="22" t="n"/>
      <c r="H82" s="22" t="inlineStr">
        <is>
          <t>해진정밀</t>
        </is>
      </c>
      <c r="I82" s="14" t="n"/>
      <c r="J82" s="14" t="n"/>
      <c r="K82" s="12" t="n">
        <v>367</v>
      </c>
      <c r="L82" s="9" t="n"/>
      <c r="M82" s="9" t="n"/>
      <c r="N82" s="9" t="n"/>
      <c r="O82" s="40">
        <f>K82+V82-AE82-AZ82</f>
        <v/>
      </c>
      <c r="P82" s="12" t="n"/>
      <c r="Q82" s="138" t="n"/>
      <c r="R82" s="16" t="n"/>
      <c r="S82" s="139" t="n"/>
      <c r="T82" s="16" t="n"/>
      <c r="U82" s="139" t="n"/>
      <c r="V82" s="16">
        <f>P82+R82+T82</f>
        <v/>
      </c>
      <c r="W82" s="16" t="n"/>
      <c r="X82" s="139" t="n"/>
      <c r="Y82" s="16" t="n"/>
      <c r="Z82" s="139" t="n"/>
      <c r="AA82" s="16" t="n"/>
      <c r="AB82" s="139" t="n"/>
      <c r="AC82" s="16" t="n"/>
      <c r="AD82" s="139" t="n"/>
      <c r="AE82" s="16">
        <f>(W82+Y82+AA82+AC82)</f>
        <v/>
      </c>
      <c r="AF82" s="16" t="n"/>
      <c r="AG82" s="138" t="n"/>
      <c r="AH82" s="16" t="n"/>
      <c r="AI82" s="138" t="n"/>
      <c r="AJ82" s="16" t="n"/>
      <c r="AK82" s="138" t="n"/>
      <c r="AL82" s="16" t="n"/>
      <c r="AM82" s="138" t="n"/>
      <c r="AN82" s="16" t="n"/>
      <c r="AO82" s="138" t="n"/>
      <c r="AP82" s="16" t="n"/>
      <c r="AQ82" s="138" t="n"/>
      <c r="AR82" s="16" t="n"/>
      <c r="AS82" s="138" t="n"/>
      <c r="AT82" s="16" t="n"/>
      <c r="AU82" s="138" t="n"/>
      <c r="AV82" s="16" t="n"/>
      <c r="AW82" s="138" t="n"/>
      <c r="AX82" s="16" t="n"/>
      <c r="AY82" s="138" t="n"/>
      <c r="AZ82" s="16">
        <f>AF82+AH82+AJ82+AL82+AN82+AP82+AR82+AT82+AV82+AX82</f>
        <v/>
      </c>
      <c r="BA82" s="16" t="n"/>
      <c r="BB82" s="139" t="n"/>
      <c r="BC82" s="16" t="n"/>
      <c r="BD82" s="139" t="n"/>
      <c r="BE82" s="16">
        <f>(BA82+BC82)</f>
        <v/>
      </c>
    </row>
    <row r="83" ht="22.5" customFormat="1" customHeight="1" s="8">
      <c r="A83" s="9" t="n"/>
      <c r="B83" s="141" t="inlineStr">
        <is>
          <t>황동</t>
        </is>
      </c>
      <c r="C83" s="137" t="inlineStr">
        <is>
          <t>COCOON</t>
        </is>
      </c>
      <c r="D83" s="69" t="inlineStr">
        <is>
          <t>신주 케이스 뚜껑</t>
        </is>
      </c>
      <c r="E83" s="36" t="inlineStr">
        <is>
          <t>0.6T</t>
        </is>
      </c>
      <c r="F83" s="99" t="n"/>
      <c r="G83" s="22" t="n"/>
      <c r="H83" s="22" t="inlineStr">
        <is>
          <t>디지아이</t>
        </is>
      </c>
      <c r="I83" s="14" t="n"/>
      <c r="J83" s="14" t="n"/>
      <c r="K83" s="12" t="n">
        <v>588</v>
      </c>
      <c r="L83" s="9" t="n"/>
      <c r="M83" s="9" t="n"/>
      <c r="N83" s="9" t="n"/>
      <c r="O83" s="40">
        <f>K83+V83-AE83-AZ83</f>
        <v/>
      </c>
      <c r="P83" s="12" t="n"/>
      <c r="Q83" s="138" t="n"/>
      <c r="R83" s="16" t="n"/>
      <c r="S83" s="139" t="n"/>
      <c r="T83" s="16" t="n"/>
      <c r="U83" s="139" t="n"/>
      <c r="V83" s="16">
        <f>P83+R83+T83</f>
        <v/>
      </c>
      <c r="W83" s="16" t="n"/>
      <c r="X83" s="139" t="n"/>
      <c r="Y83" s="16" t="n"/>
      <c r="Z83" s="139" t="n"/>
      <c r="AA83" s="16" t="n"/>
      <c r="AB83" s="139" t="n"/>
      <c r="AC83" s="16" t="n"/>
      <c r="AD83" s="139" t="n"/>
      <c r="AE83" s="16">
        <f>(W83+Y83+AA83+AC83)</f>
        <v/>
      </c>
      <c r="AF83" s="16" t="n"/>
      <c r="AG83" s="138" t="n"/>
      <c r="AH83" s="16" t="n"/>
      <c r="AI83" s="138" t="n"/>
      <c r="AJ83" s="16" t="n"/>
      <c r="AK83" s="138" t="n"/>
      <c r="AL83" s="16" t="n"/>
      <c r="AM83" s="138" t="n"/>
      <c r="AN83" s="16" t="n"/>
      <c r="AO83" s="138" t="n"/>
      <c r="AP83" s="16" t="n"/>
      <c r="AQ83" s="138" t="n"/>
      <c r="AR83" s="16" t="n"/>
      <c r="AS83" s="138" t="n"/>
      <c r="AT83" s="16" t="n"/>
      <c r="AU83" s="138" t="n"/>
      <c r="AV83" s="16" t="n"/>
      <c r="AW83" s="138" t="n"/>
      <c r="AX83" s="16" t="n"/>
      <c r="AY83" s="138" t="n"/>
      <c r="AZ83" s="16">
        <f>AF83+AH83+AJ83+AL83+AN83+AP83+AR83+AT83+AV83+AX83</f>
        <v/>
      </c>
      <c r="BA83" s="16" t="n"/>
      <c r="BB83" s="139" t="n"/>
      <c r="BC83" s="16" t="n"/>
      <c r="BD83" s="139" t="n"/>
      <c r="BE83" s="16">
        <f>(BA83+BC83)</f>
        <v/>
      </c>
    </row>
    <row r="84" ht="22.5" customFormat="1" customHeight="1" s="8">
      <c r="A84" s="9" t="n"/>
      <c r="B84" s="141" t="inlineStr">
        <is>
          <t>황동</t>
        </is>
      </c>
      <c r="C84" s="137" t="inlineStr">
        <is>
          <t>SOLO</t>
        </is>
      </c>
      <c r="D84" s="69" t="inlineStr">
        <is>
          <t>신주 케이스 뚜껑</t>
        </is>
      </c>
      <c r="E84" s="36" t="inlineStr">
        <is>
          <t>0.6T</t>
        </is>
      </c>
      <c r="F84" s="99" t="n"/>
      <c r="G84" s="22" t="n"/>
      <c r="H84" s="22" t="inlineStr">
        <is>
          <t>디지아이</t>
        </is>
      </c>
      <c r="I84" s="14" t="n"/>
      <c r="J84" s="14" t="n"/>
      <c r="K84" s="12" t="n">
        <v>545</v>
      </c>
      <c r="L84" s="9" t="n"/>
      <c r="M84" s="9" t="n"/>
      <c r="N84" s="9" t="n"/>
      <c r="O84" s="40">
        <f>K84+V84-AE84-AZ84</f>
        <v/>
      </c>
      <c r="P84" s="12" t="n"/>
      <c r="Q84" s="138" t="n"/>
      <c r="R84" s="16" t="n"/>
      <c r="S84" s="139" t="n"/>
      <c r="T84" s="16" t="n"/>
      <c r="U84" s="139" t="n"/>
      <c r="V84" s="16">
        <f>P84+R84+T84</f>
        <v/>
      </c>
      <c r="W84" s="16" t="n"/>
      <c r="X84" s="139" t="n"/>
      <c r="Y84" s="16" t="n"/>
      <c r="Z84" s="139" t="n"/>
      <c r="AA84" s="16" t="n"/>
      <c r="AB84" s="139" t="n"/>
      <c r="AC84" s="16" t="n"/>
      <c r="AD84" s="139" t="n"/>
      <c r="AE84" s="16">
        <f>(W84+Y84+AA84+AC84)</f>
        <v/>
      </c>
      <c r="AF84" s="16" t="n"/>
      <c r="AG84" s="138" t="n"/>
      <c r="AH84" s="16" t="n"/>
      <c r="AI84" s="138" t="n"/>
      <c r="AJ84" s="16" t="n"/>
      <c r="AK84" s="138" t="n"/>
      <c r="AL84" s="16" t="n"/>
      <c r="AM84" s="138" t="n"/>
      <c r="AN84" s="16" t="n"/>
      <c r="AO84" s="138" t="n"/>
      <c r="AP84" s="16" t="n"/>
      <c r="AQ84" s="138" t="n"/>
      <c r="AR84" s="16" t="n"/>
      <c r="AS84" s="138" t="n"/>
      <c r="AT84" s="16" t="n"/>
      <c r="AU84" s="138" t="n"/>
      <c r="AV84" s="16" t="n"/>
      <c r="AW84" s="138" t="n"/>
      <c r="AX84" s="16" t="n"/>
      <c r="AY84" s="138" t="n"/>
      <c r="AZ84" s="16">
        <f>AF84+AH84+AJ84+AL84+AN84+AP84+AR84+AT84+AV84+AX84</f>
        <v/>
      </c>
      <c r="BA84" s="16" t="n"/>
      <c r="BB84" s="139" t="n"/>
      <c r="BC84" s="16" t="n"/>
      <c r="BD84" s="139" t="n"/>
      <c r="BE84" s="16">
        <f>(BA84+BC84)</f>
        <v/>
      </c>
    </row>
    <row r="85" ht="22.5" customFormat="1" customHeight="1" s="8">
      <c r="A85" s="9" t="n"/>
      <c r="B85" s="141" t="inlineStr">
        <is>
          <t>황동</t>
        </is>
      </c>
      <c r="C85" s="142" t="inlineStr">
        <is>
          <t>공용</t>
        </is>
      </c>
      <c r="D85" s="62" t="inlineStr">
        <is>
          <t>방사구</t>
        </is>
      </c>
      <c r="E85" s="36" t="n"/>
      <c r="F85" s="99" t="n"/>
      <c r="G85" s="22" t="n"/>
      <c r="H85" s="22" t="inlineStr">
        <is>
          <t>해진정밀</t>
        </is>
      </c>
      <c r="I85" s="14" t="n"/>
      <c r="J85" s="14" t="n"/>
      <c r="K85" s="12" t="n">
        <v>800</v>
      </c>
      <c r="L85" s="9" t="n"/>
      <c r="M85" s="9" t="n"/>
      <c r="N85" s="9" t="n"/>
      <c r="O85" s="40">
        <f>K85+V85-AE85-AZ85</f>
        <v/>
      </c>
      <c r="P85" s="12" t="n"/>
      <c r="Q85" s="138" t="n"/>
      <c r="R85" s="16" t="n"/>
      <c r="S85" s="139" t="n"/>
      <c r="T85" s="16" t="n"/>
      <c r="U85" s="139" t="n"/>
      <c r="V85" s="16">
        <f>P85+R85+T85</f>
        <v/>
      </c>
      <c r="W85" s="16" t="n"/>
      <c r="X85" s="139" t="n"/>
      <c r="Y85" s="16" t="n"/>
      <c r="Z85" s="139" t="n"/>
      <c r="AA85" s="16" t="n"/>
      <c r="AB85" s="139" t="n"/>
      <c r="AC85" s="16" t="n"/>
      <c r="AD85" s="139" t="n"/>
      <c r="AE85" s="16">
        <f>(W85+Y85+AA85+AC85)</f>
        <v/>
      </c>
      <c r="AF85" s="16" t="n"/>
      <c r="AG85" s="138" t="n"/>
      <c r="AH85" s="16" t="n"/>
      <c r="AI85" s="138" t="n"/>
      <c r="AJ85" s="16" t="n"/>
      <c r="AK85" s="138" t="n"/>
      <c r="AL85" s="16" t="n"/>
      <c r="AM85" s="138" t="n"/>
      <c r="AN85" s="16" t="n"/>
      <c r="AO85" s="138" t="n"/>
      <c r="AP85" s="16" t="n"/>
      <c r="AQ85" s="138" t="n"/>
      <c r="AR85" s="16" t="n"/>
      <c r="AS85" s="138" t="n"/>
      <c r="AT85" s="16" t="n"/>
      <c r="AU85" s="138" t="n"/>
      <c r="AV85" s="16" t="n"/>
      <c r="AW85" s="138" t="n"/>
      <c r="AX85" s="16" t="n"/>
      <c r="AY85" s="138" t="n"/>
      <c r="AZ85" s="16">
        <f>AF85+AH85+AJ85+AL85+AN85+AP85+AR85+AT85+AV85+AX85</f>
        <v/>
      </c>
      <c r="BA85" s="16" t="n"/>
      <c r="BB85" s="139" t="n"/>
      <c r="BC85" s="16" t="n"/>
      <c r="BD85" s="139" t="n"/>
      <c r="BE85" s="16">
        <f>(BA85+BC85)</f>
        <v/>
      </c>
    </row>
    <row r="86" ht="22.5" customFormat="1" customHeight="1" s="8">
      <c r="A86" s="9" t="n"/>
      <c r="B86" s="141" t="inlineStr">
        <is>
          <t>황동</t>
        </is>
      </c>
      <c r="C86" s="142" t="inlineStr">
        <is>
          <t>공용</t>
        </is>
      </c>
      <c r="D86" s="62" t="inlineStr">
        <is>
          <t>방사구</t>
        </is>
      </c>
      <c r="E86" s="36" t="inlineStr">
        <is>
          <t>외경 탭 추가</t>
        </is>
      </c>
      <c r="F86" s="99" t="n"/>
      <c r="G86" s="22" t="n"/>
      <c r="H86" s="22" t="inlineStr">
        <is>
          <t>해진정밀</t>
        </is>
      </c>
      <c r="I86" s="14" t="n"/>
      <c r="J86" s="14" t="n"/>
      <c r="K86" s="12" t="n"/>
      <c r="L86" s="9" t="n"/>
      <c r="M86" s="9" t="n"/>
      <c r="N86" s="9" t="n"/>
      <c r="O86" s="40">
        <f>K86+V86-AE86-AZ86</f>
        <v/>
      </c>
      <c r="P86" s="12" t="n"/>
      <c r="Q86" s="138" t="n"/>
      <c r="R86" s="16" t="n"/>
      <c r="S86" s="139" t="n"/>
      <c r="T86" s="16" t="n"/>
      <c r="U86" s="139" t="n"/>
      <c r="V86" s="16">
        <f>P86+R86+T86</f>
        <v/>
      </c>
      <c r="W86" s="16" t="n"/>
      <c r="X86" s="139" t="n"/>
      <c r="Y86" s="16" t="n"/>
      <c r="Z86" s="139" t="n"/>
      <c r="AA86" s="16" t="n"/>
      <c r="AB86" s="139" t="n"/>
      <c r="AC86" s="16" t="n"/>
      <c r="AD86" s="139" t="n"/>
      <c r="AE86" s="16">
        <f>(W86+Y86+AA86+AC86)</f>
        <v/>
      </c>
      <c r="AF86" s="16" t="n"/>
      <c r="AG86" s="138" t="n"/>
      <c r="AH86" s="16" t="n"/>
      <c r="AI86" s="138" t="n"/>
      <c r="AJ86" s="16" t="n"/>
      <c r="AK86" s="138" t="n"/>
      <c r="AL86" s="16" t="n"/>
      <c r="AM86" s="138" t="n"/>
      <c r="AN86" s="16" t="n"/>
      <c r="AO86" s="138" t="n"/>
      <c r="AP86" s="16" t="n"/>
      <c r="AQ86" s="138" t="n"/>
      <c r="AR86" s="16" t="n"/>
      <c r="AS86" s="138" t="n"/>
      <c r="AT86" s="16" t="n"/>
      <c r="AU86" s="138" t="n"/>
      <c r="AV86" s="16" t="n"/>
      <c r="AW86" s="138" t="n"/>
      <c r="AX86" s="16" t="n"/>
      <c r="AY86" s="138" t="n"/>
      <c r="AZ86" s="16">
        <f>AF86+AH86+AJ86+AL86+AN86+AP86+AR86+AT86+AV86+AX86</f>
        <v/>
      </c>
      <c r="BA86" s="16" t="n"/>
      <c r="BB86" s="139" t="n"/>
      <c r="BC86" s="16" t="n"/>
      <c r="BD86" s="139" t="n"/>
      <c r="BE86" s="16">
        <f>(BA86+BC86)</f>
        <v/>
      </c>
    </row>
    <row r="87" ht="22.5" customFormat="1" customHeight="1" s="8">
      <c r="A87" s="9" t="n"/>
      <c r="B87" s="141" t="inlineStr">
        <is>
          <t>황동</t>
        </is>
      </c>
      <c r="C87" s="142" t="inlineStr">
        <is>
          <t>공용</t>
        </is>
      </c>
      <c r="D87" s="69" t="inlineStr">
        <is>
          <t>방사구 너트</t>
        </is>
      </c>
      <c r="E87" s="36" t="n"/>
      <c r="F87" s="99" t="n"/>
      <c r="G87" s="22" t="n"/>
      <c r="H87" s="22" t="inlineStr">
        <is>
          <t>해진정밀</t>
        </is>
      </c>
      <c r="I87" s="14" t="n"/>
      <c r="J87" s="14" t="n"/>
      <c r="K87" s="12" t="n">
        <v>3473</v>
      </c>
      <c r="L87" s="9" t="n"/>
      <c r="M87" s="9" t="n"/>
      <c r="N87" s="9" t="n"/>
      <c r="O87" s="40">
        <f>K87+V87-AE87-AZ87</f>
        <v/>
      </c>
      <c r="P87" s="12" t="n"/>
      <c r="Q87" s="138" t="n"/>
      <c r="R87" s="16" t="n"/>
      <c r="S87" s="139" t="n"/>
      <c r="T87" s="16" t="n"/>
      <c r="U87" s="139" t="n"/>
      <c r="V87" s="16">
        <f>P87+R87+T87</f>
        <v/>
      </c>
      <c r="W87" s="16" t="n"/>
      <c r="X87" s="139" t="n"/>
      <c r="Y87" s="16" t="n"/>
      <c r="Z87" s="139" t="n"/>
      <c r="AA87" s="16" t="n"/>
      <c r="AB87" s="139" t="n"/>
      <c r="AC87" s="16" t="n"/>
      <c r="AD87" s="139" t="n"/>
      <c r="AE87" s="16">
        <f>(W87+Y87+AA87+AC87)</f>
        <v/>
      </c>
      <c r="AF87" s="16" t="n"/>
      <c r="AG87" s="138" t="n"/>
      <c r="AH87" s="16" t="n"/>
      <c r="AI87" s="138" t="n"/>
      <c r="AJ87" s="16" t="n"/>
      <c r="AK87" s="138" t="n"/>
      <c r="AL87" s="16" t="n"/>
      <c r="AM87" s="138" t="n"/>
      <c r="AN87" s="16" t="n"/>
      <c r="AO87" s="138" t="n"/>
      <c r="AP87" s="16" t="n"/>
      <c r="AQ87" s="138" t="n"/>
      <c r="AR87" s="16" t="n"/>
      <c r="AS87" s="138" t="n"/>
      <c r="AT87" s="16" t="n"/>
      <c r="AU87" s="138" t="n"/>
      <c r="AV87" s="16" t="n"/>
      <c r="AW87" s="138" t="n"/>
      <c r="AX87" s="16" t="n"/>
      <c r="AY87" s="138" t="n"/>
      <c r="AZ87" s="16">
        <f>AF87+AH87+AJ87+AL87+AN87+AP87+AR87+AT87+AV87+AX87</f>
        <v/>
      </c>
      <c r="BA87" s="16" t="n"/>
      <c r="BB87" s="139" t="n"/>
      <c r="BC87" s="16" t="n"/>
      <c r="BD87" s="139" t="n"/>
      <c r="BE87" s="16">
        <f>(BA87+BC87)</f>
        <v/>
      </c>
    </row>
    <row r="88" ht="22.5" customFormat="1" customHeight="1" s="8">
      <c r="A88" s="9" t="n"/>
      <c r="B88" s="141" t="inlineStr">
        <is>
          <t>AL</t>
        </is>
      </c>
      <c r="C88" s="137" t="inlineStr">
        <is>
          <t>DX3000, ADX4000W ADX6000</t>
        </is>
      </c>
      <c r="D88" s="62" t="inlineStr">
        <is>
          <t>알루미늄 필터</t>
        </is>
      </c>
      <c r="E88" s="36" t="inlineStr">
        <is>
          <t>0.8T * Φ24</t>
        </is>
      </c>
      <c r="F88" s="99" t="n"/>
      <c r="G88" s="22" t="n"/>
      <c r="H88" s="22" t="inlineStr">
        <is>
          <t>광전레이저</t>
        </is>
      </c>
      <c r="I88" s="14" t="n"/>
      <c r="J88" s="14" t="n"/>
      <c r="K88" s="12" t="n">
        <v>1516</v>
      </c>
      <c r="L88" s="9" t="n"/>
      <c r="M88" s="9" t="n"/>
      <c r="N88" s="9" t="n"/>
      <c r="O88" s="40">
        <f>K88+V88-AE88-AZ88</f>
        <v/>
      </c>
      <c r="P88" s="12" t="n"/>
      <c r="Q88" s="138" t="n"/>
      <c r="R88" s="16" t="n"/>
      <c r="S88" s="139" t="n"/>
      <c r="T88" s="16" t="n"/>
      <c r="U88" s="139" t="n"/>
      <c r="V88" s="16">
        <f>P88+R88+T88</f>
        <v/>
      </c>
      <c r="W88" s="16" t="n"/>
      <c r="X88" s="139" t="n"/>
      <c r="Y88" s="16" t="n"/>
      <c r="Z88" s="139" t="n"/>
      <c r="AA88" s="16" t="n"/>
      <c r="AB88" s="139" t="n"/>
      <c r="AC88" s="16" t="n"/>
      <c r="AD88" s="139" t="n"/>
      <c r="AE88" s="16">
        <f>(W88+Y88+AA88+AC88)</f>
        <v/>
      </c>
      <c r="AF88" s="16" t="n"/>
      <c r="AG88" s="138" t="n"/>
      <c r="AH88" s="16" t="n"/>
      <c r="AI88" s="138" t="n"/>
      <c r="AJ88" s="16" t="n"/>
      <c r="AK88" s="138" t="n"/>
      <c r="AL88" s="16" t="n"/>
      <c r="AM88" s="138" t="n"/>
      <c r="AN88" s="16" t="n"/>
      <c r="AO88" s="138" t="n"/>
      <c r="AP88" s="16" t="n"/>
      <c r="AQ88" s="138" t="n"/>
      <c r="AR88" s="16" t="n"/>
      <c r="AS88" s="138" t="n"/>
      <c r="AT88" s="16" t="n"/>
      <c r="AU88" s="138" t="n"/>
      <c r="AV88" s="16" t="n"/>
      <c r="AW88" s="138" t="n"/>
      <c r="AX88" s="16" t="n"/>
      <c r="AY88" s="138" t="n"/>
      <c r="AZ88" s="16">
        <f>AF88+AH88+AJ88+AL88+AN88+AP88+AR88+AT88+AV88+AX88</f>
        <v/>
      </c>
      <c r="BA88" s="16" t="n"/>
      <c r="BB88" s="139" t="n"/>
      <c r="BC88" s="16" t="n"/>
      <c r="BD88" s="139" t="n"/>
      <c r="BE88" s="16">
        <f>(BA88+BC88)</f>
        <v/>
      </c>
    </row>
    <row r="89" ht="22.5" customFormat="1" customHeight="1" s="8">
      <c r="A89" s="9" t="n"/>
      <c r="B89" s="141" t="inlineStr">
        <is>
          <t>AL</t>
        </is>
      </c>
      <c r="C89" s="137" t="inlineStr">
        <is>
          <t>COCOON</t>
        </is>
      </c>
      <c r="D89" s="62" t="inlineStr">
        <is>
          <t>알루미늄 필터</t>
        </is>
      </c>
      <c r="E89" s="36" t="inlineStr">
        <is>
          <t>1.2T * Φ24</t>
        </is>
      </c>
      <c r="F89" s="99" t="n"/>
      <c r="G89" s="22" t="n"/>
      <c r="H89" s="22" t="inlineStr">
        <is>
          <t>광전레이저</t>
        </is>
      </c>
      <c r="I89" s="14" t="n"/>
      <c r="J89" s="14" t="n"/>
      <c r="K89" s="12" t="n"/>
      <c r="L89" s="9" t="n"/>
      <c r="M89" s="9" t="n"/>
      <c r="N89" s="9" t="n"/>
      <c r="O89" s="40">
        <f>K89+V89-AE89-AZ89</f>
        <v/>
      </c>
      <c r="P89" s="12" t="n"/>
      <c r="Q89" s="138" t="n"/>
      <c r="R89" s="16" t="n"/>
      <c r="S89" s="139" t="n"/>
      <c r="T89" s="16" t="n"/>
      <c r="U89" s="139" t="n"/>
      <c r="V89" s="16">
        <f>P89+R89+T89</f>
        <v/>
      </c>
      <c r="W89" s="16" t="n"/>
      <c r="X89" s="139" t="n"/>
      <c r="Y89" s="16" t="n"/>
      <c r="Z89" s="139" t="n"/>
      <c r="AA89" s="16" t="n"/>
      <c r="AB89" s="139" t="n"/>
      <c r="AC89" s="16" t="n"/>
      <c r="AD89" s="139" t="n"/>
      <c r="AE89" s="16">
        <f>(W89+Y89+AA89+AC89)</f>
        <v/>
      </c>
      <c r="AF89" s="16" t="n"/>
      <c r="AG89" s="138" t="n"/>
      <c r="AH89" s="16" t="n"/>
      <c r="AI89" s="138" t="n"/>
      <c r="AJ89" s="16" t="n"/>
      <c r="AK89" s="138" t="n"/>
      <c r="AL89" s="16" t="n"/>
      <c r="AM89" s="138" t="n"/>
      <c r="AN89" s="16" t="n"/>
      <c r="AO89" s="138" t="n"/>
      <c r="AP89" s="16" t="n"/>
      <c r="AQ89" s="138" t="n"/>
      <c r="AR89" s="16" t="n"/>
      <c r="AS89" s="138" t="n"/>
      <c r="AT89" s="16" t="n"/>
      <c r="AU89" s="138" t="n"/>
      <c r="AV89" s="16" t="n"/>
      <c r="AW89" s="138" t="n"/>
      <c r="AX89" s="16" t="n"/>
      <c r="AY89" s="138" t="n"/>
      <c r="AZ89" s="16">
        <f>AF89+AH89+AJ89+AL89+AN89+AP89+AR89+AT89+AV89+AX89</f>
        <v/>
      </c>
      <c r="BA89" s="16" t="n"/>
      <c r="BB89" s="139" t="n"/>
      <c r="BC89" s="16" t="n"/>
      <c r="BD89" s="139" t="n"/>
      <c r="BE89" s="16">
        <f>(BA89+BC89)</f>
        <v/>
      </c>
    </row>
    <row r="90" ht="22.5" customFormat="1" customHeight="1" s="8">
      <c r="A90" s="9" t="n"/>
      <c r="B90" s="141" t="inlineStr">
        <is>
          <t>AL</t>
        </is>
      </c>
      <c r="C90" s="137" t="inlineStr">
        <is>
          <t>ADX6000</t>
        </is>
      </c>
      <c r="D90" s="62" t="inlineStr">
        <is>
          <t>알루미늄 필터</t>
        </is>
      </c>
      <c r="E90" s="36" t="inlineStr">
        <is>
          <t>2T * Φ24</t>
        </is>
      </c>
      <c r="F90" s="99" t="n"/>
      <c r="G90" s="22" t="n"/>
      <c r="H90" s="22" t="inlineStr">
        <is>
          <t>광전레이저</t>
        </is>
      </c>
      <c r="I90" s="14" t="n"/>
      <c r="J90" s="14" t="n"/>
      <c r="K90" s="12" t="n"/>
      <c r="L90" s="9" t="n"/>
      <c r="M90" s="9" t="n"/>
      <c r="N90" s="9" t="n"/>
      <c r="O90" s="40">
        <f>K90+V90-AE90-AZ90</f>
        <v/>
      </c>
      <c r="P90" s="12" t="n"/>
      <c r="Q90" s="138" t="n"/>
      <c r="R90" s="16" t="n"/>
      <c r="S90" s="139" t="n"/>
      <c r="T90" s="16" t="n"/>
      <c r="U90" s="139" t="n"/>
      <c r="V90" s="16">
        <f>P90+R90+T90</f>
        <v/>
      </c>
      <c r="W90" s="16" t="n"/>
      <c r="X90" s="139" t="n"/>
      <c r="Y90" s="16" t="n"/>
      <c r="Z90" s="139" t="n"/>
      <c r="AA90" s="16" t="n"/>
      <c r="AB90" s="139" t="n"/>
      <c r="AC90" s="16" t="n"/>
      <c r="AD90" s="139" t="n"/>
      <c r="AE90" s="16">
        <f>(W90+Y90+AA90+AC90)</f>
        <v/>
      </c>
      <c r="AF90" s="16" t="n"/>
      <c r="AG90" s="138" t="n"/>
      <c r="AH90" s="16" t="n"/>
      <c r="AI90" s="138" t="n"/>
      <c r="AJ90" s="16" t="n"/>
      <c r="AK90" s="138" t="n"/>
      <c r="AL90" s="16" t="n"/>
      <c r="AM90" s="138" t="n"/>
      <c r="AN90" s="16" t="n"/>
      <c r="AO90" s="138" t="n"/>
      <c r="AP90" s="16" t="n"/>
      <c r="AQ90" s="138" t="n"/>
      <c r="AR90" s="16" t="n"/>
      <c r="AS90" s="138" t="n"/>
      <c r="AT90" s="16" t="n"/>
      <c r="AU90" s="138" t="n"/>
      <c r="AV90" s="16" t="n"/>
      <c r="AW90" s="138" t="n"/>
      <c r="AX90" s="16" t="n"/>
      <c r="AY90" s="138" t="n"/>
      <c r="AZ90" s="16">
        <f>AF90+AH90+AJ90+AL90+AN90+AP90+AR90+AT90+AV90+AX90</f>
        <v/>
      </c>
      <c r="BA90" s="16" t="n"/>
      <c r="BB90" s="139" t="n"/>
      <c r="BC90" s="16" t="n"/>
      <c r="BD90" s="139" t="n"/>
      <c r="BE90" s="16">
        <f>(BA90+BC90)</f>
        <v/>
      </c>
    </row>
    <row r="91" ht="22.5" customFormat="1" customHeight="1" s="8">
      <c r="A91" s="9" t="n"/>
      <c r="B91" s="141" t="inlineStr">
        <is>
          <t>오링</t>
        </is>
      </c>
      <c r="C91" s="142" t="inlineStr">
        <is>
          <t>공용</t>
        </is>
      </c>
      <c r="D91" s="62" t="inlineStr">
        <is>
          <t>방사구 오링</t>
        </is>
      </c>
      <c r="E91" s="36" t="inlineStr">
        <is>
          <t>2*18</t>
        </is>
      </c>
      <c r="F91" s="99" t="n"/>
      <c r="G91" s="22" t="n"/>
      <c r="H91" s="22" t="n"/>
      <c r="I91" s="14" t="n"/>
      <c r="J91" s="14" t="n"/>
      <c r="K91" s="12" t="n"/>
      <c r="L91" s="9" t="n"/>
      <c r="M91" s="9" t="n"/>
      <c r="N91" s="9" t="n"/>
      <c r="O91" s="40">
        <f>K91+V91-AE91-AZ91</f>
        <v/>
      </c>
      <c r="P91" s="12" t="n"/>
      <c r="Q91" s="138" t="n"/>
      <c r="R91" s="16" t="n"/>
      <c r="S91" s="139" t="n"/>
      <c r="T91" s="16" t="n"/>
      <c r="U91" s="139" t="n"/>
      <c r="V91" s="16">
        <f>P91+R91+T91</f>
        <v/>
      </c>
      <c r="W91" s="16" t="n"/>
      <c r="X91" s="139" t="n"/>
      <c r="Y91" s="16" t="n"/>
      <c r="Z91" s="139" t="n"/>
      <c r="AA91" s="16" t="n"/>
      <c r="AB91" s="139" t="n"/>
      <c r="AC91" s="16" t="n"/>
      <c r="AD91" s="139" t="n"/>
      <c r="AE91" s="16">
        <f>(W91+Y91+AA91+AC91)</f>
        <v/>
      </c>
      <c r="AF91" s="16" t="n"/>
      <c r="AG91" s="138" t="n"/>
      <c r="AH91" s="16" t="n"/>
      <c r="AI91" s="138" t="n"/>
      <c r="AJ91" s="16" t="n"/>
      <c r="AK91" s="138" t="n"/>
      <c r="AL91" s="16" t="n"/>
      <c r="AM91" s="138" t="n"/>
      <c r="AN91" s="16" t="n"/>
      <c r="AO91" s="138" t="n"/>
      <c r="AP91" s="16" t="n"/>
      <c r="AQ91" s="138" t="n"/>
      <c r="AR91" s="16" t="n"/>
      <c r="AS91" s="138" t="n"/>
      <c r="AT91" s="16" t="n"/>
      <c r="AU91" s="138" t="n"/>
      <c r="AV91" s="16" t="n"/>
      <c r="AW91" s="138" t="n"/>
      <c r="AX91" s="16" t="n"/>
      <c r="AY91" s="138" t="n"/>
      <c r="AZ91" s="16">
        <f>AF91+AH91+AJ91+AL91+AN91+AP91+AR91+AT91+AV91+AX91</f>
        <v/>
      </c>
      <c r="BA91" s="16" t="n"/>
      <c r="BB91" s="139" t="n"/>
      <c r="BC91" s="16" t="n"/>
      <c r="BD91" s="139" t="n"/>
      <c r="BE91" s="16">
        <f>(BA91+BC91)</f>
        <v/>
      </c>
    </row>
    <row r="92" ht="22.5" customFormat="1" customHeight="1" s="8">
      <c r="A92" s="9" t="n"/>
      <c r="B92" s="141" t="inlineStr">
        <is>
          <t>BOARD</t>
        </is>
      </c>
      <c r="C92" s="137" t="inlineStr">
        <is>
          <t>DX3000, ADX4000W</t>
        </is>
      </c>
      <c r="D92" s="70" t="inlineStr">
        <is>
          <t>3 PIN 커넥터</t>
        </is>
      </c>
      <c r="E92" s="36" t="n"/>
      <c r="F92" s="99" t="n"/>
      <c r="G92" s="22" t="n"/>
      <c r="H92" s="22" t="n"/>
      <c r="I92" s="14" t="n"/>
      <c r="J92" s="14" t="n"/>
      <c r="K92" s="12" t="n"/>
      <c r="L92" s="9" t="n"/>
      <c r="M92" s="9" t="n"/>
      <c r="N92" s="9" t="n"/>
      <c r="O92" s="40">
        <f>K92+V92-AE92-AZ92</f>
        <v/>
      </c>
      <c r="P92" s="12" t="n"/>
      <c r="Q92" s="138" t="n"/>
      <c r="R92" s="16" t="n"/>
      <c r="S92" s="139" t="n"/>
      <c r="T92" s="16" t="n"/>
      <c r="U92" s="139" t="n"/>
      <c r="V92" s="16">
        <f>P92+R92+T92</f>
        <v/>
      </c>
      <c r="W92" s="16" t="n"/>
      <c r="X92" s="139" t="n"/>
      <c r="Y92" s="16" t="n"/>
      <c r="Z92" s="139" t="n"/>
      <c r="AA92" s="16" t="n"/>
      <c r="AB92" s="139" t="n"/>
      <c r="AC92" s="16" t="n"/>
      <c r="AD92" s="139" t="n"/>
      <c r="AE92" s="16">
        <f>(W92+Y92+AA92+AC92)</f>
        <v/>
      </c>
      <c r="AF92" s="16" t="n"/>
      <c r="AG92" s="138" t="n"/>
      <c r="AH92" s="16" t="n"/>
      <c r="AI92" s="138" t="n"/>
      <c r="AJ92" s="16" t="n"/>
      <c r="AK92" s="138" t="n"/>
      <c r="AL92" s="16" t="n"/>
      <c r="AM92" s="138" t="n"/>
      <c r="AN92" s="16" t="n"/>
      <c r="AO92" s="138" t="n"/>
      <c r="AP92" s="16" t="n"/>
      <c r="AQ92" s="138" t="n"/>
      <c r="AR92" s="16" t="n"/>
      <c r="AS92" s="138" t="n"/>
      <c r="AT92" s="16" t="n"/>
      <c r="AU92" s="138" t="n"/>
      <c r="AV92" s="16" t="n"/>
      <c r="AW92" s="138" t="n"/>
      <c r="AX92" s="16" t="n"/>
      <c r="AY92" s="138" t="n"/>
      <c r="AZ92" s="16">
        <f>AF92+AH92+AJ92+AL92+AN92+AP92+AR92+AT92+AV92+AX92</f>
        <v/>
      </c>
      <c r="BA92" s="16" t="n"/>
      <c r="BB92" s="139" t="n"/>
      <c r="BC92" s="16" t="n"/>
      <c r="BD92" s="139" t="n"/>
      <c r="BE92" s="16">
        <f>(BA92+BC92)</f>
        <v/>
      </c>
    </row>
    <row r="93" ht="22.5" customFormat="1" customHeight="1" s="8">
      <c r="A93" s="9" t="n"/>
      <c r="B93" s="141" t="inlineStr">
        <is>
          <t>BOARD</t>
        </is>
      </c>
      <c r="C93" s="137" t="inlineStr">
        <is>
          <t>DX3000,ADX4000W
COCOON,ADX6000</t>
        </is>
      </c>
      <c r="D93" s="70" t="inlineStr">
        <is>
          <t>4 PIN 커넥터</t>
        </is>
      </c>
      <c r="E93" s="36" t="n"/>
      <c r="F93" s="99" t="n"/>
      <c r="G93" s="22" t="n"/>
      <c r="H93" s="22" t="n"/>
      <c r="I93" s="14" t="n"/>
      <c r="J93" s="14" t="n"/>
      <c r="K93" s="12" t="n"/>
      <c r="L93" s="9" t="n"/>
      <c r="M93" s="9" t="n"/>
      <c r="N93" s="9" t="n"/>
      <c r="O93" s="40">
        <f>K93+V93-AE93-AZ93</f>
        <v/>
      </c>
      <c r="P93" s="12" t="n"/>
      <c r="Q93" s="138" t="n"/>
      <c r="R93" s="16" t="n"/>
      <c r="S93" s="139" t="n"/>
      <c r="T93" s="16" t="n"/>
      <c r="U93" s="139" t="n"/>
      <c r="V93" s="16">
        <f>P93+R93+T93</f>
        <v/>
      </c>
      <c r="W93" s="16" t="n"/>
      <c r="X93" s="139" t="n"/>
      <c r="Y93" s="16" t="n"/>
      <c r="Z93" s="139" t="n"/>
      <c r="AA93" s="16" t="n"/>
      <c r="AB93" s="139" t="n"/>
      <c r="AC93" s="16" t="n"/>
      <c r="AD93" s="139" t="n"/>
      <c r="AE93" s="16">
        <f>(W93+Y93+AA93+AC93)</f>
        <v/>
      </c>
      <c r="AF93" s="16" t="n"/>
      <c r="AG93" s="138" t="n"/>
      <c r="AH93" s="16" t="n"/>
      <c r="AI93" s="138" t="n"/>
      <c r="AJ93" s="16" t="n"/>
      <c r="AK93" s="138" t="n"/>
      <c r="AL93" s="16" t="n"/>
      <c r="AM93" s="138" t="n"/>
      <c r="AN93" s="16" t="n"/>
      <c r="AO93" s="138" t="n"/>
      <c r="AP93" s="16" t="n"/>
      <c r="AQ93" s="138" t="n"/>
      <c r="AR93" s="16" t="n"/>
      <c r="AS93" s="138" t="n"/>
      <c r="AT93" s="16" t="n"/>
      <c r="AU93" s="138" t="n"/>
      <c r="AV93" s="16" t="n"/>
      <c r="AW93" s="138" t="n"/>
      <c r="AX93" s="16" t="n"/>
      <c r="AY93" s="138" t="n"/>
      <c r="AZ93" s="16">
        <f>AF93+AH93+AJ93+AL93+AN93+AP93+AR93+AT93+AV93+AX93</f>
        <v/>
      </c>
      <c r="BA93" s="16" t="n"/>
      <c r="BB93" s="139" t="n"/>
      <c r="BC93" s="16" t="n"/>
      <c r="BD93" s="139" t="n"/>
      <c r="BE93" s="16">
        <f>(BA93+BC93)</f>
        <v/>
      </c>
    </row>
    <row r="94" ht="22.5" customFormat="1" customHeight="1" s="8">
      <c r="A94" s="9" t="n"/>
      <c r="B94" s="141" t="inlineStr">
        <is>
          <t>BOARD</t>
        </is>
      </c>
      <c r="C94" s="137" t="inlineStr">
        <is>
          <t>DX3000, ADX4000W</t>
        </is>
      </c>
      <c r="D94" s="70" t="inlineStr">
        <is>
          <t>7핀 B/D</t>
        </is>
      </c>
      <c r="E94" s="36" t="inlineStr">
        <is>
          <t>190*88*1.6T*2L</t>
        </is>
      </c>
      <c r="F94" s="99" t="n"/>
      <c r="G94" s="22" t="n"/>
      <c r="H94" s="22" t="inlineStr">
        <is>
          <t>한샘디지텍</t>
        </is>
      </c>
      <c r="I94" s="14" t="n"/>
      <c r="J94" s="14" t="n"/>
      <c r="K94" s="12" t="n">
        <v>124</v>
      </c>
      <c r="L94" s="9" t="n"/>
      <c r="M94" s="9" t="n"/>
      <c r="N94" s="9" t="n"/>
      <c r="O94" s="40">
        <f>K94+V94-AE94-AZ94</f>
        <v/>
      </c>
      <c r="P94" s="12" t="n"/>
      <c r="Q94" s="138" t="n"/>
      <c r="R94" s="16" t="n"/>
      <c r="S94" s="139" t="n"/>
      <c r="T94" s="16" t="n"/>
      <c r="U94" s="139" t="n"/>
      <c r="V94" s="16">
        <f>P94+R94+T94</f>
        <v/>
      </c>
      <c r="W94" s="16" t="n"/>
      <c r="X94" s="139" t="n"/>
      <c r="Y94" s="16" t="n"/>
      <c r="Z94" s="139" t="n"/>
      <c r="AA94" s="16" t="n"/>
      <c r="AB94" s="139" t="n"/>
      <c r="AC94" s="16" t="n"/>
      <c r="AD94" s="139" t="n"/>
      <c r="AE94" s="16">
        <f>(W94+Y94+AA94+AC94)</f>
        <v/>
      </c>
      <c r="AF94" s="16" t="n"/>
      <c r="AG94" s="138" t="n"/>
      <c r="AH94" s="16" t="n"/>
      <c r="AI94" s="138" t="n"/>
      <c r="AJ94" s="16" t="n"/>
      <c r="AK94" s="138" t="n"/>
      <c r="AL94" s="16" t="n"/>
      <c r="AM94" s="138" t="n"/>
      <c r="AN94" s="16" t="n"/>
      <c r="AO94" s="138" t="n"/>
      <c r="AP94" s="16" t="n"/>
      <c r="AQ94" s="138" t="n"/>
      <c r="AR94" s="16" t="n"/>
      <c r="AS94" s="138" t="n"/>
      <c r="AT94" s="16" t="n"/>
      <c r="AU94" s="138" t="n"/>
      <c r="AV94" s="16" t="n"/>
      <c r="AW94" s="138" t="n"/>
      <c r="AX94" s="16" t="n"/>
      <c r="AY94" s="138" t="n"/>
      <c r="AZ94" s="16">
        <f>AF94+AH94+AJ94+AL94+AN94+AP94+AR94+AT94+AV94+AX94</f>
        <v/>
      </c>
      <c r="BA94" s="16" t="n"/>
      <c r="BB94" s="139" t="n"/>
      <c r="BC94" s="16" t="n"/>
      <c r="BD94" s="139" t="n"/>
      <c r="BE94" s="16">
        <f>(BA94+BC94)</f>
        <v/>
      </c>
    </row>
    <row r="95" ht="22.5" customFormat="1" customHeight="1" s="8">
      <c r="A95" s="9" t="n"/>
      <c r="B95" s="141" t="inlineStr">
        <is>
          <t>BOARD</t>
        </is>
      </c>
      <c r="C95" s="137" t="inlineStr">
        <is>
          <t>DX3000</t>
        </is>
      </c>
      <c r="D95" s="70" t="inlineStr">
        <is>
          <t>9핀 B/D</t>
        </is>
      </c>
      <c r="E95" s="36" t="n"/>
      <c r="F95" s="99" t="n"/>
      <c r="G95" s="22" t="n"/>
      <c r="H95" s="22" t="inlineStr">
        <is>
          <t>HLP</t>
        </is>
      </c>
      <c r="I95" s="14" t="n"/>
      <c r="J95" s="14" t="n"/>
      <c r="K95" s="12" t="n">
        <v>1053</v>
      </c>
      <c r="L95" s="9" t="n"/>
      <c r="M95" s="9" t="n"/>
      <c r="N95" s="9" t="n"/>
      <c r="O95" s="40">
        <f>K95+V95-AE95-AZ95</f>
        <v/>
      </c>
      <c r="P95" s="12" t="n"/>
      <c r="Q95" s="138" t="n"/>
      <c r="R95" s="16" t="n"/>
      <c r="S95" s="139" t="n"/>
      <c r="T95" s="16" t="n"/>
      <c r="U95" s="139" t="n"/>
      <c r="V95" s="16">
        <f>P95+R95+T95</f>
        <v/>
      </c>
      <c r="W95" s="16" t="n"/>
      <c r="X95" s="139" t="n"/>
      <c r="Y95" s="16" t="n"/>
      <c r="Z95" s="139" t="n"/>
      <c r="AA95" s="16" t="n"/>
      <c r="AB95" s="139" t="n"/>
      <c r="AC95" s="16" t="n"/>
      <c r="AD95" s="139" t="n"/>
      <c r="AE95" s="16">
        <f>(W95+Y95+AA95+AC95)</f>
        <v/>
      </c>
      <c r="AF95" s="16" t="n"/>
      <c r="AG95" s="138" t="n"/>
      <c r="AH95" s="16" t="n"/>
      <c r="AI95" s="138" t="n"/>
      <c r="AJ95" s="16" t="n"/>
      <c r="AK95" s="138" t="n"/>
      <c r="AL95" s="16" t="n"/>
      <c r="AM95" s="138" t="n"/>
      <c r="AN95" s="16" t="n"/>
      <c r="AO95" s="138" t="n"/>
      <c r="AP95" s="16" t="n"/>
      <c r="AQ95" s="138" t="n"/>
      <c r="AR95" s="16" t="n"/>
      <c r="AS95" s="138" t="n"/>
      <c r="AT95" s="16" t="n"/>
      <c r="AU95" s="138" t="n"/>
      <c r="AV95" s="16" t="n"/>
      <c r="AW95" s="138" t="n"/>
      <c r="AX95" s="16" t="n"/>
      <c r="AY95" s="138" t="n"/>
      <c r="AZ95" s="16">
        <f>AF95+AH95+AJ95+AL95+AN95+AP95+AR95+AT95+AV95+AX95</f>
        <v/>
      </c>
      <c r="BA95" s="16" t="n"/>
      <c r="BB95" s="139" t="n"/>
      <c r="BC95" s="16" t="n"/>
      <c r="BD95" s="139" t="n"/>
      <c r="BE95" s="16">
        <f>(BA95+BC95)</f>
        <v/>
      </c>
    </row>
    <row r="96" ht="22.5" customFormat="1" customHeight="1" s="8">
      <c r="A96" s="9" t="n"/>
      <c r="B96" s="141" t="inlineStr">
        <is>
          <t>BOARD</t>
        </is>
      </c>
      <c r="C96" s="137" t="inlineStr">
        <is>
          <t>COCOON</t>
        </is>
      </c>
      <c r="D96" s="62" t="inlineStr">
        <is>
          <t>8핀 B/D</t>
        </is>
      </c>
      <c r="E96" s="36" t="n"/>
      <c r="F96" s="99" t="n"/>
      <c r="G96" s="22" t="n"/>
      <c r="H96" s="22" t="inlineStr">
        <is>
          <t>한샘디지텍</t>
        </is>
      </c>
      <c r="I96" s="14" t="n"/>
      <c r="J96" s="14" t="n"/>
      <c r="K96" s="12" t="n">
        <v>0</v>
      </c>
      <c r="L96" s="9" t="n"/>
      <c r="M96" s="9" t="n"/>
      <c r="N96" s="9" t="n"/>
      <c r="O96" s="40">
        <f>K96+V96-AE96-AZ96</f>
        <v/>
      </c>
      <c r="P96" s="12" t="n"/>
      <c r="Q96" s="138" t="n"/>
      <c r="R96" s="16" t="n"/>
      <c r="S96" s="139" t="n"/>
      <c r="T96" s="16" t="n"/>
      <c r="U96" s="139" t="n"/>
      <c r="V96" s="16">
        <f>P96+R96+T96</f>
        <v/>
      </c>
      <c r="W96" s="16" t="n"/>
      <c r="X96" s="139" t="n"/>
      <c r="Y96" s="16" t="n"/>
      <c r="Z96" s="139" t="n"/>
      <c r="AA96" s="16" t="n"/>
      <c r="AB96" s="139" t="n"/>
      <c r="AC96" s="16" t="n"/>
      <c r="AD96" s="139" t="n"/>
      <c r="AE96" s="16">
        <f>(W96+Y96+AA96+AC96)</f>
        <v/>
      </c>
      <c r="AF96" s="16" t="n"/>
      <c r="AG96" s="138" t="n"/>
      <c r="AH96" s="16" t="n"/>
      <c r="AI96" s="138" t="n"/>
      <c r="AJ96" s="16" t="n"/>
      <c r="AK96" s="138" t="n"/>
      <c r="AL96" s="16" t="n"/>
      <c r="AM96" s="138" t="n"/>
      <c r="AN96" s="16" t="n"/>
      <c r="AO96" s="138" t="n"/>
      <c r="AP96" s="16" t="n"/>
      <c r="AQ96" s="138" t="n"/>
      <c r="AR96" s="16" t="n"/>
      <c r="AS96" s="138" t="n"/>
      <c r="AT96" s="16" t="n"/>
      <c r="AU96" s="138" t="n"/>
      <c r="AV96" s="16" t="n"/>
      <c r="AW96" s="138" t="n"/>
      <c r="AX96" s="16" t="n"/>
      <c r="AY96" s="138" t="n"/>
      <c r="AZ96" s="16">
        <f>AF96+AH96+AJ96+AL96+AN96+AP96+AR96+AT96+AV96+AX96</f>
        <v/>
      </c>
      <c r="BA96" s="16" t="n"/>
      <c r="BB96" s="139" t="n"/>
      <c r="BC96" s="16" t="n"/>
      <c r="BD96" s="139" t="n"/>
      <c r="BE96" s="16">
        <f>(BA96+BC96)</f>
        <v/>
      </c>
    </row>
    <row r="97" ht="22.5" customFormat="1" customHeight="1" s="8">
      <c r="A97" s="9" t="n"/>
      <c r="B97" s="141" t="inlineStr">
        <is>
          <t>BOARD</t>
        </is>
      </c>
      <c r="C97" s="137" t="inlineStr">
        <is>
          <t>SOLO</t>
        </is>
      </c>
      <c r="D97" s="62" t="inlineStr">
        <is>
          <t>9핀 B/D</t>
        </is>
      </c>
      <c r="E97" s="36" t="inlineStr">
        <is>
          <t>TFT</t>
        </is>
      </c>
      <c r="F97" s="99" t="n"/>
      <c r="G97" s="22" t="n"/>
      <c r="H97" s="22" t="inlineStr">
        <is>
          <t>한샘디지텍</t>
        </is>
      </c>
      <c r="I97" s="14" t="n"/>
      <c r="J97" s="14" t="n"/>
      <c r="K97" s="12" t="n">
        <v>80</v>
      </c>
      <c r="L97" s="9" t="n"/>
      <c r="M97" s="9" t="n"/>
      <c r="N97" s="9" t="n"/>
      <c r="O97" s="40">
        <f>K97+V97-AE97-AZ97</f>
        <v/>
      </c>
      <c r="P97" s="12" t="n"/>
      <c r="Q97" s="138" t="n"/>
      <c r="R97" s="16" t="n"/>
      <c r="S97" s="139" t="n"/>
      <c r="T97" s="16" t="n"/>
      <c r="U97" s="139" t="n"/>
      <c r="V97" s="16">
        <f>P97+R97+T97</f>
        <v/>
      </c>
      <c r="W97" s="16" t="n"/>
      <c r="X97" s="139" t="n"/>
      <c r="Y97" s="16" t="n"/>
      <c r="Z97" s="139" t="n"/>
      <c r="AA97" s="16" t="n"/>
      <c r="AB97" s="139" t="n"/>
      <c r="AC97" s="16" t="n"/>
      <c r="AD97" s="139" t="n"/>
      <c r="AE97" s="16">
        <f>(W97+Y97+AA97+AC97)</f>
        <v/>
      </c>
      <c r="AF97" s="16" t="n"/>
      <c r="AG97" s="138" t="n"/>
      <c r="AH97" s="16" t="n"/>
      <c r="AI97" s="138" t="n"/>
      <c r="AJ97" s="16" t="n"/>
      <c r="AK97" s="138" t="n"/>
      <c r="AL97" s="16" t="n"/>
      <c r="AM97" s="138" t="n"/>
      <c r="AN97" s="16" t="n"/>
      <c r="AO97" s="138" t="n"/>
      <c r="AP97" s="16" t="n"/>
      <c r="AQ97" s="138" t="n"/>
      <c r="AR97" s="16" t="n"/>
      <c r="AS97" s="138" t="n"/>
      <c r="AT97" s="16" t="n"/>
      <c r="AU97" s="138" t="n"/>
      <c r="AV97" s="16" t="n"/>
      <c r="AW97" s="138" t="n"/>
      <c r="AX97" s="16" t="n"/>
      <c r="AY97" s="138" t="n"/>
      <c r="AZ97" s="16">
        <f>AF97+AH97+AJ97+AL97+AN97+AP97+AR97+AT97+AV97+AX97</f>
        <v/>
      </c>
      <c r="BA97" s="16" t="n"/>
      <c r="BB97" s="139" t="n"/>
      <c r="BC97" s="16" t="n"/>
      <c r="BD97" s="139" t="n"/>
      <c r="BE97" s="16">
        <f>(BA97+BC97)</f>
        <v/>
      </c>
    </row>
    <row r="98" ht="22.5" customFormat="1" customHeight="1" s="8">
      <c r="A98" s="9" t="n"/>
      <c r="B98" s="141" t="inlineStr">
        <is>
          <t>BOARD</t>
        </is>
      </c>
      <c r="C98" s="137" t="inlineStr">
        <is>
          <t>ADX6000</t>
        </is>
      </c>
      <c r="D98" s="62" t="inlineStr">
        <is>
          <t>10핀 B/D</t>
        </is>
      </c>
      <c r="E98" s="36" t="n"/>
      <c r="F98" s="99" t="n"/>
      <c r="G98" s="22" t="n"/>
      <c r="H98" s="22" t="inlineStr">
        <is>
          <t>한샘디지텍</t>
        </is>
      </c>
      <c r="I98" s="14" t="n"/>
      <c r="J98" s="14" t="n"/>
      <c r="K98" s="12" t="n"/>
      <c r="L98" s="9" t="n"/>
      <c r="M98" s="9" t="n"/>
      <c r="N98" s="9" t="n"/>
      <c r="O98" s="40">
        <f>K98+V98-AE98-AZ98</f>
        <v/>
      </c>
      <c r="P98" s="12" t="n"/>
      <c r="Q98" s="138" t="n"/>
      <c r="R98" s="16" t="n"/>
      <c r="S98" s="139" t="n"/>
      <c r="T98" s="16" t="n"/>
      <c r="U98" s="139" t="n"/>
      <c r="V98" s="16">
        <f>P98+R98+T98</f>
        <v/>
      </c>
      <c r="W98" s="16" t="n"/>
      <c r="X98" s="139" t="n"/>
      <c r="Y98" s="16" t="n"/>
      <c r="Z98" s="139" t="n"/>
      <c r="AA98" s="16" t="n"/>
      <c r="AB98" s="139" t="n"/>
      <c r="AC98" s="16" t="n"/>
      <c r="AD98" s="139" t="n"/>
      <c r="AE98" s="16">
        <f>(W98+Y98+AA98+AC98)</f>
        <v/>
      </c>
      <c r="AF98" s="16" t="n"/>
      <c r="AG98" s="138" t="n"/>
      <c r="AH98" s="16" t="n"/>
      <c r="AI98" s="138" t="n"/>
      <c r="AJ98" s="16" t="n"/>
      <c r="AK98" s="138" t="n"/>
      <c r="AL98" s="16" t="n"/>
      <c r="AM98" s="138" t="n"/>
      <c r="AN98" s="16" t="n"/>
      <c r="AO98" s="138" t="n"/>
      <c r="AP98" s="16" t="n"/>
      <c r="AQ98" s="138" t="n"/>
      <c r="AR98" s="16" t="n"/>
      <c r="AS98" s="138" t="n"/>
      <c r="AT98" s="16" t="n"/>
      <c r="AU98" s="138" t="n"/>
      <c r="AV98" s="16" t="n"/>
      <c r="AW98" s="138" t="n"/>
      <c r="AX98" s="16" t="n"/>
      <c r="AY98" s="138" t="n"/>
      <c r="AZ98" s="16">
        <f>AF98+AH98+AJ98+AL98+AN98+AP98+AR98+AT98+AV98+AX98</f>
        <v/>
      </c>
      <c r="BA98" s="16" t="n"/>
      <c r="BB98" s="139" t="n"/>
      <c r="BC98" s="16" t="n"/>
      <c r="BD98" s="139" t="n"/>
      <c r="BE98" s="16">
        <f>(BA98+BC98)</f>
        <v/>
      </c>
    </row>
    <row r="99" ht="22.5" customFormat="1" customHeight="1" s="8">
      <c r="A99" s="9" t="n"/>
      <c r="B99" s="141" t="inlineStr">
        <is>
          <t>PCB</t>
        </is>
      </c>
      <c r="C99" s="137" t="inlineStr">
        <is>
          <t>DX3000</t>
        </is>
      </c>
      <c r="D99" s="62" t="inlineStr">
        <is>
          <t>CTR B/D (유럽용)_DC3D</t>
        </is>
      </c>
      <c r="E99" s="36" t="n"/>
      <c r="F99" s="100" t="n"/>
      <c r="G99" s="22" t="n"/>
      <c r="H99" s="22" t="inlineStr">
        <is>
          <t>HLP</t>
        </is>
      </c>
      <c r="I99" s="14" t="n"/>
      <c r="J99" s="14" t="n"/>
      <c r="K99" s="12" t="n">
        <v>161</v>
      </c>
      <c r="L99" s="9" t="n"/>
      <c r="M99" s="9" t="n"/>
      <c r="N99" s="9" t="n"/>
      <c r="O99" s="40">
        <f>K99+V99-AE99-AZ99</f>
        <v/>
      </c>
      <c r="P99" s="12" t="n"/>
      <c r="Q99" s="138" t="n"/>
      <c r="R99" s="16" t="n"/>
      <c r="S99" s="139" t="n"/>
      <c r="T99" s="16" t="n"/>
      <c r="U99" s="139" t="n"/>
      <c r="V99" s="16">
        <f>P99+R99+T99</f>
        <v/>
      </c>
      <c r="W99" s="16" t="n"/>
      <c r="X99" s="139" t="n"/>
      <c r="Y99" s="16" t="n"/>
      <c r="Z99" s="139" t="n"/>
      <c r="AA99" s="16" t="n"/>
      <c r="AB99" s="139" t="n"/>
      <c r="AC99" s="16" t="n"/>
      <c r="AD99" s="139" t="n"/>
      <c r="AE99" s="16">
        <f>(W99+Y99+AA99+AC99)</f>
        <v/>
      </c>
      <c r="AF99" s="16" t="n"/>
      <c r="AG99" s="138" t="n"/>
      <c r="AH99" s="16" t="n"/>
      <c r="AI99" s="138" t="n"/>
      <c r="AJ99" s="16" t="n"/>
      <c r="AK99" s="138" t="n"/>
      <c r="AL99" s="16" t="n"/>
      <c r="AM99" s="138" t="n"/>
      <c r="AN99" s="16" t="n"/>
      <c r="AO99" s="138" t="n"/>
      <c r="AP99" s="16" t="n"/>
      <c r="AQ99" s="138" t="n"/>
      <c r="AR99" s="16" t="n"/>
      <c r="AS99" s="138" t="n"/>
      <c r="AT99" s="16" t="n"/>
      <c r="AU99" s="138" t="n"/>
      <c r="AV99" s="16" t="n"/>
      <c r="AW99" s="138" t="n"/>
      <c r="AX99" s="16" t="n"/>
      <c r="AY99" s="138" t="n"/>
      <c r="AZ99" s="16">
        <f>AF99+AH99+AJ99+AL99+AN99+AP99+AR99+AT99+AV99+AX99</f>
        <v/>
      </c>
      <c r="BA99" s="16" t="n"/>
      <c r="BB99" s="139" t="n"/>
      <c r="BC99" s="16" t="n"/>
      <c r="BD99" s="139" t="n"/>
      <c r="BE99" s="16" t="n">
        <v>0</v>
      </c>
    </row>
    <row r="100" ht="22.5" customFormat="1" customHeight="1" s="8">
      <c r="A100" s="9" t="n"/>
      <c r="B100" s="141" t="inlineStr">
        <is>
          <t>PCB</t>
        </is>
      </c>
      <c r="C100" s="137" t="inlineStr">
        <is>
          <t>DX3000</t>
        </is>
      </c>
      <c r="D100" s="70" t="inlineStr">
        <is>
          <t>CTR B/D (미국용)_D3CL</t>
        </is>
      </c>
      <c r="E100" s="36" t="n"/>
      <c r="F100" s="100" t="n"/>
      <c r="G100" s="22" t="n"/>
      <c r="H100" s="22" t="inlineStr">
        <is>
          <t>HLP</t>
        </is>
      </c>
      <c r="I100" s="14" t="n"/>
      <c r="J100" s="14" t="n"/>
      <c r="K100" s="12" t="n">
        <v>98</v>
      </c>
      <c r="L100" s="9" t="n"/>
      <c r="M100" s="9" t="n"/>
      <c r="N100" s="9" t="n"/>
      <c r="O100" s="40">
        <f>K100+V100-AE100-AZ100</f>
        <v/>
      </c>
      <c r="P100" s="12" t="n"/>
      <c r="Q100" s="138" t="n"/>
      <c r="R100" s="16" t="n"/>
      <c r="S100" s="139" t="n"/>
      <c r="T100" s="16" t="n"/>
      <c r="U100" s="139" t="n"/>
      <c r="V100" s="16">
        <f>P100+R100+T100</f>
        <v/>
      </c>
      <c r="W100" s="16" t="n"/>
      <c r="X100" s="139" t="n"/>
      <c r="Y100" s="16" t="n"/>
      <c r="Z100" s="139" t="n"/>
      <c r="AA100" s="16" t="n"/>
      <c r="AB100" s="139" t="n"/>
      <c r="AC100" s="16" t="n"/>
      <c r="AD100" s="139" t="n"/>
      <c r="AE100" s="16">
        <f>(W100+Y100+AA100+AC100)</f>
        <v/>
      </c>
      <c r="AF100" s="16" t="n"/>
      <c r="AG100" s="138" t="n"/>
      <c r="AH100" s="16" t="n"/>
      <c r="AI100" s="138" t="n"/>
      <c r="AJ100" s="16" t="n"/>
      <c r="AK100" s="138" t="n"/>
      <c r="AL100" s="16" t="n"/>
      <c r="AM100" s="138" t="n"/>
      <c r="AN100" s="16" t="n"/>
      <c r="AO100" s="138" t="n"/>
      <c r="AP100" s="16" t="n"/>
      <c r="AQ100" s="138" t="n"/>
      <c r="AR100" s="16" t="n"/>
      <c r="AS100" s="138" t="n"/>
      <c r="AT100" s="16" t="n"/>
      <c r="AU100" s="138" t="n"/>
      <c r="AV100" s="16" t="n"/>
      <c r="AW100" s="138" t="n"/>
      <c r="AX100" s="16" t="n"/>
      <c r="AY100" s="138" t="n"/>
      <c r="AZ100" s="16">
        <f>AF100+AH100+AJ100+AL100+AN100+AP100+AR100+AT100+AV100+AX100</f>
        <v/>
      </c>
      <c r="BA100" s="16" t="n"/>
      <c r="BB100" s="139" t="n"/>
      <c r="BC100" s="16" t="n"/>
      <c r="BD100" s="139" t="n"/>
      <c r="BE100" s="16">
        <f>(BA100+BC100)</f>
        <v/>
      </c>
    </row>
    <row r="101" ht="22.5" customFormat="1" customHeight="1" s="8">
      <c r="A101" s="9" t="n"/>
      <c r="B101" s="141" t="inlineStr">
        <is>
          <t>PCB</t>
        </is>
      </c>
      <c r="C101" s="137" t="inlineStr">
        <is>
          <t>DX3000</t>
        </is>
      </c>
      <c r="D101" s="70" t="inlineStr">
        <is>
          <t>CTR B/D (TFT용)_D3CT</t>
        </is>
      </c>
      <c r="E101" s="36" t="inlineStr">
        <is>
          <t>V3.1.1</t>
        </is>
      </c>
      <c r="F101" s="100" t="n"/>
      <c r="G101" s="22" t="n"/>
      <c r="H101" s="22" t="inlineStr">
        <is>
          <t>HLP</t>
        </is>
      </c>
      <c r="I101" s="14" t="n"/>
      <c r="J101" s="14" t="n"/>
      <c r="K101" s="12" t="n">
        <v>164</v>
      </c>
      <c r="L101" s="9" t="n"/>
      <c r="M101" s="9" t="n"/>
      <c r="N101" s="9" t="n"/>
      <c r="O101" s="40">
        <f>K101+V101-AE101-AZ101</f>
        <v/>
      </c>
      <c r="P101" s="12" t="n"/>
      <c r="Q101" s="138" t="n"/>
      <c r="R101" s="16" t="n"/>
      <c r="S101" s="139" t="n"/>
      <c r="T101" s="16" t="n"/>
      <c r="U101" s="139" t="n"/>
      <c r="V101" s="16">
        <f>P101+R101+T101</f>
        <v/>
      </c>
      <c r="W101" s="16" t="n"/>
      <c r="X101" s="139" t="n"/>
      <c r="Y101" s="16" t="n"/>
      <c r="Z101" s="139" t="n"/>
      <c r="AA101" s="16" t="n"/>
      <c r="AB101" s="139" t="n"/>
      <c r="AC101" s="16" t="n"/>
      <c r="AD101" s="139" t="n"/>
      <c r="AE101" s="16">
        <f>(W101+Y101+AA101+AC101)</f>
        <v/>
      </c>
      <c r="AF101" s="16" t="n"/>
      <c r="AG101" s="138" t="n"/>
      <c r="AH101" s="16" t="n"/>
      <c r="AI101" s="138" t="n"/>
      <c r="AJ101" s="16" t="n"/>
      <c r="AK101" s="138" t="n"/>
      <c r="AL101" s="16" t="n"/>
      <c r="AM101" s="138" t="n"/>
      <c r="AN101" s="16" t="n"/>
      <c r="AO101" s="138" t="n"/>
      <c r="AP101" s="16" t="n"/>
      <c r="AQ101" s="138" t="n"/>
      <c r="AR101" s="16" t="n"/>
      <c r="AS101" s="138" t="n"/>
      <c r="AT101" s="16" t="n"/>
      <c r="AU101" s="138" t="n"/>
      <c r="AV101" s="16" t="n"/>
      <c r="AW101" s="138" t="n"/>
      <c r="AX101" s="16" t="n"/>
      <c r="AY101" s="138" t="n"/>
      <c r="AZ101" s="16">
        <f>AF101+AH101+AJ101+AL101+AN101+AP101+AR101+AT101+AV101+AX101</f>
        <v/>
      </c>
      <c r="BA101" s="16" t="n"/>
      <c r="BB101" s="139" t="n"/>
      <c r="BC101" s="16" t="n"/>
      <c r="BD101" s="139" t="n"/>
      <c r="BE101" s="16">
        <f>(BA101+BC101)</f>
        <v/>
      </c>
    </row>
    <row r="102" ht="22.5" customFormat="1" customHeight="1" s="8">
      <c r="A102" s="9" t="n"/>
      <c r="B102" s="141" t="inlineStr">
        <is>
          <t>PCB</t>
        </is>
      </c>
      <c r="C102" s="137" t="inlineStr">
        <is>
          <t>DX3000</t>
        </is>
      </c>
      <c r="D102" s="62" t="inlineStr">
        <is>
          <t>LCD B/D (듀얼 슬라이드)</t>
        </is>
      </c>
      <c r="E102" s="20" t="n"/>
      <c r="F102" s="100" t="n"/>
      <c r="G102" s="22" t="n"/>
      <c r="H102" s="22" t="inlineStr">
        <is>
          <t>HLP</t>
        </is>
      </c>
      <c r="I102" s="14" t="n"/>
      <c r="J102" s="14" t="n"/>
      <c r="K102" s="12" t="n">
        <v>300</v>
      </c>
      <c r="L102" s="9" t="n"/>
      <c r="M102" s="9" t="n"/>
      <c r="N102" s="9" t="n"/>
      <c r="O102" s="40">
        <f>K102+V102-AE102-AZ102</f>
        <v/>
      </c>
      <c r="P102" s="12" t="n"/>
      <c r="Q102" s="138" t="n"/>
      <c r="R102" s="16" t="n"/>
      <c r="S102" s="139" t="n"/>
      <c r="T102" s="16" t="n"/>
      <c r="U102" s="139" t="n"/>
      <c r="V102" s="16">
        <f>P102+R102+T102</f>
        <v/>
      </c>
      <c r="W102" s="16" t="n"/>
      <c r="X102" s="139" t="n"/>
      <c r="Y102" s="16" t="n"/>
      <c r="Z102" s="139" t="n"/>
      <c r="AA102" s="16" t="n"/>
      <c r="AB102" s="139" t="n"/>
      <c r="AC102" s="16" t="n"/>
      <c r="AD102" s="139" t="n"/>
      <c r="AE102" s="16">
        <f>(W102+Y102+AA102+AC102)</f>
        <v/>
      </c>
      <c r="AF102" s="16" t="n"/>
      <c r="AG102" s="138" t="n"/>
      <c r="AH102" s="16" t="n"/>
      <c r="AI102" s="138" t="n"/>
      <c r="AJ102" s="16" t="n"/>
      <c r="AK102" s="138" t="n"/>
      <c r="AL102" s="16" t="n"/>
      <c r="AM102" s="138" t="n"/>
      <c r="AN102" s="16" t="n"/>
      <c r="AO102" s="138" t="n"/>
      <c r="AP102" s="16" t="n"/>
      <c r="AQ102" s="138" t="n"/>
      <c r="AR102" s="16" t="n"/>
      <c r="AS102" s="138" t="n"/>
      <c r="AT102" s="16" t="n"/>
      <c r="AU102" s="138" t="n"/>
      <c r="AV102" s="16" t="n"/>
      <c r="AW102" s="138" t="n"/>
      <c r="AX102" s="16" t="n"/>
      <c r="AY102" s="138" t="n"/>
      <c r="AZ102" s="16">
        <f>AF102+AH102+AJ102+AL102+AN102+AP102+AR102+AT102+AV102+AX102</f>
        <v/>
      </c>
      <c r="BA102" s="16" t="n"/>
      <c r="BB102" s="139" t="n"/>
      <c r="BC102" s="16" t="n"/>
      <c r="BD102" s="139" t="n"/>
      <c r="BE102" s="16">
        <f>(BA102+BC102)</f>
        <v/>
      </c>
    </row>
    <row r="103" ht="22.5" customFormat="1" customHeight="1" s="8">
      <c r="A103" s="9" t="n"/>
      <c r="B103" s="141" t="inlineStr">
        <is>
          <t>PCB</t>
        </is>
      </c>
      <c r="C103" s="137" t="inlineStr">
        <is>
          <t>DX3000</t>
        </is>
      </c>
      <c r="D103" s="62" t="inlineStr">
        <is>
          <t>TFT LCD B/D (듀얼 슬라이드)</t>
        </is>
      </c>
      <c r="E103" s="20" t="inlineStr">
        <is>
          <t>V3.0.1</t>
        </is>
      </c>
      <c r="F103" s="100" t="n"/>
      <c r="G103" s="22" t="n"/>
      <c r="H103" s="22" t="inlineStr">
        <is>
          <t>HLP</t>
        </is>
      </c>
      <c r="I103" s="14" t="n"/>
      <c r="J103" s="14" t="n"/>
      <c r="K103" s="12" t="n">
        <v>101</v>
      </c>
      <c r="L103" s="9" t="n"/>
      <c r="M103" s="9" t="n"/>
      <c r="N103" s="9" t="n"/>
      <c r="O103" s="40">
        <f>K103+V103-AE103-AZ103</f>
        <v/>
      </c>
      <c r="P103" s="12" t="n"/>
      <c r="Q103" s="138" t="n"/>
      <c r="R103" s="16" t="n"/>
      <c r="S103" s="139" t="n"/>
      <c r="T103" s="16" t="n"/>
      <c r="U103" s="139" t="n"/>
      <c r="V103" s="16">
        <f>P103+R103+T103</f>
        <v/>
      </c>
      <c r="W103" s="16" t="n"/>
      <c r="X103" s="139" t="n"/>
      <c r="Y103" s="16" t="n"/>
      <c r="Z103" s="139" t="n"/>
      <c r="AA103" s="16" t="n"/>
      <c r="AB103" s="139" t="n"/>
      <c r="AC103" s="16" t="n"/>
      <c r="AD103" s="139" t="n"/>
      <c r="AE103" s="16">
        <f>(W103+Y103+AA103+AC103)</f>
        <v/>
      </c>
      <c r="AF103" s="16" t="n"/>
      <c r="AG103" s="138" t="n"/>
      <c r="AH103" s="16" t="n"/>
      <c r="AI103" s="138" t="n"/>
      <c r="AJ103" s="16" t="n"/>
      <c r="AK103" s="138" t="n"/>
      <c r="AL103" s="16" t="n"/>
      <c r="AM103" s="138" t="n"/>
      <c r="AN103" s="16" t="n"/>
      <c r="AO103" s="138" t="n"/>
      <c r="AP103" s="16" t="n"/>
      <c r="AQ103" s="138" t="n"/>
      <c r="AR103" s="16" t="n"/>
      <c r="AS103" s="138" t="n"/>
      <c r="AT103" s="16" t="n"/>
      <c r="AU103" s="138" t="n"/>
      <c r="AV103" s="16" t="n"/>
      <c r="AW103" s="138" t="n"/>
      <c r="AX103" s="16" t="n"/>
      <c r="AY103" s="138" t="n"/>
      <c r="AZ103" s="16">
        <f>AF103+AH103+AJ103+AL103+AN103+AP103+AR103+AT103+AV103+AX103</f>
        <v/>
      </c>
      <c r="BA103" s="16" t="n"/>
      <c r="BB103" s="139" t="n"/>
      <c r="BC103" s="16" t="n"/>
      <c r="BD103" s="139" t="n"/>
      <c r="BE103" s="16">
        <f>(BA103+BC103)</f>
        <v/>
      </c>
    </row>
    <row r="104" ht="22.5" customFormat="1" customHeight="1" s="8">
      <c r="A104" s="9" t="n"/>
      <c r="B104" s="141" t="inlineStr">
        <is>
          <t>PCB</t>
        </is>
      </c>
      <c r="C104" s="137" t="inlineStr">
        <is>
          <t>DX3000</t>
        </is>
      </c>
      <c r="D104" s="62" t="inlineStr">
        <is>
          <t>LCD B/D (사파리) -원버턴타입</t>
        </is>
      </c>
      <c r="E104" s="20" t="n"/>
      <c r="F104" s="100" t="n"/>
      <c r="G104" s="22" t="n"/>
      <c r="H104" s="22" t="inlineStr">
        <is>
          <t>HLP</t>
        </is>
      </c>
      <c r="I104" s="14" t="n"/>
      <c r="J104" s="14" t="n"/>
      <c r="K104" s="12" t="n"/>
      <c r="L104" s="9" t="n"/>
      <c r="M104" s="9" t="n"/>
      <c r="N104" s="9" t="n"/>
      <c r="O104" s="40">
        <f>K104+V104-AE104-AZ104</f>
        <v/>
      </c>
      <c r="P104" s="12" t="n"/>
      <c r="Q104" s="138" t="n"/>
      <c r="R104" s="16" t="n"/>
      <c r="S104" s="139" t="n"/>
      <c r="T104" s="16" t="n"/>
      <c r="U104" s="139" t="n"/>
      <c r="V104" s="16">
        <f>P104+R104+T104</f>
        <v/>
      </c>
      <c r="W104" s="16" t="n"/>
      <c r="X104" s="139" t="n"/>
      <c r="Y104" s="16" t="n"/>
      <c r="Z104" s="139" t="n"/>
      <c r="AA104" s="16" t="n"/>
      <c r="AB104" s="139" t="n"/>
      <c r="AC104" s="16" t="n"/>
      <c r="AD104" s="139" t="n"/>
      <c r="AE104" s="16">
        <f>(W104+Y104+AA104+AC104)</f>
        <v/>
      </c>
      <c r="AF104" s="16" t="n"/>
      <c r="AG104" s="138" t="n"/>
      <c r="AH104" s="16" t="n"/>
      <c r="AI104" s="138" t="n"/>
      <c r="AJ104" s="16" t="n"/>
      <c r="AK104" s="138" t="n"/>
      <c r="AL104" s="16" t="n"/>
      <c r="AM104" s="138" t="n"/>
      <c r="AN104" s="16" t="n"/>
      <c r="AO104" s="138" t="n"/>
      <c r="AP104" s="16" t="n"/>
      <c r="AQ104" s="138" t="n"/>
      <c r="AR104" s="16" t="n"/>
      <c r="AS104" s="138" t="n"/>
      <c r="AT104" s="16" t="n"/>
      <c r="AU104" s="138" t="n"/>
      <c r="AV104" s="16" t="n"/>
      <c r="AW104" s="138" t="n"/>
      <c r="AX104" s="16" t="n"/>
      <c r="AY104" s="138" t="n"/>
      <c r="AZ104" s="16">
        <f>AF104+AH104+AJ104+AL104+AN104+AP104+AR104+AT104+AV104+AX104</f>
        <v/>
      </c>
      <c r="BA104" s="16" t="n"/>
      <c r="BB104" s="139" t="n"/>
      <c r="BC104" s="16" t="n"/>
      <c r="BD104" s="139" t="n"/>
      <c r="BE104" s="16">
        <f>(BA104+BC104)</f>
        <v/>
      </c>
    </row>
    <row r="105" ht="22.5" customFormat="1" customHeight="1" s="8">
      <c r="A105" s="9" t="n"/>
      <c r="B105" s="141" t="inlineStr">
        <is>
          <t>PCB</t>
        </is>
      </c>
      <c r="C105" s="137" t="inlineStr">
        <is>
          <t>DX3000</t>
        </is>
      </c>
      <c r="D105" s="62" t="inlineStr">
        <is>
          <t>OLED B/D (듀얼)</t>
        </is>
      </c>
      <c r="E105" s="20" t="n"/>
      <c r="F105" s="100" t="n"/>
      <c r="G105" s="22" t="n"/>
      <c r="H105" s="22" t="inlineStr">
        <is>
          <t>HLP</t>
        </is>
      </c>
      <c r="I105" s="14" t="n"/>
      <c r="J105" s="14" t="n"/>
      <c r="K105" s="12" t="n"/>
      <c r="L105" s="9" t="n"/>
      <c r="M105" s="9" t="n"/>
      <c r="N105" s="9" t="n"/>
      <c r="O105" s="40">
        <f>K105+V105-AE105-AZ105</f>
        <v/>
      </c>
      <c r="P105" s="12" t="n"/>
      <c r="Q105" s="138" t="n"/>
      <c r="R105" s="16" t="n"/>
      <c r="S105" s="139" t="n"/>
      <c r="T105" s="16" t="n"/>
      <c r="U105" s="139" t="n"/>
      <c r="V105" s="16">
        <f>P105+R105+T105</f>
        <v/>
      </c>
      <c r="W105" s="16" t="n"/>
      <c r="X105" s="139" t="n"/>
      <c r="Y105" s="16" t="n"/>
      <c r="Z105" s="139" t="n"/>
      <c r="AA105" s="16" t="n"/>
      <c r="AB105" s="139" t="n"/>
      <c r="AC105" s="16" t="n"/>
      <c r="AD105" s="139" t="n"/>
      <c r="AE105" s="16">
        <f>(W105+Y105+AA105+AC105)</f>
        <v/>
      </c>
      <c r="AF105" s="16" t="n"/>
      <c r="AG105" s="138" t="n"/>
      <c r="AH105" s="16" t="n"/>
      <c r="AI105" s="138" t="n"/>
      <c r="AJ105" s="16" t="n"/>
      <c r="AK105" s="138" t="n"/>
      <c r="AL105" s="16" t="n"/>
      <c r="AM105" s="138" t="n"/>
      <c r="AN105" s="16" t="n"/>
      <c r="AO105" s="138" t="n"/>
      <c r="AP105" s="16" t="n"/>
      <c r="AQ105" s="138" t="n"/>
      <c r="AR105" s="16" t="n"/>
      <c r="AS105" s="138" t="n"/>
      <c r="AT105" s="16" t="n"/>
      <c r="AU105" s="138" t="n"/>
      <c r="AV105" s="16" t="n"/>
      <c r="AW105" s="138" t="n"/>
      <c r="AX105" s="16" t="n"/>
      <c r="AY105" s="138" t="n"/>
      <c r="AZ105" s="16">
        <f>AF105+AH105+AJ105+AL105+AN105+AP105+AR105+AT105+AV105+AX105</f>
        <v/>
      </c>
      <c r="BA105" s="16" t="n"/>
      <c r="BB105" s="139" t="n"/>
      <c r="BC105" s="16" t="n"/>
      <c r="BD105" s="139" t="n"/>
      <c r="BE105" s="16">
        <f>(BA105+BC105)</f>
        <v/>
      </c>
    </row>
    <row r="106" ht="22.5" customFormat="1" customHeight="1" s="8">
      <c r="A106" s="9" t="n"/>
      <c r="B106" s="141" t="inlineStr">
        <is>
          <t>PCB</t>
        </is>
      </c>
      <c r="C106" s="137" t="inlineStr">
        <is>
          <t>DX3000</t>
        </is>
      </c>
      <c r="D106" s="62" t="inlineStr">
        <is>
          <t>EX B/D (듀얼) (좌)</t>
        </is>
      </c>
      <c r="E106" s="20" t="n"/>
      <c r="F106" s="100" t="n"/>
      <c r="G106" s="22" t="n"/>
      <c r="H106" s="22" t="inlineStr">
        <is>
          <t>HLP</t>
        </is>
      </c>
      <c r="I106" s="14" t="n"/>
      <c r="J106" s="14" t="n"/>
      <c r="K106" s="12" t="n">
        <v>335</v>
      </c>
      <c r="L106" s="9" t="n"/>
      <c r="M106" s="9" t="n"/>
      <c r="N106" s="9" t="n"/>
      <c r="O106" s="40">
        <f>K106+V106-AE106-AZ106</f>
        <v/>
      </c>
      <c r="P106" s="12" t="n"/>
      <c r="Q106" s="138" t="n"/>
      <c r="R106" s="16" t="n"/>
      <c r="S106" s="139" t="n"/>
      <c r="T106" s="16" t="n"/>
      <c r="U106" s="139" t="n"/>
      <c r="V106" s="16">
        <f>P106+R106+T106</f>
        <v/>
      </c>
      <c r="W106" s="16" t="n"/>
      <c r="X106" s="139" t="n"/>
      <c r="Y106" s="16" t="n"/>
      <c r="Z106" s="139" t="n"/>
      <c r="AA106" s="16" t="n"/>
      <c r="AB106" s="139" t="n"/>
      <c r="AC106" s="16" t="n"/>
      <c r="AD106" s="139" t="n"/>
      <c r="AE106" s="16">
        <f>(W106+Y106+AA106+AC106)</f>
        <v/>
      </c>
      <c r="AF106" s="16" t="n"/>
      <c r="AG106" s="138" t="n"/>
      <c r="AH106" s="16" t="n"/>
      <c r="AI106" s="138" t="n"/>
      <c r="AJ106" s="16" t="n"/>
      <c r="AK106" s="138" t="n"/>
      <c r="AL106" s="16" t="n"/>
      <c r="AM106" s="138" t="n"/>
      <c r="AN106" s="16" t="n"/>
      <c r="AO106" s="138" t="n"/>
      <c r="AP106" s="16" t="n"/>
      <c r="AQ106" s="138" t="n"/>
      <c r="AR106" s="16" t="n"/>
      <c r="AS106" s="138" t="n"/>
      <c r="AT106" s="16" t="n"/>
      <c r="AU106" s="138" t="n"/>
      <c r="AV106" s="16" t="n"/>
      <c r="AW106" s="138" t="n"/>
      <c r="AX106" s="16" t="n"/>
      <c r="AY106" s="138" t="n"/>
      <c r="AZ106" s="16">
        <f>AF106+AH106+AJ106+AL106+AN106+AP106+AR106+AT106+AV106+AX106</f>
        <v/>
      </c>
      <c r="BA106" s="16" t="n"/>
      <c r="BB106" s="139" t="n"/>
      <c r="BC106" s="16" t="n"/>
      <c r="BD106" s="139" t="n"/>
      <c r="BE106" s="16">
        <f>(BA106+BC106)</f>
        <v/>
      </c>
    </row>
    <row r="107" ht="22.5" customFormat="1" customHeight="1" s="8">
      <c r="A107" s="9" t="n"/>
      <c r="B107" s="141" t="inlineStr">
        <is>
          <t>PCB</t>
        </is>
      </c>
      <c r="C107" s="137" t="inlineStr">
        <is>
          <t>DX3000</t>
        </is>
      </c>
      <c r="D107" s="62" t="inlineStr">
        <is>
          <t>EX B/D (듀얼) (우)</t>
        </is>
      </c>
      <c r="E107" s="20" t="n"/>
      <c r="F107" s="100" t="n"/>
      <c r="G107" s="22" t="n"/>
      <c r="H107" s="22" t="inlineStr">
        <is>
          <t>HLP</t>
        </is>
      </c>
      <c r="I107" s="14" t="n"/>
      <c r="J107" s="14" t="n"/>
      <c r="K107" s="12" t="n">
        <v>335</v>
      </c>
      <c r="L107" s="9" t="n"/>
      <c r="M107" s="9" t="n"/>
      <c r="N107" s="9" t="n"/>
      <c r="O107" s="40">
        <f>K107+V107-AE107-AZ107</f>
        <v/>
      </c>
      <c r="P107" s="12" t="n"/>
      <c r="Q107" s="138" t="n"/>
      <c r="R107" s="16" t="n"/>
      <c r="S107" s="139" t="n"/>
      <c r="T107" s="16" t="n"/>
      <c r="U107" s="139" t="n"/>
      <c r="V107" s="16">
        <f>P107+R107+T107</f>
        <v/>
      </c>
      <c r="W107" s="16" t="n"/>
      <c r="X107" s="139" t="n"/>
      <c r="Y107" s="16" t="n"/>
      <c r="Z107" s="139" t="n"/>
      <c r="AA107" s="16" t="n"/>
      <c r="AB107" s="139" t="n"/>
      <c r="AC107" s="16" t="n"/>
      <c r="AD107" s="139" t="n"/>
      <c r="AE107" s="16">
        <f>(W107+Y107+AA107+AC107)</f>
        <v/>
      </c>
      <c r="AF107" s="16" t="n"/>
      <c r="AG107" s="138" t="n"/>
      <c r="AH107" s="16" t="n"/>
      <c r="AI107" s="138" t="n"/>
      <c r="AJ107" s="16" t="n"/>
      <c r="AK107" s="138" t="n"/>
      <c r="AL107" s="16" t="n"/>
      <c r="AM107" s="138" t="n"/>
      <c r="AN107" s="16" t="n"/>
      <c r="AO107" s="138" t="n"/>
      <c r="AP107" s="16" t="n"/>
      <c r="AQ107" s="138" t="n"/>
      <c r="AR107" s="16" t="n"/>
      <c r="AS107" s="138" t="n"/>
      <c r="AT107" s="16" t="n"/>
      <c r="AU107" s="138" t="n"/>
      <c r="AV107" s="16" t="n"/>
      <c r="AW107" s="138" t="n"/>
      <c r="AX107" s="16" t="n"/>
      <c r="AY107" s="138" t="n"/>
      <c r="AZ107" s="16">
        <f>AF107+AH107+AJ107+AL107+AN107+AP107+AR107+AT107+AV107+AX107</f>
        <v/>
      </c>
      <c r="BA107" s="16" t="n"/>
      <c r="BB107" s="139" t="n"/>
      <c r="BC107" s="16" t="n"/>
      <c r="BD107" s="139" t="n"/>
      <c r="BE107" s="16">
        <f>(BA107+BC107)</f>
        <v/>
      </c>
    </row>
    <row r="108" ht="22.5" customFormat="1" customHeight="1" s="8">
      <c r="A108" s="9" t="n"/>
      <c r="B108" s="141" t="inlineStr">
        <is>
          <t>PCB</t>
        </is>
      </c>
      <c r="C108" s="137" t="inlineStr">
        <is>
          <t>DX3000</t>
        </is>
      </c>
      <c r="D108" s="62" t="inlineStr">
        <is>
          <t>EX B/D 사파리 (원버턴)</t>
        </is>
      </c>
      <c r="E108" s="20" t="n"/>
      <c r="F108" s="100" t="n"/>
      <c r="G108" s="22" t="n"/>
      <c r="H108" s="22" t="inlineStr">
        <is>
          <t>HLP</t>
        </is>
      </c>
      <c r="I108" s="14" t="n"/>
      <c r="J108" s="14" t="n"/>
      <c r="K108" s="12" t="n">
        <v>58</v>
      </c>
      <c r="L108" s="9" t="n"/>
      <c r="M108" s="9" t="n"/>
      <c r="N108" s="9" t="n"/>
      <c r="O108" s="40">
        <f>K108+V108-AE108-AZ108</f>
        <v/>
      </c>
      <c r="P108" s="12" t="n"/>
      <c r="Q108" s="138" t="n"/>
      <c r="R108" s="16" t="n"/>
      <c r="S108" s="139" t="n"/>
      <c r="T108" s="16" t="n"/>
      <c r="U108" s="139" t="n"/>
      <c r="V108" s="16">
        <f>P108+R108+T108</f>
        <v/>
      </c>
      <c r="W108" s="16" t="n"/>
      <c r="X108" s="139" t="n"/>
      <c r="Y108" s="16" t="n"/>
      <c r="Z108" s="139" t="n"/>
      <c r="AA108" s="16" t="n"/>
      <c r="AB108" s="139" t="n"/>
      <c r="AC108" s="16" t="n"/>
      <c r="AD108" s="139" t="n"/>
      <c r="AE108" s="16">
        <f>(W108+Y108+AA108+AC108)</f>
        <v/>
      </c>
      <c r="AF108" s="16" t="n"/>
      <c r="AG108" s="138" t="n"/>
      <c r="AH108" s="16" t="n"/>
      <c r="AI108" s="138" t="n"/>
      <c r="AJ108" s="16" t="n"/>
      <c r="AK108" s="138" t="n"/>
      <c r="AL108" s="16" t="n"/>
      <c r="AM108" s="138" t="n"/>
      <c r="AN108" s="16" t="n"/>
      <c r="AO108" s="138" t="n"/>
      <c r="AP108" s="16" t="n"/>
      <c r="AQ108" s="138" t="n"/>
      <c r="AR108" s="16" t="n"/>
      <c r="AS108" s="138" t="n"/>
      <c r="AT108" s="16" t="n"/>
      <c r="AU108" s="138" t="n"/>
      <c r="AV108" s="16" t="n"/>
      <c r="AW108" s="138" t="n"/>
      <c r="AX108" s="16" t="n"/>
      <c r="AY108" s="138" t="n"/>
      <c r="AZ108" s="16">
        <f>AF108+AH108+AJ108+AL108+AN108+AP108+AR108+AT108+AV108+AX108</f>
        <v/>
      </c>
      <c r="BA108" s="16" t="n"/>
      <c r="BB108" s="139" t="n"/>
      <c r="BC108" s="16" t="n"/>
      <c r="BD108" s="139" t="n"/>
      <c r="BE108" s="16">
        <f>(BA108+BC108)</f>
        <v/>
      </c>
    </row>
    <row r="109" ht="22.5" customFormat="1" customHeight="1" s="8">
      <c r="A109" s="9" t="n"/>
      <c r="B109" s="136" t="inlineStr">
        <is>
          <t>PCB</t>
        </is>
      </c>
      <c r="C109" s="137" t="inlineStr">
        <is>
          <t>DX3000</t>
        </is>
      </c>
      <c r="D109" s="72" t="inlineStr">
        <is>
          <t>RELAY 쪽 보드</t>
        </is>
      </c>
      <c r="E109" s="13" t="n"/>
      <c r="F109" s="100" t="n"/>
      <c r="G109" s="9" t="n"/>
      <c r="H109" s="9" t="inlineStr">
        <is>
          <t>HLP</t>
        </is>
      </c>
      <c r="I109" s="14" t="n"/>
      <c r="J109" s="14" t="n"/>
      <c r="K109" s="12" t="n"/>
      <c r="L109" s="9" t="n"/>
      <c r="M109" s="9" t="n"/>
      <c r="N109" s="9" t="n"/>
      <c r="O109" s="40">
        <f>K109+V109-AE109-AZ109</f>
        <v/>
      </c>
      <c r="P109" s="12" t="n"/>
      <c r="Q109" s="138" t="n"/>
      <c r="R109" s="16" t="n"/>
      <c r="S109" s="139" t="n"/>
      <c r="T109" s="16" t="n"/>
      <c r="U109" s="139" t="n"/>
      <c r="V109" s="16">
        <f>P109+R109+T109</f>
        <v/>
      </c>
      <c r="W109" s="16" t="n"/>
      <c r="X109" s="139" t="n"/>
      <c r="Y109" s="16" t="n"/>
      <c r="Z109" s="139" t="n"/>
      <c r="AA109" s="16" t="n"/>
      <c r="AB109" s="139" t="n"/>
      <c r="AC109" s="16" t="n"/>
      <c r="AD109" s="139" t="n"/>
      <c r="AE109" s="16">
        <f>(W109+Y109+AA109+AC109)</f>
        <v/>
      </c>
      <c r="AF109" s="16" t="n"/>
      <c r="AG109" s="138" t="n"/>
      <c r="AH109" s="16" t="n"/>
      <c r="AI109" s="138" t="n"/>
      <c r="AJ109" s="16" t="n"/>
      <c r="AK109" s="138" t="n"/>
      <c r="AL109" s="16" t="n"/>
      <c r="AM109" s="138" t="n"/>
      <c r="AN109" s="16" t="n"/>
      <c r="AO109" s="138" t="n"/>
      <c r="AP109" s="16" t="n"/>
      <c r="AQ109" s="138" t="n"/>
      <c r="AR109" s="16" t="n"/>
      <c r="AS109" s="138" t="n"/>
      <c r="AT109" s="16" t="n"/>
      <c r="AU109" s="138" t="n"/>
      <c r="AV109" s="16" t="n"/>
      <c r="AW109" s="138" t="n"/>
      <c r="AX109" s="16" t="n"/>
      <c r="AY109" s="138" t="n"/>
      <c r="AZ109" s="16">
        <f>AF109+AH109+AJ109+AL109+AN109+AP109+AR109+AT109+AV109+AX109</f>
        <v/>
      </c>
      <c r="BA109" s="16" t="n"/>
      <c r="BB109" s="139" t="n"/>
      <c r="BC109" s="16" t="n"/>
      <c r="BD109" s="139" t="n"/>
      <c r="BE109" s="16">
        <f>(BA109+BC109)</f>
        <v/>
      </c>
    </row>
    <row r="110" ht="22.5" customFormat="1" customHeight="1" s="8">
      <c r="A110" s="9" t="n"/>
      <c r="B110" s="136" t="inlineStr">
        <is>
          <t>PCB</t>
        </is>
      </c>
      <c r="C110" s="137" t="inlineStr">
        <is>
          <t>DX3000</t>
        </is>
      </c>
      <c r="D110" s="143" t="inlineStr">
        <is>
          <t>AIM LED 쪽 보드</t>
        </is>
      </c>
      <c r="E110" s="13" t="inlineStr">
        <is>
          <t>V3.0.1</t>
        </is>
      </c>
      <c r="F110" s="100" t="n"/>
      <c r="G110" s="9" t="n"/>
      <c r="H110" s="9" t="inlineStr">
        <is>
          <t>HLP</t>
        </is>
      </c>
      <c r="I110" s="14" t="n"/>
      <c r="J110" s="14" t="n"/>
      <c r="K110" s="12" t="n">
        <v>340</v>
      </c>
      <c r="L110" s="9" t="n"/>
      <c r="M110" s="9" t="n"/>
      <c r="N110" s="9" t="n"/>
      <c r="O110" s="40">
        <f>K110+V110-AE110-AZ110</f>
        <v/>
      </c>
      <c r="P110" s="12" t="n"/>
      <c r="Q110" s="138" t="n"/>
      <c r="R110" s="16" t="n"/>
      <c r="S110" s="139" t="n"/>
      <c r="T110" s="16" t="n"/>
      <c r="U110" s="139" t="n"/>
      <c r="V110" s="16">
        <f>P110+R110+T110</f>
        <v/>
      </c>
      <c r="W110" s="16" t="n"/>
      <c r="X110" s="139" t="n"/>
      <c r="Y110" s="16" t="n"/>
      <c r="Z110" s="139" t="n"/>
      <c r="AA110" s="16" t="n"/>
      <c r="AB110" s="139" t="n"/>
      <c r="AC110" s="16" t="n"/>
      <c r="AD110" s="139" t="n"/>
      <c r="AE110" s="16">
        <f>(W110+Y110+AA110+AC110)</f>
        <v/>
      </c>
      <c r="AF110" s="16" t="n"/>
      <c r="AG110" s="138" t="n"/>
      <c r="AH110" s="16" t="n"/>
      <c r="AI110" s="138" t="n"/>
      <c r="AJ110" s="16" t="n"/>
      <c r="AK110" s="138" t="n"/>
      <c r="AL110" s="16" t="n"/>
      <c r="AM110" s="138" t="n"/>
      <c r="AN110" s="16" t="n"/>
      <c r="AO110" s="138" t="n"/>
      <c r="AP110" s="16" t="n"/>
      <c r="AQ110" s="138" t="n"/>
      <c r="AR110" s="16" t="n"/>
      <c r="AS110" s="138" t="n"/>
      <c r="AT110" s="16" t="n"/>
      <c r="AU110" s="138" t="n"/>
      <c r="AV110" s="16" t="n"/>
      <c r="AW110" s="138" t="n"/>
      <c r="AX110" s="16" t="n"/>
      <c r="AY110" s="138" t="n"/>
      <c r="AZ110" s="16">
        <f>AF110+AH110+AJ110+AL110+AN110+AP110+AR110+AT110+AV110+AX110</f>
        <v/>
      </c>
      <c r="BA110" s="16" t="n"/>
      <c r="BB110" s="139" t="n"/>
      <c r="BC110" s="16" t="n"/>
      <c r="BD110" s="139" t="n"/>
      <c r="BE110" s="16">
        <f>(BA110+BC110)</f>
        <v/>
      </c>
    </row>
    <row r="111" ht="22.5" customFormat="1" customHeight="1" s="8">
      <c r="A111" s="9" t="n"/>
      <c r="B111" s="141" t="inlineStr">
        <is>
          <t>PANEL</t>
        </is>
      </c>
      <c r="C111" s="137" t="inlineStr">
        <is>
          <t>DX3000</t>
        </is>
      </c>
      <c r="D111" s="62" t="inlineStr">
        <is>
          <t>LCD PANEL</t>
        </is>
      </c>
      <c r="E111" s="36" t="inlineStr">
        <is>
          <t>2.35"LCD</t>
        </is>
      </c>
      <c r="F111" s="100" t="n"/>
      <c r="G111" s="22" t="n"/>
      <c r="H111" s="22" t="inlineStr">
        <is>
          <t>HLP</t>
        </is>
      </c>
      <c r="I111" s="14" t="n"/>
      <c r="J111" s="14" t="n"/>
      <c r="K111" s="12" t="n">
        <v>325</v>
      </c>
      <c r="L111" s="37" t="n"/>
      <c r="M111" s="37" t="n"/>
      <c r="N111" s="37" t="n"/>
      <c r="O111" s="40">
        <f>K111+V111-AE111-AZ111</f>
        <v/>
      </c>
      <c r="P111" s="12" t="n"/>
      <c r="Q111" s="138" t="n"/>
      <c r="R111" s="16" t="n"/>
      <c r="S111" s="139" t="n"/>
      <c r="T111" s="16" t="n"/>
      <c r="U111" s="139" t="n"/>
      <c r="V111" s="16">
        <f>P111+R111+T111</f>
        <v/>
      </c>
      <c r="W111" s="16" t="n"/>
      <c r="X111" s="139" t="n"/>
      <c r="Y111" s="16" t="n"/>
      <c r="Z111" s="139" t="n"/>
      <c r="AA111" s="16" t="n"/>
      <c r="AB111" s="139" t="n"/>
      <c r="AC111" s="16" t="n"/>
      <c r="AD111" s="139" t="n"/>
      <c r="AE111" s="16">
        <f>(W111+Y111+AA111+AC111)</f>
        <v/>
      </c>
      <c r="AF111" s="16" t="n"/>
      <c r="AG111" s="138" t="n"/>
      <c r="AH111" s="16" t="n"/>
      <c r="AI111" s="138" t="n"/>
      <c r="AJ111" s="16" t="n"/>
      <c r="AK111" s="138" t="n"/>
      <c r="AL111" s="16" t="n"/>
      <c r="AM111" s="138" t="n"/>
      <c r="AN111" s="16" t="n"/>
      <c r="AO111" s="138" t="n"/>
      <c r="AP111" s="16" t="n"/>
      <c r="AQ111" s="138" t="n"/>
      <c r="AR111" s="16" t="n"/>
      <c r="AS111" s="138" t="n"/>
      <c r="AT111" s="16" t="n"/>
      <c r="AU111" s="138" t="n"/>
      <c r="AV111" s="16" t="n"/>
      <c r="AW111" s="138" t="n"/>
      <c r="AX111" s="16" t="n"/>
      <c r="AY111" s="138" t="n"/>
      <c r="AZ111" s="16">
        <f>AF111+AH111+AJ111+AL111+AN111+AP111+AR111+AT111+AV111+AX111</f>
        <v/>
      </c>
      <c r="BA111" s="16" t="n"/>
      <c r="BB111" s="139" t="n"/>
      <c r="BC111" s="16" t="n"/>
      <c r="BD111" s="139" t="n"/>
      <c r="BE111" s="16">
        <f>(BA111+BC111)</f>
        <v/>
      </c>
    </row>
    <row r="112" ht="22.5" customFormat="1" customHeight="1" s="8">
      <c r="A112" s="9" t="n"/>
      <c r="B112" s="141" t="inlineStr">
        <is>
          <t>PANEL</t>
        </is>
      </c>
      <c r="C112" s="137" t="inlineStr">
        <is>
          <t>DX3000, SOLO</t>
        </is>
      </c>
      <c r="D112" s="62" t="inlineStr">
        <is>
          <t>TFT LCD PANEL</t>
        </is>
      </c>
      <c r="E112" s="36" t="inlineStr">
        <is>
          <t>2.4"LCD - CT1715N241A</t>
        </is>
      </c>
      <c r="F112" s="100" t="n"/>
      <c r="G112" s="22" t="n"/>
      <c r="H112" s="22" t="inlineStr">
        <is>
          <t>클리어디스플레이</t>
        </is>
      </c>
      <c r="I112" s="14" t="n"/>
      <c r="J112" s="14" t="n"/>
      <c r="K112" s="12" t="n">
        <v>440</v>
      </c>
      <c r="L112" s="9" t="n"/>
      <c r="M112" s="9" t="n"/>
      <c r="N112" s="9" t="n"/>
      <c r="O112" s="40">
        <f>K112+V112-AE112-AZ112</f>
        <v/>
      </c>
      <c r="P112" s="12" t="n"/>
      <c r="Q112" s="138" t="n"/>
      <c r="R112" s="16" t="n"/>
      <c r="S112" s="139" t="n"/>
      <c r="T112" s="16" t="n"/>
      <c r="U112" s="139" t="n"/>
      <c r="V112" s="16">
        <f>P112+R112+T112</f>
        <v/>
      </c>
      <c r="W112" s="16" t="n"/>
      <c r="X112" s="139" t="n"/>
      <c r="Y112" s="16" t="n"/>
      <c r="Z112" s="139" t="n"/>
      <c r="AA112" s="16" t="n"/>
      <c r="AB112" s="139" t="n"/>
      <c r="AC112" s="16" t="n"/>
      <c r="AD112" s="139" t="n"/>
      <c r="AE112" s="16">
        <f>(W112+Y112+AA112+AC112)</f>
        <v/>
      </c>
      <c r="AF112" s="16" t="n"/>
      <c r="AG112" s="138" t="n"/>
      <c r="AH112" s="16" t="n"/>
      <c r="AI112" s="138" t="n"/>
      <c r="AJ112" s="16" t="n"/>
      <c r="AK112" s="138" t="n"/>
      <c r="AL112" s="16" t="n"/>
      <c r="AM112" s="138" t="n"/>
      <c r="AN112" s="16" t="n"/>
      <c r="AO112" s="138" t="n"/>
      <c r="AP112" s="16" t="n"/>
      <c r="AQ112" s="138" t="n"/>
      <c r="AR112" s="16" t="n"/>
      <c r="AS112" s="138" t="n"/>
      <c r="AT112" s="16" t="n"/>
      <c r="AU112" s="138" t="n"/>
      <c r="AV112" s="16" t="n"/>
      <c r="AW112" s="138" t="n"/>
      <c r="AX112" s="16" t="n"/>
      <c r="AY112" s="138" t="n"/>
      <c r="AZ112" s="16">
        <f>AF112+AH112+AJ112+AL112+AN112+AP112+AR112+AT112+AV112+AX112</f>
        <v/>
      </c>
      <c r="BA112" s="16" t="n"/>
      <c r="BB112" s="139" t="n"/>
      <c r="BC112" s="16" t="n"/>
      <c r="BD112" s="139" t="n"/>
      <c r="BE112" s="16">
        <f>(BA112+BC112)</f>
        <v/>
      </c>
    </row>
    <row r="113" ht="22.5" customFormat="1" customHeight="1" s="8">
      <c r="A113" s="9" t="n"/>
      <c r="B113" s="141" t="inlineStr">
        <is>
          <t>CABLE</t>
        </is>
      </c>
      <c r="C113" s="137" t="inlineStr">
        <is>
          <t>DX3000</t>
        </is>
      </c>
      <c r="D113" s="62" t="inlineStr">
        <is>
          <t>하네스 1번</t>
        </is>
      </c>
      <c r="E113" s="36" t="inlineStr">
        <is>
          <t>FFC 20핀</t>
        </is>
      </c>
      <c r="F113" s="100" t="n"/>
      <c r="G113" s="22" t="n"/>
      <c r="H113" s="22" t="inlineStr">
        <is>
          <t>HLP</t>
        </is>
      </c>
      <c r="I113" s="14" t="n"/>
      <c r="J113" s="14" t="n"/>
      <c r="K113" s="12" t="n"/>
      <c r="L113" s="9" t="n"/>
      <c r="M113" s="9" t="n"/>
      <c r="N113" s="9" t="n"/>
      <c r="O113" s="40">
        <f>K113+V113-AE113-AZ113</f>
        <v/>
      </c>
      <c r="P113" s="12" t="n"/>
      <c r="Q113" s="138" t="n"/>
      <c r="R113" s="16" t="n"/>
      <c r="S113" s="139" t="n"/>
      <c r="T113" s="16" t="n"/>
      <c r="U113" s="139" t="n"/>
      <c r="V113" s="16">
        <f>P113+R113+T113</f>
        <v/>
      </c>
      <c r="W113" s="16" t="n"/>
      <c r="X113" s="139" t="n"/>
      <c r="Y113" s="16" t="n"/>
      <c r="Z113" s="139" t="n"/>
      <c r="AA113" s="16" t="n"/>
      <c r="AB113" s="139" t="n"/>
      <c r="AC113" s="16" t="n"/>
      <c r="AD113" s="139" t="n"/>
      <c r="AE113" s="16">
        <f>(W113+Y113+AA113+AC113)</f>
        <v/>
      </c>
      <c r="AF113" s="16" t="n"/>
      <c r="AG113" s="138" t="n"/>
      <c r="AH113" s="16" t="n"/>
      <c r="AI113" s="138" t="n"/>
      <c r="AJ113" s="16" t="n"/>
      <c r="AK113" s="138" t="n"/>
      <c r="AL113" s="16" t="n"/>
      <c r="AM113" s="138" t="n"/>
      <c r="AN113" s="16" t="n"/>
      <c r="AO113" s="138" t="n"/>
      <c r="AP113" s="16" t="n"/>
      <c r="AQ113" s="138" t="n"/>
      <c r="AR113" s="16" t="n"/>
      <c r="AS113" s="138" t="n"/>
      <c r="AT113" s="16" t="n"/>
      <c r="AU113" s="138" t="n"/>
      <c r="AV113" s="16" t="n"/>
      <c r="AW113" s="138" t="n"/>
      <c r="AX113" s="16" t="n"/>
      <c r="AY113" s="138" t="n"/>
      <c r="AZ113" s="16">
        <f>AF113+AH113+AJ113+AL113+AN113+AP113+AR113+AT113+AV113+AX113</f>
        <v/>
      </c>
      <c r="BA113" s="16" t="n"/>
      <c r="BB113" s="139" t="n"/>
      <c r="BC113" s="16" t="n"/>
      <c r="BD113" s="139" t="n"/>
      <c r="BE113" s="16">
        <f>(BA113+BC113)</f>
        <v/>
      </c>
    </row>
    <row r="114" ht="22.5" customFormat="1" customHeight="1" s="8">
      <c r="A114" s="9" t="n"/>
      <c r="B114" s="141" t="inlineStr">
        <is>
          <t>CABLE</t>
        </is>
      </c>
      <c r="C114" s="137" t="inlineStr">
        <is>
          <t>DX3000</t>
        </is>
      </c>
      <c r="D114" s="62" t="inlineStr">
        <is>
          <t>하네스 4번</t>
        </is>
      </c>
      <c r="E114" s="36" t="inlineStr">
        <is>
          <t xml:space="preserve">후면 전원 Wire - DC 잭 </t>
        </is>
      </c>
      <c r="F114" s="100" t="n"/>
      <c r="G114" s="22" t="n"/>
      <c r="H114" s="22" t="inlineStr">
        <is>
          <t>HLP</t>
        </is>
      </c>
      <c r="I114" s="14" t="n"/>
      <c r="J114" s="14" t="n"/>
      <c r="K114" s="12" t="n"/>
      <c r="L114" s="9" t="n"/>
      <c r="M114" s="9" t="n"/>
      <c r="N114" s="9" t="n"/>
      <c r="O114" s="40">
        <f>K114+V114-AE114-AZ114</f>
        <v/>
      </c>
      <c r="P114" s="12" t="n"/>
      <c r="Q114" s="138" t="n"/>
      <c r="R114" s="16" t="n"/>
      <c r="S114" s="139" t="n"/>
      <c r="T114" s="16" t="n"/>
      <c r="U114" s="139" t="n"/>
      <c r="V114" s="16">
        <f>P114+R114+T114</f>
        <v/>
      </c>
      <c r="W114" s="16" t="n"/>
      <c r="X114" s="139" t="n"/>
      <c r="Y114" s="16" t="n"/>
      <c r="Z114" s="139" t="n"/>
      <c r="AA114" s="16" t="n"/>
      <c r="AB114" s="139" t="n"/>
      <c r="AC114" s="16" t="n"/>
      <c r="AD114" s="139" t="n"/>
      <c r="AE114" s="16">
        <f>(W114+Y114+AA114+AC114)</f>
        <v/>
      </c>
      <c r="AF114" s="16" t="n"/>
      <c r="AG114" s="138" t="n"/>
      <c r="AH114" s="16" t="n"/>
      <c r="AI114" s="138" t="n"/>
      <c r="AJ114" s="16" t="n"/>
      <c r="AK114" s="138" t="n"/>
      <c r="AL114" s="16" t="n"/>
      <c r="AM114" s="138" t="n"/>
      <c r="AN114" s="16" t="n"/>
      <c r="AO114" s="138" t="n"/>
      <c r="AP114" s="16" t="n"/>
      <c r="AQ114" s="138" t="n"/>
      <c r="AR114" s="16" t="n"/>
      <c r="AS114" s="138" t="n"/>
      <c r="AT114" s="16" t="n"/>
      <c r="AU114" s="138" t="n"/>
      <c r="AV114" s="16" t="n"/>
      <c r="AW114" s="138" t="n"/>
      <c r="AX114" s="16" t="n"/>
      <c r="AY114" s="138" t="n"/>
      <c r="AZ114" s="16">
        <f>AF114+AH114+AJ114+AL114+AN114+AP114+AR114+AT114+AV114+AX114</f>
        <v/>
      </c>
      <c r="BA114" s="16" t="n"/>
      <c r="BB114" s="139" t="n"/>
      <c r="BC114" s="16" t="n"/>
      <c r="BD114" s="139" t="n"/>
      <c r="BE114" s="16">
        <f>(BA114+BC114)</f>
        <v/>
      </c>
    </row>
    <row r="115" ht="22.5" customFormat="1" customHeight="1" s="8">
      <c r="A115" s="9" t="n"/>
      <c r="B115" s="141" t="inlineStr">
        <is>
          <t>CABLE</t>
        </is>
      </c>
      <c r="C115" s="137" t="inlineStr">
        <is>
          <t>DX3000</t>
        </is>
      </c>
      <c r="D115" s="62" t="inlineStr">
        <is>
          <t>하네스 5번</t>
        </is>
      </c>
      <c r="E115" s="20" t="inlineStr">
        <is>
          <t>EXP KEY 4핀 케이블</t>
        </is>
      </c>
      <c r="F115" s="100" t="n"/>
      <c r="G115" s="22" t="n"/>
      <c r="H115" s="22" t="inlineStr">
        <is>
          <t>HLP</t>
        </is>
      </c>
      <c r="I115" s="14" t="n"/>
      <c r="J115" s="14" t="n"/>
      <c r="K115" s="12" t="n"/>
      <c r="L115" s="9" t="n"/>
      <c r="M115" s="9" t="n"/>
      <c r="N115" s="9" t="n"/>
      <c r="O115" s="40">
        <f>K115+V115-AE115-AZ115</f>
        <v/>
      </c>
      <c r="P115" s="12" t="n"/>
      <c r="Q115" s="138" t="n"/>
      <c r="R115" s="16" t="n"/>
      <c r="S115" s="139" t="n"/>
      <c r="T115" s="16" t="n"/>
      <c r="U115" s="139" t="n"/>
      <c r="V115" s="16">
        <f>P115+R115+T115</f>
        <v/>
      </c>
      <c r="W115" s="16" t="n"/>
      <c r="X115" s="139" t="n"/>
      <c r="Y115" s="16" t="n"/>
      <c r="Z115" s="139" t="n"/>
      <c r="AA115" s="16" t="n"/>
      <c r="AB115" s="139" t="n"/>
      <c r="AC115" s="16" t="n"/>
      <c r="AD115" s="139" t="n"/>
      <c r="AE115" s="16">
        <f>(W115+Y115+AA115+AC115)</f>
        <v/>
      </c>
      <c r="AF115" s="16" t="n"/>
      <c r="AG115" s="138" t="n"/>
      <c r="AH115" s="16" t="n"/>
      <c r="AI115" s="138" t="n"/>
      <c r="AJ115" s="16" t="n"/>
      <c r="AK115" s="138" t="n"/>
      <c r="AL115" s="16" t="n"/>
      <c r="AM115" s="138" t="n"/>
      <c r="AN115" s="16" t="n"/>
      <c r="AO115" s="138" t="n"/>
      <c r="AP115" s="16" t="n"/>
      <c r="AQ115" s="138" t="n"/>
      <c r="AR115" s="16" t="n"/>
      <c r="AS115" s="138" t="n"/>
      <c r="AT115" s="16" t="n"/>
      <c r="AU115" s="138" t="n"/>
      <c r="AV115" s="16" t="n"/>
      <c r="AW115" s="138" t="n"/>
      <c r="AX115" s="16" t="n"/>
      <c r="AY115" s="138" t="n"/>
      <c r="AZ115" s="16">
        <f>AF115+AH115+AJ115+AL115+AN115+AP115+AR115+AT115+AV115+AX115</f>
        <v/>
      </c>
      <c r="BA115" s="16" t="n"/>
      <c r="BB115" s="139" t="n"/>
      <c r="BC115" s="16" t="n"/>
      <c r="BD115" s="139" t="n"/>
      <c r="BE115" s="16">
        <f>(BA115+BC115)</f>
        <v/>
      </c>
    </row>
    <row r="116" ht="22.5" customFormat="1" customHeight="1" s="8">
      <c r="A116" s="9" t="n"/>
      <c r="B116" s="141" t="inlineStr">
        <is>
          <t>CABLE</t>
        </is>
      </c>
      <c r="C116" s="137" t="inlineStr">
        <is>
          <t>DX3000</t>
        </is>
      </c>
      <c r="D116" s="62" t="inlineStr">
        <is>
          <t>하네스 7번</t>
        </is>
      </c>
      <c r="E116" s="20" t="inlineStr">
        <is>
          <t>마그네틱보드 연결 4핀</t>
        </is>
      </c>
      <c r="F116" s="100" t="n"/>
      <c r="G116" s="22" t="n"/>
      <c r="H116" s="22" t="inlineStr">
        <is>
          <t>HLP</t>
        </is>
      </c>
      <c r="I116" s="14" t="n"/>
      <c r="J116" s="14" t="n"/>
      <c r="K116" s="12" t="n"/>
      <c r="L116" s="9" t="n"/>
      <c r="M116" s="9" t="n"/>
      <c r="N116" s="9" t="n"/>
      <c r="O116" s="40">
        <f>K116+V116-AE116-AZ116</f>
        <v/>
      </c>
      <c r="P116" s="12" t="n"/>
      <c r="Q116" s="138" t="n"/>
      <c r="R116" s="16" t="n"/>
      <c r="S116" s="139" t="n"/>
      <c r="T116" s="16" t="n"/>
      <c r="U116" s="139" t="n"/>
      <c r="V116" s="16">
        <f>P116+R116+T116</f>
        <v/>
      </c>
      <c r="W116" s="16" t="n"/>
      <c r="X116" s="139" t="n"/>
      <c r="Y116" s="16" t="n"/>
      <c r="Z116" s="139" t="n"/>
      <c r="AA116" s="16" t="n"/>
      <c r="AB116" s="139" t="n"/>
      <c r="AC116" s="16" t="n"/>
      <c r="AD116" s="139" t="n"/>
      <c r="AE116" s="16">
        <f>(W116+Y116+AA116+AC116)</f>
        <v/>
      </c>
      <c r="AF116" s="16" t="n"/>
      <c r="AG116" s="138" t="n"/>
      <c r="AH116" s="16" t="n"/>
      <c r="AI116" s="138" t="n"/>
      <c r="AJ116" s="16" t="n"/>
      <c r="AK116" s="138" t="n"/>
      <c r="AL116" s="16" t="n"/>
      <c r="AM116" s="138" t="n"/>
      <c r="AN116" s="16" t="n"/>
      <c r="AO116" s="138" t="n"/>
      <c r="AP116" s="16" t="n"/>
      <c r="AQ116" s="138" t="n"/>
      <c r="AR116" s="16" t="n"/>
      <c r="AS116" s="138" t="n"/>
      <c r="AT116" s="16" t="n"/>
      <c r="AU116" s="138" t="n"/>
      <c r="AV116" s="16" t="n"/>
      <c r="AW116" s="138" t="n"/>
      <c r="AX116" s="16" t="n"/>
      <c r="AY116" s="138" t="n"/>
      <c r="AZ116" s="16">
        <f>AF116+AH116+AJ116+AL116+AN116+AP116+AR116+AT116+AV116+AX116</f>
        <v/>
      </c>
      <c r="BA116" s="16" t="n"/>
      <c r="BB116" s="139" t="n"/>
      <c r="BC116" s="16" t="n"/>
      <c r="BD116" s="139" t="n"/>
      <c r="BE116" s="16">
        <f>(BA116+BC116)</f>
        <v/>
      </c>
    </row>
    <row r="117" ht="22.5" customFormat="1" customHeight="1" s="8">
      <c r="A117" s="9" t="n"/>
      <c r="B117" s="141" t="inlineStr">
        <is>
          <t>CABLE</t>
        </is>
      </c>
      <c r="C117" s="137" t="inlineStr">
        <is>
          <t>DX3000</t>
        </is>
      </c>
      <c r="D117" s="62" t="inlineStr">
        <is>
          <t>하네스 8번</t>
        </is>
      </c>
      <c r="E117" s="20" t="inlineStr">
        <is>
          <t>CJ4003 잭 (관전류 짹 + 2핀케이블)</t>
        </is>
      </c>
      <c r="F117" s="100" t="n"/>
      <c r="G117" s="22" t="n"/>
      <c r="H117" s="22" t="inlineStr">
        <is>
          <t>HLP</t>
        </is>
      </c>
      <c r="I117" s="14" t="n"/>
      <c r="J117" s="14" t="n"/>
      <c r="K117" s="12" t="n">
        <v>60</v>
      </c>
      <c r="L117" s="9" t="n"/>
      <c r="M117" s="9" t="n"/>
      <c r="N117" s="9" t="n"/>
      <c r="O117" s="40">
        <f>K117+V117-AE117-AZ117</f>
        <v/>
      </c>
      <c r="P117" s="12" t="n"/>
      <c r="Q117" s="138" t="n"/>
      <c r="R117" s="16" t="n"/>
      <c r="S117" s="139" t="n"/>
      <c r="T117" s="16" t="n"/>
      <c r="U117" s="139" t="n"/>
      <c r="V117" s="16">
        <f>P117+R117+T117</f>
        <v/>
      </c>
      <c r="W117" s="16" t="n"/>
      <c r="X117" s="139" t="n"/>
      <c r="Y117" s="16" t="n"/>
      <c r="Z117" s="139" t="n"/>
      <c r="AA117" s="16" t="n"/>
      <c r="AB117" s="139" t="n"/>
      <c r="AC117" s="16" t="n"/>
      <c r="AD117" s="139" t="n"/>
      <c r="AE117" s="16">
        <f>(W117+Y117+AA117+AC117)</f>
        <v/>
      </c>
      <c r="AF117" s="16" t="n"/>
      <c r="AG117" s="138" t="n"/>
      <c r="AH117" s="16" t="n"/>
      <c r="AI117" s="138" t="n"/>
      <c r="AJ117" s="16" t="n"/>
      <c r="AK117" s="138" t="n"/>
      <c r="AL117" s="16" t="n"/>
      <c r="AM117" s="138" t="n"/>
      <c r="AN117" s="16" t="n"/>
      <c r="AO117" s="138" t="n"/>
      <c r="AP117" s="16" t="n"/>
      <c r="AQ117" s="138" t="n"/>
      <c r="AR117" s="16" t="n"/>
      <c r="AS117" s="138" t="n"/>
      <c r="AT117" s="16" t="n"/>
      <c r="AU117" s="138" t="n"/>
      <c r="AV117" s="16" t="n"/>
      <c r="AW117" s="138" t="n"/>
      <c r="AX117" s="16" t="n"/>
      <c r="AY117" s="138" t="n"/>
      <c r="AZ117" s="16">
        <f>AF117+AH117+AJ117+AL117+AN117+AP117+AR117+AT117+AV117+AX117</f>
        <v/>
      </c>
      <c r="BA117" s="16" t="n"/>
      <c r="BB117" s="139" t="n"/>
      <c r="BC117" s="16" t="n"/>
      <c r="BD117" s="139" t="n"/>
      <c r="BE117" s="16">
        <f>(BA117+BC117)</f>
        <v/>
      </c>
    </row>
    <row r="118" ht="22.5" customFormat="1" customHeight="1" s="8">
      <c r="A118" s="9" t="n"/>
      <c r="B118" s="141" t="inlineStr">
        <is>
          <t>ABS 난연</t>
        </is>
      </c>
      <c r="C118" s="137" t="inlineStr">
        <is>
          <t>DX3000</t>
        </is>
      </c>
      <c r="D118" s="62" t="inlineStr">
        <is>
          <t>LCD GUIDE</t>
        </is>
      </c>
      <c r="E118" s="36" t="inlineStr">
        <is>
          <t>ABS 난연 화이트</t>
        </is>
      </c>
      <c r="F118" s="100" t="n"/>
      <c r="G118" s="22" t="n"/>
      <c r="H118" s="22" t="inlineStr">
        <is>
          <t>천우</t>
        </is>
      </c>
      <c r="I118" s="14" t="n"/>
      <c r="J118" s="14" t="n"/>
      <c r="K118" s="12" t="n">
        <v>350</v>
      </c>
      <c r="L118" s="9" t="n"/>
      <c r="M118" s="9" t="n"/>
      <c r="N118" s="9" t="n"/>
      <c r="O118" s="40">
        <f>K118+V118-AE118-AZ118</f>
        <v/>
      </c>
      <c r="P118" s="12" t="n"/>
      <c r="Q118" s="138" t="n"/>
      <c r="R118" s="16" t="n"/>
      <c r="S118" s="139" t="n"/>
      <c r="T118" s="16" t="n"/>
      <c r="U118" s="139" t="n"/>
      <c r="V118" s="16">
        <f>P118+R118+T118</f>
        <v/>
      </c>
      <c r="W118" s="16" t="n"/>
      <c r="X118" s="139" t="n"/>
      <c r="Y118" s="16" t="n"/>
      <c r="Z118" s="139" t="n"/>
      <c r="AA118" s="16" t="n"/>
      <c r="AB118" s="139" t="n"/>
      <c r="AC118" s="16" t="n"/>
      <c r="AD118" s="139" t="n"/>
      <c r="AE118" s="16">
        <f>(W118+Y118+AA118+AC118)</f>
        <v/>
      </c>
      <c r="AF118" s="16" t="n"/>
      <c r="AG118" s="138" t="n"/>
      <c r="AH118" s="16" t="n"/>
      <c r="AI118" s="138" t="n"/>
      <c r="AJ118" s="16" t="n"/>
      <c r="AK118" s="138" t="n"/>
      <c r="AL118" s="16" t="n"/>
      <c r="AM118" s="138" t="n"/>
      <c r="AN118" s="16" t="n"/>
      <c r="AO118" s="138" t="n"/>
      <c r="AP118" s="16" t="n"/>
      <c r="AQ118" s="138" t="n"/>
      <c r="AR118" s="16" t="n"/>
      <c r="AS118" s="138" t="n"/>
      <c r="AT118" s="16" t="n"/>
      <c r="AU118" s="138" t="n"/>
      <c r="AV118" s="16" t="n"/>
      <c r="AW118" s="138" t="n"/>
      <c r="AX118" s="16" t="n"/>
      <c r="AY118" s="138" t="n"/>
      <c r="AZ118" s="16">
        <f>AF118+AH118+AJ118+AL118+AN118+AP118+AR118+AT118+AV118+AX118</f>
        <v/>
      </c>
      <c r="BA118" s="16" t="n"/>
      <c r="BB118" s="139" t="n"/>
      <c r="BC118" s="16" t="n"/>
      <c r="BD118" s="139" t="n"/>
      <c r="BE118" s="16">
        <f>(BA118+BC118)</f>
        <v/>
      </c>
    </row>
    <row r="119" ht="22.5" customFormat="1" customHeight="1" s="8">
      <c r="A119" s="9" t="n"/>
      <c r="B119" s="141" t="inlineStr">
        <is>
          <t>ABS 난연</t>
        </is>
      </c>
      <c r="C119" s="137" t="inlineStr">
        <is>
          <t>DX3000</t>
        </is>
      </c>
      <c r="D119" s="103" t="inlineStr">
        <is>
          <t>LCD GUIDE (사파리)</t>
        </is>
      </c>
      <c r="E119" s="36" t="n"/>
      <c r="F119" s="100" t="n"/>
      <c r="G119" s="22" t="n"/>
      <c r="H119" s="22" t="inlineStr">
        <is>
          <t>HLP</t>
        </is>
      </c>
      <c r="I119" s="14" t="n"/>
      <c r="J119" s="14" t="n"/>
      <c r="K119" s="12" t="n">
        <v>87</v>
      </c>
      <c r="L119" s="9" t="n"/>
      <c r="M119" s="9" t="n"/>
      <c r="N119" s="9" t="n"/>
      <c r="O119" s="40">
        <f>K119+V119-AE119-AZ119</f>
        <v/>
      </c>
      <c r="P119" s="12" t="n"/>
      <c r="Q119" s="138" t="n"/>
      <c r="R119" s="16" t="n"/>
      <c r="S119" s="139" t="n"/>
      <c r="T119" s="16" t="n"/>
      <c r="U119" s="139" t="n"/>
      <c r="V119" s="16">
        <f>P119+R119+T119</f>
        <v/>
      </c>
      <c r="W119" s="16" t="n"/>
      <c r="X119" s="139" t="n"/>
      <c r="Y119" s="16" t="n"/>
      <c r="Z119" s="139" t="n"/>
      <c r="AA119" s="16" t="n"/>
      <c r="AB119" s="139" t="n"/>
      <c r="AC119" s="16" t="n"/>
      <c r="AD119" s="139" t="n"/>
      <c r="AE119" s="16">
        <f>(W119+Y119+AA119+AC119)</f>
        <v/>
      </c>
      <c r="AF119" s="16" t="n"/>
      <c r="AG119" s="138" t="n"/>
      <c r="AH119" s="16" t="n"/>
      <c r="AI119" s="138" t="n"/>
      <c r="AJ119" s="16" t="n"/>
      <c r="AK119" s="138" t="n"/>
      <c r="AL119" s="16" t="n"/>
      <c r="AM119" s="138" t="n"/>
      <c r="AN119" s="16" t="n"/>
      <c r="AO119" s="138" t="n"/>
      <c r="AP119" s="16" t="n"/>
      <c r="AQ119" s="138" t="n"/>
      <c r="AR119" s="16" t="n"/>
      <c r="AS119" s="138" t="n"/>
      <c r="AT119" s="16" t="n"/>
      <c r="AU119" s="138" t="n"/>
      <c r="AV119" s="16" t="n"/>
      <c r="AW119" s="138" t="n"/>
      <c r="AX119" s="16" t="n"/>
      <c r="AY119" s="138" t="n"/>
      <c r="AZ119" s="16">
        <f>AF119+AH119+AJ119+AL119+AN119+AP119+AR119+AT119+AV119+AX119</f>
        <v/>
      </c>
      <c r="BA119" s="16" t="n"/>
      <c r="BB119" s="139" t="n"/>
      <c r="BC119" s="16" t="n"/>
      <c r="BD119" s="139" t="n"/>
      <c r="BE119" s="16">
        <f>(BA119+BC119)</f>
        <v/>
      </c>
    </row>
    <row r="120" ht="22.5" customFormat="1" customHeight="1" s="8">
      <c r="A120" s="9" t="n"/>
      <c r="B120" s="141" t="inlineStr">
        <is>
          <t>ABS 난연</t>
        </is>
      </c>
      <c r="C120" s="137" t="inlineStr">
        <is>
          <t>DX3000</t>
        </is>
      </c>
      <c r="D120" s="62" t="inlineStr">
        <is>
          <t>FRONT COVER (듀얼 슬라이드)</t>
        </is>
      </c>
      <c r="E120" s="36" t="inlineStr">
        <is>
          <t>ABS 난연 블랙</t>
        </is>
      </c>
      <c r="F120" s="100" t="n"/>
      <c r="G120" s="22" t="n"/>
      <c r="H120" s="22" t="inlineStr">
        <is>
          <t>천우</t>
        </is>
      </c>
      <c r="I120" s="14" t="n"/>
      <c r="J120" s="14" t="n"/>
      <c r="K120" s="12" t="n">
        <v>149</v>
      </c>
      <c r="L120" s="9" t="n"/>
      <c r="M120" s="9" t="n"/>
      <c r="N120" s="9" t="n"/>
      <c r="O120" s="40">
        <f>K120+V120-AE120-AZ120</f>
        <v/>
      </c>
      <c r="P120" s="12" t="n"/>
      <c r="Q120" s="138" t="n"/>
      <c r="R120" s="16" t="n"/>
      <c r="S120" s="139" t="n"/>
      <c r="T120" s="16" t="n"/>
      <c r="U120" s="139" t="n"/>
      <c r="V120" s="16">
        <f>P120+R120+T120</f>
        <v/>
      </c>
      <c r="W120" s="16" t="n"/>
      <c r="X120" s="139" t="n"/>
      <c r="Y120" s="16" t="n"/>
      <c r="Z120" s="139" t="n"/>
      <c r="AA120" s="16" t="n"/>
      <c r="AB120" s="139" t="n"/>
      <c r="AC120" s="16" t="n"/>
      <c r="AD120" s="139" t="n"/>
      <c r="AE120" s="16">
        <f>(W120+Y120+AA120+AC120)</f>
        <v/>
      </c>
      <c r="AF120" s="16" t="n"/>
      <c r="AG120" s="138" t="n"/>
      <c r="AH120" s="16" t="n"/>
      <c r="AI120" s="138" t="n"/>
      <c r="AJ120" s="16" t="n"/>
      <c r="AK120" s="138" t="n"/>
      <c r="AL120" s="16" t="n"/>
      <c r="AM120" s="138" t="n"/>
      <c r="AN120" s="16" t="n"/>
      <c r="AO120" s="138" t="n"/>
      <c r="AP120" s="16" t="n"/>
      <c r="AQ120" s="138" t="n"/>
      <c r="AR120" s="16" t="n"/>
      <c r="AS120" s="138" t="n"/>
      <c r="AT120" s="16" t="n"/>
      <c r="AU120" s="138" t="n"/>
      <c r="AV120" s="16" t="n"/>
      <c r="AW120" s="138" t="n"/>
      <c r="AX120" s="16" t="n"/>
      <c r="AY120" s="138" t="n"/>
      <c r="AZ120" s="16">
        <f>AF120+AH120+AJ120+AL120+AN120+AP120+AR120+AT120+AV120+AX120</f>
        <v/>
      </c>
      <c r="BA120" s="16" t="n"/>
      <c r="BB120" s="139" t="n"/>
      <c r="BC120" s="16" t="n"/>
      <c r="BD120" s="139" t="n"/>
      <c r="BE120" s="16">
        <f>(BA120+BC120)</f>
        <v/>
      </c>
    </row>
    <row r="121" ht="22.5" customFormat="1" customHeight="1" s="8">
      <c r="A121" s="9" t="n"/>
      <c r="B121" s="141" t="inlineStr">
        <is>
          <t>ABS 난연</t>
        </is>
      </c>
      <c r="C121" s="137" t="inlineStr">
        <is>
          <t>DX3000</t>
        </is>
      </c>
      <c r="D121" s="62" t="inlineStr">
        <is>
          <t>FRONT COVER (듀얼 슬라이드)</t>
        </is>
      </c>
      <c r="E121" s="36" t="inlineStr">
        <is>
          <t>ABS 난연 화이트</t>
        </is>
      </c>
      <c r="F121" s="100" t="n"/>
      <c r="G121" s="22" t="n"/>
      <c r="H121" s="22" t="inlineStr">
        <is>
          <t>천우</t>
        </is>
      </c>
      <c r="I121" s="14" t="n"/>
      <c r="J121" s="14" t="n"/>
      <c r="K121" s="12" t="n">
        <v>63</v>
      </c>
      <c r="L121" s="9" t="n"/>
      <c r="M121" s="9" t="n"/>
      <c r="N121" s="9" t="n"/>
      <c r="O121" s="40">
        <f>K121+V121-AE121-AZ121</f>
        <v/>
      </c>
      <c r="P121" s="12" t="n"/>
      <c r="Q121" s="138" t="n"/>
      <c r="R121" s="16" t="n"/>
      <c r="S121" s="139" t="n"/>
      <c r="T121" s="16" t="n"/>
      <c r="U121" s="139" t="n"/>
      <c r="V121" s="16">
        <f>P121+R121+T121</f>
        <v/>
      </c>
      <c r="W121" s="16" t="n"/>
      <c r="X121" s="139" t="n"/>
      <c r="Y121" s="16" t="n"/>
      <c r="Z121" s="139" t="n"/>
      <c r="AA121" s="16" t="n"/>
      <c r="AB121" s="139" t="n"/>
      <c r="AC121" s="16" t="n"/>
      <c r="AD121" s="139" t="n"/>
      <c r="AE121" s="16">
        <f>(W121+Y121+AA121+AC121)</f>
        <v/>
      </c>
      <c r="AF121" s="16" t="n"/>
      <c r="AG121" s="138" t="n"/>
      <c r="AH121" s="16" t="n"/>
      <c r="AI121" s="138" t="n"/>
      <c r="AJ121" s="16" t="n"/>
      <c r="AK121" s="138" t="n"/>
      <c r="AL121" s="16" t="n"/>
      <c r="AM121" s="138" t="n"/>
      <c r="AN121" s="16" t="n"/>
      <c r="AO121" s="138" t="n"/>
      <c r="AP121" s="16" t="n"/>
      <c r="AQ121" s="138" t="n"/>
      <c r="AR121" s="16" t="n"/>
      <c r="AS121" s="138" t="n"/>
      <c r="AT121" s="16" t="n"/>
      <c r="AU121" s="138" t="n"/>
      <c r="AV121" s="16" t="n"/>
      <c r="AW121" s="138" t="n"/>
      <c r="AX121" s="16" t="n"/>
      <c r="AY121" s="138" t="n"/>
      <c r="AZ121" s="16">
        <f>AF121+AH121+AJ121+AL121+AN121+AP121+AR121+AT121+AV121+AX121</f>
        <v/>
      </c>
      <c r="BA121" s="16" t="n"/>
      <c r="BB121" s="139" t="n"/>
      <c r="BC121" s="16" t="n"/>
      <c r="BD121" s="139" t="n"/>
      <c r="BE121" s="16">
        <f>(BA121+BC121)</f>
        <v/>
      </c>
    </row>
    <row r="122" ht="22.5" customFormat="1" customHeight="1" s="8">
      <c r="A122" s="9" t="n"/>
      <c r="B122" s="141" t="inlineStr">
        <is>
          <t>ABS 난연</t>
        </is>
      </c>
      <c r="C122" s="137" t="inlineStr">
        <is>
          <t>DX3000</t>
        </is>
      </c>
      <c r="D122" s="62" t="inlineStr">
        <is>
          <t>REAR COVER</t>
        </is>
      </c>
      <c r="E122" s="36" t="inlineStr">
        <is>
          <t>ABS 난연 블랙</t>
        </is>
      </c>
      <c r="F122" s="100" t="n"/>
      <c r="G122" s="22" t="n"/>
      <c r="H122" s="22" t="inlineStr">
        <is>
          <t>천우</t>
        </is>
      </c>
      <c r="I122" s="14" t="n"/>
      <c r="J122" s="14" t="n"/>
      <c r="K122" s="12" t="n">
        <v>198</v>
      </c>
      <c r="L122" s="9" t="n"/>
      <c r="M122" s="9" t="n"/>
      <c r="N122" s="9" t="n"/>
      <c r="O122" s="40">
        <f>K122+V122-AE122-AZ122</f>
        <v/>
      </c>
      <c r="P122" s="12" t="n"/>
      <c r="Q122" s="138" t="n"/>
      <c r="R122" s="16" t="n"/>
      <c r="S122" s="139" t="n"/>
      <c r="T122" s="16" t="n"/>
      <c r="U122" s="139" t="n"/>
      <c r="V122" s="16">
        <f>P122+R122+T122</f>
        <v/>
      </c>
      <c r="W122" s="16" t="n"/>
      <c r="X122" s="139" t="n"/>
      <c r="Y122" s="16" t="n"/>
      <c r="Z122" s="139" t="n"/>
      <c r="AA122" s="16" t="n"/>
      <c r="AB122" s="139" t="n"/>
      <c r="AC122" s="16" t="n"/>
      <c r="AD122" s="139" t="n"/>
      <c r="AE122" s="16">
        <f>(W122+Y122+AA122+AC122)</f>
        <v/>
      </c>
      <c r="AF122" s="16" t="n"/>
      <c r="AG122" s="138" t="n"/>
      <c r="AH122" s="16" t="n"/>
      <c r="AI122" s="138" t="n"/>
      <c r="AJ122" s="16" t="n"/>
      <c r="AK122" s="138" t="n"/>
      <c r="AL122" s="16" t="n"/>
      <c r="AM122" s="138" t="n"/>
      <c r="AN122" s="16" t="n"/>
      <c r="AO122" s="138" t="n"/>
      <c r="AP122" s="16" t="n"/>
      <c r="AQ122" s="138" t="n"/>
      <c r="AR122" s="16" t="n"/>
      <c r="AS122" s="138" t="n"/>
      <c r="AT122" s="16" t="n"/>
      <c r="AU122" s="138" t="n"/>
      <c r="AV122" s="16" t="n"/>
      <c r="AW122" s="138" t="n"/>
      <c r="AX122" s="16" t="n"/>
      <c r="AY122" s="138" t="n"/>
      <c r="AZ122" s="16">
        <f>AF122+AH122+AJ122+AL122+AN122+AP122+AR122+AT122+AV122+AX122</f>
        <v/>
      </c>
      <c r="BA122" s="16" t="n"/>
      <c r="BB122" s="139" t="n"/>
      <c r="BC122" s="16" t="n"/>
      <c r="BD122" s="139" t="n"/>
      <c r="BE122" s="16">
        <f>(BA122+BC122)</f>
        <v/>
      </c>
    </row>
    <row r="123" ht="22.5" customFormat="1" customHeight="1" s="8">
      <c r="A123" s="9" t="n"/>
      <c r="B123" s="141" t="inlineStr">
        <is>
          <t>ABS 난연</t>
        </is>
      </c>
      <c r="C123" s="137" t="inlineStr">
        <is>
          <t>DX3000</t>
        </is>
      </c>
      <c r="D123" s="62" t="inlineStr">
        <is>
          <t>REAR COVER</t>
        </is>
      </c>
      <c r="E123" s="36" t="inlineStr">
        <is>
          <t>ABS 난연 화이트</t>
        </is>
      </c>
      <c r="F123" s="100" t="n"/>
      <c r="G123" s="22" t="n"/>
      <c r="H123" s="22" t="inlineStr">
        <is>
          <t>천우</t>
        </is>
      </c>
      <c r="I123" s="14" t="n"/>
      <c r="J123" s="14" t="n"/>
      <c r="K123" s="12" t="n">
        <v>118</v>
      </c>
      <c r="L123" s="9" t="n"/>
      <c r="M123" s="9" t="n"/>
      <c r="N123" s="9" t="n"/>
      <c r="O123" s="40">
        <f>K123+V123-AE123-AZ123</f>
        <v/>
      </c>
      <c r="P123" s="12" t="n"/>
      <c r="Q123" s="138" t="n"/>
      <c r="R123" s="16" t="n"/>
      <c r="S123" s="139" t="n"/>
      <c r="T123" s="16" t="n"/>
      <c r="U123" s="139" t="n"/>
      <c r="V123" s="16">
        <f>P123+R123+T123</f>
        <v/>
      </c>
      <c r="W123" s="16" t="n"/>
      <c r="X123" s="139" t="n"/>
      <c r="Y123" s="16" t="n"/>
      <c r="Z123" s="139" t="n"/>
      <c r="AA123" s="16" t="n"/>
      <c r="AB123" s="139" t="n"/>
      <c r="AC123" s="16" t="n"/>
      <c r="AD123" s="139" t="n"/>
      <c r="AE123" s="16">
        <f>(W123+Y123+AA123+AC123)</f>
        <v/>
      </c>
      <c r="AF123" s="16" t="n"/>
      <c r="AG123" s="138" t="n"/>
      <c r="AH123" s="16" t="n"/>
      <c r="AI123" s="138" t="n"/>
      <c r="AJ123" s="16" t="n"/>
      <c r="AK123" s="138" t="n"/>
      <c r="AL123" s="16" t="n"/>
      <c r="AM123" s="138" t="n"/>
      <c r="AN123" s="16" t="n"/>
      <c r="AO123" s="138" t="n"/>
      <c r="AP123" s="16" t="n"/>
      <c r="AQ123" s="138" t="n"/>
      <c r="AR123" s="16" t="n"/>
      <c r="AS123" s="138" t="n"/>
      <c r="AT123" s="16" t="n"/>
      <c r="AU123" s="138" t="n"/>
      <c r="AV123" s="16" t="n"/>
      <c r="AW123" s="138" t="n"/>
      <c r="AX123" s="16" t="n"/>
      <c r="AY123" s="138" t="n"/>
      <c r="AZ123" s="16">
        <f>AF123+AH123+AJ123+AL123+AN123+AP123+AR123+AT123+AV123+AX123</f>
        <v/>
      </c>
      <c r="BA123" s="16" t="n"/>
      <c r="BB123" s="139" t="n"/>
      <c r="BC123" s="16" t="n"/>
      <c r="BD123" s="139" t="n"/>
      <c r="BE123" s="16">
        <f>(BA123+BC123)</f>
        <v/>
      </c>
    </row>
    <row r="124" ht="22.5" customFormat="1" customHeight="1" s="8">
      <c r="A124" s="9" t="n"/>
      <c r="B124" s="141" t="inlineStr">
        <is>
          <t>ABS 난연</t>
        </is>
      </c>
      <c r="C124" s="137" t="inlineStr">
        <is>
          <t>DX3000</t>
        </is>
      </c>
      <c r="D124" s="62" t="inlineStr">
        <is>
          <t>BATTERY COVER</t>
        </is>
      </c>
      <c r="E124" s="36" t="inlineStr">
        <is>
          <t>ABS 난연 블랙 + 블랙</t>
        </is>
      </c>
      <c r="F124" s="100" t="n"/>
      <c r="G124" s="22" t="n"/>
      <c r="H124" s="22" t="inlineStr">
        <is>
          <t>천우</t>
        </is>
      </c>
      <c r="I124" s="14" t="n"/>
      <c r="J124" s="14" t="n"/>
      <c r="K124" s="12" t="n">
        <v>496</v>
      </c>
      <c r="L124" s="9" t="n"/>
      <c r="M124" s="9" t="n"/>
      <c r="N124" s="9" t="n"/>
      <c r="O124" s="40">
        <f>K124+V124-AE124-AZ124</f>
        <v/>
      </c>
      <c r="P124" s="12" t="n"/>
      <c r="Q124" s="138" t="n"/>
      <c r="R124" s="16" t="n"/>
      <c r="S124" s="139" t="n"/>
      <c r="T124" s="16" t="n"/>
      <c r="U124" s="139" t="n"/>
      <c r="V124" s="16">
        <f>P124+R124+T124</f>
        <v/>
      </c>
      <c r="W124" s="16" t="n"/>
      <c r="X124" s="139" t="n"/>
      <c r="Y124" s="16" t="n"/>
      <c r="Z124" s="139" t="n"/>
      <c r="AA124" s="16" t="n"/>
      <c r="AB124" s="139" t="n"/>
      <c r="AC124" s="16" t="n"/>
      <c r="AD124" s="139" t="n"/>
      <c r="AE124" s="16">
        <f>(W124+Y124+AA124+AC124)</f>
        <v/>
      </c>
      <c r="AF124" s="16" t="n"/>
      <c r="AG124" s="138" t="n"/>
      <c r="AH124" s="16" t="n"/>
      <c r="AI124" s="138" t="n"/>
      <c r="AJ124" s="16" t="n"/>
      <c r="AK124" s="138" t="n"/>
      <c r="AL124" s="16" t="n"/>
      <c r="AM124" s="138" t="n"/>
      <c r="AN124" s="16" t="n"/>
      <c r="AO124" s="138" t="n"/>
      <c r="AP124" s="16" t="n"/>
      <c r="AQ124" s="138" t="n"/>
      <c r="AR124" s="16" t="n"/>
      <c r="AS124" s="138" t="n"/>
      <c r="AT124" s="16" t="n"/>
      <c r="AU124" s="138" t="n"/>
      <c r="AV124" s="16" t="n"/>
      <c r="AW124" s="138" t="n"/>
      <c r="AX124" s="16" t="n"/>
      <c r="AY124" s="138" t="n"/>
      <c r="AZ124" s="16">
        <f>AF124+AH124+AJ124+AL124+AN124+AP124+AR124+AT124+AV124+AX124</f>
        <v/>
      </c>
      <c r="BA124" s="16" t="n"/>
      <c r="BB124" s="139" t="n"/>
      <c r="BC124" s="16" t="n"/>
      <c r="BD124" s="139" t="n"/>
      <c r="BE124" s="16">
        <f>(BA124+BC124)</f>
        <v/>
      </c>
    </row>
    <row r="125" ht="22.5" customFormat="1" customHeight="1" s="8">
      <c r="A125" s="9" t="n"/>
      <c r="B125" s="141" t="inlineStr">
        <is>
          <t>ABS 난연</t>
        </is>
      </c>
      <c r="C125" s="137" t="inlineStr">
        <is>
          <t>DX3000</t>
        </is>
      </c>
      <c r="D125" s="62" t="inlineStr">
        <is>
          <t>BATTERY COVER</t>
        </is>
      </c>
      <c r="E125" s="36" t="inlineStr">
        <is>
          <t>ABS 난연 화이트</t>
        </is>
      </c>
      <c r="F125" s="100" t="n"/>
      <c r="G125" s="22" t="n"/>
      <c r="H125" s="22" t="inlineStr">
        <is>
          <t>천우</t>
        </is>
      </c>
      <c r="I125" s="14" t="n"/>
      <c r="J125" s="14" t="n"/>
      <c r="K125" s="12" t="n">
        <v>0</v>
      </c>
      <c r="L125" s="9" t="n"/>
      <c r="M125" s="9" t="n"/>
      <c r="N125" s="9" t="n"/>
      <c r="O125" s="40">
        <f>K125+V125-AE125-AZ125</f>
        <v/>
      </c>
      <c r="P125" s="12" t="n"/>
      <c r="Q125" s="138" t="n"/>
      <c r="R125" s="16" t="n"/>
      <c r="S125" s="139" t="n"/>
      <c r="T125" s="16" t="n"/>
      <c r="U125" s="139" t="n"/>
      <c r="V125" s="16">
        <f>P125+R125+T125</f>
        <v/>
      </c>
      <c r="W125" s="16" t="n"/>
      <c r="X125" s="139" t="n"/>
      <c r="Y125" s="16" t="n"/>
      <c r="Z125" s="139" t="n"/>
      <c r="AA125" s="16" t="n"/>
      <c r="AB125" s="139" t="n"/>
      <c r="AC125" s="16" t="n"/>
      <c r="AD125" s="139" t="n"/>
      <c r="AE125" s="16">
        <f>(W125+Y125+AA125+AC125)</f>
        <v/>
      </c>
      <c r="AF125" s="16" t="n"/>
      <c r="AG125" s="138" t="n"/>
      <c r="AH125" s="16" t="n"/>
      <c r="AI125" s="138" t="n"/>
      <c r="AJ125" s="16" t="n"/>
      <c r="AK125" s="138" t="n"/>
      <c r="AL125" s="16" t="n"/>
      <c r="AM125" s="138" t="n"/>
      <c r="AN125" s="16" t="n"/>
      <c r="AO125" s="138" t="n"/>
      <c r="AP125" s="16" t="n"/>
      <c r="AQ125" s="138" t="n"/>
      <c r="AR125" s="16" t="n"/>
      <c r="AS125" s="138" t="n"/>
      <c r="AT125" s="16" t="n"/>
      <c r="AU125" s="138" t="n"/>
      <c r="AV125" s="16" t="n"/>
      <c r="AW125" s="138" t="n"/>
      <c r="AX125" s="16" t="n"/>
      <c r="AY125" s="138" t="n"/>
      <c r="AZ125" s="16">
        <f>AF125+AH125+AJ125+AL125+AN125+AP125+AR125+AT125+AV125+AX125</f>
        <v/>
      </c>
      <c r="BA125" s="16" t="n"/>
      <c r="BB125" s="139" t="n"/>
      <c r="BC125" s="16" t="n"/>
      <c r="BD125" s="139" t="n"/>
      <c r="BE125" s="16">
        <f>(BA125+BC125)</f>
        <v/>
      </c>
    </row>
    <row r="126" ht="22.5" customFormat="1" customHeight="1" s="8">
      <c r="A126" s="9" t="n"/>
      <c r="B126" s="141" t="inlineStr">
        <is>
          <t>ABS 난연</t>
        </is>
      </c>
      <c r="C126" s="137" t="inlineStr">
        <is>
          <t>DX3000</t>
        </is>
      </c>
      <c r="D126" s="62" t="inlineStr">
        <is>
          <t>BATTERY COVER</t>
        </is>
      </c>
      <c r="E126" s="36" t="inlineStr">
        <is>
          <t>ABS 난연 화이트 + 진한 회색</t>
        </is>
      </c>
      <c r="F126" s="100" t="n"/>
      <c r="G126" s="22" t="n"/>
      <c r="H126" s="22" t="inlineStr">
        <is>
          <t>천우</t>
        </is>
      </c>
      <c r="I126" s="14" t="n"/>
      <c r="J126" s="14" t="n"/>
      <c r="K126" s="12" t="n">
        <v>1797</v>
      </c>
      <c r="L126" s="9" t="n"/>
      <c r="M126" s="9" t="n"/>
      <c r="N126" s="9" t="n"/>
      <c r="O126" s="40">
        <f>K126+V126-AE126-AZ126</f>
        <v/>
      </c>
      <c r="P126" s="12" t="n"/>
      <c r="Q126" s="138" t="n"/>
      <c r="R126" s="16" t="n"/>
      <c r="S126" s="139" t="n"/>
      <c r="T126" s="16" t="n"/>
      <c r="U126" s="139" t="n"/>
      <c r="V126" s="16">
        <f>P126+R126+T126</f>
        <v/>
      </c>
      <c r="W126" s="16" t="n"/>
      <c r="X126" s="139" t="n"/>
      <c r="Y126" s="16" t="n"/>
      <c r="Z126" s="139" t="n"/>
      <c r="AA126" s="16" t="n"/>
      <c r="AB126" s="139" t="n"/>
      <c r="AC126" s="16" t="n"/>
      <c r="AD126" s="139" t="n"/>
      <c r="AE126" s="16">
        <f>(W126+Y126+AA126+AC126)</f>
        <v/>
      </c>
      <c r="AF126" s="16" t="n"/>
      <c r="AG126" s="138" t="n"/>
      <c r="AH126" s="16" t="n"/>
      <c r="AI126" s="138" t="n"/>
      <c r="AJ126" s="16" t="n"/>
      <c r="AK126" s="138" t="n"/>
      <c r="AL126" s="16" t="n"/>
      <c r="AM126" s="138" t="n"/>
      <c r="AN126" s="16" t="n"/>
      <c r="AO126" s="138" t="n"/>
      <c r="AP126" s="16" t="n"/>
      <c r="AQ126" s="138" t="n"/>
      <c r="AR126" s="16" t="n"/>
      <c r="AS126" s="138" t="n"/>
      <c r="AT126" s="16" t="n"/>
      <c r="AU126" s="138" t="n"/>
      <c r="AV126" s="16" t="n"/>
      <c r="AW126" s="138" t="n"/>
      <c r="AX126" s="16" t="n"/>
      <c r="AY126" s="138" t="n"/>
      <c r="AZ126" s="16">
        <f>AF126+AH126+AJ126+AL126+AN126+AP126+AR126+AT126+AV126+AX126</f>
        <v/>
      </c>
      <c r="BA126" s="16" t="n"/>
      <c r="BB126" s="139" t="n"/>
      <c r="BC126" s="16" t="n"/>
      <c r="BD126" s="139" t="n"/>
      <c r="BE126" s="16">
        <f>(BA126+BC126)</f>
        <v/>
      </c>
    </row>
    <row r="127" ht="22.5" customFormat="1" customHeight="1" s="8">
      <c r="A127" s="9" t="n"/>
      <c r="B127" s="141" t="inlineStr">
        <is>
          <t>ABS 난연</t>
        </is>
      </c>
      <c r="C127" s="137" t="inlineStr">
        <is>
          <t>DX3000</t>
        </is>
      </c>
      <c r="D127" s="62" t="inlineStr">
        <is>
          <t>POWER BUTTON</t>
        </is>
      </c>
      <c r="E127" s="36" t="inlineStr">
        <is>
          <t>ABS 난연 화이트 + 밝은 회색</t>
        </is>
      </c>
      <c r="F127" s="100" t="n"/>
      <c r="G127" s="22" t="n"/>
      <c r="H127" s="22" t="inlineStr">
        <is>
          <t>천우</t>
        </is>
      </c>
      <c r="I127" s="14" t="n"/>
      <c r="J127" s="14" t="n"/>
      <c r="K127" s="12" t="n">
        <v>520</v>
      </c>
      <c r="L127" s="9" t="n"/>
      <c r="M127" s="9" t="n"/>
      <c r="N127" s="9" t="n"/>
      <c r="O127" s="40">
        <f>K127+V127-AE127-AZ127</f>
        <v/>
      </c>
      <c r="P127" s="12" t="n"/>
      <c r="Q127" s="138" t="n"/>
      <c r="R127" s="16" t="n"/>
      <c r="S127" s="139" t="n"/>
      <c r="T127" s="16" t="n"/>
      <c r="U127" s="139" t="n"/>
      <c r="V127" s="16">
        <f>P127+R127+T127</f>
        <v/>
      </c>
      <c r="W127" s="16" t="n"/>
      <c r="X127" s="139" t="n"/>
      <c r="Y127" s="16" t="n"/>
      <c r="Z127" s="139" t="n"/>
      <c r="AA127" s="16" t="n"/>
      <c r="AB127" s="139" t="n"/>
      <c r="AC127" s="16" t="n"/>
      <c r="AD127" s="139" t="n"/>
      <c r="AE127" s="16">
        <f>(W127+Y127+AA127+AC127)</f>
        <v/>
      </c>
      <c r="AF127" s="16" t="n"/>
      <c r="AG127" s="138" t="n"/>
      <c r="AH127" s="16" t="n"/>
      <c r="AI127" s="138" t="n"/>
      <c r="AJ127" s="16" t="n"/>
      <c r="AK127" s="138" t="n"/>
      <c r="AL127" s="16" t="n"/>
      <c r="AM127" s="138" t="n"/>
      <c r="AN127" s="16" t="n"/>
      <c r="AO127" s="138" t="n"/>
      <c r="AP127" s="16" t="n"/>
      <c r="AQ127" s="138" t="n"/>
      <c r="AR127" s="16" t="n"/>
      <c r="AS127" s="138" t="n"/>
      <c r="AT127" s="16" t="n"/>
      <c r="AU127" s="138" t="n"/>
      <c r="AV127" s="16" t="n"/>
      <c r="AW127" s="138" t="n"/>
      <c r="AX127" s="16" t="n"/>
      <c r="AY127" s="138" t="n"/>
      <c r="AZ127" s="16">
        <f>AF127+AH127+AJ127+AL127+AN127+AP127+AR127+AT127+AV127+AX127</f>
        <v/>
      </c>
      <c r="BA127" s="16" t="n"/>
      <c r="BB127" s="139" t="n"/>
      <c r="BC127" s="16" t="n"/>
      <c r="BD127" s="139" t="n"/>
      <c r="BE127" s="16">
        <f>(BA127+BC127)</f>
        <v/>
      </c>
    </row>
    <row r="128" ht="22.5" customFormat="1" customHeight="1" s="8">
      <c r="A128" s="9" t="n"/>
      <c r="B128" s="141" t="inlineStr">
        <is>
          <t>ABS 난연</t>
        </is>
      </c>
      <c r="C128" s="137" t="inlineStr">
        <is>
          <t>DX3000</t>
        </is>
      </c>
      <c r="D128" s="62" t="inlineStr">
        <is>
          <t>EX BUTTON</t>
        </is>
      </c>
      <c r="E128" s="36" t="inlineStr">
        <is>
          <t>ABS 난연 화이트 + 밝은 회색</t>
        </is>
      </c>
      <c r="F128" s="100" t="n"/>
      <c r="G128" s="22" t="n"/>
      <c r="H128" s="22" t="inlineStr">
        <is>
          <t>천우</t>
        </is>
      </c>
      <c r="I128" s="14" t="n"/>
      <c r="J128" s="14" t="n"/>
      <c r="K128" s="12" t="n">
        <v>700</v>
      </c>
      <c r="L128" s="9" t="n"/>
      <c r="M128" s="9" t="n"/>
      <c r="N128" s="9" t="n"/>
      <c r="O128" s="40">
        <f>K128+V128-AE128-AZ128</f>
        <v/>
      </c>
      <c r="P128" s="12" t="n"/>
      <c r="Q128" s="138" t="n"/>
      <c r="R128" s="16" t="n"/>
      <c r="S128" s="139" t="n"/>
      <c r="T128" s="16" t="n"/>
      <c r="U128" s="139" t="n"/>
      <c r="V128" s="16">
        <f>P128+R128+T128</f>
        <v/>
      </c>
      <c r="W128" s="16" t="n"/>
      <c r="X128" s="139" t="n"/>
      <c r="Y128" s="16" t="n"/>
      <c r="Z128" s="139" t="n"/>
      <c r="AA128" s="16" t="n"/>
      <c r="AB128" s="139" t="n"/>
      <c r="AC128" s="16" t="n"/>
      <c r="AD128" s="139" t="n"/>
      <c r="AE128" s="16">
        <f>(W128+Y128+AA128+AC128)</f>
        <v/>
      </c>
      <c r="AF128" s="16" t="n"/>
      <c r="AG128" s="138" t="n"/>
      <c r="AH128" s="16" t="n"/>
      <c r="AI128" s="138" t="n"/>
      <c r="AJ128" s="16" t="n"/>
      <c r="AK128" s="138" t="n"/>
      <c r="AL128" s="16" t="n"/>
      <c r="AM128" s="138" t="n"/>
      <c r="AN128" s="16" t="n"/>
      <c r="AO128" s="138" t="n"/>
      <c r="AP128" s="16" t="n"/>
      <c r="AQ128" s="138" t="n"/>
      <c r="AR128" s="16" t="n"/>
      <c r="AS128" s="138" t="n"/>
      <c r="AT128" s="16" t="n"/>
      <c r="AU128" s="138" t="n"/>
      <c r="AV128" s="16" t="n"/>
      <c r="AW128" s="138" t="n"/>
      <c r="AX128" s="16" t="n"/>
      <c r="AY128" s="138" t="n"/>
      <c r="AZ128" s="16">
        <f>AF128+AH128+AJ128+AL128+AN128+AP128+AR128+AT128+AV128+AX128</f>
        <v/>
      </c>
      <c r="BA128" s="16" t="n"/>
      <c r="BB128" s="139" t="n"/>
      <c r="BC128" s="16" t="n"/>
      <c r="BD128" s="139" t="n"/>
      <c r="BE128" s="16">
        <f>(BA128+BC128)</f>
        <v/>
      </c>
    </row>
    <row r="129" ht="22.5" customFormat="1" customHeight="1" s="8">
      <c r="A129" s="9" t="n"/>
      <c r="B129" s="141" t="inlineStr">
        <is>
          <t>ABS 난연</t>
        </is>
      </c>
      <c r="C129" s="137" t="inlineStr">
        <is>
          <t>DX3000</t>
        </is>
      </c>
      <c r="D129" s="62" t="inlineStr">
        <is>
          <t>NAVI KEY</t>
        </is>
      </c>
      <c r="E129" s="36" t="inlineStr">
        <is>
          <t>ABS 난연 화이트 + 밝은 회색</t>
        </is>
      </c>
      <c r="F129" s="100" t="n"/>
      <c r="G129" s="22" t="n"/>
      <c r="H129" s="22" t="inlineStr">
        <is>
          <t>천우</t>
        </is>
      </c>
      <c r="I129" s="14" t="n"/>
      <c r="J129" s="14" t="n"/>
      <c r="K129" s="12" t="n">
        <v>595</v>
      </c>
      <c r="L129" s="9" t="n"/>
      <c r="M129" s="9" t="n"/>
      <c r="N129" s="9" t="n"/>
      <c r="O129" s="40">
        <f>K129+V129-AE129-AZ129</f>
        <v/>
      </c>
      <c r="P129" s="12" t="n"/>
      <c r="Q129" s="138" t="n"/>
      <c r="R129" s="16" t="n"/>
      <c r="S129" s="139" t="n"/>
      <c r="T129" s="16" t="n"/>
      <c r="U129" s="139" t="n"/>
      <c r="V129" s="16">
        <f>P129+R129+T129</f>
        <v/>
      </c>
      <c r="W129" s="16" t="n"/>
      <c r="X129" s="139" t="n"/>
      <c r="Y129" s="16" t="n"/>
      <c r="Z129" s="139" t="n"/>
      <c r="AA129" s="16" t="n"/>
      <c r="AB129" s="139" t="n"/>
      <c r="AC129" s="16" t="n"/>
      <c r="AD129" s="139" t="n"/>
      <c r="AE129" s="16">
        <f>(W129+Y129+AA129+AC129)</f>
        <v/>
      </c>
      <c r="AF129" s="16" t="n"/>
      <c r="AG129" s="138" t="n"/>
      <c r="AH129" s="16" t="n"/>
      <c r="AI129" s="138" t="n"/>
      <c r="AJ129" s="16" t="n"/>
      <c r="AK129" s="138" t="n"/>
      <c r="AL129" s="16" t="n"/>
      <c r="AM129" s="138" t="n"/>
      <c r="AN129" s="16" t="n"/>
      <c r="AO129" s="138" t="n"/>
      <c r="AP129" s="16" t="n"/>
      <c r="AQ129" s="138" t="n"/>
      <c r="AR129" s="16" t="n"/>
      <c r="AS129" s="138" t="n"/>
      <c r="AT129" s="16" t="n"/>
      <c r="AU129" s="138" t="n"/>
      <c r="AV129" s="16" t="n"/>
      <c r="AW129" s="138" t="n"/>
      <c r="AX129" s="16" t="n"/>
      <c r="AY129" s="138" t="n"/>
      <c r="AZ129" s="16">
        <f>AF129+AH129+AJ129+AL129+AN129+AP129+AR129+AT129+AV129+AX129</f>
        <v/>
      </c>
      <c r="BA129" s="16" t="n"/>
      <c r="BB129" s="139" t="n"/>
      <c r="BC129" s="16" t="n"/>
      <c r="BD129" s="139" t="n"/>
      <c r="BE129" s="16">
        <f>(BA129+BC129)</f>
        <v/>
      </c>
    </row>
    <row r="130" ht="22.5" customFormat="1" customHeight="1" s="8">
      <c r="A130" s="9" t="n"/>
      <c r="B130" s="141" t="inlineStr">
        <is>
          <t>ABS 난연</t>
        </is>
      </c>
      <c r="C130" s="137" t="inlineStr">
        <is>
          <t>DX3000</t>
        </is>
      </c>
      <c r="D130" s="62" t="inlineStr">
        <is>
          <t>DECO GUIDE</t>
        </is>
      </c>
      <c r="E130" s="36" t="inlineStr">
        <is>
          <t>ABS 난연 화이트 + 진한 회색</t>
        </is>
      </c>
      <c r="F130" s="100" t="n"/>
      <c r="G130" s="22" t="n"/>
      <c r="H130" s="22" t="inlineStr">
        <is>
          <t>천우</t>
        </is>
      </c>
      <c r="I130" s="14" t="n"/>
      <c r="J130" s="14" t="n"/>
      <c r="K130" s="12" t="n">
        <v>265</v>
      </c>
      <c r="L130" s="9" t="n"/>
      <c r="M130" s="9" t="n"/>
      <c r="N130" s="9" t="n"/>
      <c r="O130" s="40">
        <f>K130+V130-AE130-AZ130</f>
        <v/>
      </c>
      <c r="P130" s="12" t="n"/>
      <c r="Q130" s="138" t="n"/>
      <c r="R130" s="16" t="n"/>
      <c r="S130" s="139" t="n"/>
      <c r="T130" s="16" t="n"/>
      <c r="U130" s="139" t="n"/>
      <c r="V130" s="16">
        <f>P130+R130+T130</f>
        <v/>
      </c>
      <c r="W130" s="16" t="n"/>
      <c r="X130" s="139" t="n"/>
      <c r="Y130" s="16" t="n"/>
      <c r="Z130" s="139" t="n"/>
      <c r="AA130" s="16" t="n"/>
      <c r="AB130" s="139" t="n"/>
      <c r="AC130" s="16" t="n"/>
      <c r="AD130" s="139" t="n"/>
      <c r="AE130" s="16">
        <f>(W130+Y130+AA130+AC130)</f>
        <v/>
      </c>
      <c r="AF130" s="16" t="n"/>
      <c r="AG130" s="138" t="n"/>
      <c r="AH130" s="16" t="n"/>
      <c r="AI130" s="138" t="n"/>
      <c r="AJ130" s="16" t="n"/>
      <c r="AK130" s="138" t="n"/>
      <c r="AL130" s="16" t="n"/>
      <c r="AM130" s="138" t="n"/>
      <c r="AN130" s="16" t="n"/>
      <c r="AO130" s="138" t="n"/>
      <c r="AP130" s="16" t="n"/>
      <c r="AQ130" s="138" t="n"/>
      <c r="AR130" s="16" t="n"/>
      <c r="AS130" s="138" t="n"/>
      <c r="AT130" s="16" t="n"/>
      <c r="AU130" s="138" t="n"/>
      <c r="AV130" s="16" t="n"/>
      <c r="AW130" s="138" t="n"/>
      <c r="AX130" s="16" t="n"/>
      <c r="AY130" s="138" t="n"/>
      <c r="AZ130" s="16">
        <f>AF130+AH130+AJ130+AL130+AN130+AP130+AR130+AT130+AV130+AX130</f>
        <v/>
      </c>
      <c r="BA130" s="16" t="n"/>
      <c r="BB130" s="139" t="n"/>
      <c r="BC130" s="16" t="n"/>
      <c r="BD130" s="139" t="n"/>
      <c r="BE130" s="16">
        <f>(BA130+BC130)</f>
        <v/>
      </c>
    </row>
    <row r="131" ht="22.5" customFormat="1" customHeight="1" s="8">
      <c r="A131" s="9" t="n"/>
      <c r="B131" s="141" t="inlineStr">
        <is>
          <t>ABS 난연</t>
        </is>
      </c>
      <c r="C131" s="137" t="inlineStr">
        <is>
          <t>DX3000</t>
        </is>
      </c>
      <c r="D131" s="62" t="inlineStr">
        <is>
          <t>20cm CONE</t>
        </is>
      </c>
      <c r="E131" s="36" t="inlineStr">
        <is>
          <t>ABS 난연 블랙 + 블랙 무광</t>
        </is>
      </c>
      <c r="F131" s="100" t="n"/>
      <c r="G131" s="22" t="n"/>
      <c r="H131" s="22" t="inlineStr">
        <is>
          <t>천우</t>
        </is>
      </c>
      <c r="I131" s="14" t="n"/>
      <c r="J131" s="14" t="n"/>
      <c r="K131" s="12" t="n">
        <v>182</v>
      </c>
      <c r="L131" s="9" t="n"/>
      <c r="M131" s="9" t="n"/>
      <c r="N131" s="9" t="n"/>
      <c r="O131" s="40">
        <f>K131+V131-AE131-AZ131</f>
        <v/>
      </c>
      <c r="P131" s="12" t="n"/>
      <c r="Q131" s="138" t="n"/>
      <c r="R131" s="16" t="n"/>
      <c r="S131" s="139" t="n"/>
      <c r="T131" s="16" t="n"/>
      <c r="U131" s="139" t="n"/>
      <c r="V131" s="16">
        <f>P131+R131+T131</f>
        <v/>
      </c>
      <c r="W131" s="16" t="n"/>
      <c r="X131" s="139" t="n"/>
      <c r="Y131" s="16" t="n"/>
      <c r="Z131" s="139" t="n"/>
      <c r="AA131" s="16" t="n"/>
      <c r="AB131" s="139" t="n"/>
      <c r="AC131" s="16" t="n"/>
      <c r="AD131" s="139" t="n"/>
      <c r="AE131" s="16">
        <f>(W131+Y131+AA131+AC131)</f>
        <v/>
      </c>
      <c r="AF131" s="16" t="n"/>
      <c r="AG131" s="138" t="n"/>
      <c r="AH131" s="16" t="n"/>
      <c r="AI131" s="138" t="n"/>
      <c r="AJ131" s="16" t="n"/>
      <c r="AK131" s="138" t="n"/>
      <c r="AL131" s="16" t="n"/>
      <c r="AM131" s="138" t="n"/>
      <c r="AN131" s="16" t="n"/>
      <c r="AO131" s="138" t="n"/>
      <c r="AP131" s="16" t="n"/>
      <c r="AQ131" s="138" t="n"/>
      <c r="AR131" s="16" t="n"/>
      <c r="AS131" s="138" t="n"/>
      <c r="AT131" s="16" t="n"/>
      <c r="AU131" s="138" t="n"/>
      <c r="AV131" s="16" t="n"/>
      <c r="AW131" s="138" t="n"/>
      <c r="AX131" s="16" t="n"/>
      <c r="AY131" s="138" t="n"/>
      <c r="AZ131" s="16">
        <f>AF131+AH131+AJ131+AL131+AN131+AP131+AR131+AT131+AV131+AX131</f>
        <v/>
      </c>
      <c r="BA131" s="16" t="n"/>
      <c r="BB131" s="139" t="n"/>
      <c r="BC131" s="16" t="n"/>
      <c r="BD131" s="139" t="n"/>
      <c r="BE131" s="16">
        <f>(BA131+BC131)</f>
        <v/>
      </c>
    </row>
    <row r="132" ht="22.5" customFormat="1" customHeight="1" s="8">
      <c r="A132" s="9" t="n"/>
      <c r="B132" s="141" t="inlineStr">
        <is>
          <t>ABS 난연</t>
        </is>
      </c>
      <c r="C132" s="137" t="inlineStr">
        <is>
          <t>DX3000</t>
        </is>
      </c>
      <c r="D132" s="62" t="inlineStr">
        <is>
          <t>20cm CONE</t>
        </is>
      </c>
      <c r="E132" s="36" t="inlineStr">
        <is>
          <t>ABS 난연 화이트</t>
        </is>
      </c>
      <c r="F132" s="100" t="n"/>
      <c r="G132" s="22" t="n"/>
      <c r="H132" s="22" t="inlineStr">
        <is>
          <t>천우</t>
        </is>
      </c>
      <c r="I132" s="14" t="n"/>
      <c r="J132" s="14" t="n"/>
      <c r="K132" s="12" t="n">
        <v>513</v>
      </c>
      <c r="L132" s="9" t="n"/>
      <c r="M132" s="9" t="n"/>
      <c r="N132" s="9" t="n"/>
      <c r="O132" s="40">
        <f>K132+V132-AE132-AZ132</f>
        <v/>
      </c>
      <c r="P132" s="12" t="n"/>
      <c r="Q132" s="138" t="n"/>
      <c r="R132" s="16" t="n"/>
      <c r="S132" s="139" t="n"/>
      <c r="T132" s="16" t="n"/>
      <c r="U132" s="139" t="n"/>
      <c r="V132" s="16">
        <f>P132+R132+T132</f>
        <v/>
      </c>
      <c r="W132" s="16" t="n"/>
      <c r="X132" s="139" t="n"/>
      <c r="Y132" s="16" t="n"/>
      <c r="Z132" s="139" t="n"/>
      <c r="AA132" s="16" t="n"/>
      <c r="AB132" s="139" t="n"/>
      <c r="AC132" s="16" t="n"/>
      <c r="AD132" s="139" t="n"/>
      <c r="AE132" s="16">
        <f>(W132+Y132+AA132+AC132)</f>
        <v/>
      </c>
      <c r="AF132" s="16" t="n"/>
      <c r="AG132" s="138" t="n"/>
      <c r="AH132" s="16" t="n"/>
      <c r="AI132" s="138" t="n"/>
      <c r="AJ132" s="16" t="n"/>
      <c r="AK132" s="138" t="n"/>
      <c r="AL132" s="16" t="n"/>
      <c r="AM132" s="138" t="n"/>
      <c r="AN132" s="16" t="n"/>
      <c r="AO132" s="138" t="n"/>
      <c r="AP132" s="16" t="n"/>
      <c r="AQ132" s="138" t="n"/>
      <c r="AR132" s="16" t="n"/>
      <c r="AS132" s="138" t="n"/>
      <c r="AT132" s="16" t="n"/>
      <c r="AU132" s="138" t="n"/>
      <c r="AV132" s="16" t="n"/>
      <c r="AW132" s="138" t="n"/>
      <c r="AX132" s="16" t="n"/>
      <c r="AY132" s="138" t="n"/>
      <c r="AZ132" s="16">
        <f>AF132+AH132+AJ132+AL132+AN132+AP132+AR132+AT132+AV132+AX132</f>
        <v/>
      </c>
      <c r="BA132" s="16" t="n"/>
      <c r="BB132" s="139" t="n"/>
      <c r="BC132" s="16" t="n"/>
      <c r="BD132" s="139" t="n"/>
      <c r="BE132" s="16">
        <f>(BA132+BC132)</f>
        <v/>
      </c>
    </row>
    <row r="133" ht="22.5" customFormat="1" customHeight="1" s="8">
      <c r="A133" s="9" t="n"/>
      <c r="B133" s="141" t="inlineStr">
        <is>
          <t>ABS 난연</t>
        </is>
      </c>
      <c r="C133" s="137" t="inlineStr">
        <is>
          <t>DX3000</t>
        </is>
      </c>
      <c r="D133" s="62" t="inlineStr">
        <is>
          <t>15cm CONE</t>
        </is>
      </c>
      <c r="E133" s="36" t="inlineStr">
        <is>
          <t>ABS 난연 화이트</t>
        </is>
      </c>
      <c r="F133" s="100" t="n"/>
      <c r="G133" s="22" t="n"/>
      <c r="H133" s="22" t="inlineStr">
        <is>
          <t>천우</t>
        </is>
      </c>
      <c r="I133" s="14" t="n"/>
      <c r="J133" s="14" t="n"/>
      <c r="K133" s="12" t="n">
        <v>85</v>
      </c>
      <c r="L133" s="9" t="n"/>
      <c r="M133" s="9" t="n"/>
      <c r="N133" s="9" t="n"/>
      <c r="O133" s="40">
        <f>K133+V133-AE133-AZ133</f>
        <v/>
      </c>
      <c r="P133" s="12" t="n"/>
      <c r="Q133" s="138" t="n"/>
      <c r="R133" s="16" t="n"/>
      <c r="S133" s="139" t="n"/>
      <c r="T133" s="16" t="n"/>
      <c r="U133" s="139" t="n"/>
      <c r="V133" s="16">
        <f>P133+R133+T133</f>
        <v/>
      </c>
      <c r="W133" s="16" t="n"/>
      <c r="X133" s="139" t="n"/>
      <c r="Y133" s="16" t="n"/>
      <c r="Z133" s="139" t="n"/>
      <c r="AA133" s="16" t="n"/>
      <c r="AB133" s="139" t="n"/>
      <c r="AC133" s="16" t="n"/>
      <c r="AD133" s="139" t="n"/>
      <c r="AE133" s="16">
        <f>(W133+Y133+AA133+AC133)</f>
        <v/>
      </c>
      <c r="AF133" s="16" t="n"/>
      <c r="AG133" s="138" t="n"/>
      <c r="AH133" s="16" t="n"/>
      <c r="AI133" s="138" t="n"/>
      <c r="AJ133" s="16" t="n"/>
      <c r="AK133" s="138" t="n"/>
      <c r="AL133" s="16" t="n"/>
      <c r="AM133" s="138" t="n"/>
      <c r="AN133" s="16" t="n"/>
      <c r="AO133" s="138" t="n"/>
      <c r="AP133" s="16" t="n"/>
      <c r="AQ133" s="138" t="n"/>
      <c r="AR133" s="16" t="n"/>
      <c r="AS133" s="138" t="n"/>
      <c r="AT133" s="16" t="n"/>
      <c r="AU133" s="138" t="n"/>
      <c r="AV133" s="16" t="n"/>
      <c r="AW133" s="138" t="n"/>
      <c r="AX133" s="16" t="n"/>
      <c r="AY133" s="138" t="n"/>
      <c r="AZ133" s="16">
        <f>AF133+AH133+AJ133+AL133+AN133+AP133+AR133+AT133+AV133+AX133</f>
        <v/>
      </c>
      <c r="BA133" s="16" t="n"/>
      <c r="BB133" s="139" t="n"/>
      <c r="BC133" s="16" t="n"/>
      <c r="BD133" s="139" t="n"/>
      <c r="BE133" s="16">
        <f>(BA133+BC133)</f>
        <v/>
      </c>
    </row>
    <row r="134" ht="22.5" customFormat="1" customHeight="1" s="8">
      <c r="A134" s="9" t="n"/>
      <c r="B134" s="141" t="inlineStr">
        <is>
          <t>ABS 난연</t>
        </is>
      </c>
      <c r="C134" s="137" t="inlineStr">
        <is>
          <t>DX3000</t>
        </is>
      </c>
      <c r="D134" s="62" t="inlineStr">
        <is>
          <t>X-CAP (기본)</t>
        </is>
      </c>
      <c r="E134" s="36" t="inlineStr">
        <is>
          <t>ABS 화이트 + 진한 회색</t>
        </is>
      </c>
      <c r="F134" s="100" t="n"/>
      <c r="G134" s="22" t="n"/>
      <c r="H134" s="22" t="inlineStr">
        <is>
          <t>천우</t>
        </is>
      </c>
      <c r="I134" s="14" t="n"/>
      <c r="J134" s="14" t="n"/>
      <c r="K134" s="12" t="n">
        <v>50</v>
      </c>
      <c r="L134" s="9" t="n"/>
      <c r="M134" s="9" t="n"/>
      <c r="N134" s="9" t="n"/>
      <c r="O134" s="40">
        <f>K134+V134-AE134-AZ134</f>
        <v/>
      </c>
      <c r="P134" s="12" t="n"/>
      <c r="Q134" s="138" t="n"/>
      <c r="R134" s="16" t="n"/>
      <c r="S134" s="139" t="n"/>
      <c r="T134" s="16" t="n"/>
      <c r="U134" s="139" t="n"/>
      <c r="V134" s="16">
        <f>P134+R134+T134</f>
        <v/>
      </c>
      <c r="W134" s="16" t="n"/>
      <c r="X134" s="139" t="n"/>
      <c r="Y134" s="16" t="n"/>
      <c r="Z134" s="139" t="n"/>
      <c r="AA134" s="16" t="n"/>
      <c r="AB134" s="139" t="n"/>
      <c r="AC134" s="16" t="n"/>
      <c r="AD134" s="139" t="n"/>
      <c r="AE134" s="16">
        <f>(W134+Y134+AA134+AC134)</f>
        <v/>
      </c>
      <c r="AF134" s="16" t="n"/>
      <c r="AG134" s="138" t="n"/>
      <c r="AH134" s="16" t="n"/>
      <c r="AI134" s="138" t="n"/>
      <c r="AJ134" s="16" t="n"/>
      <c r="AK134" s="138" t="n"/>
      <c r="AL134" s="16" t="n"/>
      <c r="AM134" s="138" t="n"/>
      <c r="AN134" s="16" t="n"/>
      <c r="AO134" s="138" t="n"/>
      <c r="AP134" s="16" t="n"/>
      <c r="AQ134" s="138" t="n"/>
      <c r="AR134" s="16" t="n"/>
      <c r="AS134" s="138" t="n"/>
      <c r="AT134" s="16" t="n"/>
      <c r="AU134" s="138" t="n"/>
      <c r="AV134" s="16" t="n"/>
      <c r="AW134" s="138" t="n"/>
      <c r="AX134" s="16" t="n"/>
      <c r="AY134" s="138" t="n"/>
      <c r="AZ134" s="16">
        <f>AF134+AH134+AJ134+AL134+AN134+AP134+AR134+AT134+AV134+AX134</f>
        <v/>
      </c>
      <c r="BA134" s="16" t="n"/>
      <c r="BB134" s="139" t="n"/>
      <c r="BC134" s="16" t="n"/>
      <c r="BD134" s="139" t="n"/>
      <c r="BE134" s="16">
        <f>(BA134+BC134)</f>
        <v/>
      </c>
    </row>
    <row r="135" ht="22.5" customFormat="1" customHeight="1" s="8">
      <c r="A135" s="9" t="n"/>
      <c r="B135" s="141" t="inlineStr">
        <is>
          <t>ABS 난연</t>
        </is>
      </c>
      <c r="C135" s="137" t="inlineStr">
        <is>
          <t>DX3000</t>
        </is>
      </c>
      <c r="D135" s="62" t="inlineStr">
        <is>
          <t>X-CAP 체결형 (신형)</t>
        </is>
      </c>
      <c r="E135" s="36" t="inlineStr">
        <is>
          <t>ABS 난연 화이트 + 진한 회색</t>
        </is>
      </c>
      <c r="F135" s="100" t="n"/>
      <c r="G135" s="22" t="n"/>
      <c r="H135" s="22" t="inlineStr">
        <is>
          <t>천우</t>
        </is>
      </c>
      <c r="I135" s="14" t="n"/>
      <c r="J135" s="14" t="n"/>
      <c r="K135" s="12" t="n">
        <v>120</v>
      </c>
      <c r="L135" s="9" t="n"/>
      <c r="M135" s="9" t="n"/>
      <c r="N135" s="9" t="n"/>
      <c r="O135" s="40">
        <f>K135+V135-AE135-AZ135</f>
        <v/>
      </c>
      <c r="P135" s="12" t="n"/>
      <c r="Q135" s="138" t="n"/>
      <c r="R135" s="16" t="n"/>
      <c r="S135" s="139" t="n"/>
      <c r="T135" s="16" t="n"/>
      <c r="U135" s="139" t="n"/>
      <c r="V135" s="16">
        <f>P135+R135+T135</f>
        <v/>
      </c>
      <c r="W135" s="16" t="n"/>
      <c r="X135" s="139" t="n"/>
      <c r="Y135" s="16" t="n"/>
      <c r="Z135" s="139" t="n"/>
      <c r="AA135" s="16" t="n"/>
      <c r="AB135" s="139" t="n"/>
      <c r="AC135" s="16" t="n"/>
      <c r="AD135" s="139" t="n"/>
      <c r="AE135" s="16">
        <f>(W135+Y135+AA135+AC135)</f>
        <v/>
      </c>
      <c r="AF135" s="16" t="n"/>
      <c r="AG135" s="138" t="n"/>
      <c r="AH135" s="16" t="n"/>
      <c r="AI135" s="138" t="n"/>
      <c r="AJ135" s="16" t="n"/>
      <c r="AK135" s="138" t="n"/>
      <c r="AL135" s="16" t="n"/>
      <c r="AM135" s="138" t="n"/>
      <c r="AN135" s="16" t="n"/>
      <c r="AO135" s="138" t="n"/>
      <c r="AP135" s="16" t="n"/>
      <c r="AQ135" s="138" t="n"/>
      <c r="AR135" s="16" t="n"/>
      <c r="AS135" s="138" t="n"/>
      <c r="AT135" s="16" t="n"/>
      <c r="AU135" s="138" t="n"/>
      <c r="AV135" s="16" t="n"/>
      <c r="AW135" s="138" t="n"/>
      <c r="AX135" s="16" t="n"/>
      <c r="AY135" s="138" t="n"/>
      <c r="AZ135" s="16">
        <f>AF135+AH135+AJ135+AL135+AN135+AP135+AR135+AT135+AV135+AX135</f>
        <v/>
      </c>
      <c r="BA135" s="16" t="n"/>
      <c r="BB135" s="139" t="n"/>
      <c r="BC135" s="16" t="n"/>
      <c r="BD135" s="139" t="n"/>
      <c r="BE135" s="16">
        <f>(BA135+BC135)</f>
        <v/>
      </c>
    </row>
    <row r="136" ht="22.5" customFormat="1" customHeight="1" s="8">
      <c r="A136" s="9" t="n"/>
      <c r="B136" s="141" t="inlineStr">
        <is>
          <t>ABS 난연</t>
        </is>
      </c>
      <c r="C136" s="137" t="inlineStr">
        <is>
          <t>DX3000</t>
        </is>
      </c>
      <c r="D136" s="62" t="inlineStr">
        <is>
          <t>CONE 젠더</t>
        </is>
      </c>
      <c r="E136" s="36" t="inlineStr">
        <is>
          <t>ABS 난연 블랙 + 블랙 무광</t>
        </is>
      </c>
      <c r="F136" s="100" t="n"/>
      <c r="G136" s="22" t="n"/>
      <c r="H136" s="22" t="inlineStr">
        <is>
          <t>천우</t>
        </is>
      </c>
      <c r="I136" s="14" t="n"/>
      <c r="J136" s="14" t="n"/>
      <c r="K136" s="12" t="n"/>
      <c r="L136" s="9" t="n"/>
      <c r="M136" s="9" t="n"/>
      <c r="N136" s="9" t="n"/>
      <c r="O136" s="40">
        <f>K136+V136-AE136-AZ136</f>
        <v/>
      </c>
      <c r="P136" s="12" t="n"/>
      <c r="Q136" s="138" t="n"/>
      <c r="R136" s="16" t="n"/>
      <c r="S136" s="139" t="n"/>
      <c r="T136" s="16" t="n"/>
      <c r="U136" s="139" t="n"/>
      <c r="V136" s="16">
        <f>P136+R136+T136</f>
        <v/>
      </c>
      <c r="W136" s="16" t="n"/>
      <c r="X136" s="139" t="n"/>
      <c r="Y136" s="16" t="n"/>
      <c r="Z136" s="139" t="n"/>
      <c r="AA136" s="16" t="n"/>
      <c r="AB136" s="139" t="n"/>
      <c r="AC136" s="16" t="n"/>
      <c r="AD136" s="139" t="n"/>
      <c r="AE136" s="16">
        <f>(W136+Y136+AA136+AC136)</f>
        <v/>
      </c>
      <c r="AF136" s="16" t="n"/>
      <c r="AG136" s="138" t="n"/>
      <c r="AH136" s="16" t="n"/>
      <c r="AI136" s="138" t="n"/>
      <c r="AJ136" s="16" t="n"/>
      <c r="AK136" s="138" t="n"/>
      <c r="AL136" s="16" t="n"/>
      <c r="AM136" s="138" t="n"/>
      <c r="AN136" s="16" t="n"/>
      <c r="AO136" s="138" t="n"/>
      <c r="AP136" s="16" t="n"/>
      <c r="AQ136" s="138" t="n"/>
      <c r="AR136" s="16" t="n"/>
      <c r="AS136" s="138" t="n"/>
      <c r="AT136" s="16" t="n"/>
      <c r="AU136" s="138" t="n"/>
      <c r="AV136" s="16" t="n"/>
      <c r="AW136" s="138" t="n"/>
      <c r="AX136" s="16" t="n"/>
      <c r="AY136" s="138" t="n"/>
      <c r="AZ136" s="16">
        <f>AF136+AH136+AJ136+AL136+AN136+AP136+AR136+AT136+AV136+AX136</f>
        <v/>
      </c>
      <c r="BA136" s="16" t="n"/>
      <c r="BB136" s="139" t="n"/>
      <c r="BC136" s="16" t="n"/>
      <c r="BD136" s="139" t="n"/>
      <c r="BE136" s="16">
        <f>(BA136+BC136)</f>
        <v/>
      </c>
    </row>
    <row r="137" ht="22.5" customFormat="1" customHeight="1" s="8">
      <c r="A137" s="9" t="n"/>
      <c r="B137" s="141" t="inlineStr">
        <is>
          <t>ABS 난연</t>
        </is>
      </c>
      <c r="C137" s="137" t="inlineStr">
        <is>
          <t>DX3000</t>
        </is>
      </c>
      <c r="D137" s="62" t="inlineStr">
        <is>
          <t>메디컬용 컬리메이터 콘</t>
        </is>
      </c>
      <c r="E137" s="36" t="inlineStr">
        <is>
          <t>ABS 난연 블랙</t>
        </is>
      </c>
      <c r="F137" s="100" t="n"/>
      <c r="G137" s="22" t="n"/>
      <c r="H137" s="22" t="inlineStr">
        <is>
          <t>금오몰드</t>
        </is>
      </c>
      <c r="I137" s="14" t="n"/>
      <c r="J137" s="14" t="n"/>
      <c r="K137" s="12" t="n">
        <v>41</v>
      </c>
      <c r="L137" s="9" t="n"/>
      <c r="M137" s="9" t="n"/>
      <c r="N137" s="9" t="n"/>
      <c r="O137" s="40">
        <f>K137+V137-AE137-AZ137</f>
        <v/>
      </c>
      <c r="P137" s="12" t="n"/>
      <c r="Q137" s="138" t="n"/>
      <c r="R137" s="16" t="n"/>
      <c r="S137" s="139" t="n"/>
      <c r="T137" s="16" t="n"/>
      <c r="U137" s="139" t="n"/>
      <c r="V137" s="16">
        <f>P137+R137+T137</f>
        <v/>
      </c>
      <c r="W137" s="16" t="n"/>
      <c r="X137" s="139" t="n"/>
      <c r="Y137" s="16" t="n"/>
      <c r="Z137" s="139" t="n"/>
      <c r="AA137" s="16" t="n"/>
      <c r="AB137" s="139" t="n"/>
      <c r="AC137" s="16" t="n"/>
      <c r="AD137" s="139" t="n"/>
      <c r="AE137" s="16">
        <f>(W137+Y137+AA137+AC137)</f>
        <v/>
      </c>
      <c r="AF137" s="16" t="n"/>
      <c r="AG137" s="138" t="n"/>
      <c r="AH137" s="16" t="n"/>
      <c r="AI137" s="138" t="n"/>
      <c r="AJ137" s="16" t="n"/>
      <c r="AK137" s="138" t="n"/>
      <c r="AL137" s="16" t="n"/>
      <c r="AM137" s="138" t="n"/>
      <c r="AN137" s="16" t="n"/>
      <c r="AO137" s="138" t="n"/>
      <c r="AP137" s="16" t="n"/>
      <c r="AQ137" s="138" t="n"/>
      <c r="AR137" s="16" t="n"/>
      <c r="AS137" s="138" t="n"/>
      <c r="AT137" s="16" t="n"/>
      <c r="AU137" s="138" t="n"/>
      <c r="AV137" s="16" t="n"/>
      <c r="AW137" s="138" t="n"/>
      <c r="AX137" s="16" t="n"/>
      <c r="AY137" s="138" t="n"/>
      <c r="AZ137" s="16">
        <f>AF137+AH137+AJ137+AL137+AN137+AP137+AR137+AT137+AV137+AX137</f>
        <v/>
      </c>
      <c r="BA137" s="16" t="n"/>
      <c r="BB137" s="139" t="n"/>
      <c r="BC137" s="16" t="n"/>
      <c r="BD137" s="139" t="n"/>
      <c r="BE137" s="16">
        <f>(BA137+BC137)</f>
        <v/>
      </c>
    </row>
    <row r="138" ht="22.5" customFormat="1" customHeight="1" s="8">
      <c r="A138" s="9" t="n"/>
      <c r="B138" s="141" t="inlineStr">
        <is>
          <t>ABS 난연</t>
        </is>
      </c>
      <c r="C138" s="137" t="inlineStr">
        <is>
          <t>DX3000</t>
        </is>
      </c>
      <c r="D138" s="62" t="inlineStr">
        <is>
          <t>메디컬용 컬리메이터 CAP</t>
        </is>
      </c>
      <c r="E138" s="36" t="inlineStr">
        <is>
          <t>ABS 난연 블랙 + 블랙 무광</t>
        </is>
      </c>
      <c r="F138" s="100" t="n"/>
      <c r="G138" s="22" t="n"/>
      <c r="H138" s="22" t="inlineStr">
        <is>
          <t>금오몰드</t>
        </is>
      </c>
      <c r="I138" s="14" t="n"/>
      <c r="J138" s="14" t="n"/>
      <c r="K138" s="12" t="n">
        <v>0</v>
      </c>
      <c r="L138" s="9" t="n"/>
      <c r="M138" s="9" t="n"/>
      <c r="N138" s="9" t="n"/>
      <c r="O138" s="40">
        <f>K138+V138-AE138-AZ138</f>
        <v/>
      </c>
      <c r="P138" s="12" t="n"/>
      <c r="Q138" s="138" t="n"/>
      <c r="R138" s="16" t="n"/>
      <c r="S138" s="139" t="n"/>
      <c r="T138" s="16" t="n"/>
      <c r="U138" s="139" t="n"/>
      <c r="V138" s="16">
        <f>P138+R138+T138</f>
        <v/>
      </c>
      <c r="W138" s="16" t="n"/>
      <c r="X138" s="139" t="n"/>
      <c r="Y138" s="16" t="n"/>
      <c r="Z138" s="139" t="n"/>
      <c r="AA138" s="16" t="n"/>
      <c r="AB138" s="139" t="n"/>
      <c r="AC138" s="16" t="n"/>
      <c r="AD138" s="139" t="n"/>
      <c r="AE138" s="16">
        <f>(W138+Y138+AA138+AC138)</f>
        <v/>
      </c>
      <c r="AF138" s="16" t="n"/>
      <c r="AG138" s="138" t="n"/>
      <c r="AH138" s="16" t="n"/>
      <c r="AI138" s="138" t="n"/>
      <c r="AJ138" s="16" t="n"/>
      <c r="AK138" s="138" t="n"/>
      <c r="AL138" s="16" t="n"/>
      <c r="AM138" s="138" t="n"/>
      <c r="AN138" s="16" t="n"/>
      <c r="AO138" s="138" t="n"/>
      <c r="AP138" s="16" t="n"/>
      <c r="AQ138" s="138" t="n"/>
      <c r="AR138" s="16" t="n"/>
      <c r="AS138" s="138" t="n"/>
      <c r="AT138" s="16" t="n"/>
      <c r="AU138" s="138" t="n"/>
      <c r="AV138" s="16" t="n"/>
      <c r="AW138" s="138" t="n"/>
      <c r="AX138" s="16" t="n"/>
      <c r="AY138" s="138" t="n"/>
      <c r="AZ138" s="16">
        <f>AF138+AH138+AJ138+AL138+AN138+AP138+AR138+AT138+AV138+AX138</f>
        <v/>
      </c>
      <c r="BA138" s="16" t="n"/>
      <c r="BB138" s="139" t="n"/>
      <c r="BC138" s="16" t="n"/>
      <c r="BD138" s="139" t="n"/>
      <c r="BE138" s="16">
        <f>(BA138+BC138)</f>
        <v/>
      </c>
    </row>
    <row r="139" ht="22.5" customFormat="1" customHeight="1" s="8">
      <c r="A139" s="9" t="n"/>
      <c r="B139" s="141" t="inlineStr">
        <is>
          <t>아크릴</t>
        </is>
      </c>
      <c r="C139" s="137" t="inlineStr">
        <is>
          <t>DX3000</t>
        </is>
      </c>
      <c r="D139" s="62" t="inlineStr">
        <is>
          <t>LCD WINDOW</t>
        </is>
      </c>
      <c r="E139" s="36" t="inlineStr">
        <is>
          <t>투명 아크릴</t>
        </is>
      </c>
      <c r="F139" s="100" t="n"/>
      <c r="G139" s="22" t="n"/>
      <c r="H139" s="22" t="inlineStr">
        <is>
          <t>천우</t>
        </is>
      </c>
      <c r="I139" s="14" t="n"/>
      <c r="J139" s="14" t="n"/>
      <c r="K139" s="12" t="n">
        <v>182</v>
      </c>
      <c r="L139" s="9" t="n"/>
      <c r="M139" s="9" t="n"/>
      <c r="N139" s="9" t="n"/>
      <c r="O139" s="40">
        <f>K139+V139-AE139-AZ139</f>
        <v/>
      </c>
      <c r="P139" s="12" t="n"/>
      <c r="Q139" s="138" t="n"/>
      <c r="R139" s="16" t="n"/>
      <c r="S139" s="139" t="n"/>
      <c r="T139" s="16" t="n"/>
      <c r="U139" s="139" t="n"/>
      <c r="V139" s="16">
        <f>P139+R139+T139</f>
        <v/>
      </c>
      <c r="W139" s="16" t="n"/>
      <c r="X139" s="139" t="n"/>
      <c r="Y139" s="16" t="n"/>
      <c r="Z139" s="139" t="n"/>
      <c r="AA139" s="16" t="n"/>
      <c r="AB139" s="139" t="n"/>
      <c r="AC139" s="16" t="n"/>
      <c r="AD139" s="139" t="n"/>
      <c r="AE139" s="16">
        <f>(W139+Y139+AA139+AC139)</f>
        <v/>
      </c>
      <c r="AF139" s="16" t="n"/>
      <c r="AG139" s="138" t="n"/>
      <c r="AH139" s="16" t="n"/>
      <c r="AI139" s="138" t="n"/>
      <c r="AJ139" s="16" t="n"/>
      <c r="AK139" s="138" t="n"/>
      <c r="AL139" s="16" t="n"/>
      <c r="AM139" s="138" t="n"/>
      <c r="AN139" s="16" t="n"/>
      <c r="AO139" s="138" t="n"/>
      <c r="AP139" s="16" t="n"/>
      <c r="AQ139" s="138" t="n"/>
      <c r="AR139" s="16" t="n"/>
      <c r="AS139" s="138" t="n"/>
      <c r="AT139" s="16" t="n"/>
      <c r="AU139" s="138" t="n"/>
      <c r="AV139" s="16" t="n"/>
      <c r="AW139" s="138" t="n"/>
      <c r="AX139" s="16" t="n"/>
      <c r="AY139" s="138" t="n"/>
      <c r="AZ139" s="16">
        <f>AF139+AH139+AJ139+AL139+AN139+AP139+AR139+AT139+AV139+AX139</f>
        <v/>
      </c>
      <c r="BA139" s="16" t="n"/>
      <c r="BB139" s="139" t="n"/>
      <c r="BC139" s="16" t="n"/>
      <c r="BD139" s="139" t="n"/>
      <c r="BE139" s="16">
        <f>(BA139+BC139)</f>
        <v/>
      </c>
    </row>
    <row r="140" ht="22.5" customFormat="1" customHeight="1" s="8">
      <c r="A140" s="9" t="n"/>
      <c r="B140" s="141" t="inlineStr">
        <is>
          <t>아크릴</t>
        </is>
      </c>
      <c r="C140" s="137" t="inlineStr">
        <is>
          <t>DX3000</t>
        </is>
      </c>
      <c r="D140" s="62" t="inlineStr">
        <is>
          <t>LCD LED</t>
        </is>
      </c>
      <c r="E140" s="36" t="inlineStr">
        <is>
          <t>확산 아크릴</t>
        </is>
      </c>
      <c r="F140" s="100" t="n"/>
      <c r="G140" s="22" t="n"/>
      <c r="H140" s="22" t="inlineStr">
        <is>
          <t>천우</t>
        </is>
      </c>
      <c r="I140" s="14" t="n"/>
      <c r="J140" s="14" t="n"/>
      <c r="K140" s="12" t="n">
        <v>400</v>
      </c>
      <c r="L140" s="9" t="n"/>
      <c r="M140" s="9" t="n"/>
      <c r="N140" s="9" t="n"/>
      <c r="O140" s="40">
        <f>K140+V140-AE140-AZ140</f>
        <v/>
      </c>
      <c r="P140" s="12" t="n"/>
      <c r="Q140" s="138" t="n"/>
      <c r="R140" s="16" t="n"/>
      <c r="S140" s="139" t="n"/>
      <c r="T140" s="16" t="n"/>
      <c r="U140" s="139" t="n"/>
      <c r="V140" s="16">
        <f>P140+R140+T140</f>
        <v/>
      </c>
      <c r="W140" s="16" t="n"/>
      <c r="X140" s="139" t="n"/>
      <c r="Y140" s="16" t="n"/>
      <c r="Z140" s="139" t="n"/>
      <c r="AA140" s="16" t="n"/>
      <c r="AB140" s="139" t="n"/>
      <c r="AC140" s="16" t="n"/>
      <c r="AD140" s="139" t="n"/>
      <c r="AE140" s="16">
        <f>(W140+Y140+AA140+AC140)</f>
        <v/>
      </c>
      <c r="AF140" s="16" t="n"/>
      <c r="AG140" s="138" t="n"/>
      <c r="AH140" s="16" t="n"/>
      <c r="AI140" s="138" t="n"/>
      <c r="AJ140" s="16" t="n"/>
      <c r="AK140" s="138" t="n"/>
      <c r="AL140" s="16" t="n"/>
      <c r="AM140" s="138" t="n"/>
      <c r="AN140" s="16" t="n"/>
      <c r="AO140" s="138" t="n"/>
      <c r="AP140" s="16" t="n"/>
      <c r="AQ140" s="138" t="n"/>
      <c r="AR140" s="16" t="n"/>
      <c r="AS140" s="138" t="n"/>
      <c r="AT140" s="16" t="n"/>
      <c r="AU140" s="138" t="n"/>
      <c r="AV140" s="16" t="n"/>
      <c r="AW140" s="138" t="n"/>
      <c r="AX140" s="16" t="n"/>
      <c r="AY140" s="138" t="n"/>
      <c r="AZ140" s="16">
        <f>AF140+AH140+AJ140+AL140+AN140+AP140+AR140+AT140+AV140+AX140</f>
        <v/>
      </c>
      <c r="BA140" s="16" t="n"/>
      <c r="BB140" s="139" t="n"/>
      <c r="BC140" s="16" t="n"/>
      <c r="BD140" s="139" t="n"/>
      <c r="BE140" s="16">
        <f>(BA140+BC140)</f>
        <v/>
      </c>
    </row>
    <row r="141" ht="22.5" customFormat="1" customHeight="1" s="8">
      <c r="A141" s="9" t="n"/>
      <c r="B141" s="141" t="inlineStr">
        <is>
          <t>아크릴</t>
        </is>
      </c>
      <c r="C141" s="137" t="inlineStr">
        <is>
          <t>DX3000</t>
        </is>
      </c>
      <c r="D141" s="62" t="inlineStr">
        <is>
          <t>POWER LED</t>
        </is>
      </c>
      <c r="E141" s="36" t="inlineStr">
        <is>
          <t>확산 아크릴</t>
        </is>
      </c>
      <c r="F141" s="100" t="n"/>
      <c r="G141" s="22" t="n"/>
      <c r="H141" s="22" t="inlineStr">
        <is>
          <t>천우</t>
        </is>
      </c>
      <c r="I141" s="14" t="n"/>
      <c r="J141" s="14" t="n"/>
      <c r="K141" s="12" t="n">
        <v>999</v>
      </c>
      <c r="L141" s="9" t="n"/>
      <c r="M141" s="9" t="n"/>
      <c r="N141" s="9" t="n"/>
      <c r="O141" s="40">
        <f>K141+V141-AE141-AZ141</f>
        <v/>
      </c>
      <c r="P141" s="12" t="n"/>
      <c r="Q141" s="138" t="n"/>
      <c r="R141" s="16" t="n"/>
      <c r="S141" s="139" t="n"/>
      <c r="T141" s="16" t="n"/>
      <c r="U141" s="139" t="n"/>
      <c r="V141" s="16">
        <f>P141+R141+T141</f>
        <v/>
      </c>
      <c r="W141" s="16" t="n"/>
      <c r="X141" s="139" t="n"/>
      <c r="Y141" s="16" t="n"/>
      <c r="Z141" s="139" t="n"/>
      <c r="AA141" s="16" t="n"/>
      <c r="AB141" s="139" t="n"/>
      <c r="AC141" s="16" t="n"/>
      <c r="AD141" s="139" t="n"/>
      <c r="AE141" s="16">
        <f>(W141+Y141+AA141+AC141)</f>
        <v/>
      </c>
      <c r="AF141" s="16" t="n"/>
      <c r="AG141" s="138" t="n"/>
      <c r="AH141" s="16" t="n"/>
      <c r="AI141" s="138" t="n"/>
      <c r="AJ141" s="16" t="n"/>
      <c r="AK141" s="138" t="n"/>
      <c r="AL141" s="16" t="n"/>
      <c r="AM141" s="138" t="n"/>
      <c r="AN141" s="16" t="n"/>
      <c r="AO141" s="138" t="n"/>
      <c r="AP141" s="16" t="n"/>
      <c r="AQ141" s="138" t="n"/>
      <c r="AR141" s="16" t="n"/>
      <c r="AS141" s="138" t="n"/>
      <c r="AT141" s="16" t="n"/>
      <c r="AU141" s="138" t="n"/>
      <c r="AV141" s="16" t="n"/>
      <c r="AW141" s="138" t="n"/>
      <c r="AX141" s="16" t="n"/>
      <c r="AY141" s="138" t="n"/>
      <c r="AZ141" s="16">
        <f>AF141+AH141+AJ141+AL141+AN141+AP141+AR141+AT141+AV141+AX141</f>
        <v/>
      </c>
      <c r="BA141" s="16" t="n"/>
      <c r="BB141" s="139" t="n"/>
      <c r="BC141" s="16" t="n"/>
      <c r="BD141" s="139" t="n"/>
      <c r="BE141" s="16">
        <f>(BA141+BC141)</f>
        <v/>
      </c>
    </row>
    <row r="142" ht="22.5" customFormat="1" customHeight="1" s="8">
      <c r="A142" s="9" t="n"/>
      <c r="B142" s="141" t="inlineStr">
        <is>
          <t>아크릴</t>
        </is>
      </c>
      <c r="C142" s="137" t="inlineStr">
        <is>
          <t>DX3000</t>
        </is>
      </c>
      <c r="D142" s="62" t="inlineStr">
        <is>
          <t>EX LED (좌)</t>
        </is>
      </c>
      <c r="E142" s="36" t="inlineStr">
        <is>
          <t>확산 아크릴</t>
        </is>
      </c>
      <c r="F142" s="100" t="n"/>
      <c r="G142" s="22" t="n"/>
      <c r="H142" s="22" t="inlineStr">
        <is>
          <t>천우</t>
        </is>
      </c>
      <c r="I142" s="14" t="n"/>
      <c r="J142" s="14" t="n"/>
      <c r="K142" s="12" t="n">
        <v>434</v>
      </c>
      <c r="L142" s="9" t="n"/>
      <c r="M142" s="9" t="n"/>
      <c r="N142" s="9" t="n"/>
      <c r="O142" s="40">
        <f>K142+V142-AE142-AZ142</f>
        <v/>
      </c>
      <c r="P142" s="12" t="n"/>
      <c r="Q142" s="138" t="n"/>
      <c r="R142" s="16" t="n"/>
      <c r="S142" s="139" t="n"/>
      <c r="T142" s="16" t="n"/>
      <c r="U142" s="139" t="n"/>
      <c r="V142" s="16">
        <f>P142+R142+T142</f>
        <v/>
      </c>
      <c r="W142" s="16" t="n"/>
      <c r="X142" s="139" t="n"/>
      <c r="Y142" s="16" t="n"/>
      <c r="Z142" s="139" t="n"/>
      <c r="AA142" s="16" t="n"/>
      <c r="AB142" s="139" t="n"/>
      <c r="AC142" s="16" t="n"/>
      <c r="AD142" s="139" t="n"/>
      <c r="AE142" s="16">
        <f>(W142+Y142+AA142+AC142)</f>
        <v/>
      </c>
      <c r="AF142" s="16" t="n"/>
      <c r="AG142" s="138" t="n"/>
      <c r="AH142" s="16" t="n"/>
      <c r="AI142" s="138" t="n"/>
      <c r="AJ142" s="16" t="n"/>
      <c r="AK142" s="138" t="n"/>
      <c r="AL142" s="16" t="n"/>
      <c r="AM142" s="138" t="n"/>
      <c r="AN142" s="16" t="n"/>
      <c r="AO142" s="138" t="n"/>
      <c r="AP142" s="16" t="n"/>
      <c r="AQ142" s="138" t="n"/>
      <c r="AR142" s="16" t="n"/>
      <c r="AS142" s="138" t="n"/>
      <c r="AT142" s="16" t="n"/>
      <c r="AU142" s="138" t="n"/>
      <c r="AV142" s="16" t="n"/>
      <c r="AW142" s="138" t="n"/>
      <c r="AX142" s="16" t="n"/>
      <c r="AY142" s="138" t="n"/>
      <c r="AZ142" s="16">
        <f>AF142+AH142+AJ142+AL142+AN142+AP142+AR142+AT142+AV142+AX142</f>
        <v/>
      </c>
      <c r="BA142" s="16" t="n"/>
      <c r="BB142" s="139" t="n"/>
      <c r="BC142" s="16" t="n"/>
      <c r="BD142" s="139" t="n"/>
      <c r="BE142" s="16">
        <f>(BA142+BC142)</f>
        <v/>
      </c>
    </row>
    <row r="143" ht="22.5" customFormat="1" customHeight="1" s="8">
      <c r="A143" s="9" t="n"/>
      <c r="B143" s="141" t="inlineStr">
        <is>
          <t>아크릴</t>
        </is>
      </c>
      <c r="C143" s="137" t="inlineStr">
        <is>
          <t>DX3000</t>
        </is>
      </c>
      <c r="D143" s="62" t="inlineStr">
        <is>
          <t>EX LED (우)</t>
        </is>
      </c>
      <c r="E143" s="36" t="inlineStr">
        <is>
          <t>확산 아크릴</t>
        </is>
      </c>
      <c r="F143" s="100" t="n"/>
      <c r="G143" s="22" t="n"/>
      <c r="H143" s="22" t="inlineStr">
        <is>
          <t>천우</t>
        </is>
      </c>
      <c r="I143" s="14" t="n"/>
      <c r="J143" s="14" t="n"/>
      <c r="K143" s="12" t="n">
        <v>482</v>
      </c>
      <c r="L143" s="9" t="n"/>
      <c r="M143" s="9" t="n"/>
      <c r="N143" s="9" t="n"/>
      <c r="O143" s="40">
        <f>K143+V143-AE143-AZ143</f>
        <v/>
      </c>
      <c r="P143" s="12" t="n"/>
      <c r="Q143" s="138" t="n"/>
      <c r="R143" s="16" t="n"/>
      <c r="S143" s="139" t="n"/>
      <c r="T143" s="16" t="n"/>
      <c r="U143" s="139" t="n"/>
      <c r="V143" s="16">
        <f>P143+R143+T143</f>
        <v/>
      </c>
      <c r="W143" s="16" t="n"/>
      <c r="X143" s="139" t="n"/>
      <c r="Y143" s="16" t="n"/>
      <c r="Z143" s="139" t="n"/>
      <c r="AA143" s="16" t="n"/>
      <c r="AB143" s="139" t="n"/>
      <c r="AC143" s="16" t="n"/>
      <c r="AD143" s="139" t="n"/>
      <c r="AE143" s="16">
        <f>(W143+Y143+AA143+AC143)</f>
        <v/>
      </c>
      <c r="AF143" s="16" t="n"/>
      <c r="AG143" s="138" t="n"/>
      <c r="AH143" s="16" t="n"/>
      <c r="AI143" s="138" t="n"/>
      <c r="AJ143" s="16" t="n"/>
      <c r="AK143" s="138" t="n"/>
      <c r="AL143" s="16" t="n"/>
      <c r="AM143" s="138" t="n"/>
      <c r="AN143" s="16" t="n"/>
      <c r="AO143" s="138" t="n"/>
      <c r="AP143" s="16" t="n"/>
      <c r="AQ143" s="138" t="n"/>
      <c r="AR143" s="16" t="n"/>
      <c r="AS143" s="138" t="n"/>
      <c r="AT143" s="16" t="n"/>
      <c r="AU143" s="138" t="n"/>
      <c r="AV143" s="16" t="n"/>
      <c r="AW143" s="138" t="n"/>
      <c r="AX143" s="16" t="n"/>
      <c r="AY143" s="138" t="n"/>
      <c r="AZ143" s="16">
        <f>AF143+AH143+AJ143+AL143+AN143+AP143+AR143+AT143+AV143+AX143</f>
        <v/>
      </c>
      <c r="BA143" s="16" t="n"/>
      <c r="BB143" s="139" t="n"/>
      <c r="BC143" s="16" t="n"/>
      <c r="BD143" s="139" t="n"/>
      <c r="BE143" s="16">
        <f>(BA143+BC143)</f>
        <v/>
      </c>
    </row>
    <row r="144" ht="22.5" customFormat="1" customHeight="1" s="8">
      <c r="A144" s="9" t="n"/>
      <c r="B144" s="136" t="inlineStr">
        <is>
          <t>아크릴</t>
        </is>
      </c>
      <c r="C144" s="137" t="inlineStr">
        <is>
          <t>DX3000</t>
        </is>
      </c>
      <c r="D144" s="144" t="inlineStr">
        <is>
          <t>메디컬용 십자아크릴 (66*66)</t>
        </is>
      </c>
      <c r="E144" s="13" t="n"/>
      <c r="F144" s="100" t="n"/>
      <c r="G144" s="9" t="n"/>
      <c r="H144" s="9" t="n"/>
      <c r="I144" s="14" t="n"/>
      <c r="J144" s="14" t="n"/>
      <c r="K144" s="12" t="n">
        <v>0</v>
      </c>
      <c r="L144" s="9" t="n"/>
      <c r="M144" s="9" t="n"/>
      <c r="N144" s="9" t="n"/>
      <c r="O144" s="40">
        <f>K144+V144-AE144-AZ144</f>
        <v/>
      </c>
      <c r="P144" s="12" t="n"/>
      <c r="Q144" s="138" t="n"/>
      <c r="R144" s="16" t="n"/>
      <c r="S144" s="139" t="n"/>
      <c r="T144" s="16" t="n"/>
      <c r="U144" s="139" t="n"/>
      <c r="V144" s="16">
        <f>P144+R144+T144</f>
        <v/>
      </c>
      <c r="W144" s="16" t="n"/>
      <c r="X144" s="139" t="n"/>
      <c r="Y144" s="16" t="n"/>
      <c r="Z144" s="139" t="n"/>
      <c r="AA144" s="16" t="n"/>
      <c r="AB144" s="139" t="n"/>
      <c r="AC144" s="16" t="n"/>
      <c r="AD144" s="139" t="n"/>
      <c r="AE144" s="16">
        <f>(W144+Y144+AA144+AC144)</f>
        <v/>
      </c>
      <c r="AF144" s="16" t="n"/>
      <c r="AG144" s="138" t="n"/>
      <c r="AH144" s="16" t="n"/>
      <c r="AI144" s="138" t="n"/>
      <c r="AJ144" s="16" t="n"/>
      <c r="AK144" s="138" t="n"/>
      <c r="AL144" s="16" t="n"/>
      <c r="AM144" s="138" t="n"/>
      <c r="AN144" s="16" t="n"/>
      <c r="AO144" s="138" t="n"/>
      <c r="AP144" s="16" t="n"/>
      <c r="AQ144" s="138" t="n"/>
      <c r="AR144" s="16" t="n"/>
      <c r="AS144" s="138" t="n"/>
      <c r="AT144" s="16" t="n"/>
      <c r="AU144" s="138" t="n"/>
      <c r="AV144" s="16" t="n"/>
      <c r="AW144" s="138" t="n"/>
      <c r="AX144" s="16" t="n"/>
      <c r="AY144" s="138" t="n"/>
      <c r="AZ144" s="16">
        <f>AF144+AH144+AJ144+AL144+AN144+AP144+AR144+AT144+AV144+AX144</f>
        <v/>
      </c>
      <c r="BA144" s="16" t="n"/>
      <c r="BB144" s="139" t="n"/>
      <c r="BC144" s="16" t="n"/>
      <c r="BD144" s="139" t="n"/>
      <c r="BE144" s="16">
        <f>(BA144+BC144)</f>
        <v/>
      </c>
    </row>
    <row r="145" ht="22.5" customFormat="1" customHeight="1" s="8">
      <c r="A145" s="9" t="n"/>
      <c r="B145" s="136" t="inlineStr">
        <is>
          <t>AL</t>
        </is>
      </c>
      <c r="C145" s="137" t="inlineStr">
        <is>
          <t>DX3000</t>
        </is>
      </c>
      <c r="D145" s="144" t="inlineStr">
        <is>
          <t>알루미늄 필터</t>
        </is>
      </c>
      <c r="E145" s="13" t="inlineStr">
        <is>
          <t>0.8T * Φ63</t>
        </is>
      </c>
      <c r="F145" s="100" t="n"/>
      <c r="G145" s="9" t="n"/>
      <c r="H145" s="9" t="inlineStr">
        <is>
          <t>광전레이저</t>
        </is>
      </c>
      <c r="I145" s="14" t="n"/>
      <c r="J145" s="14" t="n"/>
      <c r="K145" s="12" t="n">
        <v>480</v>
      </c>
      <c r="L145" s="9" t="n"/>
      <c r="M145" s="9" t="n"/>
      <c r="N145" s="9" t="n"/>
      <c r="O145" s="40">
        <f>K145+V145-AE145-AZ145</f>
        <v/>
      </c>
      <c r="P145" s="12" t="n"/>
      <c r="Q145" s="138" t="n"/>
      <c r="R145" s="16" t="n"/>
      <c r="S145" s="139" t="n"/>
      <c r="T145" s="16" t="n"/>
      <c r="U145" s="139" t="n"/>
      <c r="V145" s="16">
        <f>P145+R145+T145</f>
        <v/>
      </c>
      <c r="W145" s="16" t="n"/>
      <c r="X145" s="139" t="n"/>
      <c r="Y145" s="16" t="n"/>
      <c r="Z145" s="139" t="n"/>
      <c r="AA145" s="16" t="n"/>
      <c r="AB145" s="139" t="n"/>
      <c r="AC145" s="16" t="n"/>
      <c r="AD145" s="139" t="n"/>
      <c r="AE145" s="16">
        <f>(W145+Y145+AA145+AC145)</f>
        <v/>
      </c>
      <c r="AF145" s="16" t="n"/>
      <c r="AG145" s="138" t="n"/>
      <c r="AH145" s="16" t="n"/>
      <c r="AI145" s="138" t="n"/>
      <c r="AJ145" s="16" t="n"/>
      <c r="AK145" s="138" t="n"/>
      <c r="AL145" s="16" t="n"/>
      <c r="AM145" s="138" t="n"/>
      <c r="AN145" s="16" t="n"/>
      <c r="AO145" s="138" t="n"/>
      <c r="AP145" s="16" t="n"/>
      <c r="AQ145" s="138" t="n"/>
      <c r="AR145" s="16" t="n"/>
      <c r="AS145" s="138" t="n"/>
      <c r="AT145" s="16" t="n"/>
      <c r="AU145" s="138" t="n"/>
      <c r="AV145" s="16" t="n"/>
      <c r="AW145" s="138" t="n"/>
      <c r="AX145" s="16" t="n"/>
      <c r="AY145" s="138" t="n"/>
      <c r="AZ145" s="16">
        <f>AF145+AH145+AJ145+AL145+AN145+AP145+AR145+AT145+AV145+AX145</f>
        <v/>
      </c>
      <c r="BA145" s="16" t="n"/>
      <c r="BB145" s="139" t="n"/>
      <c r="BC145" s="16" t="n"/>
      <c r="BD145" s="139" t="n"/>
      <c r="BE145" s="16">
        <f>(BA145+BC145)</f>
        <v/>
      </c>
    </row>
    <row r="146" ht="22.5" customFormat="1" customHeight="1" s="8">
      <c r="A146" s="9" t="n"/>
      <c r="B146" s="136" t="inlineStr">
        <is>
          <t>AL</t>
        </is>
      </c>
      <c r="C146" s="137" t="inlineStr">
        <is>
          <t>DX3000</t>
        </is>
      </c>
      <c r="D146" s="143" t="inlineStr">
        <is>
          <t>알루미늄 필터</t>
        </is>
      </c>
      <c r="E146" s="13" t="inlineStr">
        <is>
          <t>1.5T * Φ63 일본 동물용</t>
        </is>
      </c>
      <c r="F146" s="100" t="n"/>
      <c r="G146" s="9" t="n"/>
      <c r="H146" s="9" t="inlineStr">
        <is>
          <t>광전레이저</t>
        </is>
      </c>
      <c r="I146" s="14" t="n"/>
      <c r="J146" s="14" t="n"/>
      <c r="K146" s="12" t="n">
        <v>28</v>
      </c>
      <c r="L146" s="9" t="n"/>
      <c r="M146" s="9" t="n"/>
      <c r="N146" s="9" t="n"/>
      <c r="O146" s="40">
        <f>K146+V146-AE146-AZ146</f>
        <v/>
      </c>
      <c r="P146" s="12" t="n"/>
      <c r="Q146" s="138" t="n"/>
      <c r="R146" s="16" t="n"/>
      <c r="S146" s="139" t="n"/>
      <c r="T146" s="16" t="n"/>
      <c r="U146" s="139" t="n"/>
      <c r="V146" s="16">
        <f>P146+R146+T146</f>
        <v/>
      </c>
      <c r="W146" s="16" t="n"/>
      <c r="X146" s="139" t="n"/>
      <c r="Y146" s="16" t="n"/>
      <c r="Z146" s="139" t="n"/>
      <c r="AA146" s="16" t="n"/>
      <c r="AB146" s="139" t="n"/>
      <c r="AC146" s="16" t="n"/>
      <c r="AD146" s="139" t="n"/>
      <c r="AE146" s="16">
        <f>(W146+Y146+AA146+AC146)</f>
        <v/>
      </c>
      <c r="AF146" s="16" t="n"/>
      <c r="AG146" s="138" t="n"/>
      <c r="AH146" s="16" t="n"/>
      <c r="AI146" s="138" t="n"/>
      <c r="AJ146" s="16" t="n"/>
      <c r="AK146" s="138" t="n"/>
      <c r="AL146" s="16" t="n"/>
      <c r="AM146" s="138" t="n"/>
      <c r="AN146" s="16" t="n"/>
      <c r="AO146" s="138" t="n"/>
      <c r="AP146" s="16" t="n"/>
      <c r="AQ146" s="138" t="n"/>
      <c r="AR146" s="16" t="n"/>
      <c r="AS146" s="138" t="n"/>
      <c r="AT146" s="16" t="n"/>
      <c r="AU146" s="138" t="n"/>
      <c r="AV146" s="16" t="n"/>
      <c r="AW146" s="138" t="n"/>
      <c r="AX146" s="16" t="n"/>
      <c r="AY146" s="138" t="n"/>
      <c r="AZ146" s="16">
        <f>AF146+AH146+AJ146+AL146+AN146+AP146+AR146+AT146+AV146+AX146</f>
        <v/>
      </c>
      <c r="BA146" s="16" t="n"/>
      <c r="BB146" s="139" t="n"/>
      <c r="BC146" s="16" t="n"/>
      <c r="BD146" s="139" t="n"/>
      <c r="BE146" s="16">
        <f>(BA146+BC146)</f>
        <v/>
      </c>
    </row>
    <row r="147" ht="22.5" customFormat="1" customHeight="1" s="8">
      <c r="A147" s="9" t="n"/>
      <c r="B147" s="136" t="inlineStr">
        <is>
          <t>인조가죽</t>
        </is>
      </c>
      <c r="C147" s="137" t="inlineStr">
        <is>
          <t>DX3000</t>
        </is>
      </c>
      <c r="D147" s="143" t="inlineStr">
        <is>
          <t>HAND STRAP 손잡이</t>
        </is>
      </c>
      <c r="E147" s="13" t="inlineStr">
        <is>
          <t>인조 가죽</t>
        </is>
      </c>
      <c r="F147" s="100" t="n"/>
      <c r="G147" s="9" t="n"/>
      <c r="H147" s="9" t="inlineStr">
        <is>
          <t>굿모닝코리아유통</t>
        </is>
      </c>
      <c r="I147" s="14" t="n"/>
      <c r="J147" s="14" t="n"/>
      <c r="K147" s="12" t="n">
        <v>0</v>
      </c>
      <c r="L147" s="9" t="n"/>
      <c r="M147" s="9" t="n"/>
      <c r="N147" s="9" t="n"/>
      <c r="O147" s="40">
        <f>K147+V147-AE147-AZ147</f>
        <v/>
      </c>
      <c r="P147" s="12" t="n"/>
      <c r="Q147" s="138" t="n"/>
      <c r="R147" s="16" t="n"/>
      <c r="S147" s="139" t="n"/>
      <c r="T147" s="16" t="n"/>
      <c r="U147" s="139" t="n"/>
      <c r="V147" s="16">
        <f>P147+R147+T147</f>
        <v/>
      </c>
      <c r="W147" s="16" t="n"/>
      <c r="X147" s="139" t="n"/>
      <c r="Y147" s="16" t="n"/>
      <c r="Z147" s="139" t="n"/>
      <c r="AA147" s="16" t="n"/>
      <c r="AB147" s="139" t="n"/>
      <c r="AC147" s="16" t="n"/>
      <c r="AD147" s="139" t="n"/>
      <c r="AE147" s="16">
        <f>(W147+Y147+AA147+AC147)</f>
        <v/>
      </c>
      <c r="AF147" s="16" t="n"/>
      <c r="AG147" s="138" t="n"/>
      <c r="AH147" s="16" t="n"/>
      <c r="AI147" s="138" t="n"/>
      <c r="AJ147" s="16" t="n"/>
      <c r="AK147" s="138" t="n"/>
      <c r="AL147" s="16" t="n"/>
      <c r="AM147" s="138" t="n"/>
      <c r="AN147" s="16" t="n"/>
      <c r="AO147" s="138" t="n"/>
      <c r="AP147" s="16" t="n"/>
      <c r="AQ147" s="138" t="n"/>
      <c r="AR147" s="16" t="n"/>
      <c r="AS147" s="138" t="n"/>
      <c r="AT147" s="16" t="n"/>
      <c r="AU147" s="138" t="n"/>
      <c r="AV147" s="16" t="n"/>
      <c r="AW147" s="138" t="n"/>
      <c r="AX147" s="16" t="n"/>
      <c r="AY147" s="138" t="n"/>
      <c r="AZ147" s="16">
        <f>AF147+AH147+AJ147+AL147+AN147+AP147+AR147+AT147+AV147+AX147</f>
        <v/>
      </c>
      <c r="BA147" s="16" t="n"/>
      <c r="BB147" s="139" t="n"/>
      <c r="BC147" s="16" t="n"/>
      <c r="BD147" s="139" t="n"/>
      <c r="BE147" s="16">
        <f>(BA147+BC147)</f>
        <v/>
      </c>
    </row>
    <row r="148" ht="22.5" customFormat="1" customHeight="1" s="8">
      <c r="A148" s="9" t="n"/>
      <c r="B148" s="136" t="inlineStr">
        <is>
          <t>인조가죽</t>
        </is>
      </c>
      <c r="C148" s="137" t="inlineStr">
        <is>
          <t>DX3000</t>
        </is>
      </c>
      <c r="D148" s="143" t="inlineStr">
        <is>
          <t>HAND STRAP 손잡이 (로고 없음)</t>
        </is>
      </c>
      <c r="E148" s="13" t="inlineStr">
        <is>
          <t>인조 가죽</t>
        </is>
      </c>
      <c r="F148" s="100" t="n"/>
      <c r="G148" s="9" t="n"/>
      <c r="H148" s="9" t="inlineStr">
        <is>
          <t>굿모닝코리아유통</t>
        </is>
      </c>
      <c r="I148" s="14" t="n"/>
      <c r="J148" s="14" t="n"/>
      <c r="K148" s="12" t="n">
        <v>241</v>
      </c>
      <c r="L148" s="9" t="n"/>
      <c r="M148" s="9" t="n"/>
      <c r="N148" s="9" t="n"/>
      <c r="O148" s="40">
        <f>K148+V148-AE148-AZ148</f>
        <v/>
      </c>
      <c r="P148" s="12" t="n"/>
      <c r="Q148" s="138" t="n"/>
      <c r="R148" s="16" t="n"/>
      <c r="S148" s="139" t="n"/>
      <c r="T148" s="16" t="n"/>
      <c r="U148" s="139" t="n"/>
      <c r="V148" s="16">
        <f>P148+R148+T148</f>
        <v/>
      </c>
      <c r="W148" s="16" t="n"/>
      <c r="X148" s="139" t="n"/>
      <c r="Y148" s="16" t="n"/>
      <c r="Z148" s="139" t="n"/>
      <c r="AA148" s="16" t="n"/>
      <c r="AB148" s="139" t="n"/>
      <c r="AC148" s="16" t="n"/>
      <c r="AD148" s="139" t="n"/>
      <c r="AE148" s="16">
        <f>(W148+Y148+AA148+AC148)</f>
        <v/>
      </c>
      <c r="AF148" s="16" t="n"/>
      <c r="AG148" s="138" t="n"/>
      <c r="AH148" s="16" t="n"/>
      <c r="AI148" s="138" t="n"/>
      <c r="AJ148" s="16" t="n"/>
      <c r="AK148" s="138" t="n"/>
      <c r="AL148" s="16" t="n"/>
      <c r="AM148" s="138" t="n"/>
      <c r="AN148" s="16" t="n"/>
      <c r="AO148" s="138" t="n"/>
      <c r="AP148" s="16" t="n"/>
      <c r="AQ148" s="138" t="n"/>
      <c r="AR148" s="16" t="n"/>
      <c r="AS148" s="138" t="n"/>
      <c r="AT148" s="16" t="n"/>
      <c r="AU148" s="138" t="n"/>
      <c r="AV148" s="16" t="n"/>
      <c r="AW148" s="138" t="n"/>
      <c r="AX148" s="16" t="n"/>
      <c r="AY148" s="138" t="n"/>
      <c r="AZ148" s="16">
        <f>AF148+AH148+AJ148+AL148+AN148+AP148+AR148+AT148+AV148+AX148</f>
        <v/>
      </c>
      <c r="BA148" s="16" t="n"/>
      <c r="BB148" s="139" t="n"/>
      <c r="BC148" s="16" t="n"/>
      <c r="BD148" s="139" t="n"/>
      <c r="BE148" s="16">
        <f>(BA148+BC148)</f>
        <v/>
      </c>
    </row>
    <row r="149" ht="22.5" customFormat="1" customHeight="1" s="8">
      <c r="A149" s="9" t="n"/>
      <c r="B149" s="136" t="inlineStr">
        <is>
          <t>STEEL</t>
        </is>
      </c>
      <c r="C149" s="137" t="inlineStr">
        <is>
          <t>DX3000, ADX4000W</t>
        </is>
      </c>
      <c r="D149" s="143" t="inlineStr">
        <is>
          <t>가죽손잡이 고리 1</t>
        </is>
      </c>
      <c r="E149" s="13" t="inlineStr">
        <is>
          <t>니켈 도금</t>
        </is>
      </c>
      <c r="F149" s="100" t="n"/>
      <c r="G149" s="9" t="n"/>
      <c r="H149" s="9" t="inlineStr">
        <is>
          <t>굿모닝코리아유통</t>
        </is>
      </c>
      <c r="I149" s="14" t="n"/>
      <c r="J149" s="14" t="n"/>
      <c r="K149" s="12" t="n">
        <v>400</v>
      </c>
      <c r="L149" s="9" t="n"/>
      <c r="M149" s="9" t="n"/>
      <c r="N149" s="9" t="n"/>
      <c r="O149" s="40">
        <f>K149+V149-AE149-AZ149</f>
        <v/>
      </c>
      <c r="P149" s="12" t="n"/>
      <c r="Q149" s="138" t="n"/>
      <c r="R149" s="16" t="n"/>
      <c r="S149" s="139" t="n"/>
      <c r="T149" s="16" t="n"/>
      <c r="U149" s="139" t="n"/>
      <c r="V149" s="16">
        <f>P149+R149+T149</f>
        <v/>
      </c>
      <c r="W149" s="16" t="n"/>
      <c r="X149" s="139" t="n"/>
      <c r="Y149" s="16" t="n"/>
      <c r="Z149" s="139" t="n"/>
      <c r="AA149" s="16" t="n"/>
      <c r="AB149" s="139" t="n"/>
      <c r="AC149" s="16" t="n"/>
      <c r="AD149" s="139" t="n"/>
      <c r="AE149" s="16">
        <f>(W149+Y149+AA149+AC149)</f>
        <v/>
      </c>
      <c r="AF149" s="16" t="n"/>
      <c r="AG149" s="138" t="n"/>
      <c r="AH149" s="16" t="n"/>
      <c r="AI149" s="138" t="n"/>
      <c r="AJ149" s="16" t="n"/>
      <c r="AK149" s="138" t="n"/>
      <c r="AL149" s="16" t="n"/>
      <c r="AM149" s="138" t="n"/>
      <c r="AN149" s="16" t="n"/>
      <c r="AO149" s="138" t="n"/>
      <c r="AP149" s="16" t="n"/>
      <c r="AQ149" s="138" t="n"/>
      <c r="AR149" s="16" t="n"/>
      <c r="AS149" s="138" t="n"/>
      <c r="AT149" s="16" t="n"/>
      <c r="AU149" s="138" t="n"/>
      <c r="AV149" s="16" t="n"/>
      <c r="AW149" s="138" t="n"/>
      <c r="AX149" s="16" t="n"/>
      <c r="AY149" s="138" t="n"/>
      <c r="AZ149" s="16">
        <f>AF149+AH149+AJ149+AL149+AN149+AP149+AR149+AT149+AV149+AX149</f>
        <v/>
      </c>
      <c r="BA149" s="16" t="n"/>
      <c r="BB149" s="139" t="n"/>
      <c r="BC149" s="16" t="n"/>
      <c r="BD149" s="139" t="n"/>
      <c r="BE149" s="16">
        <f>(BA149+BC149)</f>
        <v/>
      </c>
    </row>
    <row r="150" ht="22.5" customFormat="1" customHeight="1" s="8">
      <c r="A150" s="9" t="n"/>
      <c r="B150" s="136" t="inlineStr">
        <is>
          <t>STEEL</t>
        </is>
      </c>
      <c r="C150" s="137" t="inlineStr">
        <is>
          <t>DX3000</t>
        </is>
      </c>
      <c r="D150" s="143" t="inlineStr">
        <is>
          <t>가죽손잡이 고리 2</t>
        </is>
      </c>
      <c r="E150" s="13" t="inlineStr">
        <is>
          <t>니켈 도금</t>
        </is>
      </c>
      <c r="F150" s="100" t="n"/>
      <c r="G150" s="9" t="n"/>
      <c r="H150" s="9" t="inlineStr">
        <is>
          <t>굿모닝코리아유통</t>
        </is>
      </c>
      <c r="I150" s="14" t="n"/>
      <c r="J150" s="14" t="n"/>
      <c r="K150" s="12" t="n">
        <v>1000</v>
      </c>
      <c r="L150" s="9" t="n"/>
      <c r="M150" s="9" t="n"/>
      <c r="N150" s="9" t="n"/>
      <c r="O150" s="40">
        <f>K150+V150-AE150-AZ150</f>
        <v/>
      </c>
      <c r="P150" s="12" t="n"/>
      <c r="Q150" s="138" t="n"/>
      <c r="R150" s="16" t="n"/>
      <c r="S150" s="139" t="n"/>
      <c r="T150" s="16" t="n"/>
      <c r="U150" s="139" t="n"/>
      <c r="V150" s="16">
        <f>P150+R150+T150</f>
        <v/>
      </c>
      <c r="W150" s="16" t="n"/>
      <c r="X150" s="139" t="n"/>
      <c r="Y150" s="16" t="n"/>
      <c r="Z150" s="139" t="n"/>
      <c r="AA150" s="16" t="n"/>
      <c r="AB150" s="139" t="n"/>
      <c r="AC150" s="16" t="n"/>
      <c r="AD150" s="139" t="n"/>
      <c r="AE150" s="16">
        <f>(W150+Y150+AA150+AC150)</f>
        <v/>
      </c>
      <c r="AF150" s="16" t="n"/>
      <c r="AG150" s="138" t="n"/>
      <c r="AH150" s="16" t="n"/>
      <c r="AI150" s="138" t="n"/>
      <c r="AJ150" s="16" t="n"/>
      <c r="AK150" s="138" t="n"/>
      <c r="AL150" s="16" t="n"/>
      <c r="AM150" s="138" t="n"/>
      <c r="AN150" s="16" t="n"/>
      <c r="AO150" s="138" t="n"/>
      <c r="AP150" s="16" t="n"/>
      <c r="AQ150" s="138" t="n"/>
      <c r="AR150" s="16" t="n"/>
      <c r="AS150" s="138" t="n"/>
      <c r="AT150" s="16" t="n"/>
      <c r="AU150" s="138" t="n"/>
      <c r="AV150" s="16" t="n"/>
      <c r="AW150" s="138" t="n"/>
      <c r="AX150" s="16" t="n"/>
      <c r="AY150" s="138" t="n"/>
      <c r="AZ150" s="16">
        <f>AF150+AH150+AJ150+AL150+AN150+AP150+AR150+AT150+AV150+AX150</f>
        <v/>
      </c>
      <c r="BA150" s="16" t="n"/>
      <c r="BB150" s="139" t="n"/>
      <c r="BC150" s="16" t="n"/>
      <c r="BD150" s="139" t="n"/>
      <c r="BE150" s="16">
        <f>(BA150+BC150)</f>
        <v/>
      </c>
    </row>
    <row r="151" ht="22.5" customFormat="1" customHeight="1" s="8">
      <c r="A151" s="9" t="n"/>
      <c r="B151" s="141" t="inlineStr">
        <is>
          <t>PCB</t>
        </is>
      </c>
      <c r="C151" s="137" t="inlineStr">
        <is>
          <t>COCOON</t>
        </is>
      </c>
      <c r="D151" s="70" t="inlineStr">
        <is>
          <t>CTR B/D</t>
        </is>
      </c>
      <c r="E151" s="36" t="n"/>
      <c r="F151" s="100" t="n"/>
      <c r="G151" s="22" t="n"/>
      <c r="H151" s="22" t="inlineStr">
        <is>
          <t>HLP</t>
        </is>
      </c>
      <c r="I151" s="14" t="n"/>
      <c r="J151" s="14" t="n"/>
      <c r="K151" s="12" t="n">
        <v>200</v>
      </c>
      <c r="L151" s="9" t="n"/>
      <c r="M151" s="9" t="n"/>
      <c r="N151" s="9" t="n"/>
      <c r="O151" s="40">
        <f>K151+V151-AE151-AZ151</f>
        <v/>
      </c>
      <c r="P151" s="12" t="n"/>
      <c r="Q151" s="138" t="n"/>
      <c r="R151" s="16" t="n"/>
      <c r="S151" s="139" t="n"/>
      <c r="T151" s="16" t="n"/>
      <c r="U151" s="139" t="n"/>
      <c r="V151" s="16">
        <f>P151+R151+T151</f>
        <v/>
      </c>
      <c r="W151" s="16" t="n"/>
      <c r="X151" s="139" t="n"/>
      <c r="Y151" s="16" t="n"/>
      <c r="Z151" s="139" t="n"/>
      <c r="AA151" s="16" t="n"/>
      <c r="AB151" s="139" t="n"/>
      <c r="AC151" s="16" t="n"/>
      <c r="AD151" s="139" t="n"/>
      <c r="AE151" s="16">
        <f>(W151+Y151+AA151+AC151)</f>
        <v/>
      </c>
      <c r="AF151" s="16" t="n"/>
      <c r="AG151" s="138" t="n"/>
      <c r="AH151" s="16" t="n"/>
      <c r="AI151" s="138" t="n"/>
      <c r="AJ151" s="16" t="n"/>
      <c r="AK151" s="138" t="n"/>
      <c r="AL151" s="16" t="n"/>
      <c r="AM151" s="138" t="n"/>
      <c r="AN151" s="16" t="n"/>
      <c r="AO151" s="138" t="n"/>
      <c r="AP151" s="16" t="n"/>
      <c r="AQ151" s="138" t="n"/>
      <c r="AR151" s="16" t="n"/>
      <c r="AS151" s="138" t="n"/>
      <c r="AT151" s="16" t="n"/>
      <c r="AU151" s="138" t="n"/>
      <c r="AV151" s="16" t="n"/>
      <c r="AW151" s="138" t="n"/>
      <c r="AX151" s="16" t="n"/>
      <c r="AY151" s="138" t="n"/>
      <c r="AZ151" s="16">
        <f>AF151+AH151+AJ151+AL151+AN151+AP151+AR151+AT151+AV151+AX151</f>
        <v/>
      </c>
      <c r="BA151" s="16" t="n"/>
      <c r="BB151" s="139" t="n"/>
      <c r="BC151" s="16" t="n"/>
      <c r="BD151" s="139" t="n"/>
      <c r="BE151" s="16">
        <f>(BA151+BC151)</f>
        <v/>
      </c>
    </row>
    <row r="152" ht="22.5" customFormat="1" customHeight="1" s="8">
      <c r="A152" s="9" t="n"/>
      <c r="B152" s="141" t="inlineStr">
        <is>
          <t>PCB</t>
        </is>
      </c>
      <c r="C152" s="137" t="inlineStr">
        <is>
          <t>COCOON</t>
        </is>
      </c>
      <c r="D152" s="62" t="inlineStr">
        <is>
          <t>FET B/D</t>
        </is>
      </c>
      <c r="E152" s="36" t="n"/>
      <c r="F152" s="100" t="n"/>
      <c r="G152" s="22" t="n"/>
      <c r="H152" s="22" t="inlineStr">
        <is>
          <t>HLP</t>
        </is>
      </c>
      <c r="I152" s="14" t="n"/>
      <c r="J152" s="14" t="n"/>
      <c r="K152" s="12" t="n">
        <v>460</v>
      </c>
      <c r="L152" s="9" t="n"/>
      <c r="M152" s="9" t="n"/>
      <c r="N152" s="9" t="n"/>
      <c r="O152" s="40">
        <f>K152+V152-AE152-AZ152</f>
        <v/>
      </c>
      <c r="P152" s="12" t="n"/>
      <c r="Q152" s="138" t="n"/>
      <c r="R152" s="16" t="n"/>
      <c r="S152" s="139" t="n"/>
      <c r="T152" s="16" t="n"/>
      <c r="U152" s="139" t="n"/>
      <c r="V152" s="16">
        <f>P152+R152+T152</f>
        <v/>
      </c>
      <c r="W152" s="16" t="n"/>
      <c r="X152" s="139" t="n"/>
      <c r="Y152" s="16" t="n"/>
      <c r="Z152" s="139" t="n"/>
      <c r="AA152" s="16" t="n"/>
      <c r="AB152" s="139" t="n"/>
      <c r="AC152" s="16" t="n"/>
      <c r="AD152" s="139" t="n"/>
      <c r="AE152" s="16">
        <f>(W152+Y152+AA152+AC152)</f>
        <v/>
      </c>
      <c r="AF152" s="16" t="n"/>
      <c r="AG152" s="138" t="n"/>
      <c r="AH152" s="16" t="n"/>
      <c r="AI152" s="138" t="n"/>
      <c r="AJ152" s="16" t="n"/>
      <c r="AK152" s="138" t="n"/>
      <c r="AL152" s="16" t="n"/>
      <c r="AM152" s="138" t="n"/>
      <c r="AN152" s="16" t="n"/>
      <c r="AO152" s="138" t="n"/>
      <c r="AP152" s="16" t="n"/>
      <c r="AQ152" s="138" t="n"/>
      <c r="AR152" s="16" t="n"/>
      <c r="AS152" s="138" t="n"/>
      <c r="AT152" s="16" t="n"/>
      <c r="AU152" s="138" t="n"/>
      <c r="AV152" s="16" t="n"/>
      <c r="AW152" s="138" t="n"/>
      <c r="AX152" s="16" t="n"/>
      <c r="AY152" s="138" t="n"/>
      <c r="AZ152" s="16">
        <f>AF152+AH152+AJ152+AL152+AN152+AP152+AR152+AT152+AV152+AX152</f>
        <v/>
      </c>
      <c r="BA152" s="16" t="n"/>
      <c r="BB152" s="139" t="n"/>
      <c r="BC152" s="16" t="n"/>
      <c r="BD152" s="139" t="n"/>
      <c r="BE152" s="16">
        <f>(BA152+BC152)</f>
        <v/>
      </c>
    </row>
    <row r="153" ht="22.5" customFormat="1" customHeight="1" s="8">
      <c r="A153" s="9" t="n"/>
      <c r="B153" s="136" t="inlineStr">
        <is>
          <t>PCB</t>
        </is>
      </c>
      <c r="C153" s="137" t="inlineStr">
        <is>
          <t>COCOON</t>
        </is>
      </c>
      <c r="D153" s="145" t="inlineStr">
        <is>
          <t>POWER SWITCH BD</t>
        </is>
      </c>
      <c r="E153" s="13" t="n"/>
      <c r="F153" s="100" t="n"/>
      <c r="G153" s="9" t="n"/>
      <c r="H153" s="9" t="inlineStr">
        <is>
          <t>HLP</t>
        </is>
      </c>
      <c r="I153" s="14" t="n"/>
      <c r="J153" s="14" t="n"/>
      <c r="K153" s="12" t="n">
        <v>705</v>
      </c>
      <c r="L153" s="9" t="n"/>
      <c r="M153" s="9" t="n"/>
      <c r="N153" s="9" t="n"/>
      <c r="O153" s="40">
        <f>K153+V153-AE153-AZ153</f>
        <v/>
      </c>
      <c r="P153" s="12" t="n"/>
      <c r="Q153" s="138" t="n"/>
      <c r="R153" s="16" t="n"/>
      <c r="S153" s="139" t="n"/>
      <c r="T153" s="16" t="n"/>
      <c r="U153" s="139" t="n"/>
      <c r="V153" s="16">
        <f>P153+R153+T153</f>
        <v/>
      </c>
      <c r="W153" s="16" t="n"/>
      <c r="X153" s="139" t="n"/>
      <c r="Y153" s="16" t="n"/>
      <c r="Z153" s="139" t="n"/>
      <c r="AA153" s="16" t="n"/>
      <c r="AB153" s="139" t="n"/>
      <c r="AC153" s="16" t="n"/>
      <c r="AD153" s="139" t="n"/>
      <c r="AE153" s="16">
        <f>(W153+Y153+AA153+AC153)</f>
        <v/>
      </c>
      <c r="AF153" s="16" t="n"/>
      <c r="AG153" s="138" t="n"/>
      <c r="AH153" s="16" t="n"/>
      <c r="AI153" s="138" t="n"/>
      <c r="AJ153" s="16" t="n"/>
      <c r="AK153" s="138" t="n"/>
      <c r="AL153" s="16" t="n"/>
      <c r="AM153" s="138" t="n"/>
      <c r="AN153" s="16" t="n"/>
      <c r="AO153" s="138" t="n"/>
      <c r="AP153" s="16" t="n"/>
      <c r="AQ153" s="138" t="n"/>
      <c r="AR153" s="16" t="n"/>
      <c r="AS153" s="138" t="n"/>
      <c r="AT153" s="16" t="n"/>
      <c r="AU153" s="138" t="n"/>
      <c r="AV153" s="16" t="n"/>
      <c r="AW153" s="138" t="n"/>
      <c r="AX153" s="16" t="n"/>
      <c r="AY153" s="138" t="n"/>
      <c r="AZ153" s="16">
        <f>AF153+AH153+AJ153+AL153+AN153+AP153+AR153+AT153+AV153+AX153</f>
        <v/>
      </c>
      <c r="BA153" s="16" t="n"/>
      <c r="BB153" s="139" t="n"/>
      <c r="BC153" s="16" t="n"/>
      <c r="BD153" s="139" t="n"/>
      <c r="BE153" s="16">
        <f>(BA153+BC153)</f>
        <v/>
      </c>
    </row>
    <row r="154" ht="22.5" customFormat="1" customHeight="1" s="8">
      <c r="A154" s="9" t="n"/>
      <c r="B154" s="136" t="inlineStr">
        <is>
          <t>PCB</t>
        </is>
      </c>
      <c r="C154" s="137" t="inlineStr">
        <is>
          <t>COCOON</t>
        </is>
      </c>
      <c r="D154" s="82" t="inlineStr">
        <is>
          <t>POWER SWITCH BD (Ver 3.0.0)</t>
        </is>
      </c>
      <c r="E154" s="13" t="n"/>
      <c r="F154" s="100" t="n"/>
      <c r="G154" s="9" t="n"/>
      <c r="H154" s="9" t="inlineStr">
        <is>
          <t>HLP</t>
        </is>
      </c>
      <c r="I154" s="14" t="n"/>
      <c r="J154" s="14" t="n"/>
      <c r="K154" s="12" t="n">
        <v>196</v>
      </c>
      <c r="L154" s="9" t="n"/>
      <c r="M154" s="9" t="n"/>
      <c r="N154" s="9" t="n"/>
      <c r="O154" s="40">
        <f>K154+V154-AE154-AZ154</f>
        <v/>
      </c>
      <c r="P154" s="12" t="n"/>
      <c r="Q154" s="138" t="n"/>
      <c r="R154" s="16" t="n"/>
      <c r="S154" s="139" t="n"/>
      <c r="T154" s="16" t="n"/>
      <c r="U154" s="139" t="n"/>
      <c r="V154" s="16">
        <f>P154+R154+T154</f>
        <v/>
      </c>
      <c r="W154" s="16" t="n"/>
      <c r="X154" s="139" t="n"/>
      <c r="Y154" s="16" t="n"/>
      <c r="Z154" s="139" t="n"/>
      <c r="AA154" s="16" t="n"/>
      <c r="AB154" s="139" t="n"/>
      <c r="AC154" s="16" t="n"/>
      <c r="AD154" s="139" t="n"/>
      <c r="AE154" s="16">
        <f>(W154+Y154+AA154+AC154)</f>
        <v/>
      </c>
      <c r="AF154" s="16" t="n"/>
      <c r="AG154" s="138" t="n"/>
      <c r="AH154" s="16" t="n"/>
      <c r="AI154" s="138" t="n"/>
      <c r="AJ154" s="16" t="n"/>
      <c r="AK154" s="138" t="n"/>
      <c r="AL154" s="16" t="n"/>
      <c r="AM154" s="138" t="n"/>
      <c r="AN154" s="16" t="n"/>
      <c r="AO154" s="138" t="n"/>
      <c r="AP154" s="16" t="n"/>
      <c r="AQ154" s="138" t="n"/>
      <c r="AR154" s="16" t="n"/>
      <c r="AS154" s="138" t="n"/>
      <c r="AT154" s="16" t="n"/>
      <c r="AU154" s="138" t="n"/>
      <c r="AV154" s="16" t="n"/>
      <c r="AW154" s="138" t="n"/>
      <c r="AX154" s="16" t="n"/>
      <c r="AY154" s="138" t="n"/>
      <c r="AZ154" s="16">
        <f>AF154+AH154+AJ154+AL154+AN154+AP154+AR154+AT154+AV154+AX154</f>
        <v/>
      </c>
      <c r="BA154" s="16" t="n"/>
      <c r="BB154" s="139" t="n"/>
      <c r="BC154" s="16" t="n"/>
      <c r="BD154" s="139" t="n"/>
      <c r="BE154" s="16">
        <f>(BA154+BC154)</f>
        <v/>
      </c>
    </row>
    <row r="155" ht="22.5" customFormat="1" customHeight="1" s="8">
      <c r="A155" s="9" t="n"/>
      <c r="B155" s="136" t="inlineStr">
        <is>
          <t>PCB</t>
        </is>
      </c>
      <c r="C155" s="137" t="inlineStr">
        <is>
          <t>COCOON</t>
        </is>
      </c>
      <c r="D155" s="82" t="inlineStr">
        <is>
          <t>HANDLE CONNECTOR BD 신형 (신주 2핀)</t>
        </is>
      </c>
      <c r="E155" s="13" t="n"/>
      <c r="F155" s="100" t="n"/>
      <c r="G155" s="9" t="n"/>
      <c r="H155" s="9" t="inlineStr">
        <is>
          <t>HLP</t>
        </is>
      </c>
      <c r="I155" s="14" t="n"/>
      <c r="J155" s="14" t="n"/>
      <c r="K155" s="12" t="n">
        <v>0</v>
      </c>
      <c r="L155" s="9" t="n"/>
      <c r="M155" s="9" t="n"/>
      <c r="N155" s="9" t="n"/>
      <c r="O155" s="40">
        <f>K155+V155-AE155-AZ155</f>
        <v/>
      </c>
      <c r="P155" s="12" t="n"/>
      <c r="Q155" s="138" t="n"/>
      <c r="R155" s="16" t="n"/>
      <c r="S155" s="139" t="n"/>
      <c r="T155" s="16" t="n"/>
      <c r="U155" s="139" t="n"/>
      <c r="V155" s="16">
        <f>P155+R155+T155</f>
        <v/>
      </c>
      <c r="W155" s="16" t="n"/>
      <c r="X155" s="139" t="n"/>
      <c r="Y155" s="16" t="n"/>
      <c r="Z155" s="139" t="n"/>
      <c r="AA155" s="16" t="n"/>
      <c r="AB155" s="139" t="n"/>
      <c r="AC155" s="16" t="n"/>
      <c r="AD155" s="139" t="n"/>
      <c r="AE155" s="16">
        <f>(W155+Y155+AA155+AC155)</f>
        <v/>
      </c>
      <c r="AF155" s="16" t="n"/>
      <c r="AG155" s="138" t="n"/>
      <c r="AH155" s="16" t="n"/>
      <c r="AI155" s="138" t="n"/>
      <c r="AJ155" s="16" t="n"/>
      <c r="AK155" s="138" t="n"/>
      <c r="AL155" s="16" t="n"/>
      <c r="AM155" s="138" t="n"/>
      <c r="AN155" s="16" t="n"/>
      <c r="AO155" s="138" t="n"/>
      <c r="AP155" s="16" t="n"/>
      <c r="AQ155" s="138" t="n"/>
      <c r="AR155" s="16" t="n"/>
      <c r="AS155" s="138" t="n"/>
      <c r="AT155" s="16" t="n"/>
      <c r="AU155" s="138" t="n"/>
      <c r="AV155" s="16" t="n"/>
      <c r="AW155" s="138" t="n"/>
      <c r="AX155" s="16" t="n"/>
      <c r="AY155" s="138" t="n"/>
      <c r="AZ155" s="16">
        <f>AF155+AH155+AJ155+AL155+AN155+AP155+AR155+AT155+AV155+AX155</f>
        <v/>
      </c>
      <c r="BA155" s="16" t="n"/>
      <c r="BB155" s="139" t="n"/>
      <c r="BC155" s="16" t="n"/>
      <c r="BD155" s="139" t="n"/>
      <c r="BE155" s="16">
        <f>(BA155+BC155)</f>
        <v/>
      </c>
    </row>
    <row r="156" ht="22.5" customFormat="1" customHeight="1" s="8">
      <c r="A156" s="9" t="n"/>
      <c r="B156" s="136" t="inlineStr">
        <is>
          <t>PCB</t>
        </is>
      </c>
      <c r="C156" s="137" t="inlineStr">
        <is>
          <t>COCOON</t>
        </is>
      </c>
      <c r="D156" s="82" t="inlineStr">
        <is>
          <t>BATTERY BRIDGE BD</t>
        </is>
      </c>
      <c r="E156" s="13" t="n"/>
      <c r="F156" s="100" t="n"/>
      <c r="G156" s="9" t="n"/>
      <c r="H156" s="9" t="inlineStr">
        <is>
          <t>HLP</t>
        </is>
      </c>
      <c r="I156" s="14" t="n"/>
      <c r="J156" s="14" t="n"/>
      <c r="K156" s="12" t="n"/>
      <c r="L156" s="9" t="n"/>
      <c r="M156" s="9" t="n"/>
      <c r="N156" s="9" t="n"/>
      <c r="O156" s="40">
        <f>K156+V156-AE156-AZ156</f>
        <v/>
      </c>
      <c r="P156" s="12" t="n"/>
      <c r="Q156" s="138" t="n"/>
      <c r="R156" s="16" t="n"/>
      <c r="S156" s="139" t="n"/>
      <c r="T156" s="16" t="n"/>
      <c r="U156" s="139" t="n"/>
      <c r="V156" s="16">
        <f>P156+R156+T156</f>
        <v/>
      </c>
      <c r="W156" s="16" t="n"/>
      <c r="X156" s="139" t="n"/>
      <c r="Y156" s="16" t="n"/>
      <c r="Z156" s="139" t="n"/>
      <c r="AA156" s="16" t="n"/>
      <c r="AB156" s="139" t="n"/>
      <c r="AC156" s="16" t="n"/>
      <c r="AD156" s="139" t="n"/>
      <c r="AE156" s="16">
        <f>(W156+Y156+AA156+AC156)</f>
        <v/>
      </c>
      <c r="AF156" s="16" t="n"/>
      <c r="AG156" s="138" t="n"/>
      <c r="AH156" s="16" t="n"/>
      <c r="AI156" s="138" t="n"/>
      <c r="AJ156" s="16" t="n"/>
      <c r="AK156" s="138" t="n"/>
      <c r="AL156" s="16" t="n"/>
      <c r="AM156" s="138" t="n"/>
      <c r="AN156" s="16" t="n"/>
      <c r="AO156" s="138" t="n"/>
      <c r="AP156" s="16" t="n"/>
      <c r="AQ156" s="138" t="n"/>
      <c r="AR156" s="16" t="n"/>
      <c r="AS156" s="138" t="n"/>
      <c r="AT156" s="16" t="n"/>
      <c r="AU156" s="138" t="n"/>
      <c r="AV156" s="16" t="n"/>
      <c r="AW156" s="138" t="n"/>
      <c r="AX156" s="16" t="n"/>
      <c r="AY156" s="138" t="n"/>
      <c r="AZ156" s="16">
        <f>AF156+AH156+AJ156+AL156+AN156+AP156+AR156+AT156+AV156+AX156</f>
        <v/>
      </c>
      <c r="BA156" s="16" t="n"/>
      <c r="BB156" s="139" t="n"/>
      <c r="BC156" s="16" t="n"/>
      <c r="BD156" s="139" t="n"/>
      <c r="BE156" s="16">
        <f>(BA156+BC156)</f>
        <v/>
      </c>
    </row>
    <row r="157" ht="22.5" customFormat="1" customHeight="1" s="8">
      <c r="A157" s="9" t="n"/>
      <c r="B157" s="136" t="inlineStr">
        <is>
          <t>PCB</t>
        </is>
      </c>
      <c r="C157" s="137" t="inlineStr">
        <is>
          <t>COCOON</t>
        </is>
      </c>
      <c r="D157" s="82" t="inlineStr">
        <is>
          <t>CRADLE BD</t>
        </is>
      </c>
      <c r="E157" s="13" t="n"/>
      <c r="F157" s="100" t="n"/>
      <c r="G157" s="9" t="n"/>
      <c r="H157" s="9" t="inlineStr">
        <is>
          <t>HLP</t>
        </is>
      </c>
      <c r="I157" s="14" t="n"/>
      <c r="J157" s="14" t="n"/>
      <c r="K157" s="12" t="n">
        <v>348</v>
      </c>
      <c r="L157" s="9" t="n"/>
      <c r="M157" s="9" t="n"/>
      <c r="N157" s="9" t="n"/>
      <c r="O157" s="40">
        <f>K157+V157-AE157-AZ157</f>
        <v/>
      </c>
      <c r="P157" s="12" t="n"/>
      <c r="Q157" s="138" t="n"/>
      <c r="R157" s="16" t="n"/>
      <c r="S157" s="139" t="n"/>
      <c r="T157" s="16" t="n"/>
      <c r="U157" s="139" t="n"/>
      <c r="V157" s="16">
        <f>P157+R157+T157</f>
        <v/>
      </c>
      <c r="W157" s="16" t="n"/>
      <c r="X157" s="139" t="n"/>
      <c r="Y157" s="16" t="n"/>
      <c r="Z157" s="139" t="n"/>
      <c r="AA157" s="16" t="n"/>
      <c r="AB157" s="139" t="n"/>
      <c r="AC157" s="16" t="n"/>
      <c r="AD157" s="139" t="n"/>
      <c r="AE157" s="16">
        <f>(W157+Y157+AA157+AC157)</f>
        <v/>
      </c>
      <c r="AF157" s="16" t="n"/>
      <c r="AG157" s="138" t="n"/>
      <c r="AH157" s="16" t="n"/>
      <c r="AI157" s="138" t="n"/>
      <c r="AJ157" s="16" t="n"/>
      <c r="AK157" s="138" t="n"/>
      <c r="AL157" s="16" t="n"/>
      <c r="AM157" s="138" t="n"/>
      <c r="AN157" s="16" t="n"/>
      <c r="AO157" s="138" t="n"/>
      <c r="AP157" s="16" t="n"/>
      <c r="AQ157" s="138" t="n"/>
      <c r="AR157" s="16" t="n"/>
      <c r="AS157" s="138" t="n"/>
      <c r="AT157" s="16" t="n"/>
      <c r="AU157" s="138" t="n"/>
      <c r="AV157" s="16" t="n"/>
      <c r="AW157" s="138" t="n"/>
      <c r="AX157" s="16" t="n"/>
      <c r="AY157" s="138" t="n"/>
      <c r="AZ157" s="16">
        <f>AF157+AH157+AJ157+AL157+AN157+AP157+AR157+AT157+AV157+AX157</f>
        <v/>
      </c>
      <c r="BA157" s="16" t="n"/>
      <c r="BB157" s="139" t="n"/>
      <c r="BC157" s="16" t="n"/>
      <c r="BD157" s="139" t="n"/>
      <c r="BE157" s="16">
        <f>(BA157+BC157)</f>
        <v/>
      </c>
    </row>
    <row r="158" ht="22.5" customFormat="1" customHeight="1" s="8">
      <c r="A158" s="9" t="n"/>
      <c r="B158" s="136" t="inlineStr">
        <is>
          <t>PCB</t>
        </is>
      </c>
      <c r="C158" s="137" t="inlineStr">
        <is>
          <t>COCOON</t>
        </is>
      </c>
      <c r="D158" s="82" t="inlineStr">
        <is>
          <t>OP &amp; TOUCH BD</t>
        </is>
      </c>
      <c r="E158" s="13" t="n"/>
      <c r="F158" s="100" t="n"/>
      <c r="G158" s="9" t="n"/>
      <c r="H158" s="9" t="inlineStr">
        <is>
          <t>HLP</t>
        </is>
      </c>
      <c r="I158" s="14" t="n"/>
      <c r="J158" s="14" t="n"/>
      <c r="K158" s="12" t="n"/>
      <c r="L158" s="9" t="n"/>
      <c r="M158" s="9" t="n"/>
      <c r="N158" s="9" t="n"/>
      <c r="O158" s="40">
        <f>K158+V158-AE158-AZ158</f>
        <v/>
      </c>
      <c r="P158" s="12" t="n"/>
      <c r="Q158" s="138" t="n"/>
      <c r="R158" s="16" t="n"/>
      <c r="S158" s="139" t="n"/>
      <c r="T158" s="16" t="n"/>
      <c r="U158" s="139" t="n"/>
      <c r="V158" s="16">
        <f>P158+R158+T158</f>
        <v/>
      </c>
      <c r="W158" s="16" t="n"/>
      <c r="X158" s="139" t="n"/>
      <c r="Y158" s="16" t="n"/>
      <c r="Z158" s="139" t="n"/>
      <c r="AA158" s="16" t="n"/>
      <c r="AB158" s="139" t="n"/>
      <c r="AC158" s="16" t="n"/>
      <c r="AD158" s="139" t="n"/>
      <c r="AE158" s="16">
        <f>(W158+Y158+AA158+AC158)</f>
        <v/>
      </c>
      <c r="AF158" s="16" t="n"/>
      <c r="AG158" s="138" t="n"/>
      <c r="AH158" s="16" t="n"/>
      <c r="AI158" s="138" t="n"/>
      <c r="AJ158" s="16" t="n"/>
      <c r="AK158" s="138" t="n"/>
      <c r="AL158" s="16" t="n"/>
      <c r="AM158" s="138" t="n"/>
      <c r="AN158" s="16" t="n"/>
      <c r="AO158" s="138" t="n"/>
      <c r="AP158" s="16" t="n"/>
      <c r="AQ158" s="138" t="n"/>
      <c r="AR158" s="16" t="n"/>
      <c r="AS158" s="138" t="n"/>
      <c r="AT158" s="16" t="n"/>
      <c r="AU158" s="138" t="n"/>
      <c r="AV158" s="16" t="n"/>
      <c r="AW158" s="138" t="n"/>
      <c r="AX158" s="16" t="n"/>
      <c r="AY158" s="138" t="n"/>
      <c r="AZ158" s="16">
        <f>AF158+AH158+AJ158+AL158+AN158+AP158+AR158+AT158+AV158+AX158</f>
        <v/>
      </c>
      <c r="BA158" s="16" t="n"/>
      <c r="BB158" s="139" t="n"/>
      <c r="BC158" s="16" t="n"/>
      <c r="BD158" s="139" t="n"/>
      <c r="BE158" s="16">
        <f>(BA158+BC158)</f>
        <v/>
      </c>
    </row>
    <row r="159" ht="22.5" customFormat="1" customHeight="1" s="8">
      <c r="A159" s="9" t="n"/>
      <c r="B159" s="136" t="inlineStr">
        <is>
          <t>CABLE</t>
        </is>
      </c>
      <c r="C159" s="137" t="inlineStr">
        <is>
          <t>COCOON</t>
        </is>
      </c>
      <c r="D159" s="72" t="inlineStr">
        <is>
          <t>하네스 1번</t>
        </is>
      </c>
      <c r="E159" s="13" t="inlineStr">
        <is>
          <t>TX30(FEMALE)+YH396-02 100mm CTR BD 외부단자 2핀</t>
        </is>
      </c>
      <c r="F159" s="100" t="n"/>
      <c r="G159" s="9" t="n"/>
      <c r="H159" s="9" t="inlineStr">
        <is>
          <t>HLP</t>
        </is>
      </c>
      <c r="I159" s="14" t="n"/>
      <c r="J159" s="14" t="n"/>
      <c r="K159" s="12" t="n">
        <v>179</v>
      </c>
      <c r="L159" s="9" t="n"/>
      <c r="M159" s="9" t="n"/>
      <c r="N159" s="9" t="n"/>
      <c r="O159" s="40">
        <f>K159+V159-AE159-AZ159</f>
        <v/>
      </c>
      <c r="P159" s="12" t="n"/>
      <c r="Q159" s="138" t="n"/>
      <c r="R159" s="16" t="n"/>
      <c r="S159" s="139" t="n"/>
      <c r="T159" s="16" t="n"/>
      <c r="U159" s="139" t="n"/>
      <c r="V159" s="16">
        <f>P159+R159+T159</f>
        <v/>
      </c>
      <c r="W159" s="16" t="n"/>
      <c r="X159" s="139" t="n"/>
      <c r="Y159" s="16" t="n"/>
      <c r="Z159" s="139" t="n"/>
      <c r="AA159" s="16" t="n"/>
      <c r="AB159" s="139" t="n"/>
      <c r="AC159" s="16" t="n"/>
      <c r="AD159" s="139" t="n"/>
      <c r="AE159" s="16">
        <f>(W159+Y159+AA159+AC159)</f>
        <v/>
      </c>
      <c r="AF159" s="16" t="n"/>
      <c r="AG159" s="138" t="n"/>
      <c r="AH159" s="16" t="n"/>
      <c r="AI159" s="138" t="n"/>
      <c r="AJ159" s="16" t="n"/>
      <c r="AK159" s="138" t="n"/>
      <c r="AL159" s="16" t="n"/>
      <c r="AM159" s="138" t="n"/>
      <c r="AN159" s="16" t="n"/>
      <c r="AO159" s="138" t="n"/>
      <c r="AP159" s="16" t="n"/>
      <c r="AQ159" s="138" t="n"/>
      <c r="AR159" s="16" t="n"/>
      <c r="AS159" s="138" t="n"/>
      <c r="AT159" s="16" t="n"/>
      <c r="AU159" s="138" t="n"/>
      <c r="AV159" s="16" t="n"/>
      <c r="AW159" s="138" t="n"/>
      <c r="AX159" s="16" t="n"/>
      <c r="AY159" s="138" t="n"/>
      <c r="AZ159" s="16">
        <f>AF159+AH159+AJ159+AL159+AN159+AP159+AR159+AT159+AV159+AX159</f>
        <v/>
      </c>
      <c r="BA159" s="16" t="n"/>
      <c r="BB159" s="139" t="n"/>
      <c r="BC159" s="16" t="n"/>
      <c r="BD159" s="139" t="n"/>
      <c r="BE159" s="16">
        <f>(BA159+BC159)</f>
        <v/>
      </c>
    </row>
    <row r="160" ht="22.5" customFormat="1" customHeight="1" s="8">
      <c r="A160" s="9" t="n"/>
      <c r="B160" s="136" t="inlineStr">
        <is>
          <t>CABLE</t>
        </is>
      </c>
      <c r="C160" s="137" t="inlineStr">
        <is>
          <t>COCOON</t>
        </is>
      </c>
      <c r="D160" s="78" t="inlineStr">
        <is>
          <t>하네스 2번</t>
        </is>
      </c>
      <c r="E160" s="13" t="inlineStr">
        <is>
          <t>TX30(MALE)+DC022(2.5) 80mm 전원 외부단자 2핀</t>
        </is>
      </c>
      <c r="F160" s="100" t="n"/>
      <c r="G160" s="9" t="n"/>
      <c r="H160" s="9" t="inlineStr">
        <is>
          <t>HLP</t>
        </is>
      </c>
      <c r="I160" s="14" t="n"/>
      <c r="J160" s="14" t="n"/>
      <c r="K160" s="12" t="n">
        <v>516</v>
      </c>
      <c r="L160" s="9" t="n"/>
      <c r="M160" s="9" t="n"/>
      <c r="N160" s="9" t="n"/>
      <c r="O160" s="40">
        <f>K160+V160-AE160-AZ160</f>
        <v/>
      </c>
      <c r="P160" s="12" t="n"/>
      <c r="Q160" s="138" t="n"/>
      <c r="R160" s="16" t="n"/>
      <c r="S160" s="139" t="n"/>
      <c r="T160" s="16" t="n"/>
      <c r="U160" s="139" t="n"/>
      <c r="V160" s="16">
        <f>P160+R160+T160</f>
        <v/>
      </c>
      <c r="W160" s="16" t="n"/>
      <c r="X160" s="139" t="n"/>
      <c r="Y160" s="16" t="n"/>
      <c r="Z160" s="139" t="n"/>
      <c r="AA160" s="16" t="n"/>
      <c r="AB160" s="139" t="n"/>
      <c r="AC160" s="16" t="n"/>
      <c r="AD160" s="139" t="n"/>
      <c r="AE160" s="16">
        <f>(W160+Y160+AA160+AC160)</f>
        <v/>
      </c>
      <c r="AF160" s="16" t="n"/>
      <c r="AG160" s="138" t="n"/>
      <c r="AH160" s="16" t="n"/>
      <c r="AI160" s="138" t="n"/>
      <c r="AJ160" s="16" t="n"/>
      <c r="AK160" s="138" t="n"/>
      <c r="AL160" s="16" t="n"/>
      <c r="AM160" s="138" t="n"/>
      <c r="AN160" s="16" t="n"/>
      <c r="AO160" s="138" t="n"/>
      <c r="AP160" s="16" t="n"/>
      <c r="AQ160" s="138" t="n"/>
      <c r="AR160" s="16" t="n"/>
      <c r="AS160" s="138" t="n"/>
      <c r="AT160" s="16" t="n"/>
      <c r="AU160" s="138" t="n"/>
      <c r="AV160" s="16" t="n"/>
      <c r="AW160" s="138" t="n"/>
      <c r="AX160" s="16" t="n"/>
      <c r="AY160" s="138" t="n"/>
      <c r="AZ160" s="16">
        <f>AF160+AH160+AJ160+AL160+AN160+AP160+AR160+AT160+AV160+AX160</f>
        <v/>
      </c>
      <c r="BA160" s="16" t="n"/>
      <c r="BB160" s="139" t="n"/>
      <c r="BC160" s="16" t="n"/>
      <c r="BD160" s="139" t="n"/>
      <c r="BE160" s="16">
        <f>(BA160+BC160)</f>
        <v/>
      </c>
    </row>
    <row r="161" ht="22.5" customFormat="1" customHeight="1" s="8">
      <c r="A161" s="9" t="n"/>
      <c r="B161" s="136" t="inlineStr">
        <is>
          <t>CABLE</t>
        </is>
      </c>
      <c r="C161" s="137" t="inlineStr">
        <is>
          <t>COCOON</t>
        </is>
      </c>
      <c r="D161" s="78" t="inlineStr">
        <is>
          <t>하네스 3번</t>
        </is>
      </c>
      <c r="E161" s="13" t="inlineStr">
        <is>
          <t>FFC CABLE 1mm*30P*200*B CTR BD*OP BD (다른방향)</t>
        </is>
      </c>
      <c r="F161" s="100" t="n"/>
      <c r="G161" s="9" t="n"/>
      <c r="H161" s="9" t="inlineStr">
        <is>
          <t>HLP</t>
        </is>
      </c>
      <c r="I161" s="14" t="n"/>
      <c r="J161" s="14" t="n"/>
      <c r="K161" s="12" t="n">
        <v>148</v>
      </c>
      <c r="L161" s="9" t="n"/>
      <c r="M161" s="9" t="n"/>
      <c r="N161" s="9" t="n"/>
      <c r="O161" s="40">
        <f>K161+V161-AE161-AZ161</f>
        <v/>
      </c>
      <c r="P161" s="12" t="n"/>
      <c r="Q161" s="138" t="n"/>
      <c r="R161" s="16" t="n"/>
      <c r="S161" s="139" t="n"/>
      <c r="T161" s="16" t="n"/>
      <c r="U161" s="139" t="n"/>
      <c r="V161" s="16">
        <f>P161+R161+T161</f>
        <v/>
      </c>
      <c r="W161" s="16" t="n"/>
      <c r="X161" s="139" t="n"/>
      <c r="Y161" s="16" t="n"/>
      <c r="Z161" s="139" t="n"/>
      <c r="AA161" s="16" t="n"/>
      <c r="AB161" s="139" t="n"/>
      <c r="AC161" s="16" t="n"/>
      <c r="AD161" s="139" t="n"/>
      <c r="AE161" s="16">
        <f>(W161+Y161+AA161+AC161)</f>
        <v/>
      </c>
      <c r="AF161" s="16" t="n"/>
      <c r="AG161" s="138" t="n"/>
      <c r="AH161" s="16" t="n"/>
      <c r="AI161" s="138" t="n"/>
      <c r="AJ161" s="16" t="n"/>
      <c r="AK161" s="138" t="n"/>
      <c r="AL161" s="16" t="n"/>
      <c r="AM161" s="138" t="n"/>
      <c r="AN161" s="16" t="n"/>
      <c r="AO161" s="138" t="n"/>
      <c r="AP161" s="16" t="n"/>
      <c r="AQ161" s="138" t="n"/>
      <c r="AR161" s="16" t="n"/>
      <c r="AS161" s="138" t="n"/>
      <c r="AT161" s="16" t="n"/>
      <c r="AU161" s="138" t="n"/>
      <c r="AV161" s="16" t="n"/>
      <c r="AW161" s="138" t="n"/>
      <c r="AX161" s="16" t="n"/>
      <c r="AY161" s="138" t="n"/>
      <c r="AZ161" s="16">
        <f>AF161+AH161+AJ161+AL161+AN161+AP161+AR161+AT161+AV161+AX161</f>
        <v/>
      </c>
      <c r="BA161" s="16" t="n"/>
      <c r="BB161" s="139" t="n"/>
      <c r="BC161" s="16" t="n"/>
      <c r="BD161" s="139" t="n"/>
      <c r="BE161" s="16">
        <f>(BA161+BC161)</f>
        <v/>
      </c>
    </row>
    <row r="162" ht="22.5" customFormat="1" customHeight="1" s="8">
      <c r="A162" s="9" t="n"/>
      <c r="B162" s="136" t="inlineStr">
        <is>
          <t>CABLE</t>
        </is>
      </c>
      <c r="C162" s="137" t="inlineStr">
        <is>
          <t>COCOON</t>
        </is>
      </c>
      <c r="D162" s="78" t="inlineStr">
        <is>
          <t>하네스 4번</t>
        </is>
      </c>
      <c r="E162" s="13" t="inlineStr">
        <is>
          <t>12505HS-02+SORDER 50mm - OP BD 2.20 전용 스피커 2핀</t>
        </is>
      </c>
      <c r="F162" s="100" t="n"/>
      <c r="G162" s="9" t="n"/>
      <c r="H162" s="9" t="inlineStr">
        <is>
          <t>HLP</t>
        </is>
      </c>
      <c r="I162" s="14" t="n"/>
      <c r="J162" s="14" t="n"/>
      <c r="K162" s="12" t="n">
        <v>120</v>
      </c>
      <c r="L162" s="9" t="n"/>
      <c r="M162" s="9" t="n"/>
      <c r="N162" s="9" t="n"/>
      <c r="O162" s="40">
        <f>K162+V162-AE162-AZ162</f>
        <v/>
      </c>
      <c r="P162" s="12" t="n"/>
      <c r="Q162" s="138" t="n"/>
      <c r="R162" s="16" t="n"/>
      <c r="S162" s="139" t="n"/>
      <c r="T162" s="16" t="n"/>
      <c r="U162" s="139" t="n"/>
      <c r="V162" s="16">
        <f>P162+R162+T162</f>
        <v/>
      </c>
      <c r="W162" s="16" t="n"/>
      <c r="X162" s="139" t="n"/>
      <c r="Y162" s="16" t="n"/>
      <c r="Z162" s="139" t="n"/>
      <c r="AA162" s="16" t="n"/>
      <c r="AB162" s="139" t="n"/>
      <c r="AC162" s="16" t="n"/>
      <c r="AD162" s="139" t="n"/>
      <c r="AE162" s="16">
        <f>(W162+Y162+AA162+AC162)</f>
        <v/>
      </c>
      <c r="AF162" s="16" t="n"/>
      <c r="AG162" s="138" t="n"/>
      <c r="AH162" s="16" t="n"/>
      <c r="AI162" s="138" t="n"/>
      <c r="AJ162" s="16" t="n"/>
      <c r="AK162" s="138" t="n"/>
      <c r="AL162" s="16" t="n"/>
      <c r="AM162" s="138" t="n"/>
      <c r="AN162" s="16" t="n"/>
      <c r="AO162" s="138" t="n"/>
      <c r="AP162" s="16" t="n"/>
      <c r="AQ162" s="138" t="n"/>
      <c r="AR162" s="16" t="n"/>
      <c r="AS162" s="138" t="n"/>
      <c r="AT162" s="16" t="n"/>
      <c r="AU162" s="138" t="n"/>
      <c r="AV162" s="16" t="n"/>
      <c r="AW162" s="138" t="n"/>
      <c r="AX162" s="16" t="n"/>
      <c r="AY162" s="138" t="n"/>
      <c r="AZ162" s="16">
        <f>AF162+AH162+AJ162+AL162+AN162+AP162+AR162+AT162+AV162+AX162</f>
        <v/>
      </c>
      <c r="BA162" s="16" t="n"/>
      <c r="BB162" s="139" t="n"/>
      <c r="BC162" s="16" t="n"/>
      <c r="BD162" s="139" t="n"/>
      <c r="BE162" s="16">
        <f>(BA162+BC162)</f>
        <v/>
      </c>
    </row>
    <row r="163" ht="22.5" customFormat="1" customHeight="1" s="8">
      <c r="A163" s="9" t="n"/>
      <c r="B163" s="136" t="inlineStr">
        <is>
          <t>CABLE</t>
        </is>
      </c>
      <c r="C163" s="137" t="inlineStr">
        <is>
          <t>COCOON</t>
        </is>
      </c>
      <c r="D163" s="79" t="inlineStr">
        <is>
          <t>하네스 5번</t>
        </is>
      </c>
      <c r="E163" s="146" t="inlineStr">
        <is>
          <t>YH396-04*2EA 150mm BATTERY BRIDGE BD 4핀</t>
        </is>
      </c>
      <c r="F163" s="100" t="n"/>
      <c r="G163" s="9" t="n"/>
      <c r="H163" s="9" t="inlineStr">
        <is>
          <t>HLP</t>
        </is>
      </c>
      <c r="I163" s="14" t="n"/>
      <c r="J163" s="14" t="n"/>
      <c r="K163" s="12" t="n">
        <v>509</v>
      </c>
      <c r="L163" s="9" t="n"/>
      <c r="M163" s="9" t="n"/>
      <c r="N163" s="9" t="n"/>
      <c r="O163" s="40">
        <f>K163+V163-AE163-AZ163</f>
        <v/>
      </c>
      <c r="P163" s="12" t="n"/>
      <c r="Q163" s="138" t="n"/>
      <c r="R163" s="16" t="n"/>
      <c r="S163" s="139" t="n"/>
      <c r="T163" s="16" t="n"/>
      <c r="U163" s="139" t="n"/>
      <c r="V163" s="16">
        <f>P163+R163+T163</f>
        <v/>
      </c>
      <c r="W163" s="16" t="n"/>
      <c r="X163" s="139" t="n"/>
      <c r="Y163" s="16" t="n"/>
      <c r="Z163" s="139" t="n"/>
      <c r="AA163" s="16" t="n"/>
      <c r="AB163" s="139" t="n"/>
      <c r="AC163" s="16" t="n"/>
      <c r="AD163" s="139" t="n"/>
      <c r="AE163" s="16">
        <f>(W163+Y163+AA163+AC163)</f>
        <v/>
      </c>
      <c r="AF163" s="16" t="n"/>
      <c r="AG163" s="138" t="n"/>
      <c r="AH163" s="16" t="n"/>
      <c r="AI163" s="138" t="n"/>
      <c r="AJ163" s="16" t="n"/>
      <c r="AK163" s="138" t="n"/>
      <c r="AL163" s="16" t="n"/>
      <c r="AM163" s="138" t="n"/>
      <c r="AN163" s="16" t="n"/>
      <c r="AO163" s="138" t="n"/>
      <c r="AP163" s="16" t="n"/>
      <c r="AQ163" s="138" t="n"/>
      <c r="AR163" s="16" t="n"/>
      <c r="AS163" s="138" t="n"/>
      <c r="AT163" s="16" t="n"/>
      <c r="AU163" s="138" t="n"/>
      <c r="AV163" s="16" t="n"/>
      <c r="AW163" s="138" t="n"/>
      <c r="AX163" s="16" t="n"/>
      <c r="AY163" s="138" t="n"/>
      <c r="AZ163" s="16">
        <f>AF163+AH163+AJ163+AL163+AN163+AP163+AR163+AT163+AV163+AX163</f>
        <v/>
      </c>
      <c r="BA163" s="16" t="n"/>
      <c r="BB163" s="139" t="n"/>
      <c r="BC163" s="16" t="n"/>
      <c r="BD163" s="139" t="n"/>
      <c r="BE163" s="16">
        <f>(BA163+BC163)</f>
        <v/>
      </c>
    </row>
    <row r="164" ht="22.5" customFormat="1" customHeight="1" s="8">
      <c r="A164" s="9" t="n"/>
      <c r="B164" s="136" t="inlineStr">
        <is>
          <t>CABLE</t>
        </is>
      </c>
      <c r="C164" s="137" t="inlineStr">
        <is>
          <t>COCOON</t>
        </is>
      </c>
      <c r="D164" s="147" t="inlineStr">
        <is>
          <t>하네스 7번</t>
        </is>
      </c>
      <c r="E164" s="13" t="inlineStr">
        <is>
          <t>12505HS-05 125mm POWER SWITCH BD 5핀</t>
        </is>
      </c>
      <c r="F164" s="100" t="n"/>
      <c r="G164" s="9" t="n"/>
      <c r="H164" s="9" t="inlineStr">
        <is>
          <t>HLP</t>
        </is>
      </c>
      <c r="I164" s="14" t="n"/>
      <c r="J164" s="14" t="n"/>
      <c r="K164" s="12" t="n">
        <v>506</v>
      </c>
      <c r="L164" s="9" t="n"/>
      <c r="M164" s="9" t="n"/>
      <c r="N164" s="9" t="n"/>
      <c r="O164" s="40">
        <f>K164+V164-AE164-AZ164</f>
        <v/>
      </c>
      <c r="P164" s="12" t="n"/>
      <c r="Q164" s="138" t="n"/>
      <c r="R164" s="16" t="n"/>
      <c r="S164" s="139" t="n"/>
      <c r="T164" s="16" t="n"/>
      <c r="U164" s="139" t="n"/>
      <c r="V164" s="16">
        <f>P164+R164+T164</f>
        <v/>
      </c>
      <c r="W164" s="16" t="n"/>
      <c r="X164" s="139" t="n"/>
      <c r="Y164" s="16" t="n"/>
      <c r="Z164" s="139" t="n"/>
      <c r="AA164" s="16" t="n"/>
      <c r="AB164" s="139" t="n"/>
      <c r="AC164" s="16" t="n"/>
      <c r="AD164" s="139" t="n"/>
      <c r="AE164" s="16">
        <f>(W164+Y164+AA164+AC164)</f>
        <v/>
      </c>
      <c r="AF164" s="16" t="n"/>
      <c r="AG164" s="138" t="n"/>
      <c r="AH164" s="16" t="n"/>
      <c r="AI164" s="138" t="n"/>
      <c r="AJ164" s="16" t="n"/>
      <c r="AK164" s="138" t="n"/>
      <c r="AL164" s="16" t="n"/>
      <c r="AM164" s="138" t="n"/>
      <c r="AN164" s="16" t="n"/>
      <c r="AO164" s="138" t="n"/>
      <c r="AP164" s="16" t="n"/>
      <c r="AQ164" s="138" t="n"/>
      <c r="AR164" s="16" t="n"/>
      <c r="AS164" s="138" t="n"/>
      <c r="AT164" s="16" t="n"/>
      <c r="AU164" s="138" t="n"/>
      <c r="AV164" s="16" t="n"/>
      <c r="AW164" s="138" t="n"/>
      <c r="AX164" s="16" t="n"/>
      <c r="AY164" s="138" t="n"/>
      <c r="AZ164" s="16">
        <f>AF164+AH164+AJ164+AL164+AN164+AP164+AR164+AT164+AV164+AX164</f>
        <v/>
      </c>
      <c r="BA164" s="16" t="n"/>
      <c r="BB164" s="139" t="n"/>
      <c r="BC164" s="16" t="n"/>
      <c r="BD164" s="139" t="n"/>
      <c r="BE164" s="16">
        <f>(BA164+BC164)</f>
        <v/>
      </c>
    </row>
    <row r="165" ht="22.5" customFormat="1" customHeight="1" s="8">
      <c r="A165" s="9" t="n"/>
      <c r="B165" s="136" t="inlineStr">
        <is>
          <t>CABLE</t>
        </is>
      </c>
      <c r="C165" s="137" t="inlineStr">
        <is>
          <t>COCOON</t>
        </is>
      </c>
      <c r="D165" s="148" t="inlineStr">
        <is>
          <t>하네스 11번</t>
        </is>
      </c>
      <c r="E165" s="13" t="inlineStr">
        <is>
          <t>YH396-02+SORDER 80mm CRADLE 신주 연결 2핀</t>
        </is>
      </c>
      <c r="F165" s="100" t="n"/>
      <c r="G165" s="9" t="n"/>
      <c r="H165" s="9" t="inlineStr">
        <is>
          <t>HLP</t>
        </is>
      </c>
      <c r="I165" s="14" t="n"/>
      <c r="J165" s="14" t="n"/>
      <c r="K165" s="12" t="n">
        <v>52</v>
      </c>
      <c r="L165" s="9" t="n"/>
      <c r="M165" s="9" t="n"/>
      <c r="N165" s="9" t="n"/>
      <c r="O165" s="40">
        <f>K165+V165-AE165-AZ165</f>
        <v/>
      </c>
      <c r="P165" s="12" t="n"/>
      <c r="Q165" s="138" t="n"/>
      <c r="R165" s="16" t="n"/>
      <c r="S165" s="139" t="n"/>
      <c r="T165" s="16" t="n"/>
      <c r="U165" s="139" t="n"/>
      <c r="V165" s="16">
        <f>P165+R165+T165</f>
        <v/>
      </c>
      <c r="W165" s="16" t="n"/>
      <c r="X165" s="139" t="n"/>
      <c r="Y165" s="16" t="n"/>
      <c r="Z165" s="139" t="n"/>
      <c r="AA165" s="16" t="n"/>
      <c r="AB165" s="139" t="n"/>
      <c r="AC165" s="16" t="n"/>
      <c r="AD165" s="139" t="n"/>
      <c r="AE165" s="16">
        <f>(W165+Y165+AA165+AC165)</f>
        <v/>
      </c>
      <c r="AF165" s="16" t="n"/>
      <c r="AG165" s="138" t="n"/>
      <c r="AH165" s="16" t="n"/>
      <c r="AI165" s="138" t="n"/>
      <c r="AJ165" s="16" t="n"/>
      <c r="AK165" s="138" t="n"/>
      <c r="AL165" s="16" t="n"/>
      <c r="AM165" s="138" t="n"/>
      <c r="AN165" s="16" t="n"/>
      <c r="AO165" s="138" t="n"/>
      <c r="AP165" s="16" t="n"/>
      <c r="AQ165" s="138" t="n"/>
      <c r="AR165" s="16" t="n"/>
      <c r="AS165" s="138" t="n"/>
      <c r="AT165" s="16" t="n"/>
      <c r="AU165" s="138" t="n"/>
      <c r="AV165" s="16" t="n"/>
      <c r="AW165" s="138" t="n"/>
      <c r="AX165" s="16" t="n"/>
      <c r="AY165" s="138" t="n"/>
      <c r="AZ165" s="16">
        <f>AF165+AH165+AJ165+AL165+AN165+AP165+AR165+AT165+AV165+AX165</f>
        <v/>
      </c>
      <c r="BA165" s="16" t="n"/>
      <c r="BB165" s="139" t="n"/>
      <c r="BC165" s="16" t="n"/>
      <c r="BD165" s="139" t="n"/>
      <c r="BE165" s="16">
        <f>(BA165+BC165)</f>
        <v/>
      </c>
    </row>
    <row r="166" ht="22.5" customFormat="1" customHeight="1" s="8">
      <c r="A166" s="9" t="n"/>
      <c r="B166" s="136" t="inlineStr">
        <is>
          <t>CABLE</t>
        </is>
      </c>
      <c r="C166" s="137" t="inlineStr">
        <is>
          <t>COCOON</t>
        </is>
      </c>
      <c r="D166" s="145" t="inlineStr">
        <is>
          <t>에이밍 하네스 1번</t>
        </is>
      </c>
      <c r="E166" s="13" t="inlineStr">
        <is>
          <t>YHM025-02R 210mm, CTR + POWER BD 2핀</t>
        </is>
      </c>
      <c r="F166" s="100" t="n"/>
      <c r="G166" s="9" t="n"/>
      <c r="H166" s="9" t="inlineStr">
        <is>
          <t>HLP</t>
        </is>
      </c>
      <c r="I166" s="14" t="n"/>
      <c r="J166" s="14" t="n"/>
      <c r="K166" s="12" t="n">
        <v>200</v>
      </c>
      <c r="L166" s="9" t="n"/>
      <c r="M166" s="9" t="n"/>
      <c r="N166" s="9" t="n"/>
      <c r="O166" s="40">
        <f>K166+V166-AE166-AZ166</f>
        <v/>
      </c>
      <c r="P166" s="12" t="n"/>
      <c r="Q166" s="138" t="n"/>
      <c r="R166" s="16" t="n"/>
      <c r="S166" s="139" t="n"/>
      <c r="T166" s="16" t="n"/>
      <c r="U166" s="139" t="n"/>
      <c r="V166" s="16">
        <f>P166+R166+T166</f>
        <v/>
      </c>
      <c r="W166" s="16" t="n"/>
      <c r="X166" s="139" t="n"/>
      <c r="Y166" s="16" t="n"/>
      <c r="Z166" s="139" t="n"/>
      <c r="AA166" s="16" t="n"/>
      <c r="AB166" s="139" t="n"/>
      <c r="AC166" s="16" t="n"/>
      <c r="AD166" s="139" t="n"/>
      <c r="AE166" s="16">
        <f>(W166+Y166+AA166+AC166)</f>
        <v/>
      </c>
      <c r="AF166" s="16" t="n"/>
      <c r="AG166" s="138" t="n"/>
      <c r="AH166" s="16" t="n"/>
      <c r="AI166" s="138" t="n"/>
      <c r="AJ166" s="16" t="n"/>
      <c r="AK166" s="138" t="n"/>
      <c r="AL166" s="16" t="n"/>
      <c r="AM166" s="138" t="n"/>
      <c r="AN166" s="16" t="n"/>
      <c r="AO166" s="138" t="n"/>
      <c r="AP166" s="16" t="n"/>
      <c r="AQ166" s="138" t="n"/>
      <c r="AR166" s="16" t="n"/>
      <c r="AS166" s="138" t="n"/>
      <c r="AT166" s="16" t="n"/>
      <c r="AU166" s="138" t="n"/>
      <c r="AV166" s="16" t="n"/>
      <c r="AW166" s="138" t="n"/>
      <c r="AX166" s="16" t="n"/>
      <c r="AY166" s="138" t="n"/>
      <c r="AZ166" s="16">
        <f>AF166+AH166+AJ166+AL166+AN166+AP166+AR166+AT166+AV166+AX166</f>
        <v/>
      </c>
      <c r="BA166" s="16" t="n"/>
      <c r="BB166" s="139" t="n"/>
      <c r="BC166" s="16" t="n"/>
      <c r="BD166" s="139" t="n"/>
      <c r="BE166" s="16">
        <f>(BA166+BC166)</f>
        <v/>
      </c>
    </row>
    <row r="167" ht="22.5" customFormat="1" customHeight="1" s="8">
      <c r="A167" s="9" t="n"/>
      <c r="B167" s="136" t="inlineStr">
        <is>
          <t>CABLE</t>
        </is>
      </c>
      <c r="C167" s="137" t="inlineStr">
        <is>
          <t>COCOON</t>
        </is>
      </c>
      <c r="D167" s="145" t="inlineStr">
        <is>
          <t>에이밍 하네스 2번</t>
        </is>
      </c>
      <c r="E167" s="13" t="inlineStr">
        <is>
          <t>YHM025-02R 180mm, LED BD 2핀, 19+83(사출결합)</t>
        </is>
      </c>
      <c r="F167" s="100" t="n"/>
      <c r="G167" s="9" t="n"/>
      <c r="H167" s="9" t="inlineStr">
        <is>
          <t>HLP</t>
        </is>
      </c>
      <c r="I167" s="14" t="n"/>
      <c r="J167" s="14" t="n"/>
      <c r="K167" s="12" t="n">
        <v>278</v>
      </c>
      <c r="L167" s="9" t="n"/>
      <c r="M167" s="9" t="n"/>
      <c r="N167" s="9" t="n"/>
      <c r="O167" s="40">
        <f>K167+V167-AE167-AZ167</f>
        <v/>
      </c>
      <c r="P167" s="12" t="n"/>
      <c r="Q167" s="138" t="n"/>
      <c r="R167" s="16" t="n"/>
      <c r="S167" s="139" t="n"/>
      <c r="T167" s="16" t="n"/>
      <c r="U167" s="139" t="n"/>
      <c r="V167" s="16">
        <f>P167+R167+T167</f>
        <v/>
      </c>
      <c r="W167" s="16" t="n"/>
      <c r="X167" s="139" t="n"/>
      <c r="Y167" s="16" t="n"/>
      <c r="Z167" s="139" t="n"/>
      <c r="AA167" s="16" t="n"/>
      <c r="AB167" s="139" t="n"/>
      <c r="AC167" s="16" t="n"/>
      <c r="AD167" s="139" t="n"/>
      <c r="AE167" s="16">
        <f>(W167+Y167+AA167+AC167)</f>
        <v/>
      </c>
      <c r="AF167" s="16" t="n"/>
      <c r="AG167" s="138" t="n"/>
      <c r="AH167" s="16" t="n"/>
      <c r="AI167" s="138" t="n"/>
      <c r="AJ167" s="16" t="n"/>
      <c r="AK167" s="138" t="n"/>
      <c r="AL167" s="16" t="n"/>
      <c r="AM167" s="138" t="n"/>
      <c r="AN167" s="16" t="n"/>
      <c r="AO167" s="138" t="n"/>
      <c r="AP167" s="16" t="n"/>
      <c r="AQ167" s="138" t="n"/>
      <c r="AR167" s="16" t="n"/>
      <c r="AS167" s="138" t="n"/>
      <c r="AT167" s="16" t="n"/>
      <c r="AU167" s="138" t="n"/>
      <c r="AV167" s="16" t="n"/>
      <c r="AW167" s="138" t="n"/>
      <c r="AX167" s="16" t="n"/>
      <c r="AY167" s="138" t="n"/>
      <c r="AZ167" s="16">
        <f>AF167+AH167+AJ167+AL167+AN167+AP167+AR167+AT167+AV167+AX167</f>
        <v/>
      </c>
      <c r="BA167" s="16" t="n"/>
      <c r="BB167" s="139" t="n"/>
      <c r="BC167" s="16" t="n"/>
      <c r="BD167" s="139" t="n"/>
      <c r="BE167" s="16">
        <f>(BA167+BC167)</f>
        <v/>
      </c>
    </row>
    <row r="168" ht="22.5" customFormat="1" customHeight="1" s="8">
      <c r="A168" s="9" t="n"/>
      <c r="B168" s="136" t="inlineStr">
        <is>
          <t>PANEL</t>
        </is>
      </c>
      <c r="C168" s="137" t="inlineStr">
        <is>
          <t>COCOON</t>
        </is>
      </c>
      <c r="D168" s="143" t="inlineStr">
        <is>
          <t>OLED PANEL</t>
        </is>
      </c>
      <c r="E168" s="13" t="inlineStr">
        <is>
          <t>UG-5664ASWEF01</t>
        </is>
      </c>
      <c r="F168" s="100" t="n"/>
      <c r="G168" s="9" t="n"/>
      <c r="H168" s="9" t="inlineStr">
        <is>
          <t>HLP</t>
        </is>
      </c>
      <c r="I168" s="14" t="n"/>
      <c r="J168" s="14" t="n"/>
      <c r="K168" s="12" t="n">
        <v>504</v>
      </c>
      <c r="L168" s="9" t="n"/>
      <c r="M168" s="9" t="n"/>
      <c r="N168" s="9" t="n"/>
      <c r="O168" s="40">
        <f>K168+V168-AE168-AZ168</f>
        <v/>
      </c>
      <c r="P168" s="12" t="n"/>
      <c r="Q168" s="138" t="n"/>
      <c r="R168" s="16" t="n"/>
      <c r="S168" s="139" t="n"/>
      <c r="T168" s="16" t="n"/>
      <c r="U168" s="139" t="n"/>
      <c r="V168" s="16">
        <f>P168+R168+T168</f>
        <v/>
      </c>
      <c r="W168" s="16" t="n"/>
      <c r="X168" s="139" t="n"/>
      <c r="Y168" s="16" t="n"/>
      <c r="Z168" s="139" t="n"/>
      <c r="AA168" s="16" t="n"/>
      <c r="AB168" s="139" t="n"/>
      <c r="AC168" s="16" t="n"/>
      <c r="AD168" s="139" t="n"/>
      <c r="AE168" s="16">
        <f>(W168+Y168+AA168+AC168)</f>
        <v/>
      </c>
      <c r="AF168" s="16" t="n"/>
      <c r="AG168" s="138" t="n"/>
      <c r="AH168" s="16" t="n"/>
      <c r="AI168" s="138" t="n"/>
      <c r="AJ168" s="16" t="n"/>
      <c r="AK168" s="138" t="n"/>
      <c r="AL168" s="16" t="n"/>
      <c r="AM168" s="138" t="n"/>
      <c r="AN168" s="16" t="n"/>
      <c r="AO168" s="138" t="n"/>
      <c r="AP168" s="16" t="n"/>
      <c r="AQ168" s="138" t="n"/>
      <c r="AR168" s="16" t="n"/>
      <c r="AS168" s="138" t="n"/>
      <c r="AT168" s="16" t="n"/>
      <c r="AU168" s="138" t="n"/>
      <c r="AV168" s="16" t="n"/>
      <c r="AW168" s="138" t="n"/>
      <c r="AX168" s="16" t="n"/>
      <c r="AY168" s="138" t="n"/>
      <c r="AZ168" s="16">
        <f>AF168+AH168+AJ168+AL168+AN168+AP168+AR168+AT168+AV168+AX168</f>
        <v/>
      </c>
      <c r="BA168" s="16" t="n"/>
      <c r="BB168" s="139" t="n"/>
      <c r="BC168" s="16" t="n"/>
      <c r="BD168" s="139" t="n"/>
      <c r="BE168" s="16">
        <f>(BA168+BC168)</f>
        <v/>
      </c>
    </row>
    <row r="169" ht="22.5" customFormat="1" customHeight="1" s="8">
      <c r="A169" s="9" t="n"/>
      <c r="B169" s="136" t="inlineStr">
        <is>
          <t>ABS 난연</t>
        </is>
      </c>
      <c r="C169" s="137" t="inlineStr">
        <is>
          <t>COCOON</t>
        </is>
      </c>
      <c r="D169" s="143" t="inlineStr">
        <is>
          <t>TOP BODY</t>
        </is>
      </c>
      <c r="E169" s="13" t="inlineStr">
        <is>
          <t>메탈 실버 유광</t>
        </is>
      </c>
      <c r="F169" s="100" t="n"/>
      <c r="G169" s="9" t="n"/>
      <c r="H169" s="9" t="inlineStr">
        <is>
          <t>천우</t>
        </is>
      </c>
      <c r="I169" s="14" t="n"/>
      <c r="J169" s="14" t="n"/>
      <c r="K169" s="12" t="n">
        <v>304</v>
      </c>
      <c r="L169" s="9" t="n"/>
      <c r="M169" s="9" t="n"/>
      <c r="N169" s="9" t="n"/>
      <c r="O169" s="40">
        <f>K169+V169-AE169-AZ169</f>
        <v/>
      </c>
      <c r="P169" s="12" t="n"/>
      <c r="Q169" s="138" t="n"/>
      <c r="R169" s="16" t="n"/>
      <c r="S169" s="139" t="n"/>
      <c r="T169" s="16" t="n"/>
      <c r="U169" s="139" t="n"/>
      <c r="V169" s="16">
        <f>P169+R169+T169</f>
        <v/>
      </c>
      <c r="W169" s="16" t="n"/>
      <c r="X169" s="139" t="n"/>
      <c r="Y169" s="16" t="n"/>
      <c r="Z169" s="139" t="n"/>
      <c r="AA169" s="16" t="n"/>
      <c r="AB169" s="139" t="n"/>
      <c r="AC169" s="16" t="n"/>
      <c r="AD169" s="139" t="n"/>
      <c r="AE169" s="16">
        <f>(W169+Y169+AA169+AC169)</f>
        <v/>
      </c>
      <c r="AF169" s="16" t="n"/>
      <c r="AG169" s="138" t="n"/>
      <c r="AH169" s="16" t="n"/>
      <c r="AI169" s="138" t="n"/>
      <c r="AJ169" s="16" t="n"/>
      <c r="AK169" s="138" t="n"/>
      <c r="AL169" s="16" t="n"/>
      <c r="AM169" s="138" t="n"/>
      <c r="AN169" s="16" t="n"/>
      <c r="AO169" s="138" t="n"/>
      <c r="AP169" s="16" t="n"/>
      <c r="AQ169" s="138" t="n"/>
      <c r="AR169" s="16" t="n"/>
      <c r="AS169" s="138" t="n"/>
      <c r="AT169" s="16" t="n"/>
      <c r="AU169" s="138" t="n"/>
      <c r="AV169" s="16" t="n"/>
      <c r="AW169" s="138" t="n"/>
      <c r="AX169" s="16" t="n"/>
      <c r="AY169" s="138" t="n"/>
      <c r="AZ169" s="16">
        <f>AF169+AH169+AJ169+AL169+AN169+AP169+AR169+AT169+AV169+AX169</f>
        <v/>
      </c>
      <c r="BA169" s="16" t="n"/>
      <c r="BB169" s="139" t="n"/>
      <c r="BC169" s="16" t="n"/>
      <c r="BD169" s="139" t="n"/>
      <c r="BE169" s="16">
        <f>(BA169+BC169)</f>
        <v/>
      </c>
    </row>
    <row r="170" ht="22.5" customFormat="1" customHeight="1" s="8">
      <c r="A170" s="9" t="n"/>
      <c r="B170" s="136" t="inlineStr">
        <is>
          <t>ABS 난연</t>
        </is>
      </c>
      <c r="C170" s="137" t="inlineStr">
        <is>
          <t>COCOON</t>
        </is>
      </c>
      <c r="D170" s="143" t="inlineStr">
        <is>
          <t>TOP BODY</t>
        </is>
      </c>
      <c r="E170" s="13" t="inlineStr">
        <is>
          <t>화이트 유광</t>
        </is>
      </c>
      <c r="F170" s="100" t="n"/>
      <c r="G170" s="9" t="n"/>
      <c r="H170" s="9" t="inlineStr">
        <is>
          <t>천우</t>
        </is>
      </c>
      <c r="I170" s="14" t="n"/>
      <c r="J170" s="14" t="n"/>
      <c r="K170" s="12" t="n">
        <v>101</v>
      </c>
      <c r="L170" s="9" t="n"/>
      <c r="M170" s="9" t="n"/>
      <c r="N170" s="9" t="n"/>
      <c r="O170" s="40">
        <f>K170+V170-AE170-AZ170</f>
        <v/>
      </c>
      <c r="P170" s="12" t="n"/>
      <c r="Q170" s="138" t="n"/>
      <c r="R170" s="16" t="n"/>
      <c r="S170" s="139" t="n"/>
      <c r="T170" s="16" t="n"/>
      <c r="U170" s="139" t="n"/>
      <c r="V170" s="16">
        <f>P170+R170+T170</f>
        <v/>
      </c>
      <c r="W170" s="16" t="n"/>
      <c r="X170" s="139" t="n"/>
      <c r="Y170" s="16" t="n"/>
      <c r="Z170" s="139" t="n"/>
      <c r="AA170" s="16" t="n"/>
      <c r="AB170" s="139" t="n"/>
      <c r="AC170" s="16" t="n"/>
      <c r="AD170" s="139" t="n"/>
      <c r="AE170" s="16">
        <f>(W170+Y170+AA170+AC170)</f>
        <v/>
      </c>
      <c r="AF170" s="16" t="n"/>
      <c r="AG170" s="138" t="n"/>
      <c r="AH170" s="16" t="n"/>
      <c r="AI170" s="138" t="n"/>
      <c r="AJ170" s="16" t="n"/>
      <c r="AK170" s="138" t="n"/>
      <c r="AL170" s="16" t="n"/>
      <c r="AM170" s="138" t="n"/>
      <c r="AN170" s="16" t="n"/>
      <c r="AO170" s="138" t="n"/>
      <c r="AP170" s="16" t="n"/>
      <c r="AQ170" s="138" t="n"/>
      <c r="AR170" s="16" t="n"/>
      <c r="AS170" s="138" t="n"/>
      <c r="AT170" s="16" t="n"/>
      <c r="AU170" s="138" t="n"/>
      <c r="AV170" s="16" t="n"/>
      <c r="AW170" s="138" t="n"/>
      <c r="AX170" s="16" t="n"/>
      <c r="AY170" s="138" t="n"/>
      <c r="AZ170" s="16" t="n"/>
      <c r="BA170" s="16" t="n"/>
      <c r="BB170" s="139" t="n"/>
      <c r="BC170" s="16" t="n"/>
      <c r="BD170" s="139" t="n"/>
      <c r="BE170" s="16" t="n"/>
    </row>
    <row r="171" ht="22.5" customFormat="1" customHeight="1" s="8">
      <c r="A171" s="9" t="n"/>
      <c r="B171" s="136" t="inlineStr">
        <is>
          <t>ABS 난연</t>
        </is>
      </c>
      <c r="C171" s="137" t="inlineStr">
        <is>
          <t>COCOON</t>
        </is>
      </c>
      <c r="D171" s="143" t="inlineStr">
        <is>
          <t>BOTTOM BODY</t>
        </is>
      </c>
      <c r="E171" s="13" t="inlineStr">
        <is>
          <t>블랙 유광</t>
        </is>
      </c>
      <c r="F171" s="100" t="n"/>
      <c r="G171" s="9" t="n"/>
      <c r="H171" s="9" t="inlineStr">
        <is>
          <t>천우</t>
        </is>
      </c>
      <c r="I171" s="14" t="n"/>
      <c r="J171" s="14" t="n"/>
      <c r="K171" s="12" t="n">
        <v>443</v>
      </c>
      <c r="L171" s="9" t="n"/>
      <c r="M171" s="9" t="n"/>
      <c r="N171" s="9" t="n"/>
      <c r="O171" s="40">
        <f>K171+V171-AE171-AZ171</f>
        <v/>
      </c>
      <c r="P171" s="12" t="n"/>
      <c r="Q171" s="138" t="n"/>
      <c r="R171" s="16" t="n"/>
      <c r="S171" s="139" t="n"/>
      <c r="T171" s="16" t="n"/>
      <c r="U171" s="139" t="n"/>
      <c r="V171" s="16">
        <f>P171+R171+T171</f>
        <v/>
      </c>
      <c r="W171" s="16" t="n"/>
      <c r="X171" s="139" t="n"/>
      <c r="Y171" s="16" t="n"/>
      <c r="Z171" s="139" t="n"/>
      <c r="AA171" s="16" t="n"/>
      <c r="AB171" s="139" t="n"/>
      <c r="AC171" s="16" t="n"/>
      <c r="AD171" s="139" t="n"/>
      <c r="AE171" s="16">
        <f>(W171+Y171+AA171+AC171)</f>
        <v/>
      </c>
      <c r="AF171" s="16" t="n"/>
      <c r="AG171" s="138" t="n"/>
      <c r="AH171" s="16" t="n"/>
      <c r="AI171" s="138" t="n"/>
      <c r="AJ171" s="16" t="n"/>
      <c r="AK171" s="138" t="n"/>
      <c r="AL171" s="16" t="n"/>
      <c r="AM171" s="138" t="n"/>
      <c r="AN171" s="16" t="n"/>
      <c r="AO171" s="138" t="n"/>
      <c r="AP171" s="16" t="n"/>
      <c r="AQ171" s="138" t="n"/>
      <c r="AR171" s="16" t="n"/>
      <c r="AS171" s="138" t="n"/>
      <c r="AT171" s="16" t="n"/>
      <c r="AU171" s="138" t="n"/>
      <c r="AV171" s="16" t="n"/>
      <c r="AW171" s="138" t="n"/>
      <c r="AX171" s="16" t="n"/>
      <c r="AY171" s="138" t="n"/>
      <c r="AZ171" s="16">
        <f>AF171+AH171+AJ171+AL171+AN171+AP171+AR171+AT171+AV171+AX171</f>
        <v/>
      </c>
      <c r="BA171" s="16" t="n"/>
      <c r="BB171" s="139" t="n"/>
      <c r="BC171" s="16" t="n"/>
      <c r="BD171" s="139" t="n"/>
      <c r="BE171" s="16">
        <f>(BA171+BC171)</f>
        <v/>
      </c>
    </row>
    <row r="172" ht="22.5" customFormat="1" customHeight="1" s="8">
      <c r="A172" s="9" t="n"/>
      <c r="B172" s="136" t="inlineStr">
        <is>
          <t>ABS 난연</t>
        </is>
      </c>
      <c r="C172" s="137" t="inlineStr">
        <is>
          <t>COCOON</t>
        </is>
      </c>
      <c r="D172" s="143" t="inlineStr">
        <is>
          <t>BOTTOM BODY</t>
        </is>
      </c>
      <c r="E172" s="13" t="inlineStr">
        <is>
          <t>화이트 유광</t>
        </is>
      </c>
      <c r="F172" s="100" t="n"/>
      <c r="G172" s="9" t="n"/>
      <c r="H172" s="9" t="inlineStr">
        <is>
          <t>천우</t>
        </is>
      </c>
      <c r="I172" s="14" t="n"/>
      <c r="J172" s="14" t="n"/>
      <c r="K172" s="12" t="n">
        <v>96</v>
      </c>
      <c r="L172" s="9" t="n"/>
      <c r="M172" s="9" t="n"/>
      <c r="N172" s="9" t="n"/>
      <c r="O172" s="40">
        <f>K172+V172-AE172-AZ172</f>
        <v/>
      </c>
      <c r="P172" s="12" t="n"/>
      <c r="Q172" s="138" t="n"/>
      <c r="R172" s="16" t="n"/>
      <c r="S172" s="139" t="n"/>
      <c r="T172" s="16" t="n"/>
      <c r="U172" s="139" t="n"/>
      <c r="V172" s="16">
        <f>P172+R172+T172</f>
        <v/>
      </c>
      <c r="W172" s="16" t="n"/>
      <c r="X172" s="139" t="n"/>
      <c r="Y172" s="16" t="n"/>
      <c r="Z172" s="139" t="n"/>
      <c r="AA172" s="16" t="n"/>
      <c r="AB172" s="139" t="n"/>
      <c r="AC172" s="16" t="n"/>
      <c r="AD172" s="139" t="n"/>
      <c r="AE172" s="16">
        <f>(W172+Y172+AA172+AC172)</f>
        <v/>
      </c>
      <c r="AF172" s="16" t="n"/>
      <c r="AG172" s="138" t="n"/>
      <c r="AH172" s="16" t="n"/>
      <c r="AI172" s="138" t="n"/>
      <c r="AJ172" s="16" t="n"/>
      <c r="AK172" s="138" t="n"/>
      <c r="AL172" s="16" t="n"/>
      <c r="AM172" s="138" t="n"/>
      <c r="AN172" s="16" t="n"/>
      <c r="AO172" s="138" t="n"/>
      <c r="AP172" s="16" t="n"/>
      <c r="AQ172" s="138" t="n"/>
      <c r="AR172" s="16" t="n"/>
      <c r="AS172" s="138" t="n"/>
      <c r="AT172" s="16" t="n"/>
      <c r="AU172" s="138" t="n"/>
      <c r="AV172" s="16" t="n"/>
      <c r="AW172" s="138" t="n"/>
      <c r="AX172" s="16" t="n"/>
      <c r="AY172" s="138" t="n"/>
      <c r="AZ172" s="16" t="n"/>
      <c r="BA172" s="16" t="n"/>
      <c r="BB172" s="139" t="n"/>
      <c r="BC172" s="16" t="n"/>
      <c r="BD172" s="139" t="n"/>
      <c r="BE172" s="16" t="n"/>
    </row>
    <row r="173" ht="22.5" customFormat="1" customHeight="1" s="8">
      <c r="A173" s="9" t="n"/>
      <c r="B173" s="136" t="inlineStr">
        <is>
          <t>ABS 난연</t>
        </is>
      </c>
      <c r="C173" s="137" t="inlineStr">
        <is>
          <t>COCOON</t>
        </is>
      </c>
      <c r="D173" s="144" t="inlineStr">
        <is>
          <t>OLED GUIDE</t>
        </is>
      </c>
      <c r="E173" s="13" t="inlineStr">
        <is>
          <t>ABS 난연 화이트</t>
        </is>
      </c>
      <c r="F173" s="100" t="n"/>
      <c r="G173" s="9" t="n"/>
      <c r="H173" s="9" t="inlineStr">
        <is>
          <t>천우</t>
        </is>
      </c>
      <c r="I173" s="14" t="n"/>
      <c r="J173" s="14" t="n"/>
      <c r="K173" s="12" t="n">
        <v>500</v>
      </c>
      <c r="L173" s="9" t="n"/>
      <c r="M173" s="9" t="n"/>
      <c r="N173" s="9" t="n"/>
      <c r="O173" s="40">
        <f>K173+V173-AE173-AZ173</f>
        <v/>
      </c>
      <c r="P173" s="12" t="n"/>
      <c r="Q173" s="138" t="n"/>
      <c r="R173" s="16" t="n"/>
      <c r="S173" s="139" t="n"/>
      <c r="T173" s="16" t="n"/>
      <c r="U173" s="139" t="n"/>
      <c r="V173" s="16">
        <f>P173+R173+T173</f>
        <v/>
      </c>
      <c r="W173" s="16" t="n"/>
      <c r="X173" s="139" t="n"/>
      <c r="Y173" s="16" t="n"/>
      <c r="Z173" s="139" t="n"/>
      <c r="AA173" s="16" t="n"/>
      <c r="AB173" s="139" t="n"/>
      <c r="AC173" s="16" t="n"/>
      <c r="AD173" s="139" t="n"/>
      <c r="AE173" s="16">
        <f>(W173+Y173+AA173+AC173)</f>
        <v/>
      </c>
      <c r="AF173" s="16" t="n"/>
      <c r="AG173" s="138" t="n"/>
      <c r="AH173" s="16" t="n"/>
      <c r="AI173" s="138" t="n"/>
      <c r="AJ173" s="16" t="n"/>
      <c r="AK173" s="138" t="n"/>
      <c r="AL173" s="16" t="n"/>
      <c r="AM173" s="138" t="n"/>
      <c r="AN173" s="16" t="n"/>
      <c r="AO173" s="138" t="n"/>
      <c r="AP173" s="16" t="n"/>
      <c r="AQ173" s="138" t="n"/>
      <c r="AR173" s="16" t="n"/>
      <c r="AS173" s="138" t="n"/>
      <c r="AT173" s="16" t="n"/>
      <c r="AU173" s="138" t="n"/>
      <c r="AV173" s="16" t="n"/>
      <c r="AW173" s="138" t="n"/>
      <c r="AX173" s="16" t="n"/>
      <c r="AY173" s="138" t="n"/>
      <c r="AZ173" s="16">
        <f>AF173+AH173+AJ173+AL173+AN173+AP173+AR173+AT173+AV173+AX173</f>
        <v/>
      </c>
      <c r="BA173" s="16" t="n"/>
      <c r="BB173" s="139" t="n"/>
      <c r="BC173" s="16" t="n"/>
      <c r="BD173" s="139" t="n"/>
      <c r="BE173" s="16">
        <f>(BA173+BC173)</f>
        <v/>
      </c>
    </row>
    <row r="174" ht="22.5" customFormat="1" customHeight="1" s="8">
      <c r="A174" s="9" t="n"/>
      <c r="B174" s="136" t="inlineStr">
        <is>
          <t>ABS 난연</t>
        </is>
      </c>
      <c r="C174" s="137" t="inlineStr">
        <is>
          <t>COCOON</t>
        </is>
      </c>
      <c r="D174" s="143" t="inlineStr">
        <is>
          <t>POWER BUTTON</t>
        </is>
      </c>
      <c r="E174" s="13" t="inlineStr">
        <is>
          <t>메탈 실버 유광</t>
        </is>
      </c>
      <c r="F174" s="100" t="n"/>
      <c r="G174" s="9" t="n"/>
      <c r="H174" s="9" t="inlineStr">
        <is>
          <t>천우</t>
        </is>
      </c>
      <c r="I174" s="14" t="n"/>
      <c r="J174" s="14" t="n"/>
      <c r="K174" s="12" t="n">
        <v>274</v>
      </c>
      <c r="L174" s="9" t="n"/>
      <c r="M174" s="9" t="n"/>
      <c r="N174" s="9" t="n"/>
      <c r="O174" s="40">
        <f>K174+V174-AE174-AZ174</f>
        <v/>
      </c>
      <c r="P174" s="12" t="n"/>
      <c r="Q174" s="138" t="n"/>
      <c r="R174" s="16" t="n"/>
      <c r="S174" s="139" t="n"/>
      <c r="T174" s="16" t="n"/>
      <c r="U174" s="139" t="n"/>
      <c r="V174" s="16">
        <f>P174+R174+T174</f>
        <v/>
      </c>
      <c r="W174" s="16" t="n"/>
      <c r="X174" s="139" t="n"/>
      <c r="Y174" s="16" t="n"/>
      <c r="Z174" s="139" t="n"/>
      <c r="AA174" s="16" t="n"/>
      <c r="AB174" s="139" t="n"/>
      <c r="AC174" s="16" t="n"/>
      <c r="AD174" s="139" t="n"/>
      <c r="AE174" s="16">
        <f>(W174+Y174+AA174+AC174)</f>
        <v/>
      </c>
      <c r="AF174" s="16" t="n"/>
      <c r="AG174" s="138" t="n"/>
      <c r="AH174" s="16" t="n"/>
      <c r="AI174" s="138" t="n"/>
      <c r="AJ174" s="16" t="n"/>
      <c r="AK174" s="138" t="n"/>
      <c r="AL174" s="16" t="n"/>
      <c r="AM174" s="138" t="n"/>
      <c r="AN174" s="16" t="n"/>
      <c r="AO174" s="138" t="n"/>
      <c r="AP174" s="16" t="n"/>
      <c r="AQ174" s="138" t="n"/>
      <c r="AR174" s="16" t="n"/>
      <c r="AS174" s="138" t="n"/>
      <c r="AT174" s="16" t="n"/>
      <c r="AU174" s="138" t="n"/>
      <c r="AV174" s="16" t="n"/>
      <c r="AW174" s="138" t="n"/>
      <c r="AX174" s="16" t="n"/>
      <c r="AY174" s="138" t="n"/>
      <c r="AZ174" s="16">
        <f>AF174+AH174+AJ174+AL174+AN174+AP174+AR174+AT174+AV174+AX174</f>
        <v/>
      </c>
      <c r="BA174" s="16" t="n"/>
      <c r="BB174" s="139" t="n"/>
      <c r="BC174" s="16" t="n"/>
      <c r="BD174" s="139" t="n"/>
      <c r="BE174" s="16">
        <f>(BA174+BC174)</f>
        <v/>
      </c>
    </row>
    <row r="175" ht="22.5" customFormat="1" customHeight="1" s="8">
      <c r="A175" s="9" t="n"/>
      <c r="B175" s="136" t="inlineStr">
        <is>
          <t>ABS 난연</t>
        </is>
      </c>
      <c r="C175" s="137" t="inlineStr">
        <is>
          <t>COCOON</t>
        </is>
      </c>
      <c r="D175" s="144" t="inlineStr">
        <is>
          <t>BUTTON INDICATOR</t>
        </is>
      </c>
      <c r="E175" s="13" t="inlineStr">
        <is>
          <t>ABS 난연 화이트</t>
        </is>
      </c>
      <c r="F175" s="100" t="n"/>
      <c r="G175" s="9" t="n"/>
      <c r="H175" s="9" t="inlineStr">
        <is>
          <t>천우</t>
        </is>
      </c>
      <c r="I175" s="14" t="n"/>
      <c r="J175" s="14" t="n"/>
      <c r="K175" s="12" t="n">
        <v>313</v>
      </c>
      <c r="L175" s="9" t="n"/>
      <c r="M175" s="9" t="n"/>
      <c r="N175" s="9" t="n"/>
      <c r="O175" s="40">
        <f>K175+V175-AE175-AZ175</f>
        <v/>
      </c>
      <c r="P175" s="12" t="n"/>
      <c r="Q175" s="138" t="n"/>
      <c r="R175" s="16" t="n"/>
      <c r="S175" s="139" t="n"/>
      <c r="T175" s="16" t="n"/>
      <c r="U175" s="139" t="n"/>
      <c r="V175" s="16">
        <f>P175+R175+T175</f>
        <v/>
      </c>
      <c r="W175" s="16" t="n"/>
      <c r="X175" s="139" t="n"/>
      <c r="Y175" s="16" t="n"/>
      <c r="Z175" s="139" t="n"/>
      <c r="AA175" s="16" t="n"/>
      <c r="AB175" s="139" t="n"/>
      <c r="AC175" s="16" t="n"/>
      <c r="AD175" s="139" t="n"/>
      <c r="AE175" s="16">
        <f>(W175+Y175+AA175+AC175)</f>
        <v/>
      </c>
      <c r="AF175" s="16" t="n"/>
      <c r="AG175" s="138" t="n"/>
      <c r="AH175" s="16" t="n"/>
      <c r="AI175" s="138" t="n"/>
      <c r="AJ175" s="16" t="n"/>
      <c r="AK175" s="138" t="n"/>
      <c r="AL175" s="16" t="n"/>
      <c r="AM175" s="138" t="n"/>
      <c r="AN175" s="16" t="n"/>
      <c r="AO175" s="138" t="n"/>
      <c r="AP175" s="16" t="n"/>
      <c r="AQ175" s="138" t="n"/>
      <c r="AR175" s="16" t="n"/>
      <c r="AS175" s="138" t="n"/>
      <c r="AT175" s="16" t="n"/>
      <c r="AU175" s="138" t="n"/>
      <c r="AV175" s="16" t="n"/>
      <c r="AW175" s="138" t="n"/>
      <c r="AX175" s="16" t="n"/>
      <c r="AY175" s="138" t="n"/>
      <c r="AZ175" s="16">
        <f>AF175+AH175+AJ175+AL175+AN175+AP175+AR175+AT175+AV175+AX175</f>
        <v/>
      </c>
      <c r="BA175" s="16" t="n"/>
      <c r="BB175" s="139" t="n"/>
      <c r="BC175" s="16" t="n"/>
      <c r="BD175" s="139" t="n"/>
      <c r="BE175" s="16">
        <f>(BA175+BC175)</f>
        <v/>
      </c>
    </row>
    <row r="176" ht="22.5" customFormat="1" customHeight="1" s="8">
      <c r="A176" s="9" t="n"/>
      <c r="B176" s="136" t="inlineStr">
        <is>
          <t>ABS 난연</t>
        </is>
      </c>
      <c r="C176" s="137" t="inlineStr">
        <is>
          <t>COCOON</t>
        </is>
      </c>
      <c r="D176" s="143" t="inlineStr">
        <is>
          <t>TOUCH DUMMY</t>
        </is>
      </c>
      <c r="E176" s="13" t="inlineStr">
        <is>
          <t>확산 아크릴</t>
        </is>
      </c>
      <c r="F176" s="100" t="n"/>
      <c r="G176" s="9" t="n"/>
      <c r="H176" s="9" t="inlineStr">
        <is>
          <t>천우</t>
        </is>
      </c>
      <c r="I176" s="14" t="n"/>
      <c r="J176" s="14" t="n"/>
      <c r="K176" s="12" t="n">
        <v>260</v>
      </c>
      <c r="L176" s="9" t="n"/>
      <c r="M176" s="9" t="n"/>
      <c r="N176" s="9" t="n"/>
      <c r="O176" s="40">
        <f>K176+V176-AE176-AZ176</f>
        <v/>
      </c>
      <c r="P176" s="12" t="n"/>
      <c r="Q176" s="138" t="n"/>
      <c r="R176" s="16" t="n"/>
      <c r="S176" s="139" t="n"/>
      <c r="T176" s="16" t="n"/>
      <c r="U176" s="139" t="n"/>
      <c r="V176" s="16">
        <f>P176+R176+T176</f>
        <v/>
      </c>
      <c r="W176" s="16" t="n"/>
      <c r="X176" s="139" t="n"/>
      <c r="Y176" s="16" t="n"/>
      <c r="Z176" s="139" t="n"/>
      <c r="AA176" s="16" t="n"/>
      <c r="AB176" s="139" t="n"/>
      <c r="AC176" s="16" t="n"/>
      <c r="AD176" s="139" t="n"/>
      <c r="AE176" s="16">
        <f>(W176+Y176+AA176+AC176)</f>
        <v/>
      </c>
      <c r="AF176" s="16" t="n"/>
      <c r="AG176" s="138" t="n"/>
      <c r="AH176" s="16" t="n"/>
      <c r="AI176" s="138" t="n"/>
      <c r="AJ176" s="16" t="n"/>
      <c r="AK176" s="138" t="n"/>
      <c r="AL176" s="16" t="n"/>
      <c r="AM176" s="138" t="n"/>
      <c r="AN176" s="16" t="n"/>
      <c r="AO176" s="138" t="n"/>
      <c r="AP176" s="16" t="n"/>
      <c r="AQ176" s="138" t="n"/>
      <c r="AR176" s="16" t="n"/>
      <c r="AS176" s="138" t="n"/>
      <c r="AT176" s="16" t="n"/>
      <c r="AU176" s="138" t="n"/>
      <c r="AV176" s="16" t="n"/>
      <c r="AW176" s="138" t="n"/>
      <c r="AX176" s="16" t="n"/>
      <c r="AY176" s="138" t="n"/>
      <c r="AZ176" s="16">
        <f>AF176+AH176+AJ176+AL176+AN176+AP176+AR176+AT176+AV176+AX176</f>
        <v/>
      </c>
      <c r="BA176" s="16" t="n"/>
      <c r="BB176" s="139" t="n"/>
      <c r="BC176" s="16" t="n"/>
      <c r="BD176" s="139" t="n"/>
      <c r="BE176" s="16">
        <f>(BA176+BC176)</f>
        <v/>
      </c>
    </row>
    <row r="177" ht="22.5" customFormat="1" customHeight="1" s="8">
      <c r="A177" s="9" t="n"/>
      <c r="B177" s="136" t="inlineStr">
        <is>
          <t>ABS 난연</t>
        </is>
      </c>
      <c r="C177" s="137" t="inlineStr">
        <is>
          <t>COCOON</t>
        </is>
      </c>
      <c r="D177" s="144" t="inlineStr">
        <is>
          <t>LOCK KNOB</t>
        </is>
      </c>
      <c r="E177" s="13" t="inlineStr">
        <is>
          <t>메탈 실버 유광</t>
        </is>
      </c>
      <c r="F177" s="100" t="n"/>
      <c r="G177" s="9" t="n"/>
      <c r="H177" s="9" t="inlineStr">
        <is>
          <t>천우</t>
        </is>
      </c>
      <c r="I177" s="14" t="n"/>
      <c r="J177" s="14" t="n"/>
      <c r="K177" s="12" t="n">
        <v>500</v>
      </c>
      <c r="L177" s="9" t="n"/>
      <c r="M177" s="9" t="n"/>
      <c r="N177" s="9" t="n"/>
      <c r="O177" s="40">
        <f>K177+V177-AE177-AZ177</f>
        <v/>
      </c>
      <c r="P177" s="12" t="n"/>
      <c r="Q177" s="138" t="n"/>
      <c r="R177" s="16" t="n"/>
      <c r="S177" s="139" t="n"/>
      <c r="T177" s="16" t="n"/>
      <c r="U177" s="139" t="n"/>
      <c r="V177" s="16">
        <f>P177+R177+T177</f>
        <v/>
      </c>
      <c r="W177" s="16" t="n"/>
      <c r="X177" s="139" t="n"/>
      <c r="Y177" s="16" t="n"/>
      <c r="Z177" s="139" t="n"/>
      <c r="AA177" s="25" t="n"/>
      <c r="AB177" s="139" t="n"/>
      <c r="AC177" s="25" t="n"/>
      <c r="AD177" s="139" t="n"/>
      <c r="AE177" s="16">
        <f>(W177+Y177+AA177+AC177)</f>
        <v/>
      </c>
      <c r="AF177" s="16" t="n"/>
      <c r="AG177" s="138" t="n"/>
      <c r="AH177" s="16" t="n"/>
      <c r="AI177" s="138" t="n"/>
      <c r="AJ177" s="16" t="n"/>
      <c r="AK177" s="138" t="n"/>
      <c r="AL177" s="16" t="n"/>
      <c r="AM177" s="138" t="n"/>
      <c r="AN177" s="16" t="n"/>
      <c r="AO177" s="138" t="n"/>
      <c r="AP177" s="16" t="n"/>
      <c r="AQ177" s="138" t="n"/>
      <c r="AR177" s="16" t="n"/>
      <c r="AS177" s="138" t="n"/>
      <c r="AT177" s="16" t="n"/>
      <c r="AU177" s="138" t="n"/>
      <c r="AV177" s="16" t="n"/>
      <c r="AW177" s="138" t="n"/>
      <c r="AX177" s="16" t="n"/>
      <c r="AY177" s="138" t="n"/>
      <c r="AZ177" s="16">
        <f>AF177+AH177+AJ177+AL177+AN177+AP177+AR177+AT177+AV177+AX177</f>
        <v/>
      </c>
      <c r="BA177" s="16" t="n"/>
      <c r="BB177" s="139" t="n"/>
      <c r="BC177" s="16" t="n"/>
      <c r="BD177" s="139" t="n"/>
      <c r="BE177" s="16">
        <f>(BA177+BC177)</f>
        <v/>
      </c>
    </row>
    <row r="178" ht="22.5" customFormat="1" customHeight="1" s="8">
      <c r="A178" s="9" t="n"/>
      <c r="B178" s="136" t="inlineStr">
        <is>
          <t>ABS 난연</t>
        </is>
      </c>
      <c r="C178" s="137" t="inlineStr">
        <is>
          <t>COCOON</t>
        </is>
      </c>
      <c r="D178" s="143" t="inlineStr">
        <is>
          <t>LOCK INNER</t>
        </is>
      </c>
      <c r="E178" s="13" t="inlineStr">
        <is>
          <t>메탈 실버</t>
        </is>
      </c>
      <c r="F178" s="100" t="n"/>
      <c r="G178" s="9" t="n"/>
      <c r="H178" s="9" t="inlineStr">
        <is>
          <t>천우</t>
        </is>
      </c>
      <c r="I178" s="14" t="n"/>
      <c r="J178" s="14" t="n"/>
      <c r="K178" s="12" t="n">
        <v>476</v>
      </c>
      <c r="L178" s="9" t="n"/>
      <c r="M178" s="9" t="n"/>
      <c r="N178" s="9" t="n"/>
      <c r="O178" s="40">
        <f>K178+V178-AE178-AZ178</f>
        <v/>
      </c>
      <c r="P178" s="12" t="n"/>
      <c r="Q178" s="138" t="n"/>
      <c r="R178" s="16" t="n"/>
      <c r="S178" s="139" t="n"/>
      <c r="T178" s="16" t="n"/>
      <c r="U178" s="139" t="n"/>
      <c r="V178" s="16">
        <f>P178+R178+T178</f>
        <v/>
      </c>
      <c r="W178" s="16" t="n"/>
      <c r="X178" s="139" t="n"/>
      <c r="Y178" s="16" t="n"/>
      <c r="Z178" s="139" t="n"/>
      <c r="AA178" s="16" t="n"/>
      <c r="AB178" s="139" t="n"/>
      <c r="AC178" s="16" t="n"/>
      <c r="AD178" s="139" t="n"/>
      <c r="AE178" s="16">
        <f>(W178+Y178+AA178+AC178)</f>
        <v/>
      </c>
      <c r="AF178" s="16" t="n"/>
      <c r="AG178" s="138" t="n"/>
      <c r="AH178" s="16" t="n"/>
      <c r="AI178" s="138" t="n"/>
      <c r="AJ178" s="16" t="n"/>
      <c r="AK178" s="138" t="n"/>
      <c r="AL178" s="16" t="n"/>
      <c r="AM178" s="138" t="n"/>
      <c r="AN178" s="16" t="n"/>
      <c r="AO178" s="138" t="n"/>
      <c r="AP178" s="16" t="n"/>
      <c r="AQ178" s="138" t="n"/>
      <c r="AR178" s="16" t="n"/>
      <c r="AS178" s="138" t="n"/>
      <c r="AT178" s="16" t="n"/>
      <c r="AU178" s="138" t="n"/>
      <c r="AV178" s="16" t="n"/>
      <c r="AW178" s="138" t="n"/>
      <c r="AX178" s="16" t="n"/>
      <c r="AY178" s="138" t="n"/>
      <c r="AZ178" s="16">
        <f>AF178+AH178+AJ178+AL178+AN178+AP178+AR178+AT178+AV178+AX178</f>
        <v/>
      </c>
      <c r="BA178" s="16" t="n"/>
      <c r="BB178" s="139" t="n"/>
      <c r="BC178" s="16" t="n"/>
      <c r="BD178" s="139" t="n"/>
      <c r="BE178" s="16">
        <f>(BA178+BC178)</f>
        <v/>
      </c>
    </row>
    <row r="179" ht="22.5" customFormat="1" customHeight="1" s="8">
      <c r="A179" s="9" t="n"/>
      <c r="B179" s="136" t="inlineStr">
        <is>
          <t>ABS 난연</t>
        </is>
      </c>
      <c r="C179" s="137" t="inlineStr">
        <is>
          <t>COCOON</t>
        </is>
      </c>
      <c r="D179" s="144" t="inlineStr">
        <is>
          <t>FRONT_S (18cm)</t>
        </is>
      </c>
      <c r="E179" s="13" t="inlineStr">
        <is>
          <t>블랙 유광</t>
        </is>
      </c>
      <c r="F179" s="100" t="n"/>
      <c r="G179" s="9" t="n"/>
      <c r="H179" s="9" t="inlineStr">
        <is>
          <t>천우</t>
        </is>
      </c>
      <c r="I179" s="14" t="n"/>
      <c r="J179" s="14" t="n"/>
      <c r="K179" s="12" t="n">
        <v>399</v>
      </c>
      <c r="L179" s="9" t="n"/>
      <c r="M179" s="9" t="n"/>
      <c r="N179" s="9" t="n"/>
      <c r="O179" s="40">
        <f>K179+V179-AE179-AZ179</f>
        <v/>
      </c>
      <c r="P179" s="12" t="n"/>
      <c r="Q179" s="138" t="n"/>
      <c r="R179" s="12" t="n"/>
      <c r="S179" s="138" t="n"/>
      <c r="T179" s="16" t="n"/>
      <c r="U179" s="139" t="n"/>
      <c r="V179" s="16">
        <f>P179+R179+T179</f>
        <v/>
      </c>
      <c r="W179" s="16" t="n"/>
      <c r="X179" s="139" t="n"/>
      <c r="Y179" s="16" t="n"/>
      <c r="Z179" s="139" t="n"/>
      <c r="AA179" s="16" t="n"/>
      <c r="AB179" s="139" t="n"/>
      <c r="AC179" s="16" t="n"/>
      <c r="AD179" s="139" t="n"/>
      <c r="AE179" s="16">
        <f>(W179+Y179+AA179+AC179)</f>
        <v/>
      </c>
      <c r="AF179" s="16" t="n"/>
      <c r="AG179" s="138" t="n"/>
      <c r="AH179" s="16" t="n"/>
      <c r="AI179" s="138" t="n"/>
      <c r="AJ179" s="16" t="n"/>
      <c r="AK179" s="138" t="n"/>
      <c r="AL179" s="16" t="n"/>
      <c r="AM179" s="138" t="n"/>
      <c r="AN179" s="16" t="n"/>
      <c r="AO179" s="138" t="n"/>
      <c r="AP179" s="16" t="n"/>
      <c r="AQ179" s="138" t="n"/>
      <c r="AR179" s="16" t="n"/>
      <c r="AS179" s="138" t="n"/>
      <c r="AT179" s="16" t="n"/>
      <c r="AU179" s="138" t="n"/>
      <c r="AV179" s="16" t="n"/>
      <c r="AW179" s="138" t="n"/>
      <c r="AX179" s="16" t="n"/>
      <c r="AY179" s="138" t="n"/>
      <c r="AZ179" s="16">
        <f>AF179+AH179+AJ179+AL179+AN179+AP179+AR179+AT179+AV179+AX179</f>
        <v/>
      </c>
      <c r="BA179" s="16" t="n"/>
      <c r="BB179" s="139" t="n"/>
      <c r="BC179" s="16" t="n"/>
      <c r="BD179" s="139" t="n"/>
      <c r="BE179" s="16">
        <f>(BA179+BC179)</f>
        <v/>
      </c>
    </row>
    <row r="180" ht="22.5" customFormat="1" customHeight="1" s="8">
      <c r="A180" s="9" t="n"/>
      <c r="B180" s="136" t="inlineStr">
        <is>
          <t>ABS 난연</t>
        </is>
      </c>
      <c r="C180" s="137" t="inlineStr">
        <is>
          <t>COCOON</t>
        </is>
      </c>
      <c r="D180" s="149" t="inlineStr">
        <is>
          <t>FRONT_L (20cm)</t>
        </is>
      </c>
      <c r="E180" s="13" t="inlineStr">
        <is>
          <t>ABS 난연 블랙 + 블랙 유광</t>
        </is>
      </c>
      <c r="F180" s="100" t="n"/>
      <c r="G180" s="9" t="n"/>
      <c r="H180" s="9" t="inlineStr">
        <is>
          <t>천우</t>
        </is>
      </c>
      <c r="I180" s="14" t="n"/>
      <c r="J180" s="14" t="n"/>
      <c r="K180" s="12" t="n">
        <v>159</v>
      </c>
      <c r="L180" s="9" t="n"/>
      <c r="M180" s="9" t="n"/>
      <c r="N180" s="9" t="n"/>
      <c r="O180" s="40">
        <f>K180+V180-AE180-AZ180</f>
        <v/>
      </c>
      <c r="P180" s="12" t="n"/>
      <c r="Q180" s="138" t="n"/>
      <c r="R180" s="16" t="n"/>
      <c r="S180" s="139" t="n"/>
      <c r="T180" s="16" t="n"/>
      <c r="U180" s="139" t="n"/>
      <c r="V180" s="16">
        <f>P180+R180+T180</f>
        <v/>
      </c>
      <c r="W180" s="16" t="n"/>
      <c r="X180" s="139" t="n"/>
      <c r="Y180" s="16" t="n"/>
      <c r="Z180" s="139" t="n"/>
      <c r="AA180" s="16" t="n"/>
      <c r="AB180" s="139" t="n"/>
      <c r="AC180" s="16" t="n"/>
      <c r="AD180" s="139" t="n"/>
      <c r="AE180" s="16">
        <f>(W180+Y180+AA180+AC180)</f>
        <v/>
      </c>
      <c r="AF180" s="16" t="n"/>
      <c r="AG180" s="138" t="n"/>
      <c r="AH180" s="16" t="n"/>
      <c r="AI180" s="138" t="n"/>
      <c r="AJ180" s="16" t="n"/>
      <c r="AK180" s="138" t="n"/>
      <c r="AL180" s="16" t="n"/>
      <c r="AM180" s="138" t="n"/>
      <c r="AN180" s="16" t="n"/>
      <c r="AO180" s="138" t="n"/>
      <c r="AP180" s="16" t="n"/>
      <c r="AQ180" s="138" t="n"/>
      <c r="AR180" s="16" t="n"/>
      <c r="AS180" s="138" t="n"/>
      <c r="AT180" s="16" t="n"/>
      <c r="AU180" s="138" t="n"/>
      <c r="AV180" s="16" t="n"/>
      <c r="AW180" s="138" t="n"/>
      <c r="AX180" s="16" t="n"/>
      <c r="AY180" s="138" t="n"/>
      <c r="AZ180" s="16">
        <f>AF180+AH180+AJ180+AL180+AN180+AP180+AR180+AT180+AV180+AX180</f>
        <v/>
      </c>
      <c r="BA180" s="16" t="n"/>
      <c r="BB180" s="139" t="n"/>
      <c r="BC180" s="16" t="n"/>
      <c r="BD180" s="139" t="n"/>
      <c r="BE180" s="16">
        <f>(BA180+BC180)</f>
        <v/>
      </c>
    </row>
    <row r="181" ht="22.5" customFormat="1" customHeight="1" s="8">
      <c r="A181" s="9" t="n"/>
      <c r="B181" s="136" t="inlineStr">
        <is>
          <t>ABS 난연</t>
        </is>
      </c>
      <c r="C181" s="137" t="inlineStr">
        <is>
          <t>COCOON</t>
        </is>
      </c>
      <c r="D181" s="149" t="inlineStr">
        <is>
          <t>FRONT_CAP</t>
        </is>
      </c>
      <c r="E181" s="13" t="inlineStr">
        <is>
          <t>블랙 유광</t>
        </is>
      </c>
      <c r="F181" s="100" t="n"/>
      <c r="G181" s="9" t="n"/>
      <c r="H181" s="9" t="inlineStr">
        <is>
          <t>천우</t>
        </is>
      </c>
      <c r="I181" s="14" t="n"/>
      <c r="J181" s="14" t="n"/>
      <c r="K181" s="12" t="n">
        <v>393</v>
      </c>
      <c r="L181" s="9" t="n"/>
      <c r="M181" s="9" t="n"/>
      <c r="N181" s="9" t="n"/>
      <c r="O181" s="40">
        <f>K181+V181-AE181-AZ181</f>
        <v/>
      </c>
      <c r="P181" s="12" t="n"/>
      <c r="Q181" s="138" t="n"/>
      <c r="R181" s="16" t="n"/>
      <c r="S181" s="139" t="n"/>
      <c r="T181" s="16" t="n"/>
      <c r="U181" s="139" t="n"/>
      <c r="V181" s="16">
        <f>P181+R181+T181</f>
        <v/>
      </c>
      <c r="W181" s="16" t="n"/>
      <c r="X181" s="139" t="n"/>
      <c r="Y181" s="16" t="n"/>
      <c r="Z181" s="139" t="n"/>
      <c r="AA181" s="16" t="n"/>
      <c r="AB181" s="139" t="n"/>
      <c r="AC181" s="16" t="n"/>
      <c r="AD181" s="139" t="n"/>
      <c r="AE181" s="16">
        <f>(W181+Y181+AA181+AC181)</f>
        <v/>
      </c>
      <c r="AF181" s="16" t="n"/>
      <c r="AG181" s="138" t="n"/>
      <c r="AH181" s="16" t="n"/>
      <c r="AI181" s="138" t="n"/>
      <c r="AJ181" s="16" t="n"/>
      <c r="AK181" s="138" t="n"/>
      <c r="AL181" s="16" t="n"/>
      <c r="AM181" s="138" t="n"/>
      <c r="AN181" s="16" t="n"/>
      <c r="AO181" s="138" t="n"/>
      <c r="AP181" s="16" t="n"/>
      <c r="AQ181" s="138" t="n"/>
      <c r="AR181" s="16" t="n"/>
      <c r="AS181" s="138" t="n"/>
      <c r="AT181" s="16" t="n"/>
      <c r="AU181" s="138" t="n"/>
      <c r="AV181" s="16" t="n"/>
      <c r="AW181" s="138" t="n"/>
      <c r="AX181" s="16" t="n"/>
      <c r="AY181" s="138" t="n"/>
      <c r="AZ181" s="16">
        <f>AF181+AH181+AJ181+AL181+AN181+AP181+AR181+AT181+AV181+AX181</f>
        <v/>
      </c>
      <c r="BA181" s="16" t="n"/>
      <c r="BB181" s="139" t="n"/>
      <c r="BC181" s="16" t="n"/>
      <c r="BD181" s="139" t="n"/>
      <c r="BE181" s="16">
        <f>(BA181+BC181)</f>
        <v/>
      </c>
    </row>
    <row r="182" ht="22.5" customFormat="1" customHeight="1" s="8">
      <c r="A182" s="9" t="n"/>
      <c r="B182" s="136" t="inlineStr">
        <is>
          <t>ABS 난연</t>
        </is>
      </c>
      <c r="C182" s="137" t="inlineStr">
        <is>
          <t>COCOON</t>
        </is>
      </c>
      <c r="D182" s="149" t="inlineStr">
        <is>
          <t>사각 앞사출</t>
        </is>
      </c>
      <c r="E182" s="13" t="inlineStr">
        <is>
          <t>블랙 유광</t>
        </is>
      </c>
      <c r="F182" s="100" t="n"/>
      <c r="G182" s="9" t="n"/>
      <c r="H182" s="9" t="inlineStr">
        <is>
          <t>천우</t>
        </is>
      </c>
      <c r="I182" s="14" t="n"/>
      <c r="J182" s="14" t="n"/>
      <c r="K182" s="12" t="n">
        <v>189</v>
      </c>
      <c r="L182" s="9" t="n"/>
      <c r="M182" s="9" t="n"/>
      <c r="N182" s="9" t="n"/>
      <c r="O182" s="40">
        <f>K182+V182-AE182-AZ182</f>
        <v/>
      </c>
      <c r="P182" s="12" t="n"/>
      <c r="Q182" s="138" t="n"/>
      <c r="R182" s="16" t="n"/>
      <c r="S182" s="139" t="n"/>
      <c r="T182" s="16" t="n"/>
      <c r="U182" s="139" t="n"/>
      <c r="V182" s="16">
        <f>P182+R182+T182</f>
        <v/>
      </c>
      <c r="W182" s="16" t="n"/>
      <c r="X182" s="139" t="n"/>
      <c r="Y182" s="16" t="n"/>
      <c r="Z182" s="139" t="n"/>
      <c r="AA182" s="16" t="n"/>
      <c r="AB182" s="139" t="n"/>
      <c r="AC182" s="16" t="n"/>
      <c r="AD182" s="139" t="n"/>
      <c r="AE182" s="16">
        <f>(W182+Y182+AA182+AC182)</f>
        <v/>
      </c>
      <c r="AF182" s="16" t="n"/>
      <c r="AG182" s="138" t="n"/>
      <c r="AH182" s="16" t="n"/>
      <c r="AI182" s="138" t="n"/>
      <c r="AJ182" s="16" t="n"/>
      <c r="AK182" s="138" t="n"/>
      <c r="AL182" s="16" t="n"/>
      <c r="AM182" s="138" t="n"/>
      <c r="AN182" s="16" t="n"/>
      <c r="AO182" s="138" t="n"/>
      <c r="AP182" s="16" t="n"/>
      <c r="AQ182" s="138" t="n"/>
      <c r="AR182" s="16" t="n"/>
      <c r="AS182" s="138" t="n"/>
      <c r="AT182" s="16" t="n"/>
      <c r="AU182" s="138" t="n"/>
      <c r="AV182" s="16" t="n"/>
      <c r="AW182" s="138" t="n"/>
      <c r="AX182" s="16" t="n"/>
      <c r="AY182" s="138" t="n"/>
      <c r="AZ182" s="16">
        <f>AF182+AH182+AJ182+AL182+AN182+AP182+AR182+AT182+AV182+AX182</f>
        <v/>
      </c>
      <c r="BA182" s="16" t="n"/>
      <c r="BB182" s="139" t="n"/>
      <c r="BC182" s="16" t="n"/>
      <c r="BD182" s="139" t="n"/>
      <c r="BE182" s="16">
        <f>(BA182+BC182)</f>
        <v/>
      </c>
    </row>
    <row r="183" ht="22.5" customFormat="1" customHeight="1" s="8">
      <c r="A183" s="9" t="n"/>
      <c r="B183" s="136" t="inlineStr">
        <is>
          <t>ABS 난연</t>
        </is>
      </c>
      <c r="C183" s="137" t="inlineStr">
        <is>
          <t>COCOON</t>
        </is>
      </c>
      <c r="D183" s="149" t="inlineStr">
        <is>
          <t>CONE GUIDE_S (18cm)</t>
        </is>
      </c>
      <c r="E183" s="13" t="inlineStr">
        <is>
          <t>ABS 난연 화이트</t>
        </is>
      </c>
      <c r="F183" s="100" t="n"/>
      <c r="G183" s="9" t="n"/>
      <c r="H183" s="9" t="inlineStr">
        <is>
          <t>천우</t>
        </is>
      </c>
      <c r="I183" s="14" t="n"/>
      <c r="J183" s="14" t="n"/>
      <c r="K183" s="12" t="n">
        <v>500</v>
      </c>
      <c r="L183" s="9" t="n"/>
      <c r="M183" s="9" t="n"/>
      <c r="N183" s="9" t="n"/>
      <c r="O183" s="40">
        <f>K183+V183-AE183-AZ183</f>
        <v/>
      </c>
      <c r="P183" s="12" t="n"/>
      <c r="Q183" s="138" t="n"/>
      <c r="R183" s="16" t="n"/>
      <c r="S183" s="139" t="n"/>
      <c r="T183" s="16" t="n"/>
      <c r="U183" s="139" t="n"/>
      <c r="V183" s="16">
        <f>P183+R183+T183</f>
        <v/>
      </c>
      <c r="W183" s="16" t="n"/>
      <c r="X183" s="139" t="n"/>
      <c r="Y183" s="16" t="n"/>
      <c r="Z183" s="139" t="n"/>
      <c r="AA183" s="16" t="n"/>
      <c r="AB183" s="139" t="n"/>
      <c r="AC183" s="16" t="n"/>
      <c r="AD183" s="139" t="n"/>
      <c r="AE183" s="16">
        <f>(W183+Y183+AA183+AC183)</f>
        <v/>
      </c>
      <c r="AF183" s="16" t="n"/>
      <c r="AG183" s="138" t="n"/>
      <c r="AH183" s="16" t="n"/>
      <c r="AI183" s="138" t="n"/>
      <c r="AJ183" s="16" t="n"/>
      <c r="AK183" s="138" t="n"/>
      <c r="AL183" s="16" t="n"/>
      <c r="AM183" s="138" t="n"/>
      <c r="AN183" s="16" t="n"/>
      <c r="AO183" s="138" t="n"/>
      <c r="AP183" s="16" t="n"/>
      <c r="AQ183" s="138" t="n"/>
      <c r="AR183" s="16" t="n"/>
      <c r="AS183" s="138" t="n"/>
      <c r="AT183" s="16" t="n"/>
      <c r="AU183" s="138" t="n"/>
      <c r="AV183" s="16" t="n"/>
      <c r="AW183" s="138" t="n"/>
      <c r="AX183" s="16" t="n"/>
      <c r="AY183" s="138" t="n"/>
      <c r="AZ183" s="16">
        <f>AF183+AH183+AJ183+AL183+AN183+AP183+AR183+AT183+AV183+AX183</f>
        <v/>
      </c>
      <c r="BA183" s="16" t="n"/>
      <c r="BB183" s="139" t="n"/>
      <c r="BC183" s="16" t="n"/>
      <c r="BD183" s="139" t="n"/>
      <c r="BE183" s="16">
        <f>(BA183+BC183)</f>
        <v/>
      </c>
    </row>
    <row r="184" ht="22.5" customFormat="1" customHeight="1" s="8">
      <c r="A184" s="9" t="n"/>
      <c r="B184" s="136" t="inlineStr">
        <is>
          <t>ABS 난연</t>
        </is>
      </c>
      <c r="C184" s="137" t="inlineStr">
        <is>
          <t>COCOON</t>
        </is>
      </c>
      <c r="D184" s="143" t="inlineStr">
        <is>
          <t>CONE GUIDE_L (20cm)</t>
        </is>
      </c>
      <c r="E184" s="13" t="inlineStr">
        <is>
          <t>ABS 난연 화이트</t>
        </is>
      </c>
      <c r="F184" s="100" t="n"/>
      <c r="G184" s="9" t="n"/>
      <c r="H184" s="9" t="inlineStr">
        <is>
          <t>천우</t>
        </is>
      </c>
      <c r="I184" s="14" t="n"/>
      <c r="J184" s="14" t="n"/>
      <c r="K184" s="12" t="n">
        <v>495</v>
      </c>
      <c r="L184" s="9" t="n"/>
      <c r="M184" s="9" t="n"/>
      <c r="N184" s="9" t="n"/>
      <c r="O184" s="40">
        <f>K184+V184-AE184-AZ184</f>
        <v/>
      </c>
      <c r="P184" s="12" t="n"/>
      <c r="Q184" s="138" t="n"/>
      <c r="R184" s="16" t="n"/>
      <c r="S184" s="139" t="n"/>
      <c r="T184" s="16" t="n"/>
      <c r="U184" s="139" t="n"/>
      <c r="V184" s="16">
        <f>P184+R184+T184</f>
        <v/>
      </c>
      <c r="W184" s="16" t="n"/>
      <c r="X184" s="139" t="n"/>
      <c r="Y184" s="16" t="n"/>
      <c r="Z184" s="139" t="n"/>
      <c r="AA184" s="16" t="n"/>
      <c r="AB184" s="139" t="n"/>
      <c r="AC184" s="16" t="n"/>
      <c r="AD184" s="139" t="n"/>
      <c r="AE184" s="16">
        <f>(W184+Y184+AA184+AC184)</f>
        <v/>
      </c>
      <c r="AF184" s="16" t="n"/>
      <c r="AG184" s="138" t="n"/>
      <c r="AH184" s="16" t="n"/>
      <c r="AI184" s="138" t="n"/>
      <c r="AJ184" s="16" t="n"/>
      <c r="AK184" s="138" t="n"/>
      <c r="AL184" s="16" t="n"/>
      <c r="AM184" s="138" t="n"/>
      <c r="AN184" s="16" t="n"/>
      <c r="AO184" s="138" t="n"/>
      <c r="AP184" s="16" t="n"/>
      <c r="AQ184" s="138" t="n"/>
      <c r="AR184" s="16" t="n"/>
      <c r="AS184" s="138" t="n"/>
      <c r="AT184" s="16" t="n"/>
      <c r="AU184" s="138" t="n"/>
      <c r="AV184" s="16" t="n"/>
      <c r="AW184" s="138" t="n"/>
      <c r="AX184" s="16" t="n"/>
      <c r="AY184" s="138" t="n"/>
      <c r="AZ184" s="16">
        <f>AF184+AH184+AJ184+AL184+AN184+AP184+AR184+AT184+AV184+AX184</f>
        <v/>
      </c>
      <c r="BA184" s="16" t="n"/>
      <c r="BB184" s="139" t="n"/>
      <c r="BC184" s="16" t="n"/>
      <c r="BD184" s="139" t="n"/>
      <c r="BE184" s="16">
        <f>(BA184+BC184)</f>
        <v/>
      </c>
    </row>
    <row r="185" ht="22.5" customFormat="1" customHeight="1" s="8">
      <c r="A185" s="9" t="n"/>
      <c r="B185" s="136" t="inlineStr">
        <is>
          <t>ABS 난연</t>
        </is>
      </c>
      <c r="C185" s="137" t="inlineStr">
        <is>
          <t>COCOON</t>
        </is>
      </c>
      <c r="D185" s="145" t="inlineStr">
        <is>
          <t>HAND BODY</t>
        </is>
      </c>
      <c r="E185" s="13" t="inlineStr">
        <is>
          <t>메탈 실버 유광</t>
        </is>
      </c>
      <c r="F185" s="100" t="n"/>
      <c r="G185" s="9" t="n"/>
      <c r="H185" s="9" t="inlineStr">
        <is>
          <t>천우</t>
        </is>
      </c>
      <c r="I185" s="14" t="n"/>
      <c r="J185" s="14" t="n"/>
      <c r="K185" s="12" t="n"/>
      <c r="L185" s="9" t="n"/>
      <c r="M185" s="9" t="n"/>
      <c r="N185" s="9" t="n"/>
      <c r="O185" s="40">
        <f>K185+V185-AE185-AZ185</f>
        <v/>
      </c>
      <c r="P185" s="12" t="n"/>
      <c r="Q185" s="138" t="n"/>
      <c r="R185" s="16" t="n"/>
      <c r="S185" s="139" t="n"/>
      <c r="T185" s="16" t="n"/>
      <c r="U185" s="139" t="n"/>
      <c r="V185" s="16">
        <f>P185+R185+T185</f>
        <v/>
      </c>
      <c r="W185" s="16" t="n"/>
      <c r="X185" s="139" t="n"/>
      <c r="Y185" s="16" t="n"/>
      <c r="Z185" s="139" t="n"/>
      <c r="AA185" s="16" t="n"/>
      <c r="AB185" s="139" t="n"/>
      <c r="AC185" s="16" t="n"/>
      <c r="AD185" s="139" t="n"/>
      <c r="AE185" s="16">
        <f>(W185+Y185+AA185+AC185)</f>
        <v/>
      </c>
      <c r="AF185" s="16" t="n"/>
      <c r="AG185" s="138" t="n"/>
      <c r="AH185" s="16" t="n"/>
      <c r="AI185" s="138" t="n"/>
      <c r="AJ185" s="16" t="n"/>
      <c r="AK185" s="138" t="n"/>
      <c r="AL185" s="16" t="n"/>
      <c r="AM185" s="138" t="n"/>
      <c r="AN185" s="16" t="n"/>
      <c r="AO185" s="138" t="n"/>
      <c r="AP185" s="16" t="n"/>
      <c r="AQ185" s="138" t="n"/>
      <c r="AR185" s="16" t="n"/>
      <c r="AS185" s="138" t="n"/>
      <c r="AT185" s="16" t="n"/>
      <c r="AU185" s="138" t="n"/>
      <c r="AV185" s="16" t="n"/>
      <c r="AW185" s="138" t="n"/>
      <c r="AX185" s="16" t="n"/>
      <c r="AY185" s="138" t="n"/>
      <c r="AZ185" s="16">
        <f>AF185+AH185+AJ185+AL185+AN185+AP185+AR185+AT185+AV185+AX185</f>
        <v/>
      </c>
      <c r="BA185" s="16" t="n"/>
      <c r="BB185" s="139" t="n"/>
      <c r="BC185" s="16" t="n"/>
      <c r="BD185" s="139" t="n"/>
      <c r="BE185" s="16">
        <f>(BA185+BC185)</f>
        <v/>
      </c>
    </row>
    <row r="186" ht="22.5" customFormat="1" customHeight="1" s="8">
      <c r="A186" s="9" t="n"/>
      <c r="B186" s="136" t="inlineStr">
        <is>
          <t>ABS 난연</t>
        </is>
      </c>
      <c r="C186" s="137" t="inlineStr">
        <is>
          <t>COCOON</t>
        </is>
      </c>
      <c r="D186" s="143" t="inlineStr">
        <is>
          <t>HAND TOP COVER</t>
        </is>
      </c>
      <c r="E186" s="13" t="inlineStr">
        <is>
          <t>메탈 실버</t>
        </is>
      </c>
      <c r="F186" s="100" t="n"/>
      <c r="G186" s="9" t="n"/>
      <c r="H186" s="9" t="inlineStr">
        <is>
          <t>천우</t>
        </is>
      </c>
      <c r="I186" s="14" t="n"/>
      <c r="J186" s="14" t="n"/>
      <c r="K186" s="12" t="n">
        <v>302</v>
      </c>
      <c r="L186" s="9" t="n"/>
      <c r="M186" s="9" t="n"/>
      <c r="N186" s="9" t="n"/>
      <c r="O186" s="40">
        <f>K186+V186-AE186-AZ186</f>
        <v/>
      </c>
      <c r="P186" s="12" t="n"/>
      <c r="Q186" s="138" t="n"/>
      <c r="R186" s="16" t="n"/>
      <c r="S186" s="139" t="n"/>
      <c r="T186" s="16" t="n"/>
      <c r="U186" s="139" t="n"/>
      <c r="V186" s="16">
        <f>P186+R186+T186</f>
        <v/>
      </c>
      <c r="W186" s="16" t="n"/>
      <c r="X186" s="139" t="n"/>
      <c r="Y186" s="16" t="n"/>
      <c r="Z186" s="139" t="n"/>
      <c r="AA186" s="16" t="n"/>
      <c r="AB186" s="139" t="n"/>
      <c r="AC186" s="16" t="n"/>
      <c r="AD186" s="139" t="n"/>
      <c r="AE186" s="16">
        <f>(W186+Y186+AA186+AC186)</f>
        <v/>
      </c>
      <c r="AF186" s="16" t="n"/>
      <c r="AG186" s="138" t="n"/>
      <c r="AH186" s="16" t="n"/>
      <c r="AI186" s="138" t="n"/>
      <c r="AJ186" s="16" t="n"/>
      <c r="AK186" s="138" t="n"/>
      <c r="AL186" s="16" t="n"/>
      <c r="AM186" s="138" t="n"/>
      <c r="AN186" s="16" t="n"/>
      <c r="AO186" s="138" t="n"/>
      <c r="AP186" s="16" t="n"/>
      <c r="AQ186" s="138" t="n"/>
      <c r="AR186" s="16" t="n"/>
      <c r="AS186" s="138" t="n"/>
      <c r="AT186" s="16" t="n"/>
      <c r="AU186" s="138" t="n"/>
      <c r="AV186" s="16" t="n"/>
      <c r="AW186" s="138" t="n"/>
      <c r="AX186" s="16" t="n"/>
      <c r="AY186" s="138" t="n"/>
      <c r="AZ186" s="16">
        <f>AF186+AH186+AJ186+AL186+AN186+AP186+AR186+AT186+AV186+AX186</f>
        <v/>
      </c>
      <c r="BA186" s="16" t="n"/>
      <c r="BB186" s="139" t="n"/>
      <c r="BC186" s="16" t="n"/>
      <c r="BD186" s="139" t="n"/>
      <c r="BE186" s="16">
        <f>(BA186+BC186)</f>
        <v/>
      </c>
    </row>
    <row r="187" ht="22.5" customFormat="1" customHeight="1" s="8">
      <c r="A187" s="9" t="n"/>
      <c r="B187" s="136" t="inlineStr">
        <is>
          <t>ABS 난연</t>
        </is>
      </c>
      <c r="C187" s="137" t="inlineStr">
        <is>
          <t>COCOON</t>
        </is>
      </c>
      <c r="D187" s="143" t="inlineStr">
        <is>
          <t>BAT BOTTOM</t>
        </is>
      </c>
      <c r="E187" s="13" t="inlineStr">
        <is>
          <t>블랙 유광</t>
        </is>
      </c>
      <c r="F187" s="100" t="n"/>
      <c r="G187" s="9" t="n"/>
      <c r="H187" s="9" t="inlineStr">
        <is>
          <t>천우</t>
        </is>
      </c>
      <c r="I187" s="14" t="n"/>
      <c r="J187" s="14" t="n"/>
      <c r="K187" s="12" t="n">
        <v>570</v>
      </c>
      <c r="L187" s="9" t="n"/>
      <c r="M187" s="9" t="n"/>
      <c r="N187" s="9" t="n"/>
      <c r="O187" s="40">
        <f>K187+V187-AE187-AZ187</f>
        <v/>
      </c>
      <c r="P187" s="12" t="n"/>
      <c r="Q187" s="138" t="n"/>
      <c r="R187" s="12" t="n"/>
      <c r="S187" s="138" t="n"/>
      <c r="T187" s="16" t="n"/>
      <c r="U187" s="139" t="n"/>
      <c r="V187" s="16">
        <f>P187+R187+T187</f>
        <v/>
      </c>
      <c r="W187" s="16" t="n"/>
      <c r="X187" s="139" t="n"/>
      <c r="Y187" s="16" t="n"/>
      <c r="Z187" s="139" t="n"/>
      <c r="AA187" s="16" t="n"/>
      <c r="AB187" s="139" t="n"/>
      <c r="AC187" s="16" t="n"/>
      <c r="AD187" s="139" t="n"/>
      <c r="AE187" s="16">
        <f>(W187+Y187+AA187+AC187)</f>
        <v/>
      </c>
      <c r="AF187" s="16" t="n"/>
      <c r="AG187" s="138" t="n"/>
      <c r="AH187" s="16" t="n"/>
      <c r="AI187" s="138" t="n"/>
      <c r="AJ187" s="16" t="n"/>
      <c r="AK187" s="138" t="n"/>
      <c r="AL187" s="16" t="n"/>
      <c r="AM187" s="138" t="n"/>
      <c r="AN187" s="16" t="n"/>
      <c r="AO187" s="138" t="n"/>
      <c r="AP187" s="16" t="n"/>
      <c r="AQ187" s="138" t="n"/>
      <c r="AR187" s="16" t="n"/>
      <c r="AS187" s="138" t="n"/>
      <c r="AT187" s="16" t="n"/>
      <c r="AU187" s="138" t="n"/>
      <c r="AV187" s="16" t="n"/>
      <c r="AW187" s="138" t="n"/>
      <c r="AX187" s="16" t="n"/>
      <c r="AY187" s="138" t="n"/>
      <c r="AZ187" s="16">
        <f>AF187+AH187+AJ187+AL187+AN187+AP187+AR187+AT187+AV187+AX187</f>
        <v/>
      </c>
      <c r="BA187" s="16" t="n"/>
      <c r="BB187" s="139" t="n"/>
      <c r="BC187" s="16" t="n"/>
      <c r="BD187" s="139" t="n"/>
      <c r="BE187" s="16">
        <f>(BA187+BC187)</f>
        <v/>
      </c>
    </row>
    <row r="188" ht="22.5" customFormat="1" customHeight="1" s="8">
      <c r="A188" s="9" t="n"/>
      <c r="B188" s="136" t="inlineStr">
        <is>
          <t>ABS 난연</t>
        </is>
      </c>
      <c r="C188" s="137" t="inlineStr">
        <is>
          <t>COCOON</t>
        </is>
      </c>
      <c r="D188" s="143" t="inlineStr">
        <is>
          <t>CRADLE BODY</t>
        </is>
      </c>
      <c r="E188" s="13" t="inlineStr">
        <is>
          <t>ABS 난연 블랙 + 블랙 유광</t>
        </is>
      </c>
      <c r="F188" s="9" t="n"/>
      <c r="G188" s="9" t="n"/>
      <c r="H188" s="9" t="inlineStr">
        <is>
          <t>천우</t>
        </is>
      </c>
      <c r="I188" s="14" t="n"/>
      <c r="J188" s="14" t="n"/>
      <c r="K188" s="12" t="n">
        <v>288</v>
      </c>
      <c r="L188" s="40" t="n">
        <v>0</v>
      </c>
      <c r="M188" s="16" t="n">
        <v>0</v>
      </c>
      <c r="N188" s="16" t="n">
        <v>0</v>
      </c>
      <c r="O188" s="40">
        <f>K188+V188-AE188-AZ188</f>
        <v/>
      </c>
      <c r="P188" s="138" t="n"/>
      <c r="Q188" s="16" t="n"/>
      <c r="R188" s="138" t="n"/>
      <c r="S188" s="16" t="n"/>
      <c r="T188" s="16" t="n"/>
      <c r="U188" s="139" t="n"/>
      <c r="V188" s="16">
        <f>P188+R188+T188</f>
        <v/>
      </c>
      <c r="W188" s="16" t="n"/>
      <c r="X188" s="139" t="n"/>
      <c r="Y188" s="16" t="n"/>
      <c r="Z188" s="139" t="n"/>
      <c r="AA188" s="16" t="n"/>
      <c r="AB188" s="139" t="n"/>
      <c r="AC188" s="16" t="n"/>
      <c r="AD188" s="139" t="n"/>
      <c r="AE188" s="16">
        <f>(W188+Y188+AA188+AC188)</f>
        <v/>
      </c>
      <c r="AF188" s="16" t="n"/>
      <c r="AG188" s="138" t="n"/>
      <c r="AH188" s="16" t="n"/>
      <c r="AI188" s="138" t="n"/>
      <c r="AJ188" s="16" t="n"/>
      <c r="AK188" s="138" t="n"/>
      <c r="AL188" s="16" t="n"/>
      <c r="AM188" s="138" t="n"/>
      <c r="AN188" s="16" t="n"/>
      <c r="AO188" s="138" t="n"/>
      <c r="AP188" s="16" t="n"/>
      <c r="AQ188" s="138" t="n"/>
      <c r="AR188" s="16" t="n"/>
      <c r="AS188" s="138" t="n"/>
      <c r="AT188" s="16" t="n"/>
      <c r="AU188" s="138" t="n"/>
      <c r="AV188" s="16" t="n"/>
      <c r="AW188" s="138" t="n"/>
      <c r="AX188" s="16" t="n"/>
      <c r="AY188" s="138" t="n"/>
      <c r="AZ188" s="16" t="n"/>
      <c r="BA188" s="16" t="n"/>
      <c r="BB188" s="139" t="n"/>
      <c r="BC188" s="16" t="n"/>
      <c r="BD188" s="139" t="n"/>
      <c r="BE188" s="16" t="n"/>
    </row>
    <row r="189" ht="22.5" customFormat="1" customHeight="1" s="8">
      <c r="A189" s="9" t="n"/>
      <c r="B189" s="136" t="inlineStr">
        <is>
          <t>ABS 난연</t>
        </is>
      </c>
      <c r="C189" s="137" t="inlineStr">
        <is>
          <t>COCOON</t>
        </is>
      </c>
      <c r="D189" s="143" t="inlineStr">
        <is>
          <t>CRADLE BODY BUTTON X</t>
        </is>
      </c>
      <c r="E189" s="13" t="inlineStr">
        <is>
          <t>ABS 난연 블랙 + 블랙 유광</t>
        </is>
      </c>
      <c r="F189" s="100" t="n"/>
      <c r="G189" s="9" t="n"/>
      <c r="H189" s="9" t="inlineStr">
        <is>
          <t>천우</t>
        </is>
      </c>
      <c r="I189" s="14" t="n"/>
      <c r="J189" s="14" t="n"/>
      <c r="K189" s="12" t="n">
        <v>164</v>
      </c>
      <c r="L189" s="9" t="n"/>
      <c r="M189" s="9" t="n"/>
      <c r="N189" s="9" t="n"/>
      <c r="O189" s="40">
        <f>K189+V189-AE189-AZ189</f>
        <v/>
      </c>
      <c r="P189" s="12" t="n"/>
      <c r="Q189" s="138" t="n"/>
      <c r="R189" s="16" t="n"/>
      <c r="S189" s="139" t="n"/>
      <c r="T189" s="16" t="n"/>
      <c r="U189" s="139" t="n"/>
      <c r="V189" s="16">
        <f>P189+R189+T189</f>
        <v/>
      </c>
      <c r="W189" s="16" t="n"/>
      <c r="X189" s="139" t="n"/>
      <c r="Y189" s="16" t="n"/>
      <c r="Z189" s="139" t="n"/>
      <c r="AA189" s="16" t="n"/>
      <c r="AB189" s="139" t="n"/>
      <c r="AC189" s="16" t="n"/>
      <c r="AD189" s="139" t="n"/>
      <c r="AE189" s="16">
        <f>(W189+Y189+AA189+AC189)</f>
        <v/>
      </c>
      <c r="AF189" s="16" t="n"/>
      <c r="AG189" s="138" t="n"/>
      <c r="AH189" s="16" t="n"/>
      <c r="AI189" s="138" t="n"/>
      <c r="AJ189" s="16" t="n"/>
      <c r="AK189" s="138" t="n"/>
      <c r="AL189" s="16" t="n"/>
      <c r="AM189" s="138" t="n"/>
      <c r="AN189" s="16" t="n"/>
      <c r="AO189" s="138" t="n"/>
      <c r="AP189" s="16" t="n"/>
      <c r="AQ189" s="138" t="n"/>
      <c r="AR189" s="16" t="n"/>
      <c r="AS189" s="138" t="n"/>
      <c r="AT189" s="16" t="n"/>
      <c r="AU189" s="138" t="n"/>
      <c r="AV189" s="16" t="n"/>
      <c r="AW189" s="138" t="n"/>
      <c r="AX189" s="16" t="n"/>
      <c r="AY189" s="138" t="n"/>
      <c r="AZ189" s="16">
        <f>AF189+AH189+AJ189+AL189+AN189+AP189+AR189+AT189+AV189+AX189</f>
        <v/>
      </c>
      <c r="BA189" s="16" t="n"/>
      <c r="BB189" s="139" t="n"/>
      <c r="BC189" s="16" t="n"/>
      <c r="BD189" s="139" t="n"/>
      <c r="BE189" s="16">
        <f>(BA189+BC189)</f>
        <v/>
      </c>
    </row>
    <row r="190" ht="22.5" customFormat="1" customHeight="1" s="8">
      <c r="A190" s="9" t="n"/>
      <c r="B190" s="136" t="inlineStr">
        <is>
          <t>ABS 난연</t>
        </is>
      </c>
      <c r="C190" s="137" t="inlineStr">
        <is>
          <t>COCOON</t>
        </is>
      </c>
      <c r="D190" s="150" t="inlineStr">
        <is>
          <t>CRADLE BOTTOM</t>
        </is>
      </c>
      <c r="E190" s="13" t="inlineStr">
        <is>
          <t>블랙 유광</t>
        </is>
      </c>
      <c r="F190" s="100" t="n"/>
      <c r="G190" s="9" t="n"/>
      <c r="H190" s="9" t="inlineStr">
        <is>
          <t>천우</t>
        </is>
      </c>
      <c r="I190" s="14" t="n"/>
      <c r="J190" s="14" t="n"/>
      <c r="K190" s="12" t="n">
        <v>202</v>
      </c>
      <c r="L190" s="9" t="n"/>
      <c r="M190" s="9" t="n"/>
      <c r="N190" s="9" t="n"/>
      <c r="O190" s="40">
        <f>K190+V190-AE190-AZ190</f>
        <v/>
      </c>
      <c r="P190" s="12" t="n"/>
      <c r="Q190" s="138" t="n"/>
      <c r="R190" s="16" t="n"/>
      <c r="S190" s="139" t="n"/>
      <c r="T190" s="16" t="n"/>
      <c r="U190" s="139" t="n"/>
      <c r="V190" s="16">
        <f>P190+R190+T190</f>
        <v/>
      </c>
      <c r="W190" s="16" t="n"/>
      <c r="X190" s="139" t="n"/>
      <c r="Y190" s="16" t="n"/>
      <c r="Z190" s="139" t="n"/>
      <c r="AA190" s="16" t="n"/>
      <c r="AB190" s="139" t="n"/>
      <c r="AC190" s="16" t="n"/>
      <c r="AD190" s="139" t="n"/>
      <c r="AE190" s="16">
        <f>(W190+Y190+AA190+AC190)</f>
        <v/>
      </c>
      <c r="AF190" s="16" t="n"/>
      <c r="AG190" s="138" t="n"/>
      <c r="AH190" s="16" t="n"/>
      <c r="AI190" s="138" t="n"/>
      <c r="AJ190" s="16" t="n"/>
      <c r="AK190" s="138" t="n"/>
      <c r="AL190" s="16" t="n"/>
      <c r="AM190" s="138" t="n"/>
      <c r="AN190" s="16" t="n"/>
      <c r="AO190" s="138" t="n"/>
      <c r="AP190" s="16" t="n"/>
      <c r="AQ190" s="138" t="n"/>
      <c r="AR190" s="16" t="n"/>
      <c r="AS190" s="138" t="n"/>
      <c r="AT190" s="16" t="n"/>
      <c r="AU190" s="138" t="n"/>
      <c r="AV190" s="16" t="n"/>
      <c r="AW190" s="138" t="n"/>
      <c r="AX190" s="16" t="n"/>
      <c r="AY190" s="138" t="n"/>
      <c r="AZ190" s="16">
        <f>AF190+AH190+AJ190+AL190+AN190+AP190+AR190+AT190+AV190+AX190</f>
        <v/>
      </c>
      <c r="BA190" s="16" t="n"/>
      <c r="BB190" s="139" t="n"/>
      <c r="BC190" s="16" t="n"/>
      <c r="BD190" s="139" t="n"/>
      <c r="BE190" s="16">
        <f>(BA190+BC190)</f>
        <v/>
      </c>
    </row>
    <row r="191" ht="22.5" customFormat="1" customHeight="1" s="8">
      <c r="A191" s="9" t="n"/>
      <c r="B191" s="136" t="inlineStr">
        <is>
          <t>도금용 ABS</t>
        </is>
      </c>
      <c r="C191" s="137" t="inlineStr">
        <is>
          <t>COCOON</t>
        </is>
      </c>
      <c r="D191" s="143" t="inlineStr">
        <is>
          <t>CRADLE FRAME</t>
        </is>
      </c>
      <c r="E191" s="13" t="inlineStr">
        <is>
          <t>도금용 사출 + 크롬 도금</t>
        </is>
      </c>
      <c r="F191" s="100" t="n"/>
      <c r="G191" s="9" t="n"/>
      <c r="H191" s="9" t="inlineStr">
        <is>
          <t>천우</t>
        </is>
      </c>
      <c r="I191" s="14" t="n"/>
      <c r="J191" s="14" t="n"/>
      <c r="K191" s="12" t="n">
        <v>0</v>
      </c>
      <c r="L191" s="9" t="n"/>
      <c r="M191" s="9" t="n"/>
      <c r="N191" s="9" t="n"/>
      <c r="O191" s="40">
        <f>K191+V191-AE191-AZ191</f>
        <v/>
      </c>
      <c r="P191" s="12" t="n"/>
      <c r="Q191" s="138" t="n"/>
      <c r="R191" s="16" t="n"/>
      <c r="S191" s="139" t="n"/>
      <c r="T191" s="16" t="n"/>
      <c r="U191" s="139" t="n"/>
      <c r="V191" s="16">
        <f>P191+R191+T191</f>
        <v/>
      </c>
      <c r="W191" s="16" t="n"/>
      <c r="X191" s="139" t="n"/>
      <c r="Y191" s="16" t="n"/>
      <c r="Z191" s="139" t="n"/>
      <c r="AA191" s="16" t="n"/>
      <c r="AB191" s="139" t="n"/>
      <c r="AC191" s="16" t="n"/>
      <c r="AD191" s="139" t="n"/>
      <c r="AE191" s="16">
        <f>(W191+Y191+AA191+AC191)</f>
        <v/>
      </c>
      <c r="AF191" s="16" t="n"/>
      <c r="AG191" s="138" t="n"/>
      <c r="AH191" s="16" t="n"/>
      <c r="AI191" s="138" t="n"/>
      <c r="AJ191" s="16" t="n"/>
      <c r="AK191" s="138" t="n"/>
      <c r="AL191" s="16" t="n"/>
      <c r="AM191" s="138" t="n"/>
      <c r="AN191" s="16" t="n"/>
      <c r="AO191" s="138" t="n"/>
      <c r="AP191" s="16" t="n"/>
      <c r="AQ191" s="138" t="n"/>
      <c r="AR191" s="16" t="n"/>
      <c r="AS191" s="138" t="n"/>
      <c r="AT191" s="16" t="n"/>
      <c r="AU191" s="138" t="n"/>
      <c r="AV191" s="16" t="n"/>
      <c r="AW191" s="138" t="n"/>
      <c r="AX191" s="16" t="n"/>
      <c r="AY191" s="138" t="n"/>
      <c r="AZ191" s="16">
        <f>AF191+AH191+AJ191+AL191+AN191+AP191+AR191+AT191+AV191+AX191</f>
        <v/>
      </c>
      <c r="BA191" s="16" t="n"/>
      <c r="BB191" s="139" t="n"/>
      <c r="BC191" s="16" t="n"/>
      <c r="BD191" s="139" t="n"/>
      <c r="BE191" s="16">
        <f>(BA191+BC191)</f>
        <v/>
      </c>
    </row>
    <row r="192" ht="22.5" customFormat="1" customHeight="1" s="8">
      <c r="A192" s="9" t="n"/>
      <c r="B192" s="136" t="inlineStr">
        <is>
          <t>ABS 난연</t>
        </is>
      </c>
      <c r="C192" s="137" t="inlineStr">
        <is>
          <t>COCOON</t>
        </is>
      </c>
      <c r="D192" s="143" t="inlineStr">
        <is>
          <t>CRADLE FRAME</t>
        </is>
      </c>
      <c r="E192" s="13" t="inlineStr">
        <is>
          <t>ABS 난연 화이트</t>
        </is>
      </c>
      <c r="F192" s="100" t="n"/>
      <c r="G192" s="9" t="n"/>
      <c r="H192" s="9" t="inlineStr">
        <is>
          <t>천우</t>
        </is>
      </c>
      <c r="I192" s="14" t="n"/>
      <c r="J192" s="14" t="n"/>
      <c r="K192" s="12" t="n">
        <v>216</v>
      </c>
      <c r="L192" s="9" t="n"/>
      <c r="M192" s="9" t="n"/>
      <c r="N192" s="9" t="n"/>
      <c r="O192" s="40">
        <f>K192+V192-AE192-AZ192</f>
        <v/>
      </c>
      <c r="P192" s="12" t="n"/>
      <c r="Q192" s="138" t="n"/>
      <c r="R192" s="16" t="n"/>
      <c r="S192" s="139" t="n"/>
      <c r="T192" s="16" t="n"/>
      <c r="U192" s="139" t="n"/>
      <c r="V192" s="16">
        <f>P192+R192+T192</f>
        <v/>
      </c>
      <c r="W192" s="16" t="n"/>
      <c r="X192" s="139" t="n"/>
      <c r="Y192" s="16" t="n"/>
      <c r="Z192" s="139" t="n"/>
      <c r="AA192" s="16" t="n"/>
      <c r="AB192" s="139" t="n"/>
      <c r="AC192" s="16" t="n"/>
      <c r="AD192" s="139" t="n"/>
      <c r="AE192" s="16">
        <f>(W192+Y192+AA192+AC192)</f>
        <v/>
      </c>
      <c r="AF192" s="16" t="n"/>
      <c r="AG192" s="138" t="n"/>
      <c r="AH192" s="16" t="n"/>
      <c r="AI192" s="138" t="n"/>
      <c r="AJ192" s="16" t="n"/>
      <c r="AK192" s="138" t="n"/>
      <c r="AL192" s="16" t="n"/>
      <c r="AM192" s="138" t="n"/>
      <c r="AN192" s="16" t="n"/>
      <c r="AO192" s="138" t="n"/>
      <c r="AP192" s="16" t="n"/>
      <c r="AQ192" s="138" t="n"/>
      <c r="AR192" s="16" t="n"/>
      <c r="AS192" s="138" t="n"/>
      <c r="AT192" s="16" t="n"/>
      <c r="AU192" s="138" t="n"/>
      <c r="AV192" s="16" t="n"/>
      <c r="AW192" s="138" t="n"/>
      <c r="AX192" s="16" t="n"/>
      <c r="AY192" s="138" t="n"/>
      <c r="AZ192" s="16">
        <f>AF192+AH192+AJ192+AL192+AN192+AP192+AR192+AT192+AV192+AX192</f>
        <v/>
      </c>
      <c r="BA192" s="16" t="n"/>
      <c r="BB192" s="139" t="n"/>
      <c r="BC192" s="16" t="n"/>
      <c r="BD192" s="139" t="n"/>
      <c r="BE192" s="16">
        <f>(BA192+BC192)</f>
        <v/>
      </c>
    </row>
    <row r="193" ht="22.5" customFormat="1" customHeight="1" s="8">
      <c r="A193" s="9" t="n"/>
      <c r="B193" s="136" t="inlineStr">
        <is>
          <t>ABS 난연</t>
        </is>
      </c>
      <c r="C193" s="137" t="inlineStr">
        <is>
          <t>COCOON</t>
        </is>
      </c>
      <c r="D193" s="143" t="inlineStr">
        <is>
          <t>SHOT BUTTON</t>
        </is>
      </c>
      <c r="E193" s="13" t="inlineStr">
        <is>
          <t>ABS 난연 화이트 + 오렌지 유광</t>
        </is>
      </c>
      <c r="F193" s="100" t="n"/>
      <c r="G193" s="9" t="n"/>
      <c r="H193" s="9" t="inlineStr">
        <is>
          <t>천우</t>
        </is>
      </c>
      <c r="I193" s="14" t="n"/>
      <c r="J193" s="14" t="n"/>
      <c r="K193" s="12" t="n">
        <v>207</v>
      </c>
      <c r="L193" s="9" t="n"/>
      <c r="M193" s="9" t="n"/>
      <c r="N193" s="9" t="n"/>
      <c r="O193" s="40">
        <f>K193+V193-AE193-AZ193</f>
        <v/>
      </c>
      <c r="P193" s="12" t="n"/>
      <c r="Q193" s="138" t="n"/>
      <c r="R193" s="16" t="n"/>
      <c r="S193" s="139" t="n"/>
      <c r="T193" s="16" t="n"/>
      <c r="U193" s="139" t="n"/>
      <c r="V193" s="16">
        <f>P193+R193+T193</f>
        <v/>
      </c>
      <c r="W193" s="16" t="n"/>
      <c r="X193" s="139" t="n"/>
      <c r="Y193" s="16" t="n"/>
      <c r="Z193" s="139" t="n"/>
      <c r="AA193" s="16" t="n"/>
      <c r="AB193" s="139" t="n"/>
      <c r="AC193" s="16" t="n"/>
      <c r="AD193" s="139" t="n"/>
      <c r="AE193" s="16">
        <f>(W193+Y193+AA193+AC193)</f>
        <v/>
      </c>
      <c r="AF193" s="16" t="n"/>
      <c r="AG193" s="138" t="n"/>
      <c r="AH193" s="16" t="n"/>
      <c r="AI193" s="138" t="n"/>
      <c r="AJ193" s="16" t="n"/>
      <c r="AK193" s="138" t="n"/>
      <c r="AL193" s="16" t="n"/>
      <c r="AM193" s="138" t="n"/>
      <c r="AN193" s="16" t="n"/>
      <c r="AO193" s="138" t="n"/>
      <c r="AP193" s="16" t="n"/>
      <c r="AQ193" s="138" t="n"/>
      <c r="AR193" s="16" t="n"/>
      <c r="AS193" s="138" t="n"/>
      <c r="AT193" s="16" t="n"/>
      <c r="AU193" s="138" t="n"/>
      <c r="AV193" s="16" t="n"/>
      <c r="AW193" s="138" t="n"/>
      <c r="AX193" s="16" t="n"/>
      <c r="AY193" s="138" t="n"/>
      <c r="AZ193" s="16">
        <f>AF193+AH193+AJ193+AL193+AN193+AP193+AR193+AT193+AV193+AX193</f>
        <v/>
      </c>
      <c r="BA193" s="16" t="n"/>
      <c r="BB193" s="139" t="n"/>
      <c r="BC193" s="16" t="n"/>
      <c r="BD193" s="139" t="n"/>
      <c r="BE193" s="16">
        <f>(BA193+BC193)</f>
        <v/>
      </c>
    </row>
    <row r="194" ht="22.5" customFormat="1" customHeight="1" s="8">
      <c r="A194" s="9" t="n"/>
      <c r="B194" s="136" t="inlineStr">
        <is>
          <t>ABS 난연</t>
        </is>
      </c>
      <c r="C194" s="137" t="inlineStr">
        <is>
          <t>COCOON</t>
        </is>
      </c>
      <c r="D194" s="144" t="inlineStr">
        <is>
          <t>SHOT PCB GUIDE</t>
        </is>
      </c>
      <c r="E194" s="13" t="inlineStr">
        <is>
          <t>ABS 난연 화이트</t>
        </is>
      </c>
      <c r="F194" s="100" t="n"/>
      <c r="G194" s="9" t="n"/>
      <c r="H194" s="9" t="inlineStr">
        <is>
          <t>천우</t>
        </is>
      </c>
      <c r="I194" s="14" t="n"/>
      <c r="J194" s="14" t="n"/>
      <c r="K194" s="12" t="n">
        <v>562</v>
      </c>
      <c r="L194" s="9" t="n"/>
      <c r="M194" s="9" t="n"/>
      <c r="N194" s="9" t="n"/>
      <c r="O194" s="40">
        <f>K194+V194-AE194-AZ194</f>
        <v/>
      </c>
      <c r="P194" s="12" t="n"/>
      <c r="Q194" s="138" t="n"/>
      <c r="R194" s="16" t="n"/>
      <c r="S194" s="139" t="n"/>
      <c r="T194" s="16" t="n"/>
      <c r="U194" s="139" t="n"/>
      <c r="V194" s="16">
        <f>P194+R194+T194</f>
        <v/>
      </c>
      <c r="W194" s="16" t="n"/>
      <c r="X194" s="139" t="n"/>
      <c r="Y194" s="16" t="n"/>
      <c r="Z194" s="139" t="n"/>
      <c r="AA194" s="16" t="n"/>
      <c r="AB194" s="139" t="n"/>
      <c r="AC194" s="16" t="n"/>
      <c r="AD194" s="139" t="n"/>
      <c r="AE194" s="16">
        <f>(W194+Y194+AA194+AC194)</f>
        <v/>
      </c>
      <c r="AF194" s="16" t="n"/>
      <c r="AG194" s="138" t="n"/>
      <c r="AH194" s="16" t="n"/>
      <c r="AI194" s="138" t="n"/>
      <c r="AJ194" s="16" t="n"/>
      <c r="AK194" s="138" t="n"/>
      <c r="AL194" s="16" t="n"/>
      <c r="AM194" s="138" t="n"/>
      <c r="AN194" s="16" t="n"/>
      <c r="AO194" s="138" t="n"/>
      <c r="AP194" s="16" t="n"/>
      <c r="AQ194" s="138" t="n"/>
      <c r="AR194" s="16" t="n"/>
      <c r="AS194" s="138" t="n"/>
      <c r="AT194" s="16" t="n"/>
      <c r="AU194" s="138" t="n"/>
      <c r="AV194" s="16" t="n"/>
      <c r="AW194" s="138" t="n"/>
      <c r="AX194" s="16" t="n"/>
      <c r="AY194" s="138" t="n"/>
      <c r="AZ194" s="16">
        <f>AF194+AH194+AJ194+AL194+AN194+AP194+AR194+AT194+AV194+AX194</f>
        <v/>
      </c>
      <c r="BA194" s="16" t="n"/>
      <c r="BB194" s="139" t="n"/>
      <c r="BC194" s="16" t="n"/>
      <c r="BD194" s="139" t="n"/>
      <c r="BE194" s="16">
        <f>(BA194+BC194)</f>
        <v/>
      </c>
    </row>
    <row r="195" ht="22.5" customFormat="1" customHeight="1" s="8">
      <c r="A195" s="9" t="n"/>
      <c r="B195" s="136" t="inlineStr">
        <is>
          <t>ABS 난연</t>
        </is>
      </c>
      <c r="C195" s="137" t="inlineStr">
        <is>
          <t>COCOON</t>
        </is>
      </c>
      <c r="D195" s="143" t="inlineStr">
        <is>
          <t>SLIDE SWITCH</t>
        </is>
      </c>
      <c r="E195" s="13" t="inlineStr">
        <is>
          <t>ABS 난연 화이트 + 레드 유광</t>
        </is>
      </c>
      <c r="F195" s="100" t="n"/>
      <c r="G195" s="9" t="n"/>
      <c r="H195" s="9" t="inlineStr">
        <is>
          <t>천우</t>
        </is>
      </c>
      <c r="I195" s="14" t="n"/>
      <c r="J195" s="14" t="n"/>
      <c r="K195" s="12" t="n">
        <v>416</v>
      </c>
      <c r="L195" s="9" t="n"/>
      <c r="M195" s="9" t="n"/>
      <c r="N195" s="9" t="n"/>
      <c r="O195" s="40">
        <f>K195+V195-AE195-AZ195</f>
        <v/>
      </c>
      <c r="P195" s="12" t="n"/>
      <c r="Q195" s="138" t="n"/>
      <c r="R195" s="16" t="n"/>
      <c r="S195" s="139" t="n"/>
      <c r="T195" s="16" t="n"/>
      <c r="U195" s="139" t="n"/>
      <c r="V195" s="16">
        <f>P195+R195+T195</f>
        <v/>
      </c>
      <c r="W195" s="16" t="n"/>
      <c r="X195" s="139" t="n"/>
      <c r="Y195" s="16" t="n"/>
      <c r="Z195" s="139" t="n"/>
      <c r="AA195" s="16" t="n"/>
      <c r="AB195" s="139" t="n"/>
      <c r="AC195" s="16" t="n"/>
      <c r="AD195" s="139" t="n"/>
      <c r="AE195" s="16">
        <f>(W195+Y195+AA195+AC195)</f>
        <v/>
      </c>
      <c r="AF195" s="16" t="n"/>
      <c r="AG195" s="138" t="n"/>
      <c r="AH195" s="16" t="n"/>
      <c r="AI195" s="138" t="n"/>
      <c r="AJ195" s="16" t="n"/>
      <c r="AK195" s="138" t="n"/>
      <c r="AL195" s="16" t="n"/>
      <c r="AM195" s="138" t="n"/>
      <c r="AN195" s="16" t="n"/>
      <c r="AO195" s="138" t="n"/>
      <c r="AP195" s="16" t="n"/>
      <c r="AQ195" s="138" t="n"/>
      <c r="AR195" s="16" t="n"/>
      <c r="AS195" s="138" t="n"/>
      <c r="AT195" s="16" t="n"/>
      <c r="AU195" s="138" t="n"/>
      <c r="AV195" s="16" t="n"/>
      <c r="AW195" s="138" t="n"/>
      <c r="AX195" s="16" t="n"/>
      <c r="AY195" s="138" t="n"/>
      <c r="AZ195" s="16">
        <f>AF195+AH195+AJ195+AL195+AN195+AP195+AR195+AT195+AV195+AX195</f>
        <v/>
      </c>
      <c r="BA195" s="16" t="n"/>
      <c r="BB195" s="139" t="n"/>
      <c r="BC195" s="16" t="n"/>
      <c r="BD195" s="139" t="n"/>
      <c r="BE195" s="16">
        <f>(BA195+BC195)</f>
        <v/>
      </c>
    </row>
    <row r="196" ht="22.5" customFormat="1" customHeight="1" s="8">
      <c r="A196" s="9" t="n"/>
      <c r="B196" s="136" t="inlineStr">
        <is>
          <t>ABS 난연</t>
        </is>
      </c>
      <c r="C196" s="137" t="inlineStr">
        <is>
          <t>COCOON</t>
        </is>
      </c>
      <c r="D196" s="144" t="inlineStr">
        <is>
          <t>SLIDE CAP</t>
        </is>
      </c>
      <c r="E196" s="13" t="inlineStr">
        <is>
          <t>ABS 난연 화이트 + 레드 유광</t>
        </is>
      </c>
      <c r="F196" s="100" t="n"/>
      <c r="G196" s="9" t="n"/>
      <c r="H196" s="9" t="inlineStr">
        <is>
          <t>천우</t>
        </is>
      </c>
      <c r="I196" s="14" t="n"/>
      <c r="J196" s="14" t="n"/>
      <c r="K196" s="12" t="n">
        <v>488</v>
      </c>
      <c r="L196" s="9" t="n"/>
      <c r="M196" s="9" t="n"/>
      <c r="N196" s="9" t="n"/>
      <c r="O196" s="40">
        <f>K196+V196-AE196-AZ196</f>
        <v/>
      </c>
      <c r="P196" s="12" t="n"/>
      <c r="Q196" s="138" t="n"/>
      <c r="R196" s="16" t="n"/>
      <c r="S196" s="139" t="n"/>
      <c r="T196" s="16" t="n"/>
      <c r="U196" s="139" t="n"/>
      <c r="V196" s="16">
        <f>P196+R196+T196</f>
        <v/>
      </c>
      <c r="W196" s="16" t="n"/>
      <c r="X196" s="139" t="n"/>
      <c r="Y196" s="16" t="n"/>
      <c r="Z196" s="139" t="n"/>
      <c r="AA196" s="16" t="n"/>
      <c r="AB196" s="139" t="n"/>
      <c r="AC196" s="16" t="n"/>
      <c r="AD196" s="139" t="n"/>
      <c r="AE196" s="16">
        <f>(W196+Y196+AA196+AC196)</f>
        <v/>
      </c>
      <c r="AF196" s="16" t="n"/>
      <c r="AG196" s="138" t="n"/>
      <c r="AH196" s="16" t="n"/>
      <c r="AI196" s="138" t="n"/>
      <c r="AJ196" s="16" t="n"/>
      <c r="AK196" s="138" t="n"/>
      <c r="AL196" s="16" t="n"/>
      <c r="AM196" s="138" t="n"/>
      <c r="AN196" s="16" t="n"/>
      <c r="AO196" s="138" t="n"/>
      <c r="AP196" s="16" t="n"/>
      <c r="AQ196" s="138" t="n"/>
      <c r="AR196" s="16" t="n"/>
      <c r="AS196" s="138" t="n"/>
      <c r="AT196" s="16" t="n"/>
      <c r="AU196" s="138" t="n"/>
      <c r="AV196" s="16" t="n"/>
      <c r="AW196" s="138" t="n"/>
      <c r="AX196" s="16" t="n"/>
      <c r="AY196" s="138" t="n"/>
      <c r="AZ196" s="16">
        <f>AF196+AH196+AJ196+AL196+AN196+AP196+AR196+AT196+AV196+AX196</f>
        <v/>
      </c>
      <c r="BA196" s="16" t="n"/>
      <c r="BB196" s="139" t="n"/>
      <c r="BC196" s="16" t="n"/>
      <c r="BD196" s="139" t="n"/>
      <c r="BE196" s="16">
        <f>(BA196+BC196)</f>
        <v/>
      </c>
    </row>
    <row r="197" ht="22.5" customFormat="1" customHeight="1" s="8">
      <c r="A197" s="9" t="n"/>
      <c r="B197" s="136" t="inlineStr">
        <is>
          <t>ABS 난연</t>
        </is>
      </c>
      <c r="C197" s="137" t="inlineStr">
        <is>
          <t>COCOON</t>
        </is>
      </c>
      <c r="D197" s="143" t="inlineStr">
        <is>
          <t>GER GUIDE</t>
        </is>
      </c>
      <c r="E197" s="13" t="inlineStr">
        <is>
          <t>ABS 난연 화이트</t>
        </is>
      </c>
      <c r="F197" s="100" t="n"/>
      <c r="G197" s="9" t="n"/>
      <c r="H197" s="9" t="inlineStr">
        <is>
          <t>천우</t>
        </is>
      </c>
      <c r="I197" s="14" t="n"/>
      <c r="J197" s="14" t="n"/>
      <c r="K197" s="12" t="n">
        <v>196</v>
      </c>
      <c r="L197" s="9" t="n"/>
      <c r="M197" s="9" t="n"/>
      <c r="N197" s="9" t="n"/>
      <c r="O197" s="40">
        <f>K197+V197-AE197-AZ197</f>
        <v/>
      </c>
      <c r="P197" s="12" t="n"/>
      <c r="Q197" s="138" t="n"/>
      <c r="R197" s="16" t="n"/>
      <c r="S197" s="139" t="n"/>
      <c r="T197" s="16" t="n"/>
      <c r="U197" s="139" t="n"/>
      <c r="V197" s="16">
        <f>P197+R197+T197</f>
        <v/>
      </c>
      <c r="W197" s="16" t="n"/>
      <c r="X197" s="139" t="n"/>
      <c r="Y197" s="16" t="n"/>
      <c r="Z197" s="139" t="n"/>
      <c r="AA197" s="16" t="n"/>
      <c r="AB197" s="139" t="n"/>
      <c r="AC197" s="16" t="n"/>
      <c r="AD197" s="139" t="n"/>
      <c r="AE197" s="16">
        <f>(W197+Y197+AA197+AC197)</f>
        <v/>
      </c>
      <c r="AF197" s="16" t="n"/>
      <c r="AG197" s="138" t="n"/>
      <c r="AH197" s="16" t="n"/>
      <c r="AI197" s="138" t="n"/>
      <c r="AJ197" s="16" t="n"/>
      <c r="AK197" s="138" t="n"/>
      <c r="AL197" s="16" t="n"/>
      <c r="AM197" s="138" t="n"/>
      <c r="AN197" s="16" t="n"/>
      <c r="AO197" s="138" t="n"/>
      <c r="AP197" s="16" t="n"/>
      <c r="AQ197" s="138" t="n"/>
      <c r="AR197" s="16" t="n"/>
      <c r="AS197" s="138" t="n"/>
      <c r="AT197" s="16" t="n"/>
      <c r="AU197" s="138" t="n"/>
      <c r="AV197" s="16" t="n"/>
      <c r="AW197" s="138" t="n"/>
      <c r="AX197" s="16" t="n"/>
      <c r="AY197" s="138" t="n"/>
      <c r="AZ197" s="16">
        <f>AF197+AH197+AJ197+AL197+AN197+AP197+AR197+AT197+AV197+AX197</f>
        <v/>
      </c>
      <c r="BA197" s="16" t="n"/>
      <c r="BB197" s="139" t="n"/>
      <c r="BC197" s="16" t="n"/>
      <c r="BD197" s="139" t="n"/>
      <c r="BE197" s="16">
        <f>(BA197+BC197)</f>
        <v/>
      </c>
    </row>
    <row r="198" ht="22.5" customFormat="1" customHeight="1" s="8">
      <c r="A198" s="9" t="n"/>
      <c r="B198" s="136" t="inlineStr">
        <is>
          <t>ABS 난연</t>
        </is>
      </c>
      <c r="C198" s="137" t="inlineStr">
        <is>
          <t>COCOON</t>
        </is>
      </c>
      <c r="D198" s="150" t="inlineStr">
        <is>
          <t>에이밍 LED BODY 신형 A</t>
        </is>
      </c>
      <c r="E198" s="13" t="inlineStr">
        <is>
          <t>블랙_원형</t>
        </is>
      </c>
      <c r="F198" s="100" t="n"/>
      <c r="G198" s="9" t="n"/>
      <c r="H198" s="9" t="inlineStr">
        <is>
          <t>오비스코리아</t>
        </is>
      </c>
      <c r="I198" s="14" t="n"/>
      <c r="J198" s="14" t="n"/>
      <c r="K198" s="12" t="n">
        <v>659</v>
      </c>
      <c r="L198" s="9" t="n"/>
      <c r="M198" s="9" t="n"/>
      <c r="N198" s="9" t="n"/>
      <c r="O198" s="40">
        <f>K198+V198-AE198-AZ198</f>
        <v/>
      </c>
      <c r="P198" s="12" t="n"/>
      <c r="Q198" s="138" t="n"/>
      <c r="R198" s="16" t="n"/>
      <c r="S198" s="139" t="n"/>
      <c r="T198" s="16" t="n"/>
      <c r="U198" s="139" t="n"/>
      <c r="V198" s="16">
        <f>P198+R198+T198</f>
        <v/>
      </c>
      <c r="W198" s="16" t="n"/>
      <c r="X198" s="139" t="n"/>
      <c r="Y198" s="16" t="n"/>
      <c r="Z198" s="139" t="n"/>
      <c r="AA198" s="16" t="n"/>
      <c r="AB198" s="139" t="n"/>
      <c r="AC198" s="16" t="n"/>
      <c r="AD198" s="139" t="n"/>
      <c r="AE198" s="16">
        <f>(W198+Y198+AA198+AC198)</f>
        <v/>
      </c>
      <c r="AF198" s="16" t="n"/>
      <c r="AG198" s="138" t="n"/>
      <c r="AH198" s="16" t="n"/>
      <c r="AI198" s="138" t="n"/>
      <c r="AJ198" s="16" t="n"/>
      <c r="AK198" s="138" t="n"/>
      <c r="AL198" s="16" t="n"/>
      <c r="AM198" s="138" t="n"/>
      <c r="AN198" s="16" t="n"/>
      <c r="AO198" s="138" t="n"/>
      <c r="AP198" s="16" t="n"/>
      <c r="AQ198" s="138" t="n"/>
      <c r="AR198" s="16" t="n"/>
      <c r="AS198" s="138" t="n"/>
      <c r="AT198" s="16" t="n"/>
      <c r="AU198" s="138" t="n"/>
      <c r="AV198" s="16" t="n"/>
      <c r="AW198" s="138" t="n"/>
      <c r="AX198" s="16" t="n"/>
      <c r="AY198" s="138" t="n"/>
      <c r="AZ198" s="16">
        <f>AF198+AH198+AJ198+AL198+AN198+AP198+AR198+AT198+AV198+AX198</f>
        <v/>
      </c>
      <c r="BA198" s="16" t="n"/>
      <c r="BB198" s="139" t="n"/>
      <c r="BC198" s="16" t="n"/>
      <c r="BD198" s="139" t="n"/>
      <c r="BE198" s="16">
        <f>(BA198+BC198)</f>
        <v/>
      </c>
    </row>
    <row r="199" ht="22.5" customFormat="1" customHeight="1" s="8">
      <c r="A199" s="9" t="n"/>
      <c r="B199" s="136" t="inlineStr">
        <is>
          <t>ABS 난연</t>
        </is>
      </c>
      <c r="C199" s="137" t="inlineStr">
        <is>
          <t>COCOON</t>
        </is>
      </c>
      <c r="D199" s="150" t="inlineStr">
        <is>
          <t>에이밍 LED BODY 신형 B</t>
        </is>
      </c>
      <c r="E199" s="13" t="inlineStr">
        <is>
          <t>블랙_사각형</t>
        </is>
      </c>
      <c r="F199" s="100" t="n"/>
      <c r="G199" s="9" t="n"/>
      <c r="H199" s="9" t="inlineStr">
        <is>
          <t>오비스코리아</t>
        </is>
      </c>
      <c r="I199" s="14" t="n"/>
      <c r="J199" s="14" t="n"/>
      <c r="K199" s="12" t="n">
        <v>264</v>
      </c>
      <c r="L199" s="9" t="n"/>
      <c r="M199" s="9" t="n"/>
      <c r="N199" s="9" t="n"/>
      <c r="O199" s="40">
        <f>K199+V199-AE199-AZ199</f>
        <v/>
      </c>
      <c r="P199" s="12" t="n"/>
      <c r="Q199" s="138" t="n"/>
      <c r="R199" s="16" t="n"/>
      <c r="S199" s="139" t="n"/>
      <c r="T199" s="16" t="n"/>
      <c r="U199" s="139" t="n"/>
      <c r="V199" s="16">
        <f>P199+R199+T199</f>
        <v/>
      </c>
      <c r="W199" s="16" t="n"/>
      <c r="X199" s="139" t="n"/>
      <c r="Y199" s="16" t="n"/>
      <c r="Z199" s="139" t="n"/>
      <c r="AA199" s="16" t="n"/>
      <c r="AB199" s="139" t="n"/>
      <c r="AC199" s="16" t="n"/>
      <c r="AD199" s="139" t="n"/>
      <c r="AE199" s="16">
        <f>(W199+Y199+AA199+AC199)</f>
        <v/>
      </c>
      <c r="AF199" s="16" t="n"/>
      <c r="AG199" s="138" t="n"/>
      <c r="AH199" s="16" t="n"/>
      <c r="AI199" s="138" t="n"/>
      <c r="AJ199" s="16" t="n"/>
      <c r="AK199" s="138" t="n"/>
      <c r="AL199" s="16" t="n"/>
      <c r="AM199" s="138" t="n"/>
      <c r="AN199" s="16" t="n"/>
      <c r="AO199" s="138" t="n"/>
      <c r="AP199" s="16" t="n"/>
      <c r="AQ199" s="138" t="n"/>
      <c r="AR199" s="16" t="n"/>
      <c r="AS199" s="138" t="n"/>
      <c r="AT199" s="16" t="n"/>
      <c r="AU199" s="138" t="n"/>
      <c r="AV199" s="16" t="n"/>
      <c r="AW199" s="138" t="n"/>
      <c r="AX199" s="16" t="n"/>
      <c r="AY199" s="138" t="n"/>
      <c r="AZ199" s="16">
        <f>AF199+AH199+AJ199+AL199+AN199+AP199+AR199+AT199+AV199+AX199</f>
        <v/>
      </c>
      <c r="BA199" s="16" t="n"/>
      <c r="BB199" s="139" t="n"/>
      <c r="BC199" s="16" t="n"/>
      <c r="BD199" s="139" t="n"/>
      <c r="BE199" s="16">
        <f>(BA199+BC199)</f>
        <v/>
      </c>
    </row>
    <row r="200" ht="22.5" customFormat="1" customHeight="1" s="8">
      <c r="A200" s="9" t="n"/>
      <c r="B200" s="136" t="inlineStr">
        <is>
          <t>ABS 난연</t>
        </is>
      </c>
      <c r="C200" s="137" t="inlineStr">
        <is>
          <t>COCOON</t>
        </is>
      </c>
      <c r="D200" s="150" t="inlineStr">
        <is>
          <t>에이밍 방사구 젠더</t>
        </is>
      </c>
      <c r="E200" s="13" t="inlineStr">
        <is>
          <t>가공품</t>
        </is>
      </c>
      <c r="F200" s="100" t="n"/>
      <c r="G200" s="9" t="n"/>
      <c r="H200" s="9" t="inlineStr">
        <is>
          <t>다우정밀</t>
        </is>
      </c>
      <c r="I200" s="14" t="n"/>
      <c r="J200" s="14" t="n"/>
      <c r="K200" s="12" t="n">
        <v>214</v>
      </c>
      <c r="L200" s="9" t="n"/>
      <c r="M200" s="9" t="n"/>
      <c r="N200" s="9" t="n"/>
      <c r="O200" s="40">
        <f>K200+V200-AE200-AZ200</f>
        <v/>
      </c>
      <c r="P200" s="12" t="n"/>
      <c r="Q200" s="138" t="n"/>
      <c r="R200" s="16" t="n"/>
      <c r="S200" s="139" t="n"/>
      <c r="T200" s="16" t="n"/>
      <c r="U200" s="139" t="n"/>
      <c r="V200" s="16">
        <f>P200+R200+T200</f>
        <v/>
      </c>
      <c r="W200" s="16" t="n"/>
      <c r="X200" s="139" t="n"/>
      <c r="Y200" s="16" t="n"/>
      <c r="Z200" s="139" t="n"/>
      <c r="AA200" s="16" t="n"/>
      <c r="AB200" s="139" t="n"/>
      <c r="AC200" s="16" t="n"/>
      <c r="AD200" s="139" t="n"/>
      <c r="AE200" s="16">
        <f>(W200+Y200+AA200+AC200)</f>
        <v/>
      </c>
      <c r="AF200" s="16" t="n"/>
      <c r="AG200" s="138" t="n"/>
      <c r="AH200" s="16" t="n"/>
      <c r="AI200" s="138" t="n"/>
      <c r="AJ200" s="16" t="n"/>
      <c r="AK200" s="138" t="n"/>
      <c r="AL200" s="16" t="n"/>
      <c r="AM200" s="138" t="n"/>
      <c r="AN200" s="16" t="n"/>
      <c r="AO200" s="138" t="n"/>
      <c r="AP200" s="16" t="n"/>
      <c r="AQ200" s="138" t="n"/>
      <c r="AR200" s="16" t="n"/>
      <c r="AS200" s="138" t="n"/>
      <c r="AT200" s="16" t="n"/>
      <c r="AU200" s="138" t="n"/>
      <c r="AV200" s="16" t="n"/>
      <c r="AW200" s="138" t="n"/>
      <c r="AX200" s="16" t="n"/>
      <c r="AY200" s="138" t="n"/>
      <c r="AZ200" s="16">
        <f>AF200+AH200+AJ200+AL200+AN200+AP200+AR200+AT200+AV200+AX200</f>
        <v/>
      </c>
      <c r="BA200" s="16" t="n"/>
      <c r="BB200" s="139" t="n"/>
      <c r="BC200" s="16" t="n"/>
      <c r="BD200" s="139" t="n"/>
      <c r="BE200" s="16">
        <f>(BA200+BC200)</f>
        <v/>
      </c>
    </row>
    <row r="201" ht="22.5" customFormat="1" customHeight="1" s="8">
      <c r="A201" s="9" t="n"/>
      <c r="B201" s="136" t="inlineStr">
        <is>
          <t>아크릴</t>
        </is>
      </c>
      <c r="C201" s="137" t="inlineStr">
        <is>
          <t>COCOON</t>
        </is>
      </c>
      <c r="D201" s="83" t="inlineStr">
        <is>
          <t>WINDOW</t>
        </is>
      </c>
      <c r="E201" s="13" t="inlineStr">
        <is>
          <t>투명 아크릴 + 실크 인쇄 로고O</t>
        </is>
      </c>
      <c r="F201" s="100" t="n"/>
      <c r="G201" s="9" t="n"/>
      <c r="H201" s="9" t="inlineStr">
        <is>
          <t>우민테크</t>
        </is>
      </c>
      <c r="I201" s="14" t="n"/>
      <c r="J201" s="14" t="n"/>
      <c r="K201" s="12" t="n">
        <v>166</v>
      </c>
      <c r="L201" s="9" t="n"/>
      <c r="M201" s="9" t="n"/>
      <c r="N201" s="9" t="n"/>
      <c r="O201" s="40">
        <f>K201+V201-AE201-AZ201</f>
        <v/>
      </c>
      <c r="P201" s="12" t="n"/>
      <c r="Q201" s="138" t="n"/>
      <c r="R201" s="16" t="n"/>
      <c r="S201" s="139" t="n"/>
      <c r="T201" s="16" t="n"/>
      <c r="U201" s="139" t="n"/>
      <c r="V201" s="16">
        <f>P201+R201+T201</f>
        <v/>
      </c>
      <c r="W201" s="16" t="n"/>
      <c r="X201" s="139" t="n"/>
      <c r="Y201" s="16" t="n"/>
      <c r="Z201" s="139" t="n"/>
      <c r="AA201" s="16" t="n"/>
      <c r="AB201" s="139" t="n"/>
      <c r="AC201" s="16" t="n"/>
      <c r="AD201" s="139" t="n"/>
      <c r="AE201" s="16">
        <f>(W201+Y201+AA201+AC201)</f>
        <v/>
      </c>
      <c r="AF201" s="16" t="n"/>
      <c r="AG201" s="138" t="n"/>
      <c r="AH201" s="16" t="n"/>
      <c r="AI201" s="138" t="n"/>
      <c r="AJ201" s="16" t="n"/>
      <c r="AK201" s="138" t="n"/>
      <c r="AL201" s="16" t="n"/>
      <c r="AM201" s="138" t="n"/>
      <c r="AN201" s="16" t="n"/>
      <c r="AO201" s="138" t="n"/>
      <c r="AP201" s="16" t="n"/>
      <c r="AQ201" s="138" t="n"/>
      <c r="AR201" s="16" t="n"/>
      <c r="AS201" s="138" t="n"/>
      <c r="AT201" s="16" t="n"/>
      <c r="AU201" s="138" t="n"/>
      <c r="AV201" s="16" t="n"/>
      <c r="AW201" s="138" t="n"/>
      <c r="AX201" s="16" t="n"/>
      <c r="AY201" s="138" t="n"/>
      <c r="AZ201" s="16">
        <f>AF201+AH201+AJ201+AL201+AN201+AP201+AR201+AT201+AV201+AX201</f>
        <v/>
      </c>
      <c r="BA201" s="16" t="n"/>
      <c r="BB201" s="139" t="n"/>
      <c r="BC201" s="16" t="n"/>
      <c r="BD201" s="139" t="n"/>
      <c r="BE201" s="16">
        <f>(BA201+BC201)</f>
        <v/>
      </c>
    </row>
    <row r="202" ht="22.5" customFormat="1" customHeight="1" s="8">
      <c r="A202" s="9" t="n"/>
      <c r="B202" s="136" t="inlineStr">
        <is>
          <t>아크릴</t>
        </is>
      </c>
      <c r="C202" s="137" t="inlineStr">
        <is>
          <t>COCOON</t>
        </is>
      </c>
      <c r="D202" s="83" t="inlineStr">
        <is>
          <t>WINDOW</t>
        </is>
      </c>
      <c r="E202" s="13" t="inlineStr">
        <is>
          <t>투명 아크릴 + 실크 인쇄 로고X</t>
        </is>
      </c>
      <c r="F202" s="100" t="n"/>
      <c r="G202" s="9" t="n"/>
      <c r="H202" s="9" t="inlineStr">
        <is>
          <t>우민테크</t>
        </is>
      </c>
      <c r="I202" s="14" t="n"/>
      <c r="J202" s="14" t="n"/>
      <c r="K202" s="12" t="n">
        <v>318</v>
      </c>
      <c r="L202" s="9" t="n"/>
      <c r="M202" s="9" t="n"/>
      <c r="N202" s="9" t="n"/>
      <c r="O202" s="40">
        <f>K202+V202-AE202-AZ202</f>
        <v/>
      </c>
      <c r="P202" s="12" t="n"/>
      <c r="Q202" s="138" t="n"/>
      <c r="R202" s="16" t="n"/>
      <c r="S202" s="139" t="n"/>
      <c r="T202" s="16" t="n"/>
      <c r="U202" s="139" t="n"/>
      <c r="V202" s="16">
        <f>P202+R202+T202</f>
        <v/>
      </c>
      <c r="W202" s="16" t="n"/>
      <c r="X202" s="139" t="n"/>
      <c r="Y202" s="16" t="n"/>
      <c r="Z202" s="139" t="n"/>
      <c r="AA202" s="16" t="n"/>
      <c r="AB202" s="139" t="n"/>
      <c r="AC202" s="16" t="n"/>
      <c r="AD202" s="139" t="n"/>
      <c r="AE202" s="16">
        <f>(W202+Y202+AA202+AC202)</f>
        <v/>
      </c>
      <c r="AF202" s="16" t="n"/>
      <c r="AG202" s="138" t="n"/>
      <c r="AH202" s="16" t="n"/>
      <c r="AI202" s="138" t="n"/>
      <c r="AJ202" s="16" t="n"/>
      <c r="AK202" s="138" t="n"/>
      <c r="AL202" s="16" t="n"/>
      <c r="AM202" s="138" t="n"/>
      <c r="AN202" s="16" t="n"/>
      <c r="AO202" s="138" t="n"/>
      <c r="AP202" s="16" t="n"/>
      <c r="AQ202" s="138" t="n"/>
      <c r="AR202" s="16" t="n"/>
      <c r="AS202" s="138" t="n"/>
      <c r="AT202" s="16" t="n"/>
      <c r="AU202" s="138" t="n"/>
      <c r="AV202" s="16" t="n"/>
      <c r="AW202" s="138" t="n"/>
      <c r="AX202" s="16" t="n"/>
      <c r="AY202" s="138" t="n"/>
      <c r="AZ202" s="16">
        <f>AF202+AH202+AJ202+AL202+AN202+AP202+AR202+AT202+AV202+AX202</f>
        <v/>
      </c>
      <c r="BA202" s="16" t="n"/>
      <c r="BB202" s="139" t="n"/>
      <c r="BC202" s="16" t="n"/>
      <c r="BD202" s="139" t="n"/>
      <c r="BE202" s="16">
        <f>(BA202+BC202)</f>
        <v/>
      </c>
    </row>
    <row r="203" ht="22.5" customFormat="1" customHeight="1" s="8">
      <c r="A203" s="9" t="n"/>
      <c r="B203" s="136" t="inlineStr">
        <is>
          <t>아크릴</t>
        </is>
      </c>
      <c r="C203" s="137" t="inlineStr">
        <is>
          <t>COCOON</t>
        </is>
      </c>
      <c r="D203" s="83" t="inlineStr">
        <is>
          <t xml:space="preserve">에이밍 아크릴 은경 </t>
        </is>
      </c>
      <c r="E203" s="13" t="inlineStr">
        <is>
          <t>아크릴</t>
        </is>
      </c>
      <c r="F203" s="100" t="n"/>
      <c r="G203" s="9" t="n"/>
      <c r="H203" s="9" t="n"/>
      <c r="I203" s="14" t="n"/>
      <c r="J203" s="14" t="n"/>
      <c r="K203" s="12" t="n"/>
      <c r="L203" s="9" t="n"/>
      <c r="M203" s="9" t="n"/>
      <c r="N203" s="9" t="n"/>
      <c r="O203" s="40">
        <f>K203+V203-AE203-AZ203</f>
        <v/>
      </c>
      <c r="P203" s="12" t="n"/>
      <c r="Q203" s="138" t="n"/>
      <c r="R203" s="16" t="n"/>
      <c r="S203" s="139" t="n"/>
      <c r="T203" s="16" t="n"/>
      <c r="U203" s="139" t="n"/>
      <c r="V203" s="16">
        <f>P203+R203+T203</f>
        <v/>
      </c>
      <c r="W203" s="16" t="n"/>
      <c r="X203" s="139" t="n"/>
      <c r="Y203" s="16" t="n"/>
      <c r="Z203" s="139" t="n"/>
      <c r="AA203" s="16" t="n"/>
      <c r="AB203" s="139" t="n"/>
      <c r="AC203" s="16" t="n"/>
      <c r="AD203" s="139" t="n"/>
      <c r="AE203" s="16">
        <f>(W203+Y203+AA203+AC203)</f>
        <v/>
      </c>
      <c r="AF203" s="16" t="n"/>
      <c r="AG203" s="138" t="n"/>
      <c r="AH203" s="16" t="n"/>
      <c r="AI203" s="138" t="n"/>
      <c r="AJ203" s="16" t="n"/>
      <c r="AK203" s="138" t="n"/>
      <c r="AL203" s="16" t="n"/>
      <c r="AM203" s="138" t="n"/>
      <c r="AN203" s="16" t="n"/>
      <c r="AO203" s="138" t="n"/>
      <c r="AP203" s="16" t="n"/>
      <c r="AQ203" s="138" t="n"/>
      <c r="AR203" s="16" t="n"/>
      <c r="AS203" s="138" t="n"/>
      <c r="AT203" s="16" t="n"/>
      <c r="AU203" s="138" t="n"/>
      <c r="AV203" s="16" t="n"/>
      <c r="AW203" s="138" t="n"/>
      <c r="AX203" s="16" t="n"/>
      <c r="AY203" s="138" t="n"/>
      <c r="AZ203" s="16">
        <f>AF203+AH203+AJ203+AL203+AN203+AP203+AR203+AT203+AV203+AX203</f>
        <v/>
      </c>
      <c r="BA203" s="16" t="n"/>
      <c r="BB203" s="139" t="n"/>
      <c r="BC203" s="16" t="n"/>
      <c r="BD203" s="139" t="n"/>
      <c r="BE203" s="16">
        <f>(BA203+BC203)</f>
        <v/>
      </c>
    </row>
    <row r="204" ht="22.5" customFormat="1" customHeight="1" s="8">
      <c r="A204" s="9" t="n"/>
      <c r="B204" s="136" t="inlineStr">
        <is>
          <t>아크릴</t>
        </is>
      </c>
      <c r="C204" s="137" t="inlineStr">
        <is>
          <t>COCOON</t>
        </is>
      </c>
      <c r="D204" s="83" t="inlineStr">
        <is>
          <t>에이밍 십자 아크릴 (사각 모양)</t>
        </is>
      </c>
      <c r="E204" s="13" t="inlineStr">
        <is>
          <t>투명 아크릴 + 인쇄</t>
        </is>
      </c>
      <c r="F204" s="100" t="n"/>
      <c r="G204" s="9" t="n"/>
      <c r="H204" s="9" t="n"/>
      <c r="I204" s="14" t="n"/>
      <c r="J204" s="14" t="n"/>
      <c r="K204" s="12" t="n">
        <v>57</v>
      </c>
      <c r="L204" s="9" t="n"/>
      <c r="M204" s="9" t="n"/>
      <c r="N204" s="9" t="n"/>
      <c r="O204" s="40">
        <f>K204+V204-AE204-AZ204</f>
        <v/>
      </c>
      <c r="P204" s="12" t="n"/>
      <c r="Q204" s="138" t="n"/>
      <c r="R204" s="16" t="n"/>
      <c r="S204" s="139" t="n"/>
      <c r="T204" s="16" t="n"/>
      <c r="U204" s="139" t="n"/>
      <c r="V204" s="16">
        <f>P204+R204+T204</f>
        <v/>
      </c>
      <c r="W204" s="16" t="n"/>
      <c r="X204" s="139" t="n"/>
      <c r="Y204" s="16" t="n"/>
      <c r="Z204" s="139" t="n"/>
      <c r="AA204" s="16" t="n"/>
      <c r="AB204" s="139" t="n"/>
      <c r="AC204" s="16" t="n"/>
      <c r="AD204" s="139" t="n"/>
      <c r="AE204" s="16">
        <f>(W204+Y204+AA204+AC204)</f>
        <v/>
      </c>
      <c r="AF204" s="16" t="n"/>
      <c r="AG204" s="138" t="n"/>
      <c r="AH204" s="16" t="n"/>
      <c r="AI204" s="138" t="n"/>
      <c r="AJ204" s="16" t="n"/>
      <c r="AK204" s="138" t="n"/>
      <c r="AL204" s="16" t="n"/>
      <c r="AM204" s="138" t="n"/>
      <c r="AN204" s="16" t="n"/>
      <c r="AO204" s="138" t="n"/>
      <c r="AP204" s="16" t="n"/>
      <c r="AQ204" s="138" t="n"/>
      <c r="AR204" s="16" t="n"/>
      <c r="AS204" s="138" t="n"/>
      <c r="AT204" s="16" t="n"/>
      <c r="AU204" s="138" t="n"/>
      <c r="AV204" s="16" t="n"/>
      <c r="AW204" s="138" t="n"/>
      <c r="AX204" s="16" t="n"/>
      <c r="AY204" s="138" t="n"/>
      <c r="AZ204" s="16">
        <f>AF204+AH204+AJ204+AL204+AN204+AP204+AR204+AT204+AV204+AX204</f>
        <v/>
      </c>
      <c r="BA204" s="16" t="n"/>
      <c r="BB204" s="139" t="n"/>
      <c r="BC204" s="16" t="n"/>
      <c r="BD204" s="139" t="n"/>
      <c r="BE204" s="16">
        <f>(BA204+BC204)</f>
        <v/>
      </c>
    </row>
    <row r="205" ht="22.5" customFormat="1" customHeight="1" s="8">
      <c r="A205" s="9" t="n"/>
      <c r="B205" s="136" t="inlineStr">
        <is>
          <t>아크릴</t>
        </is>
      </c>
      <c r="C205" s="137" t="inlineStr">
        <is>
          <t>COCOON</t>
        </is>
      </c>
      <c r="D205" s="83" t="inlineStr">
        <is>
          <t>에이밍 원형 십자 아크릴 (테두리 O)  2.0T</t>
        </is>
      </c>
      <c r="E205" s="13" t="inlineStr">
        <is>
          <t>투명 아크릴 + 인쇄 2T - 영국용</t>
        </is>
      </c>
      <c r="F205" s="100" t="n"/>
      <c r="G205" s="9" t="n"/>
      <c r="H205" s="9" t="n"/>
      <c r="I205" s="14" t="n"/>
      <c r="J205" s="14" t="n"/>
      <c r="K205" s="12" t="n">
        <v>154</v>
      </c>
      <c r="L205" s="9" t="n"/>
      <c r="M205" s="9" t="n"/>
      <c r="N205" s="9" t="n"/>
      <c r="O205" s="40">
        <f>K205+V205-AE205-AZ205</f>
        <v/>
      </c>
      <c r="P205" s="12" t="n"/>
      <c r="Q205" s="138" t="n"/>
      <c r="R205" s="16" t="n"/>
      <c r="S205" s="139" t="n"/>
      <c r="T205" s="16" t="n"/>
      <c r="U205" s="139" t="n"/>
      <c r="V205" s="16">
        <f>P205+R205+T205</f>
        <v/>
      </c>
      <c r="W205" s="16" t="n"/>
      <c r="X205" s="139" t="n"/>
      <c r="Y205" s="16" t="n"/>
      <c r="Z205" s="139" t="n"/>
      <c r="AA205" s="16" t="n"/>
      <c r="AB205" s="139" t="n"/>
      <c r="AC205" s="16" t="n"/>
      <c r="AD205" s="139" t="n"/>
      <c r="AE205" s="16">
        <f>(W205+Y205+AA205+AC205)</f>
        <v/>
      </c>
      <c r="AF205" s="16" t="n"/>
      <c r="AG205" s="138" t="n"/>
      <c r="AH205" s="16" t="n"/>
      <c r="AI205" s="138" t="n"/>
      <c r="AJ205" s="16" t="n"/>
      <c r="AK205" s="138" t="n"/>
      <c r="AL205" s="16" t="n"/>
      <c r="AM205" s="138" t="n"/>
      <c r="AN205" s="16" t="n"/>
      <c r="AO205" s="138" t="n"/>
      <c r="AP205" s="16" t="n"/>
      <c r="AQ205" s="138" t="n"/>
      <c r="AR205" s="16" t="n"/>
      <c r="AS205" s="138" t="n"/>
      <c r="AT205" s="16" t="n"/>
      <c r="AU205" s="138" t="n"/>
      <c r="AV205" s="16" t="n"/>
      <c r="AW205" s="138" t="n"/>
      <c r="AX205" s="16" t="n"/>
      <c r="AY205" s="138" t="n"/>
      <c r="AZ205" s="16">
        <f>AF205+AH205+AJ205+AL205+AN205+AP205+AR205+AT205+AV205+AX205</f>
        <v/>
      </c>
      <c r="BA205" s="16" t="n"/>
      <c r="BB205" s="139" t="n"/>
      <c r="BC205" s="16" t="n"/>
      <c r="BD205" s="139" t="n"/>
      <c r="BE205" s="16">
        <f>(BA205+BC205)</f>
        <v/>
      </c>
    </row>
    <row r="206" ht="22.5" customFormat="1" customHeight="1" s="8">
      <c r="A206" s="9" t="n"/>
      <c r="B206" s="136" t="inlineStr">
        <is>
          <t>아크릴</t>
        </is>
      </c>
      <c r="C206" s="137" t="inlineStr">
        <is>
          <t>COCOON</t>
        </is>
      </c>
      <c r="D206" s="83" t="inlineStr">
        <is>
          <t>에이밍 원형 십자 아크릴 (테두리 O) 2.0T</t>
        </is>
      </c>
      <c r="E206" s="13" t="inlineStr">
        <is>
          <t>투명 아크릴 + 인쇄 2T - 얇은 테두리</t>
        </is>
      </c>
      <c r="F206" s="100" t="n"/>
      <c r="G206" s="9" t="n"/>
      <c r="H206" s="9" t="n"/>
      <c r="I206" s="14" t="n"/>
      <c r="J206" s="14" t="n"/>
      <c r="K206" s="12" t="n">
        <v>0</v>
      </c>
      <c r="L206" s="9" t="n"/>
      <c r="M206" s="9" t="n"/>
      <c r="N206" s="9" t="n"/>
      <c r="O206" s="40">
        <f>K206+V206-AE206-AZ206</f>
        <v/>
      </c>
      <c r="P206" s="12" t="n"/>
      <c r="Q206" s="138" t="n"/>
      <c r="R206" s="16" t="n"/>
      <c r="S206" s="139" t="n"/>
      <c r="T206" s="16" t="n"/>
      <c r="U206" s="139" t="n"/>
      <c r="V206" s="16">
        <f>P206+R206+T206</f>
        <v/>
      </c>
      <c r="W206" s="16" t="n"/>
      <c r="X206" s="139" t="n"/>
      <c r="Y206" s="16" t="n"/>
      <c r="Z206" s="139" t="n"/>
      <c r="AA206" s="16" t="n"/>
      <c r="AB206" s="139" t="n"/>
      <c r="AC206" s="16" t="n"/>
      <c r="AD206" s="139" t="n"/>
      <c r="AE206" s="16">
        <f>(W206+Y206+AA206+AC206)</f>
        <v/>
      </c>
      <c r="AF206" s="16" t="n"/>
      <c r="AG206" s="138" t="n"/>
      <c r="AH206" s="16" t="n"/>
      <c r="AI206" s="138" t="n"/>
      <c r="AJ206" s="16" t="n"/>
      <c r="AK206" s="138" t="n"/>
      <c r="AL206" s="16" t="n"/>
      <c r="AM206" s="138" t="n"/>
      <c r="AN206" s="16" t="n"/>
      <c r="AO206" s="138" t="n"/>
      <c r="AP206" s="16" t="n"/>
      <c r="AQ206" s="138" t="n"/>
      <c r="AR206" s="16" t="n"/>
      <c r="AS206" s="138" t="n"/>
      <c r="AT206" s="16" t="n"/>
      <c r="AU206" s="138" t="n"/>
      <c r="AV206" s="16" t="n"/>
      <c r="AW206" s="138" t="n"/>
      <c r="AX206" s="16" t="n"/>
      <c r="AY206" s="138" t="n"/>
      <c r="AZ206" s="16">
        <f>AF206+AH206+AJ206+AL206+AN206+AP206+AR206+AT206+AV206+AX206</f>
        <v/>
      </c>
      <c r="BA206" s="16" t="n"/>
      <c r="BB206" s="139" t="n"/>
      <c r="BC206" s="16" t="n"/>
      <c r="BD206" s="139" t="n"/>
      <c r="BE206" s="16">
        <f>(BA206+BC206)</f>
        <v/>
      </c>
    </row>
    <row r="207" ht="22.5" customFormat="1" customHeight="1" s="8">
      <c r="A207" s="9" t="n"/>
      <c r="B207" s="136" t="inlineStr">
        <is>
          <t>아크릴</t>
        </is>
      </c>
      <c r="C207" s="137" t="inlineStr">
        <is>
          <t>COCOON</t>
        </is>
      </c>
      <c r="D207" s="83" t="inlineStr">
        <is>
          <t>에이밍 원형 십자 아크릴 (테두리 X) 2.0T</t>
        </is>
      </c>
      <c r="E207" s="13" t="inlineStr">
        <is>
          <t>투명 아크릴 + 인쇄 2T -사파리용</t>
        </is>
      </c>
      <c r="F207" s="100" t="n"/>
      <c r="G207" s="9" t="n"/>
      <c r="H207" s="9" t="n"/>
      <c r="I207" s="14" t="n"/>
      <c r="J207" s="14" t="n"/>
      <c r="K207" s="12" t="n">
        <v>98</v>
      </c>
      <c r="L207" s="9" t="n"/>
      <c r="M207" s="9" t="n"/>
      <c r="N207" s="9" t="n"/>
      <c r="O207" s="40">
        <f>K207+V207-AE207-AZ207</f>
        <v/>
      </c>
      <c r="P207" s="12" t="n"/>
      <c r="Q207" s="138" t="n"/>
      <c r="R207" s="16" t="n"/>
      <c r="S207" s="139" t="n"/>
      <c r="T207" s="16" t="n"/>
      <c r="U207" s="139" t="n"/>
      <c r="V207" s="16">
        <f>P207+R207+T207</f>
        <v/>
      </c>
      <c r="W207" s="16" t="n"/>
      <c r="X207" s="139" t="n"/>
      <c r="Y207" s="16" t="n"/>
      <c r="Z207" s="139" t="n"/>
      <c r="AA207" s="16" t="n"/>
      <c r="AB207" s="139" t="n"/>
      <c r="AC207" s="16" t="n"/>
      <c r="AD207" s="139" t="n"/>
      <c r="AE207" s="16">
        <f>(W207+Y207+AA207+AC207)</f>
        <v/>
      </c>
      <c r="AF207" s="16" t="n"/>
      <c r="AG207" s="138" t="n"/>
      <c r="AH207" s="16" t="n"/>
      <c r="AI207" s="138" t="n"/>
      <c r="AJ207" s="16" t="n"/>
      <c r="AK207" s="138" t="n"/>
      <c r="AL207" s="16" t="n"/>
      <c r="AM207" s="138" t="n"/>
      <c r="AN207" s="16" t="n"/>
      <c r="AO207" s="138" t="n"/>
      <c r="AP207" s="16" t="n"/>
      <c r="AQ207" s="138" t="n"/>
      <c r="AR207" s="16" t="n"/>
      <c r="AS207" s="138" t="n"/>
      <c r="AT207" s="16" t="n"/>
      <c r="AU207" s="138" t="n"/>
      <c r="AV207" s="16" t="n"/>
      <c r="AW207" s="138" t="n"/>
      <c r="AX207" s="16" t="n"/>
      <c r="AY207" s="138" t="n"/>
      <c r="AZ207" s="16">
        <f>AF207+AH207+AJ207+AL207+AN207+AP207+AR207+AT207+AV207+AX207</f>
        <v/>
      </c>
      <c r="BA207" s="16" t="n"/>
      <c r="BB207" s="139" t="n"/>
      <c r="BC207" s="16" t="n"/>
      <c r="BD207" s="139" t="n"/>
      <c r="BE207" s="16">
        <f>(BA207+BC207)</f>
        <v/>
      </c>
    </row>
    <row r="208" ht="22.5" customFormat="1" customHeight="1" s="8">
      <c r="A208" s="9" t="n"/>
      <c r="B208" s="136" t="inlineStr">
        <is>
          <t>AL</t>
        </is>
      </c>
      <c r="C208" s="137" t="inlineStr">
        <is>
          <t>COCOON</t>
        </is>
      </c>
      <c r="D208" s="144" t="inlineStr">
        <is>
          <t xml:space="preserve">알루미늄 필터 </t>
        </is>
      </c>
      <c r="E208" s="13" t="inlineStr">
        <is>
          <t>0.5T * Φ63 코쿤 기본</t>
        </is>
      </c>
      <c r="F208" s="100" t="n"/>
      <c r="G208" s="9" t="n"/>
      <c r="H208" s="9" t="inlineStr">
        <is>
          <t>광전레이저</t>
        </is>
      </c>
      <c r="I208" s="14" t="n"/>
      <c r="J208" s="14" t="n"/>
      <c r="K208" s="12" t="n">
        <v>400</v>
      </c>
      <c r="L208" s="9" t="n"/>
      <c r="M208" s="9" t="n"/>
      <c r="N208" s="9" t="n"/>
      <c r="O208" s="40">
        <f>K208+V208-AE208-AZ208</f>
        <v/>
      </c>
      <c r="P208" s="12" t="n"/>
      <c r="Q208" s="138" t="n"/>
      <c r="R208" s="16" t="n"/>
      <c r="S208" s="139" t="n"/>
      <c r="T208" s="16" t="n"/>
      <c r="U208" s="139" t="n"/>
      <c r="V208" s="16">
        <f>P208+R208+T208</f>
        <v/>
      </c>
      <c r="W208" s="16" t="n"/>
      <c r="X208" s="139" t="n"/>
      <c r="Y208" s="16" t="n"/>
      <c r="Z208" s="139" t="n"/>
      <c r="AA208" s="16" t="n"/>
      <c r="AB208" s="139" t="n"/>
      <c r="AC208" s="16" t="n"/>
      <c r="AD208" s="139" t="n"/>
      <c r="AE208" s="16">
        <f>(W208+Y208+AA208+AC208)</f>
        <v/>
      </c>
      <c r="AF208" s="16" t="n"/>
      <c r="AG208" s="138" t="n"/>
      <c r="AH208" s="16" t="n"/>
      <c r="AI208" s="138" t="n"/>
      <c r="AJ208" s="16" t="n"/>
      <c r="AK208" s="138" t="n"/>
      <c r="AL208" s="16" t="n"/>
      <c r="AM208" s="138" t="n"/>
      <c r="AN208" s="16" t="n"/>
      <c r="AO208" s="138" t="n"/>
      <c r="AP208" s="16" t="n"/>
      <c r="AQ208" s="138" t="n"/>
      <c r="AR208" s="16" t="n"/>
      <c r="AS208" s="138" t="n"/>
      <c r="AT208" s="16" t="n"/>
      <c r="AU208" s="138" t="n"/>
      <c r="AV208" s="16" t="n"/>
      <c r="AW208" s="138" t="n"/>
      <c r="AX208" s="16" t="n"/>
      <c r="AY208" s="138" t="n"/>
      <c r="AZ208" s="16">
        <f>AF208+AH208+AJ208+AL208+AN208+AP208+AR208+AT208+AV208+AX208</f>
        <v/>
      </c>
      <c r="BA208" s="16" t="n"/>
      <c r="BB208" s="139" t="n"/>
      <c r="BC208" s="16" t="n"/>
      <c r="BD208" s="139" t="n"/>
      <c r="BE208" s="16">
        <f>(BA208+BC208)</f>
        <v/>
      </c>
    </row>
    <row r="209" ht="22.5" customFormat="1" customHeight="1" s="8">
      <c r="A209" s="9" t="n"/>
      <c r="B209" s="136" t="inlineStr">
        <is>
          <t>RUBBER</t>
        </is>
      </c>
      <c r="C209" s="137" t="inlineStr">
        <is>
          <t>COCOON</t>
        </is>
      </c>
      <c r="D209" s="143" t="inlineStr">
        <is>
          <t>BAT BOTTOM RUBBER</t>
        </is>
      </c>
      <c r="E209" s="13" t="inlineStr">
        <is>
          <t>RUBBER</t>
        </is>
      </c>
      <c r="F209" s="100" t="n"/>
      <c r="G209" s="9" t="n"/>
      <c r="H209" s="9" t="inlineStr">
        <is>
          <t>남경화학</t>
        </is>
      </c>
      <c r="I209" s="14" t="n"/>
      <c r="J209" s="14" t="n"/>
      <c r="K209" s="12" t="n">
        <v>200</v>
      </c>
      <c r="L209" s="9" t="n"/>
      <c r="M209" s="9" t="n"/>
      <c r="N209" s="9" t="n"/>
      <c r="O209" s="40">
        <f>K209+V209-AE209-AZ209</f>
        <v/>
      </c>
      <c r="P209" s="12" t="n"/>
      <c r="Q209" s="138" t="n"/>
      <c r="R209" s="16" t="n"/>
      <c r="S209" s="139" t="n"/>
      <c r="T209" s="16" t="n"/>
      <c r="U209" s="139" t="n"/>
      <c r="V209" s="16">
        <f>P209+R209+T209</f>
        <v/>
      </c>
      <c r="W209" s="16" t="n"/>
      <c r="X209" s="139" t="n"/>
      <c r="Y209" s="16" t="n"/>
      <c r="Z209" s="139" t="n"/>
      <c r="AA209" s="16" t="n"/>
      <c r="AB209" s="139" t="n"/>
      <c r="AC209" s="16" t="n"/>
      <c r="AD209" s="139" t="n"/>
      <c r="AE209" s="16">
        <f>(W209+Y209+AA209+AC209)</f>
        <v/>
      </c>
      <c r="AF209" s="16" t="n"/>
      <c r="AG209" s="138" t="n"/>
      <c r="AH209" s="16" t="n"/>
      <c r="AI209" s="138" t="n"/>
      <c r="AJ209" s="16" t="n"/>
      <c r="AK209" s="138" t="n"/>
      <c r="AL209" s="16" t="n"/>
      <c r="AM209" s="138" t="n"/>
      <c r="AN209" s="16" t="n"/>
      <c r="AO209" s="138" t="n"/>
      <c r="AP209" s="16" t="n"/>
      <c r="AQ209" s="138" t="n"/>
      <c r="AR209" s="16" t="n"/>
      <c r="AS209" s="138" t="n"/>
      <c r="AT209" s="16" t="n"/>
      <c r="AU209" s="138" t="n"/>
      <c r="AV209" s="16" t="n"/>
      <c r="AW209" s="138" t="n"/>
      <c r="AX209" s="16" t="n"/>
      <c r="AY209" s="138" t="n"/>
      <c r="AZ209" s="16">
        <f>AF209+AH209+AJ209+AL209+AN209+AP209+AR209+AT209+AV209+AX209</f>
        <v/>
      </c>
      <c r="BA209" s="16" t="n"/>
      <c r="BB209" s="139" t="n"/>
      <c r="BC209" s="16" t="n"/>
      <c r="BD209" s="139" t="n"/>
      <c r="BE209" s="16">
        <f>(BA209+BC209)</f>
        <v/>
      </c>
    </row>
    <row r="210" ht="22.5" customFormat="1" customHeight="1" s="8">
      <c r="A210" s="9" t="n"/>
      <c r="B210" s="136" t="inlineStr">
        <is>
          <t>RUBBER</t>
        </is>
      </c>
      <c r="C210" s="137" t="inlineStr">
        <is>
          <t>COCOON</t>
        </is>
      </c>
      <c r="D210" s="144" t="inlineStr">
        <is>
          <t>CRADLE FOOT RUBBER</t>
        </is>
      </c>
      <c r="E210" s="13" t="inlineStr">
        <is>
          <t>RUBBER</t>
        </is>
      </c>
      <c r="F210" s="100" t="n"/>
      <c r="G210" s="9" t="n"/>
      <c r="H210" s="9" t="inlineStr">
        <is>
          <t>남경화학</t>
        </is>
      </c>
      <c r="I210" s="14" t="n"/>
      <c r="J210" s="14" t="n"/>
      <c r="K210" s="12" t="n"/>
      <c r="L210" s="9" t="n"/>
      <c r="M210" s="9" t="n"/>
      <c r="N210" s="9" t="n"/>
      <c r="O210" s="40">
        <f>K210+V210-AE210-AZ210</f>
        <v/>
      </c>
      <c r="P210" s="12" t="n"/>
      <c r="Q210" s="138" t="n"/>
      <c r="R210" s="16" t="n"/>
      <c r="S210" s="139" t="n"/>
      <c r="T210" s="16" t="n"/>
      <c r="U210" s="139" t="n"/>
      <c r="V210" s="16">
        <f>P210+R210+T210</f>
        <v/>
      </c>
      <c r="W210" s="16" t="n"/>
      <c r="X210" s="139" t="n"/>
      <c r="Y210" s="16" t="n"/>
      <c r="Z210" s="139" t="n"/>
      <c r="AA210" s="16" t="n"/>
      <c r="AB210" s="139" t="n"/>
      <c r="AC210" s="16" t="n"/>
      <c r="AD210" s="139" t="n"/>
      <c r="AE210" s="16">
        <f>(W210+Y210+AA210+AC210)</f>
        <v/>
      </c>
      <c r="AF210" s="16" t="n"/>
      <c r="AG210" s="138" t="n"/>
      <c r="AH210" s="16" t="n"/>
      <c r="AI210" s="138" t="n"/>
      <c r="AJ210" s="16" t="n"/>
      <c r="AK210" s="138" t="n"/>
      <c r="AL210" s="16" t="n"/>
      <c r="AM210" s="138" t="n"/>
      <c r="AN210" s="16" t="n"/>
      <c r="AO210" s="138" t="n"/>
      <c r="AP210" s="16" t="n"/>
      <c r="AQ210" s="138" t="n"/>
      <c r="AR210" s="16" t="n"/>
      <c r="AS210" s="138" t="n"/>
      <c r="AT210" s="16" t="n"/>
      <c r="AU210" s="138" t="n"/>
      <c r="AV210" s="16" t="n"/>
      <c r="AW210" s="138" t="n"/>
      <c r="AX210" s="16" t="n"/>
      <c r="AY210" s="138" t="n"/>
      <c r="AZ210" s="16">
        <f>AF210+AH210+AJ210+AL210+AN210+AP210+AR210+AT210+AV210+AX210</f>
        <v/>
      </c>
      <c r="BA210" s="16" t="n"/>
      <c r="BB210" s="139" t="n"/>
      <c r="BC210" s="16" t="n"/>
      <c r="BD210" s="139" t="n"/>
      <c r="BE210" s="16">
        <f>(BA210+BC210)</f>
        <v/>
      </c>
    </row>
    <row r="211" ht="22.5" customFormat="1" customHeight="1" s="8">
      <c r="A211" s="9" t="n"/>
      <c r="B211" s="136" t="inlineStr">
        <is>
          <t>신주</t>
        </is>
      </c>
      <c r="C211" s="137" t="inlineStr">
        <is>
          <t>COCOON</t>
        </is>
      </c>
      <c r="D211" s="83" t="inlineStr">
        <is>
          <t>CRADLE 신주 핀</t>
        </is>
      </c>
      <c r="E211" s="13" t="inlineStr">
        <is>
          <t>신주 가공 + 니켈 도금</t>
        </is>
      </c>
      <c r="F211" s="100" t="n"/>
      <c r="G211" s="9" t="n"/>
      <c r="H211" s="9" t="inlineStr">
        <is>
          <t>다우정밀</t>
        </is>
      </c>
      <c r="I211" s="14" t="n"/>
      <c r="J211" s="14" t="n"/>
      <c r="K211" s="12" t="n"/>
      <c r="L211" s="9" t="n"/>
      <c r="M211" s="9" t="n"/>
      <c r="N211" s="9" t="n"/>
      <c r="O211" s="40">
        <f>K211+V211-AE211-AZ211</f>
        <v/>
      </c>
      <c r="P211" s="12" t="n"/>
      <c r="Q211" s="138" t="n"/>
      <c r="R211" s="16" t="n"/>
      <c r="S211" s="139" t="n"/>
      <c r="T211" s="16" t="n"/>
      <c r="U211" s="139" t="n"/>
      <c r="V211" s="16">
        <f>P211+R211+T211</f>
        <v/>
      </c>
      <c r="W211" s="16" t="n"/>
      <c r="X211" s="139" t="n"/>
      <c r="Y211" s="16" t="n"/>
      <c r="Z211" s="139" t="n"/>
      <c r="AA211" s="16" t="n"/>
      <c r="AB211" s="139" t="n"/>
      <c r="AC211" s="16" t="n"/>
      <c r="AD211" s="139" t="n"/>
      <c r="AE211" s="16">
        <f>(W211+Y211+AA211+AC211)</f>
        <v/>
      </c>
      <c r="AF211" s="16" t="n"/>
      <c r="AG211" s="138" t="n"/>
      <c r="AH211" s="16" t="n"/>
      <c r="AI211" s="138" t="n"/>
      <c r="AJ211" s="16" t="n"/>
      <c r="AK211" s="138" t="n"/>
      <c r="AL211" s="16" t="n"/>
      <c r="AM211" s="138" t="n"/>
      <c r="AN211" s="16" t="n"/>
      <c r="AO211" s="138" t="n"/>
      <c r="AP211" s="16" t="n"/>
      <c r="AQ211" s="138" t="n"/>
      <c r="AR211" s="16" t="n"/>
      <c r="AS211" s="138" t="n"/>
      <c r="AT211" s="16" t="n"/>
      <c r="AU211" s="138" t="n"/>
      <c r="AV211" s="16" t="n"/>
      <c r="AW211" s="138" t="n"/>
      <c r="AX211" s="16" t="n"/>
      <c r="AY211" s="138" t="n"/>
      <c r="AZ211" s="16">
        <f>AF211+AH211+AJ211+AL211+AN211+AP211+AR211+AT211+AV211+AX211</f>
        <v/>
      </c>
      <c r="BA211" s="16" t="n"/>
      <c r="BB211" s="139" t="n"/>
      <c r="BC211" s="16" t="n"/>
      <c r="BD211" s="139" t="n"/>
      <c r="BE211" s="16">
        <f>(BA211+BC211)</f>
        <v/>
      </c>
    </row>
    <row r="212" ht="22.5" customFormat="1" customHeight="1" s="8">
      <c r="A212" s="9" t="n"/>
      <c r="B212" s="136" t="inlineStr">
        <is>
          <t>실리콘</t>
        </is>
      </c>
      <c r="C212" s="137" t="inlineStr">
        <is>
          <t>COCOON</t>
        </is>
      </c>
      <c r="D212" s="83" t="inlineStr">
        <is>
          <t>CRADLE 실리콘 커버</t>
        </is>
      </c>
      <c r="E212" s="13" t="inlineStr">
        <is>
          <t>화이트 케어스트림</t>
        </is>
      </c>
      <c r="F212" s="100" t="n"/>
      <c r="G212" s="9" t="n"/>
      <c r="H212" s="9" t="n"/>
      <c r="I212" s="14" t="n"/>
      <c r="J212" s="14" t="n"/>
      <c r="K212" s="12" t="n">
        <v>594</v>
      </c>
      <c r="L212" s="9" t="n"/>
      <c r="M212" s="9" t="n"/>
      <c r="N212" s="9" t="n"/>
      <c r="O212" s="40">
        <f>K212+V212-AE212-AZ212</f>
        <v/>
      </c>
      <c r="P212" s="12" t="n"/>
      <c r="Q212" s="138" t="n"/>
      <c r="R212" s="16" t="n"/>
      <c r="S212" s="139" t="n"/>
      <c r="T212" s="16" t="n"/>
      <c r="U212" s="139" t="n"/>
      <c r="V212" s="16">
        <f>P212+R212+T212</f>
        <v/>
      </c>
      <c r="W212" s="16" t="n"/>
      <c r="X212" s="139" t="n"/>
      <c r="Y212" s="16" t="n"/>
      <c r="Z212" s="139" t="n"/>
      <c r="AA212" s="16" t="n"/>
      <c r="AB212" s="139" t="n"/>
      <c r="AC212" s="16" t="n"/>
      <c r="AD212" s="139" t="n"/>
      <c r="AE212" s="16">
        <f>(W212+Y212+AA212+AC212)</f>
        <v/>
      </c>
      <c r="AF212" s="16" t="n"/>
      <c r="AG212" s="138" t="n"/>
      <c r="AH212" s="16" t="n"/>
      <c r="AI212" s="138" t="n"/>
      <c r="AJ212" s="16" t="n"/>
      <c r="AK212" s="138" t="n"/>
      <c r="AL212" s="16" t="n"/>
      <c r="AM212" s="138" t="n"/>
      <c r="AN212" s="16" t="n"/>
      <c r="AO212" s="138" t="n"/>
      <c r="AP212" s="16" t="n"/>
      <c r="AQ212" s="138" t="n"/>
      <c r="AR212" s="16" t="n"/>
      <c r="AS212" s="138" t="n"/>
      <c r="AT212" s="16" t="n"/>
      <c r="AU212" s="138" t="n"/>
      <c r="AV212" s="16" t="n"/>
      <c r="AW212" s="138" t="n"/>
      <c r="AX212" s="16" t="n"/>
      <c r="AY212" s="138" t="n"/>
      <c r="AZ212" s="16" t="n"/>
      <c r="BA212" s="16" t="n"/>
      <c r="BB212" s="139" t="n"/>
      <c r="BC212" s="16" t="n"/>
      <c r="BD212" s="139" t="n"/>
      <c r="BE212" s="16" t="n"/>
    </row>
    <row r="213" ht="22.5" customFormat="1" customHeight="1" s="8">
      <c r="A213" s="9" t="n"/>
      <c r="B213" s="136" t="inlineStr">
        <is>
          <t>스프링</t>
        </is>
      </c>
      <c r="C213" s="137" t="inlineStr">
        <is>
          <t>COCOON</t>
        </is>
      </c>
      <c r="D213" s="83" t="inlineStr">
        <is>
          <t>EXP BUTTON 스프링</t>
        </is>
      </c>
      <c r="E213" s="13" t="inlineStr">
        <is>
          <t>스프링</t>
        </is>
      </c>
      <c r="F213" s="100" t="n"/>
      <c r="G213" s="9" t="n"/>
      <c r="H213" s="9" t="inlineStr">
        <is>
          <t>금호스프링</t>
        </is>
      </c>
      <c r="I213" s="14" t="n"/>
      <c r="J213" s="14" t="n"/>
      <c r="K213" s="12" t="n"/>
      <c r="L213" s="9" t="n"/>
      <c r="M213" s="9" t="n"/>
      <c r="N213" s="9" t="n"/>
      <c r="O213" s="40">
        <f>K213+V213-AE213-AZ213</f>
        <v/>
      </c>
      <c r="P213" s="12" t="n"/>
      <c r="Q213" s="138" t="n"/>
      <c r="R213" s="16" t="n"/>
      <c r="S213" s="139" t="n"/>
      <c r="T213" s="16" t="n"/>
      <c r="U213" s="139" t="n"/>
      <c r="V213" s="16">
        <f>P213+R213+T213</f>
        <v/>
      </c>
      <c r="W213" s="16" t="n"/>
      <c r="X213" s="139" t="n"/>
      <c r="Y213" s="16" t="n"/>
      <c r="Z213" s="139" t="n"/>
      <c r="AA213" s="16" t="n"/>
      <c r="AB213" s="139" t="n"/>
      <c r="AC213" s="16" t="n"/>
      <c r="AD213" s="139" t="n"/>
      <c r="AE213" s="16">
        <f>(W213+Y213+AA213+AC213)</f>
        <v/>
      </c>
      <c r="AF213" s="16" t="n"/>
      <c r="AG213" s="138" t="n"/>
      <c r="AH213" s="16" t="n"/>
      <c r="AI213" s="138" t="n"/>
      <c r="AJ213" s="16" t="n"/>
      <c r="AK213" s="138" t="n"/>
      <c r="AL213" s="16" t="n"/>
      <c r="AM213" s="138" t="n"/>
      <c r="AN213" s="16" t="n"/>
      <c r="AO213" s="138" t="n"/>
      <c r="AP213" s="16" t="n"/>
      <c r="AQ213" s="138" t="n"/>
      <c r="AR213" s="16" t="n"/>
      <c r="AS213" s="138" t="n"/>
      <c r="AT213" s="16" t="n"/>
      <c r="AU213" s="138" t="n"/>
      <c r="AV213" s="16" t="n"/>
      <c r="AW213" s="138" t="n"/>
      <c r="AX213" s="16" t="n"/>
      <c r="AY213" s="138" t="n"/>
      <c r="AZ213" s="16">
        <f>AF213+AH213+AJ213+AL213+AN213+AP213+AR213+AT213+AV213+AX213</f>
        <v/>
      </c>
      <c r="BA213" s="16" t="n"/>
      <c r="BB213" s="139" t="n"/>
      <c r="BC213" s="16" t="n"/>
      <c r="BD213" s="139" t="n"/>
      <c r="BE213" s="16">
        <f>(BA213+BC213)</f>
        <v/>
      </c>
    </row>
    <row r="214" ht="22.5" customFormat="1" customHeight="1" s="8">
      <c r="A214" s="9" t="n"/>
      <c r="B214" s="136" t="inlineStr">
        <is>
          <t>스프링</t>
        </is>
      </c>
      <c r="C214" s="137" t="inlineStr">
        <is>
          <t>COCOON</t>
        </is>
      </c>
      <c r="D214" s="83" t="inlineStr">
        <is>
          <t>CRADLE 충전단자 스프링</t>
        </is>
      </c>
      <c r="E214" s="13" t="inlineStr">
        <is>
          <t>스프링</t>
        </is>
      </c>
      <c r="F214" s="100" t="n"/>
      <c r="G214" s="9" t="n"/>
      <c r="H214" s="9" t="inlineStr">
        <is>
          <t>금호스프링</t>
        </is>
      </c>
      <c r="I214" s="14" t="n"/>
      <c r="J214" s="14" t="n"/>
      <c r="K214" s="12" t="n"/>
      <c r="L214" s="9" t="n"/>
      <c r="M214" s="9" t="n"/>
      <c r="N214" s="9" t="n"/>
      <c r="O214" s="40">
        <f>K214+V214-AE214-AZ214</f>
        <v/>
      </c>
      <c r="P214" s="12" t="n"/>
      <c r="Q214" s="138" t="n"/>
      <c r="R214" s="16" t="n"/>
      <c r="S214" s="139" t="n"/>
      <c r="T214" s="16" t="n"/>
      <c r="U214" s="139" t="n"/>
      <c r="V214" s="16">
        <f>P214+R214+T214</f>
        <v/>
      </c>
      <c r="W214" s="16" t="n"/>
      <c r="X214" s="139" t="n"/>
      <c r="Y214" s="16" t="n"/>
      <c r="Z214" s="139" t="n"/>
      <c r="AA214" s="16" t="n"/>
      <c r="AB214" s="139" t="n"/>
      <c r="AC214" s="16" t="n"/>
      <c r="AD214" s="139" t="n"/>
      <c r="AE214" s="16">
        <f>(W214+Y214+AA214+AC214)</f>
        <v/>
      </c>
      <c r="AF214" s="16" t="n"/>
      <c r="AG214" s="138" t="n"/>
      <c r="AH214" s="16" t="n"/>
      <c r="AI214" s="138" t="n"/>
      <c r="AJ214" s="16" t="n"/>
      <c r="AK214" s="138" t="n"/>
      <c r="AL214" s="16" t="n"/>
      <c r="AM214" s="138" t="n"/>
      <c r="AN214" s="16" t="n"/>
      <c r="AO214" s="138" t="n"/>
      <c r="AP214" s="16" t="n"/>
      <c r="AQ214" s="138" t="n"/>
      <c r="AR214" s="16" t="n"/>
      <c r="AS214" s="138" t="n"/>
      <c r="AT214" s="16" t="n"/>
      <c r="AU214" s="138" t="n"/>
      <c r="AV214" s="16" t="n"/>
      <c r="AW214" s="138" t="n"/>
      <c r="AX214" s="16" t="n"/>
      <c r="AY214" s="138" t="n"/>
      <c r="AZ214" s="16">
        <f>AF214+AH214+AJ214+AL214+AN214+AP214+AR214+AT214+AV214+AX214</f>
        <v/>
      </c>
      <c r="BA214" s="16" t="n"/>
      <c r="BB214" s="139" t="n"/>
      <c r="BC214" s="16" t="n"/>
      <c r="BD214" s="139" t="n"/>
      <c r="BE214" s="16">
        <f>(BA214+BC214)</f>
        <v/>
      </c>
    </row>
    <row r="215" ht="22.5" customFormat="1" customHeight="1" s="8">
      <c r="A215" s="9" t="n"/>
      <c r="B215" s="136" t="inlineStr">
        <is>
          <t>STEEL</t>
        </is>
      </c>
      <c r="C215" s="137" t="inlineStr">
        <is>
          <t>COCOON</t>
        </is>
      </c>
      <c r="D215" s="83" t="inlineStr">
        <is>
          <t>D링 고리</t>
        </is>
      </c>
      <c r="E215" s="13" t="inlineStr">
        <is>
          <t>니켈 도금</t>
        </is>
      </c>
      <c r="F215" s="100" t="n"/>
      <c r="G215" s="9" t="n"/>
      <c r="H215" s="9" t="inlineStr">
        <is>
          <t>굿모닝코리아유통</t>
        </is>
      </c>
      <c r="I215" s="14" t="n"/>
      <c r="J215" s="14" t="n"/>
      <c r="K215" s="12" t="n">
        <v>599</v>
      </c>
      <c r="L215" s="9" t="n"/>
      <c r="M215" s="9" t="n"/>
      <c r="N215" s="9" t="n"/>
      <c r="O215" s="40">
        <f>K215+V215-AE215-AZ215</f>
        <v/>
      </c>
      <c r="P215" s="12" t="n"/>
      <c r="Q215" s="138" t="n"/>
      <c r="R215" s="16" t="n"/>
      <c r="S215" s="139" t="n"/>
      <c r="T215" s="16" t="n"/>
      <c r="U215" s="139" t="n"/>
      <c r="V215" s="16">
        <f>P215+R215+T215</f>
        <v/>
      </c>
      <c r="W215" s="16" t="n"/>
      <c r="X215" s="139" t="n"/>
      <c r="Y215" s="16" t="n"/>
      <c r="Z215" s="139" t="n"/>
      <c r="AA215" s="16" t="n"/>
      <c r="AB215" s="139" t="n"/>
      <c r="AC215" s="16" t="n"/>
      <c r="AD215" s="139" t="n"/>
      <c r="AE215" s="16">
        <f>(W215+Y215+AA215+AC215)</f>
        <v/>
      </c>
      <c r="AF215" s="16" t="n"/>
      <c r="AG215" s="138" t="n"/>
      <c r="AH215" s="16" t="n"/>
      <c r="AI215" s="138" t="n"/>
      <c r="AJ215" s="16" t="n"/>
      <c r="AK215" s="138" t="n"/>
      <c r="AL215" s="16" t="n"/>
      <c r="AM215" s="138" t="n"/>
      <c r="AN215" s="16" t="n"/>
      <c r="AO215" s="138" t="n"/>
      <c r="AP215" s="16" t="n"/>
      <c r="AQ215" s="138" t="n"/>
      <c r="AR215" s="16" t="n"/>
      <c r="AS215" s="138" t="n"/>
      <c r="AT215" s="16" t="n"/>
      <c r="AU215" s="138" t="n"/>
      <c r="AV215" s="16" t="n"/>
      <c r="AW215" s="138" t="n"/>
      <c r="AX215" s="16" t="n"/>
      <c r="AY215" s="138" t="n"/>
      <c r="AZ215" s="16">
        <f>AF215+AH215+AJ215+AL215+AN215+AP215+AR215+AT215+AV215+AX215</f>
        <v/>
      </c>
      <c r="BA215" s="16" t="n"/>
      <c r="BB215" s="139" t="n"/>
      <c r="BC215" s="16" t="n"/>
      <c r="BD215" s="139" t="n"/>
      <c r="BE215" s="16">
        <f>(BA215+BC215)</f>
        <v/>
      </c>
    </row>
    <row r="216" ht="22.5" customFormat="1" customHeight="1" s="8">
      <c r="A216" s="9" t="n"/>
      <c r="B216" s="136" t="inlineStr">
        <is>
          <t>자석</t>
        </is>
      </c>
      <c r="C216" s="137" t="inlineStr">
        <is>
          <t>COCOON</t>
        </is>
      </c>
      <c r="D216" s="83" t="inlineStr">
        <is>
          <t>자석</t>
        </is>
      </c>
      <c r="E216" s="13" t="inlineStr">
        <is>
          <t>네오디움 마그넷</t>
        </is>
      </c>
      <c r="F216" s="100" t="n"/>
      <c r="G216" s="9" t="n"/>
      <c r="H216" s="9" t="inlineStr">
        <is>
          <t>일성마그네트</t>
        </is>
      </c>
      <c r="I216" s="14" t="n"/>
      <c r="J216" s="14" t="n"/>
      <c r="K216" s="12" t="n">
        <v>669</v>
      </c>
      <c r="L216" s="9" t="n"/>
      <c r="M216" s="9" t="n"/>
      <c r="N216" s="9" t="n"/>
      <c r="O216" s="40">
        <f>K216+V216-AE216-AZ216</f>
        <v/>
      </c>
      <c r="P216" s="12" t="n"/>
      <c r="Q216" s="138" t="n"/>
      <c r="R216" s="16" t="n"/>
      <c r="S216" s="139" t="n"/>
      <c r="T216" s="16" t="n"/>
      <c r="U216" s="139" t="n"/>
      <c r="V216" s="16">
        <f>P216+R216+T216</f>
        <v/>
      </c>
      <c r="W216" s="16" t="n"/>
      <c r="X216" s="139" t="n"/>
      <c r="Y216" s="16" t="n"/>
      <c r="Z216" s="139" t="n"/>
      <c r="AA216" s="16" t="n"/>
      <c r="AB216" s="139" t="n"/>
      <c r="AC216" s="16" t="n"/>
      <c r="AD216" s="139" t="n"/>
      <c r="AE216" s="16">
        <f>(W216+Y216+AA216+AC216)</f>
        <v/>
      </c>
      <c r="AF216" s="16" t="n"/>
      <c r="AG216" s="138" t="n"/>
      <c r="AH216" s="16" t="n"/>
      <c r="AI216" s="138" t="n"/>
      <c r="AJ216" s="16" t="n"/>
      <c r="AK216" s="138" t="n"/>
      <c r="AL216" s="16" t="n"/>
      <c r="AM216" s="138" t="n"/>
      <c r="AN216" s="16" t="n"/>
      <c r="AO216" s="138" t="n"/>
      <c r="AP216" s="16" t="n"/>
      <c r="AQ216" s="138" t="n"/>
      <c r="AR216" s="16" t="n"/>
      <c r="AS216" s="138" t="n"/>
      <c r="AT216" s="16" t="n"/>
      <c r="AU216" s="138" t="n"/>
      <c r="AV216" s="16" t="n"/>
      <c r="AW216" s="138" t="n"/>
      <c r="AX216" s="16" t="n"/>
      <c r="AY216" s="138" t="n"/>
      <c r="AZ216" s="16">
        <f>AF216+AH216+AJ216+AL216+AN216+AP216+AR216+AT216+AV216+AX216</f>
        <v/>
      </c>
      <c r="BA216" s="16" t="n"/>
      <c r="BB216" s="139" t="n"/>
      <c r="BC216" s="16" t="n"/>
      <c r="BD216" s="139" t="n"/>
      <c r="BE216" s="16">
        <f>(BA216+BC216)</f>
        <v/>
      </c>
    </row>
    <row r="217" ht="22.5" customFormat="1" customHeight="1" s="8">
      <c r="A217" s="9" t="n"/>
      <c r="B217" s="136" t="inlineStr">
        <is>
          <t>ABS 난연</t>
        </is>
      </c>
      <c r="C217" s="137" t="inlineStr">
        <is>
          <t>COCOON</t>
        </is>
      </c>
      <c r="D217" s="144" t="inlineStr">
        <is>
          <t>FRONT_S (18cm)</t>
        </is>
      </c>
      <c r="E217" s="13" t="inlineStr">
        <is>
          <t>ABS 난연 블랙 + 블랙 무광</t>
        </is>
      </c>
      <c r="F217" s="100" t="n"/>
      <c r="G217" s="9" t="n"/>
      <c r="H217" s="9" t="inlineStr">
        <is>
          <t>천우</t>
        </is>
      </c>
      <c r="I217" s="14" t="n"/>
      <c r="J217" s="14" t="n"/>
      <c r="K217" s="12" t="n">
        <v>92</v>
      </c>
      <c r="L217" s="9" t="n"/>
      <c r="M217" s="9" t="n"/>
      <c r="N217" s="9" t="n"/>
      <c r="O217" s="40">
        <f>K217+V217-AE217-AZ217</f>
        <v/>
      </c>
      <c r="P217" s="12" t="n"/>
      <c r="Q217" s="138" t="n"/>
      <c r="R217" s="16" t="n"/>
      <c r="S217" s="139" t="n"/>
      <c r="T217" s="16" t="n"/>
      <c r="U217" s="139" t="n"/>
      <c r="V217" s="16">
        <f>P217+R217+T217</f>
        <v/>
      </c>
      <c r="W217" s="16" t="n"/>
      <c r="X217" s="139" t="n"/>
      <c r="Y217" s="16" t="n"/>
      <c r="Z217" s="139" t="n"/>
      <c r="AA217" s="16" t="n"/>
      <c r="AB217" s="139" t="n"/>
      <c r="AC217" s="16" t="n"/>
      <c r="AD217" s="139" t="n"/>
      <c r="AE217" s="16">
        <f>(W217+Y217+AA217+AC217)</f>
        <v/>
      </c>
      <c r="AF217" s="16" t="n"/>
      <c r="AG217" s="138" t="n"/>
      <c r="AH217" s="16" t="n"/>
      <c r="AI217" s="138" t="n"/>
      <c r="AJ217" s="16" t="n"/>
      <c r="AK217" s="138" t="n"/>
      <c r="AL217" s="16" t="n"/>
      <c r="AM217" s="138" t="n"/>
      <c r="AN217" s="16" t="n"/>
      <c r="AO217" s="138" t="n"/>
      <c r="AP217" s="16" t="n"/>
      <c r="AQ217" s="138" t="n"/>
      <c r="AR217" s="16" t="n"/>
      <c r="AS217" s="138" t="n"/>
      <c r="AT217" s="16" t="n"/>
      <c r="AU217" s="138" t="n"/>
      <c r="AV217" s="16" t="n"/>
      <c r="AW217" s="138" t="n"/>
      <c r="AX217" s="16" t="n"/>
      <c r="AY217" s="138" t="n"/>
      <c r="AZ217" s="16">
        <f>AF217+AH217+AJ217+AL217+AN217+AP217+AR217+AT217+AV217+AX217</f>
        <v/>
      </c>
      <c r="BA217" s="16" t="n"/>
      <c r="BB217" s="139" t="n"/>
      <c r="BC217" s="16" t="n"/>
      <c r="BD217" s="139" t="n"/>
      <c r="BE217" s="16">
        <f>(BA217+BC217)</f>
        <v/>
      </c>
    </row>
    <row r="218" ht="22.5" customFormat="1" customHeight="1" s="8">
      <c r="A218" s="9" t="n"/>
      <c r="B218" s="136" t="inlineStr">
        <is>
          <t>ABS 난연</t>
        </is>
      </c>
      <c r="C218" s="137" t="inlineStr">
        <is>
          <t>COCOON</t>
        </is>
      </c>
      <c r="D218" s="149" t="inlineStr">
        <is>
          <t>FRONT_L (20cm)</t>
        </is>
      </c>
      <c r="E218" s="13" t="inlineStr">
        <is>
          <t>ABS 난연 블랙 + 블랙 무광</t>
        </is>
      </c>
      <c r="F218" s="100" t="n"/>
      <c r="G218" s="9" t="n"/>
      <c r="H218" s="9" t="inlineStr">
        <is>
          <t>천우</t>
        </is>
      </c>
      <c r="I218" s="14" t="n"/>
      <c r="J218" s="14" t="n"/>
      <c r="K218" s="12" t="n">
        <v>241</v>
      </c>
      <c r="L218" s="9" t="n"/>
      <c r="M218" s="9" t="n"/>
      <c r="N218" s="9" t="n"/>
      <c r="O218" s="40">
        <f>K218+V218-AE218-AZ218</f>
        <v/>
      </c>
      <c r="P218" s="12" t="n"/>
      <c r="Q218" s="138" t="n"/>
      <c r="R218" s="16" t="n"/>
      <c r="S218" s="139" t="n"/>
      <c r="T218" s="16" t="n"/>
      <c r="U218" s="139" t="n"/>
      <c r="V218" s="16">
        <f>P218+R218+T218</f>
        <v/>
      </c>
      <c r="W218" s="16" t="n"/>
      <c r="X218" s="139" t="n"/>
      <c r="Y218" s="16" t="n"/>
      <c r="Z218" s="139" t="n"/>
      <c r="AA218" s="16" t="n"/>
      <c r="AB218" s="139" t="n"/>
      <c r="AC218" s="16" t="n"/>
      <c r="AD218" s="139" t="n"/>
      <c r="AE218" s="16">
        <f>(W218+Y218+AA218+AC218)</f>
        <v/>
      </c>
      <c r="AF218" s="16" t="n"/>
      <c r="AG218" s="138" t="n"/>
      <c r="AH218" s="16" t="n"/>
      <c r="AI218" s="138" t="n"/>
      <c r="AJ218" s="16" t="n"/>
      <c r="AK218" s="138" t="n"/>
      <c r="AL218" s="16" t="n"/>
      <c r="AM218" s="138" t="n"/>
      <c r="AN218" s="16" t="n"/>
      <c r="AO218" s="138" t="n"/>
      <c r="AP218" s="16" t="n"/>
      <c r="AQ218" s="138" t="n"/>
      <c r="AR218" s="16" t="n"/>
      <c r="AS218" s="138" t="n"/>
      <c r="AT218" s="16" t="n"/>
      <c r="AU218" s="138" t="n"/>
      <c r="AV218" s="16" t="n"/>
      <c r="AW218" s="138" t="n"/>
      <c r="AX218" s="16" t="n"/>
      <c r="AY218" s="138" t="n"/>
      <c r="AZ218" s="16">
        <f>AF218+AH218+AJ218+AL218+AN218+AP218+AR218+AT218+AV218+AX218</f>
        <v/>
      </c>
      <c r="BA218" s="16" t="n"/>
      <c r="BB218" s="139" t="n"/>
      <c r="BC218" s="16" t="n"/>
      <c r="BD218" s="139" t="n"/>
      <c r="BE218" s="16">
        <f>(BA218+BC218)</f>
        <v/>
      </c>
    </row>
    <row r="219" ht="22.5" customFormat="1" customHeight="1" s="8">
      <c r="A219" s="9" t="n"/>
      <c r="B219" s="136" t="inlineStr">
        <is>
          <t>ABS 난연</t>
        </is>
      </c>
      <c r="C219" s="137" t="inlineStr">
        <is>
          <t>COCOON</t>
        </is>
      </c>
      <c r="D219" s="149" t="inlineStr">
        <is>
          <t>FRONT_CAP</t>
        </is>
      </c>
      <c r="E219" s="13" t="inlineStr">
        <is>
          <t>ABS 난연 블랙 + 블랙 무광</t>
        </is>
      </c>
      <c r="F219" s="100" t="n"/>
      <c r="G219" s="9" t="n"/>
      <c r="H219" s="9" t="inlineStr">
        <is>
          <t>천우</t>
        </is>
      </c>
      <c r="I219" s="14" t="n"/>
      <c r="J219" s="14" t="n"/>
      <c r="K219" s="12" t="n">
        <v>70</v>
      </c>
      <c r="L219" s="9" t="n"/>
      <c r="M219" s="9" t="n"/>
      <c r="N219" s="9" t="n"/>
      <c r="O219" s="40">
        <f>K219+V219-AE219-AZ219</f>
        <v/>
      </c>
      <c r="P219" s="12" t="n"/>
      <c r="Q219" s="138" t="n"/>
      <c r="R219" s="16" t="n"/>
      <c r="S219" s="139" t="n"/>
      <c r="T219" s="16" t="n"/>
      <c r="U219" s="139" t="n"/>
      <c r="V219" s="16">
        <f>P219+R219+T219</f>
        <v/>
      </c>
      <c r="W219" s="16" t="n"/>
      <c r="X219" s="139" t="n"/>
      <c r="Y219" s="16" t="n"/>
      <c r="Z219" s="139" t="n"/>
      <c r="AA219" s="16" t="n"/>
      <c r="AB219" s="139" t="n"/>
      <c r="AC219" s="16" t="n"/>
      <c r="AD219" s="139" t="n"/>
      <c r="AE219" s="16">
        <f>(W219+Y219+AA219+AC219)</f>
        <v/>
      </c>
      <c r="AF219" s="16" t="n"/>
      <c r="AG219" s="138" t="n"/>
      <c r="AH219" s="16" t="n"/>
      <c r="AI219" s="138" t="n"/>
      <c r="AJ219" s="16" t="n"/>
      <c r="AK219" s="138" t="n"/>
      <c r="AL219" s="16" t="n"/>
      <c r="AM219" s="138" t="n"/>
      <c r="AN219" s="16" t="n"/>
      <c r="AO219" s="138" t="n"/>
      <c r="AP219" s="16" t="n"/>
      <c r="AQ219" s="138" t="n"/>
      <c r="AR219" s="16" t="n"/>
      <c r="AS219" s="138" t="n"/>
      <c r="AT219" s="16" t="n"/>
      <c r="AU219" s="138" t="n"/>
      <c r="AV219" s="16" t="n"/>
      <c r="AW219" s="138" t="n"/>
      <c r="AX219" s="16" t="n"/>
      <c r="AY219" s="138" t="n"/>
      <c r="AZ219" s="16">
        <f>AF219+AH219+AJ219+AL219+AN219+AP219+AR219+AT219+AV219+AX219</f>
        <v/>
      </c>
      <c r="BA219" s="16" t="n"/>
      <c r="BB219" s="139" t="n"/>
      <c r="BC219" s="16" t="n"/>
      <c r="BD219" s="139" t="n"/>
      <c r="BE219" s="16">
        <f>(BA219+BC219)</f>
        <v/>
      </c>
    </row>
    <row r="220" ht="22.5" customFormat="1" customHeight="1" s="8">
      <c r="A220" s="9" t="n"/>
      <c r="B220" s="136" t="inlineStr">
        <is>
          <t>ABS 난연</t>
        </is>
      </c>
      <c r="C220" s="137" t="inlineStr">
        <is>
          <t>COCOON</t>
        </is>
      </c>
      <c r="D220" s="149" t="inlineStr">
        <is>
          <t>사각 앞사출</t>
        </is>
      </c>
      <c r="E220" s="13" t="inlineStr">
        <is>
          <t>블랙 무광</t>
        </is>
      </c>
      <c r="F220" s="100" t="n"/>
      <c r="G220" s="9" t="n"/>
      <c r="H220" s="9" t="inlineStr">
        <is>
          <t>천우</t>
        </is>
      </c>
      <c r="I220" s="14" t="n"/>
      <c r="J220" s="14" t="n"/>
      <c r="K220" s="12" t="n">
        <v>488</v>
      </c>
      <c r="L220" s="9" t="n"/>
      <c r="M220" s="9" t="n"/>
      <c r="N220" s="9" t="n"/>
      <c r="O220" s="40">
        <f>K220+V220-AE220-AZ220</f>
        <v/>
      </c>
      <c r="P220" s="12" t="n"/>
      <c r="Q220" s="138" t="n"/>
      <c r="R220" s="16" t="n"/>
      <c r="S220" s="139" t="n"/>
      <c r="T220" s="16" t="n"/>
      <c r="U220" s="139" t="n"/>
      <c r="V220" s="16">
        <f>P220+R220+T220</f>
        <v/>
      </c>
      <c r="W220" s="16" t="n"/>
      <c r="X220" s="139" t="n"/>
      <c r="Y220" s="16" t="n"/>
      <c r="Z220" s="139" t="n"/>
      <c r="AA220" s="16" t="n"/>
      <c r="AB220" s="139" t="n"/>
      <c r="AC220" s="16" t="n"/>
      <c r="AD220" s="139" t="n"/>
      <c r="AE220" s="16">
        <f>(W220+Y220+AA220+AC220)</f>
        <v/>
      </c>
      <c r="AF220" s="16" t="n"/>
      <c r="AG220" s="138" t="n"/>
      <c r="AH220" s="16" t="n"/>
      <c r="AI220" s="138" t="n"/>
      <c r="AJ220" s="16" t="n"/>
      <c r="AK220" s="138" t="n"/>
      <c r="AL220" s="16" t="n"/>
      <c r="AM220" s="138" t="n"/>
      <c r="AN220" s="16" t="n"/>
      <c r="AO220" s="138" t="n"/>
      <c r="AP220" s="16" t="n"/>
      <c r="AQ220" s="138" t="n"/>
      <c r="AR220" s="16" t="n"/>
      <c r="AS220" s="138" t="n"/>
      <c r="AT220" s="16" t="n"/>
      <c r="AU220" s="138" t="n"/>
      <c r="AV220" s="16" t="n"/>
      <c r="AW220" s="138" t="n"/>
      <c r="AX220" s="16" t="n"/>
      <c r="AY220" s="138" t="n"/>
      <c r="AZ220" s="16">
        <f>AF220+AH220+AJ220+AL220+AN220+AP220+AR220+AT220+AV220+AX220</f>
        <v/>
      </c>
      <c r="BA220" s="16" t="n"/>
      <c r="BB220" s="139" t="n"/>
      <c r="BC220" s="16" t="n"/>
      <c r="BD220" s="139" t="n"/>
      <c r="BE220" s="16">
        <f>(BA220+BC220)</f>
        <v/>
      </c>
    </row>
    <row r="221" ht="22.5" customFormat="1" customHeight="1" s="8">
      <c r="A221" s="9" t="n"/>
      <c r="B221" s="136" t="inlineStr">
        <is>
          <t>ABS 난연</t>
        </is>
      </c>
      <c r="C221" s="137" t="inlineStr">
        <is>
          <t>COCOON</t>
        </is>
      </c>
      <c r="D221" s="143" t="inlineStr">
        <is>
          <t>POWER BUTTON</t>
        </is>
      </c>
      <c r="E221" s="13" t="inlineStr">
        <is>
          <t>ABS 난연 화이트 유광</t>
        </is>
      </c>
      <c r="F221" s="100" t="n"/>
      <c r="G221" s="9" t="n"/>
      <c r="H221" s="9" t="inlineStr">
        <is>
          <t>천우</t>
        </is>
      </c>
      <c r="I221" s="14" t="n"/>
      <c r="J221" s="14" t="n"/>
      <c r="K221" s="12" t="n">
        <v>134</v>
      </c>
      <c r="L221" s="9" t="n"/>
      <c r="M221" s="9" t="n"/>
      <c r="N221" s="9" t="n"/>
      <c r="O221" s="40">
        <f>K221+V221-AE221-AZ221</f>
        <v/>
      </c>
      <c r="P221" s="12" t="n"/>
      <c r="Q221" s="138" t="n"/>
      <c r="R221" s="16" t="n"/>
      <c r="S221" s="139" t="n"/>
      <c r="T221" s="16" t="n"/>
      <c r="U221" s="139" t="n"/>
      <c r="V221" s="16">
        <f>P221+R221+T221</f>
        <v/>
      </c>
      <c r="W221" s="16" t="n"/>
      <c r="X221" s="139" t="n"/>
      <c r="Y221" s="16" t="n"/>
      <c r="Z221" s="139" t="n"/>
      <c r="AA221" s="16" t="n"/>
      <c r="AB221" s="139" t="n"/>
      <c r="AC221" s="16" t="n"/>
      <c r="AD221" s="139" t="n"/>
      <c r="AE221" s="16">
        <f>(W221+Y221+AA221+AC221)</f>
        <v/>
      </c>
      <c r="AF221" s="16" t="n"/>
      <c r="AG221" s="138" t="n"/>
      <c r="AH221" s="16" t="n"/>
      <c r="AI221" s="138" t="n"/>
      <c r="AJ221" s="16" t="n"/>
      <c r="AK221" s="138" t="n"/>
      <c r="AL221" s="16" t="n"/>
      <c r="AM221" s="138" t="n"/>
      <c r="AN221" s="16" t="n"/>
      <c r="AO221" s="138" t="n"/>
      <c r="AP221" s="16" t="n"/>
      <c r="AQ221" s="138" t="n"/>
      <c r="AR221" s="16" t="n"/>
      <c r="AS221" s="138" t="n"/>
      <c r="AT221" s="16" t="n"/>
      <c r="AU221" s="138" t="n"/>
      <c r="AV221" s="16" t="n"/>
      <c r="AW221" s="138" t="n"/>
      <c r="AX221" s="16" t="n"/>
      <c r="AY221" s="138" t="n"/>
      <c r="AZ221" s="16">
        <f>AF221+AH221+AJ221+AL221+AN221+AP221+AR221+AT221+AV221+AX221</f>
        <v/>
      </c>
      <c r="BA221" s="16" t="n"/>
      <c r="BB221" s="139" t="n"/>
      <c r="BC221" s="16" t="n"/>
      <c r="BD221" s="139" t="n"/>
      <c r="BE221" s="16">
        <f>(BA221+BC221)</f>
        <v/>
      </c>
    </row>
    <row r="222" ht="22.5" customFormat="1" customHeight="1" s="8">
      <c r="A222" s="9" t="n"/>
      <c r="B222" s="136" t="inlineStr">
        <is>
          <t>ABS 난연</t>
        </is>
      </c>
      <c r="C222" s="137" t="inlineStr">
        <is>
          <t>COCOON</t>
        </is>
      </c>
      <c r="D222" s="144" t="inlineStr">
        <is>
          <t>LOCK KNOB</t>
        </is>
      </c>
      <c r="E222" s="13" t="inlineStr">
        <is>
          <t>ABS 난연 화이트 유광</t>
        </is>
      </c>
      <c r="F222" s="100" t="n"/>
      <c r="G222" s="9" t="n"/>
      <c r="H222" s="9" t="inlineStr">
        <is>
          <t>천우</t>
        </is>
      </c>
      <c r="I222" s="14" t="n"/>
      <c r="J222" s="14" t="n"/>
      <c r="K222" s="12" t="n">
        <v>400</v>
      </c>
      <c r="L222" s="9" t="n"/>
      <c r="M222" s="9" t="n"/>
      <c r="N222" s="9" t="n"/>
      <c r="O222" s="40">
        <f>K222+V222-AE222-AZ222</f>
        <v/>
      </c>
      <c r="P222" s="12" t="n"/>
      <c r="Q222" s="138" t="n"/>
      <c r="R222" s="16" t="n"/>
      <c r="S222" s="139" t="n"/>
      <c r="T222" s="16" t="n"/>
      <c r="U222" s="139" t="n"/>
      <c r="V222" s="16">
        <f>P222+R222+T222</f>
        <v/>
      </c>
      <c r="W222" s="16" t="n"/>
      <c r="X222" s="139" t="n"/>
      <c r="Y222" s="16" t="n"/>
      <c r="Z222" s="139" t="n"/>
      <c r="AA222" s="25" t="n"/>
      <c r="AB222" s="139" t="n"/>
      <c r="AC222" s="25" t="n"/>
      <c r="AD222" s="139" t="n"/>
      <c r="AE222" s="16">
        <f>(W222+Y222+AA222+AC222)</f>
        <v/>
      </c>
      <c r="AF222" s="16" t="n"/>
      <c r="AG222" s="138" t="n"/>
      <c r="AH222" s="16" t="n"/>
      <c r="AI222" s="138" t="n"/>
      <c r="AJ222" s="16" t="n"/>
      <c r="AK222" s="138" t="n"/>
      <c r="AL222" s="16" t="n"/>
      <c r="AM222" s="138" t="n"/>
      <c r="AN222" s="16" t="n"/>
      <c r="AO222" s="138" t="n"/>
      <c r="AP222" s="16" t="n"/>
      <c r="AQ222" s="138" t="n"/>
      <c r="AR222" s="16" t="n"/>
      <c r="AS222" s="138" t="n"/>
      <c r="AT222" s="16" t="n"/>
      <c r="AU222" s="138" t="n"/>
      <c r="AV222" s="16" t="n"/>
      <c r="AW222" s="138" t="n"/>
      <c r="AX222" s="16" t="n"/>
      <c r="AY222" s="138" t="n"/>
      <c r="AZ222" s="16">
        <f>AF222+AH222+AJ222+AL222+AN222+AP222+AR222+AT222+AV222+AX222</f>
        <v/>
      </c>
      <c r="BA222" s="16" t="n"/>
      <c r="BB222" s="139" t="n"/>
      <c r="BC222" s="16" t="n"/>
      <c r="BD222" s="139" t="n"/>
      <c r="BE222" s="16">
        <f>(BA222+BC222)</f>
        <v/>
      </c>
    </row>
    <row r="223" ht="22.5" customFormat="1" customHeight="1" s="8">
      <c r="A223" s="9" t="n"/>
      <c r="B223" s="136" t="inlineStr">
        <is>
          <t>ABS 난연</t>
        </is>
      </c>
      <c r="C223" s="137" t="inlineStr">
        <is>
          <t>COCOON</t>
        </is>
      </c>
      <c r="D223" s="143" t="inlineStr">
        <is>
          <t>LOCK INNER</t>
        </is>
      </c>
      <c r="E223" s="13" t="inlineStr">
        <is>
          <t>ABS 난연 화이트</t>
        </is>
      </c>
      <c r="F223" s="100" t="n"/>
      <c r="G223" s="9" t="n"/>
      <c r="H223" s="9" t="inlineStr">
        <is>
          <t>천우</t>
        </is>
      </c>
      <c r="I223" s="14" t="n"/>
      <c r="J223" s="14" t="n"/>
      <c r="K223" s="12" t="n">
        <v>514</v>
      </c>
      <c r="L223" s="9" t="n"/>
      <c r="M223" s="9" t="n"/>
      <c r="N223" s="9" t="n"/>
      <c r="O223" s="40">
        <f>K223+V223-AE223-AZ223</f>
        <v/>
      </c>
      <c r="P223" s="12" t="n"/>
      <c r="Q223" s="138" t="n"/>
      <c r="R223" s="16" t="n"/>
      <c r="S223" s="139" t="n"/>
      <c r="T223" s="16" t="n"/>
      <c r="U223" s="139" t="n"/>
      <c r="V223" s="16">
        <f>P223+R223+T223</f>
        <v/>
      </c>
      <c r="W223" s="16" t="n"/>
      <c r="X223" s="139" t="n"/>
      <c r="Y223" s="16" t="n"/>
      <c r="Z223" s="139" t="n"/>
      <c r="AA223" s="16" t="n"/>
      <c r="AB223" s="139" t="n"/>
      <c r="AC223" s="16" t="n"/>
      <c r="AD223" s="139" t="n"/>
      <c r="AE223" s="16">
        <f>(W223+Y223+AA223+AC223)</f>
        <v/>
      </c>
      <c r="AF223" s="16" t="n"/>
      <c r="AG223" s="138" t="n"/>
      <c r="AH223" s="16" t="n"/>
      <c r="AI223" s="138" t="n"/>
      <c r="AJ223" s="16" t="n"/>
      <c r="AK223" s="138" t="n"/>
      <c r="AL223" s="16" t="n"/>
      <c r="AM223" s="138" t="n"/>
      <c r="AN223" s="16" t="n"/>
      <c r="AO223" s="138" t="n"/>
      <c r="AP223" s="16" t="n"/>
      <c r="AQ223" s="138" t="n"/>
      <c r="AR223" s="16" t="n"/>
      <c r="AS223" s="138" t="n"/>
      <c r="AT223" s="16" t="n"/>
      <c r="AU223" s="138" t="n"/>
      <c r="AV223" s="16" t="n"/>
      <c r="AW223" s="138" t="n"/>
      <c r="AX223" s="16" t="n"/>
      <c r="AY223" s="138" t="n"/>
      <c r="AZ223" s="16">
        <f>AF223+AH223+AJ223+AL223+AN223+AP223+AR223+AT223+AV223+AX223</f>
        <v/>
      </c>
      <c r="BA223" s="16" t="n"/>
      <c r="BB223" s="139" t="n"/>
      <c r="BC223" s="16" t="n"/>
      <c r="BD223" s="139" t="n"/>
      <c r="BE223" s="16">
        <f>(BA223+BC223)</f>
        <v/>
      </c>
    </row>
    <row r="224" ht="22.5" customFormat="1" customHeight="1" s="8">
      <c r="A224" s="9" t="n"/>
      <c r="B224" s="136" t="inlineStr">
        <is>
          <t>ABS 난연</t>
        </is>
      </c>
      <c r="C224" s="137" t="inlineStr">
        <is>
          <t>COCOON</t>
        </is>
      </c>
      <c r="D224" s="145" t="inlineStr">
        <is>
          <t>HAND BODY</t>
        </is>
      </c>
      <c r="E224" s="13" t="inlineStr">
        <is>
          <t>ABS 난연 화이트 + 화이트 유광</t>
        </is>
      </c>
      <c r="F224" s="100" t="n"/>
      <c r="G224" s="9" t="n"/>
      <c r="H224" s="9" t="inlineStr">
        <is>
          <t>천우</t>
        </is>
      </c>
      <c r="I224" s="14" t="n"/>
      <c r="J224" s="14" t="n"/>
      <c r="K224" s="12" t="n">
        <v>142</v>
      </c>
      <c r="L224" s="9" t="n"/>
      <c r="M224" s="9" t="n"/>
      <c r="N224" s="9" t="n"/>
      <c r="O224" s="40">
        <f>K224+V224-AE224-AZ224</f>
        <v/>
      </c>
      <c r="P224" s="12" t="n"/>
      <c r="Q224" s="138" t="n"/>
      <c r="R224" s="16" t="n"/>
      <c r="S224" s="139" t="n"/>
      <c r="T224" s="16" t="n"/>
      <c r="U224" s="139" t="n"/>
      <c r="V224" s="16">
        <f>P224+R224+T224</f>
        <v/>
      </c>
      <c r="W224" s="16" t="n"/>
      <c r="X224" s="139" t="n"/>
      <c r="Y224" s="16" t="n"/>
      <c r="Z224" s="139" t="n"/>
      <c r="AA224" s="16" t="n"/>
      <c r="AB224" s="139" t="n"/>
      <c r="AC224" s="16" t="n"/>
      <c r="AD224" s="139" t="n"/>
      <c r="AE224" s="16">
        <f>(W224+Y224+AA224+AC224)</f>
        <v/>
      </c>
      <c r="AF224" s="16" t="n"/>
      <c r="AG224" s="138" t="n"/>
      <c r="AH224" s="16" t="n"/>
      <c r="AI224" s="138" t="n"/>
      <c r="AJ224" s="16" t="n"/>
      <c r="AK224" s="138" t="n"/>
      <c r="AL224" s="16" t="n"/>
      <c r="AM224" s="138" t="n"/>
      <c r="AN224" s="16" t="n"/>
      <c r="AO224" s="138" t="n"/>
      <c r="AP224" s="16" t="n"/>
      <c r="AQ224" s="138" t="n"/>
      <c r="AR224" s="16" t="n"/>
      <c r="AS224" s="138" t="n"/>
      <c r="AT224" s="16" t="n"/>
      <c r="AU224" s="138" t="n"/>
      <c r="AV224" s="16" t="n"/>
      <c r="AW224" s="138" t="n"/>
      <c r="AX224" s="16" t="n"/>
      <c r="AY224" s="138" t="n"/>
      <c r="AZ224" s="16">
        <f>AF224+AH224+AJ224+AL224+AN224+AP224+AR224+AT224+AV224+AX224</f>
        <v/>
      </c>
      <c r="BA224" s="16" t="n"/>
      <c r="BB224" s="139" t="n"/>
      <c r="BC224" s="16" t="n"/>
      <c r="BD224" s="139" t="n"/>
      <c r="BE224" s="16">
        <f>(BA224+BC224)</f>
        <v/>
      </c>
    </row>
    <row r="225" ht="22.5" customFormat="1" customHeight="1" s="8">
      <c r="A225" s="9" t="n"/>
      <c r="B225" s="136" t="inlineStr">
        <is>
          <t>ABS 난연</t>
        </is>
      </c>
      <c r="C225" s="137" t="inlineStr">
        <is>
          <t>COCOON</t>
        </is>
      </c>
      <c r="D225" s="143" t="inlineStr">
        <is>
          <t>HAND TOP COVER</t>
        </is>
      </c>
      <c r="E225" s="13" t="inlineStr">
        <is>
          <t>ABS 난연 화이트 유광</t>
        </is>
      </c>
      <c r="F225" s="100" t="n"/>
      <c r="G225" s="9" t="n"/>
      <c r="H225" s="9" t="inlineStr">
        <is>
          <t>천우</t>
        </is>
      </c>
      <c r="I225" s="14" t="n"/>
      <c r="J225" s="14" t="n"/>
      <c r="K225" s="12" t="n">
        <v>123</v>
      </c>
      <c r="L225" s="9" t="n"/>
      <c r="M225" s="9" t="n"/>
      <c r="N225" s="9" t="n"/>
      <c r="O225" s="40">
        <f>K225+V225-AE225-AZ225</f>
        <v/>
      </c>
      <c r="P225" s="12" t="n"/>
      <c r="Q225" s="138" t="n"/>
      <c r="R225" s="16" t="n"/>
      <c r="S225" s="139" t="n"/>
      <c r="T225" s="16" t="n"/>
      <c r="U225" s="139" t="n"/>
      <c r="V225" s="16">
        <f>P225+R225+T225</f>
        <v/>
      </c>
      <c r="W225" s="16" t="n"/>
      <c r="X225" s="139" t="n"/>
      <c r="Y225" s="16" t="n"/>
      <c r="Z225" s="139" t="n"/>
      <c r="AA225" s="16" t="n"/>
      <c r="AB225" s="139" t="n"/>
      <c r="AC225" s="16" t="n"/>
      <c r="AD225" s="139" t="n"/>
      <c r="AE225" s="16">
        <f>(W225+Y225+AA225+AC225)</f>
        <v/>
      </c>
      <c r="AF225" s="16" t="n"/>
      <c r="AG225" s="138" t="n"/>
      <c r="AH225" s="16" t="n"/>
      <c r="AI225" s="138" t="n"/>
      <c r="AJ225" s="16" t="n"/>
      <c r="AK225" s="138" t="n"/>
      <c r="AL225" s="16" t="n"/>
      <c r="AM225" s="138" t="n"/>
      <c r="AN225" s="16" t="n"/>
      <c r="AO225" s="138" t="n"/>
      <c r="AP225" s="16" t="n"/>
      <c r="AQ225" s="138" t="n"/>
      <c r="AR225" s="16" t="n"/>
      <c r="AS225" s="138" t="n"/>
      <c r="AT225" s="16" t="n"/>
      <c r="AU225" s="138" t="n"/>
      <c r="AV225" s="16" t="n"/>
      <c r="AW225" s="138" t="n"/>
      <c r="AX225" s="16" t="n"/>
      <c r="AY225" s="138" t="n"/>
      <c r="AZ225" s="16">
        <f>AF225+AH225+AJ225+AL225+AN225+AP225+AR225+AT225+AV225+AX225</f>
        <v/>
      </c>
      <c r="BA225" s="16" t="n"/>
      <c r="BB225" s="139" t="n"/>
      <c r="BC225" s="16" t="n"/>
      <c r="BD225" s="139" t="n"/>
      <c r="BE225" s="16">
        <f>(BA225+BC225)</f>
        <v/>
      </c>
    </row>
    <row r="226" ht="22.5" customFormat="1" customHeight="1" s="8">
      <c r="A226" s="9" t="n"/>
      <c r="B226" s="136" t="inlineStr">
        <is>
          <t>ABS 난연</t>
        </is>
      </c>
      <c r="C226" s="137" t="inlineStr">
        <is>
          <t>COCOON</t>
        </is>
      </c>
      <c r="D226" s="143" t="inlineStr">
        <is>
          <t>BAT BOTTOM</t>
        </is>
      </c>
      <c r="E226" s="13" t="inlineStr">
        <is>
          <t>ABS 난연 블랙 + 블랙 무광</t>
        </is>
      </c>
      <c r="F226" s="100" t="n"/>
      <c r="G226" s="9" t="n"/>
      <c r="H226" s="9" t="inlineStr">
        <is>
          <t>천우</t>
        </is>
      </c>
      <c r="I226" s="14" t="n"/>
      <c r="J226" s="14" t="n"/>
      <c r="K226" s="12" t="n">
        <v>181</v>
      </c>
      <c r="L226" s="9" t="n"/>
      <c r="M226" s="9" t="n"/>
      <c r="N226" s="9" t="n"/>
      <c r="O226" s="40">
        <f>K226+V226-AE226-AZ226</f>
        <v/>
      </c>
      <c r="P226" s="12" t="n"/>
      <c r="Q226" s="138" t="n"/>
      <c r="R226" s="16" t="n"/>
      <c r="S226" s="139" t="n"/>
      <c r="T226" s="16" t="n"/>
      <c r="U226" s="139" t="n"/>
      <c r="V226" s="16">
        <f>P226+R226+T226</f>
        <v/>
      </c>
      <c r="W226" s="16" t="n"/>
      <c r="X226" s="139" t="n"/>
      <c r="Y226" s="16" t="n"/>
      <c r="Z226" s="139" t="n"/>
      <c r="AA226" s="16" t="n"/>
      <c r="AB226" s="139" t="n"/>
      <c r="AC226" s="16" t="n"/>
      <c r="AD226" s="139" t="n"/>
      <c r="AE226" s="16">
        <f>(W226+Y226+AA226+AC226)</f>
        <v/>
      </c>
      <c r="AF226" s="16" t="n"/>
      <c r="AG226" s="138" t="n"/>
      <c r="AH226" s="16" t="n"/>
      <c r="AI226" s="138" t="n"/>
      <c r="AJ226" s="16" t="n"/>
      <c r="AK226" s="138" t="n"/>
      <c r="AL226" s="16" t="n"/>
      <c r="AM226" s="138" t="n"/>
      <c r="AN226" s="16" t="n"/>
      <c r="AO226" s="138" t="n"/>
      <c r="AP226" s="16" t="n"/>
      <c r="AQ226" s="138" t="n"/>
      <c r="AR226" s="16" t="n"/>
      <c r="AS226" s="138" t="n"/>
      <c r="AT226" s="16" t="n"/>
      <c r="AU226" s="138" t="n"/>
      <c r="AV226" s="16" t="n"/>
      <c r="AW226" s="138" t="n"/>
      <c r="AX226" s="16" t="n"/>
      <c r="AY226" s="138" t="n"/>
      <c r="AZ226" s="16">
        <f>AF226+AH226+AJ226+AL226+AN226+AP226+AR226+AT226+AV226+AX226</f>
        <v/>
      </c>
      <c r="BA226" s="16" t="n"/>
      <c r="BB226" s="139" t="n"/>
      <c r="BC226" s="16" t="n"/>
      <c r="BD226" s="139" t="n"/>
      <c r="BE226" s="16">
        <f>(BA226+BC226)</f>
        <v/>
      </c>
    </row>
    <row r="227" ht="22.5" customFormat="1" customHeight="1" s="8">
      <c r="A227" s="9" t="n"/>
      <c r="B227" s="141" t="inlineStr">
        <is>
          <t>PCB</t>
        </is>
      </c>
      <c r="C227" s="137" t="inlineStr">
        <is>
          <t>SOLO</t>
        </is>
      </c>
      <c r="D227" s="70" t="inlineStr">
        <is>
          <t>CTR _BD</t>
        </is>
      </c>
      <c r="E227" s="36" t="n"/>
      <c r="F227" s="100" t="n"/>
      <c r="G227" s="22" t="n"/>
      <c r="H227" s="22" t="inlineStr">
        <is>
          <t>HLP</t>
        </is>
      </c>
      <c r="I227" s="14" t="n"/>
      <c r="J227" s="14" t="n"/>
      <c r="K227" s="12" t="n">
        <v>186</v>
      </c>
      <c r="L227" s="9" t="n"/>
      <c r="M227" s="9" t="n"/>
      <c r="N227" s="9" t="n"/>
      <c r="O227" s="40">
        <f>K227+V227-AE227-AZ227</f>
        <v/>
      </c>
      <c r="P227" s="12" t="n"/>
      <c r="Q227" s="138" t="n"/>
      <c r="R227" s="16" t="n"/>
      <c r="S227" s="139" t="n"/>
      <c r="T227" s="16" t="n"/>
      <c r="U227" s="139" t="n"/>
      <c r="V227" s="16">
        <f>P227+R227+T227</f>
        <v/>
      </c>
      <c r="W227" s="16" t="n"/>
      <c r="X227" s="139" t="n"/>
      <c r="Y227" s="16" t="n"/>
      <c r="Z227" s="139" t="n"/>
      <c r="AA227" s="16" t="n"/>
      <c r="AB227" s="139" t="n"/>
      <c r="AC227" s="16" t="n"/>
      <c r="AD227" s="139" t="n"/>
      <c r="AE227" s="16">
        <f>(W227+Y227+AA227+AC227)</f>
        <v/>
      </c>
      <c r="AF227" s="16" t="n"/>
      <c r="AG227" s="138" t="n"/>
      <c r="AH227" s="16" t="n"/>
      <c r="AI227" s="138" t="n"/>
      <c r="AJ227" s="16" t="n"/>
      <c r="AK227" s="138" t="n"/>
      <c r="AL227" s="16" t="n"/>
      <c r="AM227" s="138" t="n"/>
      <c r="AN227" s="16" t="n"/>
      <c r="AO227" s="138" t="n"/>
      <c r="AP227" s="16" t="n"/>
      <c r="AQ227" s="138" t="n"/>
      <c r="AR227" s="16" t="n"/>
      <c r="AS227" s="138" t="n"/>
      <c r="AT227" s="16" t="n"/>
      <c r="AU227" s="138" t="n"/>
      <c r="AV227" s="16" t="n"/>
      <c r="AW227" s="138" t="n"/>
      <c r="AX227" s="16" t="n"/>
      <c r="AY227" s="138" t="n"/>
      <c r="AZ227" s="16">
        <f>AF227+AH227+AJ227+AL227+AN227+AP227+AR227+AT227+AV227+AX227</f>
        <v/>
      </c>
      <c r="BA227" s="16" t="n"/>
      <c r="BB227" s="139" t="n"/>
      <c r="BC227" s="16" t="n"/>
      <c r="BD227" s="139" t="n"/>
      <c r="BE227" s="16">
        <f>(BA227+BC227)</f>
        <v/>
      </c>
    </row>
    <row r="228" ht="22.5" customFormat="1" customHeight="1" s="8">
      <c r="A228" s="9" t="n"/>
      <c r="B228" s="141" t="inlineStr">
        <is>
          <t>PCB</t>
        </is>
      </c>
      <c r="C228" s="137" t="inlineStr">
        <is>
          <t>SOLO</t>
        </is>
      </c>
      <c r="D228" s="62" t="inlineStr">
        <is>
          <t>OP_BD</t>
        </is>
      </c>
      <c r="E228" s="36" t="n"/>
      <c r="F228" s="100" t="n"/>
      <c r="G228" s="22" t="n"/>
      <c r="H228" s="22" t="inlineStr">
        <is>
          <t>HLP</t>
        </is>
      </c>
      <c r="I228" s="14" t="n"/>
      <c r="J228" s="14" t="n"/>
      <c r="K228" s="12" t="n"/>
      <c r="L228" s="9" t="n"/>
      <c r="M228" s="9" t="n"/>
      <c r="N228" s="9" t="n"/>
      <c r="O228" s="40">
        <f>K228+V228-AE228-AZ228</f>
        <v/>
      </c>
      <c r="P228" s="12" t="n"/>
      <c r="Q228" s="138" t="n"/>
      <c r="R228" s="16" t="n"/>
      <c r="S228" s="139" t="n"/>
      <c r="T228" s="16" t="n"/>
      <c r="U228" s="139" t="n"/>
      <c r="V228" s="16">
        <f>P228+R228+T228</f>
        <v/>
      </c>
      <c r="W228" s="16" t="n"/>
      <c r="X228" s="139" t="n"/>
      <c r="Y228" s="16" t="n"/>
      <c r="Z228" s="139" t="n"/>
      <c r="AA228" s="16" t="n"/>
      <c r="AB228" s="139" t="n"/>
      <c r="AC228" s="16" t="n"/>
      <c r="AD228" s="139" t="n"/>
      <c r="AE228" s="16">
        <f>(W228+Y228+AA228+AC228)</f>
        <v/>
      </c>
      <c r="AF228" s="16" t="n"/>
      <c r="AG228" s="138" t="n"/>
      <c r="AH228" s="16" t="n"/>
      <c r="AI228" s="138" t="n"/>
      <c r="AJ228" s="16" t="n"/>
      <c r="AK228" s="138" t="n"/>
      <c r="AL228" s="16" t="n"/>
      <c r="AM228" s="138" t="n"/>
      <c r="AN228" s="16" t="n"/>
      <c r="AO228" s="138" t="n"/>
      <c r="AP228" s="16" t="n"/>
      <c r="AQ228" s="138" t="n"/>
      <c r="AR228" s="16" t="n"/>
      <c r="AS228" s="138" t="n"/>
      <c r="AT228" s="16" t="n"/>
      <c r="AU228" s="138" t="n"/>
      <c r="AV228" s="16" t="n"/>
      <c r="AW228" s="138" t="n"/>
      <c r="AX228" s="16" t="n"/>
      <c r="AY228" s="138" t="n"/>
      <c r="AZ228" s="16">
        <f>AF228+AH228+AJ228+AL228+AN228+AP228+AR228+AT228+AV228+AX228</f>
        <v/>
      </c>
      <c r="BA228" s="16" t="n"/>
      <c r="BB228" s="139" t="n"/>
      <c r="BC228" s="16" t="n"/>
      <c r="BD228" s="139" t="n"/>
      <c r="BE228" s="16">
        <f>(BA228+BC228)</f>
        <v/>
      </c>
    </row>
    <row r="229" ht="22.5" customFormat="1" customHeight="1" s="8">
      <c r="A229" s="9" t="n"/>
      <c r="B229" s="136" t="inlineStr">
        <is>
          <t>PCB</t>
        </is>
      </c>
      <c r="C229" s="137" t="inlineStr">
        <is>
          <t>SOLO</t>
        </is>
      </c>
      <c r="D229" s="145" t="inlineStr">
        <is>
          <t>POWER_BD</t>
        </is>
      </c>
      <c r="E229" s="13" t="n"/>
      <c r="F229" s="100" t="n"/>
      <c r="G229" s="9" t="n"/>
      <c r="H229" s="9" t="inlineStr">
        <is>
          <t>HLP</t>
        </is>
      </c>
      <c r="I229" s="14" t="n"/>
      <c r="J229" s="14" t="n"/>
      <c r="K229" s="12" t="n">
        <v>278</v>
      </c>
      <c r="L229" s="9" t="n"/>
      <c r="M229" s="9" t="n"/>
      <c r="N229" s="9" t="n"/>
      <c r="O229" s="40">
        <f>K229+V229-AE229-AZ229</f>
        <v/>
      </c>
      <c r="P229" s="12" t="n"/>
      <c r="Q229" s="138" t="n"/>
      <c r="R229" s="16" t="n"/>
      <c r="S229" s="139" t="n"/>
      <c r="T229" s="16" t="n"/>
      <c r="U229" s="139" t="n"/>
      <c r="V229" s="16">
        <f>P229+R229+T229</f>
        <v/>
      </c>
      <c r="W229" s="16" t="n"/>
      <c r="X229" s="139" t="n"/>
      <c r="Y229" s="16" t="n"/>
      <c r="Z229" s="139" t="n"/>
      <c r="AA229" s="16" t="n"/>
      <c r="AB229" s="139" t="n"/>
      <c r="AC229" s="16" t="n"/>
      <c r="AD229" s="139" t="n"/>
      <c r="AE229" s="16">
        <f>(W229+Y229+AA229+AC229)</f>
        <v/>
      </c>
      <c r="AF229" s="16" t="n"/>
      <c r="AG229" s="138" t="n"/>
      <c r="AH229" s="16" t="n"/>
      <c r="AI229" s="138" t="n"/>
      <c r="AJ229" s="16" t="n"/>
      <c r="AK229" s="138" t="n"/>
      <c r="AL229" s="16" t="n"/>
      <c r="AM229" s="138" t="n"/>
      <c r="AN229" s="16" t="n"/>
      <c r="AO229" s="138" t="n"/>
      <c r="AP229" s="16" t="n"/>
      <c r="AQ229" s="138" t="n"/>
      <c r="AR229" s="16" t="n"/>
      <c r="AS229" s="138" t="n"/>
      <c r="AT229" s="16" t="n"/>
      <c r="AU229" s="138" t="n"/>
      <c r="AV229" s="16" t="n"/>
      <c r="AW229" s="138" t="n"/>
      <c r="AX229" s="16" t="n"/>
      <c r="AY229" s="138" t="n"/>
      <c r="AZ229" s="16">
        <f>AF229+AH229+AJ229+AL229+AN229+AP229+AR229+AT229+AV229+AX229</f>
        <v/>
      </c>
      <c r="BA229" s="16" t="n"/>
      <c r="BB229" s="139" t="n"/>
      <c r="BC229" s="16" t="n"/>
      <c r="BD229" s="139" t="n"/>
      <c r="BE229" s="16">
        <f>(BA229+BC229)</f>
        <v/>
      </c>
    </row>
    <row r="230" ht="22.5" customFormat="1" customHeight="1" s="8">
      <c r="A230" s="9" t="n"/>
      <c r="B230" s="136" t="inlineStr">
        <is>
          <t>PCB</t>
        </is>
      </c>
      <c r="C230" s="137" t="inlineStr">
        <is>
          <t>SOLO</t>
        </is>
      </c>
      <c r="D230" s="82" t="inlineStr">
        <is>
          <t>MAIN_BD</t>
        </is>
      </c>
      <c r="E230" s="13" t="n"/>
      <c r="F230" s="100" t="n"/>
      <c r="G230" s="9" t="n"/>
      <c r="H230" s="9" t="inlineStr">
        <is>
          <t>HLP</t>
        </is>
      </c>
      <c r="I230" s="14" t="n"/>
      <c r="J230" s="14" t="n"/>
      <c r="K230" s="12" t="n">
        <v>210</v>
      </c>
      <c r="L230" s="9" t="n"/>
      <c r="M230" s="9" t="n"/>
      <c r="N230" s="9" t="n"/>
      <c r="O230" s="40">
        <f>K230+V230-AE230-AZ230</f>
        <v/>
      </c>
      <c r="P230" s="12" t="n"/>
      <c r="Q230" s="138" t="n"/>
      <c r="R230" s="16" t="n"/>
      <c r="S230" s="139" t="n"/>
      <c r="T230" s="16" t="n"/>
      <c r="U230" s="139" t="n"/>
      <c r="V230" s="16">
        <f>P230+R230+T230</f>
        <v/>
      </c>
      <c r="W230" s="16" t="n"/>
      <c r="X230" s="139" t="n"/>
      <c r="Y230" s="16" t="n"/>
      <c r="Z230" s="139" t="n"/>
      <c r="AA230" s="16" t="n"/>
      <c r="AB230" s="139" t="n"/>
      <c r="AC230" s="16" t="n"/>
      <c r="AD230" s="139" t="n"/>
      <c r="AE230" s="16">
        <f>(W230+Y230+AA230+AC230)</f>
        <v/>
      </c>
      <c r="AF230" s="16" t="n"/>
      <c r="AG230" s="138" t="n"/>
      <c r="AH230" s="16" t="n"/>
      <c r="AI230" s="138" t="n"/>
      <c r="AJ230" s="16" t="n"/>
      <c r="AK230" s="138" t="n"/>
      <c r="AL230" s="16" t="n"/>
      <c r="AM230" s="138" t="n"/>
      <c r="AN230" s="16" t="n"/>
      <c r="AO230" s="138" t="n"/>
      <c r="AP230" s="16" t="n"/>
      <c r="AQ230" s="138" t="n"/>
      <c r="AR230" s="16" t="n"/>
      <c r="AS230" s="138" t="n"/>
      <c r="AT230" s="16" t="n"/>
      <c r="AU230" s="138" t="n"/>
      <c r="AV230" s="16" t="n"/>
      <c r="AW230" s="138" t="n"/>
      <c r="AX230" s="16" t="n"/>
      <c r="AY230" s="138" t="n"/>
      <c r="AZ230" s="16">
        <f>AF230+AH230+AJ230+AL230+AN230+AP230+AR230+AT230+AV230+AX230</f>
        <v/>
      </c>
      <c r="BA230" s="16" t="n"/>
      <c r="BB230" s="139" t="n"/>
      <c r="BC230" s="16" t="n"/>
      <c r="BD230" s="139" t="n"/>
      <c r="BE230" s="16">
        <f>(BA230+BC230)</f>
        <v/>
      </c>
    </row>
    <row r="231" ht="22.5" customFormat="1" customHeight="1" s="8">
      <c r="A231" s="9" t="n"/>
      <c r="B231" s="136" t="inlineStr">
        <is>
          <t>PCB</t>
        </is>
      </c>
      <c r="C231" s="137" t="inlineStr">
        <is>
          <t>SOLO</t>
        </is>
      </c>
      <c r="D231" s="82" t="inlineStr">
        <is>
          <t>리모콘_BD</t>
        </is>
      </c>
      <c r="E231" s="13" t="n"/>
      <c r="F231" s="100" t="n"/>
      <c r="G231" s="9" t="n"/>
      <c r="H231" s="9" t="inlineStr">
        <is>
          <t>HLP</t>
        </is>
      </c>
      <c r="I231" s="14" t="n"/>
      <c r="J231" s="14" t="n"/>
      <c r="K231" s="12" t="n">
        <v>277</v>
      </c>
      <c r="L231" s="9" t="n"/>
      <c r="M231" s="9" t="n"/>
      <c r="N231" s="9" t="n"/>
      <c r="O231" s="40">
        <f>K231+V231-AE231-AZ231</f>
        <v/>
      </c>
      <c r="P231" s="12" t="n"/>
      <c r="Q231" s="138" t="n"/>
      <c r="R231" s="16" t="n"/>
      <c r="S231" s="139" t="n"/>
      <c r="T231" s="16" t="n"/>
      <c r="U231" s="139" t="n"/>
      <c r="V231" s="16">
        <f>P231+R231+T231</f>
        <v/>
      </c>
      <c r="W231" s="16" t="n"/>
      <c r="X231" s="139" t="n"/>
      <c r="Y231" s="16" t="n"/>
      <c r="Z231" s="139" t="n"/>
      <c r="AA231" s="16" t="n"/>
      <c r="AB231" s="139" t="n"/>
      <c r="AC231" s="16" t="n"/>
      <c r="AD231" s="139" t="n"/>
      <c r="AE231" s="16">
        <f>(W231+Y231+AA231+AC231)</f>
        <v/>
      </c>
      <c r="AF231" s="16" t="n"/>
      <c r="AG231" s="138" t="n"/>
      <c r="AH231" s="16" t="n"/>
      <c r="AI231" s="138" t="n"/>
      <c r="AJ231" s="16" t="n"/>
      <c r="AK231" s="138" t="n"/>
      <c r="AL231" s="16" t="n"/>
      <c r="AM231" s="138" t="n"/>
      <c r="AN231" s="16" t="n"/>
      <c r="AO231" s="138" t="n"/>
      <c r="AP231" s="16" t="n"/>
      <c r="AQ231" s="138" t="n"/>
      <c r="AR231" s="16" t="n"/>
      <c r="AS231" s="138" t="n"/>
      <c r="AT231" s="16" t="n"/>
      <c r="AU231" s="138" t="n"/>
      <c r="AV231" s="16" t="n"/>
      <c r="AW231" s="138" t="n"/>
      <c r="AX231" s="16" t="n"/>
      <c r="AY231" s="138" t="n"/>
      <c r="AZ231" s="16">
        <f>AF231+AH231+AJ231+AL231+AN231+AP231+AR231+AT231+AV231+AX231</f>
        <v/>
      </c>
      <c r="BA231" s="16" t="n"/>
      <c r="BB231" s="139" t="n"/>
      <c r="BC231" s="16" t="n"/>
      <c r="BD231" s="139" t="n"/>
      <c r="BE231" s="16">
        <f>(BA231+BC231)</f>
        <v/>
      </c>
    </row>
    <row r="232" ht="22.5" customFormat="1" customHeight="1" s="8">
      <c r="A232" s="9" t="n"/>
      <c r="B232" s="136" t="inlineStr">
        <is>
          <t>PCB</t>
        </is>
      </c>
      <c r="C232" s="137" t="inlineStr">
        <is>
          <t>SOLO</t>
        </is>
      </c>
      <c r="D232" s="82" t="inlineStr">
        <is>
          <t>EXP_BD</t>
        </is>
      </c>
      <c r="E232" s="13" t="n"/>
      <c r="F232" s="100" t="n"/>
      <c r="G232" s="9" t="n"/>
      <c r="H232" s="9" t="inlineStr">
        <is>
          <t>HLP</t>
        </is>
      </c>
      <c r="I232" s="14" t="n"/>
      <c r="J232" s="14" t="n"/>
      <c r="K232" s="12" t="n">
        <v>157</v>
      </c>
      <c r="L232" s="9" t="n"/>
      <c r="M232" s="9" t="n"/>
      <c r="N232" s="9" t="n"/>
      <c r="O232" s="40">
        <f>K232+V232-AE232-AZ232</f>
        <v/>
      </c>
      <c r="P232" s="12" t="n"/>
      <c r="Q232" s="138" t="n"/>
      <c r="R232" s="16" t="n"/>
      <c r="S232" s="139" t="n"/>
      <c r="T232" s="16" t="n"/>
      <c r="U232" s="139" t="n"/>
      <c r="V232" s="16">
        <f>P232+R232+T232</f>
        <v/>
      </c>
      <c r="W232" s="16" t="n"/>
      <c r="X232" s="139" t="n"/>
      <c r="Y232" s="16" t="n"/>
      <c r="Z232" s="139" t="n"/>
      <c r="AA232" s="16" t="n"/>
      <c r="AB232" s="139" t="n"/>
      <c r="AC232" s="16" t="n"/>
      <c r="AD232" s="139" t="n"/>
      <c r="AE232" s="16">
        <f>(W232+Y232+AA232+AC232)</f>
        <v/>
      </c>
      <c r="AF232" s="16" t="n"/>
      <c r="AG232" s="138" t="n"/>
      <c r="AH232" s="16" t="n"/>
      <c r="AI232" s="138" t="n"/>
      <c r="AJ232" s="16" t="n"/>
      <c r="AK232" s="138" t="n"/>
      <c r="AL232" s="16" t="n"/>
      <c r="AM232" s="138" t="n"/>
      <c r="AN232" s="16" t="n"/>
      <c r="AO232" s="138" t="n"/>
      <c r="AP232" s="16" t="n"/>
      <c r="AQ232" s="138" t="n"/>
      <c r="AR232" s="16" t="n"/>
      <c r="AS232" s="138" t="n"/>
      <c r="AT232" s="16" t="n"/>
      <c r="AU232" s="138" t="n"/>
      <c r="AV232" s="16" t="n"/>
      <c r="AW232" s="138" t="n"/>
      <c r="AX232" s="16" t="n"/>
      <c r="AY232" s="138" t="n"/>
      <c r="AZ232" s="16">
        <f>AF232+AH232+AJ232+AL232+AN232+AP232+AR232+AT232+AV232+AX232</f>
        <v/>
      </c>
      <c r="BA232" s="16" t="n"/>
      <c r="BB232" s="139" t="n"/>
      <c r="BC232" s="16" t="n"/>
      <c r="BD232" s="139" t="n"/>
      <c r="BE232" s="16">
        <f>(BA232+BC232)</f>
        <v/>
      </c>
    </row>
    <row r="233" ht="22.5" customFormat="1" customHeight="1" s="8">
      <c r="A233" s="9" t="n"/>
      <c r="B233" s="136" t="inlineStr">
        <is>
          <t>PCB</t>
        </is>
      </c>
      <c r="C233" s="137" t="inlineStr">
        <is>
          <t>SOLO</t>
        </is>
      </c>
      <c r="D233" s="82" t="inlineStr">
        <is>
          <t>BATCON_BD</t>
        </is>
      </c>
      <c r="E233" s="13" t="n"/>
      <c r="F233" s="100" t="n"/>
      <c r="G233" s="9" t="n"/>
      <c r="H233" s="9" t="inlineStr">
        <is>
          <t>HLP</t>
        </is>
      </c>
      <c r="I233" s="14" t="n"/>
      <c r="J233" s="14" t="n"/>
      <c r="K233" s="12" t="n">
        <v>187</v>
      </c>
      <c r="L233" s="9" t="n"/>
      <c r="M233" s="9" t="n"/>
      <c r="N233" s="9" t="n"/>
      <c r="O233" s="40">
        <f>K233+V233-AE233-AZ233</f>
        <v/>
      </c>
      <c r="P233" s="12" t="n"/>
      <c r="Q233" s="138" t="n"/>
      <c r="R233" s="16" t="n"/>
      <c r="S233" s="139" t="n"/>
      <c r="T233" s="16" t="n"/>
      <c r="U233" s="139" t="n"/>
      <c r="V233" s="16">
        <f>P233+R233+T233</f>
        <v/>
      </c>
      <c r="W233" s="16" t="n"/>
      <c r="X233" s="139" t="n"/>
      <c r="Y233" s="16" t="n"/>
      <c r="Z233" s="139" t="n"/>
      <c r="AA233" s="16" t="n"/>
      <c r="AB233" s="139" t="n"/>
      <c r="AC233" s="16" t="n"/>
      <c r="AD233" s="139" t="n"/>
      <c r="AE233" s="16">
        <f>(W233+Y233+AA233+AC233)</f>
        <v/>
      </c>
      <c r="AF233" s="16" t="n"/>
      <c r="AG233" s="138" t="n"/>
      <c r="AH233" s="16" t="n"/>
      <c r="AI233" s="138" t="n"/>
      <c r="AJ233" s="16" t="n"/>
      <c r="AK233" s="138" t="n"/>
      <c r="AL233" s="16" t="n"/>
      <c r="AM233" s="138" t="n"/>
      <c r="AN233" s="16" t="n"/>
      <c r="AO233" s="138" t="n"/>
      <c r="AP233" s="16" t="n"/>
      <c r="AQ233" s="138" t="n"/>
      <c r="AR233" s="16" t="n"/>
      <c r="AS233" s="138" t="n"/>
      <c r="AT233" s="16" t="n"/>
      <c r="AU233" s="138" t="n"/>
      <c r="AV233" s="16" t="n"/>
      <c r="AW233" s="138" t="n"/>
      <c r="AX233" s="16" t="n"/>
      <c r="AY233" s="138" t="n"/>
      <c r="AZ233" s="16">
        <f>AF233+AH233+AJ233+AL233+AN233+AP233+AR233+AT233+AV233+AX233</f>
        <v/>
      </c>
      <c r="BA233" s="16" t="n"/>
      <c r="BB233" s="139" t="n"/>
      <c r="BC233" s="16" t="n"/>
      <c r="BD233" s="139" t="n"/>
      <c r="BE233" s="16">
        <f>(BA233+BC233)</f>
        <v/>
      </c>
    </row>
    <row r="234" ht="22.5" customFormat="1" customHeight="1" s="8">
      <c r="A234" s="9" t="n"/>
      <c r="B234" s="136" t="inlineStr">
        <is>
          <t>CABLE</t>
        </is>
      </c>
      <c r="C234" s="142" t="inlineStr">
        <is>
          <t>SOLO</t>
        </is>
      </c>
      <c r="D234" s="83" t="inlineStr">
        <is>
          <t>SOLO 하네스 1번</t>
        </is>
      </c>
      <c r="E234" s="13" t="inlineStr">
        <is>
          <t>BATCON BD + EXP BD 연결_16AWG 실리콘/150mm</t>
        </is>
      </c>
      <c r="F234" s="12" t="n"/>
      <c r="G234" s="9" t="n"/>
      <c r="H234" s="9" t="inlineStr">
        <is>
          <t>HLP</t>
        </is>
      </c>
      <c r="I234" s="14" t="n"/>
      <c r="J234" s="14" t="n"/>
      <c r="K234" s="12" t="n">
        <v>149</v>
      </c>
      <c r="L234" s="9" t="n"/>
      <c r="M234" s="9" t="n"/>
      <c r="N234" s="9" t="n"/>
      <c r="O234" s="40">
        <f>K234+V234-AE234-AZ234</f>
        <v/>
      </c>
      <c r="P234" s="12" t="n"/>
      <c r="Q234" s="138" t="n"/>
      <c r="R234" s="16" t="n"/>
      <c r="S234" s="139" t="n"/>
      <c r="T234" s="16" t="n"/>
      <c r="U234" s="139" t="n"/>
      <c r="V234" s="16">
        <f>P234+R234+T234</f>
        <v/>
      </c>
      <c r="W234" s="16" t="n"/>
      <c r="X234" s="139" t="n"/>
      <c r="Y234" s="16" t="n"/>
      <c r="Z234" s="139" t="n"/>
      <c r="AA234" s="16" t="n"/>
      <c r="AB234" s="139" t="n"/>
      <c r="AC234" s="16" t="n"/>
      <c r="AD234" s="139" t="n"/>
      <c r="AE234" s="16">
        <f>(W234+Y234+AA234+AC234)</f>
        <v/>
      </c>
      <c r="AF234" s="16" t="n"/>
      <c r="AG234" s="138" t="n"/>
      <c r="AH234" s="16" t="n"/>
      <c r="AI234" s="138" t="n"/>
      <c r="AJ234" s="16" t="n"/>
      <c r="AK234" s="138" t="n"/>
      <c r="AL234" s="16" t="n"/>
      <c r="AM234" s="138" t="n"/>
      <c r="AN234" s="16" t="n"/>
      <c r="AO234" s="138" t="n"/>
      <c r="AP234" s="16" t="n"/>
      <c r="AQ234" s="138" t="n"/>
      <c r="AR234" s="16" t="n"/>
      <c r="AS234" s="138" t="n"/>
      <c r="AT234" s="16" t="n"/>
      <c r="AU234" s="138" t="n"/>
      <c r="AV234" s="16" t="n"/>
      <c r="AW234" s="138" t="n"/>
      <c r="AX234" s="16" t="n"/>
      <c r="AY234" s="138" t="n"/>
      <c r="AZ234" s="16">
        <f>AF234+AH234+AJ234+AL234+AN234+AP234+AR234+AT234+AV234+AX234</f>
        <v/>
      </c>
      <c r="BA234" s="16" t="n"/>
      <c r="BB234" s="139" t="n"/>
      <c r="BC234" s="16" t="n"/>
      <c r="BD234" s="139" t="n"/>
      <c r="BE234" s="16">
        <f>(BA234+BC234)</f>
        <v/>
      </c>
    </row>
    <row r="235" ht="22.5" customFormat="1" customHeight="1" s="8">
      <c r="A235" s="9" t="n"/>
      <c r="B235" s="136" t="inlineStr">
        <is>
          <t>CABLE</t>
        </is>
      </c>
      <c r="C235" s="142" t="inlineStr">
        <is>
          <t>SOLO</t>
        </is>
      </c>
      <c r="D235" s="83" t="inlineStr">
        <is>
          <t>SOLO 하네스 2번</t>
        </is>
      </c>
      <c r="E235" s="13" t="inlineStr">
        <is>
          <t>BATCON BD + EXP BD 연결_26AWG / 190mm</t>
        </is>
      </c>
      <c r="F235" s="12" t="n"/>
      <c r="G235" s="9" t="n"/>
      <c r="H235" s="9" t="inlineStr">
        <is>
          <t>HLP</t>
        </is>
      </c>
      <c r="I235" s="14" t="n"/>
      <c r="J235" s="14" t="n"/>
      <c r="K235" s="12" t="n">
        <v>12</v>
      </c>
      <c r="L235" s="9" t="n"/>
      <c r="M235" s="9" t="n"/>
      <c r="N235" s="9" t="n"/>
      <c r="O235" s="40">
        <f>K235+V235-AE235-AZ235</f>
        <v/>
      </c>
      <c r="P235" s="12" t="n"/>
      <c r="Q235" s="138" t="n"/>
      <c r="R235" s="16" t="n"/>
      <c r="S235" s="139" t="n"/>
      <c r="T235" s="16" t="n"/>
      <c r="U235" s="139" t="n"/>
      <c r="V235" s="16">
        <f>P235+R235+T235</f>
        <v/>
      </c>
      <c r="W235" s="16" t="n"/>
      <c r="X235" s="139" t="n"/>
      <c r="Y235" s="16" t="n"/>
      <c r="Z235" s="139" t="n"/>
      <c r="AA235" s="16" t="n"/>
      <c r="AB235" s="139" t="n"/>
      <c r="AC235" s="16" t="n"/>
      <c r="AD235" s="139" t="n"/>
      <c r="AE235" s="16">
        <f>(W235+Y235+AA235+AC235)</f>
        <v/>
      </c>
      <c r="AF235" s="16" t="n"/>
      <c r="AG235" s="138" t="n"/>
      <c r="AH235" s="16" t="n"/>
      <c r="AI235" s="138" t="n"/>
      <c r="AJ235" s="16" t="n"/>
      <c r="AK235" s="138" t="n"/>
      <c r="AL235" s="16" t="n"/>
      <c r="AM235" s="138" t="n"/>
      <c r="AN235" s="16" t="n"/>
      <c r="AO235" s="138" t="n"/>
      <c r="AP235" s="16" t="n"/>
      <c r="AQ235" s="138" t="n"/>
      <c r="AR235" s="16" t="n"/>
      <c r="AS235" s="138" t="n"/>
      <c r="AT235" s="16" t="n"/>
      <c r="AU235" s="138" t="n"/>
      <c r="AV235" s="16" t="n"/>
      <c r="AW235" s="138" t="n"/>
      <c r="AX235" s="16" t="n"/>
      <c r="AY235" s="138" t="n"/>
      <c r="AZ235" s="16">
        <f>AF235+AH235+AJ235+AL235+AN235+AP235+AR235+AT235+AV235+AX235</f>
        <v/>
      </c>
      <c r="BA235" s="16" t="n"/>
      <c r="BB235" s="139" t="n"/>
      <c r="BC235" s="16" t="n"/>
      <c r="BD235" s="139" t="n"/>
      <c r="BE235" s="16">
        <f>(BA235+BC235)</f>
        <v/>
      </c>
    </row>
    <row r="236" ht="22.5" customFormat="1" customHeight="1" s="8">
      <c r="A236" s="9" t="n"/>
      <c r="B236" s="136" t="inlineStr">
        <is>
          <t>CABLE</t>
        </is>
      </c>
      <c r="C236" s="142" t="inlineStr">
        <is>
          <t>SOLO</t>
        </is>
      </c>
      <c r="D236" s="83" t="inlineStr">
        <is>
          <t>SOLO 하네스 3번</t>
        </is>
      </c>
      <c r="E236" s="13" t="inlineStr">
        <is>
          <t>0.5 * 40 * 100 * B (FFC 40핀)</t>
        </is>
      </c>
      <c r="F236" s="12" t="n"/>
      <c r="G236" s="9" t="n"/>
      <c r="H236" s="9" t="inlineStr">
        <is>
          <t>HLP</t>
        </is>
      </c>
      <c r="I236" s="14" t="n"/>
      <c r="J236" s="14" t="n"/>
      <c r="K236" s="12" t="n">
        <v>548</v>
      </c>
      <c r="L236" s="9" t="n"/>
      <c r="M236" s="9" t="n"/>
      <c r="N236" s="9" t="n"/>
      <c r="O236" s="40">
        <f>K236+V236-AE236-AZ236</f>
        <v/>
      </c>
      <c r="P236" s="12" t="n"/>
      <c r="Q236" s="138" t="n"/>
      <c r="R236" s="16" t="n"/>
      <c r="S236" s="139" t="n"/>
      <c r="T236" s="16" t="n"/>
      <c r="U236" s="139" t="n"/>
      <c r="V236" s="16">
        <f>P236+R236+T236</f>
        <v/>
      </c>
      <c r="W236" s="16" t="n"/>
      <c r="X236" s="139" t="n"/>
      <c r="Y236" s="16" t="n"/>
      <c r="Z236" s="139" t="n"/>
      <c r="AA236" s="16" t="n"/>
      <c r="AB236" s="139" t="n"/>
      <c r="AC236" s="16" t="n"/>
      <c r="AD236" s="139" t="n"/>
      <c r="AE236" s="16">
        <f>(W236+Y236+AA236+AC236)</f>
        <v/>
      </c>
      <c r="AF236" s="16" t="n"/>
      <c r="AG236" s="138" t="n"/>
      <c r="AH236" s="16" t="n"/>
      <c r="AI236" s="138" t="n"/>
      <c r="AJ236" s="16" t="n"/>
      <c r="AK236" s="138" t="n"/>
      <c r="AL236" s="16" t="n"/>
      <c r="AM236" s="138" t="n"/>
      <c r="AN236" s="16" t="n"/>
      <c r="AO236" s="138" t="n"/>
      <c r="AP236" s="16" t="n"/>
      <c r="AQ236" s="138" t="n"/>
      <c r="AR236" s="16" t="n"/>
      <c r="AS236" s="138" t="n"/>
      <c r="AT236" s="16" t="n"/>
      <c r="AU236" s="138" t="n"/>
      <c r="AV236" s="16" t="n"/>
      <c r="AW236" s="138" t="n"/>
      <c r="AX236" s="16" t="n"/>
      <c r="AY236" s="138" t="n"/>
      <c r="AZ236" s="16">
        <f>AF236+AH236+AJ236+AL236+AN236+AP236+AR236+AT236+AV236+AX236</f>
        <v/>
      </c>
      <c r="BA236" s="16" t="n"/>
      <c r="BB236" s="139" t="n"/>
      <c r="BC236" s="16" t="n"/>
      <c r="BD236" s="139" t="n"/>
      <c r="BE236" s="16">
        <f>(BA236+BC236)</f>
        <v/>
      </c>
    </row>
    <row r="237" ht="22.5" customFormat="1" customHeight="1" s="8">
      <c r="A237" s="9" t="n"/>
      <c r="B237" s="136" t="inlineStr">
        <is>
          <t>CABLE</t>
        </is>
      </c>
      <c r="C237" s="142" t="inlineStr">
        <is>
          <t>SOLO</t>
        </is>
      </c>
      <c r="D237" s="83" t="inlineStr">
        <is>
          <t>SOLO 하네스 4-1번</t>
        </is>
      </c>
      <c r="E237" s="13" t="inlineStr">
        <is>
          <t>OP BD + CTR BD 연결_0.5mm FFC / 100mm</t>
        </is>
      </c>
      <c r="F237" s="12" t="n"/>
      <c r="G237" s="9" t="n"/>
      <c r="H237" s="9" t="inlineStr">
        <is>
          <t>HLP</t>
        </is>
      </c>
      <c r="I237" s="14" t="n"/>
      <c r="J237" s="14" t="n"/>
      <c r="K237" s="12" t="n">
        <v>102</v>
      </c>
      <c r="L237" s="9" t="n"/>
      <c r="M237" s="9" t="n"/>
      <c r="N237" s="9" t="n"/>
      <c r="O237" s="40">
        <f>K237+V237-AE237-AZ237</f>
        <v/>
      </c>
      <c r="P237" s="12" t="n"/>
      <c r="Q237" s="138" t="n"/>
      <c r="R237" s="16" t="n"/>
      <c r="S237" s="139" t="n"/>
      <c r="T237" s="16" t="n"/>
      <c r="U237" s="139" t="n"/>
      <c r="V237" s="16">
        <f>P237+R237+T237</f>
        <v/>
      </c>
      <c r="W237" s="16" t="n"/>
      <c r="X237" s="139" t="n"/>
      <c r="Y237" s="16" t="n"/>
      <c r="Z237" s="139" t="n"/>
      <c r="AA237" s="16" t="n"/>
      <c r="AB237" s="139" t="n"/>
      <c r="AC237" s="16" t="n"/>
      <c r="AD237" s="139" t="n"/>
      <c r="AE237" s="16">
        <f>(W237+Y237+AA237+AC237)</f>
        <v/>
      </c>
      <c r="AF237" s="16" t="n"/>
      <c r="AG237" s="138" t="n"/>
      <c r="AH237" s="16" t="n"/>
      <c r="AI237" s="138" t="n"/>
      <c r="AJ237" s="16" t="n"/>
      <c r="AK237" s="138" t="n"/>
      <c r="AL237" s="16" t="n"/>
      <c r="AM237" s="138" t="n"/>
      <c r="AN237" s="16" t="n"/>
      <c r="AO237" s="138" t="n"/>
      <c r="AP237" s="16" t="n"/>
      <c r="AQ237" s="138" t="n"/>
      <c r="AR237" s="16" t="n"/>
      <c r="AS237" s="138" t="n"/>
      <c r="AT237" s="16" t="n"/>
      <c r="AU237" s="138" t="n"/>
      <c r="AV237" s="16" t="n"/>
      <c r="AW237" s="138" t="n"/>
      <c r="AX237" s="16" t="n"/>
      <c r="AY237" s="138" t="n"/>
      <c r="AZ237" s="16">
        <f>AF237+AH237+AJ237+AL237+AN237+AP237+AR237+AT237+AV237+AX237</f>
        <v/>
      </c>
      <c r="BA237" s="16" t="n"/>
      <c r="BB237" s="139" t="n"/>
      <c r="BC237" s="16" t="n"/>
      <c r="BD237" s="139" t="n"/>
      <c r="BE237" s="16">
        <f>(BA237+BC237)</f>
        <v/>
      </c>
    </row>
    <row r="238" ht="22.5" customFormat="1" customHeight="1" s="8">
      <c r="A238" s="9" t="n"/>
      <c r="B238" s="136" t="inlineStr">
        <is>
          <t>CABLE</t>
        </is>
      </c>
      <c r="C238" s="142" t="inlineStr">
        <is>
          <t>SOLO</t>
        </is>
      </c>
      <c r="D238" s="83" t="inlineStr">
        <is>
          <t>SOLO 하네스 4-2번</t>
        </is>
      </c>
      <c r="E238" s="13" t="inlineStr">
        <is>
          <t>Main PCB + 리모콘 BD 연결 3핀</t>
        </is>
      </c>
      <c r="F238" s="9" t="n"/>
      <c r="G238" s="9" t="n"/>
      <c r="H238" s="9" t="inlineStr">
        <is>
          <t>HLP</t>
        </is>
      </c>
      <c r="I238" s="40" t="n">
        <v>0</v>
      </c>
      <c r="J238" s="16" t="n">
        <v>0</v>
      </c>
      <c r="K238" s="12" t="n">
        <v>0</v>
      </c>
      <c r="L238" s="40" t="n">
        <v>0</v>
      </c>
      <c r="M238" s="16" t="n">
        <v>0</v>
      </c>
      <c r="N238" s="16" t="n">
        <v>0</v>
      </c>
      <c r="O238" s="40">
        <f>K238+V238-AE238-AZ238</f>
        <v/>
      </c>
      <c r="P238" s="138" t="n"/>
      <c r="Q238" s="16" t="n"/>
      <c r="R238" s="16" t="n"/>
      <c r="S238" s="138" t="n"/>
      <c r="T238" s="16" t="n"/>
      <c r="U238" s="138" t="n"/>
      <c r="V238" s="16">
        <f>P238+R238+T238</f>
        <v/>
      </c>
      <c r="W238" s="138" t="n"/>
      <c r="X238" s="16" t="n"/>
      <c r="Y238" s="138" t="n"/>
      <c r="Z238" s="16" t="n"/>
      <c r="AA238" s="138" t="n"/>
      <c r="AB238" s="16" t="n"/>
      <c r="AC238" s="138" t="n"/>
      <c r="AD238" s="16" t="n"/>
      <c r="AE238" s="16">
        <f>(W238+Y238+AA238+AC238)</f>
        <v/>
      </c>
      <c r="AF238" s="16" t="n"/>
      <c r="AG238" s="16" t="n"/>
    </row>
    <row r="239" ht="21.95" customFormat="1" customHeight="1" s="8">
      <c r="A239" s="9" t="n"/>
      <c r="B239" s="136" t="inlineStr">
        <is>
          <t>ABS 난연</t>
        </is>
      </c>
      <c r="C239" s="142" t="inlineStr">
        <is>
          <t>SOLO</t>
        </is>
      </c>
      <c r="D239" s="62" t="inlineStr">
        <is>
          <t>TOP Body</t>
        </is>
      </c>
      <c r="E239" s="36" t="inlineStr">
        <is>
          <t>ABS 블랙 샌딩</t>
        </is>
      </c>
      <c r="F239" s="21" t="n"/>
      <c r="G239" s="22" t="n"/>
      <c r="H239" s="22" t="inlineStr">
        <is>
          <t>천우</t>
        </is>
      </c>
      <c r="I239" s="14" t="n"/>
      <c r="J239" s="14" t="n"/>
      <c r="K239" s="12" t="n">
        <v>77</v>
      </c>
      <c r="L239" s="9" t="n"/>
      <c r="M239" s="9" t="n"/>
      <c r="N239" s="9" t="n"/>
      <c r="O239" s="40">
        <f>K239+V239-AE239-AZ239</f>
        <v/>
      </c>
      <c r="P239" s="12" t="n"/>
      <c r="Q239" s="138" t="n"/>
      <c r="R239" s="16" t="n"/>
      <c r="S239" s="139" t="n"/>
      <c r="T239" s="16" t="n"/>
      <c r="U239" s="139" t="n"/>
      <c r="V239" s="16">
        <f>P239+R239+T239</f>
        <v/>
      </c>
      <c r="W239" s="16" t="n"/>
      <c r="X239" s="139" t="n"/>
      <c r="Y239" s="16" t="n"/>
      <c r="Z239" s="139" t="n"/>
      <c r="AA239" s="16" t="n"/>
      <c r="AB239" s="139" t="n"/>
      <c r="AC239" s="16" t="n"/>
      <c r="AD239" s="139" t="n"/>
      <c r="AE239" s="16">
        <f>(W239+Y239+AA239+AC239)</f>
        <v/>
      </c>
      <c r="AF239" s="16" t="n"/>
      <c r="AG239" s="138" t="n"/>
      <c r="AH239" s="16" t="n"/>
      <c r="AI239" s="138" t="n"/>
      <c r="AJ239" s="16" t="n"/>
      <c r="AK239" s="138" t="n"/>
      <c r="AL239" s="16" t="n"/>
      <c r="AM239" s="138" t="n"/>
      <c r="AN239" s="16" t="n"/>
      <c r="AO239" s="138" t="n"/>
      <c r="AP239" s="16" t="n"/>
      <c r="AQ239" s="138" t="n"/>
      <c r="AR239" s="16" t="n"/>
      <c r="AS239" s="138" t="n"/>
      <c r="AT239" s="16" t="n"/>
      <c r="AU239" s="138" t="n"/>
      <c r="AV239" s="16" t="n"/>
      <c r="AW239" s="138" t="n"/>
      <c r="AX239" s="16" t="n"/>
      <c r="AY239" s="138" t="n"/>
      <c r="AZ239" s="16">
        <f>AF239+AH239+AJ239+AL239+AN239+AP239+AR239+AT239+AV239+AX239</f>
        <v/>
      </c>
      <c r="BA239" s="16" t="n"/>
      <c r="BB239" s="139" t="n"/>
      <c r="BC239" s="16" t="n"/>
      <c r="BD239" s="139" t="n"/>
      <c r="BE239" s="16">
        <f>(BA239+BC239)</f>
        <v/>
      </c>
    </row>
    <row r="240" ht="21.95" customFormat="1" customHeight="1" s="8">
      <c r="A240" s="9" t="n"/>
      <c r="B240" s="136" t="inlineStr">
        <is>
          <t>ABS 난연</t>
        </is>
      </c>
      <c r="C240" s="142" t="inlineStr">
        <is>
          <t>SOLO</t>
        </is>
      </c>
      <c r="D240" s="62" t="inlineStr">
        <is>
          <t>Bottom Body</t>
        </is>
      </c>
      <c r="E240" s="36" t="inlineStr">
        <is>
          <t>ABS 블랙 샌딩</t>
        </is>
      </c>
      <c r="F240" s="21" t="n"/>
      <c r="G240" s="22" t="n"/>
      <c r="H240" s="22" t="inlineStr">
        <is>
          <t>천우</t>
        </is>
      </c>
      <c r="I240" s="14" t="n"/>
      <c r="J240" s="14" t="n"/>
      <c r="K240" s="12" t="n">
        <v>95</v>
      </c>
      <c r="L240" s="9" t="n"/>
      <c r="M240" s="9" t="n"/>
      <c r="N240" s="9" t="n"/>
      <c r="O240" s="40">
        <f>K240+V240-AE240-AZ240</f>
        <v/>
      </c>
      <c r="P240" s="12" t="n"/>
      <c r="Q240" s="138" t="n"/>
      <c r="R240" s="16" t="n"/>
      <c r="S240" s="139" t="n"/>
      <c r="T240" s="16" t="n"/>
      <c r="U240" s="139" t="n"/>
      <c r="V240" s="16">
        <f>P240+R240+T240</f>
        <v/>
      </c>
      <c r="W240" s="16" t="n"/>
      <c r="X240" s="139" t="n"/>
      <c r="Y240" s="16" t="n"/>
      <c r="Z240" s="139" t="n"/>
      <c r="AA240" s="16" t="n"/>
      <c r="AB240" s="139" t="n"/>
      <c r="AC240" s="16" t="n"/>
      <c r="AD240" s="139" t="n"/>
      <c r="AE240" s="16">
        <f>(W240+Y240+AA240+AC240)</f>
        <v/>
      </c>
      <c r="AF240" s="16" t="n"/>
      <c r="AG240" s="138" t="n"/>
      <c r="AH240" s="16" t="n"/>
      <c r="AI240" s="138" t="n"/>
      <c r="AJ240" s="16" t="n"/>
      <c r="AK240" s="138" t="n"/>
      <c r="AL240" s="16" t="n"/>
      <c r="AM240" s="138" t="n"/>
      <c r="AN240" s="16" t="n"/>
      <c r="AO240" s="138" t="n"/>
      <c r="AP240" s="16" t="n"/>
      <c r="AQ240" s="138" t="n"/>
      <c r="AR240" s="16" t="n"/>
      <c r="AS240" s="138" t="n"/>
      <c r="AT240" s="16" t="n"/>
      <c r="AU240" s="138" t="n"/>
      <c r="AV240" s="16" t="n"/>
      <c r="AW240" s="138" t="n"/>
      <c r="AX240" s="16" t="n"/>
      <c r="AY240" s="138" t="n"/>
      <c r="AZ240" s="16">
        <f>AF240+AH240+AJ240+AL240+AN240+AP240+AR240+AT240+AV240+AX240</f>
        <v/>
      </c>
      <c r="BA240" s="16" t="n"/>
      <c r="BB240" s="139" t="n"/>
      <c r="BC240" s="16" t="n"/>
      <c r="BD240" s="139" t="n"/>
      <c r="BE240" s="16">
        <f>(BA240+BC240)</f>
        <v/>
      </c>
    </row>
    <row r="241" ht="21.95" customFormat="1" customHeight="1" s="8">
      <c r="A241" s="9" t="n"/>
      <c r="B241" s="136" t="inlineStr">
        <is>
          <t>ABS 난연</t>
        </is>
      </c>
      <c r="C241" s="142" t="inlineStr">
        <is>
          <t>SOLO</t>
        </is>
      </c>
      <c r="D241" s="62" t="inlineStr">
        <is>
          <t>Main_Cone</t>
        </is>
      </c>
      <c r="E241" s="36" t="inlineStr">
        <is>
          <t>ABS 메탈릭 다크그레이</t>
        </is>
      </c>
      <c r="F241" s="21" t="n"/>
      <c r="G241" s="22" t="n"/>
      <c r="H241" s="22" t="inlineStr">
        <is>
          <t>천우</t>
        </is>
      </c>
      <c r="I241" s="14" t="n"/>
      <c r="J241" s="14" t="n"/>
      <c r="K241" s="12" t="n">
        <v>13</v>
      </c>
      <c r="L241" s="9" t="n"/>
      <c r="M241" s="9" t="n"/>
      <c r="N241" s="9" t="n"/>
      <c r="O241" s="40">
        <f>K241+V241-AE241-AZ241</f>
        <v/>
      </c>
      <c r="P241" s="12" t="n"/>
      <c r="Q241" s="138" t="n"/>
      <c r="R241" s="16" t="n"/>
      <c r="S241" s="139" t="n"/>
      <c r="T241" s="16" t="n"/>
      <c r="U241" s="139" t="n"/>
      <c r="V241" s="16">
        <f>P241+R241+T241</f>
        <v/>
      </c>
      <c r="W241" s="16" t="n"/>
      <c r="X241" s="139" t="n"/>
      <c r="Y241" s="16" t="n"/>
      <c r="Z241" s="139" t="n"/>
      <c r="AA241" s="16" t="n"/>
      <c r="AB241" s="139" t="n"/>
      <c r="AC241" s="16" t="n"/>
      <c r="AD241" s="139" t="n"/>
      <c r="AE241" s="16">
        <f>(W241+Y241+AA241+AC241)</f>
        <v/>
      </c>
      <c r="AF241" s="16" t="n"/>
      <c r="AG241" s="138" t="n"/>
      <c r="AH241" s="16" t="n"/>
      <c r="AI241" s="138" t="n"/>
      <c r="AJ241" s="16" t="n"/>
      <c r="AK241" s="138" t="n"/>
      <c r="AL241" s="16" t="n"/>
      <c r="AM241" s="138" t="n"/>
      <c r="AN241" s="16" t="n"/>
      <c r="AO241" s="138" t="n"/>
      <c r="AP241" s="16" t="n"/>
      <c r="AQ241" s="138" t="n"/>
      <c r="AR241" s="16" t="n"/>
      <c r="AS241" s="138" t="n"/>
      <c r="AT241" s="16" t="n"/>
      <c r="AU241" s="138" t="n"/>
      <c r="AV241" s="16" t="n"/>
      <c r="AW241" s="138" t="n"/>
      <c r="AX241" s="16" t="n"/>
      <c r="AY241" s="138" t="n"/>
      <c r="AZ241" s="16">
        <f>AF241+AH241+AJ241+AL241+AN241+AP241+AR241+AT241+AV241+AX241</f>
        <v/>
      </c>
      <c r="BA241" s="16" t="n"/>
      <c r="BB241" s="139" t="n"/>
      <c r="BC241" s="16" t="n"/>
      <c r="BD241" s="139" t="n"/>
      <c r="BE241" s="16">
        <f>(BA241+BC241)</f>
        <v/>
      </c>
    </row>
    <row r="242" ht="21.95" customFormat="1" customHeight="1" s="8">
      <c r="A242" s="9" t="n"/>
      <c r="B242" s="136" t="inlineStr">
        <is>
          <t>ABS 난연</t>
        </is>
      </c>
      <c r="C242" s="142" t="inlineStr">
        <is>
          <t>SOLO</t>
        </is>
      </c>
      <c r="D242" s="62" t="inlineStr">
        <is>
          <t>Hand_Body</t>
        </is>
      </c>
      <c r="E242" s="36" t="inlineStr">
        <is>
          <t>ABS 블랙 샌딩</t>
        </is>
      </c>
      <c r="F242" s="21" t="n"/>
      <c r="G242" s="22" t="n"/>
      <c r="H242" s="22" t="inlineStr">
        <is>
          <t>천우</t>
        </is>
      </c>
      <c r="I242" s="14" t="n"/>
      <c r="J242" s="14" t="n"/>
      <c r="K242" s="12" t="n">
        <v>418</v>
      </c>
      <c r="L242" s="9" t="n"/>
      <c r="M242" s="9" t="n"/>
      <c r="N242" s="9" t="n"/>
      <c r="O242" s="40">
        <f>K242+V242-AE242-AZ242</f>
        <v/>
      </c>
      <c r="P242" s="12" t="n"/>
      <c r="Q242" s="138" t="n"/>
      <c r="R242" s="16" t="n"/>
      <c r="S242" s="139" t="n"/>
      <c r="T242" s="16" t="n"/>
      <c r="U242" s="139" t="n"/>
      <c r="V242" s="16">
        <f>P242+R242+T242</f>
        <v/>
      </c>
      <c r="W242" s="16" t="n"/>
      <c r="X242" s="139" t="n"/>
      <c r="Y242" s="16" t="n"/>
      <c r="Z242" s="139" t="n"/>
      <c r="AA242" s="16" t="n"/>
      <c r="AB242" s="139" t="n"/>
      <c r="AC242" s="16" t="n"/>
      <c r="AD242" s="139" t="n"/>
      <c r="AE242" s="16">
        <f>(W242+Y242+AA242+AC242)</f>
        <v/>
      </c>
      <c r="AF242" s="16" t="n"/>
      <c r="AG242" s="138" t="n"/>
      <c r="AH242" s="16" t="n"/>
      <c r="AI242" s="138" t="n"/>
      <c r="AJ242" s="16" t="n"/>
      <c r="AK242" s="138" t="n"/>
      <c r="AL242" s="16" t="n"/>
      <c r="AM242" s="138" t="n"/>
      <c r="AN242" s="16" t="n"/>
      <c r="AO242" s="138" t="n"/>
      <c r="AP242" s="16" t="n"/>
      <c r="AQ242" s="138" t="n"/>
      <c r="AR242" s="16" t="n"/>
      <c r="AS242" s="138" t="n"/>
      <c r="AT242" s="16" t="n"/>
      <c r="AU242" s="138" t="n"/>
      <c r="AV242" s="16" t="n"/>
      <c r="AW242" s="138" t="n"/>
      <c r="AX242" s="16" t="n"/>
      <c r="AY242" s="138" t="n"/>
      <c r="AZ242" s="16">
        <f>AF242+AH242+AJ242+AL242+AN242+AP242+AR242+AT242+AV242+AX242</f>
        <v/>
      </c>
      <c r="BA242" s="16" t="n"/>
      <c r="BB242" s="139" t="n"/>
      <c r="BC242" s="16" t="n"/>
      <c r="BD242" s="139" t="n"/>
      <c r="BE242" s="16">
        <f>(BA242+BC242)</f>
        <v/>
      </c>
    </row>
    <row r="243" ht="21.95" customFormat="1" customHeight="1" s="8">
      <c r="A243" s="9" t="n"/>
      <c r="B243" s="136" t="inlineStr">
        <is>
          <t>ABS 난연</t>
        </is>
      </c>
      <c r="C243" s="142" t="inlineStr">
        <is>
          <t>SOLO</t>
        </is>
      </c>
      <c r="D243" s="62" t="inlineStr">
        <is>
          <t>Bat_Bottom</t>
        </is>
      </c>
      <c r="E243" s="36" t="inlineStr">
        <is>
          <t>ABS 블랙 샌딩</t>
        </is>
      </c>
      <c r="F243" s="21" t="n"/>
      <c r="G243" s="22" t="n"/>
      <c r="H243" s="22" t="inlineStr">
        <is>
          <t>천우</t>
        </is>
      </c>
      <c r="I243" s="14" t="n"/>
      <c r="J243" s="14" t="n"/>
      <c r="K243" s="12" t="n">
        <v>347</v>
      </c>
      <c r="L243" s="9" t="n"/>
      <c r="M243" s="9" t="n"/>
      <c r="N243" s="9" t="n"/>
      <c r="O243" s="40">
        <f>K243+V243-AE243-AZ243</f>
        <v/>
      </c>
      <c r="P243" s="12" t="n"/>
      <c r="Q243" s="138" t="n"/>
      <c r="R243" s="16" t="n"/>
      <c r="S243" s="139" t="n"/>
      <c r="T243" s="16" t="n"/>
      <c r="U243" s="139" t="n"/>
      <c r="V243" s="16">
        <f>P243+R243+T243</f>
        <v/>
      </c>
      <c r="W243" s="16" t="n"/>
      <c r="X243" s="139" t="n"/>
      <c r="Y243" s="16" t="n"/>
      <c r="Z243" s="139" t="n"/>
      <c r="AA243" s="16" t="n"/>
      <c r="AB243" s="139" t="n"/>
      <c r="AC243" s="16" t="n"/>
      <c r="AD243" s="139" t="n"/>
      <c r="AE243" s="16">
        <f>(W243+Y243+AA243+AC243)</f>
        <v/>
      </c>
      <c r="AF243" s="16" t="n"/>
      <c r="AG243" s="138" t="n"/>
      <c r="AH243" s="16" t="n"/>
      <c r="AI243" s="138" t="n"/>
      <c r="AJ243" s="16" t="n"/>
      <c r="AK243" s="138" t="n"/>
      <c r="AL243" s="16" t="n"/>
      <c r="AM243" s="138" t="n"/>
      <c r="AN243" s="16" t="n"/>
      <c r="AO243" s="138" t="n"/>
      <c r="AP243" s="16" t="n"/>
      <c r="AQ243" s="138" t="n"/>
      <c r="AR243" s="16" t="n"/>
      <c r="AS243" s="138" t="n"/>
      <c r="AT243" s="16" t="n"/>
      <c r="AU243" s="138" t="n"/>
      <c r="AV243" s="16" t="n"/>
      <c r="AW243" s="138" t="n"/>
      <c r="AX243" s="16" t="n"/>
      <c r="AY243" s="138" t="n"/>
      <c r="AZ243" s="16">
        <f>AF243+AH243+AJ243+AL243+AN243+AP243+AR243+AT243+AV243+AX243</f>
        <v/>
      </c>
      <c r="BA243" s="16" t="n"/>
      <c r="BB243" s="139" t="n"/>
      <c r="BC243" s="16" t="n"/>
      <c r="BD243" s="139" t="n"/>
      <c r="BE243" s="16">
        <f>(BA243+BC243)</f>
        <v/>
      </c>
    </row>
    <row r="244" ht="21.95" customFormat="1" customHeight="1" s="8">
      <c r="A244" s="9" t="n"/>
      <c r="B244" s="136" t="inlineStr">
        <is>
          <t>ABS 난연</t>
        </is>
      </c>
      <c r="C244" s="142" t="inlineStr">
        <is>
          <t>SOLO</t>
        </is>
      </c>
      <c r="D244" s="62" t="inlineStr">
        <is>
          <t>Power Button</t>
        </is>
      </c>
      <c r="E244" s="36" t="inlineStr">
        <is>
          <t>ABS 블랙 샌딩</t>
        </is>
      </c>
      <c r="F244" s="21" t="n"/>
      <c r="G244" s="22" t="n"/>
      <c r="H244" s="22" t="inlineStr">
        <is>
          <t>천우</t>
        </is>
      </c>
      <c r="I244" s="14" t="n"/>
      <c r="J244" s="14" t="n"/>
      <c r="K244" s="12" t="n">
        <v>458</v>
      </c>
      <c r="L244" s="9" t="n"/>
      <c r="M244" s="9" t="n"/>
      <c r="N244" s="9" t="n"/>
      <c r="O244" s="40">
        <f>K244+V244-AE244-AZ244</f>
        <v/>
      </c>
      <c r="P244" s="12" t="n"/>
      <c r="Q244" s="138" t="n"/>
      <c r="R244" s="16" t="n"/>
      <c r="S244" s="139" t="n"/>
      <c r="T244" s="16" t="n"/>
      <c r="U244" s="139" t="n"/>
      <c r="V244" s="16">
        <f>P244+R244+T244</f>
        <v/>
      </c>
      <c r="W244" s="16" t="n"/>
      <c r="X244" s="139" t="n"/>
      <c r="Y244" s="16" t="n"/>
      <c r="Z244" s="139" t="n"/>
      <c r="AA244" s="16" t="n"/>
      <c r="AB244" s="139" t="n"/>
      <c r="AC244" s="16" t="n"/>
      <c r="AD244" s="139" t="n"/>
      <c r="AE244" s="16">
        <f>(W244+Y244+AA244+AC244)</f>
        <v/>
      </c>
      <c r="AF244" s="16" t="n"/>
      <c r="AG244" s="138" t="n"/>
      <c r="AH244" s="16" t="n"/>
      <c r="AI244" s="138" t="n"/>
      <c r="AJ244" s="16" t="n"/>
      <c r="AK244" s="138" t="n"/>
      <c r="AL244" s="16" t="n"/>
      <c r="AM244" s="138" t="n"/>
      <c r="AN244" s="16" t="n"/>
      <c r="AO244" s="138" t="n"/>
      <c r="AP244" s="16" t="n"/>
      <c r="AQ244" s="138" t="n"/>
      <c r="AR244" s="16" t="n"/>
      <c r="AS244" s="138" t="n"/>
      <c r="AT244" s="16" t="n"/>
      <c r="AU244" s="138" t="n"/>
      <c r="AV244" s="16" t="n"/>
      <c r="AW244" s="138" t="n"/>
      <c r="AX244" s="16" t="n"/>
      <c r="AY244" s="138" t="n"/>
      <c r="AZ244" s="16">
        <f>AF244+AH244+AJ244+AL244+AN244+AP244+AR244+AT244+AV244+AX244</f>
        <v/>
      </c>
      <c r="BA244" s="16" t="n"/>
      <c r="BB244" s="139" t="n"/>
      <c r="BC244" s="16" t="n"/>
      <c r="BD244" s="139" t="n"/>
      <c r="BE244" s="16">
        <f>(BA244+BC244)</f>
        <v/>
      </c>
    </row>
    <row r="245" ht="21.95" customFormat="1" customHeight="1" s="8">
      <c r="A245" s="9" t="n"/>
      <c r="B245" s="136" t="inlineStr">
        <is>
          <t>ABS 난연</t>
        </is>
      </c>
      <c r="C245" s="142" t="inlineStr">
        <is>
          <t>SOLO</t>
        </is>
      </c>
      <c r="D245" s="62" t="inlineStr">
        <is>
          <t>Button Indicator</t>
        </is>
      </c>
      <c r="E245" s="36" t="inlineStr">
        <is>
          <t>ABS 블랙</t>
        </is>
      </c>
      <c r="F245" s="21" t="n"/>
      <c r="G245" s="22" t="n"/>
      <c r="H245" s="22" t="inlineStr">
        <is>
          <t>천우</t>
        </is>
      </c>
      <c r="I245" s="14" t="n"/>
      <c r="J245" s="14" t="n"/>
      <c r="K245" s="12" t="n"/>
      <c r="L245" s="9" t="n"/>
      <c r="M245" s="9" t="n"/>
      <c r="N245" s="9" t="n"/>
      <c r="O245" s="40">
        <f>K245+V245-AE245-AZ245</f>
        <v/>
      </c>
      <c r="P245" s="12" t="n"/>
      <c r="Q245" s="138" t="n"/>
      <c r="R245" s="16" t="n"/>
      <c r="S245" s="139" t="n"/>
      <c r="T245" s="16" t="n"/>
      <c r="U245" s="139" t="n"/>
      <c r="V245" s="16">
        <f>P245+R245+T245</f>
        <v/>
      </c>
      <c r="W245" s="16" t="n"/>
      <c r="X245" s="139" t="n"/>
      <c r="Y245" s="16" t="n"/>
      <c r="Z245" s="139" t="n"/>
      <c r="AA245" s="16" t="n"/>
      <c r="AB245" s="139" t="n"/>
      <c r="AC245" s="16" t="n"/>
      <c r="AD245" s="139" t="n"/>
      <c r="AE245" s="16">
        <f>(W245+Y245+AA245+AC245)</f>
        <v/>
      </c>
      <c r="AF245" s="16" t="n"/>
      <c r="AG245" s="138" t="n"/>
      <c r="AH245" s="16" t="n"/>
      <c r="AI245" s="138" t="n"/>
      <c r="AJ245" s="16" t="n"/>
      <c r="AK245" s="138" t="n"/>
      <c r="AL245" s="16" t="n"/>
      <c r="AM245" s="138" t="n"/>
      <c r="AN245" s="16" t="n"/>
      <c r="AO245" s="138" t="n"/>
      <c r="AP245" s="16" t="n"/>
      <c r="AQ245" s="138" t="n"/>
      <c r="AR245" s="16" t="n"/>
      <c r="AS245" s="138" t="n"/>
      <c r="AT245" s="16" t="n"/>
      <c r="AU245" s="138" t="n"/>
      <c r="AV245" s="16" t="n"/>
      <c r="AW245" s="138" t="n"/>
      <c r="AX245" s="16" t="n"/>
      <c r="AY245" s="138" t="n"/>
      <c r="AZ245" s="16">
        <f>AF245+AH245+AJ245+AL245+AN245+AP245+AR245+AT245+AV245+AX245</f>
        <v/>
      </c>
      <c r="BA245" s="16" t="n"/>
      <c r="BB245" s="139" t="n"/>
      <c r="BC245" s="16" t="n"/>
      <c r="BD245" s="139" t="n"/>
      <c r="BE245" s="16">
        <f>(BA245+BC245)</f>
        <v/>
      </c>
    </row>
    <row r="246" ht="21.95" customFormat="1" customHeight="1" s="8">
      <c r="A246" s="9" t="n"/>
      <c r="B246" s="136" t="inlineStr">
        <is>
          <t>ABS 난연</t>
        </is>
      </c>
      <c r="C246" s="142" t="inlineStr">
        <is>
          <t>SOLO</t>
        </is>
      </c>
      <c r="D246" s="62" t="inlineStr">
        <is>
          <t>LCD GUIDE</t>
        </is>
      </c>
      <c r="E246" s="36" t="inlineStr">
        <is>
          <t>ABS 블랙</t>
        </is>
      </c>
      <c r="F246" s="21" t="n"/>
      <c r="G246" s="22" t="n"/>
      <c r="H246" s="22" t="inlineStr">
        <is>
          <t>월드씨앤피</t>
        </is>
      </c>
      <c r="I246" s="14" t="n"/>
      <c r="J246" s="14" t="n"/>
      <c r="K246" s="12" t="n"/>
      <c r="L246" s="9" t="n"/>
      <c r="M246" s="9" t="n"/>
      <c r="N246" s="9" t="n"/>
      <c r="O246" s="40">
        <f>K246+V246-AE246-AZ246</f>
        <v/>
      </c>
      <c r="P246" s="12" t="n"/>
      <c r="Q246" s="138" t="n"/>
      <c r="R246" s="16" t="n"/>
      <c r="S246" s="139" t="n"/>
      <c r="T246" s="16" t="n"/>
      <c r="U246" s="139" t="n"/>
      <c r="V246" s="16">
        <f>P246+R246+T246</f>
        <v/>
      </c>
      <c r="W246" s="16" t="n"/>
      <c r="X246" s="139" t="n"/>
      <c r="Y246" s="16" t="n"/>
      <c r="Z246" s="139" t="n"/>
      <c r="AA246" s="16" t="n"/>
      <c r="AB246" s="139" t="n"/>
      <c r="AC246" s="16" t="n"/>
      <c r="AD246" s="139" t="n"/>
      <c r="AE246" s="16">
        <f>(W246+Y246+AA246+AC246)</f>
        <v/>
      </c>
      <c r="AF246" s="16" t="n"/>
      <c r="AG246" s="138" t="n"/>
      <c r="AH246" s="16" t="n"/>
      <c r="AI246" s="138" t="n"/>
      <c r="AJ246" s="16" t="n"/>
      <c r="AK246" s="138" t="n"/>
      <c r="AL246" s="16" t="n"/>
      <c r="AM246" s="138" t="n"/>
      <c r="AN246" s="16" t="n"/>
      <c r="AO246" s="138" t="n"/>
      <c r="AP246" s="16" t="n"/>
      <c r="AQ246" s="138" t="n"/>
      <c r="AR246" s="16" t="n"/>
      <c r="AS246" s="138" t="n"/>
      <c r="AT246" s="16" t="n"/>
      <c r="AU246" s="138" t="n"/>
      <c r="AV246" s="16" t="n"/>
      <c r="AW246" s="138" t="n"/>
      <c r="AX246" s="16" t="n"/>
      <c r="AY246" s="138" t="n"/>
      <c r="AZ246" s="16">
        <f>AF246+AH246+AJ246+AL246+AN246+AP246+AR246+AT246+AV246+AX246</f>
        <v/>
      </c>
      <c r="BA246" s="16" t="n"/>
      <c r="BB246" s="139" t="n"/>
      <c r="BC246" s="16" t="n"/>
      <c r="BD246" s="139" t="n"/>
      <c r="BE246" s="16">
        <f>(BA246+BC246)</f>
        <v/>
      </c>
    </row>
    <row r="247" ht="21.95" customFormat="1" customHeight="1" s="8">
      <c r="A247" s="9" t="n"/>
      <c r="B247" s="136" t="inlineStr">
        <is>
          <t>ABS 난연</t>
        </is>
      </c>
      <c r="C247" s="142" t="inlineStr">
        <is>
          <t>SOLO</t>
        </is>
      </c>
      <c r="D247" s="62" t="inlineStr">
        <is>
          <t>발생부_Guide</t>
        </is>
      </c>
      <c r="E247" s="36" t="inlineStr">
        <is>
          <t>ABS 블랙</t>
        </is>
      </c>
      <c r="F247" s="21" t="n"/>
      <c r="G247" s="22" t="n"/>
      <c r="H247" s="22" t="inlineStr">
        <is>
          <t>천우</t>
        </is>
      </c>
      <c r="I247" s="14" t="n"/>
      <c r="J247" s="14" t="n"/>
      <c r="K247" s="12" t="n">
        <v>485</v>
      </c>
      <c r="L247" s="9" t="n"/>
      <c r="M247" s="9" t="n"/>
      <c r="N247" s="9" t="n"/>
      <c r="O247" s="40">
        <f>K247+V247-AE247-AZ247</f>
        <v/>
      </c>
      <c r="P247" s="12" t="n"/>
      <c r="Q247" s="138" t="n"/>
      <c r="R247" s="16" t="n"/>
      <c r="S247" s="139" t="n"/>
      <c r="T247" s="16" t="n"/>
      <c r="U247" s="139" t="n"/>
      <c r="V247" s="16">
        <f>P247+R247+T247</f>
        <v/>
      </c>
      <c r="W247" s="16" t="n"/>
      <c r="X247" s="139" t="n"/>
      <c r="Y247" s="16" t="n"/>
      <c r="Z247" s="139" t="n"/>
      <c r="AA247" s="16" t="n"/>
      <c r="AB247" s="139" t="n"/>
      <c r="AC247" s="16" t="n"/>
      <c r="AD247" s="139" t="n"/>
      <c r="AE247" s="16">
        <f>(W247+Y247+AA247+AC247)</f>
        <v/>
      </c>
      <c r="AF247" s="16" t="n"/>
      <c r="AG247" s="138" t="n"/>
      <c r="AH247" s="16" t="n"/>
      <c r="AI247" s="138" t="n"/>
      <c r="AJ247" s="16" t="n"/>
      <c r="AK247" s="138" t="n"/>
      <c r="AL247" s="16" t="n"/>
      <c r="AM247" s="138" t="n"/>
      <c r="AN247" s="16" t="n"/>
      <c r="AO247" s="138" t="n"/>
      <c r="AP247" s="16" t="n"/>
      <c r="AQ247" s="138" t="n"/>
      <c r="AR247" s="16" t="n"/>
      <c r="AS247" s="138" t="n"/>
      <c r="AT247" s="16" t="n"/>
      <c r="AU247" s="138" t="n"/>
      <c r="AV247" s="16" t="n"/>
      <c r="AW247" s="138" t="n"/>
      <c r="AX247" s="16" t="n"/>
      <c r="AY247" s="138" t="n"/>
      <c r="AZ247" s="16">
        <f>AF247+AH247+AJ247+AL247+AN247+AP247+AR247+AT247+AV247+AX247</f>
        <v/>
      </c>
      <c r="BA247" s="16" t="n"/>
      <c r="BB247" s="139" t="n"/>
      <c r="BC247" s="16" t="n"/>
      <c r="BD247" s="139" t="n"/>
      <c r="BE247" s="16">
        <f>(BA247+BC247)</f>
        <v/>
      </c>
    </row>
    <row r="248" ht="21.95" customFormat="1" customHeight="1" s="8">
      <c r="A248" s="9" t="n"/>
      <c r="B248" s="136" t="inlineStr">
        <is>
          <t>ABS 난연</t>
        </is>
      </c>
      <c r="C248" s="142" t="inlineStr">
        <is>
          <t>SOLO</t>
        </is>
      </c>
      <c r="D248" s="62" t="inlineStr">
        <is>
          <t>Lock Inner</t>
        </is>
      </c>
      <c r="E248" s="36" t="inlineStr">
        <is>
          <t>ABS 블랙</t>
        </is>
      </c>
      <c r="F248" s="21" t="n"/>
      <c r="G248" s="22" t="n"/>
      <c r="H248" s="22" t="inlineStr">
        <is>
          <t>천우</t>
        </is>
      </c>
      <c r="I248" s="14" t="n"/>
      <c r="J248" s="14" t="n"/>
      <c r="K248" s="12" t="n">
        <v>357</v>
      </c>
      <c r="L248" s="9" t="n"/>
      <c r="M248" s="9" t="n"/>
      <c r="N248" s="9" t="n"/>
      <c r="O248" s="40">
        <f>K248+V248-AE248-AZ248</f>
        <v/>
      </c>
      <c r="P248" s="12" t="n"/>
      <c r="Q248" s="138" t="n"/>
      <c r="R248" s="16" t="n"/>
      <c r="S248" s="139" t="n"/>
      <c r="T248" s="16" t="n"/>
      <c r="U248" s="139" t="n"/>
      <c r="V248" s="16">
        <f>P248+R248+T248</f>
        <v/>
      </c>
      <c r="W248" s="16" t="n"/>
      <c r="X248" s="139" t="n"/>
      <c r="Y248" s="16" t="n"/>
      <c r="Z248" s="139" t="n"/>
      <c r="AA248" s="16" t="n"/>
      <c r="AB248" s="139" t="n"/>
      <c r="AC248" s="16" t="n"/>
      <c r="AD248" s="139" t="n"/>
      <c r="AE248" s="16">
        <f>(W248+Y248+AA248+AC248)</f>
        <v/>
      </c>
      <c r="AF248" s="16" t="n"/>
      <c r="AG248" s="138" t="n"/>
      <c r="AH248" s="16" t="n"/>
      <c r="AI248" s="138" t="n"/>
      <c r="AJ248" s="16" t="n"/>
      <c r="AK248" s="138" t="n"/>
      <c r="AL248" s="16" t="n"/>
      <c r="AM248" s="138" t="n"/>
      <c r="AN248" s="16" t="n"/>
      <c r="AO248" s="138" t="n"/>
      <c r="AP248" s="16" t="n"/>
      <c r="AQ248" s="138" t="n"/>
      <c r="AR248" s="16" t="n"/>
      <c r="AS248" s="138" t="n"/>
      <c r="AT248" s="16" t="n"/>
      <c r="AU248" s="138" t="n"/>
      <c r="AV248" s="16" t="n"/>
      <c r="AW248" s="138" t="n"/>
      <c r="AX248" s="16" t="n"/>
      <c r="AY248" s="138" t="n"/>
      <c r="AZ248" s="16">
        <f>AF248+AH248+AJ248+AL248+AN248+AP248+AR248+AT248+AV248+AX248</f>
        <v/>
      </c>
      <c r="BA248" s="16" t="n"/>
      <c r="BB248" s="139" t="n"/>
      <c r="BC248" s="16" t="n"/>
      <c r="BD248" s="139" t="n"/>
      <c r="BE248" s="16">
        <f>(BA248+BC248)</f>
        <v/>
      </c>
    </row>
    <row r="249" ht="21.95" customFormat="1" customHeight="1" s="8">
      <c r="A249" s="9" t="n"/>
      <c r="B249" s="136" t="inlineStr">
        <is>
          <t>ABS 난연</t>
        </is>
      </c>
      <c r="C249" s="142" t="inlineStr">
        <is>
          <t>SOLO</t>
        </is>
      </c>
      <c r="D249" s="62" t="inlineStr">
        <is>
          <t>Lock Knob</t>
        </is>
      </c>
      <c r="E249" s="36" t="inlineStr">
        <is>
          <t>ABS 블랙 샌딩</t>
        </is>
      </c>
      <c r="F249" s="21" t="n"/>
      <c r="G249" s="22" t="n"/>
      <c r="H249" s="22" t="inlineStr">
        <is>
          <t>천우</t>
        </is>
      </c>
      <c r="I249" s="14" t="n"/>
      <c r="J249" s="14" t="n"/>
      <c r="K249" s="12" t="n">
        <v>361</v>
      </c>
      <c r="L249" s="9" t="n"/>
      <c r="M249" s="9" t="n"/>
      <c r="N249" s="9" t="n"/>
      <c r="O249" s="40">
        <f>K249+V249-AE249-AZ249</f>
        <v/>
      </c>
      <c r="P249" s="12" t="n"/>
      <c r="Q249" s="138" t="n"/>
      <c r="R249" s="16" t="n"/>
      <c r="S249" s="139" t="n"/>
      <c r="T249" s="16" t="n"/>
      <c r="U249" s="139" t="n"/>
      <c r="V249" s="16">
        <f>P249+R249+T249</f>
        <v/>
      </c>
      <c r="W249" s="16" t="n"/>
      <c r="X249" s="139" t="n"/>
      <c r="Y249" s="16" t="n"/>
      <c r="Z249" s="139" t="n"/>
      <c r="AA249" s="16" t="n"/>
      <c r="AB249" s="139" t="n"/>
      <c r="AC249" s="16" t="n"/>
      <c r="AD249" s="139" t="n"/>
      <c r="AE249" s="16">
        <f>(W249+Y249+AA249+AC249)</f>
        <v/>
      </c>
      <c r="AF249" s="16" t="n"/>
      <c r="AG249" s="138" t="n"/>
      <c r="AH249" s="16" t="n"/>
      <c r="AI249" s="138" t="n"/>
      <c r="AJ249" s="16" t="n"/>
      <c r="AK249" s="138" t="n"/>
      <c r="AL249" s="16" t="n"/>
      <c r="AM249" s="138" t="n"/>
      <c r="AN249" s="16" t="n"/>
      <c r="AO249" s="138" t="n"/>
      <c r="AP249" s="16" t="n"/>
      <c r="AQ249" s="138" t="n"/>
      <c r="AR249" s="16" t="n"/>
      <c r="AS249" s="138" t="n"/>
      <c r="AT249" s="16" t="n"/>
      <c r="AU249" s="138" t="n"/>
      <c r="AV249" s="16" t="n"/>
      <c r="AW249" s="138" t="n"/>
      <c r="AX249" s="16" t="n"/>
      <c r="AY249" s="138" t="n"/>
      <c r="AZ249" s="16">
        <f>AF249+AH249+AJ249+AL249+AN249+AP249+AR249+AT249+AV249+AX249</f>
        <v/>
      </c>
      <c r="BA249" s="16" t="n"/>
      <c r="BB249" s="139" t="n"/>
      <c r="BC249" s="16" t="n"/>
      <c r="BD249" s="139" t="n"/>
      <c r="BE249" s="16">
        <f>(BA249+BC249)</f>
        <v/>
      </c>
    </row>
    <row r="250" ht="21.95" customFormat="1" customHeight="1" s="8">
      <c r="A250" s="9" t="n"/>
      <c r="B250" s="136" t="inlineStr">
        <is>
          <t>ABS 난연</t>
        </is>
      </c>
      <c r="C250" s="142" t="inlineStr">
        <is>
          <t>SOLO</t>
        </is>
      </c>
      <c r="D250" s="62" t="inlineStr">
        <is>
          <t>Front_CAP</t>
        </is>
      </c>
      <c r="E250" s="36" t="inlineStr">
        <is>
          <t>ABS 메탈릭 다크그레이</t>
        </is>
      </c>
      <c r="F250" s="21" t="n"/>
      <c r="G250" s="22" t="n"/>
      <c r="H250" s="22" t="inlineStr">
        <is>
          <t>천우</t>
        </is>
      </c>
      <c r="I250" s="14" t="n"/>
      <c r="J250" s="14" t="n"/>
      <c r="K250" s="12" t="n">
        <v>395</v>
      </c>
      <c r="L250" s="9" t="n"/>
      <c r="M250" s="9" t="n"/>
      <c r="N250" s="9" t="n"/>
      <c r="O250" s="40">
        <f>K250+V250-AE250-AZ250</f>
        <v/>
      </c>
      <c r="P250" s="12" t="n"/>
      <c r="Q250" s="138" t="n"/>
      <c r="R250" s="16" t="n"/>
      <c r="S250" s="139" t="n"/>
      <c r="T250" s="16" t="n"/>
      <c r="U250" s="139" t="n"/>
      <c r="V250" s="16">
        <f>P250+R250+T250</f>
        <v/>
      </c>
      <c r="W250" s="16" t="n"/>
      <c r="X250" s="139" t="n"/>
      <c r="Y250" s="16" t="n"/>
      <c r="Z250" s="139" t="n"/>
      <c r="AA250" s="16" t="n"/>
      <c r="AB250" s="139" t="n"/>
      <c r="AC250" s="16" t="n"/>
      <c r="AD250" s="139" t="n"/>
      <c r="AE250" s="16">
        <f>(W250+Y250+AA250+AC250)</f>
        <v/>
      </c>
      <c r="AF250" s="16" t="n"/>
      <c r="AG250" s="138" t="n"/>
      <c r="AH250" s="16" t="n"/>
      <c r="AI250" s="138" t="n"/>
      <c r="AJ250" s="16" t="n"/>
      <c r="AK250" s="138" t="n"/>
      <c r="AL250" s="16" t="n"/>
      <c r="AM250" s="138" t="n"/>
      <c r="AN250" s="16" t="n"/>
      <c r="AO250" s="138" t="n"/>
      <c r="AP250" s="16" t="n"/>
      <c r="AQ250" s="138" t="n"/>
      <c r="AR250" s="16" t="n"/>
      <c r="AS250" s="138" t="n"/>
      <c r="AT250" s="16" t="n"/>
      <c r="AU250" s="138" t="n"/>
      <c r="AV250" s="16" t="n"/>
      <c r="AW250" s="138" t="n"/>
      <c r="AX250" s="16" t="n"/>
      <c r="AY250" s="138" t="n"/>
      <c r="AZ250" s="16">
        <f>AF250+AH250+AJ250+AL250+AN250+AP250+AR250+AT250+AV250+AX250</f>
        <v/>
      </c>
      <c r="BA250" s="16" t="n"/>
      <c r="BB250" s="139" t="n"/>
      <c r="BC250" s="16" t="n"/>
      <c r="BD250" s="139" t="n"/>
      <c r="BE250" s="16">
        <f>(BA250+BC250)</f>
        <v/>
      </c>
    </row>
    <row r="251" ht="21.95" customFormat="1" customHeight="1" s="8">
      <c r="A251" s="9" t="n"/>
      <c r="B251" s="136" t="inlineStr">
        <is>
          <t>ABS 난연</t>
        </is>
      </c>
      <c r="C251" s="142" t="inlineStr">
        <is>
          <t>SOLO</t>
        </is>
      </c>
      <c r="D251" s="62" t="inlineStr">
        <is>
          <t>연장 Cone</t>
        </is>
      </c>
      <c r="E251" s="36" t="inlineStr">
        <is>
          <t>ABS 메탈릭 다크그레이</t>
        </is>
      </c>
      <c r="F251" s="21" t="n"/>
      <c r="G251" s="22" t="n"/>
      <c r="H251" s="22" t="inlineStr">
        <is>
          <t>천우</t>
        </is>
      </c>
      <c r="I251" s="14" t="n"/>
      <c r="J251" s="14" t="n"/>
      <c r="K251" s="12" t="n">
        <v>492</v>
      </c>
      <c r="L251" s="9" t="n"/>
      <c r="M251" s="9" t="n"/>
      <c r="N251" s="9" t="n"/>
      <c r="O251" s="40">
        <f>K251+V251-AE251-AZ251</f>
        <v/>
      </c>
      <c r="P251" s="12" t="n"/>
      <c r="Q251" s="138" t="n"/>
      <c r="R251" s="16" t="n"/>
      <c r="S251" s="139" t="n"/>
      <c r="T251" s="16" t="n"/>
      <c r="U251" s="139" t="n"/>
      <c r="V251" s="16">
        <f>P251+R251+T251</f>
        <v/>
      </c>
      <c r="W251" s="16" t="n"/>
      <c r="X251" s="139" t="n"/>
      <c r="Y251" s="16" t="n"/>
      <c r="Z251" s="139" t="n"/>
      <c r="AA251" s="16" t="n"/>
      <c r="AB251" s="139" t="n"/>
      <c r="AC251" s="16" t="n"/>
      <c r="AD251" s="139" t="n"/>
      <c r="AE251" s="16">
        <f>(W251+Y251+AA251+AC251)</f>
        <v/>
      </c>
      <c r="AF251" s="16" t="n"/>
      <c r="AG251" s="138" t="n"/>
      <c r="AH251" s="16" t="n"/>
      <c r="AI251" s="138" t="n"/>
      <c r="AJ251" s="16" t="n"/>
      <c r="AK251" s="138" t="n"/>
      <c r="AL251" s="16" t="n"/>
      <c r="AM251" s="138" t="n"/>
      <c r="AN251" s="16" t="n"/>
      <c r="AO251" s="138" t="n"/>
      <c r="AP251" s="16" t="n"/>
      <c r="AQ251" s="138" t="n"/>
      <c r="AR251" s="16" t="n"/>
      <c r="AS251" s="138" t="n"/>
      <c r="AT251" s="16" t="n"/>
      <c r="AU251" s="138" t="n"/>
      <c r="AV251" s="16" t="n"/>
      <c r="AW251" s="138" t="n"/>
      <c r="AX251" s="16" t="n"/>
      <c r="AY251" s="138" t="n"/>
      <c r="AZ251" s="16">
        <f>AF251+AH251+AJ251+AL251+AN251+AP251+AR251+AT251+AV251+AX251</f>
        <v/>
      </c>
      <c r="BA251" s="16" t="n"/>
      <c r="BB251" s="139" t="n"/>
      <c r="BC251" s="16" t="n"/>
      <c r="BD251" s="139" t="n"/>
      <c r="BE251" s="16">
        <f>(BA251+BC251)</f>
        <v/>
      </c>
    </row>
    <row r="252" ht="21.95" customFormat="1" customHeight="1" s="8">
      <c r="A252" s="9" t="n"/>
      <c r="B252" s="136" t="inlineStr">
        <is>
          <t>ABS 난연</t>
        </is>
      </c>
      <c r="C252" s="142" t="inlineStr">
        <is>
          <t>SOLO</t>
        </is>
      </c>
      <c r="D252" s="62" t="inlineStr">
        <is>
          <t>Hand Top Cover</t>
        </is>
      </c>
      <c r="E252" s="36" t="inlineStr">
        <is>
          <t>ABS 블랙</t>
        </is>
      </c>
      <c r="F252" s="21" t="n"/>
      <c r="G252" s="22" t="n"/>
      <c r="H252" s="22" t="inlineStr">
        <is>
          <t>천우</t>
        </is>
      </c>
      <c r="I252" s="14" t="n"/>
      <c r="J252" s="14" t="n"/>
      <c r="K252" s="12" t="n">
        <v>440</v>
      </c>
      <c r="L252" s="9" t="n"/>
      <c r="M252" s="9" t="n"/>
      <c r="N252" s="9" t="n"/>
      <c r="O252" s="40">
        <f>K252+V252-AE252-AZ252</f>
        <v/>
      </c>
      <c r="P252" s="12" t="n"/>
      <c r="Q252" s="138" t="n"/>
      <c r="R252" s="16" t="n"/>
      <c r="S252" s="139" t="n"/>
      <c r="T252" s="16" t="n"/>
      <c r="U252" s="139" t="n"/>
      <c r="V252" s="16">
        <f>P252+R252+T252</f>
        <v/>
      </c>
      <c r="W252" s="16" t="n"/>
      <c r="X252" s="139" t="n"/>
      <c r="Y252" s="16" t="n"/>
      <c r="Z252" s="139" t="n"/>
      <c r="AA252" s="16" t="n"/>
      <c r="AB252" s="139" t="n"/>
      <c r="AC252" s="16" t="n"/>
      <c r="AD252" s="139" t="n"/>
      <c r="AE252" s="16">
        <f>(W252+Y252+AA252+AC252)</f>
        <v/>
      </c>
      <c r="AF252" s="16" t="n"/>
      <c r="AG252" s="138" t="n"/>
      <c r="AH252" s="16" t="n"/>
      <c r="AI252" s="138" t="n"/>
      <c r="AJ252" s="16" t="n"/>
      <c r="AK252" s="138" t="n"/>
      <c r="AL252" s="16" t="n"/>
      <c r="AM252" s="138" t="n"/>
      <c r="AN252" s="16" t="n"/>
      <c r="AO252" s="138" t="n"/>
      <c r="AP252" s="16" t="n"/>
      <c r="AQ252" s="138" t="n"/>
      <c r="AR252" s="16" t="n"/>
      <c r="AS252" s="138" t="n"/>
      <c r="AT252" s="16" t="n"/>
      <c r="AU252" s="138" t="n"/>
      <c r="AV252" s="16" t="n"/>
      <c r="AW252" s="138" t="n"/>
      <c r="AX252" s="16" t="n"/>
      <c r="AY252" s="138" t="n"/>
      <c r="AZ252" s="16">
        <f>AF252+AH252+AJ252+AL252+AN252+AP252+AR252+AT252+AV252+AX252</f>
        <v/>
      </c>
      <c r="BA252" s="16" t="n"/>
      <c r="BB252" s="139" t="n"/>
      <c r="BC252" s="16" t="n"/>
      <c r="BD252" s="139" t="n"/>
      <c r="BE252" s="16">
        <f>(BA252+BC252)</f>
        <v/>
      </c>
    </row>
    <row r="253" ht="21.95" customFormat="1" customHeight="1" s="8">
      <c r="A253" s="9" t="n"/>
      <c r="B253" s="136" t="inlineStr">
        <is>
          <t>ABS 난연</t>
        </is>
      </c>
      <c r="C253" s="142" t="inlineStr">
        <is>
          <t>SOLO</t>
        </is>
      </c>
      <c r="D253" s="62" t="inlineStr">
        <is>
          <t>Slide Switch</t>
        </is>
      </c>
      <c r="E253" s="36" t="inlineStr">
        <is>
          <t>ABS 블루(PANTTON 660C) 무광</t>
        </is>
      </c>
      <c r="F253" s="21" t="n"/>
      <c r="G253" s="22" t="n"/>
      <c r="H253" s="22" t="inlineStr">
        <is>
          <t>천우</t>
        </is>
      </c>
      <c r="I253" s="14" t="n"/>
      <c r="J253" s="14" t="n"/>
      <c r="K253" s="12" t="n">
        <v>437</v>
      </c>
      <c r="L253" s="9" t="n"/>
      <c r="M253" s="9" t="n"/>
      <c r="N253" s="9" t="n"/>
      <c r="O253" s="40">
        <f>K253+V253-AE253-AZ253</f>
        <v/>
      </c>
      <c r="P253" s="12" t="n"/>
      <c r="Q253" s="138" t="n"/>
      <c r="R253" s="16" t="n"/>
      <c r="S253" s="139" t="n"/>
      <c r="T253" s="16" t="n"/>
      <c r="U253" s="139" t="n"/>
      <c r="V253" s="16">
        <f>P253+R253+T253</f>
        <v/>
      </c>
      <c r="W253" s="16" t="n"/>
      <c r="X253" s="139" t="n"/>
      <c r="Y253" s="16" t="n"/>
      <c r="Z253" s="139" t="n"/>
      <c r="AA253" s="16" t="n"/>
      <c r="AB253" s="139" t="n"/>
      <c r="AC253" s="16" t="n"/>
      <c r="AD253" s="139" t="n"/>
      <c r="AE253" s="16">
        <f>(W253+Y253+AA253+AC253)</f>
        <v/>
      </c>
      <c r="AF253" s="16" t="n"/>
      <c r="AG253" s="138" t="n"/>
      <c r="AH253" s="16" t="n"/>
      <c r="AI253" s="138" t="n"/>
      <c r="AJ253" s="16" t="n"/>
      <c r="AK253" s="138" t="n"/>
      <c r="AL253" s="16" t="n"/>
      <c r="AM253" s="138" t="n"/>
      <c r="AN253" s="16" t="n"/>
      <c r="AO253" s="138" t="n"/>
      <c r="AP253" s="16" t="n"/>
      <c r="AQ253" s="138" t="n"/>
      <c r="AR253" s="16" t="n"/>
      <c r="AS253" s="138" t="n"/>
      <c r="AT253" s="16" t="n"/>
      <c r="AU253" s="138" t="n"/>
      <c r="AV253" s="16" t="n"/>
      <c r="AW253" s="138" t="n"/>
      <c r="AX253" s="16" t="n"/>
      <c r="AY253" s="138" t="n"/>
      <c r="AZ253" s="16">
        <f>AF253+AH253+AJ253+AL253+AN253+AP253+AR253+AT253+AV253+AX253</f>
        <v/>
      </c>
      <c r="BA253" s="16" t="n"/>
      <c r="BB253" s="139" t="n"/>
      <c r="BC253" s="16" t="n"/>
      <c r="BD253" s="139" t="n"/>
      <c r="BE253" s="16">
        <f>(BA253+BC253)</f>
        <v/>
      </c>
    </row>
    <row r="254" ht="21.95" customFormat="1" customHeight="1" s="8">
      <c r="A254" s="9" t="n"/>
      <c r="B254" s="136" t="inlineStr">
        <is>
          <t>ABS 난연</t>
        </is>
      </c>
      <c r="C254" s="142" t="inlineStr">
        <is>
          <t>SOLO</t>
        </is>
      </c>
      <c r="D254" s="62" t="inlineStr">
        <is>
          <t>Slide Switch Cap</t>
        </is>
      </c>
      <c r="E254" s="36" t="inlineStr">
        <is>
          <t>ABS 레드 무광</t>
        </is>
      </c>
      <c r="F254" s="21" t="n"/>
      <c r="G254" s="22" t="n"/>
      <c r="H254" s="22" t="inlineStr">
        <is>
          <t>천우</t>
        </is>
      </c>
      <c r="I254" s="14" t="n"/>
      <c r="J254" s="14" t="n"/>
      <c r="K254" s="12" t="n">
        <v>436</v>
      </c>
      <c r="L254" s="9" t="n"/>
      <c r="M254" s="9" t="n"/>
      <c r="N254" s="9" t="n"/>
      <c r="O254" s="40">
        <f>K254+V254-AE254-AZ254</f>
        <v/>
      </c>
      <c r="P254" s="12" t="n"/>
      <c r="Q254" s="138" t="n"/>
      <c r="R254" s="16" t="n"/>
      <c r="S254" s="139" t="n"/>
      <c r="T254" s="16" t="n"/>
      <c r="U254" s="139" t="n"/>
      <c r="V254" s="16">
        <f>P254+R254+T254</f>
        <v/>
      </c>
      <c r="W254" s="16" t="n"/>
      <c r="X254" s="139" t="n"/>
      <c r="Y254" s="16" t="n"/>
      <c r="Z254" s="139" t="n"/>
      <c r="AA254" s="16" t="n"/>
      <c r="AB254" s="139" t="n"/>
      <c r="AC254" s="16" t="n"/>
      <c r="AD254" s="139" t="n"/>
      <c r="AE254" s="16">
        <f>(W254+Y254+AA254+AC254)</f>
        <v/>
      </c>
      <c r="AF254" s="16" t="n"/>
      <c r="AG254" s="138" t="n"/>
      <c r="AH254" s="16" t="n"/>
      <c r="AI254" s="138" t="n"/>
      <c r="AJ254" s="16" t="n"/>
      <c r="AK254" s="138" t="n"/>
      <c r="AL254" s="16" t="n"/>
      <c r="AM254" s="138" t="n"/>
      <c r="AN254" s="16" t="n"/>
      <c r="AO254" s="138" t="n"/>
      <c r="AP254" s="16" t="n"/>
      <c r="AQ254" s="138" t="n"/>
      <c r="AR254" s="16" t="n"/>
      <c r="AS254" s="138" t="n"/>
      <c r="AT254" s="16" t="n"/>
      <c r="AU254" s="138" t="n"/>
      <c r="AV254" s="16" t="n"/>
      <c r="AW254" s="138" t="n"/>
      <c r="AX254" s="16" t="n"/>
      <c r="AY254" s="138" t="n"/>
      <c r="AZ254" s="16">
        <f>AF254+AH254+AJ254+AL254+AN254+AP254+AR254+AT254+AV254+AX254</f>
        <v/>
      </c>
      <c r="BA254" s="16" t="n"/>
      <c r="BB254" s="139" t="n"/>
      <c r="BC254" s="16" t="n"/>
      <c r="BD254" s="139" t="n"/>
      <c r="BE254" s="16">
        <f>(BA254+BC254)</f>
        <v/>
      </c>
    </row>
    <row r="255" ht="21.95" customFormat="1" customHeight="1" s="8">
      <c r="A255" s="9" t="n"/>
      <c r="B255" s="136" t="inlineStr">
        <is>
          <t>ABS 난연</t>
        </is>
      </c>
      <c r="C255" s="142" t="inlineStr">
        <is>
          <t>SOLO</t>
        </is>
      </c>
      <c r="D255" s="62" t="inlineStr">
        <is>
          <t>Shot_Button</t>
        </is>
      </c>
      <c r="E255" s="36" t="inlineStr">
        <is>
          <t>ABS 메탈릭 다크그레이</t>
        </is>
      </c>
      <c r="F255" s="21" t="n"/>
      <c r="G255" s="22" t="n"/>
      <c r="H255" s="22" t="inlineStr">
        <is>
          <t>천우</t>
        </is>
      </c>
      <c r="I255" s="14" t="n"/>
      <c r="J255" s="14" t="n"/>
      <c r="K255" s="12" t="n">
        <v>397</v>
      </c>
      <c r="L255" s="9" t="n"/>
      <c r="M255" s="9" t="n"/>
      <c r="N255" s="9" t="n"/>
      <c r="O255" s="40">
        <f>K255+V255-AE255-AZ255</f>
        <v/>
      </c>
      <c r="P255" s="12" t="n"/>
      <c r="Q255" s="138" t="n"/>
      <c r="R255" s="16" t="n"/>
      <c r="S255" s="139" t="n"/>
      <c r="T255" s="16" t="n"/>
      <c r="U255" s="139" t="n"/>
      <c r="V255" s="16">
        <f>P255+R255+T255</f>
        <v/>
      </c>
      <c r="W255" s="16" t="n"/>
      <c r="X255" s="139" t="n"/>
      <c r="Y255" s="16" t="n"/>
      <c r="Z255" s="139" t="n"/>
      <c r="AA255" s="16" t="n"/>
      <c r="AB255" s="139" t="n"/>
      <c r="AC255" s="16" t="n"/>
      <c r="AD255" s="139" t="n"/>
      <c r="AE255" s="16">
        <f>(W255+Y255+AA255+AC255)</f>
        <v/>
      </c>
      <c r="AF255" s="16" t="n"/>
      <c r="AG255" s="138" t="n"/>
      <c r="AH255" s="16" t="n"/>
      <c r="AI255" s="138" t="n"/>
      <c r="AJ255" s="16" t="n"/>
      <c r="AK255" s="138" t="n"/>
      <c r="AL255" s="16" t="n"/>
      <c r="AM255" s="138" t="n"/>
      <c r="AN255" s="16" t="n"/>
      <c r="AO255" s="138" t="n"/>
      <c r="AP255" s="16" t="n"/>
      <c r="AQ255" s="138" t="n"/>
      <c r="AR255" s="16" t="n"/>
      <c r="AS255" s="138" t="n"/>
      <c r="AT255" s="16" t="n"/>
      <c r="AU255" s="138" t="n"/>
      <c r="AV255" s="16" t="n"/>
      <c r="AW255" s="138" t="n"/>
      <c r="AX255" s="16" t="n"/>
      <c r="AY255" s="138" t="n"/>
      <c r="AZ255" s="16">
        <f>AF255+AH255+AJ255+AL255+AN255+AP255+AR255+AT255+AV255+AX255</f>
        <v/>
      </c>
      <c r="BA255" s="16" t="n"/>
      <c r="BB255" s="139" t="n"/>
      <c r="BC255" s="16" t="n"/>
      <c r="BD255" s="139" t="n"/>
      <c r="BE255" s="16">
        <f>(BA255+BC255)</f>
        <v/>
      </c>
    </row>
    <row r="256" ht="21.95" customFormat="1" customHeight="1" s="8">
      <c r="A256" s="9" t="n"/>
      <c r="B256" s="136" t="inlineStr">
        <is>
          <t>ABS 난연</t>
        </is>
      </c>
      <c r="C256" s="142" t="inlineStr">
        <is>
          <t>SOLO</t>
        </is>
      </c>
      <c r="D256" s="62" t="inlineStr">
        <is>
          <t>Shot_PCB_Guide</t>
        </is>
      </c>
      <c r="E256" s="36" t="n"/>
      <c r="F256" s="21" t="n"/>
      <c r="G256" s="22" t="n"/>
      <c r="H256" s="22" t="inlineStr">
        <is>
          <t>천우</t>
        </is>
      </c>
      <c r="I256" s="14" t="n"/>
      <c r="J256" s="14" t="n"/>
      <c r="K256" s="12" t="n">
        <v>216</v>
      </c>
      <c r="L256" s="9" t="n"/>
      <c r="M256" s="9" t="n"/>
      <c r="N256" s="9" t="n"/>
      <c r="O256" s="40">
        <f>K256+V256-AE256-AZ256</f>
        <v/>
      </c>
      <c r="P256" s="12" t="n"/>
      <c r="Q256" s="138" t="n"/>
      <c r="R256" s="16" t="n"/>
      <c r="S256" s="139" t="n"/>
      <c r="T256" s="16" t="n"/>
      <c r="U256" s="139" t="n"/>
      <c r="V256" s="16">
        <f>P256+R256+T256</f>
        <v/>
      </c>
      <c r="W256" s="16" t="n"/>
      <c r="X256" s="139" t="n"/>
      <c r="Y256" s="16" t="n"/>
      <c r="Z256" s="139" t="n"/>
      <c r="AA256" s="16" t="n"/>
      <c r="AB256" s="139" t="n"/>
      <c r="AC256" s="16" t="n"/>
      <c r="AD256" s="139" t="n"/>
      <c r="AE256" s="16">
        <f>(W256+Y256+AA256+AC256)</f>
        <v/>
      </c>
      <c r="AF256" s="16" t="n"/>
      <c r="AG256" s="138" t="n"/>
      <c r="AH256" s="16" t="n"/>
      <c r="AI256" s="138" t="n"/>
      <c r="AJ256" s="16" t="n"/>
      <c r="AK256" s="138" t="n"/>
      <c r="AL256" s="16" t="n"/>
      <c r="AM256" s="138" t="n"/>
      <c r="AN256" s="16" t="n"/>
      <c r="AO256" s="138" t="n"/>
      <c r="AP256" s="16" t="n"/>
      <c r="AQ256" s="138" t="n"/>
      <c r="AR256" s="16" t="n"/>
      <c r="AS256" s="138" t="n"/>
      <c r="AT256" s="16" t="n"/>
      <c r="AU256" s="138" t="n"/>
      <c r="AV256" s="16" t="n"/>
      <c r="AW256" s="138" t="n"/>
      <c r="AX256" s="16" t="n"/>
      <c r="AY256" s="138" t="n"/>
      <c r="AZ256" s="16">
        <f>AF256+AH256+AJ256+AL256+AN256+AP256+AR256+AT256+AV256+AX256</f>
        <v/>
      </c>
      <c r="BA256" s="16" t="n"/>
      <c r="BB256" s="139" t="n"/>
      <c r="BC256" s="16" t="n"/>
      <c r="BD256" s="139" t="n"/>
      <c r="BE256" s="16">
        <f>(BA256+BC256)</f>
        <v/>
      </c>
    </row>
    <row r="257" ht="21.95" customFormat="1" customHeight="1" s="8">
      <c r="A257" s="9" t="n"/>
      <c r="B257" s="136" t="inlineStr">
        <is>
          <t>ABS 난연</t>
        </is>
      </c>
      <c r="C257" s="142" t="inlineStr">
        <is>
          <t>SOLO</t>
        </is>
      </c>
      <c r="D257" s="62" t="inlineStr">
        <is>
          <t>Battery Cover</t>
        </is>
      </c>
      <c r="E257" s="36" t="inlineStr">
        <is>
          <t>ABS 블랙 샌딩</t>
        </is>
      </c>
      <c r="F257" s="21" t="n"/>
      <c r="G257" s="22" t="n"/>
      <c r="H257" s="22" t="inlineStr">
        <is>
          <t>천우</t>
        </is>
      </c>
      <c r="I257" s="14" t="n"/>
      <c r="J257" s="14" t="n"/>
      <c r="K257" s="12" t="n">
        <v>365</v>
      </c>
      <c r="L257" s="9" t="n"/>
      <c r="M257" s="9" t="n"/>
      <c r="N257" s="9" t="n"/>
      <c r="O257" s="40">
        <f>K257+V257-AE257-AZ257</f>
        <v/>
      </c>
      <c r="P257" s="12" t="n"/>
      <c r="Q257" s="138" t="n"/>
      <c r="R257" s="16" t="n"/>
      <c r="S257" s="139" t="n"/>
      <c r="T257" s="16" t="n"/>
      <c r="U257" s="139" t="n"/>
      <c r="V257" s="16">
        <f>P257+R257+T257</f>
        <v/>
      </c>
      <c r="W257" s="16" t="n"/>
      <c r="X257" s="139" t="n"/>
      <c r="Y257" s="16" t="n"/>
      <c r="Z257" s="139" t="n"/>
      <c r="AA257" s="16" t="n"/>
      <c r="AB257" s="139" t="n"/>
      <c r="AC257" s="16" t="n"/>
      <c r="AD257" s="139" t="n"/>
      <c r="AE257" s="16">
        <f>(W257+Y257+AA257+AC257)</f>
        <v/>
      </c>
      <c r="AF257" s="16" t="n"/>
      <c r="AG257" s="138" t="n"/>
      <c r="AH257" s="16" t="n"/>
      <c r="AI257" s="138" t="n"/>
      <c r="AJ257" s="16" t="n"/>
      <c r="AK257" s="138" t="n"/>
      <c r="AL257" s="16" t="n"/>
      <c r="AM257" s="138" t="n"/>
      <c r="AN257" s="16" t="n"/>
      <c r="AO257" s="138" t="n"/>
      <c r="AP257" s="16" t="n"/>
      <c r="AQ257" s="138" t="n"/>
      <c r="AR257" s="16" t="n"/>
      <c r="AS257" s="138" t="n"/>
      <c r="AT257" s="16" t="n"/>
      <c r="AU257" s="138" t="n"/>
      <c r="AV257" s="16" t="n"/>
      <c r="AW257" s="138" t="n"/>
      <c r="AX257" s="16" t="n"/>
      <c r="AY257" s="138" t="n"/>
      <c r="AZ257" s="16">
        <f>AF257+AH257+AJ257+AL257+AN257+AP257+AR257+AT257+AV257+AX257</f>
        <v/>
      </c>
      <c r="BA257" s="16" t="n"/>
      <c r="BB257" s="139" t="n"/>
      <c r="BC257" s="16" t="n"/>
      <c r="BD257" s="139" t="n"/>
      <c r="BE257" s="16">
        <f>(BA257+BC257)</f>
        <v/>
      </c>
    </row>
    <row r="258" ht="21.95" customFormat="1" customHeight="1" s="8">
      <c r="A258" s="9" t="n"/>
      <c r="B258" s="136" t="inlineStr">
        <is>
          <t>아크릴</t>
        </is>
      </c>
      <c r="C258" s="142" t="inlineStr">
        <is>
          <t>SOLO</t>
        </is>
      </c>
      <c r="D258" s="62" t="inlineStr">
        <is>
          <t>Aiming_Light_LED_아크릴</t>
        </is>
      </c>
      <c r="E258" s="102" t="inlineStr">
        <is>
          <t>확산 아크릴/ 화이트</t>
        </is>
      </c>
      <c r="F258" s="21" t="n"/>
      <c r="G258" s="22" t="n"/>
      <c r="H258" s="22" t="inlineStr">
        <is>
          <t>천우</t>
        </is>
      </c>
      <c r="I258" s="14" t="n"/>
      <c r="J258" s="14" t="n"/>
      <c r="K258" s="12" t="n">
        <v>450</v>
      </c>
      <c r="L258" s="9" t="n"/>
      <c r="M258" s="9" t="n"/>
      <c r="N258" s="9" t="n"/>
      <c r="O258" s="40">
        <f>K258+V258-AE258-AZ258</f>
        <v/>
      </c>
      <c r="P258" s="12" t="n"/>
      <c r="Q258" s="138" t="n"/>
      <c r="R258" s="16" t="n"/>
      <c r="S258" s="139" t="n"/>
      <c r="T258" s="16" t="n"/>
      <c r="U258" s="139" t="n"/>
      <c r="V258" s="16">
        <f>P258+R258+T258</f>
        <v/>
      </c>
      <c r="W258" s="16" t="n"/>
      <c r="X258" s="139" t="n"/>
      <c r="Y258" s="16" t="n"/>
      <c r="Z258" s="139" t="n"/>
      <c r="AA258" s="16" t="n"/>
      <c r="AB258" s="139" t="n"/>
      <c r="AC258" s="16" t="n"/>
      <c r="AD258" s="139" t="n"/>
      <c r="AE258" s="16">
        <f>(W258+Y258+AA258+AC258)</f>
        <v/>
      </c>
      <c r="AF258" s="16" t="n"/>
      <c r="AG258" s="138" t="n"/>
      <c r="AH258" s="16" t="n"/>
      <c r="AI258" s="138" t="n"/>
      <c r="AJ258" s="16" t="n"/>
      <c r="AK258" s="138" t="n"/>
      <c r="AL258" s="16" t="n"/>
      <c r="AM258" s="138" t="n"/>
      <c r="AN258" s="16" t="n"/>
      <c r="AO258" s="138" t="n"/>
      <c r="AP258" s="16" t="n"/>
      <c r="AQ258" s="138" t="n"/>
      <c r="AR258" s="16" t="n"/>
      <c r="AS258" s="138" t="n"/>
      <c r="AT258" s="16" t="n"/>
      <c r="AU258" s="138" t="n"/>
      <c r="AV258" s="16" t="n"/>
      <c r="AW258" s="138" t="n"/>
      <c r="AX258" s="16" t="n"/>
      <c r="AY258" s="138" t="n"/>
      <c r="AZ258" s="16">
        <f>AF258+AH258+AJ258+AL258+AN258+AP258+AR258+AT258+AV258+AX258</f>
        <v/>
      </c>
      <c r="BA258" s="16" t="n"/>
      <c r="BB258" s="139" t="n"/>
      <c r="BC258" s="16" t="n"/>
      <c r="BD258" s="139" t="n"/>
      <c r="BE258" s="16">
        <f>(BA258+BC258)</f>
        <v/>
      </c>
    </row>
    <row r="259" ht="21.95" customFormat="1" customHeight="1" s="8">
      <c r="A259" s="9" t="n"/>
      <c r="B259" s="136" t="inlineStr">
        <is>
          <t>아크릴</t>
        </is>
      </c>
      <c r="C259" s="142" t="inlineStr">
        <is>
          <t>SOLO</t>
        </is>
      </c>
      <c r="D259" s="62" t="inlineStr">
        <is>
          <t>LCD_Window</t>
        </is>
      </c>
      <c r="E259" s="36" t="inlineStr">
        <is>
          <t>PC / 투명 (Im3 로고)</t>
        </is>
      </c>
      <c r="F259" s="21" t="n"/>
      <c r="G259" s="22" t="n"/>
      <c r="H259" s="22" t="inlineStr">
        <is>
          <t>천우</t>
        </is>
      </c>
      <c r="I259" s="14" t="n"/>
      <c r="J259" s="14" t="n"/>
      <c r="K259" s="12" t="n">
        <v>216</v>
      </c>
      <c r="L259" s="9" t="n"/>
      <c r="M259" s="9" t="n"/>
      <c r="N259" s="9" t="n"/>
      <c r="O259" s="40">
        <f>K259+V259-AE259-AZ259</f>
        <v/>
      </c>
      <c r="P259" s="12" t="n"/>
      <c r="Q259" s="138" t="n"/>
      <c r="R259" s="16" t="n"/>
      <c r="S259" s="139" t="n"/>
      <c r="T259" s="16" t="n"/>
      <c r="U259" s="139" t="n"/>
      <c r="V259" s="16">
        <f>P259+R259+T259</f>
        <v/>
      </c>
      <c r="W259" s="16" t="n"/>
      <c r="X259" s="139" t="n"/>
      <c r="Y259" s="16" t="n"/>
      <c r="Z259" s="139" t="n"/>
      <c r="AA259" s="16" t="n"/>
      <c r="AB259" s="139" t="n"/>
      <c r="AC259" s="16" t="n"/>
      <c r="AD259" s="139" t="n"/>
      <c r="AE259" s="16">
        <f>(W259+Y259+AA259+AC259)</f>
        <v/>
      </c>
      <c r="AF259" s="16" t="n"/>
      <c r="AG259" s="138" t="n"/>
      <c r="AH259" s="16" t="n"/>
      <c r="AI259" s="138" t="n"/>
      <c r="AJ259" s="16" t="n"/>
      <c r="AK259" s="138" t="n"/>
      <c r="AL259" s="16" t="n"/>
      <c r="AM259" s="138" t="n"/>
      <c r="AN259" s="16" t="n"/>
      <c r="AO259" s="138" t="n"/>
      <c r="AP259" s="16" t="n"/>
      <c r="AQ259" s="138" t="n"/>
      <c r="AR259" s="16" t="n"/>
      <c r="AS259" s="138" t="n"/>
      <c r="AT259" s="16" t="n"/>
      <c r="AU259" s="138" t="n"/>
      <c r="AV259" s="16" t="n"/>
      <c r="AW259" s="138" t="n"/>
      <c r="AX259" s="16" t="n"/>
      <c r="AY259" s="138" t="n"/>
      <c r="AZ259" s="16">
        <f>AF259+AH259+AJ259+AL259+AN259+AP259+AR259+AT259+AV259+AX259</f>
        <v/>
      </c>
      <c r="BA259" s="16" t="n"/>
      <c r="BB259" s="139" t="n"/>
      <c r="BC259" s="16" t="n"/>
      <c r="BD259" s="139" t="n"/>
      <c r="BE259" s="16">
        <f>(BA259+BC259)</f>
        <v/>
      </c>
    </row>
    <row r="260" ht="21.95" customFormat="1" customHeight="1" s="8">
      <c r="A260" s="9" t="n"/>
      <c r="B260" s="136" t="inlineStr">
        <is>
          <t>아크릴</t>
        </is>
      </c>
      <c r="C260" s="142" t="inlineStr">
        <is>
          <t>SOLO</t>
        </is>
      </c>
      <c r="D260" s="62" t="inlineStr">
        <is>
          <t>LCD_Window</t>
        </is>
      </c>
      <c r="E260" s="36" t="inlineStr">
        <is>
          <t>PC / 투명 (DEXCOWIN 로고)</t>
        </is>
      </c>
      <c r="F260" s="21" t="n"/>
      <c r="G260" s="22" t="n"/>
      <c r="H260" s="22" t="inlineStr">
        <is>
          <t>천우</t>
        </is>
      </c>
      <c r="I260" s="14" t="n"/>
      <c r="J260" s="14" t="n"/>
      <c r="K260" s="12" t="n">
        <v>649</v>
      </c>
      <c r="L260" s="9" t="n"/>
      <c r="M260" s="9" t="n"/>
      <c r="N260" s="9" t="n"/>
      <c r="O260" s="40">
        <f>K260+V260-AE260-AZ260</f>
        <v/>
      </c>
      <c r="P260" s="12" t="n"/>
      <c r="Q260" s="138" t="n"/>
      <c r="R260" s="16" t="n"/>
      <c r="S260" s="139" t="n"/>
      <c r="T260" s="16" t="n"/>
      <c r="U260" s="139" t="n"/>
      <c r="V260" s="16">
        <f>P260+R260+T260</f>
        <v/>
      </c>
      <c r="W260" s="16" t="n"/>
      <c r="X260" s="139" t="n"/>
      <c r="Y260" s="16" t="n"/>
      <c r="Z260" s="139" t="n"/>
      <c r="AA260" s="16" t="n"/>
      <c r="AB260" s="139" t="n"/>
      <c r="AC260" s="16" t="n"/>
      <c r="AD260" s="139" t="n"/>
      <c r="AE260" s="16">
        <f>(W260+Y260+AA260+AC260)</f>
        <v/>
      </c>
      <c r="AF260" s="16" t="n"/>
      <c r="AG260" s="138" t="n"/>
      <c r="AH260" s="16" t="n"/>
      <c r="AI260" s="138" t="n"/>
      <c r="AJ260" s="16" t="n"/>
      <c r="AK260" s="138" t="n"/>
      <c r="AL260" s="16" t="n"/>
      <c r="AM260" s="138" t="n"/>
      <c r="AN260" s="16" t="n"/>
      <c r="AO260" s="138" t="n"/>
      <c r="AP260" s="16" t="n"/>
      <c r="AQ260" s="138" t="n"/>
      <c r="AR260" s="16" t="n"/>
      <c r="AS260" s="138" t="n"/>
      <c r="AT260" s="16" t="n"/>
      <c r="AU260" s="138" t="n"/>
      <c r="AV260" s="16" t="n"/>
      <c r="AW260" s="138" t="n"/>
      <c r="AX260" s="16" t="n"/>
      <c r="AY260" s="138" t="n"/>
      <c r="AZ260" s="16">
        <f>AF260+AH260+AJ260+AL260+AN260+AP260+AR260+AT260+AV260+AX260</f>
        <v/>
      </c>
      <c r="BA260" s="16" t="n"/>
      <c r="BB260" s="139" t="n"/>
      <c r="BC260" s="16" t="n"/>
      <c r="BD260" s="139" t="n"/>
      <c r="BE260" s="16">
        <f>(BA260+BC260)</f>
        <v/>
      </c>
    </row>
    <row r="261" ht="21.95" customFormat="1" customHeight="1" s="8">
      <c r="A261" s="9" t="n"/>
      <c r="B261" s="136" t="inlineStr">
        <is>
          <t>아크릴</t>
        </is>
      </c>
      <c r="C261" s="142" t="inlineStr">
        <is>
          <t>SOLO</t>
        </is>
      </c>
      <c r="D261" s="62" t="inlineStr">
        <is>
          <t>LCD_LED_확산_아크릴</t>
        </is>
      </c>
      <c r="E261" s="102" t="inlineStr">
        <is>
          <t>확산 아크릴/ 화이트</t>
        </is>
      </c>
      <c r="F261" s="21" t="n"/>
      <c r="G261" s="22" t="n"/>
      <c r="H261" s="22" t="inlineStr">
        <is>
          <t>천우</t>
        </is>
      </c>
      <c r="I261" s="14" t="n"/>
      <c r="J261" s="14" t="n"/>
      <c r="K261" s="12" t="n">
        <v>546</v>
      </c>
      <c r="L261" s="9" t="n"/>
      <c r="M261" s="9" t="n"/>
      <c r="N261" s="9" t="n"/>
      <c r="O261" s="40">
        <f>K261+V261-AE261-AZ261</f>
        <v/>
      </c>
      <c r="P261" s="12" t="n"/>
      <c r="Q261" s="138" t="n"/>
      <c r="R261" s="16" t="n"/>
      <c r="S261" s="139" t="n"/>
      <c r="T261" s="16" t="n"/>
      <c r="U261" s="139" t="n"/>
      <c r="V261" s="16">
        <f>P261+R261+T261</f>
        <v/>
      </c>
      <c r="W261" s="16" t="n"/>
      <c r="X261" s="139" t="n"/>
      <c r="Y261" s="16" t="n"/>
      <c r="Z261" s="139" t="n"/>
      <c r="AA261" s="16" t="n"/>
      <c r="AB261" s="139" t="n"/>
      <c r="AC261" s="16" t="n"/>
      <c r="AD261" s="139" t="n"/>
      <c r="AE261" s="16">
        <f>(W261+Y261+AA261+AC261)</f>
        <v/>
      </c>
      <c r="AF261" s="16" t="n"/>
      <c r="AG261" s="138" t="n"/>
      <c r="AH261" s="16" t="n"/>
      <c r="AI261" s="138" t="n"/>
      <c r="AJ261" s="16" t="n"/>
      <c r="AK261" s="138" t="n"/>
      <c r="AL261" s="16" t="n"/>
      <c r="AM261" s="138" t="n"/>
      <c r="AN261" s="16" t="n"/>
      <c r="AO261" s="138" t="n"/>
      <c r="AP261" s="16" t="n"/>
      <c r="AQ261" s="138" t="n"/>
      <c r="AR261" s="16" t="n"/>
      <c r="AS261" s="138" t="n"/>
      <c r="AT261" s="16" t="n"/>
      <c r="AU261" s="138" t="n"/>
      <c r="AV261" s="16" t="n"/>
      <c r="AW261" s="138" t="n"/>
      <c r="AX261" s="16" t="n"/>
      <c r="AY261" s="138" t="n"/>
      <c r="AZ261" s="16">
        <f>AF261+AH261+AJ261+AL261+AN261+AP261+AR261+AT261+AV261+AX261</f>
        <v/>
      </c>
      <c r="BA261" s="16" t="n"/>
      <c r="BB261" s="139" t="n"/>
      <c r="BC261" s="16" t="n"/>
      <c r="BD261" s="139" t="n"/>
      <c r="BE261" s="16">
        <f>(BA261+BC261)</f>
        <v/>
      </c>
    </row>
    <row r="262" ht="21.95" customFormat="1" customHeight="1" s="8">
      <c r="A262" s="9" t="n"/>
      <c r="B262" s="136" t="inlineStr">
        <is>
          <t>아크릴</t>
        </is>
      </c>
      <c r="C262" s="142" t="inlineStr">
        <is>
          <t>SOLO</t>
        </is>
      </c>
      <c r="D262" s="62" t="inlineStr">
        <is>
          <t>광센서_유색_창</t>
        </is>
      </c>
      <c r="E262" s="36" t="inlineStr">
        <is>
          <t>PC/스모그/퍼플</t>
        </is>
      </c>
      <c r="F262" s="21" t="n"/>
      <c r="G262" s="22" t="n"/>
      <c r="H262" s="22" t="inlineStr">
        <is>
          <t>천우</t>
        </is>
      </c>
      <c r="I262" s="14" t="n"/>
      <c r="J262" s="14" t="n"/>
      <c r="K262" s="12" t="n">
        <v>213</v>
      </c>
      <c r="L262" s="9" t="n"/>
      <c r="M262" s="9" t="n"/>
      <c r="N262" s="9" t="n"/>
      <c r="O262" s="40">
        <f>K262+V262-AE262-AZ262</f>
        <v/>
      </c>
      <c r="P262" s="12" t="n"/>
      <c r="Q262" s="138" t="n"/>
      <c r="R262" s="16" t="n"/>
      <c r="S262" s="139" t="n"/>
      <c r="T262" s="16" t="n"/>
      <c r="U262" s="139" t="n"/>
      <c r="V262" s="16">
        <f>P262+R262+T262</f>
        <v/>
      </c>
      <c r="W262" s="16" t="n"/>
      <c r="X262" s="139" t="n"/>
      <c r="Y262" s="16" t="n"/>
      <c r="Z262" s="139" t="n"/>
      <c r="AA262" s="16" t="n"/>
      <c r="AB262" s="139" t="n"/>
      <c r="AC262" s="16" t="n"/>
      <c r="AD262" s="139" t="n"/>
      <c r="AE262" s="16">
        <f>(W262+Y262+AA262+AC262)</f>
        <v/>
      </c>
      <c r="AF262" s="16" t="n"/>
      <c r="AG262" s="138" t="n"/>
      <c r="AH262" s="16" t="n"/>
      <c r="AI262" s="138" t="n"/>
      <c r="AJ262" s="16" t="n"/>
      <c r="AK262" s="138" t="n"/>
      <c r="AL262" s="16" t="n"/>
      <c r="AM262" s="138" t="n"/>
      <c r="AN262" s="16" t="n"/>
      <c r="AO262" s="138" t="n"/>
      <c r="AP262" s="16" t="n"/>
      <c r="AQ262" s="138" t="n"/>
      <c r="AR262" s="16" t="n"/>
      <c r="AS262" s="138" t="n"/>
      <c r="AT262" s="16" t="n"/>
      <c r="AU262" s="138" t="n"/>
      <c r="AV262" s="16" t="n"/>
      <c r="AW262" s="138" t="n"/>
      <c r="AX262" s="16" t="n"/>
      <c r="AY262" s="138" t="n"/>
      <c r="AZ262" s="16">
        <f>AF262+AH262+AJ262+AL262+AN262+AP262+AR262+AT262+AV262+AX262</f>
        <v/>
      </c>
      <c r="BA262" s="16" t="n"/>
      <c r="BB262" s="139" t="n"/>
      <c r="BC262" s="16" t="n"/>
      <c r="BD262" s="139" t="n"/>
      <c r="BE262" s="16">
        <f>(BA262+BC262)</f>
        <v/>
      </c>
    </row>
    <row r="263" ht="21.95" customFormat="1" customHeight="1" s="8">
      <c r="A263" s="9" t="n"/>
      <c r="B263" s="136" t="inlineStr">
        <is>
          <t>아크릴</t>
        </is>
      </c>
      <c r="C263" s="142" t="inlineStr">
        <is>
          <t>SOLO</t>
        </is>
      </c>
      <c r="D263" s="62" t="inlineStr">
        <is>
          <t>BAT_LED_확산_아크릴</t>
        </is>
      </c>
      <c r="E263" s="102" t="inlineStr">
        <is>
          <t>확산 아크릴/ 화이트</t>
        </is>
      </c>
      <c r="F263" s="21" t="n"/>
      <c r="G263" s="22" t="n"/>
      <c r="H263" s="22" t="inlineStr">
        <is>
          <t>천우</t>
        </is>
      </c>
      <c r="I263" s="14" t="n"/>
      <c r="J263" s="14" t="n"/>
      <c r="K263" s="12" t="n">
        <v>425</v>
      </c>
      <c r="L263" s="9" t="n"/>
      <c r="M263" s="9" t="n"/>
      <c r="N263" s="9" t="n"/>
      <c r="O263" s="40">
        <f>K263+V263-AE263-AZ263</f>
        <v/>
      </c>
      <c r="P263" s="12" t="n"/>
      <c r="Q263" s="138" t="n"/>
      <c r="R263" s="16" t="n"/>
      <c r="S263" s="139" t="n"/>
      <c r="T263" s="16" t="n"/>
      <c r="U263" s="139" t="n"/>
      <c r="V263" s="16">
        <f>P263+R263+T263</f>
        <v/>
      </c>
      <c r="W263" s="16" t="n"/>
      <c r="X263" s="139" t="n"/>
      <c r="Y263" s="16" t="n"/>
      <c r="Z263" s="139" t="n"/>
      <c r="AA263" s="16" t="n"/>
      <c r="AB263" s="139" t="n"/>
      <c r="AC263" s="16" t="n"/>
      <c r="AD263" s="139" t="n"/>
      <c r="AE263" s="16">
        <f>(W263+Y263+AA263+AC263)</f>
        <v/>
      </c>
      <c r="AF263" s="16" t="n"/>
      <c r="AG263" s="138" t="n"/>
      <c r="AH263" s="16" t="n"/>
      <c r="AI263" s="138" t="n"/>
      <c r="AJ263" s="16" t="n"/>
      <c r="AK263" s="138" t="n"/>
      <c r="AL263" s="16" t="n"/>
      <c r="AM263" s="138" t="n"/>
      <c r="AN263" s="16" t="n"/>
      <c r="AO263" s="138" t="n"/>
      <c r="AP263" s="16" t="n"/>
      <c r="AQ263" s="138" t="n"/>
      <c r="AR263" s="16" t="n"/>
      <c r="AS263" s="138" t="n"/>
      <c r="AT263" s="16" t="n"/>
      <c r="AU263" s="138" t="n"/>
      <c r="AV263" s="16" t="n"/>
      <c r="AW263" s="138" t="n"/>
      <c r="AX263" s="16" t="n"/>
      <c r="AY263" s="138" t="n"/>
      <c r="AZ263" s="16">
        <f>AF263+AH263+AJ263+AL263+AN263+AP263+AR263+AT263+AV263+AX263</f>
        <v/>
      </c>
      <c r="BA263" s="16" t="n"/>
      <c r="BB263" s="139" t="n"/>
      <c r="BC263" s="16" t="n"/>
      <c r="BD263" s="139" t="n"/>
      <c r="BE263" s="16">
        <f>(BA263+BC263)</f>
        <v/>
      </c>
    </row>
    <row r="264" ht="21.95" customFormat="1" customHeight="1" s="8">
      <c r="A264" s="9" t="n"/>
      <c r="B264" s="136" t="inlineStr">
        <is>
          <t>가스켓</t>
        </is>
      </c>
      <c r="C264" s="142" t="inlineStr">
        <is>
          <t>SOLO</t>
        </is>
      </c>
      <c r="D264" s="62" t="inlineStr">
        <is>
          <t>LCD 터치가스켓</t>
        </is>
      </c>
      <c r="E264" s="36" t="inlineStr">
        <is>
          <t>8X8X7</t>
        </is>
      </c>
      <c r="F264" s="21" t="n"/>
      <c r="G264" s="22" t="n"/>
      <c r="H264" s="22" t="n"/>
      <c r="I264" s="14" t="n"/>
      <c r="J264" s="14" t="n"/>
      <c r="K264" s="12" t="n"/>
      <c r="L264" s="9" t="n"/>
      <c r="M264" s="9" t="n"/>
      <c r="N264" s="9" t="n"/>
      <c r="O264" s="40">
        <f>K264+V264-AE264-AZ264</f>
        <v/>
      </c>
      <c r="P264" s="12" t="n"/>
      <c r="Q264" s="138" t="n"/>
      <c r="R264" s="16" t="n"/>
      <c r="S264" s="139" t="n"/>
      <c r="T264" s="16" t="n"/>
      <c r="U264" s="139" t="n"/>
      <c r="V264" s="16">
        <f>P264+R264+T264</f>
        <v/>
      </c>
      <c r="W264" s="16" t="n"/>
      <c r="X264" s="139" t="n"/>
      <c r="Y264" s="16" t="n"/>
      <c r="Z264" s="139" t="n"/>
      <c r="AA264" s="16" t="n"/>
      <c r="AB264" s="139" t="n"/>
      <c r="AC264" s="16" t="n"/>
      <c r="AD264" s="139" t="n"/>
      <c r="AE264" s="16">
        <f>(W264+Y264+AA264+AC264)</f>
        <v/>
      </c>
      <c r="AF264" s="16" t="n"/>
      <c r="AG264" s="138" t="n"/>
      <c r="AH264" s="16" t="n"/>
      <c r="AI264" s="138" t="n"/>
      <c r="AJ264" s="16" t="n"/>
      <c r="AK264" s="138" t="n"/>
      <c r="AL264" s="16" t="n"/>
      <c r="AM264" s="138" t="n"/>
      <c r="AN264" s="16" t="n"/>
      <c r="AO264" s="138" t="n"/>
      <c r="AP264" s="16" t="n"/>
      <c r="AQ264" s="138" t="n"/>
      <c r="AR264" s="16" t="n"/>
      <c r="AS264" s="138" t="n"/>
      <c r="AT264" s="16" t="n"/>
      <c r="AU264" s="138" t="n"/>
      <c r="AV264" s="16" t="n"/>
      <c r="AW264" s="138" t="n"/>
      <c r="AX264" s="16" t="n"/>
      <c r="AY264" s="138" t="n"/>
      <c r="AZ264" s="16">
        <f>AF264+AH264+AJ264+AL264+AN264+AP264+AR264+AT264+AV264+AX264</f>
        <v/>
      </c>
      <c r="BA264" s="16" t="n"/>
      <c r="BB264" s="139" t="n"/>
      <c r="BC264" s="16" t="n"/>
      <c r="BD264" s="139" t="n"/>
      <c r="BE264" s="16">
        <f>(BA264+BC264)</f>
        <v/>
      </c>
    </row>
    <row r="265" ht="22.5" customFormat="1" customHeight="1" s="8">
      <c r="A265" s="9" t="n"/>
      <c r="B265" s="136" t="inlineStr">
        <is>
          <t>AL</t>
        </is>
      </c>
      <c r="C265" s="137" t="inlineStr">
        <is>
          <t>SOLO</t>
        </is>
      </c>
      <c r="D265" s="83" t="inlineStr">
        <is>
          <t>마운트</t>
        </is>
      </c>
      <c r="E265" s="13" t="inlineStr">
        <is>
          <t>삼각대 고정홀</t>
        </is>
      </c>
      <c r="F265" s="100" t="n"/>
      <c r="G265" s="9" t="n"/>
      <c r="H265" s="9" t="n"/>
      <c r="I265" s="14" t="n"/>
      <c r="J265" s="14" t="n"/>
      <c r="K265" s="12" t="n">
        <v>108</v>
      </c>
      <c r="L265" s="9" t="n"/>
      <c r="M265" s="9" t="n"/>
      <c r="N265" s="9" t="n"/>
      <c r="O265" s="40">
        <f>K265+V265-AE265-AZ265</f>
        <v/>
      </c>
      <c r="P265" s="12" t="n"/>
      <c r="Q265" s="138" t="n"/>
      <c r="R265" s="16" t="n"/>
      <c r="S265" s="139" t="n"/>
      <c r="T265" s="16" t="n"/>
      <c r="U265" s="139" t="n"/>
      <c r="V265" s="16">
        <f>P265+R265+T265</f>
        <v/>
      </c>
      <c r="W265" s="16" t="n"/>
      <c r="X265" s="139" t="n"/>
      <c r="Y265" s="16" t="n"/>
      <c r="Z265" s="139" t="n"/>
      <c r="AA265" s="16" t="n"/>
      <c r="AB265" s="139" t="n"/>
      <c r="AC265" s="16" t="n"/>
      <c r="AD265" s="139" t="n"/>
      <c r="AE265" s="16">
        <f>(W265+Y265+AA265+AC265)</f>
        <v/>
      </c>
      <c r="AF265" s="16" t="n"/>
      <c r="AG265" s="138" t="n"/>
      <c r="AH265" s="16" t="n"/>
      <c r="AI265" s="138" t="n"/>
      <c r="AJ265" s="16" t="n"/>
      <c r="AK265" s="138" t="n"/>
      <c r="AL265" s="16" t="n"/>
      <c r="AM265" s="138" t="n"/>
      <c r="AN265" s="16" t="n"/>
      <c r="AO265" s="138" t="n"/>
      <c r="AP265" s="16" t="n"/>
      <c r="AQ265" s="138" t="n"/>
      <c r="AR265" s="16" t="n"/>
      <c r="AS265" s="138" t="n"/>
      <c r="AT265" s="16" t="n"/>
      <c r="AU265" s="138" t="n"/>
      <c r="AV265" s="16" t="n"/>
      <c r="AW265" s="138" t="n"/>
      <c r="AX265" s="16" t="n"/>
      <c r="AY265" s="138" t="n"/>
      <c r="AZ265" s="16">
        <f>AF265+AH265+AJ265+AL265+AN265+AP265+AR265+AT265+AV265+AX265</f>
        <v/>
      </c>
      <c r="BA265" s="16" t="n"/>
      <c r="BB265" s="139" t="n"/>
      <c r="BC265" s="16" t="n"/>
      <c r="BD265" s="139" t="n"/>
      <c r="BE265" s="16">
        <f>(BA265+BC265)</f>
        <v/>
      </c>
    </row>
    <row r="266" ht="22.5" customFormat="1" customHeight="1" s="8">
      <c r="A266" s="9" t="n"/>
      <c r="B266" s="136" t="inlineStr">
        <is>
          <t>RUBBER</t>
        </is>
      </c>
      <c r="C266" s="137" t="inlineStr">
        <is>
          <t>SOLO</t>
        </is>
      </c>
      <c r="D266" s="143" t="inlineStr">
        <is>
          <t>BAT BOTTOM RUBBER</t>
        </is>
      </c>
      <c r="E266" s="13" t="inlineStr">
        <is>
          <t>RUBBER (1T, 마운트 홀)</t>
        </is>
      </c>
      <c r="F266" s="100" t="n"/>
      <c r="G266" s="9" t="n"/>
      <c r="H266" s="9" t="inlineStr">
        <is>
          <t>남경화학</t>
        </is>
      </c>
      <c r="I266" s="14" t="n"/>
      <c r="J266" s="14" t="n"/>
      <c r="K266" s="12" t="n">
        <v>342</v>
      </c>
      <c r="L266" s="9" t="n"/>
      <c r="M266" s="9" t="n"/>
      <c r="N266" s="9" t="n"/>
      <c r="O266" s="40">
        <f>K266+V266-AE266-AZ266</f>
        <v/>
      </c>
      <c r="P266" s="12" t="n"/>
      <c r="Q266" s="138" t="n"/>
      <c r="R266" s="16" t="n"/>
      <c r="S266" s="139" t="n"/>
      <c r="T266" s="16" t="n"/>
      <c r="U266" s="139" t="n"/>
      <c r="V266" s="16">
        <f>P266+R266+T266</f>
        <v/>
      </c>
      <c r="W266" s="16" t="n"/>
      <c r="X266" s="139" t="n"/>
      <c r="Y266" s="16" t="n"/>
      <c r="Z266" s="139" t="n"/>
      <c r="AA266" s="16" t="n"/>
      <c r="AB266" s="139" t="n"/>
      <c r="AC266" s="16" t="n"/>
      <c r="AD266" s="139" t="n"/>
      <c r="AE266" s="16">
        <f>(W266+Y266+AA266+AC266)</f>
        <v/>
      </c>
      <c r="AF266" s="16" t="n"/>
      <c r="AG266" s="138" t="n"/>
      <c r="AH266" s="16" t="n"/>
      <c r="AI266" s="138" t="n"/>
      <c r="AJ266" s="16" t="n"/>
      <c r="AK266" s="138" t="n"/>
      <c r="AL266" s="16" t="n"/>
      <c r="AM266" s="138" t="n"/>
      <c r="AN266" s="16" t="n"/>
      <c r="AO266" s="138" t="n"/>
      <c r="AP266" s="16" t="n"/>
      <c r="AQ266" s="138" t="n"/>
      <c r="AR266" s="16" t="n"/>
      <c r="AS266" s="138" t="n"/>
      <c r="AT266" s="16" t="n"/>
      <c r="AU266" s="138" t="n"/>
      <c r="AV266" s="16" t="n"/>
      <c r="AW266" s="138" t="n"/>
      <c r="AX266" s="16" t="n"/>
      <c r="AY266" s="138" t="n"/>
      <c r="AZ266" s="16">
        <f>AF266+AH266+AJ266+AL266+AN266+AP266+AR266+AT266+AV266+AX266</f>
        <v/>
      </c>
      <c r="BA266" s="16" t="n"/>
      <c r="BB266" s="139" t="n"/>
      <c r="BC266" s="16" t="n"/>
      <c r="BD266" s="139" t="n"/>
      <c r="BE266" s="16">
        <f>(BA266+BC266)</f>
        <v/>
      </c>
    </row>
    <row r="267" ht="22.5" customFormat="1" customHeight="1" s="8">
      <c r="A267" s="9" t="n"/>
      <c r="B267" s="136" t="inlineStr">
        <is>
          <t>ABS 난연</t>
        </is>
      </c>
      <c r="C267" s="137" t="inlineStr">
        <is>
          <t>DX3000, ADX6000,SOLO</t>
        </is>
      </c>
      <c r="D267" s="150" t="inlineStr">
        <is>
          <t>에이밍 바디 뭉치</t>
        </is>
      </c>
      <c r="E267" s="13" t="inlineStr">
        <is>
          <t>ø33*19.3</t>
        </is>
      </c>
      <c r="F267" s="100" t="n"/>
      <c r="G267" s="9" t="n"/>
      <c r="H267" s="9" t="inlineStr">
        <is>
          <t>오비스코리아</t>
        </is>
      </c>
      <c r="I267" s="14" t="n"/>
      <c r="J267" s="14" t="n"/>
      <c r="K267" s="12" t="n"/>
      <c r="L267" s="9" t="n"/>
      <c r="M267" s="9" t="n"/>
      <c r="N267" s="9" t="n"/>
      <c r="O267" s="40">
        <f>K267+V267-AE267-AZ267</f>
        <v/>
      </c>
      <c r="P267" s="12" t="n"/>
      <c r="Q267" s="138" t="n"/>
      <c r="R267" s="16" t="n"/>
      <c r="S267" s="139" t="n"/>
      <c r="T267" s="16" t="n"/>
      <c r="U267" s="139" t="n"/>
      <c r="V267" s="16">
        <f>P267+R267+T267</f>
        <v/>
      </c>
      <c r="W267" s="16" t="n"/>
      <c r="X267" s="139" t="n"/>
      <c r="Y267" s="16" t="n"/>
      <c r="Z267" s="139" t="n"/>
      <c r="AA267" s="16" t="n"/>
      <c r="AB267" s="139" t="n"/>
      <c r="AC267" s="16" t="n"/>
      <c r="AD267" s="139" t="n"/>
      <c r="AE267" s="16">
        <f>(W267+Y267+AA267+AC267)</f>
        <v/>
      </c>
      <c r="AF267" s="16" t="n"/>
      <c r="AG267" s="138" t="n"/>
      <c r="AH267" s="16" t="n"/>
      <c r="AI267" s="138" t="n"/>
      <c r="AJ267" s="16" t="n"/>
      <c r="AK267" s="138" t="n"/>
      <c r="AL267" s="16" t="n"/>
      <c r="AM267" s="138" t="n"/>
      <c r="AN267" s="16" t="n"/>
      <c r="AO267" s="138" t="n"/>
      <c r="AP267" s="16" t="n"/>
      <c r="AQ267" s="138" t="n"/>
      <c r="AR267" s="16" t="n"/>
      <c r="AS267" s="138" t="n"/>
      <c r="AT267" s="16" t="n"/>
      <c r="AU267" s="138" t="n"/>
      <c r="AV267" s="16" t="n"/>
      <c r="AW267" s="138" t="n"/>
      <c r="AX267" s="16" t="n"/>
      <c r="AY267" s="138" t="n"/>
      <c r="AZ267" s="16">
        <f>AF267+AH267+AJ267+AL267+AN267+AP267+AR267+AT267+AV267+AX267</f>
        <v/>
      </c>
      <c r="BA267" s="16" t="n"/>
      <c r="BB267" s="139" t="n"/>
      <c r="BC267" s="16" t="n"/>
      <c r="BD267" s="139" t="n"/>
      <c r="BE267" s="16">
        <f>(BA267+BC267)</f>
        <v/>
      </c>
    </row>
    <row r="268" ht="22.5" customFormat="1" customHeight="1" s="8">
      <c r="A268" s="9" t="n"/>
      <c r="B268" s="136" t="inlineStr">
        <is>
          <t>아크릴</t>
        </is>
      </c>
      <c r="C268" s="137" t="inlineStr">
        <is>
          <t>DX3000, ADX6000,SOLO</t>
        </is>
      </c>
      <c r="D268" s="86" t="inlineStr">
        <is>
          <t>아크릴 은경</t>
        </is>
      </c>
      <c r="E268" s="23" t="inlineStr">
        <is>
          <t>아크릴 40파이</t>
        </is>
      </c>
      <c r="F268" s="99" t="n"/>
      <c r="G268" s="9" t="n"/>
      <c r="H268" s="9" t="inlineStr">
        <is>
          <t>명동아크릴</t>
        </is>
      </c>
      <c r="I268" s="14" t="n"/>
      <c r="J268" s="14" t="n"/>
      <c r="K268" s="12" t="n"/>
      <c r="L268" s="9" t="n"/>
      <c r="M268" s="9" t="n"/>
      <c r="N268" s="9" t="n"/>
      <c r="O268" s="40">
        <f>K268+V268-AE268-AZ268</f>
        <v/>
      </c>
      <c r="P268" s="12" t="n"/>
      <c r="Q268" s="138" t="n"/>
      <c r="R268" s="16" t="n"/>
      <c r="S268" s="139" t="n"/>
      <c r="T268" s="16" t="n"/>
      <c r="U268" s="139" t="n"/>
      <c r="V268" s="16">
        <f>P268+R268+T268</f>
        <v/>
      </c>
      <c r="W268" s="16" t="n"/>
      <c r="X268" s="139" t="n"/>
      <c r="Y268" s="16" t="n"/>
      <c r="Z268" s="139" t="n"/>
      <c r="AA268" s="16" t="n"/>
      <c r="AB268" s="139" t="n"/>
      <c r="AC268" s="16" t="n"/>
      <c r="AD268" s="139" t="n"/>
      <c r="AE268" s="16">
        <f>(W268+Y268+AA268+AC268)</f>
        <v/>
      </c>
      <c r="AF268" s="16" t="n"/>
      <c r="AG268" s="138" t="n"/>
      <c r="AH268" s="16" t="n"/>
      <c r="AI268" s="138" t="n"/>
      <c r="AJ268" s="16" t="n"/>
      <c r="AK268" s="138" t="n"/>
      <c r="AL268" s="16" t="n"/>
      <c r="AM268" s="138" t="n"/>
      <c r="AN268" s="16" t="n"/>
      <c r="AO268" s="138" t="n"/>
      <c r="AP268" s="16" t="n"/>
      <c r="AQ268" s="138" t="n"/>
      <c r="AR268" s="16" t="n"/>
      <c r="AS268" s="138" t="n"/>
      <c r="AT268" s="16" t="n"/>
      <c r="AU268" s="138" t="n"/>
      <c r="AV268" s="16" t="n"/>
      <c r="AW268" s="138" t="n"/>
      <c r="AX268" s="16" t="n"/>
      <c r="AY268" s="138" t="n"/>
      <c r="AZ268" s="16">
        <f>AF268+AH268+AJ268+AL268+AN268+AP268+AR268+AT268+AV268+AX268</f>
        <v/>
      </c>
      <c r="BA268" s="16" t="n"/>
      <c r="BB268" s="139" t="n"/>
      <c r="BC268" s="16" t="n"/>
      <c r="BD268" s="139" t="n"/>
      <c r="BE268" s="16">
        <f>(BA268+BC268)</f>
        <v/>
      </c>
    </row>
    <row r="269" ht="22.5" customFormat="1" customHeight="1" s="8">
      <c r="A269" s="9" t="n"/>
      <c r="B269" s="136" t="inlineStr">
        <is>
          <t>PCB</t>
        </is>
      </c>
      <c r="C269" s="137" t="inlineStr">
        <is>
          <t>DX3000, ADX6000,SOLO</t>
        </is>
      </c>
      <c r="D269" s="86" t="inlineStr">
        <is>
          <t>에이밍 LED 보드</t>
        </is>
      </c>
      <c r="E269" s="23" t="inlineStr">
        <is>
          <t xml:space="preserve">LED PCB </t>
        </is>
      </c>
      <c r="F269" s="99" t="n"/>
      <c r="G269" s="9" t="n"/>
      <c r="H269" s="9" t="inlineStr">
        <is>
          <t>HLP</t>
        </is>
      </c>
      <c r="I269" s="14" t="n"/>
      <c r="J269" s="14" t="n"/>
      <c r="K269" s="12" t="n"/>
      <c r="L269" s="9" t="n"/>
      <c r="M269" s="9" t="n"/>
      <c r="N269" s="9" t="n"/>
      <c r="O269" s="40">
        <f>K269+V269-AE269-AZ269</f>
        <v/>
      </c>
      <c r="P269" s="12" t="n"/>
      <c r="Q269" s="138" t="n"/>
      <c r="R269" s="16" t="n"/>
      <c r="S269" s="139" t="n"/>
      <c r="T269" s="16" t="n"/>
      <c r="U269" s="139" t="n"/>
      <c r="V269" s="16">
        <f>P269+R269+T269</f>
        <v/>
      </c>
      <c r="W269" s="16" t="n"/>
      <c r="X269" s="139" t="n"/>
      <c r="Y269" s="16" t="n"/>
      <c r="Z269" s="139" t="n"/>
      <c r="AA269" s="16" t="n"/>
      <c r="AB269" s="139" t="n"/>
      <c r="AC269" s="16" t="n"/>
      <c r="AD269" s="139" t="n"/>
      <c r="AE269" s="16">
        <f>(W269+Y269+AA269+AC269)</f>
        <v/>
      </c>
      <c r="AF269" s="16" t="n"/>
      <c r="AG269" s="138" t="n"/>
      <c r="AH269" s="16" t="n"/>
      <c r="AI269" s="138" t="n"/>
      <c r="AJ269" s="16" t="n"/>
      <c r="AK269" s="138" t="n"/>
      <c r="AL269" s="16" t="n"/>
      <c r="AM269" s="138" t="n"/>
      <c r="AN269" s="16" t="n"/>
      <c r="AO269" s="138" t="n"/>
      <c r="AP269" s="16" t="n"/>
      <c r="AQ269" s="138" t="n"/>
      <c r="AR269" s="16" t="n"/>
      <c r="AS269" s="138" t="n"/>
      <c r="AT269" s="16" t="n"/>
      <c r="AU269" s="138" t="n"/>
      <c r="AV269" s="16" t="n"/>
      <c r="AW269" s="138" t="n"/>
      <c r="AX269" s="16" t="n"/>
      <c r="AY269" s="138" t="n"/>
      <c r="AZ269" s="16">
        <f>AF269+AH269+AJ269+AL269+AN269+AP269+AR269+AT269+AV269+AX269</f>
        <v/>
      </c>
      <c r="BA269" s="16" t="n"/>
      <c r="BB269" s="139" t="n"/>
      <c r="BC269" s="16" t="n"/>
      <c r="BD269" s="139" t="n"/>
      <c r="BE269" s="16">
        <f>(BA269+BC269)</f>
        <v/>
      </c>
    </row>
    <row r="270" ht="22.5" customFormat="1" customHeight="1" s="8">
      <c r="A270" s="9" t="n"/>
      <c r="B270" s="136" t="inlineStr">
        <is>
          <t>AL</t>
        </is>
      </c>
      <c r="C270" s="137" t="inlineStr">
        <is>
          <t>DX3000, ADX6000,SOLO</t>
        </is>
      </c>
      <c r="D270" s="86" t="inlineStr">
        <is>
          <t>LED PCB 방열 가이드</t>
        </is>
      </c>
      <c r="E270" s="23" t="inlineStr">
        <is>
          <t>흑색 다이캐스팅</t>
        </is>
      </c>
      <c r="F270" s="99" t="n"/>
      <c r="G270" s="9" t="n"/>
      <c r="H270" s="9" t="inlineStr">
        <is>
          <t>㈜쿠가</t>
        </is>
      </c>
      <c r="I270" s="14" t="n"/>
      <c r="J270" s="14" t="n"/>
      <c r="K270" s="12" t="n">
        <v>814</v>
      </c>
      <c r="L270" s="9" t="n"/>
      <c r="M270" s="9" t="n"/>
      <c r="N270" s="9" t="n"/>
      <c r="O270" s="40">
        <f>K270+V270-AE270-AZ270</f>
        <v/>
      </c>
      <c r="P270" s="12" t="n"/>
      <c r="Q270" s="138" t="n"/>
      <c r="R270" s="16" t="n"/>
      <c r="S270" s="139" t="n"/>
      <c r="T270" s="16" t="n"/>
      <c r="U270" s="139" t="n"/>
      <c r="V270" s="16">
        <f>P270+R270+T270</f>
        <v/>
      </c>
      <c r="W270" s="16" t="n"/>
      <c r="X270" s="139" t="n"/>
      <c r="Y270" s="16" t="n"/>
      <c r="Z270" s="139" t="n"/>
      <c r="AA270" s="16" t="n"/>
      <c r="AB270" s="139" t="n"/>
      <c r="AC270" s="16" t="n"/>
      <c r="AD270" s="139" t="n"/>
      <c r="AE270" s="16">
        <f>(W270+Y270+AA270+AC270)</f>
        <v/>
      </c>
      <c r="AF270" s="16" t="n"/>
      <c r="AG270" s="138" t="n"/>
      <c r="AH270" s="16" t="n"/>
      <c r="AI270" s="138" t="n"/>
      <c r="AJ270" s="16" t="n"/>
      <c r="AK270" s="138" t="n"/>
      <c r="AL270" s="16" t="n"/>
      <c r="AM270" s="138" t="n"/>
      <c r="AN270" s="16" t="n"/>
      <c r="AO270" s="138" t="n"/>
      <c r="AP270" s="16" t="n"/>
      <c r="AQ270" s="138" t="n"/>
      <c r="AR270" s="16" t="n"/>
      <c r="AS270" s="138" t="n"/>
      <c r="AT270" s="16" t="n"/>
      <c r="AU270" s="138" t="n"/>
      <c r="AV270" s="16" t="n"/>
      <c r="AW270" s="138" t="n"/>
      <c r="AX270" s="16" t="n"/>
      <c r="AY270" s="138" t="n"/>
      <c r="AZ270" s="16">
        <f>AF270+AH270+AJ270+AL270+AN270+AP270+AR270+AT270+AV270+AX270</f>
        <v/>
      </c>
      <c r="BA270" s="16" t="n"/>
      <c r="BB270" s="139" t="n"/>
      <c r="BC270" s="16" t="n"/>
      <c r="BD270" s="139" t="n"/>
      <c r="BE270" s="16">
        <f>(BA270+BC270)</f>
        <v/>
      </c>
    </row>
    <row r="271" ht="22.5" customFormat="1" customHeight="1" s="8">
      <c r="A271" s="9" t="n"/>
      <c r="B271" s="136" t="inlineStr">
        <is>
          <t>ABS 난연</t>
        </is>
      </c>
      <c r="C271" s="137" t="inlineStr">
        <is>
          <t>DX3000, SOLO</t>
        </is>
      </c>
      <c r="D271" s="86" t="inlineStr">
        <is>
          <t>LED PCB 방열 가이드</t>
        </is>
      </c>
      <c r="E271" s="23" t="inlineStr">
        <is>
          <t>블랙 무광</t>
        </is>
      </c>
      <c r="F271" s="99" t="n"/>
      <c r="G271" s="9" t="n"/>
      <c r="H271" s="9" t="n"/>
      <c r="I271" s="14" t="n"/>
      <c r="J271" s="14" t="n"/>
      <c r="K271" s="12" t="n">
        <v>206</v>
      </c>
      <c r="L271" s="9" t="n"/>
      <c r="M271" s="9" t="n"/>
      <c r="N271" s="9" t="n"/>
      <c r="O271" s="40">
        <f>K271+V271-AE271-AZ271</f>
        <v/>
      </c>
      <c r="P271" s="12" t="n"/>
      <c r="Q271" s="138" t="n"/>
      <c r="R271" s="16" t="n"/>
      <c r="S271" s="139" t="n"/>
      <c r="T271" s="16" t="n"/>
      <c r="U271" s="139" t="n"/>
      <c r="V271" s="16">
        <f>P271+R271+T271</f>
        <v/>
      </c>
      <c r="W271" s="16" t="n"/>
      <c r="X271" s="139" t="n"/>
      <c r="Y271" s="16" t="n"/>
      <c r="Z271" s="139" t="n"/>
      <c r="AA271" s="16" t="n"/>
      <c r="AB271" s="139" t="n"/>
      <c r="AC271" s="16" t="n"/>
      <c r="AD271" s="139" t="n"/>
      <c r="AE271" s="16">
        <f>(W271+Y271+AA271+AC271)</f>
        <v/>
      </c>
      <c r="AF271" s="16" t="n"/>
      <c r="AG271" s="138" t="n"/>
      <c r="AH271" s="16" t="n"/>
      <c r="AI271" s="138" t="n"/>
      <c r="AJ271" s="16" t="n"/>
      <c r="AK271" s="138" t="n"/>
      <c r="AL271" s="16" t="n"/>
      <c r="AM271" s="138" t="n"/>
      <c r="AN271" s="16" t="n"/>
      <c r="AO271" s="138" t="n"/>
      <c r="AP271" s="16" t="n"/>
      <c r="AQ271" s="138" t="n"/>
      <c r="AR271" s="16" t="n"/>
      <c r="AS271" s="138" t="n"/>
      <c r="AT271" s="16" t="n"/>
      <c r="AU271" s="138" t="n"/>
      <c r="AV271" s="16" t="n"/>
      <c r="AW271" s="138" t="n"/>
      <c r="AX271" s="16" t="n"/>
      <c r="AY271" s="138" t="n"/>
      <c r="AZ271" s="16" t="n"/>
      <c r="BA271" s="16" t="n"/>
      <c r="BB271" s="139" t="n"/>
      <c r="BC271" s="16" t="n"/>
      <c r="BD271" s="139" t="n"/>
      <c r="BE271" s="16" t="n"/>
    </row>
    <row r="272" ht="22.5" customFormat="1" customHeight="1" s="8">
      <c r="A272" s="9" t="n"/>
      <c r="B272" s="141" t="inlineStr">
        <is>
          <t>PCB</t>
        </is>
      </c>
      <c r="C272" s="137" t="inlineStr">
        <is>
          <t>ADX4000W</t>
        </is>
      </c>
      <c r="D272" s="62" t="inlineStr">
        <is>
          <t>CTR B/D</t>
        </is>
      </c>
      <c r="E272" s="36" t="inlineStr">
        <is>
          <t xml:space="preserve"> + 12(AS용)</t>
        </is>
      </c>
      <c r="F272" s="100" t="n"/>
      <c r="G272" s="22" t="n"/>
      <c r="H272" s="22" t="inlineStr">
        <is>
          <t>HLP</t>
        </is>
      </c>
      <c r="I272" s="14" t="n"/>
      <c r="J272" s="14" t="n"/>
      <c r="K272" s="12" t="n">
        <v>93</v>
      </c>
      <c r="L272" s="9" t="n"/>
      <c r="M272" s="9" t="n"/>
      <c r="N272" s="9" t="n"/>
      <c r="O272" s="40">
        <f>K272+V272-AE272-AZ272</f>
        <v/>
      </c>
      <c r="P272" s="12" t="n"/>
      <c r="Q272" s="138" t="n"/>
      <c r="R272" s="16" t="n"/>
      <c r="S272" s="139" t="n"/>
      <c r="T272" s="16" t="n"/>
      <c r="U272" s="139" t="n"/>
      <c r="V272" s="16">
        <f>P272+R272+T272</f>
        <v/>
      </c>
      <c r="W272" s="16" t="n"/>
      <c r="X272" s="139" t="n"/>
      <c r="Y272" s="16" t="n"/>
      <c r="Z272" s="139" t="n"/>
      <c r="AA272" s="16" t="n"/>
      <c r="AB272" s="139" t="n"/>
      <c r="AC272" s="16" t="n"/>
      <c r="AD272" s="139" t="n"/>
      <c r="AE272" s="16">
        <f>(W272+Y272+AA272+AC272)</f>
        <v/>
      </c>
      <c r="AF272" s="16" t="n"/>
      <c r="AG272" s="138" t="n"/>
      <c r="AH272" s="16" t="n"/>
      <c r="AI272" s="138" t="n"/>
      <c r="AJ272" s="16" t="n"/>
      <c r="AK272" s="138" t="n"/>
      <c r="AL272" s="16" t="n"/>
      <c r="AM272" s="138" t="n"/>
      <c r="AN272" s="16" t="n"/>
      <c r="AO272" s="138" t="n"/>
      <c r="AP272" s="16" t="n"/>
      <c r="AQ272" s="138" t="n"/>
      <c r="AR272" s="16" t="n"/>
      <c r="AS272" s="138" t="n"/>
      <c r="AT272" s="16" t="n"/>
      <c r="AU272" s="138" t="n"/>
      <c r="AV272" s="16" t="n"/>
      <c r="AW272" s="138" t="n"/>
      <c r="AX272" s="16" t="n"/>
      <c r="AY272" s="138" t="n"/>
      <c r="AZ272" s="16">
        <f>AF272+AH272+AJ272+AL272+AN272+AP272+AR272+AT272+AV272+AX272</f>
        <v/>
      </c>
      <c r="BA272" s="16" t="n"/>
      <c r="BB272" s="139" t="n"/>
      <c r="BC272" s="16" t="n"/>
      <c r="BD272" s="139" t="n"/>
      <c r="BE272" s="16">
        <f>(BA272+BC272)</f>
        <v/>
      </c>
    </row>
    <row r="273" ht="22.5" customFormat="1" customHeight="1" s="8">
      <c r="A273" s="9" t="n"/>
      <c r="B273" s="136" t="inlineStr">
        <is>
          <t>PCB</t>
        </is>
      </c>
      <c r="C273" s="137" t="inlineStr">
        <is>
          <t>ADX4000W</t>
        </is>
      </c>
      <c r="D273" s="65" t="inlineStr">
        <is>
          <t>4.8" LCD  BD</t>
        </is>
      </c>
      <c r="E273" s="13" t="n"/>
      <c r="F273" s="100" t="n"/>
      <c r="G273" s="9" t="n"/>
      <c r="H273" s="9" t="inlineStr">
        <is>
          <t>HLP</t>
        </is>
      </c>
      <c r="I273" s="14" t="n"/>
      <c r="J273" s="14" t="n"/>
      <c r="K273" s="12" t="n">
        <v>360</v>
      </c>
      <c r="L273" s="9" t="n"/>
      <c r="M273" s="9" t="n"/>
      <c r="N273" s="9" t="n"/>
      <c r="O273" s="40">
        <f>K273+V273-AE273-AZ273</f>
        <v/>
      </c>
      <c r="P273" s="12" t="n"/>
      <c r="Q273" s="138" t="n"/>
      <c r="R273" s="16" t="n"/>
      <c r="S273" s="139" t="n"/>
      <c r="T273" s="16" t="n"/>
      <c r="U273" s="139" t="n"/>
      <c r="V273" s="16">
        <f>P273+R273+T273</f>
        <v/>
      </c>
      <c r="W273" s="16" t="n"/>
      <c r="X273" s="139" t="n"/>
      <c r="Y273" s="16" t="n"/>
      <c r="Z273" s="139" t="n"/>
      <c r="AA273" s="16" t="n"/>
      <c r="AB273" s="139" t="n"/>
      <c r="AC273" s="16" t="n"/>
      <c r="AD273" s="139" t="n"/>
      <c r="AE273" s="16">
        <f>(W273+Y273+AA273+AC273)</f>
        <v/>
      </c>
      <c r="AF273" s="16" t="n"/>
      <c r="AG273" s="138" t="n"/>
      <c r="AH273" s="16" t="n"/>
      <c r="AI273" s="138" t="n"/>
      <c r="AJ273" s="16" t="n"/>
      <c r="AK273" s="138" t="n"/>
      <c r="AL273" s="16" t="n"/>
      <c r="AM273" s="138" t="n"/>
      <c r="AN273" s="16" t="n"/>
      <c r="AO273" s="138" t="n"/>
      <c r="AP273" s="16" t="n"/>
      <c r="AQ273" s="138" t="n"/>
      <c r="AR273" s="16" t="n"/>
      <c r="AS273" s="138" t="n"/>
      <c r="AT273" s="16" t="n"/>
      <c r="AU273" s="138" t="n"/>
      <c r="AV273" s="16" t="n"/>
      <c r="AW273" s="138" t="n"/>
      <c r="AX273" s="16" t="n"/>
      <c r="AY273" s="138" t="n"/>
      <c r="AZ273" s="16">
        <f>AF273+AH273+AJ273+AL273+AN273+AP273+AR273+AT273+AV273+AX273</f>
        <v/>
      </c>
      <c r="BA273" s="16" t="n"/>
      <c r="BB273" s="139" t="n"/>
      <c r="BC273" s="16" t="n"/>
      <c r="BD273" s="139" t="n"/>
      <c r="BE273" s="16">
        <f>(BA273+BC273)</f>
        <v/>
      </c>
    </row>
    <row r="274" ht="22.5" customFormat="1" customHeight="1" s="8">
      <c r="A274" s="9" t="n"/>
      <c r="B274" s="136" t="inlineStr">
        <is>
          <t>PCB</t>
        </is>
      </c>
      <c r="C274" s="137" t="inlineStr">
        <is>
          <t>ADX4000W</t>
        </is>
      </c>
      <c r="D274" s="65" t="inlineStr">
        <is>
          <t>POWER BD</t>
        </is>
      </c>
      <c r="E274" s="13" t="n"/>
      <c r="F274" s="100" t="n"/>
      <c r="G274" s="9" t="n"/>
      <c r="H274" s="9" t="inlineStr">
        <is>
          <t>HLP</t>
        </is>
      </c>
      <c r="I274" s="14" t="n"/>
      <c r="J274" s="14" t="n"/>
      <c r="K274" s="12" t="n">
        <v>81</v>
      </c>
      <c r="L274" s="9" t="n"/>
      <c r="M274" s="9" t="n"/>
      <c r="N274" s="9" t="n"/>
      <c r="O274" s="40">
        <f>K274+V274-AE274-AZ274</f>
        <v/>
      </c>
      <c r="P274" s="12" t="n"/>
      <c r="Q274" s="138" t="n"/>
      <c r="R274" s="16" t="n"/>
      <c r="S274" s="139" t="n"/>
      <c r="T274" s="16" t="n"/>
      <c r="U274" s="139" t="n"/>
      <c r="V274" s="16">
        <f>P274+R274+T274</f>
        <v/>
      </c>
      <c r="W274" s="16" t="n"/>
      <c r="X274" s="139" t="n"/>
      <c r="Y274" s="16" t="n"/>
      <c r="Z274" s="139" t="n"/>
      <c r="AA274" s="16" t="n"/>
      <c r="AB274" s="139" t="n"/>
      <c r="AC274" s="16" t="n"/>
      <c r="AD274" s="139" t="n"/>
      <c r="AE274" s="16">
        <f>(W274+Y274+AA274+AC274)</f>
        <v/>
      </c>
      <c r="AF274" s="16" t="n"/>
      <c r="AG274" s="138" t="n"/>
      <c r="AH274" s="16" t="n"/>
      <c r="AI274" s="138" t="n"/>
      <c r="AJ274" s="16" t="n"/>
      <c r="AK274" s="138" t="n"/>
      <c r="AL274" s="16" t="n"/>
      <c r="AM274" s="138" t="n"/>
      <c r="AN274" s="16" t="n"/>
      <c r="AO274" s="138" t="n"/>
      <c r="AP274" s="16" t="n"/>
      <c r="AQ274" s="138" t="n"/>
      <c r="AR274" s="16" t="n"/>
      <c r="AS274" s="138" t="n"/>
      <c r="AT274" s="16" t="n"/>
      <c r="AU274" s="138" t="n"/>
      <c r="AV274" s="16" t="n"/>
      <c r="AW274" s="138" t="n"/>
      <c r="AX274" s="16" t="n"/>
      <c r="AY274" s="138" t="n"/>
      <c r="AZ274" s="16">
        <f>AF274+AH274+AJ274+AL274+AN274+AP274+AR274+AT274+AV274+AX274</f>
        <v/>
      </c>
      <c r="BA274" s="16" t="n"/>
      <c r="BB274" s="139" t="n"/>
      <c r="BC274" s="16" t="n"/>
      <c r="BD274" s="139" t="n"/>
      <c r="BE274" s="16">
        <f>(BA274+BC274)</f>
        <v/>
      </c>
    </row>
    <row r="275" ht="22.5" customFormat="1" customHeight="1" s="8">
      <c r="A275" s="9" t="n"/>
      <c r="B275" s="136" t="inlineStr">
        <is>
          <t>PCB</t>
        </is>
      </c>
      <c r="C275" s="137" t="inlineStr">
        <is>
          <t>ADX4000W</t>
        </is>
      </c>
      <c r="D275" s="83" t="inlineStr">
        <is>
          <t>EX B/D</t>
        </is>
      </c>
      <c r="E275" s="13" t="n"/>
      <c r="F275" s="100" t="n"/>
      <c r="G275" s="9" t="n"/>
      <c r="H275" s="9" t="inlineStr">
        <is>
          <t>HLP</t>
        </is>
      </c>
      <c r="I275" s="14" t="n"/>
      <c r="J275" s="14" t="n"/>
      <c r="K275" s="12" t="n">
        <v>60</v>
      </c>
      <c r="L275" s="9" t="n"/>
      <c r="M275" s="9" t="n"/>
      <c r="N275" s="9" t="n"/>
      <c r="O275" s="40">
        <f>K275+V275-AE275-AZ275</f>
        <v/>
      </c>
      <c r="P275" s="12" t="n"/>
      <c r="Q275" s="138" t="n"/>
      <c r="R275" s="16" t="n"/>
      <c r="S275" s="139" t="n"/>
      <c r="T275" s="16" t="n"/>
      <c r="U275" s="139" t="n"/>
      <c r="V275" s="16">
        <f>P275+R275+T275</f>
        <v/>
      </c>
      <c r="W275" s="16" t="n"/>
      <c r="X275" s="139" t="n"/>
      <c r="Y275" s="16" t="n"/>
      <c r="Z275" s="139" t="n"/>
      <c r="AA275" s="16" t="n"/>
      <c r="AB275" s="139" t="n"/>
      <c r="AC275" s="16" t="n"/>
      <c r="AD275" s="139" t="n"/>
      <c r="AE275" s="16">
        <f>(W275+Y275+AA275+AC275)</f>
        <v/>
      </c>
      <c r="AF275" s="16" t="n"/>
      <c r="AG275" s="138" t="n"/>
      <c r="AH275" s="16" t="n"/>
      <c r="AI275" s="138" t="n"/>
      <c r="AJ275" s="16" t="n"/>
      <c r="AK275" s="138" t="n"/>
      <c r="AL275" s="16" t="n"/>
      <c r="AM275" s="138" t="n"/>
      <c r="AN275" s="16" t="n"/>
      <c r="AO275" s="138" t="n"/>
      <c r="AP275" s="16" t="n"/>
      <c r="AQ275" s="138" t="n"/>
      <c r="AR275" s="16" t="n"/>
      <c r="AS275" s="138" t="n"/>
      <c r="AT275" s="16" t="n"/>
      <c r="AU275" s="138" t="n"/>
      <c r="AV275" s="16" t="n"/>
      <c r="AW275" s="138" t="n"/>
      <c r="AX275" s="16" t="n"/>
      <c r="AY275" s="138" t="n"/>
      <c r="AZ275" s="16">
        <f>AF275+AH275+AJ275+AL275+AN275+AP275+AR275+AT275+AV275+AX275</f>
        <v/>
      </c>
      <c r="BA275" s="16" t="n"/>
      <c r="BB275" s="139" t="n"/>
      <c r="BC275" s="16" t="n"/>
      <c r="BD275" s="139" t="n"/>
      <c r="BE275" s="16">
        <f>(BA275+BC275)</f>
        <v/>
      </c>
    </row>
    <row r="276" ht="22.5" customFormat="1" customHeight="1" s="8">
      <c r="A276" s="9" t="n"/>
      <c r="B276" s="136" t="inlineStr">
        <is>
          <t>PCB</t>
        </is>
      </c>
      <c r="C276" s="137" t="inlineStr">
        <is>
          <t>ADX4000W</t>
        </is>
      </c>
      <c r="D276" s="82" t="inlineStr">
        <is>
          <t>NAVI BD</t>
        </is>
      </c>
      <c r="E276" s="13" t="n"/>
      <c r="F276" s="100" t="n"/>
      <c r="G276" s="9" t="n"/>
      <c r="H276" s="9" t="inlineStr">
        <is>
          <t>HLP</t>
        </is>
      </c>
      <c r="I276" s="14" t="n"/>
      <c r="J276" s="14" t="n"/>
      <c r="K276" s="12" t="n">
        <v>81</v>
      </c>
      <c r="L276" s="9" t="n"/>
      <c r="M276" s="9" t="n"/>
      <c r="N276" s="9" t="n"/>
      <c r="O276" s="40">
        <f>K276+V276-AE276-AZ276</f>
        <v/>
      </c>
      <c r="P276" s="12" t="n"/>
      <c r="Q276" s="138" t="n"/>
      <c r="R276" s="16" t="n"/>
      <c r="S276" s="139" t="n"/>
      <c r="T276" s="16" t="n"/>
      <c r="U276" s="139" t="n"/>
      <c r="V276" s="16">
        <f>P276+R276+T276</f>
        <v/>
      </c>
      <c r="W276" s="16" t="n"/>
      <c r="X276" s="139" t="n"/>
      <c r="Y276" s="16" t="n"/>
      <c r="Z276" s="139" t="n"/>
      <c r="AA276" s="16" t="n"/>
      <c r="AB276" s="139" t="n"/>
      <c r="AC276" s="16" t="n"/>
      <c r="AD276" s="139" t="n"/>
      <c r="AE276" s="16">
        <f>(W276+Y276+AA276+AC276)</f>
        <v/>
      </c>
      <c r="AF276" s="16" t="n"/>
      <c r="AG276" s="138" t="n"/>
      <c r="AH276" s="16" t="n"/>
      <c r="AI276" s="138" t="n"/>
      <c r="AJ276" s="16" t="n"/>
      <c r="AK276" s="138" t="n"/>
      <c r="AL276" s="16" t="n"/>
      <c r="AM276" s="138" t="n"/>
      <c r="AN276" s="16" t="n"/>
      <c r="AO276" s="138" t="n"/>
      <c r="AP276" s="16" t="n"/>
      <c r="AQ276" s="138" t="n"/>
      <c r="AR276" s="16" t="n"/>
      <c r="AS276" s="138" t="n"/>
      <c r="AT276" s="16" t="n"/>
      <c r="AU276" s="138" t="n"/>
      <c r="AV276" s="16" t="n"/>
      <c r="AW276" s="138" t="n"/>
      <c r="AX276" s="16" t="n"/>
      <c r="AY276" s="138" t="n"/>
      <c r="AZ276" s="16">
        <f>AF276+AH276+AJ276+AL276+AN276+AP276+AR276+AT276+AV276+AX276</f>
        <v/>
      </c>
      <c r="BA276" s="16" t="n"/>
      <c r="BB276" s="139" t="n"/>
      <c r="BC276" s="16" t="n"/>
      <c r="BD276" s="139" t="n"/>
      <c r="BE276" s="16">
        <f>(BA276+BC276)</f>
        <v/>
      </c>
    </row>
    <row r="277" ht="22.5" customFormat="1" customHeight="1" s="8">
      <c r="A277" s="9" t="n"/>
      <c r="B277" s="136" t="inlineStr">
        <is>
          <t>PCB</t>
        </is>
      </c>
      <c r="C277" s="137" t="inlineStr">
        <is>
          <t>ADX4000W</t>
        </is>
      </c>
      <c r="D277" s="82" t="inlineStr">
        <is>
          <t>NAVI BD 사파리</t>
        </is>
      </c>
      <c r="E277" s="13" t="n"/>
      <c r="F277" s="100" t="n"/>
      <c r="G277" s="9" t="n"/>
      <c r="H277" s="9" t="inlineStr">
        <is>
          <t>HLP</t>
        </is>
      </c>
      <c r="I277" s="14" t="n"/>
      <c r="J277" s="14" t="n"/>
      <c r="K277" s="12" t="n">
        <v>6</v>
      </c>
      <c r="L277" s="9" t="n"/>
      <c r="M277" s="9" t="n"/>
      <c r="N277" s="9" t="n"/>
      <c r="O277" s="40">
        <f>K277+V277-AE277-AZ277</f>
        <v/>
      </c>
      <c r="P277" s="12" t="n"/>
      <c r="Q277" s="138" t="n"/>
      <c r="R277" s="16" t="n"/>
      <c r="S277" s="139" t="n"/>
      <c r="T277" s="16" t="n"/>
      <c r="U277" s="139" t="n"/>
      <c r="V277" s="16">
        <f>P277+R277+T277</f>
        <v/>
      </c>
      <c r="W277" s="16" t="n"/>
      <c r="X277" s="139" t="n"/>
      <c r="Y277" s="16" t="n"/>
      <c r="Z277" s="139" t="n"/>
      <c r="AA277" s="16" t="n"/>
      <c r="AB277" s="139" t="n"/>
      <c r="AC277" s="16" t="n"/>
      <c r="AD277" s="139" t="n"/>
      <c r="AE277" s="16">
        <f>(W277+Y277+AA277+AC277)</f>
        <v/>
      </c>
      <c r="AF277" s="16" t="n"/>
      <c r="AG277" s="138" t="n"/>
      <c r="AH277" s="16" t="n"/>
      <c r="AI277" s="138" t="n"/>
      <c r="AJ277" s="16" t="n"/>
      <c r="AK277" s="138" t="n"/>
      <c r="AL277" s="16" t="n"/>
      <c r="AM277" s="138" t="n"/>
      <c r="AN277" s="16" t="n"/>
      <c r="AO277" s="138" t="n"/>
      <c r="AP277" s="16" t="n"/>
      <c r="AQ277" s="138" t="n"/>
      <c r="AR277" s="16" t="n"/>
      <c r="AS277" s="138" t="n"/>
      <c r="AT277" s="16" t="n"/>
      <c r="AU277" s="138" t="n"/>
      <c r="AV277" s="16" t="n"/>
      <c r="AW277" s="138" t="n"/>
      <c r="AX277" s="16" t="n"/>
      <c r="AY277" s="138" t="n"/>
      <c r="AZ277" s="16">
        <f>AF277+AH277+AJ277+AL277+AN277+AP277+AR277+AT277+AV277+AX277</f>
        <v/>
      </c>
      <c r="BA277" s="16" t="n"/>
      <c r="BB277" s="139" t="n"/>
      <c r="BC277" s="16" t="n"/>
      <c r="BD277" s="139" t="n"/>
      <c r="BE277" s="16">
        <f>(BA277+BC277)</f>
        <v/>
      </c>
    </row>
    <row r="278" ht="22.5" customFormat="1" customHeight="1" s="8">
      <c r="A278" s="9" t="n"/>
      <c r="B278" s="136" t="inlineStr">
        <is>
          <t>PCB</t>
        </is>
      </c>
      <c r="C278" s="137" t="inlineStr">
        <is>
          <t>ADX4000W</t>
        </is>
      </c>
      <c r="D278" s="82" t="inlineStr">
        <is>
          <t>Carrier BD (구형 KONTRON)</t>
        </is>
      </c>
      <c r="E278" s="13" t="n"/>
      <c r="F278" s="100" t="n"/>
      <c r="G278" s="9" t="n"/>
      <c r="H278" s="9" t="inlineStr">
        <is>
          <t>비씨엠테크</t>
        </is>
      </c>
      <c r="I278" s="14" t="n"/>
      <c r="J278" s="14" t="n"/>
      <c r="K278" s="12" t="n">
        <v>0</v>
      </c>
      <c r="L278" s="9" t="n"/>
      <c r="M278" s="9" t="n"/>
      <c r="N278" s="9" t="n"/>
      <c r="O278" s="40">
        <f>K278+V278-AE278-AZ278</f>
        <v/>
      </c>
      <c r="P278" s="12" t="n"/>
      <c r="Q278" s="138" t="n"/>
      <c r="R278" s="16" t="n"/>
      <c r="S278" s="139" t="n"/>
      <c r="T278" s="16" t="n"/>
      <c r="U278" s="139" t="n"/>
      <c r="V278" s="16">
        <f>P278+R278+T278</f>
        <v/>
      </c>
      <c r="W278" s="16" t="n"/>
      <c r="X278" s="139" t="n"/>
      <c r="Y278" s="16" t="n"/>
      <c r="Z278" s="139" t="n"/>
      <c r="AA278" s="16" t="n"/>
      <c r="AB278" s="139" t="n"/>
      <c r="AC278" s="16" t="n"/>
      <c r="AD278" s="139" t="n"/>
      <c r="AE278" s="16">
        <f>(W278+Y278+AA278+AC278)</f>
        <v/>
      </c>
      <c r="AF278" s="16" t="n"/>
      <c r="AG278" s="138" t="n"/>
      <c r="AH278" s="16" t="n"/>
      <c r="AI278" s="138" t="n"/>
      <c r="AJ278" s="16" t="n"/>
      <c r="AK278" s="138" t="n"/>
      <c r="AL278" s="16" t="n"/>
      <c r="AM278" s="138" t="n"/>
      <c r="AN278" s="16" t="n"/>
      <c r="AO278" s="138" t="n"/>
      <c r="AP278" s="16" t="n"/>
      <c r="AQ278" s="138" t="n"/>
      <c r="AR278" s="16" t="n"/>
      <c r="AS278" s="138" t="n"/>
      <c r="AT278" s="16" t="n"/>
      <c r="AU278" s="138" t="n"/>
      <c r="AV278" s="16" t="n"/>
      <c r="AW278" s="138" t="n"/>
      <c r="AX278" s="16" t="n"/>
      <c r="AY278" s="138" t="n"/>
      <c r="AZ278" s="16">
        <f>AF278+AH278+AJ278+AL278+AN278+AP278+AR278+AT278+AV278+AX278</f>
        <v/>
      </c>
      <c r="BA278" s="16" t="n"/>
      <c r="BB278" s="139" t="n"/>
      <c r="BC278" s="16" t="n"/>
      <c r="BD278" s="139" t="n"/>
      <c r="BE278" s="16">
        <f>(BA278+BC278)</f>
        <v/>
      </c>
    </row>
    <row r="279" ht="22.5" customFormat="1" customHeight="1" s="8">
      <c r="A279" s="9" t="n"/>
      <c r="B279" s="136" t="inlineStr">
        <is>
          <t>PCB</t>
        </is>
      </c>
      <c r="C279" s="137" t="inlineStr">
        <is>
          <t>ADX4000W</t>
        </is>
      </c>
      <c r="D279" s="65" t="inlineStr">
        <is>
          <t>Carrier BD (신형 DFI)</t>
        </is>
      </c>
      <c r="E279" s="13" t="n"/>
      <c r="F279" s="100" t="n"/>
      <c r="G279" s="9" t="n"/>
      <c r="H279" s="9" t="inlineStr">
        <is>
          <t>한컴MDS</t>
        </is>
      </c>
      <c r="I279" s="14" t="n"/>
      <c r="J279" s="14" t="n"/>
      <c r="K279" s="12" t="n">
        <v>126</v>
      </c>
      <c r="L279" s="9" t="n"/>
      <c r="M279" s="9" t="n"/>
      <c r="N279" s="9" t="n"/>
      <c r="O279" s="40">
        <f>K279+V279-AE279-AZ279</f>
        <v/>
      </c>
      <c r="P279" s="12" t="n"/>
      <c r="Q279" s="138" t="n"/>
      <c r="R279" s="16" t="n"/>
      <c r="S279" s="139" t="n"/>
      <c r="T279" s="16" t="n"/>
      <c r="U279" s="139" t="n"/>
      <c r="V279" s="16">
        <f>P279+R279+T279</f>
        <v/>
      </c>
      <c r="W279" s="16" t="n"/>
      <c r="X279" s="139" t="n"/>
      <c r="Y279" s="16" t="n"/>
      <c r="Z279" s="139" t="n"/>
      <c r="AA279" s="16" t="n"/>
      <c r="AB279" s="139" t="n"/>
      <c r="AC279" s="16" t="n"/>
      <c r="AD279" s="139" t="n"/>
      <c r="AE279" s="16">
        <f>(W279+Y279+AA279+AC279)</f>
        <v/>
      </c>
      <c r="AF279" s="16" t="n"/>
      <c r="AG279" s="138" t="n"/>
      <c r="AH279" s="16" t="n"/>
      <c r="AI279" s="138" t="n"/>
      <c r="AJ279" s="16" t="n"/>
      <c r="AK279" s="138" t="n"/>
      <c r="AL279" s="16" t="n"/>
      <c r="AM279" s="138" t="n"/>
      <c r="AN279" s="16" t="n"/>
      <c r="AO279" s="138" t="n"/>
      <c r="AP279" s="16" t="n"/>
      <c r="AQ279" s="138" t="n"/>
      <c r="AR279" s="16" t="n"/>
      <c r="AS279" s="138" t="n"/>
      <c r="AT279" s="16" t="n"/>
      <c r="AU279" s="138" t="n"/>
      <c r="AV279" s="16" t="n"/>
      <c r="AW279" s="138" t="n"/>
      <c r="AX279" s="16" t="n"/>
      <c r="AY279" s="138" t="n"/>
      <c r="AZ279" s="16">
        <f>AF279+AH279+AJ279+AL279+AN279+AP279+AR279+AT279+AV279+AX279</f>
        <v/>
      </c>
      <c r="BA279" s="16" t="n"/>
      <c r="BB279" s="139" t="n"/>
      <c r="BC279" s="16" t="n"/>
      <c r="BD279" s="139" t="n"/>
      <c r="BE279" s="16">
        <f>(BA279+BC279)</f>
        <v/>
      </c>
    </row>
    <row r="280" ht="22.5" customFormat="1" customHeight="1" s="8">
      <c r="A280" s="9" t="n"/>
      <c r="B280" s="136" t="inlineStr">
        <is>
          <t>PCB</t>
        </is>
      </c>
      <c r="C280" s="137" t="inlineStr">
        <is>
          <t>ADX4000W</t>
        </is>
      </c>
      <c r="D280" s="65" t="inlineStr">
        <is>
          <t>Module BD (구형 KONTRON)</t>
        </is>
      </c>
      <c r="E280" s="13" t="n"/>
      <c r="F280" s="100" t="n"/>
      <c r="G280" s="9" t="n"/>
      <c r="H280" s="9" t="inlineStr">
        <is>
          <t>KONTRON</t>
        </is>
      </c>
      <c r="I280" s="14" t="n"/>
      <c r="J280" s="14" t="n"/>
      <c r="K280" s="12" t="n">
        <v>37</v>
      </c>
      <c r="L280" s="9" t="n"/>
      <c r="M280" s="9" t="n"/>
      <c r="N280" s="9" t="n"/>
      <c r="O280" s="40">
        <f>K280+V280-AE280-AZ280</f>
        <v/>
      </c>
      <c r="P280" s="12" t="n"/>
      <c r="Q280" s="138" t="n"/>
      <c r="R280" s="16" t="n"/>
      <c r="S280" s="139" t="n"/>
      <c r="T280" s="16" t="n"/>
      <c r="U280" s="139" t="n"/>
      <c r="V280" s="16">
        <f>P280+R280+T280</f>
        <v/>
      </c>
      <c r="W280" s="16" t="n"/>
      <c r="X280" s="139" t="n"/>
      <c r="Y280" s="16" t="n"/>
      <c r="Z280" s="139" t="n"/>
      <c r="AA280" s="16" t="n"/>
      <c r="AB280" s="139" t="n"/>
      <c r="AC280" s="16" t="n"/>
      <c r="AD280" s="139" t="n"/>
      <c r="AE280" s="16">
        <f>(W280+Y280+AA280+AC280)</f>
        <v/>
      </c>
      <c r="AF280" s="16" t="n"/>
      <c r="AG280" s="138" t="n"/>
      <c r="AH280" s="16" t="n"/>
      <c r="AI280" s="138" t="n"/>
      <c r="AJ280" s="16" t="n"/>
      <c r="AK280" s="138" t="n"/>
      <c r="AL280" s="16" t="n"/>
      <c r="AM280" s="138" t="n"/>
      <c r="AN280" s="16" t="n"/>
      <c r="AO280" s="138" t="n"/>
      <c r="AP280" s="16" t="n"/>
      <c r="AQ280" s="138" t="n"/>
      <c r="AR280" s="16" t="n"/>
      <c r="AS280" s="138" t="n"/>
      <c r="AT280" s="16" t="n"/>
      <c r="AU280" s="138" t="n"/>
      <c r="AV280" s="16" t="n"/>
      <c r="AW280" s="138" t="n"/>
      <c r="AX280" s="16" t="n"/>
      <c r="AY280" s="138" t="n"/>
      <c r="AZ280" s="16">
        <f>AF280+AH280+AJ280+AL280+AN280+AP280+AR280+AT280+AV280+AX280</f>
        <v/>
      </c>
      <c r="BA280" s="16" t="n"/>
      <c r="BB280" s="139" t="n"/>
      <c r="BC280" s="16" t="n"/>
      <c r="BD280" s="139" t="n"/>
      <c r="BE280" s="16">
        <f>(BA280+BC280)</f>
        <v/>
      </c>
    </row>
    <row r="281" ht="22.5" customFormat="1" customHeight="1" s="8">
      <c r="A281" s="9" t="n"/>
      <c r="B281" s="136" t="inlineStr">
        <is>
          <t>PCB</t>
        </is>
      </c>
      <c r="C281" s="137" t="inlineStr">
        <is>
          <t>ADX4000W</t>
        </is>
      </c>
      <c r="D281" s="65" t="inlineStr">
        <is>
          <t>Module BD (신형 DFI)</t>
        </is>
      </c>
      <c r="E281" s="13" t="n"/>
      <c r="F281" s="100" t="n"/>
      <c r="G281" s="9" t="n"/>
      <c r="H281" s="9" t="inlineStr">
        <is>
          <t>한컴MDS</t>
        </is>
      </c>
      <c r="I281" s="14" t="n"/>
      <c r="J281" s="14" t="n"/>
      <c r="K281" s="12" t="n">
        <v>12</v>
      </c>
      <c r="L281" s="9" t="n"/>
      <c r="M281" s="9" t="n"/>
      <c r="N281" s="9" t="n"/>
      <c r="O281" s="40">
        <f>K281+V281-AE281-AZ281</f>
        <v/>
      </c>
      <c r="P281" s="12" t="n"/>
      <c r="Q281" s="138" t="n"/>
      <c r="R281" s="16" t="n"/>
      <c r="S281" s="139" t="n"/>
      <c r="T281" s="16" t="n"/>
      <c r="U281" s="139" t="n"/>
      <c r="V281" s="16">
        <f>P281+R281+T281</f>
        <v/>
      </c>
      <c r="W281" s="16" t="n"/>
      <c r="X281" s="139" t="n"/>
      <c r="Y281" s="16" t="n"/>
      <c r="Z281" s="139" t="n"/>
      <c r="AA281" s="16" t="n"/>
      <c r="AB281" s="139" t="n"/>
      <c r="AC281" s="16" t="n"/>
      <c r="AD281" s="139" t="n"/>
      <c r="AE281" s="16">
        <f>(W281+Y281+AA281+AC281)</f>
        <v/>
      </c>
      <c r="AF281" s="16" t="n"/>
      <c r="AG281" s="138" t="n"/>
      <c r="AH281" s="16" t="n"/>
      <c r="AI281" s="138" t="n"/>
      <c r="AJ281" s="16" t="n"/>
      <c r="AK281" s="138" t="n"/>
      <c r="AL281" s="16" t="n"/>
      <c r="AM281" s="138" t="n"/>
      <c r="AN281" s="16" t="n"/>
      <c r="AO281" s="138" t="n"/>
      <c r="AP281" s="16" t="n"/>
      <c r="AQ281" s="138" t="n"/>
      <c r="AR281" s="16" t="n"/>
      <c r="AS281" s="138" t="n"/>
      <c r="AT281" s="16" t="n"/>
      <c r="AU281" s="138" t="n"/>
      <c r="AV281" s="16" t="n"/>
      <c r="AW281" s="138" t="n"/>
      <c r="AX281" s="16" t="n"/>
      <c r="AY281" s="138" t="n"/>
      <c r="AZ281" s="16">
        <f>AF281+AH281+AJ281+AL281+AN281+AP281+AR281+AT281+AV281+AX281</f>
        <v/>
      </c>
      <c r="BA281" s="16" t="n"/>
      <c r="BB281" s="139" t="n"/>
      <c r="BC281" s="16" t="n"/>
      <c r="BD281" s="139" t="n"/>
      <c r="BE281" s="16">
        <f>(BA281+BC281)</f>
        <v/>
      </c>
    </row>
    <row r="282" ht="22.5" customFormat="1" customHeight="1" s="8">
      <c r="A282" s="9" t="n"/>
      <c r="B282" s="136" t="inlineStr">
        <is>
          <t>PCB</t>
        </is>
      </c>
      <c r="C282" s="137" t="inlineStr">
        <is>
          <t>ADX4000W</t>
        </is>
      </c>
      <c r="D282" s="65" t="inlineStr">
        <is>
          <t>USB 메모리 BD (구형 KONTRON)</t>
        </is>
      </c>
      <c r="E282" s="13" t="n"/>
      <c r="F282" s="100" t="n"/>
      <c r="G282" s="9" t="n"/>
      <c r="H282" s="9" t="inlineStr">
        <is>
          <t>HLP</t>
        </is>
      </c>
      <c r="I282" s="14" t="n"/>
      <c r="J282" s="14" t="n"/>
      <c r="K282" s="12" t="n">
        <v>36</v>
      </c>
      <c r="L282" s="9" t="n"/>
      <c r="M282" s="9" t="n"/>
      <c r="N282" s="9" t="n"/>
      <c r="O282" s="40">
        <f>K282+V282-AE282-AZ282</f>
        <v/>
      </c>
      <c r="P282" s="12" t="n"/>
      <c r="Q282" s="138" t="n"/>
      <c r="R282" s="16" t="n"/>
      <c r="S282" s="139" t="n"/>
      <c r="T282" s="16" t="n"/>
      <c r="U282" s="139" t="n"/>
      <c r="V282" s="16">
        <f>P282+R282+T282</f>
        <v/>
      </c>
      <c r="W282" s="16" t="n"/>
      <c r="X282" s="139" t="n"/>
      <c r="Y282" s="16" t="n"/>
      <c r="Z282" s="139" t="n"/>
      <c r="AA282" s="16" t="n"/>
      <c r="AB282" s="139" t="n"/>
      <c r="AC282" s="16" t="n"/>
      <c r="AD282" s="139" t="n"/>
      <c r="AE282" s="16">
        <f>(W282+Y282+AA282+AC282)</f>
        <v/>
      </c>
      <c r="AF282" s="16" t="n"/>
      <c r="AG282" s="138" t="n"/>
      <c r="AH282" s="16" t="n"/>
      <c r="AI282" s="138" t="n"/>
      <c r="AJ282" s="16" t="n"/>
      <c r="AK282" s="138" t="n"/>
      <c r="AL282" s="16" t="n"/>
      <c r="AM282" s="138" t="n"/>
      <c r="AN282" s="16" t="n"/>
      <c r="AO282" s="138" t="n"/>
      <c r="AP282" s="16" t="n"/>
      <c r="AQ282" s="138" t="n"/>
      <c r="AR282" s="16" t="n"/>
      <c r="AS282" s="138" t="n"/>
      <c r="AT282" s="16" t="n"/>
      <c r="AU282" s="138" t="n"/>
      <c r="AV282" s="16" t="n"/>
      <c r="AW282" s="138" t="n"/>
      <c r="AX282" s="16" t="n"/>
      <c r="AY282" s="138" t="n"/>
      <c r="AZ282" s="16">
        <f>AF282+AH282+AJ282+AL282+AN282+AP282+AR282+AT282+AV282+AX282</f>
        <v/>
      </c>
      <c r="BA282" s="16" t="n"/>
      <c r="BB282" s="139" t="n"/>
      <c r="BC282" s="16" t="n"/>
      <c r="BD282" s="139" t="n"/>
      <c r="BE282" s="16">
        <f>(BA282+BC282)</f>
        <v/>
      </c>
    </row>
    <row r="283" ht="22.5" customFormat="1" customHeight="1" s="8">
      <c r="A283" s="9" t="n"/>
      <c r="B283" s="136" t="inlineStr">
        <is>
          <t>PCB</t>
        </is>
      </c>
      <c r="C283" s="137" t="inlineStr">
        <is>
          <t>ADX4000W</t>
        </is>
      </c>
      <c r="D283" s="65" t="inlineStr">
        <is>
          <t>USB 메모리 BD (신형 DFI)</t>
        </is>
      </c>
      <c r="E283" s="13" t="n"/>
      <c r="F283" s="100" t="n"/>
      <c r="G283" s="9" t="n"/>
      <c r="H283" s="9" t="inlineStr">
        <is>
          <t>HLP</t>
        </is>
      </c>
      <c r="I283" s="14" t="n"/>
      <c r="J283" s="14" t="n"/>
      <c r="K283" s="12" t="n">
        <v>0</v>
      </c>
      <c r="L283" s="9" t="n"/>
      <c r="M283" s="9" t="n"/>
      <c r="N283" s="9" t="n"/>
      <c r="O283" s="40">
        <f>K283+V283-AE283-AZ283</f>
        <v/>
      </c>
      <c r="P283" s="12" t="n"/>
      <c r="Q283" s="138" t="n"/>
      <c r="R283" s="16" t="n"/>
      <c r="S283" s="139" t="n"/>
      <c r="T283" s="16" t="n"/>
      <c r="U283" s="139" t="n"/>
      <c r="V283" s="16">
        <f>P283+R283+T283</f>
        <v/>
      </c>
      <c r="W283" s="16" t="n"/>
      <c r="X283" s="139" t="n"/>
      <c r="Y283" s="16" t="n"/>
      <c r="Z283" s="139" t="n"/>
      <c r="AA283" s="16" t="n"/>
      <c r="AB283" s="139" t="n"/>
      <c r="AC283" s="16" t="n"/>
      <c r="AD283" s="139" t="n"/>
      <c r="AE283" s="16">
        <f>(W283+Y283+AA283+AC283)</f>
        <v/>
      </c>
      <c r="AF283" s="16" t="n"/>
      <c r="AG283" s="138" t="n"/>
      <c r="AH283" s="16" t="n"/>
      <c r="AI283" s="138" t="n"/>
      <c r="AJ283" s="16" t="n"/>
      <c r="AK283" s="138" t="n"/>
      <c r="AL283" s="16" t="n"/>
      <c r="AM283" s="138" t="n"/>
      <c r="AN283" s="16" t="n"/>
      <c r="AO283" s="138" t="n"/>
      <c r="AP283" s="16" t="n"/>
      <c r="AQ283" s="138" t="n"/>
      <c r="AR283" s="16" t="n"/>
      <c r="AS283" s="138" t="n"/>
      <c r="AT283" s="16" t="n"/>
      <c r="AU283" s="138" t="n"/>
      <c r="AV283" s="16" t="n"/>
      <c r="AW283" s="138" t="n"/>
      <c r="AX283" s="16" t="n"/>
      <c r="AY283" s="138" t="n"/>
      <c r="AZ283" s="16">
        <f>AF283+AH283+AJ283+AL283+AN283+AP283+AR283+AT283+AV283+AX283</f>
        <v/>
      </c>
      <c r="BA283" s="16" t="n"/>
      <c r="BB283" s="139" t="n"/>
      <c r="BC283" s="16" t="n"/>
      <c r="BD283" s="139" t="n"/>
      <c r="BE283" s="16">
        <f>(BA283+BC283)</f>
        <v/>
      </c>
    </row>
    <row r="284" ht="22.5" customFormat="1" customHeight="1" s="8">
      <c r="A284" s="9" t="n"/>
      <c r="B284" s="136" t="inlineStr">
        <is>
          <t>PANEL</t>
        </is>
      </c>
      <c r="C284" s="137" t="inlineStr">
        <is>
          <t>ADX4000W</t>
        </is>
      </c>
      <c r="D284" s="83" t="inlineStr">
        <is>
          <t>5" LCD PANEL (SHARF)</t>
        </is>
      </c>
      <c r="E284" s="13" t="inlineStr">
        <is>
          <t>LQ050W1LA0A</t>
        </is>
      </c>
      <c r="F284" s="100" t="n"/>
      <c r="G284" s="9" t="n"/>
      <c r="H284" s="9" t="inlineStr">
        <is>
          <t>홍콩</t>
        </is>
      </c>
      <c r="I284" s="14" t="n"/>
      <c r="J284" s="14" t="n"/>
      <c r="K284" s="12" t="n">
        <v>369</v>
      </c>
      <c r="L284" s="9" t="n"/>
      <c r="M284" s="9" t="n"/>
      <c r="N284" s="9" t="n"/>
      <c r="O284" s="40">
        <f>K284+V284-AE284-AZ284</f>
        <v/>
      </c>
      <c r="P284" s="12" t="n"/>
      <c r="Q284" s="138" t="n"/>
      <c r="R284" s="16" t="n"/>
      <c r="S284" s="139" t="n"/>
      <c r="T284" s="16" t="n"/>
      <c r="U284" s="139" t="n"/>
      <c r="V284" s="16">
        <f>P284+R284+T284</f>
        <v/>
      </c>
      <c r="W284" s="16" t="n"/>
      <c r="X284" s="139" t="n"/>
      <c r="Y284" s="16" t="n"/>
      <c r="Z284" s="139" t="n"/>
      <c r="AA284" s="16" t="n"/>
      <c r="AB284" s="139" t="n"/>
      <c r="AC284" s="16" t="n"/>
      <c r="AD284" s="139" t="n"/>
      <c r="AE284" s="16">
        <f>(W284+Y284+AA284+AC284)</f>
        <v/>
      </c>
      <c r="AF284" s="16" t="n"/>
      <c r="AG284" s="138" t="n"/>
      <c r="AH284" s="16" t="n"/>
      <c r="AI284" s="138" t="n"/>
      <c r="AJ284" s="16" t="n"/>
      <c r="AK284" s="138" t="n"/>
      <c r="AL284" s="16" t="n"/>
      <c r="AM284" s="138" t="n"/>
      <c r="AN284" s="16" t="n"/>
      <c r="AO284" s="138" t="n"/>
      <c r="AP284" s="16" t="n"/>
      <c r="AQ284" s="138" t="n"/>
      <c r="AR284" s="16" t="n"/>
      <c r="AS284" s="138" t="n"/>
      <c r="AT284" s="16" t="n"/>
      <c r="AU284" s="138" t="n"/>
      <c r="AV284" s="16" t="n"/>
      <c r="AW284" s="138" t="n"/>
      <c r="AX284" s="16" t="n"/>
      <c r="AY284" s="138" t="n"/>
      <c r="AZ284" s="16">
        <f>AF284+AH284+AJ284+AL284+AN284+AP284+AR284+AT284+AV284+AX284</f>
        <v/>
      </c>
      <c r="BA284" s="16" t="n"/>
      <c r="BB284" s="139" t="n"/>
      <c r="BC284" s="16" t="n"/>
      <c r="BD284" s="139" t="n"/>
      <c r="BE284" s="16">
        <f>(BA284+BC284)</f>
        <v/>
      </c>
    </row>
    <row r="285" ht="22.5" customFormat="1" customHeight="1" s="8">
      <c r="A285" s="9" t="n"/>
      <c r="B285" s="136" t="inlineStr">
        <is>
          <t>PANEL</t>
        </is>
      </c>
      <c r="C285" s="137" t="inlineStr">
        <is>
          <t>ADX4000W</t>
        </is>
      </c>
      <c r="D285" s="83" t="inlineStr">
        <is>
          <t>4.8" LCD PANEL (SAMSUNG)</t>
        </is>
      </c>
      <c r="E285" s="13" t="inlineStr">
        <is>
          <t>LMS480J-C01(LTS480WS-C01)</t>
        </is>
      </c>
      <c r="F285" s="100" t="n"/>
      <c r="G285" s="9" t="n"/>
      <c r="H285" s="9" t="inlineStr">
        <is>
          <t>HLP</t>
        </is>
      </c>
      <c r="I285" s="14" t="n"/>
      <c r="J285" s="14" t="n"/>
      <c r="K285" s="12" t="n">
        <v>0</v>
      </c>
      <c r="L285" s="9" t="n"/>
      <c r="M285" s="9" t="n"/>
      <c r="N285" s="9" t="n"/>
      <c r="O285" s="40">
        <f>K285+V285-AE285-AZ285</f>
        <v/>
      </c>
      <c r="P285" s="12" t="n"/>
      <c r="Q285" s="138" t="n"/>
      <c r="R285" s="16" t="n"/>
      <c r="S285" s="139" t="n"/>
      <c r="T285" s="16" t="n"/>
      <c r="U285" s="139" t="n"/>
      <c r="V285" s="16">
        <f>P285+R285+T285</f>
        <v/>
      </c>
      <c r="W285" s="16" t="n"/>
      <c r="X285" s="139" t="n"/>
      <c r="Y285" s="16" t="n"/>
      <c r="Z285" s="139" t="n"/>
      <c r="AA285" s="16" t="n"/>
      <c r="AB285" s="139" t="n"/>
      <c r="AC285" s="16" t="n"/>
      <c r="AD285" s="139" t="n"/>
      <c r="AE285" s="16">
        <f>(W285+Y285+AA285+AC285)</f>
        <v/>
      </c>
      <c r="AF285" s="16" t="n"/>
      <c r="AG285" s="138" t="n"/>
      <c r="AH285" s="16" t="n"/>
      <c r="AI285" s="138" t="n"/>
      <c r="AJ285" s="16" t="n"/>
      <c r="AK285" s="138" t="n"/>
      <c r="AL285" s="16" t="n"/>
      <c r="AM285" s="138" t="n"/>
      <c r="AN285" s="16" t="n"/>
      <c r="AO285" s="138" t="n"/>
      <c r="AP285" s="16" t="n"/>
      <c r="AQ285" s="138" t="n"/>
      <c r="AR285" s="16" t="n"/>
      <c r="AS285" s="138" t="n"/>
      <c r="AT285" s="16" t="n"/>
      <c r="AU285" s="138" t="n"/>
      <c r="AV285" s="16" t="n"/>
      <c r="AW285" s="138" t="n"/>
      <c r="AX285" s="16" t="n"/>
      <c r="AY285" s="138" t="n"/>
      <c r="AZ285" s="16">
        <f>AF285+AH285+AJ285+AL285+AN285+AP285+AR285+AT285+AV285+AX285</f>
        <v/>
      </c>
      <c r="BA285" s="16" t="n"/>
      <c r="BB285" s="139" t="n"/>
      <c r="BC285" s="16" t="n"/>
      <c r="BD285" s="139" t="n"/>
      <c r="BE285" s="16">
        <f>(BA285+BC285)</f>
        <v/>
      </c>
    </row>
    <row r="286" ht="22.5" customFormat="1" customHeight="1" s="8">
      <c r="A286" s="9" t="n"/>
      <c r="B286" s="136" t="inlineStr">
        <is>
          <t>CABLE</t>
        </is>
      </c>
      <c r="C286" s="137" t="inlineStr">
        <is>
          <t>ADX4000W</t>
        </is>
      </c>
      <c r="D286" s="65" t="inlineStr">
        <is>
          <t>Embedded PC 전원 (2핀)</t>
        </is>
      </c>
      <c r="E286" s="13" t="inlineStr">
        <is>
          <t>케리어+CTR B/D 연결</t>
        </is>
      </c>
      <c r="F286" s="100" t="n"/>
      <c r="G286" s="9" t="n"/>
      <c r="H286" s="9" t="inlineStr">
        <is>
          <t>HLP</t>
        </is>
      </c>
      <c r="I286" s="14" t="n"/>
      <c r="J286" s="14" t="n"/>
      <c r="K286" s="12" t="n">
        <v>105</v>
      </c>
      <c r="L286" s="9" t="n"/>
      <c r="M286" s="9" t="n"/>
      <c r="N286" s="9" t="n"/>
      <c r="O286" s="40">
        <f>K286+V286-AE286-AZ286</f>
        <v/>
      </c>
      <c r="P286" s="12" t="n"/>
      <c r="Q286" s="138" t="n"/>
      <c r="R286" s="16" t="n"/>
      <c r="S286" s="139" t="n"/>
      <c r="T286" s="16" t="n"/>
      <c r="U286" s="139" t="n"/>
      <c r="V286" s="16">
        <f>P286+R286+T286</f>
        <v/>
      </c>
      <c r="W286" s="16" t="n"/>
      <c r="X286" s="139" t="n"/>
      <c r="Y286" s="16" t="n"/>
      <c r="Z286" s="139" t="n"/>
      <c r="AA286" s="16" t="n"/>
      <c r="AB286" s="139" t="n"/>
      <c r="AC286" s="16" t="n"/>
      <c r="AD286" s="139" t="n"/>
      <c r="AE286" s="16">
        <f>(W286+Y286+AA286+AC286)</f>
        <v/>
      </c>
      <c r="AF286" s="16" t="n"/>
      <c r="AG286" s="138" t="n"/>
      <c r="AH286" s="16" t="n"/>
      <c r="AI286" s="138" t="n"/>
      <c r="AJ286" s="16" t="n"/>
      <c r="AK286" s="138" t="n"/>
      <c r="AL286" s="16" t="n"/>
      <c r="AM286" s="138" t="n"/>
      <c r="AN286" s="16" t="n"/>
      <c r="AO286" s="138" t="n"/>
      <c r="AP286" s="16" t="n"/>
      <c r="AQ286" s="138" t="n"/>
      <c r="AR286" s="16" t="n"/>
      <c r="AS286" s="138" t="n"/>
      <c r="AT286" s="16" t="n"/>
      <c r="AU286" s="138" t="n"/>
      <c r="AV286" s="16" t="n"/>
      <c r="AW286" s="138" t="n"/>
      <c r="AX286" s="16" t="n"/>
      <c r="AY286" s="138" t="n"/>
      <c r="AZ286" s="16">
        <f>AF286+AH286+AJ286+AL286+AN286+AP286+AR286+AT286+AV286+AX286</f>
        <v/>
      </c>
      <c r="BA286" s="16" t="n"/>
      <c r="BB286" s="139" t="n"/>
      <c r="BC286" s="16" t="n"/>
      <c r="BD286" s="139" t="n"/>
      <c r="BE286" s="16">
        <f>(BA286+BC286)</f>
        <v/>
      </c>
    </row>
    <row r="287" ht="22.5" customFormat="1" customHeight="1" s="8">
      <c r="A287" s="9" t="n"/>
      <c r="B287" s="136" t="inlineStr">
        <is>
          <t>CABLE</t>
        </is>
      </c>
      <c r="C287" s="137" t="inlineStr">
        <is>
          <t>ADX4000W</t>
        </is>
      </c>
      <c r="D287" s="82" t="inlineStr">
        <is>
          <t>리모콘 및 관전류 (4핀)</t>
        </is>
      </c>
      <c r="E287" s="13" t="n"/>
      <c r="F287" s="100" t="n"/>
      <c r="G287" s="9" t="n"/>
      <c r="H287" s="9" t="inlineStr">
        <is>
          <t>HLP</t>
        </is>
      </c>
      <c r="I287" s="14" t="n"/>
      <c r="J287" s="14" t="n"/>
      <c r="K287" s="12" t="n">
        <v>22</v>
      </c>
      <c r="L287" s="9" t="n"/>
      <c r="M287" s="9" t="n"/>
      <c r="N287" s="9" t="n"/>
      <c r="O287" s="40">
        <f>K287+V287-AE287-AZ287</f>
        <v/>
      </c>
      <c r="P287" s="12" t="n"/>
      <c r="Q287" s="138" t="n"/>
      <c r="R287" s="16" t="n"/>
      <c r="S287" s="139" t="n"/>
      <c r="T287" s="16" t="n"/>
      <c r="U287" s="139" t="n"/>
      <c r="V287" s="16">
        <f>P287+R287+T287</f>
        <v/>
      </c>
      <c r="W287" s="16" t="n"/>
      <c r="X287" s="139" t="n"/>
      <c r="Y287" s="16" t="n"/>
      <c r="Z287" s="139" t="n"/>
      <c r="AA287" s="16" t="n"/>
      <c r="AB287" s="139" t="n"/>
      <c r="AC287" s="16" t="n"/>
      <c r="AD287" s="139" t="n"/>
      <c r="AE287" s="16">
        <f>(W287+Y287+AA287+AC287)</f>
        <v/>
      </c>
      <c r="AF287" s="16" t="n"/>
      <c r="AG287" s="138" t="n"/>
      <c r="AH287" s="16" t="n"/>
      <c r="AI287" s="138" t="n"/>
      <c r="AJ287" s="16" t="n"/>
      <c r="AK287" s="138" t="n"/>
      <c r="AL287" s="16" t="n"/>
      <c r="AM287" s="138" t="n"/>
      <c r="AN287" s="16" t="n"/>
      <c r="AO287" s="138" t="n"/>
      <c r="AP287" s="16" t="n"/>
      <c r="AQ287" s="138" t="n"/>
      <c r="AR287" s="16" t="n"/>
      <c r="AS287" s="138" t="n"/>
      <c r="AT287" s="16" t="n"/>
      <c r="AU287" s="138" t="n"/>
      <c r="AV287" s="16" t="n"/>
      <c r="AW287" s="138" t="n"/>
      <c r="AX287" s="16" t="n"/>
      <c r="AY287" s="138" t="n"/>
      <c r="AZ287" s="16">
        <f>AF287+AH287+AJ287+AL287+AN287+AP287+AR287+AT287+AV287+AX287</f>
        <v/>
      </c>
      <c r="BA287" s="16" t="n"/>
      <c r="BB287" s="139" t="n"/>
      <c r="BC287" s="16" t="n"/>
      <c r="BD287" s="139" t="n"/>
      <c r="BE287" s="16">
        <f>(BA287+BC287)</f>
        <v/>
      </c>
    </row>
    <row r="288" ht="22.5" customFormat="1" customHeight="1" s="8">
      <c r="A288" s="9" t="n"/>
      <c r="B288" s="136" t="inlineStr">
        <is>
          <t>CABLE</t>
        </is>
      </c>
      <c r="C288" s="137" t="inlineStr">
        <is>
          <t>ADX4000W</t>
        </is>
      </c>
      <c r="D288" s="82" t="inlineStr">
        <is>
          <t>USB Wire (4핀)</t>
        </is>
      </c>
      <c r="E288" s="13" t="n"/>
      <c r="F288" s="100" t="n"/>
      <c r="G288" s="9" t="n"/>
      <c r="H288" s="9" t="inlineStr">
        <is>
          <t>HLP</t>
        </is>
      </c>
      <c r="I288" s="14" t="n"/>
      <c r="J288" s="14" t="n"/>
      <c r="K288" s="12" t="n">
        <v>97</v>
      </c>
      <c r="L288" s="9" t="n"/>
      <c r="M288" s="9" t="n"/>
      <c r="N288" s="9" t="n"/>
      <c r="O288" s="40">
        <f>K288+V288-AE288-AZ288</f>
        <v/>
      </c>
      <c r="P288" s="12" t="n"/>
      <c r="Q288" s="138" t="n"/>
      <c r="R288" s="16" t="n"/>
      <c r="S288" s="139" t="n"/>
      <c r="T288" s="16" t="n"/>
      <c r="U288" s="139" t="n"/>
      <c r="V288" s="16">
        <f>P288+R288+T288</f>
        <v/>
      </c>
      <c r="W288" s="16" t="n"/>
      <c r="X288" s="139" t="n"/>
      <c r="Y288" s="16" t="n"/>
      <c r="Z288" s="139" t="n"/>
      <c r="AA288" s="16" t="n"/>
      <c r="AB288" s="139" t="n"/>
      <c r="AC288" s="16" t="n"/>
      <c r="AD288" s="139" t="n"/>
      <c r="AE288" s="16">
        <f>(W288+Y288+AA288+AC288)</f>
        <v/>
      </c>
      <c r="AF288" s="16" t="n"/>
      <c r="AG288" s="138" t="n"/>
      <c r="AH288" s="16" t="n"/>
      <c r="AI288" s="138" t="n"/>
      <c r="AJ288" s="16" t="n"/>
      <c r="AK288" s="138" t="n"/>
      <c r="AL288" s="16" t="n"/>
      <c r="AM288" s="138" t="n"/>
      <c r="AN288" s="16" t="n"/>
      <c r="AO288" s="138" t="n"/>
      <c r="AP288" s="16" t="n"/>
      <c r="AQ288" s="138" t="n"/>
      <c r="AR288" s="16" t="n"/>
      <c r="AS288" s="138" t="n"/>
      <c r="AT288" s="16" t="n"/>
      <c r="AU288" s="138" t="n"/>
      <c r="AV288" s="16" t="n"/>
      <c r="AW288" s="138" t="n"/>
      <c r="AX288" s="16" t="n"/>
      <c r="AY288" s="138" t="n"/>
      <c r="AZ288" s="16">
        <f>AF288+AH288+AJ288+AL288+AN288+AP288+AR288+AT288+AV288+AX288</f>
        <v/>
      </c>
      <c r="BA288" s="16" t="n"/>
      <c r="BB288" s="139" t="n"/>
      <c r="BC288" s="16" t="n"/>
      <c r="BD288" s="139" t="n"/>
      <c r="BE288" s="16">
        <f>(BA288+BC288)</f>
        <v/>
      </c>
    </row>
    <row r="289" ht="22.5" customFormat="1" customHeight="1" s="8">
      <c r="A289" s="9" t="n"/>
      <c r="B289" s="136" t="inlineStr">
        <is>
          <t>CABLE</t>
        </is>
      </c>
      <c r="C289" s="137" t="inlineStr">
        <is>
          <t>ADX4000W</t>
        </is>
      </c>
      <c r="D289" s="82" t="inlineStr">
        <is>
          <t>NAVIGATION KEY (6핀)</t>
        </is>
      </c>
      <c r="E289" s="13" t="n"/>
      <c r="F289" s="100" t="n"/>
      <c r="G289" s="9" t="n"/>
      <c r="H289" s="9" t="inlineStr">
        <is>
          <t>HLP</t>
        </is>
      </c>
      <c r="I289" s="14" t="n"/>
      <c r="J289" s="14" t="n"/>
      <c r="K289" s="12" t="n">
        <v>56</v>
      </c>
      <c r="L289" s="9" t="n"/>
      <c r="M289" s="9" t="n"/>
      <c r="N289" s="9" t="n"/>
      <c r="O289" s="40">
        <f>K289+V289-AE289-AZ289</f>
        <v/>
      </c>
      <c r="P289" s="12" t="n"/>
      <c r="Q289" s="138" t="n"/>
      <c r="R289" s="16" t="n"/>
      <c r="S289" s="139" t="n"/>
      <c r="T289" s="16" t="n"/>
      <c r="U289" s="139" t="n"/>
      <c r="V289" s="16">
        <f>P289+R289+T289</f>
        <v/>
      </c>
      <c r="W289" s="16" t="n"/>
      <c r="X289" s="139" t="n"/>
      <c r="Y289" s="16" t="n"/>
      <c r="Z289" s="139" t="n"/>
      <c r="AA289" s="16" t="n"/>
      <c r="AB289" s="139" t="n"/>
      <c r="AC289" s="16" t="n"/>
      <c r="AD289" s="139" t="n"/>
      <c r="AE289" s="16">
        <f>(W289+Y289+AA289+AC289)</f>
        <v/>
      </c>
      <c r="AF289" s="16" t="n"/>
      <c r="AG289" s="138" t="n"/>
      <c r="AH289" s="16" t="n"/>
      <c r="AI289" s="138" t="n"/>
      <c r="AJ289" s="16" t="n"/>
      <c r="AK289" s="138" t="n"/>
      <c r="AL289" s="16" t="n"/>
      <c r="AM289" s="138" t="n"/>
      <c r="AN289" s="16" t="n"/>
      <c r="AO289" s="138" t="n"/>
      <c r="AP289" s="16" t="n"/>
      <c r="AQ289" s="138" t="n"/>
      <c r="AR289" s="16" t="n"/>
      <c r="AS289" s="138" t="n"/>
      <c r="AT289" s="16" t="n"/>
      <c r="AU289" s="138" t="n"/>
      <c r="AV289" s="16" t="n"/>
      <c r="AW289" s="138" t="n"/>
      <c r="AX289" s="16" t="n"/>
      <c r="AY289" s="138" t="n"/>
      <c r="AZ289" s="16">
        <f>AF289+AH289+AJ289+AL289+AN289+AP289+AR289+AT289+AV289+AX289</f>
        <v/>
      </c>
      <c r="BA289" s="16" t="n"/>
      <c r="BB289" s="139" t="n"/>
      <c r="BC289" s="16" t="n"/>
      <c r="BD289" s="139" t="n"/>
      <c r="BE289" s="16">
        <f>(BA289+BC289)</f>
        <v/>
      </c>
    </row>
    <row r="290" ht="22.5" customFormat="1" customHeight="1" s="8">
      <c r="A290" s="9" t="n"/>
      <c r="B290" s="136" t="inlineStr">
        <is>
          <t>CABLE</t>
        </is>
      </c>
      <c r="C290" s="137" t="inlineStr">
        <is>
          <t>ADX4000W</t>
        </is>
      </c>
      <c r="D290" s="82" t="inlineStr">
        <is>
          <t>RS422 통신 및 PC 전원 on/off  (7핀)</t>
        </is>
      </c>
      <c r="E290" s="13" t="n"/>
      <c r="F290" s="100" t="n"/>
      <c r="G290" s="9" t="n"/>
      <c r="H290" s="9" t="inlineStr">
        <is>
          <t>HLP</t>
        </is>
      </c>
      <c r="I290" s="14" t="n"/>
      <c r="J290" s="14" t="n"/>
      <c r="K290" s="12" t="n"/>
      <c r="L290" s="9" t="n"/>
      <c r="M290" s="9" t="n"/>
      <c r="N290" s="9" t="n"/>
      <c r="O290" s="40">
        <f>K290+V290-AE290-AZ290</f>
        <v/>
      </c>
      <c r="P290" s="12" t="n"/>
      <c r="Q290" s="138" t="n"/>
      <c r="R290" s="16" t="n"/>
      <c r="S290" s="139" t="n"/>
      <c r="T290" s="16" t="n"/>
      <c r="U290" s="139" t="n"/>
      <c r="V290" s="16">
        <f>P290+R290+T290</f>
        <v/>
      </c>
      <c r="W290" s="16" t="n"/>
      <c r="X290" s="139" t="n"/>
      <c r="Y290" s="16" t="n"/>
      <c r="Z290" s="139" t="n"/>
      <c r="AA290" s="16" t="n"/>
      <c r="AB290" s="139" t="n"/>
      <c r="AC290" s="16" t="n"/>
      <c r="AD290" s="139" t="n"/>
      <c r="AE290" s="16">
        <f>(W290+Y290+AA290+AC290)</f>
        <v/>
      </c>
      <c r="AF290" s="16" t="n"/>
      <c r="AG290" s="138" t="n"/>
      <c r="AH290" s="16" t="n"/>
      <c r="AI290" s="138" t="n"/>
      <c r="AJ290" s="16" t="n"/>
      <c r="AK290" s="138" t="n"/>
      <c r="AL290" s="16" t="n"/>
      <c r="AM290" s="138" t="n"/>
      <c r="AN290" s="16" t="n"/>
      <c r="AO290" s="138" t="n"/>
      <c r="AP290" s="16" t="n"/>
      <c r="AQ290" s="138" t="n"/>
      <c r="AR290" s="16" t="n"/>
      <c r="AS290" s="138" t="n"/>
      <c r="AT290" s="16" t="n"/>
      <c r="AU290" s="138" t="n"/>
      <c r="AV290" s="16" t="n"/>
      <c r="AW290" s="138" t="n"/>
      <c r="AX290" s="16" t="n"/>
      <c r="AY290" s="138" t="n"/>
      <c r="AZ290" s="16">
        <f>AF290+AH290+AJ290+AL290+AN290+AP290+AR290+AT290+AV290+AX290</f>
        <v/>
      </c>
      <c r="BA290" s="16" t="n"/>
      <c r="BB290" s="139" t="n"/>
      <c r="BC290" s="16" t="n"/>
      <c r="BD290" s="139" t="n"/>
      <c r="BE290" s="16">
        <f>(BA290+BC290)</f>
        <v/>
      </c>
    </row>
    <row r="291" ht="22.5" customFormat="1" customHeight="1" s="8">
      <c r="A291" s="9" t="n"/>
      <c r="B291" s="136" t="inlineStr">
        <is>
          <t>CABLE</t>
        </is>
      </c>
      <c r="C291" s="137" t="inlineStr">
        <is>
          <t>ADX4000W</t>
        </is>
      </c>
      <c r="D291" s="82" t="inlineStr">
        <is>
          <t>전원 및 EXP Wire  (8핀)</t>
        </is>
      </c>
      <c r="E291" s="13" t="n"/>
      <c r="F291" s="100" t="n"/>
      <c r="G291" s="9" t="n"/>
      <c r="H291" s="9" t="inlineStr">
        <is>
          <t>HLP</t>
        </is>
      </c>
      <c r="I291" s="14" t="n"/>
      <c r="J291" s="14" t="n"/>
      <c r="K291" s="12" t="n">
        <v>97</v>
      </c>
      <c r="L291" s="9" t="n"/>
      <c r="M291" s="9" t="n"/>
      <c r="N291" s="9" t="n"/>
      <c r="O291" s="40">
        <f>K291+V291-AE291-AZ291</f>
        <v/>
      </c>
      <c r="P291" s="12" t="n"/>
      <c r="Q291" s="138" t="n"/>
      <c r="R291" s="16" t="n"/>
      <c r="S291" s="139" t="n"/>
      <c r="T291" s="16" t="n"/>
      <c r="U291" s="139" t="n"/>
      <c r="V291" s="16">
        <f>P291+R291+T291</f>
        <v/>
      </c>
      <c r="W291" s="16" t="n"/>
      <c r="X291" s="139" t="n"/>
      <c r="Y291" s="16" t="n"/>
      <c r="Z291" s="139" t="n"/>
      <c r="AA291" s="16" t="n"/>
      <c r="AB291" s="139" t="n"/>
      <c r="AC291" s="16" t="n"/>
      <c r="AD291" s="139" t="n"/>
      <c r="AE291" s="16">
        <f>(W291+Y291+AA291+AC291)</f>
        <v/>
      </c>
      <c r="AF291" s="16" t="n"/>
      <c r="AG291" s="138" t="n"/>
      <c r="AH291" s="16" t="n"/>
      <c r="AI291" s="138" t="n"/>
      <c r="AJ291" s="16" t="n"/>
      <c r="AK291" s="138" t="n"/>
      <c r="AL291" s="16" t="n"/>
      <c r="AM291" s="138" t="n"/>
      <c r="AN291" s="16" t="n"/>
      <c r="AO291" s="138" t="n"/>
      <c r="AP291" s="16" t="n"/>
      <c r="AQ291" s="138" t="n"/>
      <c r="AR291" s="16" t="n"/>
      <c r="AS291" s="138" t="n"/>
      <c r="AT291" s="16" t="n"/>
      <c r="AU291" s="138" t="n"/>
      <c r="AV291" s="16" t="n"/>
      <c r="AW291" s="138" t="n"/>
      <c r="AX291" s="16" t="n"/>
      <c r="AY291" s="138" t="n"/>
      <c r="AZ291" s="16">
        <f>AF291+AH291+AJ291+AL291+AN291+AP291+AR291+AT291+AV291+AX291</f>
        <v/>
      </c>
      <c r="BA291" s="16" t="n"/>
      <c r="BB291" s="139" t="n"/>
      <c r="BC291" s="16" t="n"/>
      <c r="BD291" s="139" t="n"/>
      <c r="BE291" s="16">
        <f>(BA291+BC291)</f>
        <v/>
      </c>
    </row>
    <row r="292" ht="22.5" customFormat="1" customHeight="1" s="8">
      <c r="A292" s="9" t="n"/>
      <c r="B292" s="136" t="inlineStr">
        <is>
          <t>CABLE</t>
        </is>
      </c>
      <c r="C292" s="137" t="inlineStr">
        <is>
          <t>ADX4000W</t>
        </is>
      </c>
      <c r="D292" s="82" t="inlineStr">
        <is>
          <t>LCD Wire (LVDS) (30핀)</t>
        </is>
      </c>
      <c r="E292" s="13" t="n"/>
      <c r="F292" s="100" t="n"/>
      <c r="G292" s="9" t="n"/>
      <c r="H292" s="9" t="inlineStr">
        <is>
          <t>HLP</t>
        </is>
      </c>
      <c r="I292" s="14" t="n"/>
      <c r="J292" s="14" t="n"/>
      <c r="K292" s="12" t="n">
        <v>684</v>
      </c>
      <c r="L292" s="9" t="n"/>
      <c r="M292" s="9" t="n"/>
      <c r="N292" s="9" t="n"/>
      <c r="O292" s="40">
        <f>K292+V292-AE292-AZ292</f>
        <v/>
      </c>
      <c r="P292" s="12" t="n"/>
      <c r="Q292" s="138" t="n"/>
      <c r="R292" s="16" t="n"/>
      <c r="S292" s="139" t="n"/>
      <c r="T292" s="16" t="n"/>
      <c r="U292" s="139" t="n"/>
      <c r="V292" s="16">
        <f>P292+R292+T292</f>
        <v/>
      </c>
      <c r="W292" s="16" t="n"/>
      <c r="X292" s="139" t="n"/>
      <c r="Y292" s="16" t="n"/>
      <c r="Z292" s="139" t="n"/>
      <c r="AA292" s="16" t="n"/>
      <c r="AB292" s="139" t="n"/>
      <c r="AC292" s="16" t="n"/>
      <c r="AD292" s="139" t="n"/>
      <c r="AE292" s="16">
        <f>(W292+Y292+AA292+AC292)</f>
        <v/>
      </c>
      <c r="AF292" s="16" t="n"/>
      <c r="AG292" s="138" t="n"/>
      <c r="AH292" s="16" t="n"/>
      <c r="AI292" s="138" t="n"/>
      <c r="AJ292" s="16" t="n"/>
      <c r="AK292" s="138" t="n"/>
      <c r="AL292" s="16" t="n"/>
      <c r="AM292" s="138" t="n"/>
      <c r="AN292" s="16" t="n"/>
      <c r="AO292" s="138" t="n"/>
      <c r="AP292" s="16" t="n"/>
      <c r="AQ292" s="138" t="n"/>
      <c r="AR292" s="16" t="n"/>
      <c r="AS292" s="138" t="n"/>
      <c r="AT292" s="16" t="n"/>
      <c r="AU292" s="138" t="n"/>
      <c r="AV292" s="16" t="n"/>
      <c r="AW292" s="138" t="n"/>
      <c r="AX292" s="16" t="n"/>
      <c r="AY292" s="138" t="n"/>
      <c r="AZ292" s="16">
        <f>AF292+AH292+AJ292+AL292+AN292+AP292+AR292+AT292+AV292+AX292</f>
        <v/>
      </c>
      <c r="BA292" s="16" t="n"/>
      <c r="BB292" s="139" t="n"/>
      <c r="BC292" s="16" t="n"/>
      <c r="BD292" s="139" t="n"/>
      <c r="BE292" s="16">
        <f>(BA292+BC292)</f>
        <v/>
      </c>
    </row>
    <row r="293" ht="22.5" customFormat="1" customHeight="1" s="8">
      <c r="A293" s="9" t="n"/>
      <c r="B293" s="136" t="inlineStr">
        <is>
          <t>ABS 난연</t>
        </is>
      </c>
      <c r="C293" s="137" t="inlineStr">
        <is>
          <t>ADX4000W</t>
        </is>
      </c>
      <c r="D293" s="83" t="inlineStr">
        <is>
          <t>LCD TOP</t>
        </is>
      </c>
      <c r="E293" s="13" t="inlineStr">
        <is>
          <t>ABS 난연 화이트</t>
        </is>
      </c>
      <c r="F293" s="100" t="n"/>
      <c r="G293" s="9" t="n"/>
      <c r="H293" s="9" t="inlineStr">
        <is>
          <t>천우</t>
        </is>
      </c>
      <c r="I293" s="14" t="n"/>
      <c r="J293" s="14" t="n"/>
      <c r="K293" s="12" t="n"/>
      <c r="L293" s="9" t="n"/>
      <c r="M293" s="9" t="n"/>
      <c r="N293" s="9" t="n"/>
      <c r="O293" s="40">
        <f>K293+V293-AE293-AZ293</f>
        <v/>
      </c>
      <c r="P293" s="12" t="n"/>
      <c r="Q293" s="138" t="n"/>
      <c r="R293" s="16" t="n"/>
      <c r="S293" s="139" t="n"/>
      <c r="T293" s="16" t="n"/>
      <c r="U293" s="139" t="n"/>
      <c r="V293" s="16">
        <f>P293+R293+T293</f>
        <v/>
      </c>
      <c r="W293" s="16" t="n"/>
      <c r="X293" s="139" t="n"/>
      <c r="Y293" s="16" t="n"/>
      <c r="Z293" s="139" t="n"/>
      <c r="AA293" s="16" t="n"/>
      <c r="AB293" s="139" t="n"/>
      <c r="AC293" s="16" t="n"/>
      <c r="AD293" s="139" t="n"/>
      <c r="AE293" s="16">
        <f>(W293+Y293+AA293+AC293)</f>
        <v/>
      </c>
      <c r="AF293" s="16" t="n"/>
      <c r="AG293" s="138" t="n"/>
      <c r="AH293" s="16" t="n"/>
      <c r="AI293" s="138" t="n"/>
      <c r="AJ293" s="16" t="n"/>
      <c r="AK293" s="138" t="n"/>
      <c r="AL293" s="16" t="n"/>
      <c r="AM293" s="138" t="n"/>
      <c r="AN293" s="16" t="n"/>
      <c r="AO293" s="138" t="n"/>
      <c r="AP293" s="16" t="n"/>
      <c r="AQ293" s="138" t="n"/>
      <c r="AR293" s="16" t="n"/>
      <c r="AS293" s="138" t="n"/>
      <c r="AT293" s="16" t="n"/>
      <c r="AU293" s="138" t="n"/>
      <c r="AV293" s="16" t="n"/>
      <c r="AW293" s="138" t="n"/>
      <c r="AX293" s="16" t="n"/>
      <c r="AY293" s="138" t="n"/>
      <c r="AZ293" s="16">
        <f>AF293+AH293+AJ293+AL293+AN293+AP293+AR293+AT293+AV293+AX293</f>
        <v/>
      </c>
      <c r="BA293" s="16" t="n"/>
      <c r="BB293" s="139" t="n"/>
      <c r="BC293" s="16" t="n"/>
      <c r="BD293" s="139" t="n"/>
      <c r="BE293" s="16">
        <f>(BA293+BC293)</f>
        <v/>
      </c>
    </row>
    <row r="294" ht="22.5" customFormat="1" customHeight="1" s="8">
      <c r="A294" s="9" t="n"/>
      <c r="B294" s="136" t="inlineStr">
        <is>
          <t>ABS 난연</t>
        </is>
      </c>
      <c r="C294" s="137" t="inlineStr">
        <is>
          <t>ADX4000W</t>
        </is>
      </c>
      <c r="D294" s="83" t="inlineStr">
        <is>
          <t>LCD BOTTOM</t>
        </is>
      </c>
      <c r="E294" s="13" t="inlineStr">
        <is>
          <t>ABS 난연 화이트</t>
        </is>
      </c>
      <c r="F294" s="100" t="n"/>
      <c r="G294" s="9" t="n"/>
      <c r="H294" s="9" t="inlineStr">
        <is>
          <t>천우</t>
        </is>
      </c>
      <c r="I294" s="14" t="n"/>
      <c r="J294" s="14" t="n"/>
      <c r="K294" s="12" t="n"/>
      <c r="L294" s="9" t="n"/>
      <c r="M294" s="9" t="n"/>
      <c r="N294" s="9" t="n"/>
      <c r="O294" s="40">
        <f>K294+V294-AE294-AZ294</f>
        <v/>
      </c>
      <c r="P294" s="12" t="n"/>
      <c r="Q294" s="138" t="n"/>
      <c r="R294" s="16" t="n"/>
      <c r="S294" s="139" t="n"/>
      <c r="T294" s="16" t="n"/>
      <c r="U294" s="139" t="n"/>
      <c r="V294" s="16">
        <f>P294+R294+T294</f>
        <v/>
      </c>
      <c r="W294" s="16" t="n"/>
      <c r="X294" s="139" t="n"/>
      <c r="Y294" s="16" t="n"/>
      <c r="Z294" s="139" t="n"/>
      <c r="AA294" s="16" t="n"/>
      <c r="AB294" s="139" t="n"/>
      <c r="AC294" s="16" t="n"/>
      <c r="AD294" s="139" t="n"/>
      <c r="AE294" s="16">
        <f>(W294+Y294+AA294+AC294)</f>
        <v/>
      </c>
      <c r="AF294" s="16" t="n"/>
      <c r="AG294" s="138" t="n"/>
      <c r="AH294" s="16" t="n"/>
      <c r="AI294" s="138" t="n"/>
      <c r="AJ294" s="16" t="n"/>
      <c r="AK294" s="138" t="n"/>
      <c r="AL294" s="16" t="n"/>
      <c r="AM294" s="138" t="n"/>
      <c r="AN294" s="16" t="n"/>
      <c r="AO294" s="138" t="n"/>
      <c r="AP294" s="16" t="n"/>
      <c r="AQ294" s="138" t="n"/>
      <c r="AR294" s="16" t="n"/>
      <c r="AS294" s="138" t="n"/>
      <c r="AT294" s="16" t="n"/>
      <c r="AU294" s="138" t="n"/>
      <c r="AV294" s="16" t="n"/>
      <c r="AW294" s="138" t="n"/>
      <c r="AX294" s="16" t="n"/>
      <c r="AY294" s="138" t="n"/>
      <c r="AZ294" s="16">
        <f>AF294+AH294+AJ294+AL294+AN294+AP294+AR294+AT294+AV294+AX294</f>
        <v/>
      </c>
      <c r="BA294" s="16" t="n"/>
      <c r="BB294" s="139" t="n"/>
      <c r="BC294" s="16" t="n"/>
      <c r="BD294" s="139" t="n"/>
      <c r="BE294" s="16">
        <f>(BA294+BC294)</f>
        <v/>
      </c>
    </row>
    <row r="295" ht="22.5" customFormat="1" customHeight="1" s="8">
      <c r="A295" s="9" t="n"/>
      <c r="B295" s="136" t="inlineStr">
        <is>
          <t>ABS 난연</t>
        </is>
      </c>
      <c r="C295" s="137" t="inlineStr">
        <is>
          <t>ADX4000W</t>
        </is>
      </c>
      <c r="D295" s="83" t="inlineStr">
        <is>
          <t>LCD GUIDE</t>
        </is>
      </c>
      <c r="E295" s="13" t="inlineStr">
        <is>
          <t>ABS 난연 화이트</t>
        </is>
      </c>
      <c r="F295" s="100" t="n"/>
      <c r="G295" s="9" t="n"/>
      <c r="H295" s="9" t="inlineStr">
        <is>
          <t>천우</t>
        </is>
      </c>
      <c r="I295" s="14" t="n"/>
      <c r="J295" s="14" t="n"/>
      <c r="K295" s="12" t="n">
        <v>1888</v>
      </c>
      <c r="L295" s="9" t="n"/>
      <c r="M295" s="9" t="n"/>
      <c r="N295" s="9" t="n"/>
      <c r="O295" s="40">
        <f>K295+V295-AE295-AZ295</f>
        <v/>
      </c>
      <c r="P295" s="12" t="n"/>
      <c r="Q295" s="138" t="n"/>
      <c r="R295" s="16" t="n"/>
      <c r="S295" s="139" t="n"/>
      <c r="T295" s="16" t="n"/>
      <c r="U295" s="139" t="n"/>
      <c r="V295" s="16">
        <f>P295+R295+T295</f>
        <v/>
      </c>
      <c r="W295" s="16" t="n"/>
      <c r="X295" s="139" t="n"/>
      <c r="Y295" s="16" t="n"/>
      <c r="Z295" s="139" t="n"/>
      <c r="AA295" s="16" t="n"/>
      <c r="AB295" s="139" t="n"/>
      <c r="AC295" s="16" t="n"/>
      <c r="AD295" s="139" t="n"/>
      <c r="AE295" s="16">
        <f>(W295+Y295+AA295+AC295)</f>
        <v/>
      </c>
      <c r="AF295" s="16" t="n"/>
      <c r="AG295" s="138" t="n"/>
      <c r="AH295" s="16" t="n"/>
      <c r="AI295" s="138" t="n"/>
      <c r="AJ295" s="16" t="n"/>
      <c r="AK295" s="138" t="n"/>
      <c r="AL295" s="16" t="n"/>
      <c r="AM295" s="138" t="n"/>
      <c r="AN295" s="16" t="n"/>
      <c r="AO295" s="138" t="n"/>
      <c r="AP295" s="16" t="n"/>
      <c r="AQ295" s="138" t="n"/>
      <c r="AR295" s="16" t="n"/>
      <c r="AS295" s="138" t="n"/>
      <c r="AT295" s="16" t="n"/>
      <c r="AU295" s="138" t="n"/>
      <c r="AV295" s="16" t="n"/>
      <c r="AW295" s="138" t="n"/>
      <c r="AX295" s="16" t="n"/>
      <c r="AY295" s="138" t="n"/>
      <c r="AZ295" s="16">
        <f>AF295+AH295+AJ295+AL295+AN295+AP295+AR295+AT295+AV295+AX295</f>
        <v/>
      </c>
      <c r="BA295" s="16" t="n"/>
      <c r="BB295" s="139" t="n"/>
      <c r="BC295" s="16" t="n"/>
      <c r="BD295" s="139" t="n"/>
      <c r="BE295" s="16">
        <f>(BA295+BC295)</f>
        <v/>
      </c>
    </row>
    <row r="296" ht="22.5" customFormat="1" customHeight="1" s="8">
      <c r="A296" s="9" t="n"/>
      <c r="B296" s="136" t="inlineStr">
        <is>
          <t>ABS 난연</t>
        </is>
      </c>
      <c r="C296" s="137" t="inlineStr">
        <is>
          <t>ADX4000W</t>
        </is>
      </c>
      <c r="D296" s="83" t="inlineStr">
        <is>
          <t>TOP BODY</t>
        </is>
      </c>
      <c r="E296" s="13" t="inlineStr">
        <is>
          <t>ABS 난연 화이트</t>
        </is>
      </c>
      <c r="F296" s="100" t="n"/>
      <c r="G296" s="9" t="n"/>
      <c r="H296" s="9" t="inlineStr">
        <is>
          <t>천우</t>
        </is>
      </c>
      <c r="I296" s="14" t="n"/>
      <c r="J296" s="14" t="n"/>
      <c r="K296" s="12" t="n">
        <v>99</v>
      </c>
      <c r="L296" s="9" t="n"/>
      <c r="M296" s="9" t="n"/>
      <c r="N296" s="9" t="n"/>
      <c r="O296" s="40">
        <f>K296+V296-AE296-AZ296</f>
        <v/>
      </c>
      <c r="P296" s="12" t="n"/>
      <c r="Q296" s="138" t="n"/>
      <c r="R296" s="16" t="n"/>
      <c r="S296" s="139" t="n"/>
      <c r="T296" s="16" t="n"/>
      <c r="U296" s="139" t="n"/>
      <c r="V296" s="16">
        <f>P296+R296+T296</f>
        <v/>
      </c>
      <c r="W296" s="16" t="n"/>
      <c r="X296" s="139" t="n"/>
      <c r="Y296" s="16" t="n"/>
      <c r="Z296" s="139" t="n"/>
      <c r="AA296" s="16" t="n"/>
      <c r="AB296" s="139" t="n"/>
      <c r="AC296" s="16" t="n"/>
      <c r="AD296" s="139" t="n"/>
      <c r="AE296" s="16">
        <f>(W296+Y296+AA296+AC296)</f>
        <v/>
      </c>
      <c r="AF296" s="16" t="n"/>
      <c r="AG296" s="138" t="n"/>
      <c r="AH296" s="16" t="n"/>
      <c r="AI296" s="138" t="n"/>
      <c r="AJ296" s="16" t="n"/>
      <c r="AK296" s="138" t="n"/>
      <c r="AL296" s="16" t="n"/>
      <c r="AM296" s="138" t="n"/>
      <c r="AN296" s="16" t="n"/>
      <c r="AO296" s="138" t="n"/>
      <c r="AP296" s="16" t="n"/>
      <c r="AQ296" s="138" t="n"/>
      <c r="AR296" s="16" t="n"/>
      <c r="AS296" s="138" t="n"/>
      <c r="AT296" s="16" t="n"/>
      <c r="AU296" s="138" t="n"/>
      <c r="AV296" s="16" t="n"/>
      <c r="AW296" s="138" t="n"/>
      <c r="AX296" s="16" t="n"/>
      <c r="AY296" s="138" t="n"/>
      <c r="AZ296" s="16">
        <f>AF296+AH296+AJ296+AL296+AN296+AP296+AR296+AT296+AV296+AX296</f>
        <v/>
      </c>
      <c r="BA296" s="16" t="n"/>
      <c r="BB296" s="139" t="n"/>
      <c r="BC296" s="16" t="n"/>
      <c r="BD296" s="139" t="n"/>
      <c r="BE296" s="16">
        <f>(BA296+BC296)</f>
        <v/>
      </c>
    </row>
    <row r="297" ht="22.5" customFormat="1" customHeight="1" s="8">
      <c r="A297" s="9" t="n"/>
      <c r="B297" s="136" t="inlineStr">
        <is>
          <t>ABS 난연</t>
        </is>
      </c>
      <c r="C297" s="137" t="inlineStr">
        <is>
          <t>ADX4000W</t>
        </is>
      </c>
      <c r="D297" s="83" t="inlineStr">
        <is>
          <t>BOTTOM BODY</t>
        </is>
      </c>
      <c r="E297" s="13" t="inlineStr">
        <is>
          <t>ABS 난연 화이트</t>
        </is>
      </c>
      <c r="F297" s="100" t="n"/>
      <c r="G297" s="9" t="n"/>
      <c r="H297" s="9" t="inlineStr">
        <is>
          <t>천우</t>
        </is>
      </c>
      <c r="I297" s="14" t="n"/>
      <c r="J297" s="14" t="n"/>
      <c r="K297" s="12" t="n">
        <v>149</v>
      </c>
      <c r="L297" s="9" t="n"/>
      <c r="M297" s="9" t="n"/>
      <c r="N297" s="9" t="n"/>
      <c r="O297" s="40">
        <f>K297+V297-AE297-AZ297</f>
        <v/>
      </c>
      <c r="P297" s="12" t="n"/>
      <c r="Q297" s="138" t="n"/>
      <c r="R297" s="16" t="n"/>
      <c r="S297" s="139" t="n"/>
      <c r="T297" s="16" t="n"/>
      <c r="U297" s="139" t="n"/>
      <c r="V297" s="16">
        <f>P297+R297+T297</f>
        <v/>
      </c>
      <c r="W297" s="16" t="n"/>
      <c r="X297" s="139" t="n"/>
      <c r="Y297" s="16" t="n"/>
      <c r="Z297" s="139" t="n"/>
      <c r="AA297" s="16" t="n"/>
      <c r="AB297" s="139" t="n"/>
      <c r="AC297" s="16" t="n"/>
      <c r="AD297" s="139" t="n"/>
      <c r="AE297" s="16">
        <f>(W297+Y297+AA297+AC297)</f>
        <v/>
      </c>
      <c r="AF297" s="16" t="n"/>
      <c r="AG297" s="138" t="n"/>
      <c r="AH297" s="16" t="n"/>
      <c r="AI297" s="138" t="n"/>
      <c r="AJ297" s="16" t="n"/>
      <c r="AK297" s="138" t="n"/>
      <c r="AL297" s="16" t="n"/>
      <c r="AM297" s="138" t="n"/>
      <c r="AN297" s="16" t="n"/>
      <c r="AO297" s="138" t="n"/>
      <c r="AP297" s="16" t="n"/>
      <c r="AQ297" s="138" t="n"/>
      <c r="AR297" s="16" t="n"/>
      <c r="AS297" s="138" t="n"/>
      <c r="AT297" s="16" t="n"/>
      <c r="AU297" s="138" t="n"/>
      <c r="AV297" s="16" t="n"/>
      <c r="AW297" s="138" t="n"/>
      <c r="AX297" s="16" t="n"/>
      <c r="AY297" s="138" t="n"/>
      <c r="AZ297" s="16">
        <f>AF297+AH297+AJ297+AL297+AN297+AP297+AR297+AT297+AV297+AX297</f>
        <v/>
      </c>
      <c r="BA297" s="16" t="n"/>
      <c r="BB297" s="139" t="n"/>
      <c r="BC297" s="16" t="n"/>
      <c r="BD297" s="139" t="n"/>
      <c r="BE297" s="16">
        <f>(BA297+BC297)</f>
        <v/>
      </c>
    </row>
    <row r="298" ht="22.5" customFormat="1" customHeight="1" s="8">
      <c r="A298" s="9" t="n"/>
      <c r="B298" s="136" t="inlineStr">
        <is>
          <t>ABS 난연</t>
        </is>
      </c>
      <c r="C298" s="137" t="inlineStr">
        <is>
          <t>ADX4000W</t>
        </is>
      </c>
      <c r="D298" s="83" t="inlineStr">
        <is>
          <t>BATTERY COVER</t>
        </is>
      </c>
      <c r="E298" s="13" t="inlineStr">
        <is>
          <t>ABS 난연 화이트</t>
        </is>
      </c>
      <c r="F298" s="100" t="n"/>
      <c r="G298" s="9" t="n"/>
      <c r="H298" s="9" t="inlineStr">
        <is>
          <t>천우</t>
        </is>
      </c>
      <c r="I298" s="14" t="n"/>
      <c r="J298" s="14" t="n"/>
      <c r="K298" s="12" t="n">
        <v>17</v>
      </c>
      <c r="L298" s="9" t="n"/>
      <c r="M298" s="9" t="n"/>
      <c r="N298" s="9" t="n"/>
      <c r="O298" s="40">
        <f>K298+V298-AE298-AZ298</f>
        <v/>
      </c>
      <c r="P298" s="12" t="n"/>
      <c r="Q298" s="138" t="n"/>
      <c r="R298" s="16" t="n"/>
      <c r="S298" s="139" t="n"/>
      <c r="T298" s="16" t="n"/>
      <c r="U298" s="139" t="n"/>
      <c r="V298" s="16">
        <f>P298+R298+T298</f>
        <v/>
      </c>
      <c r="W298" s="16" t="n"/>
      <c r="X298" s="139" t="n"/>
      <c r="Y298" s="16" t="n"/>
      <c r="Z298" s="139" t="n"/>
      <c r="AA298" s="16" t="n"/>
      <c r="AB298" s="139" t="n"/>
      <c r="AC298" s="16" t="n"/>
      <c r="AD298" s="139" t="n"/>
      <c r="AE298" s="16">
        <f>(W298+Y298+AA298+AC298)</f>
        <v/>
      </c>
      <c r="AF298" s="16" t="n"/>
      <c r="AG298" s="138" t="n"/>
      <c r="AH298" s="16" t="n"/>
      <c r="AI298" s="138" t="n"/>
      <c r="AJ298" s="16" t="n"/>
      <c r="AK298" s="138" t="n"/>
      <c r="AL298" s="16" t="n"/>
      <c r="AM298" s="138" t="n"/>
      <c r="AN298" s="16" t="n"/>
      <c r="AO298" s="138" t="n"/>
      <c r="AP298" s="16" t="n"/>
      <c r="AQ298" s="138" t="n"/>
      <c r="AR298" s="16" t="n"/>
      <c r="AS298" s="138" t="n"/>
      <c r="AT298" s="16" t="n"/>
      <c r="AU298" s="138" t="n"/>
      <c r="AV298" s="16" t="n"/>
      <c r="AW298" s="138" t="n"/>
      <c r="AX298" s="16" t="n"/>
      <c r="AY298" s="138" t="n"/>
      <c r="AZ298" s="16">
        <f>AF298+AH298+AJ298+AL298+AN298+AP298+AR298+AT298+AV298+AX298</f>
        <v/>
      </c>
      <c r="BA298" s="16" t="n"/>
      <c r="BB298" s="139" t="n"/>
      <c r="BC298" s="16" t="n"/>
      <c r="BD298" s="139" t="n"/>
      <c r="BE298" s="16">
        <f>(BA298+BC298)</f>
        <v/>
      </c>
    </row>
    <row r="299" ht="22.5" customFormat="1" customHeight="1" s="8">
      <c r="A299" s="9" t="n"/>
      <c r="B299" s="136" t="inlineStr">
        <is>
          <t>ABS 난연</t>
        </is>
      </c>
      <c r="C299" s="137" t="inlineStr">
        <is>
          <t>ADX4000W</t>
        </is>
      </c>
      <c r="D299" s="83" t="inlineStr">
        <is>
          <t>USB COVER</t>
        </is>
      </c>
      <c r="E299" s="13" t="inlineStr">
        <is>
          <t>ABS 난연 화이트</t>
        </is>
      </c>
      <c r="F299" s="100" t="n"/>
      <c r="G299" s="9" t="n"/>
      <c r="H299" s="9" t="inlineStr">
        <is>
          <t>천우</t>
        </is>
      </c>
      <c r="I299" s="14" t="n"/>
      <c r="J299" s="14" t="n"/>
      <c r="K299" s="12" t="n">
        <v>0</v>
      </c>
      <c r="L299" s="9" t="n"/>
      <c r="M299" s="9" t="n"/>
      <c r="N299" s="9" t="n"/>
      <c r="O299" s="40">
        <f>K299+V299-AE299-AZ299</f>
        <v/>
      </c>
      <c r="P299" s="12" t="n"/>
      <c r="Q299" s="138" t="n"/>
      <c r="R299" s="16" t="n"/>
      <c r="S299" s="139" t="n"/>
      <c r="T299" s="16" t="n"/>
      <c r="U299" s="139" t="n"/>
      <c r="V299" s="16">
        <f>P299+R299+T299</f>
        <v/>
      </c>
      <c r="W299" s="16" t="n"/>
      <c r="X299" s="139" t="n"/>
      <c r="Y299" s="16" t="n"/>
      <c r="Z299" s="139" t="n"/>
      <c r="AA299" s="16" t="n"/>
      <c r="AB299" s="139" t="n"/>
      <c r="AC299" s="16" t="n"/>
      <c r="AD299" s="139" t="n"/>
      <c r="AE299" s="16">
        <f>(W299+Y299+AA299+AC299)</f>
        <v/>
      </c>
      <c r="AF299" s="16" t="n"/>
      <c r="AG299" s="138" t="n"/>
      <c r="AH299" s="16" t="n"/>
      <c r="AI299" s="138" t="n"/>
      <c r="AJ299" s="16" t="n"/>
      <c r="AK299" s="138" t="n"/>
      <c r="AL299" s="16" t="n"/>
      <c r="AM299" s="138" t="n"/>
      <c r="AN299" s="16" t="n"/>
      <c r="AO299" s="138" t="n"/>
      <c r="AP299" s="16" t="n"/>
      <c r="AQ299" s="138" t="n"/>
      <c r="AR299" s="16" t="n"/>
      <c r="AS299" s="138" t="n"/>
      <c r="AT299" s="16" t="n"/>
      <c r="AU299" s="138" t="n"/>
      <c r="AV299" s="16" t="n"/>
      <c r="AW299" s="138" t="n"/>
      <c r="AX299" s="16" t="n"/>
      <c r="AY299" s="138" t="n"/>
      <c r="AZ299" s="16">
        <f>AF299+AH299+AJ299+AL299+AN299+AP299+AR299+AT299+AV299+AX299</f>
        <v/>
      </c>
      <c r="BA299" s="16" t="n"/>
      <c r="BB299" s="139" t="n"/>
      <c r="BC299" s="16" t="n"/>
      <c r="BD299" s="139" t="n"/>
      <c r="BE299" s="16">
        <f>(BA299+BC299)</f>
        <v/>
      </c>
    </row>
    <row r="300" ht="22.5" customFormat="1" customHeight="1" s="8">
      <c r="A300" s="9" t="n"/>
      <c r="B300" s="136" t="inlineStr">
        <is>
          <t>ABS 난연</t>
        </is>
      </c>
      <c r="C300" s="137" t="inlineStr">
        <is>
          <t>ADX4000W</t>
        </is>
      </c>
      <c r="D300" s="83" t="inlineStr">
        <is>
          <t>POWER LED GUIDE</t>
        </is>
      </c>
      <c r="E300" s="13" t="inlineStr">
        <is>
          <t>확산 아크릴</t>
        </is>
      </c>
      <c r="F300" s="100" t="n"/>
      <c r="G300" s="9" t="n"/>
      <c r="H300" s="9" t="inlineStr">
        <is>
          <t>천우</t>
        </is>
      </c>
      <c r="I300" s="14" t="n"/>
      <c r="J300" s="14" t="n"/>
      <c r="K300" s="12" t="n">
        <v>2209</v>
      </c>
      <c r="L300" s="9" t="n"/>
      <c r="M300" s="9" t="n"/>
      <c r="N300" s="9" t="n"/>
      <c r="O300" s="40">
        <f>K300+V300-AE300-AZ300</f>
        <v/>
      </c>
      <c r="P300" s="12" t="n"/>
      <c r="Q300" s="138" t="n"/>
      <c r="R300" s="16" t="n"/>
      <c r="S300" s="139" t="n"/>
      <c r="T300" s="16" t="n"/>
      <c r="U300" s="139" t="n"/>
      <c r="V300" s="16">
        <f>P300+R300+T300</f>
        <v/>
      </c>
      <c r="W300" s="16" t="n"/>
      <c r="X300" s="139" t="n"/>
      <c r="Y300" s="16" t="n"/>
      <c r="Z300" s="139" t="n"/>
      <c r="AA300" s="16" t="n"/>
      <c r="AB300" s="139" t="n"/>
      <c r="AC300" s="16" t="n"/>
      <c r="AD300" s="139" t="n"/>
      <c r="AE300" s="16">
        <f>(W300+Y300+AA300+AC300)</f>
        <v/>
      </c>
      <c r="AF300" s="16" t="n"/>
      <c r="AG300" s="138" t="n"/>
      <c r="AH300" s="16" t="n"/>
      <c r="AI300" s="138" t="n"/>
      <c r="AJ300" s="16" t="n"/>
      <c r="AK300" s="138" t="n"/>
      <c r="AL300" s="16" t="n"/>
      <c r="AM300" s="138" t="n"/>
      <c r="AN300" s="16" t="n"/>
      <c r="AO300" s="138" t="n"/>
      <c r="AP300" s="16" t="n"/>
      <c r="AQ300" s="138" t="n"/>
      <c r="AR300" s="16" t="n"/>
      <c r="AS300" s="138" t="n"/>
      <c r="AT300" s="16" t="n"/>
      <c r="AU300" s="138" t="n"/>
      <c r="AV300" s="16" t="n"/>
      <c r="AW300" s="138" t="n"/>
      <c r="AX300" s="16" t="n"/>
      <c r="AY300" s="138" t="n"/>
      <c r="AZ300" s="16">
        <f>AF300+AH300+AJ300+AL300+AN300+AP300+AR300+AT300+AV300+AX300</f>
        <v/>
      </c>
      <c r="BA300" s="16" t="n"/>
      <c r="BB300" s="139" t="n"/>
      <c r="BC300" s="16" t="n"/>
      <c r="BD300" s="139" t="n"/>
      <c r="BE300" s="16">
        <f>(BA300+BC300)</f>
        <v/>
      </c>
    </row>
    <row r="301" ht="22.5" customFormat="1" customHeight="1" s="8">
      <c r="A301" s="9" t="n"/>
      <c r="B301" s="136" t="inlineStr">
        <is>
          <t>ABS 난연</t>
        </is>
      </c>
      <c r="C301" s="137" t="inlineStr">
        <is>
          <t>ADX4000W</t>
        </is>
      </c>
      <c r="D301" s="83" t="inlineStr">
        <is>
          <t>EX LED GUIDE</t>
        </is>
      </c>
      <c r="E301" s="13" t="inlineStr">
        <is>
          <t>확산 아크릴</t>
        </is>
      </c>
      <c r="F301" s="100" t="n"/>
      <c r="G301" s="9" t="n"/>
      <c r="H301" s="9" t="inlineStr">
        <is>
          <t>천우</t>
        </is>
      </c>
      <c r="I301" s="14" t="n"/>
      <c r="J301" s="14" t="n"/>
      <c r="K301" s="12" t="n">
        <v>165</v>
      </c>
      <c r="L301" s="9" t="n"/>
      <c r="M301" s="9" t="n"/>
      <c r="N301" s="9" t="n"/>
      <c r="O301" s="40">
        <f>K301+V301-AE301-AZ301</f>
        <v/>
      </c>
      <c r="P301" s="12" t="n"/>
      <c r="Q301" s="138" t="n"/>
      <c r="R301" s="16" t="n"/>
      <c r="S301" s="139" t="n"/>
      <c r="T301" s="16" t="n"/>
      <c r="U301" s="139" t="n"/>
      <c r="V301" s="16">
        <f>P301+R301+T301</f>
        <v/>
      </c>
      <c r="W301" s="16" t="n"/>
      <c r="X301" s="139" t="n"/>
      <c r="Y301" s="16" t="n"/>
      <c r="Z301" s="139" t="n"/>
      <c r="AA301" s="16" t="n"/>
      <c r="AB301" s="139" t="n"/>
      <c r="AC301" s="16" t="n"/>
      <c r="AD301" s="139" t="n"/>
      <c r="AE301" s="16">
        <f>(W301+Y301+AA301+AC301)</f>
        <v/>
      </c>
      <c r="AF301" s="16" t="n"/>
      <c r="AG301" s="138" t="n"/>
      <c r="AH301" s="16" t="n"/>
      <c r="AI301" s="138" t="n"/>
      <c r="AJ301" s="16" t="n"/>
      <c r="AK301" s="138" t="n"/>
      <c r="AL301" s="16" t="n"/>
      <c r="AM301" s="138" t="n"/>
      <c r="AN301" s="16" t="n"/>
      <c r="AO301" s="138" t="n"/>
      <c r="AP301" s="16" t="n"/>
      <c r="AQ301" s="138" t="n"/>
      <c r="AR301" s="16" t="n"/>
      <c r="AS301" s="138" t="n"/>
      <c r="AT301" s="16" t="n"/>
      <c r="AU301" s="138" t="n"/>
      <c r="AV301" s="16" t="n"/>
      <c r="AW301" s="138" t="n"/>
      <c r="AX301" s="16" t="n"/>
      <c r="AY301" s="138" t="n"/>
      <c r="AZ301" s="16">
        <f>AF301+AH301+AJ301+AL301+AN301+AP301+AR301+AT301+AV301+AX301</f>
        <v/>
      </c>
      <c r="BA301" s="16" t="n"/>
      <c r="BB301" s="139" t="n"/>
      <c r="BC301" s="16" t="n"/>
      <c r="BD301" s="139" t="n"/>
      <c r="BE301" s="16">
        <f>(BA301+BC301)</f>
        <v/>
      </c>
    </row>
    <row r="302" ht="22.5" customFormat="1" customHeight="1" s="8">
      <c r="A302" s="9" t="n"/>
      <c r="B302" s="136" t="inlineStr">
        <is>
          <t>ABS 난연</t>
        </is>
      </c>
      <c r="C302" s="137" t="inlineStr">
        <is>
          <t>ADX4000W</t>
        </is>
      </c>
      <c r="D302" s="65" t="inlineStr">
        <is>
          <t>DECO GUIDE</t>
        </is>
      </c>
      <c r="E302" s="13" t="inlineStr">
        <is>
          <t>ABS 난연 화이트 + 진한 회색</t>
        </is>
      </c>
      <c r="F302" s="100" t="n"/>
      <c r="G302" s="9" t="n"/>
      <c r="H302" s="9" t="inlineStr">
        <is>
          <t>천우</t>
        </is>
      </c>
      <c r="I302" s="14" t="n"/>
      <c r="J302" s="14" t="n"/>
      <c r="K302" s="12" t="n">
        <v>415</v>
      </c>
      <c r="L302" s="9" t="n"/>
      <c r="M302" s="9" t="n"/>
      <c r="N302" s="9" t="n"/>
      <c r="O302" s="40">
        <f>K302+V302-AE302-AZ302</f>
        <v/>
      </c>
      <c r="P302" s="12" t="n"/>
      <c r="Q302" s="138" t="n"/>
      <c r="R302" s="16" t="n"/>
      <c r="S302" s="139" t="n"/>
      <c r="T302" s="16" t="n"/>
      <c r="U302" s="139" t="n"/>
      <c r="V302" s="16">
        <f>P302+R302+T302</f>
        <v/>
      </c>
      <c r="W302" s="16" t="n"/>
      <c r="X302" s="139" t="n"/>
      <c r="Y302" s="16" t="n"/>
      <c r="Z302" s="139" t="n"/>
      <c r="AA302" s="16" t="n"/>
      <c r="AB302" s="139" t="n"/>
      <c r="AC302" s="16" t="n"/>
      <c r="AD302" s="139" t="n"/>
      <c r="AE302" s="16">
        <f>(W302+Y302+AA302+AC302)</f>
        <v/>
      </c>
      <c r="AF302" s="16" t="n"/>
      <c r="AG302" s="138" t="n"/>
      <c r="AH302" s="16" t="n"/>
      <c r="AI302" s="138" t="n"/>
      <c r="AJ302" s="16" t="n"/>
      <c r="AK302" s="138" t="n"/>
      <c r="AL302" s="16" t="n"/>
      <c r="AM302" s="138" t="n"/>
      <c r="AN302" s="16" t="n"/>
      <c r="AO302" s="138" t="n"/>
      <c r="AP302" s="16" t="n"/>
      <c r="AQ302" s="138" t="n"/>
      <c r="AR302" s="16" t="n"/>
      <c r="AS302" s="138" t="n"/>
      <c r="AT302" s="16" t="n"/>
      <c r="AU302" s="138" t="n"/>
      <c r="AV302" s="16" t="n"/>
      <c r="AW302" s="138" t="n"/>
      <c r="AX302" s="16" t="n"/>
      <c r="AY302" s="138" t="n"/>
      <c r="AZ302" s="16">
        <f>AF302+AH302+AJ302+AL302+AN302+AP302+AR302+AT302+AV302+AX302</f>
        <v/>
      </c>
      <c r="BA302" s="16" t="n"/>
      <c r="BB302" s="139" t="n"/>
      <c r="BC302" s="16" t="n"/>
      <c r="BD302" s="139" t="n"/>
      <c r="BE302" s="16">
        <f>(BA302+BC302)</f>
        <v/>
      </c>
    </row>
    <row r="303" ht="22.5" customFormat="1" customHeight="1" s="8">
      <c r="A303" s="9" t="n"/>
      <c r="B303" s="136" t="inlineStr">
        <is>
          <t>ABS 난연</t>
        </is>
      </c>
      <c r="C303" s="137" t="inlineStr">
        <is>
          <t>ADX4000W</t>
        </is>
      </c>
      <c r="D303" s="65" t="inlineStr">
        <is>
          <t>GUIDE 스프레이 X</t>
        </is>
      </c>
      <c r="E303" s="13" t="inlineStr">
        <is>
          <t>ABS 난연 화이트</t>
        </is>
      </c>
      <c r="F303" s="100" t="n"/>
      <c r="G303" s="9" t="n"/>
      <c r="H303" s="9" t="inlineStr">
        <is>
          <t>천우</t>
        </is>
      </c>
      <c r="I303" s="14" t="n"/>
      <c r="J303" s="14" t="n"/>
      <c r="K303" s="12" t="n">
        <v>2800</v>
      </c>
      <c r="L303" s="9" t="n"/>
      <c r="M303" s="9" t="n"/>
      <c r="N303" s="9" t="n"/>
      <c r="O303" s="40">
        <f>K303+V303-AE303-AZ303</f>
        <v/>
      </c>
      <c r="P303" s="12" t="n"/>
      <c r="Q303" s="138" t="n"/>
      <c r="R303" s="16" t="n"/>
      <c r="S303" s="139" t="n"/>
      <c r="T303" s="16" t="n"/>
      <c r="U303" s="139" t="n"/>
      <c r="V303" s="16">
        <f>P303+R303+T303</f>
        <v/>
      </c>
      <c r="W303" s="16" t="n"/>
      <c r="X303" s="139" t="n"/>
      <c r="Y303" s="16" t="n"/>
      <c r="Z303" s="139" t="n"/>
      <c r="AA303" s="16" t="n"/>
      <c r="AB303" s="139" t="n"/>
      <c r="AC303" s="16" t="n"/>
      <c r="AD303" s="139" t="n"/>
      <c r="AE303" s="16">
        <f>(W303+Y303+AA303+AC303)</f>
        <v/>
      </c>
      <c r="AF303" s="16" t="n"/>
      <c r="AG303" s="138" t="n"/>
      <c r="AH303" s="16" t="n"/>
      <c r="AI303" s="138" t="n"/>
      <c r="AJ303" s="16" t="n"/>
      <c r="AK303" s="138" t="n"/>
      <c r="AL303" s="16" t="n"/>
      <c r="AM303" s="138" t="n"/>
      <c r="AN303" s="16" t="n"/>
      <c r="AO303" s="138" t="n"/>
      <c r="AP303" s="16" t="n"/>
      <c r="AQ303" s="138" t="n"/>
      <c r="AR303" s="16" t="n"/>
      <c r="AS303" s="138" t="n"/>
      <c r="AT303" s="16" t="n"/>
      <c r="AU303" s="138" t="n"/>
      <c r="AV303" s="16" t="n"/>
      <c r="AW303" s="138" t="n"/>
      <c r="AX303" s="16" t="n"/>
      <c r="AY303" s="138" t="n"/>
      <c r="AZ303" s="16">
        <f>AF303+AH303+AJ303+AL303+AN303+AP303+AR303+AT303+AV303+AX303</f>
        <v/>
      </c>
      <c r="BA303" s="16" t="n"/>
      <c r="BB303" s="139" t="n"/>
      <c r="BC303" s="16" t="n"/>
      <c r="BD303" s="139" t="n"/>
      <c r="BE303" s="16">
        <f>(BA303+BC303)</f>
        <v/>
      </c>
    </row>
    <row r="304" ht="22.5" customFormat="1" customHeight="1" s="8">
      <c r="A304" s="9" t="n"/>
      <c r="B304" s="136" t="inlineStr">
        <is>
          <t>ABS 난연</t>
        </is>
      </c>
      <c r="C304" s="137" t="inlineStr">
        <is>
          <t>ADX4000W</t>
        </is>
      </c>
      <c r="D304" s="65" t="inlineStr">
        <is>
          <t>HINGE GUIDE</t>
        </is>
      </c>
      <c r="E304" s="13" t="inlineStr">
        <is>
          <t>ABS 난연 화이트</t>
        </is>
      </c>
      <c r="F304" s="100" t="n"/>
      <c r="G304" s="9" t="n"/>
      <c r="H304" s="9" t="inlineStr">
        <is>
          <t>천우</t>
        </is>
      </c>
      <c r="I304" s="14" t="n"/>
      <c r="J304" s="14" t="n"/>
      <c r="K304" s="12" t="n">
        <v>165</v>
      </c>
      <c r="L304" s="9" t="n"/>
      <c r="M304" s="9" t="n"/>
      <c r="N304" s="9" t="n"/>
      <c r="O304" s="40">
        <f>K304+V304-AE304-AZ304</f>
        <v/>
      </c>
      <c r="P304" s="12" t="n"/>
      <c r="Q304" s="138" t="n"/>
      <c r="R304" s="16" t="n"/>
      <c r="S304" s="139" t="n"/>
      <c r="T304" s="16" t="n"/>
      <c r="U304" s="139" t="n"/>
      <c r="V304" s="16">
        <f>P304+R304+T304</f>
        <v/>
      </c>
      <c r="W304" s="16" t="n"/>
      <c r="X304" s="139" t="n"/>
      <c r="Y304" s="16" t="n"/>
      <c r="Z304" s="139" t="n"/>
      <c r="AA304" s="16" t="n"/>
      <c r="AB304" s="139" t="n"/>
      <c r="AC304" s="16" t="n"/>
      <c r="AD304" s="139" t="n"/>
      <c r="AE304" s="16">
        <f>(W304+Y304+AA304+AC304)</f>
        <v/>
      </c>
      <c r="AF304" s="16" t="n"/>
      <c r="AG304" s="138" t="n"/>
      <c r="AH304" s="16" t="n"/>
      <c r="AI304" s="138" t="n"/>
      <c r="AJ304" s="16" t="n"/>
      <c r="AK304" s="138" t="n"/>
      <c r="AL304" s="16" t="n"/>
      <c r="AM304" s="138" t="n"/>
      <c r="AN304" s="16" t="n"/>
      <c r="AO304" s="138" t="n"/>
      <c r="AP304" s="16" t="n"/>
      <c r="AQ304" s="138" t="n"/>
      <c r="AR304" s="16" t="n"/>
      <c r="AS304" s="138" t="n"/>
      <c r="AT304" s="16" t="n"/>
      <c r="AU304" s="138" t="n"/>
      <c r="AV304" s="16" t="n"/>
      <c r="AW304" s="138" t="n"/>
      <c r="AX304" s="16" t="n"/>
      <c r="AY304" s="138" t="n"/>
      <c r="AZ304" s="16">
        <f>AF304+AH304+AJ304+AL304+AN304+AP304+AR304+AT304+AV304+AX304</f>
        <v/>
      </c>
      <c r="BA304" s="16" t="n"/>
      <c r="BB304" s="139" t="n"/>
      <c r="BC304" s="16" t="n"/>
      <c r="BD304" s="139" t="n"/>
      <c r="BE304" s="16">
        <f>(BA304+BC304)</f>
        <v/>
      </c>
    </row>
    <row r="305" ht="22.5" customFormat="1" customHeight="1" s="8">
      <c r="A305" s="9" t="n"/>
      <c r="B305" s="136" t="inlineStr">
        <is>
          <t>ABS 난연</t>
        </is>
      </c>
      <c r="C305" s="137" t="inlineStr">
        <is>
          <t>ADX4000W</t>
        </is>
      </c>
      <c r="D305" s="83" t="inlineStr">
        <is>
          <t>POWER BUTTON</t>
        </is>
      </c>
      <c r="E305" s="13" t="inlineStr">
        <is>
          <t>ABS 난연 화이트 + 밝은 회색</t>
        </is>
      </c>
      <c r="F305" s="100" t="n"/>
      <c r="G305" s="9" t="n"/>
      <c r="H305" s="9" t="inlineStr">
        <is>
          <t>천우</t>
        </is>
      </c>
      <c r="I305" s="14" t="n"/>
      <c r="J305" s="14" t="n"/>
      <c r="K305" s="12" t="n">
        <v>329</v>
      </c>
      <c r="L305" s="9" t="n"/>
      <c r="M305" s="9" t="n"/>
      <c r="N305" s="9" t="n"/>
      <c r="O305" s="40">
        <f>K305+V305-AE305-AZ305</f>
        <v/>
      </c>
      <c r="P305" s="12" t="n"/>
      <c r="Q305" s="138" t="n"/>
      <c r="R305" s="16" t="n"/>
      <c r="S305" s="139" t="n"/>
      <c r="T305" s="16" t="n"/>
      <c r="U305" s="139" t="n"/>
      <c r="V305" s="16">
        <f>P305+R305+T305</f>
        <v/>
      </c>
      <c r="W305" s="16" t="n"/>
      <c r="X305" s="139" t="n"/>
      <c r="Y305" s="16" t="n"/>
      <c r="Z305" s="139" t="n"/>
      <c r="AA305" s="16" t="n"/>
      <c r="AB305" s="139" t="n"/>
      <c r="AC305" s="16" t="n"/>
      <c r="AD305" s="139" t="n"/>
      <c r="AE305" s="16">
        <f>(W305+Y305+AA305+AC305)</f>
        <v/>
      </c>
      <c r="AF305" s="16" t="n"/>
      <c r="AG305" s="138" t="n"/>
      <c r="AH305" s="16" t="n"/>
      <c r="AI305" s="138" t="n"/>
      <c r="AJ305" s="16" t="n"/>
      <c r="AK305" s="138" t="n"/>
      <c r="AL305" s="16" t="n"/>
      <c r="AM305" s="138" t="n"/>
      <c r="AN305" s="16" t="n"/>
      <c r="AO305" s="138" t="n"/>
      <c r="AP305" s="16" t="n"/>
      <c r="AQ305" s="138" t="n"/>
      <c r="AR305" s="16" t="n"/>
      <c r="AS305" s="138" t="n"/>
      <c r="AT305" s="16" t="n"/>
      <c r="AU305" s="138" t="n"/>
      <c r="AV305" s="16" t="n"/>
      <c r="AW305" s="138" t="n"/>
      <c r="AX305" s="16" t="n"/>
      <c r="AY305" s="138" t="n"/>
      <c r="AZ305" s="16">
        <f>AF305+AH305+AJ305+AL305+AN305+AP305+AR305+AT305+AV305+AX305</f>
        <v/>
      </c>
      <c r="BA305" s="16" t="n"/>
      <c r="BB305" s="139" t="n"/>
      <c r="BC305" s="16" t="n"/>
      <c r="BD305" s="139" t="n"/>
      <c r="BE305" s="16">
        <f>(BA305+BC305)</f>
        <v/>
      </c>
    </row>
    <row r="306" ht="22.5" customFormat="1" customHeight="1" s="8">
      <c r="A306" s="9" t="n"/>
      <c r="B306" s="136" t="inlineStr">
        <is>
          <t>ABS 난연</t>
        </is>
      </c>
      <c r="C306" s="137" t="inlineStr">
        <is>
          <t>ADX4000W</t>
        </is>
      </c>
      <c r="D306" s="65" t="inlineStr">
        <is>
          <t>POWER BUTTON 스프레이 X</t>
        </is>
      </c>
      <c r="E306" s="13" t="inlineStr">
        <is>
          <t>ABS 난연 화이트</t>
        </is>
      </c>
      <c r="F306" s="100" t="n"/>
      <c r="G306" s="9" t="n"/>
      <c r="H306" s="9" t="inlineStr">
        <is>
          <t>천우</t>
        </is>
      </c>
      <c r="I306" s="14" t="n"/>
      <c r="J306" s="14" t="n"/>
      <c r="K306" s="12" t="n">
        <v>3031</v>
      </c>
      <c r="L306" s="9" t="n"/>
      <c r="M306" s="9" t="n"/>
      <c r="N306" s="9" t="n"/>
      <c r="O306" s="40">
        <f>K306+V306-AE306-AZ306</f>
        <v/>
      </c>
      <c r="P306" s="12" t="n"/>
      <c r="Q306" s="138" t="n"/>
      <c r="R306" s="16" t="n"/>
      <c r="S306" s="139" t="n"/>
      <c r="T306" s="16" t="n"/>
      <c r="U306" s="139" t="n"/>
      <c r="V306" s="16">
        <f>P306+R306+T306</f>
        <v/>
      </c>
      <c r="W306" s="16" t="n"/>
      <c r="X306" s="139" t="n"/>
      <c r="Y306" s="16" t="n"/>
      <c r="Z306" s="139" t="n"/>
      <c r="AA306" s="16" t="n"/>
      <c r="AB306" s="139" t="n"/>
      <c r="AC306" s="16" t="n"/>
      <c r="AD306" s="139" t="n"/>
      <c r="AE306" s="16">
        <f>(W306+Y306+AA306+AC306)</f>
        <v/>
      </c>
      <c r="AF306" s="16" t="n"/>
      <c r="AG306" s="138" t="n"/>
      <c r="AH306" s="16" t="n"/>
      <c r="AI306" s="138" t="n"/>
      <c r="AJ306" s="16" t="n"/>
      <c r="AK306" s="138" t="n"/>
      <c r="AL306" s="16" t="n"/>
      <c r="AM306" s="138" t="n"/>
      <c r="AN306" s="16" t="n"/>
      <c r="AO306" s="138" t="n"/>
      <c r="AP306" s="16" t="n"/>
      <c r="AQ306" s="138" t="n"/>
      <c r="AR306" s="16" t="n"/>
      <c r="AS306" s="138" t="n"/>
      <c r="AT306" s="16" t="n"/>
      <c r="AU306" s="138" t="n"/>
      <c r="AV306" s="16" t="n"/>
      <c r="AW306" s="138" t="n"/>
      <c r="AX306" s="16" t="n"/>
      <c r="AY306" s="138" t="n"/>
      <c r="AZ306" s="16">
        <f>AF306+AH306+AJ306+AL306+AN306+AP306+AR306+AT306+AV306+AX306</f>
        <v/>
      </c>
      <c r="BA306" s="16" t="n"/>
      <c r="BB306" s="139" t="n"/>
      <c r="BC306" s="16" t="n"/>
      <c r="BD306" s="139" t="n"/>
      <c r="BE306" s="16">
        <f>(BA306+BC306)</f>
        <v/>
      </c>
    </row>
    <row r="307" ht="22.5" customFormat="1" customHeight="1" s="8">
      <c r="A307" s="9" t="n"/>
      <c r="B307" s="136" t="inlineStr">
        <is>
          <t>ABS 난연</t>
        </is>
      </c>
      <c r="C307" s="137" t="inlineStr">
        <is>
          <t>ADX4000W</t>
        </is>
      </c>
      <c r="D307" s="83" t="inlineStr">
        <is>
          <t>EX BUTTON</t>
        </is>
      </c>
      <c r="E307" s="13" t="inlineStr">
        <is>
          <t>ABS 난연 화이트 + 밝은 회색</t>
        </is>
      </c>
      <c r="F307" s="100" t="n"/>
      <c r="G307" s="9" t="n"/>
      <c r="H307" s="9" t="inlineStr">
        <is>
          <t>천우</t>
        </is>
      </c>
      <c r="I307" s="14" t="n"/>
      <c r="J307" s="14" t="n"/>
      <c r="K307" s="12" t="n">
        <v>518</v>
      </c>
      <c r="L307" s="9" t="n"/>
      <c r="M307" s="9" t="n"/>
      <c r="N307" s="9" t="n"/>
      <c r="O307" s="40">
        <f>K307+V307-AE307-AZ307</f>
        <v/>
      </c>
      <c r="P307" s="12" t="n"/>
      <c r="Q307" s="138" t="n"/>
      <c r="R307" s="16" t="n"/>
      <c r="S307" s="139" t="n"/>
      <c r="T307" s="16" t="n"/>
      <c r="U307" s="139" t="n"/>
      <c r="V307" s="16">
        <f>P307+R307+T307</f>
        <v/>
      </c>
      <c r="W307" s="16" t="n"/>
      <c r="X307" s="139" t="n"/>
      <c r="Y307" s="16" t="n"/>
      <c r="Z307" s="139" t="n"/>
      <c r="AA307" s="16" t="n"/>
      <c r="AB307" s="139" t="n"/>
      <c r="AC307" s="16" t="n"/>
      <c r="AD307" s="139" t="n"/>
      <c r="AE307" s="16">
        <f>(W307+Y307+AA307+AC307)</f>
        <v/>
      </c>
      <c r="AF307" s="16" t="n"/>
      <c r="AG307" s="138" t="n"/>
      <c r="AH307" s="16" t="n"/>
      <c r="AI307" s="138" t="n"/>
      <c r="AJ307" s="16" t="n"/>
      <c r="AK307" s="138" t="n"/>
      <c r="AL307" s="16" t="n"/>
      <c r="AM307" s="138" t="n"/>
      <c r="AN307" s="16" t="n"/>
      <c r="AO307" s="138" t="n"/>
      <c r="AP307" s="16" t="n"/>
      <c r="AQ307" s="138" t="n"/>
      <c r="AR307" s="16" t="n"/>
      <c r="AS307" s="138" t="n"/>
      <c r="AT307" s="16" t="n"/>
      <c r="AU307" s="138" t="n"/>
      <c r="AV307" s="16" t="n"/>
      <c r="AW307" s="138" t="n"/>
      <c r="AX307" s="16" t="n"/>
      <c r="AY307" s="138" t="n"/>
      <c r="AZ307" s="16">
        <f>AF307+AH307+AJ307+AL307+AN307+AP307+AR307+AT307+AV307+AX307</f>
        <v/>
      </c>
      <c r="BA307" s="16" t="n"/>
      <c r="BB307" s="139" t="n"/>
      <c r="BC307" s="16" t="n"/>
      <c r="BD307" s="139" t="n"/>
      <c r="BE307" s="16">
        <f>(BA307+BC307)</f>
        <v/>
      </c>
    </row>
    <row r="308" ht="22.5" customFormat="1" customHeight="1" s="8">
      <c r="A308" s="9" t="n"/>
      <c r="B308" s="136" t="inlineStr">
        <is>
          <t>ABS 난연</t>
        </is>
      </c>
      <c r="C308" s="137" t="inlineStr">
        <is>
          <t>ADX4000W</t>
        </is>
      </c>
      <c r="D308" s="82" t="inlineStr">
        <is>
          <t>EX BUTTON 스프레이 X</t>
        </is>
      </c>
      <c r="E308" s="13" t="inlineStr">
        <is>
          <t>ABS 난연 화이트</t>
        </is>
      </c>
      <c r="F308" s="100" t="n"/>
      <c r="G308" s="9" t="n"/>
      <c r="H308" s="9" t="inlineStr">
        <is>
          <t>천우</t>
        </is>
      </c>
      <c r="I308" s="14" t="n"/>
      <c r="J308" s="14" t="n"/>
      <c r="K308" s="12" t="n">
        <v>3032</v>
      </c>
      <c r="L308" s="9" t="n"/>
      <c r="M308" s="9" t="n"/>
      <c r="N308" s="9" t="n"/>
      <c r="O308" s="40">
        <f>K308+V308-AE308-AZ308</f>
        <v/>
      </c>
      <c r="P308" s="12" t="n"/>
      <c r="Q308" s="138" t="n"/>
      <c r="R308" s="16" t="n"/>
      <c r="S308" s="139" t="n"/>
      <c r="T308" s="16" t="n"/>
      <c r="U308" s="139" t="n"/>
      <c r="V308" s="16">
        <f>P308+R308+T308</f>
        <v/>
      </c>
      <c r="W308" s="16" t="n"/>
      <c r="X308" s="139" t="n"/>
      <c r="Y308" s="16" t="n"/>
      <c r="Z308" s="139" t="n"/>
      <c r="AA308" s="16" t="n"/>
      <c r="AB308" s="139" t="n"/>
      <c r="AC308" s="16" t="n"/>
      <c r="AD308" s="139" t="n"/>
      <c r="AE308" s="16">
        <f>(W308+Y308+AA308+AC308)</f>
        <v/>
      </c>
      <c r="AF308" s="16" t="n"/>
      <c r="AG308" s="138" t="n"/>
      <c r="AH308" s="16" t="n"/>
      <c r="AI308" s="138" t="n"/>
      <c r="AJ308" s="16" t="n"/>
      <c r="AK308" s="138" t="n"/>
      <c r="AL308" s="16" t="n"/>
      <c r="AM308" s="138" t="n"/>
      <c r="AN308" s="16" t="n"/>
      <c r="AO308" s="138" t="n"/>
      <c r="AP308" s="16" t="n"/>
      <c r="AQ308" s="138" t="n"/>
      <c r="AR308" s="16" t="n"/>
      <c r="AS308" s="138" t="n"/>
      <c r="AT308" s="16" t="n"/>
      <c r="AU308" s="138" t="n"/>
      <c r="AV308" s="16" t="n"/>
      <c r="AW308" s="138" t="n"/>
      <c r="AX308" s="16" t="n"/>
      <c r="AY308" s="138" t="n"/>
      <c r="AZ308" s="16">
        <f>AF308+AH308+AJ308+AL308+AN308+AP308+AR308+AT308+AV308+AX308</f>
        <v/>
      </c>
      <c r="BA308" s="16" t="n"/>
      <c r="BB308" s="139" t="n"/>
      <c r="BC308" s="16" t="n"/>
      <c r="BD308" s="139" t="n"/>
      <c r="BE308" s="16">
        <f>(BA308+BC308)</f>
        <v/>
      </c>
    </row>
    <row r="309" ht="22.5" customFormat="1" customHeight="1" s="8">
      <c r="A309" s="9" t="n"/>
      <c r="B309" s="136" t="inlineStr">
        <is>
          <t>ABS 난연</t>
        </is>
      </c>
      <c r="C309" s="137" t="inlineStr">
        <is>
          <t>ADX4000W</t>
        </is>
      </c>
      <c r="D309" s="82" t="inlineStr">
        <is>
          <t>NAVI BUTTON (가운데)</t>
        </is>
      </c>
      <c r="E309" s="13" t="inlineStr">
        <is>
          <t>ABS 난연 화이트 + 밝은 회색</t>
        </is>
      </c>
      <c r="F309" s="100" t="n"/>
      <c r="G309" s="9" t="n"/>
      <c r="H309" s="9" t="inlineStr">
        <is>
          <t>천우</t>
        </is>
      </c>
      <c r="I309" s="14" t="n"/>
      <c r="J309" s="14" t="n"/>
      <c r="K309" s="12" t="n">
        <v>196</v>
      </c>
      <c r="L309" s="9" t="n"/>
      <c r="M309" s="9" t="n"/>
      <c r="N309" s="9" t="n"/>
      <c r="O309" s="40">
        <f>K309+V309-AE309-AZ309</f>
        <v/>
      </c>
      <c r="P309" s="12" t="n"/>
      <c r="Q309" s="138" t="n"/>
      <c r="R309" s="16" t="n"/>
      <c r="S309" s="139" t="n"/>
      <c r="T309" s="16" t="n"/>
      <c r="U309" s="139" t="n"/>
      <c r="V309" s="16">
        <f>P309+R309+T309</f>
        <v/>
      </c>
      <c r="W309" s="16" t="n"/>
      <c r="X309" s="139" t="n"/>
      <c r="Y309" s="16" t="n"/>
      <c r="Z309" s="139" t="n"/>
      <c r="AA309" s="16" t="n"/>
      <c r="AB309" s="139" t="n"/>
      <c r="AC309" s="16" t="n"/>
      <c r="AD309" s="139" t="n"/>
      <c r="AE309" s="16">
        <f>(W309+Y309+AA309+AC309)</f>
        <v/>
      </c>
      <c r="AF309" s="16" t="n"/>
      <c r="AG309" s="138" t="n"/>
      <c r="AH309" s="16" t="n"/>
      <c r="AI309" s="138" t="n"/>
      <c r="AJ309" s="16" t="n"/>
      <c r="AK309" s="138" t="n"/>
      <c r="AL309" s="16" t="n"/>
      <c r="AM309" s="138" t="n"/>
      <c r="AN309" s="16" t="n"/>
      <c r="AO309" s="138" t="n"/>
      <c r="AP309" s="16" t="n"/>
      <c r="AQ309" s="138" t="n"/>
      <c r="AR309" s="16" t="n"/>
      <c r="AS309" s="138" t="n"/>
      <c r="AT309" s="16" t="n"/>
      <c r="AU309" s="138" t="n"/>
      <c r="AV309" s="16" t="n"/>
      <c r="AW309" s="138" t="n"/>
      <c r="AX309" s="16" t="n"/>
      <c r="AY309" s="138" t="n"/>
      <c r="AZ309" s="16">
        <f>AF309+AH309+AJ309+AL309+AN309+AP309+AR309+AT309+AV309+AX309</f>
        <v/>
      </c>
      <c r="BA309" s="16" t="n"/>
      <c r="BB309" s="139" t="n"/>
      <c r="BC309" s="16" t="n"/>
      <c r="BD309" s="139" t="n"/>
      <c r="BE309" s="16">
        <f>(BA309+BC309)</f>
        <v/>
      </c>
    </row>
    <row r="310" ht="22.5" customFormat="1" customHeight="1" s="8">
      <c r="A310" s="9" t="n"/>
      <c r="B310" s="136" t="inlineStr">
        <is>
          <t>ABS 난연</t>
        </is>
      </c>
      <c r="C310" s="137" t="inlineStr">
        <is>
          <t>ADX4000W</t>
        </is>
      </c>
      <c r="D310" s="82" t="inlineStr">
        <is>
          <t>NAVI BUTTON 스프레이 X (가운데)</t>
        </is>
      </c>
      <c r="E310" s="13" t="inlineStr">
        <is>
          <t>ABS 난연 화이트</t>
        </is>
      </c>
      <c r="F310" s="100" t="n"/>
      <c r="G310" s="9" t="n"/>
      <c r="H310" s="9" t="inlineStr">
        <is>
          <t>천우</t>
        </is>
      </c>
      <c r="I310" s="14" t="n"/>
      <c r="J310" s="14" t="n"/>
      <c r="K310" s="12" t="n">
        <v>1556</v>
      </c>
      <c r="L310" s="9" t="n"/>
      <c r="M310" s="9" t="n"/>
      <c r="N310" s="9" t="n"/>
      <c r="O310" s="40">
        <f>K310+V310-AE310-AZ310</f>
        <v/>
      </c>
      <c r="P310" s="12" t="n"/>
      <c r="Q310" s="138" t="n"/>
      <c r="R310" s="16" t="n"/>
      <c r="S310" s="139" t="n"/>
      <c r="T310" s="16" t="n"/>
      <c r="U310" s="139" t="n"/>
      <c r="V310" s="16">
        <f>P310+R310+T310</f>
        <v/>
      </c>
      <c r="W310" s="16" t="n"/>
      <c r="X310" s="139" t="n"/>
      <c r="Y310" s="16" t="n"/>
      <c r="Z310" s="139" t="n"/>
      <c r="AA310" s="16" t="n"/>
      <c r="AB310" s="139" t="n"/>
      <c r="AC310" s="16" t="n"/>
      <c r="AD310" s="139" t="n"/>
      <c r="AE310" s="16">
        <f>(W310+Y310+AA310+AC310)</f>
        <v/>
      </c>
      <c r="AF310" s="16" t="n"/>
      <c r="AG310" s="138" t="n"/>
      <c r="AH310" s="16" t="n"/>
      <c r="AI310" s="138" t="n"/>
      <c r="AJ310" s="16" t="n"/>
      <c r="AK310" s="138" t="n"/>
      <c r="AL310" s="16" t="n"/>
      <c r="AM310" s="138" t="n"/>
      <c r="AN310" s="16" t="n"/>
      <c r="AO310" s="138" t="n"/>
      <c r="AP310" s="16" t="n"/>
      <c r="AQ310" s="138" t="n"/>
      <c r="AR310" s="16" t="n"/>
      <c r="AS310" s="138" t="n"/>
      <c r="AT310" s="16" t="n"/>
      <c r="AU310" s="138" t="n"/>
      <c r="AV310" s="16" t="n"/>
      <c r="AW310" s="138" t="n"/>
      <c r="AX310" s="16" t="n"/>
      <c r="AY310" s="138" t="n"/>
      <c r="AZ310" s="16">
        <f>AF310+AH310+AJ310+AL310+AN310+AP310+AR310+AT310+AV310+AX310</f>
        <v/>
      </c>
      <c r="BA310" s="16" t="n"/>
      <c r="BB310" s="139" t="n"/>
      <c r="BC310" s="16" t="n"/>
      <c r="BD310" s="139" t="n"/>
      <c r="BE310" s="16">
        <f>(BA310+BC310)</f>
        <v/>
      </c>
    </row>
    <row r="311" ht="22.5" customFormat="1" customHeight="1" s="8">
      <c r="A311" s="9" t="n"/>
      <c r="B311" s="136" t="inlineStr">
        <is>
          <t>ABS 난연</t>
        </is>
      </c>
      <c r="C311" s="137" t="inlineStr">
        <is>
          <t>ADX4000W</t>
        </is>
      </c>
      <c r="D311" s="82" t="inlineStr">
        <is>
          <t>NAVI KEY (방향)</t>
        </is>
      </c>
      <c r="E311" s="13" t="inlineStr">
        <is>
          <t>ABS 난연 화이트 + 밝은 회색</t>
        </is>
      </c>
      <c r="F311" s="100" t="n"/>
      <c r="G311" s="9" t="n"/>
      <c r="H311" s="9" t="inlineStr">
        <is>
          <t>천우</t>
        </is>
      </c>
      <c r="I311" s="14" t="n"/>
      <c r="J311" s="14" t="n"/>
      <c r="K311" s="12" t="n">
        <v>375</v>
      </c>
      <c r="L311" s="9" t="n"/>
      <c r="M311" s="9" t="n"/>
      <c r="N311" s="9" t="n"/>
      <c r="O311" s="40">
        <f>K311+V311-AE311-AZ311</f>
        <v/>
      </c>
      <c r="P311" s="12" t="n"/>
      <c r="Q311" s="138" t="n"/>
      <c r="R311" s="16" t="n"/>
      <c r="S311" s="139" t="n"/>
      <c r="T311" s="16" t="n"/>
      <c r="U311" s="139" t="n"/>
      <c r="V311" s="16">
        <f>P311+R311+T311</f>
        <v/>
      </c>
      <c r="W311" s="16" t="n"/>
      <c r="X311" s="139" t="n"/>
      <c r="Y311" s="16" t="n"/>
      <c r="Z311" s="139" t="n"/>
      <c r="AA311" s="16" t="n"/>
      <c r="AB311" s="139" t="n"/>
      <c r="AC311" s="16" t="n"/>
      <c r="AD311" s="139" t="n"/>
      <c r="AE311" s="16">
        <f>(W311+Y311+AA311+AC311)</f>
        <v/>
      </c>
      <c r="AF311" s="16" t="n"/>
      <c r="AG311" s="138" t="n"/>
      <c r="AH311" s="16" t="n"/>
      <c r="AI311" s="138" t="n"/>
      <c r="AJ311" s="16" t="n"/>
      <c r="AK311" s="138" t="n"/>
      <c r="AL311" s="16" t="n"/>
      <c r="AM311" s="138" t="n"/>
      <c r="AN311" s="16" t="n"/>
      <c r="AO311" s="138" t="n"/>
      <c r="AP311" s="16" t="n"/>
      <c r="AQ311" s="138" t="n"/>
      <c r="AR311" s="16" t="n"/>
      <c r="AS311" s="138" t="n"/>
      <c r="AT311" s="16" t="n"/>
      <c r="AU311" s="138" t="n"/>
      <c r="AV311" s="16" t="n"/>
      <c r="AW311" s="138" t="n"/>
      <c r="AX311" s="16" t="n"/>
      <c r="AY311" s="138" t="n"/>
      <c r="AZ311" s="16">
        <f>AF311+AH311+AJ311+AL311+AN311+AP311+AR311+AT311+AV311+AX311</f>
        <v/>
      </c>
      <c r="BA311" s="16" t="n"/>
      <c r="BB311" s="139" t="n"/>
      <c r="BC311" s="16" t="n"/>
      <c r="BD311" s="139" t="n"/>
      <c r="BE311" s="16">
        <f>(BA311+BC311)</f>
        <v/>
      </c>
    </row>
    <row r="312" ht="22.5" customFormat="1" customHeight="1" s="8">
      <c r="A312" s="9" t="n"/>
      <c r="B312" s="136" t="inlineStr">
        <is>
          <t>ABS 난연</t>
        </is>
      </c>
      <c r="C312" s="137" t="inlineStr">
        <is>
          <t>ADX4000W</t>
        </is>
      </c>
      <c r="D312" s="82" t="inlineStr">
        <is>
          <t>NAVI KEY 사파리 (방향)</t>
        </is>
      </c>
      <c r="E312" s="13" t="inlineStr">
        <is>
          <t>ABS 난연 반투명</t>
        </is>
      </c>
      <c r="F312" s="100" t="n"/>
      <c r="G312" s="9" t="n"/>
      <c r="H312" s="9" t="inlineStr">
        <is>
          <t>천우</t>
        </is>
      </c>
      <c r="I312" s="14" t="n"/>
      <c r="J312" s="14" t="n"/>
      <c r="K312" s="12" t="n">
        <v>78</v>
      </c>
      <c r="L312" s="9" t="n"/>
      <c r="M312" s="9" t="n"/>
      <c r="N312" s="9" t="n"/>
      <c r="O312" s="40">
        <f>K312+V312-AE312-AZ312</f>
        <v/>
      </c>
      <c r="P312" s="12" t="n"/>
      <c r="Q312" s="138" t="n"/>
      <c r="R312" s="16" t="n"/>
      <c r="S312" s="139" t="n"/>
      <c r="T312" s="16" t="n"/>
      <c r="U312" s="139" t="n"/>
      <c r="V312" s="16">
        <f>P312+R312+T312</f>
        <v/>
      </c>
      <c r="W312" s="16" t="n"/>
      <c r="X312" s="139" t="n"/>
      <c r="Y312" s="16" t="n"/>
      <c r="Z312" s="139" t="n"/>
      <c r="AA312" s="16" t="n"/>
      <c r="AB312" s="139" t="n"/>
      <c r="AC312" s="16" t="n"/>
      <c r="AD312" s="139" t="n"/>
      <c r="AE312" s="16">
        <f>(W312+Y312+AA312+AC312)</f>
        <v/>
      </c>
      <c r="AF312" s="16" t="n"/>
      <c r="AG312" s="138" t="n"/>
      <c r="AH312" s="16" t="n"/>
      <c r="AI312" s="138" t="n"/>
      <c r="AJ312" s="16" t="n"/>
      <c r="AK312" s="138" t="n"/>
      <c r="AL312" s="16" t="n"/>
      <c r="AM312" s="138" t="n"/>
      <c r="AN312" s="16" t="n"/>
      <c r="AO312" s="138" t="n"/>
      <c r="AP312" s="16" t="n"/>
      <c r="AQ312" s="138" t="n"/>
      <c r="AR312" s="16" t="n"/>
      <c r="AS312" s="138" t="n"/>
      <c r="AT312" s="16" t="n"/>
      <c r="AU312" s="138" t="n"/>
      <c r="AV312" s="16" t="n"/>
      <c r="AW312" s="138" t="n"/>
      <c r="AX312" s="16" t="n"/>
      <c r="AY312" s="138" t="n"/>
      <c r="AZ312" s="16">
        <f>AF312+AH312+AJ312+AL312+AN312+AP312+AR312+AT312+AV312+AX312</f>
        <v/>
      </c>
      <c r="BA312" s="16" t="n"/>
      <c r="BB312" s="139" t="n"/>
      <c r="BC312" s="16" t="n"/>
      <c r="BD312" s="139" t="n"/>
      <c r="BE312" s="16">
        <f>(BA312+BC312)</f>
        <v/>
      </c>
    </row>
    <row r="313" ht="22.5" customFormat="1" customHeight="1" s="8">
      <c r="A313" s="9" t="n"/>
      <c r="B313" s="136" t="inlineStr">
        <is>
          <t>ABS 난연</t>
        </is>
      </c>
      <c r="C313" s="137" t="inlineStr">
        <is>
          <t>ADX4000W</t>
        </is>
      </c>
      <c r="D313" s="82" t="inlineStr">
        <is>
          <t>NAVI KEY 스프레이 X (방향)</t>
        </is>
      </c>
      <c r="E313" s="13" t="inlineStr">
        <is>
          <t>ABS 난연 화이트</t>
        </is>
      </c>
      <c r="F313" s="100" t="n"/>
      <c r="G313" s="9" t="n"/>
      <c r="H313" s="9" t="inlineStr">
        <is>
          <t>천우</t>
        </is>
      </c>
      <c r="I313" s="14" t="n"/>
      <c r="J313" s="14" t="n"/>
      <c r="K313" s="12" t="n">
        <v>3000</v>
      </c>
      <c r="L313" s="9" t="n"/>
      <c r="M313" s="9" t="n"/>
      <c r="N313" s="9" t="n"/>
      <c r="O313" s="40">
        <f>K313+V313-AE313-AZ313</f>
        <v/>
      </c>
      <c r="P313" s="12" t="n"/>
      <c r="Q313" s="138" t="n"/>
      <c r="R313" s="16" t="n"/>
      <c r="S313" s="139" t="n"/>
      <c r="T313" s="16" t="n"/>
      <c r="U313" s="139" t="n"/>
      <c r="V313" s="16">
        <f>P313+R313+T313</f>
        <v/>
      </c>
      <c r="W313" s="16" t="n"/>
      <c r="X313" s="139" t="n"/>
      <c r="Y313" s="16" t="n"/>
      <c r="Z313" s="139" t="n"/>
      <c r="AA313" s="16" t="n"/>
      <c r="AB313" s="139" t="n"/>
      <c r="AC313" s="16" t="n"/>
      <c r="AD313" s="139" t="n"/>
      <c r="AE313" s="16">
        <f>(W313+Y313+AA313+AC313)</f>
        <v/>
      </c>
      <c r="AF313" s="16" t="n"/>
      <c r="AG313" s="138" t="n"/>
      <c r="AH313" s="16" t="n"/>
      <c r="AI313" s="138" t="n"/>
      <c r="AJ313" s="16" t="n"/>
      <c r="AK313" s="138" t="n"/>
      <c r="AL313" s="16" t="n"/>
      <c r="AM313" s="138" t="n"/>
      <c r="AN313" s="16" t="n"/>
      <c r="AO313" s="138" t="n"/>
      <c r="AP313" s="16" t="n"/>
      <c r="AQ313" s="138" t="n"/>
      <c r="AR313" s="16" t="n"/>
      <c r="AS313" s="138" t="n"/>
      <c r="AT313" s="16" t="n"/>
      <c r="AU313" s="138" t="n"/>
      <c r="AV313" s="16" t="n"/>
      <c r="AW313" s="138" t="n"/>
      <c r="AX313" s="16" t="n"/>
      <c r="AY313" s="138" t="n"/>
      <c r="AZ313" s="16">
        <f>AF313+AH313+AJ313+AL313+AN313+AP313+AR313+AT313+AV313+AX313</f>
        <v/>
      </c>
      <c r="BA313" s="16" t="n"/>
      <c r="BB313" s="139" t="n"/>
      <c r="BC313" s="16" t="n"/>
      <c r="BD313" s="139" t="n"/>
      <c r="BE313" s="16">
        <f>(BA313+BC313)</f>
        <v/>
      </c>
    </row>
    <row r="314" ht="22.5" customFormat="1" customHeight="1" s="8">
      <c r="A314" s="9" t="n"/>
      <c r="B314" s="136" t="inlineStr">
        <is>
          <t>ABS 난연</t>
        </is>
      </c>
      <c r="C314" s="137" t="inlineStr">
        <is>
          <t>ADX4000W</t>
        </is>
      </c>
      <c r="D314" s="65" t="inlineStr">
        <is>
          <t>FRONT CONE 일체형</t>
        </is>
      </c>
      <c r="E314" s="13" t="inlineStr">
        <is>
          <t>ABS 난연 화이트 + 진한 회색</t>
        </is>
      </c>
      <c r="F314" s="100" t="n"/>
      <c r="G314" s="9" t="n"/>
      <c r="H314" s="9" t="inlineStr">
        <is>
          <t>천우</t>
        </is>
      </c>
      <c r="I314" s="14" t="n"/>
      <c r="J314" s="14" t="n"/>
      <c r="K314" s="12" t="n">
        <v>70</v>
      </c>
      <c r="L314" s="9" t="n"/>
      <c r="M314" s="9" t="n"/>
      <c r="N314" s="9" t="n"/>
      <c r="O314" s="40">
        <f>K314+V314-AE314-AZ314</f>
        <v/>
      </c>
      <c r="P314" s="12" t="n"/>
      <c r="Q314" s="138" t="n"/>
      <c r="R314" s="16" t="n"/>
      <c r="S314" s="139" t="n"/>
      <c r="T314" s="16" t="n"/>
      <c r="U314" s="139" t="n"/>
      <c r="V314" s="16">
        <f>P314+R314+T314</f>
        <v/>
      </c>
      <c r="W314" s="16" t="n"/>
      <c r="X314" s="139" t="n"/>
      <c r="Y314" s="16" t="n"/>
      <c r="Z314" s="139" t="n"/>
      <c r="AA314" s="16" t="n"/>
      <c r="AB314" s="139" t="n"/>
      <c r="AC314" s="16" t="n"/>
      <c r="AD314" s="139" t="n"/>
      <c r="AE314" s="16">
        <f>(W314+Y314+AA314+AC314)</f>
        <v/>
      </c>
      <c r="AF314" s="16" t="n"/>
      <c r="AG314" s="138" t="n"/>
      <c r="AH314" s="16" t="n"/>
      <c r="AI314" s="138" t="n"/>
      <c r="AJ314" s="16" t="n"/>
      <c r="AK314" s="138" t="n"/>
      <c r="AL314" s="16" t="n"/>
      <c r="AM314" s="138" t="n"/>
      <c r="AN314" s="16" t="n"/>
      <c r="AO314" s="138" t="n"/>
      <c r="AP314" s="16" t="n"/>
      <c r="AQ314" s="138" t="n"/>
      <c r="AR314" s="16" t="n"/>
      <c r="AS314" s="138" t="n"/>
      <c r="AT314" s="16" t="n"/>
      <c r="AU314" s="138" t="n"/>
      <c r="AV314" s="16" t="n"/>
      <c r="AW314" s="138" t="n"/>
      <c r="AX314" s="16" t="n"/>
      <c r="AY314" s="138" t="n"/>
      <c r="AZ314" s="16">
        <f>AF314+AH314+AJ314+AL314+AN314+AP314+AR314+AT314+AV314+AX314</f>
        <v/>
      </c>
      <c r="BA314" s="16" t="n"/>
      <c r="BB314" s="139" t="n"/>
      <c r="BC314" s="16" t="n"/>
      <c r="BD314" s="139" t="n"/>
      <c r="BE314" s="16">
        <f>(BA314+BC314)</f>
        <v/>
      </c>
    </row>
    <row r="315" ht="22.5" customFormat="1" customHeight="1" s="8">
      <c r="A315" s="9" t="n"/>
      <c r="B315" s="136" t="inlineStr">
        <is>
          <t>ABS 난연</t>
        </is>
      </c>
      <c r="C315" s="137" t="inlineStr">
        <is>
          <t>ADX4000W</t>
        </is>
      </c>
      <c r="D315" s="65" t="inlineStr">
        <is>
          <t>FRONT CONE 일체형 스프레이 X</t>
        </is>
      </c>
      <c r="E315" s="13" t="inlineStr">
        <is>
          <t>ABS 난연 화이트</t>
        </is>
      </c>
      <c r="F315" s="100" t="n"/>
      <c r="G315" s="9" t="n"/>
      <c r="H315" s="9" t="inlineStr">
        <is>
          <t>천우</t>
        </is>
      </c>
      <c r="I315" s="14" t="n"/>
      <c r="J315" s="14" t="n"/>
      <c r="K315" s="12" t="n">
        <v>110</v>
      </c>
      <c r="L315" s="9" t="n"/>
      <c r="M315" s="9" t="n"/>
      <c r="N315" s="9" t="n"/>
      <c r="O315" s="40">
        <f>K315+V315-AE315-AZ315</f>
        <v/>
      </c>
      <c r="P315" s="12" t="n"/>
      <c r="Q315" s="138" t="n"/>
      <c r="R315" s="16" t="n"/>
      <c r="S315" s="139" t="n"/>
      <c r="T315" s="16" t="n"/>
      <c r="U315" s="139" t="n"/>
      <c r="V315" s="16">
        <f>P315+R315+T315</f>
        <v/>
      </c>
      <c r="W315" s="16" t="n"/>
      <c r="X315" s="139" t="n"/>
      <c r="Y315" s="16" t="n"/>
      <c r="Z315" s="139" t="n"/>
      <c r="AA315" s="16" t="n"/>
      <c r="AB315" s="139" t="n"/>
      <c r="AC315" s="16" t="n"/>
      <c r="AD315" s="139" t="n"/>
      <c r="AE315" s="16">
        <f>(W315+Y315+AA315+AC315)</f>
        <v/>
      </c>
      <c r="AF315" s="16" t="n"/>
      <c r="AG315" s="138" t="n"/>
      <c r="AH315" s="16" t="n"/>
      <c r="AI315" s="138" t="n"/>
      <c r="AJ315" s="16" t="n"/>
      <c r="AK315" s="138" t="n"/>
      <c r="AL315" s="16" t="n"/>
      <c r="AM315" s="138" t="n"/>
      <c r="AN315" s="16" t="n"/>
      <c r="AO315" s="138" t="n"/>
      <c r="AP315" s="16" t="n"/>
      <c r="AQ315" s="138" t="n"/>
      <c r="AR315" s="16" t="n"/>
      <c r="AS315" s="138" t="n"/>
      <c r="AT315" s="16" t="n"/>
      <c r="AU315" s="138" t="n"/>
      <c r="AV315" s="16" t="n"/>
      <c r="AW315" s="138" t="n"/>
      <c r="AX315" s="16" t="n"/>
      <c r="AY315" s="138" t="n"/>
      <c r="AZ315" s="16" t="n"/>
      <c r="BA315" s="16" t="n"/>
      <c r="BB315" s="139" t="n"/>
      <c r="BC315" s="16" t="n"/>
      <c r="BD315" s="139" t="n"/>
      <c r="BE315" s="16" t="n"/>
    </row>
    <row r="316" ht="22.5" customFormat="1" customHeight="1" s="8">
      <c r="A316" s="9" t="n"/>
      <c r="B316" s="136" t="inlineStr">
        <is>
          <t>ABS 난연</t>
        </is>
      </c>
      <c r="C316" s="137" t="inlineStr">
        <is>
          <t>ADX4000W</t>
        </is>
      </c>
      <c r="D316" s="65" t="inlineStr">
        <is>
          <t>FRONT CONE 체결형</t>
        </is>
      </c>
      <c r="E316" s="13" t="inlineStr">
        <is>
          <t>ABS 난연 화이트 + 진한 회색</t>
        </is>
      </c>
      <c r="F316" s="100" t="n"/>
      <c r="G316" s="9" t="n"/>
      <c r="H316" s="9" t="inlineStr">
        <is>
          <t>천우</t>
        </is>
      </c>
      <c r="I316" s="14" t="n"/>
      <c r="J316" s="14" t="n"/>
      <c r="K316" s="12" t="n">
        <v>72</v>
      </c>
      <c r="L316" s="9" t="n"/>
      <c r="M316" s="9" t="n"/>
      <c r="N316" s="9" t="n"/>
      <c r="O316" s="40">
        <f>K316+V316-AE316-AZ316</f>
        <v/>
      </c>
      <c r="P316" s="12" t="n"/>
      <c r="Q316" s="138" t="n"/>
      <c r="R316" s="16" t="n"/>
      <c r="S316" s="139" t="n"/>
      <c r="T316" s="16" t="n"/>
      <c r="U316" s="139" t="n"/>
      <c r="V316" s="16">
        <f>P316+R316+T316</f>
        <v/>
      </c>
      <c r="W316" s="16" t="n"/>
      <c r="X316" s="139" t="n"/>
      <c r="Y316" s="16" t="n"/>
      <c r="Z316" s="139" t="n"/>
      <c r="AA316" s="16" t="n"/>
      <c r="AB316" s="139" t="n"/>
      <c r="AC316" s="16" t="n"/>
      <c r="AD316" s="139" t="n"/>
      <c r="AE316" s="16">
        <f>(W316+Y316+AA316+AC316)</f>
        <v/>
      </c>
      <c r="AF316" s="16" t="n"/>
      <c r="AG316" s="138" t="n"/>
      <c r="AH316" s="16" t="n"/>
      <c r="AI316" s="138" t="n"/>
      <c r="AJ316" s="16" t="n"/>
      <c r="AK316" s="138" t="n"/>
      <c r="AL316" s="16" t="n"/>
      <c r="AM316" s="138" t="n"/>
      <c r="AN316" s="16" t="n"/>
      <c r="AO316" s="138" t="n"/>
      <c r="AP316" s="16" t="n"/>
      <c r="AQ316" s="138" t="n"/>
      <c r="AR316" s="16" t="n"/>
      <c r="AS316" s="138" t="n"/>
      <c r="AT316" s="16" t="n"/>
      <c r="AU316" s="138" t="n"/>
      <c r="AV316" s="16" t="n"/>
      <c r="AW316" s="138" t="n"/>
      <c r="AX316" s="16" t="n"/>
      <c r="AY316" s="138" t="n"/>
      <c r="AZ316" s="16">
        <f>AF316+AH316+AJ316+AL316+AN316+AP316+AR316+AT316+AV316+AX316</f>
        <v/>
      </c>
      <c r="BA316" s="16" t="n"/>
      <c r="BB316" s="139" t="n"/>
      <c r="BC316" s="16" t="n"/>
      <c r="BD316" s="139" t="n"/>
      <c r="BE316" s="16">
        <f>(BA316+BC316)</f>
        <v/>
      </c>
    </row>
    <row r="317" ht="22.5" customFormat="1" customHeight="1" s="8">
      <c r="A317" s="9" t="n"/>
      <c r="B317" s="136" t="inlineStr">
        <is>
          <t>ABS 난연</t>
        </is>
      </c>
      <c r="C317" s="137" t="inlineStr">
        <is>
          <t>ADX4000W</t>
        </is>
      </c>
      <c r="D317" s="83" t="inlineStr">
        <is>
          <t>20cm CONE</t>
        </is>
      </c>
      <c r="E317" s="13" t="inlineStr">
        <is>
          <t>ABS 난연 화이트 + 진한 회색</t>
        </is>
      </c>
      <c r="F317" s="100" t="n"/>
      <c r="G317" s="9" t="n"/>
      <c r="H317" s="9" t="inlineStr">
        <is>
          <t>천우</t>
        </is>
      </c>
      <c r="I317" s="14" t="n"/>
      <c r="J317" s="14" t="n"/>
      <c r="K317" s="12" t="n">
        <v>118</v>
      </c>
      <c r="L317" s="9" t="n"/>
      <c r="M317" s="9" t="n"/>
      <c r="N317" s="9" t="n"/>
      <c r="O317" s="40">
        <f>K317+V317-AE317-AZ317</f>
        <v/>
      </c>
      <c r="P317" s="12" t="n"/>
      <c r="Q317" s="138" t="n"/>
      <c r="R317" s="16" t="n"/>
      <c r="S317" s="139" t="n"/>
      <c r="T317" s="16" t="n"/>
      <c r="U317" s="139" t="n"/>
      <c r="V317" s="16">
        <f>P317+R317+T317</f>
        <v/>
      </c>
      <c r="W317" s="16" t="n"/>
      <c r="X317" s="139" t="n"/>
      <c r="Y317" s="16" t="n"/>
      <c r="Z317" s="139" t="n"/>
      <c r="AA317" s="16" t="n"/>
      <c r="AB317" s="139" t="n"/>
      <c r="AC317" s="16" t="n"/>
      <c r="AD317" s="139" t="n"/>
      <c r="AE317" s="16">
        <f>(W317+Y317+AA317+AC317)</f>
        <v/>
      </c>
      <c r="AF317" s="16" t="n"/>
      <c r="AG317" s="138" t="n"/>
      <c r="AH317" s="16" t="n"/>
      <c r="AI317" s="138" t="n"/>
      <c r="AJ317" s="16" t="n"/>
      <c r="AK317" s="138" t="n"/>
      <c r="AL317" s="16" t="n"/>
      <c r="AM317" s="138" t="n"/>
      <c r="AN317" s="16" t="n"/>
      <c r="AO317" s="138" t="n"/>
      <c r="AP317" s="16" t="n"/>
      <c r="AQ317" s="138" t="n"/>
      <c r="AR317" s="16" t="n"/>
      <c r="AS317" s="138" t="n"/>
      <c r="AT317" s="16" t="n"/>
      <c r="AU317" s="138" t="n"/>
      <c r="AV317" s="16" t="n"/>
      <c r="AW317" s="138" t="n"/>
      <c r="AX317" s="16" t="n"/>
      <c r="AY317" s="138" t="n"/>
      <c r="AZ317" s="16">
        <f>AF317+AH317+AJ317+AL317+AN317+AP317+AR317+AT317+AV317+AX317</f>
        <v/>
      </c>
      <c r="BA317" s="16" t="n"/>
      <c r="BB317" s="139" t="n"/>
      <c r="BC317" s="16" t="n"/>
      <c r="BD317" s="139" t="n"/>
      <c r="BE317" s="16">
        <f>(BA317+BC317)</f>
        <v/>
      </c>
    </row>
    <row r="318" ht="22.5" customFormat="1" customHeight="1" s="8">
      <c r="A318" s="9" t="n"/>
      <c r="B318" s="136" t="inlineStr">
        <is>
          <t>ABS 난연</t>
        </is>
      </c>
      <c r="C318" s="137" t="inlineStr">
        <is>
          <t>ADX4000W</t>
        </is>
      </c>
      <c r="D318" s="83" t="inlineStr">
        <is>
          <t>20cm CONE + 납 차폐</t>
        </is>
      </c>
      <c r="E318" s="13" t="inlineStr">
        <is>
          <t>ABS 난연 화이트 + 진한 회색</t>
        </is>
      </c>
      <c r="F318" s="9" t="n"/>
      <c r="G318" s="9" t="n"/>
      <c r="H318" s="9" t="inlineStr">
        <is>
          <t>천우</t>
        </is>
      </c>
      <c r="I318" s="14" t="n"/>
      <c r="J318" s="14" t="n"/>
      <c r="K318" s="12" t="n">
        <v>16</v>
      </c>
      <c r="L318" s="9" t="n"/>
      <c r="M318" s="9" t="n"/>
      <c r="N318" s="9" t="n"/>
      <c r="O318" s="40">
        <f>K318+V318-AE318-AZ318</f>
        <v/>
      </c>
      <c r="P318" s="16" t="n">
        <v>0</v>
      </c>
      <c r="Q318" s="16" t="n">
        <v>0</v>
      </c>
      <c r="R318" s="16" t="n"/>
      <c r="S318" s="139" t="n"/>
      <c r="T318" s="16" t="n"/>
      <c r="U318" s="139" t="n"/>
      <c r="V318" s="16">
        <f>P318+R318+T318</f>
        <v/>
      </c>
      <c r="W318" s="16" t="n"/>
      <c r="X318" s="139" t="n"/>
      <c r="Y318" s="16" t="n"/>
      <c r="Z318" s="139" t="n"/>
      <c r="AA318" s="16" t="n"/>
      <c r="AB318" s="139" t="n"/>
      <c r="AC318" s="16" t="n"/>
      <c r="AD318" s="139" t="n"/>
      <c r="AE318" s="16">
        <f>(W318+Y318+AA318+AC318)</f>
        <v/>
      </c>
      <c r="AF318" s="16" t="n"/>
      <c r="AG318" s="138" t="n"/>
      <c r="AH318" s="16" t="n"/>
      <c r="AI318" s="138" t="n"/>
      <c r="AJ318" s="16" t="n"/>
      <c r="AK318" s="138" t="n"/>
      <c r="AL318" s="16" t="n"/>
      <c r="AM318" s="138" t="n"/>
      <c r="AN318" s="16" t="n"/>
      <c r="AO318" s="138" t="n"/>
      <c r="AP318" s="16" t="n"/>
      <c r="AQ318" s="138" t="n"/>
      <c r="AR318" s="16" t="n"/>
      <c r="AS318" s="138" t="n"/>
      <c r="AT318" s="16" t="n"/>
      <c r="AU318" s="138" t="n"/>
      <c r="AV318" s="16" t="n"/>
      <c r="AW318" s="138" t="n"/>
      <c r="AX318" s="16" t="n"/>
      <c r="AY318" s="138" t="n"/>
      <c r="AZ318" s="16" t="n"/>
      <c r="BA318" s="16" t="n"/>
      <c r="BB318" s="139" t="n"/>
      <c r="BC318" s="16" t="n"/>
      <c r="BD318" s="139" t="n"/>
      <c r="BE318" s="16" t="n"/>
    </row>
    <row r="319" ht="22.5" customFormat="1" customHeight="1" s="8">
      <c r="A319" s="9" t="n"/>
      <c r="B319" s="136" t="inlineStr">
        <is>
          <t>ABS 난연</t>
        </is>
      </c>
      <c r="C319" s="137" t="inlineStr">
        <is>
          <t>ADX4000W</t>
        </is>
      </c>
      <c r="D319" s="83" t="inlineStr">
        <is>
          <t>15cm CONE</t>
        </is>
      </c>
      <c r="E319" s="13" t="inlineStr">
        <is>
          <t>ABS 난연 화이트 + 진한 회색</t>
        </is>
      </c>
      <c r="F319" s="100" t="n"/>
      <c r="G319" s="9" t="n"/>
      <c r="H319" s="9" t="inlineStr">
        <is>
          <t>천우</t>
        </is>
      </c>
      <c r="I319" s="14" t="n"/>
      <c r="J319" s="14" t="n"/>
      <c r="K319" s="12" t="n">
        <v>50</v>
      </c>
      <c r="L319" s="9" t="n"/>
      <c r="M319" s="9" t="n"/>
      <c r="N319" s="9" t="n"/>
      <c r="O319" s="40">
        <f>K319+V319-AE319-AZ319</f>
        <v/>
      </c>
      <c r="P319" s="12" t="n"/>
      <c r="Q319" s="138" t="n"/>
      <c r="R319" s="16" t="n"/>
      <c r="S319" s="139" t="n"/>
      <c r="T319" s="16" t="n"/>
      <c r="U319" s="139" t="n"/>
      <c r="V319" s="16">
        <f>P319+R319+T319</f>
        <v/>
      </c>
      <c r="W319" s="16" t="n"/>
      <c r="X319" s="139" t="n"/>
      <c r="Y319" s="16" t="n"/>
      <c r="Z319" s="139" t="n"/>
      <c r="AA319" s="16" t="n"/>
      <c r="AB319" s="139" t="n"/>
      <c r="AC319" s="16" t="n"/>
      <c r="AD319" s="139" t="n"/>
      <c r="AE319" s="16">
        <f>(W319+Y319+AA319+AC319)</f>
        <v/>
      </c>
      <c r="AF319" s="16" t="n"/>
      <c r="AG319" s="138" t="n"/>
      <c r="AH319" s="16" t="n"/>
      <c r="AI319" s="138" t="n"/>
      <c r="AJ319" s="16" t="n"/>
      <c r="AK319" s="138" t="n"/>
      <c r="AL319" s="16" t="n"/>
      <c r="AM319" s="138" t="n"/>
      <c r="AN319" s="16" t="n"/>
      <c r="AO319" s="138" t="n"/>
      <c r="AP319" s="16" t="n"/>
      <c r="AQ319" s="138" t="n"/>
      <c r="AR319" s="16" t="n"/>
      <c r="AS319" s="138" t="n"/>
      <c r="AT319" s="16" t="n"/>
      <c r="AU319" s="138" t="n"/>
      <c r="AV319" s="16" t="n"/>
      <c r="AW319" s="138" t="n"/>
      <c r="AX319" s="16" t="n"/>
      <c r="AY319" s="138" t="n"/>
      <c r="AZ319" s="16">
        <f>AF319+AH319+AJ319+AL319+AN319+AP319+AR319+AT319+AV319+AX319</f>
        <v/>
      </c>
      <c r="BA319" s="16" t="n"/>
      <c r="BB319" s="139" t="n"/>
      <c r="BC319" s="16" t="n"/>
      <c r="BD319" s="139" t="n"/>
      <c r="BE319" s="16">
        <f>(BA319+BC319)</f>
        <v/>
      </c>
    </row>
    <row r="320" ht="22.5" customFormat="1" customHeight="1" s="8">
      <c r="A320" s="9" t="n"/>
      <c r="B320" s="136" t="inlineStr">
        <is>
          <t>AL</t>
        </is>
      </c>
      <c r="C320" s="137" t="inlineStr">
        <is>
          <t>ADX4000W</t>
        </is>
      </c>
      <c r="D320" s="84" t="inlineStr">
        <is>
          <t>히팅 싱크 구형 (일본 사용)</t>
        </is>
      </c>
      <c r="E320" s="13" t="n"/>
      <c r="F320" s="100" t="n"/>
      <c r="G320" s="9" t="n"/>
      <c r="H320" s="9" t="inlineStr">
        <is>
          <t>다우정밀</t>
        </is>
      </c>
      <c r="I320" s="14" t="n"/>
      <c r="J320" s="14" t="n"/>
      <c r="K320" s="12" t="n">
        <v>2</v>
      </c>
      <c r="L320" s="9" t="n"/>
      <c r="M320" s="9" t="n"/>
      <c r="N320" s="9" t="n"/>
      <c r="O320" s="40">
        <f>K320+V320-AE320-AZ320</f>
        <v/>
      </c>
      <c r="P320" s="12" t="n"/>
      <c r="Q320" s="138" t="n"/>
      <c r="R320" s="16" t="n"/>
      <c r="S320" s="139" t="n"/>
      <c r="T320" s="16" t="n"/>
      <c r="U320" s="139" t="n"/>
      <c r="V320" s="16">
        <f>P320+R320+T320</f>
        <v/>
      </c>
      <c r="W320" s="16" t="n"/>
      <c r="X320" s="139" t="n"/>
      <c r="Y320" s="16" t="n"/>
      <c r="Z320" s="139" t="n"/>
      <c r="AA320" s="16" t="n"/>
      <c r="AB320" s="139" t="n"/>
      <c r="AC320" s="16" t="n"/>
      <c r="AD320" s="139" t="n"/>
      <c r="AE320" s="16">
        <f>(W320+Y320+AA320+AC320)</f>
        <v/>
      </c>
      <c r="AF320" s="16" t="n"/>
      <c r="AG320" s="138" t="n"/>
      <c r="AH320" s="16" t="n"/>
      <c r="AI320" s="138" t="n"/>
      <c r="AJ320" s="16" t="n"/>
      <c r="AK320" s="138" t="n"/>
      <c r="AL320" s="16" t="n"/>
      <c r="AM320" s="138" t="n"/>
      <c r="AN320" s="16" t="n"/>
      <c r="AO320" s="138" t="n"/>
      <c r="AP320" s="16" t="n"/>
      <c r="AQ320" s="138" t="n"/>
      <c r="AR320" s="16" t="n"/>
      <c r="AS320" s="138" t="n"/>
      <c r="AT320" s="16" t="n"/>
      <c r="AU320" s="138" t="n"/>
      <c r="AV320" s="16" t="n"/>
      <c r="AW320" s="138" t="n"/>
      <c r="AX320" s="16" t="n"/>
      <c r="AY320" s="138" t="n"/>
      <c r="AZ320" s="16">
        <f>AF320+AH320+AJ320+AL320+AN320+AP320+AR320+AT320+AV320+AX320</f>
        <v/>
      </c>
      <c r="BA320" s="16" t="n"/>
      <c r="BB320" s="139" t="n"/>
      <c r="BC320" s="16" t="n"/>
      <c r="BD320" s="139" t="n"/>
      <c r="BE320" s="16">
        <f>(BA320+BC320)</f>
        <v/>
      </c>
    </row>
    <row r="321" ht="22.5" customFormat="1" customHeight="1" s="8">
      <c r="A321" s="9" t="n"/>
      <c r="B321" s="136" t="inlineStr">
        <is>
          <t>AL</t>
        </is>
      </c>
      <c r="C321" s="137" t="inlineStr">
        <is>
          <t>ADX4000W</t>
        </is>
      </c>
      <c r="D321" s="84" t="inlineStr">
        <is>
          <t>히팅 싱크 신형</t>
        </is>
      </c>
      <c r="E321" s="13" t="n"/>
      <c r="F321" s="100" t="n"/>
      <c r="G321" s="9" t="n"/>
      <c r="H321" s="9" t="inlineStr">
        <is>
          <t>다우정밀</t>
        </is>
      </c>
      <c r="I321" s="14" t="n"/>
      <c r="J321" s="14" t="n"/>
      <c r="K321" s="12" t="n">
        <v>0</v>
      </c>
      <c r="L321" s="9" t="n"/>
      <c r="M321" s="9" t="n"/>
      <c r="N321" s="9" t="n"/>
      <c r="O321" s="40">
        <f>K321+V321-AE321-AZ321</f>
        <v/>
      </c>
      <c r="P321" s="12" t="n"/>
      <c r="Q321" s="138" t="n"/>
      <c r="R321" s="16" t="n"/>
      <c r="S321" s="139" t="n"/>
      <c r="T321" s="16" t="n"/>
      <c r="U321" s="139" t="n"/>
      <c r="V321" s="16">
        <f>P321+R321+T321</f>
        <v/>
      </c>
      <c r="W321" s="16" t="n"/>
      <c r="X321" s="139" t="n"/>
      <c r="Y321" s="16" t="n"/>
      <c r="Z321" s="139" t="n"/>
      <c r="AA321" s="16" t="n"/>
      <c r="AB321" s="139" t="n"/>
      <c r="AC321" s="16" t="n"/>
      <c r="AD321" s="139" t="n"/>
      <c r="AE321" s="16">
        <f>(W321+Y321+AA321+AC321)</f>
        <v/>
      </c>
      <c r="AF321" s="16" t="n"/>
      <c r="AG321" s="138" t="n"/>
      <c r="AH321" s="16" t="n"/>
      <c r="AI321" s="138" t="n"/>
      <c r="AJ321" s="16" t="n"/>
      <c r="AK321" s="138" t="n"/>
      <c r="AL321" s="16" t="n"/>
      <c r="AM321" s="138" t="n"/>
      <c r="AN321" s="16" t="n"/>
      <c r="AO321" s="138" t="n"/>
      <c r="AP321" s="16" t="n"/>
      <c r="AQ321" s="138" t="n"/>
      <c r="AR321" s="16" t="n"/>
      <c r="AS321" s="138" t="n"/>
      <c r="AT321" s="16" t="n"/>
      <c r="AU321" s="138" t="n"/>
      <c r="AV321" s="16" t="n"/>
      <c r="AW321" s="138" t="n"/>
      <c r="AX321" s="16" t="n"/>
      <c r="AY321" s="138" t="n"/>
      <c r="AZ321" s="16">
        <f>AF321+AH321+AJ321+AL321+AN321+AP321+AR321+AT321+AV321+AX321</f>
        <v/>
      </c>
      <c r="BA321" s="16" t="n"/>
      <c r="BB321" s="139" t="n"/>
      <c r="BC321" s="16" t="n"/>
      <c r="BD321" s="139" t="n"/>
      <c r="BE321" s="16">
        <f>(BA321+BC321)</f>
        <v/>
      </c>
    </row>
    <row r="322" ht="22.5" customFormat="1" customHeight="1" s="8">
      <c r="A322" s="9" t="n"/>
      <c r="B322" s="136" t="inlineStr">
        <is>
          <t>쿨링팬</t>
        </is>
      </c>
      <c r="C322" s="137" t="inlineStr">
        <is>
          <t>ADX4000W</t>
        </is>
      </c>
      <c r="D322" s="84" t="inlineStr">
        <is>
          <t>방열 팬 구형 (일본 사용)</t>
        </is>
      </c>
      <c r="E322" s="13" t="inlineStr">
        <is>
          <t>1204KL-01W-B10 5V 0.1A</t>
        </is>
      </c>
      <c r="F322" s="100" t="n"/>
      <c r="G322" s="9" t="n"/>
      <c r="H322" s="9" t="inlineStr">
        <is>
          <t>직구</t>
        </is>
      </c>
      <c r="I322" s="14" t="n"/>
      <c r="J322" s="14" t="n"/>
      <c r="K322" s="12" t="n">
        <v>0</v>
      </c>
      <c r="L322" s="9" t="n"/>
      <c r="M322" s="9" t="n"/>
      <c r="N322" s="9" t="n"/>
      <c r="O322" s="40">
        <f>K322+V322-AE322-AZ322</f>
        <v/>
      </c>
      <c r="P322" s="12" t="n"/>
      <c r="Q322" s="138" t="n"/>
      <c r="R322" s="16" t="n"/>
      <c r="S322" s="139" t="n"/>
      <c r="T322" s="16" t="n"/>
      <c r="U322" s="139" t="n"/>
      <c r="V322" s="16">
        <f>P322+R322+T322</f>
        <v/>
      </c>
      <c r="W322" s="16" t="n"/>
      <c r="X322" s="139" t="n"/>
      <c r="Y322" s="16" t="n"/>
      <c r="Z322" s="139" t="n"/>
      <c r="AA322" s="16" t="n"/>
      <c r="AB322" s="139" t="n"/>
      <c r="AC322" s="16" t="n"/>
      <c r="AD322" s="139" t="n"/>
      <c r="AE322" s="16">
        <f>(W322+Y322+AA322+AC322)</f>
        <v/>
      </c>
      <c r="AF322" s="16" t="n"/>
      <c r="AG322" s="138" t="n"/>
      <c r="AH322" s="16" t="n"/>
      <c r="AI322" s="138" t="n"/>
      <c r="AJ322" s="16" t="n"/>
      <c r="AK322" s="138" t="n"/>
      <c r="AL322" s="16" t="n"/>
      <c r="AM322" s="138" t="n"/>
      <c r="AN322" s="16" t="n"/>
      <c r="AO322" s="138" t="n"/>
      <c r="AP322" s="16" t="n"/>
      <c r="AQ322" s="138" t="n"/>
      <c r="AR322" s="16" t="n"/>
      <c r="AS322" s="138" t="n"/>
      <c r="AT322" s="16" t="n"/>
      <c r="AU322" s="138" t="n"/>
      <c r="AV322" s="16" t="n"/>
      <c r="AW322" s="138" t="n"/>
      <c r="AX322" s="16" t="n"/>
      <c r="AY322" s="138" t="n"/>
      <c r="AZ322" s="16">
        <f>AF322+AH322+AJ322+AL322+AN322+AP322+AR322+AT322+AV322+AX322</f>
        <v/>
      </c>
      <c r="BA322" s="16" t="n"/>
      <c r="BB322" s="139" t="n"/>
      <c r="BC322" s="16" t="n"/>
      <c r="BD322" s="139" t="n"/>
      <c r="BE322" s="16">
        <f>(BA322+BC322)</f>
        <v/>
      </c>
    </row>
    <row r="323" ht="22.5" customFormat="1" customHeight="1" s="8">
      <c r="A323" s="9" t="n"/>
      <c r="B323" s="136" t="inlineStr">
        <is>
          <t>쿨링팬</t>
        </is>
      </c>
      <c r="C323" s="137" t="inlineStr">
        <is>
          <t>ADX4000W</t>
        </is>
      </c>
      <c r="D323" s="84" t="inlineStr">
        <is>
          <t>방열 팬 신형</t>
        </is>
      </c>
      <c r="E323" s="13" t="inlineStr">
        <is>
          <t>HBD0401005SEM 5V 0.15A</t>
        </is>
      </c>
      <c r="F323" s="100" t="n"/>
      <c r="G323" s="9" t="n"/>
      <c r="H323" s="9" t="inlineStr">
        <is>
          <t>직구</t>
        </is>
      </c>
      <c r="I323" s="14" t="n"/>
      <c r="J323" s="14" t="n"/>
      <c r="K323" s="12" t="n">
        <v>273</v>
      </c>
      <c r="L323" s="9" t="n"/>
      <c r="M323" s="9" t="n"/>
      <c r="N323" s="9" t="n"/>
      <c r="O323" s="40">
        <f>K323+V323-AE323-AZ323</f>
        <v/>
      </c>
      <c r="P323" s="12" t="n"/>
      <c r="Q323" s="138" t="n"/>
      <c r="R323" s="16" t="n"/>
      <c r="S323" s="139" t="n"/>
      <c r="T323" s="16" t="n"/>
      <c r="U323" s="139" t="n"/>
      <c r="V323" s="16">
        <f>P323+R323+T323</f>
        <v/>
      </c>
      <c r="W323" s="16" t="n"/>
      <c r="X323" s="139" t="n"/>
      <c r="Y323" s="16" t="n"/>
      <c r="Z323" s="139" t="n"/>
      <c r="AA323" s="16" t="n"/>
      <c r="AB323" s="139" t="n"/>
      <c r="AC323" s="16" t="n"/>
      <c r="AD323" s="139" t="n"/>
      <c r="AE323" s="16">
        <f>(W323+Y323+AA323+AC323)</f>
        <v/>
      </c>
      <c r="AF323" s="16" t="n"/>
      <c r="AG323" s="138" t="n"/>
      <c r="AH323" s="16" t="n"/>
      <c r="AI323" s="138" t="n"/>
      <c r="AJ323" s="16" t="n"/>
      <c r="AK323" s="138" t="n"/>
      <c r="AL323" s="16" t="n"/>
      <c r="AM323" s="138" t="n"/>
      <c r="AN323" s="16" t="n"/>
      <c r="AO323" s="138" t="n"/>
      <c r="AP323" s="16" t="n"/>
      <c r="AQ323" s="138" t="n"/>
      <c r="AR323" s="16" t="n"/>
      <c r="AS323" s="138" t="n"/>
      <c r="AT323" s="16" t="n"/>
      <c r="AU323" s="138" t="n"/>
      <c r="AV323" s="16" t="n"/>
      <c r="AW323" s="138" t="n"/>
      <c r="AX323" s="16" t="n"/>
      <c r="AY323" s="138" t="n"/>
      <c r="AZ323" s="16">
        <f>AF323+AH323+AJ323+AL323+AN323+AP323+AR323+AT323+AV323+AX323</f>
        <v/>
      </c>
      <c r="BA323" s="16" t="n"/>
      <c r="BB323" s="139" t="n"/>
      <c r="BC323" s="16" t="n"/>
      <c r="BD323" s="139" t="n"/>
      <c r="BE323" s="16">
        <f>(BA323+BC323)</f>
        <v/>
      </c>
    </row>
    <row r="324" ht="22.5" customFormat="1" customHeight="1" s="8">
      <c r="A324" s="9" t="n"/>
      <c r="B324" s="136" t="inlineStr">
        <is>
          <t>써멀패드</t>
        </is>
      </c>
      <c r="C324" s="137" t="inlineStr">
        <is>
          <t>ADX4000W</t>
        </is>
      </c>
      <c r="D324" s="84" t="inlineStr">
        <is>
          <t>히팅 패드</t>
        </is>
      </c>
      <c r="E324" s="13" t="n"/>
      <c r="F324" s="100" t="n"/>
      <c r="G324" s="9" t="n"/>
      <c r="H324" s="9" t="inlineStr">
        <is>
          <t>직구</t>
        </is>
      </c>
      <c r="I324" s="14" t="n"/>
      <c r="J324" s="14" t="n"/>
      <c r="K324" s="12" t="n">
        <v>71</v>
      </c>
      <c r="L324" s="9" t="n"/>
      <c r="M324" s="9" t="n"/>
      <c r="N324" s="9" t="n"/>
      <c r="O324" s="40">
        <f>K324+V324-AE324-AZ324</f>
        <v/>
      </c>
      <c r="P324" s="12" t="n"/>
      <c r="Q324" s="138" t="n"/>
      <c r="R324" s="16" t="n"/>
      <c r="S324" s="139" t="n"/>
      <c r="T324" s="16" t="n"/>
      <c r="U324" s="139" t="n"/>
      <c r="V324" s="16">
        <f>P324+R324+T324</f>
        <v/>
      </c>
      <c r="W324" s="16" t="n"/>
      <c r="X324" s="139" t="n"/>
      <c r="Y324" s="16" t="n"/>
      <c r="Z324" s="139" t="n"/>
      <c r="AA324" s="16" t="n"/>
      <c r="AB324" s="139" t="n"/>
      <c r="AC324" s="16" t="n"/>
      <c r="AD324" s="139" t="n"/>
      <c r="AE324" s="16">
        <f>(W324+Y324+AA324+AC324)</f>
        <v/>
      </c>
      <c r="AF324" s="16" t="n"/>
      <c r="AG324" s="138" t="n"/>
      <c r="AH324" s="16" t="n"/>
      <c r="AI324" s="138" t="n"/>
      <c r="AJ324" s="16" t="n"/>
      <c r="AK324" s="138" t="n"/>
      <c r="AL324" s="16" t="n"/>
      <c r="AM324" s="138" t="n"/>
      <c r="AN324" s="16" t="n"/>
      <c r="AO324" s="138" t="n"/>
      <c r="AP324" s="16" t="n"/>
      <c r="AQ324" s="138" t="n"/>
      <c r="AR324" s="16" t="n"/>
      <c r="AS324" s="138" t="n"/>
      <c r="AT324" s="16" t="n"/>
      <c r="AU324" s="138" t="n"/>
      <c r="AV324" s="16" t="n"/>
      <c r="AW324" s="138" t="n"/>
      <c r="AX324" s="16" t="n"/>
      <c r="AY324" s="138" t="n"/>
      <c r="AZ324" s="16">
        <f>AF324+AH324+AJ324+AL324+AN324+AP324+AR324+AT324+AV324+AX324</f>
        <v/>
      </c>
      <c r="BA324" s="16" t="n"/>
      <c r="BB324" s="139" t="n"/>
      <c r="BC324" s="16" t="n"/>
      <c r="BD324" s="139" t="n"/>
      <c r="BE324" s="16">
        <f>(BA324+BC324)</f>
        <v/>
      </c>
    </row>
    <row r="325" ht="22.5" customFormat="1" customHeight="1" s="8">
      <c r="A325" s="9" t="n"/>
      <c r="B325" s="136" t="inlineStr">
        <is>
          <t>혼합</t>
        </is>
      </c>
      <c r="C325" s="137" t="inlineStr">
        <is>
          <t>ADX4000W</t>
        </is>
      </c>
      <c r="D325" s="84" t="inlineStr">
        <is>
          <t>히팅 패드+방열팬 구형</t>
        </is>
      </c>
      <c r="E325" s="13" t="n"/>
      <c r="F325" s="100" t="n"/>
      <c r="G325" s="9" t="n"/>
      <c r="H325" s="9" t="n"/>
      <c r="I325" s="14" t="n"/>
      <c r="J325" s="14" t="n"/>
      <c r="K325" s="12" t="n">
        <v>53</v>
      </c>
      <c r="L325" s="9" t="n"/>
      <c r="M325" s="9" t="n"/>
      <c r="N325" s="9" t="n"/>
      <c r="O325" s="40">
        <f>K325+V325-AE325-AZ325</f>
        <v/>
      </c>
      <c r="P325" s="12" t="n"/>
      <c r="Q325" s="138" t="n"/>
      <c r="R325" s="16" t="n"/>
      <c r="S325" s="139" t="n"/>
      <c r="T325" s="16" t="n"/>
      <c r="U325" s="139" t="n"/>
      <c r="V325" s="16">
        <f>P325+R325+T325</f>
        <v/>
      </c>
      <c r="W325" s="16" t="n"/>
      <c r="X325" s="139" t="n"/>
      <c r="Y325" s="16" t="n"/>
      <c r="Z325" s="139" t="n"/>
      <c r="AA325" s="16" t="n"/>
      <c r="AB325" s="139" t="n"/>
      <c r="AC325" s="16" t="n"/>
      <c r="AD325" s="139" t="n"/>
      <c r="AE325" s="16">
        <f>(W325+Y325+AA325+AC325)</f>
        <v/>
      </c>
      <c r="AF325" s="16" t="n"/>
      <c r="AG325" s="138" t="n"/>
      <c r="AH325" s="16" t="n"/>
      <c r="AI325" s="138" t="n"/>
      <c r="AJ325" s="16" t="n"/>
      <c r="AK325" s="138" t="n"/>
      <c r="AL325" s="16" t="n"/>
      <c r="AM325" s="138" t="n"/>
      <c r="AN325" s="16" t="n"/>
      <c r="AO325" s="138" t="n"/>
      <c r="AP325" s="16" t="n"/>
      <c r="AQ325" s="138" t="n"/>
      <c r="AR325" s="16" t="n"/>
      <c r="AS325" s="138" t="n"/>
      <c r="AT325" s="16" t="n"/>
      <c r="AU325" s="138" t="n"/>
      <c r="AV325" s="16" t="n"/>
      <c r="AW325" s="138" t="n"/>
      <c r="AX325" s="16" t="n"/>
      <c r="AY325" s="138" t="n"/>
      <c r="AZ325" s="16" t="n"/>
      <c r="BA325" s="16" t="n"/>
      <c r="BB325" s="139" t="n"/>
      <c r="BC325" s="16" t="n"/>
      <c r="BD325" s="139" t="n"/>
      <c r="BE325" s="16" t="n"/>
    </row>
    <row r="326" ht="22.5" customFormat="1" customHeight="1" s="8">
      <c r="A326" s="9" t="n"/>
      <c r="B326" s="136" t="inlineStr">
        <is>
          <t>혼합</t>
        </is>
      </c>
      <c r="C326" s="137" t="inlineStr">
        <is>
          <t>ADX4000W</t>
        </is>
      </c>
      <c r="D326" s="84" t="inlineStr">
        <is>
          <t>히팅 패드+방열팬 구형</t>
        </is>
      </c>
      <c r="E326" s="13" t="n"/>
      <c r="F326" s="100" t="n"/>
      <c r="G326" s="9" t="n"/>
      <c r="H326" s="9" t="n"/>
      <c r="I326" s="14" t="n"/>
      <c r="J326" s="14" t="n"/>
      <c r="K326" s="12" t="n">
        <v>125</v>
      </c>
      <c r="L326" s="9" t="n"/>
      <c r="M326" s="9" t="n"/>
      <c r="N326" s="9" t="n"/>
      <c r="O326" s="40">
        <f>K326+V326-AE326-AZ326</f>
        <v/>
      </c>
      <c r="P326" s="12" t="n"/>
      <c r="Q326" s="138" t="n"/>
      <c r="R326" s="16" t="n"/>
      <c r="S326" s="139" t="n"/>
      <c r="T326" s="16" t="n"/>
      <c r="U326" s="139" t="n"/>
      <c r="V326" s="16">
        <f>P326+R326+T326</f>
        <v/>
      </c>
      <c r="W326" s="16" t="n"/>
      <c r="X326" s="139" t="n"/>
      <c r="Y326" s="16" t="n"/>
      <c r="Z326" s="139" t="n"/>
      <c r="AA326" s="16" t="n"/>
      <c r="AB326" s="139" t="n"/>
      <c r="AC326" s="16" t="n"/>
      <c r="AD326" s="139" t="n"/>
      <c r="AE326" s="16">
        <f>(W326+Y326+AA326+AC326)</f>
        <v/>
      </c>
      <c r="AF326" s="16" t="n"/>
      <c r="AG326" s="138" t="n"/>
      <c r="AH326" s="16" t="n"/>
      <c r="AI326" s="138" t="n"/>
      <c r="AJ326" s="16" t="n"/>
      <c r="AK326" s="138" t="n"/>
      <c r="AL326" s="16" t="n"/>
      <c r="AM326" s="138" t="n"/>
      <c r="AN326" s="16" t="n"/>
      <c r="AO326" s="138" t="n"/>
      <c r="AP326" s="16" t="n"/>
      <c r="AQ326" s="138" t="n"/>
      <c r="AR326" s="16" t="n"/>
      <c r="AS326" s="138" t="n"/>
      <c r="AT326" s="16" t="n"/>
      <c r="AU326" s="138" t="n"/>
      <c r="AV326" s="16" t="n"/>
      <c r="AW326" s="138" t="n"/>
      <c r="AX326" s="16" t="n"/>
      <c r="AY326" s="138" t="n"/>
      <c r="AZ326" s="16" t="n"/>
      <c r="BA326" s="16" t="n"/>
      <c r="BB326" s="139" t="n"/>
      <c r="BC326" s="16" t="n"/>
      <c r="BD326" s="139" t="n"/>
      <c r="BE326" s="16" t="n"/>
    </row>
    <row r="327" ht="22.5" customFormat="1" customHeight="1" s="8">
      <c r="A327" s="9" t="n"/>
      <c r="B327" s="136" t="inlineStr">
        <is>
          <t>페라이트</t>
        </is>
      </c>
      <c r="C327" s="137" t="inlineStr">
        <is>
          <t>ADX4000W</t>
        </is>
      </c>
      <c r="D327" s="84" t="inlineStr">
        <is>
          <t>큰 페라이트</t>
        </is>
      </c>
      <c r="E327" s="13" t="inlineStr">
        <is>
          <t>ZCAT-1730-0730</t>
        </is>
      </c>
      <c r="F327" s="100" t="n"/>
      <c r="G327" s="9" t="n"/>
      <c r="H327" s="9" t="inlineStr">
        <is>
          <t>HLP</t>
        </is>
      </c>
      <c r="I327" s="14" t="n"/>
      <c r="J327" s="14" t="n"/>
      <c r="K327" s="12" t="n">
        <v>259</v>
      </c>
      <c r="L327" s="9" t="n"/>
      <c r="M327" s="9" t="n"/>
      <c r="N327" s="9" t="n"/>
      <c r="O327" s="40">
        <f>K327+V327-AE327-AZ327</f>
        <v/>
      </c>
      <c r="P327" s="12" t="n"/>
      <c r="Q327" s="138" t="n"/>
      <c r="R327" s="16" t="n"/>
      <c r="S327" s="139" t="n"/>
      <c r="T327" s="16" t="n"/>
      <c r="U327" s="139" t="n"/>
      <c r="V327" s="16">
        <f>P327+R327+T327</f>
        <v/>
      </c>
      <c r="W327" s="16" t="n"/>
      <c r="X327" s="139" t="n"/>
      <c r="Y327" s="16" t="n"/>
      <c r="Z327" s="139" t="n"/>
      <c r="AA327" s="16" t="n"/>
      <c r="AB327" s="139" t="n"/>
      <c r="AC327" s="16" t="n"/>
      <c r="AD327" s="139" t="n"/>
      <c r="AE327" s="16">
        <f>(W327+Y327+AA327+AC327)</f>
        <v/>
      </c>
      <c r="AF327" s="16" t="n"/>
      <c r="AG327" s="138" t="n"/>
      <c r="AH327" s="16" t="n"/>
      <c r="AI327" s="138" t="n"/>
      <c r="AJ327" s="16" t="n"/>
      <c r="AK327" s="138" t="n"/>
      <c r="AL327" s="16" t="n"/>
      <c r="AM327" s="138" t="n"/>
      <c r="AN327" s="16" t="n"/>
      <c r="AO327" s="138" t="n"/>
      <c r="AP327" s="16" t="n"/>
      <c r="AQ327" s="138" t="n"/>
      <c r="AR327" s="16" t="n"/>
      <c r="AS327" s="138" t="n"/>
      <c r="AT327" s="16" t="n"/>
      <c r="AU327" s="138" t="n"/>
      <c r="AV327" s="16" t="n"/>
      <c r="AW327" s="138" t="n"/>
      <c r="AX327" s="16" t="n"/>
      <c r="AY327" s="138" t="n"/>
      <c r="AZ327" s="16">
        <f>AF327+AH327+AJ327+AL327+AN327+AP327+AR327+AT327+AV327+AX327</f>
        <v/>
      </c>
      <c r="BA327" s="16" t="n"/>
      <c r="BB327" s="139" t="n"/>
      <c r="BC327" s="16" t="n"/>
      <c r="BD327" s="139" t="n"/>
      <c r="BE327" s="16">
        <f>(BA327+BC327)</f>
        <v/>
      </c>
    </row>
    <row r="328" ht="22.5" customFormat="1" customHeight="1" s="8">
      <c r="A328" s="9" t="n"/>
      <c r="B328" s="136" t="inlineStr">
        <is>
          <t>페라이트</t>
        </is>
      </c>
      <c r="C328" s="137" t="inlineStr">
        <is>
          <t>ADX4000W</t>
        </is>
      </c>
      <c r="D328" s="84" t="inlineStr">
        <is>
          <t>작은 페라이트</t>
        </is>
      </c>
      <c r="E328" s="13" t="inlineStr">
        <is>
          <t>ZCAT-1325-0530</t>
        </is>
      </c>
      <c r="F328" s="100" t="n"/>
      <c r="G328" s="9" t="n"/>
      <c r="H328" s="9" t="inlineStr">
        <is>
          <t>HLP</t>
        </is>
      </c>
      <c r="I328" s="14" t="n"/>
      <c r="J328" s="14" t="n"/>
      <c r="K328" s="12" t="n">
        <v>349</v>
      </c>
      <c r="L328" s="9" t="n"/>
      <c r="M328" s="9" t="n"/>
      <c r="N328" s="9" t="n"/>
      <c r="O328" s="40">
        <f>K328+V328-AE328-AZ328</f>
        <v/>
      </c>
      <c r="P328" s="12" t="n"/>
      <c r="Q328" s="138" t="n"/>
      <c r="R328" s="16" t="n"/>
      <c r="S328" s="139" t="n"/>
      <c r="T328" s="16" t="n"/>
      <c r="U328" s="139" t="n"/>
      <c r="V328" s="16">
        <f>P328+R328+T328</f>
        <v/>
      </c>
      <c r="W328" s="16" t="n"/>
      <c r="X328" s="139" t="n"/>
      <c r="Y328" s="16" t="n"/>
      <c r="Z328" s="139" t="n"/>
      <c r="AA328" s="16" t="n"/>
      <c r="AB328" s="139" t="n"/>
      <c r="AC328" s="16" t="n"/>
      <c r="AD328" s="139" t="n"/>
      <c r="AE328" s="16">
        <f>(W328+Y328+AA328+AC328)</f>
        <v/>
      </c>
      <c r="AF328" s="16" t="n"/>
      <c r="AG328" s="138" t="n"/>
      <c r="AH328" s="16" t="n"/>
      <c r="AI328" s="138" t="n"/>
      <c r="AJ328" s="16" t="n"/>
      <c r="AK328" s="138" t="n"/>
      <c r="AL328" s="16" t="n"/>
      <c r="AM328" s="138" t="n"/>
      <c r="AN328" s="16" t="n"/>
      <c r="AO328" s="138" t="n"/>
      <c r="AP328" s="16" t="n"/>
      <c r="AQ328" s="138" t="n"/>
      <c r="AR328" s="16" t="n"/>
      <c r="AS328" s="138" t="n"/>
      <c r="AT328" s="16" t="n"/>
      <c r="AU328" s="138" t="n"/>
      <c r="AV328" s="16" t="n"/>
      <c r="AW328" s="138" t="n"/>
      <c r="AX328" s="16" t="n"/>
      <c r="AY328" s="138" t="n"/>
      <c r="AZ328" s="16">
        <f>AF328+AH328+AJ328+AL328+AN328+AP328+AR328+AT328+AV328+AX328</f>
        <v/>
      </c>
      <c r="BA328" s="16" t="n"/>
      <c r="BB328" s="139" t="n"/>
      <c r="BC328" s="16" t="n"/>
      <c r="BD328" s="139" t="n"/>
      <c r="BE328" s="16">
        <f>(BA328+BC328)</f>
        <v/>
      </c>
    </row>
    <row r="329" ht="22.5" customFormat="1" customHeight="1" s="8">
      <c r="A329" s="9" t="n"/>
      <c r="B329" s="136" t="inlineStr">
        <is>
          <t>동글</t>
        </is>
      </c>
      <c r="C329" s="137" t="inlineStr">
        <is>
          <t>ADX4000W</t>
        </is>
      </c>
      <c r="D329" s="84" t="inlineStr">
        <is>
          <t>TP-LINK (WAN1000M)-동글</t>
        </is>
      </c>
      <c r="E329" s="13" t="n"/>
      <c r="F329" s="100" t="n"/>
      <c r="G329" s="9" t="n"/>
      <c r="H329" s="9" t="inlineStr">
        <is>
          <t>직구</t>
        </is>
      </c>
      <c r="I329" s="14" t="n"/>
      <c r="J329" s="14" t="n"/>
      <c r="K329" s="12" t="n">
        <v>70</v>
      </c>
      <c r="L329" s="9" t="n"/>
      <c r="M329" s="9" t="n"/>
      <c r="N329" s="9" t="n"/>
      <c r="O329" s="40">
        <f>K329+V329-AE329-AZ329</f>
        <v/>
      </c>
      <c r="P329" s="12" t="n"/>
      <c r="Q329" s="138" t="n"/>
      <c r="R329" s="16" t="n"/>
      <c r="S329" s="139" t="n"/>
      <c r="T329" s="16" t="n"/>
      <c r="U329" s="139" t="n"/>
      <c r="V329" s="16">
        <f>P329+R329+T329</f>
        <v/>
      </c>
      <c r="W329" s="16" t="n"/>
      <c r="X329" s="139" t="n"/>
      <c r="Y329" s="16" t="n"/>
      <c r="Z329" s="139" t="n"/>
      <c r="AA329" s="16" t="n"/>
      <c r="AB329" s="139" t="n"/>
      <c r="AC329" s="16" t="n"/>
      <c r="AD329" s="139" t="n"/>
      <c r="AE329" s="16">
        <f>(W329+Y329+AA329+AC329)</f>
        <v/>
      </c>
      <c r="AF329" s="16" t="n"/>
      <c r="AG329" s="138" t="n"/>
      <c r="AH329" s="16" t="n"/>
      <c r="AI329" s="138" t="n"/>
      <c r="AJ329" s="16" t="n"/>
      <c r="AK329" s="138" t="n"/>
      <c r="AL329" s="16" t="n"/>
      <c r="AM329" s="138" t="n"/>
      <c r="AN329" s="16" t="n"/>
      <c r="AO329" s="138" t="n"/>
      <c r="AP329" s="16" t="n"/>
      <c r="AQ329" s="138" t="n"/>
      <c r="AR329" s="16" t="n"/>
      <c r="AS329" s="138" t="n"/>
      <c r="AT329" s="16" t="n"/>
      <c r="AU329" s="138" t="n"/>
      <c r="AV329" s="16" t="n"/>
      <c r="AW329" s="138" t="n"/>
      <c r="AX329" s="16" t="n"/>
      <c r="AY329" s="138" t="n"/>
      <c r="AZ329" s="16">
        <f>AF329+AH329+AJ329+AL329+AN329+AP329+AR329+AT329+AV329+AX329</f>
        <v/>
      </c>
      <c r="BA329" s="16" t="n"/>
      <c r="BB329" s="139" t="n"/>
      <c r="BC329" s="16" t="n"/>
      <c r="BD329" s="139" t="n"/>
      <c r="BE329" s="16">
        <f>(BA329+BC329)</f>
        <v/>
      </c>
    </row>
    <row r="330" ht="22.5" customFormat="1" customHeight="1" s="8">
      <c r="A330" s="9" t="n"/>
      <c r="B330" s="136" t="inlineStr">
        <is>
          <t>동글</t>
        </is>
      </c>
      <c r="C330" s="137" t="inlineStr">
        <is>
          <t>ADX4000W</t>
        </is>
      </c>
      <c r="D330" s="84" t="inlineStr">
        <is>
          <t>ip TIME 무선 랜카드 [N100UM]</t>
        </is>
      </c>
      <c r="E330" s="13" t="n"/>
      <c r="F330" s="100" t="n"/>
      <c r="G330" s="9" t="n"/>
      <c r="H330" s="9" t="inlineStr">
        <is>
          <t>직구</t>
        </is>
      </c>
      <c r="I330" s="14" t="n"/>
      <c r="J330" s="14" t="n"/>
      <c r="K330" s="12" t="n">
        <v>67</v>
      </c>
      <c r="L330" s="9" t="n"/>
      <c r="M330" s="9" t="n"/>
      <c r="N330" s="9" t="n"/>
      <c r="O330" s="40">
        <f>K330+V330-AE330-AZ330</f>
        <v/>
      </c>
      <c r="P330" s="12" t="n"/>
      <c r="Q330" s="138" t="n"/>
      <c r="R330" s="16" t="n"/>
      <c r="S330" s="139" t="n"/>
      <c r="T330" s="16" t="n"/>
      <c r="U330" s="139" t="n"/>
      <c r="V330" s="16">
        <f>P330+R330+T330</f>
        <v/>
      </c>
      <c r="W330" s="16" t="n"/>
      <c r="X330" s="139" t="n"/>
      <c r="Y330" s="16" t="n"/>
      <c r="Z330" s="139" t="n"/>
      <c r="AA330" s="16" t="n"/>
      <c r="AB330" s="139" t="n"/>
      <c r="AC330" s="16" t="n"/>
      <c r="AD330" s="139" t="n"/>
      <c r="AE330" s="16">
        <f>(W330+Y330+AA330+AC330)</f>
        <v/>
      </c>
      <c r="AF330" s="16" t="n"/>
      <c r="AG330" s="138" t="n"/>
      <c r="AH330" s="16" t="n"/>
      <c r="AI330" s="138" t="n"/>
      <c r="AJ330" s="16" t="n"/>
      <c r="AK330" s="138" t="n"/>
      <c r="AL330" s="16" t="n"/>
      <c r="AM330" s="138" t="n"/>
      <c r="AN330" s="16" t="n"/>
      <c r="AO330" s="138" t="n"/>
      <c r="AP330" s="16" t="n"/>
      <c r="AQ330" s="138" t="n"/>
      <c r="AR330" s="16" t="n"/>
      <c r="AS330" s="138" t="n"/>
      <c r="AT330" s="16" t="n"/>
      <c r="AU330" s="138" t="n"/>
      <c r="AV330" s="16" t="n"/>
      <c r="AW330" s="138" t="n"/>
      <c r="AX330" s="16" t="n"/>
      <c r="AY330" s="138" t="n"/>
      <c r="AZ330" s="16">
        <f>AF330+AH330+AJ330+AL330+AN330+AP330+AR330+AT330+AV330+AX330</f>
        <v/>
      </c>
      <c r="BA330" s="16" t="n"/>
      <c r="BB330" s="139" t="n"/>
      <c r="BC330" s="16" t="n"/>
      <c r="BD330" s="139" t="n"/>
      <c r="BE330" s="16">
        <f>(BA330+BC330)</f>
        <v/>
      </c>
    </row>
    <row r="331" ht="22.5" customFormat="1" customHeight="1" s="8">
      <c r="A331" s="9" t="n"/>
      <c r="B331" s="136" t="inlineStr">
        <is>
          <t>동글</t>
        </is>
      </c>
      <c r="C331" s="137" t="inlineStr">
        <is>
          <t>ADX4000W</t>
        </is>
      </c>
      <c r="D331" s="84" t="inlineStr">
        <is>
          <t>ELECOM WIFI (10DR)</t>
        </is>
      </c>
      <c r="E331" s="13" t="inlineStr">
        <is>
          <t>WDC-150SU2M</t>
        </is>
      </c>
      <c r="F331" s="100" t="n"/>
      <c r="G331" s="9" t="n"/>
      <c r="H331" s="9" t="inlineStr">
        <is>
          <t>일본 지사</t>
        </is>
      </c>
      <c r="I331" s="14" t="n"/>
      <c r="J331" s="14" t="n"/>
      <c r="K331" s="12" t="n">
        <v>82</v>
      </c>
      <c r="L331" s="9" t="n"/>
      <c r="M331" s="9" t="n"/>
      <c r="N331" s="9" t="n"/>
      <c r="O331" s="40">
        <f>K331+V331-AE331-AZ331</f>
        <v/>
      </c>
      <c r="P331" s="12" t="n"/>
      <c r="Q331" s="138" t="n"/>
      <c r="R331" s="16" t="n"/>
      <c r="S331" s="139" t="n"/>
      <c r="T331" s="16" t="n"/>
      <c r="U331" s="139" t="n"/>
      <c r="V331" s="16">
        <f>P331+R331+T331</f>
        <v/>
      </c>
      <c r="W331" s="16" t="n"/>
      <c r="X331" s="139" t="n"/>
      <c r="Y331" s="16" t="n"/>
      <c r="Z331" s="139" t="n"/>
      <c r="AA331" s="16" t="n"/>
      <c r="AB331" s="139" t="n"/>
      <c r="AC331" s="16" t="n"/>
      <c r="AD331" s="139" t="n"/>
      <c r="AE331" s="16">
        <f>(W331+Y331+AA331+AC331)</f>
        <v/>
      </c>
      <c r="AF331" s="16" t="n"/>
      <c r="AG331" s="138" t="n"/>
      <c r="AH331" s="16" t="n"/>
      <c r="AI331" s="138" t="n"/>
      <c r="AJ331" s="16" t="n"/>
      <c r="AK331" s="138" t="n"/>
      <c r="AL331" s="16" t="n"/>
      <c r="AM331" s="138" t="n"/>
      <c r="AN331" s="16" t="n"/>
      <c r="AO331" s="138" t="n"/>
      <c r="AP331" s="16" t="n"/>
      <c r="AQ331" s="138" t="n"/>
      <c r="AR331" s="16" t="n"/>
      <c r="AS331" s="138" t="n"/>
      <c r="AT331" s="16" t="n"/>
      <c r="AU331" s="138" t="n"/>
      <c r="AV331" s="16" t="n"/>
      <c r="AW331" s="138" t="n"/>
      <c r="AX331" s="16" t="n"/>
      <c r="AY331" s="138" t="n"/>
      <c r="AZ331" s="16">
        <f>AF331+AH331+AJ331+AL331+AN331+AP331+AR331+AT331+AV331+AX331</f>
        <v/>
      </c>
      <c r="BA331" s="16" t="n"/>
      <c r="BB331" s="139" t="n"/>
      <c r="BC331" s="16" t="n"/>
      <c r="BD331" s="139" t="n"/>
      <c r="BE331" s="16">
        <f>(BA331+BC331)</f>
        <v/>
      </c>
    </row>
    <row r="332" ht="22.5" customFormat="1" customHeight="1" s="8">
      <c r="A332" s="9" t="n"/>
      <c r="B332" s="136" t="inlineStr">
        <is>
          <t>동글</t>
        </is>
      </c>
      <c r="C332" s="137" t="inlineStr">
        <is>
          <t>ADX4000W</t>
        </is>
      </c>
      <c r="D332" s="84" t="inlineStr">
        <is>
          <t>BUFFALO USB 동글 (GNM2)</t>
        </is>
      </c>
      <c r="E332" s="13" t="inlineStr">
        <is>
          <t>WIFI [WLI-UC-GNM2]</t>
        </is>
      </c>
      <c r="F332" s="100" t="n"/>
      <c r="G332" s="9" t="n"/>
      <c r="H332" s="9" t="inlineStr">
        <is>
          <t>일본 지사</t>
        </is>
      </c>
      <c r="I332" s="14" t="n"/>
      <c r="J332" s="14" t="n"/>
      <c r="K332" s="12" t="n">
        <v>3</v>
      </c>
      <c r="L332" s="9" t="n"/>
      <c r="M332" s="9" t="n"/>
      <c r="N332" s="9" t="n"/>
      <c r="O332" s="40">
        <f>K332+V332-AE332-AZ332</f>
        <v/>
      </c>
      <c r="P332" s="12" t="n"/>
      <c r="Q332" s="138" t="n"/>
      <c r="R332" s="16" t="n"/>
      <c r="S332" s="139" t="n"/>
      <c r="T332" s="16" t="n"/>
      <c r="U332" s="139" t="n"/>
      <c r="V332" s="16">
        <f>P332+R332+T332</f>
        <v/>
      </c>
      <c r="W332" s="16" t="n"/>
      <c r="X332" s="139" t="n"/>
      <c r="Y332" s="16" t="n"/>
      <c r="Z332" s="139" t="n"/>
      <c r="AA332" s="16" t="n"/>
      <c r="AB332" s="139" t="n"/>
      <c r="AC332" s="16" t="n"/>
      <c r="AD332" s="139" t="n"/>
      <c r="AE332" s="16">
        <f>(W332+Y332+AA332+AC332)</f>
        <v/>
      </c>
      <c r="AF332" s="16" t="n"/>
      <c r="AG332" s="138" t="n"/>
      <c r="AH332" s="16" t="n"/>
      <c r="AI332" s="138" t="n"/>
      <c r="AJ332" s="16" t="n"/>
      <c r="AK332" s="138" t="n"/>
      <c r="AL332" s="16" t="n"/>
      <c r="AM332" s="138" t="n"/>
      <c r="AN332" s="16" t="n"/>
      <c r="AO332" s="138" t="n"/>
      <c r="AP332" s="16" t="n"/>
      <c r="AQ332" s="138" t="n"/>
      <c r="AR332" s="16" t="n"/>
      <c r="AS332" s="138" t="n"/>
      <c r="AT332" s="16" t="n"/>
      <c r="AU332" s="138" t="n"/>
      <c r="AV332" s="16" t="n"/>
      <c r="AW332" s="138" t="n"/>
      <c r="AX332" s="16" t="n"/>
      <c r="AY332" s="138" t="n"/>
      <c r="AZ332" s="16" t="n"/>
      <c r="BA332" s="16" t="n"/>
      <c r="BB332" s="139" t="n"/>
      <c r="BC332" s="16" t="n"/>
      <c r="BD332" s="139" t="n"/>
      <c r="BE332" s="16" t="n"/>
    </row>
    <row r="333" ht="22.5" customFormat="1" customHeight="1" s="8">
      <c r="A333" s="9" t="n"/>
      <c r="B333" s="136" t="inlineStr">
        <is>
          <t>USB</t>
        </is>
      </c>
      <c r="C333" s="137" t="inlineStr">
        <is>
          <t>ADX4000W</t>
        </is>
      </c>
      <c r="D333" s="84" t="inlineStr">
        <is>
          <t>USB 메모리</t>
        </is>
      </c>
      <c r="E333" s="13" t="inlineStr">
        <is>
          <t>16GB</t>
        </is>
      </c>
      <c r="F333" s="100" t="n"/>
      <c r="G333" s="9" t="n"/>
      <c r="H333" s="9" t="inlineStr">
        <is>
          <t>직구</t>
        </is>
      </c>
      <c r="I333" s="14" t="n"/>
      <c r="J333" s="14" t="n"/>
      <c r="K333" s="12" t="n">
        <v>0</v>
      </c>
      <c r="L333" s="9" t="n"/>
      <c r="M333" s="9" t="n"/>
      <c r="N333" s="9" t="n"/>
      <c r="O333" s="40">
        <f>K333+V333-AE333-AZ333</f>
        <v/>
      </c>
      <c r="P333" s="12" t="n"/>
      <c r="Q333" s="138" t="n"/>
      <c r="R333" s="16" t="n"/>
      <c r="S333" s="139" t="n"/>
      <c r="T333" s="16" t="n"/>
      <c r="U333" s="139" t="n"/>
      <c r="V333" s="16">
        <f>P333+R333+T333</f>
        <v/>
      </c>
      <c r="W333" s="16" t="n"/>
      <c r="X333" s="139" t="n"/>
      <c r="Y333" s="16" t="n"/>
      <c r="Z333" s="139" t="n"/>
      <c r="AA333" s="16" t="n"/>
      <c r="AB333" s="139" t="n"/>
      <c r="AC333" s="16" t="n"/>
      <c r="AD333" s="139" t="n"/>
      <c r="AE333" s="16">
        <f>(W333+Y333+AA333+AC333)</f>
        <v/>
      </c>
      <c r="AF333" s="16" t="n"/>
      <c r="AG333" s="138" t="n"/>
      <c r="AH333" s="16" t="n"/>
      <c r="AI333" s="138" t="n"/>
      <c r="AJ333" s="16" t="n"/>
      <c r="AK333" s="138" t="n"/>
      <c r="AL333" s="16" t="n"/>
      <c r="AM333" s="138" t="n"/>
      <c r="AN333" s="16" t="n"/>
      <c r="AO333" s="138" t="n"/>
      <c r="AP333" s="16" t="n"/>
      <c r="AQ333" s="138" t="n"/>
      <c r="AR333" s="16" t="n"/>
      <c r="AS333" s="138" t="n"/>
      <c r="AT333" s="16" t="n"/>
      <c r="AU333" s="138" t="n"/>
      <c r="AV333" s="16" t="n"/>
      <c r="AW333" s="138" t="n"/>
      <c r="AX333" s="16" t="n"/>
      <c r="AY333" s="138" t="n"/>
      <c r="AZ333" s="16">
        <f>AF333+AH333+AJ333+AL333+AN333+AP333+AR333+AT333+AV333+AX333</f>
        <v/>
      </c>
      <c r="BA333" s="16" t="n"/>
      <c r="BB333" s="139" t="n"/>
      <c r="BC333" s="16" t="n"/>
      <c r="BD333" s="139" t="n"/>
      <c r="BE333" s="16">
        <f>(BA333+BC333)</f>
        <v/>
      </c>
    </row>
    <row r="334" ht="22.5" customFormat="1" customHeight="1" s="8">
      <c r="A334" s="9" t="n"/>
      <c r="B334" s="136" t="inlineStr">
        <is>
          <t>클립</t>
        </is>
      </c>
      <c r="C334" s="137" t="inlineStr">
        <is>
          <t>ADX4000W</t>
        </is>
      </c>
      <c r="D334" s="84" t="inlineStr">
        <is>
          <t>Q 클립</t>
        </is>
      </c>
      <c r="E334" s="13" t="n"/>
      <c r="F334" s="100" t="n"/>
      <c r="G334" s="9" t="n"/>
      <c r="H334" s="9" t="inlineStr">
        <is>
          <t>직구</t>
        </is>
      </c>
      <c r="I334" s="14" t="n"/>
      <c r="J334" s="14" t="n"/>
      <c r="K334" s="12" t="n"/>
      <c r="L334" s="9" t="n"/>
      <c r="M334" s="9" t="n"/>
      <c r="N334" s="9" t="n"/>
      <c r="O334" s="40">
        <f>K334+V334-AE334-AZ334</f>
        <v/>
      </c>
      <c r="P334" s="12" t="n"/>
      <c r="Q334" s="138" t="n"/>
      <c r="R334" s="16" t="n"/>
      <c r="S334" s="139" t="n"/>
      <c r="T334" s="16" t="n"/>
      <c r="U334" s="139" t="n"/>
      <c r="V334" s="16">
        <f>P334+R334+T334</f>
        <v/>
      </c>
      <c r="W334" s="16" t="n"/>
      <c r="X334" s="139" t="n"/>
      <c r="Y334" s="16" t="n"/>
      <c r="Z334" s="139" t="n"/>
      <c r="AA334" s="16" t="n"/>
      <c r="AB334" s="139" t="n"/>
      <c r="AC334" s="16" t="n"/>
      <c r="AD334" s="139" t="n"/>
      <c r="AE334" s="16">
        <f>(W334+Y334+AA334+AC334)</f>
        <v/>
      </c>
      <c r="AF334" s="16" t="n"/>
      <c r="AG334" s="138" t="n"/>
      <c r="AH334" s="16" t="n"/>
      <c r="AI334" s="138" t="n"/>
      <c r="AJ334" s="16" t="n"/>
      <c r="AK334" s="138" t="n"/>
      <c r="AL334" s="16" t="n"/>
      <c r="AM334" s="138" t="n"/>
      <c r="AN334" s="16" t="n"/>
      <c r="AO334" s="138" t="n"/>
      <c r="AP334" s="16" t="n"/>
      <c r="AQ334" s="138" t="n"/>
      <c r="AR334" s="16" t="n"/>
      <c r="AS334" s="138" t="n"/>
      <c r="AT334" s="16" t="n"/>
      <c r="AU334" s="138" t="n"/>
      <c r="AV334" s="16" t="n"/>
      <c r="AW334" s="138" t="n"/>
      <c r="AX334" s="16" t="n"/>
      <c r="AY334" s="138" t="n"/>
      <c r="AZ334" s="16">
        <f>AF334+AH334+AJ334+AL334+AN334+AP334+AR334+AT334+AV334+AX334</f>
        <v/>
      </c>
      <c r="BA334" s="16" t="n"/>
      <c r="BB334" s="139" t="n"/>
      <c r="BC334" s="16" t="n"/>
      <c r="BD334" s="139" t="n"/>
      <c r="BE334" s="16">
        <f>(BA334+BC334)</f>
        <v/>
      </c>
    </row>
    <row r="335" ht="22.5" customFormat="1" customHeight="1" s="8">
      <c r="A335" s="9" t="n"/>
      <c r="B335" s="136" t="inlineStr">
        <is>
          <t>클립</t>
        </is>
      </c>
      <c r="C335" s="137" t="inlineStr">
        <is>
          <t>ADX4000W</t>
        </is>
      </c>
      <c r="D335" s="84" t="inlineStr">
        <is>
          <t>L 클립</t>
        </is>
      </c>
      <c r="E335" s="13" t="n"/>
      <c r="F335" s="100" t="n"/>
      <c r="G335" s="9" t="n"/>
      <c r="H335" s="9" t="inlineStr">
        <is>
          <t>직구</t>
        </is>
      </c>
      <c r="I335" s="14" t="n"/>
      <c r="J335" s="14" t="n"/>
      <c r="K335" s="12" t="n"/>
      <c r="L335" s="9" t="n"/>
      <c r="M335" s="9" t="n"/>
      <c r="N335" s="9" t="n"/>
      <c r="O335" s="40">
        <f>K335+V335-AE335-AZ335</f>
        <v/>
      </c>
      <c r="P335" s="12" t="n"/>
      <c r="Q335" s="138" t="n"/>
      <c r="R335" s="16" t="n"/>
      <c r="S335" s="139" t="n"/>
      <c r="T335" s="16" t="n"/>
      <c r="U335" s="139" t="n"/>
      <c r="V335" s="16">
        <f>P335+R335+T335</f>
        <v/>
      </c>
      <c r="W335" s="16" t="n"/>
      <c r="X335" s="139" t="n"/>
      <c r="Y335" s="16" t="n"/>
      <c r="Z335" s="139" t="n"/>
      <c r="AA335" s="16" t="n"/>
      <c r="AB335" s="139" t="n"/>
      <c r="AC335" s="16" t="n"/>
      <c r="AD335" s="139" t="n"/>
      <c r="AE335" s="16">
        <f>(W335+Y335+AA335+AC335)</f>
        <v/>
      </c>
      <c r="AF335" s="16" t="n"/>
      <c r="AG335" s="138" t="n"/>
      <c r="AH335" s="16" t="n"/>
      <c r="AI335" s="138" t="n"/>
      <c r="AJ335" s="16" t="n"/>
      <c r="AK335" s="138" t="n"/>
      <c r="AL335" s="16" t="n"/>
      <c r="AM335" s="138" t="n"/>
      <c r="AN335" s="16" t="n"/>
      <c r="AO335" s="138" t="n"/>
      <c r="AP335" s="16" t="n"/>
      <c r="AQ335" s="138" t="n"/>
      <c r="AR335" s="16" t="n"/>
      <c r="AS335" s="138" t="n"/>
      <c r="AT335" s="16" t="n"/>
      <c r="AU335" s="138" t="n"/>
      <c r="AV335" s="16" t="n"/>
      <c r="AW335" s="138" t="n"/>
      <c r="AX335" s="16" t="n"/>
      <c r="AY335" s="138" t="n"/>
      <c r="AZ335" s="16">
        <f>AF335+AH335+AJ335+AL335+AN335+AP335+AR335+AT335+AV335+AX335</f>
        <v/>
      </c>
      <c r="BA335" s="16" t="n"/>
      <c r="BB335" s="139" t="n"/>
      <c r="BC335" s="16" t="n"/>
      <c r="BD335" s="139" t="n"/>
      <c r="BE335" s="16">
        <f>(BA335+BC335)</f>
        <v/>
      </c>
    </row>
    <row r="336" ht="22.5" customFormat="1" customHeight="1" s="8">
      <c r="A336" s="9" t="n"/>
      <c r="B336" s="136" t="inlineStr">
        <is>
          <t>실리콘</t>
        </is>
      </c>
      <c r="C336" s="137" t="inlineStr">
        <is>
          <t>ADX4000W</t>
        </is>
      </c>
      <c r="D336" s="84" t="inlineStr">
        <is>
          <t>HAND GUIDE</t>
        </is>
      </c>
      <c r="E336" s="13" t="inlineStr">
        <is>
          <t>ABS 난연 화이트</t>
        </is>
      </c>
      <c r="F336" s="100" t="n"/>
      <c r="G336" s="9" t="n"/>
      <c r="H336" s="9" t="inlineStr">
        <is>
          <t>천우</t>
        </is>
      </c>
      <c r="I336" s="14" t="n"/>
      <c r="J336" s="14" t="n"/>
      <c r="K336" s="12" t="n">
        <v>410</v>
      </c>
      <c r="L336" s="9" t="n"/>
      <c r="M336" s="9" t="n"/>
      <c r="N336" s="9" t="n"/>
      <c r="O336" s="40">
        <f>K336+V336-AE336-AZ336</f>
        <v/>
      </c>
      <c r="P336" s="12" t="n"/>
      <c r="Q336" s="138" t="n"/>
      <c r="R336" s="16" t="n"/>
      <c r="S336" s="139" t="n"/>
      <c r="T336" s="16" t="n"/>
      <c r="U336" s="139" t="n"/>
      <c r="V336" s="16">
        <f>P336+R336+T336</f>
        <v/>
      </c>
      <c r="W336" s="16" t="n"/>
      <c r="X336" s="139" t="n"/>
      <c r="Y336" s="16" t="n"/>
      <c r="Z336" s="139" t="n"/>
      <c r="AA336" s="16" t="n"/>
      <c r="AB336" s="139" t="n"/>
      <c r="AC336" s="16" t="n"/>
      <c r="AD336" s="139" t="n"/>
      <c r="AE336" s="16">
        <f>(W336+Y336+AA336+AC336)</f>
        <v/>
      </c>
      <c r="AF336" s="16" t="n"/>
      <c r="AG336" s="138" t="n"/>
      <c r="AH336" s="16" t="n"/>
      <c r="AI336" s="138" t="n"/>
      <c r="AJ336" s="16" t="n"/>
      <c r="AK336" s="138" t="n"/>
      <c r="AL336" s="16" t="n"/>
      <c r="AM336" s="138" t="n"/>
      <c r="AN336" s="16" t="n"/>
      <c r="AO336" s="138" t="n"/>
      <c r="AP336" s="16" t="n"/>
      <c r="AQ336" s="138" t="n"/>
      <c r="AR336" s="16" t="n"/>
      <c r="AS336" s="138" t="n"/>
      <c r="AT336" s="16" t="n"/>
      <c r="AU336" s="138" t="n"/>
      <c r="AV336" s="16" t="n"/>
      <c r="AW336" s="138" t="n"/>
      <c r="AX336" s="16" t="n"/>
      <c r="AY336" s="138" t="n"/>
      <c r="AZ336" s="16">
        <f>AF336+AH336+AJ336+AL336+AN336+AP336+AR336+AT336+AV336+AX336</f>
        <v/>
      </c>
      <c r="BA336" s="16" t="n"/>
      <c r="BB336" s="139" t="n"/>
      <c r="BC336" s="16" t="n"/>
      <c r="BD336" s="139" t="n"/>
      <c r="BE336" s="16">
        <f>(BA336+BC336)</f>
        <v/>
      </c>
    </row>
    <row r="337" ht="22.5" customFormat="1" customHeight="1" s="8">
      <c r="A337" s="9" t="n"/>
      <c r="B337" s="136" t="inlineStr">
        <is>
          <t>인조가죽</t>
        </is>
      </c>
      <c r="C337" s="137" t="inlineStr">
        <is>
          <t>ADX4000W</t>
        </is>
      </c>
      <c r="D337" s="84" t="inlineStr">
        <is>
          <t>HAND STRAP -손잡이(터치펜)(유럽용)</t>
        </is>
      </c>
      <c r="E337" s="13" t="inlineStr">
        <is>
          <t>인조 가죽, AL(Cr도금), SUS Φ2.0</t>
        </is>
      </c>
      <c r="F337" s="100" t="n"/>
      <c r="G337" s="9" t="n"/>
      <c r="H337" s="9" t="inlineStr">
        <is>
          <t>굿모닝코리아유통</t>
        </is>
      </c>
      <c r="I337" s="14" t="n"/>
      <c r="J337" s="14" t="n"/>
      <c r="K337" s="12" t="n">
        <v>9</v>
      </c>
      <c r="L337" s="9" t="n"/>
      <c r="M337" s="9" t="n"/>
      <c r="N337" s="9" t="n"/>
      <c r="O337" s="40">
        <f>K337+V337-AE337-AZ337</f>
        <v/>
      </c>
      <c r="P337" s="12" t="n"/>
      <c r="Q337" s="138" t="n"/>
      <c r="R337" s="16" t="n"/>
      <c r="S337" s="139" t="n"/>
      <c r="T337" s="16" t="n"/>
      <c r="U337" s="139" t="n"/>
      <c r="V337" s="16">
        <f>P337+R337+T337</f>
        <v/>
      </c>
      <c r="W337" s="16" t="n"/>
      <c r="X337" s="139" t="n"/>
      <c r="Y337" s="16" t="n"/>
      <c r="Z337" s="139" t="n"/>
      <c r="AA337" s="16" t="n"/>
      <c r="AB337" s="139" t="n"/>
      <c r="AC337" s="16" t="n"/>
      <c r="AD337" s="139" t="n"/>
      <c r="AE337" s="16">
        <f>(W337+Y337+AA337+AC337)</f>
        <v/>
      </c>
      <c r="AF337" s="16" t="n"/>
      <c r="AG337" s="138" t="n"/>
      <c r="AH337" s="16" t="n"/>
      <c r="AI337" s="138" t="n"/>
      <c r="AJ337" s="16" t="n"/>
      <c r="AK337" s="138" t="n"/>
      <c r="AL337" s="16" t="n"/>
      <c r="AM337" s="138" t="n"/>
      <c r="AN337" s="16" t="n"/>
      <c r="AO337" s="138" t="n"/>
      <c r="AP337" s="16" t="n"/>
      <c r="AQ337" s="138" t="n"/>
      <c r="AR337" s="16" t="n"/>
      <c r="AS337" s="138" t="n"/>
      <c r="AT337" s="16" t="n"/>
      <c r="AU337" s="138" t="n"/>
      <c r="AV337" s="16" t="n"/>
      <c r="AW337" s="138" t="n"/>
      <c r="AX337" s="16" t="n"/>
      <c r="AY337" s="138" t="n"/>
      <c r="AZ337" s="16">
        <f>AF337+AH337+AJ337+AL337+AN337+AP337+AR337+AT337+AV337+AX337</f>
        <v/>
      </c>
      <c r="BA337" s="16" t="n"/>
      <c r="BB337" s="139" t="n"/>
      <c r="BC337" s="16" t="n"/>
      <c r="BD337" s="139" t="n"/>
      <c r="BE337" s="16">
        <f>(BA337+BC337)</f>
        <v/>
      </c>
    </row>
    <row r="338" ht="22.5" customFormat="1" customHeight="1" s="8">
      <c r="A338" s="9" t="n"/>
      <c r="B338" s="136" t="inlineStr">
        <is>
          <t>인조가죽</t>
        </is>
      </c>
      <c r="C338" s="137" t="inlineStr">
        <is>
          <t>ADX4000W</t>
        </is>
      </c>
      <c r="D338" s="84" t="inlineStr">
        <is>
          <t>HAND STRAP -손잡이(터치펜)(일본용)</t>
        </is>
      </c>
      <c r="E338" s="13" t="inlineStr">
        <is>
          <t>인조 가죽, AL(Cr도금), SUS Φ2.0</t>
        </is>
      </c>
      <c r="F338" s="100" t="n"/>
      <c r="G338" s="9" t="n"/>
      <c r="H338" s="9" t="inlineStr">
        <is>
          <t>굿모닝코리아유통</t>
        </is>
      </c>
      <c r="I338" s="14" t="n"/>
      <c r="J338" s="14" t="n"/>
      <c r="K338" s="12" t="n">
        <v>144</v>
      </c>
      <c r="L338" s="9" t="n"/>
      <c r="M338" s="9" t="n"/>
      <c r="N338" s="9" t="n"/>
      <c r="O338" s="40">
        <f>K338+V338-AE338-AZ338</f>
        <v/>
      </c>
      <c r="P338" s="12" t="n"/>
      <c r="Q338" s="138" t="n"/>
      <c r="R338" s="16" t="n"/>
      <c r="S338" s="139" t="n"/>
      <c r="T338" s="16" t="n"/>
      <c r="U338" s="139" t="n"/>
      <c r="V338" s="16">
        <f>P338+R338+T338</f>
        <v/>
      </c>
      <c r="W338" s="16" t="n"/>
      <c r="X338" s="139" t="n"/>
      <c r="Y338" s="16" t="n"/>
      <c r="Z338" s="139" t="n"/>
      <c r="AA338" s="16" t="n"/>
      <c r="AB338" s="139" t="n"/>
      <c r="AC338" s="16" t="n"/>
      <c r="AD338" s="139" t="n"/>
      <c r="AE338" s="16">
        <f>(W338+Y338+AA338+AC338)</f>
        <v/>
      </c>
      <c r="AF338" s="16" t="n"/>
      <c r="AG338" s="138" t="n"/>
      <c r="AH338" s="16" t="n"/>
      <c r="AI338" s="138" t="n"/>
      <c r="AJ338" s="16" t="n"/>
      <c r="AK338" s="138" t="n"/>
      <c r="AL338" s="16" t="n"/>
      <c r="AM338" s="138" t="n"/>
      <c r="AN338" s="16" t="n"/>
      <c r="AO338" s="138" t="n"/>
      <c r="AP338" s="16" t="n"/>
      <c r="AQ338" s="138" t="n"/>
      <c r="AR338" s="16" t="n"/>
      <c r="AS338" s="138" t="n"/>
      <c r="AT338" s="16" t="n"/>
      <c r="AU338" s="138" t="n"/>
      <c r="AV338" s="16" t="n"/>
      <c r="AW338" s="138" t="n"/>
      <c r="AX338" s="16" t="n"/>
      <c r="AY338" s="138" t="n"/>
      <c r="AZ338" s="16">
        <f>AF338+AH338+AJ338+AL338+AN338+AP338+AR338+AT338+AV338+AX338</f>
        <v/>
      </c>
      <c r="BA338" s="16" t="n"/>
      <c r="BB338" s="139" t="n"/>
      <c r="BC338" s="16" t="n"/>
      <c r="BD338" s="139" t="n"/>
      <c r="BE338" s="16">
        <f>(BA338+BC338)</f>
        <v/>
      </c>
    </row>
    <row r="339" ht="22.5" customFormat="1" customHeight="1" s="8">
      <c r="A339" s="9" t="n"/>
      <c r="B339" s="141" t="inlineStr">
        <is>
          <t>PCB</t>
        </is>
      </c>
      <c r="C339" s="137" t="inlineStr">
        <is>
          <t>ADX6000S</t>
        </is>
      </c>
      <c r="D339" s="62" t="inlineStr">
        <is>
          <t>CTR B/D</t>
        </is>
      </c>
      <c r="E339" s="36" t="n"/>
      <c r="F339" s="100" t="n"/>
      <c r="G339" s="22" t="n"/>
      <c r="H339" s="22" t="inlineStr">
        <is>
          <t>HLP</t>
        </is>
      </c>
      <c r="I339" s="14" t="n"/>
      <c r="J339" s="14" t="n"/>
      <c r="K339" s="12" t="n"/>
      <c r="L339" s="9" t="n"/>
      <c r="M339" s="9" t="n"/>
      <c r="N339" s="9" t="n"/>
      <c r="O339" s="40">
        <f>K339+V339-AE339-AZ339</f>
        <v/>
      </c>
      <c r="P339" s="12" t="n"/>
      <c r="Q339" s="138" t="n"/>
      <c r="R339" s="16" t="n"/>
      <c r="S339" s="139" t="n"/>
      <c r="T339" s="16" t="n"/>
      <c r="U339" s="139" t="n"/>
      <c r="V339" s="16">
        <f>P339+R339+T339</f>
        <v/>
      </c>
      <c r="W339" s="16" t="n"/>
      <c r="X339" s="139" t="n"/>
      <c r="Y339" s="16" t="n"/>
      <c r="Z339" s="139" t="n"/>
      <c r="AA339" s="16" t="n"/>
      <c r="AB339" s="139" t="n"/>
      <c r="AC339" s="16" t="n"/>
      <c r="AD339" s="139" t="n"/>
      <c r="AE339" s="16">
        <f>(W339+Y339+AA339+AC339)</f>
        <v/>
      </c>
      <c r="AF339" s="16" t="n"/>
      <c r="AG339" s="138" t="n"/>
      <c r="AH339" s="16" t="n"/>
      <c r="AI339" s="138" t="n"/>
      <c r="AJ339" s="16" t="n"/>
      <c r="AK339" s="138" t="n"/>
      <c r="AL339" s="16" t="n"/>
      <c r="AM339" s="138" t="n"/>
      <c r="AN339" s="16" t="n"/>
      <c r="AO339" s="138" t="n"/>
      <c r="AP339" s="16" t="n"/>
      <c r="AQ339" s="138" t="n"/>
      <c r="AR339" s="16" t="n"/>
      <c r="AS339" s="138" t="n"/>
      <c r="AT339" s="16" t="n"/>
      <c r="AU339" s="138" t="n"/>
      <c r="AV339" s="16" t="n"/>
      <c r="AW339" s="138" t="n"/>
      <c r="AX339" s="16" t="n"/>
      <c r="AY339" s="138" t="n"/>
      <c r="AZ339" s="16">
        <f>AF339+AH339+AJ339+AL339+AN339+AP339+AR339+AT339+AV339+AX339</f>
        <v/>
      </c>
      <c r="BA339" s="16" t="n"/>
      <c r="BB339" s="139" t="n"/>
      <c r="BC339" s="16" t="n"/>
      <c r="BD339" s="139" t="n"/>
      <c r="BE339" s="16">
        <f>(BA339+BC339)</f>
        <v/>
      </c>
    </row>
    <row r="340" ht="22.5" customFormat="1" customHeight="1" s="8">
      <c r="A340" s="9" t="n"/>
      <c r="B340" s="141" t="inlineStr">
        <is>
          <t>PCB</t>
        </is>
      </c>
      <c r="C340" s="137" t="inlineStr">
        <is>
          <t>ADX6000</t>
        </is>
      </c>
      <c r="D340" s="62" t="inlineStr">
        <is>
          <t>CON BD</t>
        </is>
      </c>
      <c r="E340" s="36" t="inlineStr">
        <is>
          <t>V2.0.1</t>
        </is>
      </c>
      <c r="F340" s="100" t="n"/>
      <c r="G340" s="22" t="n"/>
      <c r="H340" s="22" t="inlineStr">
        <is>
          <t>HLP</t>
        </is>
      </c>
      <c r="I340" s="14" t="n"/>
      <c r="J340" s="14" t="n"/>
      <c r="K340" s="12" t="n"/>
      <c r="L340" s="9" t="n"/>
      <c r="M340" s="9" t="n"/>
      <c r="N340" s="9" t="n"/>
      <c r="O340" s="40">
        <f>K340+V340-AE340-AZ340</f>
        <v/>
      </c>
      <c r="P340" s="12" t="n"/>
      <c r="Q340" s="138" t="n"/>
      <c r="R340" s="16" t="n"/>
      <c r="S340" s="139" t="n"/>
      <c r="T340" s="16" t="n"/>
      <c r="U340" s="139" t="n"/>
      <c r="V340" s="16">
        <f>P340+R340+T340</f>
        <v/>
      </c>
      <c r="W340" s="16" t="n"/>
      <c r="X340" s="139" t="n"/>
      <c r="Y340" s="16" t="n"/>
      <c r="Z340" s="139" t="n"/>
      <c r="AA340" s="16" t="n"/>
      <c r="AB340" s="139" t="n"/>
      <c r="AC340" s="16" t="n"/>
      <c r="AD340" s="139" t="n"/>
      <c r="AE340" s="16">
        <f>(W340+Y340+AA340+AC340)</f>
        <v/>
      </c>
      <c r="AF340" s="16" t="n"/>
      <c r="AG340" s="138" t="n"/>
      <c r="AH340" s="16" t="n"/>
      <c r="AI340" s="138" t="n"/>
      <c r="AJ340" s="16" t="n"/>
      <c r="AK340" s="138" t="n"/>
      <c r="AL340" s="16" t="n"/>
      <c r="AM340" s="138" t="n"/>
      <c r="AN340" s="16" t="n"/>
      <c r="AO340" s="138" t="n"/>
      <c r="AP340" s="16" t="n"/>
      <c r="AQ340" s="138" t="n"/>
      <c r="AR340" s="16" t="n"/>
      <c r="AS340" s="138" t="n"/>
      <c r="AT340" s="16" t="n"/>
      <c r="AU340" s="138" t="n"/>
      <c r="AV340" s="16" t="n"/>
      <c r="AW340" s="138" t="n"/>
      <c r="AX340" s="16" t="n"/>
      <c r="AY340" s="138" t="n"/>
      <c r="AZ340" s="16">
        <f>AF340+AH340+AJ340+AL340+AN340+AP340+AR340+AT340+AV340+AX340</f>
        <v/>
      </c>
      <c r="BA340" s="16" t="n"/>
      <c r="BB340" s="139" t="n"/>
      <c r="BC340" s="16" t="n"/>
      <c r="BD340" s="139" t="n"/>
      <c r="BE340" s="16">
        <f>(BA340+BC340)</f>
        <v/>
      </c>
    </row>
    <row r="341" ht="22.5" customFormat="1" customHeight="1" s="8">
      <c r="A341" s="9" t="n"/>
      <c r="B341" s="136" t="inlineStr">
        <is>
          <t>PCB</t>
        </is>
      </c>
      <c r="C341" s="137" t="inlineStr">
        <is>
          <t>ADX6000FB/S</t>
        </is>
      </c>
      <c r="D341" s="65" t="inlineStr">
        <is>
          <t>ETC LCD B/D</t>
        </is>
      </c>
      <c r="E341" s="13" t="n"/>
      <c r="F341" s="100" t="n"/>
      <c r="G341" s="9" t="n"/>
      <c r="H341" s="9" t="inlineStr">
        <is>
          <t>HLP</t>
        </is>
      </c>
      <c r="I341" s="14" t="n"/>
      <c r="J341" s="14" t="n"/>
      <c r="K341" s="12" t="n">
        <v>207</v>
      </c>
      <c r="L341" s="9" t="n"/>
      <c r="M341" s="9" t="n"/>
      <c r="N341" s="9" t="n"/>
      <c r="O341" s="40">
        <f>K341+V341-AE341-AZ341</f>
        <v/>
      </c>
      <c r="P341" s="12" t="n"/>
      <c r="Q341" s="138" t="n"/>
      <c r="R341" s="16" t="n"/>
      <c r="S341" s="139" t="n"/>
      <c r="T341" s="16" t="n"/>
      <c r="U341" s="139" t="n"/>
      <c r="V341" s="16">
        <f>P341+R341+T341</f>
        <v/>
      </c>
      <c r="W341" s="16" t="n"/>
      <c r="X341" s="139" t="n"/>
      <c r="Y341" s="16" t="n"/>
      <c r="Z341" s="139" t="n"/>
      <c r="AA341" s="16" t="n"/>
      <c r="AB341" s="139" t="n"/>
      <c r="AC341" s="16" t="n"/>
      <c r="AD341" s="139" t="n"/>
      <c r="AE341" s="16">
        <f>(W341+Y341+AA341+AC341)</f>
        <v/>
      </c>
      <c r="AF341" s="16" t="n"/>
      <c r="AG341" s="138" t="n"/>
      <c r="AH341" s="16" t="n"/>
      <c r="AI341" s="138" t="n"/>
      <c r="AJ341" s="16" t="n"/>
      <c r="AK341" s="138" t="n"/>
      <c r="AL341" s="16" t="n"/>
      <c r="AM341" s="138" t="n"/>
      <c r="AN341" s="16" t="n"/>
      <c r="AO341" s="138" t="n"/>
      <c r="AP341" s="16" t="n"/>
      <c r="AQ341" s="138" t="n"/>
      <c r="AR341" s="16" t="n"/>
      <c r="AS341" s="138" t="n"/>
      <c r="AT341" s="16" t="n"/>
      <c r="AU341" s="138" t="n"/>
      <c r="AV341" s="16" t="n"/>
      <c r="AW341" s="138" t="n"/>
      <c r="AX341" s="16" t="n"/>
      <c r="AY341" s="138" t="n"/>
      <c r="AZ341" s="16">
        <f>AF341+AH341+AJ341+AL341+AN341+AP341+AR341+AT341+AV341+AX341</f>
        <v/>
      </c>
      <c r="BA341" s="16" t="n"/>
      <c r="BB341" s="139" t="n"/>
      <c r="BC341" s="16" t="n"/>
      <c r="BD341" s="139" t="n"/>
      <c r="BE341" s="16">
        <f>(BA341+BC341)</f>
        <v/>
      </c>
    </row>
    <row r="342" ht="22.5" customFormat="1" customHeight="1" s="8">
      <c r="A342" s="9" t="n"/>
      <c r="B342" s="136" t="inlineStr">
        <is>
          <t>PCB</t>
        </is>
      </c>
      <c r="C342" s="137" t="inlineStr">
        <is>
          <t>ADX6000S</t>
        </is>
      </c>
      <c r="D342" s="88" t="inlineStr">
        <is>
          <t>ETC CARRIER BD</t>
        </is>
      </c>
      <c r="E342" s="13" t="inlineStr">
        <is>
          <t>IEC-1000</t>
        </is>
      </c>
      <c r="F342" s="100" t="n"/>
      <c r="G342" s="9" t="n"/>
      <c r="H342" s="9" t="inlineStr">
        <is>
          <t>HLP</t>
        </is>
      </c>
      <c r="I342" s="14" t="n"/>
      <c r="J342" s="14" t="n"/>
      <c r="K342" s="12" t="n"/>
      <c r="L342" s="9" t="n"/>
      <c r="M342" s="9" t="n"/>
      <c r="N342" s="9" t="n"/>
      <c r="O342" s="40">
        <f>K342+V342-AE342-AZ342</f>
        <v/>
      </c>
      <c r="P342" s="12" t="n"/>
      <c r="Q342" s="138" t="n"/>
      <c r="R342" s="16" t="n"/>
      <c r="S342" s="139" t="n"/>
      <c r="T342" s="16" t="n"/>
      <c r="U342" s="139" t="n"/>
      <c r="V342" s="16">
        <f>P342+R342+T342</f>
        <v/>
      </c>
      <c r="W342" s="16" t="n"/>
      <c r="X342" s="139" t="n"/>
      <c r="Y342" s="16" t="n"/>
      <c r="Z342" s="139" t="n"/>
      <c r="AA342" s="16" t="n"/>
      <c r="AB342" s="139" t="n"/>
      <c r="AC342" s="16" t="n"/>
      <c r="AD342" s="139" t="n"/>
      <c r="AE342" s="16">
        <f>(W342+Y342+AA342+AC342)</f>
        <v/>
      </c>
      <c r="AF342" s="16" t="n"/>
      <c r="AG342" s="138" t="n"/>
      <c r="AH342" s="16" t="n"/>
      <c r="AI342" s="138" t="n"/>
      <c r="AJ342" s="16" t="n"/>
      <c r="AK342" s="138" t="n"/>
      <c r="AL342" s="16" t="n"/>
      <c r="AM342" s="138" t="n"/>
      <c r="AN342" s="16" t="n"/>
      <c r="AO342" s="138" t="n"/>
      <c r="AP342" s="16" t="n"/>
      <c r="AQ342" s="138" t="n"/>
      <c r="AR342" s="16" t="n"/>
      <c r="AS342" s="138" t="n"/>
      <c r="AT342" s="16" t="n"/>
      <c r="AU342" s="138" t="n"/>
      <c r="AV342" s="16" t="n"/>
      <c r="AW342" s="138" t="n"/>
      <c r="AX342" s="16" t="n"/>
      <c r="AY342" s="138" t="n"/>
      <c r="AZ342" s="16">
        <f>AF342+AH342+AJ342+AL342+AN342+AP342+AR342+AT342+AV342+AX342</f>
        <v/>
      </c>
      <c r="BA342" s="16" t="n"/>
      <c r="BB342" s="139" t="n"/>
      <c r="BC342" s="16" t="n"/>
      <c r="BD342" s="139" t="n"/>
      <c r="BE342" s="16">
        <f>(BA342+BC342)</f>
        <v/>
      </c>
    </row>
    <row r="343" ht="22.5" customFormat="1" customHeight="1" s="8">
      <c r="A343" s="9" t="n"/>
      <c r="B343" s="136" t="inlineStr">
        <is>
          <t>PCB</t>
        </is>
      </c>
      <c r="C343" s="137" t="inlineStr">
        <is>
          <t>ADX6000S</t>
        </is>
      </c>
      <c r="D343" s="84" t="inlineStr">
        <is>
          <t>ETC FRONT BD</t>
        </is>
      </c>
      <c r="E343" s="13" t="inlineStr">
        <is>
          <t>리모콘 포트 수정 신형 얇은 것</t>
        </is>
      </c>
      <c r="F343" s="100" t="n"/>
      <c r="G343" s="9" t="n"/>
      <c r="H343" s="9" t="inlineStr">
        <is>
          <t>HLP</t>
        </is>
      </c>
      <c r="I343" s="14" t="n"/>
      <c r="J343" s="14" t="n"/>
      <c r="K343" s="12" t="n"/>
      <c r="L343" s="9" t="n"/>
      <c r="M343" s="9" t="n"/>
      <c r="N343" s="9" t="n"/>
      <c r="O343" s="40">
        <f>K343+V343-AE343-AZ343</f>
        <v/>
      </c>
      <c r="P343" s="12" t="n"/>
      <c r="Q343" s="138" t="n"/>
      <c r="R343" s="16" t="n"/>
      <c r="S343" s="139" t="n"/>
      <c r="T343" s="16" t="n"/>
      <c r="U343" s="139" t="n"/>
      <c r="V343" s="16">
        <f>P343+R343+T343</f>
        <v/>
      </c>
      <c r="W343" s="16" t="n"/>
      <c r="X343" s="139" t="n"/>
      <c r="Y343" s="16" t="n"/>
      <c r="Z343" s="139" t="n"/>
      <c r="AA343" s="16" t="n"/>
      <c r="AB343" s="139" t="n"/>
      <c r="AC343" s="16" t="n"/>
      <c r="AD343" s="139" t="n"/>
      <c r="AE343" s="16">
        <f>(W343+Y343+AA343+AC343)</f>
        <v/>
      </c>
      <c r="AF343" s="16" t="n"/>
      <c r="AG343" s="138" t="n"/>
      <c r="AH343" s="16" t="n"/>
      <c r="AI343" s="138" t="n"/>
      <c r="AJ343" s="16" t="n"/>
      <c r="AK343" s="138" t="n"/>
      <c r="AL343" s="16" t="n"/>
      <c r="AM343" s="138" t="n"/>
      <c r="AN343" s="16" t="n"/>
      <c r="AO343" s="138" t="n"/>
      <c r="AP343" s="16" t="n"/>
      <c r="AQ343" s="138" t="n"/>
      <c r="AR343" s="16" t="n"/>
      <c r="AS343" s="138" t="n"/>
      <c r="AT343" s="16" t="n"/>
      <c r="AU343" s="138" t="n"/>
      <c r="AV343" s="16" t="n"/>
      <c r="AW343" s="138" t="n"/>
      <c r="AX343" s="16" t="n"/>
      <c r="AY343" s="138" t="n"/>
      <c r="AZ343" s="16">
        <f>AF343+AH343+AJ343+AL343+AN343+AP343+AR343+AT343+AV343+AX343</f>
        <v/>
      </c>
      <c r="BA343" s="16" t="n"/>
      <c r="BB343" s="139" t="n"/>
      <c r="BC343" s="16" t="n"/>
      <c r="BD343" s="139" t="n"/>
      <c r="BE343" s="16">
        <f>(BA343+BC343)</f>
        <v/>
      </c>
    </row>
    <row r="344" ht="22.5" customFormat="1" customHeight="1" s="8">
      <c r="A344" s="9" t="n"/>
      <c r="B344" s="136" t="inlineStr">
        <is>
          <t>PCB</t>
        </is>
      </c>
      <c r="C344" s="137" t="inlineStr">
        <is>
          <t>ADX6000</t>
        </is>
      </c>
      <c r="D344" s="84" t="inlineStr">
        <is>
          <t>Power Switch B/D</t>
        </is>
      </c>
      <c r="E344" s="13" t="n"/>
      <c r="F344" s="100" t="n"/>
      <c r="G344" s="9" t="n"/>
      <c r="H344" s="9" t="inlineStr">
        <is>
          <t>HLP</t>
        </is>
      </c>
      <c r="I344" s="14" t="n"/>
      <c r="J344" s="14" t="n"/>
      <c r="K344" s="12" t="n">
        <v>318</v>
      </c>
      <c r="L344" s="9" t="n"/>
      <c r="M344" s="9" t="n"/>
      <c r="N344" s="9" t="n"/>
      <c r="O344" s="40">
        <f>K344+V344-AE344-AZ344</f>
        <v/>
      </c>
      <c r="P344" s="12" t="n"/>
      <c r="Q344" s="138" t="n"/>
      <c r="R344" s="16" t="n"/>
      <c r="S344" s="139" t="n"/>
      <c r="T344" s="16" t="n"/>
      <c r="U344" s="139" t="n"/>
      <c r="V344" s="16">
        <f>P344+R344+T344</f>
        <v/>
      </c>
      <c r="W344" s="16" t="n"/>
      <c r="X344" s="139" t="n"/>
      <c r="Y344" s="16" t="n"/>
      <c r="Z344" s="139" t="n"/>
      <c r="AA344" s="16" t="n"/>
      <c r="AB344" s="139" t="n"/>
      <c r="AC344" s="16" t="n"/>
      <c r="AD344" s="139" t="n"/>
      <c r="AE344" s="16">
        <f>(W344+Y344+AA344+AC344)</f>
        <v/>
      </c>
      <c r="AF344" s="16" t="n"/>
      <c r="AG344" s="138" t="n"/>
      <c r="AH344" s="16" t="n"/>
      <c r="AI344" s="138" t="n"/>
      <c r="AJ344" s="16" t="n"/>
      <c r="AK344" s="138" t="n"/>
      <c r="AL344" s="16" t="n"/>
      <c r="AM344" s="138" t="n"/>
      <c r="AN344" s="16" t="n"/>
      <c r="AO344" s="138" t="n"/>
      <c r="AP344" s="16" t="n"/>
      <c r="AQ344" s="138" t="n"/>
      <c r="AR344" s="16" t="n"/>
      <c r="AS344" s="138" t="n"/>
      <c r="AT344" s="16" t="n"/>
      <c r="AU344" s="138" t="n"/>
      <c r="AV344" s="16" t="n"/>
      <c r="AW344" s="138" t="n"/>
      <c r="AX344" s="16" t="n"/>
      <c r="AY344" s="138" t="n"/>
      <c r="AZ344" s="16">
        <f>AF344+AH344+AJ344+AL344+AN344+AP344+AR344+AT344+AV344+AX344</f>
        <v/>
      </c>
      <c r="BA344" s="16" t="n"/>
      <c r="BB344" s="139" t="n"/>
      <c r="BC344" s="16" t="n"/>
      <c r="BD344" s="139" t="n"/>
      <c r="BE344" s="16">
        <f>(BA344+BC344)</f>
        <v/>
      </c>
    </row>
    <row r="345" ht="22.5" customFormat="1" customHeight="1" s="8">
      <c r="A345" s="9" t="n"/>
      <c r="B345" s="136" t="inlineStr">
        <is>
          <t>PCB</t>
        </is>
      </c>
      <c r="C345" s="137" t="inlineStr">
        <is>
          <t>ADX6000</t>
        </is>
      </c>
      <c r="D345" s="84" t="inlineStr">
        <is>
          <t>EX B/D</t>
        </is>
      </c>
      <c r="E345" s="13" t="n"/>
      <c r="F345" s="100" t="n"/>
      <c r="G345" s="9" t="n"/>
      <c r="H345" s="9" t="inlineStr">
        <is>
          <t>HLP</t>
        </is>
      </c>
      <c r="I345" s="14" t="n"/>
      <c r="J345" s="14" t="n"/>
      <c r="K345" s="12" t="n">
        <v>242</v>
      </c>
      <c r="L345" s="9" t="n"/>
      <c r="M345" s="9" t="n"/>
      <c r="N345" s="9" t="n"/>
      <c r="O345" s="40">
        <f>K345+V345-AE345-AZ345</f>
        <v/>
      </c>
      <c r="P345" s="12" t="n"/>
      <c r="Q345" s="138" t="n"/>
      <c r="R345" s="16" t="n"/>
      <c r="S345" s="139" t="n"/>
      <c r="T345" s="16" t="n"/>
      <c r="U345" s="139" t="n"/>
      <c r="V345" s="16">
        <f>P345+R345+T345</f>
        <v/>
      </c>
      <c r="W345" s="16" t="n"/>
      <c r="X345" s="139" t="n"/>
      <c r="Y345" s="16" t="n"/>
      <c r="Z345" s="139" t="n"/>
      <c r="AA345" s="16" t="n"/>
      <c r="AB345" s="139" t="n"/>
      <c r="AC345" s="16" t="n"/>
      <c r="AD345" s="139" t="n"/>
      <c r="AE345" s="16">
        <f>(W345+Y345+AA345+AC345)</f>
        <v/>
      </c>
      <c r="AF345" s="16" t="n"/>
      <c r="AG345" s="138" t="n"/>
      <c r="AH345" s="16" t="n"/>
      <c r="AI345" s="138" t="n"/>
      <c r="AJ345" s="16" t="n"/>
      <c r="AK345" s="138" t="n"/>
      <c r="AL345" s="16" t="n"/>
      <c r="AM345" s="138" t="n"/>
      <c r="AN345" s="16" t="n"/>
      <c r="AO345" s="138" t="n"/>
      <c r="AP345" s="16" t="n"/>
      <c r="AQ345" s="138" t="n"/>
      <c r="AR345" s="16" t="n"/>
      <c r="AS345" s="138" t="n"/>
      <c r="AT345" s="16" t="n"/>
      <c r="AU345" s="138" t="n"/>
      <c r="AV345" s="16" t="n"/>
      <c r="AW345" s="138" t="n"/>
      <c r="AX345" s="16" t="n"/>
      <c r="AY345" s="138" t="n"/>
      <c r="AZ345" s="16">
        <f>AF345+AH345+AJ345+AL345+AN345+AP345+AR345+AT345+AV345+AX345</f>
        <v/>
      </c>
      <c r="BA345" s="16" t="n"/>
      <c r="BB345" s="139" t="n"/>
      <c r="BC345" s="16" t="n"/>
      <c r="BD345" s="139" t="n"/>
      <c r="BE345" s="16">
        <f>(BA345+BC345)</f>
        <v/>
      </c>
    </row>
    <row r="346" ht="22.5" customFormat="1" customHeight="1" s="8">
      <c r="A346" s="9" t="n"/>
      <c r="B346" s="136" t="inlineStr">
        <is>
          <t>PCB</t>
        </is>
      </c>
      <c r="C346" s="137" t="inlineStr">
        <is>
          <t>ADX6000</t>
        </is>
      </c>
      <c r="D346" s="84" t="inlineStr">
        <is>
          <t>관전류 B/D</t>
        </is>
      </c>
      <c r="E346" s="13" t="n"/>
      <c r="F346" s="100" t="n"/>
      <c r="G346" s="9" t="n"/>
      <c r="H346" s="9" t="inlineStr">
        <is>
          <t>HLP</t>
        </is>
      </c>
      <c r="I346" s="14" t="n"/>
      <c r="J346" s="14" t="n"/>
      <c r="K346" s="12" t="n">
        <v>296</v>
      </c>
      <c r="L346" s="9" t="n"/>
      <c r="M346" s="9" t="n"/>
      <c r="N346" s="9" t="n"/>
      <c r="O346" s="40">
        <f>K346+V346-AE346-AZ346</f>
        <v/>
      </c>
      <c r="P346" s="12" t="n"/>
      <c r="Q346" s="138" t="n"/>
      <c r="R346" s="16" t="n"/>
      <c r="S346" s="139" t="n"/>
      <c r="T346" s="16" t="n"/>
      <c r="U346" s="139" t="n"/>
      <c r="V346" s="16">
        <f>P346+R346+T346</f>
        <v/>
      </c>
      <c r="W346" s="16" t="n"/>
      <c r="X346" s="139" t="n"/>
      <c r="Y346" s="16" t="n"/>
      <c r="Z346" s="139" t="n"/>
      <c r="AA346" s="16" t="n"/>
      <c r="AB346" s="139" t="n"/>
      <c r="AC346" s="16" t="n"/>
      <c r="AD346" s="139" t="n"/>
      <c r="AE346" s="16">
        <f>(W346+Y346+AA346+AC346)</f>
        <v/>
      </c>
      <c r="AF346" s="16" t="n"/>
      <c r="AG346" s="138" t="n"/>
      <c r="AH346" s="16" t="n"/>
      <c r="AI346" s="138" t="n"/>
      <c r="AJ346" s="16" t="n"/>
      <c r="AK346" s="138" t="n"/>
      <c r="AL346" s="16" t="n"/>
      <c r="AM346" s="138" t="n"/>
      <c r="AN346" s="16" t="n"/>
      <c r="AO346" s="138" t="n"/>
      <c r="AP346" s="16" t="n"/>
      <c r="AQ346" s="138" t="n"/>
      <c r="AR346" s="16" t="n"/>
      <c r="AS346" s="138" t="n"/>
      <c r="AT346" s="16" t="n"/>
      <c r="AU346" s="138" t="n"/>
      <c r="AV346" s="16" t="n"/>
      <c r="AW346" s="138" t="n"/>
      <c r="AX346" s="16" t="n"/>
      <c r="AY346" s="138" t="n"/>
      <c r="AZ346" s="16">
        <f>AF346+AH346+AJ346+AL346+AN346+AP346+AR346+AT346+AV346+AX346</f>
        <v/>
      </c>
      <c r="BA346" s="16" t="n"/>
      <c r="BB346" s="139" t="n"/>
      <c r="BC346" s="16" t="n"/>
      <c r="BD346" s="139" t="n"/>
      <c r="BE346" s="16">
        <f>(BA346+BC346)</f>
        <v/>
      </c>
    </row>
    <row r="347" ht="22.5" customFormat="1" customHeight="1" s="8">
      <c r="A347" s="9" t="n"/>
      <c r="B347" s="136" t="inlineStr">
        <is>
          <t>PCB</t>
        </is>
      </c>
      <c r="C347" s="137" t="inlineStr">
        <is>
          <t>ADX6000</t>
        </is>
      </c>
      <c r="D347" s="84" t="inlineStr">
        <is>
          <t>Battery Bridge B/D</t>
        </is>
      </c>
      <c r="E347" s="13" t="n"/>
      <c r="F347" s="100" t="n"/>
      <c r="G347" s="9" t="n"/>
      <c r="H347" s="9" t="inlineStr">
        <is>
          <t>HLP</t>
        </is>
      </c>
      <c r="I347" s="14" t="n"/>
      <c r="J347" s="14" t="n"/>
      <c r="K347" s="12" t="n">
        <v>100</v>
      </c>
      <c r="L347" s="9" t="n"/>
      <c r="M347" s="9" t="n"/>
      <c r="N347" s="9" t="n"/>
      <c r="O347" s="40">
        <f>K347+V347-AE347-AZ347</f>
        <v/>
      </c>
      <c r="P347" s="12" t="n"/>
      <c r="Q347" s="138" t="n"/>
      <c r="R347" s="16" t="n"/>
      <c r="S347" s="139" t="n"/>
      <c r="T347" s="16" t="n"/>
      <c r="U347" s="139" t="n"/>
      <c r="V347" s="16">
        <f>P347+R347+T347</f>
        <v/>
      </c>
      <c r="W347" s="16" t="n"/>
      <c r="X347" s="139" t="n"/>
      <c r="Y347" s="16" t="n"/>
      <c r="Z347" s="139" t="n"/>
      <c r="AA347" s="16" t="n"/>
      <c r="AB347" s="139" t="n"/>
      <c r="AC347" s="16" t="n"/>
      <c r="AD347" s="139" t="n"/>
      <c r="AE347" s="16">
        <f>(W347+Y347+AA347+AC347)</f>
        <v/>
      </c>
      <c r="AF347" s="16" t="n"/>
      <c r="AG347" s="138" t="n"/>
      <c r="AH347" s="16" t="n"/>
      <c r="AI347" s="138" t="n"/>
      <c r="AJ347" s="16" t="n"/>
      <c r="AK347" s="138" t="n"/>
      <c r="AL347" s="16" t="n"/>
      <c r="AM347" s="138" t="n"/>
      <c r="AN347" s="16" t="n"/>
      <c r="AO347" s="138" t="n"/>
      <c r="AP347" s="16" t="n"/>
      <c r="AQ347" s="138" t="n"/>
      <c r="AR347" s="16" t="n"/>
      <c r="AS347" s="138" t="n"/>
      <c r="AT347" s="16" t="n"/>
      <c r="AU347" s="138" t="n"/>
      <c r="AV347" s="16" t="n"/>
      <c r="AW347" s="138" t="n"/>
      <c r="AX347" s="16" t="n"/>
      <c r="AY347" s="138" t="n"/>
      <c r="AZ347" s="16">
        <f>AF347+AH347+AJ347+AL347+AN347+AP347+AR347+AT347+AV347+AX347</f>
        <v/>
      </c>
      <c r="BA347" s="16" t="n"/>
      <c r="BB347" s="139" t="n"/>
      <c r="BC347" s="16" t="n"/>
      <c r="BD347" s="139" t="n"/>
      <c r="BE347" s="16">
        <f>(BA347+BC347)</f>
        <v/>
      </c>
    </row>
    <row r="348" ht="22.5" customFormat="1" customHeight="1" s="8">
      <c r="A348" s="9" t="n"/>
      <c r="B348" s="136" t="inlineStr">
        <is>
          <t>PCB</t>
        </is>
      </c>
      <c r="C348" s="137" t="inlineStr">
        <is>
          <t>ADX6000</t>
        </is>
      </c>
      <c r="D348" s="84" t="inlineStr">
        <is>
          <t>Battery Connect B/D</t>
        </is>
      </c>
      <c r="E348" s="13" t="n"/>
      <c r="F348" s="100" t="n"/>
      <c r="G348" s="9" t="n"/>
      <c r="H348" s="9" t="inlineStr">
        <is>
          <t>HLP</t>
        </is>
      </c>
      <c r="I348" s="14" t="n"/>
      <c r="J348" s="14" t="n"/>
      <c r="K348" s="12" t="n">
        <v>398</v>
      </c>
      <c r="L348" s="9" t="n"/>
      <c r="M348" s="9" t="n"/>
      <c r="N348" s="9" t="n"/>
      <c r="O348" s="40">
        <f>K348+V348-AE348-AZ348</f>
        <v/>
      </c>
      <c r="P348" s="12" t="n"/>
      <c r="Q348" s="138" t="n"/>
      <c r="R348" s="16" t="n"/>
      <c r="S348" s="139" t="n"/>
      <c r="T348" s="16" t="n"/>
      <c r="U348" s="139" t="n"/>
      <c r="V348" s="16">
        <f>P348+R348+T348</f>
        <v/>
      </c>
      <c r="W348" s="16" t="n"/>
      <c r="X348" s="139" t="n"/>
      <c r="Y348" s="16" t="n"/>
      <c r="Z348" s="139" t="n"/>
      <c r="AA348" s="16" t="n"/>
      <c r="AB348" s="139" t="n"/>
      <c r="AC348" s="16" t="n"/>
      <c r="AD348" s="139" t="n"/>
      <c r="AE348" s="16">
        <f>(W348+Y348+AA348+AC348)</f>
        <v/>
      </c>
      <c r="AF348" s="16" t="n"/>
      <c r="AG348" s="138" t="n"/>
      <c r="AH348" s="16" t="n"/>
      <c r="AI348" s="138" t="n"/>
      <c r="AJ348" s="16" t="n"/>
      <c r="AK348" s="138" t="n"/>
      <c r="AL348" s="16" t="n"/>
      <c r="AM348" s="138" t="n"/>
      <c r="AN348" s="16" t="n"/>
      <c r="AO348" s="138" t="n"/>
      <c r="AP348" s="16" t="n"/>
      <c r="AQ348" s="138" t="n"/>
      <c r="AR348" s="16" t="n"/>
      <c r="AS348" s="138" t="n"/>
      <c r="AT348" s="16" t="n"/>
      <c r="AU348" s="138" t="n"/>
      <c r="AV348" s="16" t="n"/>
      <c r="AW348" s="138" t="n"/>
      <c r="AX348" s="16" t="n"/>
      <c r="AY348" s="138" t="n"/>
      <c r="AZ348" s="16">
        <f>AF348+AH348+AJ348+AL348+AN348+AP348+AR348+AT348+AV348+AX348</f>
        <v/>
      </c>
      <c r="BA348" s="16" t="n"/>
      <c r="BB348" s="139" t="n"/>
      <c r="BC348" s="16" t="n"/>
      <c r="BD348" s="139" t="n"/>
      <c r="BE348" s="16">
        <f>(BA348+BC348)</f>
        <v/>
      </c>
    </row>
    <row r="349" ht="22.5" customFormat="1" customHeight="1" s="8">
      <c r="A349" s="9" t="n"/>
      <c r="B349" s="136" t="inlineStr">
        <is>
          <t>PCB</t>
        </is>
      </c>
      <c r="C349" s="137" t="inlineStr">
        <is>
          <t>ADX6000</t>
        </is>
      </c>
      <c r="D349" s="84" t="inlineStr">
        <is>
          <t>Cradle B/D</t>
        </is>
      </c>
      <c r="E349" s="13" t="n"/>
      <c r="F349" s="100" t="n"/>
      <c r="G349" s="9" t="n"/>
      <c r="H349" s="9" t="inlineStr">
        <is>
          <t>HLP</t>
        </is>
      </c>
      <c r="I349" s="14" t="n"/>
      <c r="J349" s="14" t="n"/>
      <c r="K349" s="12" t="n"/>
      <c r="L349" s="9" t="n"/>
      <c r="M349" s="9" t="n"/>
      <c r="N349" s="9" t="n"/>
      <c r="O349" s="40">
        <f>K349+V349-AE349-AZ349</f>
        <v/>
      </c>
      <c r="P349" s="12" t="n"/>
      <c r="Q349" s="138" t="n"/>
      <c r="R349" s="16" t="n"/>
      <c r="S349" s="139" t="n"/>
      <c r="T349" s="16" t="n"/>
      <c r="U349" s="139" t="n"/>
      <c r="V349" s="16">
        <f>P349+R349+T349</f>
        <v/>
      </c>
      <c r="W349" s="16" t="n"/>
      <c r="X349" s="139" t="n"/>
      <c r="Y349" s="16" t="n"/>
      <c r="Z349" s="139" t="n"/>
      <c r="AA349" s="16" t="n"/>
      <c r="AB349" s="139" t="n"/>
      <c r="AC349" s="16" t="n"/>
      <c r="AD349" s="139" t="n"/>
      <c r="AE349" s="16">
        <f>(W349+Y349+AA349+AC349)</f>
        <v/>
      </c>
      <c r="AF349" s="16" t="n"/>
      <c r="AG349" s="138" t="n"/>
      <c r="AH349" s="16" t="n"/>
      <c r="AI349" s="138" t="n"/>
      <c r="AJ349" s="16" t="n"/>
      <c r="AK349" s="138" t="n"/>
      <c r="AL349" s="16" t="n"/>
      <c r="AM349" s="138" t="n"/>
      <c r="AN349" s="16" t="n"/>
      <c r="AO349" s="138" t="n"/>
      <c r="AP349" s="16" t="n"/>
      <c r="AQ349" s="138" t="n"/>
      <c r="AR349" s="16" t="n"/>
      <c r="AS349" s="138" t="n"/>
      <c r="AT349" s="16" t="n"/>
      <c r="AU349" s="138" t="n"/>
      <c r="AV349" s="16" t="n"/>
      <c r="AW349" s="138" t="n"/>
      <c r="AX349" s="16" t="n"/>
      <c r="AY349" s="138" t="n"/>
      <c r="AZ349" s="16">
        <f>AF349+AH349+AJ349+AL349+AN349+AP349+AR349+AT349+AV349+AX349</f>
        <v/>
      </c>
      <c r="BA349" s="16" t="n"/>
      <c r="BB349" s="139" t="n"/>
      <c r="BC349" s="16" t="n"/>
      <c r="BD349" s="139" t="n"/>
      <c r="BE349" s="16">
        <f>(BA349+BC349)</f>
        <v/>
      </c>
    </row>
    <row r="350" ht="22.5" customFormat="1" customHeight="1" s="8">
      <c r="A350" s="9" t="n"/>
      <c r="B350" s="136" t="inlineStr">
        <is>
          <t>CABLE</t>
        </is>
      </c>
      <c r="C350" s="137" t="inlineStr">
        <is>
          <t>ADX4000W, ADX6000</t>
        </is>
      </c>
      <c r="D350" s="145" t="inlineStr">
        <is>
          <t>스피커 2핀 (하네스 4-1)</t>
        </is>
      </c>
      <c r="E350" s="13" t="inlineStr">
        <is>
          <t>12505HS-02+SORDER 200mm</t>
        </is>
      </c>
      <c r="F350" s="100" t="n"/>
      <c r="G350" s="9" t="n"/>
      <c r="H350" s="9" t="inlineStr">
        <is>
          <t>HLP</t>
        </is>
      </c>
      <c r="I350" s="14" t="n"/>
      <c r="J350" s="14" t="n"/>
      <c r="K350" s="12" t="n">
        <v>169</v>
      </c>
      <c r="L350" s="9" t="n"/>
      <c r="M350" s="9" t="n"/>
      <c r="N350" s="9" t="n"/>
      <c r="O350" s="40">
        <f>K350+V350-AE350-AZ350</f>
        <v/>
      </c>
      <c r="P350" s="12" t="n"/>
      <c r="Q350" s="138" t="n"/>
      <c r="R350" s="16" t="n"/>
      <c r="S350" s="139" t="n"/>
      <c r="T350" s="16" t="n"/>
      <c r="U350" s="139" t="n"/>
      <c r="V350" s="16">
        <f>P350+R350+T350</f>
        <v/>
      </c>
      <c r="W350" s="16" t="n"/>
      <c r="X350" s="139" t="n"/>
      <c r="Y350" s="16" t="n"/>
      <c r="Z350" s="139" t="n"/>
      <c r="AA350" s="16" t="n"/>
      <c r="AB350" s="139" t="n"/>
      <c r="AC350" s="16" t="n"/>
      <c r="AD350" s="139" t="n"/>
      <c r="AE350" s="16">
        <f>(W350+Y350+AA350+AC350)</f>
        <v/>
      </c>
      <c r="AF350" s="16" t="n"/>
      <c r="AG350" s="138" t="n"/>
      <c r="AH350" s="16" t="n"/>
      <c r="AI350" s="138" t="n"/>
      <c r="AJ350" s="16" t="n"/>
      <c r="AK350" s="138" t="n"/>
      <c r="AL350" s="16" t="n"/>
      <c r="AM350" s="138" t="n"/>
      <c r="AN350" s="16" t="n"/>
      <c r="AO350" s="138" t="n"/>
      <c r="AP350" s="16" t="n"/>
      <c r="AQ350" s="138" t="n"/>
      <c r="AR350" s="16" t="n"/>
      <c r="AS350" s="138" t="n"/>
      <c r="AT350" s="16" t="n"/>
      <c r="AU350" s="138" t="n"/>
      <c r="AV350" s="16" t="n"/>
      <c r="AW350" s="138" t="n"/>
      <c r="AX350" s="16" t="n"/>
      <c r="AY350" s="138" t="n"/>
      <c r="AZ350" s="16">
        <f>AF350+AH350+AJ350+AL350+AN350+AP350+AR350+AT350+AV350+AX350</f>
        <v/>
      </c>
      <c r="BA350" s="16" t="n"/>
      <c r="BB350" s="139" t="n"/>
      <c r="BC350" s="16" t="n"/>
      <c r="BD350" s="139" t="n"/>
      <c r="BE350" s="16">
        <f>(BA350+BC350)</f>
        <v/>
      </c>
    </row>
    <row r="351" ht="22.5" customFormat="1" customHeight="1" s="8">
      <c r="A351" s="9" t="n"/>
      <c r="B351" s="136" t="inlineStr">
        <is>
          <t>CABLE</t>
        </is>
      </c>
      <c r="C351" s="137" t="inlineStr">
        <is>
          <t>ADX6000FB/S</t>
        </is>
      </c>
      <c r="D351" s="60" t="inlineStr">
        <is>
          <t>하네스 1번</t>
        </is>
      </c>
      <c r="E351" s="13" t="inlineStr">
        <is>
          <t>12505HS-06, 12505HS-04, 12505HS-03, 12505HS-02 CTR, CURRENT, FRONT, PC BD연결 / 180mm, 140mm, 200mm</t>
        </is>
      </c>
      <c r="F351" s="100" t="n"/>
      <c r="G351" s="9" t="n"/>
      <c r="H351" s="9" t="inlineStr">
        <is>
          <t>HLP</t>
        </is>
      </c>
      <c r="I351" s="14" t="n"/>
      <c r="J351" s="14" t="n"/>
      <c r="K351" s="12" t="n"/>
      <c r="L351" s="9" t="n"/>
      <c r="M351" s="9" t="n"/>
      <c r="N351" s="9" t="n"/>
      <c r="O351" s="40">
        <f>K351+V351-AE351-AZ351</f>
        <v/>
      </c>
      <c r="P351" s="12" t="n"/>
      <c r="Q351" s="138" t="n"/>
      <c r="R351" s="16" t="n"/>
      <c r="S351" s="139" t="n"/>
      <c r="T351" s="16" t="n"/>
      <c r="U351" s="139" t="n"/>
      <c r="V351" s="16">
        <f>P351+R351+T351</f>
        <v/>
      </c>
      <c r="W351" s="16" t="n"/>
      <c r="X351" s="139" t="n"/>
      <c r="Y351" s="16" t="n"/>
      <c r="Z351" s="139" t="n"/>
      <c r="AA351" s="16" t="n"/>
      <c r="AB351" s="139" t="n"/>
      <c r="AC351" s="16" t="n"/>
      <c r="AD351" s="139" t="n"/>
      <c r="AE351" s="16">
        <f>(W351+Y351+AA351+AC351)</f>
        <v/>
      </c>
      <c r="AF351" s="16" t="n"/>
      <c r="AG351" s="138" t="n"/>
      <c r="AH351" s="16" t="n"/>
      <c r="AI351" s="138" t="n"/>
      <c r="AJ351" s="16" t="n"/>
      <c r="AK351" s="138" t="n"/>
      <c r="AL351" s="16" t="n"/>
      <c r="AM351" s="138" t="n"/>
      <c r="AN351" s="16" t="n"/>
      <c r="AO351" s="138" t="n"/>
      <c r="AP351" s="16" t="n"/>
      <c r="AQ351" s="138" t="n"/>
      <c r="AR351" s="16" t="n"/>
      <c r="AS351" s="138" t="n"/>
      <c r="AT351" s="16" t="n"/>
      <c r="AU351" s="138" t="n"/>
      <c r="AV351" s="16" t="n"/>
      <c r="AW351" s="138" t="n"/>
      <c r="AX351" s="16" t="n"/>
      <c r="AY351" s="138" t="n"/>
      <c r="AZ351" s="16">
        <f>AF351+AH351+AJ351+AL351+AN351+AP351+AR351+AT351+AV351+AX351</f>
        <v/>
      </c>
      <c r="BA351" s="16" t="n"/>
      <c r="BB351" s="139" t="n"/>
      <c r="BC351" s="16" t="n"/>
      <c r="BD351" s="139" t="n"/>
      <c r="BE351" s="16">
        <f>(BA351+BC351)</f>
        <v/>
      </c>
    </row>
    <row r="352" ht="22.5" customFormat="1" customHeight="1" s="8">
      <c r="A352" s="9" t="n"/>
      <c r="B352" s="136" t="inlineStr">
        <is>
          <t>CABLE</t>
        </is>
      </c>
      <c r="C352" s="137" t="inlineStr">
        <is>
          <t>ADX6000FB/S</t>
        </is>
      </c>
      <c r="D352" s="60" t="inlineStr">
        <is>
          <t>하네스 1-1번</t>
        </is>
      </c>
      <c r="E352" s="13" t="inlineStr">
        <is>
          <t>12505HS-06, 12505HS-04, 12505HS-03, 5264-02 (250mm, 140mm, 300mm)</t>
        </is>
      </c>
      <c r="F352" s="9" t="n"/>
      <c r="G352" s="9" t="n"/>
      <c r="H352" s="9" t="inlineStr">
        <is>
          <t>HLP</t>
        </is>
      </c>
      <c r="I352" s="40" t="n">
        <v>0</v>
      </c>
      <c r="J352" s="16" t="n">
        <v>0</v>
      </c>
      <c r="K352" s="16" t="n">
        <v>140</v>
      </c>
      <c r="L352" s="9" t="n"/>
      <c r="M352" s="9" t="n"/>
      <c r="N352" s="9" t="n"/>
      <c r="O352" s="40" t="n"/>
      <c r="P352" s="12" t="n"/>
      <c r="Q352" s="138" t="n"/>
      <c r="R352" s="16" t="n"/>
      <c r="S352" s="139" t="n"/>
      <c r="T352" s="16" t="n"/>
      <c r="U352" s="139" t="n"/>
      <c r="V352" s="16" t="n"/>
      <c r="W352" s="16" t="n"/>
      <c r="X352" s="139" t="n"/>
      <c r="Y352" s="16" t="n"/>
      <c r="Z352" s="139" t="n"/>
      <c r="AA352" s="16" t="n"/>
      <c r="AB352" s="139" t="n"/>
      <c r="AC352" s="16" t="n"/>
      <c r="AD352" s="139" t="n"/>
      <c r="AE352" s="16" t="n"/>
      <c r="AF352" s="16" t="n"/>
      <c r="AG352" s="138" t="n"/>
      <c r="AH352" s="16" t="n"/>
      <c r="AI352" s="138" t="n"/>
      <c r="AJ352" s="16" t="n"/>
      <c r="AK352" s="138" t="n"/>
      <c r="AL352" s="16" t="n"/>
      <c r="AM352" s="138" t="n"/>
      <c r="AN352" s="16" t="n"/>
      <c r="AO352" s="138" t="n"/>
      <c r="AP352" s="16" t="n"/>
      <c r="AQ352" s="138" t="n"/>
      <c r="AR352" s="16" t="n"/>
      <c r="AS352" s="138" t="n"/>
      <c r="AT352" s="16" t="n"/>
      <c r="AU352" s="138" t="n"/>
      <c r="AV352" s="16" t="n"/>
      <c r="AW352" s="138" t="n"/>
      <c r="AX352" s="16" t="n"/>
      <c r="AY352" s="138" t="n"/>
      <c r="AZ352" s="16" t="n"/>
      <c r="BA352" s="16" t="n"/>
      <c r="BB352" s="139" t="n"/>
      <c r="BC352" s="16" t="n"/>
      <c r="BD352" s="139" t="n"/>
      <c r="BE352" s="16" t="n"/>
    </row>
    <row r="353" ht="22.5" customFormat="1" customHeight="1" s="8">
      <c r="A353" s="9" t="n"/>
      <c r="B353" s="136" t="inlineStr">
        <is>
          <t>CABLE</t>
        </is>
      </c>
      <c r="C353" s="137" t="inlineStr">
        <is>
          <t>ADX6000FB/S</t>
        </is>
      </c>
      <c r="D353" s="84" t="inlineStr">
        <is>
          <t>하네스 2번</t>
        </is>
      </c>
      <c r="E353" s="13" t="inlineStr">
        <is>
          <t>12505HS-04, USB-105 PC, FRONT BD 연결 / 70mm</t>
        </is>
      </c>
      <c r="F353" s="100" t="n"/>
      <c r="G353" s="9" t="n"/>
      <c r="H353" s="9" t="inlineStr">
        <is>
          <t>HLP</t>
        </is>
      </c>
      <c r="I353" s="14" t="n"/>
      <c r="J353" s="14" t="n"/>
      <c r="K353" s="12" t="n">
        <v>200</v>
      </c>
      <c r="L353" s="9" t="n"/>
      <c r="M353" s="9" t="n"/>
      <c r="N353" s="9" t="n"/>
      <c r="O353" s="40">
        <f>K353+V353-AE353-AZ353</f>
        <v/>
      </c>
      <c r="P353" s="12" t="n"/>
      <c r="Q353" s="138" t="n"/>
      <c r="R353" s="16" t="n"/>
      <c r="S353" s="139" t="n"/>
      <c r="T353" s="16" t="n"/>
      <c r="U353" s="139" t="n"/>
      <c r="V353" s="16">
        <f>P353+R353+T353</f>
        <v/>
      </c>
      <c r="W353" s="16" t="n"/>
      <c r="X353" s="139" t="n"/>
      <c r="Y353" s="16" t="n"/>
      <c r="Z353" s="139" t="n"/>
      <c r="AA353" s="16" t="n"/>
      <c r="AB353" s="139" t="n"/>
      <c r="AC353" s="16" t="n"/>
      <c r="AD353" s="139" t="n"/>
      <c r="AE353" s="16">
        <f>(W353+Y353+AA353+AC353)</f>
        <v/>
      </c>
      <c r="AF353" s="16" t="n"/>
      <c r="AG353" s="138" t="n"/>
      <c r="AH353" s="16" t="n"/>
      <c r="AI353" s="138" t="n"/>
      <c r="AJ353" s="16" t="n"/>
      <c r="AK353" s="138" t="n"/>
      <c r="AL353" s="16" t="n"/>
      <c r="AM353" s="138" t="n"/>
      <c r="AN353" s="16" t="n"/>
      <c r="AO353" s="138" t="n"/>
      <c r="AP353" s="16" t="n"/>
      <c r="AQ353" s="138" t="n"/>
      <c r="AR353" s="16" t="n"/>
      <c r="AS353" s="138" t="n"/>
      <c r="AT353" s="16" t="n"/>
      <c r="AU353" s="138" t="n"/>
      <c r="AV353" s="16" t="n"/>
      <c r="AW353" s="138" t="n"/>
      <c r="AX353" s="16" t="n"/>
      <c r="AY353" s="138" t="n"/>
      <c r="AZ353" s="16">
        <f>AF353+AH353+AJ353+AL353+AN353+AP353+AR353+AT353+AV353+AX353</f>
        <v/>
      </c>
      <c r="BA353" s="16" t="n"/>
      <c r="BB353" s="139" t="n"/>
      <c r="BC353" s="16" t="n"/>
      <c r="BD353" s="139" t="n"/>
      <c r="BE353" s="16">
        <f>(BA353+BC353)</f>
        <v/>
      </c>
    </row>
    <row r="354" ht="22.5" customFormat="1" customHeight="1" s="8">
      <c r="A354" s="9" t="n"/>
      <c r="B354" s="136" t="inlineStr">
        <is>
          <t>CABLE</t>
        </is>
      </c>
      <c r="C354" s="137" t="inlineStr">
        <is>
          <t>ADX6000</t>
        </is>
      </c>
      <c r="D354" s="84" t="inlineStr">
        <is>
          <t>하네스 3번</t>
        </is>
      </c>
      <c r="E354" s="13" t="inlineStr">
        <is>
          <t>Power&amp;Exp Connector 12핀 / 160mm, 70mm</t>
        </is>
      </c>
      <c r="F354" s="100" t="n"/>
      <c r="G354" s="9" t="n"/>
      <c r="H354" s="9" t="inlineStr">
        <is>
          <t>HLP</t>
        </is>
      </c>
      <c r="I354" s="14" t="n"/>
      <c r="J354" s="14" t="n"/>
      <c r="K354" s="12" t="n">
        <v>333</v>
      </c>
      <c r="L354" s="9" t="n"/>
      <c r="M354" s="9" t="n"/>
      <c r="N354" s="9" t="n"/>
      <c r="O354" s="40">
        <f>K354+V354-AE354-AZ354</f>
        <v/>
      </c>
      <c r="P354" s="12" t="n"/>
      <c r="Q354" s="138" t="n"/>
      <c r="R354" s="16" t="n"/>
      <c r="S354" s="139" t="n"/>
      <c r="T354" s="16" t="n"/>
      <c r="U354" s="139" t="n"/>
      <c r="V354" s="16">
        <f>P354+R354+T354</f>
        <v/>
      </c>
      <c r="W354" s="16" t="n"/>
      <c r="X354" s="139" t="n"/>
      <c r="Y354" s="16" t="n"/>
      <c r="Z354" s="139" t="n"/>
      <c r="AA354" s="16" t="n"/>
      <c r="AB354" s="139" t="n"/>
      <c r="AC354" s="16" t="n"/>
      <c r="AD354" s="139" t="n"/>
      <c r="AE354" s="16">
        <f>(W354+Y354+AA354+AC354)</f>
        <v/>
      </c>
      <c r="AF354" s="16" t="n"/>
      <c r="AG354" s="138" t="n"/>
      <c r="AH354" s="16" t="n"/>
      <c r="AI354" s="138" t="n"/>
      <c r="AJ354" s="16" t="n"/>
      <c r="AK354" s="138" t="n"/>
      <c r="AL354" s="16" t="n"/>
      <c r="AM354" s="138" t="n"/>
      <c r="AN354" s="16" t="n"/>
      <c r="AO354" s="138" t="n"/>
      <c r="AP354" s="16" t="n"/>
      <c r="AQ354" s="138" t="n"/>
      <c r="AR354" s="16" t="n"/>
      <c r="AS354" s="138" t="n"/>
      <c r="AT354" s="16" t="n"/>
      <c r="AU354" s="138" t="n"/>
      <c r="AV354" s="16" t="n"/>
      <c r="AW354" s="138" t="n"/>
      <c r="AX354" s="16" t="n"/>
      <c r="AY354" s="138" t="n"/>
      <c r="AZ354" s="16">
        <f>AF354+AH354+AJ354+AL354+AN354+AP354+AR354+AT354+AV354+AX354</f>
        <v/>
      </c>
      <c r="BA354" s="16" t="n"/>
      <c r="BB354" s="139" t="n"/>
      <c r="BC354" s="16" t="n"/>
      <c r="BD354" s="139" t="n"/>
      <c r="BE354" s="16">
        <f>(BA354+BC354)</f>
        <v/>
      </c>
    </row>
    <row r="355" ht="22.5" customFormat="1" customHeight="1" s="8">
      <c r="A355" s="9" t="n"/>
      <c r="B355" s="136" t="inlineStr">
        <is>
          <t>CABLE</t>
        </is>
      </c>
      <c r="C355" s="137" t="inlineStr">
        <is>
          <t>ADX6000</t>
        </is>
      </c>
      <c r="D355" s="84" t="inlineStr">
        <is>
          <t>하네스 5번</t>
        </is>
      </c>
      <c r="E355" s="13" t="inlineStr">
        <is>
          <t>컬리메이터 LED 2핀 / 300mm</t>
        </is>
      </c>
      <c r="F355" s="100" t="n"/>
      <c r="G355" s="9" t="n"/>
      <c r="H355" s="9" t="inlineStr">
        <is>
          <t>HLP</t>
        </is>
      </c>
      <c r="I355" s="14" t="n"/>
      <c r="J355" s="14" t="n"/>
      <c r="K355" s="12" t="n"/>
      <c r="L355" s="9" t="n"/>
      <c r="M355" s="9" t="n"/>
      <c r="N355" s="9" t="n"/>
      <c r="O355" s="40">
        <f>K355+V355-AE355-AZ355</f>
        <v/>
      </c>
      <c r="P355" s="12" t="n"/>
      <c r="Q355" s="138" t="n"/>
      <c r="R355" s="16" t="n"/>
      <c r="S355" s="139" t="n"/>
      <c r="T355" s="16" t="n"/>
      <c r="U355" s="139" t="n"/>
      <c r="V355" s="16">
        <f>P355+R355+T355</f>
        <v/>
      </c>
      <c r="W355" s="16" t="n"/>
      <c r="X355" s="139" t="n"/>
      <c r="Y355" s="16" t="n"/>
      <c r="Z355" s="139" t="n"/>
      <c r="AA355" s="16" t="n"/>
      <c r="AB355" s="139" t="n"/>
      <c r="AC355" s="16" t="n"/>
      <c r="AD355" s="139" t="n"/>
      <c r="AE355" s="16">
        <f>(W355+Y355+AA355+AC355)</f>
        <v/>
      </c>
      <c r="AF355" s="16" t="n"/>
      <c r="AG355" s="138" t="n"/>
      <c r="AH355" s="16" t="n"/>
      <c r="AI355" s="138" t="n"/>
      <c r="AJ355" s="16" t="n"/>
      <c r="AK355" s="138" t="n"/>
      <c r="AL355" s="16" t="n"/>
      <c r="AM355" s="138" t="n"/>
      <c r="AN355" s="16" t="n"/>
      <c r="AO355" s="138" t="n"/>
      <c r="AP355" s="16" t="n"/>
      <c r="AQ355" s="138" t="n"/>
      <c r="AR355" s="16" t="n"/>
      <c r="AS355" s="138" t="n"/>
      <c r="AT355" s="16" t="n"/>
      <c r="AU355" s="138" t="n"/>
      <c r="AV355" s="16" t="n"/>
      <c r="AW355" s="138" t="n"/>
      <c r="AX355" s="16" t="n"/>
      <c r="AY355" s="138" t="n"/>
      <c r="AZ355" s="16">
        <f>AF355+AH355+AJ355+AL355+AN355+AP355+AR355+AT355+AV355+AX355</f>
        <v/>
      </c>
      <c r="BA355" s="16" t="n"/>
      <c r="BB355" s="139" t="n"/>
      <c r="BC355" s="16" t="n"/>
      <c r="BD355" s="139" t="n"/>
      <c r="BE355" s="16">
        <f>(BA355+BC355)</f>
        <v/>
      </c>
    </row>
    <row r="356" ht="22.5" customFormat="1" customHeight="1" s="8">
      <c r="A356" s="9" t="n"/>
      <c r="B356" s="136" t="inlineStr">
        <is>
          <t>CABLE</t>
        </is>
      </c>
      <c r="C356" s="137" t="inlineStr">
        <is>
          <t>ADX6000S</t>
        </is>
      </c>
      <c r="D356" s="84" t="inlineStr">
        <is>
          <t>하네스 6번</t>
        </is>
      </c>
      <c r="E356" s="13" t="inlineStr">
        <is>
          <t>SMH250-02 PC 전원 케이블 / 130mm</t>
        </is>
      </c>
      <c r="F356" s="100" t="n"/>
      <c r="G356" s="9" t="n"/>
      <c r="H356" s="9" t="inlineStr">
        <is>
          <t>HLP</t>
        </is>
      </c>
      <c r="I356" s="14" t="n"/>
      <c r="J356" s="14" t="n"/>
      <c r="K356" s="12" t="n">
        <v>234</v>
      </c>
      <c r="L356" s="9" t="n"/>
      <c r="M356" s="9" t="n"/>
      <c r="N356" s="9" t="n"/>
      <c r="O356" s="40">
        <f>K356+V356-AE356-AZ356</f>
        <v/>
      </c>
      <c r="P356" s="12" t="n"/>
      <c r="Q356" s="138" t="n"/>
      <c r="R356" s="16" t="n"/>
      <c r="S356" s="139" t="n"/>
      <c r="T356" s="16" t="n"/>
      <c r="U356" s="139" t="n"/>
      <c r="V356" s="16">
        <f>P356+R356+T356</f>
        <v/>
      </c>
      <c r="W356" s="16" t="n"/>
      <c r="X356" s="139" t="n"/>
      <c r="Y356" s="16" t="n"/>
      <c r="Z356" s="139" t="n"/>
      <c r="AA356" s="16" t="n"/>
      <c r="AB356" s="139" t="n"/>
      <c r="AC356" s="16" t="n"/>
      <c r="AD356" s="139" t="n"/>
      <c r="AE356" s="16">
        <f>(W356+Y356+AA356+AC356)</f>
        <v/>
      </c>
      <c r="AF356" s="16" t="n"/>
      <c r="AG356" s="138" t="n"/>
      <c r="AH356" s="16" t="n"/>
      <c r="AI356" s="138" t="n"/>
      <c r="AJ356" s="16" t="n"/>
      <c r="AK356" s="138" t="n"/>
      <c r="AL356" s="16" t="n"/>
      <c r="AM356" s="138" t="n"/>
      <c r="AN356" s="16" t="n"/>
      <c r="AO356" s="138" t="n"/>
      <c r="AP356" s="16" t="n"/>
      <c r="AQ356" s="138" t="n"/>
      <c r="AR356" s="16" t="n"/>
      <c r="AS356" s="138" t="n"/>
      <c r="AT356" s="16" t="n"/>
      <c r="AU356" s="138" t="n"/>
      <c r="AV356" s="16" t="n"/>
      <c r="AW356" s="138" t="n"/>
      <c r="AX356" s="16" t="n"/>
      <c r="AY356" s="138" t="n"/>
      <c r="AZ356" s="16">
        <f>AF356+AH356+AJ356+AL356+AN356+AP356+AR356+AT356+AV356+AX356</f>
        <v/>
      </c>
      <c r="BA356" s="16" t="n"/>
      <c r="BB356" s="139" t="n"/>
      <c r="BC356" s="16" t="n"/>
      <c r="BD356" s="139" t="n"/>
      <c r="BE356" s="16">
        <f>(BA356+BC356)</f>
        <v/>
      </c>
    </row>
    <row r="357" ht="22.5" customFormat="1" customHeight="1" s="8">
      <c r="A357" s="9" t="n"/>
      <c r="B357" s="136" t="inlineStr">
        <is>
          <t>CABLE</t>
        </is>
      </c>
      <c r="C357" s="137" t="inlineStr">
        <is>
          <t>ADX6000S</t>
        </is>
      </c>
      <c r="D357" s="84" t="inlineStr">
        <is>
          <t>하네스 7번</t>
        </is>
      </c>
      <c r="E357" s="13" t="inlineStr">
        <is>
          <t>DF19G-20S-1C(0.5) (2EA) LVDS 케이블 / 160mm 힌지 작업시 발주</t>
        </is>
      </c>
      <c r="F357" s="100" t="n"/>
      <c r="G357" s="9" t="n"/>
      <c r="H357" s="9" t="inlineStr">
        <is>
          <t>HLP</t>
        </is>
      </c>
      <c r="I357" s="14" t="n"/>
      <c r="J357" s="14" t="n"/>
      <c r="K357" s="12" t="n"/>
      <c r="L357" s="9" t="n"/>
      <c r="M357" s="9" t="n"/>
      <c r="N357" s="9" t="n"/>
      <c r="O357" s="40">
        <f>K357+V357-AE357-AZ357</f>
        <v/>
      </c>
      <c r="P357" s="12" t="n"/>
      <c r="Q357" s="138" t="n"/>
      <c r="R357" s="16" t="n"/>
      <c r="S357" s="139" t="n"/>
      <c r="T357" s="16" t="n"/>
      <c r="U357" s="139" t="n"/>
      <c r="V357" s="16">
        <f>P357+R357+T357</f>
        <v/>
      </c>
      <c r="W357" s="16" t="n"/>
      <c r="X357" s="139" t="n"/>
      <c r="Y357" s="16" t="n"/>
      <c r="Z357" s="139" t="n"/>
      <c r="AA357" s="16" t="n"/>
      <c r="AB357" s="139" t="n"/>
      <c r="AC357" s="16" t="n"/>
      <c r="AD357" s="139" t="n"/>
      <c r="AE357" s="16">
        <f>(W357+Y357+AA357+AC357)</f>
        <v/>
      </c>
      <c r="AF357" s="16" t="n"/>
      <c r="AG357" s="138" t="n"/>
      <c r="AH357" s="16" t="n"/>
      <c r="AI357" s="138" t="n"/>
      <c r="AJ357" s="16" t="n"/>
      <c r="AK357" s="138" t="n"/>
      <c r="AL357" s="16" t="n"/>
      <c r="AM357" s="138" t="n"/>
      <c r="AN357" s="16" t="n"/>
      <c r="AO357" s="138" t="n"/>
      <c r="AP357" s="16" t="n"/>
      <c r="AQ357" s="138" t="n"/>
      <c r="AR357" s="16" t="n"/>
      <c r="AS357" s="138" t="n"/>
      <c r="AT357" s="16" t="n"/>
      <c r="AU357" s="138" t="n"/>
      <c r="AV357" s="16" t="n"/>
      <c r="AW357" s="138" t="n"/>
      <c r="AX357" s="16" t="n"/>
      <c r="AY357" s="138" t="n"/>
      <c r="AZ357" s="16">
        <f>AF357+AH357+AJ357+AL357+AN357+AP357+AR357+AT357+AV357+AX357</f>
        <v/>
      </c>
      <c r="BA357" s="16" t="n"/>
      <c r="BB357" s="139" t="n"/>
      <c r="BC357" s="16" t="n"/>
      <c r="BD357" s="139" t="n"/>
      <c r="BE357" s="16">
        <f>(BA357+BC357)</f>
        <v/>
      </c>
    </row>
    <row r="358" ht="22.5" customFormat="1" customHeight="1" s="8">
      <c r="A358" s="9" t="n"/>
      <c r="B358" s="136" t="inlineStr">
        <is>
          <t>CABLE</t>
        </is>
      </c>
      <c r="C358" s="137" t="inlineStr">
        <is>
          <t>ADX6000S</t>
        </is>
      </c>
      <c r="D358" s="84" t="inlineStr">
        <is>
          <t>하네스 9-1번</t>
        </is>
      </c>
      <c r="E358" s="13" t="inlineStr">
        <is>
          <t>12505HS-03 Carrier Mini BD 케이블 / 100mm (한쪽만 커넥터)</t>
        </is>
      </c>
      <c r="F358" s="100" t="n"/>
      <c r="G358" s="9" t="n"/>
      <c r="H358" s="9" t="inlineStr">
        <is>
          <t>HLP</t>
        </is>
      </c>
      <c r="I358" s="14" t="n"/>
      <c r="J358" s="14" t="n"/>
      <c r="K358" s="12" t="n">
        <v>500</v>
      </c>
      <c r="L358" s="9" t="n"/>
      <c r="M358" s="9" t="n"/>
      <c r="N358" s="9" t="n"/>
      <c r="O358" s="40">
        <f>K358+V358-AE358-AZ358</f>
        <v/>
      </c>
      <c r="P358" s="12" t="n"/>
      <c r="Q358" s="138" t="n"/>
      <c r="R358" s="16" t="n"/>
      <c r="S358" s="139" t="n"/>
      <c r="T358" s="16" t="n"/>
      <c r="U358" s="139" t="n"/>
      <c r="V358" s="16">
        <f>P358+R358+T358</f>
        <v/>
      </c>
      <c r="W358" s="16" t="n"/>
      <c r="X358" s="139" t="n"/>
      <c r="Y358" s="16" t="n"/>
      <c r="Z358" s="139" t="n"/>
      <c r="AA358" s="16" t="n"/>
      <c r="AB358" s="139" t="n"/>
      <c r="AC358" s="16" t="n"/>
      <c r="AD358" s="139" t="n"/>
      <c r="AE358" s="16">
        <f>(W358+Y358+AA358+AC358)</f>
        <v/>
      </c>
      <c r="AF358" s="16" t="n"/>
      <c r="AG358" s="138" t="n"/>
      <c r="AH358" s="16" t="n"/>
      <c r="AI358" s="138" t="n"/>
      <c r="AJ358" s="16" t="n"/>
      <c r="AK358" s="138" t="n"/>
      <c r="AL358" s="16" t="n"/>
      <c r="AM358" s="138" t="n"/>
      <c r="AN358" s="16" t="n"/>
      <c r="AO358" s="138" t="n"/>
      <c r="AP358" s="16" t="n"/>
      <c r="AQ358" s="138" t="n"/>
      <c r="AR358" s="16" t="n"/>
      <c r="AS358" s="138" t="n"/>
      <c r="AT358" s="16" t="n"/>
      <c r="AU358" s="138" t="n"/>
      <c r="AV358" s="16" t="n"/>
      <c r="AW358" s="138" t="n"/>
      <c r="AX358" s="16" t="n"/>
      <c r="AY358" s="138" t="n"/>
      <c r="AZ358" s="16">
        <f>AF358+AH358+AJ358+AL358+AN358+AP358+AR358+AT358+AV358+AX358</f>
        <v/>
      </c>
      <c r="BA358" s="16" t="n"/>
      <c r="BB358" s="139" t="n"/>
      <c r="BC358" s="16" t="n"/>
      <c r="BD358" s="139" t="n"/>
      <c r="BE358" s="16">
        <f>(BA358+BC358)</f>
        <v/>
      </c>
    </row>
    <row r="359" ht="22.5" customFormat="1" customHeight="1" s="8">
      <c r="A359" s="9" t="n"/>
      <c r="B359" s="136" t="inlineStr">
        <is>
          <t>CABLE</t>
        </is>
      </c>
      <c r="C359" s="137" t="inlineStr">
        <is>
          <t>ADX6000S</t>
        </is>
      </c>
      <c r="D359" s="84" t="inlineStr">
        <is>
          <t>하네스 10번</t>
        </is>
      </c>
      <c r="E359" s="13" t="inlineStr">
        <is>
          <t>CHW0640-03, 1205HS-03 PC, CTR BD 연결 / 130mm</t>
        </is>
      </c>
      <c r="F359" s="100" t="n"/>
      <c r="G359" s="9" t="n"/>
      <c r="H359" s="9" t="inlineStr">
        <is>
          <t>HLP</t>
        </is>
      </c>
      <c r="I359" s="14" t="n"/>
      <c r="J359" s="14" t="n"/>
      <c r="K359" s="12" t="n">
        <v>483</v>
      </c>
      <c r="L359" s="9" t="n"/>
      <c r="M359" s="9" t="n"/>
      <c r="N359" s="9" t="n"/>
      <c r="O359" s="40">
        <f>K359+V359-AE359-AZ359</f>
        <v/>
      </c>
      <c r="P359" s="12" t="n"/>
      <c r="Q359" s="138" t="n"/>
      <c r="R359" s="16" t="n"/>
      <c r="S359" s="139" t="n"/>
      <c r="T359" s="16" t="n"/>
      <c r="U359" s="139" t="n"/>
      <c r="V359" s="16">
        <f>P359+R359+T359</f>
        <v/>
      </c>
      <c r="W359" s="16" t="n"/>
      <c r="X359" s="139" t="n"/>
      <c r="Y359" s="16" t="n"/>
      <c r="Z359" s="139" t="n"/>
      <c r="AA359" s="16" t="n"/>
      <c r="AB359" s="139" t="n"/>
      <c r="AC359" s="16" t="n"/>
      <c r="AD359" s="139" t="n"/>
      <c r="AE359" s="16">
        <f>(W359+Y359+AA359+AC359)</f>
        <v/>
      </c>
      <c r="AF359" s="16" t="n"/>
      <c r="AG359" s="138" t="n"/>
      <c r="AH359" s="16" t="n"/>
      <c r="AI359" s="138" t="n"/>
      <c r="AJ359" s="16" t="n"/>
      <c r="AK359" s="138" t="n"/>
      <c r="AL359" s="16" t="n"/>
      <c r="AM359" s="138" t="n"/>
      <c r="AN359" s="16" t="n"/>
      <c r="AO359" s="138" t="n"/>
      <c r="AP359" s="16" t="n"/>
      <c r="AQ359" s="138" t="n"/>
      <c r="AR359" s="16" t="n"/>
      <c r="AS359" s="138" t="n"/>
      <c r="AT359" s="16" t="n"/>
      <c r="AU359" s="138" t="n"/>
      <c r="AV359" s="16" t="n"/>
      <c r="AW359" s="138" t="n"/>
      <c r="AX359" s="16" t="n"/>
      <c r="AY359" s="138" t="n"/>
      <c r="AZ359" s="16">
        <f>AF359+AH359+AJ359+AL359+AN359+AP359+AR359+AT359+AV359+AX359</f>
        <v/>
      </c>
      <c r="BA359" s="16" t="n"/>
      <c r="BB359" s="139" t="n"/>
      <c r="BC359" s="16" t="n"/>
      <c r="BD359" s="139" t="n"/>
      <c r="BE359" s="16">
        <f>(BA359+BC359)</f>
        <v/>
      </c>
    </row>
    <row r="360" ht="22.5" customFormat="1" customHeight="1" s="8">
      <c r="A360" s="9" t="n"/>
      <c r="B360" s="136" t="inlineStr">
        <is>
          <t>CABLE</t>
        </is>
      </c>
      <c r="C360" s="137" t="inlineStr">
        <is>
          <t>ADX6000</t>
        </is>
      </c>
      <c r="D360" s="84" t="inlineStr">
        <is>
          <t>하네스 11번</t>
        </is>
      </c>
      <c r="E360" s="13" t="inlineStr">
        <is>
          <t>Battery BD 02 [4핀,2핀,Dual] 탈착, 외부 BAT BD 연결 / 90mm, 80mm</t>
        </is>
      </c>
      <c r="F360" s="100" t="n"/>
      <c r="G360" s="9" t="n"/>
      <c r="H360" s="9" t="inlineStr">
        <is>
          <t>HLP</t>
        </is>
      </c>
      <c r="I360" s="14" t="n"/>
      <c r="J360" s="14" t="n"/>
      <c r="K360" s="12" t="n"/>
      <c r="L360" s="9" t="n"/>
      <c r="M360" s="9" t="n"/>
      <c r="N360" s="9" t="n"/>
      <c r="O360" s="40">
        <f>K360+V360-AE360-AZ360</f>
        <v/>
      </c>
      <c r="P360" s="12" t="n"/>
      <c r="Q360" s="138" t="n"/>
      <c r="R360" s="16" t="n"/>
      <c r="S360" s="139" t="n"/>
      <c r="T360" s="16" t="n"/>
      <c r="U360" s="139" t="n"/>
      <c r="V360" s="16">
        <f>P360+R360+T360</f>
        <v/>
      </c>
      <c r="W360" s="16" t="n"/>
      <c r="X360" s="139" t="n"/>
      <c r="Y360" s="16" t="n"/>
      <c r="Z360" s="139" t="n"/>
      <c r="AA360" s="16" t="n"/>
      <c r="AB360" s="139" t="n"/>
      <c r="AC360" s="16" t="n"/>
      <c r="AD360" s="139" t="n"/>
      <c r="AE360" s="16">
        <f>(W360+Y360+AA360+AC360)</f>
        <v/>
      </c>
      <c r="AF360" s="16" t="n"/>
      <c r="AG360" s="138" t="n"/>
      <c r="AH360" s="16" t="n"/>
      <c r="AI360" s="138" t="n"/>
      <c r="AJ360" s="16" t="n"/>
      <c r="AK360" s="138" t="n"/>
      <c r="AL360" s="16" t="n"/>
      <c r="AM360" s="138" t="n"/>
      <c r="AN360" s="16" t="n"/>
      <c r="AO360" s="138" t="n"/>
      <c r="AP360" s="16" t="n"/>
      <c r="AQ360" s="138" t="n"/>
      <c r="AR360" s="16" t="n"/>
      <c r="AS360" s="138" t="n"/>
      <c r="AT360" s="16" t="n"/>
      <c r="AU360" s="138" t="n"/>
      <c r="AV360" s="16" t="n"/>
      <c r="AW360" s="138" t="n"/>
      <c r="AX360" s="16" t="n"/>
      <c r="AY360" s="138" t="n"/>
      <c r="AZ360" s="16">
        <f>AF360+AH360+AJ360+AL360+AN360+AP360+AR360+AT360+AV360+AX360</f>
        <v/>
      </c>
      <c r="BA360" s="16" t="n"/>
      <c r="BB360" s="139" t="n"/>
      <c r="BC360" s="16" t="n"/>
      <c r="BD360" s="139" t="n"/>
      <c r="BE360" s="16">
        <f>(BA360+BC360)</f>
        <v/>
      </c>
    </row>
    <row r="361" ht="22.5" customFormat="1" customHeight="1" s="8">
      <c r="A361" s="9" t="n"/>
      <c r="B361" s="136" t="inlineStr">
        <is>
          <t>CABLE</t>
        </is>
      </c>
      <c r="C361" s="137" t="inlineStr">
        <is>
          <t>ADX6000</t>
        </is>
      </c>
      <c r="D361" s="84" t="inlineStr">
        <is>
          <t>하네스 11-1번</t>
        </is>
      </c>
      <c r="E361" s="13" t="n"/>
      <c r="F361" s="9" t="n"/>
      <c r="G361" s="9" t="n"/>
      <c r="H361" s="9" t="inlineStr">
        <is>
          <t>HLP</t>
        </is>
      </c>
      <c r="I361" s="40" t="n">
        <v>0</v>
      </c>
      <c r="J361" s="16" t="n">
        <v>0</v>
      </c>
      <c r="K361" s="16" t="n">
        <v>227</v>
      </c>
      <c r="L361" s="16" t="n"/>
      <c r="M361" s="138" t="n"/>
      <c r="N361" s="16" t="n"/>
      <c r="O361" s="40">
        <f>K361+V361-AE361-AZ361</f>
        <v/>
      </c>
      <c r="P361" s="16" t="n">
        <v>0</v>
      </c>
      <c r="Q361" s="16" t="n">
        <v>0</v>
      </c>
      <c r="R361" s="16" t="n"/>
      <c r="S361" s="138" t="n"/>
      <c r="T361" s="16" t="n"/>
      <c r="U361" s="138" t="n"/>
      <c r="V361" s="16">
        <f>P361+R361+T361</f>
        <v/>
      </c>
      <c r="W361" s="138" t="n"/>
      <c r="X361" s="16" t="n"/>
      <c r="Y361" s="138" t="n"/>
      <c r="Z361" s="16" t="n"/>
      <c r="AA361" s="138" t="n"/>
      <c r="AB361" s="16" t="n"/>
      <c r="AC361" s="138" t="n"/>
      <c r="AD361" s="16" t="n"/>
      <c r="AE361" s="16">
        <f>(W361+Y361+AA361+AC361)</f>
        <v/>
      </c>
      <c r="AF361" s="16" t="n"/>
      <c r="AG361" s="16" t="n"/>
    </row>
    <row r="362" ht="22.5" customFormat="1" customHeight="1" s="8">
      <c r="A362" s="9" t="n"/>
      <c r="B362" s="136" t="inlineStr">
        <is>
          <t>CABLE</t>
        </is>
      </c>
      <c r="C362" s="137" t="inlineStr">
        <is>
          <t>ADX6000S</t>
        </is>
      </c>
      <c r="D362" s="84" t="inlineStr">
        <is>
          <t>하네스 14번</t>
        </is>
      </c>
      <c r="E362" s="13" t="inlineStr">
        <is>
          <t>FFC Cable 40핀 / 50mm - 사용안함</t>
        </is>
      </c>
      <c r="F362" s="100" t="n"/>
      <c r="G362" s="9" t="n"/>
      <c r="H362" s="9" t="inlineStr">
        <is>
          <t>HLP</t>
        </is>
      </c>
      <c r="I362" s="14" t="n"/>
      <c r="J362" s="14" t="n"/>
      <c r="K362" s="12" t="n">
        <v>152</v>
      </c>
      <c r="L362" s="9" t="n"/>
      <c r="M362" s="9" t="n"/>
      <c r="N362" s="9" t="n"/>
      <c r="O362" s="40">
        <f>K362+V362-AE362-AZ362</f>
        <v/>
      </c>
      <c r="P362" s="12" t="n"/>
      <c r="Q362" s="138" t="n"/>
      <c r="R362" s="16" t="n"/>
      <c r="S362" s="139" t="n"/>
      <c r="T362" s="16" t="n"/>
      <c r="U362" s="139" t="n"/>
      <c r="V362" s="16">
        <f>P362+R362+T362</f>
        <v/>
      </c>
      <c r="W362" s="16" t="n"/>
      <c r="X362" s="139" t="n"/>
      <c r="Y362" s="16" t="n"/>
      <c r="Z362" s="139" t="n"/>
      <c r="AA362" s="16" t="n"/>
      <c r="AB362" s="139" t="n"/>
      <c r="AC362" s="16" t="n"/>
      <c r="AD362" s="139" t="n"/>
      <c r="AE362" s="16">
        <f>(W362+Y362+AA362+AC362)</f>
        <v/>
      </c>
      <c r="AF362" s="16" t="n"/>
      <c r="AG362" s="138" t="n"/>
      <c r="AH362" s="16" t="n"/>
      <c r="AI362" s="138" t="n"/>
      <c r="AJ362" s="16" t="n"/>
      <c r="AK362" s="138" t="n"/>
      <c r="AL362" s="16" t="n"/>
      <c r="AM362" s="138" t="n"/>
      <c r="AN362" s="16" t="n"/>
      <c r="AO362" s="138" t="n"/>
      <c r="AP362" s="16" t="n"/>
      <c r="AQ362" s="138" t="n"/>
      <c r="AR362" s="16" t="n"/>
      <c r="AS362" s="138" t="n"/>
      <c r="AT362" s="16" t="n"/>
      <c r="AU362" s="138" t="n"/>
      <c r="AV362" s="16" t="n"/>
      <c r="AW362" s="138" t="n"/>
      <c r="AX362" s="16" t="n"/>
      <c r="AY362" s="138" t="n"/>
      <c r="AZ362" s="16">
        <f>AF362+AH362+AJ362+AL362+AN362+AP362+AR362+AT362+AV362+AX362</f>
        <v/>
      </c>
      <c r="BA362" s="16" t="n"/>
      <c r="BB362" s="139" t="n"/>
      <c r="BC362" s="16" t="n"/>
      <c r="BD362" s="139" t="n"/>
      <c r="BE362" s="16">
        <f>(BA362+BC362)</f>
        <v/>
      </c>
    </row>
    <row r="363" ht="22.5" customFormat="1" customHeight="1" s="8">
      <c r="A363" s="9" t="n"/>
      <c r="B363" s="136" t="inlineStr">
        <is>
          <t>CABLE</t>
        </is>
      </c>
      <c r="C363" s="137" t="inlineStr">
        <is>
          <t>ADX6000</t>
        </is>
      </c>
      <c r="D363" s="85" t="inlineStr">
        <is>
          <t>Battery BD 01 Wire Harness (2핀)</t>
        </is>
      </c>
      <c r="E363" s="23" t="inlineStr">
        <is>
          <t>80mm</t>
        </is>
      </c>
      <c r="F363" s="100" t="n"/>
      <c r="G363" s="9" t="n"/>
      <c r="H363" s="9" t="inlineStr">
        <is>
          <t>HLP</t>
        </is>
      </c>
      <c r="I363" s="14" t="n"/>
      <c r="J363" s="14" t="n"/>
      <c r="K363" s="12" t="n">
        <v>620</v>
      </c>
      <c r="L363" s="9" t="n"/>
      <c r="M363" s="9" t="n"/>
      <c r="N363" s="9" t="n"/>
      <c r="O363" s="40">
        <f>K363+V363-AE363-AZ363</f>
        <v/>
      </c>
      <c r="P363" s="12" t="n"/>
      <c r="Q363" s="138" t="n"/>
      <c r="R363" s="16" t="n"/>
      <c r="S363" s="139" t="n"/>
      <c r="T363" s="16" t="n"/>
      <c r="U363" s="139" t="n"/>
      <c r="V363" s="16">
        <f>P363+R363+T363</f>
        <v/>
      </c>
      <c r="W363" s="16" t="n"/>
      <c r="X363" s="139" t="n"/>
      <c r="Y363" s="16" t="n"/>
      <c r="Z363" s="139" t="n"/>
      <c r="AA363" s="16" t="n"/>
      <c r="AB363" s="139" t="n"/>
      <c r="AC363" s="16" t="n"/>
      <c r="AD363" s="139" t="n"/>
      <c r="AE363" s="16">
        <f>(W363+Y363+AA363+AC363)</f>
        <v/>
      </c>
      <c r="AF363" s="16" t="n"/>
      <c r="AG363" s="138" t="n"/>
      <c r="AH363" s="16" t="n"/>
      <c r="AI363" s="138" t="n"/>
      <c r="AJ363" s="16" t="n"/>
      <c r="AK363" s="138" t="n"/>
      <c r="AL363" s="16" t="n"/>
      <c r="AM363" s="138" t="n"/>
      <c r="AN363" s="16" t="n"/>
      <c r="AO363" s="138" t="n"/>
      <c r="AP363" s="16" t="n"/>
      <c r="AQ363" s="138" t="n"/>
      <c r="AR363" s="16" t="n"/>
      <c r="AS363" s="138" t="n"/>
      <c r="AT363" s="16" t="n"/>
      <c r="AU363" s="138" t="n"/>
      <c r="AV363" s="16" t="n"/>
      <c r="AW363" s="138" t="n"/>
      <c r="AX363" s="16" t="n"/>
      <c r="AY363" s="138" t="n"/>
      <c r="AZ363" s="16">
        <f>AF363+AH363+AJ363+AL363+AN363+AP363+AR363+AT363+AV363+AX363</f>
        <v/>
      </c>
      <c r="BA363" s="16" t="n"/>
      <c r="BB363" s="139" t="n"/>
      <c r="BC363" s="16" t="n"/>
      <c r="BD363" s="139" t="n"/>
      <c r="BE363" s="16">
        <f>(BA363+BC363)</f>
        <v/>
      </c>
    </row>
    <row r="364" ht="22.5" customFormat="1" customHeight="1" s="8">
      <c r="A364" s="9" t="n"/>
      <c r="B364" s="136" t="inlineStr">
        <is>
          <t>PANEL</t>
        </is>
      </c>
      <c r="C364" s="137" t="inlineStr">
        <is>
          <t>ADX6000S</t>
        </is>
      </c>
      <c r="D364" s="65" t="inlineStr">
        <is>
          <t>4.3" LCD (신형)</t>
        </is>
      </c>
      <c r="E364" s="13" t="inlineStr">
        <is>
          <t>IEC-1000</t>
        </is>
      </c>
      <c r="F364" s="100" t="n"/>
      <c r="G364" s="9" t="n"/>
      <c r="H364" s="9" t="inlineStr">
        <is>
          <t>에이치앤에스</t>
        </is>
      </c>
      <c r="I364" s="14" t="n"/>
      <c r="J364" s="14" t="n"/>
      <c r="K364" s="12" t="n"/>
      <c r="L364" s="9" t="n"/>
      <c r="M364" s="9" t="n"/>
      <c r="N364" s="9" t="n"/>
      <c r="O364" s="40">
        <f>K364+V364-AE364-AZ364</f>
        <v/>
      </c>
      <c r="P364" s="12" t="n"/>
      <c r="Q364" s="138" t="n"/>
      <c r="R364" s="16" t="n"/>
      <c r="S364" s="139" t="n"/>
      <c r="T364" s="16" t="n"/>
      <c r="U364" s="139" t="n"/>
      <c r="V364" s="16">
        <f>P364+R364+T364</f>
        <v/>
      </c>
      <c r="W364" s="16" t="n"/>
      <c r="X364" s="139" t="n"/>
      <c r="Y364" s="16" t="n"/>
      <c r="Z364" s="139" t="n"/>
      <c r="AA364" s="16" t="n"/>
      <c r="AB364" s="139" t="n"/>
      <c r="AC364" s="16" t="n"/>
      <c r="AD364" s="139" t="n"/>
      <c r="AE364" s="16">
        <f>(W364+Y364+AA364+AC364)</f>
        <v/>
      </c>
      <c r="AF364" s="16" t="n"/>
      <c r="AG364" s="138" t="n"/>
      <c r="AH364" s="16" t="n"/>
      <c r="AI364" s="138" t="n"/>
      <c r="AJ364" s="16" t="n"/>
      <c r="AK364" s="138" t="n"/>
      <c r="AL364" s="16" t="n"/>
      <c r="AM364" s="138" t="n"/>
      <c r="AN364" s="16" t="n"/>
      <c r="AO364" s="138" t="n"/>
      <c r="AP364" s="16" t="n"/>
      <c r="AQ364" s="138" t="n"/>
      <c r="AR364" s="16" t="n"/>
      <c r="AS364" s="138" t="n"/>
      <c r="AT364" s="16" t="n"/>
      <c r="AU364" s="138" t="n"/>
      <c r="AV364" s="16" t="n"/>
      <c r="AW364" s="138" t="n"/>
      <c r="AX364" s="16" t="n"/>
      <c r="AY364" s="138" t="n"/>
      <c r="AZ364" s="16">
        <f>AF364+AH364+AJ364+AL364+AN364+AP364+AR364+AT364+AV364+AX364</f>
        <v/>
      </c>
      <c r="BA364" s="16" t="n"/>
      <c r="BB364" s="139" t="n"/>
      <c r="BC364" s="16" t="n"/>
      <c r="BD364" s="139" t="n"/>
      <c r="BE364" s="16">
        <f>(BA364+BC364)</f>
        <v/>
      </c>
    </row>
    <row r="365" ht="22.5" customFormat="1" customHeight="1" s="8">
      <c r="A365" s="9" t="n"/>
      <c r="B365" s="136" t="inlineStr">
        <is>
          <t>MODULE</t>
        </is>
      </c>
      <c r="C365" s="137" t="inlineStr">
        <is>
          <t>ADX6000S</t>
        </is>
      </c>
      <c r="D365" s="84" t="inlineStr">
        <is>
          <t>4.3" Module (신형)</t>
        </is>
      </c>
      <c r="E365" s="13" t="inlineStr">
        <is>
          <t>IEC-1000</t>
        </is>
      </c>
      <c r="F365" s="100" t="n"/>
      <c r="G365" s="9" t="n"/>
      <c r="H365" s="9" t="inlineStr">
        <is>
          <t>에이치앤에스</t>
        </is>
      </c>
      <c r="I365" s="14" t="n"/>
      <c r="J365" s="14" t="n"/>
      <c r="K365" s="12" t="n"/>
      <c r="L365" s="9" t="n"/>
      <c r="M365" s="9" t="n"/>
      <c r="N365" s="9" t="n"/>
      <c r="O365" s="40">
        <f>K365+V365-AE365-AZ365</f>
        <v/>
      </c>
      <c r="P365" s="12" t="n"/>
      <c r="Q365" s="138" t="n"/>
      <c r="R365" s="16" t="n"/>
      <c r="S365" s="139" t="n"/>
      <c r="T365" s="16" t="n"/>
      <c r="U365" s="139" t="n"/>
      <c r="V365" s="16">
        <f>P365+R365+T365</f>
        <v/>
      </c>
      <c r="W365" s="16" t="n"/>
      <c r="X365" s="139" t="n"/>
      <c r="Y365" s="16" t="n"/>
      <c r="Z365" s="139" t="n"/>
      <c r="AA365" s="16" t="n"/>
      <c r="AB365" s="139" t="n"/>
      <c r="AC365" s="16" t="n"/>
      <c r="AD365" s="139" t="n"/>
      <c r="AE365" s="16">
        <f>(W365+Y365+AA365+AC365)</f>
        <v/>
      </c>
      <c r="AF365" s="16" t="n"/>
      <c r="AG365" s="138" t="n"/>
      <c r="AH365" s="16" t="n"/>
      <c r="AI365" s="138" t="n"/>
      <c r="AJ365" s="16" t="n"/>
      <c r="AK365" s="138" t="n"/>
      <c r="AL365" s="16" t="n"/>
      <c r="AM365" s="138" t="n"/>
      <c r="AN365" s="16" t="n"/>
      <c r="AO365" s="138" t="n"/>
      <c r="AP365" s="16" t="n"/>
      <c r="AQ365" s="138" t="n"/>
      <c r="AR365" s="16" t="n"/>
      <c r="AS365" s="138" t="n"/>
      <c r="AT365" s="16" t="n"/>
      <c r="AU365" s="138" t="n"/>
      <c r="AV365" s="16" t="n"/>
      <c r="AW365" s="138" t="n"/>
      <c r="AX365" s="16" t="n"/>
      <c r="AY365" s="138" t="n"/>
      <c r="AZ365" s="16">
        <f>AF365+AH365+AJ365+AL365+AN365+AP365+AR365+AT365+AV365+AX365</f>
        <v/>
      </c>
      <c r="BA365" s="16" t="n"/>
      <c r="BB365" s="139" t="n"/>
      <c r="BC365" s="16" t="n"/>
      <c r="BD365" s="139" t="n"/>
      <c r="BE365" s="16">
        <f>(BA365+BC365)</f>
        <v/>
      </c>
    </row>
    <row r="366" ht="22.5" customFormat="1" customHeight="1" s="8">
      <c r="A366" s="9" t="n"/>
      <c r="B366" s="136" t="inlineStr">
        <is>
          <t>ABS 난연</t>
        </is>
      </c>
      <c r="C366" s="137" t="inlineStr">
        <is>
          <t>ADX6000</t>
        </is>
      </c>
      <c r="D366" s="84" t="inlineStr">
        <is>
          <t>컬리메이터 TOP 사출</t>
        </is>
      </c>
      <c r="E366" s="13" t="inlineStr">
        <is>
          <t>ABS 난연 화이트 + 스프레이</t>
        </is>
      </c>
      <c r="F366" s="100" t="n"/>
      <c r="G366" s="9" t="n"/>
      <c r="H366" s="9" t="inlineStr">
        <is>
          <t>천우</t>
        </is>
      </c>
      <c r="I366" s="14" t="n"/>
      <c r="J366" s="14" t="n"/>
      <c r="K366" s="12" t="n">
        <v>348</v>
      </c>
      <c r="L366" s="9" t="n"/>
      <c r="M366" s="9" t="n"/>
      <c r="N366" s="9" t="n"/>
      <c r="O366" s="40">
        <f>K366+V366-AE366-AZ366</f>
        <v/>
      </c>
      <c r="P366" s="12" t="n"/>
      <c r="Q366" s="138" t="n"/>
      <c r="R366" s="16" t="n"/>
      <c r="S366" s="139" t="n"/>
      <c r="T366" s="16" t="n"/>
      <c r="U366" s="139" t="n"/>
      <c r="V366" s="16">
        <f>P366+R366+T366</f>
        <v/>
      </c>
      <c r="W366" s="16" t="n"/>
      <c r="X366" s="139" t="n"/>
      <c r="Y366" s="16" t="n"/>
      <c r="Z366" s="139" t="n"/>
      <c r="AA366" s="16" t="n"/>
      <c r="AB366" s="139" t="n"/>
      <c r="AC366" s="16" t="n"/>
      <c r="AD366" s="139" t="n"/>
      <c r="AE366" s="16">
        <f>(W366+Y366+AA366+AC366)</f>
        <v/>
      </c>
      <c r="AF366" s="16" t="n"/>
      <c r="AG366" s="138" t="n"/>
      <c r="AH366" s="16" t="n"/>
      <c r="AI366" s="138" t="n"/>
      <c r="AJ366" s="16" t="n"/>
      <c r="AK366" s="138" t="n"/>
      <c r="AL366" s="16" t="n"/>
      <c r="AM366" s="138" t="n"/>
      <c r="AN366" s="16" t="n"/>
      <c r="AO366" s="138" t="n"/>
      <c r="AP366" s="16" t="n"/>
      <c r="AQ366" s="138" t="n"/>
      <c r="AR366" s="16" t="n"/>
      <c r="AS366" s="138" t="n"/>
      <c r="AT366" s="16" t="n"/>
      <c r="AU366" s="138" t="n"/>
      <c r="AV366" s="16" t="n"/>
      <c r="AW366" s="138" t="n"/>
      <c r="AX366" s="16" t="n"/>
      <c r="AY366" s="138" t="n"/>
      <c r="AZ366" s="16">
        <f>AF366+AH366+AJ366+AL366+AN366+AP366+AR366+AT366+AV366+AX366</f>
        <v/>
      </c>
      <c r="BA366" s="16" t="n"/>
      <c r="BB366" s="139" t="n"/>
      <c r="BC366" s="16" t="n"/>
      <c r="BD366" s="139" t="n"/>
      <c r="BE366" s="16">
        <f>(BA366+BC366)</f>
        <v/>
      </c>
    </row>
    <row r="367" ht="22.5" customFormat="1" customHeight="1" s="8">
      <c r="A367" s="9" t="n"/>
      <c r="B367" s="136" t="inlineStr">
        <is>
          <t>ABS 난연</t>
        </is>
      </c>
      <c r="C367" s="137" t="inlineStr">
        <is>
          <t>ADX6000</t>
        </is>
      </c>
      <c r="D367" s="84" t="inlineStr">
        <is>
          <t>컬리메이터 BOTTOM 사출</t>
        </is>
      </c>
      <c r="E367" s="13" t="inlineStr">
        <is>
          <t>ABS 난연 화이트 + 스프레이</t>
        </is>
      </c>
      <c r="F367" s="100" t="n"/>
      <c r="G367" s="9" t="n"/>
      <c r="H367" s="9" t="inlineStr">
        <is>
          <t>천우</t>
        </is>
      </c>
      <c r="I367" s="14" t="n"/>
      <c r="J367" s="14" t="n"/>
      <c r="K367" s="12" t="n">
        <v>326</v>
      </c>
      <c r="L367" s="9" t="n"/>
      <c r="M367" s="9" t="n"/>
      <c r="N367" s="9" t="n"/>
      <c r="O367" s="40">
        <f>K367+V367-AE367-AZ367</f>
        <v/>
      </c>
      <c r="P367" s="12" t="n"/>
      <c r="Q367" s="138" t="n"/>
      <c r="R367" s="16" t="n"/>
      <c r="S367" s="139" t="n"/>
      <c r="T367" s="16" t="n"/>
      <c r="U367" s="139" t="n"/>
      <c r="V367" s="16">
        <f>P367+R367+T367</f>
        <v/>
      </c>
      <c r="W367" s="16" t="n"/>
      <c r="X367" s="139" t="n"/>
      <c r="Y367" s="16" t="n"/>
      <c r="Z367" s="139" t="n"/>
      <c r="AA367" s="16" t="n"/>
      <c r="AB367" s="139" t="n"/>
      <c r="AC367" s="16" t="n"/>
      <c r="AD367" s="139" t="n"/>
      <c r="AE367" s="16">
        <f>(W367+Y367+AA367+AC367)</f>
        <v/>
      </c>
      <c r="AF367" s="16" t="n"/>
      <c r="AG367" s="138" t="n"/>
      <c r="AH367" s="16" t="n"/>
      <c r="AI367" s="138" t="n"/>
      <c r="AJ367" s="16" t="n"/>
      <c r="AK367" s="138" t="n"/>
      <c r="AL367" s="16" t="n"/>
      <c r="AM367" s="138" t="n"/>
      <c r="AN367" s="16" t="n"/>
      <c r="AO367" s="138" t="n"/>
      <c r="AP367" s="16" t="n"/>
      <c r="AQ367" s="138" t="n"/>
      <c r="AR367" s="16" t="n"/>
      <c r="AS367" s="138" t="n"/>
      <c r="AT367" s="16" t="n"/>
      <c r="AU367" s="138" t="n"/>
      <c r="AV367" s="16" t="n"/>
      <c r="AW367" s="138" t="n"/>
      <c r="AX367" s="16" t="n"/>
      <c r="AY367" s="138" t="n"/>
      <c r="AZ367" s="16">
        <f>AF367+AH367+AJ367+AL367+AN367+AP367+AR367+AT367+AV367+AX367</f>
        <v/>
      </c>
      <c r="BA367" s="16" t="n"/>
      <c r="BB367" s="139" t="n"/>
      <c r="BC367" s="16" t="n"/>
      <c r="BD367" s="139" t="n"/>
      <c r="BE367" s="16">
        <f>(BA367+BC367)</f>
        <v/>
      </c>
    </row>
    <row r="368" ht="22.5" customFormat="1" customHeight="1" s="8">
      <c r="A368" s="9" t="n"/>
      <c r="B368" s="136" t="inlineStr">
        <is>
          <t>ABS 난연</t>
        </is>
      </c>
      <c r="C368" s="137" t="inlineStr">
        <is>
          <t>ADX6000</t>
        </is>
      </c>
      <c r="D368" s="84" t="inlineStr">
        <is>
          <t>컬리메이터 콘 가이드</t>
        </is>
      </c>
      <c r="E368" s="13" t="n"/>
      <c r="F368" s="100" t="n"/>
      <c r="G368" s="9" t="n"/>
      <c r="H368" s="9" t="inlineStr">
        <is>
          <t>천우</t>
        </is>
      </c>
      <c r="I368" s="14" t="n"/>
      <c r="J368" s="14" t="n"/>
      <c r="K368" s="12" t="n">
        <v>34</v>
      </c>
      <c r="L368" s="9" t="n"/>
      <c r="M368" s="9" t="n"/>
      <c r="N368" s="9" t="n"/>
      <c r="O368" s="40">
        <f>K368+V368-AE368-AZ368</f>
        <v/>
      </c>
      <c r="P368" s="12" t="n"/>
      <c r="Q368" s="138" t="n"/>
      <c r="R368" s="16" t="n"/>
      <c r="S368" s="139" t="n"/>
      <c r="T368" s="16" t="n"/>
      <c r="U368" s="139" t="n"/>
      <c r="V368" s="16">
        <f>P368+R368+T368</f>
        <v/>
      </c>
      <c r="W368" s="16" t="n"/>
      <c r="X368" s="139" t="n"/>
      <c r="Y368" s="16" t="n"/>
      <c r="Z368" s="139" t="n"/>
      <c r="AA368" s="16" t="n"/>
      <c r="AB368" s="139" t="n"/>
      <c r="AC368" s="16" t="n"/>
      <c r="AD368" s="139" t="n"/>
      <c r="AE368" s="16">
        <f>(W368+Y368+AA368+AC368)</f>
        <v/>
      </c>
      <c r="AF368" s="16" t="n"/>
      <c r="AG368" s="138" t="n"/>
      <c r="AH368" s="16" t="n"/>
      <c r="AI368" s="138" t="n"/>
      <c r="AJ368" s="16" t="n"/>
      <c r="AK368" s="138" t="n"/>
      <c r="AL368" s="16" t="n"/>
      <c r="AM368" s="138" t="n"/>
      <c r="AN368" s="16" t="n"/>
      <c r="AO368" s="138" t="n"/>
      <c r="AP368" s="16" t="n"/>
      <c r="AQ368" s="138" t="n"/>
      <c r="AR368" s="16" t="n"/>
      <c r="AS368" s="138" t="n"/>
      <c r="AT368" s="16" t="n"/>
      <c r="AU368" s="138" t="n"/>
      <c r="AV368" s="16" t="n"/>
      <c r="AW368" s="138" t="n"/>
      <c r="AX368" s="16" t="n"/>
      <c r="AY368" s="138" t="n"/>
      <c r="AZ368" s="16" t="n"/>
      <c r="BA368" s="16" t="n"/>
      <c r="BB368" s="139" t="n"/>
      <c r="BC368" s="16" t="n"/>
      <c r="BD368" s="139" t="n"/>
      <c r="BE368" s="16" t="n"/>
    </row>
    <row r="369" ht="22.5" customFormat="1" customHeight="1" s="8">
      <c r="A369" s="9" t="n"/>
      <c r="B369" s="136" t="inlineStr">
        <is>
          <t>ABS 난연</t>
        </is>
      </c>
      <c r="C369" s="137" t="inlineStr">
        <is>
          <t>ADX6000</t>
        </is>
      </c>
      <c r="D369" s="84" t="inlineStr">
        <is>
          <t>컬리메이터 FRONT 사출</t>
        </is>
      </c>
      <c r="E369" s="13" t="inlineStr">
        <is>
          <t>ABS 난연 화이트 + 스프레이 (블루펄유광)</t>
        </is>
      </c>
      <c r="F369" s="100" t="n"/>
      <c r="G369" s="9" t="n"/>
      <c r="H369" s="9" t="inlineStr">
        <is>
          <t>천우</t>
        </is>
      </c>
      <c r="I369" s="14" t="n"/>
      <c r="J369" s="14" t="n"/>
      <c r="K369" s="12" t="n">
        <v>303</v>
      </c>
      <c r="L369" s="9" t="n"/>
      <c r="M369" s="9" t="n"/>
      <c r="N369" s="9" t="n"/>
      <c r="O369" s="40">
        <f>K369+V369-AE369-AZ369</f>
        <v/>
      </c>
      <c r="P369" s="12" t="n"/>
      <c r="Q369" s="138" t="n"/>
      <c r="R369" s="16" t="n"/>
      <c r="S369" s="139" t="n"/>
      <c r="T369" s="16" t="n"/>
      <c r="U369" s="139" t="n"/>
      <c r="V369" s="16">
        <f>P369+R369+T369</f>
        <v/>
      </c>
      <c r="W369" s="16" t="n"/>
      <c r="X369" s="139" t="n"/>
      <c r="Y369" s="16" t="n"/>
      <c r="Z369" s="139" t="n"/>
      <c r="AA369" s="16" t="n"/>
      <c r="AB369" s="139" t="n"/>
      <c r="AC369" s="16" t="n"/>
      <c r="AD369" s="139" t="n"/>
      <c r="AE369" s="16">
        <f>(W369+Y369+AA369+AC369)</f>
        <v/>
      </c>
      <c r="AF369" s="16" t="n"/>
      <c r="AG369" s="138" t="n"/>
      <c r="AH369" s="16" t="n"/>
      <c r="AI369" s="138" t="n"/>
      <c r="AJ369" s="16" t="n"/>
      <c r="AK369" s="138" t="n"/>
      <c r="AL369" s="16" t="n"/>
      <c r="AM369" s="138" t="n"/>
      <c r="AN369" s="16" t="n"/>
      <c r="AO369" s="138" t="n"/>
      <c r="AP369" s="16" t="n"/>
      <c r="AQ369" s="138" t="n"/>
      <c r="AR369" s="16" t="n"/>
      <c r="AS369" s="138" t="n"/>
      <c r="AT369" s="16" t="n"/>
      <c r="AU369" s="138" t="n"/>
      <c r="AV369" s="16" t="n"/>
      <c r="AW369" s="138" t="n"/>
      <c r="AX369" s="16" t="n"/>
      <c r="AY369" s="138" t="n"/>
      <c r="AZ369" s="16">
        <f>AF369+AH369+AJ369+AL369+AN369+AP369+AR369+AT369+AV369+AX369</f>
        <v/>
      </c>
      <c r="BA369" s="16" t="n"/>
      <c r="BB369" s="139" t="n"/>
      <c r="BC369" s="16" t="n"/>
      <c r="BD369" s="139" t="n"/>
      <c r="BE369" s="16">
        <f>(BA369+BC369)</f>
        <v/>
      </c>
    </row>
    <row r="370" ht="22.5" customFormat="1" customHeight="1" s="8">
      <c r="A370" s="9" t="n"/>
      <c r="B370" s="136" t="inlineStr">
        <is>
          <t>ABS 난연</t>
        </is>
      </c>
      <c r="C370" s="137" t="inlineStr">
        <is>
          <t>ADX6000</t>
        </is>
      </c>
      <c r="D370" s="84" t="inlineStr">
        <is>
          <t>컬리메이터 FRONT 사출</t>
        </is>
      </c>
      <c r="E370" s="13" t="inlineStr">
        <is>
          <t>ABS 난연 화이트 + 스프레이(블랙무광)</t>
        </is>
      </c>
      <c r="F370" s="100" t="n"/>
      <c r="G370" s="9" t="n"/>
      <c r="H370" s="9" t="inlineStr">
        <is>
          <t>천우</t>
        </is>
      </c>
      <c r="I370" s="14" t="n"/>
      <c r="J370" s="14" t="n"/>
      <c r="K370" s="12" t="n"/>
      <c r="L370" s="9" t="n"/>
      <c r="M370" s="9" t="n"/>
      <c r="N370" s="9" t="n"/>
      <c r="O370" s="40">
        <f>K370+V370-AE370-AZ370</f>
        <v/>
      </c>
      <c r="P370" s="12" t="n"/>
      <c r="Q370" s="138" t="n"/>
      <c r="R370" s="16" t="n"/>
      <c r="S370" s="139" t="n"/>
      <c r="T370" s="16" t="n"/>
      <c r="U370" s="139" t="n"/>
      <c r="V370" s="16">
        <f>P370+R370+T370</f>
        <v/>
      </c>
      <c r="W370" s="16" t="n"/>
      <c r="X370" s="139" t="n"/>
      <c r="Y370" s="16" t="n"/>
      <c r="Z370" s="139" t="n"/>
      <c r="AA370" s="16" t="n"/>
      <c r="AB370" s="139" t="n"/>
      <c r="AC370" s="16" t="n"/>
      <c r="AD370" s="139" t="n"/>
      <c r="AE370" s="16">
        <f>(W370+Y370+AA370+AC370)</f>
        <v/>
      </c>
      <c r="AF370" s="16" t="n"/>
      <c r="AG370" s="138" t="n"/>
      <c r="AH370" s="16" t="n"/>
      <c r="AI370" s="138" t="n"/>
      <c r="AJ370" s="16" t="n"/>
      <c r="AK370" s="138" t="n"/>
      <c r="AL370" s="16" t="n"/>
      <c r="AM370" s="138" t="n"/>
      <c r="AN370" s="16" t="n"/>
      <c r="AO370" s="138" t="n"/>
      <c r="AP370" s="16" t="n"/>
      <c r="AQ370" s="138" t="n"/>
      <c r="AR370" s="16" t="n"/>
      <c r="AS370" s="138" t="n"/>
      <c r="AT370" s="16" t="n"/>
      <c r="AU370" s="138" t="n"/>
      <c r="AV370" s="16" t="n"/>
      <c r="AW370" s="138" t="n"/>
      <c r="AX370" s="16" t="n"/>
      <c r="AY370" s="138" t="n"/>
      <c r="AZ370" s="16">
        <f>AF370+AH370+AJ370+AL370+AN370+AP370+AR370+AT370+AV370+AX370</f>
        <v/>
      </c>
      <c r="BA370" s="16" t="n"/>
      <c r="BB370" s="139" t="n"/>
      <c r="BC370" s="16" t="n"/>
      <c r="BD370" s="139" t="n"/>
      <c r="BE370" s="16">
        <f>(BA370+BC370)</f>
        <v/>
      </c>
    </row>
    <row r="371" ht="22.5" customFormat="1" customHeight="1" s="8">
      <c r="A371" s="9" t="n"/>
      <c r="B371" s="136" t="inlineStr">
        <is>
          <t>ABS 난연</t>
        </is>
      </c>
      <c r="C371" s="137" t="inlineStr">
        <is>
          <t>ADX6000</t>
        </is>
      </c>
      <c r="D371" s="84" t="inlineStr">
        <is>
          <t>일체형 컬리메이터</t>
        </is>
      </c>
      <c r="E371" s="13" t="inlineStr">
        <is>
          <t>ABS 난연 블랙</t>
        </is>
      </c>
      <c r="F371" s="100" t="n"/>
      <c r="G371" s="9" t="n"/>
      <c r="H371" s="9" t="inlineStr">
        <is>
          <t>금오몰드</t>
        </is>
      </c>
      <c r="I371" s="14" t="n"/>
      <c r="J371" s="14" t="n"/>
      <c r="K371" s="12" t="n"/>
      <c r="L371" s="9" t="n"/>
      <c r="M371" s="9" t="n"/>
      <c r="N371" s="9" t="n"/>
      <c r="O371" s="40">
        <f>K371+V371-AE371-AZ371</f>
        <v/>
      </c>
      <c r="P371" s="12" t="n"/>
      <c r="Q371" s="138" t="n"/>
      <c r="R371" s="16" t="n"/>
      <c r="S371" s="139" t="n"/>
      <c r="T371" s="16" t="n"/>
      <c r="U371" s="139" t="n"/>
      <c r="V371" s="16">
        <f>P371+R371+T371</f>
        <v/>
      </c>
      <c r="W371" s="16" t="n"/>
      <c r="X371" s="139" t="n"/>
      <c r="Y371" s="16" t="n"/>
      <c r="Z371" s="139" t="n"/>
      <c r="AA371" s="16" t="n"/>
      <c r="AB371" s="139" t="n"/>
      <c r="AC371" s="16" t="n"/>
      <c r="AD371" s="139" t="n"/>
      <c r="AE371" s="16">
        <f>(W371+Y371+AA371+AC371)</f>
        <v/>
      </c>
      <c r="AF371" s="16" t="n"/>
      <c r="AG371" s="138" t="n"/>
      <c r="AH371" s="16" t="n"/>
      <c r="AI371" s="138" t="n"/>
      <c r="AJ371" s="16" t="n"/>
      <c r="AK371" s="138" t="n"/>
      <c r="AL371" s="16" t="n"/>
      <c r="AM371" s="138" t="n"/>
      <c r="AN371" s="16" t="n"/>
      <c r="AO371" s="138" t="n"/>
      <c r="AP371" s="16" t="n"/>
      <c r="AQ371" s="138" t="n"/>
      <c r="AR371" s="16" t="n"/>
      <c r="AS371" s="138" t="n"/>
      <c r="AT371" s="16" t="n"/>
      <c r="AU371" s="138" t="n"/>
      <c r="AV371" s="16" t="n"/>
      <c r="AW371" s="138" t="n"/>
      <c r="AX371" s="16" t="n"/>
      <c r="AY371" s="138" t="n"/>
      <c r="AZ371" s="16">
        <f>AF371+AH371+AJ371+AL371+AN371+AP371+AR371+AT371+AV371+AX371</f>
        <v/>
      </c>
      <c r="BA371" s="16" t="n"/>
      <c r="BB371" s="139" t="n"/>
      <c r="BC371" s="16" t="n"/>
      <c r="BD371" s="139" t="n"/>
      <c r="BE371" s="16">
        <f>(BA371+BC371)</f>
        <v/>
      </c>
    </row>
    <row r="372" ht="22.5" customFormat="1" customHeight="1" s="8">
      <c r="A372" s="9" t="n"/>
      <c r="B372" s="136" t="inlineStr">
        <is>
          <t>ABS 난연</t>
        </is>
      </c>
      <c r="C372" s="137" t="inlineStr">
        <is>
          <t>ADX6000</t>
        </is>
      </c>
      <c r="D372" s="84" t="inlineStr">
        <is>
          <t>LCD Cover 사출</t>
        </is>
      </c>
      <c r="E372" s="13" t="inlineStr">
        <is>
          <t>ABS 난연 화이트+ 색바랜 노란색 398</t>
        </is>
      </c>
      <c r="F372" s="100" t="n"/>
      <c r="G372" s="9" t="n"/>
      <c r="H372" s="9" t="inlineStr">
        <is>
          <t>천우</t>
        </is>
      </c>
      <c r="I372" s="14" t="n"/>
      <c r="J372" s="14" t="n"/>
      <c r="K372" s="12" t="n">
        <v>673</v>
      </c>
      <c r="L372" s="9" t="n"/>
      <c r="M372" s="9" t="n"/>
      <c r="N372" s="9" t="n"/>
      <c r="O372" s="40">
        <f>K372+V372-AE372-AZ372</f>
        <v/>
      </c>
      <c r="P372" s="12" t="n"/>
      <c r="Q372" s="138" t="n"/>
      <c r="R372" s="16" t="n"/>
      <c r="S372" s="139" t="n"/>
      <c r="T372" s="16" t="n"/>
      <c r="U372" s="139" t="n"/>
      <c r="V372" s="16">
        <f>P372+R372+T372</f>
        <v/>
      </c>
      <c r="W372" s="16" t="n"/>
      <c r="X372" s="139" t="n"/>
      <c r="Y372" s="16" t="n"/>
      <c r="Z372" s="139" t="n"/>
      <c r="AA372" s="16" t="n"/>
      <c r="AB372" s="139" t="n"/>
      <c r="AC372" s="16" t="n"/>
      <c r="AD372" s="139" t="n"/>
      <c r="AE372" s="16">
        <f>(W372+Y372+AA372+AC372)</f>
        <v/>
      </c>
      <c r="AF372" s="16" t="n"/>
      <c r="AG372" s="138" t="n"/>
      <c r="AH372" s="16" t="n"/>
      <c r="AI372" s="138" t="n"/>
      <c r="AJ372" s="16" t="n"/>
      <c r="AK372" s="138" t="n"/>
      <c r="AL372" s="16" t="n"/>
      <c r="AM372" s="138" t="n"/>
      <c r="AN372" s="16" t="n"/>
      <c r="AO372" s="138" t="n"/>
      <c r="AP372" s="16" t="n"/>
      <c r="AQ372" s="138" t="n"/>
      <c r="AR372" s="16" t="n"/>
      <c r="AS372" s="138" t="n"/>
      <c r="AT372" s="16" t="n"/>
      <c r="AU372" s="138" t="n"/>
      <c r="AV372" s="16" t="n"/>
      <c r="AW372" s="138" t="n"/>
      <c r="AX372" s="16" t="n"/>
      <c r="AY372" s="138" t="n"/>
      <c r="AZ372" s="16">
        <f>AF372+AH372+AJ372+AL372+AN372+AP372+AR372+AT372+AV372+AX372</f>
        <v/>
      </c>
      <c r="BA372" s="16" t="n"/>
      <c r="BB372" s="139" t="n"/>
      <c r="BC372" s="16" t="n"/>
      <c r="BD372" s="139" t="n"/>
      <c r="BE372" s="16">
        <f>(BA372+BC372)</f>
        <v/>
      </c>
    </row>
    <row r="373" ht="22.5" customFormat="1" customHeight="1" s="8">
      <c r="A373" s="9" t="n"/>
      <c r="B373" s="136" t="inlineStr">
        <is>
          <t>ABS 난연</t>
        </is>
      </c>
      <c r="C373" s="137" t="inlineStr">
        <is>
          <t>ADX6000</t>
        </is>
      </c>
      <c r="D373" s="84" t="inlineStr">
        <is>
          <t xml:space="preserve">LCD Inner Cover 사출 </t>
        </is>
      </c>
      <c r="E373" s="13" t="inlineStr">
        <is>
          <t>ABS 난연 화이트 + 스프레이</t>
        </is>
      </c>
      <c r="F373" s="100" t="n"/>
      <c r="G373" s="9" t="n"/>
      <c r="H373" s="9" t="inlineStr">
        <is>
          <t>천우</t>
        </is>
      </c>
      <c r="I373" s="14" t="n"/>
      <c r="J373" s="14" t="n"/>
      <c r="K373" s="12" t="n">
        <v>178</v>
      </c>
      <c r="L373" s="9" t="n"/>
      <c r="M373" s="9" t="n"/>
      <c r="N373" s="9" t="n"/>
      <c r="O373" s="40">
        <f>K373+V373-AE373-AZ373</f>
        <v/>
      </c>
      <c r="P373" s="12" t="n"/>
      <c r="Q373" s="138" t="n"/>
      <c r="R373" s="16" t="n"/>
      <c r="S373" s="139" t="n"/>
      <c r="T373" s="16" t="n"/>
      <c r="U373" s="139" t="n"/>
      <c r="V373" s="16">
        <f>P373+R373+T373</f>
        <v/>
      </c>
      <c r="W373" s="16" t="n"/>
      <c r="X373" s="139" t="n"/>
      <c r="Y373" s="16" t="n"/>
      <c r="Z373" s="139" t="n"/>
      <c r="AA373" s="16" t="n"/>
      <c r="AB373" s="139" t="n"/>
      <c r="AC373" s="16" t="n"/>
      <c r="AD373" s="139" t="n"/>
      <c r="AE373" s="16">
        <f>(W373+Y373+AA373+AC373)</f>
        <v/>
      </c>
      <c r="AF373" s="16" t="n"/>
      <c r="AG373" s="138" t="n"/>
      <c r="AH373" s="16" t="n"/>
      <c r="AI373" s="138" t="n"/>
      <c r="AJ373" s="16" t="n"/>
      <c r="AK373" s="138" t="n"/>
      <c r="AL373" s="16" t="n"/>
      <c r="AM373" s="138" t="n"/>
      <c r="AN373" s="16" t="n"/>
      <c r="AO373" s="138" t="n"/>
      <c r="AP373" s="16" t="n"/>
      <c r="AQ373" s="138" t="n"/>
      <c r="AR373" s="16" t="n"/>
      <c r="AS373" s="138" t="n"/>
      <c r="AT373" s="16" t="n"/>
      <c r="AU373" s="138" t="n"/>
      <c r="AV373" s="16" t="n"/>
      <c r="AW373" s="138" t="n"/>
      <c r="AX373" s="16" t="n"/>
      <c r="AY373" s="138" t="n"/>
      <c r="AZ373" s="16">
        <f>AF373+AH373+AJ373+AL373+AN373+AP373+AR373+AT373+AV373+AX373</f>
        <v/>
      </c>
      <c r="BA373" s="16" t="n"/>
      <c r="BB373" s="139" t="n"/>
      <c r="BC373" s="16" t="n"/>
      <c r="BD373" s="139" t="n"/>
      <c r="BE373" s="16">
        <f>(BA373+BC373)</f>
        <v/>
      </c>
    </row>
    <row r="374" ht="22.5" customFormat="1" customHeight="1" s="8">
      <c r="A374" s="9" t="n"/>
      <c r="B374" s="136" t="inlineStr">
        <is>
          <t>ABS 난연</t>
        </is>
      </c>
      <c r="C374" s="137" t="inlineStr">
        <is>
          <t>ADX6000</t>
        </is>
      </c>
      <c r="D374" s="84" t="inlineStr">
        <is>
          <t>LCD 힌지 사출 커버 TOP</t>
        </is>
      </c>
      <c r="E374" s="13" t="inlineStr">
        <is>
          <t>ABS 난연 화이트 + 스프레이</t>
        </is>
      </c>
      <c r="F374" s="100" t="n"/>
      <c r="G374" s="9" t="n"/>
      <c r="H374" s="9" t="inlineStr">
        <is>
          <t>천우</t>
        </is>
      </c>
      <c r="I374" s="14" t="n"/>
      <c r="J374" s="14" t="n"/>
      <c r="K374" s="12" t="n">
        <v>263</v>
      </c>
      <c r="L374" s="9" t="n"/>
      <c r="M374" s="9" t="n"/>
      <c r="N374" s="9" t="n"/>
      <c r="O374" s="40">
        <f>K374+V374-AE374-AZ374</f>
        <v/>
      </c>
      <c r="P374" s="12" t="n"/>
      <c r="Q374" s="138" t="n"/>
      <c r="R374" s="16" t="n"/>
      <c r="S374" s="139" t="n"/>
      <c r="T374" s="16" t="n"/>
      <c r="U374" s="139" t="n"/>
      <c r="V374" s="16">
        <f>P374+R374+T374</f>
        <v/>
      </c>
      <c r="W374" s="16" t="n"/>
      <c r="X374" s="139" t="n"/>
      <c r="Y374" s="16" t="n"/>
      <c r="Z374" s="139" t="n"/>
      <c r="AA374" s="16" t="n"/>
      <c r="AB374" s="139" t="n"/>
      <c r="AC374" s="16" t="n"/>
      <c r="AD374" s="139" t="n"/>
      <c r="AE374" s="16">
        <f>(W374+Y374+AA374+AC374)</f>
        <v/>
      </c>
      <c r="AF374" s="16" t="n"/>
      <c r="AG374" s="138" t="n"/>
      <c r="AH374" s="16" t="n"/>
      <c r="AI374" s="138" t="n"/>
      <c r="AJ374" s="16" t="n"/>
      <c r="AK374" s="138" t="n"/>
      <c r="AL374" s="16" t="n"/>
      <c r="AM374" s="138" t="n"/>
      <c r="AN374" s="16" t="n"/>
      <c r="AO374" s="138" t="n"/>
      <c r="AP374" s="16" t="n"/>
      <c r="AQ374" s="138" t="n"/>
      <c r="AR374" s="16" t="n"/>
      <c r="AS374" s="138" t="n"/>
      <c r="AT374" s="16" t="n"/>
      <c r="AU374" s="138" t="n"/>
      <c r="AV374" s="16" t="n"/>
      <c r="AW374" s="138" t="n"/>
      <c r="AX374" s="16" t="n"/>
      <c r="AY374" s="138" t="n"/>
      <c r="AZ374" s="16">
        <f>AF374+AH374+AJ374+AL374+AN374+AP374+AR374+AT374+AV374+AX374</f>
        <v/>
      </c>
      <c r="BA374" s="16" t="n"/>
      <c r="BB374" s="139" t="n"/>
      <c r="BC374" s="16" t="n"/>
      <c r="BD374" s="139" t="n"/>
      <c r="BE374" s="16">
        <f>(BA374+BC374)</f>
        <v/>
      </c>
    </row>
    <row r="375" ht="22.5" customFormat="1" customHeight="1" s="8">
      <c r="A375" s="9" t="n"/>
      <c r="B375" s="136" t="inlineStr">
        <is>
          <t>ABS 난연</t>
        </is>
      </c>
      <c r="C375" s="137" t="inlineStr">
        <is>
          <t>ADX6000</t>
        </is>
      </c>
      <c r="D375" s="84" t="inlineStr">
        <is>
          <t>LCD 힌지 사출 커버 BOTTOM</t>
        </is>
      </c>
      <c r="E375" s="13" t="inlineStr">
        <is>
          <t>ABS 난연 화이트 + 스프레이</t>
        </is>
      </c>
      <c r="F375" s="100" t="n"/>
      <c r="G375" s="9" t="n"/>
      <c r="H375" s="9" t="inlineStr">
        <is>
          <t>천우</t>
        </is>
      </c>
      <c r="I375" s="14" t="n"/>
      <c r="J375" s="14" t="n"/>
      <c r="K375" s="12" t="n">
        <v>293</v>
      </c>
      <c r="L375" s="9" t="n"/>
      <c r="M375" s="9" t="n"/>
      <c r="N375" s="9" t="n"/>
      <c r="O375" s="40">
        <f>K375+V375-AE375-AZ375</f>
        <v/>
      </c>
      <c r="P375" s="12" t="n"/>
      <c r="Q375" s="138" t="n"/>
      <c r="R375" s="16" t="n"/>
      <c r="S375" s="139" t="n"/>
      <c r="T375" s="16" t="n"/>
      <c r="U375" s="139" t="n"/>
      <c r="V375" s="16">
        <f>P375+R375+T375</f>
        <v/>
      </c>
      <c r="W375" s="16" t="n"/>
      <c r="X375" s="139" t="n"/>
      <c r="Y375" s="16" t="n"/>
      <c r="Z375" s="139" t="n"/>
      <c r="AA375" s="16" t="n"/>
      <c r="AB375" s="139" t="n"/>
      <c r="AC375" s="16" t="n"/>
      <c r="AD375" s="139" t="n"/>
      <c r="AE375" s="16">
        <f>(W375+Y375+AA375+AC375)</f>
        <v/>
      </c>
      <c r="AF375" s="16" t="n"/>
      <c r="AG375" s="138" t="n"/>
      <c r="AH375" s="16" t="n"/>
      <c r="AI375" s="138" t="n"/>
      <c r="AJ375" s="16" t="n"/>
      <c r="AK375" s="138" t="n"/>
      <c r="AL375" s="16" t="n"/>
      <c r="AM375" s="138" t="n"/>
      <c r="AN375" s="16" t="n"/>
      <c r="AO375" s="138" t="n"/>
      <c r="AP375" s="16" t="n"/>
      <c r="AQ375" s="138" t="n"/>
      <c r="AR375" s="16" t="n"/>
      <c r="AS375" s="138" t="n"/>
      <c r="AT375" s="16" t="n"/>
      <c r="AU375" s="138" t="n"/>
      <c r="AV375" s="16" t="n"/>
      <c r="AW375" s="138" t="n"/>
      <c r="AX375" s="16" t="n"/>
      <c r="AY375" s="138" t="n"/>
      <c r="AZ375" s="16">
        <f>AF375+AH375+AJ375+AL375+AN375+AP375+AR375+AT375+AV375+AX375</f>
        <v/>
      </c>
      <c r="BA375" s="16" t="n"/>
      <c r="BB375" s="139" t="n"/>
      <c r="BC375" s="16" t="n"/>
      <c r="BD375" s="139" t="n"/>
      <c r="BE375" s="16">
        <f>(BA375+BC375)</f>
        <v/>
      </c>
    </row>
    <row r="376" ht="22.5" customFormat="1" customHeight="1" s="8">
      <c r="A376" s="9" t="n"/>
      <c r="B376" s="136" t="inlineStr">
        <is>
          <t>ABS 난연</t>
        </is>
      </c>
      <c r="C376" s="137" t="inlineStr">
        <is>
          <t>ADX6000</t>
        </is>
      </c>
      <c r="D376" s="84" t="inlineStr">
        <is>
          <t>LCD 사출 나사 커버</t>
        </is>
      </c>
      <c r="E376" s="13" t="inlineStr">
        <is>
          <t>ABS 난연 화이트 + 스프레이</t>
        </is>
      </c>
      <c r="F376" s="100" t="n"/>
      <c r="G376" s="9" t="n"/>
      <c r="H376" s="9" t="inlineStr">
        <is>
          <t>천우</t>
        </is>
      </c>
      <c r="I376" s="14" t="n"/>
      <c r="J376" s="14" t="n"/>
      <c r="K376" s="12" t="n">
        <v>953</v>
      </c>
      <c r="L376" s="9" t="n"/>
      <c r="M376" s="9" t="n"/>
      <c r="N376" s="9" t="n"/>
      <c r="O376" s="40">
        <f>K376+V376-AE376-AZ376</f>
        <v/>
      </c>
      <c r="P376" s="12" t="n"/>
      <c r="Q376" s="138" t="n"/>
      <c r="R376" s="16" t="n"/>
      <c r="S376" s="139" t="n"/>
      <c r="T376" s="16" t="n"/>
      <c r="U376" s="139" t="n"/>
      <c r="V376" s="16">
        <f>P376+R376+T376</f>
        <v/>
      </c>
      <c r="W376" s="16" t="n"/>
      <c r="X376" s="139" t="n"/>
      <c r="Y376" s="16" t="n"/>
      <c r="Z376" s="139" t="n"/>
      <c r="AA376" s="16" t="n"/>
      <c r="AB376" s="139" t="n"/>
      <c r="AC376" s="16" t="n"/>
      <c r="AD376" s="139" t="n"/>
      <c r="AE376" s="16">
        <f>(W376+Y376+AA376+AC376)</f>
        <v/>
      </c>
      <c r="AF376" s="16" t="n"/>
      <c r="AG376" s="138" t="n"/>
      <c r="AH376" s="16" t="n"/>
      <c r="AI376" s="138" t="n"/>
      <c r="AJ376" s="16" t="n"/>
      <c r="AK376" s="138" t="n"/>
      <c r="AL376" s="16" t="n"/>
      <c r="AM376" s="138" t="n"/>
      <c r="AN376" s="16" t="n"/>
      <c r="AO376" s="138" t="n"/>
      <c r="AP376" s="16" t="n"/>
      <c r="AQ376" s="138" t="n"/>
      <c r="AR376" s="16" t="n"/>
      <c r="AS376" s="138" t="n"/>
      <c r="AT376" s="16" t="n"/>
      <c r="AU376" s="138" t="n"/>
      <c r="AV376" s="16" t="n"/>
      <c r="AW376" s="138" t="n"/>
      <c r="AX376" s="16" t="n"/>
      <c r="AY376" s="138" t="n"/>
      <c r="AZ376" s="16">
        <f>AF376+AH376+AJ376+AL376+AN376+AP376+AR376+AT376+AV376+AX376</f>
        <v/>
      </c>
      <c r="BA376" s="16" t="n"/>
      <c r="BB376" s="139" t="n"/>
      <c r="BC376" s="16" t="n"/>
      <c r="BD376" s="139" t="n"/>
      <c r="BE376" s="16">
        <f>(BA376+BC376)</f>
        <v/>
      </c>
    </row>
    <row r="377" ht="22.5" customFormat="1" customHeight="1" s="8">
      <c r="A377" s="9" t="n"/>
      <c r="B377" s="136" t="inlineStr">
        <is>
          <t>ABS 난연</t>
        </is>
      </c>
      <c r="C377" s="137" t="inlineStr">
        <is>
          <t>ADX6000</t>
        </is>
      </c>
      <c r="D377" s="85" t="inlineStr">
        <is>
          <t>Main PC 거치대 사출</t>
        </is>
      </c>
      <c r="E377" s="13" t="inlineStr">
        <is>
          <t>ABS 난연 화이트</t>
        </is>
      </c>
      <c r="F377" s="100" t="n"/>
      <c r="G377" s="9" t="n"/>
      <c r="H377" s="9" t="inlineStr">
        <is>
          <t>천우</t>
        </is>
      </c>
      <c r="I377" s="14" t="n"/>
      <c r="J377" s="14" t="n"/>
      <c r="K377" s="12" t="n">
        <v>329</v>
      </c>
      <c r="L377" s="9" t="n"/>
      <c r="M377" s="9" t="n"/>
      <c r="N377" s="9" t="n"/>
      <c r="O377" s="40">
        <f>K377+V377-AE377-AZ377</f>
        <v/>
      </c>
      <c r="P377" s="12" t="n"/>
      <c r="Q377" s="138" t="n"/>
      <c r="R377" s="16" t="n"/>
      <c r="S377" s="139" t="n"/>
      <c r="T377" s="16" t="n"/>
      <c r="U377" s="139" t="n"/>
      <c r="V377" s="16">
        <f>P377+R377+T377</f>
        <v/>
      </c>
      <c r="W377" s="16" t="n"/>
      <c r="X377" s="139" t="n"/>
      <c r="Y377" s="16" t="n"/>
      <c r="Z377" s="139" t="n"/>
      <c r="AA377" s="16" t="n"/>
      <c r="AB377" s="139" t="n"/>
      <c r="AC377" s="16" t="n"/>
      <c r="AD377" s="139" t="n"/>
      <c r="AE377" s="16">
        <f>(W377+Y377+AA377+AC377)</f>
        <v/>
      </c>
      <c r="AF377" s="16" t="n"/>
      <c r="AG377" s="138" t="n"/>
      <c r="AH377" s="16" t="n"/>
      <c r="AI377" s="138" t="n"/>
      <c r="AJ377" s="16" t="n"/>
      <c r="AK377" s="138" t="n"/>
      <c r="AL377" s="16" t="n"/>
      <c r="AM377" s="138" t="n"/>
      <c r="AN377" s="16" t="n"/>
      <c r="AO377" s="138" t="n"/>
      <c r="AP377" s="16" t="n"/>
      <c r="AQ377" s="138" t="n"/>
      <c r="AR377" s="16" t="n"/>
      <c r="AS377" s="138" t="n"/>
      <c r="AT377" s="16" t="n"/>
      <c r="AU377" s="138" t="n"/>
      <c r="AV377" s="16" t="n"/>
      <c r="AW377" s="138" t="n"/>
      <c r="AX377" s="16" t="n"/>
      <c r="AY377" s="138" t="n"/>
      <c r="AZ377" s="16">
        <f>AF377+AH377+AJ377+AL377+AN377+AP377+AR377+AT377+AV377+AX377</f>
        <v/>
      </c>
      <c r="BA377" s="16" t="n"/>
      <c r="BB377" s="139" t="n"/>
      <c r="BC377" s="16" t="n"/>
      <c r="BD377" s="139" t="n"/>
      <c r="BE377" s="16">
        <f>(BA377+BC377)</f>
        <v/>
      </c>
    </row>
    <row r="378" ht="22.5" customFormat="1" customHeight="1" s="8">
      <c r="A378" s="9" t="n"/>
      <c r="B378" s="136" t="inlineStr">
        <is>
          <t>ABS 난연</t>
        </is>
      </c>
      <c r="C378" s="137" t="inlineStr">
        <is>
          <t>ADX6000</t>
        </is>
      </c>
      <c r="D378" s="60" t="inlineStr">
        <is>
          <t>BODY LEFT 사출</t>
        </is>
      </c>
      <c r="E378" s="13" t="inlineStr">
        <is>
          <t>ABS 난연 화이트 + 스프레이</t>
        </is>
      </c>
      <c r="F378" s="100" t="n"/>
      <c r="G378" s="9" t="n"/>
      <c r="H378" s="9" t="inlineStr">
        <is>
          <t>천우</t>
        </is>
      </c>
      <c r="I378" s="14" t="n"/>
      <c r="J378" s="14" t="n"/>
      <c r="K378" s="12" t="n"/>
      <c r="L378" s="9" t="n"/>
      <c r="M378" s="9" t="n"/>
      <c r="N378" s="9" t="n"/>
      <c r="O378" s="40">
        <f>K378+V378-AE378-AZ378</f>
        <v/>
      </c>
      <c r="P378" s="12" t="n"/>
      <c r="Q378" s="138" t="n"/>
      <c r="R378" s="16" t="n"/>
      <c r="S378" s="139" t="n"/>
      <c r="T378" s="16" t="n"/>
      <c r="U378" s="139" t="n"/>
      <c r="V378" s="16">
        <f>P378+R378+T378</f>
        <v/>
      </c>
      <c r="W378" s="16" t="n"/>
      <c r="X378" s="139" t="n"/>
      <c r="Y378" s="16" t="n"/>
      <c r="Z378" s="139" t="n"/>
      <c r="AA378" s="16" t="n"/>
      <c r="AB378" s="139" t="n"/>
      <c r="AC378" s="16" t="n"/>
      <c r="AD378" s="139" t="n"/>
      <c r="AE378" s="16">
        <f>(W378+Y378+AA378+AC378)</f>
        <v/>
      </c>
      <c r="AF378" s="16" t="n"/>
      <c r="AG378" s="138" t="n"/>
      <c r="AH378" s="16" t="n"/>
      <c r="AI378" s="138" t="n"/>
      <c r="AJ378" s="16" t="n"/>
      <c r="AK378" s="138" t="n"/>
      <c r="AL378" s="16" t="n"/>
      <c r="AM378" s="138" t="n"/>
      <c r="AN378" s="16" t="n"/>
      <c r="AO378" s="138" t="n"/>
      <c r="AP378" s="16" t="n"/>
      <c r="AQ378" s="138" t="n"/>
      <c r="AR378" s="16" t="n"/>
      <c r="AS378" s="138" t="n"/>
      <c r="AT378" s="16" t="n"/>
      <c r="AU378" s="138" t="n"/>
      <c r="AV378" s="16" t="n"/>
      <c r="AW378" s="138" t="n"/>
      <c r="AX378" s="16" t="n"/>
      <c r="AY378" s="138" t="n"/>
      <c r="AZ378" s="16">
        <f>AF378+AH378+AJ378+AL378+AN378+AP378+AR378+AT378+AV378+AX378</f>
        <v/>
      </c>
      <c r="BA378" s="16" t="n"/>
      <c r="BB378" s="139" t="n"/>
      <c r="BC378" s="16" t="n"/>
      <c r="BD378" s="139" t="n"/>
      <c r="BE378" s="16">
        <f>(BA378+BC378)</f>
        <v/>
      </c>
    </row>
    <row r="379" ht="22.5" customFormat="1" customHeight="1" s="8">
      <c r="A379" s="9" t="n"/>
      <c r="B379" s="136" t="inlineStr">
        <is>
          <t>ABS 난연</t>
        </is>
      </c>
      <c r="C379" s="137" t="inlineStr">
        <is>
          <t>ADX6000</t>
        </is>
      </c>
      <c r="D379" s="85" t="inlineStr">
        <is>
          <t>BODY LEFT 사출 배터리 커버</t>
        </is>
      </c>
      <c r="E379" s="13" t="inlineStr">
        <is>
          <t>ABS 난연 화이트 + 스프레이</t>
        </is>
      </c>
      <c r="F379" s="100" t="n"/>
      <c r="G379" s="9" t="n"/>
      <c r="H379" s="9" t="inlineStr">
        <is>
          <t>천우</t>
        </is>
      </c>
      <c r="I379" s="14" t="n"/>
      <c r="J379" s="14" t="n"/>
      <c r="K379" s="12" t="n">
        <v>424</v>
      </c>
      <c r="L379" s="9" t="n"/>
      <c r="M379" s="9" t="n"/>
      <c r="N379" s="9" t="n"/>
      <c r="O379" s="40">
        <f>K379+V379-AE379-AZ379</f>
        <v/>
      </c>
      <c r="P379" s="12" t="n"/>
      <c r="Q379" s="138" t="n"/>
      <c r="R379" s="16" t="n"/>
      <c r="S379" s="139" t="n"/>
      <c r="T379" s="16" t="n"/>
      <c r="U379" s="139" t="n"/>
      <c r="V379" s="16">
        <f>P379+R379+T379</f>
        <v/>
      </c>
      <c r="W379" s="16" t="n"/>
      <c r="X379" s="139" t="n"/>
      <c r="Y379" s="16" t="n"/>
      <c r="Z379" s="139" t="n"/>
      <c r="AA379" s="16" t="n"/>
      <c r="AB379" s="139" t="n"/>
      <c r="AC379" s="16" t="n"/>
      <c r="AD379" s="139" t="n"/>
      <c r="AE379" s="16">
        <f>(W379+Y379+AA379+AC379)</f>
        <v/>
      </c>
      <c r="AF379" s="16" t="n"/>
      <c r="AG379" s="138" t="n"/>
      <c r="AH379" s="16" t="n"/>
      <c r="AI379" s="138" t="n"/>
      <c r="AJ379" s="16" t="n"/>
      <c r="AK379" s="138" t="n"/>
      <c r="AL379" s="16" t="n"/>
      <c r="AM379" s="138" t="n"/>
      <c r="AN379" s="16" t="n"/>
      <c r="AO379" s="138" t="n"/>
      <c r="AP379" s="16" t="n"/>
      <c r="AQ379" s="138" t="n"/>
      <c r="AR379" s="16" t="n"/>
      <c r="AS379" s="138" t="n"/>
      <c r="AT379" s="16" t="n"/>
      <c r="AU379" s="138" t="n"/>
      <c r="AV379" s="16" t="n"/>
      <c r="AW379" s="138" t="n"/>
      <c r="AX379" s="16" t="n"/>
      <c r="AY379" s="138" t="n"/>
      <c r="AZ379" s="16">
        <f>AF379+AH379+AJ379+AL379+AN379+AP379+AR379+AT379+AV379+AX379</f>
        <v/>
      </c>
      <c r="BA379" s="16" t="n"/>
      <c r="BB379" s="139" t="n"/>
      <c r="BC379" s="16" t="n"/>
      <c r="BD379" s="139" t="n"/>
      <c r="BE379" s="16">
        <f>(BA379+BC379)</f>
        <v/>
      </c>
    </row>
    <row r="380" ht="22.5" customFormat="1" customHeight="1" s="8">
      <c r="A380" s="9" t="n"/>
      <c r="B380" s="136" t="inlineStr">
        <is>
          <t>ABS 난연</t>
        </is>
      </c>
      <c r="C380" s="137" t="inlineStr">
        <is>
          <t>ADX6000</t>
        </is>
      </c>
      <c r="D380" s="101" t="inlineStr">
        <is>
          <t>BODY RIGHT 사출</t>
        </is>
      </c>
      <c r="E380" s="13" t="inlineStr">
        <is>
          <t>ABS 난연 화이트 + 스프레이</t>
        </is>
      </c>
      <c r="F380" s="100" t="n"/>
      <c r="G380" s="9" t="n"/>
      <c r="H380" s="9" t="inlineStr">
        <is>
          <t>천우</t>
        </is>
      </c>
      <c r="I380" s="14" t="n"/>
      <c r="J380" s="14" t="n"/>
      <c r="K380" s="12" t="n">
        <v>8</v>
      </c>
      <c r="L380" s="9" t="n"/>
      <c r="M380" s="9" t="n"/>
      <c r="N380" s="9" t="n"/>
      <c r="O380" s="40">
        <f>K380+V380-AE380-AZ380</f>
        <v/>
      </c>
      <c r="P380" s="12" t="n"/>
      <c r="Q380" s="138" t="n"/>
      <c r="R380" s="16" t="n"/>
      <c r="S380" s="139" t="n"/>
      <c r="T380" s="16" t="n"/>
      <c r="U380" s="139" t="n"/>
      <c r="V380" s="16">
        <f>P380+R380+T380</f>
        <v/>
      </c>
      <c r="W380" s="16" t="n"/>
      <c r="X380" s="139" t="n"/>
      <c r="Y380" s="16" t="n"/>
      <c r="Z380" s="139" t="n"/>
      <c r="AA380" s="16" t="n"/>
      <c r="AB380" s="139" t="n"/>
      <c r="AC380" s="16" t="n"/>
      <c r="AD380" s="139" t="n"/>
      <c r="AE380" s="16">
        <f>(W380+Y380+AA380+AC380)</f>
        <v/>
      </c>
      <c r="AF380" s="16" t="n"/>
      <c r="AG380" s="138" t="n"/>
      <c r="AH380" s="16" t="n"/>
      <c r="AI380" s="138" t="n"/>
      <c r="AJ380" s="16" t="n"/>
      <c r="AK380" s="138" t="n"/>
      <c r="AL380" s="16" t="n"/>
      <c r="AM380" s="138" t="n"/>
      <c r="AN380" s="16" t="n"/>
      <c r="AO380" s="138" t="n"/>
      <c r="AP380" s="16" t="n"/>
      <c r="AQ380" s="138" t="n"/>
      <c r="AR380" s="16" t="n"/>
      <c r="AS380" s="138" t="n"/>
      <c r="AT380" s="16" t="n"/>
      <c r="AU380" s="138" t="n"/>
      <c r="AV380" s="16" t="n"/>
      <c r="AW380" s="138" t="n"/>
      <c r="AX380" s="16" t="n"/>
      <c r="AY380" s="138" t="n"/>
      <c r="AZ380" s="16">
        <f>AF380+AH380+AJ380+AL380+AN380+AP380+AR380+AT380+AV380+AX380</f>
        <v/>
      </c>
      <c r="BA380" s="16" t="n"/>
      <c r="BB380" s="139" t="n"/>
      <c r="BC380" s="16" t="n"/>
      <c r="BD380" s="139" t="n"/>
      <c r="BE380" s="16">
        <f>(BA380+BC380)</f>
        <v/>
      </c>
    </row>
    <row r="381" ht="22.5" customFormat="1" customHeight="1" s="8">
      <c r="A381" s="9" t="n"/>
      <c r="B381" s="136" t="inlineStr">
        <is>
          <t>ABS 난연</t>
        </is>
      </c>
      <c r="C381" s="137" t="inlineStr">
        <is>
          <t>ADX6000</t>
        </is>
      </c>
      <c r="D381" s="84" t="inlineStr">
        <is>
          <t>HANDLE LEFT 사출</t>
        </is>
      </c>
      <c r="E381" s="13" t="inlineStr">
        <is>
          <t>ABS 난연 화이트 + 스프레이</t>
        </is>
      </c>
      <c r="F381" s="100" t="n"/>
      <c r="G381" s="9" t="n"/>
      <c r="H381" s="9" t="inlineStr">
        <is>
          <t>천우</t>
        </is>
      </c>
      <c r="I381" s="14" t="n"/>
      <c r="J381" s="14" t="n"/>
      <c r="K381" s="12" t="n">
        <v>552</v>
      </c>
      <c r="L381" s="9" t="n"/>
      <c r="M381" s="9" t="n"/>
      <c r="N381" s="9" t="n"/>
      <c r="O381" s="40">
        <f>K381+V381-AE381-AZ381</f>
        <v/>
      </c>
      <c r="P381" s="12" t="n"/>
      <c r="Q381" s="138" t="n"/>
      <c r="R381" s="16" t="n"/>
      <c r="S381" s="139" t="n"/>
      <c r="T381" s="16" t="n"/>
      <c r="U381" s="139" t="n"/>
      <c r="V381" s="16">
        <f>P381+R381+T381</f>
        <v/>
      </c>
      <c r="W381" s="16" t="n"/>
      <c r="X381" s="139" t="n"/>
      <c r="Y381" s="16" t="n"/>
      <c r="Z381" s="139" t="n"/>
      <c r="AA381" s="16" t="n"/>
      <c r="AB381" s="139" t="n"/>
      <c r="AC381" s="16" t="n"/>
      <c r="AD381" s="139" t="n"/>
      <c r="AE381" s="16">
        <f>(W381+Y381+AA381+AC381)</f>
        <v/>
      </c>
      <c r="AF381" s="16" t="n"/>
      <c r="AG381" s="138" t="n"/>
      <c r="AH381" s="16" t="n"/>
      <c r="AI381" s="138" t="n"/>
      <c r="AJ381" s="16" t="n"/>
      <c r="AK381" s="138" t="n"/>
      <c r="AL381" s="16" t="n"/>
      <c r="AM381" s="138" t="n"/>
      <c r="AN381" s="16" t="n"/>
      <c r="AO381" s="138" t="n"/>
      <c r="AP381" s="16" t="n"/>
      <c r="AQ381" s="138" t="n"/>
      <c r="AR381" s="16" t="n"/>
      <c r="AS381" s="138" t="n"/>
      <c r="AT381" s="16" t="n"/>
      <c r="AU381" s="138" t="n"/>
      <c r="AV381" s="16" t="n"/>
      <c r="AW381" s="138" t="n"/>
      <c r="AX381" s="16" t="n"/>
      <c r="AY381" s="138" t="n"/>
      <c r="AZ381" s="16">
        <f>AF381+AH381+AJ381+AL381+AN381+AP381+AR381+AT381+AV381+AX381</f>
        <v/>
      </c>
      <c r="BA381" s="16" t="n"/>
      <c r="BB381" s="139" t="n"/>
      <c r="BC381" s="16" t="n"/>
      <c r="BD381" s="139" t="n"/>
      <c r="BE381" s="16">
        <f>(BA381+BC381)</f>
        <v/>
      </c>
    </row>
    <row r="382" ht="22.5" customFormat="1" customHeight="1" s="8">
      <c r="A382" s="9" t="n"/>
      <c r="B382" s="136" t="inlineStr">
        <is>
          <t>ABS 난연</t>
        </is>
      </c>
      <c r="C382" s="137" t="inlineStr">
        <is>
          <t>ADX6000</t>
        </is>
      </c>
      <c r="D382" s="85" t="inlineStr">
        <is>
          <t>HANDLE RIGHT 사출</t>
        </is>
      </c>
      <c r="E382" s="13" t="inlineStr">
        <is>
          <t>ABS 난연 화이트 + 스프레이</t>
        </is>
      </c>
      <c r="F382" s="100" t="n"/>
      <c r="G382" s="9" t="n"/>
      <c r="H382" s="9" t="inlineStr">
        <is>
          <t>천우</t>
        </is>
      </c>
      <c r="I382" s="14" t="n"/>
      <c r="J382" s="14" t="n"/>
      <c r="K382" s="12" t="n">
        <v>180</v>
      </c>
      <c r="L382" s="9" t="n"/>
      <c r="M382" s="9" t="n"/>
      <c r="N382" s="9" t="n"/>
      <c r="O382" s="40">
        <f>K382+V382-AE382-AZ382</f>
        <v/>
      </c>
      <c r="P382" s="12" t="n"/>
      <c r="Q382" s="138" t="n"/>
      <c r="R382" s="16" t="n"/>
      <c r="S382" s="139" t="n"/>
      <c r="T382" s="16" t="n"/>
      <c r="U382" s="139" t="n"/>
      <c r="V382" s="16">
        <f>P382+R382+T382</f>
        <v/>
      </c>
      <c r="W382" s="16" t="n"/>
      <c r="X382" s="139" t="n"/>
      <c r="Y382" s="16" t="n"/>
      <c r="Z382" s="139" t="n"/>
      <c r="AA382" s="16" t="n"/>
      <c r="AB382" s="139" t="n"/>
      <c r="AC382" s="16" t="n"/>
      <c r="AD382" s="139" t="n"/>
      <c r="AE382" s="16">
        <f>(W382+Y382+AA382+AC382)</f>
        <v/>
      </c>
      <c r="AF382" s="16" t="n"/>
      <c r="AG382" s="138" t="n"/>
      <c r="AH382" s="16" t="n"/>
      <c r="AI382" s="138" t="n"/>
      <c r="AJ382" s="16" t="n"/>
      <c r="AK382" s="138" t="n"/>
      <c r="AL382" s="16" t="n"/>
      <c r="AM382" s="138" t="n"/>
      <c r="AN382" s="16" t="n"/>
      <c r="AO382" s="138" t="n"/>
      <c r="AP382" s="16" t="n"/>
      <c r="AQ382" s="138" t="n"/>
      <c r="AR382" s="16" t="n"/>
      <c r="AS382" s="138" t="n"/>
      <c r="AT382" s="16" t="n"/>
      <c r="AU382" s="138" t="n"/>
      <c r="AV382" s="16" t="n"/>
      <c r="AW382" s="138" t="n"/>
      <c r="AX382" s="16" t="n"/>
      <c r="AY382" s="138" t="n"/>
      <c r="AZ382" s="16">
        <f>AF382+AH382+AJ382+AL382+AN382+AP382+AR382+AT382+AV382+AX382</f>
        <v/>
      </c>
      <c r="BA382" s="16" t="n"/>
      <c r="BB382" s="139" t="n"/>
      <c r="BC382" s="16" t="n"/>
      <c r="BD382" s="139" t="n"/>
      <c r="BE382" s="16">
        <f>(BA382+BC382)</f>
        <v/>
      </c>
    </row>
    <row r="383" ht="22.5" customFormat="1" customHeight="1" s="8">
      <c r="A383" s="9" t="n"/>
      <c r="B383" s="136" t="inlineStr">
        <is>
          <t>ABS 난연</t>
        </is>
      </c>
      <c r="C383" s="137" t="inlineStr">
        <is>
          <t>ADX6000</t>
        </is>
      </c>
      <c r="D383" s="86" t="inlineStr">
        <is>
          <t>CRADLE TOP 사출</t>
        </is>
      </c>
      <c r="E383" s="23" t="inlineStr">
        <is>
          <t>ABS 난연 화이트 + 스프레이</t>
        </is>
      </c>
      <c r="F383" s="100" t="n"/>
      <c r="G383" s="9" t="n"/>
      <c r="H383" s="9" t="inlineStr">
        <is>
          <t>천우</t>
        </is>
      </c>
      <c r="I383" s="14" t="n"/>
      <c r="J383" s="14" t="n"/>
      <c r="K383" s="12" t="n">
        <v>0</v>
      </c>
      <c r="L383" s="9" t="n"/>
      <c r="M383" s="9" t="n"/>
      <c r="N383" s="9" t="n"/>
      <c r="O383" s="40">
        <f>K383+V383-AE383-AZ383</f>
        <v/>
      </c>
      <c r="P383" s="12" t="n"/>
      <c r="Q383" s="138" t="n"/>
      <c r="R383" s="16" t="n"/>
      <c r="S383" s="139" t="n"/>
      <c r="T383" s="16" t="n"/>
      <c r="U383" s="139" t="n"/>
      <c r="V383" s="16">
        <f>P383+R383+T383</f>
        <v/>
      </c>
      <c r="W383" s="16" t="n"/>
      <c r="X383" s="139" t="n"/>
      <c r="Y383" s="16" t="n"/>
      <c r="Z383" s="139" t="n"/>
      <c r="AA383" s="16" t="n"/>
      <c r="AB383" s="139" t="n"/>
      <c r="AC383" s="16" t="n"/>
      <c r="AD383" s="139" t="n"/>
      <c r="AE383" s="16">
        <f>(W383+Y383+AA383+AC383)</f>
        <v/>
      </c>
      <c r="AF383" s="16" t="n"/>
      <c r="AG383" s="138" t="n"/>
      <c r="AH383" s="16" t="n"/>
      <c r="AI383" s="138" t="n"/>
      <c r="AJ383" s="16" t="n"/>
      <c r="AK383" s="138" t="n"/>
      <c r="AL383" s="16" t="n"/>
      <c r="AM383" s="138" t="n"/>
      <c r="AN383" s="16" t="n"/>
      <c r="AO383" s="138" t="n"/>
      <c r="AP383" s="16" t="n"/>
      <c r="AQ383" s="138" t="n"/>
      <c r="AR383" s="16" t="n"/>
      <c r="AS383" s="138" t="n"/>
      <c r="AT383" s="16" t="n"/>
      <c r="AU383" s="138" t="n"/>
      <c r="AV383" s="16" t="n"/>
      <c r="AW383" s="138" t="n"/>
      <c r="AX383" s="16" t="n"/>
      <c r="AY383" s="138" t="n"/>
      <c r="AZ383" s="16">
        <f>AF383+AH383+AJ383+AL383+AN383+AP383+AR383+AT383+AV383+AX383</f>
        <v/>
      </c>
      <c r="BA383" s="16" t="n"/>
      <c r="BB383" s="139" t="n"/>
      <c r="BC383" s="16" t="n"/>
      <c r="BD383" s="139" t="n"/>
      <c r="BE383" s="16">
        <f>(BA383+BC383)</f>
        <v/>
      </c>
    </row>
    <row r="384" ht="22.5" customFormat="1" customHeight="1" s="8">
      <c r="A384" s="9" t="n"/>
      <c r="B384" s="136" t="inlineStr">
        <is>
          <t>ABS 난연</t>
        </is>
      </c>
      <c r="C384" s="137" t="inlineStr">
        <is>
          <t>ADX6000</t>
        </is>
      </c>
      <c r="D384" s="85" t="inlineStr">
        <is>
          <t>CRADLE BOTTOM 사출</t>
        </is>
      </c>
      <c r="E384" s="23" t="inlineStr">
        <is>
          <t>ABS 난연 화이트 + 스프레이 블랙</t>
        </is>
      </c>
      <c r="F384" s="100" t="n"/>
      <c r="G384" s="9" t="n"/>
      <c r="H384" s="9" t="inlineStr">
        <is>
          <t>천우</t>
        </is>
      </c>
      <c r="I384" s="14" t="n"/>
      <c r="J384" s="14" t="n"/>
      <c r="K384" s="12" t="n">
        <v>20</v>
      </c>
      <c r="L384" s="9" t="n"/>
      <c r="M384" s="9" t="n"/>
      <c r="N384" s="9" t="n"/>
      <c r="O384" s="40">
        <f>K384+V384-AE384-AZ384</f>
        <v/>
      </c>
      <c r="P384" s="12" t="n"/>
      <c r="Q384" s="138" t="n"/>
      <c r="R384" s="16" t="n"/>
      <c r="S384" s="139" t="n"/>
      <c r="T384" s="16" t="n"/>
      <c r="U384" s="139" t="n"/>
      <c r="V384" s="16">
        <f>P384+R384+T384</f>
        <v/>
      </c>
      <c r="W384" s="16" t="n"/>
      <c r="X384" s="139" t="n"/>
      <c r="Y384" s="16" t="n"/>
      <c r="Z384" s="139" t="n"/>
      <c r="AA384" s="16" t="n"/>
      <c r="AB384" s="139" t="n"/>
      <c r="AC384" s="16" t="n"/>
      <c r="AD384" s="139" t="n"/>
      <c r="AE384" s="16">
        <f>(W384+Y384+AA384+AC384)</f>
        <v/>
      </c>
      <c r="AF384" s="16" t="n"/>
      <c r="AG384" s="138" t="n"/>
      <c r="AH384" s="16" t="n"/>
      <c r="AI384" s="138" t="n"/>
      <c r="AJ384" s="16" t="n"/>
      <c r="AK384" s="138" t="n"/>
      <c r="AL384" s="16" t="n"/>
      <c r="AM384" s="138" t="n"/>
      <c r="AN384" s="16" t="n"/>
      <c r="AO384" s="138" t="n"/>
      <c r="AP384" s="16" t="n"/>
      <c r="AQ384" s="138" t="n"/>
      <c r="AR384" s="16" t="n"/>
      <c r="AS384" s="138" t="n"/>
      <c r="AT384" s="16" t="n"/>
      <c r="AU384" s="138" t="n"/>
      <c r="AV384" s="16" t="n"/>
      <c r="AW384" s="138" t="n"/>
      <c r="AX384" s="16" t="n"/>
      <c r="AY384" s="138" t="n"/>
      <c r="AZ384" s="16">
        <f>AF384+AH384+AJ384+AL384+AN384+AP384+AR384+AT384+AV384+AX384</f>
        <v/>
      </c>
      <c r="BA384" s="16" t="n"/>
      <c r="BB384" s="139" t="n"/>
      <c r="BC384" s="16" t="n"/>
      <c r="BD384" s="139" t="n"/>
      <c r="BE384" s="16">
        <f>(BA384+BC384)</f>
        <v/>
      </c>
    </row>
    <row r="385" ht="22.5" customFormat="1" customHeight="1" s="8">
      <c r="A385" s="9" t="n"/>
      <c r="B385" s="136" t="inlineStr">
        <is>
          <t>ABS 난연</t>
        </is>
      </c>
      <c r="C385" s="137" t="inlineStr">
        <is>
          <t>ADX6000</t>
        </is>
      </c>
      <c r="D385" s="63" t="inlineStr">
        <is>
          <t>CRADLE LED Guide 사출</t>
        </is>
      </c>
      <c r="E385" s="23" t="inlineStr">
        <is>
          <t>ABS 난연 화이트 + 스프레이</t>
        </is>
      </c>
      <c r="F385" s="100" t="n"/>
      <c r="G385" s="9" t="n"/>
      <c r="H385" s="9" t="inlineStr">
        <is>
          <t>천우</t>
        </is>
      </c>
      <c r="I385" s="14" t="n"/>
      <c r="J385" s="14" t="n"/>
      <c r="K385" s="12" t="n">
        <v>193</v>
      </c>
      <c r="L385" s="9" t="n"/>
      <c r="M385" s="9" t="n"/>
      <c r="N385" s="9" t="n"/>
      <c r="O385" s="40">
        <f>K385+V385-AE385-AZ385</f>
        <v/>
      </c>
      <c r="P385" s="12" t="n"/>
      <c r="Q385" s="138" t="n"/>
      <c r="R385" s="16" t="n"/>
      <c r="S385" s="139" t="n"/>
      <c r="T385" s="16" t="n"/>
      <c r="U385" s="139" t="n"/>
      <c r="V385" s="16">
        <f>P385+R385+T385</f>
        <v/>
      </c>
      <c r="W385" s="16" t="n"/>
      <c r="X385" s="139" t="n"/>
      <c r="Y385" s="16" t="n"/>
      <c r="Z385" s="139" t="n"/>
      <c r="AA385" s="16" t="n"/>
      <c r="AB385" s="139" t="n"/>
      <c r="AC385" s="16" t="n"/>
      <c r="AD385" s="139" t="n"/>
      <c r="AE385" s="16">
        <f>(W385+Y385+AA385+AC385)</f>
        <v/>
      </c>
      <c r="AF385" s="16" t="n"/>
      <c r="AG385" s="138" t="n"/>
      <c r="AH385" s="16" t="n"/>
      <c r="AI385" s="138" t="n"/>
      <c r="AJ385" s="16" t="n"/>
      <c r="AK385" s="138" t="n"/>
      <c r="AL385" s="16" t="n"/>
      <c r="AM385" s="138" t="n"/>
      <c r="AN385" s="16" t="n"/>
      <c r="AO385" s="138" t="n"/>
      <c r="AP385" s="16" t="n"/>
      <c r="AQ385" s="138" t="n"/>
      <c r="AR385" s="16" t="n"/>
      <c r="AS385" s="138" t="n"/>
      <c r="AT385" s="16" t="n"/>
      <c r="AU385" s="138" t="n"/>
      <c r="AV385" s="16" t="n"/>
      <c r="AW385" s="138" t="n"/>
      <c r="AX385" s="16" t="n"/>
      <c r="AY385" s="138" t="n"/>
      <c r="AZ385" s="16">
        <f>AF385+AH385+AJ385+AL385+AN385+AP385+AR385+AT385+AV385+AX385</f>
        <v/>
      </c>
      <c r="BA385" s="16" t="n"/>
      <c r="BB385" s="139" t="n"/>
      <c r="BC385" s="16" t="n"/>
      <c r="BD385" s="139" t="n"/>
      <c r="BE385" s="16">
        <f>(BA385+BC385)</f>
        <v/>
      </c>
    </row>
    <row r="386" ht="22.5" customFormat="1" customHeight="1" s="8">
      <c r="A386" s="9" t="n"/>
      <c r="B386" s="136" t="inlineStr">
        <is>
          <t>ABS 난연</t>
        </is>
      </c>
      <c r="C386" s="137" t="inlineStr">
        <is>
          <t>ADX6000</t>
        </is>
      </c>
      <c r="D386" s="63" t="inlineStr">
        <is>
          <t>리모콘 포트 가이드</t>
        </is>
      </c>
      <c r="E386" s="13" t="inlineStr">
        <is>
          <t>ABS 난연 화이트</t>
        </is>
      </c>
      <c r="F386" s="100" t="n"/>
      <c r="G386" s="9" t="n"/>
      <c r="H386" s="9" t="inlineStr">
        <is>
          <t>월드씨앤피</t>
        </is>
      </c>
      <c r="I386" s="14" t="n"/>
      <c r="J386" s="14" t="n"/>
      <c r="K386" s="12" t="n">
        <v>352</v>
      </c>
      <c r="L386" s="9" t="n"/>
      <c r="M386" s="9" t="n"/>
      <c r="N386" s="9" t="n"/>
      <c r="O386" s="40">
        <f>K386+V386-AE386-AZ386</f>
        <v/>
      </c>
      <c r="P386" s="12" t="n"/>
      <c r="Q386" s="138" t="n"/>
      <c r="R386" s="16" t="n"/>
      <c r="S386" s="139" t="n"/>
      <c r="T386" s="16" t="n"/>
      <c r="U386" s="139" t="n"/>
      <c r="V386" s="16">
        <f>P386+R386+T386</f>
        <v/>
      </c>
      <c r="W386" s="16" t="n"/>
      <c r="X386" s="139" t="n"/>
      <c r="Y386" s="16" t="n"/>
      <c r="Z386" s="139" t="n"/>
      <c r="AA386" s="16" t="n"/>
      <c r="AB386" s="139" t="n"/>
      <c r="AC386" s="16" t="n"/>
      <c r="AD386" s="139" t="n"/>
      <c r="AE386" s="16">
        <f>(W386+Y386+AA386+AC386)</f>
        <v/>
      </c>
      <c r="AF386" s="16" t="n"/>
      <c r="AG386" s="138" t="n"/>
      <c r="AH386" s="16" t="n"/>
      <c r="AI386" s="138" t="n"/>
      <c r="AJ386" s="16" t="n"/>
      <c r="AK386" s="138" t="n"/>
      <c r="AL386" s="16" t="n"/>
      <c r="AM386" s="138" t="n"/>
      <c r="AN386" s="16" t="n"/>
      <c r="AO386" s="138" t="n"/>
      <c r="AP386" s="16" t="n"/>
      <c r="AQ386" s="138" t="n"/>
      <c r="AR386" s="16" t="n"/>
      <c r="AS386" s="138" t="n"/>
      <c r="AT386" s="16" t="n"/>
      <c r="AU386" s="138" t="n"/>
      <c r="AV386" s="16" t="n"/>
      <c r="AW386" s="138" t="n"/>
      <c r="AX386" s="16" t="n"/>
      <c r="AY386" s="138" t="n"/>
      <c r="AZ386" s="16">
        <f>AF386+AH386+AJ386+AL386+AN386+AP386+AR386+AT386+AV386+AX386</f>
        <v/>
      </c>
      <c r="BA386" s="16" t="n"/>
      <c r="BB386" s="139" t="n"/>
      <c r="BC386" s="16" t="n"/>
      <c r="BD386" s="139" t="n"/>
      <c r="BE386" s="16">
        <f>(BA386+BC386)</f>
        <v/>
      </c>
    </row>
    <row r="387" ht="22.5" customFormat="1" customHeight="1" s="8">
      <c r="A387" s="9" t="n"/>
      <c r="B387" s="136" t="inlineStr">
        <is>
          <t>아크릴</t>
        </is>
      </c>
      <c r="C387" s="137" t="inlineStr">
        <is>
          <t>ADX6000</t>
        </is>
      </c>
      <c r="D387" s="60" t="inlineStr">
        <is>
          <t>Power Button 사출</t>
        </is>
      </c>
      <c r="E387" s="23" t="inlineStr">
        <is>
          <t>스모그 투명 아크릴</t>
        </is>
      </c>
      <c r="F387" s="100" t="n"/>
      <c r="G387" s="9" t="n"/>
      <c r="H387" s="9" t="inlineStr">
        <is>
          <t>천우</t>
        </is>
      </c>
      <c r="I387" s="14" t="n"/>
      <c r="J387" s="14" t="n"/>
      <c r="K387" s="12" t="n">
        <v>486</v>
      </c>
      <c r="L387" s="9" t="n"/>
      <c r="M387" s="9" t="n"/>
      <c r="N387" s="9" t="n"/>
      <c r="O387" s="40">
        <f>K387+V387-AE387-AZ387</f>
        <v/>
      </c>
      <c r="P387" s="12" t="n"/>
      <c r="Q387" s="138" t="n"/>
      <c r="R387" s="16" t="n"/>
      <c r="S387" s="139" t="n"/>
      <c r="T387" s="16" t="n"/>
      <c r="U387" s="139" t="n"/>
      <c r="V387" s="16">
        <f>P387+R387+T387</f>
        <v/>
      </c>
      <c r="W387" s="16" t="n"/>
      <c r="X387" s="139" t="n"/>
      <c r="Y387" s="16" t="n"/>
      <c r="Z387" s="139" t="n"/>
      <c r="AA387" s="16" t="n"/>
      <c r="AB387" s="139" t="n"/>
      <c r="AC387" s="16" t="n"/>
      <c r="AD387" s="139" t="n"/>
      <c r="AE387" s="16">
        <f>(W387+Y387+AA387+AC387)</f>
        <v/>
      </c>
      <c r="AF387" s="16" t="n"/>
      <c r="AG387" s="138" t="n"/>
      <c r="AH387" s="16" t="n"/>
      <c r="AI387" s="138" t="n"/>
      <c r="AJ387" s="16" t="n"/>
      <c r="AK387" s="138" t="n"/>
      <c r="AL387" s="16" t="n"/>
      <c r="AM387" s="138" t="n"/>
      <c r="AN387" s="16" t="n"/>
      <c r="AO387" s="138" t="n"/>
      <c r="AP387" s="16" t="n"/>
      <c r="AQ387" s="138" t="n"/>
      <c r="AR387" s="16" t="n"/>
      <c r="AS387" s="138" t="n"/>
      <c r="AT387" s="16" t="n"/>
      <c r="AU387" s="138" t="n"/>
      <c r="AV387" s="16" t="n"/>
      <c r="AW387" s="138" t="n"/>
      <c r="AX387" s="16" t="n"/>
      <c r="AY387" s="138" t="n"/>
      <c r="AZ387" s="16">
        <f>AF387+AH387+AJ387+AL387+AN387+AP387+AR387+AT387+AV387+AX387</f>
        <v/>
      </c>
      <c r="BA387" s="16" t="n"/>
      <c r="BB387" s="139" t="n"/>
      <c r="BC387" s="16" t="n"/>
      <c r="BD387" s="139" t="n"/>
      <c r="BE387" s="16">
        <f>(BA387+BC387)</f>
        <v/>
      </c>
    </row>
    <row r="388" ht="22.5" customFormat="1" customHeight="1" s="8">
      <c r="A388" s="9" t="n"/>
      <c r="B388" s="136" t="inlineStr">
        <is>
          <t>아크릴</t>
        </is>
      </c>
      <c r="C388" s="137" t="inlineStr">
        <is>
          <t>ADX6000</t>
        </is>
      </c>
      <c r="D388" s="85" t="inlineStr">
        <is>
          <t>Black Deco Guide</t>
        </is>
      </c>
      <c r="E388" s="23" t="inlineStr">
        <is>
          <t>스모그 투명 아크릴</t>
        </is>
      </c>
      <c r="F388" s="100" t="n"/>
      <c r="G388" s="9" t="n"/>
      <c r="H388" s="9" t="inlineStr">
        <is>
          <t>천우</t>
        </is>
      </c>
      <c r="I388" s="14" t="n"/>
      <c r="J388" s="14" t="n"/>
      <c r="K388" s="12" t="n">
        <v>2</v>
      </c>
      <c r="L388" s="9" t="n"/>
      <c r="M388" s="9" t="n"/>
      <c r="N388" s="9" t="n"/>
      <c r="O388" s="40">
        <f>K388+V388-AE388-AZ388</f>
        <v/>
      </c>
      <c r="P388" s="12" t="n"/>
      <c r="Q388" s="138" t="n"/>
      <c r="R388" s="16" t="n"/>
      <c r="S388" s="139" t="n"/>
      <c r="T388" s="16" t="n"/>
      <c r="U388" s="139" t="n"/>
      <c r="V388" s="16">
        <f>P388+R388+T388</f>
        <v/>
      </c>
      <c r="W388" s="16" t="n"/>
      <c r="X388" s="139" t="n"/>
      <c r="Y388" s="16" t="n"/>
      <c r="Z388" s="139" t="n"/>
      <c r="AA388" s="16" t="n"/>
      <c r="AB388" s="139" t="n"/>
      <c r="AC388" s="16" t="n"/>
      <c r="AD388" s="139" t="n"/>
      <c r="AE388" s="16">
        <f>(W388+Y388+AA388+AC388)</f>
        <v/>
      </c>
      <c r="AF388" s="16" t="n"/>
      <c r="AG388" s="138" t="n"/>
      <c r="AH388" s="16" t="n"/>
      <c r="AI388" s="138" t="n"/>
      <c r="AJ388" s="16" t="n"/>
      <c r="AK388" s="138" t="n"/>
      <c r="AL388" s="16" t="n"/>
      <c r="AM388" s="138" t="n"/>
      <c r="AN388" s="16" t="n"/>
      <c r="AO388" s="138" t="n"/>
      <c r="AP388" s="16" t="n"/>
      <c r="AQ388" s="138" t="n"/>
      <c r="AR388" s="16" t="n"/>
      <c r="AS388" s="138" t="n"/>
      <c r="AT388" s="16" t="n"/>
      <c r="AU388" s="138" t="n"/>
      <c r="AV388" s="16" t="n"/>
      <c r="AW388" s="138" t="n"/>
      <c r="AX388" s="16" t="n"/>
      <c r="AY388" s="138" t="n"/>
      <c r="AZ388" s="16">
        <f>AF388+AH388+AJ388+AL388+AN388+AP388+AR388+AT388+AV388+AX388</f>
        <v/>
      </c>
      <c r="BA388" s="16" t="n"/>
      <c r="BB388" s="139" t="n"/>
      <c r="BC388" s="16" t="n"/>
      <c r="BD388" s="139" t="n"/>
      <c r="BE388" s="16">
        <f>(BA388+BC388)</f>
        <v/>
      </c>
    </row>
    <row r="389" ht="22.5" customFormat="1" customHeight="1" s="8">
      <c r="A389" s="9" t="n"/>
      <c r="B389" s="136" t="inlineStr">
        <is>
          <t>아크릴</t>
        </is>
      </c>
      <c r="C389" s="137" t="inlineStr">
        <is>
          <t>ADX6000</t>
        </is>
      </c>
      <c r="D389" s="84" t="inlineStr">
        <is>
          <t>EX Button 사출</t>
        </is>
      </c>
      <c r="E389" s="23" t="inlineStr">
        <is>
          <t>스모그 투명 아크릴</t>
        </is>
      </c>
      <c r="F389" s="100" t="n"/>
      <c r="G389" s="9" t="n"/>
      <c r="H389" s="9" t="inlineStr">
        <is>
          <t>천우</t>
        </is>
      </c>
      <c r="I389" s="14" t="n"/>
      <c r="J389" s="14" t="n"/>
      <c r="K389" s="12" t="n">
        <v>525</v>
      </c>
      <c r="L389" s="9" t="n"/>
      <c r="M389" s="9" t="n"/>
      <c r="N389" s="9" t="n"/>
      <c r="O389" s="40">
        <f>K389+V389-AE389-AZ389</f>
        <v/>
      </c>
      <c r="P389" s="12" t="n"/>
      <c r="Q389" s="138" t="n"/>
      <c r="R389" s="16" t="n"/>
      <c r="S389" s="139" t="n"/>
      <c r="T389" s="16" t="n"/>
      <c r="U389" s="139" t="n"/>
      <c r="V389" s="16">
        <f>P389+R389+T389</f>
        <v/>
      </c>
      <c r="W389" s="16" t="n"/>
      <c r="X389" s="139" t="n"/>
      <c r="Y389" s="16" t="n"/>
      <c r="Z389" s="139" t="n"/>
      <c r="AA389" s="16" t="n"/>
      <c r="AB389" s="139" t="n"/>
      <c r="AC389" s="16" t="n"/>
      <c r="AD389" s="139" t="n"/>
      <c r="AE389" s="16">
        <f>(W389+Y389+AA389+AC389)</f>
        <v/>
      </c>
      <c r="AF389" s="16" t="n"/>
      <c r="AG389" s="138" t="n"/>
      <c r="AH389" s="16" t="n"/>
      <c r="AI389" s="138" t="n"/>
      <c r="AJ389" s="16" t="n"/>
      <c r="AK389" s="138" t="n"/>
      <c r="AL389" s="16" t="n"/>
      <c r="AM389" s="138" t="n"/>
      <c r="AN389" s="16" t="n"/>
      <c r="AO389" s="138" t="n"/>
      <c r="AP389" s="16" t="n"/>
      <c r="AQ389" s="138" t="n"/>
      <c r="AR389" s="16" t="n"/>
      <c r="AS389" s="138" t="n"/>
      <c r="AT389" s="16" t="n"/>
      <c r="AU389" s="138" t="n"/>
      <c r="AV389" s="16" t="n"/>
      <c r="AW389" s="138" t="n"/>
      <c r="AX389" s="16" t="n"/>
      <c r="AY389" s="138" t="n"/>
      <c r="AZ389" s="16">
        <f>AF389+AH389+AJ389+AL389+AN389+AP389+AR389+AT389+AV389+AX389</f>
        <v/>
      </c>
      <c r="BA389" s="16" t="n"/>
      <c r="BB389" s="139" t="n"/>
      <c r="BC389" s="16" t="n"/>
      <c r="BD389" s="139" t="n"/>
      <c r="BE389" s="16">
        <f>(BA389+BC389)</f>
        <v/>
      </c>
    </row>
    <row r="390" ht="22.5" customFormat="1" customHeight="1" s="8">
      <c r="A390" s="9" t="n"/>
      <c r="B390" s="136" t="inlineStr">
        <is>
          <t>아크릴</t>
        </is>
      </c>
      <c r="C390" s="137" t="inlineStr">
        <is>
          <t>ADX6000</t>
        </is>
      </c>
      <c r="D390" s="84" t="inlineStr">
        <is>
          <t>LCD 아크릴 가이드</t>
        </is>
      </c>
      <c r="E390" s="23" t="inlineStr">
        <is>
          <t>투명 아크릴</t>
        </is>
      </c>
      <c r="F390" s="100" t="n"/>
      <c r="G390" s="9" t="n"/>
      <c r="H390" s="9" t="inlineStr">
        <is>
          <t>아크릴최가</t>
        </is>
      </c>
      <c r="I390" s="14" t="n"/>
      <c r="J390" s="14" t="n"/>
      <c r="K390" s="12" t="n">
        <v>56</v>
      </c>
      <c r="L390" s="9" t="n"/>
      <c r="M390" s="9" t="n"/>
      <c r="N390" s="9" t="n"/>
      <c r="O390" s="40">
        <f>K390+V390-AE390-AZ390</f>
        <v/>
      </c>
      <c r="P390" s="12" t="n"/>
      <c r="Q390" s="138" t="n"/>
      <c r="R390" s="16" t="n"/>
      <c r="S390" s="139" t="n"/>
      <c r="T390" s="16" t="n"/>
      <c r="U390" s="139" t="n"/>
      <c r="V390" s="16">
        <f>P390+R390+T390</f>
        <v/>
      </c>
      <c r="W390" s="16" t="n"/>
      <c r="X390" s="139" t="n"/>
      <c r="Y390" s="16" t="n"/>
      <c r="Z390" s="139" t="n"/>
      <c r="AA390" s="16" t="n"/>
      <c r="AB390" s="139" t="n"/>
      <c r="AC390" s="16" t="n"/>
      <c r="AD390" s="139" t="n"/>
      <c r="AE390" s="16">
        <f>(W390+Y390+AA390+AC390)</f>
        <v/>
      </c>
      <c r="AF390" s="16" t="n"/>
      <c r="AG390" s="138" t="n"/>
      <c r="AH390" s="16" t="n"/>
      <c r="AI390" s="138" t="n"/>
      <c r="AJ390" s="16" t="n"/>
      <c r="AK390" s="138" t="n"/>
      <c r="AL390" s="16" t="n"/>
      <c r="AM390" s="138" t="n"/>
      <c r="AN390" s="16" t="n"/>
      <c r="AO390" s="138" t="n"/>
      <c r="AP390" s="16" t="n"/>
      <c r="AQ390" s="138" t="n"/>
      <c r="AR390" s="16" t="n"/>
      <c r="AS390" s="138" t="n"/>
      <c r="AT390" s="16" t="n"/>
      <c r="AU390" s="138" t="n"/>
      <c r="AV390" s="16" t="n"/>
      <c r="AW390" s="138" t="n"/>
      <c r="AX390" s="16" t="n"/>
      <c r="AY390" s="138" t="n"/>
      <c r="AZ390" s="16">
        <f>AF390+AH390+AJ390+AL390+AN390+AP390+AR390+AT390+AV390+AX390</f>
        <v/>
      </c>
      <c r="BA390" s="16" t="n"/>
      <c r="BB390" s="139" t="n"/>
      <c r="BC390" s="16" t="n"/>
      <c r="BD390" s="139" t="n"/>
      <c r="BE390" s="16">
        <f>(BA390+BC390)</f>
        <v/>
      </c>
    </row>
    <row r="391" ht="22.5" customFormat="1" customHeight="1" s="8">
      <c r="A391" s="9" t="n"/>
      <c r="B391" s="136" t="inlineStr">
        <is>
          <t>아크릴</t>
        </is>
      </c>
      <c r="C391" s="137" t="inlineStr">
        <is>
          <t>ADX6000</t>
        </is>
      </c>
      <c r="D391" s="84" t="inlineStr">
        <is>
          <t>아크릴 투명 십자 panel</t>
        </is>
      </c>
      <c r="E391" s="23" t="inlineStr">
        <is>
          <t>아크릴 + 실크 인쇄</t>
        </is>
      </c>
      <c r="F391" s="100" t="n"/>
      <c r="G391" s="9" t="n"/>
      <c r="H391" s="9" t="inlineStr">
        <is>
          <t>아크릴최가</t>
        </is>
      </c>
      <c r="I391" s="14" t="n"/>
      <c r="J391" s="14" t="n"/>
      <c r="K391" s="12" t="n"/>
      <c r="L391" s="9" t="n"/>
      <c r="M391" s="9" t="n"/>
      <c r="N391" s="9" t="n"/>
      <c r="O391" s="40">
        <f>K391+V391-AE391-AZ391</f>
        <v/>
      </c>
      <c r="P391" s="12" t="n"/>
      <c r="Q391" s="138" t="n"/>
      <c r="R391" s="16" t="n"/>
      <c r="S391" s="139" t="n"/>
      <c r="T391" s="16" t="n"/>
      <c r="U391" s="139" t="n"/>
      <c r="V391" s="16">
        <f>P391+R391+T391</f>
        <v/>
      </c>
      <c r="W391" s="16" t="n"/>
      <c r="X391" s="139" t="n"/>
      <c r="Y391" s="16" t="n"/>
      <c r="Z391" s="139" t="n"/>
      <c r="AA391" s="16" t="n"/>
      <c r="AB391" s="139" t="n"/>
      <c r="AC391" s="16" t="n"/>
      <c r="AD391" s="139" t="n"/>
      <c r="AE391" s="16">
        <f>(W391+Y391+AA391+AC391)</f>
        <v/>
      </c>
      <c r="AF391" s="16" t="n"/>
      <c r="AG391" s="138" t="n"/>
      <c r="AH391" s="16" t="n"/>
      <c r="AI391" s="138" t="n"/>
      <c r="AJ391" s="16" t="n"/>
      <c r="AK391" s="138" t="n"/>
      <c r="AL391" s="16" t="n"/>
      <c r="AM391" s="138" t="n"/>
      <c r="AN391" s="16" t="n"/>
      <c r="AO391" s="138" t="n"/>
      <c r="AP391" s="16" t="n"/>
      <c r="AQ391" s="138" t="n"/>
      <c r="AR391" s="16" t="n"/>
      <c r="AS391" s="138" t="n"/>
      <c r="AT391" s="16" t="n"/>
      <c r="AU391" s="138" t="n"/>
      <c r="AV391" s="16" t="n"/>
      <c r="AW391" s="138" t="n"/>
      <c r="AX391" s="16" t="n"/>
      <c r="AY391" s="138" t="n"/>
      <c r="AZ391" s="16">
        <f>AF391+AH391+AJ391+AL391+AN391+AP391+AR391+AT391+AV391+AX391</f>
        <v/>
      </c>
      <c r="BA391" s="16" t="n"/>
      <c r="BB391" s="139" t="n"/>
      <c r="BC391" s="16" t="n"/>
      <c r="BD391" s="139" t="n"/>
      <c r="BE391" s="16">
        <f>(BA391+BC391)</f>
        <v/>
      </c>
    </row>
    <row r="392" ht="22.5" customFormat="1" customHeight="1" s="8">
      <c r="A392" s="9" t="n"/>
      <c r="B392" s="136" t="inlineStr">
        <is>
          <t>STEEL</t>
        </is>
      </c>
      <c r="C392" s="137" t="inlineStr">
        <is>
          <t>ADX6000</t>
        </is>
      </c>
      <c r="D392" s="84" t="inlineStr">
        <is>
          <t>LCD HINGE</t>
        </is>
      </c>
      <c r="E392" s="13" t="inlineStr">
        <is>
          <t>가공</t>
        </is>
      </c>
      <c r="F392" s="100" t="n"/>
      <c r="G392" s="9" t="n"/>
      <c r="H392" s="9" t="inlineStr">
        <is>
          <t>디엔케이시스템</t>
        </is>
      </c>
      <c r="I392" s="14" t="n"/>
      <c r="J392" s="14" t="n"/>
      <c r="K392" s="12" t="n">
        <v>15</v>
      </c>
      <c r="L392" s="9" t="n"/>
      <c r="M392" s="9" t="n"/>
      <c r="N392" s="9" t="n"/>
      <c r="O392" s="40">
        <f>K392+V392-AE392-AZ392</f>
        <v/>
      </c>
      <c r="P392" s="12" t="n"/>
      <c r="Q392" s="138" t="n"/>
      <c r="R392" s="16" t="n"/>
      <c r="S392" s="139" t="n"/>
      <c r="T392" s="16" t="n"/>
      <c r="U392" s="139" t="n"/>
      <c r="V392" s="16">
        <f>P392+R392+T392</f>
        <v/>
      </c>
      <c r="W392" s="16" t="n"/>
      <c r="X392" s="139" t="n"/>
      <c r="Y392" s="16" t="n"/>
      <c r="Z392" s="139" t="n"/>
      <c r="AA392" s="16" t="n"/>
      <c r="AB392" s="139" t="n"/>
      <c r="AC392" s="16" t="n"/>
      <c r="AD392" s="139" t="n"/>
      <c r="AE392" s="16">
        <f>(W392+Y392+AA392+AC392)</f>
        <v/>
      </c>
      <c r="AF392" s="16" t="n"/>
      <c r="AG392" s="138" t="n"/>
      <c r="AH392" s="16" t="n"/>
      <c r="AI392" s="138" t="n"/>
      <c r="AJ392" s="16" t="n"/>
      <c r="AK392" s="138" t="n"/>
      <c r="AL392" s="16" t="n"/>
      <c r="AM392" s="138" t="n"/>
      <c r="AN392" s="16" t="n"/>
      <c r="AO392" s="138" t="n"/>
      <c r="AP392" s="16" t="n"/>
      <c r="AQ392" s="138" t="n"/>
      <c r="AR392" s="16" t="n"/>
      <c r="AS392" s="138" t="n"/>
      <c r="AT392" s="16" t="n"/>
      <c r="AU392" s="138" t="n"/>
      <c r="AV392" s="16" t="n"/>
      <c r="AW392" s="138" t="n"/>
      <c r="AX392" s="16" t="n"/>
      <c r="AY392" s="138" t="n"/>
      <c r="AZ392" s="16">
        <f>AF392+AH392+AJ392+AL392+AN392+AP392+AR392+AT392+AV392+AX392</f>
        <v/>
      </c>
      <c r="BA392" s="16" t="n"/>
      <c r="BB392" s="139" t="n"/>
      <c r="BC392" s="16" t="n"/>
      <c r="BD392" s="139" t="n"/>
      <c r="BE392" s="16">
        <f>(BA392+BC392)</f>
        <v/>
      </c>
    </row>
    <row r="393" ht="22.5" customFormat="1" customHeight="1" s="8">
      <c r="A393" s="9" t="n"/>
      <c r="B393" s="136" t="inlineStr">
        <is>
          <t>AL</t>
        </is>
      </c>
      <c r="C393" s="137" t="inlineStr">
        <is>
          <t>ADX6000</t>
        </is>
      </c>
      <c r="D393" s="84" t="inlineStr">
        <is>
          <t>Base Block</t>
        </is>
      </c>
      <c r="E393" s="13" t="inlineStr">
        <is>
          <t>AL 가공 + 흑색 아노다이징</t>
        </is>
      </c>
      <c r="F393" s="100" t="n"/>
      <c r="G393" s="9" t="n"/>
      <c r="H393" s="9" t="inlineStr">
        <is>
          <t>제이케이시스템</t>
        </is>
      </c>
      <c r="I393" s="14" t="n"/>
      <c r="J393" s="14" t="n"/>
      <c r="K393" s="12" t="n">
        <v>0</v>
      </c>
      <c r="L393" s="9" t="n"/>
      <c r="M393" s="9" t="n"/>
      <c r="N393" s="9" t="n"/>
      <c r="O393" s="40">
        <f>K393+V393-AE393-AZ393</f>
        <v/>
      </c>
      <c r="P393" s="12" t="n"/>
      <c r="Q393" s="138" t="n"/>
      <c r="R393" s="16" t="n"/>
      <c r="S393" s="139" t="n"/>
      <c r="T393" s="16" t="n"/>
      <c r="U393" s="139" t="n"/>
      <c r="V393" s="16">
        <f>P393+R393+T393</f>
        <v/>
      </c>
      <c r="W393" s="16" t="n"/>
      <c r="X393" s="139" t="n"/>
      <c r="Y393" s="16" t="n"/>
      <c r="Z393" s="139" t="n"/>
      <c r="AA393" s="16" t="n"/>
      <c r="AB393" s="139" t="n"/>
      <c r="AC393" s="16" t="n"/>
      <c r="AD393" s="139" t="n"/>
      <c r="AE393" s="16">
        <f>(W393+Y393+AA393+AC393)</f>
        <v/>
      </c>
      <c r="AF393" s="16" t="n"/>
      <c r="AG393" s="138" t="n"/>
      <c r="AH393" s="16" t="n"/>
      <c r="AI393" s="138" t="n"/>
      <c r="AJ393" s="16" t="n"/>
      <c r="AK393" s="138" t="n"/>
      <c r="AL393" s="16" t="n"/>
      <c r="AM393" s="138" t="n"/>
      <c r="AN393" s="16" t="n"/>
      <c r="AO393" s="138" t="n"/>
      <c r="AP393" s="16" t="n"/>
      <c r="AQ393" s="138" t="n"/>
      <c r="AR393" s="16" t="n"/>
      <c r="AS393" s="138" t="n"/>
      <c r="AT393" s="16" t="n"/>
      <c r="AU393" s="138" t="n"/>
      <c r="AV393" s="16" t="n"/>
      <c r="AW393" s="138" t="n"/>
      <c r="AX393" s="16" t="n"/>
      <c r="AY393" s="138" t="n"/>
      <c r="AZ393" s="16">
        <f>AF393+AH393+AJ393+AL393+AN393+AP393+AR393+AT393+AV393+AX393</f>
        <v/>
      </c>
      <c r="BA393" s="16" t="n"/>
      <c r="BB393" s="139" t="n"/>
      <c r="BC393" s="16" t="n"/>
      <c r="BD393" s="139" t="n"/>
      <c r="BE393" s="16">
        <f>(BA393+BC393)</f>
        <v/>
      </c>
    </row>
    <row r="394" ht="22.5" customFormat="1" customHeight="1" s="8">
      <c r="A394" s="9" t="n"/>
      <c r="B394" s="136" t="inlineStr">
        <is>
          <t>AL</t>
        </is>
      </c>
      <c r="C394" s="137" t="inlineStr">
        <is>
          <t>ADX6000</t>
        </is>
      </c>
      <c r="D394" s="63" t="inlineStr">
        <is>
          <t>top Block</t>
        </is>
      </c>
      <c r="E394" s="13" t="inlineStr">
        <is>
          <t>AL 가공 + 흑색 아노다이징</t>
        </is>
      </c>
      <c r="F394" s="100" t="n"/>
      <c r="G394" s="9" t="n"/>
      <c r="H394" s="9" t="inlineStr">
        <is>
          <t>제이케이시스템</t>
        </is>
      </c>
      <c r="I394" s="14" t="n"/>
      <c r="J394" s="14" t="n"/>
      <c r="K394" s="12" t="n">
        <v>0</v>
      </c>
      <c r="L394" s="9" t="n"/>
      <c r="M394" s="9" t="n"/>
      <c r="N394" s="9" t="n"/>
      <c r="O394" s="40">
        <f>K394+V394-AE394-AZ394</f>
        <v/>
      </c>
      <c r="P394" s="12" t="n"/>
      <c r="Q394" s="138" t="n"/>
      <c r="R394" s="16" t="n"/>
      <c r="S394" s="139" t="n"/>
      <c r="T394" s="16" t="n"/>
      <c r="U394" s="139" t="n"/>
      <c r="V394" s="16">
        <f>P394+R394+T394</f>
        <v/>
      </c>
      <c r="W394" s="16" t="n"/>
      <c r="X394" s="139" t="n"/>
      <c r="Y394" s="16" t="n"/>
      <c r="Z394" s="139" t="n"/>
      <c r="AA394" s="16" t="n"/>
      <c r="AB394" s="139" t="n"/>
      <c r="AC394" s="16" t="n"/>
      <c r="AD394" s="139" t="n"/>
      <c r="AE394" s="16">
        <f>(W394+Y394+AA394+AC394)</f>
        <v/>
      </c>
      <c r="AF394" s="16" t="n"/>
      <c r="AG394" s="138" t="n"/>
      <c r="AH394" s="16" t="n"/>
      <c r="AI394" s="138" t="n"/>
      <c r="AJ394" s="16" t="n"/>
      <c r="AK394" s="138" t="n"/>
      <c r="AL394" s="16" t="n"/>
      <c r="AM394" s="138" t="n"/>
      <c r="AN394" s="16" t="n"/>
      <c r="AO394" s="138" t="n"/>
      <c r="AP394" s="16" t="n"/>
      <c r="AQ394" s="138" t="n"/>
      <c r="AR394" s="16" t="n"/>
      <c r="AS394" s="138" t="n"/>
      <c r="AT394" s="16" t="n"/>
      <c r="AU394" s="138" t="n"/>
      <c r="AV394" s="16" t="n"/>
      <c r="AW394" s="138" t="n"/>
      <c r="AX394" s="16" t="n"/>
      <c r="AY394" s="138" t="n"/>
      <c r="AZ394" s="16" t="n"/>
      <c r="BA394" s="16" t="n"/>
      <c r="BB394" s="139" t="n"/>
      <c r="BC394" s="16" t="n"/>
      <c r="BD394" s="139" t="n"/>
      <c r="BE394" s="16" t="n"/>
    </row>
    <row r="395" ht="22.5" customFormat="1" customHeight="1" s="8">
      <c r="A395" s="9" t="n"/>
      <c r="B395" s="136" t="inlineStr">
        <is>
          <t>AL</t>
        </is>
      </c>
      <c r="C395" s="137" t="inlineStr">
        <is>
          <t>ADX6000</t>
        </is>
      </c>
      <c r="D395" s="63" t="inlineStr">
        <is>
          <t>Bottom Block</t>
        </is>
      </c>
      <c r="E395" s="13" t="inlineStr">
        <is>
          <t>AL 가공 + 흑색 아노다이징</t>
        </is>
      </c>
      <c r="F395" s="100" t="n"/>
      <c r="G395" s="9" t="n"/>
      <c r="H395" s="9" t="inlineStr">
        <is>
          <t>제이케이시스템</t>
        </is>
      </c>
      <c r="I395" s="14" t="n"/>
      <c r="J395" s="14" t="n"/>
      <c r="K395" s="12" t="n">
        <v>26</v>
      </c>
      <c r="L395" s="9" t="n"/>
      <c r="M395" s="9" t="n"/>
      <c r="N395" s="9" t="n"/>
      <c r="O395" s="40">
        <f>K395+V395-AE395-AZ395</f>
        <v/>
      </c>
      <c r="P395" s="12" t="n"/>
      <c r="Q395" s="138" t="n"/>
      <c r="R395" s="16" t="n"/>
      <c r="S395" s="139" t="n"/>
      <c r="T395" s="16" t="n"/>
      <c r="U395" s="139" t="n"/>
      <c r="V395" s="16">
        <f>P395+R395+T395</f>
        <v/>
      </c>
      <c r="W395" s="16" t="n"/>
      <c r="X395" s="139" t="n"/>
      <c r="Y395" s="16" t="n"/>
      <c r="Z395" s="139" t="n"/>
      <c r="AA395" s="16" t="n"/>
      <c r="AB395" s="139" t="n"/>
      <c r="AC395" s="16" t="n"/>
      <c r="AD395" s="139" t="n"/>
      <c r="AE395" s="16">
        <f>(W395+Y395+AA395+AC395)</f>
        <v/>
      </c>
      <c r="AF395" s="16" t="n"/>
      <c r="AG395" s="138" t="n"/>
      <c r="AH395" s="16" t="n"/>
      <c r="AI395" s="138" t="n"/>
      <c r="AJ395" s="16" t="n"/>
      <c r="AK395" s="138" t="n"/>
      <c r="AL395" s="16" t="n"/>
      <c r="AM395" s="138" t="n"/>
      <c r="AN395" s="16" t="n"/>
      <c r="AO395" s="138" t="n"/>
      <c r="AP395" s="16" t="n"/>
      <c r="AQ395" s="138" t="n"/>
      <c r="AR395" s="16" t="n"/>
      <c r="AS395" s="138" t="n"/>
      <c r="AT395" s="16" t="n"/>
      <c r="AU395" s="138" t="n"/>
      <c r="AV395" s="16" t="n"/>
      <c r="AW395" s="138" t="n"/>
      <c r="AX395" s="16" t="n"/>
      <c r="AY395" s="138" t="n"/>
      <c r="AZ395" s="16">
        <f>AF395+AH395+AJ395+AL395+AN395+AP395+AR395+AT395+AV395+AX395</f>
        <v/>
      </c>
      <c r="BA395" s="16" t="n"/>
      <c r="BB395" s="139" t="n"/>
      <c r="BC395" s="16" t="n"/>
      <c r="BD395" s="139" t="n"/>
      <c r="BE395" s="16">
        <f>(BA395+BC395)</f>
        <v/>
      </c>
    </row>
    <row r="396" ht="22.5" customFormat="1" customHeight="1" s="8">
      <c r="A396" s="9" t="n"/>
      <c r="B396" s="136" t="inlineStr">
        <is>
          <t>AL</t>
        </is>
      </c>
      <c r="C396" s="137" t="inlineStr">
        <is>
          <t>ADX6000</t>
        </is>
      </c>
      <c r="D396" s="63" t="inlineStr">
        <is>
          <t>알루미늄 브라켓 6 hole</t>
        </is>
      </c>
      <c r="E396" s="13" t="inlineStr">
        <is>
          <t>AL 가공 + 백색 아노다이징</t>
        </is>
      </c>
      <c r="F396" s="100" t="n"/>
      <c r="G396" s="9" t="n"/>
      <c r="H396" s="9" t="inlineStr">
        <is>
          <t>제이케이시스템</t>
        </is>
      </c>
      <c r="I396" s="14" t="n"/>
      <c r="J396" s="14" t="n"/>
      <c r="K396" s="12" t="n">
        <v>203</v>
      </c>
      <c r="L396" s="9" t="n"/>
      <c r="M396" s="9" t="n"/>
      <c r="N396" s="9" t="n"/>
      <c r="O396" s="40">
        <f>K396+V396-AE396-AZ396</f>
        <v/>
      </c>
      <c r="P396" s="12" t="n"/>
      <c r="Q396" s="138" t="n"/>
      <c r="R396" s="16" t="n"/>
      <c r="S396" s="139" t="n"/>
      <c r="T396" s="16" t="n"/>
      <c r="U396" s="139" t="n"/>
      <c r="V396" s="16">
        <f>P396+R396+T396</f>
        <v/>
      </c>
      <c r="W396" s="16" t="n"/>
      <c r="X396" s="139" t="n"/>
      <c r="Y396" s="16" t="n"/>
      <c r="Z396" s="139" t="n"/>
      <c r="AA396" s="16" t="n"/>
      <c r="AB396" s="139" t="n"/>
      <c r="AC396" s="16" t="n"/>
      <c r="AD396" s="139" t="n"/>
      <c r="AE396" s="16">
        <f>(W396+Y396+AA396+AC396)</f>
        <v/>
      </c>
      <c r="AF396" s="16" t="n"/>
      <c r="AG396" s="138" t="n"/>
      <c r="AH396" s="16" t="n"/>
      <c r="AI396" s="138" t="n"/>
      <c r="AJ396" s="16" t="n"/>
      <c r="AK396" s="138" t="n"/>
      <c r="AL396" s="16" t="n"/>
      <c r="AM396" s="138" t="n"/>
      <c r="AN396" s="16" t="n"/>
      <c r="AO396" s="138" t="n"/>
      <c r="AP396" s="16" t="n"/>
      <c r="AQ396" s="138" t="n"/>
      <c r="AR396" s="16" t="n"/>
      <c r="AS396" s="138" t="n"/>
      <c r="AT396" s="16" t="n"/>
      <c r="AU396" s="138" t="n"/>
      <c r="AV396" s="16" t="n"/>
      <c r="AW396" s="138" t="n"/>
      <c r="AX396" s="16" t="n"/>
      <c r="AY396" s="138" t="n"/>
      <c r="AZ396" s="16">
        <f>AF396+AH396+AJ396+AL396+AN396+AP396+AR396+AT396+AV396+AX396</f>
        <v/>
      </c>
      <c r="BA396" s="16" t="n"/>
      <c r="BB396" s="139" t="n"/>
      <c r="BC396" s="16" t="n"/>
      <c r="BD396" s="139" t="n"/>
      <c r="BE396" s="16">
        <f>(BA396+BC396)</f>
        <v/>
      </c>
    </row>
    <row r="397" ht="22.5" customFormat="1" customHeight="1" s="8">
      <c r="A397" s="9" t="n"/>
      <c r="B397" s="136" t="inlineStr">
        <is>
          <t>RUBBER</t>
        </is>
      </c>
      <c r="C397" s="137" t="inlineStr">
        <is>
          <t>ADX6000</t>
        </is>
      </c>
      <c r="D397" s="144" t="inlineStr">
        <is>
          <t>CRADLE FOOT RUBBER</t>
        </is>
      </c>
      <c r="E397" s="13" t="inlineStr">
        <is>
          <t>RUBBER</t>
        </is>
      </c>
      <c r="F397" s="100" t="n"/>
      <c r="G397" s="9" t="n"/>
      <c r="H397" s="9" t="inlineStr">
        <is>
          <t>남경화학</t>
        </is>
      </c>
      <c r="I397" s="14" t="n"/>
      <c r="J397" s="14" t="n"/>
      <c r="K397" s="12" t="n"/>
      <c r="L397" s="9" t="n"/>
      <c r="M397" s="9" t="n"/>
      <c r="N397" s="9" t="n"/>
      <c r="O397" s="40">
        <f>K397+V397-AE397-AZ397</f>
        <v/>
      </c>
      <c r="P397" s="12" t="n"/>
      <c r="Q397" s="138" t="n"/>
      <c r="R397" s="16" t="n"/>
      <c r="S397" s="139" t="n"/>
      <c r="T397" s="16" t="n"/>
      <c r="U397" s="139" t="n"/>
      <c r="V397" s="16">
        <f>P397+R397+T397</f>
        <v/>
      </c>
      <c r="W397" s="16" t="n"/>
      <c r="X397" s="139" t="n"/>
      <c r="Y397" s="16" t="n"/>
      <c r="Z397" s="139" t="n"/>
      <c r="AA397" s="16" t="n"/>
      <c r="AB397" s="139" t="n"/>
      <c r="AC397" s="16" t="n"/>
      <c r="AD397" s="139" t="n"/>
      <c r="AE397" s="16">
        <f>(W397+Y397+AA397+AC397)</f>
        <v/>
      </c>
      <c r="AF397" s="16" t="n"/>
      <c r="AG397" s="138" t="n"/>
      <c r="AH397" s="16" t="n"/>
      <c r="AI397" s="138" t="n"/>
      <c r="AJ397" s="16" t="n"/>
      <c r="AK397" s="138" t="n"/>
      <c r="AL397" s="16" t="n"/>
      <c r="AM397" s="138" t="n"/>
      <c r="AN397" s="16" t="n"/>
      <c r="AO397" s="138" t="n"/>
      <c r="AP397" s="16" t="n"/>
      <c r="AQ397" s="138" t="n"/>
      <c r="AR397" s="16" t="n"/>
      <c r="AS397" s="138" t="n"/>
      <c r="AT397" s="16" t="n"/>
      <c r="AU397" s="138" t="n"/>
      <c r="AV397" s="16" t="n"/>
      <c r="AW397" s="138" t="n"/>
      <c r="AX397" s="16" t="n"/>
      <c r="AY397" s="138" t="n"/>
      <c r="AZ397" s="16">
        <f>AF397+AH397+AJ397+AL397+AN397+AP397+AR397+AT397+AV397+AX397</f>
        <v/>
      </c>
      <c r="BA397" s="16" t="n"/>
      <c r="BB397" s="139" t="n"/>
      <c r="BC397" s="16" t="n"/>
      <c r="BD397" s="139" t="n"/>
      <c r="BE397" s="16">
        <f>(BA397+BC397)</f>
        <v/>
      </c>
    </row>
    <row r="398" ht="22.5" customFormat="1" customHeight="1" s="8">
      <c r="A398" s="9" t="n"/>
      <c r="B398" s="136" t="inlineStr">
        <is>
          <t>SUS</t>
        </is>
      </c>
      <c r="C398" s="137" t="inlineStr">
        <is>
          <t>ADX6000</t>
        </is>
      </c>
      <c r="D398" s="63" t="inlineStr">
        <is>
          <t>손잡이 핀</t>
        </is>
      </c>
      <c r="E398" s="13" t="inlineStr">
        <is>
          <t>가공</t>
        </is>
      </c>
      <c r="F398" s="100" t="n"/>
      <c r="G398" s="9" t="n"/>
      <c r="H398" s="9" t="inlineStr">
        <is>
          <t>다우정밀</t>
        </is>
      </c>
      <c r="I398" s="14" t="n"/>
      <c r="J398" s="14" t="n"/>
      <c r="K398" s="12" t="n"/>
      <c r="L398" s="9" t="n"/>
      <c r="M398" s="9" t="n"/>
      <c r="N398" s="9" t="n"/>
      <c r="O398" s="40">
        <f>K398+V398-AE398-AZ398</f>
        <v/>
      </c>
      <c r="P398" s="12" t="n"/>
      <c r="Q398" s="138" t="n"/>
      <c r="R398" s="16" t="n"/>
      <c r="S398" s="139" t="n"/>
      <c r="T398" s="16" t="n"/>
      <c r="U398" s="139" t="n"/>
      <c r="V398" s="16">
        <f>P398+R398+T398</f>
        <v/>
      </c>
      <c r="W398" s="16" t="n"/>
      <c r="X398" s="139" t="n"/>
      <c r="Y398" s="16" t="n"/>
      <c r="Z398" s="139" t="n"/>
      <c r="AA398" s="16" t="n"/>
      <c r="AB398" s="139" t="n"/>
      <c r="AC398" s="16" t="n"/>
      <c r="AD398" s="139" t="n"/>
      <c r="AE398" s="16">
        <f>(W398+Y398+AA398+AC398)</f>
        <v/>
      </c>
      <c r="AF398" s="16" t="n"/>
      <c r="AG398" s="138" t="n"/>
      <c r="AH398" s="16" t="n"/>
      <c r="AI398" s="138" t="n"/>
      <c r="AJ398" s="16" t="n"/>
      <c r="AK398" s="138" t="n"/>
      <c r="AL398" s="16" t="n"/>
      <c r="AM398" s="138" t="n"/>
      <c r="AN398" s="16" t="n"/>
      <c r="AO398" s="138" t="n"/>
      <c r="AP398" s="16" t="n"/>
      <c r="AQ398" s="138" t="n"/>
      <c r="AR398" s="16" t="n"/>
      <c r="AS398" s="138" t="n"/>
      <c r="AT398" s="16" t="n"/>
      <c r="AU398" s="138" t="n"/>
      <c r="AV398" s="16" t="n"/>
      <c r="AW398" s="138" t="n"/>
      <c r="AX398" s="16" t="n"/>
      <c r="AY398" s="138" t="n"/>
      <c r="AZ398" s="16">
        <f>AF398+AH398+AJ398+AL398+AN398+AP398+AR398+AT398+AV398+AX398</f>
        <v/>
      </c>
      <c r="BA398" s="16" t="n"/>
      <c r="BB398" s="139" t="n"/>
      <c r="BC398" s="16" t="n"/>
      <c r="BD398" s="139" t="n"/>
      <c r="BE398" s="16">
        <f>(BA398+BC398)</f>
        <v/>
      </c>
    </row>
    <row r="399" ht="22.5" customFormat="1" customHeight="1" s="8">
      <c r="A399" s="9" t="n"/>
      <c r="B399" s="136" t="inlineStr">
        <is>
          <t>페라이트</t>
        </is>
      </c>
      <c r="C399" s="137" t="inlineStr">
        <is>
          <t>ADX6000</t>
        </is>
      </c>
      <c r="D399" s="63" t="inlineStr">
        <is>
          <t>페라이트 코어</t>
        </is>
      </c>
      <c r="E399" s="13" t="inlineStr">
        <is>
          <t>ZCAT 1518-0730</t>
        </is>
      </c>
      <c r="F399" s="100" t="n"/>
      <c r="G399" s="9" t="n"/>
      <c r="H399" s="9" t="inlineStr">
        <is>
          <t>HLP</t>
        </is>
      </c>
      <c r="I399" s="14" t="n"/>
      <c r="J399" s="14" t="n"/>
      <c r="K399" s="12" t="n">
        <v>362</v>
      </c>
      <c r="L399" s="9" t="n"/>
      <c r="M399" s="9" t="n"/>
      <c r="N399" s="9" t="n"/>
      <c r="O399" s="40">
        <f>K399+V399-AE399-AZ399</f>
        <v/>
      </c>
      <c r="P399" s="12" t="n"/>
      <c r="Q399" s="138" t="n"/>
      <c r="R399" s="16" t="n"/>
      <c r="S399" s="139" t="n"/>
      <c r="T399" s="16" t="n"/>
      <c r="U399" s="139" t="n"/>
      <c r="V399" s="16">
        <f>P399+R399+T399</f>
        <v/>
      </c>
      <c r="W399" s="16" t="n"/>
      <c r="X399" s="139" t="n"/>
      <c r="Y399" s="16" t="n"/>
      <c r="Z399" s="139" t="n"/>
      <c r="AA399" s="16" t="n"/>
      <c r="AB399" s="139" t="n"/>
      <c r="AC399" s="16" t="n"/>
      <c r="AD399" s="139" t="n"/>
      <c r="AE399" s="16">
        <f>(W399+Y399+AA399+AC399)</f>
        <v/>
      </c>
      <c r="AF399" s="16" t="n"/>
      <c r="AG399" s="138" t="n"/>
      <c r="AH399" s="16" t="n"/>
      <c r="AI399" s="138" t="n"/>
      <c r="AJ399" s="16" t="n"/>
      <c r="AK399" s="138" t="n"/>
      <c r="AL399" s="16" t="n"/>
      <c r="AM399" s="138" t="n"/>
      <c r="AN399" s="16" t="n"/>
      <c r="AO399" s="138" t="n"/>
      <c r="AP399" s="16" t="n"/>
      <c r="AQ399" s="138" t="n"/>
      <c r="AR399" s="16" t="n"/>
      <c r="AS399" s="138" t="n"/>
      <c r="AT399" s="16" t="n"/>
      <c r="AU399" s="138" t="n"/>
      <c r="AV399" s="16" t="n"/>
      <c r="AW399" s="138" t="n"/>
      <c r="AX399" s="16" t="n"/>
      <c r="AY399" s="138" t="n"/>
      <c r="AZ399" s="16">
        <f>AF399+AH399+AJ399+AL399+AN399+AP399+AR399+AT399+AV399+AX399</f>
        <v/>
      </c>
      <c r="BA399" s="16" t="n"/>
      <c r="BB399" s="139" t="n"/>
      <c r="BC399" s="16" t="n"/>
      <c r="BD399" s="139" t="n"/>
      <c r="BE399" s="16">
        <f>(BA399+BC399)</f>
        <v/>
      </c>
    </row>
    <row r="400" ht="22.5" customFormat="1" customHeight="1" s="8">
      <c r="A400" s="9" t="n"/>
      <c r="B400" s="136" t="inlineStr">
        <is>
          <t>스티커</t>
        </is>
      </c>
      <c r="C400" s="137" t="inlineStr">
        <is>
          <t>ADX6000S</t>
        </is>
      </c>
      <c r="D400" s="63" t="inlineStr">
        <is>
          <t>LCD 베젤 스티커</t>
        </is>
      </c>
      <c r="E400" s="13" t="n"/>
      <c r="F400" s="100" t="n"/>
      <c r="G400" s="9" t="n"/>
      <c r="H400" s="9" t="inlineStr">
        <is>
          <t>그라피아스크린</t>
        </is>
      </c>
      <c r="I400" s="14" t="n"/>
      <c r="J400" s="14" t="n"/>
      <c r="K400" s="12" t="n">
        <v>135</v>
      </c>
      <c r="L400" s="9" t="n"/>
      <c r="M400" s="9" t="n"/>
      <c r="N400" s="9" t="n"/>
      <c r="O400" s="40">
        <f>K400+V400-AE400-AZ400</f>
        <v/>
      </c>
      <c r="P400" s="12" t="n"/>
      <c r="Q400" s="138" t="n"/>
      <c r="R400" s="16" t="n"/>
      <c r="S400" s="139" t="n"/>
      <c r="T400" s="16" t="n"/>
      <c r="U400" s="139" t="n"/>
      <c r="V400" s="16">
        <f>P400+R400+T400</f>
        <v/>
      </c>
      <c r="W400" s="16" t="n"/>
      <c r="X400" s="139" t="n"/>
      <c r="Y400" s="16" t="n"/>
      <c r="Z400" s="139" t="n"/>
      <c r="AA400" s="16" t="n"/>
      <c r="AB400" s="139" t="n"/>
      <c r="AC400" s="16" t="n"/>
      <c r="AD400" s="139" t="n"/>
      <c r="AE400" s="16">
        <f>(W400+Y400+AA400+AC400)</f>
        <v/>
      </c>
      <c r="AF400" s="16" t="n"/>
      <c r="AG400" s="138" t="n"/>
      <c r="AH400" s="16" t="n"/>
      <c r="AI400" s="138" t="n"/>
      <c r="AJ400" s="16" t="n"/>
      <c r="AK400" s="138" t="n"/>
      <c r="AL400" s="16" t="n"/>
      <c r="AM400" s="138" t="n"/>
      <c r="AN400" s="16" t="n"/>
      <c r="AO400" s="138" t="n"/>
      <c r="AP400" s="16" t="n"/>
      <c r="AQ400" s="138" t="n"/>
      <c r="AR400" s="16" t="n"/>
      <c r="AS400" s="138" t="n"/>
      <c r="AT400" s="16" t="n"/>
      <c r="AU400" s="138" t="n"/>
      <c r="AV400" s="16" t="n"/>
      <c r="AW400" s="138" t="n"/>
      <c r="AX400" s="16" t="n"/>
      <c r="AY400" s="138" t="n"/>
      <c r="AZ400" s="16">
        <f>AF400+AH400+AJ400+AL400+AN400+AP400+AR400+AT400+AV400+AX400</f>
        <v/>
      </c>
      <c r="BA400" s="16" t="n"/>
      <c r="BB400" s="139" t="n"/>
      <c r="BC400" s="16" t="n"/>
      <c r="BD400" s="139" t="n"/>
      <c r="BE400" s="16">
        <f>(BA400+BC400)</f>
        <v/>
      </c>
    </row>
    <row r="401" ht="22.5" customFormat="1" customHeight="1" s="8">
      <c r="A401" s="9" t="n"/>
      <c r="B401" s="136" t="inlineStr">
        <is>
          <t>스티커</t>
        </is>
      </c>
      <c r="C401" s="137" t="inlineStr">
        <is>
          <t>ADX6000S</t>
        </is>
      </c>
      <c r="D401" s="63" t="inlineStr">
        <is>
          <t>Front Port Sticker</t>
        </is>
      </c>
      <c r="E401" s="13" t="inlineStr">
        <is>
          <t>리모콘 포트 수정 신형</t>
        </is>
      </c>
      <c r="F401" s="100" t="n"/>
      <c r="G401" s="9" t="n"/>
      <c r="H401" s="9" t="inlineStr">
        <is>
          <t>그라피아스크린</t>
        </is>
      </c>
      <c r="I401" s="14" t="n"/>
      <c r="J401" s="14" t="n"/>
      <c r="K401" s="12" t="n"/>
      <c r="L401" s="9" t="n"/>
      <c r="M401" s="9" t="n"/>
      <c r="N401" s="9" t="n"/>
      <c r="O401" s="40">
        <f>K401+V401-AE401-AZ401</f>
        <v/>
      </c>
      <c r="P401" s="12" t="n"/>
      <c r="Q401" s="138" t="n"/>
      <c r="R401" s="16" t="n"/>
      <c r="S401" s="139" t="n"/>
      <c r="T401" s="16" t="n"/>
      <c r="U401" s="139" t="n"/>
      <c r="V401" s="16">
        <f>P401+R401+T401</f>
        <v/>
      </c>
      <c r="W401" s="16" t="n"/>
      <c r="X401" s="139" t="n"/>
      <c r="Y401" s="16" t="n"/>
      <c r="Z401" s="139" t="n"/>
      <c r="AA401" s="16" t="n"/>
      <c r="AB401" s="139" t="n"/>
      <c r="AC401" s="16" t="n"/>
      <c r="AD401" s="139" t="n"/>
      <c r="AE401" s="16">
        <f>(W401+Y401+AA401+AC401)</f>
        <v/>
      </c>
      <c r="AF401" s="16" t="n"/>
      <c r="AG401" s="138" t="n"/>
      <c r="AH401" s="16" t="n"/>
      <c r="AI401" s="138" t="n"/>
      <c r="AJ401" s="16" t="n"/>
      <c r="AK401" s="138" t="n"/>
      <c r="AL401" s="16" t="n"/>
      <c r="AM401" s="138" t="n"/>
      <c r="AN401" s="16" t="n"/>
      <c r="AO401" s="138" t="n"/>
      <c r="AP401" s="16" t="n"/>
      <c r="AQ401" s="138" t="n"/>
      <c r="AR401" s="16" t="n"/>
      <c r="AS401" s="138" t="n"/>
      <c r="AT401" s="16" t="n"/>
      <c r="AU401" s="138" t="n"/>
      <c r="AV401" s="16" t="n"/>
      <c r="AW401" s="138" t="n"/>
      <c r="AX401" s="16" t="n"/>
      <c r="AY401" s="138" t="n"/>
      <c r="AZ401" s="16">
        <f>AF401+AH401+AJ401+AL401+AN401+AP401+AR401+AT401+AV401+AX401</f>
        <v/>
      </c>
      <c r="BA401" s="16" t="n"/>
      <c r="BB401" s="139" t="n"/>
      <c r="BC401" s="16" t="n"/>
      <c r="BD401" s="139" t="n"/>
      <c r="BE401" s="16">
        <f>(BA401+BC401)</f>
        <v/>
      </c>
    </row>
    <row r="402" ht="22.5" customFormat="1" customHeight="1" s="8">
      <c r="A402" s="9" t="n"/>
      <c r="B402" s="136" t="inlineStr">
        <is>
          <t>인조가죽</t>
        </is>
      </c>
      <c r="C402" s="137" t="inlineStr">
        <is>
          <t>ADX6000</t>
        </is>
      </c>
      <c r="D402" s="63" t="inlineStr">
        <is>
          <t>LCD 힌지 가죽 커버</t>
        </is>
      </c>
      <c r="E402" s="13" t="inlineStr">
        <is>
          <t>인조 가죽</t>
        </is>
      </c>
      <c r="F402" s="100" t="n"/>
      <c r="G402" s="9" t="n"/>
      <c r="H402" s="9" t="inlineStr">
        <is>
          <t>굿모닝코리아유통</t>
        </is>
      </c>
      <c r="I402" s="14" t="n"/>
      <c r="J402" s="14" t="n"/>
      <c r="K402" s="12" t="n">
        <v>238</v>
      </c>
      <c r="L402" s="9" t="n"/>
      <c r="M402" s="9" t="n"/>
      <c r="N402" s="9" t="n"/>
      <c r="O402" s="40">
        <f>K402+V402-AE402-AZ402</f>
        <v/>
      </c>
      <c r="P402" s="12" t="n"/>
      <c r="Q402" s="138" t="n"/>
      <c r="R402" s="16" t="n"/>
      <c r="S402" s="139" t="n"/>
      <c r="T402" s="16" t="n"/>
      <c r="U402" s="139" t="n"/>
      <c r="V402" s="16">
        <f>P402+R402+T402</f>
        <v/>
      </c>
      <c r="W402" s="16" t="n"/>
      <c r="X402" s="139" t="n"/>
      <c r="Y402" s="16" t="n"/>
      <c r="Z402" s="139" t="n"/>
      <c r="AA402" s="16" t="n"/>
      <c r="AB402" s="139" t="n"/>
      <c r="AC402" s="16" t="n"/>
      <c r="AD402" s="139" t="n"/>
      <c r="AE402" s="16">
        <f>(W402+Y402+AA402+AC402)</f>
        <v/>
      </c>
      <c r="AF402" s="16" t="n"/>
      <c r="AG402" s="138" t="n"/>
      <c r="AH402" s="16" t="n"/>
      <c r="AI402" s="138" t="n"/>
      <c r="AJ402" s="16" t="n"/>
      <c r="AK402" s="138" t="n"/>
      <c r="AL402" s="16" t="n"/>
      <c r="AM402" s="138" t="n"/>
      <c r="AN402" s="16" t="n"/>
      <c r="AO402" s="138" t="n"/>
      <c r="AP402" s="16" t="n"/>
      <c r="AQ402" s="138" t="n"/>
      <c r="AR402" s="16" t="n"/>
      <c r="AS402" s="138" t="n"/>
      <c r="AT402" s="16" t="n"/>
      <c r="AU402" s="138" t="n"/>
      <c r="AV402" s="16" t="n"/>
      <c r="AW402" s="138" t="n"/>
      <c r="AX402" s="16" t="n"/>
      <c r="AY402" s="138" t="n"/>
      <c r="AZ402" s="16">
        <f>AF402+AH402+AJ402+AL402+AN402+AP402+AR402+AT402+AV402+AX402</f>
        <v/>
      </c>
      <c r="BA402" s="16" t="n"/>
      <c r="BB402" s="139" t="n"/>
      <c r="BC402" s="16" t="n"/>
      <c r="BD402" s="139" t="n"/>
      <c r="BE402" s="16">
        <f>(BA402+BC402)</f>
        <v/>
      </c>
    </row>
    <row r="403" ht="22.5" customFormat="1" customHeight="1" s="8">
      <c r="A403" s="9" t="n"/>
      <c r="B403" s="136" t="inlineStr">
        <is>
          <t>인조가죽</t>
        </is>
      </c>
      <c r="C403" s="137" t="inlineStr">
        <is>
          <t>ADX6000</t>
        </is>
      </c>
      <c r="D403" s="60" t="inlineStr">
        <is>
          <t>가죽 손잡이 (탈착배터리 터치펜 X)</t>
        </is>
      </c>
      <c r="E403" s="13" t="inlineStr">
        <is>
          <t>인조 가죽</t>
        </is>
      </c>
      <c r="F403" s="100" t="n"/>
      <c r="G403" s="9" t="n"/>
      <c r="H403" s="9" t="inlineStr">
        <is>
          <t>굿모닝코리아유통</t>
        </is>
      </c>
      <c r="I403" s="14" t="n"/>
      <c r="J403" s="14" t="n"/>
      <c r="K403" s="12" t="n">
        <v>185</v>
      </c>
      <c r="L403" s="9" t="n"/>
      <c r="M403" s="9" t="n"/>
      <c r="N403" s="9" t="n"/>
      <c r="O403" s="40">
        <f>K403+V403-AE403-AZ403</f>
        <v/>
      </c>
      <c r="P403" s="12" t="n"/>
      <c r="Q403" s="138" t="n"/>
      <c r="R403" s="16" t="n"/>
      <c r="S403" s="139" t="n"/>
      <c r="T403" s="16" t="n"/>
      <c r="U403" s="139" t="n"/>
      <c r="V403" s="16">
        <f>P403+R403+T403</f>
        <v/>
      </c>
      <c r="W403" s="16" t="n"/>
      <c r="X403" s="139" t="n"/>
      <c r="Y403" s="16" t="n"/>
      <c r="Z403" s="139" t="n"/>
      <c r="AA403" s="16" t="n"/>
      <c r="AB403" s="139" t="n"/>
      <c r="AC403" s="16" t="n"/>
      <c r="AD403" s="139" t="n"/>
      <c r="AE403" s="16">
        <f>(W403+Y403+AA403+AC403)</f>
        <v/>
      </c>
      <c r="AF403" s="16" t="n"/>
      <c r="AG403" s="138" t="n"/>
      <c r="AH403" s="16" t="n"/>
      <c r="AI403" s="138" t="n"/>
      <c r="AJ403" s="16" t="n"/>
      <c r="AK403" s="138" t="n"/>
      <c r="AL403" s="16" t="n"/>
      <c r="AM403" s="138" t="n"/>
      <c r="AN403" s="16" t="n"/>
      <c r="AO403" s="138" t="n"/>
      <c r="AP403" s="16" t="n"/>
      <c r="AQ403" s="138" t="n"/>
      <c r="AR403" s="16" t="n"/>
      <c r="AS403" s="138" t="n"/>
      <c r="AT403" s="16" t="n"/>
      <c r="AU403" s="138" t="n"/>
      <c r="AV403" s="16" t="n"/>
      <c r="AW403" s="138" t="n"/>
      <c r="AX403" s="16" t="n"/>
      <c r="AY403" s="138" t="n"/>
      <c r="AZ403" s="16">
        <f>AF403+AH403+AJ403+AL403+AN403+AP403+AR403+AT403+AV403+AX403</f>
        <v/>
      </c>
      <c r="BA403" s="16" t="n"/>
      <c r="BB403" s="139" t="n"/>
      <c r="BC403" s="16" t="n"/>
      <c r="BD403" s="139" t="n"/>
      <c r="BE403" s="16">
        <f>(BA403+BC403)</f>
        <v/>
      </c>
    </row>
    <row r="404" ht="22.5" customFormat="1" customHeight="1" s="8">
      <c r="A404" s="9" t="n"/>
      <c r="B404" s="136" t="inlineStr">
        <is>
          <t>자석</t>
        </is>
      </c>
      <c r="C404" s="137" t="inlineStr">
        <is>
          <t>ADX6000</t>
        </is>
      </c>
      <c r="D404" s="60" t="inlineStr">
        <is>
          <t>자석</t>
        </is>
      </c>
      <c r="E404" s="13" t="n"/>
      <c r="F404" s="100" t="n"/>
      <c r="G404" s="9" t="n"/>
      <c r="H404" s="9" t="inlineStr">
        <is>
          <t>일성마그네트</t>
        </is>
      </c>
      <c r="I404" s="14" t="n"/>
      <c r="J404" s="14" t="n"/>
      <c r="K404" s="12" t="n"/>
      <c r="L404" s="9" t="n"/>
      <c r="M404" s="9" t="n"/>
      <c r="N404" s="9" t="n"/>
      <c r="O404" s="40">
        <f>K404+V404-AE404-AZ404</f>
        <v/>
      </c>
      <c r="P404" s="12" t="n"/>
      <c r="Q404" s="138" t="n"/>
      <c r="R404" s="16" t="n"/>
      <c r="S404" s="139" t="n"/>
      <c r="T404" s="16" t="n"/>
      <c r="U404" s="139" t="n"/>
      <c r="V404" s="16">
        <f>P404+R404+T404</f>
        <v/>
      </c>
      <c r="W404" s="16" t="n"/>
      <c r="X404" s="139" t="n"/>
      <c r="Y404" s="16" t="n"/>
      <c r="Z404" s="139" t="n"/>
      <c r="AA404" s="16" t="n"/>
      <c r="AB404" s="139" t="n"/>
      <c r="AC404" s="16" t="n"/>
      <c r="AD404" s="139" t="n"/>
      <c r="AE404" s="16">
        <f>(W404+Y404+AA404+AC404)</f>
        <v/>
      </c>
      <c r="AF404" s="16" t="n"/>
      <c r="AG404" s="138" t="n"/>
      <c r="AH404" s="16" t="n"/>
      <c r="AI404" s="138" t="n"/>
      <c r="AJ404" s="16" t="n"/>
      <c r="AK404" s="138" t="n"/>
      <c r="AL404" s="16" t="n"/>
      <c r="AM404" s="138" t="n"/>
      <c r="AN404" s="16" t="n"/>
      <c r="AO404" s="138" t="n"/>
      <c r="AP404" s="16" t="n"/>
      <c r="AQ404" s="138" t="n"/>
      <c r="AR404" s="16" t="n"/>
      <c r="AS404" s="138" t="n"/>
      <c r="AT404" s="16" t="n"/>
      <c r="AU404" s="138" t="n"/>
      <c r="AV404" s="16" t="n"/>
      <c r="AW404" s="138" t="n"/>
      <c r="AX404" s="16" t="n"/>
      <c r="AY404" s="138" t="n"/>
      <c r="AZ404" s="16">
        <f>AF404+AH404+AJ404+AL404+AN404+AP404+AR404+AT404+AV404+AX404</f>
        <v/>
      </c>
      <c r="BA404" s="16" t="n"/>
      <c r="BB404" s="139" t="n"/>
      <c r="BC404" s="16" t="n"/>
      <c r="BD404" s="139" t="n"/>
      <c r="BE404" s="16">
        <f>(BA404+BC404)</f>
        <v/>
      </c>
    </row>
    <row r="405" ht="22.5" customFormat="1" customHeight="1" s="8">
      <c r="A405" s="9" t="n"/>
      <c r="B405" s="136" t="inlineStr">
        <is>
          <t>배터리</t>
        </is>
      </c>
      <c r="C405" s="137" t="inlineStr">
        <is>
          <t>DX3000, ADX4000W</t>
        </is>
      </c>
      <c r="D405" s="63" t="inlineStr">
        <is>
          <t>기본 배터리</t>
        </is>
      </c>
      <c r="E405" s="13" t="inlineStr">
        <is>
          <t>PF435060HP</t>
        </is>
      </c>
      <c r="F405" s="99" t="n"/>
      <c r="G405" s="9" t="n"/>
      <c r="H405" s="9" t="inlineStr">
        <is>
          <t>비앤테크</t>
        </is>
      </c>
      <c r="I405" s="14" t="n"/>
      <c r="J405" s="14" t="n"/>
      <c r="K405" s="12" t="n">
        <v>130</v>
      </c>
      <c r="L405" s="9" t="n"/>
      <c r="M405" s="9" t="n"/>
      <c r="N405" s="9" t="n"/>
      <c r="O405" s="40">
        <f>K405+V405-AE405-AZ405</f>
        <v/>
      </c>
      <c r="P405" s="12" t="n"/>
      <c r="Q405" s="138" t="n"/>
      <c r="R405" s="16" t="n"/>
      <c r="S405" s="139" t="n"/>
      <c r="T405" s="16" t="n"/>
      <c r="U405" s="139" t="n"/>
      <c r="V405" s="16">
        <f>P405+R405+T405</f>
        <v/>
      </c>
      <c r="W405" s="16" t="n"/>
      <c r="X405" s="139" t="n"/>
      <c r="Y405" s="16" t="n"/>
      <c r="Z405" s="139" t="n"/>
      <c r="AA405" s="16" t="n"/>
      <c r="AB405" s="139" t="n"/>
      <c r="AC405" s="16" t="n"/>
      <c r="AD405" s="139" t="n"/>
      <c r="AE405" s="16">
        <f>(W405+Y405+AA405+AC405)</f>
        <v/>
      </c>
      <c r="AF405" s="16" t="n"/>
      <c r="AG405" s="138" t="n"/>
      <c r="AH405" s="16" t="n"/>
      <c r="AI405" s="138" t="n"/>
      <c r="AJ405" s="16" t="n"/>
      <c r="AK405" s="138" t="n"/>
      <c r="AL405" s="16" t="n"/>
      <c r="AM405" s="138" t="n"/>
      <c r="AN405" s="16" t="n"/>
      <c r="AO405" s="138" t="n"/>
      <c r="AP405" s="16" t="n"/>
      <c r="AQ405" s="138" t="n"/>
      <c r="AR405" s="16" t="n"/>
      <c r="AS405" s="138" t="n"/>
      <c r="AT405" s="16" t="n"/>
      <c r="AU405" s="138" t="n"/>
      <c r="AV405" s="16" t="n"/>
      <c r="AW405" s="138" t="n"/>
      <c r="AX405" s="16" t="n"/>
      <c r="AY405" s="138" t="n"/>
      <c r="AZ405" s="16">
        <f>AF405+AH405+AJ405+AL405+AN405+AP405+AR405+AT405+AV405+AX405</f>
        <v/>
      </c>
      <c r="BA405" s="16" t="n"/>
      <c r="BB405" s="139" t="n"/>
      <c r="BC405" s="16" t="n"/>
      <c r="BD405" s="139" t="n"/>
      <c r="BE405" s="16">
        <f>(BA405+BC405)</f>
        <v/>
      </c>
    </row>
    <row r="406" ht="22.5" customFormat="1" customHeight="1" s="8">
      <c r="A406" s="9" t="n"/>
      <c r="B406" s="136" t="inlineStr">
        <is>
          <t>배터리</t>
        </is>
      </c>
      <c r="C406" s="137" t="inlineStr">
        <is>
          <t>DX3000</t>
        </is>
      </c>
      <c r="D406" s="63" t="inlineStr">
        <is>
          <t>내부 배터리</t>
        </is>
      </c>
      <c r="E406" s="13" t="inlineStr">
        <is>
          <t>PF435060HP</t>
        </is>
      </c>
      <c r="F406" s="99" t="n"/>
      <c r="G406" s="9" t="n"/>
      <c r="H406" s="9" t="inlineStr">
        <is>
          <t>비앤테크</t>
        </is>
      </c>
      <c r="I406" s="14" t="n"/>
      <c r="J406" s="14" t="n"/>
      <c r="K406" s="12" t="n"/>
      <c r="L406" s="9" t="n"/>
      <c r="M406" s="9" t="n"/>
      <c r="N406" s="9" t="n"/>
      <c r="O406" s="40">
        <f>K406+V406-AE406-AZ406</f>
        <v/>
      </c>
      <c r="P406" s="12" t="n"/>
      <c r="Q406" s="138" t="n"/>
      <c r="R406" s="16" t="n"/>
      <c r="S406" s="139" t="n"/>
      <c r="T406" s="16" t="n"/>
      <c r="U406" s="139" t="n"/>
      <c r="V406" s="16">
        <f>P406+R406+T406</f>
        <v/>
      </c>
      <c r="W406" s="16" t="n"/>
      <c r="X406" s="139" t="n"/>
      <c r="Y406" s="16" t="n"/>
      <c r="Z406" s="139" t="n"/>
      <c r="AA406" s="16" t="n"/>
      <c r="AB406" s="139" t="n"/>
      <c r="AC406" s="16" t="n"/>
      <c r="AD406" s="139" t="n"/>
      <c r="AE406" s="16">
        <f>(W406+Y406+AA406+AC406)</f>
        <v/>
      </c>
      <c r="AF406" s="16" t="n"/>
      <c r="AG406" s="138" t="n"/>
      <c r="AH406" s="16" t="n"/>
      <c r="AI406" s="138" t="n"/>
      <c r="AJ406" s="16" t="n"/>
      <c r="AK406" s="138" t="n"/>
      <c r="AL406" s="16" t="n"/>
      <c r="AM406" s="138" t="n"/>
      <c r="AN406" s="16" t="n"/>
      <c r="AO406" s="138" t="n"/>
      <c r="AP406" s="16" t="n"/>
      <c r="AQ406" s="138" t="n"/>
      <c r="AR406" s="16" t="n"/>
      <c r="AS406" s="138" t="n"/>
      <c r="AT406" s="16" t="n"/>
      <c r="AU406" s="138" t="n"/>
      <c r="AV406" s="16" t="n"/>
      <c r="AW406" s="138" t="n"/>
      <c r="AX406" s="16" t="n"/>
      <c r="AY406" s="138" t="n"/>
      <c r="AZ406" s="16">
        <f>AF406+AH406+AJ406+AL406+AN406+AP406+AR406+AT406+AV406+AX406</f>
        <v/>
      </c>
      <c r="BA406" s="16" t="n"/>
      <c r="BB406" s="139" t="n"/>
      <c r="BC406" s="16" t="n"/>
      <c r="BD406" s="139" t="n"/>
      <c r="BE406" s="16">
        <f>(BA406+BC406)</f>
        <v/>
      </c>
    </row>
    <row r="407" ht="22.5" customFormat="1" customHeight="1" s="8">
      <c r="A407" s="9" t="n"/>
      <c r="B407" s="136" t="inlineStr">
        <is>
          <t>배터리</t>
        </is>
      </c>
      <c r="C407" s="137" t="inlineStr">
        <is>
          <t>DX3000</t>
        </is>
      </c>
      <c r="D407" s="63" t="inlineStr">
        <is>
          <t>배터리 [60C 950mA]</t>
        </is>
      </c>
      <c r="E407" s="13" t="inlineStr">
        <is>
          <t>60C 950mA</t>
        </is>
      </c>
      <c r="F407" s="99" t="n"/>
      <c r="G407" s="9" t="n"/>
      <c r="H407" s="9" t="inlineStr">
        <is>
          <t>비앤테크</t>
        </is>
      </c>
      <c r="I407" s="14" t="n"/>
      <c r="J407" s="14" t="n"/>
      <c r="K407" s="12" t="n">
        <v>89</v>
      </c>
      <c r="L407" s="9" t="n"/>
      <c r="M407" s="9" t="n"/>
      <c r="N407" s="9" t="n"/>
      <c r="O407" s="40">
        <f>K407+V407-AE407-AZ407</f>
        <v/>
      </c>
      <c r="P407" s="12" t="n"/>
      <c r="Q407" s="138" t="n"/>
      <c r="R407" s="16" t="n"/>
      <c r="S407" s="139" t="n"/>
      <c r="T407" s="16" t="n"/>
      <c r="U407" s="139" t="n"/>
      <c r="V407" s="16">
        <f>P407+R407+T407</f>
        <v/>
      </c>
      <c r="W407" s="16" t="n"/>
      <c r="X407" s="139" t="n"/>
      <c r="Y407" s="16" t="n"/>
      <c r="Z407" s="139" t="n"/>
      <c r="AA407" s="16" t="n"/>
      <c r="AB407" s="139" t="n"/>
      <c r="AC407" s="16" t="n"/>
      <c r="AD407" s="139" t="n"/>
      <c r="AE407" s="16">
        <f>(W407+Y407+AA407+AC407)</f>
        <v/>
      </c>
      <c r="AF407" s="16" t="n"/>
      <c r="AG407" s="138" t="n"/>
      <c r="AH407" s="16" t="n"/>
      <c r="AI407" s="138" t="n"/>
      <c r="AJ407" s="16" t="n"/>
      <c r="AK407" s="138" t="n"/>
      <c r="AL407" s="16" t="n"/>
      <c r="AM407" s="138" t="n"/>
      <c r="AN407" s="16" t="n"/>
      <c r="AO407" s="138" t="n"/>
      <c r="AP407" s="16" t="n"/>
      <c r="AQ407" s="138" t="n"/>
      <c r="AR407" s="16" t="n"/>
      <c r="AS407" s="138" t="n"/>
      <c r="AT407" s="16" t="n"/>
      <c r="AU407" s="138" t="n"/>
      <c r="AV407" s="16" t="n"/>
      <c r="AW407" s="138" t="n"/>
      <c r="AX407" s="16" t="n"/>
      <c r="AY407" s="138" t="n"/>
      <c r="AZ407" s="16">
        <f>AF407+AH407+AJ407+AL407+AN407+AP407+AR407+AT407+AV407+AX407</f>
        <v/>
      </c>
      <c r="BA407" s="16" t="n"/>
      <c r="BB407" s="139" t="n"/>
      <c r="BC407" s="16" t="n"/>
      <c r="BD407" s="139" t="n"/>
      <c r="BE407" s="16">
        <f>(BA407+BC407)</f>
        <v/>
      </c>
    </row>
    <row r="408" ht="22.5" customFormat="1" customHeight="1" s="8">
      <c r="A408" s="9" t="n"/>
      <c r="B408" s="136" t="inlineStr">
        <is>
          <t>배터리</t>
        </is>
      </c>
      <c r="C408" s="137" t="inlineStr">
        <is>
          <t>COCOON</t>
        </is>
      </c>
      <c r="D408" s="63" t="inlineStr">
        <is>
          <t>내부 배터리</t>
        </is>
      </c>
      <c r="E408" s="13" t="inlineStr">
        <is>
          <t>PF605060HP</t>
        </is>
      </c>
      <c r="F408" s="99" t="n"/>
      <c r="G408" s="9" t="n"/>
      <c r="H408" s="9" t="inlineStr">
        <is>
          <t>비앤테크</t>
        </is>
      </c>
      <c r="I408" s="14" t="n"/>
      <c r="J408" s="14" t="n"/>
      <c r="K408" s="12" t="n">
        <v>0</v>
      </c>
      <c r="L408" s="9" t="n"/>
      <c r="M408" s="9" t="n"/>
      <c r="N408" s="9" t="n"/>
      <c r="O408" s="40">
        <f>K408+V408-AE408-AZ408</f>
        <v/>
      </c>
      <c r="P408" s="12" t="n"/>
      <c r="Q408" s="138" t="n"/>
      <c r="R408" s="16" t="n"/>
      <c r="S408" s="139" t="n"/>
      <c r="T408" s="16" t="n"/>
      <c r="U408" s="139" t="n"/>
      <c r="V408" s="16">
        <f>P408+R408+T408</f>
        <v/>
      </c>
      <c r="W408" s="16" t="n"/>
      <c r="X408" s="139" t="n"/>
      <c r="Y408" s="16" t="n"/>
      <c r="Z408" s="139" t="n"/>
      <c r="AA408" s="16" t="n"/>
      <c r="AB408" s="139" t="n"/>
      <c r="AC408" s="16" t="n"/>
      <c r="AD408" s="139" t="n"/>
      <c r="AE408" s="16">
        <f>(W408+Y408+AA408+AC408)</f>
        <v/>
      </c>
      <c r="AF408" s="16" t="n"/>
      <c r="AG408" s="138" t="n"/>
      <c r="AH408" s="16" t="n"/>
      <c r="AI408" s="138" t="n"/>
      <c r="AJ408" s="16" t="n"/>
      <c r="AK408" s="138" t="n"/>
      <c r="AL408" s="16" t="n"/>
      <c r="AM408" s="138" t="n"/>
      <c r="AN408" s="16" t="n"/>
      <c r="AO408" s="138" t="n"/>
      <c r="AP408" s="16" t="n"/>
      <c r="AQ408" s="138" t="n"/>
      <c r="AR408" s="16" t="n"/>
      <c r="AS408" s="138" t="n"/>
      <c r="AT408" s="16" t="n"/>
      <c r="AU408" s="138" t="n"/>
      <c r="AV408" s="16" t="n"/>
      <c r="AW408" s="138" t="n"/>
      <c r="AX408" s="16" t="n"/>
      <c r="AY408" s="138" t="n"/>
      <c r="AZ408" s="16">
        <f>AF408+AH408+AJ408+AL408+AN408+AP408+AR408+AT408+AV408+AX408</f>
        <v/>
      </c>
      <c r="BA408" s="16" t="n"/>
      <c r="BB408" s="139" t="n"/>
      <c r="BC408" s="16" t="n"/>
      <c r="BD408" s="139" t="n"/>
      <c r="BE408" s="16">
        <f>(BA408+BC408)</f>
        <v/>
      </c>
    </row>
    <row r="409" ht="22.5" customFormat="1" customHeight="1" s="8">
      <c r="A409" s="9" t="n"/>
      <c r="B409" s="136" t="inlineStr">
        <is>
          <t>배터리</t>
        </is>
      </c>
      <c r="C409" s="137" t="inlineStr">
        <is>
          <t>COCOON</t>
        </is>
      </c>
      <c r="D409" s="63" t="inlineStr">
        <is>
          <t>외부 배터리</t>
        </is>
      </c>
      <c r="E409" s="13" t="inlineStr">
        <is>
          <t>PF605060HP</t>
        </is>
      </c>
      <c r="F409" s="99" t="n"/>
      <c r="G409" s="9" t="n"/>
      <c r="H409" s="9" t="inlineStr">
        <is>
          <t>비앤테크</t>
        </is>
      </c>
      <c r="I409" s="14" t="n"/>
      <c r="J409" s="14" t="n"/>
      <c r="K409" s="12" t="n"/>
      <c r="L409" s="9" t="n"/>
      <c r="M409" s="9" t="n"/>
      <c r="N409" s="9" t="n"/>
      <c r="O409" s="40">
        <f>K409+V409-AE409-AZ409</f>
        <v/>
      </c>
      <c r="P409" s="12" t="n"/>
      <c r="Q409" s="138" t="n"/>
      <c r="R409" s="16" t="n"/>
      <c r="S409" s="139" t="n"/>
      <c r="T409" s="16" t="n"/>
      <c r="U409" s="139" t="n"/>
      <c r="V409" s="16">
        <f>P409+R409+T409</f>
        <v/>
      </c>
      <c r="W409" s="16" t="n"/>
      <c r="X409" s="139" t="n"/>
      <c r="Y409" s="16" t="n"/>
      <c r="Z409" s="139" t="n"/>
      <c r="AA409" s="16" t="n"/>
      <c r="AB409" s="139" t="n"/>
      <c r="AC409" s="16" t="n"/>
      <c r="AD409" s="139" t="n"/>
      <c r="AE409" s="16">
        <f>(W409+Y409+AA409+AC409)</f>
        <v/>
      </c>
      <c r="AF409" s="16" t="n"/>
      <c r="AG409" s="138" t="n"/>
      <c r="AH409" s="16" t="n"/>
      <c r="AI409" s="138" t="n"/>
      <c r="AJ409" s="16" t="n"/>
      <c r="AK409" s="138" t="n"/>
      <c r="AL409" s="16" t="n"/>
      <c r="AM409" s="138" t="n"/>
      <c r="AN409" s="16" t="n"/>
      <c r="AO409" s="138" t="n"/>
      <c r="AP409" s="16" t="n"/>
      <c r="AQ409" s="138" t="n"/>
      <c r="AR409" s="16" t="n"/>
      <c r="AS409" s="138" t="n"/>
      <c r="AT409" s="16" t="n"/>
      <c r="AU409" s="138" t="n"/>
      <c r="AV409" s="16" t="n"/>
      <c r="AW409" s="138" t="n"/>
      <c r="AX409" s="16" t="n"/>
      <c r="AY409" s="138" t="n"/>
      <c r="AZ409" s="16">
        <f>AF409+AH409+AJ409+AL409+AN409+AP409+AR409+AT409+AV409+AX409</f>
        <v/>
      </c>
      <c r="BA409" s="16" t="n"/>
      <c r="BB409" s="139" t="n"/>
      <c r="BC409" s="16" t="n"/>
      <c r="BD409" s="139" t="n"/>
      <c r="BE409" s="16">
        <f>(BA409+BC409)</f>
        <v/>
      </c>
    </row>
    <row r="410" ht="22.5" customFormat="1" customHeight="1" s="8">
      <c r="A410" s="9" t="n"/>
      <c r="B410" s="136" t="inlineStr">
        <is>
          <t>배터리</t>
        </is>
      </c>
      <c r="C410" s="137" t="inlineStr">
        <is>
          <t>DX3000</t>
        </is>
      </c>
      <c r="D410" s="63" t="inlineStr">
        <is>
          <t>소형 외부배터리</t>
        </is>
      </c>
      <c r="E410" s="13" t="inlineStr">
        <is>
          <t>PF435060HP</t>
        </is>
      </c>
      <c r="F410" s="99" t="n"/>
      <c r="G410" s="9" t="n"/>
      <c r="H410" s="9" t="inlineStr">
        <is>
          <t>비앤테크</t>
        </is>
      </c>
      <c r="I410" s="14" t="n"/>
      <c r="J410" s="14" t="n"/>
      <c r="K410" s="12" t="n"/>
      <c r="L410" s="9" t="n"/>
      <c r="M410" s="9" t="n"/>
      <c r="N410" s="9" t="n"/>
      <c r="O410" s="40">
        <f>K410+V410-AE410-AZ410</f>
        <v/>
      </c>
      <c r="P410" s="12" t="n"/>
      <c r="Q410" s="138" t="n"/>
      <c r="R410" s="16" t="n"/>
      <c r="S410" s="139" t="n"/>
      <c r="T410" s="16" t="n"/>
      <c r="U410" s="139" t="n"/>
      <c r="V410" s="16">
        <f>P410+R410+T410</f>
        <v/>
      </c>
      <c r="W410" s="16" t="n"/>
      <c r="X410" s="139" t="n"/>
      <c r="Y410" s="16" t="n"/>
      <c r="Z410" s="139" t="n"/>
      <c r="AA410" s="16" t="n"/>
      <c r="AB410" s="139" t="n"/>
      <c r="AC410" s="16" t="n"/>
      <c r="AD410" s="139" t="n"/>
      <c r="AE410" s="16">
        <f>(W410+Y410+AA410+AC410)</f>
        <v/>
      </c>
      <c r="AF410" s="16" t="n"/>
      <c r="AG410" s="138" t="n"/>
      <c r="AH410" s="16" t="n"/>
      <c r="AI410" s="138" t="n"/>
      <c r="AJ410" s="16" t="n"/>
      <c r="AK410" s="138" t="n"/>
      <c r="AL410" s="16" t="n"/>
      <c r="AM410" s="138" t="n"/>
      <c r="AN410" s="16" t="n"/>
      <c r="AO410" s="138" t="n"/>
      <c r="AP410" s="16" t="n"/>
      <c r="AQ410" s="138" t="n"/>
      <c r="AR410" s="16" t="n"/>
      <c r="AS410" s="138" t="n"/>
      <c r="AT410" s="16" t="n"/>
      <c r="AU410" s="138" t="n"/>
      <c r="AV410" s="16" t="n"/>
      <c r="AW410" s="138" t="n"/>
      <c r="AX410" s="16" t="n"/>
      <c r="AY410" s="138" t="n"/>
      <c r="AZ410" s="16">
        <f>AF410+AH410+AJ410+AL410+AN410+AP410+AR410+AT410+AV410+AX410</f>
        <v/>
      </c>
      <c r="BA410" s="16" t="n"/>
      <c r="BB410" s="139" t="n"/>
      <c r="BC410" s="16" t="n"/>
      <c r="BD410" s="139" t="n"/>
      <c r="BE410" s="16">
        <f>(BA410+BC410)</f>
        <v/>
      </c>
    </row>
    <row r="411" ht="22.5" customFormat="1" customHeight="1" s="8">
      <c r="A411" s="9" t="n"/>
      <c r="B411" s="136" t="inlineStr">
        <is>
          <t>배터리</t>
        </is>
      </c>
      <c r="C411" s="137" t="inlineStr">
        <is>
          <t>ADX6000</t>
        </is>
      </c>
      <c r="D411" s="60" t="inlineStr">
        <is>
          <t>기본 배터리</t>
        </is>
      </c>
      <c r="E411" s="13" t="inlineStr">
        <is>
          <t xml:space="preserve"> </t>
        </is>
      </c>
      <c r="F411" s="99" t="n"/>
      <c r="G411" s="9" t="n"/>
      <c r="H411" s="9" t="inlineStr">
        <is>
          <t>비앤테크</t>
        </is>
      </c>
      <c r="I411" s="14" t="n"/>
      <c r="J411" s="14" t="n"/>
      <c r="K411" s="12" t="n"/>
      <c r="L411" s="9" t="n"/>
      <c r="M411" s="9" t="n"/>
      <c r="N411" s="9" t="n"/>
      <c r="O411" s="40">
        <f>K411+V411-AE411-AZ411</f>
        <v/>
      </c>
      <c r="P411" s="12" t="n"/>
      <c r="Q411" s="138" t="n"/>
      <c r="R411" s="16" t="n"/>
      <c r="S411" s="139" t="n"/>
      <c r="T411" s="16" t="n"/>
      <c r="U411" s="139" t="n"/>
      <c r="V411" s="16">
        <f>P411+R411+T411</f>
        <v/>
      </c>
      <c r="W411" s="16" t="n"/>
      <c r="X411" s="139" t="n"/>
      <c r="Y411" s="16" t="n"/>
      <c r="Z411" s="139" t="n"/>
      <c r="AA411" s="16" t="n"/>
      <c r="AB411" s="139" t="n"/>
      <c r="AC411" s="16" t="n"/>
      <c r="AD411" s="139" t="n"/>
      <c r="AE411" s="16">
        <f>(W411+Y411+AA411+AC411)</f>
        <v/>
      </c>
      <c r="AF411" s="16" t="n"/>
      <c r="AG411" s="138" t="n"/>
      <c r="AH411" s="16" t="n"/>
      <c r="AI411" s="138" t="n"/>
      <c r="AJ411" s="16" t="n"/>
      <c r="AK411" s="138" t="n"/>
      <c r="AL411" s="16" t="n"/>
      <c r="AM411" s="138" t="n"/>
      <c r="AN411" s="16" t="n"/>
      <c r="AO411" s="138" t="n"/>
      <c r="AP411" s="16" t="n"/>
      <c r="AQ411" s="138" t="n"/>
      <c r="AR411" s="16" t="n"/>
      <c r="AS411" s="138" t="n"/>
      <c r="AT411" s="16" t="n"/>
      <c r="AU411" s="138" t="n"/>
      <c r="AV411" s="16" t="n"/>
      <c r="AW411" s="138" t="n"/>
      <c r="AX411" s="16" t="n"/>
      <c r="AY411" s="138" t="n"/>
      <c r="AZ411" s="16">
        <f>AF411+AH411+AJ411+AL411+AN411+AP411+AR411+AT411+AV411+AX411</f>
        <v/>
      </c>
      <c r="BA411" s="16" t="n"/>
      <c r="BB411" s="139" t="n"/>
      <c r="BC411" s="16" t="n"/>
      <c r="BD411" s="139" t="n"/>
      <c r="BE411" s="16">
        <f>(BA411+BC411)</f>
        <v/>
      </c>
    </row>
    <row r="412" ht="22.5" customFormat="1" customHeight="1" s="8">
      <c r="A412" s="9" t="n"/>
      <c r="B412" s="136" t="inlineStr">
        <is>
          <t>배터리</t>
        </is>
      </c>
      <c r="C412" s="137" t="inlineStr">
        <is>
          <t>ADX6000</t>
        </is>
      </c>
      <c r="D412" s="63" t="inlineStr">
        <is>
          <t>외부 배터리</t>
        </is>
      </c>
      <c r="E412" s="13" t="inlineStr">
        <is>
          <t>LIP1902A_5035127SH25</t>
        </is>
      </c>
      <c r="F412" s="99" t="n"/>
      <c r="G412" s="9" t="n"/>
      <c r="H412" s="9" t="inlineStr">
        <is>
          <t>비앤테크</t>
        </is>
      </c>
      <c r="I412" s="14" t="n"/>
      <c r="J412" s="14" t="n"/>
      <c r="K412" s="12" t="n"/>
      <c r="L412" s="9" t="n"/>
      <c r="M412" s="9" t="n"/>
      <c r="N412" s="9" t="n"/>
      <c r="O412" s="40">
        <f>K412+V412-AE412-AZ412</f>
        <v/>
      </c>
      <c r="P412" s="12" t="n"/>
      <c r="Q412" s="138" t="n"/>
      <c r="R412" s="16" t="n"/>
      <c r="S412" s="139" t="n"/>
      <c r="T412" s="16" t="n"/>
      <c r="U412" s="139" t="n"/>
      <c r="V412" s="16">
        <f>P412+R412+T412</f>
        <v/>
      </c>
      <c r="W412" s="16" t="n"/>
      <c r="X412" s="139" t="n"/>
      <c r="Y412" s="16" t="n"/>
      <c r="Z412" s="139" t="n"/>
      <c r="AA412" s="16" t="n"/>
      <c r="AB412" s="139" t="n"/>
      <c r="AC412" s="16" t="n"/>
      <c r="AD412" s="139" t="n"/>
      <c r="AE412" s="16">
        <f>(W412+Y412+AA412+AC412)</f>
        <v/>
      </c>
      <c r="AF412" s="16" t="n"/>
      <c r="AG412" s="138" t="n"/>
      <c r="AH412" s="16" t="n"/>
      <c r="AI412" s="138" t="n"/>
      <c r="AJ412" s="16" t="n"/>
      <c r="AK412" s="138" t="n"/>
      <c r="AL412" s="16" t="n"/>
      <c r="AM412" s="138" t="n"/>
      <c r="AN412" s="16" t="n"/>
      <c r="AO412" s="138" t="n"/>
      <c r="AP412" s="16" t="n"/>
      <c r="AQ412" s="138" t="n"/>
      <c r="AR412" s="16" t="n"/>
      <c r="AS412" s="138" t="n"/>
      <c r="AT412" s="16" t="n"/>
      <c r="AU412" s="138" t="n"/>
      <c r="AV412" s="16" t="n"/>
      <c r="AW412" s="138" t="n"/>
      <c r="AX412" s="16" t="n"/>
      <c r="AY412" s="138" t="n"/>
      <c r="AZ412" s="16">
        <f>AF412+AH412+AJ412+AL412+AN412+AP412+AR412+AT412+AV412+AX412</f>
        <v/>
      </c>
      <c r="BA412" s="16" t="n"/>
      <c r="BB412" s="139" t="n"/>
      <c r="BC412" s="16" t="n"/>
      <c r="BD412" s="139" t="n"/>
      <c r="BE412" s="16">
        <f>(BA412+BC412)</f>
        <v/>
      </c>
    </row>
    <row r="413" ht="22.5" customFormat="1" customHeight="1" s="8">
      <c r="A413" s="9" t="n"/>
      <c r="B413" s="136" t="inlineStr">
        <is>
          <t>CORD</t>
        </is>
      </c>
      <c r="C413" s="142" t="inlineStr">
        <is>
          <t>공용</t>
        </is>
      </c>
      <c r="D413" s="89" t="inlineStr">
        <is>
          <t>2구 AC코드 C타입</t>
        </is>
      </c>
      <c r="E413" s="13" t="inlineStr">
        <is>
          <t>220V</t>
        </is>
      </c>
      <c r="F413" s="99" t="n"/>
      <c r="G413" s="9" t="n"/>
      <c r="H413" s="9" t="inlineStr">
        <is>
          <t>브리지파워</t>
        </is>
      </c>
      <c r="I413" s="14" t="n"/>
      <c r="J413" s="14" t="n"/>
      <c r="K413" s="12" t="n">
        <v>1098</v>
      </c>
      <c r="L413" s="9" t="n"/>
      <c r="M413" s="9" t="n"/>
      <c r="N413" s="9" t="n"/>
      <c r="O413" s="40">
        <f>K413+V413-AE413-AZ413</f>
        <v/>
      </c>
      <c r="P413" s="12" t="n"/>
      <c r="Q413" s="138" t="n"/>
      <c r="R413" s="16" t="n"/>
      <c r="S413" s="139" t="n"/>
      <c r="T413" s="16" t="n"/>
      <c r="U413" s="139" t="n"/>
      <c r="V413" s="16">
        <f>P413+R413+T413</f>
        <v/>
      </c>
      <c r="W413" s="16" t="n"/>
      <c r="X413" s="139" t="n"/>
      <c r="Y413" s="16" t="n"/>
      <c r="Z413" s="139" t="n"/>
      <c r="AA413" s="16" t="n"/>
      <c r="AB413" s="139" t="n"/>
      <c r="AC413" s="16" t="n"/>
      <c r="AD413" s="139" t="n"/>
      <c r="AE413" s="16">
        <f>(W413+Y413+AA413+AC413)</f>
        <v/>
      </c>
      <c r="AF413" s="16" t="n"/>
      <c r="AG413" s="138" t="n"/>
      <c r="AH413" s="16" t="n"/>
      <c r="AI413" s="138" t="n"/>
      <c r="AJ413" s="16" t="n"/>
      <c r="AK413" s="138" t="n"/>
      <c r="AL413" s="16" t="n"/>
      <c r="AM413" s="138" t="n"/>
      <c r="AN413" s="16" t="n"/>
      <c r="AO413" s="138" t="n"/>
      <c r="AP413" s="16" t="n"/>
      <c r="AQ413" s="138" t="n"/>
      <c r="AR413" s="16" t="n"/>
      <c r="AS413" s="138" t="n"/>
      <c r="AT413" s="16" t="n"/>
      <c r="AU413" s="138" t="n"/>
      <c r="AV413" s="16" t="n"/>
      <c r="AW413" s="138" t="n"/>
      <c r="AX413" s="16" t="n"/>
      <c r="AY413" s="138" t="n"/>
      <c r="AZ413" s="16">
        <f>AF413+AH413+AJ413+AL413+AN413+AP413+AR413+AT413+AV413+AX413</f>
        <v/>
      </c>
      <c r="BA413" s="16" t="n"/>
      <c r="BB413" s="139" t="n"/>
      <c r="BC413" s="16" t="n"/>
      <c r="BD413" s="139" t="n"/>
      <c r="BE413" s="16">
        <f>(BA413+BC413)</f>
        <v/>
      </c>
    </row>
    <row r="414" ht="22.5" customFormat="1" customHeight="1" s="8">
      <c r="A414" s="9" t="n"/>
      <c r="B414" s="136" t="inlineStr">
        <is>
          <t>CORD</t>
        </is>
      </c>
      <c r="C414" s="142" t="inlineStr">
        <is>
          <t>공용</t>
        </is>
      </c>
      <c r="D414" s="63" t="inlineStr">
        <is>
          <t>2구 AC코드 A타입</t>
        </is>
      </c>
      <c r="E414" s="13" t="inlineStr">
        <is>
          <t>일본용, 110V</t>
        </is>
      </c>
      <c r="F414" s="99" t="n"/>
      <c r="G414" s="9" t="n"/>
      <c r="H414" s="9" t="inlineStr">
        <is>
          <t>브리지파워</t>
        </is>
      </c>
      <c r="I414" s="14" t="n"/>
      <c r="J414" s="14" t="n"/>
      <c r="K414" s="12" t="n">
        <v>0</v>
      </c>
      <c r="L414" s="9" t="n"/>
      <c r="M414" s="9" t="n"/>
      <c r="N414" s="9" t="n"/>
      <c r="O414" s="40">
        <f>K414+V414-AE414-AZ414</f>
        <v/>
      </c>
      <c r="P414" s="12" t="n"/>
      <c r="Q414" s="138" t="n"/>
      <c r="R414" s="16" t="n"/>
      <c r="S414" s="139" t="n"/>
      <c r="T414" s="16" t="n"/>
      <c r="U414" s="139" t="n"/>
      <c r="V414" s="16">
        <f>P414+R414+T414</f>
        <v/>
      </c>
      <c r="W414" s="16" t="n"/>
      <c r="X414" s="139" t="n"/>
      <c r="Y414" s="16" t="n"/>
      <c r="Z414" s="139" t="n"/>
      <c r="AA414" s="16" t="n"/>
      <c r="AB414" s="139" t="n"/>
      <c r="AC414" s="16" t="n"/>
      <c r="AD414" s="139" t="n"/>
      <c r="AE414" s="16">
        <f>(W414+Y414+AA414+AC414)</f>
        <v/>
      </c>
      <c r="AF414" s="16" t="n"/>
      <c r="AG414" s="138" t="n"/>
      <c r="AH414" s="16" t="n"/>
      <c r="AI414" s="138" t="n"/>
      <c r="AJ414" s="16" t="n"/>
      <c r="AK414" s="138" t="n"/>
      <c r="AL414" s="16" t="n"/>
      <c r="AM414" s="138" t="n"/>
      <c r="AN414" s="16" t="n"/>
      <c r="AO414" s="138" t="n"/>
      <c r="AP414" s="16" t="n"/>
      <c r="AQ414" s="138" t="n"/>
      <c r="AR414" s="16" t="n"/>
      <c r="AS414" s="138" t="n"/>
      <c r="AT414" s="16" t="n"/>
      <c r="AU414" s="138" t="n"/>
      <c r="AV414" s="16" t="n"/>
      <c r="AW414" s="138" t="n"/>
      <c r="AX414" s="16" t="n"/>
      <c r="AY414" s="138" t="n"/>
      <c r="AZ414" s="16">
        <f>AF414+AH414+AJ414+AL414+AN414+AP414+AR414+AT414+AV414+AX414</f>
        <v/>
      </c>
      <c r="BA414" s="16" t="n"/>
      <c r="BB414" s="139" t="n"/>
      <c r="BC414" s="16" t="n"/>
      <c r="BD414" s="139" t="n"/>
      <c r="BE414" s="16">
        <f>(BA414+BC414)</f>
        <v/>
      </c>
    </row>
    <row r="415" ht="22.5" customFormat="1" customHeight="1" s="8">
      <c r="A415" s="9" t="n"/>
      <c r="B415" s="136" t="inlineStr">
        <is>
          <t>CORD</t>
        </is>
      </c>
      <c r="C415" s="142" t="inlineStr">
        <is>
          <t>공용</t>
        </is>
      </c>
      <c r="D415" s="63" t="inlineStr">
        <is>
          <t>3구 접지 AC 코드 F타입</t>
        </is>
      </c>
      <c r="E415" s="13" t="inlineStr">
        <is>
          <t>유럽용, 220V</t>
        </is>
      </c>
      <c r="F415" s="99" t="n"/>
      <c r="G415" s="9" t="n"/>
      <c r="H415" s="9" t="inlineStr">
        <is>
          <t>브리지파워</t>
        </is>
      </c>
      <c r="I415" s="14" t="n"/>
      <c r="J415" s="14" t="n"/>
      <c r="K415" s="12" t="n">
        <v>100</v>
      </c>
      <c r="L415" s="9" t="n"/>
      <c r="M415" s="9" t="n"/>
      <c r="N415" s="9" t="n"/>
      <c r="O415" s="40">
        <f>K415+V415-AE415-AZ415</f>
        <v/>
      </c>
      <c r="P415" s="12" t="n"/>
      <c r="Q415" s="138" t="n"/>
      <c r="R415" s="16" t="n"/>
      <c r="S415" s="139" t="n"/>
      <c r="T415" s="16" t="n"/>
      <c r="U415" s="139" t="n"/>
      <c r="V415" s="16">
        <f>P415+R415+T415</f>
        <v/>
      </c>
      <c r="W415" s="16" t="n"/>
      <c r="X415" s="139" t="n"/>
      <c r="Y415" s="16" t="n"/>
      <c r="Z415" s="139" t="n"/>
      <c r="AA415" s="16" t="n"/>
      <c r="AB415" s="139" t="n"/>
      <c r="AC415" s="16" t="n"/>
      <c r="AD415" s="139" t="n"/>
      <c r="AE415" s="16">
        <f>(W415+Y415+AA415+AC415)</f>
        <v/>
      </c>
      <c r="AF415" s="16" t="n"/>
      <c r="AG415" s="138" t="n"/>
      <c r="AH415" s="16" t="n"/>
      <c r="AI415" s="138" t="n"/>
      <c r="AJ415" s="16" t="n"/>
      <c r="AK415" s="138" t="n"/>
      <c r="AL415" s="16" t="n"/>
      <c r="AM415" s="138" t="n"/>
      <c r="AN415" s="16" t="n"/>
      <c r="AO415" s="138" t="n"/>
      <c r="AP415" s="16" t="n"/>
      <c r="AQ415" s="138" t="n"/>
      <c r="AR415" s="16" t="n"/>
      <c r="AS415" s="138" t="n"/>
      <c r="AT415" s="16" t="n"/>
      <c r="AU415" s="138" t="n"/>
      <c r="AV415" s="16" t="n"/>
      <c r="AW415" s="138" t="n"/>
      <c r="AX415" s="16" t="n"/>
      <c r="AY415" s="138" t="n"/>
      <c r="AZ415" s="16">
        <f>AF415+AH415+AJ415+AL415+AN415+AP415+AR415+AT415+AV415+AX415</f>
        <v/>
      </c>
      <c r="BA415" s="16" t="n"/>
      <c r="BB415" s="139" t="n"/>
      <c r="BC415" s="16" t="n"/>
      <c r="BD415" s="139" t="n"/>
      <c r="BE415" s="16">
        <f>(BA415+BC415)</f>
        <v/>
      </c>
    </row>
    <row r="416" ht="22.5" customFormat="1" customHeight="1" s="8">
      <c r="A416" s="9" t="n"/>
      <c r="B416" s="136" t="inlineStr">
        <is>
          <t>CORD</t>
        </is>
      </c>
      <c r="C416" s="142" t="inlineStr">
        <is>
          <t>공용</t>
        </is>
      </c>
      <c r="D416" s="63" t="inlineStr">
        <is>
          <t>3구 접지 AC 코드 A타입</t>
        </is>
      </c>
      <c r="E416" s="13" t="inlineStr">
        <is>
          <t>일본용, 110V</t>
        </is>
      </c>
      <c r="F416" s="99" t="n"/>
      <c r="G416" s="9" t="n"/>
      <c r="H416" s="9" t="inlineStr">
        <is>
          <t>브리지파워</t>
        </is>
      </c>
      <c r="I416" s="14" t="n"/>
      <c r="J416" s="14" t="n"/>
      <c r="K416" s="12" t="n">
        <v>95</v>
      </c>
      <c r="L416" s="9" t="n"/>
      <c r="M416" s="9" t="n"/>
      <c r="N416" s="9" t="n"/>
      <c r="O416" s="40">
        <f>K416+V416-AE416-AZ416</f>
        <v/>
      </c>
      <c r="P416" s="12" t="n"/>
      <c r="Q416" s="138" t="n"/>
      <c r="R416" s="16" t="n"/>
      <c r="S416" s="139" t="n"/>
      <c r="T416" s="16" t="n"/>
      <c r="U416" s="139" t="n"/>
      <c r="V416" s="16">
        <f>P416+R416+T416</f>
        <v/>
      </c>
      <c r="W416" s="16" t="n"/>
      <c r="X416" s="139" t="n"/>
      <c r="Y416" s="16" t="n"/>
      <c r="Z416" s="139" t="n"/>
      <c r="AA416" s="16" t="n"/>
      <c r="AB416" s="139" t="n"/>
      <c r="AC416" s="16" t="n"/>
      <c r="AD416" s="139" t="n"/>
      <c r="AE416" s="16">
        <f>(W416+Y416+AA416+AC416)</f>
        <v/>
      </c>
      <c r="AF416" s="16" t="n"/>
      <c r="AG416" s="138" t="n"/>
      <c r="AH416" s="16" t="n"/>
      <c r="AI416" s="138" t="n"/>
      <c r="AJ416" s="16" t="n"/>
      <c r="AK416" s="138" t="n"/>
      <c r="AL416" s="16" t="n"/>
      <c r="AM416" s="138" t="n"/>
      <c r="AN416" s="16" t="n"/>
      <c r="AO416" s="138" t="n"/>
      <c r="AP416" s="16" t="n"/>
      <c r="AQ416" s="138" t="n"/>
      <c r="AR416" s="16" t="n"/>
      <c r="AS416" s="138" t="n"/>
      <c r="AT416" s="16" t="n"/>
      <c r="AU416" s="138" t="n"/>
      <c r="AV416" s="16" t="n"/>
      <c r="AW416" s="138" t="n"/>
      <c r="AX416" s="16" t="n"/>
      <c r="AY416" s="138" t="n"/>
      <c r="AZ416" s="16">
        <f>AF416+AH416+AJ416+AL416+AN416+AP416+AR416+AT416+AV416+AX416</f>
        <v/>
      </c>
      <c r="BA416" s="16" t="n"/>
      <c r="BB416" s="139" t="n"/>
      <c r="BC416" s="16" t="n"/>
      <c r="BD416" s="139" t="n"/>
      <c r="BE416" s="16">
        <f>(BA416+BC416)</f>
        <v/>
      </c>
    </row>
    <row r="417" ht="22.5" customFormat="1" customHeight="1" s="8">
      <c r="A417" s="9" t="n"/>
      <c r="B417" s="136" t="inlineStr">
        <is>
          <t>CORD</t>
        </is>
      </c>
      <c r="C417" s="142" t="inlineStr">
        <is>
          <t>공용</t>
        </is>
      </c>
      <c r="D417" s="63" t="inlineStr">
        <is>
          <t>3구 접지 AC코드 B타입</t>
        </is>
      </c>
      <c r="E417" s="13" t="inlineStr">
        <is>
          <t>미국용</t>
        </is>
      </c>
      <c r="F417" s="99" t="n"/>
      <c r="G417" s="9" t="n"/>
      <c r="H417" s="9" t="inlineStr">
        <is>
          <t>브리지파워</t>
        </is>
      </c>
      <c r="I417" s="14" t="n"/>
      <c r="J417" s="14" t="n"/>
      <c r="K417" s="12" t="n">
        <v>300</v>
      </c>
      <c r="L417" s="9" t="n"/>
      <c r="M417" s="9" t="n"/>
      <c r="N417" s="9" t="n"/>
      <c r="O417" s="40">
        <f>K417+V417-AE417-AZ417</f>
        <v/>
      </c>
      <c r="P417" s="12" t="n"/>
      <c r="Q417" s="138" t="n"/>
      <c r="R417" s="16" t="n"/>
      <c r="S417" s="139" t="n"/>
      <c r="T417" s="16" t="n"/>
      <c r="U417" s="139" t="n"/>
      <c r="V417" s="16">
        <f>P417+R417+T417</f>
        <v/>
      </c>
      <c r="W417" s="16" t="n"/>
      <c r="X417" s="139" t="n"/>
      <c r="Y417" s="16" t="n"/>
      <c r="Z417" s="139" t="n"/>
      <c r="AA417" s="16" t="n"/>
      <c r="AB417" s="139" t="n"/>
      <c r="AC417" s="16" t="n"/>
      <c r="AD417" s="139" t="n"/>
      <c r="AE417" s="16">
        <f>(W417+Y417+AA417+AC417)</f>
        <v/>
      </c>
      <c r="AF417" s="16" t="n"/>
      <c r="AG417" s="138" t="n"/>
      <c r="AH417" s="16" t="n"/>
      <c r="AI417" s="138" t="n"/>
      <c r="AJ417" s="16" t="n"/>
      <c r="AK417" s="138" t="n"/>
      <c r="AL417" s="16" t="n"/>
      <c r="AM417" s="138" t="n"/>
      <c r="AN417" s="16" t="n"/>
      <c r="AO417" s="138" t="n"/>
      <c r="AP417" s="16" t="n"/>
      <c r="AQ417" s="138" t="n"/>
      <c r="AR417" s="16" t="n"/>
      <c r="AS417" s="138" t="n"/>
      <c r="AT417" s="16" t="n"/>
      <c r="AU417" s="138" t="n"/>
      <c r="AV417" s="16" t="n"/>
      <c r="AW417" s="138" t="n"/>
      <c r="AX417" s="16" t="n"/>
      <c r="AY417" s="138" t="n"/>
      <c r="AZ417" s="16">
        <f>AF417+AH417+AJ417+AL417+AN417+AP417+AR417+AT417+AV417+AX417</f>
        <v/>
      </c>
      <c r="BA417" s="16" t="n"/>
      <c r="BB417" s="139" t="n"/>
      <c r="BC417" s="16" t="n"/>
      <c r="BD417" s="139" t="n"/>
      <c r="BE417" s="16">
        <f>(BA417+BC417)</f>
        <v/>
      </c>
    </row>
    <row r="418" ht="22.5" customFormat="1" customHeight="1" s="8">
      <c r="A418" s="9" t="n"/>
      <c r="B418" s="136" t="inlineStr">
        <is>
          <t>CORD</t>
        </is>
      </c>
      <c r="C418" s="142" t="inlineStr">
        <is>
          <t>공용</t>
        </is>
      </c>
      <c r="D418" s="63" t="inlineStr">
        <is>
          <t>3구 접지 AC코드 I타입</t>
        </is>
      </c>
      <c r="E418" s="13" t="inlineStr">
        <is>
          <t>호주, 중국 공용</t>
        </is>
      </c>
      <c r="F418" s="99" t="n"/>
      <c r="G418" s="9" t="n"/>
      <c r="H418" s="9" t="inlineStr">
        <is>
          <t>브리지파워</t>
        </is>
      </c>
      <c r="I418" s="14" t="n"/>
      <c r="J418" s="14" t="n"/>
      <c r="K418" s="12" t="n">
        <v>212</v>
      </c>
      <c r="L418" s="9" t="n"/>
      <c r="M418" s="9" t="n"/>
      <c r="N418" s="9" t="n"/>
      <c r="O418" s="40">
        <f>K418+V418-AE418-AZ418</f>
        <v/>
      </c>
      <c r="P418" s="12" t="n"/>
      <c r="Q418" s="138" t="n"/>
      <c r="R418" s="16" t="n"/>
      <c r="S418" s="139" t="n"/>
      <c r="T418" s="16" t="n"/>
      <c r="U418" s="139" t="n"/>
      <c r="V418" s="16">
        <f>P418+R418+T418</f>
        <v/>
      </c>
      <c r="W418" s="16" t="n"/>
      <c r="X418" s="139" t="n"/>
      <c r="Y418" s="16" t="n"/>
      <c r="Z418" s="139" t="n"/>
      <c r="AA418" s="16" t="n"/>
      <c r="AB418" s="139" t="n"/>
      <c r="AC418" s="16" t="n"/>
      <c r="AD418" s="139" t="n"/>
      <c r="AE418" s="16">
        <f>(W418+Y418+AA418+AC418)</f>
        <v/>
      </c>
      <c r="AF418" s="16" t="n"/>
      <c r="AG418" s="138" t="n"/>
      <c r="AH418" s="16" t="n"/>
      <c r="AI418" s="138" t="n"/>
      <c r="AJ418" s="16" t="n"/>
      <c r="AK418" s="138" t="n"/>
      <c r="AL418" s="16" t="n"/>
      <c r="AM418" s="138" t="n"/>
      <c r="AN418" s="16" t="n"/>
      <c r="AO418" s="138" t="n"/>
      <c r="AP418" s="16" t="n"/>
      <c r="AQ418" s="138" t="n"/>
      <c r="AR418" s="16" t="n"/>
      <c r="AS418" s="138" t="n"/>
      <c r="AT418" s="16" t="n"/>
      <c r="AU418" s="138" t="n"/>
      <c r="AV418" s="16" t="n"/>
      <c r="AW418" s="138" t="n"/>
      <c r="AX418" s="16" t="n"/>
      <c r="AY418" s="138" t="n"/>
      <c r="AZ418" s="16">
        <f>AF418+AH418+AJ418+AL418+AN418+AP418+AR418+AT418+AV418+AX418</f>
        <v/>
      </c>
      <c r="BA418" s="16" t="n"/>
      <c r="BB418" s="139" t="n"/>
      <c r="BC418" s="16" t="n"/>
      <c r="BD418" s="139" t="n"/>
      <c r="BE418" s="16">
        <f>(BA418+BC418)</f>
        <v/>
      </c>
    </row>
    <row r="419" ht="22.5" customFormat="1" customHeight="1" s="8">
      <c r="A419" s="9" t="n"/>
      <c r="B419" s="136" t="inlineStr">
        <is>
          <t>CORD</t>
        </is>
      </c>
      <c r="C419" s="142" t="inlineStr">
        <is>
          <t>공용</t>
        </is>
      </c>
      <c r="D419" s="60" t="inlineStr">
        <is>
          <t>3구 접지 AC코드 G타입</t>
        </is>
      </c>
      <c r="E419" s="13" t="inlineStr">
        <is>
          <t>영국용</t>
        </is>
      </c>
      <c r="F419" s="99" t="n"/>
      <c r="G419" s="9" t="n"/>
      <c r="H419" s="9" t="inlineStr">
        <is>
          <t>브리지파워</t>
        </is>
      </c>
      <c r="I419" s="14" t="n"/>
      <c r="J419" s="14" t="n"/>
      <c r="K419" s="12" t="n">
        <v>240</v>
      </c>
      <c r="L419" s="9" t="n"/>
      <c r="M419" s="9" t="n"/>
      <c r="N419" s="9" t="n"/>
      <c r="O419" s="40">
        <f>K419+V419-AE419-AZ419</f>
        <v/>
      </c>
      <c r="P419" s="12" t="n"/>
      <c r="Q419" s="138" t="n"/>
      <c r="R419" s="16" t="n"/>
      <c r="S419" s="139" t="n"/>
      <c r="T419" s="16" t="n"/>
      <c r="U419" s="139" t="n"/>
      <c r="V419" s="16">
        <f>P419+R419+T419</f>
        <v/>
      </c>
      <c r="W419" s="16" t="n"/>
      <c r="X419" s="139" t="n"/>
      <c r="Y419" s="16" t="n"/>
      <c r="Z419" s="139" t="n"/>
      <c r="AA419" s="16" t="n"/>
      <c r="AB419" s="139" t="n"/>
      <c r="AC419" s="16" t="n"/>
      <c r="AD419" s="139" t="n"/>
      <c r="AE419" s="16">
        <f>(W419+Y419+AA419+AC419)</f>
        <v/>
      </c>
      <c r="AF419" s="16" t="n"/>
      <c r="AG419" s="138" t="n"/>
      <c r="AH419" s="16" t="n"/>
      <c r="AI419" s="138" t="n"/>
      <c r="AJ419" s="16" t="n"/>
      <c r="AK419" s="138" t="n"/>
      <c r="AL419" s="16" t="n"/>
      <c r="AM419" s="138" t="n"/>
      <c r="AN419" s="16" t="n"/>
      <c r="AO419" s="138" t="n"/>
      <c r="AP419" s="16" t="n"/>
      <c r="AQ419" s="138" t="n"/>
      <c r="AR419" s="16" t="n"/>
      <c r="AS419" s="138" t="n"/>
      <c r="AT419" s="16" t="n"/>
      <c r="AU419" s="138" t="n"/>
      <c r="AV419" s="16" t="n"/>
      <c r="AW419" s="138" t="n"/>
      <c r="AX419" s="16" t="n"/>
      <c r="AY419" s="138" t="n"/>
      <c r="AZ419" s="16">
        <f>AF419+AH419+AJ419+AL419+AN419+AP419+AR419+AT419+AV419+AX419</f>
        <v/>
      </c>
      <c r="BA419" s="16" t="n"/>
      <c r="BB419" s="139" t="n"/>
      <c r="BC419" s="16" t="n"/>
      <c r="BD419" s="139" t="n"/>
      <c r="BE419" s="16">
        <f>(BA419+BC419)</f>
        <v/>
      </c>
    </row>
    <row r="420" ht="22.5" customFormat="1" customHeight="1" s="8">
      <c r="A420" s="9" t="n"/>
      <c r="B420" s="136" t="inlineStr">
        <is>
          <t>ADAPTER</t>
        </is>
      </c>
      <c r="C420" s="142" t="inlineStr">
        <is>
          <t>공용</t>
        </is>
      </c>
      <c r="D420" s="60" t="inlineStr">
        <is>
          <t>2구 충전기</t>
        </is>
      </c>
      <c r="E420" s="13" t="inlineStr">
        <is>
          <t>BPL910S16N01, 220V</t>
        </is>
      </c>
      <c r="F420" s="99" t="n"/>
      <c r="G420" s="9" t="n"/>
      <c r="H420" s="9" t="inlineStr">
        <is>
          <t>브리지파워</t>
        </is>
      </c>
      <c r="I420" s="14" t="n"/>
      <c r="J420" s="14" t="n"/>
      <c r="K420" s="12" t="n">
        <v>360</v>
      </c>
      <c r="L420" s="9" t="n"/>
      <c r="M420" s="9" t="n"/>
      <c r="N420" s="9" t="n"/>
      <c r="O420" s="40">
        <f>K420+V420-AE420-AZ420</f>
        <v/>
      </c>
      <c r="P420" s="12" t="n"/>
      <c r="Q420" s="138" t="n"/>
      <c r="R420" s="16" t="n"/>
      <c r="S420" s="139" t="n"/>
      <c r="T420" s="16" t="n"/>
      <c r="U420" s="139" t="n"/>
      <c r="V420" s="16">
        <f>P420+R420+T420</f>
        <v/>
      </c>
      <c r="W420" s="16" t="n"/>
      <c r="X420" s="139" t="n"/>
      <c r="Y420" s="16" t="n"/>
      <c r="Z420" s="139" t="n"/>
      <c r="AA420" s="16" t="n"/>
      <c r="AB420" s="139" t="n"/>
      <c r="AC420" s="16" t="n"/>
      <c r="AD420" s="139" t="n"/>
      <c r="AE420" s="16">
        <f>(W420+Y420+AA420+AC420)</f>
        <v/>
      </c>
      <c r="AF420" s="16" t="n"/>
      <c r="AG420" s="138" t="n"/>
      <c r="AH420" s="16" t="n"/>
      <c r="AI420" s="138" t="n"/>
      <c r="AJ420" s="16" t="n"/>
      <c r="AK420" s="138" t="n"/>
      <c r="AL420" s="16" t="n"/>
      <c r="AM420" s="138" t="n"/>
      <c r="AN420" s="16" t="n"/>
      <c r="AO420" s="138" t="n"/>
      <c r="AP420" s="16" t="n"/>
      <c r="AQ420" s="138" t="n"/>
      <c r="AR420" s="16" t="n"/>
      <c r="AS420" s="138" t="n"/>
      <c r="AT420" s="16" t="n"/>
      <c r="AU420" s="138" t="n"/>
      <c r="AV420" s="16" t="n"/>
      <c r="AW420" s="138" t="n"/>
      <c r="AX420" s="16" t="n"/>
      <c r="AY420" s="138" t="n"/>
      <c r="AZ420" s="16">
        <f>AF420+AH420+AJ420+AL420+AN420+AP420+AR420+AT420+AV420+AX420</f>
        <v/>
      </c>
      <c r="BA420" s="16" t="n"/>
      <c r="BB420" s="139" t="n"/>
      <c r="BC420" s="16" t="n"/>
      <c r="BD420" s="139" t="n"/>
      <c r="BE420" s="16">
        <f>(BA420+BC420)</f>
        <v/>
      </c>
    </row>
    <row r="421" ht="22.5" customFormat="1" customHeight="1" s="8">
      <c r="A421" s="9" t="n"/>
      <c r="B421" s="136" t="inlineStr">
        <is>
          <t>ADAPTER</t>
        </is>
      </c>
      <c r="C421" s="142" t="inlineStr">
        <is>
          <t>공용</t>
        </is>
      </c>
      <c r="D421" s="60" t="inlineStr">
        <is>
          <t>3구 충전기</t>
        </is>
      </c>
      <c r="E421" s="13" t="inlineStr">
        <is>
          <t>BPL910S16F01, (미국, 호주 공용)</t>
        </is>
      </c>
      <c r="F421" s="99" t="n"/>
      <c r="G421" s="9" t="n"/>
      <c r="H421" s="9" t="inlineStr">
        <is>
          <t>브리지파워</t>
        </is>
      </c>
      <c r="I421" s="14" t="n"/>
      <c r="J421" s="14" t="n"/>
      <c r="K421" s="12" t="n">
        <v>180</v>
      </c>
      <c r="L421" s="9" t="n"/>
      <c r="M421" s="9" t="n"/>
      <c r="N421" s="9" t="n"/>
      <c r="O421" s="40">
        <f>K421+V421-AE421-AZ421</f>
        <v/>
      </c>
      <c r="P421" s="12" t="n"/>
      <c r="Q421" s="138" t="n"/>
      <c r="R421" s="16" t="n"/>
      <c r="S421" s="139" t="n"/>
      <c r="T421" s="16" t="n"/>
      <c r="U421" s="139" t="n"/>
      <c r="V421" s="16">
        <f>P421+R421+T421</f>
        <v/>
      </c>
      <c r="W421" s="16" t="n"/>
      <c r="X421" s="139" t="n"/>
      <c r="Y421" s="16" t="n"/>
      <c r="Z421" s="139" t="n"/>
      <c r="AA421" s="16" t="n"/>
      <c r="AB421" s="139" t="n"/>
      <c r="AC421" s="16" t="n"/>
      <c r="AD421" s="139" t="n"/>
      <c r="AE421" s="16">
        <f>(W421+Y421+AA421+AC421)</f>
        <v/>
      </c>
      <c r="AF421" s="16" t="n"/>
      <c r="AG421" s="138" t="n"/>
      <c r="AH421" s="16" t="n"/>
      <c r="AI421" s="138" t="n"/>
      <c r="AJ421" s="16" t="n"/>
      <c r="AK421" s="138" t="n"/>
      <c r="AL421" s="16" t="n"/>
      <c r="AM421" s="138" t="n"/>
      <c r="AN421" s="16" t="n"/>
      <c r="AO421" s="138" t="n"/>
      <c r="AP421" s="16" t="n"/>
      <c r="AQ421" s="138" t="n"/>
      <c r="AR421" s="16" t="n"/>
      <c r="AS421" s="138" t="n"/>
      <c r="AT421" s="16" t="n"/>
      <c r="AU421" s="138" t="n"/>
      <c r="AV421" s="16" t="n"/>
      <c r="AW421" s="138" t="n"/>
      <c r="AX421" s="16" t="n"/>
      <c r="AY421" s="138" t="n"/>
      <c r="AZ421" s="16">
        <f>AF421+AH421+AJ421+AL421+AN421+AP421+AR421+AT421+AV421+AX421</f>
        <v/>
      </c>
      <c r="BA421" s="16" t="n"/>
      <c r="BB421" s="139" t="n"/>
      <c r="BC421" s="16" t="n"/>
      <c r="BD421" s="139" t="n"/>
      <c r="BE421" s="16">
        <f>(BA421+BC421)</f>
        <v/>
      </c>
    </row>
    <row r="422" ht="22.5" customFormat="1" customHeight="1" s="8">
      <c r="A422" s="9" t="n"/>
      <c r="B422" s="136" t="inlineStr">
        <is>
          <t>ADAPTER</t>
        </is>
      </c>
      <c r="C422" s="137" t="inlineStr">
        <is>
          <t>ADX6000</t>
        </is>
      </c>
      <c r="D422" s="65" t="inlineStr">
        <is>
          <t>20.7V 1.7A 충전기</t>
        </is>
      </c>
      <c r="E422" s="13" t="inlineStr">
        <is>
          <t>5S 어댑터</t>
        </is>
      </c>
      <c r="F422" s="99" t="n"/>
      <c r="G422" s="9" t="n"/>
      <c r="H422" s="9" t="inlineStr">
        <is>
          <t>브리지파워</t>
        </is>
      </c>
      <c r="I422" s="14" t="n"/>
      <c r="J422" s="14" t="n"/>
      <c r="K422" s="12" t="n">
        <v>420</v>
      </c>
      <c r="L422" s="9" t="n"/>
      <c r="M422" s="9" t="n"/>
      <c r="N422" s="9" t="n"/>
      <c r="O422" s="40">
        <f>K422+V422-AE422-AZ422</f>
        <v/>
      </c>
      <c r="P422" s="12" t="n"/>
      <c r="Q422" s="138" t="n"/>
      <c r="R422" s="16" t="n"/>
      <c r="S422" s="139" t="n"/>
      <c r="T422" s="16" t="n"/>
      <c r="U422" s="139" t="n"/>
      <c r="V422" s="16">
        <f>P422+R422+T422</f>
        <v/>
      </c>
      <c r="W422" s="16" t="n"/>
      <c r="X422" s="139" t="n"/>
      <c r="Y422" s="16" t="n"/>
      <c r="Z422" s="139" t="n"/>
      <c r="AA422" s="16" t="n"/>
      <c r="AB422" s="139" t="n"/>
      <c r="AC422" s="16" t="n"/>
      <c r="AD422" s="139" t="n"/>
      <c r="AE422" s="16">
        <f>(W422+Y422+AA422+AC422)</f>
        <v/>
      </c>
      <c r="AF422" s="16" t="n"/>
      <c r="AG422" s="138" t="n"/>
      <c r="AH422" s="16" t="n"/>
      <c r="AI422" s="138" t="n"/>
      <c r="AJ422" s="16" t="n"/>
      <c r="AK422" s="138" t="n"/>
      <c r="AL422" s="16" t="n"/>
      <c r="AM422" s="138" t="n"/>
      <c r="AN422" s="16" t="n"/>
      <c r="AO422" s="138" t="n"/>
      <c r="AP422" s="16" t="n"/>
      <c r="AQ422" s="138" t="n"/>
      <c r="AR422" s="16" t="n"/>
      <c r="AS422" s="138" t="n"/>
      <c r="AT422" s="16" t="n"/>
      <c r="AU422" s="138" t="n"/>
      <c r="AV422" s="16" t="n"/>
      <c r="AW422" s="138" t="n"/>
      <c r="AX422" s="16" t="n"/>
      <c r="AY422" s="138" t="n"/>
      <c r="AZ422" s="16">
        <f>AF422+AH422+AJ422+AL422+AN422+AP422+AR422+AT422+AV422+AX422</f>
        <v/>
      </c>
      <c r="BA422" s="16" t="n"/>
      <c r="BB422" s="139" t="n"/>
      <c r="BC422" s="16" t="n"/>
      <c r="BD422" s="139" t="n"/>
      <c r="BE422" s="16">
        <f>(BA422+BC422)</f>
        <v/>
      </c>
    </row>
    <row r="423" ht="22.5" customFormat="1" customHeight="1" s="8">
      <c r="A423" s="9" t="n"/>
      <c r="B423" s="136" t="inlineStr">
        <is>
          <t>ADAPTER</t>
        </is>
      </c>
      <c r="C423" s="137" t="inlineStr">
        <is>
          <t>ADX6000</t>
        </is>
      </c>
      <c r="D423" s="60" t="inlineStr">
        <is>
          <t>25.2V 1.7A 충전기</t>
        </is>
      </c>
      <c r="E423" s="13" t="inlineStr">
        <is>
          <t>6S 어댑터 (중국용)</t>
        </is>
      </c>
      <c r="F423" s="99" t="n"/>
      <c r="G423" s="9" t="n"/>
      <c r="H423" s="9" t="inlineStr">
        <is>
          <t>브리지파워</t>
        </is>
      </c>
      <c r="I423" s="14" t="n"/>
      <c r="J423" s="14" t="n"/>
      <c r="K423" s="12" t="n">
        <v>7</v>
      </c>
      <c r="L423" s="9" t="n"/>
      <c r="M423" s="9" t="n"/>
      <c r="N423" s="9" t="n"/>
      <c r="O423" s="40">
        <f>K423+V423-AE423-AZ423</f>
        <v/>
      </c>
      <c r="P423" s="12" t="n"/>
      <c r="Q423" s="138" t="n"/>
      <c r="R423" s="16" t="n"/>
      <c r="S423" s="139" t="n"/>
      <c r="T423" s="16" t="n"/>
      <c r="U423" s="139" t="n"/>
      <c r="V423" s="16">
        <f>P423+R423+T423</f>
        <v/>
      </c>
      <c r="W423" s="16" t="n"/>
      <c r="X423" s="139" t="n"/>
      <c r="Y423" s="16" t="n"/>
      <c r="Z423" s="139" t="n"/>
      <c r="AA423" s="16" t="n"/>
      <c r="AB423" s="139" t="n"/>
      <c r="AC423" s="16" t="n"/>
      <c r="AD423" s="139" t="n"/>
      <c r="AE423" s="16">
        <f>(W423+Y423+AA423+AC423)</f>
        <v/>
      </c>
      <c r="AF423" s="16" t="n"/>
      <c r="AG423" s="138" t="n"/>
      <c r="AH423" s="16" t="n"/>
      <c r="AI423" s="138" t="n"/>
      <c r="AJ423" s="16" t="n"/>
      <c r="AK423" s="138" t="n"/>
      <c r="AL423" s="16" t="n"/>
      <c r="AM423" s="138" t="n"/>
      <c r="AN423" s="16" t="n"/>
      <c r="AO423" s="138" t="n"/>
      <c r="AP423" s="16" t="n"/>
      <c r="AQ423" s="138" t="n"/>
      <c r="AR423" s="16" t="n"/>
      <c r="AS423" s="138" t="n"/>
      <c r="AT423" s="16" t="n"/>
      <c r="AU423" s="138" t="n"/>
      <c r="AV423" s="16" t="n"/>
      <c r="AW423" s="138" t="n"/>
      <c r="AX423" s="16" t="n"/>
      <c r="AY423" s="138" t="n"/>
      <c r="AZ423" s="16">
        <f>AF423+AH423+AJ423+AL423+AN423+AP423+AR423+AT423+AV423+AX423</f>
        <v/>
      </c>
      <c r="BA423" s="16" t="n"/>
      <c r="BB423" s="139" t="n"/>
      <c r="BC423" s="16" t="n"/>
      <c r="BD423" s="139" t="n"/>
      <c r="BE423" s="16">
        <f>(BA423+BC423)</f>
        <v/>
      </c>
    </row>
    <row r="424" ht="22.5" customFormat="1" customHeight="1" s="8">
      <c r="A424" s="9" t="n"/>
      <c r="B424" s="136" t="inlineStr">
        <is>
          <t>ADAPTER</t>
        </is>
      </c>
      <c r="C424" s="142" t="inlineStr">
        <is>
          <t>공용</t>
        </is>
      </c>
      <c r="D424" s="60" t="inlineStr">
        <is>
          <t>15V 1.0A 충전기</t>
        </is>
      </c>
      <c r="E424" s="13" t="inlineStr">
        <is>
          <t>220V</t>
        </is>
      </c>
      <c r="F424" s="99" t="n"/>
      <c r="G424" s="9" t="n"/>
      <c r="H424" s="9" t="inlineStr">
        <is>
          <t>브리지파워</t>
        </is>
      </c>
      <c r="I424" s="14" t="n"/>
      <c r="J424" s="14" t="n"/>
      <c r="K424" s="12" t="n"/>
      <c r="L424" s="9" t="n"/>
      <c r="M424" s="9" t="n"/>
      <c r="N424" s="9" t="n"/>
      <c r="O424" s="40">
        <f>K424+V424-AE424-AZ424</f>
        <v/>
      </c>
      <c r="P424" s="12" t="n"/>
      <c r="Q424" s="138" t="n"/>
      <c r="R424" s="16" t="n"/>
      <c r="S424" s="139" t="n"/>
      <c r="T424" s="16" t="n"/>
      <c r="U424" s="139" t="n"/>
      <c r="V424" s="16">
        <f>P424+R424+T424</f>
        <v/>
      </c>
      <c r="W424" s="16" t="n"/>
      <c r="X424" s="139" t="n"/>
      <c r="Y424" s="16" t="n"/>
      <c r="Z424" s="139" t="n"/>
      <c r="AA424" s="16" t="n"/>
      <c r="AB424" s="139" t="n"/>
      <c r="AC424" s="16" t="n"/>
      <c r="AD424" s="139" t="n"/>
      <c r="AE424" s="16">
        <f>(W424+Y424+AA424+AC424)</f>
        <v/>
      </c>
      <c r="AF424" s="16" t="n"/>
      <c r="AG424" s="138" t="n"/>
      <c r="AH424" s="16" t="n"/>
      <c r="AI424" s="138" t="n"/>
      <c r="AJ424" s="16" t="n"/>
      <c r="AK424" s="138" t="n"/>
      <c r="AL424" s="16" t="n"/>
      <c r="AM424" s="138" t="n"/>
      <c r="AN424" s="16" t="n"/>
      <c r="AO424" s="138" t="n"/>
      <c r="AP424" s="16" t="n"/>
      <c r="AQ424" s="138" t="n"/>
      <c r="AR424" s="16" t="n"/>
      <c r="AS424" s="138" t="n"/>
      <c r="AT424" s="16" t="n"/>
      <c r="AU424" s="138" t="n"/>
      <c r="AV424" s="16" t="n"/>
      <c r="AW424" s="138" t="n"/>
      <c r="AX424" s="16" t="n"/>
      <c r="AY424" s="138" t="n"/>
      <c r="AZ424" s="16">
        <f>AF424+AH424+AJ424+AL424+AN424+AP424+AR424+AT424+AV424+AX424</f>
        <v/>
      </c>
      <c r="BA424" s="16" t="n"/>
      <c r="BB424" s="139" t="n"/>
      <c r="BC424" s="16" t="n"/>
      <c r="BD424" s="139" t="n"/>
      <c r="BE424" s="16">
        <f>(BA424+BC424)</f>
        <v/>
      </c>
    </row>
    <row r="425" ht="22.5" customFormat="1" customHeight="1" s="8">
      <c r="A425" s="9" t="n"/>
      <c r="B425" s="136" t="inlineStr">
        <is>
          <t>ADAPTER</t>
        </is>
      </c>
      <c r="C425" s="142" t="inlineStr">
        <is>
          <t>공용</t>
        </is>
      </c>
      <c r="D425" s="63" t="inlineStr">
        <is>
          <t>15V 1.0A 충전기</t>
        </is>
      </c>
      <c r="E425" s="13" t="inlineStr">
        <is>
          <t>110V</t>
        </is>
      </c>
      <c r="F425" s="99" t="n"/>
      <c r="G425" s="9" t="n"/>
      <c r="H425" s="9" t="inlineStr">
        <is>
          <t>브리지파워</t>
        </is>
      </c>
      <c r="I425" s="14" t="n"/>
      <c r="J425" s="14" t="n"/>
      <c r="K425" s="12" t="n"/>
      <c r="L425" s="9" t="n"/>
      <c r="M425" s="9" t="n"/>
      <c r="N425" s="9" t="n"/>
      <c r="O425" s="40">
        <f>K425+V425-AE425-AZ425</f>
        <v/>
      </c>
      <c r="P425" s="12" t="n"/>
      <c r="Q425" s="138" t="n"/>
      <c r="R425" s="16" t="n"/>
      <c r="S425" s="139" t="n"/>
      <c r="T425" s="16" t="n"/>
      <c r="U425" s="139" t="n"/>
      <c r="V425" s="16">
        <f>P425+R425+T425</f>
        <v/>
      </c>
      <c r="W425" s="16" t="n"/>
      <c r="X425" s="139" t="n"/>
      <c r="Y425" s="16" t="n"/>
      <c r="Z425" s="139" t="n"/>
      <c r="AA425" s="16" t="n"/>
      <c r="AB425" s="139" t="n"/>
      <c r="AC425" s="16" t="n"/>
      <c r="AD425" s="139" t="n"/>
      <c r="AE425" s="16">
        <f>(W425+Y425+AA425+AC425)</f>
        <v/>
      </c>
      <c r="AF425" s="16" t="n"/>
      <c r="AG425" s="138" t="n"/>
      <c r="AH425" s="16" t="n"/>
      <c r="AI425" s="138" t="n"/>
      <c r="AJ425" s="16" t="n"/>
      <c r="AK425" s="138" t="n"/>
      <c r="AL425" s="16" t="n"/>
      <c r="AM425" s="138" t="n"/>
      <c r="AN425" s="16" t="n"/>
      <c r="AO425" s="138" t="n"/>
      <c r="AP425" s="16" t="n"/>
      <c r="AQ425" s="138" t="n"/>
      <c r="AR425" s="16" t="n"/>
      <c r="AS425" s="138" t="n"/>
      <c r="AT425" s="16" t="n"/>
      <c r="AU425" s="138" t="n"/>
      <c r="AV425" s="16" t="n"/>
      <c r="AW425" s="138" t="n"/>
      <c r="AX425" s="16" t="n"/>
      <c r="AY425" s="138" t="n"/>
      <c r="AZ425" s="16">
        <f>AF425+AH425+AJ425+AL425+AN425+AP425+AR425+AT425+AV425+AX425</f>
        <v/>
      </c>
      <c r="BA425" s="16" t="n"/>
      <c r="BB425" s="139" t="n"/>
      <c r="BC425" s="16" t="n"/>
      <c r="BD425" s="139" t="n"/>
      <c r="BE425" s="16">
        <f>(BA425+BC425)</f>
        <v/>
      </c>
    </row>
    <row r="426" ht="22.5" customFormat="1" customHeight="1" s="8">
      <c r="A426" s="9" t="n"/>
      <c r="B426" s="136" t="inlineStr">
        <is>
          <t>충전 변환 젠더</t>
        </is>
      </c>
      <c r="C426" s="142" t="inlineStr">
        <is>
          <t>공용</t>
        </is>
      </c>
      <c r="D426" s="63" t="inlineStr">
        <is>
          <t>외부배터리 충전용 잭</t>
        </is>
      </c>
      <c r="E426" s="13" t="n"/>
      <c r="F426" s="99" t="n"/>
      <c r="G426" s="9" t="n"/>
      <c r="H426" s="9" t="inlineStr">
        <is>
          <t>직구</t>
        </is>
      </c>
      <c r="I426" s="14" t="n"/>
      <c r="J426" s="14" t="n"/>
      <c r="K426" s="12" t="n"/>
      <c r="L426" s="9" t="n"/>
      <c r="M426" s="9" t="n"/>
      <c r="N426" s="9" t="n"/>
      <c r="O426" s="40">
        <f>K426+V426-AE426-AZ426</f>
        <v/>
      </c>
      <c r="P426" s="12" t="n"/>
      <c r="Q426" s="138" t="n"/>
      <c r="R426" s="16" t="n"/>
      <c r="S426" s="139" t="n"/>
      <c r="T426" s="16" t="n"/>
      <c r="U426" s="139" t="n"/>
      <c r="V426" s="16">
        <f>P426+R426+T426</f>
        <v/>
      </c>
      <c r="W426" s="16" t="n"/>
      <c r="X426" s="139" t="n"/>
      <c r="Y426" s="16" t="n"/>
      <c r="Z426" s="139" t="n"/>
      <c r="AA426" s="16" t="n"/>
      <c r="AB426" s="139" t="n"/>
      <c r="AC426" s="16" t="n"/>
      <c r="AD426" s="139" t="n"/>
      <c r="AE426" s="16">
        <f>(W426+Y426+AA426+AC426)</f>
        <v/>
      </c>
      <c r="AF426" s="16" t="n"/>
      <c r="AG426" s="138" t="n"/>
      <c r="AH426" s="16" t="n"/>
      <c r="AI426" s="138" t="n"/>
      <c r="AJ426" s="16" t="n"/>
      <c r="AK426" s="138" t="n"/>
      <c r="AL426" s="16" t="n"/>
      <c r="AM426" s="138" t="n"/>
      <c r="AN426" s="16" t="n"/>
      <c r="AO426" s="138" t="n"/>
      <c r="AP426" s="16" t="n"/>
      <c r="AQ426" s="138" t="n"/>
      <c r="AR426" s="16" t="n"/>
      <c r="AS426" s="138" t="n"/>
      <c r="AT426" s="16" t="n"/>
      <c r="AU426" s="138" t="n"/>
      <c r="AV426" s="16" t="n"/>
      <c r="AW426" s="138" t="n"/>
      <c r="AX426" s="16" t="n"/>
      <c r="AY426" s="138" t="n"/>
      <c r="AZ426" s="16">
        <f>AF426+AH426+AJ426+AL426+AN426+AP426+AR426+AT426+AV426+AX426</f>
        <v/>
      </c>
      <c r="BA426" s="16" t="n"/>
      <c r="BB426" s="139" t="n"/>
      <c r="BC426" s="16" t="n"/>
      <c r="BD426" s="139" t="n"/>
      <c r="BE426" s="16">
        <f>(BA426+BC426)</f>
        <v/>
      </c>
    </row>
    <row r="427" ht="22.5" customFormat="1" customHeight="1" s="8">
      <c r="A427" s="9" t="n"/>
      <c r="B427" s="136" t="inlineStr">
        <is>
          <t>배터리 충전기</t>
        </is>
      </c>
      <c r="C427" s="137" t="inlineStr">
        <is>
          <t>DX3000, ADX4000W</t>
        </is>
      </c>
      <c r="D427" s="60" t="inlineStr">
        <is>
          <t>거치대</t>
        </is>
      </c>
      <c r="E427" s="13" t="inlineStr">
        <is>
          <t>D-910</t>
        </is>
      </c>
      <c r="F427" s="99" t="n"/>
      <c r="G427" s="9" t="n"/>
      <c r="H427" s="9" t="inlineStr">
        <is>
          <t>HLP</t>
        </is>
      </c>
      <c r="I427" s="14" t="n"/>
      <c r="J427" s="14" t="n"/>
      <c r="K427" s="12" t="n"/>
      <c r="L427" s="9" t="n"/>
      <c r="M427" s="9" t="n"/>
      <c r="N427" s="9" t="n"/>
      <c r="O427" s="40">
        <f>K427+V427-AE427-AZ427</f>
        <v/>
      </c>
      <c r="P427" s="12" t="n"/>
      <c r="Q427" s="138" t="n"/>
      <c r="R427" s="16" t="n"/>
      <c r="S427" s="139" t="n"/>
      <c r="T427" s="16" t="n"/>
      <c r="U427" s="139" t="n"/>
      <c r="V427" s="16">
        <f>P427+R427+T427</f>
        <v/>
      </c>
      <c r="W427" s="16" t="n"/>
      <c r="X427" s="139" t="n"/>
      <c r="Y427" s="16" t="n"/>
      <c r="Z427" s="139" t="n"/>
      <c r="AA427" s="16" t="n"/>
      <c r="AB427" s="139" t="n"/>
      <c r="AC427" s="16" t="n"/>
      <c r="AD427" s="139" t="n"/>
      <c r="AE427" s="16">
        <f>(W427+Y427+AA427+AC427)</f>
        <v/>
      </c>
      <c r="AF427" s="16" t="n"/>
      <c r="AG427" s="138" t="n"/>
      <c r="AH427" s="16" t="n"/>
      <c r="AI427" s="138" t="n"/>
      <c r="AJ427" s="16" t="n"/>
      <c r="AK427" s="138" t="n"/>
      <c r="AL427" s="16" t="n"/>
      <c r="AM427" s="138" t="n"/>
      <c r="AN427" s="16" t="n"/>
      <c r="AO427" s="138" t="n"/>
      <c r="AP427" s="16" t="n"/>
      <c r="AQ427" s="138" t="n"/>
      <c r="AR427" s="16" t="n"/>
      <c r="AS427" s="138" t="n"/>
      <c r="AT427" s="16" t="n"/>
      <c r="AU427" s="138" t="n"/>
      <c r="AV427" s="16" t="n"/>
      <c r="AW427" s="138" t="n"/>
      <c r="AX427" s="16" t="n"/>
      <c r="AY427" s="138" t="n"/>
      <c r="AZ427" s="16">
        <f>AF427+AH427+AJ427+AL427+AN427+AP427+AR427+AT427+AV427+AX427</f>
        <v/>
      </c>
      <c r="BA427" s="16" t="n"/>
      <c r="BB427" s="139" t="n"/>
      <c r="BC427" s="16" t="n"/>
      <c r="BD427" s="139" t="n"/>
      <c r="BE427" s="16">
        <f>(BA427+BC427)</f>
        <v/>
      </c>
    </row>
    <row r="428" ht="22.5" customFormat="1" customHeight="1" s="8">
      <c r="A428" s="9" t="n"/>
      <c r="B428" s="136" t="inlineStr">
        <is>
          <t>CABLE</t>
        </is>
      </c>
      <c r="C428" s="142" t="inlineStr">
        <is>
          <t>공용</t>
        </is>
      </c>
      <c r="D428" s="63" t="inlineStr">
        <is>
          <t>외부 배터리 와이어 케이블</t>
        </is>
      </c>
      <c r="E428" s="13" t="n"/>
      <c r="F428" s="99" t="n"/>
      <c r="G428" s="9" t="n"/>
      <c r="H428" s="9" t="inlineStr">
        <is>
          <t>HLP</t>
        </is>
      </c>
      <c r="I428" s="14" t="n"/>
      <c r="J428" s="14" t="n"/>
      <c r="K428" s="12" t="n"/>
      <c r="L428" s="9" t="n"/>
      <c r="M428" s="9" t="n"/>
      <c r="N428" s="9" t="n"/>
      <c r="O428" s="40">
        <f>K428+V428-AE428-AZ428</f>
        <v/>
      </c>
      <c r="P428" s="12" t="n"/>
      <c r="Q428" s="138" t="n"/>
      <c r="R428" s="16" t="n"/>
      <c r="S428" s="139" t="n"/>
      <c r="T428" s="16" t="n"/>
      <c r="U428" s="139" t="n"/>
      <c r="V428" s="16">
        <f>P428+R428+T428</f>
        <v/>
      </c>
      <c r="W428" s="16" t="n"/>
      <c r="X428" s="139" t="n"/>
      <c r="Y428" s="16" t="n"/>
      <c r="Z428" s="139" t="n"/>
      <c r="AA428" s="16" t="n"/>
      <c r="AB428" s="139" t="n"/>
      <c r="AC428" s="16" t="n"/>
      <c r="AD428" s="139" t="n"/>
      <c r="AE428" s="16">
        <f>(W428+Y428+AA428+AC428)</f>
        <v/>
      </c>
      <c r="AF428" s="16" t="n"/>
      <c r="AG428" s="138" t="n"/>
      <c r="AH428" s="16" t="n"/>
      <c r="AI428" s="138" t="n"/>
      <c r="AJ428" s="16" t="n"/>
      <c r="AK428" s="138" t="n"/>
      <c r="AL428" s="16" t="n"/>
      <c r="AM428" s="138" t="n"/>
      <c r="AN428" s="16" t="n"/>
      <c r="AO428" s="138" t="n"/>
      <c r="AP428" s="16" t="n"/>
      <c r="AQ428" s="138" t="n"/>
      <c r="AR428" s="16" t="n"/>
      <c r="AS428" s="138" t="n"/>
      <c r="AT428" s="16" t="n"/>
      <c r="AU428" s="138" t="n"/>
      <c r="AV428" s="16" t="n"/>
      <c r="AW428" s="138" t="n"/>
      <c r="AX428" s="16" t="n"/>
      <c r="AY428" s="138" t="n"/>
      <c r="AZ428" s="16">
        <f>AF428+AH428+AJ428+AL428+AN428+AP428+AR428+AT428+AV428+AX428</f>
        <v/>
      </c>
      <c r="BA428" s="16" t="n"/>
      <c r="BB428" s="139" t="n"/>
      <c r="BC428" s="16" t="n"/>
      <c r="BD428" s="139" t="n"/>
      <c r="BE428" s="16">
        <f>(BA428+BC428)</f>
        <v/>
      </c>
    </row>
    <row r="429" ht="22.5" customFormat="1" customHeight="1" s="8">
      <c r="A429" s="9" t="n"/>
      <c r="B429" s="136" t="inlineStr">
        <is>
          <t>CABLE</t>
        </is>
      </c>
      <c r="C429" s="137" t="inlineStr">
        <is>
          <t>ADX4000W</t>
        </is>
      </c>
      <c r="D429" s="63" t="inlineStr">
        <is>
          <t>USB 2.0 CABLE</t>
        </is>
      </c>
      <c r="E429" s="13" t="inlineStr">
        <is>
          <t>U-30136, 3m</t>
        </is>
      </c>
      <c r="F429" s="99" t="n"/>
      <c r="G429" s="9" t="n"/>
      <c r="H429" s="9" t="inlineStr">
        <is>
          <t>유그린</t>
        </is>
      </c>
      <c r="I429" s="14" t="n"/>
      <c r="J429" s="14" t="n"/>
      <c r="K429" s="12" t="n"/>
      <c r="L429" s="9" t="n"/>
      <c r="M429" s="9" t="n"/>
      <c r="N429" s="9" t="n"/>
      <c r="O429" s="40">
        <f>K429+V429-AE429-AZ429</f>
        <v/>
      </c>
      <c r="P429" s="12" t="n"/>
      <c r="Q429" s="138" t="n"/>
      <c r="R429" s="16" t="n"/>
      <c r="S429" s="139" t="n"/>
      <c r="T429" s="16" t="n"/>
      <c r="U429" s="139" t="n"/>
      <c r="V429" s="16">
        <f>P429+R429+T429</f>
        <v/>
      </c>
      <c r="W429" s="16" t="n"/>
      <c r="X429" s="139" t="n"/>
      <c r="Y429" s="16" t="n"/>
      <c r="Z429" s="139" t="n"/>
      <c r="AA429" s="16" t="n"/>
      <c r="AB429" s="139" t="n"/>
      <c r="AC429" s="16" t="n"/>
      <c r="AD429" s="139" t="n"/>
      <c r="AE429" s="16">
        <f>(W429+Y429+AA429+AC429)</f>
        <v/>
      </c>
      <c r="AF429" s="16" t="n"/>
      <c r="AG429" s="138" t="n"/>
      <c r="AH429" s="16" t="n"/>
      <c r="AI429" s="138" t="n"/>
      <c r="AJ429" s="16" t="n"/>
      <c r="AK429" s="138" t="n"/>
      <c r="AL429" s="16" t="n"/>
      <c r="AM429" s="138" t="n"/>
      <c r="AN429" s="16" t="n"/>
      <c r="AO429" s="138" t="n"/>
      <c r="AP429" s="16" t="n"/>
      <c r="AQ429" s="138" t="n"/>
      <c r="AR429" s="16" t="n"/>
      <c r="AS429" s="138" t="n"/>
      <c r="AT429" s="16" t="n"/>
      <c r="AU429" s="138" t="n"/>
      <c r="AV429" s="16" t="n"/>
      <c r="AW429" s="138" t="n"/>
      <c r="AX429" s="16" t="n"/>
      <c r="AY429" s="138" t="n"/>
      <c r="AZ429" s="16">
        <f>AF429+AH429+AJ429+AL429+AN429+AP429+AR429+AT429+AV429+AX429</f>
        <v/>
      </c>
      <c r="BA429" s="16" t="n"/>
      <c r="BB429" s="139" t="n"/>
      <c r="BC429" s="16" t="n"/>
      <c r="BD429" s="139" t="n"/>
      <c r="BE429" s="16">
        <f>(BA429+BC429)</f>
        <v/>
      </c>
    </row>
    <row r="430" ht="22.5" customFormat="1" customHeight="1" s="8">
      <c r="A430" s="9" t="n"/>
      <c r="B430" s="136" t="inlineStr">
        <is>
          <t>CABLE</t>
        </is>
      </c>
      <c r="C430" s="137" t="inlineStr">
        <is>
          <t>ADX4000W</t>
        </is>
      </c>
      <c r="D430" s="60" t="inlineStr">
        <is>
          <t>USB 2.0 CABLE</t>
        </is>
      </c>
      <c r="E430" s="13" t="inlineStr">
        <is>
          <t>PMM369-0200, 2m</t>
        </is>
      </c>
      <c r="F430" s="99" t="n"/>
      <c r="G430" s="9" t="n"/>
      <c r="H430" s="9" t="inlineStr">
        <is>
          <t>강원전자</t>
        </is>
      </c>
      <c r="I430" s="14" t="n"/>
      <c r="J430" s="14" t="n"/>
      <c r="K430" s="12" t="n"/>
      <c r="L430" s="9" t="n"/>
      <c r="M430" s="9" t="n"/>
      <c r="N430" s="9" t="n"/>
      <c r="O430" s="40">
        <f>K430+V430-AE430-AZ430</f>
        <v/>
      </c>
      <c r="P430" s="12" t="n"/>
      <c r="Q430" s="138" t="n"/>
      <c r="R430" s="16" t="n"/>
      <c r="S430" s="139" t="n"/>
      <c r="T430" s="16" t="n"/>
      <c r="U430" s="139" t="n"/>
      <c r="V430" s="16">
        <f>P430+R430+T430</f>
        <v/>
      </c>
      <c r="W430" s="16" t="n"/>
      <c r="X430" s="139" t="n"/>
      <c r="Y430" s="16" t="n"/>
      <c r="Z430" s="139" t="n"/>
      <c r="AA430" s="16" t="n"/>
      <c r="AB430" s="139" t="n"/>
      <c r="AC430" s="16" t="n"/>
      <c r="AD430" s="139" t="n"/>
      <c r="AE430" s="16">
        <f>(W430+Y430+AA430+AC430)</f>
        <v/>
      </c>
      <c r="AF430" s="16" t="n"/>
      <c r="AG430" s="138" t="n"/>
      <c r="AH430" s="16" t="n"/>
      <c r="AI430" s="138" t="n"/>
      <c r="AJ430" s="16" t="n"/>
      <c r="AK430" s="138" t="n"/>
      <c r="AL430" s="16" t="n"/>
      <c r="AM430" s="138" t="n"/>
      <c r="AN430" s="16" t="n"/>
      <c r="AO430" s="138" t="n"/>
      <c r="AP430" s="16" t="n"/>
      <c r="AQ430" s="138" t="n"/>
      <c r="AR430" s="16" t="n"/>
      <c r="AS430" s="138" t="n"/>
      <c r="AT430" s="16" t="n"/>
      <c r="AU430" s="138" t="n"/>
      <c r="AV430" s="16" t="n"/>
      <c r="AW430" s="138" t="n"/>
      <c r="AX430" s="16" t="n"/>
      <c r="AY430" s="138" t="n"/>
      <c r="AZ430" s="16">
        <f>AF430+AH430+AJ430+AL430+AN430+AP430+AR430+AT430+AV430+AX430</f>
        <v/>
      </c>
      <c r="BA430" s="16" t="n"/>
      <c r="BB430" s="139" t="n"/>
      <c r="BC430" s="16" t="n"/>
      <c r="BD430" s="139" t="n"/>
      <c r="BE430" s="16">
        <f>(BA430+BC430)</f>
        <v/>
      </c>
    </row>
    <row r="431" ht="22.5" customFormat="1" customHeight="1" s="8">
      <c r="A431" s="9" t="n"/>
      <c r="B431" s="136" t="inlineStr">
        <is>
          <t>CABLE</t>
        </is>
      </c>
      <c r="C431" s="137" t="inlineStr">
        <is>
          <t>ADX4000W</t>
        </is>
      </c>
      <c r="D431" s="60" t="inlineStr">
        <is>
          <t>USB 2.0 CABLE</t>
        </is>
      </c>
      <c r="E431" s="13" t="inlineStr">
        <is>
          <t>PMM369-0100, 1m</t>
        </is>
      </c>
      <c r="F431" s="99" t="n"/>
      <c r="G431" s="9" t="n"/>
      <c r="H431" s="9" t="inlineStr">
        <is>
          <t>강원전자</t>
        </is>
      </c>
      <c r="I431" s="14" t="n"/>
      <c r="J431" s="14" t="n"/>
      <c r="K431" s="12" t="n"/>
      <c r="L431" s="9" t="n"/>
      <c r="M431" s="9" t="n"/>
      <c r="N431" s="9" t="n"/>
      <c r="O431" s="40">
        <f>K431+V431-AE431-AZ431</f>
        <v/>
      </c>
      <c r="P431" s="12" t="n"/>
      <c r="Q431" s="138" t="n"/>
      <c r="R431" s="16" t="n"/>
      <c r="S431" s="139" t="n"/>
      <c r="T431" s="16" t="n"/>
      <c r="U431" s="139" t="n"/>
      <c r="V431" s="16">
        <f>P431+R431+T431</f>
        <v/>
      </c>
      <c r="W431" s="16" t="n"/>
      <c r="X431" s="139" t="n"/>
      <c r="Y431" s="16" t="n"/>
      <c r="Z431" s="139" t="n"/>
      <c r="AA431" s="16" t="n"/>
      <c r="AB431" s="139" t="n"/>
      <c r="AC431" s="16" t="n"/>
      <c r="AD431" s="139" t="n"/>
      <c r="AE431" s="16">
        <f>(W431+Y431+AA431+AC431)</f>
        <v/>
      </c>
      <c r="AF431" s="16" t="n"/>
      <c r="AG431" s="138" t="n"/>
      <c r="AH431" s="16" t="n"/>
      <c r="AI431" s="138" t="n"/>
      <c r="AJ431" s="16" t="n"/>
      <c r="AK431" s="138" t="n"/>
      <c r="AL431" s="16" t="n"/>
      <c r="AM431" s="138" t="n"/>
      <c r="AN431" s="16" t="n"/>
      <c r="AO431" s="138" t="n"/>
      <c r="AP431" s="16" t="n"/>
      <c r="AQ431" s="138" t="n"/>
      <c r="AR431" s="16" t="n"/>
      <c r="AS431" s="138" t="n"/>
      <c r="AT431" s="16" t="n"/>
      <c r="AU431" s="138" t="n"/>
      <c r="AV431" s="16" t="n"/>
      <c r="AW431" s="138" t="n"/>
      <c r="AX431" s="16" t="n"/>
      <c r="AY431" s="138" t="n"/>
      <c r="AZ431" s="16">
        <f>AF431+AH431+AJ431+AL431+AN431+AP431+AR431+AT431+AV431+AX431</f>
        <v/>
      </c>
      <c r="BA431" s="16" t="n"/>
      <c r="BB431" s="139" t="n"/>
      <c r="BC431" s="16" t="n"/>
      <c r="BD431" s="139" t="n"/>
      <c r="BE431" s="16">
        <f>(BA431+BC431)</f>
        <v/>
      </c>
    </row>
    <row r="432" ht="22.5" customFormat="1" customHeight="1" s="8">
      <c r="A432" s="9" t="n"/>
      <c r="B432" s="136" t="inlineStr">
        <is>
          <t>CABLE</t>
        </is>
      </c>
      <c r="C432" s="137" t="inlineStr">
        <is>
          <t>ADX6000</t>
        </is>
      </c>
      <c r="D432" s="60" t="inlineStr">
        <is>
          <t>PC Link Cable</t>
        </is>
      </c>
      <c r="E432" s="13" t="n"/>
      <c r="F432" s="99" t="n"/>
      <c r="G432" s="9" t="n"/>
      <c r="H432" s="9" t="inlineStr">
        <is>
          <t>직구</t>
        </is>
      </c>
      <c r="I432" s="14" t="n"/>
      <c r="J432" s="14" t="n"/>
      <c r="K432" s="12" t="n">
        <v>27</v>
      </c>
      <c r="L432" s="9" t="n"/>
      <c r="M432" s="9" t="n"/>
      <c r="N432" s="9" t="n"/>
      <c r="O432" s="40">
        <f>K432+V432-AE432-AZ432</f>
        <v/>
      </c>
      <c r="P432" s="12" t="n"/>
      <c r="Q432" s="138" t="n"/>
      <c r="R432" s="16" t="n"/>
      <c r="S432" s="139" t="n"/>
      <c r="T432" s="16" t="n"/>
      <c r="U432" s="139" t="n"/>
      <c r="V432" s="16">
        <f>P432+R432+T432</f>
        <v/>
      </c>
      <c r="W432" s="16" t="n"/>
      <c r="X432" s="139" t="n"/>
      <c r="Y432" s="16" t="n"/>
      <c r="Z432" s="139" t="n"/>
      <c r="AA432" s="16" t="n"/>
      <c r="AB432" s="139" t="n"/>
      <c r="AC432" s="16" t="n"/>
      <c r="AD432" s="139" t="n"/>
      <c r="AE432" s="16">
        <f>(W432+Y432+AA432+AC432)</f>
        <v/>
      </c>
      <c r="AF432" s="16" t="n"/>
      <c r="AG432" s="138" t="n"/>
      <c r="AH432" s="16" t="n"/>
      <c r="AI432" s="138" t="n"/>
      <c r="AJ432" s="16" t="n"/>
      <c r="AK432" s="138" t="n"/>
      <c r="AL432" s="16" t="n"/>
      <c r="AM432" s="138" t="n"/>
      <c r="AN432" s="16" t="n"/>
      <c r="AO432" s="138" t="n"/>
      <c r="AP432" s="16" t="n"/>
      <c r="AQ432" s="138" t="n"/>
      <c r="AR432" s="16" t="n"/>
      <c r="AS432" s="138" t="n"/>
      <c r="AT432" s="16" t="n"/>
      <c r="AU432" s="138" t="n"/>
      <c r="AV432" s="16" t="n"/>
      <c r="AW432" s="138" t="n"/>
      <c r="AX432" s="16" t="n"/>
      <c r="AY432" s="138" t="n"/>
      <c r="AZ432" s="16">
        <f>AF432+AH432+AJ432+AL432+AN432+AP432+AR432+AT432+AV432+AX432</f>
        <v/>
      </c>
      <c r="BA432" s="16" t="n"/>
      <c r="BB432" s="139" t="n"/>
      <c r="BC432" s="16" t="n"/>
      <c r="BD432" s="139" t="n"/>
      <c r="BE432" s="16">
        <f>(BA432+BC432)</f>
        <v/>
      </c>
    </row>
    <row r="433" ht="22.5" customFormat="1" customHeight="1" s="8">
      <c r="A433" s="9" t="n"/>
      <c r="B433" s="136" t="inlineStr">
        <is>
          <t>PCB</t>
        </is>
      </c>
      <c r="C433" s="142" t="inlineStr">
        <is>
          <t>공용</t>
        </is>
      </c>
      <c r="D433" s="63" t="inlineStr">
        <is>
          <t>외부 배터리 쪽 보드</t>
        </is>
      </c>
      <c r="E433" s="13" t="inlineStr">
        <is>
          <t>EX BATTERY BD</t>
        </is>
      </c>
      <c r="F433" s="99" t="n"/>
      <c r="G433" s="9" t="n"/>
      <c r="H433" s="9" t="inlineStr">
        <is>
          <t>HLP</t>
        </is>
      </c>
      <c r="I433" s="14" t="n"/>
      <c r="J433" s="14" t="n"/>
      <c r="K433" s="12" t="n"/>
      <c r="L433" s="9" t="n"/>
      <c r="M433" s="9" t="n"/>
      <c r="N433" s="9" t="n"/>
      <c r="O433" s="40">
        <f>K433+V433-AE433-AZ433</f>
        <v/>
      </c>
      <c r="P433" s="12" t="n"/>
      <c r="Q433" s="138" t="n"/>
      <c r="R433" s="16" t="n"/>
      <c r="S433" s="139" t="n"/>
      <c r="T433" s="16" t="n"/>
      <c r="U433" s="139" t="n"/>
      <c r="V433" s="16">
        <f>P433+R433+T433</f>
        <v/>
      </c>
      <c r="W433" s="16" t="n"/>
      <c r="X433" s="139" t="n"/>
      <c r="Y433" s="16" t="n"/>
      <c r="Z433" s="139" t="n"/>
      <c r="AA433" s="16" t="n"/>
      <c r="AB433" s="139" t="n"/>
      <c r="AC433" s="16" t="n"/>
      <c r="AD433" s="139" t="n"/>
      <c r="AE433" s="16">
        <f>(W433+Y433+AA433+AC433)</f>
        <v/>
      </c>
      <c r="AF433" s="16" t="n"/>
      <c r="AG433" s="138" t="n"/>
      <c r="AH433" s="16" t="n"/>
      <c r="AI433" s="138" t="n"/>
      <c r="AJ433" s="16" t="n"/>
      <c r="AK433" s="138" t="n"/>
      <c r="AL433" s="16" t="n"/>
      <c r="AM433" s="138" t="n"/>
      <c r="AN433" s="16" t="n"/>
      <c r="AO433" s="138" t="n"/>
      <c r="AP433" s="16" t="n"/>
      <c r="AQ433" s="138" t="n"/>
      <c r="AR433" s="16" t="n"/>
      <c r="AS433" s="138" t="n"/>
      <c r="AT433" s="16" t="n"/>
      <c r="AU433" s="138" t="n"/>
      <c r="AV433" s="16" t="n"/>
      <c r="AW433" s="138" t="n"/>
      <c r="AX433" s="16" t="n"/>
      <c r="AY433" s="138" t="n"/>
      <c r="AZ433" s="16">
        <f>AF433+AH433+AJ433+AL433+AN433+AP433+AR433+AT433+AV433+AX433</f>
        <v/>
      </c>
      <c r="BA433" s="16" t="n"/>
      <c r="BB433" s="139" t="n"/>
      <c r="BC433" s="16" t="n"/>
      <c r="BD433" s="139" t="n"/>
      <c r="BE433" s="16">
        <f>(BA433+BC433)</f>
        <v/>
      </c>
    </row>
    <row r="434" ht="22.5" customFormat="1" customHeight="1" s="8">
      <c r="A434" s="9" t="n"/>
      <c r="B434" s="136" t="inlineStr">
        <is>
          <t>가방</t>
        </is>
      </c>
      <c r="C434" s="137" t="inlineStr">
        <is>
          <t>공용</t>
        </is>
      </c>
      <c r="D434" s="63" t="inlineStr">
        <is>
          <t>디텍터 가방</t>
        </is>
      </c>
      <c r="E434" s="13" t="n"/>
      <c r="F434" s="99" t="n"/>
      <c r="G434" s="9" t="n"/>
      <c r="H434" s="9" t="n"/>
      <c r="I434" s="14" t="n"/>
      <c r="J434" s="14" t="n"/>
      <c r="K434" s="12" t="n">
        <v>38</v>
      </c>
      <c r="L434" s="9" t="n"/>
      <c r="M434" s="9" t="n"/>
      <c r="N434" s="9" t="n"/>
      <c r="O434" s="40">
        <f>K434+V434-AE434-AZ434</f>
        <v/>
      </c>
      <c r="P434" s="12" t="n"/>
      <c r="Q434" s="138" t="n"/>
      <c r="R434" s="16" t="n"/>
      <c r="S434" s="139" t="n"/>
      <c r="T434" s="16" t="n"/>
      <c r="U434" s="139" t="n"/>
      <c r="V434" s="16">
        <f>P434+R434+T434</f>
        <v/>
      </c>
      <c r="W434" s="16" t="n"/>
      <c r="X434" s="139" t="n"/>
      <c r="Y434" s="16" t="n"/>
      <c r="Z434" s="139" t="n"/>
      <c r="AA434" s="16" t="n"/>
      <c r="AB434" s="139" t="n"/>
      <c r="AC434" s="16" t="n"/>
      <c r="AD434" s="139" t="n"/>
      <c r="AE434" s="16">
        <f>(W434+Y434+AA434+AC434)</f>
        <v/>
      </c>
      <c r="AF434" s="16" t="n"/>
      <c r="AG434" s="138" t="n"/>
      <c r="AH434" s="16" t="n"/>
      <c r="AI434" s="138" t="n"/>
      <c r="AJ434" s="16" t="n"/>
      <c r="AK434" s="138" t="n"/>
      <c r="AL434" s="16" t="n"/>
      <c r="AM434" s="138" t="n"/>
      <c r="AN434" s="16" t="n"/>
      <c r="AO434" s="138" t="n"/>
      <c r="AP434" s="16" t="n"/>
      <c r="AQ434" s="138" t="n"/>
      <c r="AR434" s="16" t="n"/>
      <c r="AS434" s="138" t="n"/>
      <c r="AT434" s="16" t="n"/>
      <c r="AU434" s="138" t="n"/>
      <c r="AV434" s="16" t="n"/>
      <c r="AW434" s="138" t="n"/>
      <c r="AX434" s="16" t="n"/>
      <c r="AY434" s="138" t="n"/>
      <c r="AZ434" s="16">
        <f>AF434+AH434+AJ434+AL434+AN434+AP434+AR434+AT434+AV434+AX434</f>
        <v/>
      </c>
      <c r="BA434" s="16" t="n"/>
      <c r="BB434" s="139" t="n"/>
      <c r="BC434" s="16" t="n"/>
      <c r="BD434" s="139" t="n"/>
      <c r="BE434" s="16">
        <f>(BA434+BC434)</f>
        <v/>
      </c>
    </row>
    <row r="435" ht="22.5" customFormat="1" customHeight="1" s="8">
      <c r="A435" s="9" t="n"/>
      <c r="B435" s="136" t="inlineStr">
        <is>
          <t>가방</t>
        </is>
      </c>
      <c r="C435" s="137" t="inlineStr">
        <is>
          <t>DX3000</t>
        </is>
      </c>
      <c r="D435" s="63" t="inlineStr">
        <is>
          <t>가방+내부 FOAM(계란판)</t>
        </is>
      </c>
      <c r="E435" s="13" t="n"/>
      <c r="F435" s="99" t="n"/>
      <c r="G435" s="9" t="n"/>
      <c r="H435" s="9" t="inlineStr">
        <is>
          <t>굿모닝코리아유통</t>
        </is>
      </c>
      <c r="I435" s="14" t="n"/>
      <c r="J435" s="14" t="n"/>
      <c r="K435" s="12" t="n"/>
      <c r="L435" s="9" t="n"/>
      <c r="M435" s="9" t="n"/>
      <c r="N435" s="9" t="n"/>
      <c r="O435" s="40">
        <f>K435+V435-AE435-AZ435</f>
        <v/>
      </c>
      <c r="P435" s="12" t="n"/>
      <c r="Q435" s="138" t="n"/>
      <c r="R435" s="16" t="n"/>
      <c r="S435" s="139" t="n"/>
      <c r="T435" s="16" t="n"/>
      <c r="U435" s="139" t="n"/>
      <c r="V435" s="16">
        <f>P435+R435+T435</f>
        <v/>
      </c>
      <c r="W435" s="16" t="n"/>
      <c r="X435" s="139" t="n"/>
      <c r="Y435" s="16" t="n"/>
      <c r="Z435" s="139" t="n"/>
      <c r="AA435" s="16" t="n"/>
      <c r="AB435" s="139" t="n"/>
      <c r="AC435" s="16" t="n"/>
      <c r="AD435" s="139" t="n"/>
      <c r="AE435" s="16">
        <f>(W435+Y435+AA435+AC435)</f>
        <v/>
      </c>
      <c r="AF435" s="16" t="n"/>
      <c r="AG435" s="138" t="n"/>
      <c r="AH435" s="16" t="n"/>
      <c r="AI435" s="138" t="n"/>
      <c r="AJ435" s="16" t="n"/>
      <c r="AK435" s="138" t="n"/>
      <c r="AL435" s="16" t="n"/>
      <c r="AM435" s="138" t="n"/>
      <c r="AN435" s="16" t="n"/>
      <c r="AO435" s="138" t="n"/>
      <c r="AP435" s="16" t="n"/>
      <c r="AQ435" s="138" t="n"/>
      <c r="AR435" s="16" t="n"/>
      <c r="AS435" s="138" t="n"/>
      <c r="AT435" s="16" t="n"/>
      <c r="AU435" s="138" t="n"/>
      <c r="AV435" s="16" t="n"/>
      <c r="AW435" s="138" t="n"/>
      <c r="AX435" s="16" t="n"/>
      <c r="AY435" s="138" t="n"/>
      <c r="AZ435" s="16">
        <f>AF435+AH435+AJ435+AL435+AN435+AP435+AR435+AT435+AV435+AX435</f>
        <v/>
      </c>
      <c r="BA435" s="16" t="n"/>
      <c r="BB435" s="139" t="n"/>
      <c r="BC435" s="16" t="n"/>
      <c r="BD435" s="139" t="n"/>
      <c r="BE435" s="16">
        <f>(BA435+BC435)</f>
        <v/>
      </c>
    </row>
    <row r="436" ht="22.5" customFormat="1" customHeight="1" s="8">
      <c r="A436" s="9" t="n"/>
      <c r="B436" s="136" t="inlineStr">
        <is>
          <t>가방</t>
        </is>
      </c>
      <c r="C436" s="137" t="inlineStr">
        <is>
          <t>DX3000</t>
        </is>
      </c>
      <c r="D436" s="65" t="inlineStr">
        <is>
          <t>가방+내장재 X</t>
        </is>
      </c>
      <c r="E436" s="13" t="n"/>
      <c r="F436" s="99" t="n"/>
      <c r="G436" s="9" t="n"/>
      <c r="H436" s="9" t="inlineStr">
        <is>
          <t>굿모닝코리아유통</t>
        </is>
      </c>
      <c r="I436" s="14" t="n"/>
      <c r="J436" s="14" t="n"/>
      <c r="K436" s="12" t="n"/>
      <c r="L436" s="9" t="n"/>
      <c r="M436" s="9" t="n"/>
      <c r="N436" s="9" t="n"/>
      <c r="O436" s="40">
        <f>K436+V436-AE436-AZ436</f>
        <v/>
      </c>
      <c r="P436" s="12" t="n"/>
      <c r="Q436" s="138" t="n"/>
      <c r="R436" s="16" t="n"/>
      <c r="S436" s="139" t="n"/>
      <c r="T436" s="16" t="n"/>
      <c r="U436" s="139" t="n"/>
      <c r="V436" s="16">
        <f>P436+R436+T436</f>
        <v/>
      </c>
      <c r="W436" s="16" t="n"/>
      <c r="X436" s="139" t="n"/>
      <c r="Y436" s="16" t="n"/>
      <c r="Z436" s="139" t="n"/>
      <c r="AA436" s="16" t="n"/>
      <c r="AB436" s="139" t="n"/>
      <c r="AC436" s="16" t="n"/>
      <c r="AD436" s="139" t="n"/>
      <c r="AE436" s="16">
        <f>(W436+Y436+AA436+AC436)</f>
        <v/>
      </c>
      <c r="AF436" s="16" t="n"/>
      <c r="AG436" s="138" t="n"/>
      <c r="AH436" s="16" t="n"/>
      <c r="AI436" s="138" t="n"/>
      <c r="AJ436" s="16" t="n"/>
      <c r="AK436" s="138" t="n"/>
      <c r="AL436" s="16" t="n"/>
      <c r="AM436" s="138" t="n"/>
      <c r="AN436" s="16" t="n"/>
      <c r="AO436" s="138" t="n"/>
      <c r="AP436" s="16" t="n"/>
      <c r="AQ436" s="138" t="n"/>
      <c r="AR436" s="16" t="n"/>
      <c r="AS436" s="138" t="n"/>
      <c r="AT436" s="16" t="n"/>
      <c r="AU436" s="138" t="n"/>
      <c r="AV436" s="16" t="n"/>
      <c r="AW436" s="138" t="n"/>
      <c r="AX436" s="16" t="n"/>
      <c r="AY436" s="138" t="n"/>
      <c r="AZ436" s="16">
        <f>AF436+AH436+AJ436+AL436+AN436+AP436+AR436+AT436+AV436+AX436</f>
        <v/>
      </c>
      <c r="BA436" s="16" t="n"/>
      <c r="BB436" s="139" t="n"/>
      <c r="BC436" s="16" t="n"/>
      <c r="BD436" s="139" t="n"/>
      <c r="BE436" s="16">
        <f>(BA436+BC436)</f>
        <v/>
      </c>
    </row>
    <row r="437" ht="22.5" customFormat="1" customHeight="1" s="8">
      <c r="A437" s="9" t="n"/>
      <c r="B437" s="136" t="inlineStr">
        <is>
          <t>가방</t>
        </is>
      </c>
      <c r="C437" s="137" t="inlineStr">
        <is>
          <t>DX3000</t>
        </is>
      </c>
      <c r="D437" s="65" t="inlineStr">
        <is>
          <t>가방(로고 없는것)+내부 FOAM(계란판)</t>
        </is>
      </c>
      <c r="E437" s="13" t="n"/>
      <c r="F437" s="99" t="n"/>
      <c r="G437" s="9" t="n"/>
      <c r="H437" s="9" t="inlineStr">
        <is>
          <t>굿모닝코리아유통</t>
        </is>
      </c>
      <c r="I437" s="14" t="n"/>
      <c r="J437" s="14" t="n"/>
      <c r="K437" s="12" t="n"/>
      <c r="L437" s="9" t="n"/>
      <c r="M437" s="9" t="n"/>
      <c r="N437" s="9" t="n"/>
      <c r="O437" s="40">
        <f>K437+V437-AE437-AZ437</f>
        <v/>
      </c>
      <c r="P437" s="12" t="n"/>
      <c r="Q437" s="138" t="n"/>
      <c r="R437" s="16" t="n"/>
      <c r="S437" s="139" t="n"/>
      <c r="T437" s="16" t="n"/>
      <c r="U437" s="139" t="n"/>
      <c r="V437" s="16">
        <f>P437+R437+T437</f>
        <v/>
      </c>
      <c r="W437" s="16" t="n"/>
      <c r="X437" s="139" t="n"/>
      <c r="Y437" s="16" t="n"/>
      <c r="Z437" s="139" t="n"/>
      <c r="AA437" s="16" t="n"/>
      <c r="AB437" s="139" t="n"/>
      <c r="AC437" s="16" t="n"/>
      <c r="AD437" s="139" t="n"/>
      <c r="AE437" s="16">
        <f>(W437+Y437+AA437+AC437)</f>
        <v/>
      </c>
      <c r="AF437" s="16" t="n"/>
      <c r="AG437" s="138" t="n"/>
      <c r="AH437" s="16" t="n"/>
      <c r="AI437" s="138" t="n"/>
      <c r="AJ437" s="16" t="n"/>
      <c r="AK437" s="138" t="n"/>
      <c r="AL437" s="16" t="n"/>
      <c r="AM437" s="138" t="n"/>
      <c r="AN437" s="16" t="n"/>
      <c r="AO437" s="138" t="n"/>
      <c r="AP437" s="16" t="n"/>
      <c r="AQ437" s="138" t="n"/>
      <c r="AR437" s="16" t="n"/>
      <c r="AS437" s="138" t="n"/>
      <c r="AT437" s="16" t="n"/>
      <c r="AU437" s="138" t="n"/>
      <c r="AV437" s="16" t="n"/>
      <c r="AW437" s="138" t="n"/>
      <c r="AX437" s="16" t="n"/>
      <c r="AY437" s="138" t="n"/>
      <c r="AZ437" s="16">
        <f>AF437+AH437+AJ437+AL437+AN437+AP437+AR437+AT437+AV437+AX437</f>
        <v/>
      </c>
      <c r="BA437" s="16" t="n"/>
      <c r="BB437" s="139" t="n"/>
      <c r="BC437" s="16" t="n"/>
      <c r="BD437" s="139" t="n"/>
      <c r="BE437" s="16">
        <f>(BA437+BC437)</f>
        <v/>
      </c>
    </row>
    <row r="438" ht="22.5" customFormat="1" customHeight="1" s="8">
      <c r="A438" s="9" t="n"/>
      <c r="B438" s="136" t="inlineStr">
        <is>
          <t>가방</t>
        </is>
      </c>
      <c r="C438" s="137" t="inlineStr">
        <is>
          <t>DX3000</t>
        </is>
      </c>
      <c r="D438" s="65" t="inlineStr">
        <is>
          <t>가방(로고 없는것)+내장재 X</t>
        </is>
      </c>
      <c r="E438" s="13" t="n"/>
      <c r="F438" s="99" t="n"/>
      <c r="G438" s="9" t="n"/>
      <c r="H438" s="9" t="inlineStr">
        <is>
          <t>굿모닝코리아유통</t>
        </is>
      </c>
      <c r="I438" s="14" t="n"/>
      <c r="J438" s="14" t="n"/>
      <c r="K438" s="12" t="n"/>
      <c r="L438" s="9" t="n"/>
      <c r="M438" s="9" t="n"/>
      <c r="N438" s="9" t="n"/>
      <c r="O438" s="40">
        <f>K438+V438-AE438-AZ438</f>
        <v/>
      </c>
      <c r="P438" s="12" t="n"/>
      <c r="Q438" s="138" t="n"/>
      <c r="R438" s="16" t="n"/>
      <c r="S438" s="139" t="n"/>
      <c r="T438" s="16" t="n"/>
      <c r="U438" s="139" t="n"/>
      <c r="V438" s="16">
        <f>P438+R438+T438</f>
        <v/>
      </c>
      <c r="W438" s="16" t="n"/>
      <c r="X438" s="139" t="n"/>
      <c r="Y438" s="16" t="n"/>
      <c r="Z438" s="139" t="n"/>
      <c r="AA438" s="16" t="n"/>
      <c r="AB438" s="139" t="n"/>
      <c r="AC438" s="16" t="n"/>
      <c r="AD438" s="139" t="n"/>
      <c r="AE438" s="16">
        <f>(W438+Y438+AA438+AC438)</f>
        <v/>
      </c>
      <c r="AF438" s="16" t="n"/>
      <c r="AG438" s="138" t="n"/>
      <c r="AH438" s="16" t="n"/>
      <c r="AI438" s="138" t="n"/>
      <c r="AJ438" s="16" t="n"/>
      <c r="AK438" s="138" t="n"/>
      <c r="AL438" s="16" t="n"/>
      <c r="AM438" s="138" t="n"/>
      <c r="AN438" s="16" t="n"/>
      <c r="AO438" s="138" t="n"/>
      <c r="AP438" s="16" t="n"/>
      <c r="AQ438" s="138" t="n"/>
      <c r="AR438" s="16" t="n"/>
      <c r="AS438" s="138" t="n"/>
      <c r="AT438" s="16" t="n"/>
      <c r="AU438" s="138" t="n"/>
      <c r="AV438" s="16" t="n"/>
      <c r="AW438" s="138" t="n"/>
      <c r="AX438" s="16" t="n"/>
      <c r="AY438" s="138" t="n"/>
      <c r="AZ438" s="16">
        <f>AF438+AH438+AJ438+AL438+AN438+AP438+AR438+AT438+AV438+AX438</f>
        <v/>
      </c>
      <c r="BA438" s="16" t="n"/>
      <c r="BB438" s="139" t="n"/>
      <c r="BC438" s="16" t="n"/>
      <c r="BD438" s="139" t="n"/>
      <c r="BE438" s="16">
        <f>(BA438+BC438)</f>
        <v/>
      </c>
    </row>
    <row r="439" ht="22.5" customFormat="1" customHeight="1" s="8">
      <c r="A439" s="9" t="n"/>
      <c r="B439" s="136" t="inlineStr">
        <is>
          <t>가방</t>
        </is>
      </c>
      <c r="C439" s="137" t="inlineStr">
        <is>
          <t>COCOON</t>
        </is>
      </c>
      <c r="D439" s="65" t="inlineStr">
        <is>
          <t>가방+내부FOAM(계란판)_공용</t>
        </is>
      </c>
      <c r="E439" s="13" t="n"/>
      <c r="F439" s="99" t="n"/>
      <c r="G439" s="9" t="n"/>
      <c r="H439" s="9" t="inlineStr">
        <is>
          <t>굿모닝코리아유통</t>
        </is>
      </c>
      <c r="I439" s="14" t="n"/>
      <c r="J439" s="14" t="n"/>
      <c r="K439" s="12" t="n"/>
      <c r="L439" s="9" t="n"/>
      <c r="M439" s="9" t="n"/>
      <c r="N439" s="9" t="n"/>
      <c r="O439" s="40">
        <f>K439+V439-AE439-AZ439</f>
        <v/>
      </c>
      <c r="P439" s="12" t="n"/>
      <c r="Q439" s="138" t="n"/>
      <c r="R439" s="16" t="n"/>
      <c r="S439" s="139" t="n"/>
      <c r="T439" s="16" t="n"/>
      <c r="U439" s="139" t="n"/>
      <c r="V439" s="16">
        <f>P439+R439+T439</f>
        <v/>
      </c>
      <c r="W439" s="16" t="n"/>
      <c r="X439" s="139" t="n"/>
      <c r="Y439" s="16" t="n"/>
      <c r="Z439" s="139" t="n"/>
      <c r="AA439" s="16" t="n"/>
      <c r="AB439" s="139" t="n"/>
      <c r="AC439" s="16" t="n"/>
      <c r="AD439" s="139" t="n"/>
      <c r="AE439" s="16">
        <f>(W439+Y439+AA439+AC439)</f>
        <v/>
      </c>
      <c r="AF439" s="16" t="n"/>
      <c r="AG439" s="138" t="n"/>
      <c r="AH439" s="16" t="n"/>
      <c r="AI439" s="138" t="n"/>
      <c r="AJ439" s="16" t="n"/>
      <c r="AK439" s="138" t="n"/>
      <c r="AL439" s="16" t="n"/>
      <c r="AM439" s="138" t="n"/>
      <c r="AN439" s="16" t="n"/>
      <c r="AO439" s="138" t="n"/>
      <c r="AP439" s="16" t="n"/>
      <c r="AQ439" s="138" t="n"/>
      <c r="AR439" s="16" t="n"/>
      <c r="AS439" s="138" t="n"/>
      <c r="AT439" s="16" t="n"/>
      <c r="AU439" s="138" t="n"/>
      <c r="AV439" s="16" t="n"/>
      <c r="AW439" s="138" t="n"/>
      <c r="AX439" s="16" t="n"/>
      <c r="AY439" s="138" t="n"/>
      <c r="AZ439" s="16">
        <f>AF439+AH439+AJ439+AL439+AN439+AP439+AR439+AT439+AV439+AX439</f>
        <v/>
      </c>
      <c r="BA439" s="16" t="n"/>
      <c r="BB439" s="139" t="n"/>
      <c r="BC439" s="16" t="n"/>
      <c r="BD439" s="139" t="n"/>
      <c r="BE439" s="16">
        <f>(BA439+BC439)</f>
        <v/>
      </c>
    </row>
    <row r="440" ht="22.5" customFormat="1" customHeight="1" s="8">
      <c r="A440" s="9" t="n"/>
      <c r="B440" s="136" t="inlineStr">
        <is>
          <t>가방</t>
        </is>
      </c>
      <c r="C440" s="137" t="inlineStr">
        <is>
          <t>COCOON</t>
        </is>
      </c>
      <c r="D440" s="65" t="inlineStr">
        <is>
          <t>가방(로고 없는것)+내부 FOAM(계란판)</t>
        </is>
      </c>
      <c r="E440" s="13" t="n"/>
      <c r="F440" s="99" t="n"/>
      <c r="G440" s="9" t="n"/>
      <c r="H440" s="9" t="inlineStr">
        <is>
          <t>굿모닝코리아유통</t>
        </is>
      </c>
      <c r="I440" s="14" t="n"/>
      <c r="J440" s="14" t="n"/>
      <c r="K440" s="12" t="n"/>
      <c r="L440" s="9" t="n"/>
      <c r="M440" s="9" t="n"/>
      <c r="N440" s="9" t="n"/>
      <c r="O440" s="40">
        <f>K440+V440-AE440-AZ440</f>
        <v/>
      </c>
      <c r="P440" s="12" t="n"/>
      <c r="Q440" s="138" t="n"/>
      <c r="R440" s="16" t="n"/>
      <c r="S440" s="139" t="n"/>
      <c r="T440" s="16" t="n"/>
      <c r="U440" s="139" t="n"/>
      <c r="V440" s="16">
        <f>P440+R440+T440</f>
        <v/>
      </c>
      <c r="W440" s="16" t="n"/>
      <c r="X440" s="139" t="n"/>
      <c r="Y440" s="16" t="n"/>
      <c r="Z440" s="139" t="n"/>
      <c r="AA440" s="16" t="n"/>
      <c r="AB440" s="139" t="n"/>
      <c r="AC440" s="16" t="n"/>
      <c r="AD440" s="139" t="n"/>
      <c r="AE440" s="16">
        <f>(W440+Y440+AA440+AC440)</f>
        <v/>
      </c>
      <c r="AF440" s="16" t="n"/>
      <c r="AG440" s="138" t="n"/>
      <c r="AH440" s="16" t="n"/>
      <c r="AI440" s="138" t="n"/>
      <c r="AJ440" s="16" t="n"/>
      <c r="AK440" s="138" t="n"/>
      <c r="AL440" s="16" t="n"/>
      <c r="AM440" s="138" t="n"/>
      <c r="AN440" s="16" t="n"/>
      <c r="AO440" s="138" t="n"/>
      <c r="AP440" s="16" t="n"/>
      <c r="AQ440" s="138" t="n"/>
      <c r="AR440" s="16" t="n"/>
      <c r="AS440" s="138" t="n"/>
      <c r="AT440" s="16" t="n"/>
      <c r="AU440" s="138" t="n"/>
      <c r="AV440" s="16" t="n"/>
      <c r="AW440" s="138" t="n"/>
      <c r="AX440" s="16" t="n"/>
      <c r="AY440" s="138" t="n"/>
      <c r="AZ440" s="16">
        <f>AF440+AH440+AJ440+AL440+AN440+AP440+AR440+AT440+AV440+AX440</f>
        <v/>
      </c>
      <c r="BA440" s="16" t="n"/>
      <c r="BB440" s="139" t="n"/>
      <c r="BC440" s="16" t="n"/>
      <c r="BD440" s="139" t="n"/>
      <c r="BE440" s="16">
        <f>(BA440+BC440)</f>
        <v/>
      </c>
    </row>
    <row r="441" ht="22.5" customFormat="1" customHeight="1" s="8">
      <c r="A441" s="9" t="n"/>
      <c r="B441" s="136" t="inlineStr">
        <is>
          <t>가방</t>
        </is>
      </c>
      <c r="C441" s="137" t="inlineStr">
        <is>
          <t>COCOON</t>
        </is>
      </c>
      <c r="D441" s="63" t="inlineStr">
        <is>
          <t>가방(로고 없는것)+내장재 X</t>
        </is>
      </c>
      <c r="E441" s="13" t="n"/>
      <c r="F441" s="99" t="n"/>
      <c r="G441" s="9" t="n"/>
      <c r="H441" s="9" t="inlineStr">
        <is>
          <t>굿모닝코리아유통</t>
        </is>
      </c>
      <c r="I441" s="14" t="n"/>
      <c r="J441" s="14" t="n"/>
      <c r="K441" s="12" t="n"/>
      <c r="L441" s="9" t="n"/>
      <c r="M441" s="9" t="n"/>
      <c r="N441" s="9" t="n"/>
      <c r="O441" s="40">
        <f>K441+V441-AE441-AZ441</f>
        <v/>
      </c>
      <c r="P441" s="12" t="n"/>
      <c r="Q441" s="138" t="n"/>
      <c r="R441" s="16" t="n"/>
      <c r="S441" s="139" t="n"/>
      <c r="T441" s="16" t="n"/>
      <c r="U441" s="139" t="n"/>
      <c r="V441" s="16">
        <f>P441+R441+T441</f>
        <v/>
      </c>
      <c r="W441" s="16" t="n"/>
      <c r="X441" s="139" t="n"/>
      <c r="Y441" s="16" t="n"/>
      <c r="Z441" s="139" t="n"/>
      <c r="AA441" s="16" t="n"/>
      <c r="AB441" s="139" t="n"/>
      <c r="AC441" s="16" t="n"/>
      <c r="AD441" s="139" t="n"/>
      <c r="AE441" s="16">
        <f>(W441+Y441+AA441+AC441)</f>
        <v/>
      </c>
      <c r="AF441" s="16" t="n"/>
      <c r="AG441" s="138" t="n"/>
      <c r="AH441" s="16" t="n"/>
      <c r="AI441" s="138" t="n"/>
      <c r="AJ441" s="16" t="n"/>
      <c r="AK441" s="138" t="n"/>
      <c r="AL441" s="16" t="n"/>
      <c r="AM441" s="138" t="n"/>
      <c r="AN441" s="16" t="n"/>
      <c r="AO441" s="138" t="n"/>
      <c r="AP441" s="16" t="n"/>
      <c r="AQ441" s="138" t="n"/>
      <c r="AR441" s="16" t="n"/>
      <c r="AS441" s="138" t="n"/>
      <c r="AT441" s="16" t="n"/>
      <c r="AU441" s="138" t="n"/>
      <c r="AV441" s="16" t="n"/>
      <c r="AW441" s="138" t="n"/>
      <c r="AX441" s="16" t="n"/>
      <c r="AY441" s="138" t="n"/>
      <c r="AZ441" s="16">
        <f>AF441+AH441+AJ441+AL441+AN441+AP441+AR441+AT441+AV441+AX441</f>
        <v/>
      </c>
      <c r="BA441" s="16" t="n"/>
      <c r="BB441" s="139" t="n"/>
      <c r="BC441" s="16" t="n"/>
      <c r="BD441" s="139" t="n"/>
      <c r="BE441" s="16">
        <f>(BA441+BC441)</f>
        <v/>
      </c>
    </row>
    <row r="442" ht="22.5" customFormat="1" customHeight="1" s="8">
      <c r="A442" s="9" t="n"/>
      <c r="B442" s="136" t="inlineStr">
        <is>
          <t>가방</t>
        </is>
      </c>
      <c r="C442" s="137" t="inlineStr">
        <is>
          <t>ADX6000</t>
        </is>
      </c>
      <c r="D442" s="63" t="inlineStr">
        <is>
          <t>가방+내부FOAM(계란판)_공용</t>
        </is>
      </c>
      <c r="E442" s="18" t="n"/>
      <c r="F442" s="99" t="n"/>
      <c r="G442" s="9" t="n"/>
      <c r="H442" s="9" t="inlineStr">
        <is>
          <t>굿모닝코리아유통</t>
        </is>
      </c>
      <c r="I442" s="14" t="n"/>
      <c r="J442" s="14" t="n"/>
      <c r="K442" s="12" t="n"/>
      <c r="L442" s="9" t="n"/>
      <c r="M442" s="9" t="n"/>
      <c r="N442" s="9" t="n"/>
      <c r="O442" s="40">
        <f>K442+V442-AE442-AZ442</f>
        <v/>
      </c>
      <c r="P442" s="12" t="n"/>
      <c r="Q442" s="138" t="n"/>
      <c r="R442" s="16" t="n"/>
      <c r="S442" s="139" t="n"/>
      <c r="T442" s="16" t="n"/>
      <c r="U442" s="139" t="n"/>
      <c r="V442" s="16">
        <f>P442+R442+T442</f>
        <v/>
      </c>
      <c r="W442" s="16" t="n"/>
      <c r="X442" s="139" t="n"/>
      <c r="Y442" s="16" t="n"/>
      <c r="Z442" s="139" t="n"/>
      <c r="AA442" s="16" t="n"/>
      <c r="AB442" s="139" t="n"/>
      <c r="AC442" s="16" t="n"/>
      <c r="AD442" s="139" t="n"/>
      <c r="AE442" s="16">
        <f>(W442+Y442+AA442+AC442)</f>
        <v/>
      </c>
      <c r="AF442" s="16" t="n"/>
      <c r="AG442" s="138" t="n"/>
      <c r="AH442" s="16" t="n"/>
      <c r="AI442" s="138" t="n"/>
      <c r="AJ442" s="16" t="n"/>
      <c r="AK442" s="138" t="n"/>
      <c r="AL442" s="16" t="n"/>
      <c r="AM442" s="138" t="n"/>
      <c r="AN442" s="16" t="n"/>
      <c r="AO442" s="138" t="n"/>
      <c r="AP442" s="16" t="n"/>
      <c r="AQ442" s="138" t="n"/>
      <c r="AR442" s="16" t="n"/>
      <c r="AS442" s="138" t="n"/>
      <c r="AT442" s="16" t="n"/>
      <c r="AU442" s="138" t="n"/>
      <c r="AV442" s="16" t="n"/>
      <c r="AW442" s="138" t="n"/>
      <c r="AX442" s="16" t="n"/>
      <c r="AY442" s="138" t="n"/>
      <c r="AZ442" s="16">
        <f>AF442+AH442+AJ442+AL442+AN442+AP442+AR442+AT442+AV442+AX442</f>
        <v/>
      </c>
      <c r="BA442" s="16" t="n"/>
      <c r="BB442" s="139" t="n"/>
      <c r="BC442" s="16" t="n"/>
      <c r="BD442" s="139" t="n"/>
      <c r="BE442" s="16">
        <f>(BA442+BC442)</f>
        <v/>
      </c>
    </row>
    <row r="443" ht="22.5" customFormat="1" customHeight="1" s="8">
      <c r="A443" s="9" t="n"/>
      <c r="B443" s="136" t="inlineStr">
        <is>
          <t>가방</t>
        </is>
      </c>
      <c r="C443" s="137" t="inlineStr">
        <is>
          <t>ADX6000</t>
        </is>
      </c>
      <c r="D443" s="63" t="inlineStr">
        <is>
          <t>가방 (뱅가드)</t>
        </is>
      </c>
      <c r="E443" s="13" t="n"/>
      <c r="F443" s="99" t="n"/>
      <c r="G443" s="9" t="n"/>
      <c r="H443" s="9" t="inlineStr">
        <is>
          <t>수프림</t>
        </is>
      </c>
      <c r="I443" s="14" t="n"/>
      <c r="J443" s="14" t="n"/>
      <c r="K443" s="12" t="n"/>
      <c r="L443" s="9" t="n"/>
      <c r="M443" s="9" t="n"/>
      <c r="N443" s="9" t="n"/>
      <c r="O443" s="40">
        <f>K443+V443-AE443-AZ443</f>
        <v/>
      </c>
      <c r="P443" s="12" t="n"/>
      <c r="Q443" s="138" t="n"/>
      <c r="R443" s="16" t="n"/>
      <c r="S443" s="139" t="n"/>
      <c r="T443" s="16" t="n"/>
      <c r="U443" s="139" t="n"/>
      <c r="V443" s="16">
        <f>P443+R443+T443</f>
        <v/>
      </c>
      <c r="W443" s="16" t="n"/>
      <c r="X443" s="139" t="n"/>
      <c r="Y443" s="16" t="n"/>
      <c r="Z443" s="139" t="n"/>
      <c r="AA443" s="16" t="n"/>
      <c r="AB443" s="139" t="n"/>
      <c r="AC443" s="16" t="n"/>
      <c r="AD443" s="139" t="n"/>
      <c r="AE443" s="16">
        <f>(W443+Y443+AA443+AC443)</f>
        <v/>
      </c>
      <c r="AF443" s="16" t="n"/>
      <c r="AG443" s="138" t="n"/>
      <c r="AH443" s="16" t="n"/>
      <c r="AI443" s="138" t="n"/>
      <c r="AJ443" s="16" t="n"/>
      <c r="AK443" s="138" t="n"/>
      <c r="AL443" s="16" t="n"/>
      <c r="AM443" s="138" t="n"/>
      <c r="AN443" s="16" t="n"/>
      <c r="AO443" s="138" t="n"/>
      <c r="AP443" s="16" t="n"/>
      <c r="AQ443" s="138" t="n"/>
      <c r="AR443" s="16" t="n"/>
      <c r="AS443" s="138" t="n"/>
      <c r="AT443" s="16" t="n"/>
      <c r="AU443" s="138" t="n"/>
      <c r="AV443" s="16" t="n"/>
      <c r="AW443" s="138" t="n"/>
      <c r="AX443" s="16" t="n"/>
      <c r="AY443" s="138" t="n"/>
      <c r="AZ443" s="16">
        <f>AF443+AH443+AJ443+AL443+AN443+AP443+AR443+AT443+AV443+AX443</f>
        <v/>
      </c>
      <c r="BA443" s="16" t="n"/>
      <c r="BB443" s="139" t="n"/>
      <c r="BC443" s="16" t="n"/>
      <c r="BD443" s="139" t="n"/>
      <c r="BE443" s="16">
        <f>(BA443+BC443)</f>
        <v/>
      </c>
    </row>
    <row r="444" ht="22.5" customFormat="1" customHeight="1" s="8">
      <c r="A444" s="9" t="n"/>
      <c r="B444" s="136" t="inlineStr">
        <is>
          <t>가방</t>
        </is>
      </c>
      <c r="C444" s="137" t="inlineStr">
        <is>
          <t>ADX6000</t>
        </is>
      </c>
      <c r="D444" s="63" t="inlineStr">
        <is>
          <t>FDXD-810 센서 가방 (뱅가드)</t>
        </is>
      </c>
      <c r="E444" s="13" t="n"/>
      <c r="F444" s="99" t="n"/>
      <c r="G444" s="9" t="n"/>
      <c r="H444" s="9" t="inlineStr">
        <is>
          <t>굿모닝코리아유통</t>
        </is>
      </c>
      <c r="I444" s="14" t="n"/>
      <c r="J444" s="14" t="n"/>
      <c r="K444" s="12" t="n"/>
      <c r="L444" s="9" t="n"/>
      <c r="M444" s="9" t="n"/>
      <c r="N444" s="9" t="n"/>
      <c r="O444" s="40">
        <f>K444+V444-AE444-AZ444</f>
        <v/>
      </c>
      <c r="P444" s="12" t="n"/>
      <c r="Q444" s="138" t="n"/>
      <c r="R444" s="16" t="n"/>
      <c r="S444" s="139" t="n"/>
      <c r="T444" s="16" t="n"/>
      <c r="U444" s="139" t="n"/>
      <c r="V444" s="16">
        <f>P444+R444+T444</f>
        <v/>
      </c>
      <c r="W444" s="16" t="n"/>
      <c r="X444" s="139" t="n"/>
      <c r="Y444" s="16" t="n"/>
      <c r="Z444" s="139" t="n"/>
      <c r="AA444" s="16" t="n"/>
      <c r="AB444" s="139" t="n"/>
      <c r="AC444" s="16" t="n"/>
      <c r="AD444" s="139" t="n"/>
      <c r="AE444" s="16">
        <f>(W444+Y444+AA444+AC444)</f>
        <v/>
      </c>
      <c r="AF444" s="16" t="n"/>
      <c r="AG444" s="138" t="n"/>
      <c r="AH444" s="16" t="n"/>
      <c r="AI444" s="138" t="n"/>
      <c r="AJ444" s="16" t="n"/>
      <c r="AK444" s="138" t="n"/>
      <c r="AL444" s="16" t="n"/>
      <c r="AM444" s="138" t="n"/>
      <c r="AN444" s="16" t="n"/>
      <c r="AO444" s="138" t="n"/>
      <c r="AP444" s="16" t="n"/>
      <c r="AQ444" s="138" t="n"/>
      <c r="AR444" s="16" t="n"/>
      <c r="AS444" s="138" t="n"/>
      <c r="AT444" s="16" t="n"/>
      <c r="AU444" s="138" t="n"/>
      <c r="AV444" s="16" t="n"/>
      <c r="AW444" s="138" t="n"/>
      <c r="AX444" s="16" t="n"/>
      <c r="AY444" s="138" t="n"/>
      <c r="AZ444" s="16">
        <f>AF444+AH444+AJ444+AL444+AN444+AP444+AR444+AT444+AV444+AX444</f>
        <v/>
      </c>
      <c r="BA444" s="16" t="n"/>
      <c r="BB444" s="139" t="n"/>
      <c r="BC444" s="16" t="n"/>
      <c r="BD444" s="139" t="n"/>
      <c r="BE444" s="16">
        <f>(BA444+BC444)</f>
        <v/>
      </c>
    </row>
    <row r="445" ht="22.5" customFormat="1" customHeight="1" s="8">
      <c r="A445" s="9" t="n"/>
      <c r="B445" s="136" t="inlineStr">
        <is>
          <t>PU FOAM</t>
        </is>
      </c>
      <c r="C445" s="137" t="inlineStr">
        <is>
          <t>DX3000, ADX4000W</t>
        </is>
      </c>
      <c r="D445" s="65" t="inlineStr">
        <is>
          <t>계란판</t>
        </is>
      </c>
      <c r="E445" s="13" t="n"/>
      <c r="F445" s="99" t="n"/>
      <c r="G445" s="9" t="n"/>
      <c r="H445" s="9" t="inlineStr">
        <is>
          <t>굿모닝코리아유통</t>
        </is>
      </c>
      <c r="I445" s="14" t="n"/>
      <c r="J445" s="14" t="n"/>
      <c r="K445" s="12" t="n"/>
      <c r="L445" s="9" t="n"/>
      <c r="M445" s="9" t="n"/>
      <c r="N445" s="9" t="n"/>
      <c r="O445" s="40">
        <f>K445+V445-AE445-AZ445</f>
        <v/>
      </c>
      <c r="P445" s="12" t="n"/>
      <c r="Q445" s="138" t="n"/>
      <c r="R445" s="16" t="n"/>
      <c r="S445" s="139" t="n"/>
      <c r="T445" s="16" t="n"/>
      <c r="U445" s="139" t="n"/>
      <c r="V445" s="16">
        <f>P445+R445+T445</f>
        <v/>
      </c>
      <c r="W445" s="16" t="n"/>
      <c r="X445" s="139" t="n"/>
      <c r="Y445" s="16" t="n"/>
      <c r="Z445" s="139" t="n"/>
      <c r="AA445" s="16" t="n"/>
      <c r="AB445" s="139" t="n"/>
      <c r="AC445" s="16" t="n"/>
      <c r="AD445" s="139" t="n"/>
      <c r="AE445" s="16">
        <f>(W445+Y445+AA445+AC445)</f>
        <v/>
      </c>
      <c r="AF445" s="16" t="n"/>
      <c r="AG445" s="138" t="n"/>
      <c r="AH445" s="16" t="n"/>
      <c r="AI445" s="138" t="n"/>
      <c r="AJ445" s="16" t="n"/>
      <c r="AK445" s="138" t="n"/>
      <c r="AL445" s="16" t="n"/>
      <c r="AM445" s="138" t="n"/>
      <c r="AN445" s="16" t="n"/>
      <c r="AO445" s="138" t="n"/>
      <c r="AP445" s="16" t="n"/>
      <c r="AQ445" s="138" t="n"/>
      <c r="AR445" s="16" t="n"/>
      <c r="AS445" s="138" t="n"/>
      <c r="AT445" s="16" t="n"/>
      <c r="AU445" s="138" t="n"/>
      <c r="AV445" s="16" t="n"/>
      <c r="AW445" s="138" t="n"/>
      <c r="AX445" s="16" t="n"/>
      <c r="AY445" s="138" t="n"/>
      <c r="AZ445" s="16">
        <f>AF445+AH445+AJ445+AL445+AN445+AP445+AR445+AT445+AV445+AX445</f>
        <v/>
      </c>
      <c r="BA445" s="16" t="n"/>
      <c r="BB445" s="139" t="n"/>
      <c r="BC445" s="16" t="n"/>
      <c r="BD445" s="139" t="n"/>
      <c r="BE445" s="16">
        <f>(BA445+BC445)</f>
        <v/>
      </c>
    </row>
    <row r="446" ht="22.5" customFormat="1" customHeight="1" s="8">
      <c r="A446" s="9" t="n"/>
      <c r="B446" s="136" t="inlineStr">
        <is>
          <t>PU FOAM</t>
        </is>
      </c>
      <c r="C446" s="137" t="inlineStr">
        <is>
          <t>COCOON, ADX6000</t>
        </is>
      </c>
      <c r="D446" s="63" t="inlineStr">
        <is>
          <t>계란판</t>
        </is>
      </c>
      <c r="E446" s="13" t="n"/>
      <c r="F446" s="99" t="n"/>
      <c r="G446" s="9" t="n"/>
      <c r="H446" s="9" t="inlineStr">
        <is>
          <t>굿모닝코리아유통</t>
        </is>
      </c>
      <c r="I446" s="14" t="n"/>
      <c r="J446" s="14" t="n"/>
      <c r="K446" s="12" t="n"/>
      <c r="L446" s="9" t="n"/>
      <c r="M446" s="9" t="n"/>
      <c r="N446" s="9" t="n"/>
      <c r="O446" s="40">
        <f>K446+V446-AE446-AZ446</f>
        <v/>
      </c>
      <c r="P446" s="12" t="n"/>
      <c r="Q446" s="138" t="n"/>
      <c r="R446" s="16" t="n"/>
      <c r="S446" s="139" t="n"/>
      <c r="T446" s="16" t="n"/>
      <c r="U446" s="139" t="n"/>
      <c r="V446" s="16">
        <f>P446+R446+T446</f>
        <v/>
      </c>
      <c r="W446" s="16" t="n"/>
      <c r="X446" s="139" t="n"/>
      <c r="Y446" s="16" t="n"/>
      <c r="Z446" s="139" t="n"/>
      <c r="AA446" s="16" t="n"/>
      <c r="AB446" s="139" t="n"/>
      <c r="AC446" s="16" t="n"/>
      <c r="AD446" s="139" t="n"/>
      <c r="AE446" s="16">
        <f>(W446+Y446+AA446+AC446)</f>
        <v/>
      </c>
      <c r="AF446" s="16" t="n"/>
      <c r="AG446" s="138" t="n"/>
      <c r="AH446" s="16" t="n"/>
      <c r="AI446" s="138" t="n"/>
      <c r="AJ446" s="16" t="n"/>
      <c r="AK446" s="138" t="n"/>
      <c r="AL446" s="16" t="n"/>
      <c r="AM446" s="138" t="n"/>
      <c r="AN446" s="16" t="n"/>
      <c r="AO446" s="138" t="n"/>
      <c r="AP446" s="16" t="n"/>
      <c r="AQ446" s="138" t="n"/>
      <c r="AR446" s="16" t="n"/>
      <c r="AS446" s="138" t="n"/>
      <c r="AT446" s="16" t="n"/>
      <c r="AU446" s="138" t="n"/>
      <c r="AV446" s="16" t="n"/>
      <c r="AW446" s="138" t="n"/>
      <c r="AX446" s="16" t="n"/>
      <c r="AY446" s="138" t="n"/>
      <c r="AZ446" s="16">
        <f>AF446+AH446+AJ446+AL446+AN446+AP446+AR446+AT446+AV446+AX446</f>
        <v/>
      </c>
      <c r="BA446" s="16" t="n"/>
      <c r="BB446" s="139" t="n"/>
      <c r="BC446" s="16" t="n"/>
      <c r="BD446" s="139" t="n"/>
      <c r="BE446" s="16">
        <f>(BA446+BC446)</f>
        <v/>
      </c>
    </row>
    <row r="447" ht="22.5" customFormat="1" customHeight="1" s="8">
      <c r="A447" s="9" t="n"/>
      <c r="B447" s="136" t="inlineStr">
        <is>
          <t>PU FOAM</t>
        </is>
      </c>
      <c r="C447" s="137" t="inlineStr">
        <is>
          <t>DX3000</t>
        </is>
      </c>
      <c r="D447" s="63" t="inlineStr">
        <is>
          <t>가방 내부 폼</t>
        </is>
      </c>
      <c r="E447" s="13" t="inlineStr">
        <is>
          <t>15cm cone</t>
        </is>
      </c>
      <c r="F447" s="99" t="n"/>
      <c r="G447" s="9" t="n"/>
      <c r="H447" s="9" t="inlineStr">
        <is>
          <t>굿모닝코리아유통</t>
        </is>
      </c>
      <c r="I447" s="14" t="n"/>
      <c r="J447" s="14" t="n"/>
      <c r="K447" s="12" t="n"/>
      <c r="L447" s="9" t="n"/>
      <c r="M447" s="9" t="n"/>
      <c r="N447" s="9" t="n"/>
      <c r="O447" s="40">
        <f>K447+V447-AE447-AZ447</f>
        <v/>
      </c>
      <c r="P447" s="12" t="n"/>
      <c r="Q447" s="138" t="n"/>
      <c r="R447" s="16" t="n"/>
      <c r="S447" s="139" t="n"/>
      <c r="T447" s="16" t="n"/>
      <c r="U447" s="139" t="n"/>
      <c r="V447" s="16">
        <f>P447+R447+T447</f>
        <v/>
      </c>
      <c r="W447" s="16" t="n"/>
      <c r="X447" s="139" t="n"/>
      <c r="Y447" s="16" t="n"/>
      <c r="Z447" s="139" t="n"/>
      <c r="AA447" s="16" t="n"/>
      <c r="AB447" s="139" t="n"/>
      <c r="AC447" s="16" t="n"/>
      <c r="AD447" s="139" t="n"/>
      <c r="AE447" s="16">
        <f>(W447+Y447+AA447+AC447)</f>
        <v/>
      </c>
      <c r="AF447" s="16" t="n"/>
      <c r="AG447" s="138" t="n"/>
      <c r="AH447" s="16" t="n"/>
      <c r="AI447" s="138" t="n"/>
      <c r="AJ447" s="16" t="n"/>
      <c r="AK447" s="138" t="n"/>
      <c r="AL447" s="16" t="n"/>
      <c r="AM447" s="138" t="n"/>
      <c r="AN447" s="16" t="n"/>
      <c r="AO447" s="138" t="n"/>
      <c r="AP447" s="16" t="n"/>
      <c r="AQ447" s="138" t="n"/>
      <c r="AR447" s="16" t="n"/>
      <c r="AS447" s="138" t="n"/>
      <c r="AT447" s="16" t="n"/>
      <c r="AU447" s="138" t="n"/>
      <c r="AV447" s="16" t="n"/>
      <c r="AW447" s="138" t="n"/>
      <c r="AX447" s="16" t="n"/>
      <c r="AY447" s="138" t="n"/>
      <c r="AZ447" s="16">
        <f>AF447+AH447+AJ447+AL447+AN447+AP447+AR447+AT447+AV447+AX447</f>
        <v/>
      </c>
      <c r="BA447" s="16" t="n"/>
      <c r="BB447" s="139" t="n"/>
      <c r="BC447" s="16" t="n"/>
      <c r="BD447" s="139" t="n"/>
      <c r="BE447" s="16">
        <f>(BA447+BC447)</f>
        <v/>
      </c>
    </row>
    <row r="448" ht="22.5" customFormat="1" customHeight="1" s="8">
      <c r="A448" s="9" t="n"/>
      <c r="B448" s="136" t="inlineStr">
        <is>
          <t>PU FOAM</t>
        </is>
      </c>
      <c r="C448" s="137" t="inlineStr">
        <is>
          <t>DX3000</t>
        </is>
      </c>
      <c r="D448" s="90" t="inlineStr">
        <is>
          <t>가방 내부 폼</t>
        </is>
      </c>
      <c r="E448" s="13" t="inlineStr">
        <is>
          <t>20cm cone용, 20 * 80</t>
        </is>
      </c>
      <c r="F448" s="99" t="n"/>
      <c r="G448" s="9" t="n"/>
      <c r="H448" s="9" t="inlineStr">
        <is>
          <t>굿모닝코리아유통</t>
        </is>
      </c>
      <c r="I448" s="14" t="n"/>
      <c r="J448" s="14" t="n"/>
      <c r="K448" s="12" t="n"/>
      <c r="L448" s="9" t="n"/>
      <c r="M448" s="9" t="n"/>
      <c r="N448" s="9" t="n"/>
      <c r="O448" s="40">
        <f>K448+V448-AE448-AZ448</f>
        <v/>
      </c>
      <c r="P448" s="12" t="n"/>
      <c r="Q448" s="138" t="n"/>
      <c r="R448" s="16" t="n"/>
      <c r="S448" s="139" t="n"/>
      <c r="T448" s="16" t="n"/>
      <c r="U448" s="139" t="n"/>
      <c r="V448" s="16">
        <f>P448+R448+T448</f>
        <v/>
      </c>
      <c r="W448" s="16" t="n"/>
      <c r="X448" s="139" t="n"/>
      <c r="Y448" s="16" t="n"/>
      <c r="Z448" s="139" t="n"/>
      <c r="AA448" s="16" t="n"/>
      <c r="AB448" s="139" t="n"/>
      <c r="AC448" s="16" t="n"/>
      <c r="AD448" s="139" t="n"/>
      <c r="AE448" s="16">
        <f>(W448+Y448+AA448+AC448)</f>
        <v/>
      </c>
      <c r="AF448" s="16" t="n"/>
      <c r="AG448" s="138" t="n"/>
      <c r="AH448" s="16" t="n"/>
      <c r="AI448" s="138" t="n"/>
      <c r="AJ448" s="16" t="n"/>
      <c r="AK448" s="138" t="n"/>
      <c r="AL448" s="16" t="n"/>
      <c r="AM448" s="138" t="n"/>
      <c r="AN448" s="16" t="n"/>
      <c r="AO448" s="138" t="n"/>
      <c r="AP448" s="16" t="n"/>
      <c r="AQ448" s="138" t="n"/>
      <c r="AR448" s="16" t="n"/>
      <c r="AS448" s="138" t="n"/>
      <c r="AT448" s="16" t="n"/>
      <c r="AU448" s="138" t="n"/>
      <c r="AV448" s="16" t="n"/>
      <c r="AW448" s="138" t="n"/>
      <c r="AX448" s="16" t="n"/>
      <c r="AY448" s="138" t="n"/>
      <c r="AZ448" s="16">
        <f>AF448+AH448+AJ448+AL448+AN448+AP448+AR448+AT448+AV448+AX448</f>
        <v/>
      </c>
      <c r="BA448" s="16" t="n"/>
      <c r="BB448" s="139" t="n"/>
      <c r="BC448" s="16" t="n"/>
      <c r="BD448" s="139" t="n"/>
      <c r="BE448" s="16">
        <f>(BA448+BC448)</f>
        <v/>
      </c>
    </row>
    <row r="449" ht="22.5" customFormat="1" customHeight="1" s="8">
      <c r="A449" s="9" t="n"/>
      <c r="B449" s="136" t="inlineStr">
        <is>
          <t>PU FOAM</t>
        </is>
      </c>
      <c r="C449" s="137" t="inlineStr">
        <is>
          <t>ADX4000W</t>
        </is>
      </c>
      <c r="D449" s="63" t="inlineStr">
        <is>
          <t>가방 내부 폼</t>
        </is>
      </c>
      <c r="E449" s="13" t="inlineStr">
        <is>
          <t>15cm cone</t>
        </is>
      </c>
      <c r="F449" s="99" t="n"/>
      <c r="G449" s="9" t="n"/>
      <c r="H449" s="9" t="inlineStr">
        <is>
          <t>굿모닝코리아유통</t>
        </is>
      </c>
      <c r="I449" s="14" t="n"/>
      <c r="J449" s="14" t="n"/>
      <c r="K449" s="12" t="n"/>
      <c r="L449" s="9" t="n"/>
      <c r="M449" s="9" t="n"/>
      <c r="N449" s="9" t="n"/>
      <c r="O449" s="40">
        <f>K449+V449-AE449-AZ449</f>
        <v/>
      </c>
      <c r="P449" s="12" t="n"/>
      <c r="Q449" s="138" t="n"/>
      <c r="R449" s="16" t="n"/>
      <c r="S449" s="139" t="n"/>
      <c r="T449" s="16" t="n"/>
      <c r="U449" s="139" t="n"/>
      <c r="V449" s="16">
        <f>P449+R449+T449</f>
        <v/>
      </c>
      <c r="W449" s="16" t="n"/>
      <c r="X449" s="139" t="n"/>
      <c r="Y449" s="16" t="n"/>
      <c r="Z449" s="139" t="n"/>
      <c r="AA449" s="16" t="n"/>
      <c r="AB449" s="139" t="n"/>
      <c r="AC449" s="16" t="n"/>
      <c r="AD449" s="139" t="n"/>
      <c r="AE449" s="16">
        <f>(W449+Y449+AA449+AC449)</f>
        <v/>
      </c>
      <c r="AF449" s="16" t="n"/>
      <c r="AG449" s="138" t="n"/>
      <c r="AH449" s="16" t="n"/>
      <c r="AI449" s="138" t="n"/>
      <c r="AJ449" s="16" t="n"/>
      <c r="AK449" s="138" t="n"/>
      <c r="AL449" s="16" t="n"/>
      <c r="AM449" s="138" t="n"/>
      <c r="AN449" s="16" t="n"/>
      <c r="AO449" s="138" t="n"/>
      <c r="AP449" s="16" t="n"/>
      <c r="AQ449" s="138" t="n"/>
      <c r="AR449" s="16" t="n"/>
      <c r="AS449" s="138" t="n"/>
      <c r="AT449" s="16" t="n"/>
      <c r="AU449" s="138" t="n"/>
      <c r="AV449" s="16" t="n"/>
      <c r="AW449" s="138" t="n"/>
      <c r="AX449" s="16" t="n"/>
      <c r="AY449" s="138" t="n"/>
      <c r="AZ449" s="16">
        <f>AF449+AH449+AJ449+AL449+AN449+AP449+AR449+AT449+AV449+AX449</f>
        <v/>
      </c>
      <c r="BA449" s="16" t="n"/>
      <c r="BB449" s="139" t="n"/>
      <c r="BC449" s="16" t="n"/>
      <c r="BD449" s="139" t="n"/>
      <c r="BE449" s="16">
        <f>(BA449+BC449)</f>
        <v/>
      </c>
    </row>
    <row r="450" ht="22.5" customFormat="1" customHeight="1" s="8">
      <c r="A450" s="9" t="n"/>
      <c r="B450" s="136" t="inlineStr">
        <is>
          <t>PU FOAM</t>
        </is>
      </c>
      <c r="C450" s="137" t="inlineStr">
        <is>
          <t>ADX4000W</t>
        </is>
      </c>
      <c r="D450" s="63" t="inlineStr">
        <is>
          <t>가방 내부 폼</t>
        </is>
      </c>
      <c r="E450" s="13" t="inlineStr">
        <is>
          <t>20cm cone용, 40 * 60</t>
        </is>
      </c>
      <c r="F450" s="99" t="n"/>
      <c r="G450" s="9" t="n"/>
      <c r="H450" s="9" t="inlineStr">
        <is>
          <t>굿모닝코리아유통</t>
        </is>
      </c>
      <c r="I450" s="14" t="n"/>
      <c r="J450" s="14" t="n"/>
      <c r="K450" s="12" t="n"/>
      <c r="L450" s="9" t="n"/>
      <c r="M450" s="9" t="n"/>
      <c r="N450" s="9" t="n"/>
      <c r="O450" s="40">
        <f>K450+V450-AE450-AZ450</f>
        <v/>
      </c>
      <c r="P450" s="12" t="n"/>
      <c r="Q450" s="138" t="n"/>
      <c r="R450" s="16" t="n"/>
      <c r="S450" s="139" t="n"/>
      <c r="T450" s="16" t="n"/>
      <c r="U450" s="139" t="n"/>
      <c r="V450" s="16">
        <f>P450+R450+T450</f>
        <v/>
      </c>
      <c r="W450" s="16" t="n"/>
      <c r="X450" s="139" t="n"/>
      <c r="Y450" s="16" t="n"/>
      <c r="Z450" s="139" t="n"/>
      <c r="AA450" s="16" t="n"/>
      <c r="AB450" s="139" t="n"/>
      <c r="AC450" s="16" t="n"/>
      <c r="AD450" s="139" t="n"/>
      <c r="AE450" s="16">
        <f>(W450+Y450+AA450+AC450)</f>
        <v/>
      </c>
      <c r="AF450" s="16" t="n"/>
      <c r="AG450" s="138" t="n"/>
      <c r="AH450" s="16" t="n"/>
      <c r="AI450" s="138" t="n"/>
      <c r="AJ450" s="16" t="n"/>
      <c r="AK450" s="138" t="n"/>
      <c r="AL450" s="16" t="n"/>
      <c r="AM450" s="138" t="n"/>
      <c r="AN450" s="16" t="n"/>
      <c r="AO450" s="138" t="n"/>
      <c r="AP450" s="16" t="n"/>
      <c r="AQ450" s="138" t="n"/>
      <c r="AR450" s="16" t="n"/>
      <c r="AS450" s="138" t="n"/>
      <c r="AT450" s="16" t="n"/>
      <c r="AU450" s="138" t="n"/>
      <c r="AV450" s="16" t="n"/>
      <c r="AW450" s="138" t="n"/>
      <c r="AX450" s="16" t="n"/>
      <c r="AY450" s="138" t="n"/>
      <c r="AZ450" s="16">
        <f>AF450+AH450+AJ450+AL450+AN450+AP450+AR450+AT450+AV450+AX450</f>
        <v/>
      </c>
      <c r="BA450" s="16" t="n"/>
      <c r="BB450" s="139" t="n"/>
      <c r="BC450" s="16" t="n"/>
      <c r="BD450" s="139" t="n"/>
      <c r="BE450" s="16">
        <f>(BA450+BC450)</f>
        <v/>
      </c>
    </row>
    <row r="451" ht="22.5" customFormat="1" customHeight="1" s="8">
      <c r="A451" s="9" t="n"/>
      <c r="B451" s="136" t="inlineStr">
        <is>
          <t>PU FOAM</t>
        </is>
      </c>
      <c r="C451" s="137" t="inlineStr">
        <is>
          <t>COCOON</t>
        </is>
      </c>
      <c r="D451" s="60" t="inlineStr">
        <is>
          <t>가방 내부 폼 상판</t>
        </is>
      </c>
      <c r="E451" s="13" t="inlineStr">
        <is>
          <t>18cm</t>
        </is>
      </c>
      <c r="F451" s="99" t="n"/>
      <c r="G451" s="9" t="n"/>
      <c r="H451" s="9" t="inlineStr">
        <is>
          <t>굿모닝코리아유통</t>
        </is>
      </c>
      <c r="I451" s="14" t="n"/>
      <c r="J451" s="14" t="n"/>
      <c r="K451" s="12" t="n"/>
      <c r="L451" s="9" t="n"/>
      <c r="M451" s="9" t="n"/>
      <c r="N451" s="9" t="n"/>
      <c r="O451" s="40">
        <f>K451+V451-AE451-AZ451</f>
        <v/>
      </c>
      <c r="P451" s="12" t="n"/>
      <c r="Q451" s="138" t="n"/>
      <c r="R451" s="16" t="n"/>
      <c r="S451" s="139" t="n"/>
      <c r="T451" s="16" t="n"/>
      <c r="U451" s="139" t="n"/>
      <c r="V451" s="16">
        <f>P451+R451+T451</f>
        <v/>
      </c>
      <c r="W451" s="16" t="n"/>
      <c r="X451" s="139" t="n"/>
      <c r="Y451" s="16" t="n"/>
      <c r="Z451" s="139" t="n"/>
      <c r="AA451" s="16" t="n"/>
      <c r="AB451" s="139" t="n"/>
      <c r="AC451" s="16" t="n"/>
      <c r="AD451" s="139" t="n"/>
      <c r="AE451" s="16">
        <f>(W451+Y451+AA451+AC451)</f>
        <v/>
      </c>
      <c r="AF451" s="16" t="n"/>
      <c r="AG451" s="138" t="n"/>
      <c r="AH451" s="16" t="n"/>
      <c r="AI451" s="138" t="n"/>
      <c r="AJ451" s="16" t="n"/>
      <c r="AK451" s="138" t="n"/>
      <c r="AL451" s="16" t="n"/>
      <c r="AM451" s="138" t="n"/>
      <c r="AN451" s="16" t="n"/>
      <c r="AO451" s="138" t="n"/>
      <c r="AP451" s="16" t="n"/>
      <c r="AQ451" s="138" t="n"/>
      <c r="AR451" s="16" t="n"/>
      <c r="AS451" s="138" t="n"/>
      <c r="AT451" s="16" t="n"/>
      <c r="AU451" s="138" t="n"/>
      <c r="AV451" s="16" t="n"/>
      <c r="AW451" s="138" t="n"/>
      <c r="AX451" s="16" t="n"/>
      <c r="AY451" s="138" t="n"/>
      <c r="AZ451" s="16">
        <f>AF451+AH451+AJ451+AL451+AN451+AP451+AR451+AT451+AV451+AX451</f>
        <v/>
      </c>
      <c r="BA451" s="16" t="n"/>
      <c r="BB451" s="139" t="n"/>
      <c r="BC451" s="16" t="n"/>
      <c r="BD451" s="139" t="n"/>
      <c r="BE451" s="16">
        <f>(BA451+BC451)</f>
        <v/>
      </c>
    </row>
    <row r="452" ht="22.5" customFormat="1" customHeight="1" s="8">
      <c r="A452" s="9" t="n"/>
      <c r="B452" s="136" t="inlineStr">
        <is>
          <t>PU FOAM</t>
        </is>
      </c>
      <c r="C452" s="137" t="inlineStr">
        <is>
          <t>COCOON</t>
        </is>
      </c>
      <c r="D452" s="60" t="inlineStr">
        <is>
          <t>가방 내부 폼 하판</t>
        </is>
      </c>
      <c r="E452" s="13" t="inlineStr">
        <is>
          <t>18cm</t>
        </is>
      </c>
      <c r="F452" s="99" t="n"/>
      <c r="G452" s="9" t="n"/>
      <c r="H452" s="9" t="inlineStr">
        <is>
          <t>굿모닝코리아유통</t>
        </is>
      </c>
      <c r="I452" s="14" t="n"/>
      <c r="J452" s="14" t="n"/>
      <c r="K452" s="12" t="n"/>
      <c r="L452" s="9" t="n"/>
      <c r="M452" s="9" t="n"/>
      <c r="N452" s="9" t="n"/>
      <c r="O452" s="40">
        <f>K452+V452-AE452-AZ452</f>
        <v/>
      </c>
      <c r="P452" s="12" t="n"/>
      <c r="Q452" s="138" t="n"/>
      <c r="R452" s="16" t="n"/>
      <c r="S452" s="139" t="n"/>
      <c r="T452" s="16" t="n"/>
      <c r="U452" s="139" t="n"/>
      <c r="V452" s="16">
        <f>P452+R452+T452</f>
        <v/>
      </c>
      <c r="W452" s="16" t="n"/>
      <c r="X452" s="139" t="n"/>
      <c r="Y452" s="16" t="n"/>
      <c r="Z452" s="139" t="n"/>
      <c r="AA452" s="16" t="n"/>
      <c r="AB452" s="139" t="n"/>
      <c r="AC452" s="16" t="n"/>
      <c r="AD452" s="139" t="n"/>
      <c r="AE452" s="16">
        <f>(W452+Y452+AA452+AC452)</f>
        <v/>
      </c>
      <c r="AF452" s="16" t="n"/>
      <c r="AG452" s="138" t="n"/>
      <c r="AH452" s="16" t="n"/>
      <c r="AI452" s="138" t="n"/>
      <c r="AJ452" s="16" t="n"/>
      <c r="AK452" s="138" t="n"/>
      <c r="AL452" s="16" t="n"/>
      <c r="AM452" s="138" t="n"/>
      <c r="AN452" s="16" t="n"/>
      <c r="AO452" s="138" t="n"/>
      <c r="AP452" s="16" t="n"/>
      <c r="AQ452" s="138" t="n"/>
      <c r="AR452" s="16" t="n"/>
      <c r="AS452" s="138" t="n"/>
      <c r="AT452" s="16" t="n"/>
      <c r="AU452" s="138" t="n"/>
      <c r="AV452" s="16" t="n"/>
      <c r="AW452" s="138" t="n"/>
      <c r="AX452" s="16" t="n"/>
      <c r="AY452" s="138" t="n"/>
      <c r="AZ452" s="16">
        <f>AF452+AH452+AJ452+AL452+AN452+AP452+AR452+AT452+AV452+AX452</f>
        <v/>
      </c>
      <c r="BA452" s="16" t="n"/>
      <c r="BB452" s="139" t="n"/>
      <c r="BC452" s="16" t="n"/>
      <c r="BD452" s="139" t="n"/>
      <c r="BE452" s="16">
        <f>(BA452+BC452)</f>
        <v/>
      </c>
    </row>
    <row r="453" ht="22.5" customFormat="1" customHeight="1" s="8">
      <c r="A453" s="9" t="n"/>
      <c r="B453" s="136" t="inlineStr">
        <is>
          <t>PU FOAM</t>
        </is>
      </c>
      <c r="C453" s="137" t="inlineStr">
        <is>
          <t>COCOON</t>
        </is>
      </c>
      <c r="D453" s="60" t="inlineStr">
        <is>
          <t>가방 내부 폼 상판</t>
        </is>
      </c>
      <c r="E453" s="13" t="inlineStr">
        <is>
          <t>20cm</t>
        </is>
      </c>
      <c r="F453" s="99" t="n"/>
      <c r="G453" s="9" t="n"/>
      <c r="H453" s="9" t="inlineStr">
        <is>
          <t>굿모닝코리아유통</t>
        </is>
      </c>
      <c r="I453" s="14" t="n"/>
      <c r="J453" s="14" t="n"/>
      <c r="K453" s="12" t="n"/>
      <c r="L453" s="9" t="n"/>
      <c r="M453" s="9" t="n"/>
      <c r="N453" s="9" t="n"/>
      <c r="O453" s="40">
        <f>K453+V453-AE453-AZ453</f>
        <v/>
      </c>
      <c r="P453" s="12" t="n"/>
      <c r="Q453" s="138" t="n"/>
      <c r="R453" s="16" t="n"/>
      <c r="S453" s="139" t="n"/>
      <c r="T453" s="16" t="n"/>
      <c r="U453" s="139" t="n"/>
      <c r="V453" s="16">
        <f>P453+R453+T453</f>
        <v/>
      </c>
      <c r="W453" s="16" t="n"/>
      <c r="X453" s="139" t="n"/>
      <c r="Y453" s="16" t="n"/>
      <c r="Z453" s="139" t="n"/>
      <c r="AA453" s="16" t="n"/>
      <c r="AB453" s="139" t="n"/>
      <c r="AC453" s="16" t="n"/>
      <c r="AD453" s="139" t="n"/>
      <c r="AE453" s="16">
        <f>(W453+Y453+AA453+AC453)</f>
        <v/>
      </c>
      <c r="AF453" s="16" t="n"/>
      <c r="AG453" s="138" t="n"/>
      <c r="AH453" s="16" t="n"/>
      <c r="AI453" s="138" t="n"/>
      <c r="AJ453" s="16" t="n"/>
      <c r="AK453" s="138" t="n"/>
      <c r="AL453" s="16" t="n"/>
      <c r="AM453" s="138" t="n"/>
      <c r="AN453" s="16" t="n"/>
      <c r="AO453" s="138" t="n"/>
      <c r="AP453" s="16" t="n"/>
      <c r="AQ453" s="138" t="n"/>
      <c r="AR453" s="16" t="n"/>
      <c r="AS453" s="138" t="n"/>
      <c r="AT453" s="16" t="n"/>
      <c r="AU453" s="138" t="n"/>
      <c r="AV453" s="16" t="n"/>
      <c r="AW453" s="138" t="n"/>
      <c r="AX453" s="16" t="n"/>
      <c r="AY453" s="138" t="n"/>
      <c r="AZ453" s="16">
        <f>AF453+AH453+AJ453+AL453+AN453+AP453+AR453+AT453+AV453+AX453</f>
        <v/>
      </c>
      <c r="BA453" s="16" t="n"/>
      <c r="BB453" s="139" t="n"/>
      <c r="BC453" s="16" t="n"/>
      <c r="BD453" s="139" t="n"/>
      <c r="BE453" s="16">
        <f>(BA453+BC453)</f>
        <v/>
      </c>
    </row>
    <row r="454" ht="22.5" customFormat="1" customHeight="1" s="8">
      <c r="A454" s="9" t="n"/>
      <c r="B454" s="136" t="inlineStr">
        <is>
          <t>PU FOAM</t>
        </is>
      </c>
      <c r="C454" s="137" t="inlineStr">
        <is>
          <t>COCOON</t>
        </is>
      </c>
      <c r="D454" s="60" t="inlineStr">
        <is>
          <t>가방 내부 폼 하판</t>
        </is>
      </c>
      <c r="E454" s="13" t="inlineStr">
        <is>
          <t>20cm</t>
        </is>
      </c>
      <c r="F454" s="99" t="n"/>
      <c r="G454" s="9" t="n"/>
      <c r="H454" s="9" t="inlineStr">
        <is>
          <t>굿모닝코리아유통</t>
        </is>
      </c>
      <c r="I454" s="14" t="n"/>
      <c r="J454" s="14" t="n"/>
      <c r="K454" s="12" t="n"/>
      <c r="L454" s="9" t="n"/>
      <c r="M454" s="9" t="n"/>
      <c r="N454" s="9" t="n"/>
      <c r="O454" s="40">
        <f>K454+V454-AE454-AZ454</f>
        <v/>
      </c>
      <c r="P454" s="12" t="n"/>
      <c r="Q454" s="138" t="n"/>
      <c r="R454" s="16" t="n"/>
      <c r="S454" s="139" t="n"/>
      <c r="T454" s="16" t="n"/>
      <c r="U454" s="139" t="n"/>
      <c r="V454" s="16">
        <f>P454+R454+T454</f>
        <v/>
      </c>
      <c r="W454" s="16" t="n"/>
      <c r="X454" s="139" t="n"/>
      <c r="Y454" s="16" t="n"/>
      <c r="Z454" s="139" t="n"/>
      <c r="AA454" s="16" t="n"/>
      <c r="AB454" s="139" t="n"/>
      <c r="AC454" s="16" t="n"/>
      <c r="AD454" s="139" t="n"/>
      <c r="AE454" s="16">
        <f>(W454+Y454+AA454+AC454)</f>
        <v/>
      </c>
      <c r="AF454" s="16" t="n"/>
      <c r="AG454" s="138" t="n"/>
      <c r="AH454" s="16" t="n"/>
      <c r="AI454" s="138" t="n"/>
      <c r="AJ454" s="16" t="n"/>
      <c r="AK454" s="138" t="n"/>
      <c r="AL454" s="16" t="n"/>
      <c r="AM454" s="138" t="n"/>
      <c r="AN454" s="16" t="n"/>
      <c r="AO454" s="138" t="n"/>
      <c r="AP454" s="16" t="n"/>
      <c r="AQ454" s="138" t="n"/>
      <c r="AR454" s="16" t="n"/>
      <c r="AS454" s="138" t="n"/>
      <c r="AT454" s="16" t="n"/>
      <c r="AU454" s="138" t="n"/>
      <c r="AV454" s="16" t="n"/>
      <c r="AW454" s="138" t="n"/>
      <c r="AX454" s="16" t="n"/>
      <c r="AY454" s="138" t="n"/>
      <c r="AZ454" s="16">
        <f>AF454+AH454+AJ454+AL454+AN454+AP454+AR454+AT454+AV454+AX454</f>
        <v/>
      </c>
      <c r="BA454" s="16" t="n"/>
      <c r="BB454" s="139" t="n"/>
      <c r="BC454" s="16" t="n"/>
      <c r="BD454" s="139" t="n"/>
      <c r="BE454" s="16">
        <f>(BA454+BC454)</f>
        <v/>
      </c>
    </row>
    <row r="455" ht="22.5" customFormat="1" customHeight="1" s="8">
      <c r="A455" s="9" t="n"/>
      <c r="B455" s="136" t="inlineStr">
        <is>
          <t>PU FOAM</t>
        </is>
      </c>
      <c r="C455" s="137" t="inlineStr">
        <is>
          <t>ADX6000FB</t>
        </is>
      </c>
      <c r="D455" s="65" t="inlineStr">
        <is>
          <t>가방 내부 폼 상판 (신형)</t>
        </is>
      </c>
      <c r="E455" s="13" t="n"/>
      <c r="F455" s="99" t="n"/>
      <c r="G455" s="9" t="n"/>
      <c r="H455" s="9" t="inlineStr">
        <is>
          <t>굿모닝코리아유통</t>
        </is>
      </c>
      <c r="I455" s="14" t="n"/>
      <c r="J455" s="14" t="n"/>
      <c r="K455" s="12" t="n"/>
      <c r="L455" s="9" t="n"/>
      <c r="M455" s="9" t="n"/>
      <c r="N455" s="9" t="n"/>
      <c r="O455" s="40">
        <f>K455+V455-AE455-AZ455</f>
        <v/>
      </c>
      <c r="P455" s="12" t="n"/>
      <c r="Q455" s="138" t="n"/>
      <c r="R455" s="16" t="n"/>
      <c r="S455" s="139" t="n"/>
      <c r="T455" s="16" t="n"/>
      <c r="U455" s="139" t="n"/>
      <c r="V455" s="16">
        <f>P455+R455+T455</f>
        <v/>
      </c>
      <c r="W455" s="16" t="n"/>
      <c r="X455" s="139" t="n"/>
      <c r="Y455" s="16" t="n"/>
      <c r="Z455" s="139" t="n"/>
      <c r="AA455" s="16" t="n"/>
      <c r="AB455" s="139" t="n"/>
      <c r="AC455" s="16" t="n"/>
      <c r="AD455" s="139" t="n"/>
      <c r="AE455" s="16">
        <f>(W455+Y455+AA455+AC455)</f>
        <v/>
      </c>
      <c r="AF455" s="16" t="n"/>
      <c r="AG455" s="138" t="n"/>
      <c r="AH455" s="16" t="n"/>
      <c r="AI455" s="138" t="n"/>
      <c r="AJ455" s="16" t="n"/>
      <c r="AK455" s="138" t="n"/>
      <c r="AL455" s="16" t="n"/>
      <c r="AM455" s="138" t="n"/>
      <c r="AN455" s="16" t="n"/>
      <c r="AO455" s="138" t="n"/>
      <c r="AP455" s="16" t="n"/>
      <c r="AQ455" s="138" t="n"/>
      <c r="AR455" s="16" t="n"/>
      <c r="AS455" s="138" t="n"/>
      <c r="AT455" s="16" t="n"/>
      <c r="AU455" s="138" t="n"/>
      <c r="AV455" s="16" t="n"/>
      <c r="AW455" s="138" t="n"/>
      <c r="AX455" s="16" t="n"/>
      <c r="AY455" s="138" t="n"/>
      <c r="AZ455" s="16">
        <f>AF455+AH455+AJ455+AL455+AN455+AP455+AR455+AT455+AV455+AX455</f>
        <v/>
      </c>
      <c r="BA455" s="16" t="n"/>
      <c r="BB455" s="139" t="n"/>
      <c r="BC455" s="16" t="n"/>
      <c r="BD455" s="139" t="n"/>
      <c r="BE455" s="16">
        <f>(BA455+BC455)</f>
        <v/>
      </c>
    </row>
    <row r="456" ht="22.5" customFormat="1" customHeight="1" s="8">
      <c r="A456" s="9" t="n"/>
      <c r="B456" s="136" t="inlineStr">
        <is>
          <t>PU FOAM</t>
        </is>
      </c>
      <c r="C456" s="137" t="inlineStr">
        <is>
          <t>ADX6000FB</t>
        </is>
      </c>
      <c r="D456" s="65" t="inlineStr">
        <is>
          <t>가방 내부 폼 중간판 (신형)</t>
        </is>
      </c>
      <c r="E456" s="13" t="n"/>
      <c r="F456" s="99" t="n"/>
      <c r="G456" s="9" t="n"/>
      <c r="H456" s="9" t="inlineStr">
        <is>
          <t>굿모닝코리아유통</t>
        </is>
      </c>
      <c r="I456" s="14" t="n"/>
      <c r="J456" s="14" t="n"/>
      <c r="K456" s="12" t="n"/>
      <c r="L456" s="9" t="n"/>
      <c r="M456" s="9" t="n"/>
      <c r="N456" s="9" t="n"/>
      <c r="O456" s="40">
        <f>K456+V456-AE456-AZ456</f>
        <v/>
      </c>
      <c r="P456" s="12" t="n"/>
      <c r="Q456" s="138" t="n"/>
      <c r="R456" s="16" t="n"/>
      <c r="S456" s="139" t="n"/>
      <c r="T456" s="16" t="n"/>
      <c r="U456" s="139" t="n"/>
      <c r="V456" s="16">
        <f>P456+R456+T456</f>
        <v/>
      </c>
      <c r="W456" s="16" t="n"/>
      <c r="X456" s="139" t="n"/>
      <c r="Y456" s="16" t="n"/>
      <c r="Z456" s="139" t="n"/>
      <c r="AA456" s="16" t="n"/>
      <c r="AB456" s="139" t="n"/>
      <c r="AC456" s="16" t="n"/>
      <c r="AD456" s="139" t="n"/>
      <c r="AE456" s="16">
        <f>(W456+Y456+AA456+AC456)</f>
        <v/>
      </c>
      <c r="AF456" s="16" t="n"/>
      <c r="AG456" s="138" t="n"/>
      <c r="AH456" s="16" t="n"/>
      <c r="AI456" s="138" t="n"/>
      <c r="AJ456" s="16" t="n"/>
      <c r="AK456" s="138" t="n"/>
      <c r="AL456" s="16" t="n"/>
      <c r="AM456" s="138" t="n"/>
      <c r="AN456" s="16" t="n"/>
      <c r="AO456" s="138" t="n"/>
      <c r="AP456" s="16" t="n"/>
      <c r="AQ456" s="138" t="n"/>
      <c r="AR456" s="16" t="n"/>
      <c r="AS456" s="138" t="n"/>
      <c r="AT456" s="16" t="n"/>
      <c r="AU456" s="138" t="n"/>
      <c r="AV456" s="16" t="n"/>
      <c r="AW456" s="138" t="n"/>
      <c r="AX456" s="16" t="n"/>
      <c r="AY456" s="138" t="n"/>
      <c r="AZ456" s="16">
        <f>AF456+AH456+AJ456+AL456+AN456+AP456+AR456+AT456+AV456+AX456</f>
        <v/>
      </c>
      <c r="BA456" s="16" t="n"/>
      <c r="BB456" s="139" t="n"/>
      <c r="BC456" s="16" t="n"/>
      <c r="BD456" s="139" t="n"/>
      <c r="BE456" s="16">
        <f>(BA456+BC456)</f>
        <v/>
      </c>
    </row>
    <row r="457" ht="22.5" customFormat="1" customHeight="1" s="8">
      <c r="A457" s="9" t="n"/>
      <c r="B457" s="136" t="inlineStr">
        <is>
          <t>PU FOAM</t>
        </is>
      </c>
      <c r="C457" s="137" t="inlineStr">
        <is>
          <t>ADX6000FB</t>
        </is>
      </c>
      <c r="D457" s="65" t="inlineStr">
        <is>
          <t>가방 내부 폼 하판 (신형)</t>
        </is>
      </c>
      <c r="E457" s="13" t="n"/>
      <c r="F457" s="99" t="n"/>
      <c r="G457" s="9" t="n"/>
      <c r="H457" s="9" t="inlineStr">
        <is>
          <t>굿모닝코리아유통</t>
        </is>
      </c>
      <c r="I457" s="14" t="n"/>
      <c r="J457" s="14" t="n"/>
      <c r="K457" s="12" t="n"/>
      <c r="L457" s="9" t="n"/>
      <c r="M457" s="9" t="n"/>
      <c r="N457" s="9" t="n"/>
      <c r="O457" s="40">
        <f>K457+V457-AE457-AZ457</f>
        <v/>
      </c>
      <c r="P457" s="12" t="n"/>
      <c r="Q457" s="138" t="n"/>
      <c r="R457" s="16" t="n"/>
      <c r="S457" s="139" t="n"/>
      <c r="T457" s="16" t="n"/>
      <c r="U457" s="139" t="n"/>
      <c r="V457" s="16">
        <f>P457+R457+T457</f>
        <v/>
      </c>
      <c r="W457" s="16" t="n"/>
      <c r="X457" s="139" t="n"/>
      <c r="Y457" s="16" t="n"/>
      <c r="Z457" s="139" t="n"/>
      <c r="AA457" s="16" t="n"/>
      <c r="AB457" s="139" t="n"/>
      <c r="AC457" s="16" t="n"/>
      <c r="AD457" s="139" t="n"/>
      <c r="AE457" s="16">
        <f>(W457+Y457+AA457+AC457)</f>
        <v/>
      </c>
      <c r="AF457" s="16" t="n"/>
      <c r="AG457" s="138" t="n"/>
      <c r="AH457" s="16" t="n"/>
      <c r="AI457" s="138" t="n"/>
      <c r="AJ457" s="16" t="n"/>
      <c r="AK457" s="138" t="n"/>
      <c r="AL457" s="16" t="n"/>
      <c r="AM457" s="138" t="n"/>
      <c r="AN457" s="16" t="n"/>
      <c r="AO457" s="138" t="n"/>
      <c r="AP457" s="16" t="n"/>
      <c r="AQ457" s="138" t="n"/>
      <c r="AR457" s="16" t="n"/>
      <c r="AS457" s="138" t="n"/>
      <c r="AT457" s="16" t="n"/>
      <c r="AU457" s="138" t="n"/>
      <c r="AV457" s="16" t="n"/>
      <c r="AW457" s="138" t="n"/>
      <c r="AX457" s="16" t="n"/>
      <c r="AY457" s="138" t="n"/>
      <c r="AZ457" s="16">
        <f>AF457+AH457+AJ457+AL457+AN457+AP457+AR457+AT457+AV457+AX457</f>
        <v/>
      </c>
      <c r="BA457" s="16" t="n"/>
      <c r="BB457" s="139" t="n"/>
      <c r="BC457" s="16" t="n"/>
      <c r="BD457" s="139" t="n"/>
      <c r="BE457" s="16">
        <f>(BA457+BC457)</f>
        <v/>
      </c>
    </row>
    <row r="458" ht="22.5" customFormat="1" customHeight="1" s="8">
      <c r="A458" s="9" t="n"/>
      <c r="B458" s="136" t="inlineStr">
        <is>
          <t>PU FOAM</t>
        </is>
      </c>
      <c r="C458" s="137" t="inlineStr">
        <is>
          <t>ADX6000</t>
        </is>
      </c>
      <c r="D458" s="65" t="inlineStr">
        <is>
          <t>가방 내장재</t>
        </is>
      </c>
      <c r="E458" s="13" t="inlineStr">
        <is>
          <t>47 * 36.5 * 2.5T</t>
        </is>
      </c>
      <c r="F458" s="99" t="n"/>
      <c r="G458" s="9" t="n"/>
      <c r="H458" s="9" t="inlineStr">
        <is>
          <t>굿모닝코리아유통</t>
        </is>
      </c>
      <c r="I458" s="14" t="n"/>
      <c r="J458" s="14" t="n"/>
      <c r="K458" s="12" t="n"/>
      <c r="L458" s="9" t="n"/>
      <c r="M458" s="9" t="n"/>
      <c r="N458" s="9" t="n"/>
      <c r="O458" s="40">
        <f>K458+V458-AE458-AZ458</f>
        <v/>
      </c>
      <c r="P458" s="12" t="n"/>
      <c r="Q458" s="138" t="n"/>
      <c r="R458" s="16" t="n"/>
      <c r="S458" s="139" t="n"/>
      <c r="T458" s="16" t="n"/>
      <c r="U458" s="139" t="n"/>
      <c r="V458" s="16">
        <f>P458+R458+T458</f>
        <v/>
      </c>
      <c r="W458" s="16" t="n"/>
      <c r="X458" s="139" t="n"/>
      <c r="Y458" s="16" t="n"/>
      <c r="Z458" s="139" t="n"/>
      <c r="AA458" s="16" t="n"/>
      <c r="AB458" s="139" t="n"/>
      <c r="AC458" s="16" t="n"/>
      <c r="AD458" s="139" t="n"/>
      <c r="AE458" s="16">
        <f>(W458+Y458+AA458+AC458)</f>
        <v/>
      </c>
      <c r="AF458" s="16" t="n"/>
      <c r="AG458" s="138" t="n"/>
      <c r="AH458" s="16" t="n"/>
      <c r="AI458" s="138" t="n"/>
      <c r="AJ458" s="16" t="n"/>
      <c r="AK458" s="138" t="n"/>
      <c r="AL458" s="16" t="n"/>
      <c r="AM458" s="138" t="n"/>
      <c r="AN458" s="16" t="n"/>
      <c r="AO458" s="138" t="n"/>
      <c r="AP458" s="16" t="n"/>
      <c r="AQ458" s="138" t="n"/>
      <c r="AR458" s="16" t="n"/>
      <c r="AS458" s="138" t="n"/>
      <c r="AT458" s="16" t="n"/>
      <c r="AU458" s="138" t="n"/>
      <c r="AV458" s="16" t="n"/>
      <c r="AW458" s="138" t="n"/>
      <c r="AX458" s="16" t="n"/>
      <c r="AY458" s="138" t="n"/>
      <c r="AZ458" s="16">
        <f>AF458+AH458+AJ458+AL458+AN458+AP458+AR458+AT458+AV458+AX458</f>
        <v/>
      </c>
      <c r="BA458" s="16" t="n"/>
      <c r="BB458" s="139" t="n"/>
      <c r="BC458" s="16" t="n"/>
      <c r="BD458" s="139" t="n"/>
      <c r="BE458" s="16">
        <f>(BA458+BC458)</f>
        <v/>
      </c>
    </row>
    <row r="459" ht="22.5" customFormat="1" customHeight="1" s="8">
      <c r="A459" s="9" t="n"/>
      <c r="B459" s="136" t="inlineStr">
        <is>
          <t>PU FOAM</t>
        </is>
      </c>
      <c r="C459" s="137" t="inlineStr">
        <is>
          <t>ADX6000</t>
        </is>
      </c>
      <c r="D459" s="65" t="inlineStr">
        <is>
          <t>가방 내장재</t>
        </is>
      </c>
      <c r="E459" s="13" t="inlineStr">
        <is>
          <t>47 * 36.5 * 5.5T</t>
        </is>
      </c>
      <c r="F459" s="99" t="n"/>
      <c r="G459" s="9" t="n"/>
      <c r="H459" s="9" t="inlineStr">
        <is>
          <t>굿모닝코리아유통</t>
        </is>
      </c>
      <c r="I459" s="14" t="n"/>
      <c r="J459" s="14" t="n"/>
      <c r="K459" s="12" t="n"/>
      <c r="L459" s="9" t="n"/>
      <c r="M459" s="9" t="n"/>
      <c r="N459" s="9" t="n"/>
      <c r="O459" s="40">
        <f>K459+V459-AE459-AZ459</f>
        <v/>
      </c>
      <c r="P459" s="12" t="n"/>
      <c r="Q459" s="138" t="n"/>
      <c r="R459" s="16" t="n"/>
      <c r="S459" s="139" t="n"/>
      <c r="T459" s="16" t="n"/>
      <c r="U459" s="139" t="n"/>
      <c r="V459" s="16">
        <f>P459+R459+T459</f>
        <v/>
      </c>
      <c r="W459" s="16" t="n"/>
      <c r="X459" s="139" t="n"/>
      <c r="Y459" s="16" t="n"/>
      <c r="Z459" s="139" t="n"/>
      <c r="AA459" s="16" t="n"/>
      <c r="AB459" s="139" t="n"/>
      <c r="AC459" s="16" t="n"/>
      <c r="AD459" s="139" t="n"/>
      <c r="AE459" s="16">
        <f>(W459+Y459+AA459+AC459)</f>
        <v/>
      </c>
      <c r="AF459" s="16" t="n"/>
      <c r="AG459" s="138" t="n"/>
      <c r="AH459" s="16" t="n"/>
      <c r="AI459" s="138" t="n"/>
      <c r="AJ459" s="16" t="n"/>
      <c r="AK459" s="138" t="n"/>
      <c r="AL459" s="16" t="n"/>
      <c r="AM459" s="138" t="n"/>
      <c r="AN459" s="16" t="n"/>
      <c r="AO459" s="138" t="n"/>
      <c r="AP459" s="16" t="n"/>
      <c r="AQ459" s="138" t="n"/>
      <c r="AR459" s="16" t="n"/>
      <c r="AS459" s="138" t="n"/>
      <c r="AT459" s="16" t="n"/>
      <c r="AU459" s="138" t="n"/>
      <c r="AV459" s="16" t="n"/>
      <c r="AW459" s="138" t="n"/>
      <c r="AX459" s="16" t="n"/>
      <c r="AY459" s="138" t="n"/>
      <c r="AZ459" s="16">
        <f>AF459+AH459+AJ459+AL459+AN459+AP459+AR459+AT459+AV459+AX459</f>
        <v/>
      </c>
      <c r="BA459" s="16" t="n"/>
      <c r="BB459" s="139" t="n"/>
      <c r="BC459" s="16" t="n"/>
      <c r="BD459" s="139" t="n"/>
      <c r="BE459" s="16">
        <f>(BA459+BC459)</f>
        <v/>
      </c>
    </row>
    <row r="460" ht="22.5" customFormat="1" customHeight="1" s="8">
      <c r="A460" s="9" t="n"/>
      <c r="B460" s="136" t="inlineStr">
        <is>
          <t>PU FOAM</t>
        </is>
      </c>
      <c r="C460" s="137" t="inlineStr">
        <is>
          <t>ADX6000</t>
        </is>
      </c>
      <c r="D460" s="65" t="inlineStr">
        <is>
          <t>가방 내장재</t>
        </is>
      </c>
      <c r="E460" s="13" t="inlineStr">
        <is>
          <t>47 * 36.5 * 7.5T</t>
        </is>
      </c>
      <c r="F460" s="99" t="n"/>
      <c r="G460" s="9" t="n"/>
      <c r="H460" s="9" t="inlineStr">
        <is>
          <t>굿모닝코리아유통</t>
        </is>
      </c>
      <c r="I460" s="14" t="n"/>
      <c r="J460" s="14" t="n"/>
      <c r="K460" s="12" t="n"/>
      <c r="L460" s="9" t="n"/>
      <c r="M460" s="9" t="n"/>
      <c r="N460" s="9" t="n"/>
      <c r="O460" s="40">
        <f>K460+V460-AE460-AZ460</f>
        <v/>
      </c>
      <c r="P460" s="12" t="n"/>
      <c r="Q460" s="138" t="n"/>
      <c r="R460" s="16" t="n"/>
      <c r="S460" s="139" t="n"/>
      <c r="T460" s="16" t="n"/>
      <c r="U460" s="139" t="n"/>
      <c r="V460" s="16">
        <f>P460+R460+T460</f>
        <v/>
      </c>
      <c r="W460" s="16" t="n"/>
      <c r="X460" s="139" t="n"/>
      <c r="Y460" s="16" t="n"/>
      <c r="Z460" s="139" t="n"/>
      <c r="AA460" s="16" t="n"/>
      <c r="AB460" s="139" t="n"/>
      <c r="AC460" s="16" t="n"/>
      <c r="AD460" s="139" t="n"/>
      <c r="AE460" s="16">
        <f>(W460+Y460+AA460+AC460)</f>
        <v/>
      </c>
      <c r="AF460" s="16" t="n"/>
      <c r="AG460" s="138" t="n"/>
      <c r="AH460" s="16" t="n"/>
      <c r="AI460" s="138" t="n"/>
      <c r="AJ460" s="16" t="n"/>
      <c r="AK460" s="138" t="n"/>
      <c r="AL460" s="16" t="n"/>
      <c r="AM460" s="138" t="n"/>
      <c r="AN460" s="16" t="n"/>
      <c r="AO460" s="138" t="n"/>
      <c r="AP460" s="16" t="n"/>
      <c r="AQ460" s="138" t="n"/>
      <c r="AR460" s="16" t="n"/>
      <c r="AS460" s="138" t="n"/>
      <c r="AT460" s="16" t="n"/>
      <c r="AU460" s="138" t="n"/>
      <c r="AV460" s="16" t="n"/>
      <c r="AW460" s="138" t="n"/>
      <c r="AX460" s="16" t="n"/>
      <c r="AY460" s="138" t="n"/>
      <c r="AZ460" s="16">
        <f>AF460+AH460+AJ460+AL460+AN460+AP460+AR460+AT460+AV460+AX460</f>
        <v/>
      </c>
      <c r="BA460" s="16" t="n"/>
      <c r="BB460" s="139" t="n"/>
      <c r="BC460" s="16" t="n"/>
      <c r="BD460" s="139" t="n"/>
      <c r="BE460" s="16">
        <f>(BA460+BC460)</f>
        <v/>
      </c>
    </row>
    <row r="461" ht="22.5" customFormat="1" customHeight="1" s="8">
      <c r="A461" s="9" t="n"/>
      <c r="B461" s="136" t="inlineStr">
        <is>
          <t>PU FOAM</t>
        </is>
      </c>
      <c r="C461" s="137" t="inlineStr">
        <is>
          <t>공용</t>
        </is>
      </c>
      <c r="D461" s="65" t="inlineStr">
        <is>
          <t>센서 내장재 상단</t>
        </is>
      </c>
      <c r="E461" s="13" t="inlineStr">
        <is>
          <t>45 * 55.5 * 2T, 접착 O</t>
        </is>
      </c>
      <c r="F461" s="99" t="n"/>
      <c r="G461" s="9" t="n"/>
      <c r="H461" s="9" t="inlineStr">
        <is>
          <t>굿모닝코리아유통</t>
        </is>
      </c>
      <c r="I461" s="14" t="n"/>
      <c r="J461" s="14" t="n"/>
      <c r="K461" s="12" t="n"/>
      <c r="L461" s="9" t="n"/>
      <c r="M461" s="9" t="n"/>
      <c r="N461" s="9" t="n"/>
      <c r="O461" s="40">
        <f>K461+V461-AE461-AZ461</f>
        <v/>
      </c>
      <c r="P461" s="12" t="n"/>
      <c r="Q461" s="138" t="n"/>
      <c r="R461" s="16" t="n"/>
      <c r="S461" s="139" t="n"/>
      <c r="T461" s="16" t="n"/>
      <c r="U461" s="139" t="n"/>
      <c r="V461" s="16">
        <f>P461+R461+T461</f>
        <v/>
      </c>
      <c r="W461" s="16" t="n"/>
      <c r="X461" s="139" t="n"/>
      <c r="Y461" s="16" t="n"/>
      <c r="Z461" s="139" t="n"/>
      <c r="AA461" s="16" t="n"/>
      <c r="AB461" s="139" t="n"/>
      <c r="AC461" s="16" t="n"/>
      <c r="AD461" s="139" t="n"/>
      <c r="AE461" s="16">
        <f>(W461+Y461+AA461+AC461)</f>
        <v/>
      </c>
      <c r="AF461" s="16" t="n"/>
      <c r="AG461" s="138" t="n"/>
      <c r="AH461" s="16" t="n"/>
      <c r="AI461" s="138" t="n"/>
      <c r="AJ461" s="16" t="n"/>
      <c r="AK461" s="138" t="n"/>
      <c r="AL461" s="16" t="n"/>
      <c r="AM461" s="138" t="n"/>
      <c r="AN461" s="16" t="n"/>
      <c r="AO461" s="138" t="n"/>
      <c r="AP461" s="16" t="n"/>
      <c r="AQ461" s="138" t="n"/>
      <c r="AR461" s="16" t="n"/>
      <c r="AS461" s="138" t="n"/>
      <c r="AT461" s="16" t="n"/>
      <c r="AU461" s="138" t="n"/>
      <c r="AV461" s="16" t="n"/>
      <c r="AW461" s="138" t="n"/>
      <c r="AX461" s="16" t="n"/>
      <c r="AY461" s="138" t="n"/>
      <c r="AZ461" s="16">
        <f>AF461+AH461+AJ461+AL461+AN461+AP461+AR461+AT461+AV461+AX461</f>
        <v/>
      </c>
      <c r="BA461" s="16" t="n"/>
      <c r="BB461" s="139" t="n"/>
      <c r="BC461" s="16" t="n"/>
      <c r="BD461" s="139" t="n"/>
      <c r="BE461" s="16">
        <f>(BA461+BC461)</f>
        <v/>
      </c>
    </row>
    <row r="462" ht="22.5" customFormat="1" customHeight="1" s="8">
      <c r="A462" s="9" t="n"/>
      <c r="B462" s="136" t="inlineStr">
        <is>
          <t>PU FOAM</t>
        </is>
      </c>
      <c r="C462" s="137" t="inlineStr">
        <is>
          <t>공용</t>
        </is>
      </c>
      <c r="D462" s="60" t="inlineStr">
        <is>
          <t>센서 내장재 중간</t>
        </is>
      </c>
      <c r="E462" s="13" t="inlineStr">
        <is>
          <t>45 * 55.5 * 2T, 접착 X</t>
        </is>
      </c>
      <c r="F462" s="99" t="n"/>
      <c r="G462" s="9" t="n"/>
      <c r="H462" s="9" t="inlineStr">
        <is>
          <t>굿모닝코리아유통</t>
        </is>
      </c>
      <c r="I462" s="14" t="n"/>
      <c r="J462" s="14" t="n"/>
      <c r="K462" s="12" t="n"/>
      <c r="L462" s="9" t="n"/>
      <c r="M462" s="9" t="n"/>
      <c r="N462" s="9" t="n"/>
      <c r="O462" s="40">
        <f>K462+V462-AE462-AZ462</f>
        <v/>
      </c>
      <c r="P462" s="12" t="n"/>
      <c r="Q462" s="138" t="n"/>
      <c r="R462" s="16" t="n"/>
      <c r="S462" s="139" t="n"/>
      <c r="T462" s="16" t="n"/>
      <c r="U462" s="139" t="n"/>
      <c r="V462" s="16">
        <f>P462+R462+T462</f>
        <v/>
      </c>
      <c r="W462" s="16" t="n"/>
      <c r="X462" s="139" t="n"/>
      <c r="Y462" s="16" t="n"/>
      <c r="Z462" s="139" t="n"/>
      <c r="AA462" s="16" t="n"/>
      <c r="AB462" s="139" t="n"/>
      <c r="AC462" s="16" t="n"/>
      <c r="AD462" s="139" t="n"/>
      <c r="AE462" s="16">
        <f>(W462+Y462+AA462+AC462)</f>
        <v/>
      </c>
      <c r="AF462" s="16" t="n"/>
      <c r="AG462" s="138" t="n"/>
      <c r="AH462" s="16" t="n"/>
      <c r="AI462" s="138" t="n"/>
      <c r="AJ462" s="16" t="n"/>
      <c r="AK462" s="138" t="n"/>
      <c r="AL462" s="16" t="n"/>
      <c r="AM462" s="138" t="n"/>
      <c r="AN462" s="16" t="n"/>
      <c r="AO462" s="138" t="n"/>
      <c r="AP462" s="16" t="n"/>
      <c r="AQ462" s="138" t="n"/>
      <c r="AR462" s="16" t="n"/>
      <c r="AS462" s="138" t="n"/>
      <c r="AT462" s="16" t="n"/>
      <c r="AU462" s="138" t="n"/>
      <c r="AV462" s="16" t="n"/>
      <c r="AW462" s="138" t="n"/>
      <c r="AX462" s="16" t="n"/>
      <c r="AY462" s="138" t="n"/>
      <c r="AZ462" s="16">
        <f>AF462+AH462+AJ462+AL462+AN462+AP462+AR462+AT462+AV462+AX462</f>
        <v/>
      </c>
      <c r="BA462" s="16" t="n"/>
      <c r="BB462" s="139" t="n"/>
      <c r="BC462" s="16" t="n"/>
      <c r="BD462" s="139" t="n"/>
      <c r="BE462" s="16">
        <f>(BA462+BC462)</f>
        <v/>
      </c>
    </row>
    <row r="463" ht="22.5" customFormat="1" customHeight="1" s="8">
      <c r="A463" s="9" t="n"/>
      <c r="B463" s="136" t="inlineStr">
        <is>
          <t>PU FOAM</t>
        </is>
      </c>
      <c r="C463" s="137" t="inlineStr">
        <is>
          <t>공용</t>
        </is>
      </c>
      <c r="D463" s="60" t="inlineStr">
        <is>
          <t>센서 내장재 하단</t>
        </is>
      </c>
      <c r="E463" s="13" t="inlineStr">
        <is>
          <t>45 * 55.5 * 8T</t>
        </is>
      </c>
      <c r="F463" s="99" t="n"/>
      <c r="G463" s="9" t="n"/>
      <c r="H463" s="9" t="inlineStr">
        <is>
          <t>굿모닝코리아유통</t>
        </is>
      </c>
      <c r="I463" s="14" t="n"/>
      <c r="J463" s="14" t="n"/>
      <c r="K463" s="12" t="n"/>
      <c r="L463" s="9" t="n"/>
      <c r="M463" s="9" t="n"/>
      <c r="N463" s="9" t="n"/>
      <c r="O463" s="40">
        <f>K463+V463-AE463-AZ463</f>
        <v/>
      </c>
      <c r="P463" s="12" t="n"/>
      <c r="Q463" s="138" t="n"/>
      <c r="R463" s="16" t="n"/>
      <c r="S463" s="139" t="n"/>
      <c r="T463" s="16" t="n"/>
      <c r="U463" s="139" t="n"/>
      <c r="V463" s="16">
        <f>P463+R463+T463</f>
        <v/>
      </c>
      <c r="W463" s="16" t="n"/>
      <c r="X463" s="139" t="n"/>
      <c r="Y463" s="16" t="n"/>
      <c r="Z463" s="139" t="n"/>
      <c r="AA463" s="16" t="n"/>
      <c r="AB463" s="139" t="n"/>
      <c r="AC463" s="16" t="n"/>
      <c r="AD463" s="139" t="n"/>
      <c r="AE463" s="16">
        <f>(W463+Y463+AA463+AC463)</f>
        <v/>
      </c>
      <c r="AF463" s="16" t="n"/>
      <c r="AG463" s="138" t="n"/>
      <c r="AH463" s="16" t="n"/>
      <c r="AI463" s="138" t="n"/>
      <c r="AJ463" s="16" t="n"/>
      <c r="AK463" s="138" t="n"/>
      <c r="AL463" s="16" t="n"/>
      <c r="AM463" s="138" t="n"/>
      <c r="AN463" s="16" t="n"/>
      <c r="AO463" s="138" t="n"/>
      <c r="AP463" s="16" t="n"/>
      <c r="AQ463" s="138" t="n"/>
      <c r="AR463" s="16" t="n"/>
      <c r="AS463" s="138" t="n"/>
      <c r="AT463" s="16" t="n"/>
      <c r="AU463" s="138" t="n"/>
      <c r="AV463" s="16" t="n"/>
      <c r="AW463" s="138" t="n"/>
      <c r="AX463" s="16" t="n"/>
      <c r="AY463" s="138" t="n"/>
      <c r="AZ463" s="16">
        <f>AF463+AH463+AJ463+AL463+AN463+AP463+AR463+AT463+AV463+AX463</f>
        <v/>
      </c>
      <c r="BA463" s="16" t="n"/>
      <c r="BB463" s="139" t="n"/>
      <c r="BC463" s="16" t="n"/>
      <c r="BD463" s="139" t="n"/>
      <c r="BE463" s="16">
        <f>(BA463+BC463)</f>
        <v/>
      </c>
    </row>
    <row r="464" ht="22.5" customFormat="1" customHeight="1" s="8">
      <c r="A464" s="9" t="n"/>
      <c r="B464" s="136" t="inlineStr">
        <is>
          <t>PE FOAM</t>
        </is>
      </c>
      <c r="C464" s="137" t="inlineStr">
        <is>
          <t>공용</t>
        </is>
      </c>
      <c r="D464" s="60" t="inlineStr">
        <is>
          <t>체스트 &amp; 베드 스탠드 박스 내장재 상, 하판</t>
        </is>
      </c>
      <c r="E464" s="13" t="inlineStr">
        <is>
          <t>230 * 130 * 30T</t>
        </is>
      </c>
      <c r="F464" s="99" t="n"/>
      <c r="G464" s="9" t="n"/>
      <c r="H464" s="9" t="inlineStr">
        <is>
          <t>에이팩산업</t>
        </is>
      </c>
      <c r="I464" s="14" t="n"/>
      <c r="J464" s="14" t="n"/>
      <c r="K464" s="12" t="n"/>
      <c r="L464" s="9" t="n"/>
      <c r="M464" s="9" t="n"/>
      <c r="N464" s="9" t="n"/>
      <c r="O464" s="40">
        <f>K464+V464-AE464-AZ464</f>
        <v/>
      </c>
      <c r="P464" s="12" t="n"/>
      <c r="Q464" s="138" t="n"/>
      <c r="R464" s="16" t="n"/>
      <c r="S464" s="139" t="n"/>
      <c r="T464" s="16" t="n"/>
      <c r="U464" s="139" t="n"/>
      <c r="V464" s="16">
        <f>P464+R464+T464</f>
        <v/>
      </c>
      <c r="W464" s="16" t="n"/>
      <c r="X464" s="139" t="n"/>
      <c r="Y464" s="16" t="n"/>
      <c r="Z464" s="139" t="n"/>
      <c r="AA464" s="16" t="n"/>
      <c r="AB464" s="139" t="n"/>
      <c r="AC464" s="16" t="n"/>
      <c r="AD464" s="139" t="n"/>
      <c r="AE464" s="16">
        <f>(W464+Y464+AA464+AC464)</f>
        <v/>
      </c>
      <c r="AF464" s="16" t="n"/>
      <c r="AG464" s="138" t="n"/>
      <c r="AH464" s="16" t="n"/>
      <c r="AI464" s="138" t="n"/>
      <c r="AJ464" s="16" t="n"/>
      <c r="AK464" s="138" t="n"/>
      <c r="AL464" s="16" t="n"/>
      <c r="AM464" s="138" t="n"/>
      <c r="AN464" s="16" t="n"/>
      <c r="AO464" s="138" t="n"/>
      <c r="AP464" s="16" t="n"/>
      <c r="AQ464" s="138" t="n"/>
      <c r="AR464" s="16" t="n"/>
      <c r="AS464" s="138" t="n"/>
      <c r="AT464" s="16" t="n"/>
      <c r="AU464" s="138" t="n"/>
      <c r="AV464" s="16" t="n"/>
      <c r="AW464" s="138" t="n"/>
      <c r="AX464" s="16" t="n"/>
      <c r="AY464" s="138" t="n"/>
      <c r="AZ464" s="16">
        <f>AF464+AH464+AJ464+AL464+AN464+AP464+AR464+AT464+AV464+AX464</f>
        <v/>
      </c>
      <c r="BA464" s="16" t="n"/>
      <c r="BB464" s="139" t="n"/>
      <c r="BC464" s="16" t="n"/>
      <c r="BD464" s="139" t="n"/>
      <c r="BE464" s="16">
        <f>(BA464+BC464)</f>
        <v/>
      </c>
    </row>
    <row r="465" ht="22.5" customFormat="1" customHeight="1" s="8">
      <c r="A465" s="9" t="n"/>
      <c r="B465" s="136" t="inlineStr">
        <is>
          <t>PE FOAM</t>
        </is>
      </c>
      <c r="C465" s="137" t="inlineStr">
        <is>
          <t>공용</t>
        </is>
      </c>
      <c r="D465" s="60" t="inlineStr">
        <is>
          <t>체스트 &amp; 베드 스탠드 박스 내장재 좌, 우판</t>
        </is>
      </c>
      <c r="E465" s="13" t="inlineStr">
        <is>
          <t>130 * 980 * 30T</t>
        </is>
      </c>
      <c r="F465" s="99" t="n"/>
      <c r="G465" s="9" t="n"/>
      <c r="H465" s="9" t="inlineStr">
        <is>
          <t>에이팩산업</t>
        </is>
      </c>
      <c r="I465" s="14" t="n"/>
      <c r="J465" s="14" t="n"/>
      <c r="K465" s="12" t="n"/>
      <c r="L465" s="9" t="n"/>
      <c r="M465" s="9" t="n"/>
      <c r="N465" s="9" t="n"/>
      <c r="O465" s="40">
        <f>K465+V465-AE465-AZ465</f>
        <v/>
      </c>
      <c r="P465" s="12" t="n"/>
      <c r="Q465" s="138" t="n"/>
      <c r="R465" s="16" t="n"/>
      <c r="S465" s="139" t="n"/>
      <c r="T465" s="16" t="n"/>
      <c r="U465" s="139" t="n"/>
      <c r="V465" s="16">
        <f>P465+R465+T465</f>
        <v/>
      </c>
      <c r="W465" s="16" t="n"/>
      <c r="X465" s="139" t="n"/>
      <c r="Y465" s="16" t="n"/>
      <c r="Z465" s="139" t="n"/>
      <c r="AA465" s="16" t="n"/>
      <c r="AB465" s="139" t="n"/>
      <c r="AC465" s="16" t="n"/>
      <c r="AD465" s="139" t="n"/>
      <c r="AE465" s="16">
        <f>(W465+Y465+AA465+AC465)</f>
        <v/>
      </c>
      <c r="AF465" s="16" t="n"/>
      <c r="AG465" s="138" t="n"/>
      <c r="AH465" s="16" t="n"/>
      <c r="AI465" s="138" t="n"/>
      <c r="AJ465" s="16" t="n"/>
      <c r="AK465" s="138" t="n"/>
      <c r="AL465" s="16" t="n"/>
      <c r="AM465" s="138" t="n"/>
      <c r="AN465" s="16" t="n"/>
      <c r="AO465" s="138" t="n"/>
      <c r="AP465" s="16" t="n"/>
      <c r="AQ465" s="138" t="n"/>
      <c r="AR465" s="16" t="n"/>
      <c r="AS465" s="138" t="n"/>
      <c r="AT465" s="16" t="n"/>
      <c r="AU465" s="138" t="n"/>
      <c r="AV465" s="16" t="n"/>
      <c r="AW465" s="138" t="n"/>
      <c r="AX465" s="16" t="n"/>
      <c r="AY465" s="138" t="n"/>
      <c r="AZ465" s="16">
        <f>AF465+AH465+AJ465+AL465+AN465+AP465+AR465+AT465+AV465+AX465</f>
        <v/>
      </c>
      <c r="BA465" s="16" t="n"/>
      <c r="BB465" s="139" t="n"/>
      <c r="BC465" s="16" t="n"/>
      <c r="BD465" s="139" t="n"/>
      <c r="BE465" s="16">
        <f>(BA465+BC465)</f>
        <v/>
      </c>
    </row>
    <row r="466" ht="22.5" customFormat="1" customHeight="1" s="8">
      <c r="A466" s="9" t="n"/>
      <c r="B466" s="136" t="inlineStr">
        <is>
          <t>PE FOAM</t>
        </is>
      </c>
      <c r="C466" s="137" t="inlineStr">
        <is>
          <t>공용</t>
        </is>
      </c>
      <c r="D466" s="60" t="inlineStr">
        <is>
          <t>체스트 &amp; 베드 스탠드 박스 내장재 전, 후판</t>
        </is>
      </c>
      <c r="E466" s="13" t="inlineStr">
        <is>
          <t>230 * 920 * 30T</t>
        </is>
      </c>
      <c r="F466" s="99" t="n"/>
      <c r="G466" s="9" t="n"/>
      <c r="H466" s="9" t="inlineStr">
        <is>
          <t>에이팩산업</t>
        </is>
      </c>
      <c r="I466" s="14" t="n"/>
      <c r="J466" s="14" t="n"/>
      <c r="K466" s="12" t="n"/>
      <c r="L466" s="9" t="n"/>
      <c r="M466" s="9" t="n"/>
      <c r="N466" s="9" t="n"/>
      <c r="O466" s="40">
        <f>K466+V466-AE466-AZ466</f>
        <v/>
      </c>
      <c r="P466" s="12" t="n"/>
      <c r="Q466" s="138" t="n"/>
      <c r="R466" s="16" t="n"/>
      <c r="S466" s="139" t="n"/>
      <c r="T466" s="16" t="n"/>
      <c r="U466" s="139" t="n"/>
      <c r="V466" s="16">
        <f>P466+R466+T466</f>
        <v/>
      </c>
      <c r="W466" s="16" t="n"/>
      <c r="X466" s="139" t="n"/>
      <c r="Y466" s="16" t="n"/>
      <c r="Z466" s="139" t="n"/>
      <c r="AA466" s="16" t="n"/>
      <c r="AB466" s="139" t="n"/>
      <c r="AC466" s="16" t="n"/>
      <c r="AD466" s="139" t="n"/>
      <c r="AE466" s="16">
        <f>(W466+Y466+AA466+AC466)</f>
        <v/>
      </c>
      <c r="AF466" s="16" t="n"/>
      <c r="AG466" s="138" t="n"/>
      <c r="AH466" s="16" t="n"/>
      <c r="AI466" s="138" t="n"/>
      <c r="AJ466" s="16" t="n"/>
      <c r="AK466" s="138" t="n"/>
      <c r="AL466" s="16" t="n"/>
      <c r="AM466" s="138" t="n"/>
      <c r="AN466" s="16" t="n"/>
      <c r="AO466" s="138" t="n"/>
      <c r="AP466" s="16" t="n"/>
      <c r="AQ466" s="138" t="n"/>
      <c r="AR466" s="16" t="n"/>
      <c r="AS466" s="138" t="n"/>
      <c r="AT466" s="16" t="n"/>
      <c r="AU466" s="138" t="n"/>
      <c r="AV466" s="16" t="n"/>
      <c r="AW466" s="138" t="n"/>
      <c r="AX466" s="16" t="n"/>
      <c r="AY466" s="138" t="n"/>
      <c r="AZ466" s="16">
        <f>AF466+AH466+AJ466+AL466+AN466+AP466+AR466+AT466+AV466+AX466</f>
        <v/>
      </c>
      <c r="BA466" s="16" t="n"/>
      <c r="BB466" s="139" t="n"/>
      <c r="BC466" s="16" t="n"/>
      <c r="BD466" s="139" t="n"/>
      <c r="BE466" s="16">
        <f>(BA466+BC466)</f>
        <v/>
      </c>
    </row>
    <row r="467" ht="22.5" customFormat="1" customHeight="1" s="8">
      <c r="A467" s="9" t="n"/>
      <c r="B467" s="136" t="inlineStr">
        <is>
          <t>BOX</t>
        </is>
      </c>
      <c r="C467" s="137" t="inlineStr">
        <is>
          <t>DX3000, ADX4000W</t>
        </is>
      </c>
      <c r="D467" s="60" t="inlineStr">
        <is>
          <t>카톤 박스</t>
        </is>
      </c>
      <c r="E467" s="13" t="inlineStr">
        <is>
          <t>495 * 472 * 380</t>
        </is>
      </c>
      <c r="F467" s="99" t="n"/>
      <c r="G467" s="9" t="n"/>
      <c r="H467" s="9" t="inlineStr">
        <is>
          <t>대성칼라</t>
        </is>
      </c>
      <c r="I467" s="14" t="n"/>
      <c r="J467" s="14" t="n"/>
      <c r="K467" s="12" t="n"/>
      <c r="L467" s="9" t="n"/>
      <c r="M467" s="9" t="n"/>
      <c r="N467" s="9" t="n"/>
      <c r="O467" s="40">
        <f>K467+V467-AE467-AZ467</f>
        <v/>
      </c>
      <c r="P467" s="12" t="n"/>
      <c r="Q467" s="138" t="n"/>
      <c r="R467" s="16" t="n"/>
      <c r="S467" s="139" t="n"/>
      <c r="T467" s="16" t="n"/>
      <c r="U467" s="139" t="n"/>
      <c r="V467" s="16">
        <f>P467+R467+T467</f>
        <v/>
      </c>
      <c r="W467" s="16" t="n"/>
      <c r="X467" s="139" t="n"/>
      <c r="Y467" s="16" t="n"/>
      <c r="Z467" s="139" t="n"/>
      <c r="AA467" s="16" t="n"/>
      <c r="AB467" s="139" t="n"/>
      <c r="AC467" s="16" t="n"/>
      <c r="AD467" s="139" t="n"/>
      <c r="AE467" s="16">
        <f>(W467+Y467+AA467+AC467)</f>
        <v/>
      </c>
      <c r="AF467" s="16" t="n"/>
      <c r="AG467" s="138" t="n"/>
      <c r="AH467" s="16" t="n"/>
      <c r="AI467" s="138" t="n"/>
      <c r="AJ467" s="16" t="n"/>
      <c r="AK467" s="138" t="n"/>
      <c r="AL467" s="16" t="n"/>
      <c r="AM467" s="138" t="n"/>
      <c r="AN467" s="16" t="n"/>
      <c r="AO467" s="138" t="n"/>
      <c r="AP467" s="16" t="n"/>
      <c r="AQ467" s="138" t="n"/>
      <c r="AR467" s="16" t="n"/>
      <c r="AS467" s="138" t="n"/>
      <c r="AT467" s="16" t="n"/>
      <c r="AU467" s="138" t="n"/>
      <c r="AV467" s="16" t="n"/>
      <c r="AW467" s="138" t="n"/>
      <c r="AX467" s="16" t="n"/>
      <c r="AY467" s="138" t="n"/>
      <c r="AZ467" s="16">
        <f>AF467+AH467+AJ467+AL467+AN467+AP467+AR467+AT467+AV467+AX467</f>
        <v/>
      </c>
      <c r="BA467" s="16" t="n"/>
      <c r="BB467" s="139" t="n"/>
      <c r="BC467" s="16" t="n"/>
      <c r="BD467" s="139" t="n"/>
      <c r="BE467" s="16">
        <f>(BA467+BC467)</f>
        <v/>
      </c>
    </row>
    <row r="468" ht="22.5" customFormat="1" customHeight="1" s="8">
      <c r="A468" s="9" t="n"/>
      <c r="B468" s="136" t="inlineStr">
        <is>
          <t>BOX</t>
        </is>
      </c>
      <c r="C468" s="137" t="inlineStr">
        <is>
          <t>DX3000, ADX4000W</t>
        </is>
      </c>
      <c r="D468" s="63" t="inlineStr">
        <is>
          <t>영문 박스</t>
        </is>
      </c>
      <c r="E468" s="13" t="inlineStr">
        <is>
          <t>450 * 240 * 360</t>
        </is>
      </c>
      <c r="F468" s="99" t="n"/>
      <c r="G468" s="9" t="n"/>
      <c r="H468" s="9" t="inlineStr">
        <is>
          <t>대성칼라</t>
        </is>
      </c>
      <c r="I468" s="14" t="n"/>
      <c r="J468" s="14" t="n"/>
      <c r="K468" s="12" t="n"/>
      <c r="L468" s="9" t="n"/>
      <c r="M468" s="9" t="n"/>
      <c r="N468" s="9" t="n"/>
      <c r="O468" s="40">
        <f>K468+V468-AE468-AZ468</f>
        <v/>
      </c>
      <c r="P468" s="12" t="n"/>
      <c r="Q468" s="138" t="n"/>
      <c r="R468" s="16" t="n"/>
      <c r="S468" s="139" t="n"/>
      <c r="T468" s="16" t="n"/>
      <c r="U468" s="139" t="n"/>
      <c r="V468" s="16">
        <f>P468+R468+T468</f>
        <v/>
      </c>
      <c r="W468" s="16" t="n"/>
      <c r="X468" s="139" t="n"/>
      <c r="Y468" s="16" t="n"/>
      <c r="Z468" s="139" t="n"/>
      <c r="AA468" s="16" t="n"/>
      <c r="AB468" s="139" t="n"/>
      <c r="AC468" s="16" t="n"/>
      <c r="AD468" s="139" t="n"/>
      <c r="AE468" s="16">
        <f>(W468+Y468+AA468+AC468)</f>
        <v/>
      </c>
      <c r="AF468" s="16" t="n"/>
      <c r="AG468" s="138" t="n"/>
      <c r="AH468" s="16" t="n"/>
      <c r="AI468" s="138" t="n"/>
      <c r="AJ468" s="16" t="n"/>
      <c r="AK468" s="138" t="n"/>
      <c r="AL468" s="16" t="n"/>
      <c r="AM468" s="138" t="n"/>
      <c r="AN468" s="16" t="n"/>
      <c r="AO468" s="138" t="n"/>
      <c r="AP468" s="16" t="n"/>
      <c r="AQ468" s="138" t="n"/>
      <c r="AR468" s="16" t="n"/>
      <c r="AS468" s="138" t="n"/>
      <c r="AT468" s="16" t="n"/>
      <c r="AU468" s="138" t="n"/>
      <c r="AV468" s="16" t="n"/>
      <c r="AW468" s="138" t="n"/>
      <c r="AX468" s="16" t="n"/>
      <c r="AY468" s="138" t="n"/>
      <c r="AZ468" s="16">
        <f>AF468+AH468+AJ468+AL468+AN468+AP468+AR468+AT468+AV468+AX468</f>
        <v/>
      </c>
      <c r="BA468" s="16" t="n"/>
      <c r="BB468" s="139" t="n"/>
      <c r="BC468" s="16" t="n"/>
      <c r="BD468" s="139" t="n"/>
      <c r="BE468" s="16">
        <f>(BA468+BC468)</f>
        <v/>
      </c>
    </row>
    <row r="469" ht="22.5" customFormat="1" customHeight="1" s="8">
      <c r="A469" s="9" t="n"/>
      <c r="B469" s="136" t="inlineStr">
        <is>
          <t>BOX</t>
        </is>
      </c>
      <c r="C469" s="137" t="inlineStr">
        <is>
          <t>COCOON</t>
        </is>
      </c>
      <c r="D469" s="60" t="inlineStr">
        <is>
          <t>카톤 박스</t>
        </is>
      </c>
      <c r="E469" s="13" t="inlineStr">
        <is>
          <t>500 * 460 * 520</t>
        </is>
      </c>
      <c r="F469" s="99" t="n"/>
      <c r="G469" s="9" t="n"/>
      <c r="H469" s="9" t="inlineStr">
        <is>
          <t>대성칼라</t>
        </is>
      </c>
      <c r="I469" s="14" t="n"/>
      <c r="J469" s="14" t="n"/>
      <c r="K469" s="12" t="n"/>
      <c r="L469" s="9" t="n"/>
      <c r="M469" s="9" t="n"/>
      <c r="N469" s="9" t="n"/>
      <c r="O469" s="40">
        <f>K469+V469-AE469-AZ469</f>
        <v/>
      </c>
      <c r="P469" s="12" t="n"/>
      <c r="Q469" s="138" t="n"/>
      <c r="R469" s="16" t="n"/>
      <c r="S469" s="139" t="n"/>
      <c r="T469" s="16" t="n"/>
      <c r="U469" s="139" t="n"/>
      <c r="V469" s="16">
        <f>P469+R469+T469</f>
        <v/>
      </c>
      <c r="W469" s="16" t="n"/>
      <c r="X469" s="139" t="n"/>
      <c r="Y469" s="16" t="n"/>
      <c r="Z469" s="139" t="n"/>
      <c r="AA469" s="16" t="n"/>
      <c r="AB469" s="139" t="n"/>
      <c r="AC469" s="16" t="n"/>
      <c r="AD469" s="139" t="n"/>
      <c r="AE469" s="16">
        <f>(W469+Y469+AA469+AC469)</f>
        <v/>
      </c>
      <c r="AF469" s="16" t="n"/>
      <c r="AG469" s="138" t="n"/>
      <c r="AH469" s="16" t="n"/>
      <c r="AI469" s="138" t="n"/>
      <c r="AJ469" s="16" t="n"/>
      <c r="AK469" s="138" t="n"/>
      <c r="AL469" s="16" t="n"/>
      <c r="AM469" s="138" t="n"/>
      <c r="AN469" s="16" t="n"/>
      <c r="AO469" s="138" t="n"/>
      <c r="AP469" s="16" t="n"/>
      <c r="AQ469" s="138" t="n"/>
      <c r="AR469" s="16" t="n"/>
      <c r="AS469" s="138" t="n"/>
      <c r="AT469" s="16" t="n"/>
      <c r="AU469" s="138" t="n"/>
      <c r="AV469" s="16" t="n"/>
      <c r="AW469" s="138" t="n"/>
      <c r="AX469" s="16" t="n"/>
      <c r="AY469" s="138" t="n"/>
      <c r="AZ469" s="16">
        <f>AF469+AH469+AJ469+AL469+AN469+AP469+AR469+AT469+AV469+AX469</f>
        <v/>
      </c>
      <c r="BA469" s="16" t="n"/>
      <c r="BB469" s="139" t="n"/>
      <c r="BC469" s="16" t="n"/>
      <c r="BD469" s="139" t="n"/>
      <c r="BE469" s="16">
        <f>(BA469+BC469)</f>
        <v/>
      </c>
    </row>
    <row r="470" ht="22.5" customFormat="1" customHeight="1" s="8">
      <c r="A470" s="9" t="n"/>
      <c r="B470" s="136" t="inlineStr">
        <is>
          <t>BOX</t>
        </is>
      </c>
      <c r="C470" s="137" t="inlineStr">
        <is>
          <t>COCOON</t>
        </is>
      </c>
      <c r="D470" s="63" t="inlineStr">
        <is>
          <t>영문 박스</t>
        </is>
      </c>
      <c r="E470" s="13" t="inlineStr">
        <is>
          <t>450 * 240 * 490</t>
        </is>
      </c>
      <c r="F470" s="99" t="n"/>
      <c r="G470" s="9" t="n"/>
      <c r="H470" s="9" t="inlineStr">
        <is>
          <t>대성칼라</t>
        </is>
      </c>
      <c r="I470" s="14" t="n"/>
      <c r="J470" s="14" t="n"/>
      <c r="K470" s="12" t="n"/>
      <c r="L470" s="9" t="n"/>
      <c r="M470" s="9" t="n"/>
      <c r="N470" s="9" t="n"/>
      <c r="O470" s="40">
        <f>K470+V470-AE470-AZ470</f>
        <v/>
      </c>
      <c r="P470" s="12" t="n"/>
      <c r="Q470" s="138" t="n"/>
      <c r="R470" s="16" t="n"/>
      <c r="S470" s="139" t="n"/>
      <c r="T470" s="16" t="n"/>
      <c r="U470" s="139" t="n"/>
      <c r="V470" s="16">
        <f>P470+R470+T470</f>
        <v/>
      </c>
      <c r="W470" s="16" t="n"/>
      <c r="X470" s="139" t="n"/>
      <c r="Y470" s="16" t="n"/>
      <c r="Z470" s="139" t="n"/>
      <c r="AA470" s="16" t="n"/>
      <c r="AB470" s="139" t="n"/>
      <c r="AC470" s="16" t="n"/>
      <c r="AD470" s="139" t="n"/>
      <c r="AE470" s="16">
        <f>(W470+Y470+AA470+AC470)</f>
        <v/>
      </c>
      <c r="AF470" s="16" t="n"/>
      <c r="AG470" s="138" t="n"/>
      <c r="AH470" s="16" t="n"/>
      <c r="AI470" s="138" t="n"/>
      <c r="AJ470" s="16" t="n"/>
      <c r="AK470" s="138" t="n"/>
      <c r="AL470" s="16" t="n"/>
      <c r="AM470" s="138" t="n"/>
      <c r="AN470" s="16" t="n"/>
      <c r="AO470" s="138" t="n"/>
      <c r="AP470" s="16" t="n"/>
      <c r="AQ470" s="138" t="n"/>
      <c r="AR470" s="16" t="n"/>
      <c r="AS470" s="138" t="n"/>
      <c r="AT470" s="16" t="n"/>
      <c r="AU470" s="138" t="n"/>
      <c r="AV470" s="16" t="n"/>
      <c r="AW470" s="138" t="n"/>
      <c r="AX470" s="16" t="n"/>
      <c r="AY470" s="138" t="n"/>
      <c r="AZ470" s="16">
        <f>AF470+AH470+AJ470+AL470+AN470+AP470+AR470+AT470+AV470+AX470</f>
        <v/>
      </c>
      <c r="BA470" s="16" t="n"/>
      <c r="BB470" s="139" t="n"/>
      <c r="BC470" s="16" t="n"/>
      <c r="BD470" s="139" t="n"/>
      <c r="BE470" s="16">
        <f>(BA470+BC470)</f>
        <v/>
      </c>
    </row>
    <row r="471" ht="22.5" customFormat="1" customHeight="1" s="8">
      <c r="A471" s="9" t="n"/>
      <c r="B471" s="136" t="inlineStr">
        <is>
          <t>BOX</t>
        </is>
      </c>
      <c r="C471" s="137" t="inlineStr">
        <is>
          <t>SOLO</t>
        </is>
      </c>
      <c r="D471" s="63" t="inlineStr">
        <is>
          <t>제품박스(I/N BOX)</t>
        </is>
      </c>
      <c r="E471" s="13" t="inlineStr">
        <is>
          <t>KLB.K.KLB (B) 410 * 390 *180</t>
        </is>
      </c>
      <c r="F471" s="99" t="n"/>
      <c r="G471" s="9" t="n"/>
      <c r="H471" s="9" t="inlineStr">
        <is>
          <t>지성수출포장</t>
        </is>
      </c>
      <c r="I471" s="14" t="n"/>
      <c r="J471" s="14" t="n"/>
      <c r="K471" s="12" t="n"/>
      <c r="L471" s="9" t="n"/>
      <c r="M471" s="9" t="n"/>
      <c r="N471" s="9" t="n"/>
      <c r="O471" s="40">
        <f>K471+V471-AE471-AZ471</f>
        <v/>
      </c>
      <c r="P471" s="12" t="n"/>
      <c r="Q471" s="138" t="n"/>
      <c r="R471" s="16" t="n"/>
      <c r="S471" s="139" t="n"/>
      <c r="T471" s="16" t="n"/>
      <c r="U471" s="139" t="n"/>
      <c r="V471" s="16">
        <f>P471+R471+T471</f>
        <v/>
      </c>
      <c r="W471" s="16" t="n"/>
      <c r="X471" s="139" t="n"/>
      <c r="Y471" s="16" t="n"/>
      <c r="Z471" s="139" t="n"/>
      <c r="AA471" s="16" t="n"/>
      <c r="AB471" s="139" t="n"/>
      <c r="AC471" s="16" t="n"/>
      <c r="AD471" s="139" t="n"/>
      <c r="AE471" s="16">
        <f>(W471+Y471+AA471+AC471)</f>
        <v/>
      </c>
      <c r="AF471" s="16" t="n"/>
      <c r="AG471" s="138" t="n"/>
      <c r="AH471" s="16" t="n"/>
      <c r="AI471" s="138" t="n"/>
      <c r="AJ471" s="16" t="n"/>
      <c r="AK471" s="138" t="n"/>
      <c r="AL471" s="16" t="n"/>
      <c r="AM471" s="138" t="n"/>
      <c r="AN471" s="16" t="n"/>
      <c r="AO471" s="138" t="n"/>
      <c r="AP471" s="16" t="n"/>
      <c r="AQ471" s="138" t="n"/>
      <c r="AR471" s="16" t="n"/>
      <c r="AS471" s="138" t="n"/>
      <c r="AT471" s="16" t="n"/>
      <c r="AU471" s="138" t="n"/>
      <c r="AV471" s="16" t="n"/>
      <c r="AW471" s="138" t="n"/>
      <c r="AX471" s="16" t="n"/>
      <c r="AY471" s="138" t="n"/>
      <c r="AZ471" s="16">
        <f>AF471+AH471+AJ471+AL471+AN471+AP471+AR471+AT471+AV471+AX471</f>
        <v/>
      </c>
      <c r="BA471" s="16" t="n"/>
      <c r="BB471" s="139" t="n"/>
      <c r="BC471" s="16" t="n"/>
      <c r="BD471" s="139" t="n"/>
      <c r="BE471" s="16">
        <f>(BA471+BC471)</f>
        <v/>
      </c>
    </row>
    <row r="472" ht="22.5" customFormat="1" customHeight="1" s="8">
      <c r="A472" s="9" t="n"/>
      <c r="B472" s="136" t="inlineStr">
        <is>
          <t>BOX</t>
        </is>
      </c>
      <c r="C472" s="137" t="inlineStr">
        <is>
          <t>SOLO</t>
        </is>
      </c>
      <c r="D472" s="60" t="inlineStr">
        <is>
          <t>카톤박스(C/T BOX)</t>
        </is>
      </c>
      <c r="E472" s="13" t="inlineStr">
        <is>
          <t>KLB.4K (BA/W) 430 * 380 * 420</t>
        </is>
      </c>
      <c r="F472" s="99" t="n"/>
      <c r="G472" s="9" t="n"/>
      <c r="H472" s="9" t="inlineStr">
        <is>
          <t>지성수출포장</t>
        </is>
      </c>
      <c r="I472" s="14" t="n"/>
      <c r="J472" s="14" t="n"/>
      <c r="K472" s="12" t="n"/>
      <c r="L472" s="9" t="n"/>
      <c r="M472" s="9" t="n"/>
      <c r="N472" s="9" t="n"/>
      <c r="O472" s="40">
        <f>K472+V472-AE472-AZ472</f>
        <v/>
      </c>
      <c r="P472" s="12" t="n"/>
      <c r="Q472" s="138" t="n"/>
      <c r="R472" s="16" t="n"/>
      <c r="S472" s="139" t="n"/>
      <c r="T472" s="16" t="n"/>
      <c r="U472" s="139" t="n"/>
      <c r="V472" s="16">
        <f>P472+R472+T472</f>
        <v/>
      </c>
      <c r="W472" s="16" t="n"/>
      <c r="X472" s="139" t="n"/>
      <c r="Y472" s="16" t="n"/>
      <c r="Z472" s="139" t="n"/>
      <c r="AA472" s="16" t="n"/>
      <c r="AB472" s="139" t="n"/>
      <c r="AC472" s="16" t="n"/>
      <c r="AD472" s="139" t="n"/>
      <c r="AE472" s="16">
        <f>(W472+Y472+AA472+AC472)</f>
        <v/>
      </c>
      <c r="AF472" s="16" t="n"/>
      <c r="AG472" s="138" t="n"/>
      <c r="AH472" s="16" t="n"/>
      <c r="AI472" s="138" t="n"/>
      <c r="AJ472" s="16" t="n"/>
      <c r="AK472" s="138" t="n"/>
      <c r="AL472" s="16" t="n"/>
      <c r="AM472" s="138" t="n"/>
      <c r="AN472" s="16" t="n"/>
      <c r="AO472" s="138" t="n"/>
      <c r="AP472" s="16" t="n"/>
      <c r="AQ472" s="138" t="n"/>
      <c r="AR472" s="16" t="n"/>
      <c r="AS472" s="138" t="n"/>
      <c r="AT472" s="16" t="n"/>
      <c r="AU472" s="138" t="n"/>
      <c r="AV472" s="16" t="n"/>
      <c r="AW472" s="138" t="n"/>
      <c r="AX472" s="16" t="n"/>
      <c r="AY472" s="138" t="n"/>
      <c r="AZ472" s="16">
        <f>AF472+AH472+AJ472+AL472+AN472+AP472+AR472+AT472+AV472+AX472</f>
        <v/>
      </c>
      <c r="BA472" s="16" t="n"/>
      <c r="BB472" s="139" t="n"/>
      <c r="BC472" s="16" t="n"/>
      <c r="BD472" s="139" t="n"/>
      <c r="BE472" s="16">
        <f>(BA472+BC472)</f>
        <v/>
      </c>
    </row>
    <row r="473" ht="22.5" customFormat="1" customHeight="1" s="8">
      <c r="A473" s="9" t="n"/>
      <c r="B473" s="136" t="inlineStr">
        <is>
          <t>BOX</t>
        </is>
      </c>
      <c r="C473" s="137" t="inlineStr">
        <is>
          <t>ADX6000</t>
        </is>
      </c>
      <c r="D473" s="60" t="inlineStr">
        <is>
          <t>카톤 박스</t>
        </is>
      </c>
      <c r="E473" s="13" t="n"/>
      <c r="F473" s="99" t="n"/>
      <c r="G473" s="9" t="n"/>
      <c r="H473" s="9" t="inlineStr">
        <is>
          <t>제이디자인</t>
        </is>
      </c>
      <c r="I473" s="14" t="n"/>
      <c r="J473" s="14" t="n"/>
      <c r="K473" s="12" t="n"/>
      <c r="L473" s="9" t="n"/>
      <c r="M473" s="9" t="n"/>
      <c r="N473" s="9" t="n"/>
      <c r="O473" s="40">
        <f>K473+V473-AE473-AZ473</f>
        <v/>
      </c>
      <c r="P473" s="12" t="n"/>
      <c r="Q473" s="138" t="n"/>
      <c r="R473" s="16" t="n"/>
      <c r="S473" s="139" t="n"/>
      <c r="T473" s="16" t="n"/>
      <c r="U473" s="139" t="n"/>
      <c r="V473" s="16">
        <f>P473+R473+T473</f>
        <v/>
      </c>
      <c r="W473" s="16" t="n"/>
      <c r="X473" s="139" t="n"/>
      <c r="Y473" s="16" t="n"/>
      <c r="Z473" s="139" t="n"/>
      <c r="AA473" s="16" t="n"/>
      <c r="AB473" s="139" t="n"/>
      <c r="AC473" s="16" t="n"/>
      <c r="AD473" s="139" t="n"/>
      <c r="AE473" s="16">
        <f>(W473+Y473+AA473+AC473)</f>
        <v/>
      </c>
      <c r="AF473" s="16" t="n"/>
      <c r="AG473" s="138" t="n"/>
      <c r="AH473" s="16" t="n"/>
      <c r="AI473" s="138" t="n"/>
      <c r="AJ473" s="16" t="n"/>
      <c r="AK473" s="138" t="n"/>
      <c r="AL473" s="16" t="n"/>
      <c r="AM473" s="138" t="n"/>
      <c r="AN473" s="16" t="n"/>
      <c r="AO473" s="138" t="n"/>
      <c r="AP473" s="16" t="n"/>
      <c r="AQ473" s="138" t="n"/>
      <c r="AR473" s="16" t="n"/>
      <c r="AS473" s="138" t="n"/>
      <c r="AT473" s="16" t="n"/>
      <c r="AU473" s="138" t="n"/>
      <c r="AV473" s="16" t="n"/>
      <c r="AW473" s="138" t="n"/>
      <c r="AX473" s="16" t="n"/>
      <c r="AY473" s="138" t="n"/>
      <c r="AZ473" s="16">
        <f>AF473+AH473+AJ473+AL473+AN473+AP473+AR473+AT473+AV473+AX473</f>
        <v/>
      </c>
      <c r="BA473" s="16" t="n"/>
      <c r="BB473" s="139" t="n"/>
      <c r="BC473" s="16" t="n"/>
      <c r="BD473" s="139" t="n"/>
      <c r="BE473" s="16">
        <f>(BA473+BC473)</f>
        <v/>
      </c>
    </row>
    <row r="474" ht="22.5" customFormat="1" customHeight="1" s="8">
      <c r="A474" s="9" t="n"/>
      <c r="B474" s="136" t="inlineStr">
        <is>
          <t>BOX</t>
        </is>
      </c>
      <c r="C474" s="137" t="inlineStr">
        <is>
          <t>ADX6000S</t>
        </is>
      </c>
      <c r="D474" s="60" t="inlineStr">
        <is>
          <t>카톤 박스</t>
        </is>
      </c>
      <c r="E474" s="13" t="n"/>
      <c r="F474" s="99" t="n"/>
      <c r="G474" s="9" t="n"/>
      <c r="H474" s="9" t="inlineStr">
        <is>
          <t>제이디자인</t>
        </is>
      </c>
      <c r="I474" s="14" t="n"/>
      <c r="J474" s="14" t="n"/>
      <c r="K474" s="12" t="n"/>
      <c r="L474" s="9" t="n"/>
      <c r="M474" s="9" t="n"/>
      <c r="N474" s="9" t="n"/>
      <c r="O474" s="40">
        <f>K474+V474-AE474-AZ474</f>
        <v/>
      </c>
      <c r="P474" s="12" t="n"/>
      <c r="Q474" s="138" t="n"/>
      <c r="R474" s="16" t="n"/>
      <c r="S474" s="139" t="n"/>
      <c r="T474" s="16" t="n"/>
      <c r="U474" s="139" t="n"/>
      <c r="V474" s="16">
        <f>P474+R474+T474</f>
        <v/>
      </c>
      <c r="W474" s="16" t="n"/>
      <c r="X474" s="139" t="n"/>
      <c r="Y474" s="16" t="n"/>
      <c r="Z474" s="139" t="n"/>
      <c r="AA474" s="16" t="n"/>
      <c r="AB474" s="139" t="n"/>
      <c r="AC474" s="16" t="n"/>
      <c r="AD474" s="139" t="n"/>
      <c r="AE474" s="16">
        <f>(W474+Y474+AA474+AC474)</f>
        <v/>
      </c>
      <c r="AF474" s="16" t="n"/>
      <c r="AG474" s="138" t="n"/>
      <c r="AH474" s="16" t="n"/>
      <c r="AI474" s="138" t="n"/>
      <c r="AJ474" s="16" t="n"/>
      <c r="AK474" s="138" t="n"/>
      <c r="AL474" s="16" t="n"/>
      <c r="AM474" s="138" t="n"/>
      <c r="AN474" s="16" t="n"/>
      <c r="AO474" s="138" t="n"/>
      <c r="AP474" s="16" t="n"/>
      <c r="AQ474" s="138" t="n"/>
      <c r="AR474" s="16" t="n"/>
      <c r="AS474" s="138" t="n"/>
      <c r="AT474" s="16" t="n"/>
      <c r="AU474" s="138" t="n"/>
      <c r="AV474" s="16" t="n"/>
      <c r="AW474" s="138" t="n"/>
      <c r="AX474" s="16" t="n"/>
      <c r="AY474" s="138" t="n"/>
      <c r="AZ474" s="16">
        <f>AF474+AH474+AJ474+AL474+AN474+AP474+AR474+AT474+AV474+AX474</f>
        <v/>
      </c>
      <c r="BA474" s="16" t="n"/>
      <c r="BB474" s="139" t="n"/>
      <c r="BC474" s="16" t="n"/>
      <c r="BD474" s="139" t="n"/>
      <c r="BE474" s="16">
        <f>(BA474+BC474)</f>
        <v/>
      </c>
    </row>
    <row r="475" ht="22.5" customFormat="1" customHeight="1" s="8">
      <c r="A475" s="9" t="n"/>
      <c r="B475" s="136" t="inlineStr">
        <is>
          <t>BOX</t>
        </is>
      </c>
      <c r="C475" s="137" t="inlineStr">
        <is>
          <t>ADX6000S</t>
        </is>
      </c>
      <c r="D475" s="63" t="inlineStr">
        <is>
          <t>제품 박스</t>
        </is>
      </c>
      <c r="E475" s="13" t="n"/>
      <c r="F475" s="99" t="n"/>
      <c r="G475" s="9" t="n"/>
      <c r="H475" s="9" t="inlineStr">
        <is>
          <t>제이디자인</t>
        </is>
      </c>
      <c r="I475" s="14" t="n"/>
      <c r="J475" s="14" t="n"/>
      <c r="K475" s="12" t="n"/>
      <c r="L475" s="9" t="n"/>
      <c r="M475" s="9" t="n"/>
      <c r="N475" s="9" t="n"/>
      <c r="O475" s="40">
        <f>K475+V475-AE475-AZ475</f>
        <v/>
      </c>
      <c r="P475" s="12" t="n"/>
      <c r="Q475" s="138" t="n"/>
      <c r="R475" s="16" t="n"/>
      <c r="S475" s="139" t="n"/>
      <c r="T475" s="16" t="n"/>
      <c r="U475" s="139" t="n"/>
      <c r="V475" s="16">
        <f>P475+R475+T475</f>
        <v/>
      </c>
      <c r="W475" s="16" t="n"/>
      <c r="X475" s="139" t="n"/>
      <c r="Y475" s="16" t="n"/>
      <c r="Z475" s="139" t="n"/>
      <c r="AA475" s="16" t="n"/>
      <c r="AB475" s="139" t="n"/>
      <c r="AC475" s="16" t="n"/>
      <c r="AD475" s="139" t="n"/>
      <c r="AE475" s="16">
        <f>(W475+Y475+AA475+AC475)</f>
        <v/>
      </c>
      <c r="AF475" s="16" t="n"/>
      <c r="AG475" s="138" t="n"/>
      <c r="AH475" s="16" t="n"/>
      <c r="AI475" s="138" t="n"/>
      <c r="AJ475" s="16" t="n"/>
      <c r="AK475" s="138" t="n"/>
      <c r="AL475" s="16" t="n"/>
      <c r="AM475" s="138" t="n"/>
      <c r="AN475" s="16" t="n"/>
      <c r="AO475" s="138" t="n"/>
      <c r="AP475" s="16" t="n"/>
      <c r="AQ475" s="138" t="n"/>
      <c r="AR475" s="16" t="n"/>
      <c r="AS475" s="138" t="n"/>
      <c r="AT475" s="16" t="n"/>
      <c r="AU475" s="138" t="n"/>
      <c r="AV475" s="16" t="n"/>
      <c r="AW475" s="138" t="n"/>
      <c r="AX475" s="16" t="n"/>
      <c r="AY475" s="138" t="n"/>
      <c r="AZ475" s="16">
        <f>AF475+AH475+AJ475+AL475+AN475+AP475+AR475+AT475+AV475+AX475</f>
        <v/>
      </c>
      <c r="BA475" s="16" t="n"/>
      <c r="BB475" s="139" t="n"/>
      <c r="BC475" s="16" t="n"/>
      <c r="BD475" s="139" t="n"/>
      <c r="BE475" s="16">
        <f>(BA475+BC475)</f>
        <v/>
      </c>
    </row>
    <row r="476" ht="22.5" customFormat="1" customHeight="1" s="8">
      <c r="A476" s="9" t="n"/>
      <c r="B476" s="136" t="inlineStr">
        <is>
          <t>BOX</t>
        </is>
      </c>
      <c r="C476" s="137" t="inlineStr">
        <is>
          <t>공용</t>
        </is>
      </c>
      <c r="D476" s="63" t="inlineStr">
        <is>
          <t>저가 제품 박스 (小)</t>
        </is>
      </c>
      <c r="E476" s="13" t="n"/>
      <c r="F476" s="99" t="n"/>
      <c r="G476" s="9" t="n"/>
      <c r="H476" s="9" t="inlineStr">
        <is>
          <t>제이디자인</t>
        </is>
      </c>
      <c r="I476" s="14" t="n"/>
      <c r="J476" s="14" t="n"/>
      <c r="K476" s="12" t="n"/>
      <c r="L476" s="9" t="n"/>
      <c r="M476" s="9" t="n"/>
      <c r="N476" s="9" t="n"/>
      <c r="O476" s="40">
        <f>K476+V476-AE476-AZ476</f>
        <v/>
      </c>
      <c r="P476" s="12" t="n"/>
      <c r="Q476" s="138" t="n"/>
      <c r="R476" s="16" t="n"/>
      <c r="S476" s="139" t="n"/>
      <c r="T476" s="16" t="n"/>
      <c r="U476" s="139" t="n"/>
      <c r="V476" s="16">
        <f>P476+R476+T476</f>
        <v/>
      </c>
      <c r="W476" s="16" t="n"/>
      <c r="X476" s="139" t="n"/>
      <c r="Y476" s="16" t="n"/>
      <c r="Z476" s="139" t="n"/>
      <c r="AA476" s="16" t="n"/>
      <c r="AB476" s="139" t="n"/>
      <c r="AC476" s="16" t="n"/>
      <c r="AD476" s="139" t="n"/>
      <c r="AE476" s="16">
        <f>(W476+Y476+AA476+AC476)</f>
        <v/>
      </c>
      <c r="AF476" s="16" t="n"/>
      <c r="AG476" s="138" t="n"/>
      <c r="AH476" s="16" t="n"/>
      <c r="AI476" s="138" t="n"/>
      <c r="AJ476" s="16" t="n"/>
      <c r="AK476" s="138" t="n"/>
      <c r="AL476" s="16" t="n"/>
      <c r="AM476" s="138" t="n"/>
      <c r="AN476" s="16" t="n"/>
      <c r="AO476" s="138" t="n"/>
      <c r="AP476" s="16" t="n"/>
      <c r="AQ476" s="138" t="n"/>
      <c r="AR476" s="16" t="n"/>
      <c r="AS476" s="138" t="n"/>
      <c r="AT476" s="16" t="n"/>
      <c r="AU476" s="138" t="n"/>
      <c r="AV476" s="16" t="n"/>
      <c r="AW476" s="138" t="n"/>
      <c r="AX476" s="16" t="n"/>
      <c r="AY476" s="138" t="n"/>
      <c r="AZ476" s="16">
        <f>AF476+AH476+AJ476+AL476+AN476+AP476+AR476+AT476+AV476+AX476</f>
        <v/>
      </c>
      <c r="BA476" s="16" t="n"/>
      <c r="BB476" s="139" t="n"/>
      <c r="BC476" s="16" t="n"/>
      <c r="BD476" s="139" t="n"/>
      <c r="BE476" s="16">
        <f>(BA476+BC476)</f>
        <v/>
      </c>
    </row>
    <row r="477" ht="22.5" customFormat="1" customHeight="1" s="8">
      <c r="A477" s="9" t="n"/>
      <c r="B477" s="136" t="inlineStr">
        <is>
          <t>BOX</t>
        </is>
      </c>
      <c r="C477" s="137" t="inlineStr">
        <is>
          <t>공용</t>
        </is>
      </c>
      <c r="D477" s="63" t="inlineStr">
        <is>
          <t>무지 박스 1개</t>
        </is>
      </c>
      <c r="E477" s="13" t="inlineStr">
        <is>
          <t>450 * 260 * 510(H)mm</t>
        </is>
      </c>
      <c r="F477" s="99" t="n"/>
      <c r="G477" s="9" t="n"/>
      <c r="H477" s="9" t="inlineStr">
        <is>
          <t>박스바다</t>
        </is>
      </c>
      <c r="I477" s="14" t="n"/>
      <c r="J477" s="14" t="n"/>
      <c r="K477" s="12" t="n"/>
      <c r="L477" s="9" t="n"/>
      <c r="M477" s="9" t="n"/>
      <c r="N477" s="9" t="n"/>
      <c r="O477" s="40">
        <f>K477+V477-AE477-AZ477</f>
        <v/>
      </c>
      <c r="P477" s="12" t="n"/>
      <c r="Q477" s="138" t="n"/>
      <c r="R477" s="16" t="n"/>
      <c r="S477" s="139" t="n"/>
      <c r="T477" s="16" t="n"/>
      <c r="U477" s="139" t="n"/>
      <c r="V477" s="16">
        <f>P477+R477+T477</f>
        <v/>
      </c>
      <c r="W477" s="16" t="n"/>
      <c r="X477" s="139" t="n"/>
      <c r="Y477" s="16" t="n"/>
      <c r="Z477" s="139" t="n"/>
      <c r="AA477" s="16" t="n"/>
      <c r="AB477" s="139" t="n"/>
      <c r="AC477" s="16" t="n"/>
      <c r="AD477" s="139" t="n"/>
      <c r="AE477" s="16">
        <f>(W477+Y477+AA477+AC477)</f>
        <v/>
      </c>
      <c r="AF477" s="16" t="n"/>
      <c r="AG477" s="138" t="n"/>
      <c r="AH477" s="16" t="n"/>
      <c r="AI477" s="138" t="n"/>
      <c r="AJ477" s="16" t="n"/>
      <c r="AK477" s="138" t="n"/>
      <c r="AL477" s="16" t="n"/>
      <c r="AM477" s="138" t="n"/>
      <c r="AN477" s="16" t="n"/>
      <c r="AO477" s="138" t="n"/>
      <c r="AP477" s="16" t="n"/>
      <c r="AQ477" s="138" t="n"/>
      <c r="AR477" s="16" t="n"/>
      <c r="AS477" s="138" t="n"/>
      <c r="AT477" s="16" t="n"/>
      <c r="AU477" s="138" t="n"/>
      <c r="AV477" s="16" t="n"/>
      <c r="AW477" s="138" t="n"/>
      <c r="AX477" s="16" t="n"/>
      <c r="AY477" s="138" t="n"/>
      <c r="AZ477" s="16">
        <f>AF477+AH477+AJ477+AL477+AN477+AP477+AR477+AT477+AV477+AX477</f>
        <v/>
      </c>
      <c r="BA477" s="16" t="n"/>
      <c r="BB477" s="139" t="n"/>
      <c r="BC477" s="16" t="n"/>
      <c r="BD477" s="139" t="n"/>
      <c r="BE477" s="16">
        <f>(BA477+BC477)</f>
        <v/>
      </c>
    </row>
    <row r="478" ht="22.5" customFormat="1" customHeight="1" s="8">
      <c r="A478" s="9" t="n"/>
      <c r="B478" s="136" t="inlineStr">
        <is>
          <t>BOX</t>
        </is>
      </c>
      <c r="C478" s="137" t="inlineStr">
        <is>
          <t>공용</t>
        </is>
      </c>
      <c r="D478" s="63" t="inlineStr">
        <is>
          <t>무지 박스 2개</t>
        </is>
      </c>
      <c r="E478" s="13" t="inlineStr">
        <is>
          <t>475 * 295 * 220(H)mm</t>
        </is>
      </c>
      <c r="F478" s="99" t="n"/>
      <c r="G478" s="9" t="n"/>
      <c r="H478" s="9" t="inlineStr">
        <is>
          <t>박스바다</t>
        </is>
      </c>
      <c r="I478" s="14" t="n"/>
      <c r="J478" s="14" t="n"/>
      <c r="K478" s="12" t="n"/>
      <c r="L478" s="9" t="n"/>
      <c r="M478" s="9" t="n"/>
      <c r="N478" s="9" t="n"/>
      <c r="O478" s="40">
        <f>K478+V478-AE478-AZ478</f>
        <v/>
      </c>
      <c r="P478" s="12" t="n"/>
      <c r="Q478" s="138" t="n"/>
      <c r="R478" s="16" t="n"/>
      <c r="S478" s="139" t="n"/>
      <c r="T478" s="16" t="n"/>
      <c r="U478" s="139" t="n"/>
      <c r="V478" s="16">
        <f>P478+R478+T478</f>
        <v/>
      </c>
      <c r="W478" s="16" t="n"/>
      <c r="X478" s="139" t="n"/>
      <c r="Y478" s="16" t="n"/>
      <c r="Z478" s="139" t="n"/>
      <c r="AA478" s="16" t="n"/>
      <c r="AB478" s="139" t="n"/>
      <c r="AC478" s="16" t="n"/>
      <c r="AD478" s="139" t="n"/>
      <c r="AE478" s="16">
        <f>(W478+Y478+AA478+AC478)</f>
        <v/>
      </c>
      <c r="AF478" s="16" t="n"/>
      <c r="AG478" s="138" t="n"/>
      <c r="AH478" s="16" t="n"/>
      <c r="AI478" s="138" t="n"/>
      <c r="AJ478" s="16" t="n"/>
      <c r="AK478" s="138" t="n"/>
      <c r="AL478" s="16" t="n"/>
      <c r="AM478" s="138" t="n"/>
      <c r="AN478" s="16" t="n"/>
      <c r="AO478" s="138" t="n"/>
      <c r="AP478" s="16" t="n"/>
      <c r="AQ478" s="138" t="n"/>
      <c r="AR478" s="16" t="n"/>
      <c r="AS478" s="138" t="n"/>
      <c r="AT478" s="16" t="n"/>
      <c r="AU478" s="138" t="n"/>
      <c r="AV478" s="16" t="n"/>
      <c r="AW478" s="138" t="n"/>
      <c r="AX478" s="16" t="n"/>
      <c r="AY478" s="138" t="n"/>
      <c r="AZ478" s="16">
        <f>AF478+AH478+AJ478+AL478+AN478+AP478+AR478+AT478+AV478+AX478</f>
        <v/>
      </c>
      <c r="BA478" s="16" t="n"/>
      <c r="BB478" s="139" t="n"/>
      <c r="BC478" s="16" t="n"/>
      <c r="BD478" s="139" t="n"/>
      <c r="BE478" s="16">
        <f>(BA478+BC478)</f>
        <v/>
      </c>
    </row>
    <row r="479" ht="22.5" customFormat="1" customHeight="1" s="8">
      <c r="A479" s="9" t="n"/>
      <c r="B479" s="136" t="inlineStr">
        <is>
          <t>BOX</t>
        </is>
      </c>
      <c r="C479" s="137" t="inlineStr">
        <is>
          <t>공용</t>
        </is>
      </c>
      <c r="D479" s="63" t="inlineStr">
        <is>
          <t>무지 박스 4개</t>
        </is>
      </c>
      <c r="E479" s="13" t="inlineStr">
        <is>
          <t>475 * 295 * 430(H)mm</t>
        </is>
      </c>
      <c r="F479" s="99" t="n"/>
      <c r="G479" s="9" t="n"/>
      <c r="H479" s="9" t="inlineStr">
        <is>
          <t>박스바다</t>
        </is>
      </c>
      <c r="I479" s="14" t="n"/>
      <c r="J479" s="14" t="n"/>
      <c r="K479" s="12" t="n"/>
      <c r="L479" s="9" t="n"/>
      <c r="M479" s="9" t="n"/>
      <c r="N479" s="9" t="n"/>
      <c r="O479" s="40">
        <f>K479+V479-AE479-AZ479</f>
        <v/>
      </c>
      <c r="P479" s="12" t="n"/>
      <c r="Q479" s="138" t="n"/>
      <c r="R479" s="16" t="n"/>
      <c r="S479" s="139" t="n"/>
      <c r="T479" s="16" t="n"/>
      <c r="U479" s="139" t="n"/>
      <c r="V479" s="16">
        <f>P479+R479+T479</f>
        <v/>
      </c>
      <c r="W479" s="16" t="n"/>
      <c r="X479" s="139" t="n"/>
      <c r="Y479" s="16" t="n"/>
      <c r="Z479" s="139" t="n"/>
      <c r="AA479" s="16" t="n"/>
      <c r="AB479" s="139" t="n"/>
      <c r="AC479" s="16" t="n"/>
      <c r="AD479" s="139" t="n"/>
      <c r="AE479" s="16">
        <f>(W479+Y479+AA479+AC479)</f>
        <v/>
      </c>
      <c r="AF479" s="16" t="n"/>
      <c r="AG479" s="138" t="n"/>
      <c r="AH479" s="16" t="n"/>
      <c r="AI479" s="138" t="n"/>
      <c r="AJ479" s="16" t="n"/>
      <c r="AK479" s="138" t="n"/>
      <c r="AL479" s="16" t="n"/>
      <c r="AM479" s="138" t="n"/>
      <c r="AN479" s="16" t="n"/>
      <c r="AO479" s="138" t="n"/>
      <c r="AP479" s="16" t="n"/>
      <c r="AQ479" s="138" t="n"/>
      <c r="AR479" s="16" t="n"/>
      <c r="AS479" s="138" t="n"/>
      <c r="AT479" s="16" t="n"/>
      <c r="AU479" s="138" t="n"/>
      <c r="AV479" s="16" t="n"/>
      <c r="AW479" s="138" t="n"/>
      <c r="AX479" s="16" t="n"/>
      <c r="AY479" s="138" t="n"/>
      <c r="AZ479" s="16">
        <f>AF479+AH479+AJ479+AL479+AN479+AP479+AR479+AT479+AV479+AX479</f>
        <v/>
      </c>
      <c r="BA479" s="16" t="n"/>
      <c r="BB479" s="139" t="n"/>
      <c r="BC479" s="16" t="n"/>
      <c r="BD479" s="139" t="n"/>
      <c r="BE479" s="16">
        <f>(BA479+BC479)</f>
        <v/>
      </c>
    </row>
    <row r="480" ht="22.5" customFormat="1" customHeight="1" s="8">
      <c r="A480" s="9" t="n"/>
      <c r="B480" s="136" t="inlineStr">
        <is>
          <t>BOX</t>
        </is>
      </c>
      <c r="C480" s="137" t="inlineStr">
        <is>
          <t>공용</t>
        </is>
      </c>
      <c r="D480" s="63" t="inlineStr">
        <is>
          <t>무지 박스 6개</t>
        </is>
      </c>
      <c r="E480" s="13" t="inlineStr">
        <is>
          <t>700 * 300 * 430(H)mm</t>
        </is>
      </c>
      <c r="F480" s="99" t="n"/>
      <c r="G480" s="9" t="n"/>
      <c r="H480" s="9" t="inlineStr">
        <is>
          <t>박스바다</t>
        </is>
      </c>
      <c r="I480" s="14" t="n"/>
      <c r="J480" s="14" t="n"/>
      <c r="K480" s="12" t="n"/>
      <c r="L480" s="9" t="n"/>
      <c r="M480" s="9" t="n"/>
      <c r="N480" s="9" t="n"/>
      <c r="O480" s="40">
        <f>K480+V480-AE480-AZ480</f>
        <v/>
      </c>
      <c r="P480" s="12" t="n"/>
      <c r="Q480" s="138" t="n"/>
      <c r="R480" s="16" t="n"/>
      <c r="S480" s="139" t="n"/>
      <c r="T480" s="16" t="n"/>
      <c r="U480" s="139" t="n"/>
      <c r="V480" s="16">
        <f>P480+R480+T480</f>
        <v/>
      </c>
      <c r="W480" s="16" t="n"/>
      <c r="X480" s="139" t="n"/>
      <c r="Y480" s="16" t="n"/>
      <c r="Z480" s="139" t="n"/>
      <c r="AA480" s="16" t="n"/>
      <c r="AB480" s="139" t="n"/>
      <c r="AC480" s="16" t="n"/>
      <c r="AD480" s="139" t="n"/>
      <c r="AE480" s="16">
        <f>(W480+Y480+AA480+AC480)</f>
        <v/>
      </c>
      <c r="AF480" s="16" t="n"/>
      <c r="AG480" s="138" t="n"/>
      <c r="AH480" s="16" t="n"/>
      <c r="AI480" s="138" t="n"/>
      <c r="AJ480" s="16" t="n"/>
      <c r="AK480" s="138" t="n"/>
      <c r="AL480" s="16" t="n"/>
      <c r="AM480" s="138" t="n"/>
      <c r="AN480" s="16" t="n"/>
      <c r="AO480" s="138" t="n"/>
      <c r="AP480" s="16" t="n"/>
      <c r="AQ480" s="138" t="n"/>
      <c r="AR480" s="16" t="n"/>
      <c r="AS480" s="138" t="n"/>
      <c r="AT480" s="16" t="n"/>
      <c r="AU480" s="138" t="n"/>
      <c r="AV480" s="16" t="n"/>
      <c r="AW480" s="138" t="n"/>
      <c r="AX480" s="16" t="n"/>
      <c r="AY480" s="138" t="n"/>
      <c r="AZ480" s="16">
        <f>AF480+AH480+AJ480+AL480+AN480+AP480+AR480+AT480+AV480+AX480</f>
        <v/>
      </c>
      <c r="BA480" s="16" t="n"/>
      <c r="BB480" s="139" t="n"/>
      <c r="BC480" s="16" t="n"/>
      <c r="BD480" s="139" t="n"/>
      <c r="BE480" s="16">
        <f>(BA480+BC480)</f>
        <v/>
      </c>
    </row>
    <row r="481" ht="22.5" customFormat="1" customHeight="1" s="8">
      <c r="A481" s="9" t="n"/>
      <c r="B481" s="136" t="inlineStr">
        <is>
          <t>BOX</t>
        </is>
      </c>
      <c r="C481" s="137" t="inlineStr">
        <is>
          <t>공용</t>
        </is>
      </c>
      <c r="D481" s="63" t="inlineStr">
        <is>
          <t>Rex 구강 카메라 박스</t>
        </is>
      </c>
      <c r="E481" s="13" t="n"/>
      <c r="F481" s="99" t="n"/>
      <c r="G481" s="9" t="n"/>
      <c r="H481" s="9" t="inlineStr">
        <is>
          <t>제이디자인</t>
        </is>
      </c>
      <c r="I481" s="14" t="n"/>
      <c r="J481" s="14" t="n"/>
      <c r="K481" s="12" t="n"/>
      <c r="L481" s="9" t="n"/>
      <c r="M481" s="9" t="n"/>
      <c r="N481" s="9" t="n"/>
      <c r="O481" s="40">
        <f>K481+V481-AE481-AZ481</f>
        <v/>
      </c>
      <c r="P481" s="12" t="n"/>
      <c r="Q481" s="138" t="n"/>
      <c r="R481" s="16" t="n"/>
      <c r="S481" s="139" t="n"/>
      <c r="T481" s="16" t="n"/>
      <c r="U481" s="139" t="n"/>
      <c r="V481" s="16">
        <f>P481+R481+T481</f>
        <v/>
      </c>
      <c r="W481" s="16" t="n"/>
      <c r="X481" s="139" t="n"/>
      <c r="Y481" s="16" t="n"/>
      <c r="Z481" s="139" t="n"/>
      <c r="AA481" s="16" t="n"/>
      <c r="AB481" s="139" t="n"/>
      <c r="AC481" s="16" t="n"/>
      <c r="AD481" s="139" t="n"/>
      <c r="AE481" s="16">
        <f>(W481+Y481+AA481+AC481)</f>
        <v/>
      </c>
      <c r="AF481" s="16" t="n"/>
      <c r="AG481" s="138" t="n"/>
      <c r="AH481" s="16" t="n"/>
      <c r="AI481" s="138" t="n"/>
      <c r="AJ481" s="16" t="n"/>
      <c r="AK481" s="138" t="n"/>
      <c r="AL481" s="16" t="n"/>
      <c r="AM481" s="138" t="n"/>
      <c r="AN481" s="16" t="n"/>
      <c r="AO481" s="138" t="n"/>
      <c r="AP481" s="16" t="n"/>
      <c r="AQ481" s="138" t="n"/>
      <c r="AR481" s="16" t="n"/>
      <c r="AS481" s="138" t="n"/>
      <c r="AT481" s="16" t="n"/>
      <c r="AU481" s="138" t="n"/>
      <c r="AV481" s="16" t="n"/>
      <c r="AW481" s="138" t="n"/>
      <c r="AX481" s="16" t="n"/>
      <c r="AY481" s="138" t="n"/>
      <c r="AZ481" s="16">
        <f>AF481+AH481+AJ481+AL481+AN481+AP481+AR481+AT481+AV481+AX481</f>
        <v/>
      </c>
      <c r="BA481" s="16" t="n"/>
      <c r="BB481" s="139" t="n"/>
      <c r="BC481" s="16" t="n"/>
      <c r="BD481" s="139" t="n"/>
      <c r="BE481" s="16">
        <f>(BA481+BC481)</f>
        <v/>
      </c>
    </row>
    <row r="482" ht="22.5" customFormat="1" customHeight="1" s="8">
      <c r="A482" s="9" t="n"/>
      <c r="B482" s="136" t="inlineStr">
        <is>
          <t>BOX</t>
        </is>
      </c>
      <c r="C482" s="137" t="inlineStr">
        <is>
          <t>공용</t>
        </is>
      </c>
      <c r="D482" s="63" t="inlineStr">
        <is>
          <t>Rex2 센서 박스</t>
        </is>
      </c>
      <c r="E482" s="13" t="n"/>
      <c r="F482" s="99" t="n"/>
      <c r="G482" s="9" t="n"/>
      <c r="H482" s="9" t="inlineStr">
        <is>
          <t>제이디자인</t>
        </is>
      </c>
      <c r="I482" s="14" t="n"/>
      <c r="J482" s="14" t="n"/>
      <c r="K482" s="12" t="n"/>
      <c r="L482" s="9" t="n"/>
      <c r="M482" s="9" t="n"/>
      <c r="N482" s="9" t="n"/>
      <c r="O482" s="40">
        <f>K482+V482-AE482-AZ482</f>
        <v/>
      </c>
      <c r="P482" s="12" t="n"/>
      <c r="Q482" s="138" t="n"/>
      <c r="R482" s="16" t="n"/>
      <c r="S482" s="139" t="n"/>
      <c r="T482" s="16" t="n"/>
      <c r="U482" s="139" t="n"/>
      <c r="V482" s="16">
        <f>P482+R482+T482</f>
        <v/>
      </c>
      <c r="W482" s="16" t="n"/>
      <c r="X482" s="139" t="n"/>
      <c r="Y482" s="16" t="n"/>
      <c r="Z482" s="139" t="n"/>
      <c r="AA482" s="16" t="n"/>
      <c r="AB482" s="139" t="n"/>
      <c r="AC482" s="16" t="n"/>
      <c r="AD482" s="139" t="n"/>
      <c r="AE482" s="16">
        <f>(W482+Y482+AA482+AC482)</f>
        <v/>
      </c>
      <c r="AF482" s="16" t="n"/>
      <c r="AG482" s="138" t="n"/>
      <c r="AH482" s="16" t="n"/>
      <c r="AI482" s="138" t="n"/>
      <c r="AJ482" s="16" t="n"/>
      <c r="AK482" s="138" t="n"/>
      <c r="AL482" s="16" t="n"/>
      <c r="AM482" s="138" t="n"/>
      <c r="AN482" s="16" t="n"/>
      <c r="AO482" s="138" t="n"/>
      <c r="AP482" s="16" t="n"/>
      <c r="AQ482" s="138" t="n"/>
      <c r="AR482" s="16" t="n"/>
      <c r="AS482" s="138" t="n"/>
      <c r="AT482" s="16" t="n"/>
      <c r="AU482" s="138" t="n"/>
      <c r="AV482" s="16" t="n"/>
      <c r="AW482" s="138" t="n"/>
      <c r="AX482" s="16" t="n"/>
      <c r="AY482" s="138" t="n"/>
      <c r="AZ482" s="16">
        <f>AF482+AH482+AJ482+AL482+AN482+AP482+AR482+AT482+AV482+AX482</f>
        <v/>
      </c>
      <c r="BA482" s="16" t="n"/>
      <c r="BB482" s="139" t="n"/>
      <c r="BC482" s="16" t="n"/>
      <c r="BD482" s="139" t="n"/>
      <c r="BE482" s="16">
        <f>(BA482+BC482)</f>
        <v/>
      </c>
    </row>
    <row r="483" ht="22.5" customFormat="1" customHeight="1" s="8">
      <c r="A483" s="9" t="n"/>
      <c r="B483" s="136" t="inlineStr">
        <is>
          <t>BOX</t>
        </is>
      </c>
      <c r="C483" s="137" t="inlineStr">
        <is>
          <t>공용</t>
        </is>
      </c>
      <c r="D483" s="63" t="inlineStr">
        <is>
          <t>ADX6000 센서 무지 박스</t>
        </is>
      </c>
      <c r="E483" s="13" t="n"/>
      <c r="F483" s="99" t="n"/>
      <c r="G483" s="9" t="n"/>
      <c r="H483" s="9" t="inlineStr">
        <is>
          <t>박스바다</t>
        </is>
      </c>
      <c r="I483" s="14" t="n"/>
      <c r="J483" s="14" t="n"/>
      <c r="K483" s="12" t="n"/>
      <c r="L483" s="9" t="n"/>
      <c r="M483" s="9" t="n"/>
      <c r="N483" s="9" t="n"/>
      <c r="O483" s="40">
        <f>K483+V483-AE483-AZ483</f>
        <v/>
      </c>
      <c r="P483" s="12" t="n"/>
      <c r="Q483" s="138" t="n"/>
      <c r="R483" s="16" t="n"/>
      <c r="S483" s="139" t="n"/>
      <c r="T483" s="16" t="n"/>
      <c r="U483" s="139" t="n"/>
      <c r="V483" s="16">
        <f>P483+R483+T483</f>
        <v/>
      </c>
      <c r="W483" s="16" t="n"/>
      <c r="X483" s="139" t="n"/>
      <c r="Y483" s="16" t="n"/>
      <c r="Z483" s="139" t="n"/>
      <c r="AA483" s="16" t="n"/>
      <c r="AB483" s="139" t="n"/>
      <c r="AC483" s="16" t="n"/>
      <c r="AD483" s="139" t="n"/>
      <c r="AE483" s="16">
        <f>(W483+Y483+AA483+AC483)</f>
        <v/>
      </c>
      <c r="AF483" s="16" t="n"/>
      <c r="AG483" s="138" t="n"/>
      <c r="AH483" s="16" t="n"/>
      <c r="AI483" s="138" t="n"/>
      <c r="AJ483" s="16" t="n"/>
      <c r="AK483" s="138" t="n"/>
      <c r="AL483" s="16" t="n"/>
      <c r="AM483" s="138" t="n"/>
      <c r="AN483" s="16" t="n"/>
      <c r="AO483" s="138" t="n"/>
      <c r="AP483" s="16" t="n"/>
      <c r="AQ483" s="138" t="n"/>
      <c r="AR483" s="16" t="n"/>
      <c r="AS483" s="138" t="n"/>
      <c r="AT483" s="16" t="n"/>
      <c r="AU483" s="138" t="n"/>
      <c r="AV483" s="16" t="n"/>
      <c r="AW483" s="138" t="n"/>
      <c r="AX483" s="16" t="n"/>
      <c r="AY483" s="138" t="n"/>
      <c r="AZ483" s="16">
        <f>AF483+AH483+AJ483+AL483+AN483+AP483+AR483+AT483+AV483+AX483</f>
        <v/>
      </c>
      <c r="BA483" s="16" t="n"/>
      <c r="BB483" s="139" t="n"/>
      <c r="BC483" s="16" t="n"/>
      <c r="BD483" s="139" t="n"/>
      <c r="BE483" s="16">
        <f>(BA483+BC483)</f>
        <v/>
      </c>
    </row>
    <row r="484" ht="22.5" customFormat="1" customHeight="1" s="8">
      <c r="A484" s="9" t="n"/>
      <c r="B484" s="136" t="inlineStr">
        <is>
          <t>BOX</t>
        </is>
      </c>
      <c r="C484" s="137" t="inlineStr">
        <is>
          <t>공용</t>
        </is>
      </c>
      <c r="D484" s="63" t="inlineStr">
        <is>
          <t>체스트 &amp; 베드 스탠드 박스</t>
        </is>
      </c>
      <c r="E484" s="13" t="inlineStr">
        <is>
          <t>1000 * 300 * 150</t>
        </is>
      </c>
      <c r="F484" s="99" t="n"/>
      <c r="G484" s="9" t="n"/>
      <c r="H484" s="9" t="inlineStr">
        <is>
          <t>지성수출포장</t>
        </is>
      </c>
      <c r="I484" s="14" t="n"/>
      <c r="J484" s="14" t="n"/>
      <c r="K484" s="12" t="n"/>
      <c r="L484" s="9" t="n"/>
      <c r="M484" s="9" t="n"/>
      <c r="N484" s="9" t="n"/>
      <c r="O484" s="40">
        <f>K484+V484-AE484-AZ484</f>
        <v/>
      </c>
      <c r="P484" s="12" t="n"/>
      <c r="Q484" s="138" t="n"/>
      <c r="R484" s="16" t="n"/>
      <c r="S484" s="139" t="n"/>
      <c r="T484" s="16" t="n"/>
      <c r="U484" s="139" t="n"/>
      <c r="V484" s="16">
        <f>P484+R484+T484</f>
        <v/>
      </c>
      <c r="W484" s="16" t="n"/>
      <c r="X484" s="139" t="n"/>
      <c r="Y484" s="16" t="n"/>
      <c r="Z484" s="139" t="n"/>
      <c r="AA484" s="16" t="n"/>
      <c r="AB484" s="139" t="n"/>
      <c r="AC484" s="16" t="n"/>
      <c r="AD484" s="139" t="n"/>
      <c r="AE484" s="16">
        <f>(W484+Y484+AA484+AC484)</f>
        <v/>
      </c>
      <c r="AF484" s="16" t="n"/>
      <c r="AG484" s="138" t="n"/>
      <c r="AH484" s="16" t="n"/>
      <c r="AI484" s="138" t="n"/>
      <c r="AJ484" s="16" t="n"/>
      <c r="AK484" s="138" t="n"/>
      <c r="AL484" s="16" t="n"/>
      <c r="AM484" s="138" t="n"/>
      <c r="AN484" s="16" t="n"/>
      <c r="AO484" s="138" t="n"/>
      <c r="AP484" s="16" t="n"/>
      <c r="AQ484" s="138" t="n"/>
      <c r="AR484" s="16" t="n"/>
      <c r="AS484" s="138" t="n"/>
      <c r="AT484" s="16" t="n"/>
      <c r="AU484" s="138" t="n"/>
      <c r="AV484" s="16" t="n"/>
      <c r="AW484" s="138" t="n"/>
      <c r="AX484" s="16" t="n"/>
      <c r="AY484" s="138" t="n"/>
      <c r="AZ484" s="16">
        <f>AF484+AH484+AJ484+AL484+AN484+AP484+AR484+AT484+AV484+AX484</f>
        <v/>
      </c>
      <c r="BA484" s="16" t="n"/>
      <c r="BB484" s="139" t="n"/>
      <c r="BC484" s="16" t="n"/>
      <c r="BD484" s="139" t="n"/>
      <c r="BE484" s="16">
        <f>(BA484+BC484)</f>
        <v/>
      </c>
    </row>
    <row r="485" ht="22.5" customFormat="1" customHeight="1" s="8">
      <c r="A485" s="9" t="n"/>
      <c r="B485" s="136" t="inlineStr">
        <is>
          <t>스티로폼</t>
        </is>
      </c>
      <c r="C485" s="137" t="inlineStr">
        <is>
          <t>ADX6000</t>
        </is>
      </c>
      <c r="D485" s="60" t="inlineStr">
        <is>
          <t>제품박스 상, 하 스티로폼</t>
        </is>
      </c>
      <c r="E485" s="13" t="inlineStr">
        <is>
          <t>60.5 * 27.5 * 3T</t>
        </is>
      </c>
      <c r="F485" s="99" t="n"/>
      <c r="G485" s="9" t="n"/>
      <c r="H485" s="9" t="inlineStr">
        <is>
          <t>굿모닝코리아유통</t>
        </is>
      </c>
      <c r="I485" s="14" t="n"/>
      <c r="J485" s="14" t="n"/>
      <c r="K485" s="12" t="n"/>
      <c r="L485" s="9" t="n"/>
      <c r="M485" s="9" t="n"/>
      <c r="N485" s="9" t="n"/>
      <c r="O485" s="40">
        <f>K485+V485-AE485-AZ485</f>
        <v/>
      </c>
      <c r="P485" s="12" t="n"/>
      <c r="Q485" s="138" t="n"/>
      <c r="R485" s="16" t="n"/>
      <c r="S485" s="139" t="n"/>
      <c r="T485" s="16" t="n"/>
      <c r="U485" s="139" t="n"/>
      <c r="V485" s="16">
        <f>P485+R485+T485</f>
        <v/>
      </c>
      <c r="W485" s="16" t="n"/>
      <c r="X485" s="139" t="n"/>
      <c r="Y485" s="16" t="n"/>
      <c r="Z485" s="139" t="n"/>
      <c r="AA485" s="16" t="n"/>
      <c r="AB485" s="139" t="n"/>
      <c r="AC485" s="16" t="n"/>
      <c r="AD485" s="139" t="n"/>
      <c r="AE485" s="16">
        <f>(W485+Y485+AA485+AC485)</f>
        <v/>
      </c>
      <c r="AF485" s="16" t="n"/>
      <c r="AG485" s="138" t="n"/>
      <c r="AH485" s="16" t="n"/>
      <c r="AI485" s="138" t="n"/>
      <c r="AJ485" s="16" t="n"/>
      <c r="AK485" s="138" t="n"/>
      <c r="AL485" s="16" t="n"/>
      <c r="AM485" s="138" t="n"/>
      <c r="AN485" s="16" t="n"/>
      <c r="AO485" s="138" t="n"/>
      <c r="AP485" s="16" t="n"/>
      <c r="AQ485" s="138" t="n"/>
      <c r="AR485" s="16" t="n"/>
      <c r="AS485" s="138" t="n"/>
      <c r="AT485" s="16" t="n"/>
      <c r="AU485" s="138" t="n"/>
      <c r="AV485" s="16" t="n"/>
      <c r="AW485" s="138" t="n"/>
      <c r="AX485" s="16" t="n"/>
      <c r="AY485" s="138" t="n"/>
      <c r="AZ485" s="16">
        <f>AF485+AH485+AJ485+AL485+AN485+AP485+AR485+AT485+AV485+AX485</f>
        <v/>
      </c>
      <c r="BA485" s="16" t="n"/>
      <c r="BB485" s="139" t="n"/>
      <c r="BC485" s="16" t="n"/>
      <c r="BD485" s="139" t="n"/>
      <c r="BE485" s="16">
        <f>(BA485+BC485)</f>
        <v/>
      </c>
    </row>
    <row r="486" ht="22.5" customFormat="1" customHeight="1" s="8">
      <c r="A486" s="9" t="n"/>
      <c r="B486" s="136" t="inlineStr">
        <is>
          <t>스티로폼</t>
        </is>
      </c>
      <c r="C486" s="137" t="inlineStr">
        <is>
          <t>ADX6000</t>
        </is>
      </c>
      <c r="D486" s="63" t="inlineStr">
        <is>
          <t>제품박스 좁은 스티로폼</t>
        </is>
      </c>
      <c r="E486" s="13" t="inlineStr">
        <is>
          <t>42.5 * 27.5 * 3T</t>
        </is>
      </c>
      <c r="F486" s="99" t="n"/>
      <c r="G486" s="9" t="n"/>
      <c r="H486" s="9" t="inlineStr">
        <is>
          <t>굿모닝코리아유통</t>
        </is>
      </c>
      <c r="I486" s="14" t="n"/>
      <c r="J486" s="14" t="n"/>
      <c r="K486" s="12" t="n"/>
      <c r="L486" s="9" t="n"/>
      <c r="M486" s="9" t="n"/>
      <c r="N486" s="9" t="n"/>
      <c r="O486" s="40">
        <f>K486+V486-AE486-AZ486</f>
        <v/>
      </c>
      <c r="P486" s="12" t="n"/>
      <c r="Q486" s="138" t="n"/>
      <c r="R486" s="16" t="n"/>
      <c r="S486" s="139" t="n"/>
      <c r="T486" s="16" t="n"/>
      <c r="U486" s="139" t="n"/>
      <c r="V486" s="16">
        <f>P486+R486+T486</f>
        <v/>
      </c>
      <c r="W486" s="16" t="n"/>
      <c r="X486" s="139" t="n"/>
      <c r="Y486" s="16" t="n"/>
      <c r="Z486" s="139" t="n"/>
      <c r="AA486" s="16" t="n"/>
      <c r="AB486" s="139" t="n"/>
      <c r="AC486" s="16" t="n"/>
      <c r="AD486" s="139" t="n"/>
      <c r="AE486" s="16">
        <f>(W486+Y486+AA486+AC486)</f>
        <v/>
      </c>
      <c r="AF486" s="16" t="n"/>
      <c r="AG486" s="138" t="n"/>
      <c r="AH486" s="16" t="n"/>
      <c r="AI486" s="138" t="n"/>
      <c r="AJ486" s="16" t="n"/>
      <c r="AK486" s="138" t="n"/>
      <c r="AL486" s="16" t="n"/>
      <c r="AM486" s="138" t="n"/>
      <c r="AN486" s="16" t="n"/>
      <c r="AO486" s="138" t="n"/>
      <c r="AP486" s="16" t="n"/>
      <c r="AQ486" s="138" t="n"/>
      <c r="AR486" s="16" t="n"/>
      <c r="AS486" s="138" t="n"/>
      <c r="AT486" s="16" t="n"/>
      <c r="AU486" s="138" t="n"/>
      <c r="AV486" s="16" t="n"/>
      <c r="AW486" s="138" t="n"/>
      <c r="AX486" s="16" t="n"/>
      <c r="AY486" s="138" t="n"/>
      <c r="AZ486" s="16">
        <f>AF486+AH486+AJ486+AL486+AN486+AP486+AR486+AT486+AV486+AX486</f>
        <v/>
      </c>
      <c r="BA486" s="16" t="n"/>
      <c r="BB486" s="139" t="n"/>
      <c r="BC486" s="16" t="n"/>
      <c r="BD486" s="139" t="n"/>
      <c r="BE486" s="16">
        <f>(BA486+BC486)</f>
        <v/>
      </c>
    </row>
    <row r="487" ht="22.5" customFormat="1" customHeight="1" s="8">
      <c r="A487" s="9" t="n"/>
      <c r="B487" s="136" t="inlineStr">
        <is>
          <t>스티로폼</t>
        </is>
      </c>
      <c r="C487" s="137" t="inlineStr">
        <is>
          <t>ADX6000</t>
        </is>
      </c>
      <c r="D487" s="65" t="inlineStr">
        <is>
          <t>제품박스 넒은 스티로폼</t>
        </is>
      </c>
      <c r="E487" s="13" t="inlineStr">
        <is>
          <t>42.5 * 55 * 3.5T</t>
        </is>
      </c>
      <c r="F487" s="99" t="n"/>
      <c r="G487" s="9" t="n"/>
      <c r="H487" s="9" t="inlineStr">
        <is>
          <t>굿모닝코리아유통</t>
        </is>
      </c>
      <c r="I487" s="14" t="n"/>
      <c r="J487" s="14" t="n"/>
      <c r="K487" s="12" t="n"/>
      <c r="L487" s="9" t="n"/>
      <c r="M487" s="9" t="n"/>
      <c r="N487" s="9" t="n"/>
      <c r="O487" s="40">
        <f>K487+V487-AE487-AZ487</f>
        <v/>
      </c>
      <c r="P487" s="12" t="n"/>
      <c r="Q487" s="138" t="n"/>
      <c r="R487" s="16" t="n"/>
      <c r="S487" s="139" t="n"/>
      <c r="T487" s="16" t="n"/>
      <c r="U487" s="139" t="n"/>
      <c r="V487" s="16">
        <f>P487+R487+T487</f>
        <v/>
      </c>
      <c r="W487" s="16" t="n"/>
      <c r="X487" s="139" t="n"/>
      <c r="Y487" s="16" t="n"/>
      <c r="Z487" s="139" t="n"/>
      <c r="AA487" s="16" t="n"/>
      <c r="AB487" s="139" t="n"/>
      <c r="AC487" s="16" t="n"/>
      <c r="AD487" s="139" t="n"/>
      <c r="AE487" s="16">
        <f>(W487+Y487+AA487+AC487)</f>
        <v/>
      </c>
      <c r="AF487" s="16" t="n"/>
      <c r="AG487" s="138" t="n"/>
      <c r="AH487" s="16" t="n"/>
      <c r="AI487" s="138" t="n"/>
      <c r="AJ487" s="16" t="n"/>
      <c r="AK487" s="138" t="n"/>
      <c r="AL487" s="16" t="n"/>
      <c r="AM487" s="138" t="n"/>
      <c r="AN487" s="16" t="n"/>
      <c r="AO487" s="138" t="n"/>
      <c r="AP487" s="16" t="n"/>
      <c r="AQ487" s="138" t="n"/>
      <c r="AR487" s="16" t="n"/>
      <c r="AS487" s="138" t="n"/>
      <c r="AT487" s="16" t="n"/>
      <c r="AU487" s="138" t="n"/>
      <c r="AV487" s="16" t="n"/>
      <c r="AW487" s="138" t="n"/>
      <c r="AX487" s="16" t="n"/>
      <c r="AY487" s="138" t="n"/>
      <c r="AZ487" s="16">
        <f>AF487+AH487+AJ487+AL487+AN487+AP487+AR487+AT487+AV487+AX487</f>
        <v/>
      </c>
      <c r="BA487" s="16" t="n"/>
      <c r="BB487" s="139" t="n"/>
      <c r="BC487" s="16" t="n"/>
      <c r="BD487" s="139" t="n"/>
      <c r="BE487" s="16">
        <f>(BA487+BC487)</f>
        <v/>
      </c>
    </row>
    <row r="488" ht="22.5" customFormat="1" customHeight="1" s="8">
      <c r="A488" s="9" t="n"/>
      <c r="B488" s="136" t="inlineStr">
        <is>
          <t>스티로폼</t>
        </is>
      </c>
      <c r="C488" s="137" t="inlineStr">
        <is>
          <t>공용</t>
        </is>
      </c>
      <c r="D488" s="65" t="inlineStr">
        <is>
          <t>DR Tech 센서 상, 하 스티로폼</t>
        </is>
      </c>
      <c r="E488" s="13" t="inlineStr">
        <is>
          <t>45.5 * 42 * 3T</t>
        </is>
      </c>
      <c r="F488" s="99" t="n"/>
      <c r="G488" s="9" t="n"/>
      <c r="H488" s="9" t="inlineStr">
        <is>
          <t>굿모닝코리아유통</t>
        </is>
      </c>
      <c r="I488" s="14" t="n"/>
      <c r="J488" s="14" t="n"/>
      <c r="K488" s="12" t="n"/>
      <c r="L488" s="9" t="n"/>
      <c r="M488" s="9" t="n"/>
      <c r="N488" s="9" t="n"/>
      <c r="O488" s="40">
        <f>K488+V488-AE488-AZ488</f>
        <v/>
      </c>
      <c r="P488" s="12" t="n"/>
      <c r="Q488" s="138" t="n"/>
      <c r="R488" s="16" t="n"/>
      <c r="S488" s="139" t="n"/>
      <c r="T488" s="16" t="n"/>
      <c r="U488" s="139" t="n"/>
      <c r="V488" s="16">
        <f>P488+R488+T488</f>
        <v/>
      </c>
      <c r="W488" s="16" t="n"/>
      <c r="X488" s="139" t="n"/>
      <c r="Y488" s="16" t="n"/>
      <c r="Z488" s="139" t="n"/>
      <c r="AA488" s="16" t="n"/>
      <c r="AB488" s="139" t="n"/>
      <c r="AC488" s="16" t="n"/>
      <c r="AD488" s="139" t="n"/>
      <c r="AE488" s="16">
        <f>(W488+Y488+AA488+AC488)</f>
        <v/>
      </c>
      <c r="AF488" s="16" t="n"/>
      <c r="AG488" s="138" t="n"/>
      <c r="AH488" s="16" t="n"/>
      <c r="AI488" s="138" t="n"/>
      <c r="AJ488" s="16" t="n"/>
      <c r="AK488" s="138" t="n"/>
      <c r="AL488" s="16" t="n"/>
      <c r="AM488" s="138" t="n"/>
      <c r="AN488" s="16" t="n"/>
      <c r="AO488" s="138" t="n"/>
      <c r="AP488" s="16" t="n"/>
      <c r="AQ488" s="138" t="n"/>
      <c r="AR488" s="16" t="n"/>
      <c r="AS488" s="138" t="n"/>
      <c r="AT488" s="16" t="n"/>
      <c r="AU488" s="138" t="n"/>
      <c r="AV488" s="16" t="n"/>
      <c r="AW488" s="138" t="n"/>
      <c r="AX488" s="16" t="n"/>
      <c r="AY488" s="138" t="n"/>
      <c r="AZ488" s="16">
        <f>AF488+AH488+AJ488+AL488+AN488+AP488+AR488+AT488+AV488+AX488</f>
        <v/>
      </c>
      <c r="BA488" s="16" t="n"/>
      <c r="BB488" s="139" t="n"/>
      <c r="BC488" s="16" t="n"/>
      <c r="BD488" s="139" t="n"/>
      <c r="BE488" s="16">
        <f>(BA488+BC488)</f>
        <v/>
      </c>
    </row>
    <row r="489" ht="22.5" customFormat="1" customHeight="1" s="8">
      <c r="A489" s="9" t="n"/>
      <c r="B489" s="136" t="inlineStr">
        <is>
          <t>내부폼</t>
        </is>
      </c>
      <c r="C489" s="137" t="inlineStr">
        <is>
          <t>SOLO</t>
        </is>
      </c>
      <c r="D489" s="65" t="inlineStr">
        <is>
          <t>내부폼 (가교 PAD) SET</t>
        </is>
      </c>
      <c r="E489" s="13" t="n"/>
      <c r="F489" s="99" t="n"/>
      <c r="G489" s="9" t="n"/>
      <c r="H489" s="9" t="inlineStr">
        <is>
          <t>에이팩산업</t>
        </is>
      </c>
      <c r="I489" s="14" t="n"/>
      <c r="J489" s="14" t="n"/>
      <c r="K489" s="12" t="n"/>
      <c r="L489" s="9" t="n"/>
      <c r="M489" s="9" t="n"/>
      <c r="N489" s="9" t="n"/>
      <c r="O489" s="40">
        <f>K489+V489-AE489-AZ489</f>
        <v/>
      </c>
      <c r="P489" s="12" t="n"/>
      <c r="Q489" s="138" t="n"/>
      <c r="R489" s="16" t="n"/>
      <c r="S489" s="139" t="n"/>
      <c r="T489" s="16" t="n"/>
      <c r="U489" s="139" t="n"/>
      <c r="V489" s="16">
        <f>P489+R489+T489</f>
        <v/>
      </c>
      <c r="W489" s="16" t="n"/>
      <c r="X489" s="139" t="n"/>
      <c r="Y489" s="16" t="n"/>
      <c r="Z489" s="139" t="n"/>
      <c r="AA489" s="16" t="n"/>
      <c r="AB489" s="139" t="n"/>
      <c r="AC489" s="16" t="n"/>
      <c r="AD489" s="139" t="n"/>
      <c r="AE489" s="16">
        <f>(W489+Y489+AA489+AC489)</f>
        <v/>
      </c>
      <c r="AF489" s="16" t="n"/>
      <c r="AG489" s="138" t="n"/>
      <c r="AH489" s="16" t="n"/>
      <c r="AI489" s="138" t="n"/>
      <c r="AJ489" s="16" t="n"/>
      <c r="AK489" s="138" t="n"/>
      <c r="AL489" s="16" t="n"/>
      <c r="AM489" s="138" t="n"/>
      <c r="AN489" s="16" t="n"/>
      <c r="AO489" s="138" t="n"/>
      <c r="AP489" s="16" t="n"/>
      <c r="AQ489" s="138" t="n"/>
      <c r="AR489" s="16" t="n"/>
      <c r="AS489" s="138" t="n"/>
      <c r="AT489" s="16" t="n"/>
      <c r="AU489" s="138" t="n"/>
      <c r="AV489" s="16" t="n"/>
      <c r="AW489" s="138" t="n"/>
      <c r="AX489" s="16" t="n"/>
      <c r="AY489" s="138" t="n"/>
      <c r="AZ489" s="16">
        <f>AF489+AH489+AJ489+AL489+AN489+AP489+AR489+AT489+AV489+AX489</f>
        <v/>
      </c>
      <c r="BA489" s="16" t="n"/>
      <c r="BB489" s="139" t="n"/>
      <c r="BC489" s="16" t="n"/>
      <c r="BD489" s="139" t="n"/>
      <c r="BE489" s="16">
        <f>(BA489+BC489)</f>
        <v/>
      </c>
    </row>
    <row r="490" ht="22.5" customFormat="1" customHeight="1" s="8">
      <c r="A490" s="9" t="n"/>
      <c r="B490" s="136" t="inlineStr">
        <is>
          <t>에어셀</t>
        </is>
      </c>
      <c r="C490" s="137" t="inlineStr">
        <is>
          <t>DX3000</t>
        </is>
      </c>
      <c r="D490" s="65" t="inlineStr">
        <is>
          <t>에어셀 TOP</t>
        </is>
      </c>
      <c r="E490" s="13" t="inlineStr">
        <is>
          <t>JD010211-02</t>
        </is>
      </c>
      <c r="F490" s="99" t="n"/>
      <c r="G490" s="9" t="n"/>
      <c r="H490" s="9" t="inlineStr">
        <is>
          <t>에어패킹</t>
        </is>
      </c>
      <c r="I490" s="14" t="n"/>
      <c r="J490" s="14" t="n"/>
      <c r="K490" s="12" t="n"/>
      <c r="L490" s="9" t="n"/>
      <c r="M490" s="9" t="n"/>
      <c r="N490" s="9" t="n"/>
      <c r="O490" s="40">
        <f>K490+V490-AE490-AZ490</f>
        <v/>
      </c>
      <c r="P490" s="12" t="n"/>
      <c r="Q490" s="138" t="n"/>
      <c r="R490" s="16" t="n"/>
      <c r="S490" s="139" t="n"/>
      <c r="T490" s="16" t="n"/>
      <c r="U490" s="139" t="n"/>
      <c r="V490" s="16">
        <f>P490+R490+T490</f>
        <v/>
      </c>
      <c r="W490" s="16" t="n"/>
      <c r="X490" s="139" t="n"/>
      <c r="Y490" s="16" t="n"/>
      <c r="Z490" s="139" t="n"/>
      <c r="AA490" s="16" t="n"/>
      <c r="AB490" s="139" t="n"/>
      <c r="AC490" s="16" t="n"/>
      <c r="AD490" s="139" t="n"/>
      <c r="AE490" s="16">
        <f>(W490+Y490+AA490+AC490)</f>
        <v/>
      </c>
      <c r="AF490" s="16" t="n"/>
      <c r="AG490" s="138" t="n"/>
      <c r="AH490" s="16" t="n"/>
      <c r="AI490" s="138" t="n"/>
      <c r="AJ490" s="16" t="n"/>
      <c r="AK490" s="138" t="n"/>
      <c r="AL490" s="16" t="n"/>
      <c r="AM490" s="138" t="n"/>
      <c r="AN490" s="16" t="n"/>
      <c r="AO490" s="138" t="n"/>
      <c r="AP490" s="16" t="n"/>
      <c r="AQ490" s="138" t="n"/>
      <c r="AR490" s="16" t="n"/>
      <c r="AS490" s="138" t="n"/>
      <c r="AT490" s="16" t="n"/>
      <c r="AU490" s="138" t="n"/>
      <c r="AV490" s="16" t="n"/>
      <c r="AW490" s="138" t="n"/>
      <c r="AX490" s="16" t="n"/>
      <c r="AY490" s="138" t="n"/>
      <c r="AZ490" s="16">
        <f>AF490+AH490+AJ490+AL490+AN490+AP490+AR490+AT490+AV490+AX490</f>
        <v/>
      </c>
      <c r="BA490" s="16" t="n"/>
      <c r="BB490" s="139" t="n"/>
      <c r="BC490" s="16" t="n"/>
      <c r="BD490" s="139" t="n"/>
      <c r="BE490" s="16">
        <f>(BA490+BC490)</f>
        <v/>
      </c>
    </row>
    <row r="491" ht="22.5" customFormat="1" customHeight="1" s="8">
      <c r="A491" s="9" t="n"/>
      <c r="B491" s="136" t="inlineStr">
        <is>
          <t>에어셀</t>
        </is>
      </c>
      <c r="C491" s="137" t="inlineStr">
        <is>
          <t>DX3000</t>
        </is>
      </c>
      <c r="D491" s="65" t="inlineStr">
        <is>
          <t>에어셀 BOTTOM</t>
        </is>
      </c>
      <c r="E491" s="13" t="inlineStr">
        <is>
          <t>JD010212-02</t>
        </is>
      </c>
      <c r="F491" s="99" t="n"/>
      <c r="G491" s="9" t="n"/>
      <c r="H491" s="9" t="inlineStr">
        <is>
          <t>에어패킹</t>
        </is>
      </c>
      <c r="I491" s="14" t="n"/>
      <c r="J491" s="14" t="n"/>
      <c r="K491" s="12" t="n"/>
      <c r="L491" s="9" t="n"/>
      <c r="M491" s="9" t="n"/>
      <c r="N491" s="9" t="n"/>
      <c r="O491" s="40">
        <f>K491+V491-AE491-AZ491</f>
        <v/>
      </c>
      <c r="P491" s="12" t="n"/>
      <c r="Q491" s="138" t="n"/>
      <c r="R491" s="16" t="n"/>
      <c r="S491" s="139" t="n"/>
      <c r="T491" s="16" t="n"/>
      <c r="U491" s="139" t="n"/>
      <c r="V491" s="16">
        <f>P491+R491+T491</f>
        <v/>
      </c>
      <c r="W491" s="16" t="n"/>
      <c r="X491" s="139" t="n"/>
      <c r="Y491" s="16" t="n"/>
      <c r="Z491" s="139" t="n"/>
      <c r="AA491" s="16" t="n"/>
      <c r="AB491" s="139" t="n"/>
      <c r="AC491" s="16" t="n"/>
      <c r="AD491" s="139" t="n"/>
      <c r="AE491" s="16">
        <f>(W491+Y491+AA491+AC491)</f>
        <v/>
      </c>
      <c r="AF491" s="16" t="n"/>
      <c r="AG491" s="138" t="n"/>
      <c r="AH491" s="16" t="n"/>
      <c r="AI491" s="138" t="n"/>
      <c r="AJ491" s="16" t="n"/>
      <c r="AK491" s="138" t="n"/>
      <c r="AL491" s="16" t="n"/>
      <c r="AM491" s="138" t="n"/>
      <c r="AN491" s="16" t="n"/>
      <c r="AO491" s="138" t="n"/>
      <c r="AP491" s="16" t="n"/>
      <c r="AQ491" s="138" t="n"/>
      <c r="AR491" s="16" t="n"/>
      <c r="AS491" s="138" t="n"/>
      <c r="AT491" s="16" t="n"/>
      <c r="AU491" s="138" t="n"/>
      <c r="AV491" s="16" t="n"/>
      <c r="AW491" s="138" t="n"/>
      <c r="AX491" s="16" t="n"/>
      <c r="AY491" s="138" t="n"/>
      <c r="AZ491" s="16">
        <f>AF491+AH491+AJ491+AL491+AN491+AP491+AR491+AT491+AV491+AX491</f>
        <v/>
      </c>
      <c r="BA491" s="16" t="n"/>
      <c r="BB491" s="139" t="n"/>
      <c r="BC491" s="16" t="n"/>
      <c r="BD491" s="139" t="n"/>
      <c r="BE491" s="16">
        <f>(BA491+BC491)</f>
        <v/>
      </c>
    </row>
    <row r="492" ht="22.5" customFormat="1" customHeight="1" s="8">
      <c r="A492" s="9" t="n"/>
      <c r="B492" s="136" t="inlineStr">
        <is>
          <t>에어셀</t>
        </is>
      </c>
      <c r="C492" s="137" t="inlineStr">
        <is>
          <t>COCOON</t>
        </is>
      </c>
      <c r="D492" s="65" t="inlineStr">
        <is>
          <t>에어셀 TOP</t>
        </is>
      </c>
      <c r="E492" s="13" t="inlineStr">
        <is>
          <t>JD010311-01</t>
        </is>
      </c>
      <c r="F492" s="99" t="n"/>
      <c r="G492" s="9" t="n"/>
      <c r="H492" s="9" t="inlineStr">
        <is>
          <t>인디스에어</t>
        </is>
      </c>
      <c r="I492" s="14" t="n"/>
      <c r="J492" s="14" t="n"/>
      <c r="K492" s="12" t="n"/>
      <c r="L492" s="9" t="n"/>
      <c r="M492" s="9" t="n"/>
      <c r="N492" s="9" t="n"/>
      <c r="O492" s="40">
        <f>K492+V492-AE492-AZ492</f>
        <v/>
      </c>
      <c r="P492" s="12" t="n"/>
      <c r="Q492" s="138" t="n"/>
      <c r="R492" s="16" t="n"/>
      <c r="S492" s="139" t="n"/>
      <c r="T492" s="16" t="n"/>
      <c r="U492" s="139" t="n"/>
      <c r="V492" s="16">
        <f>P492+R492+T492</f>
        <v/>
      </c>
      <c r="W492" s="16" t="n"/>
      <c r="X492" s="139" t="n"/>
      <c r="Y492" s="16" t="n"/>
      <c r="Z492" s="139" t="n"/>
      <c r="AA492" s="16" t="n"/>
      <c r="AB492" s="139" t="n"/>
      <c r="AC492" s="16" t="n"/>
      <c r="AD492" s="139" t="n"/>
      <c r="AE492" s="16">
        <f>(W492+Y492+AA492+AC492)</f>
        <v/>
      </c>
      <c r="AF492" s="16" t="n"/>
      <c r="AG492" s="138" t="n"/>
      <c r="AH492" s="16" t="n"/>
      <c r="AI492" s="138" t="n"/>
      <c r="AJ492" s="16" t="n"/>
      <c r="AK492" s="138" t="n"/>
      <c r="AL492" s="16" t="n"/>
      <c r="AM492" s="138" t="n"/>
      <c r="AN492" s="16" t="n"/>
      <c r="AO492" s="138" t="n"/>
      <c r="AP492" s="16" t="n"/>
      <c r="AQ492" s="138" t="n"/>
      <c r="AR492" s="16" t="n"/>
      <c r="AS492" s="138" t="n"/>
      <c r="AT492" s="16" t="n"/>
      <c r="AU492" s="138" t="n"/>
      <c r="AV492" s="16" t="n"/>
      <c r="AW492" s="138" t="n"/>
      <c r="AX492" s="16" t="n"/>
      <c r="AY492" s="138" t="n"/>
      <c r="AZ492" s="16">
        <f>AF492+AH492+AJ492+AL492+AN492+AP492+AR492+AT492+AV492+AX492</f>
        <v/>
      </c>
      <c r="BA492" s="16" t="n"/>
      <c r="BB492" s="139" t="n"/>
      <c r="BC492" s="16" t="n"/>
      <c r="BD492" s="139" t="n"/>
      <c r="BE492" s="16">
        <f>(BA492+BC492)</f>
        <v/>
      </c>
    </row>
    <row r="493" ht="22.5" customFormat="1" customHeight="1" s="8">
      <c r="A493" s="9" t="n"/>
      <c r="B493" s="136" t="inlineStr">
        <is>
          <t>에어셀</t>
        </is>
      </c>
      <c r="C493" s="137" t="inlineStr">
        <is>
          <t>COCOON</t>
        </is>
      </c>
      <c r="D493" s="65" t="inlineStr">
        <is>
          <t>에어셀 BOTTOM</t>
        </is>
      </c>
      <c r="E493" s="13" t="inlineStr">
        <is>
          <t>JD010312-01</t>
        </is>
      </c>
      <c r="F493" s="99" t="n"/>
      <c r="G493" s="9" t="n"/>
      <c r="H493" s="9" t="inlineStr">
        <is>
          <t>인디스에어</t>
        </is>
      </c>
      <c r="I493" s="14" t="n"/>
      <c r="J493" s="14" t="n"/>
      <c r="K493" s="12" t="n"/>
      <c r="L493" s="9" t="n"/>
      <c r="M493" s="9" t="n"/>
      <c r="N493" s="9" t="n"/>
      <c r="O493" s="40">
        <f>K493+V493-AE493-AZ493</f>
        <v/>
      </c>
      <c r="P493" s="12" t="n"/>
      <c r="Q493" s="138" t="n"/>
      <c r="R493" s="16" t="n"/>
      <c r="S493" s="139" t="n"/>
      <c r="T493" s="16" t="n"/>
      <c r="U493" s="139" t="n"/>
      <c r="V493" s="16">
        <f>P493+R493+T493</f>
        <v/>
      </c>
      <c r="W493" s="16" t="n"/>
      <c r="X493" s="139" t="n"/>
      <c r="Y493" s="16" t="n"/>
      <c r="Z493" s="139" t="n"/>
      <c r="AA493" s="16" t="n"/>
      <c r="AB493" s="139" t="n"/>
      <c r="AC493" s="16" t="n"/>
      <c r="AD493" s="139" t="n"/>
      <c r="AE493" s="16">
        <f>(W493+Y493+AA493+AC493)</f>
        <v/>
      </c>
      <c r="AF493" s="16" t="n"/>
      <c r="AG493" s="138" t="n"/>
      <c r="AH493" s="16" t="n"/>
      <c r="AI493" s="138" t="n"/>
      <c r="AJ493" s="16" t="n"/>
      <c r="AK493" s="138" t="n"/>
      <c r="AL493" s="16" t="n"/>
      <c r="AM493" s="138" t="n"/>
      <c r="AN493" s="16" t="n"/>
      <c r="AO493" s="138" t="n"/>
      <c r="AP493" s="16" t="n"/>
      <c r="AQ493" s="138" t="n"/>
      <c r="AR493" s="16" t="n"/>
      <c r="AS493" s="138" t="n"/>
      <c r="AT493" s="16" t="n"/>
      <c r="AU493" s="138" t="n"/>
      <c r="AV493" s="16" t="n"/>
      <c r="AW493" s="138" t="n"/>
      <c r="AX493" s="16" t="n"/>
      <c r="AY493" s="138" t="n"/>
      <c r="AZ493" s="16">
        <f>AF493+AH493+AJ493+AL493+AN493+AP493+AR493+AT493+AV493+AX493</f>
        <v/>
      </c>
      <c r="BA493" s="16" t="n"/>
      <c r="BB493" s="139" t="n"/>
      <c r="BC493" s="16" t="n"/>
      <c r="BD493" s="139" t="n"/>
      <c r="BE493" s="16">
        <f>(BA493+BC493)</f>
        <v/>
      </c>
    </row>
    <row r="494" ht="22.5" customFormat="1" customHeight="1" s="8">
      <c r="A494" s="9" t="n"/>
      <c r="B494" s="136" t="inlineStr">
        <is>
          <t>에어셀</t>
        </is>
      </c>
      <c r="C494" s="137" t="inlineStr">
        <is>
          <t>공용</t>
        </is>
      </c>
      <c r="D494" s="65" t="inlineStr">
        <is>
          <t>저가 박스  에어셀 Main</t>
        </is>
      </c>
      <c r="E494" s="13" t="inlineStr">
        <is>
          <t>JD010411-01</t>
        </is>
      </c>
      <c r="F494" s="99" t="n"/>
      <c r="G494" s="9" t="n"/>
      <c r="H494" s="9" t="inlineStr">
        <is>
          <t>인디스에어</t>
        </is>
      </c>
      <c r="I494" s="14" t="n"/>
      <c r="J494" s="14" t="n"/>
      <c r="K494" s="12" t="n"/>
      <c r="L494" s="9" t="n"/>
      <c r="M494" s="9" t="n"/>
      <c r="N494" s="9" t="n"/>
      <c r="O494" s="40">
        <f>K494+V494-AE494-AZ494</f>
        <v/>
      </c>
      <c r="P494" s="12" t="n"/>
      <c r="Q494" s="138" t="n"/>
      <c r="R494" s="16" t="n"/>
      <c r="S494" s="139" t="n"/>
      <c r="T494" s="16" t="n"/>
      <c r="U494" s="139" t="n"/>
      <c r="V494" s="16">
        <f>P494+R494+T494</f>
        <v/>
      </c>
      <c r="W494" s="16" t="n"/>
      <c r="X494" s="139" t="n"/>
      <c r="Y494" s="16" t="n"/>
      <c r="Z494" s="139" t="n"/>
      <c r="AA494" s="16" t="n"/>
      <c r="AB494" s="139" t="n"/>
      <c r="AC494" s="16" t="n"/>
      <c r="AD494" s="139" t="n"/>
      <c r="AE494" s="16">
        <f>(W494+Y494+AA494+AC494)</f>
        <v/>
      </c>
      <c r="AF494" s="16" t="n"/>
      <c r="AG494" s="138" t="n"/>
      <c r="AH494" s="16" t="n"/>
      <c r="AI494" s="138" t="n"/>
      <c r="AJ494" s="16" t="n"/>
      <c r="AK494" s="138" t="n"/>
      <c r="AL494" s="16" t="n"/>
      <c r="AM494" s="138" t="n"/>
      <c r="AN494" s="16" t="n"/>
      <c r="AO494" s="138" t="n"/>
      <c r="AP494" s="16" t="n"/>
      <c r="AQ494" s="138" t="n"/>
      <c r="AR494" s="16" t="n"/>
      <c r="AS494" s="138" t="n"/>
      <c r="AT494" s="16" t="n"/>
      <c r="AU494" s="138" t="n"/>
      <c r="AV494" s="16" t="n"/>
      <c r="AW494" s="138" t="n"/>
      <c r="AX494" s="16" t="n"/>
      <c r="AY494" s="138" t="n"/>
      <c r="AZ494" s="16">
        <f>AF494+AH494+AJ494+AL494+AN494+AP494+AR494+AT494+AV494+AX494</f>
        <v/>
      </c>
      <c r="BA494" s="16" t="n"/>
      <c r="BB494" s="139" t="n"/>
      <c r="BC494" s="16" t="n"/>
      <c r="BD494" s="139" t="n"/>
      <c r="BE494" s="16">
        <f>(BA494+BC494)</f>
        <v/>
      </c>
    </row>
    <row r="495" ht="22.5" customFormat="1" customHeight="1" s="8">
      <c r="A495" s="9" t="n"/>
      <c r="B495" s="136" t="inlineStr">
        <is>
          <t>에어셀</t>
        </is>
      </c>
      <c r="C495" s="137" t="inlineStr">
        <is>
          <t>공용</t>
        </is>
      </c>
      <c r="D495" s="60" t="inlineStr">
        <is>
          <t>저가 박스  에어셀 ACC</t>
        </is>
      </c>
      <c r="E495" s="13" t="inlineStr">
        <is>
          <t>JD010412-01</t>
        </is>
      </c>
      <c r="F495" s="99" t="n"/>
      <c r="G495" s="9" t="n"/>
      <c r="H495" s="9" t="inlineStr">
        <is>
          <t>인디스에어</t>
        </is>
      </c>
      <c r="I495" s="14" t="n"/>
      <c r="J495" s="14" t="n"/>
      <c r="K495" s="12" t="n"/>
      <c r="L495" s="9" t="n"/>
      <c r="M495" s="9" t="n"/>
      <c r="N495" s="9" t="n"/>
      <c r="O495" s="40">
        <f>K495+V495-AE495-AZ495</f>
        <v/>
      </c>
      <c r="P495" s="12" t="n"/>
      <c r="Q495" s="138" t="n"/>
      <c r="R495" s="16" t="n"/>
      <c r="S495" s="139" t="n"/>
      <c r="T495" s="16" t="n"/>
      <c r="U495" s="139" t="n"/>
      <c r="V495" s="16">
        <f>P495+R495+T495</f>
        <v/>
      </c>
      <c r="W495" s="16" t="n"/>
      <c r="X495" s="139" t="n"/>
      <c r="Y495" s="16" t="n"/>
      <c r="Z495" s="139" t="n"/>
      <c r="AA495" s="16" t="n"/>
      <c r="AB495" s="139" t="n"/>
      <c r="AC495" s="16" t="n"/>
      <c r="AD495" s="139" t="n"/>
      <c r="AE495" s="16">
        <f>(W495+Y495+AA495+AC495)</f>
        <v/>
      </c>
      <c r="AF495" s="16" t="n"/>
      <c r="AG495" s="138" t="n"/>
      <c r="AH495" s="16" t="n"/>
      <c r="AI495" s="138" t="n"/>
      <c r="AJ495" s="16" t="n"/>
      <c r="AK495" s="138" t="n"/>
      <c r="AL495" s="16" t="n"/>
      <c r="AM495" s="138" t="n"/>
      <c r="AN495" s="16" t="n"/>
      <c r="AO495" s="138" t="n"/>
      <c r="AP495" s="16" t="n"/>
      <c r="AQ495" s="138" t="n"/>
      <c r="AR495" s="16" t="n"/>
      <c r="AS495" s="138" t="n"/>
      <c r="AT495" s="16" t="n"/>
      <c r="AU495" s="138" t="n"/>
      <c r="AV495" s="16" t="n"/>
      <c r="AW495" s="138" t="n"/>
      <c r="AX495" s="16" t="n"/>
      <c r="AY495" s="138" t="n"/>
      <c r="AZ495" s="16">
        <f>AF495+AH495+AJ495+AL495+AN495+AP495+AR495+AT495+AV495+AX495</f>
        <v/>
      </c>
      <c r="BA495" s="16" t="n"/>
      <c r="BB495" s="139" t="n"/>
      <c r="BC495" s="16" t="n"/>
      <c r="BD495" s="139" t="n"/>
      <c r="BE495" s="16">
        <f>(BA495+BC495)</f>
        <v/>
      </c>
    </row>
    <row r="496" ht="22.5" customFormat="1" customHeight="1" s="8">
      <c r="A496" s="9" t="n"/>
      <c r="B496" s="136" t="inlineStr">
        <is>
          <t>넥스트랩</t>
        </is>
      </c>
      <c r="C496" s="137" t="inlineStr">
        <is>
          <t>공용</t>
        </is>
      </c>
      <c r="D496" s="63" t="inlineStr">
        <is>
          <t>넥스트 랩</t>
        </is>
      </c>
      <c r="E496" s="13" t="inlineStr">
        <is>
          <t>포켓</t>
        </is>
      </c>
      <c r="F496" s="99" t="n"/>
      <c r="G496" s="9" t="n"/>
      <c r="H496" s="9" t="inlineStr">
        <is>
          <t>피엔에스</t>
        </is>
      </c>
      <c r="I496" s="14" t="n"/>
      <c r="J496" s="14" t="n"/>
      <c r="K496" s="12" t="n">
        <v>100</v>
      </c>
      <c r="L496" s="9" t="n"/>
      <c r="M496" s="9" t="n"/>
      <c r="N496" s="9" t="n"/>
      <c r="O496" s="40">
        <f>K496+V496-AE496-AZ496</f>
        <v/>
      </c>
      <c r="P496" s="12" t="n"/>
      <c r="Q496" s="138" t="n"/>
      <c r="R496" s="16" t="n"/>
      <c r="S496" s="139" t="n"/>
      <c r="T496" s="16" t="n"/>
      <c r="U496" s="139" t="n"/>
      <c r="V496" s="16">
        <f>P496+R496+T496</f>
        <v/>
      </c>
      <c r="W496" s="16" t="n"/>
      <c r="X496" s="139" t="n"/>
      <c r="Y496" s="16" t="n"/>
      <c r="Z496" s="139" t="n"/>
      <c r="AA496" s="16" t="n"/>
      <c r="AB496" s="139" t="n"/>
      <c r="AC496" s="16" t="n"/>
      <c r="AD496" s="139" t="n"/>
      <c r="AE496" s="16">
        <f>(W496+Y496+AA496+AC496)</f>
        <v/>
      </c>
      <c r="AF496" s="16" t="n"/>
      <c r="AG496" s="138" t="n"/>
      <c r="AH496" s="16" t="n"/>
      <c r="AI496" s="138" t="n"/>
      <c r="AJ496" s="16" t="n"/>
      <c r="AK496" s="138" t="n"/>
      <c r="AL496" s="16" t="n"/>
      <c r="AM496" s="138" t="n"/>
      <c r="AN496" s="16" t="n"/>
      <c r="AO496" s="138" t="n"/>
      <c r="AP496" s="16" t="n"/>
      <c r="AQ496" s="138" t="n"/>
      <c r="AR496" s="16" t="n"/>
      <c r="AS496" s="138" t="n"/>
      <c r="AT496" s="16" t="n"/>
      <c r="AU496" s="138" t="n"/>
      <c r="AV496" s="16" t="n"/>
      <c r="AW496" s="138" t="n"/>
      <c r="AX496" s="16" t="n"/>
      <c r="AY496" s="138" t="n"/>
      <c r="AZ496" s="16">
        <f>AF496+AH496+AJ496+AL496+AN496+AP496+AR496+AT496+AV496+AX496</f>
        <v/>
      </c>
      <c r="BA496" s="16" t="n"/>
      <c r="BB496" s="139" t="n"/>
      <c r="BC496" s="16" t="n"/>
      <c r="BD496" s="139" t="n"/>
      <c r="BE496" s="16">
        <f>(BA496+BC496)</f>
        <v/>
      </c>
    </row>
    <row r="497" ht="22.5" customFormat="1" customHeight="1" s="8">
      <c r="A497" s="9" t="n"/>
      <c r="B497" s="136" t="inlineStr">
        <is>
          <t>넥스트랩</t>
        </is>
      </c>
      <c r="C497" s="137" t="inlineStr">
        <is>
          <t>공용</t>
        </is>
      </c>
      <c r="D497" s="63" t="inlineStr">
        <is>
          <t>넥스트 랩</t>
        </is>
      </c>
      <c r="E497" s="13" t="inlineStr">
        <is>
          <t>포켓 구형</t>
        </is>
      </c>
      <c r="F497" s="99" t="n"/>
      <c r="G497" s="9" t="n"/>
      <c r="H497" s="9" t="inlineStr">
        <is>
          <t>씨티무역</t>
        </is>
      </c>
      <c r="I497" s="14" t="n"/>
      <c r="J497" s="14" t="n"/>
      <c r="K497" s="12" t="n"/>
      <c r="L497" s="9" t="n"/>
      <c r="M497" s="9" t="n"/>
      <c r="N497" s="9" t="n"/>
      <c r="O497" s="40">
        <f>K497+V497-AE497-AZ497</f>
        <v/>
      </c>
      <c r="P497" s="12" t="n"/>
      <c r="Q497" s="138" t="n"/>
      <c r="R497" s="16" t="n"/>
      <c r="S497" s="139" t="n"/>
      <c r="T497" s="16" t="n"/>
      <c r="U497" s="139" t="n"/>
      <c r="V497" s="16">
        <f>P497+R497+T497</f>
        <v/>
      </c>
      <c r="W497" s="16" t="n"/>
      <c r="X497" s="139" t="n"/>
      <c r="Y497" s="16" t="n"/>
      <c r="Z497" s="139" t="n"/>
      <c r="AA497" s="16" t="n"/>
      <c r="AB497" s="139" t="n"/>
      <c r="AC497" s="16" t="n"/>
      <c r="AD497" s="139" t="n"/>
      <c r="AE497" s="16">
        <f>(W497+Y497+AA497+AC497)</f>
        <v/>
      </c>
      <c r="AF497" s="16" t="n"/>
      <c r="AG497" s="138" t="n"/>
      <c r="AH497" s="16" t="n"/>
      <c r="AI497" s="138" t="n"/>
      <c r="AJ497" s="16" t="n"/>
      <c r="AK497" s="138" t="n"/>
      <c r="AL497" s="16" t="n"/>
      <c r="AM497" s="138" t="n"/>
      <c r="AN497" s="16" t="n"/>
      <c r="AO497" s="138" t="n"/>
      <c r="AP497" s="16" t="n"/>
      <c r="AQ497" s="138" t="n"/>
      <c r="AR497" s="16" t="n"/>
      <c r="AS497" s="138" t="n"/>
      <c r="AT497" s="16" t="n"/>
      <c r="AU497" s="138" t="n"/>
      <c r="AV497" s="16" t="n"/>
      <c r="AW497" s="138" t="n"/>
      <c r="AX497" s="16" t="n"/>
      <c r="AY497" s="138" t="n"/>
      <c r="AZ497" s="16">
        <f>AF497+AH497+AJ497+AL497+AN497+AP497+AR497+AT497+AV497+AX497</f>
        <v/>
      </c>
      <c r="BA497" s="16" t="n"/>
      <c r="BB497" s="139" t="n"/>
      <c r="BC497" s="16" t="n"/>
      <c r="BD497" s="139" t="n"/>
      <c r="BE497" s="16">
        <f>(BA497+BC497)</f>
        <v/>
      </c>
    </row>
    <row r="498" ht="22.5" customFormat="1" customHeight="1" s="8">
      <c r="A498" s="9" t="n"/>
      <c r="B498" s="136" t="inlineStr">
        <is>
          <t>넥스트랩</t>
        </is>
      </c>
      <c r="C498" s="137" t="inlineStr">
        <is>
          <t>공용</t>
        </is>
      </c>
      <c r="D498" s="65" t="inlineStr">
        <is>
          <t>넥스트 랩</t>
        </is>
      </c>
      <c r="E498" s="13" t="inlineStr">
        <is>
          <t>포켓 X</t>
        </is>
      </c>
      <c r="F498" s="99" t="n"/>
      <c r="G498" s="9" t="n"/>
      <c r="H498" s="9" t="inlineStr">
        <is>
          <t>씨티무역</t>
        </is>
      </c>
      <c r="I498" s="14" t="n"/>
      <c r="J498" s="14" t="n"/>
      <c r="K498" s="12" t="n"/>
      <c r="L498" s="9" t="n"/>
      <c r="M498" s="9" t="n"/>
      <c r="N498" s="9" t="n"/>
      <c r="O498" s="40">
        <f>K498+V498-AE498-AZ498</f>
        <v/>
      </c>
      <c r="P498" s="12" t="n"/>
      <c r="Q498" s="138" t="n"/>
      <c r="R498" s="16" t="n"/>
      <c r="S498" s="139" t="n"/>
      <c r="T498" s="16" t="n"/>
      <c r="U498" s="139" t="n"/>
      <c r="V498" s="16">
        <f>P498+R498+T498</f>
        <v/>
      </c>
      <c r="W498" s="16" t="n"/>
      <c r="X498" s="139" t="n"/>
      <c r="Y498" s="16" t="n"/>
      <c r="Z498" s="139" t="n"/>
      <c r="AA498" s="16" t="n"/>
      <c r="AB498" s="139" t="n"/>
      <c r="AC498" s="16" t="n"/>
      <c r="AD498" s="139" t="n"/>
      <c r="AE498" s="16">
        <f>(W498+Y498+AA498+AC498)</f>
        <v/>
      </c>
      <c r="AF498" s="16" t="n"/>
      <c r="AG498" s="138" t="n"/>
      <c r="AH498" s="16" t="n"/>
      <c r="AI498" s="138" t="n"/>
      <c r="AJ498" s="16" t="n"/>
      <c r="AK498" s="138" t="n"/>
      <c r="AL498" s="16" t="n"/>
      <c r="AM498" s="138" t="n"/>
      <c r="AN498" s="16" t="n"/>
      <c r="AO498" s="138" t="n"/>
      <c r="AP498" s="16" t="n"/>
      <c r="AQ498" s="138" t="n"/>
      <c r="AR498" s="16" t="n"/>
      <c r="AS498" s="138" t="n"/>
      <c r="AT498" s="16" t="n"/>
      <c r="AU498" s="138" t="n"/>
      <c r="AV498" s="16" t="n"/>
      <c r="AW498" s="138" t="n"/>
      <c r="AX498" s="16" t="n"/>
      <c r="AY498" s="138" t="n"/>
      <c r="AZ498" s="16">
        <f>AF498+AH498+AJ498+AL498+AN498+AP498+AR498+AT498+AV498+AX498</f>
        <v/>
      </c>
      <c r="BA498" s="16" t="n"/>
      <c r="BB498" s="139" t="n"/>
      <c r="BC498" s="16" t="n"/>
      <c r="BD498" s="139" t="n"/>
      <c r="BE498" s="16">
        <f>(BA498+BC498)</f>
        <v/>
      </c>
    </row>
    <row r="499" ht="22.5" customFormat="1" customHeight="1" s="8">
      <c r="A499" s="9" t="n"/>
      <c r="B499" s="136" t="inlineStr">
        <is>
          <t>숄더스트랩</t>
        </is>
      </c>
      <c r="C499" s="137" t="inlineStr">
        <is>
          <t>DX3000</t>
        </is>
      </c>
      <c r="D499" s="63" t="inlineStr">
        <is>
          <t>제품 어깨끈</t>
        </is>
      </c>
      <c r="E499" s="13" t="inlineStr">
        <is>
          <t>구형 (호주에 적용)</t>
        </is>
      </c>
      <c r="F499" s="99" t="n"/>
      <c r="G499" s="9" t="n"/>
      <c r="H499" s="9" t="inlineStr">
        <is>
          <t>굿모닝코리아유통</t>
        </is>
      </c>
      <c r="I499" s="14" t="n"/>
      <c r="J499" s="14" t="n"/>
      <c r="K499" s="12" t="n">
        <v>75</v>
      </c>
      <c r="L499" s="9" t="n"/>
      <c r="M499" s="9" t="n"/>
      <c r="N499" s="9" t="n"/>
      <c r="O499" s="40">
        <f>K499+V499-AE499-AZ499</f>
        <v/>
      </c>
      <c r="P499" s="12" t="n"/>
      <c r="Q499" s="138" t="n"/>
      <c r="R499" s="16" t="n"/>
      <c r="S499" s="139" t="n"/>
      <c r="T499" s="16" t="n"/>
      <c r="U499" s="139" t="n"/>
      <c r="V499" s="16">
        <f>P499+R499+T499</f>
        <v/>
      </c>
      <c r="W499" s="16" t="n"/>
      <c r="X499" s="139" t="n"/>
      <c r="Y499" s="16" t="n"/>
      <c r="Z499" s="139" t="n"/>
      <c r="AA499" s="16" t="n"/>
      <c r="AB499" s="139" t="n"/>
      <c r="AC499" s="16" t="n"/>
      <c r="AD499" s="139" t="n"/>
      <c r="AE499" s="16">
        <f>(W499+Y499+AA499+AC499)</f>
        <v/>
      </c>
      <c r="AF499" s="16" t="n"/>
      <c r="AG499" s="138" t="n"/>
      <c r="AH499" s="16" t="n"/>
      <c r="AI499" s="138" t="n"/>
      <c r="AJ499" s="16" t="n"/>
      <c r="AK499" s="138" t="n"/>
      <c r="AL499" s="16" t="n"/>
      <c r="AM499" s="138" t="n"/>
      <c r="AN499" s="16" t="n"/>
      <c r="AO499" s="138" t="n"/>
      <c r="AP499" s="16" t="n"/>
      <c r="AQ499" s="138" t="n"/>
      <c r="AR499" s="16" t="n"/>
      <c r="AS499" s="138" t="n"/>
      <c r="AT499" s="16" t="n"/>
      <c r="AU499" s="138" t="n"/>
      <c r="AV499" s="16" t="n"/>
      <c r="AW499" s="138" t="n"/>
      <c r="AX499" s="16" t="n"/>
      <c r="AY499" s="138" t="n"/>
      <c r="AZ499" s="16">
        <f>AF499+AH499+AJ499+AL499+AN499+AP499+AR499+AT499+AV499+AX499</f>
        <v/>
      </c>
      <c r="BA499" s="16" t="n"/>
      <c r="BB499" s="139" t="n"/>
      <c r="BC499" s="16" t="n"/>
      <c r="BD499" s="139" t="n"/>
      <c r="BE499" s="16">
        <f>(BA499+BC499)</f>
        <v/>
      </c>
    </row>
    <row r="500" ht="22.5" customFormat="1" customHeight="1" s="8">
      <c r="A500" s="9" t="n"/>
      <c r="B500" s="136" t="inlineStr">
        <is>
          <t>숄더스트랩</t>
        </is>
      </c>
      <c r="C500" s="137" t="inlineStr">
        <is>
          <t>DX3000</t>
        </is>
      </c>
      <c r="D500" s="60" t="inlineStr">
        <is>
          <t>가방끈</t>
        </is>
      </c>
      <c r="E500" s="13" t="inlineStr">
        <is>
          <t>일본용</t>
        </is>
      </c>
      <c r="F500" s="99" t="n"/>
      <c r="G500" s="9" t="n"/>
      <c r="H500" s="9" t="inlineStr">
        <is>
          <t>굿모닝코리아유통</t>
        </is>
      </c>
      <c r="I500" s="14" t="n"/>
      <c r="J500" s="14" t="n"/>
      <c r="K500" s="12" t="n"/>
      <c r="L500" s="9" t="n"/>
      <c r="M500" s="9" t="n"/>
      <c r="N500" s="9" t="n"/>
      <c r="O500" s="40">
        <f>K500+V500-AE500-AZ500</f>
        <v/>
      </c>
      <c r="P500" s="12" t="n"/>
      <c r="Q500" s="138" t="n"/>
      <c r="R500" s="16" t="n"/>
      <c r="S500" s="139" t="n"/>
      <c r="T500" s="16" t="n"/>
      <c r="U500" s="139" t="n"/>
      <c r="V500" s="16">
        <f>P500+R500+T500</f>
        <v/>
      </c>
      <c r="W500" s="16" t="n"/>
      <c r="X500" s="139" t="n"/>
      <c r="Y500" s="16" t="n"/>
      <c r="Z500" s="139" t="n"/>
      <c r="AA500" s="16" t="n"/>
      <c r="AB500" s="139" t="n"/>
      <c r="AC500" s="16" t="n"/>
      <c r="AD500" s="139" t="n"/>
      <c r="AE500" s="16">
        <f>(W500+Y500+AA500+AC500)</f>
        <v/>
      </c>
      <c r="AF500" s="16" t="n"/>
      <c r="AG500" s="138" t="n"/>
      <c r="AH500" s="16" t="n"/>
      <c r="AI500" s="138" t="n"/>
      <c r="AJ500" s="16" t="n"/>
      <c r="AK500" s="138" t="n"/>
      <c r="AL500" s="16" t="n"/>
      <c r="AM500" s="138" t="n"/>
      <c r="AN500" s="16" t="n"/>
      <c r="AO500" s="138" t="n"/>
      <c r="AP500" s="16" t="n"/>
      <c r="AQ500" s="138" t="n"/>
      <c r="AR500" s="16" t="n"/>
      <c r="AS500" s="138" t="n"/>
      <c r="AT500" s="16" t="n"/>
      <c r="AU500" s="138" t="n"/>
      <c r="AV500" s="16" t="n"/>
      <c r="AW500" s="138" t="n"/>
      <c r="AX500" s="16" t="n"/>
      <c r="AY500" s="138" t="n"/>
      <c r="AZ500" s="16">
        <f>AF500+AH500+AJ500+AL500+AN500+AP500+AR500+AT500+AV500+AX500</f>
        <v/>
      </c>
      <c r="BA500" s="16" t="n"/>
      <c r="BB500" s="139" t="n"/>
      <c r="BC500" s="16" t="n"/>
      <c r="BD500" s="139" t="n"/>
      <c r="BE500" s="16">
        <f>(BA500+BC500)</f>
        <v/>
      </c>
    </row>
    <row r="501" ht="22.5" customFormat="1" customHeight="1" s="8">
      <c r="A501" s="9" t="n"/>
      <c r="B501" s="136" t="inlineStr">
        <is>
          <t>스트랩</t>
        </is>
      </c>
      <c r="C501" s="137" t="inlineStr">
        <is>
          <t>DX3000</t>
        </is>
      </c>
      <c r="D501" s="63" t="inlineStr">
        <is>
          <t>DX3000 핸드 스트랩</t>
        </is>
      </c>
      <c r="E501" s="13" t="n"/>
      <c r="F501" s="99" t="n"/>
      <c r="G501" s="9" t="n"/>
      <c r="H501" s="9" t="inlineStr">
        <is>
          <t>굿모닝코리아유통</t>
        </is>
      </c>
      <c r="I501" s="14" t="n"/>
      <c r="J501" s="14" t="n"/>
      <c r="K501" s="12" t="n"/>
      <c r="L501" s="9" t="n"/>
      <c r="M501" s="9" t="n"/>
      <c r="N501" s="9" t="n"/>
      <c r="O501" s="40">
        <f>K501+V501-AE501-AZ501</f>
        <v/>
      </c>
      <c r="P501" s="12" t="n"/>
      <c r="Q501" s="138" t="n"/>
      <c r="R501" s="16" t="n"/>
      <c r="S501" s="139" t="n"/>
      <c r="T501" s="16" t="n"/>
      <c r="U501" s="139" t="n"/>
      <c r="V501" s="16">
        <f>P501+R501+T501</f>
        <v/>
      </c>
      <c r="W501" s="16" t="n"/>
      <c r="X501" s="139" t="n"/>
      <c r="Y501" s="16" t="n"/>
      <c r="Z501" s="139" t="n"/>
      <c r="AA501" s="16" t="n"/>
      <c r="AB501" s="139" t="n"/>
      <c r="AC501" s="16" t="n"/>
      <c r="AD501" s="139" t="n"/>
      <c r="AE501" s="16">
        <f>(W501+Y501+AA501+AC501)</f>
        <v/>
      </c>
      <c r="AF501" s="16" t="n"/>
      <c r="AG501" s="138" t="n"/>
      <c r="AH501" s="16" t="n"/>
      <c r="AI501" s="138" t="n"/>
      <c r="AJ501" s="16" t="n"/>
      <c r="AK501" s="138" t="n"/>
      <c r="AL501" s="16" t="n"/>
      <c r="AM501" s="138" t="n"/>
      <c r="AN501" s="16" t="n"/>
      <c r="AO501" s="138" t="n"/>
      <c r="AP501" s="16" t="n"/>
      <c r="AQ501" s="138" t="n"/>
      <c r="AR501" s="16" t="n"/>
      <c r="AS501" s="138" t="n"/>
      <c r="AT501" s="16" t="n"/>
      <c r="AU501" s="138" t="n"/>
      <c r="AV501" s="16" t="n"/>
      <c r="AW501" s="138" t="n"/>
      <c r="AX501" s="16" t="n"/>
      <c r="AY501" s="138" t="n"/>
      <c r="AZ501" s="16">
        <f>AF501+AH501+AJ501+AL501+AN501+AP501+AR501+AT501+AV501+AX501</f>
        <v/>
      </c>
      <c r="BA501" s="16" t="n"/>
      <c r="BB501" s="139" t="n"/>
      <c r="BC501" s="16" t="n"/>
      <c r="BD501" s="139" t="n"/>
      <c r="BE501" s="16">
        <f>(BA501+BC501)</f>
        <v/>
      </c>
    </row>
    <row r="502" ht="22.5" customFormat="1" customHeight="1" s="8">
      <c r="A502" s="9" t="n"/>
      <c r="B502" s="136" t="inlineStr">
        <is>
          <t>연아크릴</t>
        </is>
      </c>
      <c r="C502" s="137" t="inlineStr">
        <is>
          <t>공용</t>
        </is>
      </c>
      <c r="D502" s="63" t="inlineStr">
        <is>
          <t>연아크릴 쉴드 8T</t>
        </is>
      </c>
      <c r="E502" s="13" t="inlineStr">
        <is>
          <t>153 * ∮65 * 8T</t>
        </is>
      </c>
      <c r="F502" s="99" t="n"/>
      <c r="G502" s="9" t="n"/>
      <c r="H502" s="9" t="inlineStr">
        <is>
          <t>선일쉴드텍</t>
        </is>
      </c>
      <c r="I502" s="14" t="n"/>
      <c r="J502" s="14" t="n"/>
      <c r="K502" s="12" t="n"/>
      <c r="L502" s="9" t="n"/>
      <c r="M502" s="9" t="n"/>
      <c r="N502" s="9" t="n"/>
      <c r="O502" s="40">
        <f>K502+V502-AE502-AZ502</f>
        <v/>
      </c>
      <c r="P502" s="12" t="n"/>
      <c r="Q502" s="138" t="n"/>
      <c r="R502" s="16" t="n"/>
      <c r="S502" s="139" t="n"/>
      <c r="T502" s="16" t="n"/>
      <c r="U502" s="139" t="n"/>
      <c r="V502" s="16">
        <f>P502+R502+T502</f>
        <v/>
      </c>
      <c r="W502" s="16" t="n"/>
      <c r="X502" s="139" t="n"/>
      <c r="Y502" s="16" t="n"/>
      <c r="Z502" s="139" t="n"/>
      <c r="AA502" s="16" t="n"/>
      <c r="AB502" s="139" t="n"/>
      <c r="AC502" s="16" t="n"/>
      <c r="AD502" s="139" t="n"/>
      <c r="AE502" s="16">
        <f>(W502+Y502+AA502+AC502)</f>
        <v/>
      </c>
      <c r="AF502" s="16" t="n"/>
      <c r="AG502" s="138" t="n"/>
      <c r="AH502" s="16" t="n"/>
      <c r="AI502" s="138" t="n"/>
      <c r="AJ502" s="16" t="n"/>
      <c r="AK502" s="138" t="n"/>
      <c r="AL502" s="16" t="n"/>
      <c r="AM502" s="138" t="n"/>
      <c r="AN502" s="16" t="n"/>
      <c r="AO502" s="138" t="n"/>
      <c r="AP502" s="16" t="n"/>
      <c r="AQ502" s="138" t="n"/>
      <c r="AR502" s="16" t="n"/>
      <c r="AS502" s="138" t="n"/>
      <c r="AT502" s="16" t="n"/>
      <c r="AU502" s="138" t="n"/>
      <c r="AV502" s="16" t="n"/>
      <c r="AW502" s="138" t="n"/>
      <c r="AX502" s="16" t="n"/>
      <c r="AY502" s="138" t="n"/>
      <c r="AZ502" s="16">
        <f>AF502+AH502+AJ502+AL502+AN502+AP502+AR502+AT502+AV502+AX502</f>
        <v/>
      </c>
      <c r="BA502" s="16" t="n"/>
      <c r="BB502" s="139" t="n"/>
      <c r="BC502" s="16" t="n"/>
      <c r="BD502" s="139" t="n"/>
      <c r="BE502" s="16">
        <f>(BA502+BC502)</f>
        <v/>
      </c>
    </row>
    <row r="503" ht="22.5" customFormat="1" customHeight="1" s="8">
      <c r="A503" s="9" t="n"/>
      <c r="B503" s="136" t="inlineStr">
        <is>
          <t>연아크릴</t>
        </is>
      </c>
      <c r="C503" s="137" t="inlineStr">
        <is>
          <t>공용</t>
        </is>
      </c>
      <c r="D503" s="63" t="inlineStr">
        <is>
          <t>연아크릴 쉴드 8T</t>
        </is>
      </c>
      <c r="E503" s="13" t="inlineStr">
        <is>
          <t>153 * ∮65 * 8T</t>
        </is>
      </c>
      <c r="F503" s="99" t="n"/>
      <c r="G503" s="9" t="n"/>
      <c r="H503" s="9" t="inlineStr">
        <is>
          <t>중국</t>
        </is>
      </c>
      <c r="I503" s="14" t="n"/>
      <c r="J503" s="14" t="n"/>
      <c r="K503" s="12" t="n"/>
      <c r="L503" s="9" t="n"/>
      <c r="M503" s="9" t="n"/>
      <c r="N503" s="9" t="n"/>
      <c r="O503" s="40">
        <f>K503+V503-AE503-AZ503</f>
        <v/>
      </c>
      <c r="P503" s="12" t="n"/>
      <c r="Q503" s="138" t="n"/>
      <c r="R503" s="16" t="n"/>
      <c r="S503" s="139" t="n"/>
      <c r="T503" s="16" t="n"/>
      <c r="U503" s="139" t="n"/>
      <c r="V503" s="16">
        <f>P503+R503+T503</f>
        <v/>
      </c>
      <c r="W503" s="16" t="n"/>
      <c r="X503" s="139" t="n"/>
      <c r="Y503" s="16" t="n"/>
      <c r="Z503" s="139" t="n"/>
      <c r="AA503" s="16" t="n"/>
      <c r="AB503" s="139" t="n"/>
      <c r="AC503" s="16" t="n"/>
      <c r="AD503" s="139" t="n"/>
      <c r="AE503" s="16">
        <f>(W503+Y503+AA503+AC503)</f>
        <v/>
      </c>
      <c r="AF503" s="16" t="n"/>
      <c r="AG503" s="138" t="n"/>
      <c r="AH503" s="16" t="n"/>
      <c r="AI503" s="138" t="n"/>
      <c r="AJ503" s="16" t="n"/>
      <c r="AK503" s="138" t="n"/>
      <c r="AL503" s="16" t="n"/>
      <c r="AM503" s="138" t="n"/>
      <c r="AN503" s="16" t="n"/>
      <c r="AO503" s="138" t="n"/>
      <c r="AP503" s="16" t="n"/>
      <c r="AQ503" s="138" t="n"/>
      <c r="AR503" s="16" t="n"/>
      <c r="AS503" s="138" t="n"/>
      <c r="AT503" s="16" t="n"/>
      <c r="AU503" s="138" t="n"/>
      <c r="AV503" s="16" t="n"/>
      <c r="AW503" s="138" t="n"/>
      <c r="AX503" s="16" t="n"/>
      <c r="AY503" s="138" t="n"/>
      <c r="AZ503" s="16">
        <f>AF503+AH503+AJ503+AL503+AN503+AP503+AR503+AT503+AV503+AX503</f>
        <v/>
      </c>
      <c r="BA503" s="16" t="n"/>
      <c r="BB503" s="139" t="n"/>
      <c r="BC503" s="16" t="n"/>
      <c r="BD503" s="139" t="n"/>
      <c r="BE503" s="16">
        <f>(BA503+BC503)</f>
        <v/>
      </c>
    </row>
    <row r="504" ht="22.5" customFormat="1" customHeight="1" s="8">
      <c r="A504" s="9" t="n"/>
      <c r="B504" s="136" t="inlineStr">
        <is>
          <t>연아크릴</t>
        </is>
      </c>
      <c r="C504" s="137" t="inlineStr">
        <is>
          <t>공용</t>
        </is>
      </c>
      <c r="D504" s="63" t="inlineStr">
        <is>
          <t>연아크릴 쉴드 12T</t>
        </is>
      </c>
      <c r="E504" s="13" t="inlineStr">
        <is>
          <t>153 * ∮65 * 12T</t>
        </is>
      </c>
      <c r="F504" s="99" t="n"/>
      <c r="G504" s="9" t="n"/>
      <c r="H504" s="9" t="inlineStr">
        <is>
          <t>선일쉴드텍</t>
        </is>
      </c>
      <c r="I504" s="14" t="n"/>
      <c r="J504" s="14" t="n"/>
      <c r="K504" s="12" t="n"/>
      <c r="L504" s="9" t="n"/>
      <c r="M504" s="9" t="n"/>
      <c r="N504" s="9" t="n"/>
      <c r="O504" s="40">
        <f>K504+V504-AE504-AZ504</f>
        <v/>
      </c>
      <c r="P504" s="12" t="n"/>
      <c r="Q504" s="138" t="n"/>
      <c r="R504" s="16" t="n"/>
      <c r="S504" s="139" t="n"/>
      <c r="T504" s="16" t="n"/>
      <c r="U504" s="139" t="n"/>
      <c r="V504" s="16">
        <f>P504+R504+T504</f>
        <v/>
      </c>
      <c r="W504" s="16" t="n"/>
      <c r="X504" s="139" t="n"/>
      <c r="Y504" s="16" t="n"/>
      <c r="Z504" s="139" t="n"/>
      <c r="AA504" s="16" t="n"/>
      <c r="AB504" s="139" t="n"/>
      <c r="AC504" s="16" t="n"/>
      <c r="AD504" s="139" t="n"/>
      <c r="AE504" s="16">
        <f>(W504+Y504+AA504+AC504)</f>
        <v/>
      </c>
      <c r="AF504" s="16" t="n"/>
      <c r="AG504" s="138" t="n"/>
      <c r="AH504" s="16" t="n"/>
      <c r="AI504" s="138" t="n"/>
      <c r="AJ504" s="16" t="n"/>
      <c r="AK504" s="138" t="n"/>
      <c r="AL504" s="16" t="n"/>
      <c r="AM504" s="138" t="n"/>
      <c r="AN504" s="16" t="n"/>
      <c r="AO504" s="138" t="n"/>
      <c r="AP504" s="16" t="n"/>
      <c r="AQ504" s="138" t="n"/>
      <c r="AR504" s="16" t="n"/>
      <c r="AS504" s="138" t="n"/>
      <c r="AT504" s="16" t="n"/>
      <c r="AU504" s="138" t="n"/>
      <c r="AV504" s="16" t="n"/>
      <c r="AW504" s="138" t="n"/>
      <c r="AX504" s="16" t="n"/>
      <c r="AY504" s="138" t="n"/>
      <c r="AZ504" s="16">
        <f>AF504+AH504+AJ504+AL504+AN504+AP504+AR504+AT504+AV504+AX504</f>
        <v/>
      </c>
      <c r="BA504" s="16" t="n"/>
      <c r="BB504" s="139" t="n"/>
      <c r="BC504" s="16" t="n"/>
      <c r="BD504" s="139" t="n"/>
      <c r="BE504" s="16">
        <f>(BA504+BC504)</f>
        <v/>
      </c>
    </row>
    <row r="505" ht="22.5" customFormat="1" customHeight="1" s="8">
      <c r="A505" s="9" t="n"/>
      <c r="B505" s="136" t="inlineStr">
        <is>
          <t>연아크릴</t>
        </is>
      </c>
      <c r="C505" s="137" t="inlineStr">
        <is>
          <t>공용</t>
        </is>
      </c>
      <c r="D505" s="63" t="inlineStr">
        <is>
          <t>연아크릴 쉴드 12T</t>
        </is>
      </c>
      <c r="E505" s="13" t="inlineStr">
        <is>
          <t>153 * ∮65 * 12T</t>
        </is>
      </c>
      <c r="F505" s="99" t="n"/>
      <c r="G505" s="9" t="n"/>
      <c r="H505" s="9" t="inlineStr">
        <is>
          <t>중국</t>
        </is>
      </c>
      <c r="I505" s="14" t="n"/>
      <c r="J505" s="14" t="n"/>
      <c r="K505" s="12" t="n"/>
      <c r="L505" s="9" t="n"/>
      <c r="M505" s="9" t="n"/>
      <c r="N505" s="9" t="n"/>
      <c r="O505" s="40">
        <f>K505+V505-AE505-AZ505</f>
        <v/>
      </c>
      <c r="P505" s="12" t="n"/>
      <c r="Q505" s="138" t="n"/>
      <c r="R505" s="16" t="n"/>
      <c r="S505" s="139" t="n"/>
      <c r="T505" s="16" t="n"/>
      <c r="U505" s="139" t="n"/>
      <c r="V505" s="16">
        <f>P505+R505+T505</f>
        <v/>
      </c>
      <c r="W505" s="16" t="n"/>
      <c r="X505" s="139" t="n"/>
      <c r="Y505" s="16" t="n"/>
      <c r="Z505" s="139" t="n"/>
      <c r="AA505" s="16" t="n"/>
      <c r="AB505" s="139" t="n"/>
      <c r="AC505" s="16" t="n"/>
      <c r="AD505" s="139" t="n"/>
      <c r="AE505" s="16">
        <f>(W505+Y505+AA505+AC505)</f>
        <v/>
      </c>
      <c r="AF505" s="16" t="n"/>
      <c r="AG505" s="138" t="n"/>
      <c r="AH505" s="16" t="n"/>
      <c r="AI505" s="138" t="n"/>
      <c r="AJ505" s="16" t="n"/>
      <c r="AK505" s="138" t="n"/>
      <c r="AL505" s="16" t="n"/>
      <c r="AM505" s="138" t="n"/>
      <c r="AN505" s="16" t="n"/>
      <c r="AO505" s="138" t="n"/>
      <c r="AP505" s="16" t="n"/>
      <c r="AQ505" s="138" t="n"/>
      <c r="AR505" s="16" t="n"/>
      <c r="AS505" s="138" t="n"/>
      <c r="AT505" s="16" t="n"/>
      <c r="AU505" s="138" t="n"/>
      <c r="AV505" s="16" t="n"/>
      <c r="AW505" s="138" t="n"/>
      <c r="AX505" s="16" t="n"/>
      <c r="AY505" s="138" t="n"/>
      <c r="AZ505" s="16">
        <f>AF505+AH505+AJ505+AL505+AN505+AP505+AR505+AT505+AV505+AX505</f>
        <v/>
      </c>
      <c r="BA505" s="16" t="n"/>
      <c r="BB505" s="139" t="n"/>
      <c r="BC505" s="16" t="n"/>
      <c r="BD505" s="139" t="n"/>
      <c r="BE505" s="16">
        <f>(BA505+BC505)</f>
        <v/>
      </c>
    </row>
    <row r="506" ht="22.5" customFormat="1" customHeight="1" s="8">
      <c r="A506" s="9" t="n"/>
      <c r="B506" s="136" t="inlineStr">
        <is>
          <t>연아크릴</t>
        </is>
      </c>
      <c r="C506" s="137" t="inlineStr">
        <is>
          <t>공용</t>
        </is>
      </c>
      <c r="D506" s="60" t="inlineStr">
        <is>
          <t>연아크릴 쉴드 12T</t>
        </is>
      </c>
      <c r="E506" s="13" t="inlineStr">
        <is>
          <t>153 * ∮60 * 12T</t>
        </is>
      </c>
      <c r="F506" s="99" t="n"/>
      <c r="G506" s="9" t="n"/>
      <c r="H506" s="9" t="inlineStr">
        <is>
          <t>선일쉴드텍</t>
        </is>
      </c>
      <c r="I506" s="14" t="n"/>
      <c r="J506" s="14" t="n"/>
      <c r="K506" s="12" t="n"/>
      <c r="L506" s="9" t="n"/>
      <c r="M506" s="9" t="n"/>
      <c r="N506" s="9" t="n"/>
      <c r="O506" s="40">
        <f>K506+V506-AE506-AZ506</f>
        <v/>
      </c>
      <c r="P506" s="12" t="n"/>
      <c r="Q506" s="138" t="n"/>
      <c r="R506" s="16" t="n"/>
      <c r="S506" s="139" t="n"/>
      <c r="T506" s="16" t="n"/>
      <c r="U506" s="139" t="n"/>
      <c r="V506" s="16">
        <f>P506+R506+T506</f>
        <v/>
      </c>
      <c r="W506" s="16" t="n"/>
      <c r="X506" s="139" t="n"/>
      <c r="Y506" s="16" t="n"/>
      <c r="Z506" s="139" t="n"/>
      <c r="AA506" s="16" t="n"/>
      <c r="AB506" s="139" t="n"/>
      <c r="AC506" s="16" t="n"/>
      <c r="AD506" s="139" t="n"/>
      <c r="AE506" s="16">
        <f>(W506+Y506+AA506+AC506)</f>
        <v/>
      </c>
      <c r="AF506" s="16" t="n"/>
      <c r="AG506" s="138" t="n"/>
      <c r="AH506" s="16" t="n"/>
      <c r="AI506" s="138" t="n"/>
      <c r="AJ506" s="16" t="n"/>
      <c r="AK506" s="138" t="n"/>
      <c r="AL506" s="16" t="n"/>
      <c r="AM506" s="138" t="n"/>
      <c r="AN506" s="16" t="n"/>
      <c r="AO506" s="138" t="n"/>
      <c r="AP506" s="16" t="n"/>
      <c r="AQ506" s="138" t="n"/>
      <c r="AR506" s="16" t="n"/>
      <c r="AS506" s="138" t="n"/>
      <c r="AT506" s="16" t="n"/>
      <c r="AU506" s="138" t="n"/>
      <c r="AV506" s="16" t="n"/>
      <c r="AW506" s="138" t="n"/>
      <c r="AX506" s="16" t="n"/>
      <c r="AY506" s="138" t="n"/>
      <c r="AZ506" s="16">
        <f>AF506+AH506+AJ506+AL506+AN506+AP506+AR506+AT506+AV506+AX506</f>
        <v/>
      </c>
      <c r="BA506" s="16" t="n"/>
      <c r="BB506" s="139" t="n"/>
      <c r="BC506" s="16" t="n"/>
      <c r="BD506" s="139" t="n"/>
      <c r="BE506" s="16">
        <f>(BA506+BC506)</f>
        <v/>
      </c>
    </row>
    <row r="507" ht="22.5" customFormat="1" customHeight="1" s="8">
      <c r="A507" s="9" t="n"/>
      <c r="B507" s="136" t="inlineStr">
        <is>
          <t>연아크릴</t>
        </is>
      </c>
      <c r="C507" s="137" t="inlineStr">
        <is>
          <t>공용</t>
        </is>
      </c>
      <c r="D507" s="60" t="inlineStr">
        <is>
          <t>연아크릴 쉴드 12T</t>
        </is>
      </c>
      <c r="E507" s="13" t="inlineStr">
        <is>
          <t>153 * ∮60 * 12T</t>
        </is>
      </c>
      <c r="F507" s="99" t="n"/>
      <c r="G507" s="9" t="n"/>
      <c r="H507" s="9" t="inlineStr">
        <is>
          <t>중국</t>
        </is>
      </c>
      <c r="I507" s="14" t="n"/>
      <c r="J507" s="14" t="n"/>
      <c r="K507" s="12" t="n"/>
      <c r="L507" s="9" t="n"/>
      <c r="M507" s="9" t="n"/>
      <c r="N507" s="9" t="n"/>
      <c r="O507" s="40">
        <f>K507+V507-AE507-AZ507</f>
        <v/>
      </c>
      <c r="P507" s="12" t="n"/>
      <c r="Q507" s="138" t="n"/>
      <c r="R507" s="16" t="n"/>
      <c r="S507" s="139" t="n"/>
      <c r="T507" s="16" t="n"/>
      <c r="U507" s="139" t="n"/>
      <c r="V507" s="16">
        <f>P507+R507+T507</f>
        <v/>
      </c>
      <c r="W507" s="16" t="n"/>
      <c r="X507" s="139" t="n"/>
      <c r="Y507" s="16" t="n"/>
      <c r="Z507" s="139" t="n"/>
      <c r="AA507" s="16" t="n"/>
      <c r="AB507" s="139" t="n"/>
      <c r="AC507" s="16" t="n"/>
      <c r="AD507" s="139" t="n"/>
      <c r="AE507" s="16">
        <f>(W507+Y507+AA507+AC507)</f>
        <v/>
      </c>
      <c r="AF507" s="16" t="n"/>
      <c r="AG507" s="138" t="n"/>
      <c r="AH507" s="16" t="n"/>
      <c r="AI507" s="138" t="n"/>
      <c r="AJ507" s="16" t="n"/>
      <c r="AK507" s="138" t="n"/>
      <c r="AL507" s="16" t="n"/>
      <c r="AM507" s="138" t="n"/>
      <c r="AN507" s="16" t="n"/>
      <c r="AO507" s="138" t="n"/>
      <c r="AP507" s="16" t="n"/>
      <c r="AQ507" s="138" t="n"/>
      <c r="AR507" s="16" t="n"/>
      <c r="AS507" s="138" t="n"/>
      <c r="AT507" s="16" t="n"/>
      <c r="AU507" s="138" t="n"/>
      <c r="AV507" s="16" t="n"/>
      <c r="AW507" s="138" t="n"/>
      <c r="AX507" s="16" t="n"/>
      <c r="AY507" s="138" t="n"/>
      <c r="AZ507" s="16">
        <f>AF507+AH507+AJ507+AL507+AN507+AP507+AR507+AT507+AV507+AX507</f>
        <v/>
      </c>
      <c r="BA507" s="16" t="n"/>
      <c r="BB507" s="139" t="n"/>
      <c r="BC507" s="16" t="n"/>
      <c r="BD507" s="139" t="n"/>
      <c r="BE507" s="16">
        <f>(BA507+BC507)</f>
        <v/>
      </c>
    </row>
    <row r="508" ht="22.5" customFormat="1" customHeight="1" s="8">
      <c r="A508" s="9" t="n"/>
      <c r="B508" s="136" t="inlineStr">
        <is>
          <t>연아크릴</t>
        </is>
      </c>
      <c r="C508" s="137" t="inlineStr">
        <is>
          <t>ADX6000</t>
        </is>
      </c>
      <c r="D508" s="60" t="inlineStr">
        <is>
          <t>사각 연아크릴 쉴드</t>
        </is>
      </c>
      <c r="E508" s="13" t="inlineStr">
        <is>
          <t>직사각형, 215 * 199mm 8T</t>
        </is>
      </c>
      <c r="F508" s="99" t="n"/>
      <c r="G508" s="9" t="n"/>
      <c r="H508" s="9" t="inlineStr">
        <is>
          <t>선일쉴드텍</t>
        </is>
      </c>
      <c r="I508" s="14" t="n"/>
      <c r="J508" s="14" t="n"/>
      <c r="K508" s="12" t="n"/>
      <c r="L508" s="9" t="n"/>
      <c r="M508" s="9" t="n"/>
      <c r="N508" s="9" t="n"/>
      <c r="O508" s="40">
        <f>K508+V508-AE508-AZ508</f>
        <v/>
      </c>
      <c r="P508" s="12" t="n"/>
      <c r="Q508" s="138" t="n"/>
      <c r="R508" s="16" t="n"/>
      <c r="S508" s="139" t="n"/>
      <c r="T508" s="16" t="n"/>
      <c r="U508" s="139" t="n"/>
      <c r="V508" s="16">
        <f>P508+R508+T508</f>
        <v/>
      </c>
      <c r="W508" s="16" t="n"/>
      <c r="X508" s="139" t="n"/>
      <c r="Y508" s="16" t="n"/>
      <c r="Z508" s="139" t="n"/>
      <c r="AA508" s="16" t="n"/>
      <c r="AB508" s="139" t="n"/>
      <c r="AC508" s="16" t="n"/>
      <c r="AD508" s="139" t="n"/>
      <c r="AE508" s="16">
        <f>(W508+Y508+AA508+AC508)</f>
        <v/>
      </c>
      <c r="AF508" s="16" t="n"/>
      <c r="AG508" s="138" t="n"/>
      <c r="AH508" s="16" t="n"/>
      <c r="AI508" s="138" t="n"/>
      <c r="AJ508" s="16" t="n"/>
      <c r="AK508" s="138" t="n"/>
      <c r="AL508" s="16" t="n"/>
      <c r="AM508" s="138" t="n"/>
      <c r="AN508" s="16" t="n"/>
      <c r="AO508" s="138" t="n"/>
      <c r="AP508" s="16" t="n"/>
      <c r="AQ508" s="138" t="n"/>
      <c r="AR508" s="16" t="n"/>
      <c r="AS508" s="138" t="n"/>
      <c r="AT508" s="16" t="n"/>
      <c r="AU508" s="138" t="n"/>
      <c r="AV508" s="16" t="n"/>
      <c r="AW508" s="138" t="n"/>
      <c r="AX508" s="16" t="n"/>
      <c r="AY508" s="138" t="n"/>
      <c r="AZ508" s="16">
        <f>AF508+AH508+AJ508+AL508+AN508+AP508+AR508+AT508+AV508+AX508</f>
        <v/>
      </c>
      <c r="BA508" s="16" t="n"/>
      <c r="BB508" s="139" t="n"/>
      <c r="BC508" s="16" t="n"/>
      <c r="BD508" s="139" t="n"/>
      <c r="BE508" s="16">
        <f>(BA508+BC508)</f>
        <v/>
      </c>
    </row>
    <row r="509" ht="22.5" customFormat="1" customHeight="1" s="8">
      <c r="A509" s="9" t="n"/>
      <c r="B509" s="136" t="inlineStr">
        <is>
          <t>연아크릴</t>
        </is>
      </c>
      <c r="C509" s="137" t="inlineStr">
        <is>
          <t>ADX6000</t>
        </is>
      </c>
      <c r="D509" s="60" t="inlineStr">
        <is>
          <t>사각 연아크릴 쉴드</t>
        </is>
      </c>
      <c r="E509" s="13" t="inlineStr">
        <is>
          <t>직사각형, 215 * 199mm 8T</t>
        </is>
      </c>
      <c r="F509" s="99" t="n"/>
      <c r="G509" s="9" t="n"/>
      <c r="H509" s="9" t="inlineStr">
        <is>
          <t>중국</t>
        </is>
      </c>
      <c r="I509" s="14" t="n"/>
      <c r="J509" s="14" t="n"/>
      <c r="K509" s="12" t="n"/>
      <c r="L509" s="9" t="n"/>
      <c r="M509" s="9" t="n"/>
      <c r="N509" s="9" t="n"/>
      <c r="O509" s="40">
        <f>K509+V509-AE509-AZ509</f>
        <v/>
      </c>
      <c r="P509" s="12" t="n"/>
      <c r="Q509" s="138" t="n"/>
      <c r="R509" s="16" t="n"/>
      <c r="S509" s="139" t="n"/>
      <c r="T509" s="16" t="n"/>
      <c r="U509" s="139" t="n"/>
      <c r="V509" s="16">
        <f>P509+R509+T509</f>
        <v/>
      </c>
      <c r="W509" s="16" t="n"/>
      <c r="X509" s="139" t="n"/>
      <c r="Y509" s="16" t="n"/>
      <c r="Z509" s="139" t="n"/>
      <c r="AA509" s="16" t="n"/>
      <c r="AB509" s="139" t="n"/>
      <c r="AC509" s="16" t="n"/>
      <c r="AD509" s="139" t="n"/>
      <c r="AE509" s="16">
        <f>(W509+Y509+AA509+AC509)</f>
        <v/>
      </c>
      <c r="AF509" s="16" t="n"/>
      <c r="AG509" s="138" t="n"/>
      <c r="AH509" s="16" t="n"/>
      <c r="AI509" s="138" t="n"/>
      <c r="AJ509" s="16" t="n"/>
      <c r="AK509" s="138" t="n"/>
      <c r="AL509" s="16" t="n"/>
      <c r="AM509" s="138" t="n"/>
      <c r="AN509" s="16" t="n"/>
      <c r="AO509" s="138" t="n"/>
      <c r="AP509" s="16" t="n"/>
      <c r="AQ509" s="138" t="n"/>
      <c r="AR509" s="16" t="n"/>
      <c r="AS509" s="138" t="n"/>
      <c r="AT509" s="16" t="n"/>
      <c r="AU509" s="138" t="n"/>
      <c r="AV509" s="16" t="n"/>
      <c r="AW509" s="138" t="n"/>
      <c r="AX509" s="16" t="n"/>
      <c r="AY509" s="138" t="n"/>
      <c r="AZ509" s="16">
        <f>AF509+AH509+AJ509+AL509+AN509+AP509+AR509+AT509+AV509+AX509</f>
        <v/>
      </c>
      <c r="BA509" s="16" t="n"/>
      <c r="BB509" s="139" t="n"/>
      <c r="BC509" s="16" t="n"/>
      <c r="BD509" s="139" t="n"/>
      <c r="BE509" s="16">
        <f>(BA509+BC509)</f>
        <v/>
      </c>
    </row>
    <row r="510" ht="22.5" customFormat="1" customHeight="1" s="8">
      <c r="A510" s="9" t="n"/>
      <c r="B510" s="136" t="inlineStr">
        <is>
          <t>연아크릴</t>
        </is>
      </c>
      <c r="C510" s="137" t="inlineStr">
        <is>
          <t>ADX6000</t>
        </is>
      </c>
      <c r="D510" s="60" t="inlineStr">
        <is>
          <t>사각 연아크릴 쉴드</t>
        </is>
      </c>
      <c r="E510" s="13" t="inlineStr">
        <is>
          <t>정사각형, 215 * 205mm</t>
        </is>
      </c>
      <c r="F510" s="99" t="n"/>
      <c r="G510" s="9" t="n"/>
      <c r="H510" s="9" t="inlineStr">
        <is>
          <t>선일쉴드텍</t>
        </is>
      </c>
      <c r="I510" s="14" t="n"/>
      <c r="J510" s="14" t="n"/>
      <c r="K510" s="12" t="n"/>
      <c r="L510" s="9" t="n"/>
      <c r="M510" s="9" t="n"/>
      <c r="N510" s="9" t="n"/>
      <c r="O510" s="40">
        <f>K510+V510-AE510-AZ510</f>
        <v/>
      </c>
      <c r="P510" s="12" t="n"/>
      <c r="Q510" s="138" t="n"/>
      <c r="R510" s="16" t="n"/>
      <c r="S510" s="139" t="n"/>
      <c r="T510" s="16" t="n"/>
      <c r="U510" s="139" t="n"/>
      <c r="V510" s="16">
        <f>P510+R510+T510</f>
        <v/>
      </c>
      <c r="W510" s="16" t="n"/>
      <c r="X510" s="139" t="n"/>
      <c r="Y510" s="16" t="n"/>
      <c r="Z510" s="139" t="n"/>
      <c r="AA510" s="16" t="n"/>
      <c r="AB510" s="139" t="n"/>
      <c r="AC510" s="16" t="n"/>
      <c r="AD510" s="139" t="n"/>
      <c r="AE510" s="16">
        <f>(W510+Y510+AA510+AC510)</f>
        <v/>
      </c>
      <c r="AF510" s="16" t="n"/>
      <c r="AG510" s="138" t="n"/>
      <c r="AH510" s="16" t="n"/>
      <c r="AI510" s="138" t="n"/>
      <c r="AJ510" s="16" t="n"/>
      <c r="AK510" s="138" t="n"/>
      <c r="AL510" s="16" t="n"/>
      <c r="AM510" s="138" t="n"/>
      <c r="AN510" s="16" t="n"/>
      <c r="AO510" s="138" t="n"/>
      <c r="AP510" s="16" t="n"/>
      <c r="AQ510" s="138" t="n"/>
      <c r="AR510" s="16" t="n"/>
      <c r="AS510" s="138" t="n"/>
      <c r="AT510" s="16" t="n"/>
      <c r="AU510" s="138" t="n"/>
      <c r="AV510" s="16" t="n"/>
      <c r="AW510" s="138" t="n"/>
      <c r="AX510" s="16" t="n"/>
      <c r="AY510" s="138" t="n"/>
      <c r="AZ510" s="16">
        <f>AF510+AH510+AJ510+AL510+AN510+AP510+AR510+AT510+AV510+AX510</f>
        <v/>
      </c>
      <c r="BA510" s="16" t="n"/>
      <c r="BB510" s="139" t="n"/>
      <c r="BC510" s="16" t="n"/>
      <c r="BD510" s="139" t="n"/>
      <c r="BE510" s="16">
        <f>(BA510+BC510)</f>
        <v/>
      </c>
    </row>
    <row r="511" ht="22.5" customFormat="1" customHeight="1" s="8">
      <c r="A511" s="9" t="n"/>
      <c r="B511" s="136" t="inlineStr">
        <is>
          <t>오링</t>
        </is>
      </c>
      <c r="C511" s="137" t="inlineStr">
        <is>
          <t>ADX6000</t>
        </is>
      </c>
      <c r="D511" s="60" t="inlineStr">
        <is>
          <t xml:space="preserve">연아크릴 실리콘 오링 </t>
        </is>
      </c>
      <c r="E511" s="13" t="n"/>
      <c r="F511" s="99" t="n"/>
      <c r="G511" s="9" t="n"/>
      <c r="H511" s="9" t="inlineStr">
        <is>
          <t>직구</t>
        </is>
      </c>
      <c r="I511" s="14" t="n"/>
      <c r="J511" s="14" t="n"/>
      <c r="K511" s="12" t="n"/>
      <c r="L511" s="9" t="n"/>
      <c r="M511" s="9" t="n"/>
      <c r="N511" s="9" t="n"/>
      <c r="O511" s="40">
        <f>K511+V511-AE511-AZ511</f>
        <v/>
      </c>
      <c r="P511" s="12" t="n"/>
      <c r="Q511" s="138" t="n"/>
      <c r="R511" s="16" t="n"/>
      <c r="S511" s="139" t="n"/>
      <c r="T511" s="16" t="n"/>
      <c r="U511" s="139" t="n"/>
      <c r="V511" s="16">
        <f>P511+R511+T511</f>
        <v/>
      </c>
      <c r="W511" s="16" t="n"/>
      <c r="X511" s="139" t="n"/>
      <c r="Y511" s="16" t="n"/>
      <c r="Z511" s="139" t="n"/>
      <c r="AA511" s="16" t="n"/>
      <c r="AB511" s="139" t="n"/>
      <c r="AC511" s="16" t="n"/>
      <c r="AD511" s="139" t="n"/>
      <c r="AE511" s="16">
        <f>(W511+Y511+AA511+AC511)</f>
        <v/>
      </c>
      <c r="AF511" s="16" t="n"/>
      <c r="AG511" s="138" t="n"/>
      <c r="AH511" s="16" t="n"/>
      <c r="AI511" s="138" t="n"/>
      <c r="AJ511" s="16" t="n"/>
      <c r="AK511" s="138" t="n"/>
      <c r="AL511" s="16" t="n"/>
      <c r="AM511" s="138" t="n"/>
      <c r="AN511" s="16" t="n"/>
      <c r="AO511" s="138" t="n"/>
      <c r="AP511" s="16" t="n"/>
      <c r="AQ511" s="138" t="n"/>
      <c r="AR511" s="16" t="n"/>
      <c r="AS511" s="138" t="n"/>
      <c r="AT511" s="16" t="n"/>
      <c r="AU511" s="138" t="n"/>
      <c r="AV511" s="16" t="n"/>
      <c r="AW511" s="138" t="n"/>
      <c r="AX511" s="16" t="n"/>
      <c r="AY511" s="138" t="n"/>
      <c r="AZ511" s="16">
        <f>AF511+AH511+AJ511+AL511+AN511+AP511+AR511+AT511+AV511+AX511</f>
        <v/>
      </c>
      <c r="BA511" s="16" t="n"/>
      <c r="BB511" s="139" t="n"/>
      <c r="BC511" s="16" t="n"/>
      <c r="BD511" s="139" t="n"/>
      <c r="BE511" s="16">
        <f>(BA511+BC511)</f>
        <v/>
      </c>
    </row>
    <row r="512" ht="22.5" customFormat="1" customHeight="1" s="8">
      <c r="A512" s="9" t="n"/>
      <c r="B512" s="136" t="inlineStr">
        <is>
          <t>오링</t>
        </is>
      </c>
      <c r="C512" s="137" t="inlineStr">
        <is>
          <t xml:space="preserve">DX3000 </t>
        </is>
      </c>
      <c r="D512" s="60" t="inlineStr">
        <is>
          <t>연아크릴 실리콘 오링 3030</t>
        </is>
      </c>
      <c r="E512" s="13" t="n"/>
      <c r="F512" s="99" t="n"/>
      <c r="G512" s="9" t="n"/>
      <c r="H512" s="9" t="inlineStr">
        <is>
          <t>직구</t>
        </is>
      </c>
      <c r="I512" s="14" t="n"/>
      <c r="J512" s="14" t="n"/>
      <c r="K512" s="12" t="n">
        <v>100</v>
      </c>
      <c r="L512" s="9" t="n"/>
      <c r="M512" s="9" t="n"/>
      <c r="N512" s="9" t="n"/>
      <c r="O512" s="40">
        <f>K512+V512-AE512-AZ512</f>
        <v/>
      </c>
      <c r="P512" s="12" t="n"/>
      <c r="Q512" s="138" t="n"/>
      <c r="R512" s="16" t="n"/>
      <c r="S512" s="139" t="n"/>
      <c r="T512" s="16" t="n"/>
      <c r="U512" s="139" t="n"/>
      <c r="V512" s="16">
        <f>P512+R512+T512</f>
        <v/>
      </c>
      <c r="W512" s="16" t="n"/>
      <c r="X512" s="139" t="n"/>
      <c r="Y512" s="16" t="n"/>
      <c r="Z512" s="139" t="n"/>
      <c r="AA512" s="16" t="n"/>
      <c r="AB512" s="139" t="n"/>
      <c r="AC512" s="16" t="n"/>
      <c r="AD512" s="139" t="n"/>
      <c r="AE512" s="16">
        <f>(W512+Y512+AA512+AC512)</f>
        <v/>
      </c>
      <c r="AF512" s="16" t="n"/>
      <c r="AG512" s="138" t="n"/>
      <c r="AH512" s="16" t="n"/>
      <c r="AI512" s="138" t="n"/>
      <c r="AJ512" s="16" t="n"/>
      <c r="AK512" s="138" t="n"/>
      <c r="AL512" s="16" t="n"/>
      <c r="AM512" s="138" t="n"/>
      <c r="AN512" s="16" t="n"/>
      <c r="AO512" s="138" t="n"/>
      <c r="AP512" s="16" t="n"/>
      <c r="AQ512" s="138" t="n"/>
      <c r="AR512" s="16" t="n"/>
      <c r="AS512" s="138" t="n"/>
      <c r="AT512" s="16" t="n"/>
      <c r="AU512" s="138" t="n"/>
      <c r="AV512" s="16" t="n"/>
      <c r="AW512" s="138" t="n"/>
      <c r="AX512" s="16" t="n"/>
      <c r="AY512" s="138" t="n"/>
      <c r="AZ512" s="16">
        <f>AF512+AH512+AJ512+AL512+AN512+AP512+AR512+AT512+AV512+AX512</f>
        <v/>
      </c>
      <c r="BA512" s="16" t="n"/>
      <c r="BB512" s="139" t="n"/>
      <c r="BC512" s="16" t="n"/>
      <c r="BD512" s="139" t="n"/>
      <c r="BE512" s="16">
        <f>(BA512+BC512)</f>
        <v/>
      </c>
    </row>
    <row r="513" ht="22.5" customFormat="1" customHeight="1" s="8">
      <c r="A513" s="9" t="n"/>
      <c r="B513" s="136" t="inlineStr">
        <is>
          <t>오링</t>
        </is>
      </c>
      <c r="C513" s="137" t="inlineStr">
        <is>
          <t>ADX4000W</t>
        </is>
      </c>
      <c r="D513" s="63" t="inlineStr">
        <is>
          <t>연아크릴 실리콘 오링 4040</t>
        </is>
      </c>
      <c r="E513" s="13" t="n"/>
      <c r="F513" s="99" t="n"/>
      <c r="G513" s="9" t="n"/>
      <c r="H513" s="9" t="inlineStr">
        <is>
          <t>직구</t>
        </is>
      </c>
      <c r="I513" s="14" t="n"/>
      <c r="J513" s="14" t="n"/>
      <c r="K513" s="12" t="n">
        <v>67</v>
      </c>
      <c r="L513" s="9" t="n"/>
      <c r="M513" s="9" t="n"/>
      <c r="N513" s="9" t="n"/>
      <c r="O513" s="40">
        <f>K513+V513-AE513-AZ513</f>
        <v/>
      </c>
      <c r="P513" s="12" t="n"/>
      <c r="Q513" s="138" t="n"/>
      <c r="R513" s="16" t="n"/>
      <c r="S513" s="139" t="n"/>
      <c r="T513" s="16" t="n"/>
      <c r="U513" s="139" t="n"/>
      <c r="V513" s="16">
        <f>P513+R513+T513</f>
        <v/>
      </c>
      <c r="W513" s="16" t="n"/>
      <c r="X513" s="139" t="n"/>
      <c r="Y513" s="16" t="n"/>
      <c r="Z513" s="139" t="n"/>
      <c r="AA513" s="16" t="n"/>
      <c r="AB513" s="139" t="n"/>
      <c r="AC513" s="16" t="n"/>
      <c r="AD513" s="139" t="n"/>
      <c r="AE513" s="16">
        <f>(W513+Y513+AA513+AC513)</f>
        <v/>
      </c>
      <c r="AF513" s="16" t="n"/>
      <c r="AG513" s="138" t="n"/>
      <c r="AH513" s="16" t="n"/>
      <c r="AI513" s="138" t="n"/>
      <c r="AJ513" s="16" t="n"/>
      <c r="AK513" s="138" t="n"/>
      <c r="AL513" s="16" t="n"/>
      <c r="AM513" s="138" t="n"/>
      <c r="AN513" s="16" t="n"/>
      <c r="AO513" s="138" t="n"/>
      <c r="AP513" s="16" t="n"/>
      <c r="AQ513" s="138" t="n"/>
      <c r="AR513" s="16" t="n"/>
      <c r="AS513" s="138" t="n"/>
      <c r="AT513" s="16" t="n"/>
      <c r="AU513" s="138" t="n"/>
      <c r="AV513" s="16" t="n"/>
      <c r="AW513" s="138" t="n"/>
      <c r="AX513" s="16" t="n"/>
      <c r="AY513" s="138" t="n"/>
      <c r="AZ513" s="16">
        <f>AF513+AH513+AJ513+AL513+AN513+AP513+AR513+AT513+AV513+AX513</f>
        <v/>
      </c>
      <c r="BA513" s="16" t="n"/>
      <c r="BB513" s="139" t="n"/>
      <c r="BC513" s="16" t="n"/>
      <c r="BD513" s="139" t="n"/>
      <c r="BE513" s="16">
        <f>(BA513+BC513)</f>
        <v/>
      </c>
    </row>
    <row r="514" ht="22.5" customFormat="1" customHeight="1" s="8">
      <c r="A514" s="9" t="n"/>
      <c r="B514" s="136" t="inlineStr">
        <is>
          <t>AL 스티커</t>
        </is>
      </c>
      <c r="C514" s="137" t="inlineStr">
        <is>
          <t xml:space="preserve">DX3000 </t>
        </is>
      </c>
      <c r="D514" s="63" t="inlineStr">
        <is>
          <t>IRay D3 NAME PLATE</t>
        </is>
      </c>
      <c r="E514" s="13" t="n"/>
      <c r="F514" s="99" t="n"/>
      <c r="G514" s="9" t="n"/>
      <c r="H514" s="9" t="inlineStr">
        <is>
          <t>에덴상공사</t>
        </is>
      </c>
      <c r="I514" s="14" t="n"/>
      <c r="J514" s="14" t="n"/>
      <c r="K514" s="12" t="n"/>
      <c r="L514" s="9" t="n"/>
      <c r="M514" s="9" t="n"/>
      <c r="N514" s="9" t="n"/>
      <c r="O514" s="40">
        <f>K514+V514-AE514-AZ514</f>
        <v/>
      </c>
      <c r="P514" s="12" t="n"/>
      <c r="Q514" s="138" t="n"/>
      <c r="R514" s="16" t="n"/>
      <c r="S514" s="139" t="n"/>
      <c r="T514" s="16" t="n"/>
      <c r="U514" s="139" t="n"/>
      <c r="V514" s="16">
        <f>P514+R514+T514</f>
        <v/>
      </c>
      <c r="W514" s="16" t="n"/>
      <c r="X514" s="139" t="n"/>
      <c r="Y514" s="16" t="n"/>
      <c r="Z514" s="139" t="n"/>
      <c r="AA514" s="16" t="n"/>
      <c r="AB514" s="139" t="n"/>
      <c r="AC514" s="16" t="n"/>
      <c r="AD514" s="139" t="n"/>
      <c r="AE514" s="16">
        <f>(W514+Y514+AA514+AC514)</f>
        <v/>
      </c>
      <c r="AF514" s="16" t="n"/>
      <c r="AG514" s="138" t="n"/>
      <c r="AH514" s="16" t="n"/>
      <c r="AI514" s="138" t="n"/>
      <c r="AJ514" s="16" t="n"/>
      <c r="AK514" s="138" t="n"/>
      <c r="AL514" s="16" t="n"/>
      <c r="AM514" s="138" t="n"/>
      <c r="AN514" s="16" t="n"/>
      <c r="AO514" s="138" t="n"/>
      <c r="AP514" s="16" t="n"/>
      <c r="AQ514" s="138" t="n"/>
      <c r="AR514" s="16" t="n"/>
      <c r="AS514" s="138" t="n"/>
      <c r="AT514" s="16" t="n"/>
      <c r="AU514" s="138" t="n"/>
      <c r="AV514" s="16" t="n"/>
      <c r="AW514" s="138" t="n"/>
      <c r="AX514" s="16" t="n"/>
      <c r="AY514" s="138" t="n"/>
      <c r="AZ514" s="16">
        <f>AF514+AH514+AJ514+AL514+AN514+AP514+AR514+AT514+AV514+AX514</f>
        <v/>
      </c>
      <c r="BA514" s="16" t="n"/>
      <c r="BB514" s="139" t="n"/>
      <c r="BC514" s="16" t="n"/>
      <c r="BD514" s="139" t="n"/>
      <c r="BE514" s="16">
        <f>(BA514+BC514)</f>
        <v/>
      </c>
    </row>
    <row r="515" ht="22.5" customFormat="1" customHeight="1" s="8">
      <c r="A515" s="9" t="n"/>
      <c r="B515" s="136" t="inlineStr">
        <is>
          <t>AL 스티커</t>
        </is>
      </c>
      <c r="C515" s="137" t="inlineStr">
        <is>
          <t>DX3000</t>
        </is>
      </c>
      <c r="D515" s="65" t="inlineStr">
        <is>
          <t>NAME PLATE</t>
        </is>
      </c>
      <c r="E515" s="13" t="n"/>
      <c r="F515" s="99" t="n"/>
      <c r="G515" s="9" t="n"/>
      <c r="H515" s="9" t="inlineStr">
        <is>
          <t>에덴상공사</t>
        </is>
      </c>
      <c r="I515" s="14" t="n"/>
      <c r="J515" s="14" t="n"/>
      <c r="K515" s="12" t="n"/>
      <c r="L515" s="9" t="n"/>
      <c r="M515" s="9" t="n"/>
      <c r="N515" s="9" t="n"/>
      <c r="O515" s="40">
        <f>K515+V515-AE515-AZ515</f>
        <v/>
      </c>
      <c r="P515" s="12" t="n"/>
      <c r="Q515" s="138" t="n"/>
      <c r="R515" s="16" t="n"/>
      <c r="S515" s="139" t="n"/>
      <c r="T515" s="16" t="n"/>
      <c r="U515" s="139" t="n"/>
      <c r="V515" s="16">
        <f>P515+R515+T515</f>
        <v/>
      </c>
      <c r="W515" s="16" t="n"/>
      <c r="X515" s="139" t="n"/>
      <c r="Y515" s="16" t="n"/>
      <c r="Z515" s="139" t="n"/>
      <c r="AA515" s="16" t="n"/>
      <c r="AB515" s="139" t="n"/>
      <c r="AC515" s="16" t="n"/>
      <c r="AD515" s="139" t="n"/>
      <c r="AE515" s="16">
        <f>(W515+Y515+AA515+AC515)</f>
        <v/>
      </c>
      <c r="AF515" s="16" t="n"/>
      <c r="AG515" s="138" t="n"/>
      <c r="AH515" s="16" t="n"/>
      <c r="AI515" s="138" t="n"/>
      <c r="AJ515" s="16" t="n"/>
      <c r="AK515" s="138" t="n"/>
      <c r="AL515" s="16" t="n"/>
      <c r="AM515" s="138" t="n"/>
      <c r="AN515" s="16" t="n"/>
      <c r="AO515" s="138" t="n"/>
      <c r="AP515" s="16" t="n"/>
      <c r="AQ515" s="138" t="n"/>
      <c r="AR515" s="16" t="n"/>
      <c r="AS515" s="138" t="n"/>
      <c r="AT515" s="16" t="n"/>
      <c r="AU515" s="138" t="n"/>
      <c r="AV515" s="16" t="n"/>
      <c r="AW515" s="138" t="n"/>
      <c r="AX515" s="16" t="n"/>
      <c r="AY515" s="138" t="n"/>
      <c r="AZ515" s="16">
        <f>AF515+AH515+AJ515+AL515+AN515+AP515+AR515+AT515+AV515+AX515</f>
        <v/>
      </c>
      <c r="BA515" s="16" t="n"/>
      <c r="BB515" s="139" t="n"/>
      <c r="BC515" s="16" t="n"/>
      <c r="BD515" s="139" t="n"/>
      <c r="BE515" s="16">
        <f>(BA515+BC515)</f>
        <v/>
      </c>
    </row>
    <row r="516" ht="22.5" customFormat="1" customHeight="1" s="8">
      <c r="A516" s="9" t="n"/>
      <c r="B516" s="136" t="inlineStr">
        <is>
          <t>AL 스티커</t>
        </is>
      </c>
      <c r="C516" s="137" t="inlineStr">
        <is>
          <t>DX3000</t>
        </is>
      </c>
      <c r="D516" s="63" t="inlineStr">
        <is>
          <t>우루과이 NAME PLATE</t>
        </is>
      </c>
      <c r="E516" s="13" t="n"/>
      <c r="F516" s="99" t="n"/>
      <c r="G516" s="9" t="n"/>
      <c r="H516" s="9" t="inlineStr">
        <is>
          <t>에덴상공사</t>
        </is>
      </c>
      <c r="I516" s="14" t="n"/>
      <c r="J516" s="14" t="n"/>
      <c r="K516" s="12" t="n"/>
      <c r="L516" s="9" t="n"/>
      <c r="M516" s="9" t="n"/>
      <c r="N516" s="9" t="n"/>
      <c r="O516" s="40">
        <f>K516+V516-AE516-AZ516</f>
        <v/>
      </c>
      <c r="P516" s="12" t="n"/>
      <c r="Q516" s="138" t="n"/>
      <c r="R516" s="16" t="n"/>
      <c r="S516" s="139" t="n"/>
      <c r="T516" s="16" t="n"/>
      <c r="U516" s="139" t="n"/>
      <c r="V516" s="16">
        <f>P516+R516+T516</f>
        <v/>
      </c>
      <c r="W516" s="16" t="n"/>
      <c r="X516" s="139" t="n"/>
      <c r="Y516" s="16" t="n"/>
      <c r="Z516" s="139" t="n"/>
      <c r="AA516" s="16" t="n"/>
      <c r="AB516" s="139" t="n"/>
      <c r="AC516" s="16" t="n"/>
      <c r="AD516" s="139" t="n"/>
      <c r="AE516" s="16">
        <f>(W516+Y516+AA516+AC516)</f>
        <v/>
      </c>
      <c r="AF516" s="16" t="n"/>
      <c r="AG516" s="138" t="n"/>
      <c r="AH516" s="16" t="n"/>
      <c r="AI516" s="138" t="n"/>
      <c r="AJ516" s="16" t="n"/>
      <c r="AK516" s="138" t="n"/>
      <c r="AL516" s="16" t="n"/>
      <c r="AM516" s="138" t="n"/>
      <c r="AN516" s="16" t="n"/>
      <c r="AO516" s="138" t="n"/>
      <c r="AP516" s="16" t="n"/>
      <c r="AQ516" s="138" t="n"/>
      <c r="AR516" s="16" t="n"/>
      <c r="AS516" s="138" t="n"/>
      <c r="AT516" s="16" t="n"/>
      <c r="AU516" s="138" t="n"/>
      <c r="AV516" s="16" t="n"/>
      <c r="AW516" s="138" t="n"/>
      <c r="AX516" s="16" t="n"/>
      <c r="AY516" s="138" t="n"/>
      <c r="AZ516" s="16">
        <f>AF516+AH516+AJ516+AL516+AN516+AP516+AR516+AT516+AV516+AX516</f>
        <v/>
      </c>
      <c r="BA516" s="16" t="n"/>
      <c r="BB516" s="139" t="n"/>
      <c r="BC516" s="16" t="n"/>
      <c r="BD516" s="139" t="n"/>
      <c r="BE516" s="16">
        <f>(BA516+BC516)</f>
        <v/>
      </c>
    </row>
    <row r="517" ht="22.5" customFormat="1" customHeight="1" s="8">
      <c r="A517" s="9" t="n"/>
      <c r="B517" s="136" t="inlineStr">
        <is>
          <t>AL 스티커</t>
        </is>
      </c>
      <c r="C517" s="137" t="inlineStr">
        <is>
          <t>ADX4000W</t>
        </is>
      </c>
      <c r="D517" s="63" t="inlineStr">
        <is>
          <t>NAME PLATE</t>
        </is>
      </c>
      <c r="E517" s="13" t="n"/>
      <c r="F517" s="99" t="n"/>
      <c r="G517" s="9" t="n"/>
      <c r="H517" s="9" t="inlineStr">
        <is>
          <t>에덴상공사</t>
        </is>
      </c>
      <c r="I517" s="14" t="n"/>
      <c r="J517" s="14" t="n"/>
      <c r="K517" s="12" t="n"/>
      <c r="L517" s="9" t="n"/>
      <c r="M517" s="9" t="n"/>
      <c r="N517" s="9" t="n"/>
      <c r="O517" s="40">
        <f>K517+V517-AE517-AZ517</f>
        <v/>
      </c>
      <c r="P517" s="12" t="n"/>
      <c r="Q517" s="138" t="n"/>
      <c r="R517" s="16" t="n"/>
      <c r="S517" s="139" t="n"/>
      <c r="T517" s="16" t="n"/>
      <c r="U517" s="139" t="n"/>
      <c r="V517" s="16">
        <f>P517+R517+T517</f>
        <v/>
      </c>
      <c r="W517" s="16" t="n"/>
      <c r="X517" s="139" t="n"/>
      <c r="Y517" s="16" t="n"/>
      <c r="Z517" s="139" t="n"/>
      <c r="AA517" s="16" t="n"/>
      <c r="AB517" s="139" t="n"/>
      <c r="AC517" s="16" t="n"/>
      <c r="AD517" s="139" t="n"/>
      <c r="AE517" s="16">
        <f>(W517+Y517+AA517+AC517)</f>
        <v/>
      </c>
      <c r="AF517" s="16" t="n"/>
      <c r="AG517" s="138" t="n"/>
      <c r="AH517" s="16" t="n"/>
      <c r="AI517" s="138" t="n"/>
      <c r="AJ517" s="16" t="n"/>
      <c r="AK517" s="138" t="n"/>
      <c r="AL517" s="16" t="n"/>
      <c r="AM517" s="138" t="n"/>
      <c r="AN517" s="16" t="n"/>
      <c r="AO517" s="138" t="n"/>
      <c r="AP517" s="16" t="n"/>
      <c r="AQ517" s="138" t="n"/>
      <c r="AR517" s="16" t="n"/>
      <c r="AS517" s="138" t="n"/>
      <c r="AT517" s="16" t="n"/>
      <c r="AU517" s="138" t="n"/>
      <c r="AV517" s="16" t="n"/>
      <c r="AW517" s="138" t="n"/>
      <c r="AX517" s="16" t="n"/>
      <c r="AY517" s="138" t="n"/>
      <c r="AZ517" s="16">
        <f>AF517+AH517+AJ517+AL517+AN517+AP517+AR517+AT517+AV517+AX517</f>
        <v/>
      </c>
      <c r="BA517" s="16" t="n"/>
      <c r="BB517" s="139" t="n"/>
      <c r="BC517" s="16" t="n"/>
      <c r="BD517" s="139" t="n"/>
      <c r="BE517" s="16">
        <f>(BA517+BC517)</f>
        <v/>
      </c>
    </row>
    <row r="518" ht="22.5" customFormat="1" customHeight="1" s="8">
      <c r="A518" s="9" t="n"/>
      <c r="B518" s="136" t="inlineStr">
        <is>
          <t>AL 스티커</t>
        </is>
      </c>
      <c r="C518" s="137" t="inlineStr">
        <is>
          <t>ADX6000</t>
        </is>
      </c>
      <c r="D518" s="63" t="inlineStr">
        <is>
          <t>ADX6000 NAME PLATE</t>
        </is>
      </c>
      <c r="E518" s="13" t="n"/>
      <c r="F518" s="99" t="n"/>
      <c r="G518" s="9" t="n"/>
      <c r="H518" s="9" t="inlineStr">
        <is>
          <t>에덴상공사</t>
        </is>
      </c>
      <c r="I518" s="14" t="n"/>
      <c r="J518" s="14" t="n"/>
      <c r="K518" s="12" t="n">
        <v>987</v>
      </c>
      <c r="L518" s="9" t="n"/>
      <c r="M518" s="9" t="n"/>
      <c r="N518" s="9" t="n"/>
      <c r="O518" s="40">
        <f>K518+V518-AE518-AZ518</f>
        <v/>
      </c>
      <c r="P518" s="12" t="n"/>
      <c r="Q518" s="138" t="n"/>
      <c r="R518" s="16" t="n"/>
      <c r="S518" s="139" t="n"/>
      <c r="T518" s="16" t="n"/>
      <c r="U518" s="139" t="n"/>
      <c r="V518" s="16">
        <f>P518+R518+T518</f>
        <v/>
      </c>
      <c r="W518" s="16" t="n"/>
      <c r="X518" s="139" t="n"/>
      <c r="Y518" s="16" t="n"/>
      <c r="Z518" s="139" t="n"/>
      <c r="AA518" s="16" t="n"/>
      <c r="AB518" s="139" t="n"/>
      <c r="AC518" s="16" t="n"/>
      <c r="AD518" s="139" t="n"/>
      <c r="AE518" s="16">
        <f>(W518+Y518+AA518+AC518)</f>
        <v/>
      </c>
      <c r="AF518" s="16" t="n"/>
      <c r="AG518" s="138" t="n"/>
      <c r="AH518" s="16" t="n"/>
      <c r="AI518" s="138" t="n"/>
      <c r="AJ518" s="16" t="n"/>
      <c r="AK518" s="138" t="n"/>
      <c r="AL518" s="16" t="n"/>
      <c r="AM518" s="138" t="n"/>
      <c r="AN518" s="16" t="n"/>
      <c r="AO518" s="138" t="n"/>
      <c r="AP518" s="16" t="n"/>
      <c r="AQ518" s="138" t="n"/>
      <c r="AR518" s="16" t="n"/>
      <c r="AS518" s="138" t="n"/>
      <c r="AT518" s="16" t="n"/>
      <c r="AU518" s="138" t="n"/>
      <c r="AV518" s="16" t="n"/>
      <c r="AW518" s="138" t="n"/>
      <c r="AX518" s="16" t="n"/>
      <c r="AY518" s="138" t="n"/>
      <c r="AZ518" s="16">
        <f>AF518+AH518+AJ518+AL518+AN518+AP518+AR518+AT518+AV518+AX518</f>
        <v/>
      </c>
      <c r="BA518" s="16" t="n"/>
      <c r="BB518" s="139" t="n"/>
      <c r="BC518" s="16" t="n"/>
      <c r="BD518" s="139" t="n"/>
      <c r="BE518" s="16">
        <f>(BA518+BC518)</f>
        <v/>
      </c>
    </row>
    <row r="519" ht="22.5" customFormat="1" customHeight="1" s="8">
      <c r="A519" s="9" t="n"/>
      <c r="B519" s="136" t="inlineStr">
        <is>
          <t>AL 스티커</t>
        </is>
      </c>
      <c r="C519" s="137" t="inlineStr">
        <is>
          <t>ADX6000</t>
        </is>
      </c>
      <c r="D519" s="79" t="inlineStr">
        <is>
          <t>IRay A6 NAME PLATE</t>
        </is>
      </c>
      <c r="E519" s="13" t="n"/>
      <c r="F519" s="99" t="n"/>
      <c r="G519" s="9" t="n"/>
      <c r="H519" s="9" t="inlineStr">
        <is>
          <t>에덴상공사</t>
        </is>
      </c>
      <c r="I519" s="14" t="n"/>
      <c r="J519" s="14" t="n"/>
      <c r="K519" s="12" t="n">
        <v>629</v>
      </c>
      <c r="L519" s="9" t="n"/>
      <c r="M519" s="9" t="n"/>
      <c r="N519" s="9" t="n"/>
      <c r="O519" s="40">
        <f>K519+V519-AE519-AZ519</f>
        <v/>
      </c>
      <c r="P519" s="12" t="n"/>
      <c r="Q519" s="138" t="n"/>
      <c r="R519" s="16" t="n"/>
      <c r="S519" s="139" t="n"/>
      <c r="T519" s="16" t="n"/>
      <c r="U519" s="139" t="n"/>
      <c r="V519" s="16">
        <f>P519+R519+T519</f>
        <v/>
      </c>
      <c r="W519" s="16" t="n"/>
      <c r="X519" s="139" t="n"/>
      <c r="Y519" s="16" t="n"/>
      <c r="Z519" s="139" t="n"/>
      <c r="AA519" s="16" t="n"/>
      <c r="AB519" s="139" t="n"/>
      <c r="AC519" s="16" t="n"/>
      <c r="AD519" s="139" t="n"/>
      <c r="AE519" s="16">
        <f>(W519+Y519+AA519+AC519)</f>
        <v/>
      </c>
      <c r="AF519" s="16" t="n"/>
      <c r="AG519" s="138" t="n"/>
      <c r="AH519" s="16" t="n"/>
      <c r="AI519" s="138" t="n"/>
      <c r="AJ519" s="16" t="n"/>
      <c r="AK519" s="138" t="n"/>
      <c r="AL519" s="16" t="n"/>
      <c r="AM519" s="138" t="n"/>
      <c r="AN519" s="16" t="n"/>
      <c r="AO519" s="138" t="n"/>
      <c r="AP519" s="16" t="n"/>
      <c r="AQ519" s="138" t="n"/>
      <c r="AR519" s="16" t="n"/>
      <c r="AS519" s="138" t="n"/>
      <c r="AT519" s="16" t="n"/>
      <c r="AU519" s="138" t="n"/>
      <c r="AV519" s="16" t="n"/>
      <c r="AW519" s="138" t="n"/>
      <c r="AX519" s="16" t="n"/>
      <c r="AY519" s="138" t="n"/>
      <c r="AZ519" s="16">
        <f>AF519+AH519+AJ519+AL519+AN519+AP519+AR519+AT519+AV519+AX519</f>
        <v/>
      </c>
      <c r="BA519" s="16" t="n"/>
      <c r="BB519" s="139" t="n"/>
      <c r="BC519" s="16" t="n"/>
      <c r="BD519" s="139" t="n"/>
      <c r="BE519" s="16">
        <f>(BA519+BC519)</f>
        <v/>
      </c>
    </row>
    <row r="520" ht="22.5" customFormat="1" customHeight="1" s="8">
      <c r="A520" s="9" t="n"/>
      <c r="B520" s="136" t="inlineStr">
        <is>
          <t>AL 스티커</t>
        </is>
      </c>
      <c r="C520" s="137" t="inlineStr">
        <is>
          <t>ADX6000</t>
        </is>
      </c>
      <c r="D520" s="91" t="inlineStr">
        <is>
          <t>IRay A6S NAME PLATE</t>
        </is>
      </c>
      <c r="E520" s="13" t="n"/>
      <c r="F520" s="99" t="n"/>
      <c r="G520" s="9" t="n"/>
      <c r="H520" s="9" t="inlineStr">
        <is>
          <t>에덴상공사</t>
        </is>
      </c>
      <c r="I520" s="14" t="n"/>
      <c r="J520" s="14" t="n"/>
      <c r="K520" s="12" t="n">
        <v>893</v>
      </c>
      <c r="L520" s="9" t="n"/>
      <c r="M520" s="9" t="n"/>
      <c r="N520" s="9" t="n"/>
      <c r="O520" s="40">
        <f>K520+V520-AE520-AZ520</f>
        <v/>
      </c>
      <c r="P520" s="12" t="n"/>
      <c r="Q520" s="138" t="n"/>
      <c r="R520" s="16" t="n"/>
      <c r="S520" s="139" t="n"/>
      <c r="T520" s="16" t="n"/>
      <c r="U520" s="139" t="n"/>
      <c r="V520" s="16">
        <f>P520+R520+T520</f>
        <v/>
      </c>
      <c r="W520" s="16" t="n"/>
      <c r="X520" s="139" t="n"/>
      <c r="Y520" s="16" t="n"/>
      <c r="Z520" s="139" t="n"/>
      <c r="AA520" s="16" t="n"/>
      <c r="AB520" s="139" t="n"/>
      <c r="AC520" s="16" t="n"/>
      <c r="AD520" s="139" t="n"/>
      <c r="AE520" s="16">
        <f>(W520+Y520+AA520+AC520)</f>
        <v/>
      </c>
      <c r="AF520" s="16" t="n"/>
      <c r="AG520" s="138" t="n"/>
      <c r="AH520" s="16" t="n"/>
      <c r="AI520" s="138" t="n"/>
      <c r="AJ520" s="16" t="n"/>
      <c r="AK520" s="138" t="n"/>
      <c r="AL520" s="16" t="n"/>
      <c r="AM520" s="138" t="n"/>
      <c r="AN520" s="16" t="n"/>
      <c r="AO520" s="138" t="n"/>
      <c r="AP520" s="16" t="n"/>
      <c r="AQ520" s="138" t="n"/>
      <c r="AR520" s="16" t="n"/>
      <c r="AS520" s="138" t="n"/>
      <c r="AT520" s="16" t="n"/>
      <c r="AU520" s="138" t="n"/>
      <c r="AV520" s="16" t="n"/>
      <c r="AW520" s="138" t="n"/>
      <c r="AX520" s="16" t="n"/>
      <c r="AY520" s="138" t="n"/>
      <c r="AZ520" s="16">
        <f>AF520+AH520+AJ520+AL520+AN520+AP520+AR520+AT520+AV520+AX520</f>
        <v/>
      </c>
      <c r="BA520" s="16" t="n"/>
      <c r="BB520" s="139" t="n"/>
      <c r="BC520" s="16" t="n"/>
      <c r="BD520" s="139" t="n"/>
      <c r="BE520" s="16">
        <f>(BA520+BC520)</f>
        <v/>
      </c>
    </row>
    <row r="521" ht="22.5" customFormat="1" customHeight="1" s="8">
      <c r="A521" s="9" t="n"/>
      <c r="B521" s="136" t="inlineStr">
        <is>
          <t>AL 스티커</t>
        </is>
      </c>
      <c r="C521" s="137" t="inlineStr">
        <is>
          <t>ADX6000</t>
        </is>
      </c>
      <c r="D521" s="79" t="inlineStr">
        <is>
          <t>DEXCOWIN NAME PLATE</t>
        </is>
      </c>
      <c r="E521" s="13" t="inlineStr">
        <is>
          <t>FDXD-810 디텍터용</t>
        </is>
      </c>
      <c r="F521" s="99" t="n"/>
      <c r="G521" s="9" t="n"/>
      <c r="H521" s="9" t="inlineStr">
        <is>
          <t>에덴상공사</t>
        </is>
      </c>
      <c r="I521" s="14" t="n"/>
      <c r="J521" s="14" t="n"/>
      <c r="K521" s="12" t="n"/>
      <c r="L521" s="9" t="n"/>
      <c r="M521" s="9" t="n"/>
      <c r="N521" s="9" t="n"/>
      <c r="O521" s="40">
        <f>K521+V521-AE521-AZ521</f>
        <v/>
      </c>
      <c r="P521" s="12" t="n"/>
      <c r="Q521" s="138" t="n"/>
      <c r="R521" s="16" t="n"/>
      <c r="S521" s="139" t="n"/>
      <c r="T521" s="16" t="n"/>
      <c r="U521" s="139" t="n"/>
      <c r="V521" s="16">
        <f>P521+R521+T521</f>
        <v/>
      </c>
      <c r="W521" s="16" t="n"/>
      <c r="X521" s="139" t="n"/>
      <c r="Y521" s="16" t="n"/>
      <c r="Z521" s="139" t="n"/>
      <c r="AA521" s="16" t="n"/>
      <c r="AB521" s="139" t="n"/>
      <c r="AC521" s="16" t="n"/>
      <c r="AD521" s="139" t="n"/>
      <c r="AE521" s="16">
        <f>(W521+Y521+AA521+AC521)</f>
        <v/>
      </c>
      <c r="AF521" s="16" t="n"/>
      <c r="AG521" s="138" t="n"/>
      <c r="AH521" s="16" t="n"/>
      <c r="AI521" s="138" t="n"/>
      <c r="AJ521" s="16" t="n"/>
      <c r="AK521" s="138" t="n"/>
      <c r="AL521" s="16" t="n"/>
      <c r="AM521" s="138" t="n"/>
      <c r="AN521" s="16" t="n"/>
      <c r="AO521" s="138" t="n"/>
      <c r="AP521" s="16" t="n"/>
      <c r="AQ521" s="138" t="n"/>
      <c r="AR521" s="16" t="n"/>
      <c r="AS521" s="138" t="n"/>
      <c r="AT521" s="16" t="n"/>
      <c r="AU521" s="138" t="n"/>
      <c r="AV521" s="16" t="n"/>
      <c r="AW521" s="138" t="n"/>
      <c r="AX521" s="16" t="n"/>
      <c r="AY521" s="138" t="n"/>
      <c r="AZ521" s="16">
        <f>AF521+AH521+AJ521+AL521+AN521+AP521+AR521+AT521+AV521+AX521</f>
        <v/>
      </c>
      <c r="BA521" s="16" t="n"/>
      <c r="BB521" s="139" t="n"/>
      <c r="BC521" s="16" t="n"/>
      <c r="BD521" s="139" t="n"/>
      <c r="BE521" s="16">
        <f>(BA521+BC521)</f>
        <v/>
      </c>
    </row>
    <row r="522" ht="22.5" customFormat="1" customHeight="1" s="8">
      <c r="A522" s="9" t="n"/>
      <c r="B522" s="136" t="inlineStr">
        <is>
          <t>AL 스티커</t>
        </is>
      </c>
      <c r="C522" s="137" t="inlineStr">
        <is>
          <t>ADX6000</t>
        </is>
      </c>
      <c r="D522" s="79" t="inlineStr">
        <is>
          <t>DEXCOWIN NAME PLATE</t>
        </is>
      </c>
      <c r="E522" s="13" t="inlineStr">
        <is>
          <t>뱅가드 가방용</t>
        </is>
      </c>
      <c r="F522" s="99" t="n"/>
      <c r="G522" s="9" t="n"/>
      <c r="H522" s="9" t="inlineStr">
        <is>
          <t>에덴상공사</t>
        </is>
      </c>
      <c r="I522" s="14" t="n"/>
      <c r="J522" s="14" t="n"/>
      <c r="K522" s="12" t="n"/>
      <c r="L522" s="9" t="n"/>
      <c r="M522" s="9" t="n"/>
      <c r="N522" s="9" t="n"/>
      <c r="O522" s="40">
        <f>K522+V522-AE522-AZ522</f>
        <v/>
      </c>
      <c r="P522" s="12" t="n"/>
      <c r="Q522" s="138" t="n"/>
      <c r="R522" s="16" t="n"/>
      <c r="S522" s="139" t="n"/>
      <c r="T522" s="16" t="n"/>
      <c r="U522" s="139" t="n"/>
      <c r="V522" s="16">
        <f>P522+R522+T522</f>
        <v/>
      </c>
      <c r="W522" s="16" t="n"/>
      <c r="X522" s="139" t="n"/>
      <c r="Y522" s="16" t="n"/>
      <c r="Z522" s="139" t="n"/>
      <c r="AA522" s="16" t="n"/>
      <c r="AB522" s="139" t="n"/>
      <c r="AC522" s="16" t="n"/>
      <c r="AD522" s="139" t="n"/>
      <c r="AE522" s="16">
        <f>(W522+Y522+AA522+AC522)</f>
        <v/>
      </c>
      <c r="AF522" s="16" t="n"/>
      <c r="AG522" s="138" t="n"/>
      <c r="AH522" s="16" t="n"/>
      <c r="AI522" s="138" t="n"/>
      <c r="AJ522" s="16" t="n"/>
      <c r="AK522" s="138" t="n"/>
      <c r="AL522" s="16" t="n"/>
      <c r="AM522" s="138" t="n"/>
      <c r="AN522" s="16" t="n"/>
      <c r="AO522" s="138" t="n"/>
      <c r="AP522" s="16" t="n"/>
      <c r="AQ522" s="138" t="n"/>
      <c r="AR522" s="16" t="n"/>
      <c r="AS522" s="138" t="n"/>
      <c r="AT522" s="16" t="n"/>
      <c r="AU522" s="138" t="n"/>
      <c r="AV522" s="16" t="n"/>
      <c r="AW522" s="138" t="n"/>
      <c r="AX522" s="16" t="n"/>
      <c r="AY522" s="138" t="n"/>
      <c r="AZ522" s="16">
        <f>AF522+AH522+AJ522+AL522+AN522+AP522+AR522+AT522+AV522+AX522</f>
        <v/>
      </c>
      <c r="BA522" s="16" t="n"/>
      <c r="BB522" s="139" t="n"/>
      <c r="BC522" s="16" t="n"/>
      <c r="BD522" s="139" t="n"/>
      <c r="BE522" s="16">
        <f>(BA522+BC522)</f>
        <v/>
      </c>
    </row>
    <row r="523" ht="22.5" customFormat="1" customHeight="1" s="8">
      <c r="A523" s="9" t="n"/>
      <c r="B523" s="136" t="inlineStr">
        <is>
          <t>AL 스티커</t>
        </is>
      </c>
      <c r="C523" s="137" t="inlineStr">
        <is>
          <t>공용</t>
        </is>
      </c>
      <c r="D523" s="79" t="inlineStr">
        <is>
          <t>SUS PLATE</t>
        </is>
      </c>
      <c r="E523" s="13" t="n"/>
      <c r="F523" s="99" t="n"/>
      <c r="G523" s="9" t="n"/>
      <c r="H523" s="9" t="inlineStr">
        <is>
          <t>에덴상공사</t>
        </is>
      </c>
      <c r="I523" s="14" t="n"/>
      <c r="J523" s="14" t="n"/>
      <c r="K523" s="12" t="n"/>
      <c r="L523" s="9" t="n"/>
      <c r="M523" s="9" t="n"/>
      <c r="N523" s="9" t="n"/>
      <c r="O523" s="40">
        <f>K523+V523-AE523-AZ523</f>
        <v/>
      </c>
      <c r="P523" s="12" t="n"/>
      <c r="Q523" s="138" t="n"/>
      <c r="R523" s="16" t="n"/>
      <c r="S523" s="139" t="n"/>
      <c r="T523" s="16" t="n"/>
      <c r="U523" s="139" t="n"/>
      <c r="V523" s="16">
        <f>P523+R523+T523</f>
        <v/>
      </c>
      <c r="W523" s="16" t="n"/>
      <c r="X523" s="139" t="n"/>
      <c r="Y523" s="16" t="n"/>
      <c r="Z523" s="139" t="n"/>
      <c r="AA523" s="16" t="n"/>
      <c r="AB523" s="139" t="n"/>
      <c r="AC523" s="16" t="n"/>
      <c r="AD523" s="139" t="n"/>
      <c r="AE523" s="16">
        <f>(W523+Y523+AA523+AC523)</f>
        <v/>
      </c>
      <c r="AF523" s="16" t="n"/>
      <c r="AG523" s="138" t="n"/>
      <c r="AH523" s="16" t="n"/>
      <c r="AI523" s="138" t="n"/>
      <c r="AJ523" s="16" t="n"/>
      <c r="AK523" s="138" t="n"/>
      <c r="AL523" s="16" t="n"/>
      <c r="AM523" s="138" t="n"/>
      <c r="AN523" s="16" t="n"/>
      <c r="AO523" s="138" t="n"/>
      <c r="AP523" s="16" t="n"/>
      <c r="AQ523" s="138" t="n"/>
      <c r="AR523" s="16" t="n"/>
      <c r="AS523" s="138" t="n"/>
      <c r="AT523" s="16" t="n"/>
      <c r="AU523" s="138" t="n"/>
      <c r="AV523" s="16" t="n"/>
      <c r="AW523" s="138" t="n"/>
      <c r="AX523" s="16" t="n"/>
      <c r="AY523" s="138" t="n"/>
      <c r="AZ523" s="16">
        <f>AF523+AH523+AJ523+AL523+AN523+AP523+AR523+AT523+AV523+AX523</f>
        <v/>
      </c>
      <c r="BA523" s="16" t="n"/>
      <c r="BB523" s="139" t="n"/>
      <c r="BC523" s="16" t="n"/>
      <c r="BD523" s="139" t="n"/>
      <c r="BE523" s="16">
        <f>(BA523+BC523)</f>
        <v/>
      </c>
    </row>
    <row r="524" ht="22.5" customFormat="1" customHeight="1" s="8">
      <c r="A524" s="9" t="n"/>
      <c r="B524" s="136" t="inlineStr">
        <is>
          <t>AL 스티커</t>
        </is>
      </c>
      <c r="C524" s="137" t="inlineStr">
        <is>
          <t>공용</t>
        </is>
      </c>
      <c r="D524" s="79" t="inlineStr">
        <is>
          <t>DEXCOWIN NAME PLATE</t>
        </is>
      </c>
      <c r="E524" s="13" t="inlineStr">
        <is>
          <t>DR Tech 센서용</t>
        </is>
      </c>
      <c r="F524" s="99" t="n"/>
      <c r="G524" s="9" t="n"/>
      <c r="H524" s="9" t="inlineStr">
        <is>
          <t>에덴상공사</t>
        </is>
      </c>
      <c r="I524" s="14" t="n"/>
      <c r="J524" s="14" t="n"/>
      <c r="K524" s="12" t="n"/>
      <c r="L524" s="9" t="n"/>
      <c r="M524" s="9" t="n"/>
      <c r="N524" s="9" t="n"/>
      <c r="O524" s="40">
        <f>K524+V524-AE524-AZ524</f>
        <v/>
      </c>
      <c r="P524" s="12" t="n"/>
      <c r="Q524" s="138" t="n"/>
      <c r="R524" s="16" t="n"/>
      <c r="S524" s="139" t="n"/>
      <c r="T524" s="16" t="n"/>
      <c r="U524" s="139" t="n"/>
      <c r="V524" s="16">
        <f>P524+R524+T524</f>
        <v/>
      </c>
      <c r="W524" s="16" t="n"/>
      <c r="X524" s="139" t="n"/>
      <c r="Y524" s="16" t="n"/>
      <c r="Z524" s="139" t="n"/>
      <c r="AA524" s="16" t="n"/>
      <c r="AB524" s="139" t="n"/>
      <c r="AC524" s="16" t="n"/>
      <c r="AD524" s="139" t="n"/>
      <c r="AE524" s="16">
        <f>(W524+Y524+AA524+AC524)</f>
        <v/>
      </c>
      <c r="AF524" s="16" t="n"/>
      <c r="AG524" s="138" t="n"/>
      <c r="AH524" s="16" t="n"/>
      <c r="AI524" s="138" t="n"/>
      <c r="AJ524" s="16" t="n"/>
      <c r="AK524" s="138" t="n"/>
      <c r="AL524" s="16" t="n"/>
      <c r="AM524" s="138" t="n"/>
      <c r="AN524" s="16" t="n"/>
      <c r="AO524" s="138" t="n"/>
      <c r="AP524" s="16" t="n"/>
      <c r="AQ524" s="138" t="n"/>
      <c r="AR524" s="16" t="n"/>
      <c r="AS524" s="138" t="n"/>
      <c r="AT524" s="16" t="n"/>
      <c r="AU524" s="138" t="n"/>
      <c r="AV524" s="16" t="n"/>
      <c r="AW524" s="138" t="n"/>
      <c r="AX524" s="16" t="n"/>
      <c r="AY524" s="138" t="n"/>
      <c r="AZ524" s="16">
        <f>AF524+AH524+AJ524+AL524+AN524+AP524+AR524+AT524+AV524+AX524</f>
        <v/>
      </c>
      <c r="BA524" s="16" t="n"/>
      <c r="BB524" s="139" t="n"/>
      <c r="BC524" s="16" t="n"/>
      <c r="BD524" s="139" t="n"/>
      <c r="BE524" s="16">
        <f>(BA524+BC524)</f>
        <v/>
      </c>
    </row>
    <row r="525" ht="22.5" customFormat="1" customHeight="1" s="8">
      <c r="A525" s="9" t="n"/>
      <c r="B525" s="136" t="inlineStr">
        <is>
          <t>AL 스티커</t>
        </is>
      </c>
      <c r="C525" s="137" t="inlineStr">
        <is>
          <t>공용</t>
        </is>
      </c>
      <c r="D525" s="79" t="inlineStr">
        <is>
          <t>DEXCOWIN NAME PLATE</t>
        </is>
      </c>
      <c r="E525" s="13" t="inlineStr">
        <is>
          <t>가방용</t>
        </is>
      </c>
      <c r="F525" s="99" t="n"/>
      <c r="G525" s="9" t="n"/>
      <c r="H525" s="9" t="inlineStr">
        <is>
          <t>에덴상공사</t>
        </is>
      </c>
      <c r="I525" s="14" t="n"/>
      <c r="J525" s="14" t="n"/>
      <c r="K525" s="12" t="n"/>
      <c r="L525" s="9" t="n"/>
      <c r="M525" s="9" t="n"/>
      <c r="N525" s="9" t="n"/>
      <c r="O525" s="40">
        <f>K525+V525-AE525-AZ525</f>
        <v/>
      </c>
      <c r="P525" s="12" t="n"/>
      <c r="Q525" s="138" t="n"/>
      <c r="R525" s="16" t="n"/>
      <c r="S525" s="139" t="n"/>
      <c r="T525" s="16" t="n"/>
      <c r="U525" s="139" t="n"/>
      <c r="V525" s="16">
        <f>P525+R525+T525</f>
        <v/>
      </c>
      <c r="W525" s="16" t="n"/>
      <c r="X525" s="139" t="n"/>
      <c r="Y525" s="16" t="n"/>
      <c r="Z525" s="139" t="n"/>
      <c r="AA525" s="16" t="n"/>
      <c r="AB525" s="139" t="n"/>
      <c r="AC525" s="16" t="n"/>
      <c r="AD525" s="139" t="n"/>
      <c r="AE525" s="16">
        <f>(W525+Y525+AA525+AC525)</f>
        <v/>
      </c>
      <c r="AF525" s="16" t="n"/>
      <c r="AG525" s="138" t="n"/>
      <c r="AH525" s="16" t="n"/>
      <c r="AI525" s="138" t="n"/>
      <c r="AJ525" s="16" t="n"/>
      <c r="AK525" s="138" t="n"/>
      <c r="AL525" s="16" t="n"/>
      <c r="AM525" s="138" t="n"/>
      <c r="AN525" s="16" t="n"/>
      <c r="AO525" s="138" t="n"/>
      <c r="AP525" s="16" t="n"/>
      <c r="AQ525" s="138" t="n"/>
      <c r="AR525" s="16" t="n"/>
      <c r="AS525" s="138" t="n"/>
      <c r="AT525" s="16" t="n"/>
      <c r="AU525" s="138" t="n"/>
      <c r="AV525" s="16" t="n"/>
      <c r="AW525" s="138" t="n"/>
      <c r="AX525" s="16" t="n"/>
      <c r="AY525" s="138" t="n"/>
      <c r="AZ525" s="16">
        <f>AF525+AH525+AJ525+AL525+AN525+AP525+AR525+AT525+AV525+AX525</f>
        <v/>
      </c>
      <c r="BA525" s="16" t="n"/>
      <c r="BB525" s="139" t="n"/>
      <c r="BC525" s="16" t="n"/>
      <c r="BD525" s="139" t="n"/>
      <c r="BE525" s="16">
        <f>(BA525+BC525)</f>
        <v/>
      </c>
    </row>
    <row r="526" ht="22.5" customFormat="1" customHeight="1" s="8">
      <c r="A526" s="9" t="n"/>
      <c r="B526" s="136" t="inlineStr">
        <is>
          <t>에폭시 스티커</t>
        </is>
      </c>
      <c r="C526" s="137" t="inlineStr">
        <is>
          <t>ADX6000S</t>
        </is>
      </c>
      <c r="D526" s="65" t="inlineStr">
        <is>
          <t>손잡이 에폭시 스티커</t>
        </is>
      </c>
      <c r="E526" s="13" t="n"/>
      <c r="F526" s="99" t="n"/>
      <c r="G526" s="9" t="n"/>
      <c r="H526" s="24" t="inlineStr">
        <is>
          <t>거광에폭시</t>
        </is>
      </c>
      <c r="I526" s="14" t="n"/>
      <c r="J526" s="14" t="n"/>
      <c r="K526" s="12" t="n"/>
      <c r="L526" s="9" t="n"/>
      <c r="M526" s="9" t="n"/>
      <c r="N526" s="9" t="n"/>
      <c r="O526" s="40">
        <f>K526+V526-AE526-AZ526</f>
        <v/>
      </c>
      <c r="P526" s="12" t="n"/>
      <c r="Q526" s="138" t="n"/>
      <c r="R526" s="16" t="n"/>
      <c r="S526" s="139" t="n"/>
      <c r="T526" s="16" t="n"/>
      <c r="U526" s="139" t="n"/>
      <c r="V526" s="16">
        <f>P526+R526+T526</f>
        <v/>
      </c>
      <c r="W526" s="16" t="n"/>
      <c r="X526" s="139" t="n"/>
      <c r="Y526" s="16" t="n"/>
      <c r="Z526" s="139" t="n"/>
      <c r="AA526" s="16" t="n"/>
      <c r="AB526" s="139" t="n"/>
      <c r="AC526" s="16" t="n"/>
      <c r="AD526" s="139" t="n"/>
      <c r="AE526" s="16">
        <f>(W526+Y526+AA526+AC526)</f>
        <v/>
      </c>
      <c r="AF526" s="16" t="n"/>
      <c r="AG526" s="138" t="n"/>
      <c r="AH526" s="16" t="n"/>
      <c r="AI526" s="138" t="n"/>
      <c r="AJ526" s="16" t="n"/>
      <c r="AK526" s="138" t="n"/>
      <c r="AL526" s="16" t="n"/>
      <c r="AM526" s="138" t="n"/>
      <c r="AN526" s="16" t="n"/>
      <c r="AO526" s="138" t="n"/>
      <c r="AP526" s="16" t="n"/>
      <c r="AQ526" s="138" t="n"/>
      <c r="AR526" s="16" t="n"/>
      <c r="AS526" s="138" t="n"/>
      <c r="AT526" s="16" t="n"/>
      <c r="AU526" s="138" t="n"/>
      <c r="AV526" s="16" t="n"/>
      <c r="AW526" s="138" t="n"/>
      <c r="AX526" s="16" t="n"/>
      <c r="AY526" s="138" t="n"/>
      <c r="AZ526" s="16">
        <f>AF526+AH526+AJ526+AL526+AN526+AP526+AR526+AT526+AV526+AX526</f>
        <v/>
      </c>
      <c r="BA526" s="16" t="n"/>
      <c r="BB526" s="139" t="n"/>
      <c r="BC526" s="16" t="n"/>
      <c r="BD526" s="139" t="n"/>
      <c r="BE526" s="16">
        <f>(BA526+BC526)</f>
        <v/>
      </c>
    </row>
    <row r="527" ht="22.5" customFormat="1" customHeight="1" s="8">
      <c r="A527" s="9" t="n"/>
      <c r="B527" s="136" t="inlineStr">
        <is>
          <t>패드</t>
        </is>
      </c>
      <c r="C527" s="137" t="inlineStr">
        <is>
          <t>공용</t>
        </is>
      </c>
      <c r="D527" s="65" t="inlineStr">
        <is>
          <t>패드</t>
        </is>
      </c>
      <c r="E527" s="13" t="n"/>
      <c r="F527" s="99" t="n"/>
      <c r="G527" s="9" t="n"/>
      <c r="H527" s="9" t="inlineStr">
        <is>
          <t>가온패드</t>
        </is>
      </c>
      <c r="I527" s="14" t="n"/>
      <c r="J527" s="14" t="n"/>
      <c r="K527" s="12" t="n"/>
      <c r="L527" s="9" t="n"/>
      <c r="M527" s="9" t="n"/>
      <c r="N527" s="9" t="n"/>
      <c r="O527" s="40">
        <f>K527+V527-AE527-AZ527</f>
        <v/>
      </c>
      <c r="P527" s="12" t="n"/>
      <c r="Q527" s="138" t="n"/>
      <c r="R527" s="16" t="n"/>
      <c r="S527" s="139" t="n"/>
      <c r="T527" s="16" t="n"/>
      <c r="U527" s="139" t="n"/>
      <c r="V527" s="16">
        <f>P527+R527+T527</f>
        <v/>
      </c>
      <c r="W527" s="16" t="n"/>
      <c r="X527" s="139" t="n"/>
      <c r="Y527" s="16" t="n"/>
      <c r="Z527" s="139" t="n"/>
      <c r="AA527" s="16" t="n"/>
      <c r="AB527" s="139" t="n"/>
      <c r="AC527" s="16" t="n"/>
      <c r="AD527" s="139" t="n"/>
      <c r="AE527" s="16">
        <f>(W527+Y527+AA527+AC527)</f>
        <v/>
      </c>
      <c r="AF527" s="16" t="n"/>
      <c r="AG527" s="138" t="n"/>
      <c r="AH527" s="16" t="n"/>
      <c r="AI527" s="138" t="n"/>
      <c r="AJ527" s="16" t="n"/>
      <c r="AK527" s="138" t="n"/>
      <c r="AL527" s="16" t="n"/>
      <c r="AM527" s="138" t="n"/>
      <c r="AN527" s="16" t="n"/>
      <c r="AO527" s="138" t="n"/>
      <c r="AP527" s="16" t="n"/>
      <c r="AQ527" s="138" t="n"/>
      <c r="AR527" s="16" t="n"/>
      <c r="AS527" s="138" t="n"/>
      <c r="AT527" s="16" t="n"/>
      <c r="AU527" s="138" t="n"/>
      <c r="AV527" s="16" t="n"/>
      <c r="AW527" s="138" t="n"/>
      <c r="AX527" s="16" t="n"/>
      <c r="AY527" s="138" t="n"/>
      <c r="AZ527" s="16">
        <f>AF527+AH527+AJ527+AL527+AN527+AP527+AR527+AT527+AV527+AX527</f>
        <v/>
      </c>
      <c r="BA527" s="16" t="n"/>
      <c r="BB527" s="139" t="n"/>
      <c r="BC527" s="16" t="n"/>
      <c r="BD527" s="139" t="n"/>
      <c r="BE527" s="16">
        <f>(BA527+BC527)</f>
        <v/>
      </c>
    </row>
    <row r="528" ht="22.5" customFormat="1" customHeight="1" s="8">
      <c r="A528" s="9" t="n"/>
      <c r="B528" s="136" t="inlineStr">
        <is>
          <t>카메라</t>
        </is>
      </c>
      <c r="C528" s="137" t="inlineStr">
        <is>
          <t>공용</t>
        </is>
      </c>
      <c r="D528" s="63" t="inlineStr">
        <is>
          <t>구강 카메라</t>
        </is>
      </c>
      <c r="E528" s="13" t="n"/>
      <c r="F528" s="99" t="n"/>
      <c r="G528" s="9" t="n"/>
      <c r="H528" s="9" t="n"/>
      <c r="I528" s="14" t="n"/>
      <c r="J528" s="14" t="n"/>
      <c r="K528" s="12" t="n"/>
      <c r="L528" s="9" t="n"/>
      <c r="M528" s="9" t="n"/>
      <c r="N528" s="9" t="n"/>
      <c r="O528" s="40">
        <f>K528+V528-AE528-AZ528</f>
        <v/>
      </c>
      <c r="P528" s="12" t="n"/>
      <c r="Q528" s="138" t="n"/>
      <c r="R528" s="16" t="n"/>
      <c r="S528" s="139" t="n"/>
      <c r="T528" s="16" t="n"/>
      <c r="U528" s="139" t="n"/>
      <c r="V528" s="16">
        <f>P528+R528+T528</f>
        <v/>
      </c>
      <c r="W528" s="16" t="n"/>
      <c r="X528" s="139" t="n"/>
      <c r="Y528" s="16" t="n"/>
      <c r="Z528" s="139" t="n"/>
      <c r="AA528" s="16" t="n"/>
      <c r="AB528" s="139" t="n"/>
      <c r="AC528" s="16" t="n"/>
      <c r="AD528" s="139" t="n"/>
      <c r="AE528" s="16">
        <f>(W528+Y528+AA528+AC528)</f>
        <v/>
      </c>
      <c r="AF528" s="16" t="n"/>
      <c r="AG528" s="138" t="n"/>
      <c r="AH528" s="16" t="n"/>
      <c r="AI528" s="138" t="n"/>
      <c r="AJ528" s="16" t="n"/>
      <c r="AK528" s="138" t="n"/>
      <c r="AL528" s="16" t="n"/>
      <c r="AM528" s="138" t="n"/>
      <c r="AN528" s="16" t="n"/>
      <c r="AO528" s="138" t="n"/>
      <c r="AP528" s="16" t="n"/>
      <c r="AQ528" s="138" t="n"/>
      <c r="AR528" s="16" t="n"/>
      <c r="AS528" s="138" t="n"/>
      <c r="AT528" s="16" t="n"/>
      <c r="AU528" s="138" t="n"/>
      <c r="AV528" s="16" t="n"/>
      <c r="AW528" s="138" t="n"/>
      <c r="AX528" s="16" t="n"/>
      <c r="AY528" s="138" t="n"/>
      <c r="AZ528" s="16">
        <f>AF528+AH528+AJ528+AL528+AN528+AP528+AR528+AT528+AV528+AX528</f>
        <v/>
      </c>
      <c r="BA528" s="16" t="n"/>
      <c r="BB528" s="139" t="n"/>
      <c r="BC528" s="16" t="n"/>
      <c r="BD528" s="139" t="n"/>
      <c r="BE528" s="16">
        <f>(BA528+BC528)</f>
        <v/>
      </c>
    </row>
    <row r="529" ht="22.5" customFormat="1" customHeight="1" s="8">
      <c r="A529" s="9" t="n"/>
      <c r="B529" s="136" t="inlineStr">
        <is>
          <t>센서 케이스</t>
        </is>
      </c>
      <c r="C529" s="137" t="inlineStr">
        <is>
          <t>공용</t>
        </is>
      </c>
      <c r="D529" s="60" t="inlineStr">
        <is>
          <t>330N 센서 케이스</t>
        </is>
      </c>
      <c r="E529" s="13" t="n"/>
      <c r="F529" s="99" t="n"/>
      <c r="G529" s="9" t="n"/>
      <c r="H529" s="9" t="inlineStr">
        <is>
          <t>다우정밀</t>
        </is>
      </c>
      <c r="I529" s="14" t="n"/>
      <c r="J529" s="14" t="n"/>
      <c r="K529" s="12" t="n"/>
      <c r="L529" s="9" t="n"/>
      <c r="M529" s="9" t="n"/>
      <c r="N529" s="9" t="n"/>
      <c r="O529" s="40">
        <f>K529+V529-AE529-AZ529</f>
        <v/>
      </c>
      <c r="P529" s="12" t="n"/>
      <c r="Q529" s="138" t="n"/>
      <c r="R529" s="16" t="n"/>
      <c r="S529" s="139" t="n"/>
      <c r="T529" s="16" t="n"/>
      <c r="U529" s="139" t="n"/>
      <c r="V529" s="16">
        <f>P529+R529+T529</f>
        <v/>
      </c>
      <c r="W529" s="16" t="n"/>
      <c r="X529" s="139" t="n"/>
      <c r="Y529" s="16" t="n"/>
      <c r="Z529" s="139" t="n"/>
      <c r="AA529" s="16" t="n"/>
      <c r="AB529" s="139" t="n"/>
      <c r="AC529" s="16" t="n"/>
      <c r="AD529" s="139" t="n"/>
      <c r="AE529" s="16">
        <f>(W529+Y529+AA529+AC529)</f>
        <v/>
      </c>
      <c r="AF529" s="16" t="n"/>
      <c r="AG529" s="138" t="n"/>
      <c r="AH529" s="16" t="n"/>
      <c r="AI529" s="138" t="n"/>
      <c r="AJ529" s="16" t="n"/>
      <c r="AK529" s="138" t="n"/>
      <c r="AL529" s="16" t="n"/>
      <c r="AM529" s="138" t="n"/>
      <c r="AN529" s="16" t="n"/>
      <c r="AO529" s="138" t="n"/>
      <c r="AP529" s="16" t="n"/>
      <c r="AQ529" s="138" t="n"/>
      <c r="AR529" s="16" t="n"/>
      <c r="AS529" s="138" t="n"/>
      <c r="AT529" s="16" t="n"/>
      <c r="AU529" s="138" t="n"/>
      <c r="AV529" s="16" t="n"/>
      <c r="AW529" s="138" t="n"/>
      <c r="AX529" s="16" t="n"/>
      <c r="AY529" s="138" t="n"/>
      <c r="AZ529" s="16">
        <f>AF529+AH529+AJ529+AL529+AN529+AP529+AR529+AT529+AV529+AX529</f>
        <v/>
      </c>
      <c r="BA529" s="16" t="n"/>
      <c r="BB529" s="139" t="n"/>
      <c r="BC529" s="16" t="n"/>
      <c r="BD529" s="139" t="n"/>
      <c r="BE529" s="16">
        <f>(BA529+BC529)</f>
        <v/>
      </c>
    </row>
    <row r="530" ht="22.5" customFormat="1" customHeight="1" s="8">
      <c r="A530" s="9" t="n"/>
      <c r="B530" s="136" t="inlineStr">
        <is>
          <t>센서</t>
        </is>
      </c>
      <c r="C530" s="137" t="inlineStr">
        <is>
          <t>공용</t>
        </is>
      </c>
      <c r="D530" s="60" t="inlineStr">
        <is>
          <t>17*17 DRTECH 센서</t>
        </is>
      </c>
      <c r="E530" s="13" t="n"/>
      <c r="F530" s="99" t="n"/>
      <c r="G530" s="9" t="n"/>
      <c r="H530" s="9" t="inlineStr">
        <is>
          <t>디알텍</t>
        </is>
      </c>
      <c r="I530" s="14" t="n"/>
      <c r="J530" s="14" t="n"/>
      <c r="K530" s="12" t="n"/>
      <c r="L530" s="9" t="n"/>
      <c r="M530" s="9" t="n"/>
      <c r="N530" s="9" t="n"/>
      <c r="O530" s="40">
        <f>K530+V530-AE530-AZ530</f>
        <v/>
      </c>
      <c r="P530" s="12" t="n"/>
      <c r="Q530" s="138" t="n"/>
      <c r="R530" s="16" t="n"/>
      <c r="S530" s="139" t="n"/>
      <c r="T530" s="16" t="n"/>
      <c r="U530" s="139" t="n"/>
      <c r="V530" s="16">
        <f>P530+R530+T530</f>
        <v/>
      </c>
      <c r="W530" s="16" t="n"/>
      <c r="X530" s="139" t="n"/>
      <c r="Y530" s="16" t="n"/>
      <c r="Z530" s="139" t="n"/>
      <c r="AA530" s="16" t="n"/>
      <c r="AB530" s="139" t="n"/>
      <c r="AC530" s="16" t="n"/>
      <c r="AD530" s="139" t="n"/>
      <c r="AE530" s="16">
        <f>(W530+Y530+AA530+AC530)</f>
        <v/>
      </c>
      <c r="AF530" s="16" t="n"/>
      <c r="AG530" s="138" t="n"/>
      <c r="AH530" s="16" t="n"/>
      <c r="AI530" s="138" t="n"/>
      <c r="AJ530" s="16" t="n"/>
      <c r="AK530" s="138" t="n"/>
      <c r="AL530" s="16" t="n"/>
      <c r="AM530" s="138" t="n"/>
      <c r="AN530" s="16" t="n"/>
      <c r="AO530" s="138" t="n"/>
      <c r="AP530" s="16" t="n"/>
      <c r="AQ530" s="138" t="n"/>
      <c r="AR530" s="16" t="n"/>
      <c r="AS530" s="138" t="n"/>
      <c r="AT530" s="16" t="n"/>
      <c r="AU530" s="138" t="n"/>
      <c r="AV530" s="16" t="n"/>
      <c r="AW530" s="138" t="n"/>
      <c r="AX530" s="16" t="n"/>
      <c r="AY530" s="138" t="n"/>
      <c r="AZ530" s="16">
        <f>AF530+AH530+AJ530+AL530+AN530+AP530+AR530+AT530+AV530+AX530</f>
        <v/>
      </c>
      <c r="BA530" s="16" t="n"/>
      <c r="BB530" s="139" t="n"/>
      <c r="BC530" s="16" t="n"/>
      <c r="BD530" s="139" t="n"/>
      <c r="BE530" s="16">
        <f>(BA530+BC530)</f>
        <v/>
      </c>
    </row>
    <row r="531" ht="22.5" customFormat="1" customHeight="1" s="8">
      <c r="A531" s="9" t="n"/>
      <c r="B531" s="136" t="inlineStr">
        <is>
          <t>센서</t>
        </is>
      </c>
      <c r="C531" s="137" t="inlineStr">
        <is>
          <t>공용</t>
        </is>
      </c>
      <c r="D531" s="60" t="inlineStr">
        <is>
          <t>330N DRTECH 센서</t>
        </is>
      </c>
      <c r="E531" s="13" t="n"/>
      <c r="F531" s="99" t="n"/>
      <c r="G531" s="9" t="n"/>
      <c r="H531" s="9" t="inlineStr">
        <is>
          <t>디알텍</t>
        </is>
      </c>
      <c r="I531" s="14" t="n"/>
      <c r="J531" s="14" t="n"/>
      <c r="K531" s="12" t="n"/>
      <c r="L531" s="9" t="n"/>
      <c r="M531" s="9" t="n"/>
      <c r="N531" s="9" t="n"/>
      <c r="O531" s="40">
        <f>K531+V531-AE531-AZ531</f>
        <v/>
      </c>
      <c r="P531" s="12" t="n"/>
      <c r="Q531" s="138" t="n"/>
      <c r="R531" s="16" t="n"/>
      <c r="S531" s="139" t="n"/>
      <c r="T531" s="16" t="n"/>
      <c r="U531" s="139" t="n"/>
      <c r="V531" s="16">
        <f>P531+R531+T531</f>
        <v/>
      </c>
      <c r="W531" s="16" t="n"/>
      <c r="X531" s="139" t="n"/>
      <c r="Y531" s="16" t="n"/>
      <c r="Z531" s="139" t="n"/>
      <c r="AA531" s="16" t="n"/>
      <c r="AB531" s="139" t="n"/>
      <c r="AC531" s="16" t="n"/>
      <c r="AD531" s="139" t="n"/>
      <c r="AE531" s="16">
        <f>(W531+Y531+AA531+AC531)</f>
        <v/>
      </c>
      <c r="AF531" s="16" t="n"/>
      <c r="AG531" s="138" t="n"/>
      <c r="AH531" s="16" t="n"/>
      <c r="AI531" s="138" t="n"/>
      <c r="AJ531" s="16" t="n"/>
      <c r="AK531" s="138" t="n"/>
      <c r="AL531" s="16" t="n"/>
      <c r="AM531" s="138" t="n"/>
      <c r="AN531" s="16" t="n"/>
      <c r="AO531" s="138" t="n"/>
      <c r="AP531" s="16" t="n"/>
      <c r="AQ531" s="138" t="n"/>
      <c r="AR531" s="16" t="n"/>
      <c r="AS531" s="138" t="n"/>
      <c r="AT531" s="16" t="n"/>
      <c r="AU531" s="138" t="n"/>
      <c r="AV531" s="16" t="n"/>
      <c r="AW531" s="138" t="n"/>
      <c r="AX531" s="16" t="n"/>
      <c r="AY531" s="138" t="n"/>
      <c r="AZ531" s="16">
        <f>AF531+AH531+AJ531+AL531+AN531+AP531+AR531+AT531+AV531+AX531</f>
        <v/>
      </c>
      <c r="BA531" s="16" t="n"/>
      <c r="BB531" s="139" t="n"/>
      <c r="BC531" s="16" t="n"/>
      <c r="BD531" s="139" t="n"/>
      <c r="BE531" s="16">
        <f>(BA531+BC531)</f>
        <v/>
      </c>
    </row>
    <row r="532" ht="22.5" customFormat="1" customHeight="1" s="8">
      <c r="A532" s="9" t="n"/>
      <c r="B532" s="136" t="inlineStr">
        <is>
          <t>센서</t>
        </is>
      </c>
      <c r="C532" s="137" t="inlineStr">
        <is>
          <t>공용</t>
        </is>
      </c>
      <c r="D532" s="60" t="inlineStr">
        <is>
          <t>810 DRTECH 센서</t>
        </is>
      </c>
      <c r="E532" s="13" t="n"/>
      <c r="F532" s="99" t="n"/>
      <c r="G532" s="9" t="n"/>
      <c r="H532" s="9" t="inlineStr">
        <is>
          <t>디알텍</t>
        </is>
      </c>
      <c r="I532" s="14" t="n"/>
      <c r="J532" s="14" t="n"/>
      <c r="K532" s="12" t="n"/>
      <c r="L532" s="9" t="n"/>
      <c r="M532" s="9" t="n"/>
      <c r="N532" s="9" t="n"/>
      <c r="O532" s="40">
        <f>K532+V532-AE532-AZ532</f>
        <v/>
      </c>
      <c r="P532" s="12" t="n"/>
      <c r="Q532" s="138" t="n"/>
      <c r="R532" s="16" t="n"/>
      <c r="S532" s="139" t="n"/>
      <c r="T532" s="16" t="n"/>
      <c r="U532" s="139" t="n"/>
      <c r="V532" s="16">
        <f>P532+R532+T532</f>
        <v/>
      </c>
      <c r="W532" s="16" t="n"/>
      <c r="X532" s="139" t="n"/>
      <c r="Y532" s="16" t="n"/>
      <c r="Z532" s="139" t="n"/>
      <c r="AA532" s="16" t="n"/>
      <c r="AB532" s="139" t="n"/>
      <c r="AC532" s="16" t="n"/>
      <c r="AD532" s="139" t="n"/>
      <c r="AE532" s="16">
        <f>(W532+Y532+AA532+AC532)</f>
        <v/>
      </c>
      <c r="AF532" s="16" t="n"/>
      <c r="AG532" s="138" t="n"/>
      <c r="AH532" s="16" t="n"/>
      <c r="AI532" s="138" t="n"/>
      <c r="AJ532" s="16" t="n"/>
      <c r="AK532" s="138" t="n"/>
      <c r="AL532" s="16" t="n"/>
      <c r="AM532" s="138" t="n"/>
      <c r="AN532" s="16" t="n"/>
      <c r="AO532" s="138" t="n"/>
      <c r="AP532" s="16" t="n"/>
      <c r="AQ532" s="138" t="n"/>
      <c r="AR532" s="16" t="n"/>
      <c r="AS532" s="138" t="n"/>
      <c r="AT532" s="16" t="n"/>
      <c r="AU532" s="138" t="n"/>
      <c r="AV532" s="16" t="n"/>
      <c r="AW532" s="138" t="n"/>
      <c r="AX532" s="16" t="n"/>
      <c r="AY532" s="138" t="n"/>
      <c r="AZ532" s="16">
        <f>AF532+AH532+AJ532+AL532+AN532+AP532+AR532+AT532+AV532+AX532</f>
        <v/>
      </c>
      <c r="BA532" s="16" t="n"/>
      <c r="BB532" s="139" t="n"/>
      <c r="BC532" s="16" t="n"/>
      <c r="BD532" s="139" t="n"/>
      <c r="BE532" s="16">
        <f>(BA532+BC532)</f>
        <v/>
      </c>
    </row>
    <row r="533" ht="22.5" customFormat="1" customHeight="1" s="8">
      <c r="A533" s="9" t="n"/>
      <c r="B533" s="136" t="inlineStr">
        <is>
          <t>센서</t>
        </is>
      </c>
      <c r="C533" s="137" t="inlineStr">
        <is>
          <t>공용</t>
        </is>
      </c>
      <c r="D533" s="60" t="inlineStr">
        <is>
          <t>HDI 1000 [Rex2 Classic/1.5]</t>
        </is>
      </c>
      <c r="E533" s="13" t="n"/>
      <c r="F533" s="99" t="n"/>
      <c r="G533" s="9" t="n"/>
      <c r="H533" s="9" t="inlineStr">
        <is>
          <t>레이언스</t>
        </is>
      </c>
      <c r="I533" s="14" t="n"/>
      <c r="J533" s="14" t="n"/>
      <c r="K533" s="12" t="n"/>
      <c r="L533" s="9" t="n"/>
      <c r="M533" s="9" t="n"/>
      <c r="N533" s="9" t="n"/>
      <c r="O533" s="40">
        <f>K533+V533-AE533-AZ533</f>
        <v/>
      </c>
      <c r="P533" s="12" t="n"/>
      <c r="Q533" s="138" t="n"/>
      <c r="R533" s="16" t="n"/>
      <c r="S533" s="139" t="n"/>
      <c r="T533" s="16" t="n"/>
      <c r="U533" s="139" t="n"/>
      <c r="V533" s="16">
        <f>P533+R533+T533</f>
        <v/>
      </c>
      <c r="W533" s="16" t="n"/>
      <c r="X533" s="139" t="n"/>
      <c r="Y533" s="16" t="n"/>
      <c r="Z533" s="139" t="n"/>
      <c r="AA533" s="16" t="n"/>
      <c r="AB533" s="139" t="n"/>
      <c r="AC533" s="16" t="n"/>
      <c r="AD533" s="139" t="n"/>
      <c r="AE533" s="16">
        <f>(W533+Y533+AA533+AC533)</f>
        <v/>
      </c>
      <c r="AF533" s="16" t="n"/>
      <c r="AG533" s="138" t="n"/>
      <c r="AH533" s="16" t="n"/>
      <c r="AI533" s="138" t="n"/>
      <c r="AJ533" s="16" t="n"/>
      <c r="AK533" s="138" t="n"/>
      <c r="AL533" s="16" t="n"/>
      <c r="AM533" s="138" t="n"/>
      <c r="AN533" s="16" t="n"/>
      <c r="AO533" s="138" t="n"/>
      <c r="AP533" s="16" t="n"/>
      <c r="AQ533" s="138" t="n"/>
      <c r="AR533" s="16" t="n"/>
      <c r="AS533" s="138" t="n"/>
      <c r="AT533" s="16" t="n"/>
      <c r="AU533" s="138" t="n"/>
      <c r="AV533" s="16" t="n"/>
      <c r="AW533" s="138" t="n"/>
      <c r="AX533" s="16" t="n"/>
      <c r="AY533" s="138" t="n"/>
      <c r="AZ533" s="16">
        <f>AF533+AH533+AJ533+AL533+AN533+AP533+AR533+AT533+AV533+AX533</f>
        <v/>
      </c>
      <c r="BA533" s="16" t="n"/>
      <c r="BB533" s="139" t="n"/>
      <c r="BC533" s="16" t="n"/>
      <c r="BD533" s="139" t="n"/>
      <c r="BE533" s="16">
        <f>(BA533+BC533)</f>
        <v/>
      </c>
    </row>
    <row r="534" ht="22.5" customFormat="1" customHeight="1" s="8">
      <c r="A534" s="9" t="n"/>
      <c r="B534" s="136" t="inlineStr">
        <is>
          <t>센서</t>
        </is>
      </c>
      <c r="C534" s="137" t="inlineStr">
        <is>
          <t>공용</t>
        </is>
      </c>
      <c r="D534" s="60" t="inlineStr">
        <is>
          <t>HDI 2000 [Rex2 Premium/1.5]</t>
        </is>
      </c>
      <c r="E534" s="13" t="n"/>
      <c r="F534" s="99" t="n"/>
      <c r="G534" s="9" t="n"/>
      <c r="H534" s="9" t="inlineStr">
        <is>
          <t>레이언스</t>
        </is>
      </c>
      <c r="I534" s="14" t="n"/>
      <c r="J534" s="14" t="n"/>
      <c r="K534" s="12" t="n"/>
      <c r="L534" s="9" t="n"/>
      <c r="M534" s="9" t="n"/>
      <c r="N534" s="9" t="n"/>
      <c r="O534" s="40">
        <f>K534+V534-AE534-AZ534</f>
        <v/>
      </c>
      <c r="P534" s="12" t="n"/>
      <c r="Q534" s="138" t="n"/>
      <c r="R534" s="16" t="n"/>
      <c r="S534" s="139" t="n"/>
      <c r="T534" s="16" t="n"/>
      <c r="U534" s="139" t="n"/>
      <c r="V534" s="16">
        <f>P534+R534+T534</f>
        <v/>
      </c>
      <c r="W534" s="16" t="n"/>
      <c r="X534" s="139" t="n"/>
      <c r="Y534" s="16" t="n"/>
      <c r="Z534" s="139" t="n"/>
      <c r="AA534" s="16" t="n"/>
      <c r="AB534" s="139" t="n"/>
      <c r="AC534" s="16" t="n"/>
      <c r="AD534" s="139" t="n"/>
      <c r="AE534" s="16">
        <f>(W534+Y534+AA534+AC534)</f>
        <v/>
      </c>
      <c r="AF534" s="16" t="n"/>
      <c r="AG534" s="138" t="n"/>
      <c r="AH534" s="16" t="n"/>
      <c r="AI534" s="138" t="n"/>
      <c r="AJ534" s="16" t="n"/>
      <c r="AK534" s="138" t="n"/>
      <c r="AL534" s="16" t="n"/>
      <c r="AM534" s="138" t="n"/>
      <c r="AN534" s="16" t="n"/>
      <c r="AO534" s="138" t="n"/>
      <c r="AP534" s="16" t="n"/>
      <c r="AQ534" s="138" t="n"/>
      <c r="AR534" s="16" t="n"/>
      <c r="AS534" s="138" t="n"/>
      <c r="AT534" s="16" t="n"/>
      <c r="AU534" s="138" t="n"/>
      <c r="AV534" s="16" t="n"/>
      <c r="AW534" s="138" t="n"/>
      <c r="AX534" s="16" t="n"/>
      <c r="AY534" s="138" t="n"/>
      <c r="AZ534" s="16">
        <f>AF534+AH534+AJ534+AL534+AN534+AP534+AR534+AT534+AV534+AX534</f>
        <v/>
      </c>
      <c r="BA534" s="16" t="n"/>
      <c r="BB534" s="139" t="n"/>
      <c r="BC534" s="16" t="n"/>
      <c r="BD534" s="139" t="n"/>
      <c r="BE534" s="16">
        <f>(BA534+BC534)</f>
        <v/>
      </c>
    </row>
    <row r="535" ht="22.5" customFormat="1" customHeight="1" s="8">
      <c r="A535" s="9" t="n"/>
      <c r="B535" s="136" t="inlineStr">
        <is>
          <t>센서</t>
        </is>
      </c>
      <c r="C535" s="137" t="inlineStr">
        <is>
          <t>공용</t>
        </is>
      </c>
      <c r="D535" s="60" t="inlineStr">
        <is>
          <t>HDI 2000 [Rex2 Premium/2.0]</t>
        </is>
      </c>
      <c r="E535" s="13" t="n"/>
      <c r="F535" s="99" t="n"/>
      <c r="G535" s="9" t="n"/>
      <c r="H535" s="9" t="inlineStr">
        <is>
          <t>레이언스</t>
        </is>
      </c>
      <c r="I535" s="14" t="n"/>
      <c r="J535" s="14" t="n"/>
      <c r="K535" s="12" t="n"/>
      <c r="L535" s="9" t="n"/>
      <c r="M535" s="9" t="n"/>
      <c r="N535" s="9" t="n"/>
      <c r="O535" s="40">
        <f>K535+V535-AE535-AZ535</f>
        <v/>
      </c>
      <c r="P535" s="12" t="n"/>
      <c r="Q535" s="138" t="n"/>
      <c r="R535" s="16" t="n"/>
      <c r="S535" s="139" t="n"/>
      <c r="T535" s="16" t="n"/>
      <c r="U535" s="139" t="n"/>
      <c r="V535" s="16">
        <f>P535+R535+T535</f>
        <v/>
      </c>
      <c r="W535" s="16" t="n"/>
      <c r="X535" s="139" t="n"/>
      <c r="Y535" s="16" t="n"/>
      <c r="Z535" s="139" t="n"/>
      <c r="AA535" s="16" t="n"/>
      <c r="AB535" s="139" t="n"/>
      <c r="AC535" s="16" t="n"/>
      <c r="AD535" s="139" t="n"/>
      <c r="AE535" s="16">
        <f>(W535+Y535+AA535+AC535)</f>
        <v/>
      </c>
      <c r="AF535" s="16" t="n"/>
      <c r="AG535" s="138" t="n"/>
      <c r="AH535" s="16" t="n"/>
      <c r="AI535" s="138" t="n"/>
      <c r="AJ535" s="16" t="n"/>
      <c r="AK535" s="138" t="n"/>
      <c r="AL535" s="16" t="n"/>
      <c r="AM535" s="138" t="n"/>
      <c r="AN535" s="16" t="n"/>
      <c r="AO535" s="138" t="n"/>
      <c r="AP535" s="16" t="n"/>
      <c r="AQ535" s="138" t="n"/>
      <c r="AR535" s="16" t="n"/>
      <c r="AS535" s="138" t="n"/>
      <c r="AT535" s="16" t="n"/>
      <c r="AU535" s="138" t="n"/>
      <c r="AV535" s="16" t="n"/>
      <c r="AW535" s="138" t="n"/>
      <c r="AX535" s="16" t="n"/>
      <c r="AY535" s="138" t="n"/>
      <c r="AZ535" s="16">
        <f>AF535+AH535+AJ535+AL535+AN535+AP535+AR535+AT535+AV535+AX535</f>
        <v/>
      </c>
      <c r="BA535" s="16" t="n"/>
      <c r="BB535" s="139" t="n"/>
      <c r="BC535" s="16" t="n"/>
      <c r="BD535" s="139" t="n"/>
      <c r="BE535" s="16">
        <f>(BA535+BC535)</f>
        <v/>
      </c>
    </row>
    <row r="536" ht="22.5" customFormat="1" customHeight="1" s="8">
      <c r="A536" s="9" t="n"/>
      <c r="B536" s="136" t="inlineStr">
        <is>
          <t>센서</t>
        </is>
      </c>
      <c r="C536" s="137" t="inlineStr">
        <is>
          <t>공용</t>
        </is>
      </c>
      <c r="D536" s="60" t="inlineStr">
        <is>
          <t>HDI-S [Rex2 Premium/1.0]</t>
        </is>
      </c>
      <c r="E536" s="13" t="n"/>
      <c r="F536" s="99" t="n"/>
      <c r="G536" s="9" t="n"/>
      <c r="H536" s="9" t="inlineStr">
        <is>
          <t>레이언스</t>
        </is>
      </c>
      <c r="I536" s="14" t="n"/>
      <c r="J536" s="14" t="n"/>
      <c r="K536" s="12" t="n"/>
      <c r="L536" s="9" t="n"/>
      <c r="M536" s="9" t="n"/>
      <c r="N536" s="9" t="n"/>
      <c r="O536" s="40">
        <f>K536+V536-AE536-AZ536</f>
        <v/>
      </c>
      <c r="P536" s="12" t="n"/>
      <c r="Q536" s="138" t="n"/>
      <c r="R536" s="16" t="n"/>
      <c r="S536" s="139" t="n"/>
      <c r="T536" s="16" t="n"/>
      <c r="U536" s="139" t="n"/>
      <c r="V536" s="16">
        <f>P536+R536+T536</f>
        <v/>
      </c>
      <c r="W536" s="16" t="n"/>
      <c r="X536" s="139" t="n"/>
      <c r="Y536" s="16" t="n"/>
      <c r="Z536" s="139" t="n"/>
      <c r="AA536" s="16" t="n"/>
      <c r="AB536" s="139" t="n"/>
      <c r="AC536" s="16" t="n"/>
      <c r="AD536" s="139" t="n"/>
      <c r="AE536" s="16">
        <f>(W536+Y536+AA536+AC536)</f>
        <v/>
      </c>
      <c r="AF536" s="16" t="n"/>
      <c r="AG536" s="138" t="n"/>
      <c r="AH536" s="16" t="n"/>
      <c r="AI536" s="138" t="n"/>
      <c r="AJ536" s="16" t="n"/>
      <c r="AK536" s="138" t="n"/>
      <c r="AL536" s="16" t="n"/>
      <c r="AM536" s="138" t="n"/>
      <c r="AN536" s="16" t="n"/>
      <c r="AO536" s="138" t="n"/>
      <c r="AP536" s="16" t="n"/>
      <c r="AQ536" s="138" t="n"/>
      <c r="AR536" s="16" t="n"/>
      <c r="AS536" s="138" t="n"/>
      <c r="AT536" s="16" t="n"/>
      <c r="AU536" s="138" t="n"/>
      <c r="AV536" s="16" t="n"/>
      <c r="AW536" s="138" t="n"/>
      <c r="AX536" s="16" t="n"/>
      <c r="AY536" s="138" t="n"/>
      <c r="AZ536" s="16">
        <f>AF536+AH536+AJ536+AL536+AN536+AP536+AR536+AT536+AV536+AX536</f>
        <v/>
      </c>
      <c r="BA536" s="16" t="n"/>
      <c r="BB536" s="139" t="n"/>
      <c r="BC536" s="16" t="n"/>
      <c r="BD536" s="139" t="n"/>
      <c r="BE536" s="16">
        <f>(BA536+BC536)</f>
        <v/>
      </c>
    </row>
    <row r="537" ht="22.5" customFormat="1" customHeight="1" s="8">
      <c r="A537" s="9" t="n"/>
      <c r="B537" s="136" t="inlineStr">
        <is>
          <t>센서</t>
        </is>
      </c>
      <c r="C537" s="137" t="inlineStr">
        <is>
          <t>공용</t>
        </is>
      </c>
      <c r="D537" s="60" t="inlineStr">
        <is>
          <t>HDI-S [Rex2 Premium/1.5]</t>
        </is>
      </c>
      <c r="E537" s="13" t="n"/>
      <c r="F537" s="99" t="n"/>
      <c r="G537" s="9" t="n"/>
      <c r="H537" s="9" t="inlineStr">
        <is>
          <t>레이언스</t>
        </is>
      </c>
      <c r="I537" s="14" t="n"/>
      <c r="J537" s="14" t="n"/>
      <c r="K537" s="12" t="n"/>
      <c r="L537" s="9" t="n"/>
      <c r="M537" s="9" t="n"/>
      <c r="N537" s="9" t="n"/>
      <c r="O537" s="40">
        <f>K537+V537-AE537-AZ537</f>
        <v/>
      </c>
      <c r="P537" s="12" t="n"/>
      <c r="Q537" s="138" t="n"/>
      <c r="R537" s="16" t="n"/>
      <c r="S537" s="139" t="n"/>
      <c r="T537" s="16" t="n"/>
      <c r="U537" s="139" t="n"/>
      <c r="V537" s="16">
        <f>P537+R537+T537</f>
        <v/>
      </c>
      <c r="W537" s="16" t="n"/>
      <c r="X537" s="139" t="n"/>
      <c r="Y537" s="16" t="n"/>
      <c r="Z537" s="139" t="n"/>
      <c r="AA537" s="16" t="n"/>
      <c r="AB537" s="139" t="n"/>
      <c r="AC537" s="16" t="n"/>
      <c r="AD537" s="139" t="n"/>
      <c r="AE537" s="16">
        <f>(W537+Y537+AA537+AC537)</f>
        <v/>
      </c>
      <c r="AF537" s="16" t="n"/>
      <c r="AG537" s="138" t="n"/>
      <c r="AH537" s="16" t="n"/>
      <c r="AI537" s="138" t="n"/>
      <c r="AJ537" s="16" t="n"/>
      <c r="AK537" s="138" t="n"/>
      <c r="AL537" s="16" t="n"/>
      <c r="AM537" s="138" t="n"/>
      <c r="AN537" s="16" t="n"/>
      <c r="AO537" s="138" t="n"/>
      <c r="AP537" s="16" t="n"/>
      <c r="AQ537" s="138" t="n"/>
      <c r="AR537" s="16" t="n"/>
      <c r="AS537" s="138" t="n"/>
      <c r="AT537" s="16" t="n"/>
      <c r="AU537" s="138" t="n"/>
      <c r="AV537" s="16" t="n"/>
      <c r="AW537" s="138" t="n"/>
      <c r="AX537" s="16" t="n"/>
      <c r="AY537" s="138" t="n"/>
      <c r="AZ537" s="16">
        <f>AF537+AH537+AJ537+AL537+AN537+AP537+AR537+AT537+AV537+AX537</f>
        <v/>
      </c>
      <c r="BA537" s="16" t="n"/>
      <c r="BB537" s="139" t="n"/>
      <c r="BC537" s="16" t="n"/>
      <c r="BD537" s="139" t="n"/>
      <c r="BE537" s="16">
        <f>(BA537+BC537)</f>
        <v/>
      </c>
    </row>
    <row r="538" ht="22.5" customFormat="1" customHeight="1" s="8">
      <c r="A538" s="9" t="n"/>
      <c r="B538" s="136" t="inlineStr">
        <is>
          <t>센서</t>
        </is>
      </c>
      <c r="C538" s="137" t="inlineStr">
        <is>
          <t>공용</t>
        </is>
      </c>
      <c r="D538" s="60" t="inlineStr">
        <is>
          <t>HDI-S [Rex2 Premium/2.0]</t>
        </is>
      </c>
      <c r="E538" s="13" t="n"/>
      <c r="F538" s="99" t="n"/>
      <c r="G538" s="9" t="n"/>
      <c r="H538" s="9" t="inlineStr">
        <is>
          <t>레이언스</t>
        </is>
      </c>
      <c r="I538" s="14" t="n"/>
      <c r="J538" s="14" t="n"/>
      <c r="K538" s="12" t="n"/>
      <c r="L538" s="9" t="n"/>
      <c r="M538" s="9" t="n"/>
      <c r="N538" s="9" t="n"/>
      <c r="O538" s="40">
        <f>K538+V538-AE538-AZ538</f>
        <v/>
      </c>
      <c r="P538" s="12" t="n"/>
      <c r="Q538" s="138" t="n"/>
      <c r="R538" s="16" t="n"/>
      <c r="S538" s="139" t="n"/>
      <c r="T538" s="16" t="n"/>
      <c r="U538" s="139" t="n"/>
      <c r="V538" s="16">
        <f>P538+R538+T538</f>
        <v/>
      </c>
      <c r="W538" s="16" t="n"/>
      <c r="X538" s="139" t="n"/>
      <c r="Y538" s="16" t="n"/>
      <c r="Z538" s="139" t="n"/>
      <c r="AA538" s="16" t="n"/>
      <c r="AB538" s="139" t="n"/>
      <c r="AC538" s="16" t="n"/>
      <c r="AD538" s="139" t="n"/>
      <c r="AE538" s="16">
        <f>(W538+Y538+AA538+AC538)</f>
        <v/>
      </c>
      <c r="AF538" s="16" t="n"/>
      <c r="AG538" s="138" t="n"/>
      <c r="AH538" s="16" t="n"/>
      <c r="AI538" s="138" t="n"/>
      <c r="AJ538" s="16" t="n"/>
      <c r="AK538" s="138" t="n"/>
      <c r="AL538" s="16" t="n"/>
      <c r="AM538" s="138" t="n"/>
      <c r="AN538" s="16" t="n"/>
      <c r="AO538" s="138" t="n"/>
      <c r="AP538" s="16" t="n"/>
      <c r="AQ538" s="138" t="n"/>
      <c r="AR538" s="16" t="n"/>
      <c r="AS538" s="138" t="n"/>
      <c r="AT538" s="16" t="n"/>
      <c r="AU538" s="138" t="n"/>
      <c r="AV538" s="16" t="n"/>
      <c r="AW538" s="138" t="n"/>
      <c r="AX538" s="16" t="n"/>
      <c r="AY538" s="138" t="n"/>
      <c r="AZ538" s="16">
        <f>AF538+AH538+AJ538+AL538+AN538+AP538+AR538+AT538+AV538+AX538</f>
        <v/>
      </c>
      <c r="BA538" s="16" t="n"/>
      <c r="BB538" s="139" t="n"/>
      <c r="BC538" s="16" t="n"/>
      <c r="BD538" s="139" t="n"/>
      <c r="BE538" s="16">
        <f>(BA538+BC538)</f>
        <v/>
      </c>
    </row>
    <row r="539" ht="22.5" customFormat="1" customHeight="1" s="8">
      <c r="A539" s="9" t="n"/>
      <c r="B539" s="136" t="inlineStr">
        <is>
          <t>센서</t>
        </is>
      </c>
      <c r="C539" s="137" t="inlineStr">
        <is>
          <t>공용</t>
        </is>
      </c>
      <c r="D539" s="60" t="inlineStr">
        <is>
          <t>CMOS 센서 (#1)</t>
        </is>
      </c>
      <c r="E539" s="13" t="inlineStr">
        <is>
          <t>EV71JU215A-C-00B1</t>
        </is>
      </c>
      <c r="F539" s="99" t="n"/>
      <c r="G539" s="9" t="n"/>
      <c r="H539" s="9" t="inlineStr">
        <is>
          <t>E2V</t>
        </is>
      </c>
      <c r="I539" s="14" t="n"/>
      <c r="J539" s="14" t="n"/>
      <c r="K539" s="12" t="n"/>
      <c r="L539" s="9" t="n"/>
      <c r="M539" s="9" t="n"/>
      <c r="N539" s="9" t="n"/>
      <c r="O539" s="40">
        <f>K539+V539-AE539-AZ539</f>
        <v/>
      </c>
      <c r="P539" s="12" t="n"/>
      <c r="Q539" s="138" t="n"/>
      <c r="R539" s="16" t="n"/>
      <c r="S539" s="139" t="n"/>
      <c r="T539" s="16" t="n"/>
      <c r="U539" s="139" t="n"/>
      <c r="V539" s="16">
        <f>P539+R539+T539</f>
        <v/>
      </c>
      <c r="W539" s="16" t="n"/>
      <c r="X539" s="139" t="n"/>
      <c r="Y539" s="16" t="n"/>
      <c r="Z539" s="139" t="n"/>
      <c r="AA539" s="16" t="n"/>
      <c r="AB539" s="139" t="n"/>
      <c r="AC539" s="16" t="n"/>
      <c r="AD539" s="139" t="n"/>
      <c r="AE539" s="16">
        <f>(W539+Y539+AA539+AC539)</f>
        <v/>
      </c>
      <c r="AF539" s="16" t="n"/>
      <c r="AG539" s="138" t="n"/>
      <c r="AH539" s="16" t="n"/>
      <c r="AI539" s="138" t="n"/>
      <c r="AJ539" s="16" t="n"/>
      <c r="AK539" s="138" t="n"/>
      <c r="AL539" s="16" t="n"/>
      <c r="AM539" s="138" t="n"/>
      <c r="AN539" s="16" t="n"/>
      <c r="AO539" s="138" t="n"/>
      <c r="AP539" s="16" t="n"/>
      <c r="AQ539" s="138" t="n"/>
      <c r="AR539" s="16" t="n"/>
      <c r="AS539" s="138" t="n"/>
      <c r="AT539" s="16" t="n"/>
      <c r="AU539" s="138" t="n"/>
      <c r="AV539" s="16" t="n"/>
      <c r="AW539" s="138" t="n"/>
      <c r="AX539" s="16" t="n"/>
      <c r="AY539" s="138" t="n"/>
      <c r="AZ539" s="16">
        <f>AF539+AH539+AJ539+AL539+AN539+AP539+AR539+AT539+AV539+AX539</f>
        <v/>
      </c>
      <c r="BA539" s="16" t="n"/>
      <c r="BB539" s="139" t="n"/>
      <c r="BC539" s="16" t="n"/>
      <c r="BD539" s="139" t="n"/>
      <c r="BE539" s="16">
        <f>(BA539+BC539)</f>
        <v/>
      </c>
    </row>
    <row r="540" ht="22.5" customFormat="1" customHeight="1" s="8">
      <c r="A540" s="9" t="n"/>
      <c r="B540" s="136" t="inlineStr">
        <is>
          <t>센서</t>
        </is>
      </c>
      <c r="C540" s="137" t="inlineStr">
        <is>
          <t>공용</t>
        </is>
      </c>
      <c r="D540" s="60" t="inlineStr">
        <is>
          <t>CMOS 센서 (#2)</t>
        </is>
      </c>
      <c r="E540" s="13" t="inlineStr">
        <is>
          <t>EV71JU213A-C-00B1</t>
        </is>
      </c>
      <c r="F540" s="99" t="n"/>
      <c r="G540" s="9" t="n"/>
      <c r="H540" s="9" t="inlineStr">
        <is>
          <t>E2V</t>
        </is>
      </c>
      <c r="I540" s="14" t="n"/>
      <c r="J540" s="14" t="n"/>
      <c r="K540" s="12" t="n"/>
      <c r="L540" s="9" t="n"/>
      <c r="M540" s="9" t="n"/>
      <c r="N540" s="9" t="n"/>
      <c r="O540" s="40">
        <f>K540+V540-AE540-AZ540</f>
        <v/>
      </c>
      <c r="P540" s="12" t="n"/>
      <c r="Q540" s="138" t="n"/>
      <c r="R540" s="16" t="n"/>
      <c r="S540" s="139" t="n"/>
      <c r="T540" s="16" t="n"/>
      <c r="U540" s="139" t="n"/>
      <c r="V540" s="16">
        <f>P540+R540+T540</f>
        <v/>
      </c>
      <c r="W540" s="16" t="n"/>
      <c r="X540" s="139" t="n"/>
      <c r="Y540" s="16" t="n"/>
      <c r="Z540" s="139" t="n"/>
      <c r="AA540" s="16" t="n"/>
      <c r="AB540" s="139" t="n"/>
      <c r="AC540" s="16" t="n"/>
      <c r="AD540" s="139" t="n"/>
      <c r="AE540" s="16">
        <f>(W540+Y540+AA540+AC540)</f>
        <v/>
      </c>
      <c r="AF540" s="16" t="n"/>
      <c r="AG540" s="138" t="n"/>
      <c r="AH540" s="16" t="n"/>
      <c r="AI540" s="138" t="n"/>
      <c r="AJ540" s="16" t="n"/>
      <c r="AK540" s="138" t="n"/>
      <c r="AL540" s="16" t="n"/>
      <c r="AM540" s="138" t="n"/>
      <c r="AN540" s="16" t="n"/>
      <c r="AO540" s="138" t="n"/>
      <c r="AP540" s="16" t="n"/>
      <c r="AQ540" s="138" t="n"/>
      <c r="AR540" s="16" t="n"/>
      <c r="AS540" s="138" t="n"/>
      <c r="AT540" s="16" t="n"/>
      <c r="AU540" s="138" t="n"/>
      <c r="AV540" s="16" t="n"/>
      <c r="AW540" s="138" t="n"/>
      <c r="AX540" s="16" t="n"/>
      <c r="AY540" s="138" t="n"/>
      <c r="AZ540" s="16">
        <f>AF540+AH540+AJ540+AL540+AN540+AP540+AR540+AT540+AV540+AX540</f>
        <v/>
      </c>
      <c r="BA540" s="16" t="n"/>
      <c r="BB540" s="139" t="n"/>
      <c r="BC540" s="16" t="n"/>
      <c r="BD540" s="139" t="n"/>
      <c r="BE540" s="16">
        <f>(BA540+BC540)</f>
        <v/>
      </c>
    </row>
    <row r="541" ht="22.5" customFormat="1" customHeight="1" s="8">
      <c r="A541" s="9" t="n"/>
      <c r="B541" s="136" t="inlineStr">
        <is>
          <t>RUBBER</t>
        </is>
      </c>
      <c r="C541" s="137" t="inlineStr">
        <is>
          <t>공용</t>
        </is>
      </c>
      <c r="D541" s="60" t="inlineStr">
        <is>
          <t>SCREW CAP</t>
        </is>
      </c>
      <c r="E541" s="13" t="inlineStr">
        <is>
          <t>RUBBER</t>
        </is>
      </c>
      <c r="F541" s="99" t="n"/>
      <c r="G541" s="9" t="n"/>
      <c r="H541" s="9" t="inlineStr">
        <is>
          <t>남경화학</t>
        </is>
      </c>
      <c r="I541" s="14" t="n"/>
      <c r="J541" s="14" t="n"/>
      <c r="K541" s="12" t="n"/>
      <c r="L541" s="9" t="n"/>
      <c r="M541" s="9" t="n"/>
      <c r="N541" s="9" t="n"/>
      <c r="O541" s="40">
        <f>K541+V541-AE541-AZ541</f>
        <v/>
      </c>
      <c r="P541" s="12" t="n"/>
      <c r="Q541" s="138" t="n"/>
      <c r="R541" s="16" t="n"/>
      <c r="S541" s="139" t="n"/>
      <c r="T541" s="16" t="n"/>
      <c r="U541" s="139" t="n"/>
      <c r="V541" s="16">
        <f>P541+R541+T541</f>
        <v/>
      </c>
      <c r="W541" s="16" t="n"/>
      <c r="X541" s="139" t="n"/>
      <c r="Y541" s="16" t="n"/>
      <c r="Z541" s="139" t="n"/>
      <c r="AA541" s="16" t="n"/>
      <c r="AB541" s="139" t="n"/>
      <c r="AC541" s="16" t="n"/>
      <c r="AD541" s="139" t="n"/>
      <c r="AE541" s="16">
        <f>(W541+Y541+AA541+AC541)</f>
        <v/>
      </c>
      <c r="AF541" s="16" t="n"/>
      <c r="AG541" s="138" t="n"/>
      <c r="AH541" s="16" t="n"/>
      <c r="AI541" s="138" t="n"/>
      <c r="AJ541" s="16" t="n"/>
      <c r="AK541" s="138" t="n"/>
      <c r="AL541" s="16" t="n"/>
      <c r="AM541" s="138" t="n"/>
      <c r="AN541" s="16" t="n"/>
      <c r="AO541" s="138" t="n"/>
      <c r="AP541" s="16" t="n"/>
      <c r="AQ541" s="138" t="n"/>
      <c r="AR541" s="16" t="n"/>
      <c r="AS541" s="138" t="n"/>
      <c r="AT541" s="16" t="n"/>
      <c r="AU541" s="138" t="n"/>
      <c r="AV541" s="16" t="n"/>
      <c r="AW541" s="138" t="n"/>
      <c r="AX541" s="16" t="n"/>
      <c r="AY541" s="138" t="n"/>
      <c r="AZ541" s="16">
        <f>AF541+AH541+AJ541+AL541+AN541+AP541+AR541+AT541+AV541+AX541</f>
        <v/>
      </c>
      <c r="BA541" s="16" t="n"/>
      <c r="BB541" s="139" t="n"/>
      <c r="BC541" s="16" t="n"/>
      <c r="BD541" s="139" t="n"/>
      <c r="BE541" s="16">
        <f>(BA541+BC541)</f>
        <v/>
      </c>
    </row>
    <row r="542" ht="22.5" customFormat="1" customHeight="1" s="8">
      <c r="A542" s="9" t="n"/>
      <c r="B542" s="136" t="inlineStr">
        <is>
          <t>RUBBER</t>
        </is>
      </c>
      <c r="C542" s="137" t="inlineStr">
        <is>
          <t>ADX6000</t>
        </is>
      </c>
      <c r="D542" s="60" t="inlineStr">
        <is>
          <t>Cradle RUBBER</t>
        </is>
      </c>
      <c r="E542" s="13" t="inlineStr">
        <is>
          <t>FOOT RUBBER</t>
        </is>
      </c>
      <c r="F542" s="99" t="n"/>
      <c r="G542" s="9" t="n"/>
      <c r="H542" s="9" t="inlineStr">
        <is>
          <t>남경화학</t>
        </is>
      </c>
      <c r="I542" s="14" t="n"/>
      <c r="J542" s="14" t="n"/>
      <c r="K542" s="12" t="n">
        <v>3840</v>
      </c>
      <c r="L542" s="9" t="n"/>
      <c r="M542" s="9" t="n"/>
      <c r="N542" s="9" t="n"/>
      <c r="O542" s="40">
        <f>K542+V542-AE542-AZ542</f>
        <v/>
      </c>
      <c r="P542" s="12" t="n"/>
      <c r="Q542" s="138" t="n"/>
      <c r="R542" s="16" t="n"/>
      <c r="S542" s="139" t="n"/>
      <c r="T542" s="16" t="n"/>
      <c r="U542" s="139" t="n"/>
      <c r="V542" s="16">
        <f>P542+R542+T542</f>
        <v/>
      </c>
      <c r="W542" s="16" t="n"/>
      <c r="X542" s="139" t="n"/>
      <c r="Y542" s="16" t="n"/>
      <c r="Z542" s="139" t="n"/>
      <c r="AA542" s="16" t="n"/>
      <c r="AB542" s="139" t="n"/>
      <c r="AC542" s="16" t="n"/>
      <c r="AD542" s="139" t="n"/>
      <c r="AE542" s="16">
        <f>(W542+Y542+AA542+AC542)</f>
        <v/>
      </c>
      <c r="AF542" s="16" t="n"/>
      <c r="AG542" s="138" t="n"/>
      <c r="AH542" s="16" t="n"/>
      <c r="AI542" s="138" t="n"/>
      <c r="AJ542" s="16" t="n"/>
      <c r="AK542" s="138" t="n"/>
      <c r="AL542" s="16" t="n"/>
      <c r="AM542" s="138" t="n"/>
      <c r="AN542" s="16" t="n"/>
      <c r="AO542" s="138" t="n"/>
      <c r="AP542" s="16" t="n"/>
      <c r="AQ542" s="138" t="n"/>
      <c r="AR542" s="16" t="n"/>
      <c r="AS542" s="138" t="n"/>
      <c r="AT542" s="16" t="n"/>
      <c r="AU542" s="138" t="n"/>
      <c r="AV542" s="16" t="n"/>
      <c r="AW542" s="138" t="n"/>
      <c r="AX542" s="16" t="n"/>
      <c r="AY542" s="138" t="n"/>
      <c r="AZ542" s="16">
        <f>AF542+AH542+AJ542+AL542+AN542+AP542+AR542+AT542+AV542+AX542</f>
        <v/>
      </c>
      <c r="BA542" s="16" t="n"/>
      <c r="BB542" s="139" t="n"/>
      <c r="BC542" s="16" t="n"/>
      <c r="BD542" s="139" t="n"/>
      <c r="BE542" s="16">
        <f>(BA542+BC542)</f>
        <v/>
      </c>
    </row>
    <row r="543" ht="22.5" customFormat="1" customHeight="1" s="8">
      <c r="A543" s="9" t="n"/>
      <c r="B543" s="136" t="inlineStr">
        <is>
          <t>볼트캡</t>
        </is>
      </c>
      <c r="C543" s="137" t="inlineStr">
        <is>
          <t>공용</t>
        </is>
      </c>
      <c r="D543" s="60" t="inlineStr">
        <is>
          <t>볼트마개</t>
        </is>
      </c>
      <c r="E543" s="13" t="n"/>
      <c r="F543" s="99" t="n"/>
      <c r="G543" s="9" t="n"/>
      <c r="H543" s="9" t="inlineStr">
        <is>
          <t>직구</t>
        </is>
      </c>
      <c r="I543" s="14" t="n"/>
      <c r="J543" s="14" t="n"/>
      <c r="K543" s="12" t="n"/>
      <c r="L543" s="9" t="n"/>
      <c r="M543" s="9" t="n"/>
      <c r="N543" s="9" t="n"/>
      <c r="O543" s="40">
        <f>K543+V543-AE543-AZ543</f>
        <v/>
      </c>
      <c r="P543" s="12" t="n"/>
      <c r="Q543" s="138" t="n"/>
      <c r="R543" s="16" t="n"/>
      <c r="S543" s="139" t="n"/>
      <c r="T543" s="16" t="n"/>
      <c r="U543" s="139" t="n"/>
      <c r="V543" s="16">
        <f>P543+R543+T543</f>
        <v/>
      </c>
      <c r="W543" s="16" t="n"/>
      <c r="X543" s="139" t="n"/>
      <c r="Y543" s="16" t="n"/>
      <c r="Z543" s="139" t="n"/>
      <c r="AA543" s="16" t="n"/>
      <c r="AB543" s="139" t="n"/>
      <c r="AC543" s="16" t="n"/>
      <c r="AD543" s="139" t="n"/>
      <c r="AE543" s="16">
        <f>(W543+Y543+AA543+AC543)</f>
        <v/>
      </c>
      <c r="AF543" s="16" t="n"/>
      <c r="AG543" s="138" t="n"/>
      <c r="AH543" s="16" t="n"/>
      <c r="AI543" s="138" t="n"/>
      <c r="AJ543" s="16" t="n"/>
      <c r="AK543" s="138" t="n"/>
      <c r="AL543" s="16" t="n"/>
      <c r="AM543" s="138" t="n"/>
      <c r="AN543" s="16" t="n"/>
      <c r="AO543" s="138" t="n"/>
      <c r="AP543" s="16" t="n"/>
      <c r="AQ543" s="138" t="n"/>
      <c r="AR543" s="16" t="n"/>
      <c r="AS543" s="138" t="n"/>
      <c r="AT543" s="16" t="n"/>
      <c r="AU543" s="138" t="n"/>
      <c r="AV543" s="16" t="n"/>
      <c r="AW543" s="138" t="n"/>
      <c r="AX543" s="16" t="n"/>
      <c r="AY543" s="138" t="n"/>
      <c r="AZ543" s="16">
        <f>AF543+AH543+AJ543+AL543+AN543+AP543+AR543+AT543+AV543+AX543</f>
        <v/>
      </c>
      <c r="BA543" s="16" t="n"/>
      <c r="BB543" s="139" t="n"/>
      <c r="BC543" s="16" t="n"/>
      <c r="BD543" s="139" t="n"/>
      <c r="BE543" s="16">
        <f>(BA543+BC543)</f>
        <v/>
      </c>
    </row>
    <row r="544" ht="22.5" customFormat="1" customHeight="1" s="8">
      <c r="A544" s="9" t="n"/>
      <c r="B544" s="136" t="inlineStr">
        <is>
          <t>합지</t>
        </is>
      </c>
      <c r="C544" s="137" t="n"/>
      <c r="D544" s="60" t="inlineStr">
        <is>
          <t>CD 케이스</t>
        </is>
      </c>
      <c r="E544" s="13" t="inlineStr">
        <is>
          <t>COCOON</t>
        </is>
      </c>
      <c r="F544" s="99" t="n"/>
      <c r="G544" s="9" t="n"/>
      <c r="H544" s="9" t="inlineStr">
        <is>
          <t>제이디자인</t>
        </is>
      </c>
      <c r="I544" s="14" t="n"/>
      <c r="J544" s="14" t="n"/>
      <c r="K544" s="12" t="n"/>
      <c r="L544" s="9" t="n"/>
      <c r="M544" s="9" t="n"/>
      <c r="N544" s="9" t="n"/>
      <c r="O544" s="40">
        <f>K544+V544-AE544-AZ544</f>
        <v/>
      </c>
      <c r="P544" s="12" t="n"/>
      <c r="Q544" s="138" t="n"/>
      <c r="R544" s="16" t="n"/>
      <c r="S544" s="139" t="n"/>
      <c r="T544" s="16" t="n"/>
      <c r="U544" s="139" t="n"/>
      <c r="V544" s="16">
        <f>P544+R544+T544</f>
        <v/>
      </c>
      <c r="W544" s="16" t="n"/>
      <c r="X544" s="139" t="n"/>
      <c r="Y544" s="16" t="n"/>
      <c r="Z544" s="139" t="n"/>
      <c r="AA544" s="16" t="n"/>
      <c r="AB544" s="139" t="n"/>
      <c r="AC544" s="16" t="n"/>
      <c r="AD544" s="139" t="n"/>
      <c r="AE544" s="16">
        <f>(W544+Y544+AA544+AC544)</f>
        <v/>
      </c>
      <c r="AF544" s="16" t="n"/>
      <c r="AG544" s="138" t="n"/>
      <c r="AH544" s="16" t="n"/>
      <c r="AI544" s="138" t="n"/>
      <c r="AJ544" s="16" t="n"/>
      <c r="AK544" s="138" t="n"/>
      <c r="AL544" s="16" t="n"/>
      <c r="AM544" s="138" t="n"/>
      <c r="AN544" s="16" t="n"/>
      <c r="AO544" s="138" t="n"/>
      <c r="AP544" s="16" t="n"/>
      <c r="AQ544" s="138" t="n"/>
      <c r="AR544" s="16" t="n"/>
      <c r="AS544" s="138" t="n"/>
      <c r="AT544" s="16" t="n"/>
      <c r="AU544" s="138" t="n"/>
      <c r="AV544" s="16" t="n"/>
      <c r="AW544" s="138" t="n"/>
      <c r="AX544" s="16" t="n"/>
      <c r="AY544" s="138" t="n"/>
      <c r="AZ544" s="16">
        <f>AF544+AH544+AJ544+AL544+AN544+AP544+AR544+AT544+AV544+AX544</f>
        <v/>
      </c>
      <c r="BA544" s="16" t="n"/>
      <c r="BB544" s="139" t="n"/>
      <c r="BC544" s="16" t="n"/>
      <c r="BD544" s="139" t="n"/>
      <c r="BE544" s="16">
        <f>(BA544+BC544)</f>
        <v/>
      </c>
    </row>
    <row r="545" ht="22.5" customFormat="1" customHeight="1" s="8">
      <c r="A545" s="9" t="n"/>
      <c r="B545" s="136" t="inlineStr">
        <is>
          <t>ABS</t>
        </is>
      </c>
      <c r="C545" s="137" t="n"/>
      <c r="D545" s="60" t="inlineStr">
        <is>
          <t>공 CD</t>
        </is>
      </c>
      <c r="E545" s="13" t="n"/>
      <c r="F545" s="99" t="n"/>
      <c r="G545" s="9" t="n"/>
      <c r="H545" s="9" t="inlineStr">
        <is>
          <t>제이디자인</t>
        </is>
      </c>
      <c r="I545" s="14" t="n"/>
      <c r="J545" s="14" t="n"/>
      <c r="K545" s="12" t="n"/>
      <c r="L545" s="9" t="n"/>
      <c r="M545" s="9" t="n"/>
      <c r="N545" s="9" t="n"/>
      <c r="O545" s="40">
        <f>K545+V545-AE545-AZ545</f>
        <v/>
      </c>
      <c r="P545" s="12" t="n"/>
      <c r="Q545" s="138" t="n"/>
      <c r="R545" s="16" t="n"/>
      <c r="S545" s="139" t="n"/>
      <c r="T545" s="16" t="n"/>
      <c r="U545" s="139" t="n"/>
      <c r="V545" s="16">
        <f>P545+R545+T545</f>
        <v/>
      </c>
      <c r="W545" s="16" t="n"/>
      <c r="X545" s="139" t="n"/>
      <c r="Y545" s="16" t="n"/>
      <c r="Z545" s="139" t="n"/>
      <c r="AA545" s="16" t="n"/>
      <c r="AB545" s="139" t="n"/>
      <c r="AC545" s="16" t="n"/>
      <c r="AD545" s="139" t="n"/>
      <c r="AE545" s="16">
        <f>(W545+Y545+AA545+AC545)</f>
        <v/>
      </c>
      <c r="AF545" s="16" t="n"/>
      <c r="AG545" s="138" t="n"/>
      <c r="AH545" s="16" t="n"/>
      <c r="AI545" s="138" t="n"/>
      <c r="AJ545" s="16" t="n"/>
      <c r="AK545" s="138" t="n"/>
      <c r="AL545" s="16" t="n"/>
      <c r="AM545" s="138" t="n"/>
      <c r="AN545" s="16" t="n"/>
      <c r="AO545" s="138" t="n"/>
      <c r="AP545" s="16" t="n"/>
      <c r="AQ545" s="138" t="n"/>
      <c r="AR545" s="16" t="n"/>
      <c r="AS545" s="138" t="n"/>
      <c r="AT545" s="16" t="n"/>
      <c r="AU545" s="138" t="n"/>
      <c r="AV545" s="16" t="n"/>
      <c r="AW545" s="138" t="n"/>
      <c r="AX545" s="16" t="n"/>
      <c r="AY545" s="138" t="n"/>
      <c r="AZ545" s="16">
        <f>AF545+AH545+AJ545+AL545+AN545+AP545+AR545+AT545+AV545+AX545</f>
        <v/>
      </c>
      <c r="BA545" s="16" t="n"/>
      <c r="BB545" s="139" t="n"/>
      <c r="BC545" s="16" t="n"/>
      <c r="BD545" s="139" t="n"/>
      <c r="BE545" s="16">
        <f>(BA545+BC545)</f>
        <v/>
      </c>
    </row>
    <row r="546" ht="22.5" customFormat="1" customHeight="1" s="8">
      <c r="A546" s="9" t="n"/>
      <c r="B546" s="136" t="inlineStr">
        <is>
          <t>ABS</t>
        </is>
      </c>
      <c r="C546" s="137" t="n"/>
      <c r="D546" s="63" t="inlineStr">
        <is>
          <t>터치 팬</t>
        </is>
      </c>
      <c r="E546" s="13" t="n"/>
      <c r="F546" s="99" t="n"/>
      <c r="G546" s="9" t="n"/>
      <c r="H546" s="9" t="inlineStr">
        <is>
          <t>직구</t>
        </is>
      </c>
      <c r="I546" s="14" t="n"/>
      <c r="J546" s="14" t="n"/>
      <c r="K546" s="12" t="n"/>
      <c r="L546" s="9" t="n"/>
      <c r="M546" s="9" t="n"/>
      <c r="N546" s="9" t="n"/>
      <c r="O546" s="40">
        <f>K546+V546-AE546-AZ546</f>
        <v/>
      </c>
      <c r="P546" s="12" t="n"/>
      <c r="Q546" s="138" t="n"/>
      <c r="R546" s="16" t="n"/>
      <c r="S546" s="139" t="n"/>
      <c r="T546" s="16" t="n"/>
      <c r="U546" s="139" t="n"/>
      <c r="V546" s="16">
        <f>P546+R546+T546</f>
        <v/>
      </c>
      <c r="W546" s="16" t="n"/>
      <c r="X546" s="139" t="n"/>
      <c r="Y546" s="16" t="n"/>
      <c r="Z546" s="139" t="n"/>
      <c r="AA546" s="16" t="n"/>
      <c r="AB546" s="139" t="n"/>
      <c r="AC546" s="16" t="n"/>
      <c r="AD546" s="139" t="n"/>
      <c r="AE546" s="16">
        <f>(W546+Y546+AA546+AC546)</f>
        <v/>
      </c>
      <c r="AF546" s="16" t="n"/>
      <c r="AG546" s="138" t="n"/>
      <c r="AH546" s="16" t="n"/>
      <c r="AI546" s="138" t="n"/>
      <c r="AJ546" s="16" t="n"/>
      <c r="AK546" s="138" t="n"/>
      <c r="AL546" s="16" t="n"/>
      <c r="AM546" s="138" t="n"/>
      <c r="AN546" s="16" t="n"/>
      <c r="AO546" s="138" t="n"/>
      <c r="AP546" s="16" t="n"/>
      <c r="AQ546" s="138" t="n"/>
      <c r="AR546" s="16" t="n"/>
      <c r="AS546" s="138" t="n"/>
      <c r="AT546" s="16" t="n"/>
      <c r="AU546" s="138" t="n"/>
      <c r="AV546" s="16" t="n"/>
      <c r="AW546" s="138" t="n"/>
      <c r="AX546" s="16" t="n"/>
      <c r="AY546" s="138" t="n"/>
      <c r="AZ546" s="16">
        <f>AF546+AH546+AJ546+AL546+AN546+AP546+AR546+AT546+AV546+AX546</f>
        <v/>
      </c>
      <c r="BA546" s="16" t="n"/>
      <c r="BB546" s="139" t="n"/>
      <c r="BC546" s="16" t="n"/>
      <c r="BD546" s="139" t="n"/>
      <c r="BE546" s="16">
        <f>(BA546+BC546)</f>
        <v/>
      </c>
    </row>
    <row r="547" ht="22.5" customFormat="1" customHeight="1" s="8">
      <c r="A547" s="9" t="n"/>
      <c r="B547" s="136" t="inlineStr">
        <is>
          <t>ABS</t>
        </is>
      </c>
      <c r="C547" s="137" t="n"/>
      <c r="D547" s="91" t="inlineStr">
        <is>
          <t>틸트 암 부쉬</t>
        </is>
      </c>
      <c r="E547" s="13" t="n"/>
      <c r="F547" s="99" t="n"/>
      <c r="G547" s="9" t="n"/>
      <c r="H547" s="9" t="inlineStr">
        <is>
          <t>에이스힌지텍</t>
        </is>
      </c>
      <c r="I547" s="14" t="n"/>
      <c r="J547" s="14" t="n"/>
      <c r="K547" s="12" t="n"/>
      <c r="L547" s="9" t="n"/>
      <c r="M547" s="9" t="n"/>
      <c r="N547" s="9" t="n"/>
      <c r="O547" s="40">
        <f>K547+V547-AE547-AZ547</f>
        <v/>
      </c>
      <c r="P547" s="12" t="n"/>
      <c r="Q547" s="138" t="n"/>
      <c r="R547" s="16" t="n"/>
      <c r="S547" s="139" t="n"/>
      <c r="T547" s="16" t="n"/>
      <c r="U547" s="139" t="n"/>
      <c r="V547" s="16">
        <f>P547+R547+T547</f>
        <v/>
      </c>
      <c r="W547" s="16" t="n"/>
      <c r="X547" s="139" t="n"/>
      <c r="Y547" s="16" t="n"/>
      <c r="Z547" s="139" t="n"/>
      <c r="AA547" s="16" t="n"/>
      <c r="AB547" s="139" t="n"/>
      <c r="AC547" s="16" t="n"/>
      <c r="AD547" s="139" t="n"/>
      <c r="AE547" s="16">
        <f>(W547+Y547+AA547+AC547)</f>
        <v/>
      </c>
      <c r="AF547" s="16" t="n"/>
      <c r="AG547" s="138" t="n"/>
      <c r="AH547" s="16" t="n"/>
      <c r="AI547" s="138" t="n"/>
      <c r="AJ547" s="16" t="n"/>
      <c r="AK547" s="138" t="n"/>
      <c r="AL547" s="16" t="n"/>
      <c r="AM547" s="138" t="n"/>
      <c r="AN547" s="16" t="n"/>
      <c r="AO547" s="138" t="n"/>
      <c r="AP547" s="16" t="n"/>
      <c r="AQ547" s="138" t="n"/>
      <c r="AR547" s="16" t="n"/>
      <c r="AS547" s="138" t="n"/>
      <c r="AT547" s="16" t="n"/>
      <c r="AU547" s="138" t="n"/>
      <c r="AV547" s="16" t="n"/>
      <c r="AW547" s="138" t="n"/>
      <c r="AX547" s="16" t="n"/>
      <c r="AY547" s="138" t="n"/>
      <c r="AZ547" s="16">
        <f>AF547+AH547+AJ547+AL547+AN547+AP547+AR547+AT547+AV547+AX547</f>
        <v/>
      </c>
      <c r="BA547" s="16" t="n"/>
      <c r="BB547" s="139" t="n"/>
      <c r="BC547" s="16" t="n"/>
      <c r="BD547" s="139" t="n"/>
      <c r="BE547" s="16">
        <f>(BA547+BC547)</f>
        <v/>
      </c>
    </row>
    <row r="548" ht="22.5" customFormat="1" customHeight="1" s="8">
      <c r="A548" s="9" t="n"/>
      <c r="B548" s="136" t="inlineStr">
        <is>
          <t>ABS</t>
        </is>
      </c>
      <c r="C548" s="137" t="inlineStr">
        <is>
          <t>ADX6000</t>
        </is>
      </c>
      <c r="D548" s="60" t="inlineStr">
        <is>
          <t>스탠드 부속품 (바-부쉬)</t>
        </is>
      </c>
      <c r="E548" s="13" t="n"/>
      <c r="F548" s="99" t="n"/>
      <c r="G548" s="9" t="n"/>
      <c r="H548" s="9" t="inlineStr">
        <is>
          <t>에이스힌지텍</t>
        </is>
      </c>
      <c r="I548" s="14" t="n"/>
      <c r="J548" s="14" t="n"/>
      <c r="K548" s="12" t="n"/>
      <c r="L548" s="9" t="n"/>
      <c r="M548" s="9" t="n"/>
      <c r="N548" s="9" t="n"/>
      <c r="O548" s="40">
        <f>K548+V548-AE548-AZ548</f>
        <v/>
      </c>
      <c r="P548" s="12" t="n"/>
      <c r="Q548" s="138" t="n"/>
      <c r="R548" s="16" t="n"/>
      <c r="S548" s="139" t="n"/>
      <c r="T548" s="16" t="n"/>
      <c r="U548" s="139" t="n"/>
      <c r="V548" s="16">
        <f>P548+R548+T548</f>
        <v/>
      </c>
      <c r="W548" s="16" t="n"/>
      <c r="X548" s="139" t="n"/>
      <c r="Y548" s="16" t="n"/>
      <c r="Z548" s="139" t="n"/>
      <c r="AA548" s="16" t="n"/>
      <c r="AB548" s="139" t="n"/>
      <c r="AC548" s="16" t="n"/>
      <c r="AD548" s="139" t="n"/>
      <c r="AE548" s="16">
        <f>(W548+Y548+AA548+AC548)</f>
        <v/>
      </c>
      <c r="AF548" s="16" t="n"/>
      <c r="AG548" s="138" t="n"/>
      <c r="AH548" s="16" t="n"/>
      <c r="AI548" s="138" t="n"/>
      <c r="AJ548" s="16" t="n"/>
      <c r="AK548" s="138" t="n"/>
      <c r="AL548" s="16" t="n"/>
      <c r="AM548" s="138" t="n"/>
      <c r="AN548" s="16" t="n"/>
      <c r="AO548" s="138" t="n"/>
      <c r="AP548" s="16" t="n"/>
      <c r="AQ548" s="138" t="n"/>
      <c r="AR548" s="16" t="n"/>
      <c r="AS548" s="138" t="n"/>
      <c r="AT548" s="16" t="n"/>
      <c r="AU548" s="138" t="n"/>
      <c r="AV548" s="16" t="n"/>
      <c r="AW548" s="138" t="n"/>
      <c r="AX548" s="16" t="n"/>
      <c r="AY548" s="138" t="n"/>
      <c r="AZ548" s="16">
        <f>AF548+AH548+AJ548+AL548+AN548+AP548+AR548+AT548+AV548+AX548</f>
        <v/>
      </c>
      <c r="BA548" s="16" t="n"/>
      <c r="BB548" s="139" t="n"/>
      <c r="BC548" s="16" t="n"/>
      <c r="BD548" s="139" t="n"/>
      <c r="BE548" s="16">
        <f>(BA548+BC548)</f>
        <v/>
      </c>
    </row>
    <row r="549" ht="22.5" customFormat="1" customHeight="1" s="8">
      <c r="A549" s="9" t="n"/>
      <c r="B549" s="136" t="inlineStr">
        <is>
          <t>SUS</t>
        </is>
      </c>
      <c r="C549" s="137" t="inlineStr">
        <is>
          <t>ADX6000</t>
        </is>
      </c>
      <c r="D549" s="60" t="inlineStr">
        <is>
          <t>스탠드 부속품 (바-부쉬링)</t>
        </is>
      </c>
      <c r="E549" s="13" t="n"/>
      <c r="F549" s="99" t="n"/>
      <c r="G549" s="9" t="n"/>
      <c r="H549" s="9" t="inlineStr">
        <is>
          <t>에이스힌지텍</t>
        </is>
      </c>
      <c r="I549" s="14" t="n"/>
      <c r="J549" s="14" t="n"/>
      <c r="K549" s="12" t="n"/>
      <c r="L549" s="9" t="n"/>
      <c r="M549" s="9" t="n"/>
      <c r="N549" s="9" t="n"/>
      <c r="O549" s="40">
        <f>K549+V549-AE549-AZ549</f>
        <v/>
      </c>
      <c r="P549" s="12" t="n"/>
      <c r="Q549" s="138" t="n"/>
      <c r="R549" s="16" t="n"/>
      <c r="S549" s="139" t="n"/>
      <c r="T549" s="16" t="n"/>
      <c r="U549" s="139" t="n"/>
      <c r="V549" s="16">
        <f>P549+R549+T549</f>
        <v/>
      </c>
      <c r="W549" s="16" t="n"/>
      <c r="X549" s="139" t="n"/>
      <c r="Y549" s="16" t="n"/>
      <c r="Z549" s="139" t="n"/>
      <c r="AA549" s="16" t="n"/>
      <c r="AB549" s="139" t="n"/>
      <c r="AC549" s="16" t="n"/>
      <c r="AD549" s="139" t="n"/>
      <c r="AE549" s="16">
        <f>(W549+Y549+AA549+AC549)</f>
        <v/>
      </c>
      <c r="AF549" s="16" t="n"/>
      <c r="AG549" s="138" t="n"/>
      <c r="AH549" s="16" t="n"/>
      <c r="AI549" s="138" t="n"/>
      <c r="AJ549" s="16" t="n"/>
      <c r="AK549" s="138" t="n"/>
      <c r="AL549" s="16" t="n"/>
      <c r="AM549" s="138" t="n"/>
      <c r="AN549" s="16" t="n"/>
      <c r="AO549" s="138" t="n"/>
      <c r="AP549" s="16" t="n"/>
      <c r="AQ549" s="138" t="n"/>
      <c r="AR549" s="16" t="n"/>
      <c r="AS549" s="138" t="n"/>
      <c r="AT549" s="16" t="n"/>
      <c r="AU549" s="138" t="n"/>
      <c r="AV549" s="16" t="n"/>
      <c r="AW549" s="138" t="n"/>
      <c r="AX549" s="16" t="n"/>
      <c r="AY549" s="138" t="n"/>
      <c r="AZ549" s="16">
        <f>AF549+AH549+AJ549+AL549+AN549+AP549+AR549+AT549+AV549+AX549</f>
        <v/>
      </c>
      <c r="BA549" s="16" t="n"/>
      <c r="BB549" s="139" t="n"/>
      <c r="BC549" s="16" t="n"/>
      <c r="BD549" s="139" t="n"/>
      <c r="BE549" s="16">
        <f>(BA549+BC549)</f>
        <v/>
      </c>
    </row>
    <row r="550" ht="22.5" customFormat="1" customHeight="1" s="8">
      <c r="A550" s="9" t="n"/>
      <c r="B550" s="136" t="inlineStr">
        <is>
          <t>브라켓</t>
        </is>
      </c>
      <c r="C550" s="137" t="inlineStr">
        <is>
          <t>ADX6000</t>
        </is>
      </c>
      <c r="D550" s="63" t="inlineStr">
        <is>
          <t>스탠드 브라켓(암연결용)</t>
        </is>
      </c>
      <c r="E550" s="13" t="n"/>
      <c r="F550" s="99" t="n"/>
      <c r="G550" s="9" t="n"/>
      <c r="H550" s="9" t="inlineStr">
        <is>
          <t>에이스힌지텍</t>
        </is>
      </c>
      <c r="I550" s="14" t="n"/>
      <c r="J550" s="14" t="n"/>
      <c r="K550" s="12" t="n"/>
      <c r="L550" s="9" t="n"/>
      <c r="M550" s="9" t="n"/>
      <c r="N550" s="9" t="n"/>
      <c r="O550" s="40">
        <f>K550+V550-AE550-AZ550</f>
        <v/>
      </c>
      <c r="P550" s="12" t="n"/>
      <c r="Q550" s="138" t="n"/>
      <c r="R550" s="16" t="n"/>
      <c r="S550" s="139" t="n"/>
      <c r="T550" s="16" t="n"/>
      <c r="U550" s="139" t="n"/>
      <c r="V550" s="16">
        <f>P550+R550+T550</f>
        <v/>
      </c>
      <c r="W550" s="16" t="n"/>
      <c r="X550" s="139" t="n"/>
      <c r="Y550" s="16" t="n"/>
      <c r="Z550" s="139" t="n"/>
      <c r="AA550" s="16" t="n"/>
      <c r="AB550" s="139" t="n"/>
      <c r="AC550" s="16" t="n"/>
      <c r="AD550" s="139" t="n"/>
      <c r="AE550" s="16">
        <f>(W550+Y550+AA550+AC550)</f>
        <v/>
      </c>
      <c r="AF550" s="16" t="n"/>
      <c r="AG550" s="138" t="n"/>
      <c r="AH550" s="16" t="n"/>
      <c r="AI550" s="138" t="n"/>
      <c r="AJ550" s="16" t="n"/>
      <c r="AK550" s="138" t="n"/>
      <c r="AL550" s="16" t="n"/>
      <c r="AM550" s="138" t="n"/>
      <c r="AN550" s="16" t="n"/>
      <c r="AO550" s="138" t="n"/>
      <c r="AP550" s="16" t="n"/>
      <c r="AQ550" s="138" t="n"/>
      <c r="AR550" s="16" t="n"/>
      <c r="AS550" s="138" t="n"/>
      <c r="AT550" s="16" t="n"/>
      <c r="AU550" s="138" t="n"/>
      <c r="AV550" s="16" t="n"/>
      <c r="AW550" s="138" t="n"/>
      <c r="AX550" s="16" t="n"/>
      <c r="AY550" s="138" t="n"/>
      <c r="AZ550" s="16">
        <f>AF550+AH550+AJ550+AL550+AN550+AP550+AR550+AT550+AV550+AX550</f>
        <v/>
      </c>
      <c r="BA550" s="16" t="n"/>
      <c r="BB550" s="139" t="n"/>
      <c r="BC550" s="16" t="n"/>
      <c r="BD550" s="139" t="n"/>
      <c r="BE550" s="16">
        <f>(BA550+BC550)</f>
        <v/>
      </c>
    </row>
    <row r="551" ht="22.5" customFormat="1" customHeight="1" s="8">
      <c r="A551" s="9" t="n"/>
      <c r="B551" s="136" t="inlineStr">
        <is>
          <t>브라켓</t>
        </is>
      </c>
      <c r="C551" s="137" t="inlineStr">
        <is>
          <t>ADX6000</t>
        </is>
      </c>
      <c r="D551" s="63" t="inlineStr">
        <is>
          <t>스탠드 브라켓(제품용)</t>
        </is>
      </c>
      <c r="E551" s="13" t="n"/>
      <c r="F551" s="99" t="n"/>
      <c r="G551" s="9" t="n"/>
      <c r="H551" s="9" t="inlineStr">
        <is>
          <t>다우정밀</t>
        </is>
      </c>
      <c r="I551" s="14" t="n"/>
      <c r="J551" s="14" t="n"/>
      <c r="K551" s="12" t="n"/>
      <c r="L551" s="9" t="n"/>
      <c r="M551" s="9" t="n"/>
      <c r="N551" s="9" t="n"/>
      <c r="O551" s="40">
        <f>K551+V551-AE551-AZ551</f>
        <v/>
      </c>
      <c r="P551" s="12" t="n"/>
      <c r="Q551" s="138" t="n"/>
      <c r="R551" s="16" t="n"/>
      <c r="S551" s="139" t="n"/>
      <c r="T551" s="16" t="n"/>
      <c r="U551" s="139" t="n"/>
      <c r="V551" s="16">
        <f>P551+R551+T551</f>
        <v/>
      </c>
      <c r="W551" s="16" t="n"/>
      <c r="X551" s="139" t="n"/>
      <c r="Y551" s="16" t="n"/>
      <c r="Z551" s="139" t="n"/>
      <c r="AA551" s="16" t="n"/>
      <c r="AB551" s="139" t="n"/>
      <c r="AC551" s="16" t="n"/>
      <c r="AD551" s="139" t="n"/>
      <c r="AE551" s="16">
        <f>(W551+Y551+AA551+AC551)</f>
        <v/>
      </c>
      <c r="AF551" s="16" t="n"/>
      <c r="AG551" s="138" t="n"/>
      <c r="AH551" s="16" t="n"/>
      <c r="AI551" s="138" t="n"/>
      <c r="AJ551" s="16" t="n"/>
      <c r="AK551" s="138" t="n"/>
      <c r="AL551" s="16" t="n"/>
      <c r="AM551" s="138" t="n"/>
      <c r="AN551" s="16" t="n"/>
      <c r="AO551" s="138" t="n"/>
      <c r="AP551" s="16" t="n"/>
      <c r="AQ551" s="138" t="n"/>
      <c r="AR551" s="16" t="n"/>
      <c r="AS551" s="138" t="n"/>
      <c r="AT551" s="16" t="n"/>
      <c r="AU551" s="138" t="n"/>
      <c r="AV551" s="16" t="n"/>
      <c r="AW551" s="138" t="n"/>
      <c r="AX551" s="16" t="n"/>
      <c r="AY551" s="138" t="n"/>
      <c r="AZ551" s="16">
        <f>AF551+AH551+AJ551+AL551+AN551+AP551+AR551+AT551+AV551+AX551</f>
        <v/>
      </c>
      <c r="BA551" s="16" t="n"/>
      <c r="BB551" s="139" t="n"/>
      <c r="BC551" s="16" t="n"/>
      <c r="BD551" s="139" t="n"/>
      <c r="BE551" s="16">
        <f>(BA551+BC551)</f>
        <v/>
      </c>
    </row>
    <row r="552" ht="22.5" customFormat="1" customHeight="1" s="8">
      <c r="A552" s="9" t="n"/>
      <c r="B552" s="136" t="inlineStr">
        <is>
          <t>제품 거치대</t>
        </is>
      </c>
      <c r="C552" s="137" t="inlineStr">
        <is>
          <t>ADX4000W</t>
        </is>
      </c>
      <c r="D552" s="63" t="inlineStr">
        <is>
          <t>스탠드홀드 (메탈)</t>
        </is>
      </c>
      <c r="E552" s="13" t="inlineStr">
        <is>
          <t>은색</t>
        </is>
      </c>
      <c r="F552" s="99" t="n"/>
      <c r="G552" s="9" t="n"/>
      <c r="H552" s="9" t="inlineStr">
        <is>
          <t>제이케이시스템</t>
        </is>
      </c>
      <c r="I552" s="14" t="n"/>
      <c r="J552" s="14" t="n"/>
      <c r="K552" s="12" t="n">
        <v>0</v>
      </c>
      <c r="L552" s="9" t="n"/>
      <c r="M552" s="9" t="n"/>
      <c r="N552" s="9" t="n"/>
      <c r="O552" s="40">
        <f>K552+V552-AE552-AZ552</f>
        <v/>
      </c>
      <c r="P552" s="12" t="n"/>
      <c r="Q552" s="138" t="n"/>
      <c r="R552" s="16" t="n"/>
      <c r="S552" s="139" t="n"/>
      <c r="T552" s="16" t="n"/>
      <c r="U552" s="139" t="n"/>
      <c r="V552" s="16">
        <f>P552+R552+T552</f>
        <v/>
      </c>
      <c r="W552" s="16" t="n"/>
      <c r="X552" s="139" t="n"/>
      <c r="Y552" s="16" t="n"/>
      <c r="Z552" s="139" t="n"/>
      <c r="AA552" s="16" t="n"/>
      <c r="AB552" s="139" t="n"/>
      <c r="AC552" s="16" t="n"/>
      <c r="AD552" s="139" t="n"/>
      <c r="AE552" s="16">
        <f>(W552+Y552+AA552+AC552)</f>
        <v/>
      </c>
      <c r="AF552" s="16" t="n"/>
      <c r="AG552" s="138" t="n"/>
      <c r="AH552" s="16" t="n"/>
      <c r="AI552" s="138" t="n"/>
      <c r="AJ552" s="16" t="n"/>
      <c r="AK552" s="138" t="n"/>
      <c r="AL552" s="16" t="n"/>
      <c r="AM552" s="138" t="n"/>
      <c r="AN552" s="16" t="n"/>
      <c r="AO552" s="138" t="n"/>
      <c r="AP552" s="16" t="n"/>
      <c r="AQ552" s="138" t="n"/>
      <c r="AR552" s="16" t="n"/>
      <c r="AS552" s="138" t="n"/>
      <c r="AT552" s="16" t="n"/>
      <c r="AU552" s="138" t="n"/>
      <c r="AV552" s="16" t="n"/>
      <c r="AW552" s="138" t="n"/>
      <c r="AX552" s="16" t="n"/>
      <c r="AY552" s="138" t="n"/>
      <c r="AZ552" s="16">
        <f>AF552+AH552+AJ552+AL552+AN552+AP552+AR552+AT552+AV552+AX552</f>
        <v/>
      </c>
      <c r="BA552" s="16" t="n"/>
      <c r="BB552" s="139" t="n"/>
      <c r="BC552" s="16" t="n"/>
      <c r="BD552" s="139" t="n"/>
      <c r="BE552" s="16">
        <f>(BA552+BC552)</f>
        <v/>
      </c>
    </row>
    <row r="553" ht="22.5" customFormat="1" customHeight="1" s="8">
      <c r="A553" s="9" t="n"/>
      <c r="B553" s="136" t="inlineStr">
        <is>
          <t>제품 거치대</t>
        </is>
      </c>
      <c r="C553" s="137" t="inlineStr">
        <is>
          <t>DX3000</t>
        </is>
      </c>
      <c r="D553" s="63" t="inlineStr">
        <is>
          <t>스탠드홀드 (메탈)</t>
        </is>
      </c>
      <c r="E553" s="13" t="n"/>
      <c r="F553" s="99" t="n"/>
      <c r="G553" s="9" t="n"/>
      <c r="H553" s="9" t="inlineStr">
        <is>
          <t>제이케이시스템</t>
        </is>
      </c>
      <c r="I553" s="14" t="n"/>
      <c r="J553" s="14" t="n"/>
      <c r="K553" s="12" t="n">
        <v>60</v>
      </c>
      <c r="L553" s="9" t="n"/>
      <c r="M553" s="9" t="n"/>
      <c r="N553" s="9" t="n"/>
      <c r="O553" s="40">
        <f>K553+V553-AE553-AZ553</f>
        <v/>
      </c>
      <c r="P553" s="12" t="n"/>
      <c r="Q553" s="138" t="n"/>
      <c r="R553" s="16" t="n"/>
      <c r="S553" s="139" t="n"/>
      <c r="T553" s="16" t="n"/>
      <c r="U553" s="139" t="n"/>
      <c r="V553" s="16">
        <f>P553+R553+T553</f>
        <v/>
      </c>
      <c r="W553" s="16" t="n"/>
      <c r="X553" s="139" t="n"/>
      <c r="Y553" s="16" t="n"/>
      <c r="Z553" s="139" t="n"/>
      <c r="AA553" s="16" t="n"/>
      <c r="AB553" s="139" t="n"/>
      <c r="AC553" s="16" t="n"/>
      <c r="AD553" s="139" t="n"/>
      <c r="AE553" s="16">
        <f>(W553+Y553+AA553+AC553)</f>
        <v/>
      </c>
      <c r="AF553" s="16" t="n"/>
      <c r="AG553" s="138" t="n"/>
      <c r="AH553" s="16" t="n"/>
      <c r="AI553" s="138" t="n"/>
      <c r="AJ553" s="16" t="n"/>
      <c r="AK553" s="138" t="n"/>
      <c r="AL553" s="16" t="n"/>
      <c r="AM553" s="138" t="n"/>
      <c r="AN553" s="16" t="n"/>
      <c r="AO553" s="138" t="n"/>
      <c r="AP553" s="16" t="n"/>
      <c r="AQ553" s="138" t="n"/>
      <c r="AR553" s="16" t="n"/>
      <c r="AS553" s="138" t="n"/>
      <c r="AT553" s="16" t="n"/>
      <c r="AU553" s="138" t="n"/>
      <c r="AV553" s="16" t="n"/>
      <c r="AW553" s="138" t="n"/>
      <c r="AX553" s="16" t="n"/>
      <c r="AY553" s="138" t="n"/>
      <c r="AZ553" s="16">
        <f>AF553+AH553+AJ553+AL553+AN553+AP553+AR553+AT553+AV553+AX553</f>
        <v/>
      </c>
      <c r="BA553" s="16" t="n"/>
      <c r="BB553" s="139" t="n"/>
      <c r="BC553" s="16" t="n"/>
      <c r="BD553" s="139" t="n"/>
      <c r="BE553" s="16">
        <f>(BA553+BC553)</f>
        <v/>
      </c>
    </row>
    <row r="554" ht="22.5" customFormat="1" customHeight="1" s="8">
      <c r="A554" s="9" t="n"/>
      <c r="B554" s="136" t="inlineStr">
        <is>
          <t>제품 거치대</t>
        </is>
      </c>
      <c r="C554" s="137" t="inlineStr">
        <is>
          <t>ADX4000W</t>
        </is>
      </c>
      <c r="D554" s="60" t="inlineStr">
        <is>
          <t>스탠드홀드 (신형)</t>
        </is>
      </c>
      <c r="E554" s="13" t="inlineStr">
        <is>
          <t>흰색</t>
        </is>
      </c>
      <c r="F554" s="99" t="n"/>
      <c r="G554" s="9" t="n"/>
      <c r="H554" s="9" t="inlineStr">
        <is>
          <t>제이케이시스템</t>
        </is>
      </c>
      <c r="I554" s="14" t="n"/>
      <c r="J554" s="14" t="n"/>
      <c r="K554" s="12" t="n">
        <v>0</v>
      </c>
      <c r="L554" s="9" t="n"/>
      <c r="M554" s="9" t="n"/>
      <c r="N554" s="9" t="n"/>
      <c r="O554" s="40">
        <f>K554+V554-AE554-AZ554</f>
        <v/>
      </c>
      <c r="P554" s="12" t="n"/>
      <c r="Q554" s="138" t="n"/>
      <c r="R554" s="16" t="n"/>
      <c r="S554" s="139" t="n"/>
      <c r="T554" s="16" t="n"/>
      <c r="U554" s="139" t="n"/>
      <c r="V554" s="16">
        <f>P554+R554+T554</f>
        <v/>
      </c>
      <c r="W554" s="16" t="n"/>
      <c r="X554" s="139" t="n"/>
      <c r="Y554" s="16" t="n"/>
      <c r="Z554" s="139" t="n"/>
      <c r="AA554" s="16" t="n"/>
      <c r="AB554" s="139" t="n"/>
      <c r="AC554" s="16" t="n"/>
      <c r="AD554" s="139" t="n"/>
      <c r="AE554" s="16">
        <f>(W554+Y554+AA554+AC554)</f>
        <v/>
      </c>
      <c r="AF554" s="16" t="n"/>
      <c r="AG554" s="138" t="n"/>
      <c r="AH554" s="16" t="n"/>
      <c r="AI554" s="138" t="n"/>
      <c r="AJ554" s="16" t="n"/>
      <c r="AK554" s="138" t="n"/>
      <c r="AL554" s="16" t="n"/>
      <c r="AM554" s="138" t="n"/>
      <c r="AN554" s="16" t="n"/>
      <c r="AO554" s="138" t="n"/>
      <c r="AP554" s="16" t="n"/>
      <c r="AQ554" s="138" t="n"/>
      <c r="AR554" s="16" t="n"/>
      <c r="AS554" s="138" t="n"/>
      <c r="AT554" s="16" t="n"/>
      <c r="AU554" s="138" t="n"/>
      <c r="AV554" s="16" t="n"/>
      <c r="AW554" s="138" t="n"/>
      <c r="AX554" s="16" t="n"/>
      <c r="AY554" s="138" t="n"/>
      <c r="AZ554" s="16">
        <f>AF554+AH554+AJ554+AL554+AN554+AP554+AR554+AT554+AV554+AX554</f>
        <v/>
      </c>
      <c r="BA554" s="16" t="n"/>
      <c r="BB554" s="139" t="n"/>
      <c r="BC554" s="16" t="n"/>
      <c r="BD554" s="139" t="n"/>
      <c r="BE554" s="16">
        <f>(BA554+BC554)</f>
        <v/>
      </c>
    </row>
    <row r="555" ht="22.5" customFormat="1" customHeight="1" s="8">
      <c r="A555" s="9" t="n"/>
      <c r="B555" s="136" t="inlineStr">
        <is>
          <t>ABS 난연</t>
        </is>
      </c>
      <c r="C555" s="137" t="inlineStr">
        <is>
          <t>DX3000, ADX4000W</t>
        </is>
      </c>
      <c r="D555" s="60" t="inlineStr">
        <is>
          <t>배터리 거치대 사출 SETS</t>
        </is>
      </c>
      <c r="E555" s="13" t="n"/>
      <c r="F555" s="99" t="n"/>
      <c r="G555" s="9" t="n"/>
      <c r="H555" s="9" t="inlineStr">
        <is>
          <t>다성 ENG</t>
        </is>
      </c>
      <c r="I555" s="14" t="n"/>
      <c r="J555" s="14" t="n"/>
      <c r="K555" s="12" t="n"/>
      <c r="L555" s="9" t="n"/>
      <c r="M555" s="9" t="n"/>
      <c r="N555" s="9" t="n"/>
      <c r="O555" s="40">
        <f>K555+V555-AE555-AZ555</f>
        <v/>
      </c>
      <c r="P555" s="12" t="n"/>
      <c r="Q555" s="138" t="n"/>
      <c r="R555" s="16" t="n"/>
      <c r="S555" s="139" t="n"/>
      <c r="T555" s="16" t="n"/>
      <c r="U555" s="139" t="n"/>
      <c r="V555" s="16">
        <f>P555+R555+T555</f>
        <v/>
      </c>
      <c r="W555" s="16" t="n"/>
      <c r="X555" s="139" t="n"/>
      <c r="Y555" s="16" t="n"/>
      <c r="Z555" s="139" t="n"/>
      <c r="AA555" s="16" t="n"/>
      <c r="AB555" s="139" t="n"/>
      <c r="AC555" s="16" t="n"/>
      <c r="AD555" s="139" t="n"/>
      <c r="AE555" s="16">
        <f>(W555+Y555+AA555+AC555)</f>
        <v/>
      </c>
      <c r="AF555" s="16" t="n"/>
      <c r="AG555" s="138" t="n"/>
      <c r="AH555" s="16" t="n"/>
      <c r="AI555" s="138" t="n"/>
      <c r="AJ555" s="16" t="n"/>
      <c r="AK555" s="138" t="n"/>
      <c r="AL555" s="16" t="n"/>
      <c r="AM555" s="138" t="n"/>
      <c r="AN555" s="16" t="n"/>
      <c r="AO555" s="138" t="n"/>
      <c r="AP555" s="16" t="n"/>
      <c r="AQ555" s="138" t="n"/>
      <c r="AR555" s="16" t="n"/>
      <c r="AS555" s="138" t="n"/>
      <c r="AT555" s="16" t="n"/>
      <c r="AU555" s="138" t="n"/>
      <c r="AV555" s="16" t="n"/>
      <c r="AW555" s="138" t="n"/>
      <c r="AX555" s="16" t="n"/>
      <c r="AY555" s="138" t="n"/>
      <c r="AZ555" s="16">
        <f>AF555+AH555+AJ555+AL555+AN555+AP555+AR555+AT555+AV555+AX555</f>
        <v/>
      </c>
      <c r="BA555" s="16" t="n"/>
      <c r="BB555" s="139" t="n"/>
      <c r="BC555" s="16" t="n"/>
      <c r="BD555" s="139" t="n"/>
      <c r="BE555" s="16">
        <f>(BA555+BC555)</f>
        <v/>
      </c>
    </row>
    <row r="556" ht="22.5" customFormat="1" customHeight="1" s="8">
      <c r="A556" s="9" t="n"/>
      <c r="B556" s="136" t="inlineStr">
        <is>
          <t>신주</t>
        </is>
      </c>
      <c r="C556" s="137" t="inlineStr">
        <is>
          <t>DX3000, ADX4000W</t>
        </is>
      </c>
      <c r="D556" s="63" t="inlineStr">
        <is>
          <t>배터리 거치대용 신주핀</t>
        </is>
      </c>
      <c r="E556" s="13" t="n"/>
      <c r="F556" s="99" t="n"/>
      <c r="G556" s="9" t="n"/>
      <c r="H556" s="9" t="inlineStr">
        <is>
          <t>다우정밀</t>
        </is>
      </c>
      <c r="I556" s="14" t="n"/>
      <c r="J556" s="14" t="n"/>
      <c r="K556" s="12" t="n"/>
      <c r="L556" s="9" t="n"/>
      <c r="M556" s="9" t="n"/>
      <c r="N556" s="9" t="n"/>
      <c r="O556" s="40">
        <f>K556+V556-AE556-AZ556</f>
        <v/>
      </c>
      <c r="P556" s="12" t="n"/>
      <c r="Q556" s="138" t="n"/>
      <c r="R556" s="16" t="n"/>
      <c r="S556" s="139" t="n"/>
      <c r="T556" s="16" t="n"/>
      <c r="U556" s="139" t="n"/>
      <c r="V556" s="16">
        <f>P556+R556+T556</f>
        <v/>
      </c>
      <c r="W556" s="16" t="n"/>
      <c r="X556" s="139" t="n"/>
      <c r="Y556" s="16" t="n"/>
      <c r="Z556" s="139" t="n"/>
      <c r="AA556" s="16" t="n"/>
      <c r="AB556" s="139" t="n"/>
      <c r="AC556" s="16" t="n"/>
      <c r="AD556" s="139" t="n"/>
      <c r="AE556" s="16">
        <f>(W556+Y556+AA556+AC556)</f>
        <v/>
      </c>
      <c r="AF556" s="16" t="n"/>
      <c r="AG556" s="138" t="n"/>
      <c r="AH556" s="16" t="n"/>
      <c r="AI556" s="138" t="n"/>
      <c r="AJ556" s="16" t="n"/>
      <c r="AK556" s="138" t="n"/>
      <c r="AL556" s="16" t="n"/>
      <c r="AM556" s="138" t="n"/>
      <c r="AN556" s="16" t="n"/>
      <c r="AO556" s="138" t="n"/>
      <c r="AP556" s="16" t="n"/>
      <c r="AQ556" s="138" t="n"/>
      <c r="AR556" s="16" t="n"/>
      <c r="AS556" s="138" t="n"/>
      <c r="AT556" s="16" t="n"/>
      <c r="AU556" s="138" t="n"/>
      <c r="AV556" s="16" t="n"/>
      <c r="AW556" s="138" t="n"/>
      <c r="AX556" s="16" t="n"/>
      <c r="AY556" s="138" t="n"/>
      <c r="AZ556" s="16">
        <f>AF556+AH556+AJ556+AL556+AN556+AP556+AR556+AT556+AV556+AX556</f>
        <v/>
      </c>
      <c r="BA556" s="16" t="n"/>
      <c r="BB556" s="139" t="n"/>
      <c r="BC556" s="16" t="n"/>
      <c r="BD556" s="139" t="n"/>
      <c r="BE556" s="16">
        <f>(BA556+BC556)</f>
        <v/>
      </c>
    </row>
    <row r="557" ht="22.5" customFormat="1" customHeight="1" s="8">
      <c r="A557" s="9" t="n"/>
      <c r="B557" s="136" t="inlineStr">
        <is>
          <t>브라켓</t>
        </is>
      </c>
      <c r="C557" s="137" t="inlineStr">
        <is>
          <t>공용</t>
        </is>
      </c>
      <c r="D557" s="63" t="inlineStr">
        <is>
          <t>스탠드 브라켓 조인트 셋트</t>
        </is>
      </c>
      <c r="E557" s="13" t="n"/>
      <c r="F557" s="99" t="n"/>
      <c r="G557" s="9" t="n"/>
      <c r="H557" s="9" t="inlineStr">
        <is>
          <t>제이케이시스템</t>
        </is>
      </c>
      <c r="I557" s="14" t="n"/>
      <c r="J557" s="14" t="n"/>
      <c r="K557" s="12" t="n"/>
      <c r="L557" s="9" t="n"/>
      <c r="M557" s="9" t="n"/>
      <c r="N557" s="9" t="n"/>
      <c r="O557" s="40">
        <f>K557+V557-AE557-AZ557</f>
        <v/>
      </c>
      <c r="P557" s="12" t="n"/>
      <c r="Q557" s="138" t="n"/>
      <c r="R557" s="16" t="n"/>
      <c r="S557" s="139" t="n"/>
      <c r="T557" s="16" t="n"/>
      <c r="U557" s="139" t="n"/>
      <c r="V557" s="16">
        <f>P557+R557+T557</f>
        <v/>
      </c>
      <c r="W557" s="16" t="n"/>
      <c r="X557" s="139" t="n"/>
      <c r="Y557" s="16" t="n"/>
      <c r="Z557" s="139" t="n"/>
      <c r="AA557" s="16" t="n"/>
      <c r="AB557" s="139" t="n"/>
      <c r="AC557" s="16" t="n"/>
      <c r="AD557" s="139" t="n"/>
      <c r="AE557" s="16">
        <f>(W557+Y557+AA557+AC557)</f>
        <v/>
      </c>
      <c r="AF557" s="16" t="n"/>
      <c r="AG557" s="138" t="n"/>
      <c r="AH557" s="16" t="n"/>
      <c r="AI557" s="138" t="n"/>
      <c r="AJ557" s="16" t="n"/>
      <c r="AK557" s="138" t="n"/>
      <c r="AL557" s="16" t="n"/>
      <c r="AM557" s="138" t="n"/>
      <c r="AN557" s="16" t="n"/>
      <c r="AO557" s="138" t="n"/>
      <c r="AP557" s="16" t="n"/>
      <c r="AQ557" s="138" t="n"/>
      <c r="AR557" s="16" t="n"/>
      <c r="AS557" s="138" t="n"/>
      <c r="AT557" s="16" t="n"/>
      <c r="AU557" s="138" t="n"/>
      <c r="AV557" s="16" t="n"/>
      <c r="AW557" s="138" t="n"/>
      <c r="AX557" s="16" t="n"/>
      <c r="AY557" s="138" t="n"/>
      <c r="AZ557" s="16">
        <f>AF557+AH557+AJ557+AL557+AN557+AP557+AR557+AT557+AV557+AX557</f>
        <v/>
      </c>
      <c r="BA557" s="16" t="n"/>
      <c r="BB557" s="139" t="n"/>
      <c r="BC557" s="16" t="n"/>
      <c r="BD557" s="139" t="n"/>
      <c r="BE557" s="16">
        <f>(BA557+BC557)</f>
        <v/>
      </c>
    </row>
    <row r="558" ht="22.5" customFormat="1" customHeight="1" s="8">
      <c r="A558" s="9" t="n"/>
      <c r="B558" s="136" t="inlineStr">
        <is>
          <t>브라켓</t>
        </is>
      </c>
      <c r="C558" s="137" t="inlineStr">
        <is>
          <t>공용</t>
        </is>
      </c>
      <c r="D558" s="63" t="inlineStr">
        <is>
          <t>스탠드 브라켓 족의학용</t>
        </is>
      </c>
      <c r="E558" s="13" t="n"/>
      <c r="F558" s="99" t="n"/>
      <c r="G558" s="9" t="n"/>
      <c r="H558" s="9" t="inlineStr">
        <is>
          <t>제이케이시스템</t>
        </is>
      </c>
      <c r="I558" s="14" t="n"/>
      <c r="J558" s="14" t="n"/>
      <c r="K558" s="12" t="n"/>
      <c r="L558" s="9" t="n"/>
      <c r="M558" s="9" t="n"/>
      <c r="N558" s="9" t="n"/>
      <c r="O558" s="40">
        <f>K558+V558-AE558-AZ558</f>
        <v/>
      </c>
      <c r="P558" s="12" t="n"/>
      <c r="Q558" s="138" t="n"/>
      <c r="R558" s="16" t="n"/>
      <c r="S558" s="139" t="n"/>
      <c r="T558" s="16" t="n"/>
      <c r="U558" s="139" t="n"/>
      <c r="V558" s="16">
        <f>P558+R558+T558</f>
        <v/>
      </c>
      <c r="W558" s="16" t="n"/>
      <c r="X558" s="139" t="n"/>
      <c r="Y558" s="16" t="n"/>
      <c r="Z558" s="139" t="n"/>
      <c r="AA558" s="16" t="n"/>
      <c r="AB558" s="139" t="n"/>
      <c r="AC558" s="16" t="n"/>
      <c r="AD558" s="139" t="n"/>
      <c r="AE558" s="16">
        <f>(W558+Y558+AA558+AC558)</f>
        <v/>
      </c>
      <c r="AF558" s="16" t="n"/>
      <c r="AG558" s="138" t="n"/>
      <c r="AH558" s="16" t="n"/>
      <c r="AI558" s="138" t="n"/>
      <c r="AJ558" s="16" t="n"/>
      <c r="AK558" s="138" t="n"/>
      <c r="AL558" s="16" t="n"/>
      <c r="AM558" s="138" t="n"/>
      <c r="AN558" s="16" t="n"/>
      <c r="AO558" s="138" t="n"/>
      <c r="AP558" s="16" t="n"/>
      <c r="AQ558" s="138" t="n"/>
      <c r="AR558" s="16" t="n"/>
      <c r="AS558" s="138" t="n"/>
      <c r="AT558" s="16" t="n"/>
      <c r="AU558" s="138" t="n"/>
      <c r="AV558" s="16" t="n"/>
      <c r="AW558" s="138" t="n"/>
      <c r="AX558" s="16" t="n"/>
      <c r="AY558" s="138" t="n"/>
      <c r="AZ558" s="16">
        <f>AF558+AH558+AJ558+AL558+AN558+AP558+AR558+AT558+AV558+AX558</f>
        <v/>
      </c>
      <c r="BA558" s="16" t="n"/>
      <c r="BB558" s="139" t="n"/>
      <c r="BC558" s="16" t="n"/>
      <c r="BD558" s="139" t="n"/>
      <c r="BE558" s="16">
        <f>(BA558+BC558)</f>
        <v/>
      </c>
    </row>
    <row r="559" ht="22.5" customFormat="1" customHeight="1" s="8">
      <c r="A559" s="9" t="n"/>
      <c r="B559" s="136" t="inlineStr">
        <is>
          <t>브라켓</t>
        </is>
      </c>
      <c r="C559" s="137" t="inlineStr">
        <is>
          <t>ADX6000</t>
        </is>
      </c>
      <c r="D559" s="63" t="inlineStr">
        <is>
          <t>국내용 스탠드 브라켓 1. BLOCK</t>
        </is>
      </c>
      <c r="E559" s="13" t="n"/>
      <c r="F559" s="99" t="n"/>
      <c r="G559" s="9" t="n"/>
      <c r="H559" s="9" t="inlineStr">
        <is>
          <t>제이케이시스템</t>
        </is>
      </c>
      <c r="I559" s="14" t="n"/>
      <c r="J559" s="14" t="n"/>
      <c r="K559" s="12" t="n"/>
      <c r="L559" s="9" t="n"/>
      <c r="M559" s="9" t="n"/>
      <c r="N559" s="9" t="n"/>
      <c r="O559" s="40">
        <f>K559+V559-AE559-AZ559</f>
        <v/>
      </c>
      <c r="P559" s="12" t="n"/>
      <c r="Q559" s="138" t="n"/>
      <c r="R559" s="16" t="n"/>
      <c r="S559" s="139" t="n"/>
      <c r="T559" s="16" t="n"/>
      <c r="U559" s="139" t="n"/>
      <c r="V559" s="16">
        <f>P559+R559+T559</f>
        <v/>
      </c>
      <c r="W559" s="16" t="n"/>
      <c r="X559" s="139" t="n"/>
      <c r="Y559" s="16" t="n"/>
      <c r="Z559" s="139" t="n"/>
      <c r="AA559" s="16" t="n"/>
      <c r="AB559" s="139" t="n"/>
      <c r="AC559" s="16" t="n"/>
      <c r="AD559" s="139" t="n"/>
      <c r="AE559" s="16">
        <f>(W559+Y559+AA559+AC559)</f>
        <v/>
      </c>
      <c r="AF559" s="16" t="n"/>
      <c r="AG559" s="138" t="n"/>
      <c r="AH559" s="16" t="n"/>
      <c r="AI559" s="138" t="n"/>
      <c r="AJ559" s="16" t="n"/>
      <c r="AK559" s="138" t="n"/>
      <c r="AL559" s="16" t="n"/>
      <c r="AM559" s="138" t="n"/>
      <c r="AN559" s="16" t="n"/>
      <c r="AO559" s="138" t="n"/>
      <c r="AP559" s="16" t="n"/>
      <c r="AQ559" s="138" t="n"/>
      <c r="AR559" s="16" t="n"/>
      <c r="AS559" s="138" t="n"/>
      <c r="AT559" s="16" t="n"/>
      <c r="AU559" s="138" t="n"/>
      <c r="AV559" s="16" t="n"/>
      <c r="AW559" s="138" t="n"/>
      <c r="AX559" s="16" t="n"/>
      <c r="AY559" s="138" t="n"/>
      <c r="AZ559" s="16">
        <f>AF559+AH559+AJ559+AL559+AN559+AP559+AR559+AT559+AV559+AX559</f>
        <v/>
      </c>
      <c r="BA559" s="16" t="n"/>
      <c r="BB559" s="139" t="n"/>
      <c r="BC559" s="16" t="n"/>
      <c r="BD559" s="139" t="n"/>
      <c r="BE559" s="16">
        <f>(BA559+BC559)</f>
        <v/>
      </c>
    </row>
    <row r="560" ht="22.5" customFormat="1" customHeight="1" s="8">
      <c r="A560" s="9" t="n"/>
      <c r="B560" s="136" t="inlineStr">
        <is>
          <t>브라켓</t>
        </is>
      </c>
      <c r="C560" s="137" t="inlineStr">
        <is>
          <t>ADX6000</t>
        </is>
      </c>
      <c r="D560" s="60" t="inlineStr">
        <is>
          <t>국내용 스탠드 브라켓 2. ARM</t>
        </is>
      </c>
      <c r="E560" s="13" t="n"/>
      <c r="F560" s="99" t="n"/>
      <c r="G560" s="9" t="n"/>
      <c r="H560" s="9" t="inlineStr">
        <is>
          <t>제이케이시스템</t>
        </is>
      </c>
      <c r="I560" s="14" t="n"/>
      <c r="J560" s="14" t="n"/>
      <c r="K560" s="12" t="n"/>
      <c r="L560" s="9" t="n"/>
      <c r="M560" s="9" t="n"/>
      <c r="N560" s="9" t="n"/>
      <c r="O560" s="40">
        <f>K560+V560-AE560-AZ560</f>
        <v/>
      </c>
      <c r="P560" s="12" t="n"/>
      <c r="Q560" s="138" t="n"/>
      <c r="R560" s="16" t="n"/>
      <c r="S560" s="139" t="n"/>
      <c r="T560" s="16" t="n"/>
      <c r="U560" s="139" t="n"/>
      <c r="V560" s="16">
        <f>P560+R560+T560</f>
        <v/>
      </c>
      <c r="W560" s="16" t="n"/>
      <c r="X560" s="139" t="n"/>
      <c r="Y560" s="16" t="n"/>
      <c r="Z560" s="139" t="n"/>
      <c r="AA560" s="16" t="n"/>
      <c r="AB560" s="139" t="n"/>
      <c r="AC560" s="16" t="n"/>
      <c r="AD560" s="139" t="n"/>
      <c r="AE560" s="16">
        <f>(W560+Y560+AA560+AC560)</f>
        <v/>
      </c>
      <c r="AF560" s="16" t="n"/>
      <c r="AG560" s="138" t="n"/>
      <c r="AH560" s="16" t="n"/>
      <c r="AI560" s="138" t="n"/>
      <c r="AJ560" s="16" t="n"/>
      <c r="AK560" s="138" t="n"/>
      <c r="AL560" s="16" t="n"/>
      <c r="AM560" s="138" t="n"/>
      <c r="AN560" s="16" t="n"/>
      <c r="AO560" s="138" t="n"/>
      <c r="AP560" s="16" t="n"/>
      <c r="AQ560" s="138" t="n"/>
      <c r="AR560" s="16" t="n"/>
      <c r="AS560" s="138" t="n"/>
      <c r="AT560" s="16" t="n"/>
      <c r="AU560" s="138" t="n"/>
      <c r="AV560" s="16" t="n"/>
      <c r="AW560" s="138" t="n"/>
      <c r="AX560" s="16" t="n"/>
      <c r="AY560" s="138" t="n"/>
      <c r="AZ560" s="16">
        <f>AF560+AH560+AJ560+AL560+AN560+AP560+AR560+AT560+AV560+AX560</f>
        <v/>
      </c>
      <c r="BA560" s="16" t="n"/>
      <c r="BB560" s="139" t="n"/>
      <c r="BC560" s="16" t="n"/>
      <c r="BD560" s="139" t="n"/>
      <c r="BE560" s="16">
        <f>(BA560+BC560)</f>
        <v/>
      </c>
    </row>
    <row r="561" ht="22.5" customFormat="1" customHeight="1" s="8">
      <c r="A561" s="9" t="n"/>
      <c r="B561" s="136" t="inlineStr">
        <is>
          <t>브라켓</t>
        </is>
      </c>
      <c r="C561" s="137" t="inlineStr">
        <is>
          <t>ADX6000</t>
        </is>
      </c>
      <c r="D561" s="60" t="inlineStr">
        <is>
          <t>국내용 스탠드 브라켓 3. TILT BODY</t>
        </is>
      </c>
      <c r="E561" s="13" t="n"/>
      <c r="F561" s="99" t="n"/>
      <c r="G561" s="9" t="n"/>
      <c r="H561" s="9" t="inlineStr">
        <is>
          <t>제이케이시스템</t>
        </is>
      </c>
      <c r="I561" s="14" t="n"/>
      <c r="J561" s="14" t="n"/>
      <c r="K561" s="12" t="n"/>
      <c r="L561" s="9" t="n"/>
      <c r="M561" s="9" t="n"/>
      <c r="N561" s="9" t="n"/>
      <c r="O561" s="40">
        <f>K561+V561-AE561-AZ561</f>
        <v/>
      </c>
      <c r="P561" s="12" t="n"/>
      <c r="Q561" s="138" t="n"/>
      <c r="R561" s="16" t="n"/>
      <c r="S561" s="139" t="n"/>
      <c r="T561" s="16" t="n"/>
      <c r="U561" s="139" t="n"/>
      <c r="V561" s="16">
        <f>P561+R561+T561</f>
        <v/>
      </c>
      <c r="W561" s="16" t="n"/>
      <c r="X561" s="139" t="n"/>
      <c r="Y561" s="16" t="n"/>
      <c r="Z561" s="139" t="n"/>
      <c r="AA561" s="16" t="n"/>
      <c r="AB561" s="139" t="n"/>
      <c r="AC561" s="16" t="n"/>
      <c r="AD561" s="139" t="n"/>
      <c r="AE561" s="16">
        <f>(W561+Y561+AA561+AC561)</f>
        <v/>
      </c>
      <c r="AF561" s="16" t="n"/>
      <c r="AG561" s="138" t="n"/>
      <c r="AH561" s="16" t="n"/>
      <c r="AI561" s="138" t="n"/>
      <c r="AJ561" s="16" t="n"/>
      <c r="AK561" s="138" t="n"/>
      <c r="AL561" s="16" t="n"/>
      <c r="AM561" s="138" t="n"/>
      <c r="AN561" s="16" t="n"/>
      <c r="AO561" s="138" t="n"/>
      <c r="AP561" s="16" t="n"/>
      <c r="AQ561" s="138" t="n"/>
      <c r="AR561" s="16" t="n"/>
      <c r="AS561" s="138" t="n"/>
      <c r="AT561" s="16" t="n"/>
      <c r="AU561" s="138" t="n"/>
      <c r="AV561" s="16" t="n"/>
      <c r="AW561" s="138" t="n"/>
      <c r="AX561" s="16" t="n"/>
      <c r="AY561" s="138" t="n"/>
      <c r="AZ561" s="16">
        <f>AF561+AH561+AJ561+AL561+AN561+AP561+AR561+AT561+AV561+AX561</f>
        <v/>
      </c>
      <c r="BA561" s="16" t="n"/>
      <c r="BB561" s="139" t="n"/>
      <c r="BC561" s="16" t="n"/>
      <c r="BD561" s="139" t="n"/>
      <c r="BE561" s="16">
        <f>(BA561+BC561)</f>
        <v/>
      </c>
    </row>
    <row r="562" ht="22.5" customFormat="1" customHeight="1" s="8">
      <c r="A562" s="9" t="n"/>
      <c r="B562" s="136" t="inlineStr">
        <is>
          <t>브라켓</t>
        </is>
      </c>
      <c r="C562" s="137" t="inlineStr">
        <is>
          <t>ADX6000</t>
        </is>
      </c>
      <c r="D562" s="60" t="inlineStr">
        <is>
          <t>국내용 스탠드 브라켓 4. BASE</t>
        </is>
      </c>
      <c r="E562" s="13" t="n"/>
      <c r="F562" s="99" t="n"/>
      <c r="G562" s="9" t="n"/>
      <c r="H562" s="9" t="inlineStr">
        <is>
          <t>제이케이시스템</t>
        </is>
      </c>
      <c r="I562" s="14" t="n"/>
      <c r="J562" s="14" t="n"/>
      <c r="K562" s="12" t="n"/>
      <c r="L562" s="9" t="n"/>
      <c r="M562" s="9" t="n"/>
      <c r="N562" s="9" t="n"/>
      <c r="O562" s="40">
        <f>K562+V562-AE562-AZ562</f>
        <v/>
      </c>
      <c r="P562" s="12" t="n"/>
      <c r="Q562" s="138" t="n"/>
      <c r="R562" s="16" t="n"/>
      <c r="S562" s="139" t="n"/>
      <c r="T562" s="16" t="n"/>
      <c r="U562" s="139" t="n"/>
      <c r="V562" s="16">
        <f>P562+R562+T562</f>
        <v/>
      </c>
      <c r="W562" s="16" t="n"/>
      <c r="X562" s="139" t="n"/>
      <c r="Y562" s="16" t="n"/>
      <c r="Z562" s="139" t="n"/>
      <c r="AA562" s="16" t="n"/>
      <c r="AB562" s="139" t="n"/>
      <c r="AC562" s="16" t="n"/>
      <c r="AD562" s="139" t="n"/>
      <c r="AE562" s="16">
        <f>(W562+Y562+AA562+AC562)</f>
        <v/>
      </c>
      <c r="AF562" s="16" t="n"/>
      <c r="AG562" s="138" t="n"/>
      <c r="AH562" s="16" t="n"/>
      <c r="AI562" s="138" t="n"/>
      <c r="AJ562" s="16" t="n"/>
      <c r="AK562" s="138" t="n"/>
      <c r="AL562" s="16" t="n"/>
      <c r="AM562" s="138" t="n"/>
      <c r="AN562" s="16" t="n"/>
      <c r="AO562" s="138" t="n"/>
      <c r="AP562" s="16" t="n"/>
      <c r="AQ562" s="138" t="n"/>
      <c r="AR562" s="16" t="n"/>
      <c r="AS562" s="138" t="n"/>
      <c r="AT562" s="16" t="n"/>
      <c r="AU562" s="138" t="n"/>
      <c r="AV562" s="16" t="n"/>
      <c r="AW562" s="138" t="n"/>
      <c r="AX562" s="16" t="n"/>
      <c r="AY562" s="138" t="n"/>
      <c r="AZ562" s="16">
        <f>AF562+AH562+AJ562+AL562+AN562+AP562+AR562+AT562+AV562+AX562</f>
        <v/>
      </c>
      <c r="BA562" s="16" t="n"/>
      <c r="BB562" s="139" t="n"/>
      <c r="BC562" s="16" t="n"/>
      <c r="BD562" s="139" t="n"/>
      <c r="BE562" s="16">
        <f>(BA562+BC562)</f>
        <v/>
      </c>
    </row>
    <row r="563" ht="22.5" customFormat="1" customHeight="1" s="8">
      <c r="A563" s="9" t="n"/>
      <c r="B563" s="136" t="inlineStr">
        <is>
          <t>브라켓</t>
        </is>
      </c>
      <c r="C563" s="137" t="inlineStr">
        <is>
          <t>ADX6000</t>
        </is>
      </c>
      <c r="D563" s="60" t="inlineStr">
        <is>
          <t>국내용 스탠드 브라켓 5. SHAFT</t>
        </is>
      </c>
      <c r="E563" s="13" t="n"/>
      <c r="F563" s="99" t="n"/>
      <c r="G563" s="9" t="n"/>
      <c r="H563" s="9" t="inlineStr">
        <is>
          <t>제이케이시스템</t>
        </is>
      </c>
      <c r="I563" s="14" t="n"/>
      <c r="J563" s="14" t="n"/>
      <c r="K563" s="12" t="n"/>
      <c r="L563" s="9" t="n"/>
      <c r="M563" s="9" t="n"/>
      <c r="N563" s="9" t="n"/>
      <c r="O563" s="40">
        <f>K563+V563-AE563-AZ563</f>
        <v/>
      </c>
      <c r="P563" s="12" t="n"/>
      <c r="Q563" s="138" t="n"/>
      <c r="R563" s="16" t="n"/>
      <c r="S563" s="139" t="n"/>
      <c r="T563" s="16" t="n"/>
      <c r="U563" s="139" t="n"/>
      <c r="V563" s="16">
        <f>P563+R563+T563</f>
        <v/>
      </c>
      <c r="W563" s="16" t="n"/>
      <c r="X563" s="139" t="n"/>
      <c r="Y563" s="16" t="n"/>
      <c r="Z563" s="139" t="n"/>
      <c r="AA563" s="16" t="n"/>
      <c r="AB563" s="139" t="n"/>
      <c r="AC563" s="16" t="n"/>
      <c r="AD563" s="139" t="n"/>
      <c r="AE563" s="16">
        <f>(W563+Y563+AA563+AC563)</f>
        <v/>
      </c>
      <c r="AF563" s="16" t="n"/>
      <c r="AG563" s="138" t="n"/>
      <c r="AH563" s="16" t="n"/>
      <c r="AI563" s="138" t="n"/>
      <c r="AJ563" s="16" t="n"/>
      <c r="AK563" s="138" t="n"/>
      <c r="AL563" s="16" t="n"/>
      <c r="AM563" s="138" t="n"/>
      <c r="AN563" s="16" t="n"/>
      <c r="AO563" s="138" t="n"/>
      <c r="AP563" s="16" t="n"/>
      <c r="AQ563" s="138" t="n"/>
      <c r="AR563" s="16" t="n"/>
      <c r="AS563" s="138" t="n"/>
      <c r="AT563" s="16" t="n"/>
      <c r="AU563" s="138" t="n"/>
      <c r="AV563" s="16" t="n"/>
      <c r="AW563" s="138" t="n"/>
      <c r="AX563" s="16" t="n"/>
      <c r="AY563" s="138" t="n"/>
      <c r="AZ563" s="16">
        <f>AF563+AH563+AJ563+AL563+AN563+AP563+AR563+AT563+AV563+AX563</f>
        <v/>
      </c>
      <c r="BA563" s="16" t="n"/>
      <c r="BB563" s="139" t="n"/>
      <c r="BC563" s="16" t="n"/>
      <c r="BD563" s="139" t="n"/>
      <c r="BE563" s="16">
        <f>(BA563+BC563)</f>
        <v/>
      </c>
    </row>
    <row r="564" ht="22.5" customFormat="1" customHeight="1" s="8">
      <c r="A564" s="9" t="n"/>
      <c r="B564" s="136" t="inlineStr">
        <is>
          <t>브라켓</t>
        </is>
      </c>
      <c r="C564" s="137" t="inlineStr">
        <is>
          <t>ADX6000</t>
        </is>
      </c>
      <c r="D564" s="63" t="inlineStr">
        <is>
          <t>국내용 스탠드 브라켓 6. PUSH PLATE</t>
        </is>
      </c>
      <c r="E564" s="13" t="n"/>
      <c r="F564" s="99" t="n"/>
      <c r="G564" s="9" t="n"/>
      <c r="H564" s="9" t="inlineStr">
        <is>
          <t>제이케이시스템</t>
        </is>
      </c>
      <c r="I564" s="14" t="n"/>
      <c r="J564" s="14" t="n"/>
      <c r="K564" s="12" t="n"/>
      <c r="L564" s="9" t="n"/>
      <c r="M564" s="9" t="n"/>
      <c r="N564" s="9" t="n"/>
      <c r="O564" s="40">
        <f>K564+V564-AE564-AZ564</f>
        <v/>
      </c>
      <c r="P564" s="12" t="n"/>
      <c r="Q564" s="138" t="n"/>
      <c r="R564" s="16" t="n"/>
      <c r="S564" s="139" t="n"/>
      <c r="T564" s="16" t="n"/>
      <c r="U564" s="139" t="n"/>
      <c r="V564" s="16">
        <f>P564+R564+T564</f>
        <v/>
      </c>
      <c r="W564" s="16" t="n"/>
      <c r="X564" s="139" t="n"/>
      <c r="Y564" s="16" t="n"/>
      <c r="Z564" s="139" t="n"/>
      <c r="AA564" s="16" t="n"/>
      <c r="AB564" s="139" t="n"/>
      <c r="AC564" s="16" t="n"/>
      <c r="AD564" s="139" t="n"/>
      <c r="AE564" s="16">
        <f>(W564+Y564+AA564+AC564)</f>
        <v/>
      </c>
      <c r="AF564" s="16" t="n"/>
      <c r="AG564" s="138" t="n"/>
      <c r="AH564" s="16" t="n"/>
      <c r="AI564" s="138" t="n"/>
      <c r="AJ564" s="16" t="n"/>
      <c r="AK564" s="138" t="n"/>
      <c r="AL564" s="16" t="n"/>
      <c r="AM564" s="138" t="n"/>
      <c r="AN564" s="16" t="n"/>
      <c r="AO564" s="138" t="n"/>
      <c r="AP564" s="16" t="n"/>
      <c r="AQ564" s="138" t="n"/>
      <c r="AR564" s="16" t="n"/>
      <c r="AS564" s="138" t="n"/>
      <c r="AT564" s="16" t="n"/>
      <c r="AU564" s="138" t="n"/>
      <c r="AV564" s="16" t="n"/>
      <c r="AW564" s="138" t="n"/>
      <c r="AX564" s="16" t="n"/>
      <c r="AY564" s="138" t="n"/>
      <c r="AZ564" s="16">
        <f>AF564+AH564+AJ564+AL564+AN564+AP564+AR564+AT564+AV564+AX564</f>
        <v/>
      </c>
      <c r="BA564" s="16" t="n"/>
      <c r="BB564" s="139" t="n"/>
      <c r="BC564" s="16" t="n"/>
      <c r="BD564" s="139" t="n"/>
      <c r="BE564" s="16">
        <f>(BA564+BC564)</f>
        <v/>
      </c>
    </row>
    <row r="565" ht="22.5" customFormat="1" customHeight="1" s="8">
      <c r="A565" s="9" t="n"/>
      <c r="B565" s="136" t="inlineStr">
        <is>
          <t>브라켓</t>
        </is>
      </c>
      <c r="C565" s="137" t="inlineStr">
        <is>
          <t>ADX6000</t>
        </is>
      </c>
      <c r="D565" s="63" t="inlineStr">
        <is>
          <t>국내용 스탠드 브라켓 7. EASY LOCK PLATE</t>
        </is>
      </c>
      <c r="E565" s="13" t="n"/>
      <c r="F565" s="99" t="n"/>
      <c r="G565" s="9" t="n"/>
      <c r="H565" s="9" t="inlineStr">
        <is>
          <t>제이케이시스템</t>
        </is>
      </c>
      <c r="I565" s="14" t="n"/>
      <c r="J565" s="14" t="n"/>
      <c r="K565" s="12" t="n"/>
      <c r="L565" s="9" t="n"/>
      <c r="M565" s="9" t="n"/>
      <c r="N565" s="9" t="n"/>
      <c r="O565" s="40">
        <f>K565+V565-AE565-AZ565</f>
        <v/>
      </c>
      <c r="P565" s="12" t="n"/>
      <c r="Q565" s="138" t="n"/>
      <c r="R565" s="16" t="n"/>
      <c r="S565" s="139" t="n"/>
      <c r="T565" s="16" t="n"/>
      <c r="U565" s="139" t="n"/>
      <c r="V565" s="16">
        <f>P565+R565+T565</f>
        <v/>
      </c>
      <c r="W565" s="16" t="n"/>
      <c r="X565" s="139" t="n"/>
      <c r="Y565" s="16" t="n"/>
      <c r="Z565" s="139" t="n"/>
      <c r="AA565" s="16" t="n"/>
      <c r="AB565" s="139" t="n"/>
      <c r="AC565" s="16" t="n"/>
      <c r="AD565" s="139" t="n"/>
      <c r="AE565" s="16">
        <f>(W565+Y565+AA565+AC565)</f>
        <v/>
      </c>
      <c r="AF565" s="16" t="n"/>
      <c r="AG565" s="138" t="n"/>
      <c r="AH565" s="16" t="n"/>
      <c r="AI565" s="138" t="n"/>
      <c r="AJ565" s="16" t="n"/>
      <c r="AK565" s="138" t="n"/>
      <c r="AL565" s="16" t="n"/>
      <c r="AM565" s="138" t="n"/>
      <c r="AN565" s="16" t="n"/>
      <c r="AO565" s="138" t="n"/>
      <c r="AP565" s="16" t="n"/>
      <c r="AQ565" s="138" t="n"/>
      <c r="AR565" s="16" t="n"/>
      <c r="AS565" s="138" t="n"/>
      <c r="AT565" s="16" t="n"/>
      <c r="AU565" s="138" t="n"/>
      <c r="AV565" s="16" t="n"/>
      <c r="AW565" s="138" t="n"/>
      <c r="AX565" s="16" t="n"/>
      <c r="AY565" s="138" t="n"/>
      <c r="AZ565" s="16">
        <f>AF565+AH565+AJ565+AL565+AN565+AP565+AR565+AT565+AV565+AX565</f>
        <v/>
      </c>
      <c r="BA565" s="16" t="n"/>
      <c r="BB565" s="139" t="n"/>
      <c r="BC565" s="16" t="n"/>
      <c r="BD565" s="139" t="n"/>
      <c r="BE565" s="16">
        <f>(BA565+BC565)</f>
        <v/>
      </c>
    </row>
    <row r="566" ht="22.5" customFormat="1" customHeight="1" s="8">
      <c r="A566" s="9" t="n"/>
      <c r="B566" s="136" t="inlineStr">
        <is>
          <t>브라켓</t>
        </is>
      </c>
      <c r="C566" s="137" t="inlineStr">
        <is>
          <t>ADX6000</t>
        </is>
      </c>
      <c r="D566" s="79" t="inlineStr">
        <is>
          <t>국내용 스탠드 브라켓 8. MOUNT</t>
        </is>
      </c>
      <c r="E566" s="13" t="n"/>
      <c r="F566" s="99" t="n"/>
      <c r="G566" s="9" t="n"/>
      <c r="H566" s="9" t="inlineStr">
        <is>
          <t>제이케이시스템</t>
        </is>
      </c>
      <c r="I566" s="14" t="n"/>
      <c r="J566" s="14" t="n"/>
      <c r="K566" s="12" t="n"/>
      <c r="L566" s="9" t="n"/>
      <c r="M566" s="9" t="n"/>
      <c r="N566" s="9" t="n"/>
      <c r="O566" s="40">
        <f>K566+V566-AE566-AZ566</f>
        <v/>
      </c>
      <c r="P566" s="12" t="n"/>
      <c r="Q566" s="138" t="n"/>
      <c r="R566" s="16" t="n"/>
      <c r="S566" s="139" t="n"/>
      <c r="T566" s="16" t="n"/>
      <c r="U566" s="139" t="n"/>
      <c r="V566" s="16">
        <f>P566+R566+T566</f>
        <v/>
      </c>
      <c r="W566" s="16" t="n"/>
      <c r="X566" s="139" t="n"/>
      <c r="Y566" s="16" t="n"/>
      <c r="Z566" s="139" t="n"/>
      <c r="AA566" s="16" t="n"/>
      <c r="AB566" s="139" t="n"/>
      <c r="AC566" s="16" t="n"/>
      <c r="AD566" s="139" t="n"/>
      <c r="AE566" s="16">
        <f>(W566+Y566+AA566+AC566)</f>
        <v/>
      </c>
      <c r="AF566" s="16" t="n"/>
      <c r="AG566" s="138" t="n"/>
      <c r="AH566" s="16" t="n"/>
      <c r="AI566" s="138" t="n"/>
      <c r="AJ566" s="16" t="n"/>
      <c r="AK566" s="138" t="n"/>
      <c r="AL566" s="16" t="n"/>
      <c r="AM566" s="138" t="n"/>
      <c r="AN566" s="16" t="n"/>
      <c r="AO566" s="138" t="n"/>
      <c r="AP566" s="16" t="n"/>
      <c r="AQ566" s="138" t="n"/>
      <c r="AR566" s="16" t="n"/>
      <c r="AS566" s="138" t="n"/>
      <c r="AT566" s="16" t="n"/>
      <c r="AU566" s="138" t="n"/>
      <c r="AV566" s="16" t="n"/>
      <c r="AW566" s="138" t="n"/>
      <c r="AX566" s="16" t="n"/>
      <c r="AY566" s="138" t="n"/>
      <c r="AZ566" s="16">
        <f>AF566+AH566+AJ566+AL566+AN566+AP566+AR566+AT566+AV566+AX566</f>
        <v/>
      </c>
      <c r="BA566" s="16" t="n"/>
      <c r="BB566" s="139" t="n"/>
      <c r="BC566" s="16" t="n"/>
      <c r="BD566" s="139" t="n"/>
      <c r="BE566" s="16">
        <f>(BA566+BC566)</f>
        <v/>
      </c>
    </row>
    <row r="567" ht="22.5" customFormat="1" customHeight="1" s="8">
      <c r="A567" s="9" t="n"/>
      <c r="B567" s="136" t="inlineStr">
        <is>
          <t>브라켓</t>
        </is>
      </c>
      <c r="C567" s="137" t="inlineStr">
        <is>
          <t>ADX6000</t>
        </is>
      </c>
      <c r="D567" s="91" t="inlineStr">
        <is>
          <t>국내용 스탠드 브라켓 9. 조임 손잡이</t>
        </is>
      </c>
      <c r="E567" s="13" t="n"/>
      <c r="F567" s="99" t="n"/>
      <c r="G567" s="9" t="n"/>
      <c r="H567" s="9" t="inlineStr">
        <is>
          <t>제이케이시스템</t>
        </is>
      </c>
      <c r="I567" s="14" t="n"/>
      <c r="J567" s="14" t="n"/>
      <c r="K567" s="12" t="n"/>
      <c r="L567" s="9" t="n"/>
      <c r="M567" s="9" t="n"/>
      <c r="N567" s="9" t="n"/>
      <c r="O567" s="40">
        <f>K567+V567-AE567-AZ567</f>
        <v/>
      </c>
      <c r="P567" s="12" t="n"/>
      <c r="Q567" s="138" t="n"/>
      <c r="R567" s="16" t="n"/>
      <c r="S567" s="139" t="n"/>
      <c r="T567" s="16" t="n"/>
      <c r="U567" s="139" t="n"/>
      <c r="V567" s="16">
        <f>P567+R567+T567</f>
        <v/>
      </c>
      <c r="W567" s="16" t="n"/>
      <c r="X567" s="139" t="n"/>
      <c r="Y567" s="16" t="n"/>
      <c r="Z567" s="139" t="n"/>
      <c r="AA567" s="16" t="n"/>
      <c r="AB567" s="139" t="n"/>
      <c r="AC567" s="16" t="n"/>
      <c r="AD567" s="139" t="n"/>
      <c r="AE567" s="16">
        <f>(W567+Y567+AA567+AC567)</f>
        <v/>
      </c>
      <c r="AF567" s="16" t="n"/>
      <c r="AG567" s="138" t="n"/>
      <c r="AH567" s="16" t="n"/>
      <c r="AI567" s="138" t="n"/>
      <c r="AJ567" s="16" t="n"/>
      <c r="AK567" s="138" t="n"/>
      <c r="AL567" s="16" t="n"/>
      <c r="AM567" s="138" t="n"/>
      <c r="AN567" s="16" t="n"/>
      <c r="AO567" s="138" t="n"/>
      <c r="AP567" s="16" t="n"/>
      <c r="AQ567" s="138" t="n"/>
      <c r="AR567" s="16" t="n"/>
      <c r="AS567" s="138" t="n"/>
      <c r="AT567" s="16" t="n"/>
      <c r="AU567" s="138" t="n"/>
      <c r="AV567" s="16" t="n"/>
      <c r="AW567" s="138" t="n"/>
      <c r="AX567" s="16" t="n"/>
      <c r="AY567" s="138" t="n"/>
      <c r="AZ567" s="16">
        <f>AF567+AH567+AJ567+AL567+AN567+AP567+AR567+AT567+AV567+AX567</f>
        <v/>
      </c>
      <c r="BA567" s="16" t="n"/>
      <c r="BB567" s="139" t="n"/>
      <c r="BC567" s="16" t="n"/>
      <c r="BD567" s="139" t="n"/>
      <c r="BE567" s="16">
        <f>(BA567+BC567)</f>
        <v/>
      </c>
    </row>
    <row r="568" ht="22.5" customFormat="1" customHeight="1" s="8">
      <c r="A568" s="9" t="n"/>
      <c r="B568" s="136" t="inlineStr">
        <is>
          <t>전자 각도기</t>
        </is>
      </c>
      <c r="C568" s="137" t="inlineStr">
        <is>
          <t>ADX6000S</t>
        </is>
      </c>
      <c r="D568" s="79" t="inlineStr">
        <is>
          <t>전자 각도기</t>
        </is>
      </c>
      <c r="E568" s="13" t="n"/>
      <c r="F568" s="99" t="n"/>
      <c r="G568" s="9" t="n"/>
      <c r="H568" s="9" t="inlineStr">
        <is>
          <t>제이케이시스템</t>
        </is>
      </c>
      <c r="I568" s="14" t="n"/>
      <c r="J568" s="14" t="n"/>
      <c r="K568" s="12" t="n"/>
      <c r="L568" s="9" t="n"/>
      <c r="M568" s="9" t="n"/>
      <c r="N568" s="9" t="n"/>
      <c r="O568" s="40">
        <f>K568+V568-AE568-AZ568</f>
        <v/>
      </c>
      <c r="P568" s="12" t="n"/>
      <c r="Q568" s="138" t="n"/>
      <c r="R568" s="16" t="n"/>
      <c r="S568" s="139" t="n"/>
      <c r="T568" s="16" t="n"/>
      <c r="U568" s="139" t="n"/>
      <c r="V568" s="16">
        <f>P568+R568+T568</f>
        <v/>
      </c>
      <c r="W568" s="16" t="n"/>
      <c r="X568" s="139" t="n"/>
      <c r="Y568" s="16" t="n"/>
      <c r="Z568" s="139" t="n"/>
      <c r="AA568" s="16" t="n"/>
      <c r="AB568" s="139" t="n"/>
      <c r="AC568" s="16" t="n"/>
      <c r="AD568" s="139" t="n"/>
      <c r="AE568" s="16">
        <f>(W568+Y568+AA568+AC568)</f>
        <v/>
      </c>
      <c r="AF568" s="16" t="n"/>
      <c r="AG568" s="138" t="n"/>
      <c r="AH568" s="16" t="n"/>
      <c r="AI568" s="138" t="n"/>
      <c r="AJ568" s="16" t="n"/>
      <c r="AK568" s="138" t="n"/>
      <c r="AL568" s="16" t="n"/>
      <c r="AM568" s="138" t="n"/>
      <c r="AN568" s="16" t="n"/>
      <c r="AO568" s="138" t="n"/>
      <c r="AP568" s="16" t="n"/>
      <c r="AQ568" s="138" t="n"/>
      <c r="AR568" s="16" t="n"/>
      <c r="AS568" s="138" t="n"/>
      <c r="AT568" s="16" t="n"/>
      <c r="AU568" s="138" t="n"/>
      <c r="AV568" s="16" t="n"/>
      <c r="AW568" s="138" t="n"/>
      <c r="AX568" s="16" t="n"/>
      <c r="AY568" s="138" t="n"/>
      <c r="AZ568" s="16">
        <f>AF568+AH568+AJ568+AL568+AN568+AP568+AR568+AT568+AV568+AX568</f>
        <v/>
      </c>
      <c r="BA568" s="16" t="n"/>
      <c r="BB568" s="139" t="n"/>
      <c r="BC568" s="16" t="n"/>
      <c r="BD568" s="139" t="n"/>
      <c r="BE568" s="16">
        <f>(BA568+BC568)</f>
        <v/>
      </c>
    </row>
    <row r="569" ht="22.5" customFormat="1" customHeight="1" s="8">
      <c r="A569" s="9" t="n"/>
      <c r="B569" s="136" t="inlineStr">
        <is>
          <t>AL 거치대</t>
        </is>
      </c>
      <c r="C569" s="137" t="inlineStr">
        <is>
          <t>ADX6000</t>
        </is>
      </c>
      <c r="D569" s="79" t="inlineStr">
        <is>
          <t>각도기 거치대</t>
        </is>
      </c>
      <c r="E569" s="13" t="n"/>
      <c r="F569" s="99" t="n"/>
      <c r="G569" s="9" t="n"/>
      <c r="H569" s="9" t="inlineStr">
        <is>
          <t>다우정밀</t>
        </is>
      </c>
      <c r="I569" s="14" t="n"/>
      <c r="J569" s="14" t="n"/>
      <c r="K569" s="12" t="n">
        <v>37</v>
      </c>
      <c r="L569" s="9" t="n"/>
      <c r="M569" s="9" t="n"/>
      <c r="N569" s="9" t="n"/>
      <c r="O569" s="40">
        <f>K569+V569-AE569-AZ569</f>
        <v/>
      </c>
      <c r="P569" s="12" t="n"/>
      <c r="Q569" s="138" t="n"/>
      <c r="R569" s="16" t="n"/>
      <c r="S569" s="139" t="n"/>
      <c r="T569" s="16" t="n"/>
      <c r="U569" s="139" t="n"/>
      <c r="V569" s="16">
        <f>P569+R569+T569</f>
        <v/>
      </c>
      <c r="W569" s="16" t="n"/>
      <c r="X569" s="139" t="n"/>
      <c r="Y569" s="16" t="n"/>
      <c r="Z569" s="139" t="n"/>
      <c r="AA569" s="16" t="n"/>
      <c r="AB569" s="139" t="n"/>
      <c r="AC569" s="16" t="n"/>
      <c r="AD569" s="139" t="n"/>
      <c r="AE569" s="16">
        <f>(W569+Y569+AA569+AC569)</f>
        <v/>
      </c>
      <c r="AF569" s="16" t="n"/>
      <c r="AG569" s="138" t="n"/>
      <c r="AH569" s="16" t="n"/>
      <c r="AI569" s="138" t="n"/>
      <c r="AJ569" s="16" t="n"/>
      <c r="AK569" s="138" t="n"/>
      <c r="AL569" s="16" t="n"/>
      <c r="AM569" s="138" t="n"/>
      <c r="AN569" s="16" t="n"/>
      <c r="AO569" s="138" t="n"/>
      <c r="AP569" s="16" t="n"/>
      <c r="AQ569" s="138" t="n"/>
      <c r="AR569" s="16" t="n"/>
      <c r="AS569" s="138" t="n"/>
      <c r="AT569" s="16" t="n"/>
      <c r="AU569" s="138" t="n"/>
      <c r="AV569" s="16" t="n"/>
      <c r="AW569" s="138" t="n"/>
      <c r="AX569" s="16" t="n"/>
      <c r="AY569" s="138" t="n"/>
      <c r="AZ569" s="16">
        <f>AF569+AH569+AJ569+AL569+AN569+AP569+AR569+AT569+AV569+AX569</f>
        <v/>
      </c>
      <c r="BA569" s="16" t="n"/>
      <c r="BB569" s="139" t="n"/>
      <c r="BC569" s="16" t="n"/>
      <c r="BD569" s="139" t="n"/>
      <c r="BE569" s="16">
        <f>(BA569+BC569)</f>
        <v/>
      </c>
    </row>
    <row r="570" ht="22.5" customFormat="1" customHeight="1" s="8">
      <c r="A570" s="9" t="n"/>
      <c r="B570" s="136" t="inlineStr">
        <is>
          <t>SUS</t>
        </is>
      </c>
      <c r="C570" s="137" t="inlineStr">
        <is>
          <t>ADX6000</t>
        </is>
      </c>
      <c r="D570" s="79" t="inlineStr">
        <is>
          <t>각도기 내부 철판</t>
        </is>
      </c>
      <c r="E570" s="13" t="n"/>
      <c r="F570" s="99" t="n"/>
      <c r="G570" s="9" t="n"/>
      <c r="H570" s="9" t="inlineStr">
        <is>
          <t>다우정밀</t>
        </is>
      </c>
      <c r="I570" s="14" t="n"/>
      <c r="J570" s="14" t="n"/>
      <c r="K570" s="12" t="n">
        <v>86</v>
      </c>
      <c r="L570" s="9" t="n"/>
      <c r="M570" s="9" t="n"/>
      <c r="N570" s="9" t="n"/>
      <c r="O570" s="40">
        <f>K570+V570-AE570-AZ570</f>
        <v/>
      </c>
      <c r="P570" s="12" t="n"/>
      <c r="Q570" s="138" t="n"/>
      <c r="R570" s="16" t="n"/>
      <c r="S570" s="139" t="n"/>
      <c r="T570" s="16" t="n"/>
      <c r="U570" s="139" t="n"/>
      <c r="V570" s="16">
        <f>P570+R570+T570</f>
        <v/>
      </c>
      <c r="W570" s="16" t="n"/>
      <c r="X570" s="139" t="n"/>
      <c r="Y570" s="16" t="n"/>
      <c r="Z570" s="139" t="n"/>
      <c r="AA570" s="16" t="n"/>
      <c r="AB570" s="139" t="n"/>
      <c r="AC570" s="16" t="n"/>
      <c r="AD570" s="139" t="n"/>
      <c r="AE570" s="16">
        <f>(W570+Y570+AA570+AC570)</f>
        <v/>
      </c>
      <c r="AF570" s="16" t="n"/>
      <c r="AG570" s="138" t="n"/>
      <c r="AH570" s="16" t="n"/>
      <c r="AI570" s="138" t="n"/>
      <c r="AJ570" s="16" t="n"/>
      <c r="AK570" s="138" t="n"/>
      <c r="AL570" s="16" t="n"/>
      <c r="AM570" s="138" t="n"/>
      <c r="AN570" s="16" t="n"/>
      <c r="AO570" s="138" t="n"/>
      <c r="AP570" s="16" t="n"/>
      <c r="AQ570" s="138" t="n"/>
      <c r="AR570" s="16" t="n"/>
      <c r="AS570" s="138" t="n"/>
      <c r="AT570" s="16" t="n"/>
      <c r="AU570" s="138" t="n"/>
      <c r="AV570" s="16" t="n"/>
      <c r="AW570" s="138" t="n"/>
      <c r="AX570" s="16" t="n"/>
      <c r="AY570" s="138" t="n"/>
      <c r="AZ570" s="16">
        <f>AF570+AH570+AJ570+AL570+AN570+AP570+AR570+AT570+AV570+AX570</f>
        <v/>
      </c>
      <c r="BA570" s="16" t="n"/>
      <c r="BB570" s="139" t="n"/>
      <c r="BC570" s="16" t="n"/>
      <c r="BD570" s="139" t="n"/>
      <c r="BE570" s="16">
        <f>(BA570+BC570)</f>
        <v/>
      </c>
    </row>
    <row r="571" ht="22.5" customFormat="1" customHeight="1" s="8">
      <c r="A571" s="9" t="n"/>
      <c r="B571" s="136" t="inlineStr">
        <is>
          <t>ABS 난연</t>
        </is>
      </c>
      <c r="C571" s="137" t="inlineStr">
        <is>
          <t>ADX6000</t>
        </is>
      </c>
      <c r="D571" s="65" t="inlineStr">
        <is>
          <t>각도기 홀더</t>
        </is>
      </c>
      <c r="E571" s="13" t="n"/>
      <c r="F571" s="99" t="n"/>
      <c r="G571" s="9" t="n"/>
      <c r="H571" s="24" t="inlineStr">
        <is>
          <t>제이케이시스템</t>
        </is>
      </c>
      <c r="I571" s="14" t="n"/>
      <c r="J571" s="14" t="n"/>
      <c r="K571" s="12" t="n"/>
      <c r="L571" s="9" t="n"/>
      <c r="M571" s="9" t="n"/>
      <c r="N571" s="9" t="n"/>
      <c r="O571" s="40">
        <f>K571+V571-AE571-AZ571</f>
        <v/>
      </c>
      <c r="P571" s="12" t="n"/>
      <c r="Q571" s="138" t="n"/>
      <c r="R571" s="16" t="n"/>
      <c r="S571" s="139" t="n"/>
      <c r="T571" s="16" t="n"/>
      <c r="U571" s="139" t="n"/>
      <c r="V571" s="16">
        <f>P571+R571+T571</f>
        <v/>
      </c>
      <c r="W571" s="16" t="n"/>
      <c r="X571" s="139" t="n"/>
      <c r="Y571" s="16" t="n"/>
      <c r="Z571" s="139" t="n"/>
      <c r="AA571" s="16" t="n"/>
      <c r="AB571" s="139" t="n"/>
      <c r="AC571" s="16" t="n"/>
      <c r="AD571" s="139" t="n"/>
      <c r="AE571" s="16">
        <f>(W571+Y571+AA571+AC571)</f>
        <v/>
      </c>
      <c r="AF571" s="16" t="n"/>
      <c r="AG571" s="138" t="n"/>
      <c r="AH571" s="16" t="n"/>
      <c r="AI571" s="138" t="n"/>
      <c r="AJ571" s="16" t="n"/>
      <c r="AK571" s="138" t="n"/>
      <c r="AL571" s="16" t="n"/>
      <c r="AM571" s="138" t="n"/>
      <c r="AN571" s="16" t="n"/>
      <c r="AO571" s="138" t="n"/>
      <c r="AP571" s="16" t="n"/>
      <c r="AQ571" s="138" t="n"/>
      <c r="AR571" s="16" t="n"/>
      <c r="AS571" s="138" t="n"/>
      <c r="AT571" s="16" t="n"/>
      <c r="AU571" s="138" t="n"/>
      <c r="AV571" s="16" t="n"/>
      <c r="AW571" s="138" t="n"/>
      <c r="AX571" s="16" t="n"/>
      <c r="AY571" s="138" t="n"/>
      <c r="AZ571" s="16">
        <f>AF571+AH571+AJ571+AL571+AN571+AP571+AR571+AT571+AV571+AX571</f>
        <v/>
      </c>
      <c r="BA571" s="16" t="n"/>
      <c r="BB571" s="139" t="n"/>
      <c r="BC571" s="16" t="n"/>
      <c r="BD571" s="139" t="n"/>
      <c r="BE571" s="16">
        <f>(BA571+BC571)</f>
        <v/>
      </c>
    </row>
    <row r="572" ht="22.5" customFormat="1" customHeight="1" s="8">
      <c r="A572" s="9" t="n"/>
      <c r="B572" s="136" t="inlineStr">
        <is>
          <t>아크릴</t>
        </is>
      </c>
      <c r="C572" s="137" t="inlineStr">
        <is>
          <t>ADX6000S</t>
        </is>
      </c>
      <c r="D572" s="65" t="inlineStr">
        <is>
          <t>사각 줄자 가이드</t>
        </is>
      </c>
      <c r="E572" s="13" t="n"/>
      <c r="F572" s="99" t="n"/>
      <c r="G572" s="9" t="n"/>
      <c r="H572" s="9" t="inlineStr">
        <is>
          <t>아크릴최가</t>
        </is>
      </c>
      <c r="I572" s="14" t="n"/>
      <c r="J572" s="14" t="n"/>
      <c r="K572" s="12" t="n">
        <v>53</v>
      </c>
      <c r="L572" s="9" t="n"/>
      <c r="M572" s="9" t="n"/>
      <c r="N572" s="9" t="n"/>
      <c r="O572" s="40">
        <f>K572+V572-AE572-AZ572</f>
        <v/>
      </c>
      <c r="P572" s="12" t="n"/>
      <c r="Q572" s="138" t="n"/>
      <c r="R572" s="16" t="n"/>
      <c r="S572" s="139" t="n"/>
      <c r="T572" s="16" t="n"/>
      <c r="U572" s="139" t="n"/>
      <c r="V572" s="16">
        <f>P572+R572+T572</f>
        <v/>
      </c>
      <c r="W572" s="16" t="n"/>
      <c r="X572" s="139" t="n"/>
      <c r="Y572" s="16" t="n"/>
      <c r="Z572" s="139" t="n"/>
      <c r="AA572" s="16" t="n"/>
      <c r="AB572" s="139" t="n"/>
      <c r="AC572" s="16" t="n"/>
      <c r="AD572" s="139" t="n"/>
      <c r="AE572" s="16">
        <f>(W572+Y572+AA572+AC572)</f>
        <v/>
      </c>
      <c r="AF572" s="16" t="n"/>
      <c r="AG572" s="138" t="n"/>
      <c r="AH572" s="16" t="n"/>
      <c r="AI572" s="138" t="n"/>
      <c r="AJ572" s="16" t="n"/>
      <c r="AK572" s="138" t="n"/>
      <c r="AL572" s="16" t="n"/>
      <c r="AM572" s="138" t="n"/>
      <c r="AN572" s="16" t="n"/>
      <c r="AO572" s="138" t="n"/>
      <c r="AP572" s="16" t="n"/>
      <c r="AQ572" s="138" t="n"/>
      <c r="AR572" s="16" t="n"/>
      <c r="AS572" s="138" t="n"/>
      <c r="AT572" s="16" t="n"/>
      <c r="AU572" s="138" t="n"/>
      <c r="AV572" s="16" t="n"/>
      <c r="AW572" s="138" t="n"/>
      <c r="AX572" s="16" t="n"/>
      <c r="AY572" s="138" t="n"/>
      <c r="AZ572" s="16">
        <f>AF572+AH572+AJ572+AL572+AN572+AP572+AR572+AT572+AV572+AX572</f>
        <v/>
      </c>
      <c r="BA572" s="16" t="n"/>
      <c r="BB572" s="139" t="n"/>
      <c r="BC572" s="16" t="n"/>
      <c r="BD572" s="139" t="n"/>
      <c r="BE572" s="16">
        <f>(BA572+BC572)</f>
        <v/>
      </c>
    </row>
    <row r="573" ht="21.95" customFormat="1" customHeight="1" s="8">
      <c r="A573" s="9" t="n"/>
      <c r="B573" s="136" t="inlineStr">
        <is>
          <t>완제품</t>
        </is>
      </c>
      <c r="C573" s="137" t="inlineStr">
        <is>
          <t>공용</t>
        </is>
      </c>
      <c r="D573" s="63" t="inlineStr">
        <is>
          <t>AlmyT STAND BODY SET</t>
        </is>
      </c>
      <c r="E573" s="13" t="n"/>
      <c r="F573" s="99" t="n"/>
      <c r="G573" s="9" t="n"/>
      <c r="H573" s="9" t="inlineStr">
        <is>
          <t>에이스힌지텍</t>
        </is>
      </c>
      <c r="I573" s="14" t="n"/>
      <c r="J573" s="14" t="n"/>
      <c r="K573" s="12" t="n"/>
      <c r="L573" s="9" t="n"/>
      <c r="M573" s="9" t="n"/>
      <c r="N573" s="9" t="n"/>
      <c r="O573" s="40">
        <f>K573+V573-AE573-AZ573</f>
        <v/>
      </c>
      <c r="P573" s="12" t="n"/>
      <c r="Q573" s="138" t="n"/>
      <c r="R573" s="16" t="n"/>
      <c r="S573" s="139" t="n"/>
      <c r="T573" s="16" t="n"/>
      <c r="U573" s="139" t="n"/>
      <c r="V573" s="16">
        <f>P573+R573+T573</f>
        <v/>
      </c>
      <c r="W573" s="16" t="n"/>
      <c r="X573" s="139" t="n"/>
      <c r="Y573" s="16" t="n"/>
      <c r="Z573" s="139" t="n"/>
      <c r="AA573" s="16" t="n"/>
      <c r="AB573" s="139" t="n"/>
      <c r="AC573" s="16" t="n"/>
      <c r="AD573" s="139" t="n"/>
      <c r="AE573" s="16">
        <f>(W573+Y573+AA573+AC573)</f>
        <v/>
      </c>
      <c r="AF573" s="16" t="n"/>
      <c r="AG573" s="138" t="n"/>
      <c r="AH573" s="16" t="n"/>
      <c r="AI573" s="138" t="n"/>
      <c r="AJ573" s="16" t="n"/>
      <c r="AK573" s="138" t="n"/>
      <c r="AL573" s="16" t="n"/>
      <c r="AM573" s="138" t="n"/>
      <c r="AN573" s="16" t="n"/>
      <c r="AO573" s="138" t="n"/>
      <c r="AP573" s="16" t="n"/>
      <c r="AQ573" s="138" t="n"/>
      <c r="AR573" s="16" t="n"/>
      <c r="AS573" s="138" t="n"/>
      <c r="AT573" s="16" t="n"/>
      <c r="AU573" s="138" t="n"/>
      <c r="AV573" s="16" t="n"/>
      <c r="AW573" s="138" t="n"/>
      <c r="AX573" s="16" t="n"/>
      <c r="AY573" s="138" t="n"/>
      <c r="AZ573" s="16">
        <f>AF573+AH573+AJ573+AL573+AN573+AP573+AR573+AT573+AV573+AX573</f>
        <v/>
      </c>
      <c r="BA573" s="16" t="n"/>
      <c r="BB573" s="139" t="n"/>
      <c r="BC573" s="16" t="n"/>
      <c r="BD573" s="139" t="n"/>
      <c r="BE573" s="16">
        <f>(BA573+BC573)</f>
        <v/>
      </c>
    </row>
    <row r="574" ht="21.95" customFormat="1" customHeight="1" s="8">
      <c r="A574" s="9" t="n"/>
      <c r="B574" s="136" t="inlineStr">
        <is>
          <t>완제품</t>
        </is>
      </c>
      <c r="C574" s="137" t="inlineStr">
        <is>
          <t>공용</t>
        </is>
      </c>
      <c r="D574" s="60" t="inlineStr">
        <is>
          <t>AlmyT STAND ACC SET</t>
        </is>
      </c>
      <c r="E574" s="13" t="n"/>
      <c r="F574" s="99" t="n"/>
      <c r="G574" s="9" t="n"/>
      <c r="H574" s="9" t="inlineStr">
        <is>
          <t>에이스힌지텍</t>
        </is>
      </c>
      <c r="I574" s="14" t="n"/>
      <c r="J574" s="14" t="n"/>
      <c r="K574" s="12" t="n"/>
      <c r="L574" s="9" t="n"/>
      <c r="M574" s="9" t="n"/>
      <c r="N574" s="9" t="n"/>
      <c r="O574" s="40">
        <f>K574+V574-AE574-AZ574</f>
        <v/>
      </c>
      <c r="P574" s="12" t="n"/>
      <c r="Q574" s="138" t="n"/>
      <c r="R574" s="16" t="n"/>
      <c r="S574" s="139" t="n"/>
      <c r="T574" s="16" t="n"/>
      <c r="U574" s="139" t="n"/>
      <c r="V574" s="16">
        <f>P574+R574+T574</f>
        <v/>
      </c>
      <c r="W574" s="16" t="n"/>
      <c r="X574" s="139" t="n"/>
      <c r="Y574" s="16" t="n"/>
      <c r="Z574" s="139" t="n"/>
      <c r="AA574" s="16" t="n"/>
      <c r="AB574" s="139" t="n"/>
      <c r="AC574" s="16" t="n"/>
      <c r="AD574" s="139" t="n"/>
      <c r="AE574" s="16">
        <f>(W574+Y574+AA574+AC574)</f>
        <v/>
      </c>
      <c r="AF574" s="16" t="n"/>
      <c r="AG574" s="138" t="n"/>
      <c r="AH574" s="16" t="n"/>
      <c r="AI574" s="138" t="n"/>
      <c r="AJ574" s="16" t="n"/>
      <c r="AK574" s="138" t="n"/>
      <c r="AL574" s="16" t="n"/>
      <c r="AM574" s="138" t="n"/>
      <c r="AN574" s="16" t="n"/>
      <c r="AO574" s="138" t="n"/>
      <c r="AP574" s="16" t="n"/>
      <c r="AQ574" s="138" t="n"/>
      <c r="AR574" s="16" t="n"/>
      <c r="AS574" s="138" t="n"/>
      <c r="AT574" s="16" t="n"/>
      <c r="AU574" s="138" t="n"/>
      <c r="AV574" s="16" t="n"/>
      <c r="AW574" s="138" t="n"/>
      <c r="AX574" s="16" t="n"/>
      <c r="AY574" s="138" t="n"/>
      <c r="AZ574" s="16">
        <f>AF574+AH574+AJ574+AL574+AN574+AP574+AR574+AT574+AV574+AX574</f>
        <v/>
      </c>
      <c r="BA574" s="16" t="n"/>
      <c r="BB574" s="139" t="n"/>
      <c r="BC574" s="16" t="n"/>
      <c r="BD574" s="139" t="n"/>
      <c r="BE574" s="16">
        <f>(BA574+BC574)</f>
        <v/>
      </c>
    </row>
    <row r="575" ht="21.95" customFormat="1" customHeight="1" s="8">
      <c r="A575" s="9" t="n"/>
      <c r="B575" s="136" t="inlineStr">
        <is>
          <t>완제품</t>
        </is>
      </c>
      <c r="C575" s="137" t="inlineStr">
        <is>
          <t>공용</t>
        </is>
      </c>
      <c r="D575" s="63" t="inlineStr">
        <is>
          <t>체스트 &amp; 베드 스탠드</t>
        </is>
      </c>
      <c r="E575" s="13" t="n"/>
      <c r="F575" s="99" t="n"/>
      <c r="G575" s="9" t="n"/>
      <c r="H575" s="9" t="inlineStr">
        <is>
          <t>로움텍</t>
        </is>
      </c>
      <c r="I575" s="14" t="n"/>
      <c r="J575" s="14" t="n"/>
      <c r="K575" s="12" t="n"/>
      <c r="L575" s="9" t="n"/>
      <c r="M575" s="9" t="n"/>
      <c r="N575" s="9" t="n"/>
      <c r="O575" s="40">
        <f>K575+V575-AE575-AZ575</f>
        <v/>
      </c>
      <c r="P575" s="12" t="n"/>
      <c r="Q575" s="138" t="n"/>
      <c r="R575" s="16" t="n"/>
      <c r="S575" s="139" t="n"/>
      <c r="T575" s="16" t="n"/>
      <c r="U575" s="139" t="n"/>
      <c r="V575" s="16">
        <f>P575+R575+T575</f>
        <v/>
      </c>
      <c r="W575" s="16" t="n"/>
      <c r="X575" s="139" t="n"/>
      <c r="Y575" s="16" t="n"/>
      <c r="Z575" s="139" t="n"/>
      <c r="AA575" s="16" t="n"/>
      <c r="AB575" s="139" t="n"/>
      <c r="AC575" s="16" t="n"/>
      <c r="AD575" s="139" t="n"/>
      <c r="AE575" s="16">
        <f>(W575+Y575+AA575+AC575)</f>
        <v/>
      </c>
      <c r="AF575" s="16" t="n"/>
      <c r="AG575" s="138" t="n"/>
      <c r="AH575" s="16" t="n"/>
      <c r="AI575" s="138" t="n"/>
      <c r="AJ575" s="16" t="n"/>
      <c r="AK575" s="138" t="n"/>
      <c r="AL575" s="16" t="n"/>
      <c r="AM575" s="138" t="n"/>
      <c r="AN575" s="16" t="n"/>
      <c r="AO575" s="138" t="n"/>
      <c r="AP575" s="16" t="n"/>
      <c r="AQ575" s="138" t="n"/>
      <c r="AR575" s="16" t="n"/>
      <c r="AS575" s="138" t="n"/>
      <c r="AT575" s="16" t="n"/>
      <c r="AU575" s="138" t="n"/>
      <c r="AV575" s="16" t="n"/>
      <c r="AW575" s="138" t="n"/>
      <c r="AX575" s="16" t="n"/>
      <c r="AY575" s="138" t="n"/>
      <c r="AZ575" s="16">
        <f>AF575+AH575+AJ575+AL575+AN575+AP575+AR575+AT575+AV575+AX575</f>
        <v/>
      </c>
      <c r="BA575" s="16" t="n"/>
      <c r="BB575" s="139" t="n"/>
      <c r="BC575" s="16" t="n"/>
      <c r="BD575" s="139" t="n"/>
      <c r="BE575" s="16">
        <f>(BA575+BC575)</f>
        <v/>
      </c>
    </row>
    <row r="576" ht="21.95" customFormat="1" customHeight="1" s="8">
      <c r="A576" s="9" t="n"/>
      <c r="B576" s="136" t="inlineStr">
        <is>
          <t>완제품</t>
        </is>
      </c>
      <c r="C576" s="137" t="inlineStr">
        <is>
          <t>공용</t>
        </is>
      </c>
      <c r="D576" s="63" t="inlineStr">
        <is>
          <t>체스트 &amp; 베드 암 파이프</t>
        </is>
      </c>
      <c r="E576" s="13" t="n"/>
      <c r="F576" s="99" t="n"/>
      <c r="G576" s="9" t="n"/>
      <c r="H576" s="9" t="inlineStr">
        <is>
          <t>로움텍</t>
        </is>
      </c>
      <c r="I576" s="14" t="n"/>
      <c r="J576" s="14" t="n"/>
      <c r="K576" s="12" t="n"/>
      <c r="L576" s="9" t="n"/>
      <c r="M576" s="9" t="n"/>
      <c r="N576" s="9" t="n"/>
      <c r="O576" s="40">
        <f>K576+V576-AE576-AZ576</f>
        <v/>
      </c>
      <c r="P576" s="12" t="n"/>
      <c r="Q576" s="138" t="n"/>
      <c r="R576" s="16" t="n"/>
      <c r="S576" s="139" t="n"/>
      <c r="T576" s="16" t="n"/>
      <c r="U576" s="139" t="n"/>
      <c r="V576" s="16">
        <f>P576+R576+T576</f>
        <v/>
      </c>
      <c r="W576" s="16" t="n"/>
      <c r="X576" s="139" t="n"/>
      <c r="Y576" s="16" t="n"/>
      <c r="Z576" s="139" t="n"/>
      <c r="AA576" s="16" t="n"/>
      <c r="AB576" s="139" t="n"/>
      <c r="AC576" s="16" t="n"/>
      <c r="AD576" s="139" t="n"/>
      <c r="AE576" s="16">
        <f>(W576+Y576+AA576+AC576)</f>
        <v/>
      </c>
      <c r="AF576" s="16" t="n"/>
      <c r="AG576" s="138" t="n"/>
      <c r="AH576" s="16" t="n"/>
      <c r="AI576" s="138" t="n"/>
      <c r="AJ576" s="16" t="n"/>
      <c r="AK576" s="138" t="n"/>
      <c r="AL576" s="16" t="n"/>
      <c r="AM576" s="138" t="n"/>
      <c r="AN576" s="16" t="n"/>
      <c r="AO576" s="138" t="n"/>
      <c r="AP576" s="16" t="n"/>
      <c r="AQ576" s="138" t="n"/>
      <c r="AR576" s="16" t="n"/>
      <c r="AS576" s="138" t="n"/>
      <c r="AT576" s="16" t="n"/>
      <c r="AU576" s="138" t="n"/>
      <c r="AV576" s="16" t="n"/>
      <c r="AW576" s="138" t="n"/>
      <c r="AX576" s="16" t="n"/>
      <c r="AY576" s="138" t="n"/>
      <c r="AZ576" s="16">
        <f>AF576+AH576+AJ576+AL576+AN576+AP576+AR576+AT576+AV576+AX576</f>
        <v/>
      </c>
      <c r="BA576" s="16" t="n"/>
      <c r="BB576" s="139" t="n"/>
      <c r="BC576" s="16" t="n"/>
      <c r="BD576" s="139" t="n"/>
      <c r="BE576" s="16">
        <f>(BA576+BC576)</f>
        <v/>
      </c>
    </row>
    <row r="577" ht="22.5" customFormat="1" customHeight="1" s="8">
      <c r="A577" s="9" t="n"/>
      <c r="B577" s="136" t="inlineStr">
        <is>
          <t>완제품</t>
        </is>
      </c>
      <c r="C577" s="137" t="inlineStr">
        <is>
          <t>공용</t>
        </is>
      </c>
      <c r="D577" s="63" t="inlineStr">
        <is>
          <t>체스트 &amp; 베드 조인트 암</t>
        </is>
      </c>
      <c r="E577" s="13" t="n"/>
      <c r="F577" s="99" t="n"/>
      <c r="G577" s="9" t="n"/>
      <c r="H577" s="9" t="inlineStr">
        <is>
          <t>로움텍</t>
        </is>
      </c>
      <c r="I577" s="14" t="n"/>
      <c r="J577" s="14" t="n"/>
      <c r="K577" s="12" t="n"/>
      <c r="L577" s="9" t="n"/>
      <c r="M577" s="9" t="n"/>
      <c r="N577" s="9" t="n"/>
      <c r="O577" s="40">
        <f>K577+V577-AE577-AZ577</f>
        <v/>
      </c>
      <c r="P577" s="12" t="n"/>
      <c r="Q577" s="138" t="n"/>
      <c r="R577" s="16" t="n"/>
      <c r="S577" s="139" t="n"/>
      <c r="T577" s="16" t="n"/>
      <c r="U577" s="139" t="n"/>
      <c r="V577" s="16">
        <f>P577+R577+T577</f>
        <v/>
      </c>
      <c r="W577" s="16" t="n"/>
      <c r="X577" s="139" t="n"/>
      <c r="Y577" s="16" t="n"/>
      <c r="Z577" s="139" t="n"/>
      <c r="AA577" s="16" t="n"/>
      <c r="AB577" s="139" t="n"/>
      <c r="AC577" s="16" t="n"/>
      <c r="AD577" s="139" t="n"/>
      <c r="AE577" s="16">
        <f>(W577+Y577+AA577+AC577)</f>
        <v/>
      </c>
      <c r="AF577" s="16" t="n"/>
      <c r="AG577" s="138" t="n"/>
      <c r="AH577" s="16" t="n"/>
      <c r="AI577" s="138" t="n"/>
      <c r="AJ577" s="16" t="n"/>
      <c r="AK577" s="138" t="n"/>
      <c r="AL577" s="16" t="n"/>
      <c r="AM577" s="138" t="n"/>
      <c r="AN577" s="16" t="n"/>
      <c r="AO577" s="138" t="n"/>
      <c r="AP577" s="16" t="n"/>
      <c r="AQ577" s="138" t="n"/>
      <c r="AR577" s="16" t="n"/>
      <c r="AS577" s="138" t="n"/>
      <c r="AT577" s="16" t="n"/>
      <c r="AU577" s="138" t="n"/>
      <c r="AV577" s="16" t="n"/>
      <c r="AW577" s="138" t="n"/>
      <c r="AX577" s="16" t="n"/>
      <c r="AY577" s="138" t="n"/>
      <c r="AZ577" s="16">
        <f>AF577+AH577+AJ577+AL577+AN577+AP577+AR577+AT577+AV577+AX577</f>
        <v/>
      </c>
      <c r="BA577" s="16" t="n"/>
      <c r="BB577" s="139" t="n"/>
      <c r="BC577" s="16" t="n"/>
      <c r="BD577" s="139" t="n"/>
      <c r="BE577" s="16">
        <f>(BA577+BC577)</f>
        <v/>
      </c>
    </row>
    <row r="578" ht="22.5" customFormat="1" customHeight="1" s="8">
      <c r="A578" s="9" t="n"/>
      <c r="B578" s="136" t="inlineStr">
        <is>
          <t>완제품</t>
        </is>
      </c>
      <c r="C578" s="137" t="inlineStr">
        <is>
          <t>공용</t>
        </is>
      </c>
      <c r="D578" s="63" t="inlineStr">
        <is>
          <t>체스트 &amp; 베드 픽스 블럭 A, B (육각 렌치 3, 5)</t>
        </is>
      </c>
      <c r="E578" s="13" t="n"/>
      <c r="F578" s="99" t="n"/>
      <c r="G578" s="9" t="n"/>
      <c r="H578" s="9" t="inlineStr">
        <is>
          <t>로움텍</t>
        </is>
      </c>
      <c r="I578" s="14" t="n"/>
      <c r="J578" s="14" t="n"/>
      <c r="K578" s="12" t="n"/>
      <c r="L578" s="9" t="n"/>
      <c r="M578" s="9" t="n"/>
      <c r="N578" s="9" t="n"/>
      <c r="O578" s="40">
        <f>K578+V578-AE578-AZ578</f>
        <v/>
      </c>
      <c r="P578" s="12" t="n"/>
      <c r="Q578" s="138" t="n"/>
      <c r="R578" s="16" t="n"/>
      <c r="S578" s="139" t="n"/>
      <c r="T578" s="16" t="n"/>
      <c r="U578" s="139" t="n"/>
      <c r="V578" s="16">
        <f>P578+R578+T578</f>
        <v/>
      </c>
      <c r="W578" s="16" t="n"/>
      <c r="X578" s="139" t="n"/>
      <c r="Y578" s="16" t="n"/>
      <c r="Z578" s="139" t="n"/>
      <c r="AA578" s="16" t="n"/>
      <c r="AB578" s="139" t="n"/>
      <c r="AC578" s="16" t="n"/>
      <c r="AD578" s="139" t="n"/>
      <c r="AE578" s="16">
        <f>(W578+Y578+AA578+AC578)</f>
        <v/>
      </c>
      <c r="AF578" s="16" t="n"/>
      <c r="AG578" s="138" t="n"/>
      <c r="AH578" s="16" t="n"/>
      <c r="AI578" s="138" t="n"/>
      <c r="AJ578" s="16" t="n"/>
      <c r="AK578" s="138" t="n"/>
      <c r="AL578" s="16" t="n"/>
      <c r="AM578" s="138" t="n"/>
      <c r="AN578" s="16" t="n"/>
      <c r="AO578" s="138" t="n"/>
      <c r="AP578" s="16" t="n"/>
      <c r="AQ578" s="138" t="n"/>
      <c r="AR578" s="16" t="n"/>
      <c r="AS578" s="138" t="n"/>
      <c r="AT578" s="16" t="n"/>
      <c r="AU578" s="138" t="n"/>
      <c r="AV578" s="16" t="n"/>
      <c r="AW578" s="138" t="n"/>
      <c r="AX578" s="16" t="n"/>
      <c r="AY578" s="138" t="n"/>
      <c r="AZ578" s="16">
        <f>AF578+AH578+AJ578+AL578+AN578+AP578+AR578+AT578+AV578+AX578</f>
        <v/>
      </c>
      <c r="BA578" s="16" t="n"/>
      <c r="BB578" s="139" t="n"/>
      <c r="BC578" s="16" t="n"/>
      <c r="BD578" s="139" t="n"/>
      <c r="BE578" s="16">
        <f>(BA578+BC578)</f>
        <v/>
      </c>
    </row>
    <row r="579" ht="22.5" customFormat="1" customHeight="1" s="8">
      <c r="A579" s="9" t="n"/>
      <c r="B579" s="136" t="inlineStr">
        <is>
          <t>완제품</t>
        </is>
      </c>
      <c r="C579" s="137" t="inlineStr">
        <is>
          <t>공용</t>
        </is>
      </c>
      <c r="D579" s="60" t="inlineStr">
        <is>
          <t>접이식 스탠드 SET</t>
        </is>
      </c>
      <c r="E579" s="13" t="inlineStr">
        <is>
          <t>정형외과용</t>
        </is>
      </c>
      <c r="F579" s="99" t="n"/>
      <c r="G579" s="9" t="n"/>
      <c r="H579" s="9" t="inlineStr">
        <is>
          <t>로움텍</t>
        </is>
      </c>
      <c r="I579" s="14" t="n"/>
      <c r="J579" s="14" t="n"/>
      <c r="K579" s="12" t="n"/>
      <c r="L579" s="9" t="n"/>
      <c r="M579" s="9" t="n"/>
      <c r="N579" s="9" t="n"/>
      <c r="O579" s="40">
        <f>K579+V579-AE579-AZ579</f>
        <v/>
      </c>
      <c r="P579" s="12" t="n"/>
      <c r="Q579" s="138" t="n"/>
      <c r="R579" s="16" t="n"/>
      <c r="S579" s="139" t="n"/>
      <c r="T579" s="16" t="n"/>
      <c r="U579" s="139" t="n"/>
      <c r="V579" s="16">
        <f>P579+R579+T579</f>
        <v/>
      </c>
      <c r="W579" s="16" t="n"/>
      <c r="X579" s="139" t="n"/>
      <c r="Y579" s="16" t="n"/>
      <c r="Z579" s="139" t="n"/>
      <c r="AA579" s="16" t="n"/>
      <c r="AB579" s="139" t="n"/>
      <c r="AC579" s="16" t="n"/>
      <c r="AD579" s="139" t="n"/>
      <c r="AE579" s="16">
        <f>(W579+Y579+AA579+AC579)</f>
        <v/>
      </c>
      <c r="AF579" s="16" t="n"/>
      <c r="AG579" s="138" t="n"/>
      <c r="AH579" s="16" t="n"/>
      <c r="AI579" s="138" t="n"/>
      <c r="AJ579" s="16" t="n"/>
      <c r="AK579" s="138" t="n"/>
      <c r="AL579" s="16" t="n"/>
      <c r="AM579" s="138" t="n"/>
      <c r="AN579" s="16" t="n"/>
      <c r="AO579" s="138" t="n"/>
      <c r="AP579" s="16" t="n"/>
      <c r="AQ579" s="138" t="n"/>
      <c r="AR579" s="16" t="n"/>
      <c r="AS579" s="138" t="n"/>
      <c r="AT579" s="16" t="n"/>
      <c r="AU579" s="138" t="n"/>
      <c r="AV579" s="16" t="n"/>
      <c r="AW579" s="138" t="n"/>
      <c r="AX579" s="16" t="n"/>
      <c r="AY579" s="138" t="n"/>
      <c r="AZ579" s="16">
        <f>AF579+AH579+AJ579+AL579+AN579+AP579+AR579+AT579+AV579+AX579</f>
        <v/>
      </c>
      <c r="BA579" s="16" t="n"/>
      <c r="BB579" s="139" t="n"/>
      <c r="BC579" s="16" t="n"/>
      <c r="BD579" s="139" t="n"/>
      <c r="BE579" s="16">
        <f>(BA579+BC579)</f>
        <v/>
      </c>
    </row>
    <row r="580" ht="22.5" customFormat="1" customHeight="1" s="8">
      <c r="A580" s="9" t="n"/>
      <c r="B580" s="136" t="inlineStr">
        <is>
          <t>유선리모콘</t>
        </is>
      </c>
      <c r="C580" s="137" t="inlineStr">
        <is>
          <t>공용</t>
        </is>
      </c>
      <c r="D580" s="60" t="inlineStr">
        <is>
          <t>REMOTE CONTROL</t>
        </is>
      </c>
      <c r="E580" s="13" t="inlineStr">
        <is>
          <t>RW20, 3m  + 샘플 1EA</t>
        </is>
      </c>
      <c r="F580" s="99" t="n"/>
      <c r="G580" s="9" t="n"/>
      <c r="H580" s="9" t="inlineStr">
        <is>
          <t>중국</t>
        </is>
      </c>
      <c r="I580" s="14" t="n"/>
      <c r="J580" s="14" t="n"/>
      <c r="K580" s="12" t="n">
        <v>248</v>
      </c>
      <c r="L580" s="9" t="n"/>
      <c r="M580" s="9" t="n"/>
      <c r="N580" s="9" t="n"/>
      <c r="O580" s="40">
        <f>K580+V580-AE580-AZ580</f>
        <v/>
      </c>
      <c r="P580" s="12" t="n"/>
      <c r="Q580" s="138" t="n"/>
      <c r="R580" s="16" t="n"/>
      <c r="S580" s="139" t="n"/>
      <c r="T580" s="16" t="n"/>
      <c r="U580" s="139" t="n"/>
      <c r="V580" s="16">
        <f>P580+R580+T580</f>
        <v/>
      </c>
      <c r="W580" s="16" t="n"/>
      <c r="X580" s="139" t="n"/>
      <c r="Y580" s="16" t="n"/>
      <c r="Z580" s="139" t="n"/>
      <c r="AA580" s="16" t="n"/>
      <c r="AB580" s="139" t="n"/>
      <c r="AC580" s="16" t="n"/>
      <c r="AD580" s="139" t="n"/>
      <c r="AE580" s="16">
        <f>(W580+Y580+AA580+AC580)</f>
        <v/>
      </c>
      <c r="AF580" s="16" t="n"/>
      <c r="AG580" s="138" t="n"/>
      <c r="AH580" s="16" t="n"/>
      <c r="AI580" s="138" t="n"/>
      <c r="AJ580" s="16" t="n"/>
      <c r="AK580" s="138" t="n"/>
      <c r="AL580" s="16" t="n"/>
      <c r="AM580" s="138" t="n"/>
      <c r="AN580" s="16" t="n"/>
      <c r="AO580" s="138" t="n"/>
      <c r="AP580" s="16" t="n"/>
      <c r="AQ580" s="138" t="n"/>
      <c r="AR580" s="16" t="n"/>
      <c r="AS580" s="138" t="n"/>
      <c r="AT580" s="16" t="n"/>
      <c r="AU580" s="138" t="n"/>
      <c r="AV580" s="16" t="n"/>
      <c r="AW580" s="138" t="n"/>
      <c r="AX580" s="16" t="n"/>
      <c r="AY580" s="138" t="n"/>
      <c r="AZ580" s="16">
        <f>AF580+AH580+AJ580+AL580+AN580+AP580+AR580+AT580+AV580+AX580</f>
        <v/>
      </c>
      <c r="BA580" s="16" t="n"/>
      <c r="BB580" s="139" t="n"/>
      <c r="BC580" s="16" t="n"/>
      <c r="BD580" s="139" t="n"/>
      <c r="BE580" s="16">
        <f>(BA580+BC580)</f>
        <v/>
      </c>
    </row>
    <row r="581" ht="22.5" customFormat="1" customHeight="1" s="8">
      <c r="A581" s="9" t="n"/>
      <c r="B581" s="136" t="inlineStr">
        <is>
          <t>유선리모콘</t>
        </is>
      </c>
      <c r="C581" s="137" t="inlineStr">
        <is>
          <t>공용</t>
        </is>
      </c>
      <c r="D581" s="60" t="inlineStr">
        <is>
          <t>FOOT SWITCH</t>
        </is>
      </c>
      <c r="E581" s="13" t="n"/>
      <c r="F581" s="99" t="n"/>
      <c r="G581" s="9" t="n"/>
      <c r="H581" s="9" t="inlineStr">
        <is>
          <t>직구</t>
        </is>
      </c>
      <c r="I581" s="14" t="n"/>
      <c r="J581" s="14" t="n"/>
      <c r="K581" s="12" t="n"/>
      <c r="L581" s="9" t="n"/>
      <c r="M581" s="9" t="n"/>
      <c r="N581" s="9" t="n"/>
      <c r="O581" s="40">
        <f>K581+V581-AE581-AZ581</f>
        <v/>
      </c>
      <c r="P581" s="12" t="n"/>
      <c r="Q581" s="138" t="n"/>
      <c r="R581" s="16" t="n"/>
      <c r="S581" s="139" t="n"/>
      <c r="T581" s="16" t="n"/>
      <c r="U581" s="139" t="n"/>
      <c r="V581" s="16">
        <f>P581+R581+T581</f>
        <v/>
      </c>
      <c r="W581" s="16" t="n"/>
      <c r="X581" s="139" t="n"/>
      <c r="Y581" s="16" t="n"/>
      <c r="Z581" s="139" t="n"/>
      <c r="AA581" s="16" t="n"/>
      <c r="AB581" s="139" t="n"/>
      <c r="AC581" s="16" t="n"/>
      <c r="AD581" s="139" t="n"/>
      <c r="AE581" s="16">
        <f>(W581+Y581+AA581+AC581)</f>
        <v/>
      </c>
      <c r="AF581" s="16" t="n"/>
      <c r="AG581" s="138" t="n"/>
      <c r="AH581" s="16" t="n"/>
      <c r="AI581" s="138" t="n"/>
      <c r="AJ581" s="16" t="n"/>
      <c r="AK581" s="138" t="n"/>
      <c r="AL581" s="16" t="n"/>
      <c r="AM581" s="138" t="n"/>
      <c r="AN581" s="16" t="n"/>
      <c r="AO581" s="138" t="n"/>
      <c r="AP581" s="16" t="n"/>
      <c r="AQ581" s="138" t="n"/>
      <c r="AR581" s="16" t="n"/>
      <c r="AS581" s="138" t="n"/>
      <c r="AT581" s="16" t="n"/>
      <c r="AU581" s="138" t="n"/>
      <c r="AV581" s="16" t="n"/>
      <c r="AW581" s="138" t="n"/>
      <c r="AX581" s="16" t="n"/>
      <c r="AY581" s="138" t="n"/>
      <c r="AZ581" s="16">
        <f>AF581+AH581+AJ581+AL581+AN581+AP581+AR581+AT581+AV581+AX581</f>
        <v/>
      </c>
      <c r="BA581" s="16" t="n"/>
      <c r="BB581" s="139" t="n"/>
      <c r="BC581" s="16" t="n"/>
      <c r="BD581" s="139" t="n"/>
      <c r="BE581" s="16">
        <f>(BA581+BC581)</f>
        <v/>
      </c>
    </row>
    <row r="582" ht="22.5" customFormat="1" customHeight="1" s="8">
      <c r="A582" s="9" t="n"/>
      <c r="B582" s="136" t="inlineStr">
        <is>
          <t>스위치</t>
        </is>
      </c>
      <c r="C582" s="137" t="inlineStr">
        <is>
          <t>공용</t>
        </is>
      </c>
      <c r="D582" s="60" t="inlineStr">
        <is>
          <t>리드스위치</t>
        </is>
      </c>
      <c r="E582" s="13" t="n"/>
      <c r="F582" s="99" t="n"/>
      <c r="G582" s="9" t="n"/>
      <c r="H582" s="9" t="inlineStr">
        <is>
          <t>HLP</t>
        </is>
      </c>
      <c r="I582" s="14" t="n"/>
      <c r="J582" s="14" t="n"/>
      <c r="K582" s="12" t="n"/>
      <c r="L582" s="9" t="n"/>
      <c r="M582" s="9" t="n"/>
      <c r="N582" s="9" t="n"/>
      <c r="O582" s="40">
        <f>K582+V582-AE582-AZ582</f>
        <v/>
      </c>
      <c r="P582" s="12" t="n"/>
      <c r="Q582" s="138" t="n"/>
      <c r="R582" s="16" t="n"/>
      <c r="S582" s="139" t="n"/>
      <c r="T582" s="16" t="n"/>
      <c r="U582" s="139" t="n"/>
      <c r="V582" s="16">
        <f>P582+R582+T582</f>
        <v/>
      </c>
      <c r="W582" s="16" t="n"/>
      <c r="X582" s="139" t="n"/>
      <c r="Y582" s="16" t="n"/>
      <c r="Z582" s="139" t="n"/>
      <c r="AA582" s="16" t="n"/>
      <c r="AB582" s="139" t="n"/>
      <c r="AC582" s="16" t="n"/>
      <c r="AD582" s="139" t="n"/>
      <c r="AE582" s="16">
        <f>(W582+Y582+AA582+AC582)</f>
        <v/>
      </c>
      <c r="AF582" s="16" t="n"/>
      <c r="AG582" s="138" t="n"/>
      <c r="AH582" s="16" t="n"/>
      <c r="AI582" s="138" t="n"/>
      <c r="AJ582" s="16" t="n"/>
      <c r="AK582" s="138" t="n"/>
      <c r="AL582" s="16" t="n"/>
      <c r="AM582" s="138" t="n"/>
      <c r="AN582" s="16" t="n"/>
      <c r="AO582" s="138" t="n"/>
      <c r="AP582" s="16" t="n"/>
      <c r="AQ582" s="138" t="n"/>
      <c r="AR582" s="16" t="n"/>
      <c r="AS582" s="138" t="n"/>
      <c r="AT582" s="16" t="n"/>
      <c r="AU582" s="138" t="n"/>
      <c r="AV582" s="16" t="n"/>
      <c r="AW582" s="138" t="n"/>
      <c r="AX582" s="16" t="n"/>
      <c r="AY582" s="138" t="n"/>
      <c r="AZ582" s="16">
        <f>AF582+AH582+AJ582+AL582+AN582+AP582+AR582+AT582+AV582+AX582</f>
        <v/>
      </c>
      <c r="BA582" s="16" t="n"/>
      <c r="BB582" s="139" t="n"/>
      <c r="BC582" s="16" t="n"/>
      <c r="BD582" s="139" t="n"/>
      <c r="BE582" s="16">
        <f>(BA582+BC582)</f>
        <v/>
      </c>
    </row>
    <row r="583" ht="22.5" customFormat="1" customHeight="1" s="8">
      <c r="A583" s="9" t="n"/>
      <c r="B583" s="136" t="inlineStr">
        <is>
          <t>오링</t>
        </is>
      </c>
      <c r="C583" s="137" t="inlineStr">
        <is>
          <t>공용</t>
        </is>
      </c>
      <c r="D583" s="63" t="inlineStr">
        <is>
          <t>쉴드 오링</t>
        </is>
      </c>
      <c r="E583" s="13" t="inlineStr">
        <is>
          <t>AN-036, 60∮</t>
        </is>
      </c>
      <c r="F583" s="99" t="n"/>
      <c r="G583" s="9" t="n"/>
      <c r="H583" s="9" t="inlineStr">
        <is>
          <t>직구</t>
        </is>
      </c>
      <c r="I583" s="14" t="n"/>
      <c r="J583" s="14" t="n"/>
      <c r="K583" s="12" t="n"/>
      <c r="L583" s="9" t="n"/>
      <c r="M583" s="9" t="n"/>
      <c r="N583" s="9" t="n"/>
      <c r="O583" s="40">
        <f>K583+V583-AE583-AZ583</f>
        <v/>
      </c>
      <c r="P583" s="12" t="n"/>
      <c r="Q583" s="138" t="n"/>
      <c r="R583" s="16" t="n"/>
      <c r="S583" s="139" t="n"/>
      <c r="T583" s="16" t="n"/>
      <c r="U583" s="139" t="n"/>
      <c r="V583" s="16">
        <f>P583+R583+T583</f>
        <v/>
      </c>
      <c r="W583" s="16" t="n"/>
      <c r="X583" s="139" t="n"/>
      <c r="Y583" s="16" t="n"/>
      <c r="Z583" s="139" t="n"/>
      <c r="AA583" s="16" t="n"/>
      <c r="AB583" s="139" t="n"/>
      <c r="AC583" s="16" t="n"/>
      <c r="AD583" s="139" t="n"/>
      <c r="AE583" s="16">
        <f>(W583+Y583+AA583+AC583)</f>
        <v/>
      </c>
      <c r="AF583" s="16" t="n"/>
      <c r="AG583" s="138" t="n"/>
      <c r="AH583" s="16" t="n"/>
      <c r="AI583" s="138" t="n"/>
      <c r="AJ583" s="16" t="n"/>
      <c r="AK583" s="138" t="n"/>
      <c r="AL583" s="16" t="n"/>
      <c r="AM583" s="138" t="n"/>
      <c r="AN583" s="16" t="n"/>
      <c r="AO583" s="138" t="n"/>
      <c r="AP583" s="16" t="n"/>
      <c r="AQ583" s="138" t="n"/>
      <c r="AR583" s="16" t="n"/>
      <c r="AS583" s="138" t="n"/>
      <c r="AT583" s="16" t="n"/>
      <c r="AU583" s="138" t="n"/>
      <c r="AV583" s="16" t="n"/>
      <c r="AW583" s="138" t="n"/>
      <c r="AX583" s="16" t="n"/>
      <c r="AY583" s="138" t="n"/>
      <c r="AZ583" s="16">
        <f>AF583+AH583+AJ583+AL583+AN583+AP583+AR583+AT583+AV583+AX583</f>
        <v/>
      </c>
      <c r="BA583" s="16" t="n"/>
      <c r="BB583" s="139" t="n"/>
      <c r="BC583" s="16" t="n"/>
      <c r="BD583" s="139" t="n"/>
      <c r="BE583" s="16">
        <f>(BA583+BC583)</f>
        <v/>
      </c>
    </row>
    <row r="584" ht="22.5" customFormat="1" customHeight="1" s="8">
      <c r="A584" s="9" t="n"/>
      <c r="B584" s="136" t="inlineStr">
        <is>
          <t>라벨</t>
        </is>
      </c>
      <c r="C584" s="137" t="inlineStr">
        <is>
          <t>ADX4000W</t>
        </is>
      </c>
      <c r="D584" s="90" t="inlineStr">
        <is>
          <t>OS라이센서 라벨</t>
        </is>
      </c>
      <c r="E584" s="13" t="inlineStr">
        <is>
          <t>Windows Embedded Standard 7 "E"</t>
        </is>
      </c>
      <c r="F584" s="99" t="n"/>
      <c r="G584" s="9" t="n"/>
      <c r="H584" s="9" t="inlineStr">
        <is>
          <t>한컴MDS</t>
        </is>
      </c>
      <c r="I584" s="14" t="n"/>
      <c r="J584" s="14" t="n"/>
      <c r="K584" s="12" t="n"/>
      <c r="L584" s="9" t="n"/>
      <c r="M584" s="9" t="n"/>
      <c r="N584" s="9" t="n"/>
      <c r="O584" s="40">
        <f>K584+V584-AE584-AZ584</f>
        <v/>
      </c>
      <c r="P584" s="12" t="n"/>
      <c r="Q584" s="138" t="n"/>
      <c r="R584" s="16" t="n"/>
      <c r="S584" s="139" t="n"/>
      <c r="T584" s="16" t="n"/>
      <c r="U584" s="139" t="n"/>
      <c r="V584" s="16">
        <f>P584+R584+T584</f>
        <v/>
      </c>
      <c r="W584" s="16" t="n"/>
      <c r="X584" s="139" t="n"/>
      <c r="Y584" s="16" t="n"/>
      <c r="Z584" s="139" t="n"/>
      <c r="AA584" s="16" t="n"/>
      <c r="AB584" s="139" t="n"/>
      <c r="AC584" s="16" t="n"/>
      <c r="AD584" s="139" t="n"/>
      <c r="AE584" s="16">
        <f>(W584+Y584+AA584+AC584)</f>
        <v/>
      </c>
      <c r="AF584" s="16" t="n"/>
      <c r="AG584" s="138" t="n"/>
      <c r="AH584" s="16" t="n"/>
      <c r="AI584" s="138" t="n"/>
      <c r="AJ584" s="16" t="n"/>
      <c r="AK584" s="138" t="n"/>
      <c r="AL584" s="16" t="n"/>
      <c r="AM584" s="138" t="n"/>
      <c r="AN584" s="16" t="n"/>
      <c r="AO584" s="138" t="n"/>
      <c r="AP584" s="16" t="n"/>
      <c r="AQ584" s="138" t="n"/>
      <c r="AR584" s="16" t="n"/>
      <c r="AS584" s="138" t="n"/>
      <c r="AT584" s="16" t="n"/>
      <c r="AU584" s="138" t="n"/>
      <c r="AV584" s="16" t="n"/>
      <c r="AW584" s="138" t="n"/>
      <c r="AX584" s="16" t="n"/>
      <c r="AY584" s="138" t="n"/>
      <c r="AZ584" s="16">
        <f>AF584+AH584+AJ584+AL584+AN584+AP584+AR584+AT584+AV584+AX584</f>
        <v/>
      </c>
      <c r="BA584" s="16" t="n"/>
      <c r="BB584" s="139" t="n"/>
      <c r="BC584" s="16" t="n"/>
      <c r="BD584" s="139" t="n"/>
      <c r="BE584" s="16">
        <f>(BA584+BC584)</f>
        <v/>
      </c>
    </row>
    <row r="585" ht="22.5" customFormat="1" customHeight="1" s="8">
      <c r="A585" s="9" t="n"/>
      <c r="B585" s="136" t="inlineStr">
        <is>
          <t>실리콘</t>
        </is>
      </c>
      <c r="C585" s="137" t="inlineStr">
        <is>
          <t>DX3000</t>
        </is>
      </c>
      <c r="D585" s="60" t="inlineStr">
        <is>
          <t>실리콘 캡</t>
        </is>
      </c>
      <c r="E585" s="13" t="inlineStr">
        <is>
          <t>LSR 투명 실리콘</t>
        </is>
      </c>
      <c r="F585" s="99" t="n"/>
      <c r="G585" s="9" t="n"/>
      <c r="H585" s="9" t="inlineStr">
        <is>
          <t>가연테크</t>
        </is>
      </c>
      <c r="I585" s="14" t="n"/>
      <c r="J585" s="14" t="n"/>
      <c r="K585" s="12" t="n">
        <v>1000</v>
      </c>
      <c r="L585" s="9" t="n"/>
      <c r="M585" s="9" t="n"/>
      <c r="N585" s="9" t="n"/>
      <c r="O585" s="40">
        <f>K585+V585-AE585-AZ585</f>
        <v/>
      </c>
      <c r="P585" s="12" t="n"/>
      <c r="Q585" s="138" t="n"/>
      <c r="R585" s="16" t="n"/>
      <c r="S585" s="139" t="n"/>
      <c r="T585" s="16" t="n"/>
      <c r="U585" s="139" t="n"/>
      <c r="V585" s="16">
        <f>P585+R585+T585</f>
        <v/>
      </c>
      <c r="W585" s="16" t="n"/>
      <c r="X585" s="139" t="n"/>
      <c r="Y585" s="16" t="n"/>
      <c r="Z585" s="139" t="n"/>
      <c r="AA585" s="16" t="n"/>
      <c r="AB585" s="139" t="n"/>
      <c r="AC585" s="16" t="n"/>
      <c r="AD585" s="139" t="n"/>
      <c r="AE585" s="16">
        <f>(W585+Y585+AA585+AC585)</f>
        <v/>
      </c>
      <c r="AF585" s="16" t="n"/>
      <c r="AG585" s="138" t="n"/>
      <c r="AH585" s="16" t="n"/>
      <c r="AI585" s="138" t="n"/>
      <c r="AJ585" s="16" t="n"/>
      <c r="AK585" s="138" t="n"/>
      <c r="AL585" s="16" t="n"/>
      <c r="AM585" s="138" t="n"/>
      <c r="AN585" s="16" t="n"/>
      <c r="AO585" s="138" t="n"/>
      <c r="AP585" s="16" t="n"/>
      <c r="AQ585" s="138" t="n"/>
      <c r="AR585" s="16" t="n"/>
      <c r="AS585" s="138" t="n"/>
      <c r="AT585" s="16" t="n"/>
      <c r="AU585" s="138" t="n"/>
      <c r="AV585" s="16" t="n"/>
      <c r="AW585" s="138" t="n"/>
      <c r="AX585" s="16" t="n"/>
      <c r="AY585" s="138" t="n"/>
      <c r="AZ585" s="16">
        <f>AF585+AH585+AJ585+AL585+AN585+AP585+AR585+AT585+AV585+AX585</f>
        <v/>
      </c>
      <c r="BA585" s="16" t="n"/>
      <c r="BB585" s="139" t="n"/>
      <c r="BC585" s="16" t="n"/>
      <c r="BD585" s="139" t="n"/>
      <c r="BE585" s="16">
        <f>(BA585+BC585)</f>
        <v/>
      </c>
    </row>
    <row r="586" ht="22.5" customFormat="1" customHeight="1" s="8">
      <c r="A586" s="9" t="n"/>
      <c r="B586" s="136" t="inlineStr">
        <is>
          <t>작은 콘덴서</t>
        </is>
      </c>
      <c r="C586" s="137" t="inlineStr">
        <is>
          <t>COCOON</t>
        </is>
      </c>
      <c r="D586" s="60" t="inlineStr">
        <is>
          <t>LC-2G</t>
        </is>
      </c>
      <c r="E586" s="13" t="inlineStr">
        <is>
          <t>TEST POINT BLACK</t>
        </is>
      </c>
      <c r="F586" s="99" t="n"/>
      <c r="G586" s="9" t="n"/>
      <c r="H586" s="9" t="inlineStr">
        <is>
          <t>HLP</t>
        </is>
      </c>
      <c r="I586" s="14" t="n"/>
      <c r="J586" s="14" t="n"/>
      <c r="K586" s="12" t="n">
        <v>1000</v>
      </c>
      <c r="L586" s="9" t="n"/>
      <c r="M586" s="9" t="n"/>
      <c r="N586" s="9" t="n"/>
      <c r="O586" s="40">
        <f>K586+V586-AE586-AZ586</f>
        <v/>
      </c>
      <c r="P586" s="12" t="n"/>
      <c r="Q586" s="138" t="n"/>
      <c r="R586" s="16" t="n"/>
      <c r="S586" s="139" t="n"/>
      <c r="T586" s="16" t="n"/>
      <c r="U586" s="139" t="n"/>
      <c r="V586" s="16">
        <f>P586+R586+T586</f>
        <v/>
      </c>
      <c r="W586" s="16" t="n"/>
      <c r="X586" s="139" t="n"/>
      <c r="Y586" s="16" t="n"/>
      <c r="Z586" s="139" t="n"/>
      <c r="AA586" s="16" t="n"/>
      <c r="AB586" s="139" t="n"/>
      <c r="AC586" s="16" t="n"/>
      <c r="AD586" s="139" t="n"/>
      <c r="AE586" s="16">
        <f>(W586+Y586+AA586+AC586)</f>
        <v/>
      </c>
      <c r="AF586" s="16" t="n"/>
      <c r="AG586" s="138" t="n"/>
      <c r="AH586" s="16" t="n"/>
      <c r="AI586" s="138" t="n"/>
      <c r="AJ586" s="16" t="n"/>
      <c r="AK586" s="138" t="n"/>
      <c r="AL586" s="16" t="n"/>
      <c r="AM586" s="138" t="n"/>
      <c r="AN586" s="16" t="n"/>
      <c r="AO586" s="138" t="n"/>
      <c r="AP586" s="16" t="n"/>
      <c r="AQ586" s="138" t="n"/>
      <c r="AR586" s="16" t="n"/>
      <c r="AS586" s="138" t="n"/>
      <c r="AT586" s="16" t="n"/>
      <c r="AU586" s="138" t="n"/>
      <c r="AV586" s="16" t="n"/>
      <c r="AW586" s="138" t="n"/>
      <c r="AX586" s="16" t="n"/>
      <c r="AY586" s="138" t="n"/>
      <c r="AZ586" s="16" t="n"/>
      <c r="BA586" s="16" t="n"/>
      <c r="BB586" s="139" t="n"/>
      <c r="BC586" s="16" t="n"/>
      <c r="BD586" s="139" t="n"/>
      <c r="BE586" s="16" t="n"/>
    </row>
    <row r="587" ht="22.5" customFormat="1" customHeight="1" s="8">
      <c r="A587" s="9" t="n"/>
      <c r="B587" s="151" t="n"/>
      <c r="C587" s="152" t="n"/>
      <c r="D587" s="92" t="n"/>
      <c r="E587" s="51" t="n"/>
      <c r="F587" s="52" t="n"/>
      <c r="G587" s="49" t="n"/>
      <c r="H587" s="49" t="n"/>
      <c r="I587" s="53" t="n"/>
      <c r="J587" s="53" t="n"/>
      <c r="K587" s="12" t="n"/>
      <c r="L587" s="49" t="n"/>
      <c r="M587" s="49" t="n"/>
      <c r="N587" s="49" t="n"/>
      <c r="O587" s="153" t="n"/>
      <c r="P587" s="52" t="n"/>
      <c r="Q587" s="154" t="n"/>
      <c r="R587" s="58" t="n"/>
      <c r="S587" s="155" t="n"/>
      <c r="T587" s="58" t="n"/>
      <c r="U587" s="155" t="n"/>
      <c r="V587" s="58" t="n"/>
      <c r="W587" s="58" t="n"/>
      <c r="X587" s="155" t="n"/>
      <c r="Y587" s="58" t="n"/>
      <c r="Z587" s="155" t="n"/>
      <c r="AA587" s="58" t="n"/>
      <c r="AB587" s="155" t="n"/>
      <c r="AC587" s="58" t="n"/>
      <c r="AD587" s="155" t="n"/>
      <c r="AE587" s="58" t="n"/>
      <c r="AF587" s="58" t="n"/>
      <c r="AG587" s="154" t="n"/>
      <c r="AH587" s="58" t="n"/>
      <c r="AI587" s="154" t="n"/>
      <c r="AJ587" s="58" t="n"/>
      <c r="AK587" s="154" t="n"/>
      <c r="AL587" s="58" t="n"/>
      <c r="AM587" s="154" t="n"/>
      <c r="AN587" s="58" t="n"/>
      <c r="AO587" s="154" t="n"/>
      <c r="AP587" s="58" t="n"/>
      <c r="AQ587" s="154" t="n"/>
      <c r="AR587" s="58" t="n"/>
      <c r="AS587" s="154" t="n"/>
      <c r="AT587" s="58" t="n"/>
      <c r="AU587" s="154" t="n"/>
      <c r="AV587" s="58" t="n"/>
      <c r="AW587" s="154" t="n"/>
      <c r="AX587" s="58" t="n"/>
      <c r="AY587" s="154" t="n"/>
      <c r="AZ587" s="58" t="n"/>
      <c r="BA587" s="58" t="n"/>
      <c r="BB587" s="155" t="n"/>
      <c r="BC587" s="58" t="n"/>
      <c r="BD587" s="155" t="n"/>
      <c r="BE587" s="58" t="n"/>
    </row>
    <row r="588" ht="21.95" customFormat="1" customHeight="1" s="8">
      <c r="A588" s="9" t="n">
        <v>999</v>
      </c>
      <c r="B588" s="136" t="inlineStr">
        <is>
          <t>ABS 난연</t>
        </is>
      </c>
      <c r="C588" s="137" t="inlineStr">
        <is>
          <t>DX3000</t>
        </is>
      </c>
      <c r="D588" s="60" t="inlineStr">
        <is>
          <t>Battery Pack [21.0V 5셀]</t>
        </is>
      </c>
      <c r="E588" s="11" t="inlineStr">
        <is>
          <t xml:space="preserve">사급자재 </t>
        </is>
      </c>
      <c r="F588" s="12" t="n"/>
      <c r="G588" s="9" t="n"/>
      <c r="H588" s="9" t="inlineStr">
        <is>
          <t>천우</t>
        </is>
      </c>
      <c r="I588" s="14" t="n"/>
      <c r="J588" s="14" t="n"/>
      <c r="K588" s="12" t="n">
        <v>200</v>
      </c>
      <c r="L588" s="9" t="n"/>
      <c r="M588" s="9" t="n"/>
      <c r="N588" s="9" t="n"/>
      <c r="O588" s="40">
        <f>K588+V588-AE588-AZ588</f>
        <v/>
      </c>
      <c r="P588" s="12" t="n"/>
      <c r="Q588" s="138" t="n"/>
      <c r="R588" s="16" t="n"/>
      <c r="S588" s="139" t="n"/>
      <c r="T588" s="16" t="n"/>
      <c r="U588" s="139" t="n"/>
      <c r="V588" s="16">
        <f>P588+R588+T588</f>
        <v/>
      </c>
      <c r="W588" s="16" t="n"/>
      <c r="X588" s="139" t="n"/>
      <c r="Y588" s="16" t="n"/>
      <c r="Z588" s="139" t="n"/>
      <c r="AA588" s="16" t="n"/>
      <c r="AB588" s="139" t="n"/>
      <c r="AC588" s="16" t="n"/>
      <c r="AD588" s="139" t="n"/>
      <c r="AE588" s="16">
        <f>(W588+Y588+AA588+AC588)</f>
        <v/>
      </c>
      <c r="AF588" s="16" t="n"/>
      <c r="AG588" s="138" t="n"/>
      <c r="AH588" s="16" t="n"/>
      <c r="AI588" s="138" t="n"/>
      <c r="AJ588" s="16" t="n"/>
      <c r="AK588" s="138" t="n"/>
      <c r="AL588" s="16" t="n"/>
      <c r="AM588" s="138" t="n"/>
      <c r="AN588" s="16" t="n"/>
      <c r="AO588" s="138" t="n"/>
      <c r="AP588" s="16" t="n"/>
      <c r="AQ588" s="138" t="n"/>
      <c r="AR588" s="16" t="n"/>
      <c r="AS588" s="138" t="n"/>
      <c r="AT588" s="16" t="n"/>
      <c r="AU588" s="138" t="n"/>
      <c r="AV588" s="16" t="n"/>
      <c r="AW588" s="138" t="n"/>
      <c r="AX588" s="16" t="n"/>
      <c r="AY588" s="138" t="n"/>
      <c r="AZ588" s="16">
        <f>AF588+AH588+AJ588+AL588+AN588+AP588+AR588+AT588+AV588+AX588</f>
        <v/>
      </c>
      <c r="BA588" s="16" t="n"/>
      <c r="BB588" s="139" t="n"/>
      <c r="BC588" s="16" t="n"/>
      <c r="BD588" s="139" t="n"/>
      <c r="BE588" s="16">
        <f>(BA588+BC588)</f>
        <v/>
      </c>
    </row>
    <row r="589" ht="21.95" customFormat="1" customHeight="1" s="8">
      <c r="A589" s="9" t="n">
        <v>999</v>
      </c>
      <c r="B589" s="136" t="inlineStr">
        <is>
          <t>ABS 난연</t>
        </is>
      </c>
      <c r="C589" s="137" t="inlineStr">
        <is>
          <t>DX3000</t>
        </is>
      </c>
      <c r="D589" s="60" t="inlineStr">
        <is>
          <t>Battery Case</t>
        </is>
      </c>
      <c r="E589" s="11" t="inlineStr">
        <is>
          <t xml:space="preserve">사급자재 </t>
        </is>
      </c>
      <c r="F589" s="12" t="n"/>
      <c r="G589" s="9" t="n"/>
      <c r="H589" s="9" t="inlineStr">
        <is>
          <t>천우</t>
        </is>
      </c>
      <c r="I589" s="14" t="n"/>
      <c r="J589" s="14" t="n"/>
      <c r="K589" s="12" t="n"/>
      <c r="L589" s="9" t="n"/>
      <c r="M589" s="9" t="n"/>
      <c r="N589" s="9" t="n"/>
      <c r="O589" s="40">
        <f>K589+V589-AE589-AZ589</f>
        <v/>
      </c>
      <c r="P589" s="12" t="n"/>
      <c r="Q589" s="138" t="n"/>
      <c r="R589" s="16" t="n"/>
      <c r="S589" s="139" t="n"/>
      <c r="T589" s="16" t="n"/>
      <c r="U589" s="139" t="n"/>
      <c r="V589" s="16">
        <f>P589+R589+T589</f>
        <v/>
      </c>
      <c r="W589" s="16" t="n"/>
      <c r="X589" s="139" t="n"/>
      <c r="Y589" s="16" t="n"/>
      <c r="Z589" s="139" t="n"/>
      <c r="AA589" s="16" t="n"/>
      <c r="AB589" s="139" t="n"/>
      <c r="AC589" s="16" t="n"/>
      <c r="AD589" s="139" t="n"/>
      <c r="AE589" s="16">
        <f>(W589+Y589+AA589+AC589)</f>
        <v/>
      </c>
      <c r="AF589" s="16" t="n"/>
      <c r="AG589" s="138" t="n"/>
      <c r="AH589" s="16" t="n"/>
      <c r="AI589" s="138" t="n"/>
      <c r="AJ589" s="16" t="n"/>
      <c r="AK589" s="138" t="n"/>
      <c r="AL589" s="16" t="n"/>
      <c r="AM589" s="138" t="n"/>
      <c r="AN589" s="16" t="n"/>
      <c r="AO589" s="138" t="n"/>
      <c r="AP589" s="16" t="n"/>
      <c r="AQ589" s="138" t="n"/>
      <c r="AR589" s="16" t="n"/>
      <c r="AS589" s="138" t="n"/>
      <c r="AT589" s="16" t="n"/>
      <c r="AU589" s="138" t="n"/>
      <c r="AV589" s="16" t="n"/>
      <c r="AW589" s="138" t="n"/>
      <c r="AX589" s="16" t="n"/>
      <c r="AY589" s="138" t="n"/>
      <c r="AZ589" s="16">
        <f>AF589+AH589+AJ589+AL589+AN589+AP589+AR589+AT589+AV589+AX589</f>
        <v/>
      </c>
      <c r="BA589" s="16" t="n"/>
      <c r="BB589" s="139" t="n"/>
      <c r="BC589" s="16" t="n"/>
      <c r="BD589" s="139" t="n"/>
      <c r="BE589" s="16">
        <f>(BA589+BC589)</f>
        <v/>
      </c>
    </row>
    <row r="590" ht="21.95" customFormat="1" customHeight="1" s="8">
      <c r="A590" s="9" t="n">
        <v>999</v>
      </c>
      <c r="B590" s="136" t="inlineStr">
        <is>
          <t>ABS 난연</t>
        </is>
      </c>
      <c r="C590" s="137" t="inlineStr">
        <is>
          <t>DX3000</t>
        </is>
      </c>
      <c r="D590" s="60" t="inlineStr">
        <is>
          <t>Battery Pack Bottom</t>
        </is>
      </c>
      <c r="E590" s="11" t="inlineStr">
        <is>
          <t>사급자재 (블랙)</t>
        </is>
      </c>
      <c r="F590" s="12" t="n"/>
      <c r="G590" s="9" t="n"/>
      <c r="H590" s="9" t="inlineStr">
        <is>
          <t>천우</t>
        </is>
      </c>
      <c r="I590" s="14" t="n"/>
      <c r="J590" s="14" t="n"/>
      <c r="K590" s="12" t="n">
        <v>198</v>
      </c>
      <c r="L590" s="9" t="n"/>
      <c r="M590" s="9" t="n"/>
      <c r="N590" s="9" t="n"/>
      <c r="O590" s="40">
        <f>K590+V590-AE590-AZ590</f>
        <v/>
      </c>
      <c r="P590" s="12" t="n"/>
      <c r="Q590" s="138" t="n"/>
      <c r="R590" s="16" t="n"/>
      <c r="S590" s="139" t="n"/>
      <c r="T590" s="16" t="n"/>
      <c r="U590" s="139" t="n"/>
      <c r="V590" s="16">
        <f>P590+R590+T590</f>
        <v/>
      </c>
      <c r="W590" s="16" t="n"/>
      <c r="X590" s="139" t="n"/>
      <c r="Y590" s="16" t="n"/>
      <c r="Z590" s="139" t="n"/>
      <c r="AA590" s="16" t="n"/>
      <c r="AB590" s="139" t="n"/>
      <c r="AC590" s="16" t="n"/>
      <c r="AD590" s="139" t="n"/>
      <c r="AE590" s="16">
        <f>(W590+Y590+AA590+AC590)</f>
        <v/>
      </c>
      <c r="AF590" s="16" t="n"/>
      <c r="AG590" s="138" t="n"/>
      <c r="AH590" s="16" t="n"/>
      <c r="AI590" s="138" t="n"/>
      <c r="AJ590" s="16" t="n"/>
      <c r="AK590" s="138" t="n"/>
      <c r="AL590" s="16" t="n"/>
      <c r="AM590" s="138" t="n"/>
      <c r="AN590" s="16" t="n"/>
      <c r="AO590" s="138" t="n"/>
      <c r="AP590" s="16" t="n"/>
      <c r="AQ590" s="138" t="n"/>
      <c r="AR590" s="16" t="n"/>
      <c r="AS590" s="138" t="n"/>
      <c r="AT590" s="16" t="n"/>
      <c r="AU590" s="138" t="n"/>
      <c r="AV590" s="16" t="n"/>
      <c r="AW590" s="138" t="n"/>
      <c r="AX590" s="16" t="n"/>
      <c r="AY590" s="138" t="n"/>
      <c r="AZ590" s="16">
        <f>AF590+AH590+AJ590+AL590+AN590+AP590+AR590+AT590+AV590+AX590</f>
        <v/>
      </c>
      <c r="BA590" s="16" t="n"/>
      <c r="BB590" s="139" t="n"/>
      <c r="BC590" s="16" t="n"/>
      <c r="BD590" s="139" t="n"/>
      <c r="BE590" s="16">
        <f>(BA590+BC590)</f>
        <v/>
      </c>
    </row>
    <row r="591" ht="21.95" customFormat="1" customHeight="1" s="8">
      <c r="A591" s="9" t="n">
        <v>999</v>
      </c>
      <c r="B591" s="136" t="inlineStr">
        <is>
          <t>신주</t>
        </is>
      </c>
      <c r="C591" s="137" t="inlineStr">
        <is>
          <t>공용</t>
        </is>
      </c>
      <c r="D591" s="60" t="inlineStr">
        <is>
          <t>배터리 내부 단자</t>
        </is>
      </c>
      <c r="E591" s="11" t="inlineStr">
        <is>
          <t xml:space="preserve">사급자재 </t>
        </is>
      </c>
      <c r="F591" s="12" t="n"/>
      <c r="G591" s="9" t="n"/>
      <c r="H591" s="9" t="inlineStr">
        <is>
          <t>해진정밀</t>
        </is>
      </c>
      <c r="I591" s="14" t="n"/>
      <c r="J591" s="14" t="n"/>
      <c r="K591" s="12" t="n"/>
      <c r="L591" s="9" t="n"/>
      <c r="M591" s="9" t="n"/>
      <c r="N591" s="9" t="n"/>
      <c r="O591" s="40">
        <f>K591+V591-AE591-AZ591</f>
        <v/>
      </c>
      <c r="P591" s="12" t="n"/>
      <c r="Q591" s="138" t="n"/>
      <c r="R591" s="16" t="n"/>
      <c r="S591" s="139" t="n"/>
      <c r="T591" s="16" t="n"/>
      <c r="U591" s="139" t="n"/>
      <c r="V591" s="16">
        <f>P591+R591+T591</f>
        <v/>
      </c>
      <c r="W591" s="16" t="n"/>
      <c r="X591" s="139" t="n"/>
      <c r="Y591" s="16" t="n"/>
      <c r="Z591" s="139" t="n"/>
      <c r="AA591" s="16" t="n"/>
      <c r="AB591" s="139" t="n"/>
      <c r="AC591" s="16" t="n"/>
      <c r="AD591" s="139" t="n"/>
      <c r="AE591" s="16">
        <f>(W591+Y591+AA591+AC591)</f>
        <v/>
      </c>
      <c r="AF591" s="16" t="n"/>
      <c r="AG591" s="138" t="n"/>
      <c r="AH591" s="16" t="n"/>
      <c r="AI591" s="138" t="n"/>
      <c r="AJ591" s="16" t="n"/>
      <c r="AK591" s="138" t="n"/>
      <c r="AL591" s="16" t="n"/>
      <c r="AM591" s="138" t="n"/>
      <c r="AN591" s="16" t="n"/>
      <c r="AO591" s="138" t="n"/>
      <c r="AP591" s="16" t="n"/>
      <c r="AQ591" s="138" t="n"/>
      <c r="AR591" s="16" t="n"/>
      <c r="AS591" s="138" t="n"/>
      <c r="AT591" s="16" t="n"/>
      <c r="AU591" s="138" t="n"/>
      <c r="AV591" s="16" t="n"/>
      <c r="AW591" s="138" t="n"/>
      <c r="AX591" s="16" t="n"/>
      <c r="AY591" s="138" t="n"/>
      <c r="AZ591" s="16">
        <f>AF591+AH591+AJ591+AL591+AN591+AP591+AR591+AT591+AV591+AX591</f>
        <v/>
      </c>
      <c r="BA591" s="16" t="n"/>
      <c r="BB591" s="139" t="n"/>
      <c r="BC591" s="16" t="n"/>
      <c r="BD591" s="139" t="n"/>
      <c r="BE591" s="16">
        <f>(BA591+BC591)</f>
        <v/>
      </c>
    </row>
    <row r="592" ht="22.5" customFormat="1" customHeight="1" s="8">
      <c r="A592" s="9" t="n">
        <v>32</v>
      </c>
      <c r="B592" s="136" t="inlineStr">
        <is>
          <t>BOARD</t>
        </is>
      </c>
      <c r="C592" s="137" t="inlineStr">
        <is>
          <t>ADX6000</t>
        </is>
      </c>
      <c r="D592" s="64" t="inlineStr">
        <is>
          <t>고압베어 B/D</t>
        </is>
      </c>
      <c r="E592" s="11" t="inlineStr">
        <is>
          <t>구형 고압보드</t>
        </is>
      </c>
      <c r="F592" s="99" t="n"/>
      <c r="G592" s="9" t="n"/>
      <c r="H592" s="9" t="inlineStr">
        <is>
          <t>한샘디지텍</t>
        </is>
      </c>
      <c r="I592" s="14" t="n"/>
      <c r="J592" s="14" t="n"/>
      <c r="K592" s="12" t="n"/>
      <c r="L592" s="9" t="n"/>
      <c r="M592" s="9" t="n"/>
      <c r="N592" s="9" t="n"/>
      <c r="O592" s="40">
        <f>K592+V592-AE592-AZ592</f>
        <v/>
      </c>
      <c r="P592" s="12" t="n"/>
      <c r="Q592" s="138" t="n"/>
      <c r="R592" s="16" t="n"/>
      <c r="S592" s="139" t="n"/>
      <c r="T592" s="16" t="n"/>
      <c r="U592" s="139" t="n"/>
      <c r="V592" s="16">
        <f>P592+R592+T592</f>
        <v/>
      </c>
      <c r="W592" s="16" t="n"/>
      <c r="X592" s="139" t="n"/>
      <c r="Y592" s="16" t="n"/>
      <c r="Z592" s="139" t="n"/>
      <c r="AA592" s="16" t="n"/>
      <c r="AB592" s="139" t="n"/>
      <c r="AC592" s="16" t="n"/>
      <c r="AD592" s="139" t="n"/>
      <c r="AE592" s="16">
        <f>(W592+Y592+AA592+AC592)</f>
        <v/>
      </c>
      <c r="AF592" s="16" t="n"/>
      <c r="AG592" s="138" t="n"/>
      <c r="AH592" s="16" t="n"/>
      <c r="AI592" s="138" t="n"/>
      <c r="AJ592" s="16" t="n"/>
      <c r="AK592" s="138" t="n"/>
      <c r="AL592" s="16" t="n"/>
      <c r="AM592" s="138" t="n"/>
      <c r="AN592" s="16" t="n"/>
      <c r="AO592" s="138" t="n"/>
      <c r="AP592" s="16" t="n"/>
      <c r="AQ592" s="138" t="n"/>
      <c r="AR592" s="16" t="n"/>
      <c r="AS592" s="138" t="n"/>
      <c r="AT592" s="16" t="n"/>
      <c r="AU592" s="138" t="n"/>
      <c r="AV592" s="16" t="n"/>
      <c r="AW592" s="138" t="n"/>
      <c r="AX592" s="16" t="n"/>
      <c r="AY592" s="138" t="n"/>
      <c r="AZ592" s="16">
        <f>AF592+AH592+AJ592+AL592+AN592+AP592+AR592+AT592+AV592+AX592</f>
        <v/>
      </c>
      <c r="BA592" s="16" t="n"/>
      <c r="BB592" s="139" t="n"/>
      <c r="BC592" s="16" t="n"/>
      <c r="BD592" s="139" t="n"/>
      <c r="BE592" s="16">
        <f>(BA592+BC592)</f>
        <v/>
      </c>
    </row>
    <row r="593" ht="22.5" customFormat="1" customHeight="1" s="8">
      <c r="A593" s="9" t="n">
        <v>60</v>
      </c>
      <c r="B593" s="141" t="inlineStr">
        <is>
          <t>BOARD</t>
        </is>
      </c>
      <c r="C593" s="137" t="inlineStr">
        <is>
          <t>ADX6000</t>
        </is>
      </c>
      <c r="D593" s="62" t="inlineStr">
        <is>
          <t>8핀 B/D</t>
        </is>
      </c>
      <c r="E593" s="36" t="inlineStr">
        <is>
          <t>구형 8핀 보드</t>
        </is>
      </c>
      <c r="F593" s="99" t="n"/>
      <c r="G593" s="22" t="n"/>
      <c r="H593" s="22" t="inlineStr">
        <is>
          <t>한샘디지텍</t>
        </is>
      </c>
      <c r="I593" s="14" t="n"/>
      <c r="J593" s="14" t="n"/>
      <c r="K593" s="12" t="n"/>
      <c r="L593" s="9" t="n"/>
      <c r="M593" s="9" t="n"/>
      <c r="N593" s="9" t="n"/>
      <c r="O593" s="40">
        <f>K593+V593-AE593-AZ593</f>
        <v/>
      </c>
      <c r="P593" s="12" t="n"/>
      <c r="Q593" s="138" t="n"/>
      <c r="R593" s="16" t="n"/>
      <c r="S593" s="139" t="n"/>
      <c r="T593" s="16" t="n"/>
      <c r="U593" s="139" t="n"/>
      <c r="V593" s="16">
        <f>P593+R593+T593</f>
        <v/>
      </c>
      <c r="W593" s="16" t="n"/>
      <c r="X593" s="139" t="n"/>
      <c r="Y593" s="16" t="n"/>
      <c r="Z593" s="139" t="n"/>
      <c r="AA593" s="16" t="n"/>
      <c r="AB593" s="139" t="n"/>
      <c r="AC593" s="16" t="n"/>
      <c r="AD593" s="139" t="n"/>
      <c r="AE593" s="16">
        <f>(W593+Y593+AA593+AC593)</f>
        <v/>
      </c>
      <c r="AF593" s="16" t="n"/>
      <c r="AG593" s="138" t="n"/>
      <c r="AH593" s="16" t="n"/>
      <c r="AI593" s="138" t="n"/>
      <c r="AJ593" s="16" t="n"/>
      <c r="AK593" s="138" t="n"/>
      <c r="AL593" s="16" t="n"/>
      <c r="AM593" s="138" t="n"/>
      <c r="AN593" s="16" t="n"/>
      <c r="AO593" s="138" t="n"/>
      <c r="AP593" s="16" t="n"/>
      <c r="AQ593" s="138" t="n"/>
      <c r="AR593" s="16" t="n"/>
      <c r="AS593" s="138" t="n"/>
      <c r="AT593" s="16" t="n"/>
      <c r="AU593" s="138" t="n"/>
      <c r="AV593" s="16" t="n"/>
      <c r="AW593" s="138" t="n"/>
      <c r="AX593" s="16" t="n"/>
      <c r="AY593" s="138" t="n"/>
      <c r="AZ593" s="16">
        <f>AF593+AH593+AJ593+AL593+AN593+AP593+AR593+AT593+AV593+AX593</f>
        <v/>
      </c>
      <c r="BA593" s="16" t="n"/>
      <c r="BB593" s="139" t="n"/>
      <c r="BC593" s="16" t="n"/>
      <c r="BD593" s="139" t="n"/>
      <c r="BE593" s="16">
        <f>(BA593+BC593)</f>
        <v/>
      </c>
    </row>
    <row r="594" ht="22.5" customFormat="1" customHeight="1" s="8">
      <c r="A594" s="9" t="n">
        <v>999</v>
      </c>
      <c r="B594" s="136" t="inlineStr">
        <is>
          <t>ABS 난연</t>
        </is>
      </c>
      <c r="C594" s="137" t="inlineStr">
        <is>
          <t>ADX6000</t>
        </is>
      </c>
      <c r="D594" s="60" t="inlineStr">
        <is>
          <t>[CR-ADX] 크래들 ASS'Y</t>
        </is>
      </c>
      <c r="E594" s="11" t="n"/>
      <c r="F594" s="12" t="n"/>
      <c r="G594" s="9" t="n"/>
      <c r="H594" s="9" t="n"/>
      <c r="I594" s="14" t="n"/>
      <c r="J594" s="14" t="n"/>
      <c r="K594" s="12" t="n">
        <v>248</v>
      </c>
      <c r="L594" s="9" t="n"/>
      <c r="M594" s="9" t="n"/>
      <c r="N594" s="9" t="n"/>
      <c r="O594" s="40">
        <f>K594+V594-AE594-AZ594</f>
        <v/>
      </c>
      <c r="P594" s="12" t="n"/>
      <c r="Q594" s="138" t="n"/>
      <c r="R594" s="16" t="n"/>
      <c r="S594" s="139" t="n"/>
      <c r="T594" s="16" t="n"/>
      <c r="U594" s="139" t="n"/>
      <c r="V594" s="16">
        <f>P594+R594+T594</f>
        <v/>
      </c>
      <c r="W594" s="16" t="n"/>
      <c r="X594" s="139" t="n"/>
      <c r="Y594" s="16" t="n"/>
      <c r="Z594" s="139" t="n"/>
      <c r="AA594" s="16" t="n"/>
      <c r="AB594" s="139" t="n"/>
      <c r="AC594" s="16" t="n"/>
      <c r="AD594" s="139" t="n"/>
      <c r="AE594" s="16">
        <f>(W594+Y594+AA594+AC594)</f>
        <v/>
      </c>
      <c r="AF594" s="16" t="n"/>
      <c r="AG594" s="138" t="n"/>
      <c r="AH594" s="16" t="n"/>
      <c r="AI594" s="138" t="n"/>
      <c r="AJ594" s="16" t="n"/>
      <c r="AK594" s="138" t="n"/>
      <c r="AL594" s="16" t="n"/>
      <c r="AM594" s="138" t="n"/>
      <c r="AN594" s="16" t="n"/>
      <c r="AO594" s="138" t="n"/>
      <c r="AP594" s="16" t="n"/>
      <c r="AQ594" s="138" t="n"/>
      <c r="AR594" s="16" t="n"/>
      <c r="AS594" s="138" t="n"/>
      <c r="AT594" s="16" t="n"/>
      <c r="AU594" s="138" t="n"/>
      <c r="AV594" s="16" t="n"/>
      <c r="AW594" s="138" t="n"/>
      <c r="AX594" s="16" t="n"/>
      <c r="AY594" s="138" t="n"/>
      <c r="AZ594" s="16" t="n"/>
      <c r="BA594" s="16" t="n"/>
      <c r="BB594" s="139" t="n"/>
      <c r="BC594" s="16" t="n"/>
      <c r="BD594" s="139" t="n"/>
      <c r="BE594" s="16" t="n"/>
    </row>
    <row r="595" ht="21.95" customFormat="1" customHeight="1" s="8">
      <c r="A595" s="9" t="n">
        <v>999</v>
      </c>
      <c r="B595" s="136" t="inlineStr">
        <is>
          <t>다이오드</t>
        </is>
      </c>
      <c r="C595" s="137" t="inlineStr">
        <is>
          <t>SOLO</t>
        </is>
      </c>
      <c r="D595" s="60" t="inlineStr">
        <is>
          <t>고압 다이오드</t>
        </is>
      </c>
      <c r="E595" s="11" t="inlineStr">
        <is>
          <t>SPF01-15</t>
        </is>
      </c>
      <c r="F595" s="12" t="n"/>
      <c r="G595" s="9" t="n"/>
      <c r="H595" s="9" t="inlineStr">
        <is>
          <t>비지티</t>
        </is>
      </c>
      <c r="I595" s="14" t="n"/>
      <c r="J595" s="14" t="n"/>
      <c r="K595" s="12" t="n"/>
      <c r="L595" s="9" t="n"/>
      <c r="M595" s="9" t="n"/>
      <c r="N595" s="9" t="n"/>
      <c r="O595" s="40">
        <f>K595+V595-AE595-AZ595</f>
        <v/>
      </c>
      <c r="P595" s="12" t="n"/>
      <c r="Q595" s="138" t="n"/>
      <c r="R595" s="16" t="n"/>
      <c r="S595" s="139" t="n"/>
      <c r="T595" s="16" t="n"/>
      <c r="U595" s="139" t="n"/>
      <c r="V595" s="16">
        <f>P595+R595+T595</f>
        <v/>
      </c>
      <c r="W595" s="16" t="n"/>
      <c r="X595" s="139" t="n"/>
      <c r="Y595" s="16" t="n"/>
      <c r="Z595" s="139" t="n"/>
      <c r="AA595" s="16" t="n"/>
      <c r="AB595" s="139" t="n"/>
      <c r="AC595" s="16" t="n"/>
      <c r="AD595" s="139" t="n"/>
      <c r="AE595" s="16">
        <f>(W595+Y595+AA595+AC595)</f>
        <v/>
      </c>
      <c r="AF595" s="16" t="n"/>
      <c r="AG595" s="138" t="n"/>
      <c r="AH595" s="16" t="n"/>
      <c r="AI595" s="138" t="n"/>
      <c r="AJ595" s="16" t="n"/>
      <c r="AK595" s="138" t="n"/>
      <c r="AL595" s="16" t="n"/>
      <c r="AM595" s="138" t="n"/>
      <c r="AN595" s="16" t="n"/>
      <c r="AO595" s="138" t="n"/>
      <c r="AP595" s="16" t="n"/>
      <c r="AQ595" s="138" t="n"/>
      <c r="AR595" s="16" t="n"/>
      <c r="AS595" s="138" t="n"/>
      <c r="AT595" s="16" t="n"/>
      <c r="AU595" s="138" t="n"/>
      <c r="AV595" s="16" t="n"/>
      <c r="AW595" s="138" t="n"/>
      <c r="AX595" s="16" t="n"/>
      <c r="AY595" s="138" t="n"/>
      <c r="AZ595" s="16">
        <f>AF595+AH595+AJ595+AL595+AN595+AP595+AR595+AT595+AV595+AX595</f>
        <v/>
      </c>
      <c r="BA595" s="16" t="n"/>
      <c r="BB595" s="139" t="n"/>
      <c r="BC595" s="16" t="n"/>
      <c r="BD595" s="139" t="n"/>
      <c r="BE595" s="16">
        <f>(BA595+BC595)</f>
        <v/>
      </c>
    </row>
    <row r="596" ht="21.95" customFormat="1" customHeight="1" s="8">
      <c r="A596" s="9" t="n">
        <v>999</v>
      </c>
      <c r="B596" s="136" t="inlineStr">
        <is>
          <t>세라믹</t>
        </is>
      </c>
      <c r="C596" s="137" t="inlineStr">
        <is>
          <t>SOLO</t>
        </is>
      </c>
      <c r="D596" s="60" t="inlineStr">
        <is>
          <t>고압용 칩 세라믹 콘덴서</t>
        </is>
      </c>
      <c r="E596" s="11" t="inlineStr">
        <is>
          <t>2220J6K00222KXT</t>
        </is>
      </c>
      <c r="F596" s="12" t="n"/>
      <c r="G596" s="9" t="n"/>
      <c r="H596" s="9" t="inlineStr">
        <is>
          <t>비지티</t>
        </is>
      </c>
      <c r="I596" s="14" t="n"/>
      <c r="J596" s="14" t="n"/>
      <c r="K596" s="12" t="n"/>
      <c r="L596" s="9" t="n"/>
      <c r="M596" s="9" t="n"/>
      <c r="N596" s="9" t="n"/>
      <c r="O596" s="40">
        <f>K596+V596-AE596-AZ596</f>
        <v/>
      </c>
      <c r="P596" s="12" t="n"/>
      <c r="Q596" s="138" t="n"/>
      <c r="R596" s="16" t="n"/>
      <c r="S596" s="139" t="n"/>
      <c r="T596" s="16" t="n"/>
      <c r="U596" s="139" t="n"/>
      <c r="V596" s="16">
        <f>P596+R596+T596</f>
        <v/>
      </c>
      <c r="W596" s="16" t="n"/>
      <c r="X596" s="139" t="n"/>
      <c r="Y596" s="16" t="n"/>
      <c r="Z596" s="139" t="n"/>
      <c r="AA596" s="16" t="n"/>
      <c r="AB596" s="139" t="n"/>
      <c r="AC596" s="16" t="n"/>
      <c r="AD596" s="139" t="n"/>
      <c r="AE596" s="16">
        <f>(W596+Y596+AA596+AC596)</f>
        <v/>
      </c>
      <c r="AF596" s="16" t="n"/>
      <c r="AG596" s="138" t="n"/>
      <c r="AH596" s="16" t="n"/>
      <c r="AI596" s="138" t="n"/>
      <c r="AJ596" s="16" t="n"/>
      <c r="AK596" s="138" t="n"/>
      <c r="AL596" s="16" t="n"/>
      <c r="AM596" s="138" t="n"/>
      <c r="AN596" s="16" t="n"/>
      <c r="AO596" s="138" t="n"/>
      <c r="AP596" s="16" t="n"/>
      <c r="AQ596" s="138" t="n"/>
      <c r="AR596" s="16" t="n"/>
      <c r="AS596" s="138" t="n"/>
      <c r="AT596" s="16" t="n"/>
      <c r="AU596" s="138" t="n"/>
      <c r="AV596" s="16" t="n"/>
      <c r="AW596" s="138" t="n"/>
      <c r="AX596" s="16" t="n"/>
      <c r="AY596" s="138" t="n"/>
      <c r="AZ596" s="16">
        <f>AF596+AH596+AJ596+AL596+AN596+AP596+AR596+AT596+AV596+AX596</f>
        <v/>
      </c>
      <c r="BA596" s="16" t="n"/>
      <c r="BB596" s="139" t="n"/>
      <c r="BC596" s="16" t="n"/>
      <c r="BD596" s="139" t="n"/>
      <c r="BE596" s="16">
        <f>(BA596+BC596)</f>
        <v/>
      </c>
    </row>
    <row r="597" ht="21.95" customFormat="1" customHeight="1" s="8">
      <c r="A597" s="9" t="n">
        <v>999</v>
      </c>
      <c r="B597" s="141" t="inlineStr">
        <is>
          <t>HDPE</t>
        </is>
      </c>
      <c r="C597" s="142" t="inlineStr">
        <is>
          <t>SOLO</t>
        </is>
      </c>
      <c r="D597" s="62" t="inlineStr">
        <is>
          <t>세라믹 튜브 하우징 파이프</t>
        </is>
      </c>
      <c r="E597" s="36" t="inlineStr">
        <is>
          <t>HDPE</t>
        </is>
      </c>
      <c r="F597" s="21" t="n"/>
      <c r="G597" s="22" t="n"/>
      <c r="H597" s="22" t="inlineStr">
        <is>
          <t>용봉화학</t>
        </is>
      </c>
      <c r="I597" s="14" t="n"/>
      <c r="J597" s="14" t="n"/>
      <c r="K597" s="12" t="n"/>
      <c r="L597" s="9" t="n"/>
      <c r="M597" s="9" t="n"/>
      <c r="N597" s="9" t="n"/>
      <c r="O597" s="40">
        <f>K597+V597-AE597-AZ597</f>
        <v/>
      </c>
      <c r="P597" s="12" t="n"/>
      <c r="Q597" s="138" t="n"/>
      <c r="R597" s="16" t="n"/>
      <c r="S597" s="139" t="n"/>
      <c r="T597" s="16" t="n"/>
      <c r="U597" s="139" t="n"/>
      <c r="V597" s="16">
        <f>P597+R597+T597</f>
        <v/>
      </c>
      <c r="W597" s="16" t="n"/>
      <c r="X597" s="139" t="n"/>
      <c r="Y597" s="16" t="n"/>
      <c r="Z597" s="139" t="n"/>
      <c r="AA597" s="16" t="n"/>
      <c r="AB597" s="139" t="n"/>
      <c r="AC597" s="16" t="n"/>
      <c r="AD597" s="139" t="n"/>
      <c r="AE597" s="16">
        <f>(W597+Y597+AA597+AC597)</f>
        <v/>
      </c>
      <c r="AF597" s="16" t="n"/>
      <c r="AG597" s="138" t="n"/>
      <c r="AH597" s="16" t="n"/>
      <c r="AI597" s="138" t="n"/>
      <c r="AJ597" s="16" t="n"/>
      <c r="AK597" s="138" t="n"/>
      <c r="AL597" s="16" t="n"/>
      <c r="AM597" s="138" t="n"/>
      <c r="AN597" s="16" t="n"/>
      <c r="AO597" s="138" t="n"/>
      <c r="AP597" s="16" t="n"/>
      <c r="AQ597" s="138" t="n"/>
      <c r="AR597" s="16" t="n"/>
      <c r="AS597" s="138" t="n"/>
      <c r="AT597" s="16" t="n"/>
      <c r="AU597" s="138" t="n"/>
      <c r="AV597" s="16" t="n"/>
      <c r="AW597" s="138" t="n"/>
      <c r="AX597" s="16" t="n"/>
      <c r="AY597" s="138" t="n"/>
      <c r="AZ597" s="16">
        <f>AF597+AH597+AJ597+AL597+AN597+AP597+AR597+AT597+AV597+AX597</f>
        <v/>
      </c>
      <c r="BA597" s="16" t="n"/>
      <c r="BB597" s="139" t="n"/>
      <c r="BC597" s="16" t="n"/>
      <c r="BD597" s="139" t="n"/>
      <c r="BE597" s="16">
        <f>(BA597+BC597)</f>
        <v/>
      </c>
    </row>
    <row r="598" ht="21.95" customFormat="1" customHeight="1" s="8">
      <c r="A598" s="9" t="n">
        <v>999</v>
      </c>
      <c r="B598" s="141" t="inlineStr">
        <is>
          <t>HDPE</t>
        </is>
      </c>
      <c r="C598" s="142" t="inlineStr">
        <is>
          <t>SOLO</t>
        </is>
      </c>
      <c r="D598" s="62" t="inlineStr">
        <is>
          <t>내부 케이스</t>
        </is>
      </c>
      <c r="E598" s="36" t="inlineStr">
        <is>
          <t>HDPE</t>
        </is>
      </c>
      <c r="F598" s="21" t="n"/>
      <c r="G598" s="22" t="n"/>
      <c r="H598" s="22" t="inlineStr">
        <is>
          <t>용봉화학</t>
        </is>
      </c>
      <c r="I598" s="14" t="n"/>
      <c r="J598" s="14" t="n"/>
      <c r="K598" s="12" t="n"/>
      <c r="L598" s="9" t="n"/>
      <c r="M598" s="9" t="n"/>
      <c r="N598" s="9" t="n"/>
      <c r="O598" s="40">
        <f>K598+V598-AE598-AZ598</f>
        <v/>
      </c>
      <c r="P598" s="12" t="n"/>
      <c r="Q598" s="138" t="n"/>
      <c r="R598" s="16" t="n"/>
      <c r="S598" s="139" t="n"/>
      <c r="T598" s="16" t="n"/>
      <c r="U598" s="139" t="n"/>
      <c r="V598" s="16">
        <f>P598+R598+T598</f>
        <v/>
      </c>
      <c r="W598" s="16" t="n"/>
      <c r="X598" s="139" t="n"/>
      <c r="Y598" s="16" t="n"/>
      <c r="Z598" s="139" t="n"/>
      <c r="AA598" s="16" t="n"/>
      <c r="AB598" s="139" t="n"/>
      <c r="AC598" s="16" t="n"/>
      <c r="AD598" s="139" t="n"/>
      <c r="AE598" s="16">
        <f>(W598+Y598+AA598+AC598)</f>
        <v/>
      </c>
      <c r="AF598" s="16" t="n"/>
      <c r="AG598" s="138" t="n"/>
      <c r="AH598" s="16" t="n"/>
      <c r="AI598" s="138" t="n"/>
      <c r="AJ598" s="16" t="n"/>
      <c r="AK598" s="138" t="n"/>
      <c r="AL598" s="16" t="n"/>
      <c r="AM598" s="138" t="n"/>
      <c r="AN598" s="16" t="n"/>
      <c r="AO598" s="138" t="n"/>
      <c r="AP598" s="16" t="n"/>
      <c r="AQ598" s="138" t="n"/>
      <c r="AR598" s="16" t="n"/>
      <c r="AS598" s="138" t="n"/>
      <c r="AT598" s="16" t="n"/>
      <c r="AU598" s="138" t="n"/>
      <c r="AV598" s="16" t="n"/>
      <c r="AW598" s="138" t="n"/>
      <c r="AX598" s="16" t="n"/>
      <c r="AY598" s="138" t="n"/>
      <c r="AZ598" s="16">
        <f>AF598+AH598+AJ598+AL598+AN598+AP598+AR598+AT598+AV598+AX598</f>
        <v/>
      </c>
      <c r="BA598" s="16" t="n"/>
      <c r="BB598" s="139" t="n"/>
      <c r="BC598" s="16" t="n"/>
      <c r="BD598" s="139" t="n"/>
      <c r="BE598" s="16">
        <f>(BA598+BC598)</f>
        <v/>
      </c>
    </row>
    <row r="599" ht="21.95" customFormat="1" customHeight="1" s="8">
      <c r="A599" s="9" t="n">
        <v>999</v>
      </c>
      <c r="B599" s="141" t="inlineStr">
        <is>
          <t>HDPE</t>
        </is>
      </c>
      <c r="C599" s="142" t="inlineStr">
        <is>
          <t>SOLO</t>
        </is>
      </c>
      <c r="D599" s="62" t="inlineStr">
        <is>
          <t>고압 격벽</t>
        </is>
      </c>
      <c r="E599" s="36" t="inlineStr">
        <is>
          <t>HDPE</t>
        </is>
      </c>
      <c r="F599" s="21" t="n"/>
      <c r="G599" s="22" t="n"/>
      <c r="H599" s="22" t="inlineStr">
        <is>
          <t>용봉화학</t>
        </is>
      </c>
      <c r="I599" s="14" t="n"/>
      <c r="J599" s="14" t="n"/>
      <c r="K599" s="12" t="n"/>
      <c r="L599" s="9" t="n"/>
      <c r="M599" s="9" t="n"/>
      <c r="N599" s="9" t="n"/>
      <c r="O599" s="40">
        <f>K599+V599-AE599-AZ599</f>
        <v/>
      </c>
      <c r="P599" s="12" t="n"/>
      <c r="Q599" s="138" t="n"/>
      <c r="R599" s="16" t="n"/>
      <c r="S599" s="139" t="n"/>
      <c r="T599" s="16" t="n"/>
      <c r="U599" s="139" t="n"/>
      <c r="V599" s="16">
        <f>P599+R599+T599</f>
        <v/>
      </c>
      <c r="W599" s="16" t="n"/>
      <c r="X599" s="139" t="n"/>
      <c r="Y599" s="16" t="n"/>
      <c r="Z599" s="139" t="n"/>
      <c r="AA599" s="16" t="n"/>
      <c r="AB599" s="139" t="n"/>
      <c r="AC599" s="16" t="n"/>
      <c r="AD599" s="139" t="n"/>
      <c r="AE599" s="16">
        <f>(W599+Y599+AA599+AC599)</f>
        <v/>
      </c>
      <c r="AF599" s="16" t="n"/>
      <c r="AG599" s="138" t="n"/>
      <c r="AH599" s="16" t="n"/>
      <c r="AI599" s="138" t="n"/>
      <c r="AJ599" s="16" t="n"/>
      <c r="AK599" s="138" t="n"/>
      <c r="AL599" s="16" t="n"/>
      <c r="AM599" s="138" t="n"/>
      <c r="AN599" s="16" t="n"/>
      <c r="AO599" s="138" t="n"/>
      <c r="AP599" s="16" t="n"/>
      <c r="AQ599" s="138" t="n"/>
      <c r="AR599" s="16" t="n"/>
      <c r="AS599" s="138" t="n"/>
      <c r="AT599" s="16" t="n"/>
      <c r="AU599" s="138" t="n"/>
      <c r="AV599" s="16" t="n"/>
      <c r="AW599" s="138" t="n"/>
      <c r="AX599" s="16" t="n"/>
      <c r="AY599" s="138" t="n"/>
      <c r="AZ599" s="16">
        <f>AF599+AH599+AJ599+AL599+AN599+AP599+AR599+AT599+AV599+AX599</f>
        <v/>
      </c>
      <c r="BA599" s="16" t="n"/>
      <c r="BB599" s="139" t="n"/>
      <c r="BC599" s="16" t="n"/>
      <c r="BD599" s="139" t="n"/>
      <c r="BE599" s="16">
        <f>(BA599+BC599)</f>
        <v/>
      </c>
    </row>
    <row r="600" ht="22.5" customFormat="1" customHeight="1" s="8">
      <c r="A600" s="9" t="n">
        <v>999</v>
      </c>
      <c r="B600" s="136" t="inlineStr">
        <is>
          <t>AL</t>
        </is>
      </c>
      <c r="C600" s="137" t="inlineStr">
        <is>
          <t>SOLO</t>
        </is>
      </c>
      <c r="D600" s="83" t="inlineStr">
        <is>
          <t>에이밍 필터</t>
        </is>
      </c>
      <c r="E600" s="13" t="inlineStr">
        <is>
          <t>0.5T * Φ40 에이밍 은경 추가 필터</t>
        </is>
      </c>
      <c r="F600" s="100" t="n"/>
      <c r="G600" s="9" t="n"/>
      <c r="H600" s="9" t="n"/>
      <c r="I600" s="14" t="n"/>
      <c r="J600" s="14" t="n"/>
      <c r="K600" s="12" t="n"/>
      <c r="L600" s="9" t="n"/>
      <c r="M600" s="9" t="n"/>
      <c r="N600" s="9" t="n"/>
      <c r="O600" s="40">
        <f>K600+V600-AE600-AZ600</f>
        <v/>
      </c>
      <c r="P600" s="12" t="n"/>
      <c r="Q600" s="138" t="n"/>
      <c r="R600" s="16" t="n"/>
      <c r="S600" s="139" t="n"/>
      <c r="T600" s="16" t="n"/>
      <c r="U600" s="139" t="n"/>
      <c r="V600" s="16">
        <f>P600+R600+T600</f>
        <v/>
      </c>
      <c r="W600" s="16" t="n"/>
      <c r="X600" s="139" t="n"/>
      <c r="Y600" s="16" t="n"/>
      <c r="Z600" s="139" t="n"/>
      <c r="AA600" s="16" t="n"/>
      <c r="AB600" s="139" t="n"/>
      <c r="AC600" s="16" t="n"/>
      <c r="AD600" s="139" t="n"/>
      <c r="AE600" s="16">
        <f>(W600+Y600+AA600+AC600)</f>
        <v/>
      </c>
      <c r="AF600" s="16" t="n"/>
      <c r="AG600" s="138" t="n"/>
      <c r="AH600" s="16" t="n"/>
      <c r="AI600" s="138" t="n"/>
      <c r="AJ600" s="16" t="n"/>
      <c r="AK600" s="138" t="n"/>
      <c r="AL600" s="16" t="n"/>
      <c r="AM600" s="138" t="n"/>
      <c r="AN600" s="16" t="n"/>
      <c r="AO600" s="138" t="n"/>
      <c r="AP600" s="16" t="n"/>
      <c r="AQ600" s="138" t="n"/>
      <c r="AR600" s="16" t="n"/>
      <c r="AS600" s="138" t="n"/>
      <c r="AT600" s="16" t="n"/>
      <c r="AU600" s="138" t="n"/>
      <c r="AV600" s="16" t="n"/>
      <c r="AW600" s="138" t="n"/>
      <c r="AX600" s="16" t="n"/>
      <c r="AY600" s="138" t="n"/>
      <c r="AZ600" s="16">
        <f>AF600+AH600+AJ600+AL600+AN600+AP600+AR600+AT600+AV600+AX600</f>
        <v/>
      </c>
      <c r="BA600" s="16" t="n"/>
      <c r="BB600" s="139" t="n"/>
      <c r="BC600" s="16" t="n"/>
      <c r="BD600" s="139" t="n"/>
      <c r="BE600" s="16">
        <f>(BA600+BC600)</f>
        <v/>
      </c>
    </row>
    <row r="601" ht="22.5" customFormat="1" customHeight="1" s="8">
      <c r="A601" s="9" t="n">
        <v>999</v>
      </c>
      <c r="B601" s="141" t="inlineStr">
        <is>
          <t>PCB</t>
        </is>
      </c>
      <c r="C601" s="137" t="inlineStr">
        <is>
          <t>COCOON</t>
        </is>
      </c>
      <c r="D601" s="70" t="inlineStr">
        <is>
          <t xml:space="preserve">CTR B/D (ST용) </t>
        </is>
      </c>
      <c r="E601" s="36" t="n"/>
      <c r="F601" s="21" t="n"/>
      <c r="G601" s="22" t="n"/>
      <c r="H601" s="22" t="inlineStr">
        <is>
          <t>HLP</t>
        </is>
      </c>
      <c r="I601" s="14" t="n"/>
      <c r="J601" s="14" t="n"/>
      <c r="K601" s="12" t="n"/>
      <c r="L601" s="9" t="n"/>
      <c r="M601" s="9" t="n"/>
      <c r="N601" s="9" t="n"/>
      <c r="O601" s="40">
        <f>K601+V601-AE601-AZ601</f>
        <v/>
      </c>
      <c r="P601" s="12" t="n"/>
      <c r="Q601" s="138" t="n"/>
      <c r="R601" s="16" t="n"/>
      <c r="S601" s="139" t="n"/>
      <c r="T601" s="16" t="n"/>
      <c r="U601" s="139" t="n"/>
      <c r="V601" s="16">
        <f>P601+R601+T601</f>
        <v/>
      </c>
      <c r="W601" s="16" t="n"/>
      <c r="X601" s="139" t="n"/>
      <c r="Y601" s="16" t="n"/>
      <c r="Z601" s="139" t="n"/>
      <c r="AA601" s="16" t="n"/>
      <c r="AB601" s="139" t="n"/>
      <c r="AC601" s="16" t="n"/>
      <c r="AD601" s="139" t="n"/>
      <c r="AE601" s="16">
        <f>(W601+Y601+AA601+AC601)</f>
        <v/>
      </c>
      <c r="AF601" s="16" t="n"/>
      <c r="AG601" s="138" t="n"/>
      <c r="AH601" s="16" t="n"/>
      <c r="AI601" s="138" t="n"/>
      <c r="AJ601" s="16" t="n"/>
      <c r="AK601" s="138" t="n"/>
      <c r="AL601" s="16" t="n"/>
      <c r="AM601" s="138" t="n"/>
      <c r="AN601" s="16" t="n"/>
      <c r="AO601" s="138" t="n"/>
      <c r="AP601" s="16" t="n"/>
      <c r="AQ601" s="138" t="n"/>
      <c r="AR601" s="16" t="n"/>
      <c r="AS601" s="138" t="n"/>
      <c r="AT601" s="16" t="n"/>
      <c r="AU601" s="138" t="n"/>
      <c r="AV601" s="16" t="n"/>
      <c r="AW601" s="138" t="n"/>
      <c r="AX601" s="16" t="n"/>
      <c r="AY601" s="138" t="n"/>
      <c r="AZ601" s="16">
        <f>AF601+AH601+AJ601+AL601+AN601+AP601+AR601+AT601+AV601+AX601</f>
        <v/>
      </c>
      <c r="BA601" s="16" t="n"/>
      <c r="BB601" s="139" t="n"/>
      <c r="BC601" s="16" t="n"/>
      <c r="BD601" s="139" t="n"/>
      <c r="BE601" s="16">
        <f>(BA601+BC601)</f>
        <v/>
      </c>
    </row>
    <row r="602" ht="22.5" customFormat="1" customHeight="1" s="8">
      <c r="A602" s="9" t="n">
        <v>999</v>
      </c>
      <c r="B602" s="141" t="inlineStr">
        <is>
          <t>PCB</t>
        </is>
      </c>
      <c r="C602" s="137" t="inlineStr">
        <is>
          <t>ADX4000W</t>
        </is>
      </c>
      <c r="D602" s="62" t="inlineStr">
        <is>
          <t>CTR B/D (구형)</t>
        </is>
      </c>
      <c r="E602" s="36" t="n"/>
      <c r="F602" s="21" t="n"/>
      <c r="G602" s="22" t="n"/>
      <c r="H602" s="22" t="n"/>
      <c r="I602" s="14" t="n"/>
      <c r="J602" s="14" t="n"/>
      <c r="K602" s="12" t="n"/>
      <c r="L602" s="9" t="n"/>
      <c r="M602" s="9" t="n"/>
      <c r="N602" s="9" t="n"/>
      <c r="O602" s="40">
        <f>K602+V602-AE602-AZ602</f>
        <v/>
      </c>
      <c r="P602" s="12" t="n"/>
      <c r="Q602" s="138" t="n"/>
      <c r="R602" s="16" t="n"/>
      <c r="S602" s="139" t="n"/>
      <c r="T602" s="16" t="n"/>
      <c r="U602" s="139" t="n"/>
      <c r="V602" s="16" t="n"/>
      <c r="W602" s="16" t="n"/>
      <c r="X602" s="139" t="n"/>
      <c r="Y602" s="16" t="n"/>
      <c r="Z602" s="139" t="n"/>
      <c r="AA602" s="16" t="n"/>
      <c r="AB602" s="139" t="n"/>
      <c r="AC602" s="16" t="n"/>
      <c r="AD602" s="139" t="n"/>
      <c r="AE602" s="16" t="n"/>
      <c r="AF602" s="16" t="n"/>
      <c r="AG602" s="138" t="n"/>
      <c r="AH602" s="16" t="n"/>
      <c r="AI602" s="138" t="n"/>
      <c r="AJ602" s="16" t="n"/>
      <c r="AK602" s="138" t="n"/>
      <c r="AL602" s="16" t="n"/>
      <c r="AM602" s="138" t="n"/>
      <c r="AN602" s="16" t="n"/>
      <c r="AO602" s="138" t="n"/>
      <c r="AP602" s="16" t="n"/>
      <c r="AQ602" s="138" t="n"/>
      <c r="AR602" s="16" t="n"/>
      <c r="AS602" s="138" t="n"/>
      <c r="AT602" s="16" t="n"/>
      <c r="AU602" s="138" t="n"/>
      <c r="AV602" s="16" t="n"/>
      <c r="AW602" s="138" t="n"/>
      <c r="AX602" s="16" t="n"/>
      <c r="AY602" s="138" t="n"/>
      <c r="AZ602" s="16" t="n"/>
      <c r="BA602" s="16" t="n"/>
      <c r="BB602" s="139" t="n"/>
      <c r="BC602" s="16" t="n"/>
      <c r="BD602" s="139" t="n"/>
      <c r="BE602" s="16" t="n"/>
    </row>
    <row r="603" ht="22.5" customFormat="1" customHeight="1" s="8">
      <c r="A603" s="9" t="n">
        <v>999</v>
      </c>
      <c r="B603" s="141" t="inlineStr">
        <is>
          <t>PANEL</t>
        </is>
      </c>
      <c r="C603" s="137" t="inlineStr">
        <is>
          <t>DX3000</t>
        </is>
      </c>
      <c r="D603" s="62" t="inlineStr">
        <is>
          <t>OLED PANEL</t>
        </is>
      </c>
      <c r="E603" s="36" t="n"/>
      <c r="F603" s="21" t="n"/>
      <c r="G603" s="22" t="n"/>
      <c r="H603" s="22" t="inlineStr">
        <is>
          <t>HLP</t>
        </is>
      </c>
      <c r="I603" s="14" t="n"/>
      <c r="J603" s="14" t="n"/>
      <c r="K603" s="12" t="n"/>
      <c r="L603" s="9" t="n"/>
      <c r="M603" s="9" t="n"/>
      <c r="N603" s="9" t="n"/>
      <c r="O603" s="40">
        <f>K603+V603-AE603-AZ603</f>
        <v/>
      </c>
      <c r="P603" s="12" t="n"/>
      <c r="Q603" s="138" t="n"/>
      <c r="R603" s="16" t="n"/>
      <c r="S603" s="139" t="n"/>
      <c r="T603" s="16" t="n"/>
      <c r="U603" s="139" t="n"/>
      <c r="V603" s="16">
        <f>P603+R603+T603</f>
        <v/>
      </c>
      <c r="W603" s="16" t="n"/>
      <c r="X603" s="139" t="n"/>
      <c r="Y603" s="16" t="n"/>
      <c r="Z603" s="139" t="n"/>
      <c r="AA603" s="16" t="n"/>
      <c r="AB603" s="139" t="n"/>
      <c r="AC603" s="16" t="n"/>
      <c r="AD603" s="139" t="n"/>
      <c r="AE603" s="16">
        <f>(W603+Y603+AA603+AC603)</f>
        <v/>
      </c>
      <c r="AF603" s="16" t="n"/>
      <c r="AG603" s="138" t="n"/>
      <c r="AH603" s="16" t="n"/>
      <c r="AI603" s="138" t="n"/>
      <c r="AJ603" s="16" t="n"/>
      <c r="AK603" s="138" t="n"/>
      <c r="AL603" s="16" t="n"/>
      <c r="AM603" s="138" t="n"/>
      <c r="AN603" s="16" t="n"/>
      <c r="AO603" s="138" t="n"/>
      <c r="AP603" s="16" t="n"/>
      <c r="AQ603" s="138" t="n"/>
      <c r="AR603" s="16" t="n"/>
      <c r="AS603" s="138" t="n"/>
      <c r="AT603" s="16" t="n"/>
      <c r="AU603" s="138" t="n"/>
      <c r="AV603" s="16" t="n"/>
      <c r="AW603" s="138" t="n"/>
      <c r="AX603" s="16" t="n"/>
      <c r="AY603" s="138" t="n"/>
      <c r="AZ603" s="16">
        <f>AF603+AH603+AJ603+AL603+AN603+AP603+AR603+AT603+AV603+AX603</f>
        <v/>
      </c>
      <c r="BA603" s="16" t="n"/>
      <c r="BB603" s="139" t="n"/>
      <c r="BC603" s="16" t="n"/>
      <c r="BD603" s="139" t="n"/>
      <c r="BE603" s="16">
        <f>(BA603+BC603)</f>
        <v/>
      </c>
    </row>
    <row r="604" ht="22.5" customFormat="1" customHeight="1" s="8">
      <c r="A604" s="9" t="n">
        <v>999</v>
      </c>
      <c r="B604" s="141" t="inlineStr">
        <is>
          <t>ABS 난연</t>
        </is>
      </c>
      <c r="C604" s="137" t="inlineStr">
        <is>
          <t>DX3000</t>
        </is>
      </c>
      <c r="D604" s="62" t="inlineStr">
        <is>
          <t>OLED GUIDE</t>
        </is>
      </c>
      <c r="E604" s="36" t="inlineStr">
        <is>
          <t>ABS 난연 블랙</t>
        </is>
      </c>
      <c r="F604" s="21" t="n"/>
      <c r="G604" s="22" t="n"/>
      <c r="H604" s="22" t="inlineStr">
        <is>
          <t>뉴퓨처</t>
        </is>
      </c>
      <c r="I604" s="14" t="n"/>
      <c r="J604" s="14" t="n"/>
      <c r="K604" s="12" t="n"/>
      <c r="L604" s="9" t="n"/>
      <c r="M604" s="9" t="n"/>
      <c r="N604" s="9" t="n"/>
      <c r="O604" s="40">
        <f>K604+V604-AE604-AZ604</f>
        <v/>
      </c>
      <c r="P604" s="12" t="n"/>
      <c r="Q604" s="138" t="n"/>
      <c r="R604" s="16" t="n"/>
      <c r="S604" s="139" t="n"/>
      <c r="T604" s="16" t="n"/>
      <c r="U604" s="139" t="n"/>
      <c r="V604" s="16">
        <f>P604+R604+T604</f>
        <v/>
      </c>
      <c r="W604" s="16" t="n"/>
      <c r="X604" s="139" t="n"/>
      <c r="Y604" s="16" t="n"/>
      <c r="Z604" s="139" t="n"/>
      <c r="AA604" s="16" t="n"/>
      <c r="AB604" s="139" t="n"/>
      <c r="AC604" s="16" t="n"/>
      <c r="AD604" s="139" t="n"/>
      <c r="AE604" s="16">
        <f>(W604+Y604+AA604+AC604)</f>
        <v/>
      </c>
      <c r="AF604" s="16" t="n"/>
      <c r="AG604" s="138" t="n"/>
      <c r="AH604" s="16" t="n"/>
      <c r="AI604" s="138" t="n"/>
      <c r="AJ604" s="16" t="n"/>
      <c r="AK604" s="138" t="n"/>
      <c r="AL604" s="16" t="n"/>
      <c r="AM604" s="138" t="n"/>
      <c r="AN604" s="16" t="n"/>
      <c r="AO604" s="138" t="n"/>
      <c r="AP604" s="16" t="n"/>
      <c r="AQ604" s="138" t="n"/>
      <c r="AR604" s="16" t="n"/>
      <c r="AS604" s="138" t="n"/>
      <c r="AT604" s="16" t="n"/>
      <c r="AU604" s="138" t="n"/>
      <c r="AV604" s="16" t="n"/>
      <c r="AW604" s="138" t="n"/>
      <c r="AX604" s="16" t="n"/>
      <c r="AY604" s="138" t="n"/>
      <c r="AZ604" s="16">
        <f>AF604+AH604+AJ604+AL604+AN604+AP604+AR604+AT604+AV604+AX604</f>
        <v/>
      </c>
      <c r="BA604" s="16" t="n"/>
      <c r="BB604" s="139" t="n"/>
      <c r="BC604" s="16" t="n"/>
      <c r="BD604" s="139" t="n"/>
      <c r="BE604" s="16">
        <f>(BA604+BC604)</f>
        <v/>
      </c>
    </row>
    <row r="605" ht="22.5" customFormat="1" customHeight="1" s="8">
      <c r="A605" s="9" t="n">
        <v>999</v>
      </c>
      <c r="B605" s="141" t="inlineStr">
        <is>
          <t>CABLE</t>
        </is>
      </c>
      <c r="C605" s="137" t="inlineStr">
        <is>
          <t>DX3000</t>
        </is>
      </c>
      <c r="D605" s="62" t="inlineStr">
        <is>
          <t>FFC 10핀</t>
        </is>
      </c>
      <c r="E605" s="36" t="n"/>
      <c r="F605" s="21" t="n"/>
      <c r="G605" s="22" t="n"/>
      <c r="H605" s="22" t="inlineStr">
        <is>
          <t>HLP</t>
        </is>
      </c>
      <c r="I605" s="14" t="n"/>
      <c r="J605" s="14" t="n"/>
      <c r="K605" s="12" t="n"/>
      <c r="L605" s="9" t="n"/>
      <c r="M605" s="9" t="n"/>
      <c r="N605" s="9" t="n"/>
      <c r="O605" s="40">
        <f>K605+V605-AE605-AZ605</f>
        <v/>
      </c>
      <c r="P605" s="12" t="n"/>
      <c r="Q605" s="138" t="n"/>
      <c r="R605" s="16" t="n"/>
      <c r="S605" s="139" t="n"/>
      <c r="T605" s="16" t="n"/>
      <c r="U605" s="139" t="n"/>
      <c r="V605" s="16">
        <f>P605+R605+T605</f>
        <v/>
      </c>
      <c r="W605" s="16" t="n"/>
      <c r="X605" s="139" t="n"/>
      <c r="Y605" s="16" t="n"/>
      <c r="Z605" s="139" t="n"/>
      <c r="AA605" s="16" t="n"/>
      <c r="AB605" s="139" t="n"/>
      <c r="AC605" s="16" t="n"/>
      <c r="AD605" s="139" t="n"/>
      <c r="AE605" s="16">
        <f>(W605+Y605+AA605+AC605)</f>
        <v/>
      </c>
      <c r="AF605" s="16" t="n"/>
      <c r="AG605" s="138" t="n"/>
      <c r="AH605" s="16" t="n"/>
      <c r="AI605" s="138" t="n"/>
      <c r="AJ605" s="16" t="n"/>
      <c r="AK605" s="138" t="n"/>
      <c r="AL605" s="16" t="n"/>
      <c r="AM605" s="138" t="n"/>
      <c r="AN605" s="16" t="n"/>
      <c r="AO605" s="138" t="n"/>
      <c r="AP605" s="16" t="n"/>
      <c r="AQ605" s="138" t="n"/>
      <c r="AR605" s="16" t="n"/>
      <c r="AS605" s="138" t="n"/>
      <c r="AT605" s="16" t="n"/>
      <c r="AU605" s="138" t="n"/>
      <c r="AV605" s="16" t="n"/>
      <c r="AW605" s="138" t="n"/>
      <c r="AX605" s="16" t="n"/>
      <c r="AY605" s="138" t="n"/>
      <c r="AZ605" s="16">
        <f>AF605+AH605+AJ605+AL605+AN605+AP605+AR605+AT605+AV605+AX605</f>
        <v/>
      </c>
      <c r="BA605" s="16" t="n"/>
      <c r="BB605" s="139" t="n"/>
      <c r="BC605" s="16" t="n"/>
      <c r="BD605" s="139" t="n"/>
      <c r="BE605" s="16">
        <f>(BA605+BC605)</f>
        <v/>
      </c>
    </row>
    <row r="606" ht="22.5" customFormat="1" customHeight="1" s="8">
      <c r="A606" s="9" t="n">
        <v>999</v>
      </c>
      <c r="B606" s="136" t="inlineStr">
        <is>
          <t>CABLE</t>
        </is>
      </c>
      <c r="C606" s="137" t="inlineStr">
        <is>
          <t>COCOON</t>
        </is>
      </c>
      <c r="D606" s="78" t="inlineStr">
        <is>
          <t>하네스 3번</t>
        </is>
      </c>
      <c r="E606" s="13" t="inlineStr">
        <is>
          <t>FFC CABLE 1mm*30P*200*A CTR BD*OP BD FFC CABLE (같은 방향) (구형, 신형)</t>
        </is>
      </c>
      <c r="F606" s="12" t="n"/>
      <c r="G606" s="9" t="n"/>
      <c r="H606" s="9" t="inlineStr">
        <is>
          <t>HLP</t>
        </is>
      </c>
      <c r="I606" s="14" t="n"/>
      <c r="J606" s="14" t="n"/>
      <c r="K606" s="12" t="n"/>
      <c r="L606" s="9" t="n"/>
      <c r="M606" s="9" t="n"/>
      <c r="N606" s="9" t="n"/>
      <c r="O606" s="40">
        <f>K606+V606-AE606-AZ606</f>
        <v/>
      </c>
      <c r="P606" s="12" t="n"/>
      <c r="Q606" s="138" t="n"/>
      <c r="R606" s="16" t="n"/>
      <c r="S606" s="139" t="n"/>
      <c r="T606" s="16" t="n"/>
      <c r="U606" s="139" t="n"/>
      <c r="V606" s="16">
        <f>P606+R606+T606</f>
        <v/>
      </c>
      <c r="W606" s="16" t="n"/>
      <c r="X606" s="139" t="n"/>
      <c r="Y606" s="16" t="n"/>
      <c r="Z606" s="139" t="n"/>
      <c r="AA606" s="16" t="n"/>
      <c r="AB606" s="139" t="n"/>
      <c r="AC606" s="16" t="n"/>
      <c r="AD606" s="139" t="n"/>
      <c r="AE606" s="16">
        <f>(W606+Y606+AA606+AC606)</f>
        <v/>
      </c>
      <c r="AF606" s="16" t="n"/>
      <c r="AG606" s="138" t="n"/>
      <c r="AH606" s="16" t="n"/>
      <c r="AI606" s="138" t="n"/>
      <c r="AJ606" s="16" t="n"/>
      <c r="AK606" s="138" t="n"/>
      <c r="AL606" s="16" t="n"/>
      <c r="AM606" s="138" t="n"/>
      <c r="AN606" s="16" t="n"/>
      <c r="AO606" s="138" t="n"/>
      <c r="AP606" s="16" t="n"/>
      <c r="AQ606" s="138" t="n"/>
      <c r="AR606" s="16" t="n"/>
      <c r="AS606" s="138" t="n"/>
      <c r="AT606" s="16" t="n"/>
      <c r="AU606" s="138" t="n"/>
      <c r="AV606" s="16" t="n"/>
      <c r="AW606" s="138" t="n"/>
      <c r="AX606" s="16" t="n"/>
      <c r="AY606" s="138" t="n"/>
      <c r="AZ606" s="16">
        <f>AF606+AH606+AJ606+AL606+AN606+AP606+AR606+AT606+AV606+AX606</f>
        <v/>
      </c>
      <c r="BA606" s="16" t="n"/>
      <c r="BB606" s="139" t="n"/>
      <c r="BC606" s="16" t="n"/>
      <c r="BD606" s="139" t="n"/>
      <c r="BE606" s="16">
        <f>(BA606+BC606)</f>
        <v/>
      </c>
    </row>
    <row r="607" ht="22.5" customFormat="1" customHeight="1" s="8">
      <c r="A607" s="9" t="n">
        <v>999</v>
      </c>
      <c r="B607" s="136" t="inlineStr">
        <is>
          <t>CABLE</t>
        </is>
      </c>
      <c r="C607" s="137" t="inlineStr">
        <is>
          <t>COCOON</t>
        </is>
      </c>
      <c r="D607" s="145" t="inlineStr">
        <is>
          <t>하네스 12번</t>
        </is>
      </c>
      <c r="E607" s="13" t="inlineStr">
        <is>
          <t>FLAT 30P 2.0mm, L=205mm, 1:1 CTR BD * OP BD 연결 30핀</t>
        </is>
      </c>
      <c r="F607" s="12" t="n"/>
      <c r="G607" s="9" t="n"/>
      <c r="H607" s="9" t="inlineStr">
        <is>
          <t>HLP</t>
        </is>
      </c>
      <c r="I607" s="14" t="n"/>
      <c r="J607" s="14" t="n"/>
      <c r="K607" s="12" t="n"/>
      <c r="L607" s="9" t="n"/>
      <c r="M607" s="9" t="n"/>
      <c r="N607" s="9" t="n"/>
      <c r="O607" s="40">
        <f>K607+V607-AE607-AZ607</f>
        <v/>
      </c>
      <c r="P607" s="12" t="n"/>
      <c r="Q607" s="138" t="n"/>
      <c r="R607" s="16" t="n"/>
      <c r="S607" s="139" t="n"/>
      <c r="T607" s="16" t="n"/>
      <c r="U607" s="139" t="n"/>
      <c r="V607" s="16">
        <f>P607+R607+T607</f>
        <v/>
      </c>
      <c r="W607" s="16" t="n"/>
      <c r="X607" s="139" t="n"/>
      <c r="Y607" s="16" t="n"/>
      <c r="Z607" s="139" t="n"/>
      <c r="AA607" s="16" t="n"/>
      <c r="AB607" s="139" t="n"/>
      <c r="AC607" s="16" t="n"/>
      <c r="AD607" s="139" t="n"/>
      <c r="AE607" s="16">
        <f>(W607+Y607+AA607+AC607)</f>
        <v/>
      </c>
      <c r="AF607" s="16" t="n"/>
      <c r="AG607" s="138" t="n"/>
      <c r="AH607" s="16" t="n"/>
      <c r="AI607" s="138" t="n"/>
      <c r="AJ607" s="16" t="n"/>
      <c r="AK607" s="138" t="n"/>
      <c r="AL607" s="16" t="n"/>
      <c r="AM607" s="138" t="n"/>
      <c r="AN607" s="16" t="n"/>
      <c r="AO607" s="138" t="n"/>
      <c r="AP607" s="16" t="n"/>
      <c r="AQ607" s="138" t="n"/>
      <c r="AR607" s="16" t="n"/>
      <c r="AS607" s="138" t="n"/>
      <c r="AT607" s="16" t="n"/>
      <c r="AU607" s="138" t="n"/>
      <c r="AV607" s="16" t="n"/>
      <c r="AW607" s="138" t="n"/>
      <c r="AX607" s="16" t="n"/>
      <c r="AY607" s="138" t="n"/>
      <c r="AZ607" s="16">
        <f>AF607+AH607+AJ607+AL607+AN607+AP607+AR607+AT607+AV607+AX607</f>
        <v/>
      </c>
      <c r="BA607" s="16" t="n"/>
      <c r="BB607" s="139" t="n"/>
      <c r="BC607" s="16" t="n"/>
      <c r="BD607" s="139" t="n"/>
      <c r="BE607" s="16">
        <f>(BA607+BC607)</f>
        <v/>
      </c>
    </row>
    <row r="608" ht="22.5" customFormat="1" customHeight="1" s="8">
      <c r="A608" s="9" t="n">
        <v>999</v>
      </c>
      <c r="B608" s="136" t="inlineStr">
        <is>
          <t>CABLE</t>
        </is>
      </c>
      <c r="C608" s="137" t="inlineStr">
        <is>
          <t>COCOON</t>
        </is>
      </c>
      <c r="D608" s="145" t="inlineStr">
        <is>
          <t>하네스 7-1번</t>
        </is>
      </c>
      <c r="E608" s="13" t="inlineStr">
        <is>
          <t>12505HS-05 70mm OP BD+TOUCH BD 5핀</t>
        </is>
      </c>
      <c r="F608" s="12" t="n"/>
      <c r="G608" s="9" t="n"/>
      <c r="H608" s="9" t="inlineStr">
        <is>
          <t>HLP</t>
        </is>
      </c>
      <c r="I608" s="14" t="n"/>
      <c r="J608" s="14" t="n"/>
      <c r="K608" s="12" t="n"/>
      <c r="L608" s="9" t="n"/>
      <c r="M608" s="9" t="n"/>
      <c r="N608" s="9" t="n"/>
      <c r="O608" s="40">
        <f>K608+V608-AE608-AZ608</f>
        <v/>
      </c>
      <c r="P608" s="12" t="n"/>
      <c r="Q608" s="138" t="n"/>
      <c r="R608" s="16" t="n"/>
      <c r="S608" s="139" t="n"/>
      <c r="T608" s="16" t="n"/>
      <c r="U608" s="139" t="n"/>
      <c r="V608" s="16">
        <f>P608+R608+T608</f>
        <v/>
      </c>
      <c r="W608" s="16" t="n"/>
      <c r="X608" s="139" t="n"/>
      <c r="Y608" s="16" t="n"/>
      <c r="Z608" s="139" t="n"/>
      <c r="AA608" s="16" t="n"/>
      <c r="AB608" s="139" t="n"/>
      <c r="AC608" s="16" t="n"/>
      <c r="AD608" s="139" t="n"/>
      <c r="AE608" s="16">
        <f>(W608+Y608+AA608+AC608)</f>
        <v/>
      </c>
      <c r="AF608" s="16" t="n"/>
      <c r="AG608" s="138" t="n"/>
      <c r="AH608" s="16" t="n"/>
      <c r="AI608" s="138" t="n"/>
      <c r="AJ608" s="16" t="n"/>
      <c r="AK608" s="138" t="n"/>
      <c r="AL608" s="16" t="n"/>
      <c r="AM608" s="138" t="n"/>
      <c r="AN608" s="16" t="n"/>
      <c r="AO608" s="138" t="n"/>
      <c r="AP608" s="16" t="n"/>
      <c r="AQ608" s="138" t="n"/>
      <c r="AR608" s="16" t="n"/>
      <c r="AS608" s="138" t="n"/>
      <c r="AT608" s="16" t="n"/>
      <c r="AU608" s="138" t="n"/>
      <c r="AV608" s="16" t="n"/>
      <c r="AW608" s="138" t="n"/>
      <c r="AX608" s="16" t="n"/>
      <c r="AY608" s="138" t="n"/>
      <c r="AZ608" s="16">
        <f>AF608+AH608+AJ608+AL608+AN608+AP608+AR608+AT608+AV608+AX608</f>
        <v/>
      </c>
      <c r="BA608" s="16" t="n"/>
      <c r="BB608" s="139" t="n"/>
      <c r="BC608" s="16" t="n"/>
      <c r="BD608" s="139" t="n"/>
      <c r="BE608" s="16">
        <f>(BA608+BC608)</f>
        <v/>
      </c>
    </row>
    <row r="609" ht="22.5" customFormat="1" customHeight="1" s="8">
      <c r="A609" s="9" t="n">
        <v>999</v>
      </c>
      <c r="B609" s="136" t="inlineStr">
        <is>
          <t>PCB</t>
        </is>
      </c>
      <c r="C609" s="137" t="inlineStr">
        <is>
          <t>COCOON</t>
        </is>
      </c>
      <c r="D609" s="145" t="inlineStr">
        <is>
          <t>POWER BD</t>
        </is>
      </c>
      <c r="E609" s="13" t="n"/>
      <c r="F609" s="12" t="n"/>
      <c r="G609" s="9" t="n"/>
      <c r="H609" s="9" t="inlineStr">
        <is>
          <t>HLP</t>
        </is>
      </c>
      <c r="I609" s="14" t="n"/>
      <c r="J609" s="14" t="n"/>
      <c r="K609" s="12" t="n"/>
      <c r="L609" s="9" t="n"/>
      <c r="M609" s="9" t="n"/>
      <c r="N609" s="9" t="n"/>
      <c r="O609" s="40">
        <f>K609+V609-AE609-AZ609</f>
        <v/>
      </c>
      <c r="P609" s="12" t="n"/>
      <c r="Q609" s="138" t="n"/>
      <c r="R609" s="16" t="n"/>
      <c r="S609" s="139" t="n"/>
      <c r="T609" s="16" t="n"/>
      <c r="U609" s="139" t="n"/>
      <c r="V609" s="16">
        <f>P609+R609+T609</f>
        <v/>
      </c>
      <c r="W609" s="16" t="n"/>
      <c r="X609" s="139" t="n"/>
      <c r="Y609" s="16" t="n"/>
      <c r="Z609" s="139" t="n"/>
      <c r="AA609" s="16" t="n"/>
      <c r="AB609" s="139" t="n"/>
      <c r="AC609" s="16" t="n"/>
      <c r="AD609" s="139" t="n"/>
      <c r="AE609" s="16">
        <f>(W609+Y609+AA609+AC609)</f>
        <v/>
      </c>
      <c r="AF609" s="16" t="n"/>
      <c r="AG609" s="138" t="n"/>
      <c r="AH609" s="16" t="n"/>
      <c r="AI609" s="138" t="n"/>
      <c r="AJ609" s="16" t="n"/>
      <c r="AK609" s="138" t="n"/>
      <c r="AL609" s="16" t="n"/>
      <c r="AM609" s="138" t="n"/>
      <c r="AN609" s="16" t="n"/>
      <c r="AO609" s="138" t="n"/>
      <c r="AP609" s="16" t="n"/>
      <c r="AQ609" s="138" t="n"/>
      <c r="AR609" s="16" t="n"/>
      <c r="AS609" s="138" t="n"/>
      <c r="AT609" s="16" t="n"/>
      <c r="AU609" s="138" t="n"/>
      <c r="AV609" s="16" t="n"/>
      <c r="AW609" s="138" t="n"/>
      <c r="AX609" s="16" t="n"/>
      <c r="AY609" s="138" t="n"/>
      <c r="AZ609" s="16">
        <f>AF609+AH609+AJ609+AL609+AN609+AP609+AR609+AT609+AV609+AX609</f>
        <v/>
      </c>
      <c r="BA609" s="16" t="n"/>
      <c r="BB609" s="139" t="n"/>
      <c r="BC609" s="16" t="n"/>
      <c r="BD609" s="139" t="n"/>
      <c r="BE609" s="16">
        <f>(BA609+BC609)</f>
        <v/>
      </c>
    </row>
    <row r="610" ht="22.5" customFormat="1" customHeight="1" s="8">
      <c r="A610" s="9" t="n"/>
      <c r="B610" s="141" t="inlineStr">
        <is>
          <t>PCB</t>
        </is>
      </c>
      <c r="C610" s="137" t="inlineStr">
        <is>
          <t>ADX6000</t>
        </is>
      </c>
      <c r="D610" s="62" t="inlineStr">
        <is>
          <t>CTR B/D</t>
        </is>
      </c>
      <c r="E610" s="36" t="n"/>
      <c r="F610" s="100" t="n"/>
      <c r="G610" s="22" t="n"/>
      <c r="H610" s="22" t="inlineStr">
        <is>
          <t>HLP</t>
        </is>
      </c>
      <c r="I610" s="14" t="n"/>
      <c r="J610" s="14" t="n"/>
      <c r="K610" s="12" t="n"/>
      <c r="L610" s="9" t="n"/>
      <c r="M610" s="9" t="n"/>
      <c r="N610" s="9" t="n"/>
      <c r="O610" s="40">
        <f>K610+V610-AE610-AZ610</f>
        <v/>
      </c>
      <c r="P610" s="12" t="n"/>
      <c r="Q610" s="138" t="n"/>
      <c r="R610" s="16" t="n"/>
      <c r="S610" s="139" t="n"/>
      <c r="T610" s="16" t="n"/>
      <c r="U610" s="139" t="n"/>
      <c r="V610" s="16">
        <f>P610+R610+T610</f>
        <v/>
      </c>
      <c r="W610" s="16" t="n"/>
      <c r="X610" s="139" t="n"/>
      <c r="Y610" s="16" t="n"/>
      <c r="Z610" s="139" t="n"/>
      <c r="AA610" s="16" t="n"/>
      <c r="AB610" s="139" t="n"/>
      <c r="AC610" s="16" t="n"/>
      <c r="AD610" s="139" t="n"/>
      <c r="AE610" s="16">
        <f>(W610+Y610+AA610+AC610)</f>
        <v/>
      </c>
      <c r="AF610" s="16" t="n"/>
      <c r="AG610" s="138" t="n"/>
      <c r="AH610" s="16" t="n"/>
      <c r="AI610" s="138" t="n"/>
      <c r="AJ610" s="16" t="n"/>
      <c r="AK610" s="138" t="n"/>
      <c r="AL610" s="16" t="n"/>
      <c r="AM610" s="138" t="n"/>
      <c r="AN610" s="16" t="n"/>
      <c r="AO610" s="138" t="n"/>
      <c r="AP610" s="16" t="n"/>
      <c r="AQ610" s="138" t="n"/>
      <c r="AR610" s="16" t="n"/>
      <c r="AS610" s="138" t="n"/>
      <c r="AT610" s="16" t="n"/>
      <c r="AU610" s="138" t="n"/>
      <c r="AV610" s="16" t="n"/>
      <c r="AW610" s="138" t="n"/>
      <c r="AX610" s="16" t="n"/>
      <c r="AY610" s="138" t="n"/>
      <c r="AZ610" s="16">
        <f>AF610+AH610+AJ610+AL610+AN610+AP610+AR610+AT610+AV610+AX610</f>
        <v/>
      </c>
      <c r="BA610" s="16" t="n"/>
      <c r="BB610" s="139" t="n"/>
      <c r="BC610" s="16" t="n"/>
      <c r="BD610" s="139" t="n"/>
      <c r="BE610" s="16">
        <f>(BA610+BC610)</f>
        <v/>
      </c>
    </row>
    <row r="611" ht="22.5" customFormat="1" customHeight="1" s="8">
      <c r="A611" s="9" t="n"/>
      <c r="B611" s="141" t="inlineStr">
        <is>
          <t>PCB</t>
        </is>
      </c>
      <c r="C611" s="137" t="inlineStr">
        <is>
          <t>ADX6000</t>
        </is>
      </c>
      <c r="D611" s="71" t="inlineStr">
        <is>
          <t>INNER USB B/D</t>
        </is>
      </c>
      <c r="E611" s="36" t="n"/>
      <c r="F611" s="100" t="n"/>
      <c r="G611" s="22" t="n"/>
      <c r="H611" s="22" t="inlineStr">
        <is>
          <t>HLP</t>
        </is>
      </c>
      <c r="I611" s="14" t="n"/>
      <c r="J611" s="14" t="n"/>
      <c r="K611" s="12" t="n"/>
      <c r="L611" s="9" t="n"/>
      <c r="M611" s="9" t="n"/>
      <c r="N611" s="9" t="n"/>
      <c r="O611" s="40">
        <f>K611+V611-AE611-AZ611</f>
        <v/>
      </c>
      <c r="P611" s="12" t="n"/>
      <c r="Q611" s="138" t="n"/>
      <c r="R611" s="16" t="n"/>
      <c r="S611" s="139" t="n"/>
      <c r="T611" s="16" t="n"/>
      <c r="U611" s="139" t="n"/>
      <c r="V611" s="16">
        <f>P611+R611+T611</f>
        <v/>
      </c>
      <c r="W611" s="16" t="n"/>
      <c r="X611" s="139" t="n"/>
      <c r="Y611" s="16" t="n"/>
      <c r="Z611" s="139" t="n"/>
      <c r="AA611" s="16" t="n"/>
      <c r="AB611" s="139" t="n"/>
      <c r="AC611" s="16" t="n"/>
      <c r="AD611" s="139" t="n"/>
      <c r="AE611" s="16">
        <f>(W611+Y611+AA611+AC611)</f>
        <v/>
      </c>
      <c r="AF611" s="16" t="n"/>
      <c r="AG611" s="138" t="n"/>
      <c r="AH611" s="16" t="n"/>
      <c r="AI611" s="138" t="n"/>
      <c r="AJ611" s="16" t="n"/>
      <c r="AK611" s="138" t="n"/>
      <c r="AL611" s="16" t="n"/>
      <c r="AM611" s="138" t="n"/>
      <c r="AN611" s="16" t="n"/>
      <c r="AO611" s="138" t="n"/>
      <c r="AP611" s="16" t="n"/>
      <c r="AQ611" s="138" t="n"/>
      <c r="AR611" s="16" t="n"/>
      <c r="AS611" s="138" t="n"/>
      <c r="AT611" s="16" t="n"/>
      <c r="AU611" s="138" t="n"/>
      <c r="AV611" s="16" t="n"/>
      <c r="AW611" s="138" t="n"/>
      <c r="AX611" s="16" t="n"/>
      <c r="AY611" s="138" t="n"/>
      <c r="AZ611" s="16">
        <f>AF611+AH611+AJ611+AL611+AN611+AP611+AR611+AT611+AV611+AX611</f>
        <v/>
      </c>
      <c r="BA611" s="16" t="n"/>
      <c r="BB611" s="139" t="n"/>
      <c r="BC611" s="16" t="n"/>
      <c r="BD611" s="139" t="n"/>
      <c r="BE611" s="16">
        <f>(BA611+BC611)</f>
        <v/>
      </c>
    </row>
    <row r="612" ht="22.5" customFormat="1" customHeight="1" s="8">
      <c r="A612" s="9" t="n"/>
      <c r="B612" s="136" t="inlineStr">
        <is>
          <t>PCB</t>
        </is>
      </c>
      <c r="C612" s="137" t="inlineStr">
        <is>
          <t>ADX6000</t>
        </is>
      </c>
      <c r="D612" s="84" t="inlineStr">
        <is>
          <t>LCD B/D</t>
        </is>
      </c>
      <c r="E612" s="13" t="n"/>
      <c r="F612" s="100" t="n"/>
      <c r="G612" s="9" t="n"/>
      <c r="H612" s="9" t="inlineStr">
        <is>
          <t>HLP</t>
        </is>
      </c>
      <c r="I612" s="14" t="n"/>
      <c r="J612" s="14" t="n"/>
      <c r="K612" s="12" t="n"/>
      <c r="L612" s="9" t="n"/>
      <c r="M612" s="9" t="n"/>
      <c r="N612" s="9" t="n"/>
      <c r="O612" s="40">
        <f>K612+V612-AE612-AZ612</f>
        <v/>
      </c>
      <c r="P612" s="12" t="n"/>
      <c r="Q612" s="138" t="n"/>
      <c r="R612" s="16" t="n"/>
      <c r="S612" s="139" t="n"/>
      <c r="T612" s="16" t="n"/>
      <c r="U612" s="139" t="n"/>
      <c r="V612" s="16">
        <f>P612+R612+T612</f>
        <v/>
      </c>
      <c r="W612" s="16" t="n"/>
      <c r="X612" s="139" t="n"/>
      <c r="Y612" s="16" t="n"/>
      <c r="Z612" s="139" t="n"/>
      <c r="AA612" s="16" t="n"/>
      <c r="AB612" s="139" t="n"/>
      <c r="AC612" s="16" t="n"/>
      <c r="AD612" s="139" t="n"/>
      <c r="AE612" s="16">
        <f>(W612+Y612+AA612+AC612)</f>
        <v/>
      </c>
      <c r="AF612" s="16" t="n"/>
      <c r="AG612" s="138" t="n"/>
      <c r="AH612" s="16" t="n"/>
      <c r="AI612" s="138" t="n"/>
      <c r="AJ612" s="16" t="n"/>
      <c r="AK612" s="138" t="n"/>
      <c r="AL612" s="16" t="n"/>
      <c r="AM612" s="138" t="n"/>
      <c r="AN612" s="16" t="n"/>
      <c r="AO612" s="138" t="n"/>
      <c r="AP612" s="16" t="n"/>
      <c r="AQ612" s="138" t="n"/>
      <c r="AR612" s="16" t="n"/>
      <c r="AS612" s="138" t="n"/>
      <c r="AT612" s="16" t="n"/>
      <c r="AU612" s="138" t="n"/>
      <c r="AV612" s="16" t="n"/>
      <c r="AW612" s="138" t="n"/>
      <c r="AX612" s="16" t="n"/>
      <c r="AY612" s="138" t="n"/>
      <c r="AZ612" s="16">
        <f>AF612+AH612+AJ612+AL612+AN612+AP612+AR612+AT612+AV612+AX612</f>
        <v/>
      </c>
      <c r="BA612" s="16" t="n"/>
      <c r="BB612" s="139" t="n"/>
      <c r="BC612" s="16" t="n"/>
      <c r="BD612" s="139" t="n"/>
      <c r="BE612" s="16">
        <f>(BA612+BC612)</f>
        <v/>
      </c>
    </row>
    <row r="613" ht="22.5" customFormat="1" customHeight="1" s="8">
      <c r="A613" s="9" t="n"/>
      <c r="B613" s="136" t="inlineStr">
        <is>
          <t>PCB</t>
        </is>
      </c>
      <c r="C613" s="137" t="inlineStr">
        <is>
          <t>ADX6000</t>
        </is>
      </c>
      <c r="D613" s="65" t="inlineStr">
        <is>
          <t>Carrier B/D (구형 KONTRON)</t>
        </is>
      </c>
      <c r="E613" s="13" t="n"/>
      <c r="F613" s="100" t="n"/>
      <c r="G613" s="9" t="n"/>
      <c r="H613" s="9" t="inlineStr">
        <is>
          <t>비씨엠테크</t>
        </is>
      </c>
      <c r="I613" s="14" t="n"/>
      <c r="J613" s="14" t="n"/>
      <c r="K613" s="12" t="n"/>
      <c r="L613" s="9" t="n"/>
      <c r="M613" s="9" t="n"/>
      <c r="N613" s="9" t="n"/>
      <c r="O613" s="40">
        <f>K613+V613-AE613-AZ613</f>
        <v/>
      </c>
      <c r="P613" s="12" t="n"/>
      <c r="Q613" s="138" t="n"/>
      <c r="R613" s="16" t="n"/>
      <c r="S613" s="139" t="n"/>
      <c r="T613" s="16" t="n"/>
      <c r="U613" s="139" t="n"/>
      <c r="V613" s="16">
        <f>P613+R613+T613</f>
        <v/>
      </c>
      <c r="W613" s="16" t="n"/>
      <c r="X613" s="139" t="n"/>
      <c r="Y613" s="16" t="n"/>
      <c r="Z613" s="139" t="n"/>
      <c r="AA613" s="16" t="n"/>
      <c r="AB613" s="139" t="n"/>
      <c r="AC613" s="16" t="n"/>
      <c r="AD613" s="139" t="n"/>
      <c r="AE613" s="16">
        <f>(W613+Y613+AA613+AC613)</f>
        <v/>
      </c>
      <c r="AF613" s="16" t="n"/>
      <c r="AG613" s="138" t="n"/>
      <c r="AH613" s="16" t="n"/>
      <c r="AI613" s="138" t="n"/>
      <c r="AJ613" s="16" t="n"/>
      <c r="AK613" s="138" t="n"/>
      <c r="AL613" s="16" t="n"/>
      <c r="AM613" s="138" t="n"/>
      <c r="AN613" s="16" t="n"/>
      <c r="AO613" s="138" t="n"/>
      <c r="AP613" s="16" t="n"/>
      <c r="AQ613" s="138" t="n"/>
      <c r="AR613" s="16" t="n"/>
      <c r="AS613" s="138" t="n"/>
      <c r="AT613" s="16" t="n"/>
      <c r="AU613" s="138" t="n"/>
      <c r="AV613" s="16" t="n"/>
      <c r="AW613" s="138" t="n"/>
      <c r="AX613" s="16" t="n"/>
      <c r="AY613" s="138" t="n"/>
      <c r="AZ613" s="16">
        <f>AF613+AH613+AJ613+AL613+AN613+AP613+AR613+AT613+AV613+AX613</f>
        <v/>
      </c>
      <c r="BA613" s="16" t="n"/>
      <c r="BB613" s="139" t="n"/>
      <c r="BC613" s="16" t="n"/>
      <c r="BD613" s="139" t="n"/>
      <c r="BE613" s="16">
        <f>(BA613+BC613)</f>
        <v/>
      </c>
    </row>
    <row r="614" ht="22.5" customFormat="1" customHeight="1" s="8">
      <c r="A614" s="9" t="n"/>
      <c r="B614" s="136" t="inlineStr">
        <is>
          <t>PCB</t>
        </is>
      </c>
      <c r="C614" s="137" t="inlineStr">
        <is>
          <t>ADX6000</t>
        </is>
      </c>
      <c r="D614" s="84" t="inlineStr">
        <is>
          <t>Carrier B/D (신형 DFI)</t>
        </is>
      </c>
      <c r="E614" s="13" t="n"/>
      <c r="F614" s="100" t="n"/>
      <c r="G614" s="9" t="n"/>
      <c r="H614" s="9" t="inlineStr">
        <is>
          <t>비씨엠테크</t>
        </is>
      </c>
      <c r="I614" s="14" t="n"/>
      <c r="J614" s="14" t="n"/>
      <c r="K614" s="12" t="n"/>
      <c r="L614" s="9" t="n"/>
      <c r="M614" s="9" t="n"/>
      <c r="N614" s="9" t="n"/>
      <c r="O614" s="40">
        <f>K614+V614-AE614-AZ614</f>
        <v/>
      </c>
      <c r="P614" s="12" t="n"/>
      <c r="Q614" s="138" t="n"/>
      <c r="R614" s="16" t="n"/>
      <c r="S614" s="139" t="n"/>
      <c r="T614" s="16" t="n"/>
      <c r="U614" s="139" t="n"/>
      <c r="V614" s="16">
        <f>P614+R614+T614</f>
        <v/>
      </c>
      <c r="W614" s="16" t="n"/>
      <c r="X614" s="139" t="n"/>
      <c r="Y614" s="16" t="n"/>
      <c r="Z614" s="139" t="n"/>
      <c r="AA614" s="16" t="n"/>
      <c r="AB614" s="139" t="n"/>
      <c r="AC614" s="16" t="n"/>
      <c r="AD614" s="139" t="n"/>
      <c r="AE614" s="16">
        <f>(W614+Y614+AA614+AC614)</f>
        <v/>
      </c>
      <c r="AF614" s="16" t="n"/>
      <c r="AG614" s="138" t="n"/>
      <c r="AH614" s="16" t="n"/>
      <c r="AI614" s="138" t="n"/>
      <c r="AJ614" s="16" t="n"/>
      <c r="AK614" s="138" t="n"/>
      <c r="AL614" s="16" t="n"/>
      <c r="AM614" s="138" t="n"/>
      <c r="AN614" s="16" t="n"/>
      <c r="AO614" s="138" t="n"/>
      <c r="AP614" s="16" t="n"/>
      <c r="AQ614" s="138" t="n"/>
      <c r="AR614" s="16" t="n"/>
      <c r="AS614" s="138" t="n"/>
      <c r="AT614" s="16" t="n"/>
      <c r="AU614" s="138" t="n"/>
      <c r="AV614" s="16" t="n"/>
      <c r="AW614" s="138" t="n"/>
      <c r="AX614" s="16" t="n"/>
      <c r="AY614" s="138" t="n"/>
      <c r="AZ614" s="16">
        <f>AF614+AH614+AJ614+AL614+AN614+AP614+AR614+AT614+AV614+AX614</f>
        <v/>
      </c>
      <c r="BA614" s="16" t="n"/>
      <c r="BB614" s="139" t="n"/>
      <c r="BC614" s="16" t="n"/>
      <c r="BD614" s="139" t="n"/>
      <c r="BE614" s="16">
        <f>(BA614+BC614)</f>
        <v/>
      </c>
    </row>
    <row r="615" ht="22.5" customFormat="1" customHeight="1" s="8">
      <c r="A615" s="9" t="n"/>
      <c r="B615" s="136" t="inlineStr">
        <is>
          <t>PCB</t>
        </is>
      </c>
      <c r="C615" s="137" t="inlineStr">
        <is>
          <t>ADX6000S</t>
        </is>
      </c>
      <c r="D615" s="88" t="inlineStr">
        <is>
          <t>ETC CARRIER BD</t>
        </is>
      </c>
      <c r="E615" s="13" t="n"/>
      <c r="F615" s="100" t="n"/>
      <c r="G615" s="9" t="n"/>
      <c r="H615" s="9" t="inlineStr">
        <is>
          <t>HLP</t>
        </is>
      </c>
      <c r="I615" s="14" t="n"/>
      <c r="J615" s="14" t="n"/>
      <c r="K615" s="12" t="n"/>
      <c r="L615" s="9" t="n"/>
      <c r="M615" s="9" t="n"/>
      <c r="N615" s="9" t="n"/>
      <c r="O615" s="40">
        <f>K615+V615-AE615-AZ615</f>
        <v/>
      </c>
      <c r="P615" s="12" t="n"/>
      <c r="Q615" s="138" t="n"/>
      <c r="R615" s="16" t="n"/>
      <c r="S615" s="139" t="n"/>
      <c r="T615" s="16" t="n"/>
      <c r="U615" s="139" t="n"/>
      <c r="V615" s="16">
        <f>P615+R615+T615</f>
        <v/>
      </c>
      <c r="W615" s="16" t="n"/>
      <c r="X615" s="139" t="n"/>
      <c r="Y615" s="16" t="n"/>
      <c r="Z615" s="139" t="n"/>
      <c r="AA615" s="16" t="n"/>
      <c r="AB615" s="139" t="n"/>
      <c r="AC615" s="16" t="n"/>
      <c r="AD615" s="139" t="n"/>
      <c r="AE615" s="16">
        <f>(W615+Y615+AA615+AC615)</f>
        <v/>
      </c>
      <c r="AF615" s="16" t="n"/>
      <c r="AG615" s="138" t="n"/>
      <c r="AH615" s="16" t="n"/>
      <c r="AI615" s="138" t="n"/>
      <c r="AJ615" s="16" t="n"/>
      <c r="AK615" s="138" t="n"/>
      <c r="AL615" s="16" t="n"/>
      <c r="AM615" s="138" t="n"/>
      <c r="AN615" s="16" t="n"/>
      <c r="AO615" s="138" t="n"/>
      <c r="AP615" s="16" t="n"/>
      <c r="AQ615" s="138" t="n"/>
      <c r="AR615" s="16" t="n"/>
      <c r="AS615" s="138" t="n"/>
      <c r="AT615" s="16" t="n"/>
      <c r="AU615" s="138" t="n"/>
      <c r="AV615" s="16" t="n"/>
      <c r="AW615" s="138" t="n"/>
      <c r="AX615" s="16" t="n"/>
      <c r="AY615" s="138" t="n"/>
      <c r="AZ615" s="16">
        <f>AF615+AH615+AJ615+AL615+AN615+AP615+AR615+AT615+AV615+AX615</f>
        <v/>
      </c>
      <c r="BA615" s="16" t="n"/>
      <c r="BB615" s="139" t="n"/>
      <c r="BC615" s="16" t="n"/>
      <c r="BD615" s="139" t="n"/>
      <c r="BE615" s="16">
        <f>(BA615+BC615)</f>
        <v/>
      </c>
    </row>
    <row r="616" ht="22.5" customFormat="1" customHeight="1" s="8">
      <c r="A616" s="9" t="n"/>
      <c r="B616" s="136" t="inlineStr">
        <is>
          <t>PCB</t>
        </is>
      </c>
      <c r="C616" s="137" t="inlineStr">
        <is>
          <t>ADX6000FB/S</t>
        </is>
      </c>
      <c r="D616" s="88" t="inlineStr">
        <is>
          <t>ETC CARRIER MINI BD</t>
        </is>
      </c>
      <c r="E616" s="13" t="n"/>
      <c r="F616" s="100" t="n"/>
      <c r="G616" s="9" t="n"/>
      <c r="H616" s="9" t="inlineStr">
        <is>
          <t>HLP</t>
        </is>
      </c>
      <c r="I616" s="14" t="n"/>
      <c r="J616" s="14" t="n"/>
      <c r="K616" s="12" t="n">
        <v>104</v>
      </c>
      <c r="L616" s="9" t="n"/>
      <c r="M616" s="9" t="n"/>
      <c r="N616" s="9" t="n"/>
      <c r="O616" s="40">
        <f>K616+V616-AE616-AZ616</f>
        <v/>
      </c>
      <c r="P616" s="12" t="n"/>
      <c r="Q616" s="138" t="n"/>
      <c r="R616" s="16" t="n"/>
      <c r="S616" s="139" t="n"/>
      <c r="T616" s="16" t="n"/>
      <c r="U616" s="139" t="n"/>
      <c r="V616" s="16">
        <f>P616+R616+T616</f>
        <v/>
      </c>
      <c r="W616" s="16" t="n"/>
      <c r="X616" s="139" t="n"/>
      <c r="Y616" s="16" t="n"/>
      <c r="Z616" s="139" t="n"/>
      <c r="AA616" s="16" t="n"/>
      <c r="AB616" s="139" t="n"/>
      <c r="AC616" s="16" t="n"/>
      <c r="AD616" s="139" t="n"/>
      <c r="AE616" s="16">
        <f>(W616+Y616+AA616+AC616)</f>
        <v/>
      </c>
      <c r="AF616" s="16" t="n"/>
      <c r="AG616" s="138" t="n"/>
      <c r="AH616" s="16" t="n"/>
      <c r="AI616" s="138" t="n"/>
      <c r="AJ616" s="16" t="n"/>
      <c r="AK616" s="138" t="n"/>
      <c r="AL616" s="16" t="n"/>
      <c r="AM616" s="138" t="n"/>
      <c r="AN616" s="16" t="n"/>
      <c r="AO616" s="138" t="n"/>
      <c r="AP616" s="16" t="n"/>
      <c r="AQ616" s="138" t="n"/>
      <c r="AR616" s="16" t="n"/>
      <c r="AS616" s="138" t="n"/>
      <c r="AT616" s="16" t="n"/>
      <c r="AU616" s="138" t="n"/>
      <c r="AV616" s="16" t="n"/>
      <c r="AW616" s="138" t="n"/>
      <c r="AX616" s="16" t="n"/>
      <c r="AY616" s="138" t="n"/>
      <c r="AZ616" s="16">
        <f>AF616+AH616+AJ616+AL616+AN616+AP616+AR616+AT616+AV616+AX616</f>
        <v/>
      </c>
      <c r="BA616" s="16" t="n"/>
      <c r="BB616" s="139" t="n"/>
      <c r="BC616" s="16" t="n"/>
      <c r="BD616" s="139" t="n"/>
      <c r="BE616" s="16">
        <f>(BA616+BC616)</f>
        <v/>
      </c>
    </row>
    <row r="617" ht="22.5" customFormat="1" customHeight="1" s="8">
      <c r="A617" s="9" t="n"/>
      <c r="B617" s="136" t="inlineStr">
        <is>
          <t>PCB</t>
        </is>
      </c>
      <c r="C617" s="137" t="inlineStr">
        <is>
          <t>ADX6000</t>
        </is>
      </c>
      <c r="D617" s="88" t="inlineStr">
        <is>
          <t>Front Micro B/D</t>
        </is>
      </c>
      <c r="E617" s="13" t="n"/>
      <c r="F617" s="100" t="n"/>
      <c r="G617" s="9" t="n"/>
      <c r="H617" s="9" t="inlineStr">
        <is>
          <t>HLP</t>
        </is>
      </c>
      <c r="I617" s="14" t="n"/>
      <c r="J617" s="14" t="n"/>
      <c r="K617" s="12" t="n"/>
      <c r="L617" s="9" t="n"/>
      <c r="M617" s="9" t="n"/>
      <c r="N617" s="9" t="n"/>
      <c r="O617" s="40">
        <f>K617+V617-AE617-AZ617</f>
        <v/>
      </c>
      <c r="P617" s="12" t="n"/>
      <c r="Q617" s="138" t="n"/>
      <c r="R617" s="16" t="n"/>
      <c r="S617" s="139" t="n"/>
      <c r="T617" s="16" t="n"/>
      <c r="U617" s="139" t="n"/>
      <c r="V617" s="16">
        <f>P617+R617+T617</f>
        <v/>
      </c>
      <c r="W617" s="16" t="n"/>
      <c r="X617" s="139" t="n"/>
      <c r="Y617" s="16" t="n"/>
      <c r="Z617" s="139" t="n"/>
      <c r="AA617" s="16" t="n"/>
      <c r="AB617" s="139" t="n"/>
      <c r="AC617" s="16" t="n"/>
      <c r="AD617" s="139" t="n"/>
      <c r="AE617" s="16">
        <f>(W617+Y617+AA617+AC617)</f>
        <v/>
      </c>
      <c r="AF617" s="16" t="n"/>
      <c r="AG617" s="138" t="n"/>
      <c r="AH617" s="16" t="n"/>
      <c r="AI617" s="138" t="n"/>
      <c r="AJ617" s="16" t="n"/>
      <c r="AK617" s="138" t="n"/>
      <c r="AL617" s="16" t="n"/>
      <c r="AM617" s="138" t="n"/>
      <c r="AN617" s="16" t="n"/>
      <c r="AO617" s="138" t="n"/>
      <c r="AP617" s="16" t="n"/>
      <c r="AQ617" s="138" t="n"/>
      <c r="AR617" s="16" t="n"/>
      <c r="AS617" s="138" t="n"/>
      <c r="AT617" s="16" t="n"/>
      <c r="AU617" s="138" t="n"/>
      <c r="AV617" s="16" t="n"/>
      <c r="AW617" s="138" t="n"/>
      <c r="AX617" s="16" t="n"/>
      <c r="AY617" s="138" t="n"/>
      <c r="AZ617" s="16">
        <f>AF617+AH617+AJ617+AL617+AN617+AP617+AR617+AT617+AV617+AX617</f>
        <v/>
      </c>
      <c r="BA617" s="16" t="n"/>
      <c r="BB617" s="139" t="n"/>
      <c r="BC617" s="16" t="n"/>
      <c r="BD617" s="139" t="n"/>
      <c r="BE617" s="16">
        <f>(BA617+BC617)</f>
        <v/>
      </c>
    </row>
    <row r="618" ht="22.5" customFormat="1" customHeight="1" s="8">
      <c r="A618" s="9" t="n"/>
      <c r="B618" s="136" t="inlineStr">
        <is>
          <t>PCB</t>
        </is>
      </c>
      <c r="C618" s="137" t="inlineStr">
        <is>
          <t>ADX6000</t>
        </is>
      </c>
      <c r="D618" s="88" t="inlineStr">
        <is>
          <t>Front Connector B/D</t>
        </is>
      </c>
      <c r="E618" s="13" t="n"/>
      <c r="F618" s="100" t="n"/>
      <c r="G618" s="9" t="n"/>
      <c r="H618" s="9" t="inlineStr">
        <is>
          <t>HLP</t>
        </is>
      </c>
      <c r="I618" s="14" t="n"/>
      <c r="J618" s="14" t="n"/>
      <c r="K618" s="12" t="n"/>
      <c r="L618" s="9" t="n"/>
      <c r="M618" s="9" t="n"/>
      <c r="N618" s="9" t="n"/>
      <c r="O618" s="40">
        <f>K618+V618-AE618-AZ618</f>
        <v/>
      </c>
      <c r="P618" s="12" t="n"/>
      <c r="Q618" s="138" t="n"/>
      <c r="R618" s="16" t="n"/>
      <c r="S618" s="139" t="n"/>
      <c r="T618" s="16" t="n"/>
      <c r="U618" s="139" t="n"/>
      <c r="V618" s="16">
        <f>P618+R618+T618</f>
        <v/>
      </c>
      <c r="W618" s="16" t="n"/>
      <c r="X618" s="139" t="n"/>
      <c r="Y618" s="16" t="n"/>
      <c r="Z618" s="139" t="n"/>
      <c r="AA618" s="16" t="n"/>
      <c r="AB618" s="139" t="n"/>
      <c r="AC618" s="16" t="n"/>
      <c r="AD618" s="139" t="n"/>
      <c r="AE618" s="16">
        <f>(W618+Y618+AA618+AC618)</f>
        <v/>
      </c>
      <c r="AF618" s="16" t="n"/>
      <c r="AG618" s="138" t="n"/>
      <c r="AH618" s="16" t="n"/>
      <c r="AI618" s="138" t="n"/>
      <c r="AJ618" s="16" t="n"/>
      <c r="AK618" s="138" t="n"/>
      <c r="AL618" s="16" t="n"/>
      <c r="AM618" s="138" t="n"/>
      <c r="AN618" s="16" t="n"/>
      <c r="AO618" s="138" t="n"/>
      <c r="AP618" s="16" t="n"/>
      <c r="AQ618" s="138" t="n"/>
      <c r="AR618" s="16" t="n"/>
      <c r="AS618" s="138" t="n"/>
      <c r="AT618" s="16" t="n"/>
      <c r="AU618" s="138" t="n"/>
      <c r="AV618" s="16" t="n"/>
      <c r="AW618" s="138" t="n"/>
      <c r="AX618" s="16" t="n"/>
      <c r="AY618" s="138" t="n"/>
      <c r="AZ618" s="16">
        <f>AF618+AH618+AJ618+AL618+AN618+AP618+AR618+AT618+AV618+AX618</f>
        <v/>
      </c>
      <c r="BA618" s="16" t="n"/>
      <c r="BB618" s="139" t="n"/>
      <c r="BC618" s="16" t="n"/>
      <c r="BD618" s="139" t="n"/>
      <c r="BE618" s="16">
        <f>(BA618+BC618)</f>
        <v/>
      </c>
    </row>
    <row r="619" ht="22.5" customFormat="1" customHeight="1" s="8">
      <c r="A619" s="9" t="n"/>
      <c r="B619" s="136" t="inlineStr">
        <is>
          <t>PCB</t>
        </is>
      </c>
      <c r="C619" s="137" t="inlineStr">
        <is>
          <t>ADX6000FB/S</t>
        </is>
      </c>
      <c r="D619" s="84" t="inlineStr">
        <is>
          <t>ETC FRONT BD</t>
        </is>
      </c>
      <c r="E619" s="13" t="inlineStr">
        <is>
          <t>리모콘 포트 수정 신형</t>
        </is>
      </c>
      <c r="F619" s="100" t="n"/>
      <c r="G619" s="9" t="n"/>
      <c r="H619" s="9" t="inlineStr">
        <is>
          <t>HLP</t>
        </is>
      </c>
      <c r="I619" s="14" t="n"/>
      <c r="J619" s="14" t="n"/>
      <c r="K619" s="12" t="n">
        <v>0</v>
      </c>
      <c r="L619" s="9" t="n"/>
      <c r="M619" s="9" t="n"/>
      <c r="N619" s="9" t="n"/>
      <c r="O619" s="40">
        <f>K619+V619-AE619-AZ619</f>
        <v/>
      </c>
      <c r="P619" s="12" t="n"/>
      <c r="Q619" s="138" t="n"/>
      <c r="R619" s="16" t="n"/>
      <c r="S619" s="139" t="n"/>
      <c r="T619" s="16" t="n"/>
      <c r="U619" s="139" t="n"/>
      <c r="V619" s="16">
        <f>P619+R619+T619</f>
        <v/>
      </c>
      <c r="W619" s="16" t="n"/>
      <c r="X619" s="139" t="n"/>
      <c r="Y619" s="16" t="n"/>
      <c r="Z619" s="139" t="n"/>
      <c r="AA619" s="16" t="n"/>
      <c r="AB619" s="139" t="n"/>
      <c r="AC619" s="16" t="n"/>
      <c r="AD619" s="139" t="n"/>
      <c r="AE619" s="16">
        <f>(W619+Y619+AA619+AC619)</f>
        <v/>
      </c>
      <c r="AF619" s="16" t="n"/>
      <c r="AG619" s="138" t="n"/>
      <c r="AH619" s="16" t="n"/>
      <c r="AI619" s="138" t="n"/>
      <c r="AJ619" s="16" t="n"/>
      <c r="AK619" s="138" t="n"/>
      <c r="AL619" s="16" t="n"/>
      <c r="AM619" s="138" t="n"/>
      <c r="AN619" s="16" t="n"/>
      <c r="AO619" s="138" t="n"/>
      <c r="AP619" s="16" t="n"/>
      <c r="AQ619" s="138" t="n"/>
      <c r="AR619" s="16" t="n"/>
      <c r="AS619" s="138" t="n"/>
      <c r="AT619" s="16" t="n"/>
      <c r="AU619" s="138" t="n"/>
      <c r="AV619" s="16" t="n"/>
      <c r="AW619" s="138" t="n"/>
      <c r="AX619" s="16" t="n"/>
      <c r="AY619" s="138" t="n"/>
      <c r="AZ619" s="16">
        <f>AF619+AH619+AJ619+AL619+AN619+AP619+AR619+AT619+AV619+AX619</f>
        <v/>
      </c>
      <c r="BA619" s="16" t="n"/>
      <c r="BB619" s="139" t="n"/>
      <c r="BC619" s="16" t="n"/>
      <c r="BD619" s="139" t="n"/>
      <c r="BE619" s="16">
        <f>(BA619+BC619)</f>
        <v/>
      </c>
    </row>
    <row r="620" ht="22.5" customFormat="1" customHeight="1" s="8">
      <c r="A620" s="9" t="n"/>
      <c r="B620" s="136" t="inlineStr">
        <is>
          <t>PCB</t>
        </is>
      </c>
      <c r="C620" s="137" t="inlineStr">
        <is>
          <t>ADX6000</t>
        </is>
      </c>
      <c r="D620" s="65" t="inlineStr">
        <is>
          <t>컬리메이터 LED B/D</t>
        </is>
      </c>
      <c r="E620" s="13" t="inlineStr">
        <is>
          <t>신형 LED 작은것</t>
        </is>
      </c>
      <c r="F620" s="100" t="n"/>
      <c r="G620" s="9" t="n"/>
      <c r="H620" s="9" t="inlineStr">
        <is>
          <t>HLP</t>
        </is>
      </c>
      <c r="I620" s="14" t="n"/>
      <c r="J620" s="14" t="n"/>
      <c r="K620" s="12" t="n"/>
      <c r="L620" s="9" t="n"/>
      <c r="M620" s="9" t="n"/>
      <c r="N620" s="9" t="n"/>
      <c r="O620" s="40">
        <f>K620+V620-AE620-AZ620</f>
        <v/>
      </c>
      <c r="P620" s="12" t="n"/>
      <c r="Q620" s="138" t="n"/>
      <c r="R620" s="16" t="n"/>
      <c r="S620" s="139" t="n"/>
      <c r="T620" s="16" t="n"/>
      <c r="U620" s="139" t="n"/>
      <c r="V620" s="16">
        <f>P620+R620+T620</f>
        <v/>
      </c>
      <c r="W620" s="16" t="n"/>
      <c r="X620" s="139" t="n"/>
      <c r="Y620" s="16" t="n"/>
      <c r="Z620" s="139" t="n"/>
      <c r="AA620" s="16" t="n"/>
      <c r="AB620" s="139" t="n"/>
      <c r="AC620" s="16" t="n"/>
      <c r="AD620" s="139" t="n"/>
      <c r="AE620" s="16">
        <f>(W620+Y620+AA620+AC620)</f>
        <v/>
      </c>
      <c r="AF620" s="16" t="n"/>
      <c r="AG620" s="138" t="n"/>
      <c r="AH620" s="16" t="n"/>
      <c r="AI620" s="138" t="n"/>
      <c r="AJ620" s="16" t="n"/>
      <c r="AK620" s="138" t="n"/>
      <c r="AL620" s="16" t="n"/>
      <c r="AM620" s="138" t="n"/>
      <c r="AN620" s="16" t="n"/>
      <c r="AO620" s="138" t="n"/>
      <c r="AP620" s="16" t="n"/>
      <c r="AQ620" s="138" t="n"/>
      <c r="AR620" s="16" t="n"/>
      <c r="AS620" s="138" t="n"/>
      <c r="AT620" s="16" t="n"/>
      <c r="AU620" s="138" t="n"/>
      <c r="AV620" s="16" t="n"/>
      <c r="AW620" s="138" t="n"/>
      <c r="AX620" s="16" t="n"/>
      <c r="AY620" s="138" t="n"/>
      <c r="AZ620" s="16">
        <f>AF620+AH620+AJ620+AL620+AN620+AP620+AR620+AT620+AV620+AX620</f>
        <v/>
      </c>
      <c r="BA620" s="16" t="n"/>
      <c r="BB620" s="139" t="n"/>
      <c r="BC620" s="16" t="n"/>
      <c r="BD620" s="139" t="n"/>
      <c r="BE620" s="16">
        <f>(BA620+BC620)</f>
        <v/>
      </c>
    </row>
    <row r="621" ht="22.5" customFormat="1" customHeight="1" s="8">
      <c r="A621" s="9" t="n"/>
      <c r="B621" s="136" t="inlineStr">
        <is>
          <t>PCB</t>
        </is>
      </c>
      <c r="C621" s="137" t="inlineStr">
        <is>
          <t>ADX6000</t>
        </is>
      </c>
      <c r="D621" s="65" t="inlineStr">
        <is>
          <t>컬리메이터 LED B/D</t>
        </is>
      </c>
      <c r="E621" s="13" t="inlineStr">
        <is>
          <t>신형 LED, 밝기 수정</t>
        </is>
      </c>
      <c r="F621" s="100" t="n"/>
      <c r="G621" s="9" t="n"/>
      <c r="H621" s="9" t="inlineStr">
        <is>
          <t>HLP</t>
        </is>
      </c>
      <c r="I621" s="14" t="n"/>
      <c r="J621" s="14" t="n"/>
      <c r="K621" s="12" t="n"/>
      <c r="L621" s="9" t="n"/>
      <c r="M621" s="9" t="n"/>
      <c r="N621" s="9" t="n"/>
      <c r="O621" s="40">
        <f>K621+V621-AE621-AZ621</f>
        <v/>
      </c>
      <c r="P621" s="12" t="n"/>
      <c r="Q621" s="138" t="n"/>
      <c r="R621" s="16" t="n"/>
      <c r="S621" s="139" t="n"/>
      <c r="T621" s="16" t="n"/>
      <c r="U621" s="139" t="n"/>
      <c r="V621" s="16">
        <f>P621+R621+T621</f>
        <v/>
      </c>
      <c r="W621" s="16" t="n"/>
      <c r="X621" s="139" t="n"/>
      <c r="Y621" s="16" t="n"/>
      <c r="Z621" s="139" t="n"/>
      <c r="AA621" s="16" t="n"/>
      <c r="AB621" s="139" t="n"/>
      <c r="AC621" s="16" t="n"/>
      <c r="AD621" s="139" t="n"/>
      <c r="AE621" s="16">
        <f>(W621+Y621+AA621+AC621)</f>
        <v/>
      </c>
      <c r="AF621" s="16" t="n"/>
      <c r="AG621" s="138" t="n"/>
      <c r="AH621" s="16" t="n"/>
      <c r="AI621" s="138" t="n"/>
      <c r="AJ621" s="16" t="n"/>
      <c r="AK621" s="138" t="n"/>
      <c r="AL621" s="16" t="n"/>
      <c r="AM621" s="138" t="n"/>
      <c r="AN621" s="16" t="n"/>
      <c r="AO621" s="138" t="n"/>
      <c r="AP621" s="16" t="n"/>
      <c r="AQ621" s="138" t="n"/>
      <c r="AR621" s="16" t="n"/>
      <c r="AS621" s="138" t="n"/>
      <c r="AT621" s="16" t="n"/>
      <c r="AU621" s="138" t="n"/>
      <c r="AV621" s="16" t="n"/>
      <c r="AW621" s="138" t="n"/>
      <c r="AX621" s="16" t="n"/>
      <c r="AY621" s="138" t="n"/>
      <c r="AZ621" s="16">
        <f>AF621+AH621+AJ621+AL621+AN621+AP621+AR621+AT621+AV621+AX621</f>
        <v/>
      </c>
      <c r="BA621" s="16" t="n"/>
      <c r="BB621" s="139" t="n"/>
      <c r="BC621" s="16" t="n"/>
      <c r="BD621" s="139" t="n"/>
      <c r="BE621" s="16">
        <f>(BA621+BC621)</f>
        <v/>
      </c>
    </row>
    <row r="622" ht="22.5" customFormat="1" customHeight="1" s="8">
      <c r="A622" s="9" t="n"/>
      <c r="B622" s="136" t="inlineStr">
        <is>
          <t>PCB</t>
        </is>
      </c>
      <c r="C622" s="137" t="inlineStr">
        <is>
          <t>ADX6000</t>
        </is>
      </c>
      <c r="D622" s="84" t="inlineStr">
        <is>
          <t>ETC EX BATTERY BD</t>
        </is>
      </c>
      <c r="E622" s="13" t="n"/>
      <c r="F622" s="100" t="n"/>
      <c r="G622" s="9" t="n"/>
      <c r="H622" s="9" t="inlineStr">
        <is>
          <t>HLP</t>
        </is>
      </c>
      <c r="I622" s="14" t="n"/>
      <c r="J622" s="14" t="n"/>
      <c r="K622" s="12" t="n"/>
      <c r="L622" s="9" t="n"/>
      <c r="M622" s="9" t="n"/>
      <c r="N622" s="9" t="n"/>
      <c r="O622" s="40">
        <f>K622+V622-AE622-AZ622</f>
        <v/>
      </c>
      <c r="P622" s="12" t="n"/>
      <c r="Q622" s="138" t="n"/>
      <c r="R622" s="16" t="n"/>
      <c r="S622" s="139" t="n"/>
      <c r="T622" s="16" t="n"/>
      <c r="U622" s="139" t="n"/>
      <c r="V622" s="16">
        <f>P622+R622+T622</f>
        <v/>
      </c>
      <c r="W622" s="16" t="n"/>
      <c r="X622" s="139" t="n"/>
      <c r="Y622" s="16" t="n"/>
      <c r="Z622" s="139" t="n"/>
      <c r="AA622" s="16" t="n"/>
      <c r="AB622" s="139" t="n"/>
      <c r="AC622" s="16" t="n"/>
      <c r="AD622" s="139" t="n"/>
      <c r="AE622" s="16">
        <f>(W622+Y622+AA622+AC622)</f>
        <v/>
      </c>
      <c r="AF622" s="16" t="n"/>
      <c r="AG622" s="138" t="n"/>
      <c r="AH622" s="16" t="n"/>
      <c r="AI622" s="138" t="n"/>
      <c r="AJ622" s="16" t="n"/>
      <c r="AK622" s="138" t="n"/>
      <c r="AL622" s="16" t="n"/>
      <c r="AM622" s="138" t="n"/>
      <c r="AN622" s="16" t="n"/>
      <c r="AO622" s="138" t="n"/>
      <c r="AP622" s="16" t="n"/>
      <c r="AQ622" s="138" t="n"/>
      <c r="AR622" s="16" t="n"/>
      <c r="AS622" s="138" t="n"/>
      <c r="AT622" s="16" t="n"/>
      <c r="AU622" s="138" t="n"/>
      <c r="AV622" s="16" t="n"/>
      <c r="AW622" s="138" t="n"/>
      <c r="AX622" s="16" t="n"/>
      <c r="AY622" s="138" t="n"/>
      <c r="AZ622" s="16">
        <f>AF622+AH622+AJ622+AL622+AN622+AP622+AR622+AT622+AV622+AX622</f>
        <v/>
      </c>
      <c r="BA622" s="16" t="n"/>
      <c r="BB622" s="139" t="n"/>
      <c r="BC622" s="16" t="n"/>
      <c r="BD622" s="139" t="n"/>
      <c r="BE622" s="16">
        <f>(BA622+BC622)</f>
        <v/>
      </c>
    </row>
    <row r="623" ht="22.5" customFormat="1" customHeight="1" s="8">
      <c r="A623" s="9" t="n"/>
      <c r="B623" s="136" t="inlineStr">
        <is>
          <t>PCB</t>
        </is>
      </c>
      <c r="C623" s="137" t="inlineStr">
        <is>
          <t>ADX6000</t>
        </is>
      </c>
      <c r="D623" s="84" t="inlineStr">
        <is>
          <t>ETC RESIST BD</t>
        </is>
      </c>
      <c r="E623" s="13" t="n"/>
      <c r="F623" s="100" t="n"/>
      <c r="G623" s="9" t="n"/>
      <c r="H623" s="9" t="inlineStr">
        <is>
          <t>HLP</t>
        </is>
      </c>
      <c r="I623" s="14" t="n"/>
      <c r="J623" s="14" t="n"/>
      <c r="K623" s="12" t="n"/>
      <c r="L623" s="9" t="n"/>
      <c r="M623" s="9" t="n"/>
      <c r="N623" s="9" t="n"/>
      <c r="O623" s="40">
        <f>K623+V623-AE623-AZ623</f>
        <v/>
      </c>
      <c r="P623" s="12" t="n"/>
      <c r="Q623" s="138" t="n"/>
      <c r="R623" s="16" t="n"/>
      <c r="S623" s="139" t="n"/>
      <c r="T623" s="16" t="n"/>
      <c r="U623" s="139" t="n"/>
      <c r="V623" s="16">
        <f>P623+R623+T623</f>
        <v/>
      </c>
      <c r="W623" s="16" t="n"/>
      <c r="X623" s="139" t="n"/>
      <c r="Y623" s="16" t="n"/>
      <c r="Z623" s="139" t="n"/>
      <c r="AA623" s="16" t="n"/>
      <c r="AB623" s="139" t="n"/>
      <c r="AC623" s="16" t="n"/>
      <c r="AD623" s="139" t="n"/>
      <c r="AE623" s="16">
        <f>(W623+Y623+AA623+AC623)</f>
        <v/>
      </c>
      <c r="AF623" s="16" t="n"/>
      <c r="AG623" s="138" t="n"/>
      <c r="AH623" s="16" t="n"/>
      <c r="AI623" s="138" t="n"/>
      <c r="AJ623" s="16" t="n"/>
      <c r="AK623" s="138" t="n"/>
      <c r="AL623" s="16" t="n"/>
      <c r="AM623" s="138" t="n"/>
      <c r="AN623" s="16" t="n"/>
      <c r="AO623" s="138" t="n"/>
      <c r="AP623" s="16" t="n"/>
      <c r="AQ623" s="138" t="n"/>
      <c r="AR623" s="16" t="n"/>
      <c r="AS623" s="138" t="n"/>
      <c r="AT623" s="16" t="n"/>
      <c r="AU623" s="138" t="n"/>
      <c r="AV623" s="16" t="n"/>
      <c r="AW623" s="138" t="n"/>
      <c r="AX623" s="16" t="n"/>
      <c r="AY623" s="138" t="n"/>
      <c r="AZ623" s="16">
        <f>AF623+AH623+AJ623+AL623+AN623+AP623+AR623+AT623+AV623+AX623</f>
        <v/>
      </c>
      <c r="BA623" s="16" t="n"/>
      <c r="BB623" s="139" t="n"/>
      <c r="BC623" s="16" t="n"/>
      <c r="BD623" s="139" t="n"/>
      <c r="BE623" s="16">
        <f>(BA623+BC623)</f>
        <v/>
      </c>
    </row>
    <row r="624" ht="22.5" customFormat="1" customHeight="1" s="8">
      <c r="A624" s="9" t="n"/>
      <c r="B624" s="136" t="inlineStr">
        <is>
          <t>PCB</t>
        </is>
      </c>
      <c r="C624" s="137" t="inlineStr">
        <is>
          <t>ADX6000</t>
        </is>
      </c>
      <c r="D624" s="84" t="inlineStr">
        <is>
          <t>ETC CAP BANK BD</t>
        </is>
      </c>
      <c r="E624" s="13" t="n"/>
      <c r="F624" s="100" t="n"/>
      <c r="G624" s="9" t="n"/>
      <c r="H624" s="9" t="inlineStr">
        <is>
          <t>HLP</t>
        </is>
      </c>
      <c r="I624" s="14" t="n"/>
      <c r="J624" s="14" t="n"/>
      <c r="K624" s="12" t="n"/>
      <c r="L624" s="9" t="n"/>
      <c r="M624" s="9" t="n"/>
      <c r="N624" s="9" t="n"/>
      <c r="O624" s="40">
        <f>K624+V624-AE624-AZ624</f>
        <v/>
      </c>
      <c r="P624" s="12" t="n"/>
      <c r="Q624" s="138" t="n"/>
      <c r="R624" s="16" t="n"/>
      <c r="S624" s="139" t="n"/>
      <c r="T624" s="16" t="n"/>
      <c r="U624" s="139" t="n"/>
      <c r="V624" s="16">
        <f>P624+R624+T624</f>
        <v/>
      </c>
      <c r="W624" s="16" t="n"/>
      <c r="X624" s="139" t="n"/>
      <c r="Y624" s="16" t="n"/>
      <c r="Z624" s="139" t="n"/>
      <c r="AA624" s="16" t="n"/>
      <c r="AB624" s="139" t="n"/>
      <c r="AC624" s="16" t="n"/>
      <c r="AD624" s="139" t="n"/>
      <c r="AE624" s="16">
        <f>(W624+Y624+AA624+AC624)</f>
        <v/>
      </c>
      <c r="AF624" s="16" t="n"/>
      <c r="AG624" s="138" t="n"/>
      <c r="AH624" s="16" t="n"/>
      <c r="AI624" s="138" t="n"/>
      <c r="AJ624" s="16" t="n"/>
      <c r="AK624" s="138" t="n"/>
      <c r="AL624" s="16" t="n"/>
      <c r="AM624" s="138" t="n"/>
      <c r="AN624" s="16" t="n"/>
      <c r="AO624" s="138" t="n"/>
      <c r="AP624" s="16" t="n"/>
      <c r="AQ624" s="138" t="n"/>
      <c r="AR624" s="16" t="n"/>
      <c r="AS624" s="138" t="n"/>
      <c r="AT624" s="16" t="n"/>
      <c r="AU624" s="138" t="n"/>
      <c r="AV624" s="16" t="n"/>
      <c r="AW624" s="138" t="n"/>
      <c r="AX624" s="16" t="n"/>
      <c r="AY624" s="138" t="n"/>
      <c r="AZ624" s="16">
        <f>AF624+AH624+AJ624+AL624+AN624+AP624+AR624+AT624+AV624+AX624</f>
        <v/>
      </c>
      <c r="BA624" s="16" t="n"/>
      <c r="BB624" s="139" t="n"/>
      <c r="BC624" s="16" t="n"/>
      <c r="BD624" s="139" t="n"/>
      <c r="BE624" s="16">
        <f>(BA624+BC624)</f>
        <v/>
      </c>
    </row>
    <row r="625" ht="22.5" customFormat="1" customHeight="1" s="8">
      <c r="A625" s="9" t="n"/>
      <c r="B625" s="136" t="inlineStr">
        <is>
          <t>PCB</t>
        </is>
      </c>
      <c r="C625" s="137" t="inlineStr">
        <is>
          <t>ADX6000</t>
        </is>
      </c>
      <c r="D625" s="84" t="inlineStr">
        <is>
          <t>LED DRIVER B/D</t>
        </is>
      </c>
      <c r="E625" s="13" t="inlineStr">
        <is>
          <t>V1.0.0</t>
        </is>
      </c>
      <c r="F625" s="100" t="n"/>
      <c r="G625" s="9" t="n"/>
      <c r="H625" s="9" t="inlineStr">
        <is>
          <t>HLP</t>
        </is>
      </c>
      <c r="I625" s="14" t="n"/>
      <c r="J625" s="14" t="n"/>
      <c r="K625" s="12" t="n"/>
      <c r="L625" s="9" t="n"/>
      <c r="M625" s="9" t="n"/>
      <c r="N625" s="9" t="n"/>
      <c r="O625" s="40">
        <f>K625+V625-AE625-AZ625</f>
        <v/>
      </c>
      <c r="P625" s="12" t="n"/>
      <c r="Q625" s="138" t="n"/>
      <c r="R625" s="16" t="n"/>
      <c r="S625" s="139" t="n"/>
      <c r="T625" s="16" t="n"/>
      <c r="U625" s="139" t="n"/>
      <c r="V625" s="16">
        <f>P625+R625+T625</f>
        <v/>
      </c>
      <c r="W625" s="16" t="n"/>
      <c r="X625" s="139" t="n"/>
      <c r="Y625" s="16" t="n"/>
      <c r="Z625" s="139" t="n"/>
      <c r="AA625" s="16" t="n"/>
      <c r="AB625" s="139" t="n"/>
      <c r="AC625" s="16" t="n"/>
      <c r="AD625" s="139" t="n"/>
      <c r="AE625" s="16">
        <f>(W625+Y625+AA625+AC625)</f>
        <v/>
      </c>
      <c r="AF625" s="16" t="n"/>
      <c r="AG625" s="138" t="n"/>
      <c r="AH625" s="16" t="n"/>
      <c r="AI625" s="138" t="n"/>
      <c r="AJ625" s="16" t="n"/>
      <c r="AK625" s="138" t="n"/>
      <c r="AL625" s="16" t="n"/>
      <c r="AM625" s="138" t="n"/>
      <c r="AN625" s="16" t="n"/>
      <c r="AO625" s="138" t="n"/>
      <c r="AP625" s="16" t="n"/>
      <c r="AQ625" s="138" t="n"/>
      <c r="AR625" s="16" t="n"/>
      <c r="AS625" s="138" t="n"/>
      <c r="AT625" s="16" t="n"/>
      <c r="AU625" s="138" t="n"/>
      <c r="AV625" s="16" t="n"/>
      <c r="AW625" s="138" t="n"/>
      <c r="AX625" s="16" t="n"/>
      <c r="AY625" s="138" t="n"/>
      <c r="AZ625" s="16">
        <f>AF625+AH625+AJ625+AL625+AN625+AP625+AR625+AT625+AV625+AX625</f>
        <v/>
      </c>
      <c r="BA625" s="16" t="n"/>
      <c r="BB625" s="139" t="n"/>
      <c r="BC625" s="16" t="n"/>
      <c r="BD625" s="139" t="n"/>
      <c r="BE625" s="16">
        <f>(BA625+BC625)</f>
        <v/>
      </c>
    </row>
    <row r="626" ht="22.5" customFormat="1" customHeight="1" s="8">
      <c r="A626" s="9" t="n"/>
      <c r="B626" s="136" t="inlineStr">
        <is>
          <t>PCB</t>
        </is>
      </c>
      <c r="C626" s="137" t="inlineStr">
        <is>
          <t>ADX6000</t>
        </is>
      </c>
      <c r="D626" s="84" t="inlineStr">
        <is>
          <t>DRTech FDXD-810, FLAATZ-N330 CTR Battery B/D</t>
        </is>
      </c>
      <c r="E626" s="13" t="inlineStr">
        <is>
          <t>구형</t>
        </is>
      </c>
      <c r="F626" s="100" t="n"/>
      <c r="G626" s="9" t="n"/>
      <c r="H626" s="9" t="inlineStr">
        <is>
          <t>HLP</t>
        </is>
      </c>
      <c r="I626" s="14" t="n"/>
      <c r="J626" s="14" t="n"/>
      <c r="K626" s="12" t="n"/>
      <c r="L626" s="9" t="n"/>
      <c r="M626" s="9" t="n"/>
      <c r="N626" s="9" t="n"/>
      <c r="O626" s="40">
        <f>K626+V626-AE626-AZ626</f>
        <v/>
      </c>
      <c r="P626" s="12" t="n"/>
      <c r="Q626" s="138" t="n"/>
      <c r="R626" s="16" t="n"/>
      <c r="S626" s="139" t="n"/>
      <c r="T626" s="16" t="n"/>
      <c r="U626" s="139" t="n"/>
      <c r="V626" s="16">
        <f>P626+R626+T626</f>
        <v/>
      </c>
      <c r="W626" s="16" t="n"/>
      <c r="X626" s="139" t="n"/>
      <c r="Y626" s="16" t="n"/>
      <c r="Z626" s="139" t="n"/>
      <c r="AA626" s="16" t="n"/>
      <c r="AB626" s="139" t="n"/>
      <c r="AC626" s="16" t="n"/>
      <c r="AD626" s="139" t="n"/>
      <c r="AE626" s="16">
        <f>(W626+Y626+AA626+AC626)</f>
        <v/>
      </c>
      <c r="AF626" s="16" t="n"/>
      <c r="AG626" s="138" t="n"/>
      <c r="AH626" s="16" t="n"/>
      <c r="AI626" s="138" t="n"/>
      <c r="AJ626" s="16" t="n"/>
      <c r="AK626" s="138" t="n"/>
      <c r="AL626" s="16" t="n"/>
      <c r="AM626" s="138" t="n"/>
      <c r="AN626" s="16" t="n"/>
      <c r="AO626" s="138" t="n"/>
      <c r="AP626" s="16" t="n"/>
      <c r="AQ626" s="138" t="n"/>
      <c r="AR626" s="16" t="n"/>
      <c r="AS626" s="138" t="n"/>
      <c r="AT626" s="16" t="n"/>
      <c r="AU626" s="138" t="n"/>
      <c r="AV626" s="16" t="n"/>
      <c r="AW626" s="138" t="n"/>
      <c r="AX626" s="16" t="n"/>
      <c r="AY626" s="138" t="n"/>
      <c r="AZ626" s="16">
        <f>AF626+AH626+AJ626+AL626+AN626+AP626+AR626+AT626+AV626+AX626</f>
        <v/>
      </c>
      <c r="BA626" s="16" t="n"/>
      <c r="BB626" s="139" t="n"/>
      <c r="BC626" s="16" t="n"/>
      <c r="BD626" s="139" t="n"/>
      <c r="BE626" s="16">
        <f>(BA626+BC626)</f>
        <v/>
      </c>
    </row>
    <row r="627" ht="22.5" customFormat="1" customHeight="1" s="8">
      <c r="A627" s="9" t="n"/>
      <c r="B627" s="136" t="inlineStr">
        <is>
          <t>PCB</t>
        </is>
      </c>
      <c r="C627" s="137" t="inlineStr">
        <is>
          <t>ADX6000</t>
        </is>
      </c>
      <c r="D627" s="84" t="inlineStr">
        <is>
          <t>DRTech FDXD-810, FLAATZ-N330 CTR Battery B/D</t>
        </is>
      </c>
      <c r="E627" s="13" t="inlineStr">
        <is>
          <t>신형</t>
        </is>
      </c>
      <c r="F627" s="100" t="n"/>
      <c r="G627" s="9" t="n"/>
      <c r="H627" s="9" t="inlineStr">
        <is>
          <t>HLP</t>
        </is>
      </c>
      <c r="I627" s="14" t="n"/>
      <c r="J627" s="14" t="n"/>
      <c r="K627" s="12" t="n"/>
      <c r="L627" s="9" t="n"/>
      <c r="M627" s="9" t="n"/>
      <c r="N627" s="9" t="n"/>
      <c r="O627" s="40">
        <f>K627+V627-AE627-AZ627</f>
        <v/>
      </c>
      <c r="P627" s="12" t="n"/>
      <c r="Q627" s="138" t="n"/>
      <c r="R627" s="16" t="n"/>
      <c r="S627" s="139" t="n"/>
      <c r="T627" s="16" t="n"/>
      <c r="U627" s="139" t="n"/>
      <c r="V627" s="16">
        <f>P627+R627+T627</f>
        <v/>
      </c>
      <c r="W627" s="16" t="n"/>
      <c r="X627" s="139" t="n"/>
      <c r="Y627" s="16" t="n"/>
      <c r="Z627" s="139" t="n"/>
      <c r="AA627" s="16" t="n"/>
      <c r="AB627" s="139" t="n"/>
      <c r="AC627" s="16" t="n"/>
      <c r="AD627" s="139" t="n"/>
      <c r="AE627" s="16">
        <f>(W627+Y627+AA627+AC627)</f>
        <v/>
      </c>
      <c r="AF627" s="16" t="n"/>
      <c r="AG627" s="138" t="n"/>
      <c r="AH627" s="16" t="n"/>
      <c r="AI627" s="138" t="n"/>
      <c r="AJ627" s="16" t="n"/>
      <c r="AK627" s="138" t="n"/>
      <c r="AL627" s="16" t="n"/>
      <c r="AM627" s="138" t="n"/>
      <c r="AN627" s="16" t="n"/>
      <c r="AO627" s="138" t="n"/>
      <c r="AP627" s="16" t="n"/>
      <c r="AQ627" s="138" t="n"/>
      <c r="AR627" s="16" t="n"/>
      <c r="AS627" s="138" t="n"/>
      <c r="AT627" s="16" t="n"/>
      <c r="AU627" s="138" t="n"/>
      <c r="AV627" s="16" t="n"/>
      <c r="AW627" s="138" t="n"/>
      <c r="AX627" s="16" t="n"/>
      <c r="AY627" s="138" t="n"/>
      <c r="AZ627" s="16">
        <f>AF627+AH627+AJ627+AL627+AN627+AP627+AR627+AT627+AV627+AX627</f>
        <v/>
      </c>
      <c r="BA627" s="16" t="n"/>
      <c r="BB627" s="139" t="n"/>
      <c r="BC627" s="16" t="n"/>
      <c r="BD627" s="139" t="n"/>
      <c r="BE627" s="16">
        <f>(BA627+BC627)</f>
        <v/>
      </c>
    </row>
    <row r="628" ht="22.5" customFormat="1" customHeight="1" s="8">
      <c r="A628" s="9" t="n"/>
      <c r="B628" s="136" t="inlineStr">
        <is>
          <t>CABLE</t>
        </is>
      </c>
      <c r="C628" s="137" t="inlineStr">
        <is>
          <t>ADX6000</t>
        </is>
      </c>
      <c r="D628" s="60" t="inlineStr">
        <is>
          <t>FFC (16핀)</t>
        </is>
      </c>
      <c r="E628" s="13" t="inlineStr">
        <is>
          <t>82mm</t>
        </is>
      </c>
      <c r="F628" s="100" t="n"/>
      <c r="G628" s="9" t="n"/>
      <c r="H628" s="9" t="inlineStr">
        <is>
          <t>HLP</t>
        </is>
      </c>
      <c r="I628" s="14" t="n"/>
      <c r="J628" s="14" t="n"/>
      <c r="K628" s="12" t="n"/>
      <c r="L628" s="9" t="n"/>
      <c r="M628" s="9" t="n"/>
      <c r="N628" s="9" t="n"/>
      <c r="O628" s="40">
        <f>K628+V628-AE628-AZ628</f>
        <v/>
      </c>
      <c r="P628" s="12" t="n"/>
      <c r="Q628" s="138" t="n"/>
      <c r="R628" s="16" t="n"/>
      <c r="S628" s="139" t="n"/>
      <c r="T628" s="16" t="n"/>
      <c r="U628" s="139" t="n"/>
      <c r="V628" s="16">
        <f>P628+R628+T628</f>
        <v/>
      </c>
      <c r="W628" s="16" t="n"/>
      <c r="X628" s="139" t="n"/>
      <c r="Y628" s="16" t="n"/>
      <c r="Z628" s="139" t="n"/>
      <c r="AA628" s="16" t="n"/>
      <c r="AB628" s="139" t="n"/>
      <c r="AC628" s="16" t="n"/>
      <c r="AD628" s="139" t="n"/>
      <c r="AE628" s="16">
        <f>(W628+Y628+AA628+AC628)</f>
        <v/>
      </c>
      <c r="AF628" s="16" t="n"/>
      <c r="AG628" s="138" t="n"/>
      <c r="AH628" s="16" t="n"/>
      <c r="AI628" s="138" t="n"/>
      <c r="AJ628" s="16" t="n"/>
      <c r="AK628" s="138" t="n"/>
      <c r="AL628" s="16" t="n"/>
      <c r="AM628" s="138" t="n"/>
      <c r="AN628" s="16" t="n"/>
      <c r="AO628" s="138" t="n"/>
      <c r="AP628" s="16" t="n"/>
      <c r="AQ628" s="138" t="n"/>
      <c r="AR628" s="16" t="n"/>
      <c r="AS628" s="138" t="n"/>
      <c r="AT628" s="16" t="n"/>
      <c r="AU628" s="138" t="n"/>
      <c r="AV628" s="16" t="n"/>
      <c r="AW628" s="138" t="n"/>
      <c r="AX628" s="16" t="n"/>
      <c r="AY628" s="138" t="n"/>
      <c r="AZ628" s="16">
        <f>AF628+AH628+AJ628+AL628+AN628+AP628+AR628+AT628+AV628+AX628</f>
        <v/>
      </c>
      <c r="BA628" s="16" t="n"/>
      <c r="BB628" s="139" t="n"/>
      <c r="BC628" s="16" t="n"/>
      <c r="BD628" s="139" t="n"/>
      <c r="BE628" s="16">
        <f>(BA628+BC628)</f>
        <v/>
      </c>
    </row>
    <row r="629" ht="22.5" customFormat="1" customHeight="1" s="8">
      <c r="A629" s="9" t="n"/>
      <c r="B629" s="136" t="inlineStr">
        <is>
          <t>CABLE</t>
        </is>
      </c>
      <c r="C629" s="137" t="inlineStr">
        <is>
          <t>ADX6000</t>
        </is>
      </c>
      <c r="D629" s="84" t="inlineStr">
        <is>
          <t>하네스 8번</t>
        </is>
      </c>
      <c r="E629" s="13" t="inlineStr">
        <is>
          <t>YH396-04V - 2EA CAP BANK 케이블 / 120mm</t>
        </is>
      </c>
      <c r="F629" s="100" t="n"/>
      <c r="G629" s="9" t="n"/>
      <c r="H629" s="9" t="inlineStr">
        <is>
          <t>HLP</t>
        </is>
      </c>
      <c r="I629" s="14" t="n"/>
      <c r="J629" s="14" t="n"/>
      <c r="K629" s="12" t="n"/>
      <c r="L629" s="9" t="n"/>
      <c r="M629" s="9" t="n"/>
      <c r="N629" s="9" t="n"/>
      <c r="O629" s="40">
        <f>K629+V629-AE629-AZ629</f>
        <v/>
      </c>
      <c r="P629" s="12" t="n"/>
      <c r="Q629" s="138" t="n"/>
      <c r="R629" s="16" t="n"/>
      <c r="S629" s="139" t="n"/>
      <c r="T629" s="16" t="n"/>
      <c r="U629" s="139" t="n"/>
      <c r="V629" s="16">
        <f>P629+R629+T629</f>
        <v/>
      </c>
      <c r="W629" s="16" t="n"/>
      <c r="X629" s="139" t="n"/>
      <c r="Y629" s="16" t="n"/>
      <c r="Z629" s="139" t="n"/>
      <c r="AA629" s="16" t="n"/>
      <c r="AB629" s="139" t="n"/>
      <c r="AC629" s="16" t="n"/>
      <c r="AD629" s="139" t="n"/>
      <c r="AE629" s="16">
        <f>(W629+Y629+AA629+AC629)</f>
        <v/>
      </c>
      <c r="AF629" s="16" t="n"/>
      <c r="AG629" s="138" t="n"/>
      <c r="AH629" s="16" t="n"/>
      <c r="AI629" s="138" t="n"/>
      <c r="AJ629" s="16" t="n"/>
      <c r="AK629" s="138" t="n"/>
      <c r="AL629" s="16" t="n"/>
      <c r="AM629" s="138" t="n"/>
      <c r="AN629" s="16" t="n"/>
      <c r="AO629" s="138" t="n"/>
      <c r="AP629" s="16" t="n"/>
      <c r="AQ629" s="138" t="n"/>
      <c r="AR629" s="16" t="n"/>
      <c r="AS629" s="138" t="n"/>
      <c r="AT629" s="16" t="n"/>
      <c r="AU629" s="138" t="n"/>
      <c r="AV629" s="16" t="n"/>
      <c r="AW629" s="138" t="n"/>
      <c r="AX629" s="16" t="n"/>
      <c r="AY629" s="138" t="n"/>
      <c r="AZ629" s="16">
        <f>AF629+AH629+AJ629+AL629+AN629+AP629+AR629+AT629+AV629+AX629</f>
        <v/>
      </c>
      <c r="BA629" s="16" t="n"/>
      <c r="BB629" s="139" t="n"/>
      <c r="BC629" s="16" t="n"/>
      <c r="BD629" s="139" t="n"/>
      <c r="BE629" s="16">
        <f>(BA629+BC629)</f>
        <v/>
      </c>
    </row>
    <row r="630" ht="22.5" customFormat="1" customHeight="1" s="8">
      <c r="A630" s="9" t="n"/>
      <c r="B630" s="136" t="inlineStr">
        <is>
          <t>CABLE</t>
        </is>
      </c>
      <c r="C630" s="137" t="inlineStr">
        <is>
          <t>ADX6000S</t>
        </is>
      </c>
      <c r="D630" s="84" t="inlineStr">
        <is>
          <t>하네스 9번</t>
        </is>
      </c>
      <c r="E630" s="13" t="inlineStr">
        <is>
          <t>12505HS-03 Carrier Mini BD 케이블 / 100mm</t>
        </is>
      </c>
      <c r="F630" s="100" t="n"/>
      <c r="G630" s="9" t="n"/>
      <c r="H630" s="9" t="inlineStr">
        <is>
          <t>HLP</t>
        </is>
      </c>
      <c r="I630" s="14" t="n"/>
      <c r="J630" s="14" t="n"/>
      <c r="K630" s="12" t="n"/>
      <c r="L630" s="9" t="n"/>
      <c r="M630" s="9" t="n"/>
      <c r="N630" s="9" t="n"/>
      <c r="O630" s="40">
        <f>K630+V630-AE630-AZ630</f>
        <v/>
      </c>
      <c r="P630" s="12" t="n"/>
      <c r="Q630" s="138" t="n"/>
      <c r="R630" s="16" t="n"/>
      <c r="S630" s="139" t="n"/>
      <c r="T630" s="16" t="n"/>
      <c r="U630" s="139" t="n"/>
      <c r="V630" s="16">
        <f>P630+R630+T630</f>
        <v/>
      </c>
      <c r="W630" s="16" t="n"/>
      <c r="X630" s="139" t="n"/>
      <c r="Y630" s="16" t="n"/>
      <c r="Z630" s="139" t="n"/>
      <c r="AA630" s="16" t="n"/>
      <c r="AB630" s="139" t="n"/>
      <c r="AC630" s="16" t="n"/>
      <c r="AD630" s="139" t="n"/>
      <c r="AE630" s="16">
        <f>(W630+Y630+AA630+AC630)</f>
        <v/>
      </c>
      <c r="AF630" s="16" t="n"/>
      <c r="AG630" s="138" t="n"/>
      <c r="AH630" s="16" t="n"/>
      <c r="AI630" s="138" t="n"/>
      <c r="AJ630" s="16" t="n"/>
      <c r="AK630" s="138" t="n"/>
      <c r="AL630" s="16" t="n"/>
      <c r="AM630" s="138" t="n"/>
      <c r="AN630" s="16" t="n"/>
      <c r="AO630" s="138" t="n"/>
      <c r="AP630" s="16" t="n"/>
      <c r="AQ630" s="138" t="n"/>
      <c r="AR630" s="16" t="n"/>
      <c r="AS630" s="138" t="n"/>
      <c r="AT630" s="16" t="n"/>
      <c r="AU630" s="138" t="n"/>
      <c r="AV630" s="16" t="n"/>
      <c r="AW630" s="138" t="n"/>
      <c r="AX630" s="16" t="n"/>
      <c r="AY630" s="138" t="n"/>
      <c r="AZ630" s="16">
        <f>AF630+AH630+AJ630+AL630+AN630+AP630+AR630+AT630+AV630+AX630</f>
        <v/>
      </c>
      <c r="BA630" s="16" t="n"/>
      <c r="BB630" s="139" t="n"/>
      <c r="BC630" s="16" t="n"/>
      <c r="BD630" s="139" t="n"/>
      <c r="BE630" s="16">
        <f>(BA630+BC630)</f>
        <v/>
      </c>
    </row>
    <row r="631" ht="22.5" customFormat="1" customHeight="1" s="8">
      <c r="A631" s="9" t="n"/>
      <c r="B631" s="136" t="inlineStr">
        <is>
          <t>CABLE</t>
        </is>
      </c>
      <c r="C631" s="137" t="inlineStr">
        <is>
          <t>ADX6000</t>
        </is>
      </c>
      <c r="D631" s="84" t="inlineStr">
        <is>
          <t>하네스 12번</t>
        </is>
      </c>
      <c r="E631" s="13" t="inlineStr">
        <is>
          <t>YH396-04V - 1EA 외부단자 케이블 / 200mm</t>
        </is>
      </c>
      <c r="F631" s="100" t="n"/>
      <c r="G631" s="9" t="n"/>
      <c r="H631" s="9" t="inlineStr">
        <is>
          <t>HLP</t>
        </is>
      </c>
      <c r="I631" s="14" t="n"/>
      <c r="J631" s="14" t="n"/>
      <c r="K631" s="12" t="n"/>
      <c r="L631" s="9" t="n"/>
      <c r="M631" s="9" t="n"/>
      <c r="N631" s="9" t="n"/>
      <c r="O631" s="40">
        <f>K631+V631-AE631-AZ631</f>
        <v/>
      </c>
      <c r="P631" s="12" t="n"/>
      <c r="Q631" s="138" t="n"/>
      <c r="R631" s="16" t="n"/>
      <c r="S631" s="139" t="n"/>
      <c r="T631" s="16" t="n"/>
      <c r="U631" s="139" t="n"/>
      <c r="V631" s="16">
        <f>P631+R631+T631</f>
        <v/>
      </c>
      <c r="W631" s="16" t="n"/>
      <c r="X631" s="139" t="n"/>
      <c r="Y631" s="16" t="n"/>
      <c r="Z631" s="139" t="n"/>
      <c r="AA631" s="16" t="n"/>
      <c r="AB631" s="139" t="n"/>
      <c r="AC631" s="16" t="n"/>
      <c r="AD631" s="139" t="n"/>
      <c r="AE631" s="16">
        <f>(W631+Y631+AA631+AC631)</f>
        <v/>
      </c>
      <c r="AF631" s="16" t="n"/>
      <c r="AG631" s="138" t="n"/>
      <c r="AH631" s="16" t="n"/>
      <c r="AI631" s="138" t="n"/>
      <c r="AJ631" s="16" t="n"/>
      <c r="AK631" s="138" t="n"/>
      <c r="AL631" s="16" t="n"/>
      <c r="AM631" s="138" t="n"/>
      <c r="AN631" s="16" t="n"/>
      <c r="AO631" s="138" t="n"/>
      <c r="AP631" s="16" t="n"/>
      <c r="AQ631" s="138" t="n"/>
      <c r="AR631" s="16" t="n"/>
      <c r="AS631" s="138" t="n"/>
      <c r="AT631" s="16" t="n"/>
      <c r="AU631" s="138" t="n"/>
      <c r="AV631" s="16" t="n"/>
      <c r="AW631" s="138" t="n"/>
      <c r="AX631" s="16" t="n"/>
      <c r="AY631" s="138" t="n"/>
      <c r="AZ631" s="16">
        <f>AF631+AH631+AJ631+AL631+AN631+AP631+AR631+AT631+AV631+AX631</f>
        <v/>
      </c>
      <c r="BA631" s="16" t="n"/>
      <c r="BB631" s="139" t="n"/>
      <c r="BC631" s="16" t="n"/>
      <c r="BD631" s="139" t="n"/>
      <c r="BE631" s="16">
        <f>(BA631+BC631)</f>
        <v/>
      </c>
    </row>
    <row r="632" ht="22.5" customFormat="1" customHeight="1" s="8">
      <c r="A632" s="9" t="n"/>
      <c r="B632" s="136" t="inlineStr">
        <is>
          <t>CABLE</t>
        </is>
      </c>
      <c r="C632" s="137" t="inlineStr">
        <is>
          <t>ADX6000</t>
        </is>
      </c>
      <c r="D632" s="84" t="inlineStr">
        <is>
          <t>하네스 13번</t>
        </is>
      </c>
      <c r="E632" s="13" t="inlineStr">
        <is>
          <t>DC Connector Cable 외부배터리 케이블 / 360mm</t>
        </is>
      </c>
      <c r="F632" s="100" t="n"/>
      <c r="G632" s="9" t="n"/>
      <c r="H632" s="9" t="inlineStr">
        <is>
          <t>HLP</t>
        </is>
      </c>
      <c r="I632" s="14" t="n"/>
      <c r="J632" s="14" t="n"/>
      <c r="K632" s="12" t="n"/>
      <c r="L632" s="9" t="n"/>
      <c r="M632" s="9" t="n"/>
      <c r="N632" s="9" t="n"/>
      <c r="O632" s="40">
        <f>K632+V632-AE632-AZ632</f>
        <v/>
      </c>
      <c r="P632" s="12" t="n"/>
      <c r="Q632" s="138" t="n"/>
      <c r="R632" s="16" t="n"/>
      <c r="S632" s="139" t="n"/>
      <c r="T632" s="16" t="n"/>
      <c r="U632" s="139" t="n"/>
      <c r="V632" s="16">
        <f>P632+R632+T632</f>
        <v/>
      </c>
      <c r="W632" s="16" t="n"/>
      <c r="X632" s="139" t="n"/>
      <c r="Y632" s="16" t="n"/>
      <c r="Z632" s="139" t="n"/>
      <c r="AA632" s="16" t="n"/>
      <c r="AB632" s="139" t="n"/>
      <c r="AC632" s="16" t="n"/>
      <c r="AD632" s="139" t="n"/>
      <c r="AE632" s="16">
        <f>(W632+Y632+AA632+AC632)</f>
        <v/>
      </c>
      <c r="AF632" s="16" t="n"/>
      <c r="AG632" s="138" t="n"/>
      <c r="AH632" s="16" t="n"/>
      <c r="AI632" s="138" t="n"/>
      <c r="AJ632" s="16" t="n"/>
      <c r="AK632" s="138" t="n"/>
      <c r="AL632" s="16" t="n"/>
      <c r="AM632" s="138" t="n"/>
      <c r="AN632" s="16" t="n"/>
      <c r="AO632" s="138" t="n"/>
      <c r="AP632" s="16" t="n"/>
      <c r="AQ632" s="138" t="n"/>
      <c r="AR632" s="16" t="n"/>
      <c r="AS632" s="138" t="n"/>
      <c r="AT632" s="16" t="n"/>
      <c r="AU632" s="138" t="n"/>
      <c r="AV632" s="16" t="n"/>
      <c r="AW632" s="138" t="n"/>
      <c r="AX632" s="16" t="n"/>
      <c r="AY632" s="138" t="n"/>
      <c r="AZ632" s="16">
        <f>AF632+AH632+AJ632+AL632+AN632+AP632+AR632+AT632+AV632+AX632</f>
        <v/>
      </c>
      <c r="BA632" s="16" t="n"/>
      <c r="BB632" s="139" t="n"/>
      <c r="BC632" s="16" t="n"/>
      <c r="BD632" s="139" t="n"/>
      <c r="BE632" s="16">
        <f>(BA632+BC632)</f>
        <v/>
      </c>
    </row>
    <row r="633" ht="22.5" customFormat="1" customHeight="1" s="8">
      <c r="A633" s="9" t="n"/>
      <c r="B633" s="136" t="inlineStr">
        <is>
          <t>CABLE</t>
        </is>
      </c>
      <c r="C633" s="137" t="inlineStr">
        <is>
          <t>ADX6000</t>
        </is>
      </c>
      <c r="D633" s="87" t="inlineStr">
        <is>
          <t>USB Connector Wire Harness (4핀)</t>
        </is>
      </c>
      <c r="E633" s="13" t="inlineStr">
        <is>
          <t>100mm</t>
        </is>
      </c>
      <c r="F633" s="100" t="n"/>
      <c r="G633" s="9" t="n"/>
      <c r="H633" s="9" t="inlineStr">
        <is>
          <t>HLP</t>
        </is>
      </c>
      <c r="I633" s="14" t="n"/>
      <c r="J633" s="14" t="n"/>
      <c r="K633" s="12" t="n"/>
      <c r="L633" s="9" t="n"/>
      <c r="M633" s="9" t="n"/>
      <c r="N633" s="9" t="n"/>
      <c r="O633" s="40">
        <f>K633+V633-AE633-AZ633</f>
        <v/>
      </c>
      <c r="P633" s="12" t="n"/>
      <c r="Q633" s="138" t="n"/>
      <c r="R633" s="16" t="n"/>
      <c r="S633" s="139" t="n"/>
      <c r="T633" s="16" t="n"/>
      <c r="U633" s="139" t="n"/>
      <c r="V633" s="16">
        <f>P633+R633+T633</f>
        <v/>
      </c>
      <c r="W633" s="16" t="n"/>
      <c r="X633" s="139" t="n"/>
      <c r="Y633" s="16" t="n"/>
      <c r="Z633" s="139" t="n"/>
      <c r="AA633" s="16" t="n"/>
      <c r="AB633" s="139" t="n"/>
      <c r="AC633" s="16" t="n"/>
      <c r="AD633" s="139" t="n"/>
      <c r="AE633" s="16">
        <f>(W633+Y633+AA633+AC633)</f>
        <v/>
      </c>
      <c r="AF633" s="16" t="n"/>
      <c r="AG633" s="138" t="n"/>
      <c r="AH633" s="16" t="n"/>
      <c r="AI633" s="138" t="n"/>
      <c r="AJ633" s="16" t="n"/>
      <c r="AK633" s="138" t="n"/>
      <c r="AL633" s="16" t="n"/>
      <c r="AM633" s="138" t="n"/>
      <c r="AN633" s="16" t="n"/>
      <c r="AO633" s="138" t="n"/>
      <c r="AP633" s="16" t="n"/>
      <c r="AQ633" s="138" t="n"/>
      <c r="AR633" s="16" t="n"/>
      <c r="AS633" s="138" t="n"/>
      <c r="AT633" s="16" t="n"/>
      <c r="AU633" s="138" t="n"/>
      <c r="AV633" s="16" t="n"/>
      <c r="AW633" s="138" t="n"/>
      <c r="AX633" s="16" t="n"/>
      <c r="AY633" s="138" t="n"/>
      <c r="AZ633" s="16">
        <f>AF633+AH633+AJ633+AL633+AN633+AP633+AR633+AT633+AV633+AX633</f>
        <v/>
      </c>
      <c r="BA633" s="16" t="n"/>
      <c r="BB633" s="139" t="n"/>
      <c r="BC633" s="16" t="n"/>
      <c r="BD633" s="139" t="n"/>
      <c r="BE633" s="16">
        <f>(BA633+BC633)</f>
        <v/>
      </c>
    </row>
    <row r="634" ht="22.5" customFormat="1" customHeight="1" s="8">
      <c r="A634" s="9" t="n"/>
      <c r="B634" s="136" t="inlineStr">
        <is>
          <t>CABLE</t>
        </is>
      </c>
      <c r="C634" s="137" t="inlineStr">
        <is>
          <t>ADX6000</t>
        </is>
      </c>
      <c r="D634" s="60" t="inlineStr">
        <is>
          <t>Front USB Wire Harness (4핀)</t>
        </is>
      </c>
      <c r="E634" s="13" t="inlineStr">
        <is>
          <t>80mm</t>
        </is>
      </c>
      <c r="F634" s="100" t="n"/>
      <c r="G634" s="9" t="n"/>
      <c r="H634" s="9" t="inlineStr">
        <is>
          <t>HLP</t>
        </is>
      </c>
      <c r="I634" s="14" t="n"/>
      <c r="J634" s="14" t="n"/>
      <c r="K634" s="12" t="n"/>
      <c r="L634" s="9" t="n"/>
      <c r="M634" s="9" t="n"/>
      <c r="N634" s="9" t="n"/>
      <c r="O634" s="40">
        <f>K634+V634-AE634-AZ634</f>
        <v/>
      </c>
      <c r="P634" s="12" t="n"/>
      <c r="Q634" s="138" t="n"/>
      <c r="R634" s="16" t="n"/>
      <c r="S634" s="139" t="n"/>
      <c r="T634" s="16" t="n"/>
      <c r="U634" s="139" t="n"/>
      <c r="V634" s="16">
        <f>P634+R634+T634</f>
        <v/>
      </c>
      <c r="W634" s="16" t="n"/>
      <c r="X634" s="139" t="n"/>
      <c r="Y634" s="16" t="n"/>
      <c r="Z634" s="139" t="n"/>
      <c r="AA634" s="16" t="n"/>
      <c r="AB634" s="139" t="n"/>
      <c r="AC634" s="16" t="n"/>
      <c r="AD634" s="139" t="n"/>
      <c r="AE634" s="16">
        <f>(W634+Y634+AA634+AC634)</f>
        <v/>
      </c>
      <c r="AF634" s="16" t="n"/>
      <c r="AG634" s="138" t="n"/>
      <c r="AH634" s="16" t="n"/>
      <c r="AI634" s="138" t="n"/>
      <c r="AJ634" s="16" t="n"/>
      <c r="AK634" s="138" t="n"/>
      <c r="AL634" s="16" t="n"/>
      <c r="AM634" s="138" t="n"/>
      <c r="AN634" s="16" t="n"/>
      <c r="AO634" s="138" t="n"/>
      <c r="AP634" s="16" t="n"/>
      <c r="AQ634" s="138" t="n"/>
      <c r="AR634" s="16" t="n"/>
      <c r="AS634" s="138" t="n"/>
      <c r="AT634" s="16" t="n"/>
      <c r="AU634" s="138" t="n"/>
      <c r="AV634" s="16" t="n"/>
      <c r="AW634" s="138" t="n"/>
      <c r="AX634" s="16" t="n"/>
      <c r="AY634" s="138" t="n"/>
      <c r="AZ634" s="16">
        <f>AF634+AH634+AJ634+AL634+AN634+AP634+AR634+AT634+AV634+AX634</f>
        <v/>
      </c>
      <c r="BA634" s="16" t="n"/>
      <c r="BB634" s="139" t="n"/>
      <c r="BC634" s="16" t="n"/>
      <c r="BD634" s="139" t="n"/>
      <c r="BE634" s="16">
        <f>(BA634+BC634)</f>
        <v/>
      </c>
    </row>
    <row r="635" ht="22.5" customFormat="1" customHeight="1" s="8">
      <c r="A635" s="9" t="n"/>
      <c r="B635" s="136" t="inlineStr">
        <is>
          <t>CABLE</t>
        </is>
      </c>
      <c r="C635" s="137" t="inlineStr">
        <is>
          <t>ADX6000</t>
        </is>
      </c>
      <c r="D635" s="60" t="inlineStr">
        <is>
          <t>RS422 통신 Wire Harness (6핀)</t>
        </is>
      </c>
      <c r="E635" s="13" t="inlineStr">
        <is>
          <t>120mm</t>
        </is>
      </c>
      <c r="F635" s="100" t="n"/>
      <c r="G635" s="9" t="n"/>
      <c r="H635" s="9" t="inlineStr">
        <is>
          <t>HLP</t>
        </is>
      </c>
      <c r="I635" s="14" t="n"/>
      <c r="J635" s="14" t="n"/>
      <c r="K635" s="12" t="n"/>
      <c r="L635" s="9" t="n"/>
      <c r="M635" s="9" t="n"/>
      <c r="N635" s="9" t="n"/>
      <c r="O635" s="40">
        <f>K635+V635-AE635-AZ635</f>
        <v/>
      </c>
      <c r="P635" s="12" t="n"/>
      <c r="Q635" s="138" t="n"/>
      <c r="R635" s="16" t="n"/>
      <c r="S635" s="139" t="n"/>
      <c r="T635" s="16" t="n"/>
      <c r="U635" s="139" t="n"/>
      <c r="V635" s="16">
        <f>P635+R635+T635</f>
        <v/>
      </c>
      <c r="W635" s="16" t="n"/>
      <c r="X635" s="139" t="n"/>
      <c r="Y635" s="16" t="n"/>
      <c r="Z635" s="139" t="n"/>
      <c r="AA635" s="16" t="n"/>
      <c r="AB635" s="139" t="n"/>
      <c r="AC635" s="16" t="n"/>
      <c r="AD635" s="139" t="n"/>
      <c r="AE635" s="16">
        <f>(W635+Y635+AA635+AC635)</f>
        <v/>
      </c>
      <c r="AF635" s="16" t="n"/>
      <c r="AG635" s="138" t="n"/>
      <c r="AH635" s="16" t="n"/>
      <c r="AI635" s="138" t="n"/>
      <c r="AJ635" s="16" t="n"/>
      <c r="AK635" s="138" t="n"/>
      <c r="AL635" s="16" t="n"/>
      <c r="AM635" s="138" t="n"/>
      <c r="AN635" s="16" t="n"/>
      <c r="AO635" s="138" t="n"/>
      <c r="AP635" s="16" t="n"/>
      <c r="AQ635" s="138" t="n"/>
      <c r="AR635" s="16" t="n"/>
      <c r="AS635" s="138" t="n"/>
      <c r="AT635" s="16" t="n"/>
      <c r="AU635" s="138" t="n"/>
      <c r="AV635" s="16" t="n"/>
      <c r="AW635" s="138" t="n"/>
      <c r="AX635" s="16" t="n"/>
      <c r="AY635" s="138" t="n"/>
      <c r="AZ635" s="16">
        <f>AF635+AH635+AJ635+AL635+AN635+AP635+AR635+AT635+AV635+AX635</f>
        <v/>
      </c>
      <c r="BA635" s="16" t="n"/>
      <c r="BB635" s="139" t="n"/>
      <c r="BC635" s="16" t="n"/>
      <c r="BD635" s="139" t="n"/>
      <c r="BE635" s="16">
        <f>(BA635+BC635)</f>
        <v/>
      </c>
    </row>
    <row r="636" ht="22.5" customFormat="1" customHeight="1" s="8">
      <c r="A636" s="9" t="n"/>
      <c r="B636" s="136" t="inlineStr">
        <is>
          <t>CABLE</t>
        </is>
      </c>
      <c r="C636" s="137" t="inlineStr">
        <is>
          <t>ADX6000</t>
        </is>
      </c>
      <c r="D636" s="60" t="inlineStr">
        <is>
          <t>PC Connector Wire Harness (7핀)</t>
        </is>
      </c>
      <c r="E636" s="13" t="inlineStr">
        <is>
          <t>100mm, 140mm, 200mm</t>
        </is>
      </c>
      <c r="F636" s="100" t="n"/>
      <c r="G636" s="9" t="n"/>
      <c r="H636" s="9" t="inlineStr">
        <is>
          <t>HLP</t>
        </is>
      </c>
      <c r="I636" s="14" t="n"/>
      <c r="J636" s="14" t="n"/>
      <c r="K636" s="12" t="n"/>
      <c r="L636" s="9" t="n"/>
      <c r="M636" s="9" t="n"/>
      <c r="N636" s="9" t="n"/>
      <c r="O636" s="40">
        <f>K636+V636-AE636-AZ636</f>
        <v/>
      </c>
      <c r="P636" s="12" t="n"/>
      <c r="Q636" s="138" t="n"/>
      <c r="R636" s="16" t="n"/>
      <c r="S636" s="139" t="n"/>
      <c r="T636" s="16" t="n"/>
      <c r="U636" s="139" t="n"/>
      <c r="V636" s="16">
        <f>P636+R636+T636</f>
        <v/>
      </c>
      <c r="W636" s="16" t="n"/>
      <c r="X636" s="139" t="n"/>
      <c r="Y636" s="16" t="n"/>
      <c r="Z636" s="139" t="n"/>
      <c r="AA636" s="16" t="n"/>
      <c r="AB636" s="139" t="n"/>
      <c r="AC636" s="16" t="n"/>
      <c r="AD636" s="139" t="n"/>
      <c r="AE636" s="16">
        <f>(W636+Y636+AA636+AC636)</f>
        <v/>
      </c>
      <c r="AF636" s="16" t="n"/>
      <c r="AG636" s="138" t="n"/>
      <c r="AH636" s="16" t="n"/>
      <c r="AI636" s="138" t="n"/>
      <c r="AJ636" s="16" t="n"/>
      <c r="AK636" s="138" t="n"/>
      <c r="AL636" s="16" t="n"/>
      <c r="AM636" s="138" t="n"/>
      <c r="AN636" s="16" t="n"/>
      <c r="AO636" s="138" t="n"/>
      <c r="AP636" s="16" t="n"/>
      <c r="AQ636" s="138" t="n"/>
      <c r="AR636" s="16" t="n"/>
      <c r="AS636" s="138" t="n"/>
      <c r="AT636" s="16" t="n"/>
      <c r="AU636" s="138" t="n"/>
      <c r="AV636" s="16" t="n"/>
      <c r="AW636" s="138" t="n"/>
      <c r="AX636" s="16" t="n"/>
      <c r="AY636" s="138" t="n"/>
      <c r="AZ636" s="16">
        <f>AF636+AH636+AJ636+AL636+AN636+AP636+AR636+AT636+AV636+AX636</f>
        <v/>
      </c>
      <c r="BA636" s="16" t="n"/>
      <c r="BB636" s="139" t="n"/>
      <c r="BC636" s="16" t="n"/>
      <c r="BD636" s="139" t="n"/>
      <c r="BE636" s="16">
        <f>(BA636+BC636)</f>
        <v/>
      </c>
    </row>
    <row r="637" ht="22.5" customFormat="1" customHeight="1" s="8">
      <c r="A637" s="9" t="n"/>
      <c r="B637" s="136" t="inlineStr">
        <is>
          <t>PANEL</t>
        </is>
      </c>
      <c r="C637" s="137" t="inlineStr">
        <is>
          <t>ADX6000S</t>
        </is>
      </c>
      <c r="D637" s="84" t="inlineStr">
        <is>
          <t>4.3" LCD</t>
        </is>
      </c>
      <c r="E637" s="13" t="inlineStr">
        <is>
          <t>IEC266lite-43, OS 영문</t>
        </is>
      </c>
      <c r="F637" s="100" t="n"/>
      <c r="G637" s="9" t="n"/>
      <c r="H637" s="9" t="inlineStr">
        <is>
          <t>에이치앤에스</t>
        </is>
      </c>
      <c r="I637" s="14" t="n"/>
      <c r="J637" s="14" t="n"/>
      <c r="K637" s="12" t="n"/>
      <c r="L637" s="9" t="n"/>
      <c r="M637" s="9" t="n"/>
      <c r="N637" s="9" t="n"/>
      <c r="O637" s="40">
        <f>K637+V637-AE637-AZ637</f>
        <v/>
      </c>
      <c r="P637" s="12" t="n"/>
      <c r="Q637" s="138" t="n"/>
      <c r="R637" s="16" t="n"/>
      <c r="S637" s="139" t="n"/>
      <c r="T637" s="16" t="n"/>
      <c r="U637" s="139" t="n"/>
      <c r="V637" s="16">
        <f>P637+R637+T637</f>
        <v/>
      </c>
      <c r="W637" s="16" t="n"/>
      <c r="X637" s="139" t="n"/>
      <c r="Y637" s="16" t="n"/>
      <c r="Z637" s="139" t="n"/>
      <c r="AA637" s="16" t="n"/>
      <c r="AB637" s="139" t="n"/>
      <c r="AC637" s="16" t="n"/>
      <c r="AD637" s="139" t="n"/>
      <c r="AE637" s="16">
        <f>(W637+Y637+AA637+AC637)</f>
        <v/>
      </c>
      <c r="AF637" s="16" t="n"/>
      <c r="AG637" s="138" t="n"/>
      <c r="AH637" s="16" t="n"/>
      <c r="AI637" s="138" t="n"/>
      <c r="AJ637" s="16" t="n"/>
      <c r="AK637" s="138" t="n"/>
      <c r="AL637" s="16" t="n"/>
      <c r="AM637" s="138" t="n"/>
      <c r="AN637" s="16" t="n"/>
      <c r="AO637" s="138" t="n"/>
      <c r="AP637" s="16" t="n"/>
      <c r="AQ637" s="138" t="n"/>
      <c r="AR637" s="16" t="n"/>
      <c r="AS637" s="138" t="n"/>
      <c r="AT637" s="16" t="n"/>
      <c r="AU637" s="138" t="n"/>
      <c r="AV637" s="16" t="n"/>
      <c r="AW637" s="138" t="n"/>
      <c r="AX637" s="16" t="n"/>
      <c r="AY637" s="138" t="n"/>
      <c r="AZ637" s="16">
        <f>AF637+AH637+AJ637+AL637+AN637+AP637+AR637+AT637+AV637+AX637</f>
        <v/>
      </c>
      <c r="BA637" s="16" t="n"/>
      <c r="BB637" s="139" t="n"/>
      <c r="BC637" s="16" t="n"/>
      <c r="BD637" s="139" t="n"/>
      <c r="BE637" s="16">
        <f>(BA637+BC637)</f>
        <v/>
      </c>
    </row>
    <row r="638" ht="22.5" customFormat="1" customHeight="1" s="8">
      <c r="A638" s="9" t="n"/>
      <c r="B638" s="136" t="inlineStr">
        <is>
          <t>MODULE</t>
        </is>
      </c>
      <c r="C638" s="137" t="inlineStr">
        <is>
          <t>ADX6000S</t>
        </is>
      </c>
      <c r="D638" s="84" t="inlineStr">
        <is>
          <t>4.3" Module</t>
        </is>
      </c>
      <c r="E638" s="13" t="inlineStr">
        <is>
          <t>IEC266lite-43, OS 영문</t>
        </is>
      </c>
      <c r="F638" s="100" t="n"/>
      <c r="G638" s="9" t="n"/>
      <c r="H638" s="9" t="inlineStr">
        <is>
          <t>에이치앤에스</t>
        </is>
      </c>
      <c r="I638" s="14" t="n"/>
      <c r="J638" s="14" t="n"/>
      <c r="K638" s="12" t="n"/>
      <c r="L638" s="9" t="n"/>
      <c r="M638" s="9" t="n"/>
      <c r="N638" s="9" t="n"/>
      <c r="O638" s="40">
        <f>K638+V638-AE638-AZ638</f>
        <v/>
      </c>
      <c r="P638" s="12" t="n"/>
      <c r="Q638" s="138" t="n"/>
      <c r="R638" s="16" t="n"/>
      <c r="S638" s="139" t="n"/>
      <c r="T638" s="16" t="n"/>
      <c r="U638" s="139" t="n"/>
      <c r="V638" s="16">
        <f>P638+R638+T638</f>
        <v/>
      </c>
      <c r="W638" s="16" t="n"/>
      <c r="X638" s="139" t="n"/>
      <c r="Y638" s="16" t="n"/>
      <c r="Z638" s="139" t="n"/>
      <c r="AA638" s="16" t="n"/>
      <c r="AB638" s="139" t="n"/>
      <c r="AC638" s="16" t="n"/>
      <c r="AD638" s="139" t="n"/>
      <c r="AE638" s="16">
        <f>(W638+Y638+AA638+AC638)</f>
        <v/>
      </c>
      <c r="AF638" s="16" t="n"/>
      <c r="AG638" s="138" t="n"/>
      <c r="AH638" s="16" t="n"/>
      <c r="AI638" s="138" t="n"/>
      <c r="AJ638" s="16" t="n"/>
      <c r="AK638" s="138" t="n"/>
      <c r="AL638" s="16" t="n"/>
      <c r="AM638" s="138" t="n"/>
      <c r="AN638" s="16" t="n"/>
      <c r="AO638" s="138" t="n"/>
      <c r="AP638" s="16" t="n"/>
      <c r="AQ638" s="138" t="n"/>
      <c r="AR638" s="16" t="n"/>
      <c r="AS638" s="138" t="n"/>
      <c r="AT638" s="16" t="n"/>
      <c r="AU638" s="138" t="n"/>
      <c r="AV638" s="16" t="n"/>
      <c r="AW638" s="138" t="n"/>
      <c r="AX638" s="16" t="n"/>
      <c r="AY638" s="138" t="n"/>
      <c r="AZ638" s="16">
        <f>AF638+AH638+AJ638+AL638+AN638+AP638+AR638+AT638+AV638+AX638</f>
        <v/>
      </c>
      <c r="BA638" s="16" t="n"/>
      <c r="BB638" s="139" t="n"/>
      <c r="BC638" s="16" t="n"/>
      <c r="BD638" s="139" t="n"/>
      <c r="BE638" s="16">
        <f>(BA638+BC638)</f>
        <v/>
      </c>
    </row>
    <row r="639" ht="22.5" customFormat="1" customHeight="1" s="8">
      <c r="A639" s="9" t="n"/>
      <c r="B639" s="136" t="inlineStr">
        <is>
          <t>ABS 난연</t>
        </is>
      </c>
      <c r="C639" s="137" t="inlineStr">
        <is>
          <t>ADX6000</t>
        </is>
      </c>
      <c r="D639" s="84" t="inlineStr">
        <is>
          <t>컬리메이터 REAR 사출</t>
        </is>
      </c>
      <c r="E639" s="13" t="inlineStr">
        <is>
          <t>ABS 난연 화이트 + 스프레이</t>
        </is>
      </c>
      <c r="F639" s="100" t="n"/>
      <c r="G639" s="9" t="n"/>
      <c r="H639" s="9" t="inlineStr">
        <is>
          <t>천우</t>
        </is>
      </c>
      <c r="I639" s="14" t="n"/>
      <c r="J639" s="14" t="n"/>
      <c r="K639" s="12" t="n"/>
      <c r="L639" s="9" t="n"/>
      <c r="M639" s="9" t="n"/>
      <c r="N639" s="9" t="n"/>
      <c r="O639" s="40">
        <f>K639+V639-AE639-AZ639</f>
        <v/>
      </c>
      <c r="P639" s="12" t="n"/>
      <c r="Q639" s="138" t="n"/>
      <c r="R639" s="16" t="n"/>
      <c r="S639" s="139" t="n"/>
      <c r="T639" s="16" t="n"/>
      <c r="U639" s="139" t="n"/>
      <c r="V639" s="16">
        <f>P639+R639+T639</f>
        <v/>
      </c>
      <c r="W639" s="16" t="n"/>
      <c r="X639" s="139" t="n"/>
      <c r="Y639" s="16" t="n"/>
      <c r="Z639" s="139" t="n"/>
      <c r="AA639" s="16" t="n"/>
      <c r="AB639" s="139" t="n"/>
      <c r="AC639" s="16" t="n"/>
      <c r="AD639" s="139" t="n"/>
      <c r="AE639" s="16">
        <f>(W639+Y639+AA639+AC639)</f>
        <v/>
      </c>
      <c r="AF639" s="16" t="n"/>
      <c r="AG639" s="138" t="n"/>
      <c r="AH639" s="16" t="n"/>
      <c r="AI639" s="138" t="n"/>
      <c r="AJ639" s="16" t="n"/>
      <c r="AK639" s="138" t="n"/>
      <c r="AL639" s="16" t="n"/>
      <c r="AM639" s="138" t="n"/>
      <c r="AN639" s="16" t="n"/>
      <c r="AO639" s="138" t="n"/>
      <c r="AP639" s="16" t="n"/>
      <c r="AQ639" s="138" t="n"/>
      <c r="AR639" s="16" t="n"/>
      <c r="AS639" s="138" t="n"/>
      <c r="AT639" s="16" t="n"/>
      <c r="AU639" s="138" t="n"/>
      <c r="AV639" s="16" t="n"/>
      <c r="AW639" s="138" t="n"/>
      <c r="AX639" s="16" t="n"/>
      <c r="AY639" s="138" t="n"/>
      <c r="AZ639" s="16">
        <f>AF639+AH639+AJ639+AL639+AN639+AP639+AR639+AT639+AV639+AX639</f>
        <v/>
      </c>
      <c r="BA639" s="16" t="n"/>
      <c r="BB639" s="139" t="n"/>
      <c r="BC639" s="16" t="n"/>
      <c r="BD639" s="139" t="n"/>
      <c r="BE639" s="16">
        <f>(BA639+BC639)</f>
        <v/>
      </c>
    </row>
    <row r="640" ht="22.5" customFormat="1" customHeight="1" s="8">
      <c r="A640" s="9" t="n"/>
      <c r="B640" s="136" t="inlineStr">
        <is>
          <t>ABS 난연</t>
        </is>
      </c>
      <c r="C640" s="137" t="inlineStr">
        <is>
          <t>ADX6000</t>
        </is>
      </c>
      <c r="D640" s="84" t="inlineStr">
        <is>
          <t>컬리메이터 내부하우징 사출</t>
        </is>
      </c>
      <c r="E640" s="13" t="inlineStr">
        <is>
          <t>ABS 난연 화이트 + 스프레이</t>
        </is>
      </c>
      <c r="F640" s="100" t="n"/>
      <c r="G640" s="9" t="n"/>
      <c r="H640" s="9" t="inlineStr">
        <is>
          <t>천우</t>
        </is>
      </c>
      <c r="I640" s="14" t="n"/>
      <c r="J640" s="14" t="n"/>
      <c r="K640" s="12" t="n">
        <v>0</v>
      </c>
      <c r="L640" s="9" t="n"/>
      <c r="M640" s="9" t="n"/>
      <c r="N640" s="9" t="n"/>
      <c r="O640" s="40">
        <f>K640+V640-AE640-AZ640</f>
        <v/>
      </c>
      <c r="P640" s="12" t="n"/>
      <c r="Q640" s="138" t="n"/>
      <c r="R640" s="16" t="n"/>
      <c r="S640" s="139" t="n"/>
      <c r="T640" s="16" t="n"/>
      <c r="U640" s="139" t="n"/>
      <c r="V640" s="16">
        <f>P640+R640+T640</f>
        <v/>
      </c>
      <c r="W640" s="16" t="n"/>
      <c r="X640" s="139" t="n"/>
      <c r="Y640" s="16" t="n"/>
      <c r="Z640" s="139" t="n"/>
      <c r="AA640" s="16" t="n"/>
      <c r="AB640" s="139" t="n"/>
      <c r="AC640" s="16" t="n"/>
      <c r="AD640" s="139" t="n"/>
      <c r="AE640" s="16">
        <f>(W640+Y640+AA640+AC640)</f>
        <v/>
      </c>
      <c r="AF640" s="16" t="n"/>
      <c r="AG640" s="138" t="n"/>
      <c r="AH640" s="16" t="n"/>
      <c r="AI640" s="138" t="n"/>
      <c r="AJ640" s="16" t="n"/>
      <c r="AK640" s="138" t="n"/>
      <c r="AL640" s="16" t="n"/>
      <c r="AM640" s="138" t="n"/>
      <c r="AN640" s="16" t="n"/>
      <c r="AO640" s="138" t="n"/>
      <c r="AP640" s="16" t="n"/>
      <c r="AQ640" s="138" t="n"/>
      <c r="AR640" s="16" t="n"/>
      <c r="AS640" s="138" t="n"/>
      <c r="AT640" s="16" t="n"/>
      <c r="AU640" s="138" t="n"/>
      <c r="AV640" s="16" t="n"/>
      <c r="AW640" s="138" t="n"/>
      <c r="AX640" s="16" t="n"/>
      <c r="AY640" s="138" t="n"/>
      <c r="AZ640" s="16">
        <f>AF640+AH640+AJ640+AL640+AN640+AP640+AR640+AT640+AV640+AX640</f>
        <v/>
      </c>
      <c r="BA640" s="16" t="n"/>
      <c r="BB640" s="139" t="n"/>
      <c r="BC640" s="16" t="n"/>
      <c r="BD640" s="139" t="n"/>
      <c r="BE640" s="16">
        <f>(BA640+BC640)</f>
        <v/>
      </c>
    </row>
    <row r="641" ht="22.5" customFormat="1" customHeight="1" s="8">
      <c r="A641" s="9" t="n"/>
      <c r="B641" s="136" t="inlineStr">
        <is>
          <t>ABS 난연</t>
        </is>
      </c>
      <c r="C641" s="137" t="inlineStr">
        <is>
          <t>ADX6000</t>
        </is>
      </c>
      <c r="D641" s="84" t="inlineStr">
        <is>
          <t>컬리메이터 내부브릿지 사출</t>
        </is>
      </c>
      <c r="E641" s="13" t="inlineStr">
        <is>
          <t>ABS 난연 화이트 + 스프레이</t>
        </is>
      </c>
      <c r="F641" s="100" t="n"/>
      <c r="G641" s="9" t="n"/>
      <c r="H641" s="9" t="inlineStr">
        <is>
          <t>천우</t>
        </is>
      </c>
      <c r="I641" s="14" t="n"/>
      <c r="J641" s="14" t="n"/>
      <c r="K641" s="12" t="n">
        <v>0</v>
      </c>
      <c r="L641" s="9" t="n"/>
      <c r="M641" s="9" t="n"/>
      <c r="N641" s="9" t="n"/>
      <c r="O641" s="40">
        <f>K641+V641-AE641-AZ641</f>
        <v/>
      </c>
      <c r="P641" s="12" t="n"/>
      <c r="Q641" s="138" t="n"/>
      <c r="R641" s="16" t="n"/>
      <c r="S641" s="139" t="n"/>
      <c r="T641" s="16" t="n"/>
      <c r="U641" s="139" t="n"/>
      <c r="V641" s="16">
        <f>P641+R641+T641</f>
        <v/>
      </c>
      <c r="W641" s="16" t="n"/>
      <c r="X641" s="139" t="n"/>
      <c r="Y641" s="16" t="n"/>
      <c r="Z641" s="139" t="n"/>
      <c r="AA641" s="16" t="n"/>
      <c r="AB641" s="139" t="n"/>
      <c r="AC641" s="16" t="n"/>
      <c r="AD641" s="139" t="n"/>
      <c r="AE641" s="16">
        <f>(W641+Y641+AA641+AC641)</f>
        <v/>
      </c>
      <c r="AF641" s="16" t="n"/>
      <c r="AG641" s="138" t="n"/>
      <c r="AH641" s="16" t="n"/>
      <c r="AI641" s="138" t="n"/>
      <c r="AJ641" s="16" t="n"/>
      <c r="AK641" s="138" t="n"/>
      <c r="AL641" s="16" t="n"/>
      <c r="AM641" s="138" t="n"/>
      <c r="AN641" s="16" t="n"/>
      <c r="AO641" s="138" t="n"/>
      <c r="AP641" s="16" t="n"/>
      <c r="AQ641" s="138" t="n"/>
      <c r="AR641" s="16" t="n"/>
      <c r="AS641" s="138" t="n"/>
      <c r="AT641" s="16" t="n"/>
      <c r="AU641" s="138" t="n"/>
      <c r="AV641" s="16" t="n"/>
      <c r="AW641" s="138" t="n"/>
      <c r="AX641" s="16" t="n"/>
      <c r="AY641" s="138" t="n"/>
      <c r="AZ641" s="16">
        <f>AF641+AH641+AJ641+AL641+AN641+AP641+AR641+AT641+AV641+AX641</f>
        <v/>
      </c>
      <c r="BA641" s="16" t="n"/>
      <c r="BB641" s="139" t="n"/>
      <c r="BC641" s="16" t="n"/>
      <c r="BD641" s="139" t="n"/>
      <c r="BE641" s="16">
        <f>(BA641+BC641)</f>
        <v/>
      </c>
    </row>
    <row r="642" ht="22.5" customFormat="1" customHeight="1" s="8">
      <c r="A642" s="9" t="n"/>
      <c r="B642" s="136" t="inlineStr">
        <is>
          <t>ABS 난연</t>
        </is>
      </c>
      <c r="C642" s="137" t="inlineStr">
        <is>
          <t>ADX6000</t>
        </is>
      </c>
      <c r="D642" s="84" t="inlineStr">
        <is>
          <t>컬리메이터 MIRROR 거치대 사출</t>
        </is>
      </c>
      <c r="E642" s="13" t="inlineStr">
        <is>
          <t>ABS 난연 화이트 + 스프레이  블랙</t>
        </is>
      </c>
      <c r="F642" s="100" t="n"/>
      <c r="G642" s="9" t="n"/>
      <c r="H642" s="9" t="inlineStr">
        <is>
          <t>천우</t>
        </is>
      </c>
      <c r="I642" s="14" t="n"/>
      <c r="J642" s="14" t="n"/>
      <c r="K642" s="12" t="n"/>
      <c r="L642" s="9" t="n"/>
      <c r="M642" s="9" t="n"/>
      <c r="N642" s="9" t="n"/>
      <c r="O642" s="40">
        <f>K642+V642-AE642-AZ642</f>
        <v/>
      </c>
      <c r="P642" s="12" t="n"/>
      <c r="Q642" s="138" t="n"/>
      <c r="R642" s="16" t="n"/>
      <c r="S642" s="139" t="n"/>
      <c r="T642" s="16" t="n"/>
      <c r="U642" s="139" t="n"/>
      <c r="V642" s="16">
        <f>P642+R642+T642</f>
        <v/>
      </c>
      <c r="W642" s="16" t="n"/>
      <c r="X642" s="139" t="n"/>
      <c r="Y642" s="16" t="n"/>
      <c r="Z642" s="139" t="n"/>
      <c r="AA642" s="16" t="n"/>
      <c r="AB642" s="139" t="n"/>
      <c r="AC642" s="16" t="n"/>
      <c r="AD642" s="139" t="n"/>
      <c r="AE642" s="16">
        <f>(W642+Y642+AA642+AC642)</f>
        <v/>
      </c>
      <c r="AF642" s="16" t="n"/>
      <c r="AG642" s="138" t="n"/>
      <c r="AH642" s="16" t="n"/>
      <c r="AI642" s="138" t="n"/>
      <c r="AJ642" s="16" t="n"/>
      <c r="AK642" s="138" t="n"/>
      <c r="AL642" s="16" t="n"/>
      <c r="AM642" s="138" t="n"/>
      <c r="AN642" s="16" t="n"/>
      <c r="AO642" s="138" t="n"/>
      <c r="AP642" s="16" t="n"/>
      <c r="AQ642" s="138" t="n"/>
      <c r="AR642" s="16" t="n"/>
      <c r="AS642" s="138" t="n"/>
      <c r="AT642" s="16" t="n"/>
      <c r="AU642" s="138" t="n"/>
      <c r="AV642" s="16" t="n"/>
      <c r="AW642" s="138" t="n"/>
      <c r="AX642" s="16" t="n"/>
      <c r="AY642" s="138" t="n"/>
      <c r="AZ642" s="16">
        <f>AF642+AH642+AJ642+AL642+AN642+AP642+AR642+AT642+AV642+AX642</f>
        <v/>
      </c>
      <c r="BA642" s="16" t="n"/>
      <c r="BB642" s="139" t="n"/>
      <c r="BC642" s="16" t="n"/>
      <c r="BD642" s="139" t="n"/>
      <c r="BE642" s="16">
        <f>(BA642+BC642)</f>
        <v/>
      </c>
    </row>
    <row r="643" ht="22.5" customFormat="1" customHeight="1" s="8">
      <c r="A643" s="9" t="n"/>
      <c r="B643" s="136" t="inlineStr">
        <is>
          <t>ABS 난연</t>
        </is>
      </c>
      <c r="C643" s="137" t="inlineStr">
        <is>
          <t>ADX6000</t>
        </is>
      </c>
      <c r="D643" s="86" t="inlineStr">
        <is>
          <t>Micro USB 사출 가이드</t>
        </is>
      </c>
      <c r="E643" s="23" t="inlineStr">
        <is>
          <t>ABS 난연 화이트 + 스프레이</t>
        </is>
      </c>
      <c r="F643" s="100" t="n"/>
      <c r="G643" s="9" t="n"/>
      <c r="H643" s="9" t="inlineStr">
        <is>
          <t>천우</t>
        </is>
      </c>
      <c r="I643" s="14" t="n"/>
      <c r="J643" s="14" t="n"/>
      <c r="K643" s="12" t="n"/>
      <c r="L643" s="9" t="n"/>
      <c r="M643" s="9" t="n"/>
      <c r="N643" s="9" t="n"/>
      <c r="O643" s="40">
        <f>K643+V643-AE643-AZ643</f>
        <v/>
      </c>
      <c r="P643" s="12" t="n"/>
      <c r="Q643" s="138" t="n"/>
      <c r="R643" s="16" t="n"/>
      <c r="S643" s="139" t="n"/>
      <c r="T643" s="16" t="n"/>
      <c r="U643" s="139" t="n"/>
      <c r="V643" s="16">
        <f>P643+R643+T643</f>
        <v/>
      </c>
      <c r="W643" s="16" t="n"/>
      <c r="X643" s="139" t="n"/>
      <c r="Y643" s="16" t="n"/>
      <c r="Z643" s="139" t="n"/>
      <c r="AA643" s="16" t="n"/>
      <c r="AB643" s="139" t="n"/>
      <c r="AC643" s="16" t="n"/>
      <c r="AD643" s="139" t="n"/>
      <c r="AE643" s="16">
        <f>(W643+Y643+AA643+AC643)</f>
        <v/>
      </c>
      <c r="AF643" s="16" t="n"/>
      <c r="AG643" s="138" t="n"/>
      <c r="AH643" s="16" t="n"/>
      <c r="AI643" s="138" t="n"/>
      <c r="AJ643" s="16" t="n"/>
      <c r="AK643" s="138" t="n"/>
      <c r="AL643" s="16" t="n"/>
      <c r="AM643" s="138" t="n"/>
      <c r="AN643" s="16" t="n"/>
      <c r="AO643" s="138" t="n"/>
      <c r="AP643" s="16" t="n"/>
      <c r="AQ643" s="138" t="n"/>
      <c r="AR643" s="16" t="n"/>
      <c r="AS643" s="138" t="n"/>
      <c r="AT643" s="16" t="n"/>
      <c r="AU643" s="138" t="n"/>
      <c r="AV643" s="16" t="n"/>
      <c r="AW643" s="138" t="n"/>
      <c r="AX643" s="16" t="n"/>
      <c r="AY643" s="138" t="n"/>
      <c r="AZ643" s="16">
        <f>AF643+AH643+AJ643+AL643+AN643+AP643+AR643+AT643+AV643+AX643</f>
        <v/>
      </c>
      <c r="BA643" s="16" t="n"/>
      <c r="BB643" s="139" t="n"/>
      <c r="BC643" s="16" t="n"/>
      <c r="BD643" s="139" t="n"/>
      <c r="BE643" s="16">
        <f>(BA643+BC643)</f>
        <v/>
      </c>
    </row>
    <row r="644" ht="22.5" customFormat="1" customHeight="1" s="8">
      <c r="A644" s="9" t="n"/>
      <c r="B644" s="136" t="inlineStr">
        <is>
          <t>아크릴</t>
        </is>
      </c>
      <c r="C644" s="137" t="inlineStr">
        <is>
          <t>ADX6000</t>
        </is>
      </c>
      <c r="D644" s="86" t="inlineStr">
        <is>
          <t>아크릴 은경</t>
        </is>
      </c>
      <c r="E644" s="23" t="inlineStr">
        <is>
          <t>아크릴 + 불량42</t>
        </is>
      </c>
      <c r="F644" s="100" t="n"/>
      <c r="G644" s="9" t="n"/>
      <c r="H644" s="9" t="inlineStr">
        <is>
          <t>아크릴최가</t>
        </is>
      </c>
      <c r="I644" s="14" t="n"/>
      <c r="J644" s="14" t="n"/>
      <c r="K644" s="12" t="n"/>
      <c r="L644" s="9" t="n"/>
      <c r="M644" s="9" t="n"/>
      <c r="N644" s="9" t="n"/>
      <c r="O644" s="40">
        <f>K644+V644-AE644-AZ644</f>
        <v/>
      </c>
      <c r="P644" s="12" t="n"/>
      <c r="Q644" s="138" t="n"/>
      <c r="R644" s="16" t="n"/>
      <c r="S644" s="139" t="n"/>
      <c r="T644" s="16" t="n"/>
      <c r="U644" s="139" t="n"/>
      <c r="V644" s="16">
        <f>P644+R644+T644</f>
        <v/>
      </c>
      <c r="W644" s="16" t="n"/>
      <c r="X644" s="139" t="n"/>
      <c r="Y644" s="16" t="n"/>
      <c r="Z644" s="139" t="n"/>
      <c r="AA644" s="16" t="n"/>
      <c r="AB644" s="139" t="n"/>
      <c r="AC644" s="16" t="n"/>
      <c r="AD644" s="139" t="n"/>
      <c r="AE644" s="16">
        <f>(W644+Y644+AA644+AC644)</f>
        <v/>
      </c>
      <c r="AF644" s="16" t="n"/>
      <c r="AG644" s="138" t="n"/>
      <c r="AH644" s="16" t="n"/>
      <c r="AI644" s="138" t="n"/>
      <c r="AJ644" s="16" t="n"/>
      <c r="AK644" s="138" t="n"/>
      <c r="AL644" s="16" t="n"/>
      <c r="AM644" s="138" t="n"/>
      <c r="AN644" s="16" t="n"/>
      <c r="AO644" s="138" t="n"/>
      <c r="AP644" s="16" t="n"/>
      <c r="AQ644" s="138" t="n"/>
      <c r="AR644" s="16" t="n"/>
      <c r="AS644" s="138" t="n"/>
      <c r="AT644" s="16" t="n"/>
      <c r="AU644" s="138" t="n"/>
      <c r="AV644" s="16" t="n"/>
      <c r="AW644" s="138" t="n"/>
      <c r="AX644" s="16" t="n"/>
      <c r="AY644" s="138" t="n"/>
      <c r="AZ644" s="16">
        <f>AF644+AH644+AJ644+AL644+AN644+AP644+AR644+AT644+AV644+AX644</f>
        <v/>
      </c>
      <c r="BA644" s="16" t="n"/>
      <c r="BB644" s="139" t="n"/>
      <c r="BC644" s="16" t="n"/>
      <c r="BD644" s="139" t="n"/>
      <c r="BE644" s="16">
        <f>(BA644+BC644)</f>
        <v/>
      </c>
    </row>
    <row r="645" ht="22.5" customFormat="1" customHeight="1" s="8">
      <c r="A645" s="9" t="n"/>
      <c r="B645" s="136" t="inlineStr">
        <is>
          <t>AL + STEEL</t>
        </is>
      </c>
      <c r="C645" s="137" t="inlineStr">
        <is>
          <t>ADX6000</t>
        </is>
      </c>
      <c r="D645" s="84" t="inlineStr">
        <is>
          <t>스킨가드</t>
        </is>
      </c>
      <c r="E645" s="13" t="inlineStr">
        <is>
          <t>AL 가공 + 흑색 아노다이징</t>
        </is>
      </c>
      <c r="F645" s="100" t="n"/>
      <c r="G645" s="9" t="n"/>
      <c r="H645" s="9" t="inlineStr">
        <is>
          <t>제이케이시스템</t>
        </is>
      </c>
      <c r="I645" s="14" t="n"/>
      <c r="J645" s="14" t="n"/>
      <c r="K645" s="12" t="n">
        <v>320</v>
      </c>
      <c r="L645" s="9" t="n"/>
      <c r="M645" s="9" t="n"/>
      <c r="N645" s="9" t="n"/>
      <c r="O645" s="40">
        <f>K645+V645-AE645-AZ645</f>
        <v/>
      </c>
      <c r="P645" s="12" t="n"/>
      <c r="Q645" s="138" t="n"/>
      <c r="R645" s="16" t="n"/>
      <c r="S645" s="139" t="n"/>
      <c r="T645" s="16" t="n"/>
      <c r="U645" s="139" t="n"/>
      <c r="V645" s="16">
        <f>P645+R645+T645</f>
        <v/>
      </c>
      <c r="W645" s="16" t="n"/>
      <c r="X645" s="139" t="n"/>
      <c r="Y645" s="16" t="n"/>
      <c r="Z645" s="139" t="n"/>
      <c r="AA645" s="16" t="n"/>
      <c r="AB645" s="139" t="n"/>
      <c r="AC645" s="16" t="n"/>
      <c r="AD645" s="139" t="n"/>
      <c r="AE645" s="16">
        <f>(W645+Y645+AA645+AC645)</f>
        <v/>
      </c>
      <c r="AF645" s="16" t="n"/>
      <c r="AG645" s="138" t="n"/>
      <c r="AH645" s="16" t="n"/>
      <c r="AI645" s="138" t="n"/>
      <c r="AJ645" s="16" t="n"/>
      <c r="AK645" s="138" t="n"/>
      <c r="AL645" s="16" t="n"/>
      <c r="AM645" s="138" t="n"/>
      <c r="AN645" s="16" t="n"/>
      <c r="AO645" s="138" t="n"/>
      <c r="AP645" s="16" t="n"/>
      <c r="AQ645" s="138" t="n"/>
      <c r="AR645" s="16" t="n"/>
      <c r="AS645" s="138" t="n"/>
      <c r="AT645" s="16" t="n"/>
      <c r="AU645" s="138" t="n"/>
      <c r="AV645" s="16" t="n"/>
      <c r="AW645" s="138" t="n"/>
      <c r="AX645" s="16" t="n"/>
      <c r="AY645" s="138" t="n"/>
      <c r="AZ645" s="16">
        <f>AF645+AH645+AJ645+AL645+AN645+AP645+AR645+AT645+AV645+AX645</f>
        <v/>
      </c>
      <c r="BA645" s="16" t="n"/>
      <c r="BB645" s="139" t="n"/>
      <c r="BC645" s="16" t="n"/>
      <c r="BD645" s="139" t="n"/>
      <c r="BE645" s="16">
        <f>(BA645+BC645)</f>
        <v/>
      </c>
    </row>
    <row r="646" ht="22.5" customFormat="1" customHeight="1" s="8">
      <c r="A646" s="9" t="n"/>
      <c r="B646" s="136" t="inlineStr">
        <is>
          <t>AL + STEEL</t>
        </is>
      </c>
      <c r="C646" s="137" t="inlineStr">
        <is>
          <t>ADX6000</t>
        </is>
      </c>
      <c r="D646" s="60" t="inlineStr">
        <is>
          <t>스킨가드 BODY</t>
        </is>
      </c>
      <c r="E646" s="13" t="inlineStr">
        <is>
          <t>벨크로, AL 가공</t>
        </is>
      </c>
      <c r="F646" s="100" t="n"/>
      <c r="G646" s="9" t="n"/>
      <c r="H646" s="9" t="inlineStr">
        <is>
          <t>제이케이시스템</t>
        </is>
      </c>
      <c r="I646" s="14" t="n"/>
      <c r="J646" s="14" t="n"/>
      <c r="K646" s="12" t="n"/>
      <c r="L646" s="9" t="n"/>
      <c r="M646" s="9" t="n"/>
      <c r="N646" s="9" t="n"/>
      <c r="O646" s="40">
        <f>K646+V646-AE646-AZ646</f>
        <v/>
      </c>
      <c r="P646" s="12" t="n"/>
      <c r="Q646" s="138" t="n"/>
      <c r="R646" s="16" t="n"/>
      <c r="S646" s="139" t="n"/>
      <c r="T646" s="16" t="n"/>
      <c r="U646" s="139" t="n"/>
      <c r="V646" s="16">
        <f>P646+R646+T646</f>
        <v/>
      </c>
      <c r="W646" s="16" t="n"/>
      <c r="X646" s="139" t="n"/>
      <c r="Y646" s="16" t="n"/>
      <c r="Z646" s="139" t="n"/>
      <c r="AA646" s="16" t="n"/>
      <c r="AB646" s="139" t="n"/>
      <c r="AC646" s="16" t="n"/>
      <c r="AD646" s="139" t="n"/>
      <c r="AE646" s="16">
        <f>(W646+Y646+AA646+AC646)</f>
        <v/>
      </c>
      <c r="AF646" s="16" t="n"/>
      <c r="AG646" s="138" t="n"/>
      <c r="AH646" s="16" t="n"/>
      <c r="AI646" s="138" t="n"/>
      <c r="AJ646" s="16" t="n"/>
      <c r="AK646" s="138" t="n"/>
      <c r="AL646" s="16" t="n"/>
      <c r="AM646" s="138" t="n"/>
      <c r="AN646" s="16" t="n"/>
      <c r="AO646" s="138" t="n"/>
      <c r="AP646" s="16" t="n"/>
      <c r="AQ646" s="138" t="n"/>
      <c r="AR646" s="16" t="n"/>
      <c r="AS646" s="138" t="n"/>
      <c r="AT646" s="16" t="n"/>
      <c r="AU646" s="138" t="n"/>
      <c r="AV646" s="16" t="n"/>
      <c r="AW646" s="138" t="n"/>
      <c r="AX646" s="16" t="n"/>
      <c r="AY646" s="138" t="n"/>
      <c r="AZ646" s="16">
        <f>AF646+AH646+AJ646+AL646+AN646+AP646+AR646+AT646+AV646+AX646</f>
        <v/>
      </c>
      <c r="BA646" s="16" t="n"/>
      <c r="BB646" s="139" t="n"/>
      <c r="BC646" s="16" t="n"/>
      <c r="BD646" s="139" t="n"/>
      <c r="BE646" s="16">
        <f>(BA646+BC646)</f>
        <v/>
      </c>
    </row>
    <row r="647" ht="22.5" customFormat="1" customHeight="1" s="8">
      <c r="A647" s="9" t="n"/>
      <c r="B647" s="136" t="inlineStr">
        <is>
          <t>AL + STEEL</t>
        </is>
      </c>
      <c r="C647" s="137" t="inlineStr">
        <is>
          <t>ADX6000</t>
        </is>
      </c>
      <c r="D647" s="60" t="inlineStr">
        <is>
          <t>스킨가드 구형</t>
        </is>
      </c>
      <c r="E647" s="13" t="n"/>
      <c r="F647" s="100" t="n"/>
      <c r="G647" s="9" t="n"/>
      <c r="H647" s="9" t="inlineStr">
        <is>
          <t>제이케이시스템</t>
        </is>
      </c>
      <c r="I647" s="14" t="n"/>
      <c r="J647" s="14" t="n"/>
      <c r="K647" s="12" t="n">
        <v>23</v>
      </c>
      <c r="L647" s="9" t="n"/>
      <c r="M647" s="9" t="n"/>
      <c r="N647" s="9" t="n"/>
      <c r="O647" s="40">
        <f>K647+V647-AE647-AZ647</f>
        <v/>
      </c>
      <c r="P647" s="12" t="n"/>
      <c r="Q647" s="138" t="n"/>
      <c r="R647" s="16" t="n"/>
      <c r="S647" s="139" t="n"/>
      <c r="T647" s="16" t="n"/>
      <c r="U647" s="139" t="n"/>
      <c r="V647" s="16">
        <f>P647+R647+T647</f>
        <v/>
      </c>
      <c r="W647" s="16" t="n"/>
      <c r="X647" s="139" t="n"/>
      <c r="Y647" s="16" t="n"/>
      <c r="Z647" s="139" t="n"/>
      <c r="AA647" s="16" t="n"/>
      <c r="AB647" s="139" t="n"/>
      <c r="AC647" s="16" t="n"/>
      <c r="AD647" s="139" t="n"/>
      <c r="AE647" s="16">
        <f>(W647+Y647+AA647+AC647)</f>
        <v/>
      </c>
      <c r="AF647" s="16" t="n"/>
      <c r="AG647" s="138" t="n"/>
      <c r="AH647" s="16" t="n"/>
      <c r="AI647" s="138" t="n"/>
      <c r="AJ647" s="16" t="n"/>
      <c r="AK647" s="138" t="n"/>
      <c r="AL647" s="16" t="n"/>
      <c r="AM647" s="138" t="n"/>
      <c r="AN647" s="16" t="n"/>
      <c r="AO647" s="138" t="n"/>
      <c r="AP647" s="16" t="n"/>
      <c r="AQ647" s="138" t="n"/>
      <c r="AR647" s="16" t="n"/>
      <c r="AS647" s="138" t="n"/>
      <c r="AT647" s="16" t="n"/>
      <c r="AU647" s="138" t="n"/>
      <c r="AV647" s="16" t="n"/>
      <c r="AW647" s="138" t="n"/>
      <c r="AX647" s="16" t="n"/>
      <c r="AY647" s="138" t="n"/>
      <c r="AZ647" s="16">
        <f>AF647+AH647+AJ647+AL647+AN647+AP647+AR647+AT647+AV647+AX647</f>
        <v/>
      </c>
      <c r="BA647" s="16" t="n"/>
      <c r="BB647" s="139" t="n"/>
      <c r="BC647" s="16" t="n"/>
      <c r="BD647" s="139" t="n"/>
      <c r="BE647" s="16">
        <f>(BA647+BC647)</f>
        <v/>
      </c>
    </row>
    <row r="648" ht="22.5" customFormat="1" customHeight="1" s="8">
      <c r="A648" s="9" t="n"/>
      <c r="B648" s="136" t="inlineStr">
        <is>
          <t>AL + STEEL</t>
        </is>
      </c>
      <c r="C648" s="137" t="inlineStr">
        <is>
          <t>ADX6000</t>
        </is>
      </c>
      <c r="D648" s="60" t="inlineStr">
        <is>
          <t>스킨가드 부속품</t>
        </is>
      </c>
      <c r="E648" s="13" t="n"/>
      <c r="F648" s="100" t="n"/>
      <c r="G648" s="9" t="n"/>
      <c r="H648" s="9" t="n"/>
      <c r="I648" s="14" t="n"/>
      <c r="J648" s="14" t="n"/>
      <c r="K648" s="12" t="n">
        <v>299</v>
      </c>
      <c r="L648" s="9" t="n"/>
      <c r="M648" s="9" t="n"/>
      <c r="N648" s="9" t="n"/>
      <c r="O648" s="40">
        <f>K648+V648-AE648-AZ648</f>
        <v/>
      </c>
      <c r="P648" s="12" t="n"/>
      <c r="Q648" s="138" t="n"/>
      <c r="R648" s="16" t="n"/>
      <c r="S648" s="139" t="n"/>
      <c r="T648" s="16" t="n"/>
      <c r="U648" s="139" t="n"/>
      <c r="V648" s="16">
        <f>P648+R648+T648</f>
        <v/>
      </c>
      <c r="W648" s="16" t="n"/>
      <c r="X648" s="139" t="n"/>
      <c r="Y648" s="16" t="n"/>
      <c r="Z648" s="139" t="n"/>
      <c r="AA648" s="16" t="n"/>
      <c r="AB648" s="139" t="n"/>
      <c r="AC648" s="16" t="n"/>
      <c r="AD648" s="139" t="n"/>
      <c r="AE648" s="16">
        <f>(W648+Y648+AA648+AC648)</f>
        <v/>
      </c>
      <c r="AF648" s="16" t="n"/>
      <c r="AG648" s="138" t="n"/>
      <c r="AH648" s="16" t="n"/>
      <c r="AI648" s="138" t="n"/>
      <c r="AJ648" s="16" t="n"/>
      <c r="AK648" s="138" t="n"/>
      <c r="AL648" s="16" t="n"/>
      <c r="AM648" s="138" t="n"/>
      <c r="AN648" s="16" t="n"/>
      <c r="AO648" s="138" t="n"/>
      <c r="AP648" s="16" t="n"/>
      <c r="AQ648" s="138" t="n"/>
      <c r="AR648" s="16" t="n"/>
      <c r="AS648" s="138" t="n"/>
      <c r="AT648" s="16" t="n"/>
      <c r="AU648" s="138" t="n"/>
      <c r="AV648" s="16" t="n"/>
      <c r="AW648" s="138" t="n"/>
      <c r="AX648" s="16" t="n"/>
      <c r="AY648" s="138" t="n"/>
      <c r="AZ648" s="16" t="n"/>
      <c r="BA648" s="16" t="n"/>
      <c r="BB648" s="139" t="n"/>
      <c r="BC648" s="16" t="n"/>
      <c r="BD648" s="139" t="n"/>
      <c r="BE648" s="16" t="n"/>
    </row>
    <row r="649" ht="22.5" customFormat="1" customHeight="1" s="8">
      <c r="A649" s="9" t="n"/>
      <c r="B649" s="136" t="inlineStr">
        <is>
          <t>AL + STEEL</t>
        </is>
      </c>
      <c r="C649" s="137" t="inlineStr">
        <is>
          <t>ADX6000</t>
        </is>
      </c>
      <c r="D649" s="60" t="inlineStr">
        <is>
          <t>스킨가드 부속품 (바-부쉬)</t>
        </is>
      </c>
      <c r="E649" s="13" t="n"/>
      <c r="F649" s="100" t="n"/>
      <c r="G649" s="9" t="n"/>
      <c r="H649" s="9" t="n"/>
      <c r="I649" s="14" t="n"/>
      <c r="J649" s="14" t="n"/>
      <c r="K649" s="12" t="n">
        <v>7</v>
      </c>
      <c r="L649" s="9" t="n"/>
      <c r="M649" s="9" t="n"/>
      <c r="N649" s="9" t="n"/>
      <c r="O649" s="40">
        <f>K649+V649-AE649-AZ649</f>
        <v/>
      </c>
      <c r="P649" s="12" t="n"/>
      <c r="Q649" s="138" t="n"/>
      <c r="R649" s="16" t="n"/>
      <c r="S649" s="139" t="n"/>
      <c r="T649" s="16" t="n"/>
      <c r="U649" s="139" t="n"/>
      <c r="V649" s="16">
        <f>P649+R649+T649</f>
        <v/>
      </c>
      <c r="W649" s="16" t="n"/>
      <c r="X649" s="139" t="n"/>
      <c r="Y649" s="16" t="n"/>
      <c r="Z649" s="139" t="n"/>
      <c r="AA649" s="16" t="n"/>
      <c r="AB649" s="139" t="n"/>
      <c r="AC649" s="16" t="n"/>
      <c r="AD649" s="139" t="n"/>
      <c r="AE649" s="16">
        <f>(W649+Y649+AA649+AC649)</f>
        <v/>
      </c>
      <c r="AF649" s="16" t="n"/>
      <c r="AG649" s="138" t="n"/>
      <c r="AH649" s="16" t="n"/>
      <c r="AI649" s="138" t="n"/>
      <c r="AJ649" s="16" t="n"/>
      <c r="AK649" s="138" t="n"/>
      <c r="AL649" s="16" t="n"/>
      <c r="AM649" s="138" t="n"/>
      <c r="AN649" s="16" t="n"/>
      <c r="AO649" s="138" t="n"/>
      <c r="AP649" s="16" t="n"/>
      <c r="AQ649" s="138" t="n"/>
      <c r="AR649" s="16" t="n"/>
      <c r="AS649" s="138" t="n"/>
      <c r="AT649" s="16" t="n"/>
      <c r="AU649" s="138" t="n"/>
      <c r="AV649" s="16" t="n"/>
      <c r="AW649" s="138" t="n"/>
      <c r="AX649" s="16" t="n"/>
      <c r="AY649" s="138" t="n"/>
      <c r="AZ649" s="16" t="n"/>
      <c r="BA649" s="16" t="n"/>
      <c r="BB649" s="139" t="n"/>
      <c r="BC649" s="16" t="n"/>
      <c r="BD649" s="139" t="n"/>
      <c r="BE649" s="16" t="n"/>
    </row>
    <row r="650" ht="22.5" customFormat="1" customHeight="1" s="8">
      <c r="A650" s="9" t="n"/>
      <c r="B650" s="136" t="inlineStr">
        <is>
          <t>AL + STEEL</t>
        </is>
      </c>
      <c r="C650" s="137" t="inlineStr">
        <is>
          <t>ADX6000</t>
        </is>
      </c>
      <c r="D650" s="60" t="inlineStr">
        <is>
          <t>스킨가드 부속품 (바-부쉬링)</t>
        </is>
      </c>
      <c r="E650" s="13" t="n"/>
      <c r="F650" s="100" t="n"/>
      <c r="G650" s="9" t="n"/>
      <c r="H650" s="9" t="n"/>
      <c r="I650" s="14" t="n"/>
      <c r="J650" s="14" t="n"/>
      <c r="K650" s="12" t="n">
        <v>10</v>
      </c>
      <c r="L650" s="9" t="n"/>
      <c r="M650" s="9" t="n"/>
      <c r="N650" s="9" t="n"/>
      <c r="O650" s="40">
        <f>K650+V650-AE650-AZ650</f>
        <v/>
      </c>
      <c r="P650" s="12" t="n"/>
      <c r="Q650" s="138" t="n"/>
      <c r="R650" s="16" t="n"/>
      <c r="S650" s="139" t="n"/>
      <c r="T650" s="16" t="n"/>
      <c r="U650" s="139" t="n"/>
      <c r="V650" s="16">
        <f>P650+R650+T650</f>
        <v/>
      </c>
      <c r="W650" s="16" t="n"/>
      <c r="X650" s="139" t="n"/>
      <c r="Y650" s="16" t="n"/>
      <c r="Z650" s="139" t="n"/>
      <c r="AA650" s="16" t="n"/>
      <c r="AB650" s="139" t="n"/>
      <c r="AC650" s="16" t="n"/>
      <c r="AD650" s="139" t="n"/>
      <c r="AE650" s="16">
        <f>(W650+Y650+AA650+AC650)</f>
        <v/>
      </c>
      <c r="AF650" s="16" t="n"/>
      <c r="AG650" s="138" t="n"/>
      <c r="AH650" s="16" t="n"/>
      <c r="AI650" s="138" t="n"/>
      <c r="AJ650" s="16" t="n"/>
      <c r="AK650" s="138" t="n"/>
      <c r="AL650" s="16" t="n"/>
      <c r="AM650" s="138" t="n"/>
      <c r="AN650" s="16" t="n"/>
      <c r="AO650" s="138" t="n"/>
      <c r="AP650" s="16" t="n"/>
      <c r="AQ650" s="138" t="n"/>
      <c r="AR650" s="16" t="n"/>
      <c r="AS650" s="138" t="n"/>
      <c r="AT650" s="16" t="n"/>
      <c r="AU650" s="138" t="n"/>
      <c r="AV650" s="16" t="n"/>
      <c r="AW650" s="138" t="n"/>
      <c r="AX650" s="16" t="n"/>
      <c r="AY650" s="138" t="n"/>
      <c r="AZ650" s="16" t="n"/>
      <c r="BA650" s="16" t="n"/>
      <c r="BB650" s="139" t="n"/>
      <c r="BC650" s="16" t="n"/>
      <c r="BD650" s="139" t="n"/>
      <c r="BE650" s="16" t="n"/>
    </row>
    <row r="651" ht="22.5" customFormat="1" customHeight="1" s="8">
      <c r="A651" s="9" t="n"/>
      <c r="B651" s="136" t="inlineStr">
        <is>
          <t>AL</t>
        </is>
      </c>
      <c r="C651" s="137" t="inlineStr">
        <is>
          <t>ADX6000</t>
        </is>
      </c>
      <c r="D651" s="60" t="inlineStr">
        <is>
          <t>Top Block</t>
        </is>
      </c>
      <c r="E651" s="13" t="inlineStr">
        <is>
          <t>AL 가공 + 흑색 아노다이징</t>
        </is>
      </c>
      <c r="F651" s="100" t="n"/>
      <c r="G651" s="9" t="n"/>
      <c r="H651" s="9" t="inlineStr">
        <is>
          <t>제이케이시스템</t>
        </is>
      </c>
      <c r="I651" s="14" t="n"/>
      <c r="J651" s="14" t="n"/>
      <c r="K651" s="12" t="n"/>
      <c r="L651" s="9" t="n"/>
      <c r="M651" s="9" t="n"/>
      <c r="N651" s="9" t="n"/>
      <c r="O651" s="40">
        <f>K651+V651-AE651-AZ651</f>
        <v/>
      </c>
      <c r="P651" s="12" t="n"/>
      <c r="Q651" s="138" t="n"/>
      <c r="R651" s="16" t="n"/>
      <c r="S651" s="139" t="n"/>
      <c r="T651" s="16" t="n"/>
      <c r="U651" s="139" t="n"/>
      <c r="V651" s="16">
        <f>P651+R651+T651</f>
        <v/>
      </c>
      <c r="W651" s="16" t="n"/>
      <c r="X651" s="139" t="n"/>
      <c r="Y651" s="16" t="n"/>
      <c r="Z651" s="139" t="n"/>
      <c r="AA651" s="16" t="n"/>
      <c r="AB651" s="139" t="n"/>
      <c r="AC651" s="16" t="n"/>
      <c r="AD651" s="139" t="n"/>
      <c r="AE651" s="16">
        <f>(W651+Y651+AA651+AC651)</f>
        <v/>
      </c>
      <c r="AF651" s="16" t="n"/>
      <c r="AG651" s="138" t="n"/>
      <c r="AH651" s="16" t="n"/>
      <c r="AI651" s="138" t="n"/>
      <c r="AJ651" s="16" t="n"/>
      <c r="AK651" s="138" t="n"/>
      <c r="AL651" s="16" t="n"/>
      <c r="AM651" s="138" t="n"/>
      <c r="AN651" s="16" t="n"/>
      <c r="AO651" s="138" t="n"/>
      <c r="AP651" s="16" t="n"/>
      <c r="AQ651" s="138" t="n"/>
      <c r="AR651" s="16" t="n"/>
      <c r="AS651" s="138" t="n"/>
      <c r="AT651" s="16" t="n"/>
      <c r="AU651" s="138" t="n"/>
      <c r="AV651" s="16" t="n"/>
      <c r="AW651" s="138" t="n"/>
      <c r="AX651" s="16" t="n"/>
      <c r="AY651" s="138" t="n"/>
      <c r="AZ651" s="16">
        <f>AF651+AH651+AJ651+AL651+AN651+AP651+AR651+AT651+AV651+AX651</f>
        <v/>
      </c>
      <c r="BA651" s="16" t="n"/>
      <c r="BB651" s="139" t="n"/>
      <c r="BC651" s="16" t="n"/>
      <c r="BD651" s="139" t="n"/>
      <c r="BE651" s="16">
        <f>(BA651+BC651)</f>
        <v/>
      </c>
    </row>
    <row r="652" ht="22.5" customFormat="1" customHeight="1" s="8">
      <c r="A652" s="9" t="n"/>
      <c r="B652" s="136" t="inlineStr">
        <is>
          <t>AL</t>
        </is>
      </c>
      <c r="C652" s="137" t="inlineStr">
        <is>
          <t>ADX6000</t>
        </is>
      </c>
      <c r="D652" s="63" t="inlineStr">
        <is>
          <t>알루미늄 브라켓 4 hole</t>
        </is>
      </c>
      <c r="E652" s="13" t="inlineStr">
        <is>
          <t>AL 가공 + 백색 아노다이징</t>
        </is>
      </c>
      <c r="F652" s="100" t="n"/>
      <c r="G652" s="9" t="n"/>
      <c r="H652" s="9" t="inlineStr">
        <is>
          <t>제이케이시스템</t>
        </is>
      </c>
      <c r="I652" s="14" t="n"/>
      <c r="J652" s="14" t="n"/>
      <c r="K652" s="12" t="n"/>
      <c r="L652" s="9" t="n"/>
      <c r="M652" s="9" t="n"/>
      <c r="N652" s="9" t="n"/>
      <c r="O652" s="40">
        <f>K652+V652-AE652-AZ652</f>
        <v/>
      </c>
      <c r="P652" s="12" t="n"/>
      <c r="Q652" s="138" t="n"/>
      <c r="R652" s="16" t="n"/>
      <c r="S652" s="139" t="n"/>
      <c r="T652" s="16" t="n"/>
      <c r="U652" s="139" t="n"/>
      <c r="V652" s="16">
        <f>P652+R652+T652</f>
        <v/>
      </c>
      <c r="W652" s="16" t="n"/>
      <c r="X652" s="139" t="n"/>
      <c r="Y652" s="16" t="n"/>
      <c r="Z652" s="139" t="n"/>
      <c r="AA652" s="16" t="n"/>
      <c r="AB652" s="139" t="n"/>
      <c r="AC652" s="16" t="n"/>
      <c r="AD652" s="139" t="n"/>
      <c r="AE652" s="16">
        <f>(W652+Y652+AA652+AC652)</f>
        <v/>
      </c>
      <c r="AF652" s="16" t="n"/>
      <c r="AG652" s="138" t="n"/>
      <c r="AH652" s="16" t="n"/>
      <c r="AI652" s="138" t="n"/>
      <c r="AJ652" s="16" t="n"/>
      <c r="AK652" s="138" t="n"/>
      <c r="AL652" s="16" t="n"/>
      <c r="AM652" s="138" t="n"/>
      <c r="AN652" s="16" t="n"/>
      <c r="AO652" s="138" t="n"/>
      <c r="AP652" s="16" t="n"/>
      <c r="AQ652" s="138" t="n"/>
      <c r="AR652" s="16" t="n"/>
      <c r="AS652" s="138" t="n"/>
      <c r="AT652" s="16" t="n"/>
      <c r="AU652" s="138" t="n"/>
      <c r="AV652" s="16" t="n"/>
      <c r="AW652" s="138" t="n"/>
      <c r="AX652" s="16" t="n"/>
      <c r="AY652" s="138" t="n"/>
      <c r="AZ652" s="16">
        <f>AF652+AH652+AJ652+AL652+AN652+AP652+AR652+AT652+AV652+AX652</f>
        <v/>
      </c>
      <c r="BA652" s="16" t="n"/>
      <c r="BB652" s="139" t="n"/>
      <c r="BC652" s="16" t="n"/>
      <c r="BD652" s="139" t="n"/>
      <c r="BE652" s="16">
        <f>(BA652+BC652)</f>
        <v/>
      </c>
    </row>
    <row r="653" ht="22.5" customFormat="1" customHeight="1" s="8">
      <c r="A653" s="9" t="n"/>
      <c r="B653" s="136" t="inlineStr">
        <is>
          <t>AL</t>
        </is>
      </c>
      <c r="C653" s="137" t="inlineStr">
        <is>
          <t>ADX6000</t>
        </is>
      </c>
      <c r="D653" s="63" t="inlineStr">
        <is>
          <t>컬리메이터 LED 알루미늄 가이드</t>
        </is>
      </c>
      <c r="E653" s="13" t="inlineStr">
        <is>
          <t>AL 가공 + 흑색 아노다이징</t>
        </is>
      </c>
      <c r="F653" s="100" t="n"/>
      <c r="G653" s="9" t="n"/>
      <c r="H653" s="9" t="inlineStr">
        <is>
          <t>다우정밀</t>
        </is>
      </c>
      <c r="I653" s="14" t="n"/>
      <c r="J653" s="14" t="n"/>
      <c r="K653" s="12" t="n"/>
      <c r="L653" s="9" t="n"/>
      <c r="M653" s="9" t="n"/>
      <c r="N653" s="9" t="n"/>
      <c r="O653" s="40">
        <f>K653+V653-AE653-AZ653</f>
        <v/>
      </c>
      <c r="P653" s="12" t="n"/>
      <c r="Q653" s="138" t="n"/>
      <c r="R653" s="16" t="n"/>
      <c r="S653" s="139" t="n"/>
      <c r="T653" s="16" t="n"/>
      <c r="U653" s="139" t="n"/>
      <c r="V653" s="16">
        <f>P653+R653+T653</f>
        <v/>
      </c>
      <c r="W653" s="16" t="n"/>
      <c r="X653" s="139" t="n"/>
      <c r="Y653" s="16" t="n"/>
      <c r="Z653" s="139" t="n"/>
      <c r="AA653" s="16" t="n"/>
      <c r="AB653" s="139" t="n"/>
      <c r="AC653" s="16" t="n"/>
      <c r="AD653" s="139" t="n"/>
      <c r="AE653" s="16">
        <f>(W653+Y653+AA653+AC653)</f>
        <v/>
      </c>
      <c r="AF653" s="16" t="n"/>
      <c r="AG653" s="138" t="n"/>
      <c r="AH653" s="16" t="n"/>
      <c r="AI653" s="138" t="n"/>
      <c r="AJ653" s="16" t="n"/>
      <c r="AK653" s="138" t="n"/>
      <c r="AL653" s="16" t="n"/>
      <c r="AM653" s="138" t="n"/>
      <c r="AN653" s="16" t="n"/>
      <c r="AO653" s="138" t="n"/>
      <c r="AP653" s="16" t="n"/>
      <c r="AQ653" s="138" t="n"/>
      <c r="AR653" s="16" t="n"/>
      <c r="AS653" s="138" t="n"/>
      <c r="AT653" s="16" t="n"/>
      <c r="AU653" s="138" t="n"/>
      <c r="AV653" s="16" t="n"/>
      <c r="AW653" s="138" t="n"/>
      <c r="AX653" s="16" t="n"/>
      <c r="AY653" s="138" t="n"/>
      <c r="AZ653" s="16">
        <f>AF653+AH653+AJ653+AL653+AN653+AP653+AR653+AT653+AV653+AX653</f>
        <v/>
      </c>
      <c r="BA653" s="16" t="n"/>
      <c r="BB653" s="139" t="n"/>
      <c r="BC653" s="16" t="n"/>
      <c r="BD653" s="139" t="n"/>
      <c r="BE653" s="16">
        <f>(BA653+BC653)</f>
        <v/>
      </c>
    </row>
    <row r="654" ht="22.5" customFormat="1" customHeight="1" s="8">
      <c r="A654" s="9" t="n"/>
      <c r="B654" s="136" t="inlineStr">
        <is>
          <t>RUBBER</t>
        </is>
      </c>
      <c r="C654" s="137" t="inlineStr">
        <is>
          <t>ADX6000</t>
        </is>
      </c>
      <c r="D654" s="60" t="inlineStr">
        <is>
          <t>외부전원 연결 DC잭 고무링</t>
        </is>
      </c>
      <c r="E654" s="13" t="inlineStr">
        <is>
          <t>RUBBER</t>
        </is>
      </c>
      <c r="F654" s="100" t="n"/>
      <c r="G654" s="9" t="n"/>
      <c r="H654" s="9" t="inlineStr">
        <is>
          <t>직구</t>
        </is>
      </c>
      <c r="I654" s="14" t="n"/>
      <c r="J654" s="14" t="n"/>
      <c r="K654" s="12" t="n"/>
      <c r="L654" s="9" t="n"/>
      <c r="M654" s="9" t="n"/>
      <c r="N654" s="9" t="n"/>
      <c r="O654" s="40">
        <f>K654+V654-AE654-AZ654</f>
        <v/>
      </c>
      <c r="P654" s="12" t="n"/>
      <c r="Q654" s="138" t="n"/>
      <c r="R654" s="16" t="n"/>
      <c r="S654" s="139" t="n"/>
      <c r="T654" s="16" t="n"/>
      <c r="U654" s="139" t="n"/>
      <c r="V654" s="16">
        <f>P654+R654+T654</f>
        <v/>
      </c>
      <c r="W654" s="16" t="n"/>
      <c r="X654" s="139" t="n"/>
      <c r="Y654" s="16" t="n"/>
      <c r="Z654" s="139" t="n"/>
      <c r="AA654" s="16" t="n"/>
      <c r="AB654" s="139" t="n"/>
      <c r="AC654" s="16" t="n"/>
      <c r="AD654" s="139" t="n"/>
      <c r="AE654" s="16">
        <f>(W654+Y654+AA654+AC654)</f>
        <v/>
      </c>
      <c r="AF654" s="16" t="n"/>
      <c r="AG654" s="138" t="n"/>
      <c r="AH654" s="16" t="n"/>
      <c r="AI654" s="138" t="n"/>
      <c r="AJ654" s="16" t="n"/>
      <c r="AK654" s="138" t="n"/>
      <c r="AL654" s="16" t="n"/>
      <c r="AM654" s="138" t="n"/>
      <c r="AN654" s="16" t="n"/>
      <c r="AO654" s="138" t="n"/>
      <c r="AP654" s="16" t="n"/>
      <c r="AQ654" s="138" t="n"/>
      <c r="AR654" s="16" t="n"/>
      <c r="AS654" s="138" t="n"/>
      <c r="AT654" s="16" t="n"/>
      <c r="AU654" s="138" t="n"/>
      <c r="AV654" s="16" t="n"/>
      <c r="AW654" s="138" t="n"/>
      <c r="AX654" s="16" t="n"/>
      <c r="AY654" s="138" t="n"/>
      <c r="AZ654" s="16">
        <f>AF654+AH654+AJ654+AL654+AN654+AP654+AR654+AT654+AV654+AX654</f>
        <v/>
      </c>
      <c r="BA654" s="16" t="n"/>
      <c r="BB654" s="139" t="n"/>
      <c r="BC654" s="16" t="n"/>
      <c r="BD654" s="139" t="n"/>
      <c r="BE654" s="16">
        <f>(BA654+BC654)</f>
        <v/>
      </c>
    </row>
    <row r="655" ht="22.5" customFormat="1" customHeight="1" s="8">
      <c r="A655" s="9" t="n"/>
      <c r="B655" s="136" t="inlineStr">
        <is>
          <t>RUBBER</t>
        </is>
      </c>
      <c r="C655" s="137" t="inlineStr">
        <is>
          <t>ADX6000</t>
        </is>
      </c>
      <c r="D655" s="60" t="inlineStr">
        <is>
          <t>외부전원 연결 DC잭 너트</t>
        </is>
      </c>
      <c r="E655" s="13" t="n"/>
      <c r="F655" s="100" t="n"/>
      <c r="G655" s="9" t="n"/>
      <c r="H655" s="9" t="inlineStr">
        <is>
          <t>직구</t>
        </is>
      </c>
      <c r="I655" s="14" t="n"/>
      <c r="J655" s="14" t="n"/>
      <c r="K655" s="12" t="n"/>
      <c r="L655" s="9" t="n"/>
      <c r="M655" s="9" t="n"/>
      <c r="N655" s="9" t="n"/>
      <c r="O655" s="40">
        <f>K655+V655-AE655-AZ655</f>
        <v/>
      </c>
      <c r="P655" s="12" t="n"/>
      <c r="Q655" s="138" t="n"/>
      <c r="R655" s="16" t="n"/>
      <c r="S655" s="139" t="n"/>
      <c r="T655" s="16" t="n"/>
      <c r="U655" s="139" t="n"/>
      <c r="V655" s="16">
        <f>P655+R655+T655</f>
        <v/>
      </c>
      <c r="W655" s="16" t="n"/>
      <c r="X655" s="139" t="n"/>
      <c r="Y655" s="16" t="n"/>
      <c r="Z655" s="139" t="n"/>
      <c r="AA655" s="16" t="n"/>
      <c r="AB655" s="139" t="n"/>
      <c r="AC655" s="16" t="n"/>
      <c r="AD655" s="139" t="n"/>
      <c r="AE655" s="16">
        <f>(W655+Y655+AA655+AC655)</f>
        <v/>
      </c>
      <c r="AF655" s="16" t="n"/>
      <c r="AG655" s="138" t="n"/>
      <c r="AH655" s="16" t="n"/>
      <c r="AI655" s="138" t="n"/>
      <c r="AJ655" s="16" t="n"/>
      <c r="AK655" s="138" t="n"/>
      <c r="AL655" s="16" t="n"/>
      <c r="AM655" s="138" t="n"/>
      <c r="AN655" s="16" t="n"/>
      <c r="AO655" s="138" t="n"/>
      <c r="AP655" s="16" t="n"/>
      <c r="AQ655" s="138" t="n"/>
      <c r="AR655" s="16" t="n"/>
      <c r="AS655" s="138" t="n"/>
      <c r="AT655" s="16" t="n"/>
      <c r="AU655" s="138" t="n"/>
      <c r="AV655" s="16" t="n"/>
      <c r="AW655" s="138" t="n"/>
      <c r="AX655" s="16" t="n"/>
      <c r="AY655" s="138" t="n"/>
      <c r="AZ655" s="16">
        <f>AF655+AH655+AJ655+AL655+AN655+AP655+AR655+AT655+AV655+AX655</f>
        <v/>
      </c>
      <c r="BA655" s="16" t="n"/>
      <c r="BB655" s="139" t="n"/>
      <c r="BC655" s="16" t="n"/>
      <c r="BD655" s="139" t="n"/>
      <c r="BE655" s="16">
        <f>(BA655+BC655)</f>
        <v/>
      </c>
    </row>
    <row r="656" ht="22.5" customFormat="1" customHeight="1" s="8">
      <c r="A656" s="9" t="n"/>
      <c r="B656" s="136" t="inlineStr">
        <is>
          <t>스티커</t>
        </is>
      </c>
      <c r="C656" s="137" t="inlineStr">
        <is>
          <t>ADX6000</t>
        </is>
      </c>
      <c r="D656" s="63" t="inlineStr">
        <is>
          <t>Front Port Sticker</t>
        </is>
      </c>
      <c r="E656" s="13" t="n"/>
      <c r="F656" s="100" t="n"/>
      <c r="G656" s="9" t="n"/>
      <c r="H656" s="9" t="inlineStr">
        <is>
          <t>그라피아스크린</t>
        </is>
      </c>
      <c r="I656" s="14" t="n"/>
      <c r="J656" s="14" t="n"/>
      <c r="K656" s="12" t="n"/>
      <c r="L656" s="9" t="n"/>
      <c r="M656" s="9" t="n"/>
      <c r="N656" s="9" t="n"/>
      <c r="O656" s="40">
        <f>K656+V656-AE656-AZ656</f>
        <v/>
      </c>
      <c r="P656" s="12" t="n"/>
      <c r="Q656" s="138" t="n"/>
      <c r="R656" s="16" t="n"/>
      <c r="S656" s="139" t="n"/>
      <c r="T656" s="16" t="n"/>
      <c r="U656" s="139" t="n"/>
      <c r="V656" s="16">
        <f>P656+R656+T656</f>
        <v/>
      </c>
      <c r="W656" s="16" t="n"/>
      <c r="X656" s="139" t="n"/>
      <c r="Y656" s="16" t="n"/>
      <c r="Z656" s="139" t="n"/>
      <c r="AA656" s="16" t="n"/>
      <c r="AB656" s="139" t="n"/>
      <c r="AC656" s="16" t="n"/>
      <c r="AD656" s="139" t="n"/>
      <c r="AE656" s="16">
        <f>(W656+Y656+AA656+AC656)</f>
        <v/>
      </c>
      <c r="AF656" s="16" t="n"/>
      <c r="AG656" s="138" t="n"/>
      <c r="AH656" s="16" t="n"/>
      <c r="AI656" s="138" t="n"/>
      <c r="AJ656" s="16" t="n"/>
      <c r="AK656" s="138" t="n"/>
      <c r="AL656" s="16" t="n"/>
      <c r="AM656" s="138" t="n"/>
      <c r="AN656" s="16" t="n"/>
      <c r="AO656" s="138" t="n"/>
      <c r="AP656" s="16" t="n"/>
      <c r="AQ656" s="138" t="n"/>
      <c r="AR656" s="16" t="n"/>
      <c r="AS656" s="138" t="n"/>
      <c r="AT656" s="16" t="n"/>
      <c r="AU656" s="138" t="n"/>
      <c r="AV656" s="16" t="n"/>
      <c r="AW656" s="138" t="n"/>
      <c r="AX656" s="16" t="n"/>
      <c r="AY656" s="138" t="n"/>
      <c r="AZ656" s="16">
        <f>AF656+AH656+AJ656+AL656+AN656+AP656+AR656+AT656+AV656+AX656</f>
        <v/>
      </c>
      <c r="BA656" s="16" t="n"/>
      <c r="BB656" s="139" t="n"/>
      <c r="BC656" s="16" t="n"/>
      <c r="BD656" s="139" t="n"/>
      <c r="BE656" s="16">
        <f>(BA656+BC656)</f>
        <v/>
      </c>
    </row>
    <row r="657" ht="22.5" customFormat="1" customHeight="1" s="8">
      <c r="A657" s="9" t="n"/>
      <c r="B657" s="136" t="inlineStr">
        <is>
          <t>스티커</t>
        </is>
      </c>
      <c r="C657" s="137" t="inlineStr">
        <is>
          <t>ADX6000S</t>
        </is>
      </c>
      <c r="D657" s="60" t="inlineStr">
        <is>
          <t>Front Port Sticker</t>
        </is>
      </c>
      <c r="E657" s="13" t="n"/>
      <c r="F657" s="100" t="n"/>
      <c r="G657" s="9" t="n"/>
      <c r="H657" s="9" t="inlineStr">
        <is>
          <t>그라피아스크린</t>
        </is>
      </c>
      <c r="I657" s="14" t="n"/>
      <c r="J657" s="14" t="n"/>
      <c r="K657" s="12" t="n"/>
      <c r="L657" s="9" t="n"/>
      <c r="M657" s="9" t="n"/>
      <c r="N657" s="9" t="n"/>
      <c r="O657" s="40">
        <f>K657+V657-AE657-AZ657</f>
        <v/>
      </c>
      <c r="P657" s="12" t="n"/>
      <c r="Q657" s="138" t="n"/>
      <c r="R657" s="16" t="n"/>
      <c r="S657" s="139" t="n"/>
      <c r="T657" s="16" t="n"/>
      <c r="U657" s="139" t="n"/>
      <c r="V657" s="16">
        <f>P657+R657+T657</f>
        <v/>
      </c>
      <c r="W657" s="16" t="n"/>
      <c r="X657" s="139" t="n"/>
      <c r="Y657" s="16" t="n"/>
      <c r="Z657" s="139" t="n"/>
      <c r="AA657" s="16" t="n"/>
      <c r="AB657" s="139" t="n"/>
      <c r="AC657" s="16" t="n"/>
      <c r="AD657" s="139" t="n"/>
      <c r="AE657" s="16">
        <f>(W657+Y657+AA657+AC657)</f>
        <v/>
      </c>
      <c r="AF657" s="16" t="n"/>
      <c r="AG657" s="138" t="n"/>
      <c r="AH657" s="16" t="n"/>
      <c r="AI657" s="138" t="n"/>
      <c r="AJ657" s="16" t="n"/>
      <c r="AK657" s="138" t="n"/>
      <c r="AL657" s="16" t="n"/>
      <c r="AM657" s="138" t="n"/>
      <c r="AN657" s="16" t="n"/>
      <c r="AO657" s="138" t="n"/>
      <c r="AP657" s="16" t="n"/>
      <c r="AQ657" s="138" t="n"/>
      <c r="AR657" s="16" t="n"/>
      <c r="AS657" s="138" t="n"/>
      <c r="AT657" s="16" t="n"/>
      <c r="AU657" s="138" t="n"/>
      <c r="AV657" s="16" t="n"/>
      <c r="AW657" s="138" t="n"/>
      <c r="AX657" s="16" t="n"/>
      <c r="AY657" s="138" t="n"/>
      <c r="AZ657" s="16">
        <f>AF657+AH657+AJ657+AL657+AN657+AP657+AR657+AT657+AV657+AX657</f>
        <v/>
      </c>
      <c r="BA657" s="16" t="n"/>
      <c r="BB657" s="139" t="n"/>
      <c r="BC657" s="16" t="n"/>
      <c r="BD657" s="139" t="n"/>
      <c r="BE657" s="16">
        <f>(BA657+BC657)</f>
        <v/>
      </c>
    </row>
    <row r="658" ht="22.5" customFormat="1" customHeight="1" s="8">
      <c r="A658" s="9" t="n"/>
      <c r="B658" s="136" t="inlineStr">
        <is>
          <t>스티커</t>
        </is>
      </c>
      <c r="C658" s="137" t="inlineStr">
        <is>
          <t>ADX6000S</t>
        </is>
      </c>
      <c r="D658" s="63" t="inlineStr">
        <is>
          <t>Front Port Sticker</t>
        </is>
      </c>
      <c r="E658" s="13" t="inlineStr">
        <is>
          <t>USB 포트 제거형</t>
        </is>
      </c>
      <c r="F658" s="100" t="n"/>
      <c r="G658" s="9" t="n"/>
      <c r="H658" s="9" t="inlineStr">
        <is>
          <t>그라피아스크린</t>
        </is>
      </c>
      <c r="I658" s="14" t="n"/>
      <c r="J658" s="14" t="n"/>
      <c r="K658" s="12" t="n"/>
      <c r="L658" s="9" t="n"/>
      <c r="M658" s="9" t="n"/>
      <c r="N658" s="9" t="n"/>
      <c r="O658" s="40">
        <f>K658+V658-AE658-AZ658</f>
        <v/>
      </c>
      <c r="P658" s="12" t="n"/>
      <c r="Q658" s="138" t="n"/>
      <c r="R658" s="16" t="n"/>
      <c r="S658" s="139" t="n"/>
      <c r="T658" s="16" t="n"/>
      <c r="U658" s="139" t="n"/>
      <c r="V658" s="16">
        <f>P658+R658+T658</f>
        <v/>
      </c>
      <c r="W658" s="16" t="n"/>
      <c r="X658" s="139" t="n"/>
      <c r="Y658" s="16" t="n"/>
      <c r="Z658" s="139" t="n"/>
      <c r="AA658" s="16" t="n"/>
      <c r="AB658" s="139" t="n"/>
      <c r="AC658" s="16" t="n"/>
      <c r="AD658" s="139" t="n"/>
      <c r="AE658" s="16">
        <f>(W658+Y658+AA658+AC658)</f>
        <v/>
      </c>
      <c r="AF658" s="16" t="n"/>
      <c r="AG658" s="138" t="n"/>
      <c r="AH658" s="16" t="n"/>
      <c r="AI658" s="138" t="n"/>
      <c r="AJ658" s="16" t="n"/>
      <c r="AK658" s="138" t="n"/>
      <c r="AL658" s="16" t="n"/>
      <c r="AM658" s="138" t="n"/>
      <c r="AN658" s="16" t="n"/>
      <c r="AO658" s="138" t="n"/>
      <c r="AP658" s="16" t="n"/>
      <c r="AQ658" s="138" t="n"/>
      <c r="AR658" s="16" t="n"/>
      <c r="AS658" s="138" t="n"/>
      <c r="AT658" s="16" t="n"/>
      <c r="AU658" s="138" t="n"/>
      <c r="AV658" s="16" t="n"/>
      <c r="AW658" s="138" t="n"/>
      <c r="AX658" s="16" t="n"/>
      <c r="AY658" s="138" t="n"/>
      <c r="AZ658" s="16">
        <f>AF658+AH658+AJ658+AL658+AN658+AP658+AR658+AT658+AV658+AX658</f>
        <v/>
      </c>
      <c r="BA658" s="16" t="n"/>
      <c r="BB658" s="139" t="n"/>
      <c r="BC658" s="16" t="n"/>
      <c r="BD658" s="139" t="n"/>
      <c r="BE658" s="16">
        <f>(BA658+BC658)</f>
        <v/>
      </c>
    </row>
    <row r="659" ht="22.5" customFormat="1" customHeight="1" s="8">
      <c r="A659" s="9" t="n"/>
      <c r="B659" s="136" t="inlineStr">
        <is>
          <t>인조가죽</t>
        </is>
      </c>
      <c r="C659" s="137" t="inlineStr">
        <is>
          <t>ADX6000</t>
        </is>
      </c>
      <c r="D659" s="63" t="inlineStr">
        <is>
          <t>가죽 손잡이 (탈착배터리 터치펜 O)</t>
        </is>
      </c>
      <c r="E659" s="13" t="inlineStr">
        <is>
          <t>인조 가죽</t>
        </is>
      </c>
      <c r="F659" s="100" t="n"/>
      <c r="G659" s="9" t="n"/>
      <c r="H659" s="9" t="inlineStr">
        <is>
          <t>굿모닝코리아유통</t>
        </is>
      </c>
      <c r="I659" s="14" t="n"/>
      <c r="J659" s="14" t="n"/>
      <c r="K659" s="12" t="n"/>
      <c r="L659" s="9" t="n"/>
      <c r="M659" s="9" t="n"/>
      <c r="N659" s="9" t="n"/>
      <c r="O659" s="40">
        <f>K659+V659-AE659-AZ659</f>
        <v/>
      </c>
      <c r="P659" s="12" t="n"/>
      <c r="Q659" s="138" t="n"/>
      <c r="R659" s="16" t="n"/>
      <c r="S659" s="139" t="n"/>
      <c r="T659" s="16" t="n"/>
      <c r="U659" s="139" t="n"/>
      <c r="V659" s="16">
        <f>P659+R659+T659</f>
        <v/>
      </c>
      <c r="W659" s="16" t="n"/>
      <c r="X659" s="139" t="n"/>
      <c r="Y659" s="16" t="n"/>
      <c r="Z659" s="139" t="n"/>
      <c r="AA659" s="16" t="n"/>
      <c r="AB659" s="139" t="n"/>
      <c r="AC659" s="16" t="n"/>
      <c r="AD659" s="139" t="n"/>
      <c r="AE659" s="16">
        <f>(W659+Y659+AA659+AC659)</f>
        <v/>
      </c>
      <c r="AF659" s="16" t="n"/>
      <c r="AG659" s="138" t="n"/>
      <c r="AH659" s="16" t="n"/>
      <c r="AI659" s="138" t="n"/>
      <c r="AJ659" s="16" t="n"/>
      <c r="AK659" s="138" t="n"/>
      <c r="AL659" s="16" t="n"/>
      <c r="AM659" s="138" t="n"/>
      <c r="AN659" s="16" t="n"/>
      <c r="AO659" s="138" t="n"/>
      <c r="AP659" s="16" t="n"/>
      <c r="AQ659" s="138" t="n"/>
      <c r="AR659" s="16" t="n"/>
      <c r="AS659" s="138" t="n"/>
      <c r="AT659" s="16" t="n"/>
      <c r="AU659" s="138" t="n"/>
      <c r="AV659" s="16" t="n"/>
      <c r="AW659" s="138" t="n"/>
      <c r="AX659" s="16" t="n"/>
      <c r="AY659" s="138" t="n"/>
      <c r="AZ659" s="16">
        <f>AF659+AH659+AJ659+AL659+AN659+AP659+AR659+AT659+AV659+AX659</f>
        <v/>
      </c>
      <c r="BA659" s="16" t="n"/>
      <c r="BB659" s="139" t="n"/>
      <c r="BC659" s="16" t="n"/>
      <c r="BD659" s="139" t="n"/>
      <c r="BE659" s="16">
        <f>(BA659+BC659)</f>
        <v/>
      </c>
    </row>
    <row r="660" ht="22.5" customFormat="1" customHeight="1" s="8">
      <c r="A660" s="9" t="n"/>
      <c r="B660" s="136" t="inlineStr">
        <is>
          <t>인조가죽</t>
        </is>
      </c>
      <c r="C660" s="137" t="inlineStr">
        <is>
          <t>ADX6000</t>
        </is>
      </c>
      <c r="D660" s="60" t="inlineStr">
        <is>
          <t>가죽 손잡이 (외부배터리)</t>
        </is>
      </c>
      <c r="E660" s="13" t="inlineStr">
        <is>
          <t>인조 가죽</t>
        </is>
      </c>
      <c r="F660" s="100" t="n"/>
      <c r="G660" s="9" t="n"/>
      <c r="H660" s="9" t="inlineStr">
        <is>
          <t>굿모닝코리아유통</t>
        </is>
      </c>
      <c r="I660" s="14" t="n"/>
      <c r="J660" s="14" t="n"/>
      <c r="K660" s="12" t="n"/>
      <c r="L660" s="9" t="n"/>
      <c r="M660" s="9" t="n"/>
      <c r="N660" s="9" t="n"/>
      <c r="O660" s="40">
        <f>K660+V660-AE660-AZ660</f>
        <v/>
      </c>
      <c r="P660" s="12" t="n"/>
      <c r="Q660" s="138" t="n"/>
      <c r="R660" s="16" t="n"/>
      <c r="S660" s="139" t="n"/>
      <c r="T660" s="16" t="n"/>
      <c r="U660" s="139" t="n"/>
      <c r="V660" s="16">
        <f>P660+R660+T660</f>
        <v/>
      </c>
      <c r="W660" s="16" t="n"/>
      <c r="X660" s="139" t="n"/>
      <c r="Y660" s="16" t="n"/>
      <c r="Z660" s="139" t="n"/>
      <c r="AA660" s="16" t="n"/>
      <c r="AB660" s="139" t="n"/>
      <c r="AC660" s="16" t="n"/>
      <c r="AD660" s="139" t="n"/>
      <c r="AE660" s="16">
        <f>(W660+Y660+AA660+AC660)</f>
        <v/>
      </c>
      <c r="AF660" s="16" t="n"/>
      <c r="AG660" s="138" t="n"/>
      <c r="AH660" s="16" t="n"/>
      <c r="AI660" s="138" t="n"/>
      <c r="AJ660" s="16" t="n"/>
      <c r="AK660" s="138" t="n"/>
      <c r="AL660" s="16" t="n"/>
      <c r="AM660" s="138" t="n"/>
      <c r="AN660" s="16" t="n"/>
      <c r="AO660" s="138" t="n"/>
      <c r="AP660" s="16" t="n"/>
      <c r="AQ660" s="138" t="n"/>
      <c r="AR660" s="16" t="n"/>
      <c r="AS660" s="138" t="n"/>
      <c r="AT660" s="16" t="n"/>
      <c r="AU660" s="138" t="n"/>
      <c r="AV660" s="16" t="n"/>
      <c r="AW660" s="138" t="n"/>
      <c r="AX660" s="16" t="n"/>
      <c r="AY660" s="138" t="n"/>
      <c r="AZ660" s="16">
        <f>AF660+AH660+AJ660+AL660+AN660+AP660+AR660+AT660+AV660+AX660</f>
        <v/>
      </c>
      <c r="BA660" s="16" t="n"/>
      <c r="BB660" s="139" t="n"/>
      <c r="BC660" s="16" t="n"/>
      <c r="BD660" s="139" t="n"/>
      <c r="BE660" s="16">
        <f>(BA660+BC660)</f>
        <v/>
      </c>
    </row>
    <row r="661" ht="22.5" customFormat="1" customHeight="1" s="8">
      <c r="A661" s="9" t="n">
        <v>999</v>
      </c>
      <c r="B661" s="136" t="inlineStr">
        <is>
          <t>ABS 난연</t>
        </is>
      </c>
      <c r="C661" s="137" t="inlineStr">
        <is>
          <t>ADX6000</t>
        </is>
      </c>
      <c r="D661" s="60" t="inlineStr">
        <is>
          <t xml:space="preserve">BODY LEFT 사출(외부배터리 사출커팅) </t>
        </is>
      </c>
      <c r="E661" s="13" t="inlineStr">
        <is>
          <t>ABS 난연 화이트 + 스프레이 AS용</t>
        </is>
      </c>
      <c r="F661" s="100" t="n"/>
      <c r="G661" s="9" t="n"/>
      <c r="H661" s="9" t="inlineStr">
        <is>
          <t>천우</t>
        </is>
      </c>
      <c r="I661" s="14" t="n"/>
      <c r="J661" s="14" t="n"/>
      <c r="K661" s="12" t="n"/>
      <c r="L661" s="9" t="n"/>
      <c r="M661" s="9" t="n"/>
      <c r="N661" s="9" t="n"/>
      <c r="O661" s="40">
        <f>K661+V661-AE661-AZ661</f>
        <v/>
      </c>
      <c r="P661" s="12" t="n"/>
      <c r="Q661" s="138" t="n"/>
      <c r="R661" s="16" t="n"/>
      <c r="S661" s="139" t="n"/>
      <c r="T661" s="16" t="n"/>
      <c r="U661" s="139" t="n"/>
      <c r="V661" s="16">
        <f>P661+R661+T661</f>
        <v/>
      </c>
      <c r="W661" s="16" t="n"/>
      <c r="X661" s="139" t="n"/>
      <c r="Y661" s="16" t="n"/>
      <c r="Z661" s="139" t="n"/>
      <c r="AA661" s="16" t="n"/>
      <c r="AB661" s="139" t="n"/>
      <c r="AC661" s="16" t="n"/>
      <c r="AD661" s="139" t="n"/>
      <c r="AE661" s="16">
        <f>(W661+Y661+AA661+AC661)</f>
        <v/>
      </c>
      <c r="AF661" s="16" t="n"/>
      <c r="AG661" s="138" t="n"/>
      <c r="AH661" s="16" t="n"/>
      <c r="AI661" s="138" t="n"/>
      <c r="AJ661" s="16" t="n"/>
      <c r="AK661" s="138" t="n"/>
      <c r="AL661" s="16" t="n"/>
      <c r="AM661" s="138" t="n"/>
      <c r="AN661" s="16" t="n"/>
      <c r="AO661" s="138" t="n"/>
      <c r="AP661" s="16" t="n"/>
      <c r="AQ661" s="138" t="n"/>
      <c r="AR661" s="16" t="n"/>
      <c r="AS661" s="138" t="n"/>
      <c r="AT661" s="16" t="n"/>
      <c r="AU661" s="138" t="n"/>
      <c r="AV661" s="16" t="n"/>
      <c r="AW661" s="138" t="n"/>
      <c r="AX661" s="16" t="n"/>
      <c r="AY661" s="138" t="n"/>
      <c r="AZ661" s="16">
        <f>AF661+AH661+AJ661+AL661+AN661+AP661+AR661+AT661+AV661+AX661</f>
        <v/>
      </c>
      <c r="BA661" s="16" t="n"/>
      <c r="BB661" s="139" t="n"/>
      <c r="BC661" s="16" t="n"/>
      <c r="BD661" s="139" t="n"/>
      <c r="BE661" s="16">
        <f>(BA661+BC661)</f>
        <v/>
      </c>
    </row>
    <row r="662" ht="22.5" customFormat="1" customHeight="1" s="8">
      <c r="A662" s="9" t="n">
        <v>999</v>
      </c>
      <c r="B662" s="136" t="inlineStr">
        <is>
          <t>ABS 난연</t>
        </is>
      </c>
      <c r="C662" s="137" t="inlineStr">
        <is>
          <t>ADX6000</t>
        </is>
      </c>
      <c r="D662" s="68" t="inlineStr">
        <is>
          <t xml:space="preserve">BODY LEFT 사출
(리모컨 포트 가이드+FRONT PORT 스티커) </t>
        </is>
      </c>
      <c r="E662" s="13" t="inlineStr">
        <is>
          <t>ABS 난연 화이트</t>
        </is>
      </c>
      <c r="F662" s="100" t="n"/>
      <c r="G662" s="9" t="n"/>
      <c r="H662" s="9" t="inlineStr">
        <is>
          <t>천우</t>
        </is>
      </c>
      <c r="I662" s="14" t="n"/>
      <c r="J662" s="14" t="n"/>
      <c r="K662" s="12" t="n">
        <v>78</v>
      </c>
      <c r="L662" s="9" t="n"/>
      <c r="M662" s="9" t="n"/>
      <c r="N662" s="9" t="n"/>
      <c r="O662" s="40">
        <f>K662+V662-AE662-AZ662</f>
        <v/>
      </c>
      <c r="P662" s="12" t="n"/>
      <c r="Q662" s="138" t="n"/>
      <c r="R662" s="16" t="n"/>
      <c r="S662" s="139" t="n"/>
      <c r="T662" s="16" t="n"/>
      <c r="U662" s="139" t="n"/>
      <c r="V662" s="16">
        <f>P662+R662+T662</f>
        <v/>
      </c>
      <c r="W662" s="16" t="n"/>
      <c r="X662" s="139" t="n"/>
      <c r="Y662" s="16" t="n"/>
      <c r="Z662" s="139" t="n"/>
      <c r="AA662" s="16" t="n"/>
      <c r="AB662" s="139" t="n"/>
      <c r="AC662" s="16" t="n"/>
      <c r="AD662" s="139" t="n"/>
      <c r="AE662" s="16">
        <f>(W662+Y662+AA662+AC662)</f>
        <v/>
      </c>
      <c r="AF662" s="16" t="n"/>
      <c r="AG662" s="138" t="n"/>
      <c r="AH662" s="16" t="n"/>
      <c r="AI662" s="138" t="n"/>
      <c r="AJ662" s="16" t="n"/>
      <c r="AK662" s="138" t="n"/>
      <c r="AL662" s="16" t="n"/>
      <c r="AM662" s="138" t="n"/>
      <c r="AN662" s="16" t="n"/>
      <c r="AO662" s="138" t="n"/>
      <c r="AP662" s="16" t="n"/>
      <c r="AQ662" s="138" t="n"/>
      <c r="AR662" s="16" t="n"/>
      <c r="AS662" s="138" t="n"/>
      <c r="AT662" s="16" t="n"/>
      <c r="AU662" s="138" t="n"/>
      <c r="AV662" s="16" t="n"/>
      <c r="AW662" s="138" t="n"/>
      <c r="AX662" s="16" t="n"/>
      <c r="AY662" s="138" t="n"/>
      <c r="AZ662" s="16" t="n"/>
      <c r="BA662" s="16" t="n"/>
      <c r="BB662" s="139" t="n"/>
      <c r="BC662" s="16" t="n"/>
      <c r="BD662" s="139" t="n"/>
      <c r="BE662" s="16" t="n"/>
    </row>
    <row r="663" ht="22.5" customFormat="1" customHeight="1" s="8">
      <c r="A663" s="9" t="n">
        <v>999</v>
      </c>
      <c r="B663" s="136" t="inlineStr">
        <is>
          <t>ABS 난연</t>
        </is>
      </c>
      <c r="C663" s="137" t="inlineStr">
        <is>
          <t>ADX6000</t>
        </is>
      </c>
      <c r="D663" s="60" t="inlineStr">
        <is>
          <t>BODY RIGHT 사출(외부배터리용)</t>
        </is>
      </c>
      <c r="E663" s="13" t="inlineStr">
        <is>
          <t>ABS 난연 화이트 + 스프레이 AS용</t>
        </is>
      </c>
      <c r="F663" s="100" t="n"/>
      <c r="G663" s="9" t="n"/>
      <c r="H663" s="9" t="inlineStr">
        <is>
          <t>천우</t>
        </is>
      </c>
      <c r="I663" s="14" t="n"/>
      <c r="J663" s="14" t="n"/>
      <c r="K663" s="12" t="n"/>
      <c r="L663" s="9" t="n"/>
      <c r="M663" s="9" t="n"/>
      <c r="N663" s="9" t="n"/>
      <c r="O663" s="40">
        <f>K663+V663-AE663-AZ663</f>
        <v/>
      </c>
      <c r="P663" s="12" t="n"/>
      <c r="Q663" s="138" t="n"/>
      <c r="R663" s="16" t="n"/>
      <c r="S663" s="139" t="n"/>
      <c r="T663" s="16" t="n"/>
      <c r="U663" s="139" t="n"/>
      <c r="V663" s="16">
        <f>P663+R663+T663</f>
        <v/>
      </c>
      <c r="W663" s="16" t="n"/>
      <c r="X663" s="139" t="n"/>
      <c r="Y663" s="16" t="n"/>
      <c r="Z663" s="139" t="n"/>
      <c r="AA663" s="16" t="n"/>
      <c r="AB663" s="139" t="n"/>
      <c r="AC663" s="16" t="n"/>
      <c r="AD663" s="139" t="n"/>
      <c r="AE663" s="16">
        <f>(W663+Y663+AA663+AC663)</f>
        <v/>
      </c>
      <c r="AF663" s="16" t="n"/>
      <c r="AG663" s="138" t="n"/>
      <c r="AH663" s="16" t="n"/>
      <c r="AI663" s="138" t="n"/>
      <c r="AJ663" s="16" t="n"/>
      <c r="AK663" s="138" t="n"/>
      <c r="AL663" s="16" t="n"/>
      <c r="AM663" s="138" t="n"/>
      <c r="AN663" s="16" t="n"/>
      <c r="AO663" s="138" t="n"/>
      <c r="AP663" s="16" t="n"/>
      <c r="AQ663" s="138" t="n"/>
      <c r="AR663" s="16" t="n"/>
      <c r="AS663" s="138" t="n"/>
      <c r="AT663" s="16" t="n"/>
      <c r="AU663" s="138" t="n"/>
      <c r="AV663" s="16" t="n"/>
      <c r="AW663" s="138" t="n"/>
      <c r="AX663" s="16" t="n"/>
      <c r="AY663" s="138" t="n"/>
      <c r="AZ663" s="16">
        <f>AF663+AH663+AJ663+AL663+AN663+AP663+AR663+AT663+AV663+AX663</f>
        <v/>
      </c>
      <c r="BA663" s="16" t="n"/>
      <c r="BB663" s="139" t="n"/>
      <c r="BC663" s="16" t="n"/>
      <c r="BD663" s="139" t="n"/>
      <c r="BE663" s="16">
        <f>(BA663+BC663)</f>
        <v/>
      </c>
    </row>
    <row r="664" ht="22.5" customFormat="1" customHeight="1" s="8">
      <c r="A664" s="9" t="n">
        <v>999</v>
      </c>
      <c r="B664" s="136" t="inlineStr">
        <is>
          <t>재공품</t>
        </is>
      </c>
      <c r="C664" s="137" t="inlineStr">
        <is>
          <t>ADX6000S</t>
        </is>
      </c>
      <c r="D664" s="60" t="inlineStr">
        <is>
          <t>RIGHT Ass'y</t>
        </is>
      </c>
      <c r="E664" s="13" t="inlineStr">
        <is>
          <t xml:space="preserve"> </t>
        </is>
      </c>
      <c r="F664" s="12" t="n"/>
      <c r="G664" s="9" t="n"/>
      <c r="H664" s="9" t="inlineStr">
        <is>
          <t>덱스코윈</t>
        </is>
      </c>
      <c r="I664" s="14" t="n"/>
      <c r="J664" s="14" t="n"/>
      <c r="K664" s="12" t="n"/>
      <c r="L664" s="9" t="n"/>
      <c r="M664" s="9" t="n"/>
      <c r="N664" s="9" t="n"/>
      <c r="O664" s="40">
        <f>K664+V664-AE664-AZ664</f>
        <v/>
      </c>
      <c r="P664" s="12" t="n"/>
      <c r="Q664" s="138" t="n"/>
      <c r="R664" s="16" t="n"/>
      <c r="S664" s="139" t="n"/>
      <c r="T664" s="16" t="n"/>
      <c r="U664" s="139" t="n"/>
      <c r="V664" s="16">
        <f>P664+R664+T664</f>
        <v/>
      </c>
      <c r="W664" s="16" t="n"/>
      <c r="X664" s="139" t="n"/>
      <c r="Y664" s="16" t="n"/>
      <c r="Z664" s="139" t="n"/>
      <c r="AA664" s="16" t="n"/>
      <c r="AB664" s="139" t="n"/>
      <c r="AC664" s="16" t="n"/>
      <c r="AD664" s="139" t="n"/>
      <c r="AE664" s="16">
        <f>(W664+Y664+AA664+AC664)</f>
        <v/>
      </c>
      <c r="AF664" s="16" t="n"/>
      <c r="AG664" s="138" t="n"/>
      <c r="AH664" s="16" t="n"/>
      <c r="AI664" s="138" t="n"/>
      <c r="AJ664" s="16" t="n"/>
      <c r="AK664" s="138" t="n"/>
      <c r="AL664" s="16" t="n"/>
      <c r="AM664" s="138" t="n"/>
      <c r="AN664" s="16" t="n"/>
      <c r="AO664" s="138" t="n"/>
      <c r="AP664" s="16" t="n"/>
      <c r="AQ664" s="138" t="n"/>
      <c r="AR664" s="16" t="n"/>
      <c r="AS664" s="138" t="n"/>
      <c r="AT664" s="16" t="n"/>
      <c r="AU664" s="138" t="n"/>
      <c r="AV664" s="16" t="n"/>
      <c r="AW664" s="138" t="n"/>
      <c r="AX664" s="16" t="n"/>
      <c r="AY664" s="138" t="n"/>
      <c r="AZ664" s="16">
        <f>AF664+AH664+AJ664+AL664+AN664+AP664+AR664+AT664+AV664+AX664</f>
        <v/>
      </c>
      <c r="BA664" s="16" t="n"/>
      <c r="BB664" s="139" t="n"/>
      <c r="BC664" s="16" t="n"/>
      <c r="BD664" s="139" t="n"/>
      <c r="BE664" s="16">
        <f>(BA664+BC664)</f>
        <v/>
      </c>
    </row>
    <row r="665" ht="22.5" customFormat="1" customHeight="1" s="8">
      <c r="A665" s="9" t="n">
        <v>999</v>
      </c>
      <c r="B665" s="136" t="inlineStr">
        <is>
          <t>재공품</t>
        </is>
      </c>
      <c r="C665" s="137" t="inlineStr">
        <is>
          <t>ADX6000S</t>
        </is>
      </c>
      <c r="D665" s="60" t="inlineStr">
        <is>
          <t>컬리메이터 내부하우징 사출 + 납</t>
        </is>
      </c>
      <c r="E665" s="13" t="n"/>
      <c r="F665" s="12" t="n"/>
      <c r="G665" s="9" t="n"/>
      <c r="H665" s="9" t="inlineStr">
        <is>
          <t>덱스코윈</t>
        </is>
      </c>
      <c r="I665" s="14" t="n"/>
      <c r="J665" s="14" t="n"/>
      <c r="K665" s="12" t="n"/>
      <c r="L665" s="9" t="n"/>
      <c r="M665" s="9" t="n"/>
      <c r="N665" s="9" t="n"/>
      <c r="O665" s="40">
        <f>K665+V665-AE665-AZ665</f>
        <v/>
      </c>
      <c r="P665" s="12" t="n"/>
      <c r="Q665" s="138" t="n"/>
      <c r="R665" s="16" t="n"/>
      <c r="S665" s="139" t="n"/>
      <c r="T665" s="16" t="n"/>
      <c r="U665" s="139" t="n"/>
      <c r="V665" s="16">
        <f>P665+R665+T665</f>
        <v/>
      </c>
      <c r="W665" s="16" t="n"/>
      <c r="X665" s="139" t="n"/>
      <c r="Y665" s="16" t="n"/>
      <c r="Z665" s="139" t="n"/>
      <c r="AA665" s="16" t="n"/>
      <c r="AB665" s="139" t="n"/>
      <c r="AC665" s="16" t="n"/>
      <c r="AD665" s="139" t="n"/>
      <c r="AE665" s="16">
        <f>(W665+Y665+AA665+AC665)</f>
        <v/>
      </c>
      <c r="AF665" s="16" t="n"/>
      <c r="AG665" s="138" t="n"/>
      <c r="AH665" s="16" t="n"/>
      <c r="AI665" s="138" t="n"/>
      <c r="AJ665" s="16" t="n"/>
      <c r="AK665" s="138" t="n"/>
      <c r="AL665" s="16" t="n"/>
      <c r="AM665" s="138" t="n"/>
      <c r="AN665" s="16" t="n"/>
      <c r="AO665" s="138" t="n"/>
      <c r="AP665" s="16" t="n"/>
      <c r="AQ665" s="138" t="n"/>
      <c r="AR665" s="16" t="n"/>
      <c r="AS665" s="138" t="n"/>
      <c r="AT665" s="16" t="n"/>
      <c r="AU665" s="138" t="n"/>
      <c r="AV665" s="16" t="n"/>
      <c r="AW665" s="138" t="n"/>
      <c r="AX665" s="16" t="n"/>
      <c r="AY665" s="138" t="n"/>
      <c r="AZ665" s="16">
        <f>AF665+AH665+AJ665+AL665+AN665+AP665+AR665+AT665+AV665+AX665</f>
        <v/>
      </c>
      <c r="BA665" s="16" t="n"/>
      <c r="BB665" s="139" t="n"/>
      <c r="BC665" s="16" t="n"/>
      <c r="BD665" s="139" t="n"/>
      <c r="BE665" s="16">
        <f>(BA665+BC665)</f>
        <v/>
      </c>
    </row>
    <row r="666" ht="22.5" customFormat="1" customHeight="1" s="8">
      <c r="A666" s="9" t="n">
        <v>999</v>
      </c>
      <c r="B666" s="136" t="inlineStr">
        <is>
          <t>CABLE</t>
        </is>
      </c>
      <c r="C666" s="137" t="n"/>
      <c r="D666" s="84" t="inlineStr">
        <is>
          <t>330N 센서 하네스 1번 (배터리팩 4핀)</t>
        </is>
      </c>
      <c r="E666" s="13" t="n"/>
      <c r="F666" s="12" t="n"/>
      <c r="G666" s="9" t="n"/>
      <c r="H666" s="9" t="inlineStr">
        <is>
          <t>HLP</t>
        </is>
      </c>
      <c r="I666" s="14" t="n"/>
      <c r="J666" s="14" t="n"/>
      <c r="K666" s="12" t="n"/>
      <c r="L666" s="9" t="n"/>
      <c r="M666" s="9" t="n"/>
      <c r="N666" s="9" t="n"/>
      <c r="O666" s="40">
        <f>K666+V666-AE666-AZ666</f>
        <v/>
      </c>
      <c r="P666" s="12" t="n"/>
      <c r="Q666" s="138" t="n"/>
      <c r="R666" s="16" t="n"/>
      <c r="S666" s="139" t="n"/>
      <c r="T666" s="16" t="n"/>
      <c r="U666" s="139" t="n"/>
      <c r="V666" s="16">
        <f>P666+R666+T666</f>
        <v/>
      </c>
      <c r="W666" s="16" t="n"/>
      <c r="X666" s="139" t="n"/>
      <c r="Y666" s="16" t="n"/>
      <c r="Z666" s="139" t="n"/>
      <c r="AA666" s="16" t="n"/>
      <c r="AB666" s="139" t="n"/>
      <c r="AC666" s="16" t="n"/>
      <c r="AD666" s="139" t="n"/>
      <c r="AE666" s="16">
        <f>(W666+Y666+AA666+AC666)</f>
        <v/>
      </c>
      <c r="AF666" s="16" t="n"/>
      <c r="AG666" s="138" t="n"/>
      <c r="AH666" s="16" t="n"/>
      <c r="AI666" s="138" t="n"/>
      <c r="AJ666" s="16" t="n"/>
      <c r="AK666" s="138" t="n"/>
      <c r="AL666" s="16" t="n"/>
      <c r="AM666" s="138" t="n"/>
      <c r="AN666" s="16" t="n"/>
      <c r="AO666" s="138" t="n"/>
      <c r="AP666" s="16" t="n"/>
      <c r="AQ666" s="138" t="n"/>
      <c r="AR666" s="16" t="n"/>
      <c r="AS666" s="138" t="n"/>
      <c r="AT666" s="16" t="n"/>
      <c r="AU666" s="138" t="n"/>
      <c r="AV666" s="16" t="n"/>
      <c r="AW666" s="138" t="n"/>
      <c r="AX666" s="16" t="n"/>
      <c r="AY666" s="138" t="n"/>
      <c r="AZ666" s="16">
        <f>AF666+AH666+AJ666+AL666+AN666+AP666+AR666+AT666+AV666+AX666</f>
        <v/>
      </c>
      <c r="BA666" s="16" t="n"/>
      <c r="BB666" s="139" t="n"/>
      <c r="BC666" s="16" t="n"/>
      <c r="BD666" s="139" t="n"/>
      <c r="BE666" s="16">
        <f>(BA666+BC666)</f>
        <v/>
      </c>
    </row>
    <row r="667" ht="22.5" customFormat="1" customHeight="1" s="8">
      <c r="A667" s="9" t="n">
        <v>999</v>
      </c>
      <c r="B667" s="136" t="inlineStr">
        <is>
          <t>CABLE</t>
        </is>
      </c>
      <c r="C667" s="137" t="n"/>
      <c r="D667" s="84" t="inlineStr">
        <is>
          <t>330N 센서 하네스 2번 (전원 스위치 2핀)</t>
        </is>
      </c>
      <c r="E667" s="13" t="n"/>
      <c r="F667" s="12" t="n"/>
      <c r="G667" s="9" t="n"/>
      <c r="H667" s="9" t="inlineStr">
        <is>
          <t>HLP</t>
        </is>
      </c>
      <c r="I667" s="14" t="n"/>
      <c r="J667" s="14" t="n"/>
      <c r="K667" s="12" t="n"/>
      <c r="L667" s="9" t="n"/>
      <c r="M667" s="9" t="n"/>
      <c r="N667" s="9" t="n"/>
      <c r="O667" s="40">
        <f>K667+V667-AE667-AZ667</f>
        <v/>
      </c>
      <c r="P667" s="12" t="n"/>
      <c r="Q667" s="138" t="n"/>
      <c r="R667" s="16" t="n"/>
      <c r="S667" s="139" t="n"/>
      <c r="T667" s="16" t="n"/>
      <c r="U667" s="139" t="n"/>
      <c r="V667" s="16">
        <f>P667+R667+T667</f>
        <v/>
      </c>
      <c r="W667" s="16" t="n"/>
      <c r="X667" s="139" t="n"/>
      <c r="Y667" s="16" t="n"/>
      <c r="Z667" s="139" t="n"/>
      <c r="AA667" s="16" t="n"/>
      <c r="AB667" s="139" t="n"/>
      <c r="AC667" s="16" t="n"/>
      <c r="AD667" s="139" t="n"/>
      <c r="AE667" s="16">
        <f>(W667+Y667+AA667+AC667)</f>
        <v/>
      </c>
      <c r="AF667" s="16" t="n"/>
      <c r="AG667" s="138" t="n"/>
      <c r="AH667" s="16" t="n"/>
      <c r="AI667" s="138" t="n"/>
      <c r="AJ667" s="16" t="n"/>
      <c r="AK667" s="138" t="n"/>
      <c r="AL667" s="16" t="n"/>
      <c r="AM667" s="138" t="n"/>
      <c r="AN667" s="16" t="n"/>
      <c r="AO667" s="138" t="n"/>
      <c r="AP667" s="16" t="n"/>
      <c r="AQ667" s="138" t="n"/>
      <c r="AR667" s="16" t="n"/>
      <c r="AS667" s="138" t="n"/>
      <c r="AT667" s="16" t="n"/>
      <c r="AU667" s="138" t="n"/>
      <c r="AV667" s="16" t="n"/>
      <c r="AW667" s="138" t="n"/>
      <c r="AX667" s="16" t="n"/>
      <c r="AY667" s="138" t="n"/>
      <c r="AZ667" s="16">
        <f>AF667+AH667+AJ667+AL667+AN667+AP667+AR667+AT667+AV667+AX667</f>
        <v/>
      </c>
      <c r="BA667" s="16" t="n"/>
      <c r="BB667" s="139" t="n"/>
      <c r="BC667" s="16" t="n"/>
      <c r="BD667" s="139" t="n"/>
      <c r="BE667" s="16">
        <f>(BA667+BC667)</f>
        <v/>
      </c>
    </row>
    <row r="668" ht="22.5" customFormat="1" customHeight="1" s="8">
      <c r="A668" s="9" t="n">
        <v>999</v>
      </c>
      <c r="B668" s="136" t="inlineStr">
        <is>
          <t>CABLE</t>
        </is>
      </c>
      <c r="C668" s="137" t="n"/>
      <c r="D668" s="84" t="inlineStr">
        <is>
          <t>330N 센서 하네스 3번 (플랫 24핀)</t>
        </is>
      </c>
      <c r="E668" s="13" t="n"/>
      <c r="F668" s="12" t="n"/>
      <c r="G668" s="9" t="n"/>
      <c r="H668" s="9" t="inlineStr">
        <is>
          <t>HLP</t>
        </is>
      </c>
      <c r="I668" s="14" t="n"/>
      <c r="J668" s="14" t="n"/>
      <c r="K668" s="12" t="n"/>
      <c r="L668" s="9" t="n"/>
      <c r="M668" s="9" t="n"/>
      <c r="N668" s="9" t="n"/>
      <c r="O668" s="40">
        <f>K668+V668-AE668-AZ668</f>
        <v/>
      </c>
      <c r="P668" s="12" t="n"/>
      <c r="Q668" s="138" t="n"/>
      <c r="R668" s="16" t="n"/>
      <c r="S668" s="139" t="n"/>
      <c r="T668" s="16" t="n"/>
      <c r="U668" s="139" t="n"/>
      <c r="V668" s="16">
        <f>P668+R668+T668</f>
        <v/>
      </c>
      <c r="W668" s="16" t="n"/>
      <c r="X668" s="139" t="n"/>
      <c r="Y668" s="16" t="n"/>
      <c r="Z668" s="139" t="n"/>
      <c r="AA668" s="16" t="n"/>
      <c r="AB668" s="139" t="n"/>
      <c r="AC668" s="16" t="n"/>
      <c r="AD668" s="139" t="n"/>
      <c r="AE668" s="16">
        <f>(W668+Y668+AA668+AC668)</f>
        <v/>
      </c>
      <c r="AF668" s="16" t="n"/>
      <c r="AG668" s="138" t="n"/>
      <c r="AH668" s="16" t="n"/>
      <c r="AI668" s="138" t="n"/>
      <c r="AJ668" s="16" t="n"/>
      <c r="AK668" s="138" t="n"/>
      <c r="AL668" s="16" t="n"/>
      <c r="AM668" s="138" t="n"/>
      <c r="AN668" s="16" t="n"/>
      <c r="AO668" s="138" t="n"/>
      <c r="AP668" s="16" t="n"/>
      <c r="AQ668" s="138" t="n"/>
      <c r="AR668" s="16" t="n"/>
      <c r="AS668" s="138" t="n"/>
      <c r="AT668" s="16" t="n"/>
      <c r="AU668" s="138" t="n"/>
      <c r="AV668" s="16" t="n"/>
      <c r="AW668" s="138" t="n"/>
      <c r="AX668" s="16" t="n"/>
      <c r="AY668" s="138" t="n"/>
      <c r="AZ668" s="16">
        <f>AF668+AH668+AJ668+AL668+AN668+AP668+AR668+AT668+AV668+AX668</f>
        <v/>
      </c>
      <c r="BA668" s="16" t="n"/>
      <c r="BB668" s="139" t="n"/>
      <c r="BC668" s="16" t="n"/>
      <c r="BD668" s="139" t="n"/>
      <c r="BE668" s="16">
        <f>(BA668+BC668)</f>
        <v/>
      </c>
    </row>
    <row r="669" ht="22.5" customFormat="1" customHeight="1" s="8">
      <c r="A669" s="9" t="n">
        <v>999</v>
      </c>
      <c r="B669" s="136" t="inlineStr">
        <is>
          <t>CABLE</t>
        </is>
      </c>
      <c r="C669" s="137" t="n"/>
      <c r="D669" s="84" t="inlineStr">
        <is>
          <t>330N 센서 하네스 4번 (8핀)</t>
        </is>
      </c>
      <c r="E669" s="13" t="n"/>
      <c r="F669" s="12" t="n"/>
      <c r="G669" s="9" t="n"/>
      <c r="H669" s="9" t="inlineStr">
        <is>
          <t>HLP</t>
        </is>
      </c>
      <c r="I669" s="14" t="n"/>
      <c r="J669" s="14" t="n"/>
      <c r="K669" s="12" t="n"/>
      <c r="L669" s="9" t="n"/>
      <c r="M669" s="9" t="n"/>
      <c r="N669" s="9" t="n"/>
      <c r="O669" s="40">
        <f>K669+V669-AE669-AZ669</f>
        <v/>
      </c>
      <c r="P669" s="12" t="n"/>
      <c r="Q669" s="138" t="n"/>
      <c r="R669" s="16" t="n"/>
      <c r="S669" s="139" t="n"/>
      <c r="T669" s="16" t="n"/>
      <c r="U669" s="139" t="n"/>
      <c r="V669" s="16">
        <f>P669+R669+T669</f>
        <v/>
      </c>
      <c r="W669" s="16" t="n"/>
      <c r="X669" s="139" t="n"/>
      <c r="Y669" s="16" t="n"/>
      <c r="Z669" s="139" t="n"/>
      <c r="AA669" s="16" t="n"/>
      <c r="AB669" s="139" t="n"/>
      <c r="AC669" s="16" t="n"/>
      <c r="AD669" s="139" t="n"/>
      <c r="AE669" s="16">
        <f>(W669+Y669+AA669+AC669)</f>
        <v/>
      </c>
      <c r="AF669" s="16" t="n"/>
      <c r="AG669" s="138" t="n"/>
      <c r="AH669" s="16" t="n"/>
      <c r="AI669" s="138" t="n"/>
      <c r="AJ669" s="16" t="n"/>
      <c r="AK669" s="138" t="n"/>
      <c r="AL669" s="16" t="n"/>
      <c r="AM669" s="138" t="n"/>
      <c r="AN669" s="16" t="n"/>
      <c r="AO669" s="138" t="n"/>
      <c r="AP669" s="16" t="n"/>
      <c r="AQ669" s="138" t="n"/>
      <c r="AR669" s="16" t="n"/>
      <c r="AS669" s="138" t="n"/>
      <c r="AT669" s="16" t="n"/>
      <c r="AU669" s="138" t="n"/>
      <c r="AV669" s="16" t="n"/>
      <c r="AW669" s="138" t="n"/>
      <c r="AX669" s="16" t="n"/>
      <c r="AY669" s="138" t="n"/>
      <c r="AZ669" s="16">
        <f>AF669+AH669+AJ669+AL669+AN669+AP669+AR669+AT669+AV669+AX669</f>
        <v/>
      </c>
      <c r="BA669" s="16" t="n"/>
      <c r="BB669" s="139" t="n"/>
      <c r="BC669" s="16" t="n"/>
      <c r="BD669" s="139" t="n"/>
      <c r="BE669" s="16">
        <f>(BA669+BC669)</f>
        <v/>
      </c>
    </row>
    <row r="670" ht="22.5" customFormat="1" customHeight="1" s="8">
      <c r="A670" s="9" t="n">
        <v>999</v>
      </c>
      <c r="B670" s="136" t="inlineStr">
        <is>
          <t>CABLE</t>
        </is>
      </c>
      <c r="C670" s="137" t="n"/>
      <c r="D670" s="84" t="inlineStr">
        <is>
          <t>330N 센서 하네스 5번 (인터페이스 케이블)</t>
        </is>
      </c>
      <c r="E670" s="13" t="n"/>
      <c r="F670" s="12" t="n"/>
      <c r="G670" s="9" t="n"/>
      <c r="H670" s="9" t="inlineStr">
        <is>
          <t>HLP</t>
        </is>
      </c>
      <c r="I670" s="14" t="n"/>
      <c r="J670" s="14" t="n"/>
      <c r="K670" s="12" t="n"/>
      <c r="L670" s="9" t="n"/>
      <c r="M670" s="9" t="n"/>
      <c r="N670" s="9" t="n"/>
      <c r="O670" s="40">
        <f>K670+V670-AE670-AZ670</f>
        <v/>
      </c>
      <c r="P670" s="12" t="n"/>
      <c r="Q670" s="138" t="n"/>
      <c r="R670" s="16" t="n"/>
      <c r="S670" s="139" t="n"/>
      <c r="T670" s="16" t="n"/>
      <c r="U670" s="139" t="n"/>
      <c r="V670" s="16">
        <f>P670+R670+T670</f>
        <v/>
      </c>
      <c r="W670" s="16" t="n"/>
      <c r="X670" s="139" t="n"/>
      <c r="Y670" s="16" t="n"/>
      <c r="Z670" s="139" t="n"/>
      <c r="AA670" s="16" t="n"/>
      <c r="AB670" s="139" t="n"/>
      <c r="AC670" s="16" t="n"/>
      <c r="AD670" s="139" t="n"/>
      <c r="AE670" s="16">
        <f>(W670+Y670+AA670+AC670)</f>
        <v/>
      </c>
      <c r="AF670" s="16" t="n"/>
      <c r="AG670" s="138" t="n"/>
      <c r="AH670" s="16" t="n"/>
      <c r="AI670" s="138" t="n"/>
      <c r="AJ670" s="16" t="n"/>
      <c r="AK670" s="138" t="n"/>
      <c r="AL670" s="16" t="n"/>
      <c r="AM670" s="138" t="n"/>
      <c r="AN670" s="16" t="n"/>
      <c r="AO670" s="138" t="n"/>
      <c r="AP670" s="16" t="n"/>
      <c r="AQ670" s="138" t="n"/>
      <c r="AR670" s="16" t="n"/>
      <c r="AS670" s="138" t="n"/>
      <c r="AT670" s="16" t="n"/>
      <c r="AU670" s="138" t="n"/>
      <c r="AV670" s="16" t="n"/>
      <c r="AW670" s="138" t="n"/>
      <c r="AX670" s="16" t="n"/>
      <c r="AY670" s="138" t="n"/>
      <c r="AZ670" s="16">
        <f>AF670+AH670+AJ670+AL670+AN670+AP670+AR670+AT670+AV670+AX670</f>
        <v/>
      </c>
      <c r="BA670" s="16" t="n"/>
      <c r="BB670" s="139" t="n"/>
      <c r="BC670" s="16" t="n"/>
      <c r="BD670" s="139" t="n"/>
      <c r="BE670" s="16">
        <f>(BA670+BC670)</f>
        <v/>
      </c>
    </row>
    <row r="671" ht="22.5" customFormat="1" customHeight="1" s="8">
      <c r="A671" s="9" t="n">
        <v>999</v>
      </c>
      <c r="B671" s="136" t="inlineStr">
        <is>
          <t>RUBBER</t>
        </is>
      </c>
      <c r="C671" s="137" t="n"/>
      <c r="D671" s="60" t="inlineStr">
        <is>
          <t>330N 센서 고무발</t>
        </is>
      </c>
      <c r="E671" s="13" t="n"/>
      <c r="F671" s="12" t="n"/>
      <c r="G671" s="9" t="n"/>
      <c r="H671" s="9" t="inlineStr">
        <is>
          <t>직구</t>
        </is>
      </c>
      <c r="I671" s="14" t="n"/>
      <c r="J671" s="14" t="n"/>
      <c r="K671" s="12" t="n"/>
      <c r="L671" s="9" t="n"/>
      <c r="M671" s="9" t="n"/>
      <c r="N671" s="9" t="n"/>
      <c r="O671" s="40">
        <f>K671+V671-AE671-AZ671</f>
        <v/>
      </c>
      <c r="P671" s="12" t="n"/>
      <c r="Q671" s="138" t="n"/>
      <c r="R671" s="16" t="n"/>
      <c r="S671" s="139" t="n"/>
      <c r="T671" s="16" t="n"/>
      <c r="U671" s="139" t="n"/>
      <c r="V671" s="16">
        <f>P671+R671+T671</f>
        <v/>
      </c>
      <c r="W671" s="16" t="n"/>
      <c r="X671" s="139" t="n"/>
      <c r="Y671" s="16" t="n"/>
      <c r="Z671" s="139" t="n"/>
      <c r="AA671" s="16" t="n"/>
      <c r="AB671" s="139" t="n"/>
      <c r="AC671" s="16" t="n"/>
      <c r="AD671" s="139" t="n"/>
      <c r="AE671" s="16">
        <f>(W671+Y671+AA671+AC671)</f>
        <v/>
      </c>
      <c r="AF671" s="16" t="n"/>
      <c r="AG671" s="138" t="n"/>
      <c r="AH671" s="16" t="n"/>
      <c r="AI671" s="138" t="n"/>
      <c r="AJ671" s="16" t="n"/>
      <c r="AK671" s="138" t="n"/>
      <c r="AL671" s="16" t="n"/>
      <c r="AM671" s="138" t="n"/>
      <c r="AN671" s="16" t="n"/>
      <c r="AO671" s="138" t="n"/>
      <c r="AP671" s="16" t="n"/>
      <c r="AQ671" s="138" t="n"/>
      <c r="AR671" s="16" t="n"/>
      <c r="AS671" s="138" t="n"/>
      <c r="AT671" s="16" t="n"/>
      <c r="AU671" s="138" t="n"/>
      <c r="AV671" s="16" t="n"/>
      <c r="AW671" s="138" t="n"/>
      <c r="AX671" s="16" t="n"/>
      <c r="AY671" s="138" t="n"/>
      <c r="AZ671" s="16">
        <f>AF671+AH671+AJ671+AL671+AN671+AP671+AR671+AT671+AV671+AX671</f>
        <v/>
      </c>
      <c r="BA671" s="16" t="n"/>
      <c r="BB671" s="139" t="n"/>
      <c r="BC671" s="16" t="n"/>
      <c r="BD671" s="139" t="n"/>
      <c r="BE671" s="16">
        <f>(BA671+BC671)</f>
        <v/>
      </c>
    </row>
    <row r="672" ht="22.5" customFormat="1" customHeight="1" s="8">
      <c r="A672" s="9" t="n">
        <v>999</v>
      </c>
      <c r="B672" s="136" t="inlineStr">
        <is>
          <t>AL + STEEL</t>
        </is>
      </c>
      <c r="C672" s="137" t="inlineStr">
        <is>
          <t>DX3000</t>
        </is>
      </c>
      <c r="D672" s="143" t="inlineStr">
        <is>
          <t>SKIN GUARD FRAME</t>
        </is>
      </c>
      <c r="E672" s="13" t="n"/>
      <c r="F672" s="12" t="n"/>
      <c r="G672" s="9" t="n"/>
      <c r="H672" s="9" t="inlineStr">
        <is>
          <t>제이케이시스템</t>
        </is>
      </c>
      <c r="I672" s="14" t="n"/>
      <c r="J672" s="14" t="n"/>
      <c r="K672" s="12" t="n"/>
      <c r="L672" s="9" t="n"/>
      <c r="M672" s="9" t="n"/>
      <c r="N672" s="9" t="n"/>
      <c r="O672" s="40">
        <f>K672+V672-AE672-AZ672</f>
        <v/>
      </c>
      <c r="P672" s="12" t="n"/>
      <c r="Q672" s="138" t="n"/>
      <c r="R672" s="16" t="n"/>
      <c r="S672" s="139" t="n"/>
      <c r="T672" s="16" t="n"/>
      <c r="U672" s="139" t="n"/>
      <c r="V672" s="16">
        <f>P672+R672+T672</f>
        <v/>
      </c>
      <c r="W672" s="16" t="n"/>
      <c r="X672" s="139" t="n"/>
      <c r="Y672" s="16" t="n"/>
      <c r="Z672" s="139" t="n"/>
      <c r="AA672" s="16" t="n"/>
      <c r="AB672" s="139" t="n"/>
      <c r="AC672" s="16" t="n"/>
      <c r="AD672" s="139" t="n"/>
      <c r="AE672" s="16">
        <f>(W672+Y672+AA672+AC672)</f>
        <v/>
      </c>
      <c r="AF672" s="16" t="n"/>
      <c r="AG672" s="138" t="n"/>
      <c r="AH672" s="16" t="n"/>
      <c r="AI672" s="138" t="n"/>
      <c r="AJ672" s="16" t="n"/>
      <c r="AK672" s="138" t="n"/>
      <c r="AL672" s="16" t="n"/>
      <c r="AM672" s="138" t="n"/>
      <c r="AN672" s="16" t="n"/>
      <c r="AO672" s="138" t="n"/>
      <c r="AP672" s="16" t="n"/>
      <c r="AQ672" s="138" t="n"/>
      <c r="AR672" s="16" t="n"/>
      <c r="AS672" s="138" t="n"/>
      <c r="AT672" s="16" t="n"/>
      <c r="AU672" s="138" t="n"/>
      <c r="AV672" s="16" t="n"/>
      <c r="AW672" s="138" t="n"/>
      <c r="AX672" s="16" t="n"/>
      <c r="AY672" s="138" t="n"/>
      <c r="AZ672" s="16">
        <f>AF672+AH672+AJ672+AL672+AN672+AP672+AR672+AT672+AV672+AX672</f>
        <v/>
      </c>
      <c r="BA672" s="16" t="n"/>
      <c r="BB672" s="139" t="n"/>
      <c r="BC672" s="16" t="n"/>
      <c r="BD672" s="139" t="n"/>
      <c r="BE672" s="16">
        <f>(BA672+BC672)</f>
        <v/>
      </c>
    </row>
    <row r="673" ht="22.5" customFormat="1" customHeight="1" s="8">
      <c r="A673" s="9" t="n">
        <v>999</v>
      </c>
      <c r="B673" s="136" t="inlineStr">
        <is>
          <t>AL + STEEL</t>
        </is>
      </c>
      <c r="C673" s="137" t="inlineStr">
        <is>
          <t>DX3000</t>
        </is>
      </c>
      <c r="D673" s="143" t="inlineStr">
        <is>
          <t>BOTTOM BLOCK</t>
        </is>
      </c>
      <c r="E673" s="13" t="n"/>
      <c r="F673" s="12" t="n"/>
      <c r="G673" s="9" t="n"/>
      <c r="H673" s="9" t="inlineStr">
        <is>
          <t>제이케이시스템</t>
        </is>
      </c>
      <c r="I673" s="14" t="n"/>
      <c r="J673" s="14" t="n"/>
      <c r="K673" s="12" t="n"/>
      <c r="L673" s="9" t="n"/>
      <c r="M673" s="9" t="n"/>
      <c r="N673" s="9" t="n"/>
      <c r="O673" s="40">
        <f>K673+V673-AE673-AZ673</f>
        <v/>
      </c>
      <c r="P673" s="12" t="n"/>
      <c r="Q673" s="138" t="n"/>
      <c r="R673" s="16" t="n"/>
      <c r="S673" s="139" t="n"/>
      <c r="T673" s="16" t="n"/>
      <c r="U673" s="139" t="n"/>
      <c r="V673" s="16">
        <f>P673+R673+T673</f>
        <v/>
      </c>
      <c r="W673" s="16" t="n"/>
      <c r="X673" s="139" t="n"/>
      <c r="Y673" s="16" t="n"/>
      <c r="Z673" s="139" t="n"/>
      <c r="AA673" s="16" t="n"/>
      <c r="AB673" s="139" t="n"/>
      <c r="AC673" s="16" t="n"/>
      <c r="AD673" s="139" t="n"/>
      <c r="AE673" s="16">
        <f>(W673+Y673+AA673+AC673)</f>
        <v/>
      </c>
      <c r="AF673" s="16" t="n"/>
      <c r="AG673" s="138" t="n"/>
      <c r="AH673" s="16" t="n"/>
      <c r="AI673" s="138" t="n"/>
      <c r="AJ673" s="16" t="n"/>
      <c r="AK673" s="138" t="n"/>
      <c r="AL673" s="16" t="n"/>
      <c r="AM673" s="138" t="n"/>
      <c r="AN673" s="16" t="n"/>
      <c r="AO673" s="138" t="n"/>
      <c r="AP673" s="16" t="n"/>
      <c r="AQ673" s="138" t="n"/>
      <c r="AR673" s="16" t="n"/>
      <c r="AS673" s="138" t="n"/>
      <c r="AT673" s="16" t="n"/>
      <c r="AU673" s="138" t="n"/>
      <c r="AV673" s="16" t="n"/>
      <c r="AW673" s="138" t="n"/>
      <c r="AX673" s="16" t="n"/>
      <c r="AY673" s="138" t="n"/>
      <c r="AZ673" s="16">
        <f>AF673+AH673+AJ673+AL673+AN673+AP673+AR673+AT673+AV673+AX673</f>
        <v/>
      </c>
      <c r="BA673" s="16" t="n"/>
      <c r="BB673" s="139" t="n"/>
      <c r="BC673" s="16" t="n"/>
      <c r="BD673" s="139" t="n"/>
      <c r="BE673" s="16">
        <f>(BA673+BC673)</f>
        <v/>
      </c>
    </row>
    <row r="674" ht="22.5" customFormat="1" customHeight="1" s="8">
      <c r="A674" s="9" t="n">
        <v>999</v>
      </c>
      <c r="B674" s="136" t="inlineStr">
        <is>
          <t>ADAPTER</t>
        </is>
      </c>
      <c r="C674" s="137" t="n"/>
      <c r="D674" s="60" t="inlineStr">
        <is>
          <t>SMPS (PSU)</t>
        </is>
      </c>
      <c r="E674" s="13" t="inlineStr">
        <is>
          <t>DEX-A085-M, 17V,5A(85W)</t>
        </is>
      </c>
      <c r="F674" s="12" t="n"/>
      <c r="G674" s="9" t="n"/>
      <c r="H674" s="9" t="inlineStr">
        <is>
          <t>두앤비무역</t>
        </is>
      </c>
      <c r="I674" s="14" t="n"/>
      <c r="J674" s="14" t="n"/>
      <c r="K674" s="12" t="n"/>
      <c r="L674" s="9" t="n"/>
      <c r="M674" s="9" t="n"/>
      <c r="N674" s="9" t="n"/>
      <c r="O674" s="40">
        <f>K674+V674-AE674-AZ674</f>
        <v/>
      </c>
      <c r="P674" s="12" t="n"/>
      <c r="Q674" s="138" t="n"/>
      <c r="R674" s="16" t="n"/>
      <c r="S674" s="139" t="n"/>
      <c r="T674" s="16" t="n"/>
      <c r="U674" s="139" t="n"/>
      <c r="V674" s="16">
        <f>P674+R674+T674</f>
        <v/>
      </c>
      <c r="W674" s="16" t="n"/>
      <c r="X674" s="139" t="n"/>
      <c r="Y674" s="16" t="n"/>
      <c r="Z674" s="139" t="n"/>
      <c r="AA674" s="16" t="n"/>
      <c r="AB674" s="139" t="n"/>
      <c r="AC674" s="16" t="n"/>
      <c r="AD674" s="139" t="n"/>
      <c r="AE674" s="16">
        <f>(W674+Y674+AA674+AC674)</f>
        <v/>
      </c>
      <c r="AF674" s="16" t="n"/>
      <c r="AG674" s="138" t="n"/>
      <c r="AH674" s="16" t="n"/>
      <c r="AI674" s="138" t="n"/>
      <c r="AJ674" s="16" t="n"/>
      <c r="AK674" s="138" t="n"/>
      <c r="AL674" s="16" t="n"/>
      <c r="AM674" s="138" t="n"/>
      <c r="AN674" s="16" t="n"/>
      <c r="AO674" s="138" t="n"/>
      <c r="AP674" s="16" t="n"/>
      <c r="AQ674" s="138" t="n"/>
      <c r="AR674" s="16" t="n"/>
      <c r="AS674" s="138" t="n"/>
      <c r="AT674" s="16" t="n"/>
      <c r="AU674" s="138" t="n"/>
      <c r="AV674" s="16" t="n"/>
      <c r="AW674" s="138" t="n"/>
      <c r="AX674" s="16" t="n"/>
      <c r="AY674" s="138" t="n"/>
      <c r="AZ674" s="16">
        <f>AF674+AH674+AJ674+AL674+AN674+AP674+AR674+AT674+AV674+AX674</f>
        <v/>
      </c>
      <c r="BA674" s="16" t="n"/>
      <c r="BB674" s="139" t="n"/>
      <c r="BC674" s="16" t="n"/>
      <c r="BD674" s="139" t="n"/>
      <c r="BE674" s="16">
        <f>(BA674+BC674)</f>
        <v/>
      </c>
    </row>
    <row r="675" ht="22.5" customFormat="1" customHeight="1" s="8">
      <c r="A675" s="9" t="n">
        <v>999</v>
      </c>
      <c r="B675" s="136" t="inlineStr">
        <is>
          <t>CABLE</t>
        </is>
      </c>
      <c r="C675" s="137" t="n"/>
      <c r="D675" s="60" t="inlineStr">
        <is>
          <t>마그네틱 젠더</t>
        </is>
      </c>
      <c r="E675" s="13" t="n"/>
      <c r="F675" s="12" t="n"/>
      <c r="G675" s="9" t="n"/>
      <c r="H675" s="9" t="inlineStr">
        <is>
          <t>HLP</t>
        </is>
      </c>
      <c r="I675" s="14" t="n"/>
      <c r="J675" s="14" t="n"/>
      <c r="K675" s="12" t="n"/>
      <c r="L675" s="9" t="n"/>
      <c r="M675" s="9" t="n"/>
      <c r="N675" s="9" t="n"/>
      <c r="O675" s="40">
        <f>K675+V675-AE675-AZ675</f>
        <v/>
      </c>
      <c r="P675" s="12" t="n"/>
      <c r="Q675" s="138" t="n"/>
      <c r="R675" s="16" t="n"/>
      <c r="S675" s="139" t="n"/>
      <c r="T675" s="16" t="n"/>
      <c r="U675" s="139" t="n"/>
      <c r="V675" s="16">
        <f>P675+R675+T675</f>
        <v/>
      </c>
      <c r="W675" s="16" t="n"/>
      <c r="X675" s="139" t="n"/>
      <c r="Y675" s="16" t="n"/>
      <c r="Z675" s="139" t="n"/>
      <c r="AA675" s="16" t="n"/>
      <c r="AB675" s="139" t="n"/>
      <c r="AC675" s="16" t="n"/>
      <c r="AD675" s="139" t="n"/>
      <c r="AE675" s="16">
        <f>(W675+Y675+AA675+AC675)</f>
        <v/>
      </c>
      <c r="AF675" s="16" t="n"/>
      <c r="AG675" s="138" t="n"/>
      <c r="AH675" s="16" t="n"/>
      <c r="AI675" s="138" t="n"/>
      <c r="AJ675" s="16" t="n"/>
      <c r="AK675" s="138" t="n"/>
      <c r="AL675" s="16" t="n"/>
      <c r="AM675" s="138" t="n"/>
      <c r="AN675" s="16" t="n"/>
      <c r="AO675" s="138" t="n"/>
      <c r="AP675" s="16" t="n"/>
      <c r="AQ675" s="138" t="n"/>
      <c r="AR675" s="16" t="n"/>
      <c r="AS675" s="138" t="n"/>
      <c r="AT675" s="16" t="n"/>
      <c r="AU675" s="138" t="n"/>
      <c r="AV675" s="16" t="n"/>
      <c r="AW675" s="138" t="n"/>
      <c r="AX675" s="16" t="n"/>
      <c r="AY675" s="138" t="n"/>
      <c r="AZ675" s="16">
        <f>AF675+AH675+AJ675+AL675+AN675+AP675+AR675+AT675+AV675+AX675</f>
        <v/>
      </c>
      <c r="BA675" s="16" t="n"/>
      <c r="BB675" s="139" t="n"/>
      <c r="BC675" s="16" t="n"/>
      <c r="BD675" s="139" t="n"/>
      <c r="BE675" s="16">
        <f>(BA675+BC675)</f>
        <v/>
      </c>
    </row>
    <row r="676" ht="22.5" customFormat="1" customHeight="1" s="8">
      <c r="A676" s="9" t="n">
        <v>999</v>
      </c>
      <c r="B676" s="136" t="inlineStr">
        <is>
          <t>스킨 가드</t>
        </is>
      </c>
      <c r="C676" s="137" t="n"/>
      <c r="D676" s="60" t="inlineStr">
        <is>
          <t>스킨가드</t>
        </is>
      </c>
      <c r="E676" s="13" t="inlineStr">
        <is>
          <t>구형, AL 가공 + 흑색 아노다이징</t>
        </is>
      </c>
      <c r="F676" s="12" t="n"/>
      <c r="G676" s="9" t="n"/>
      <c r="H676" s="9" t="inlineStr">
        <is>
          <t>제이케이시스템</t>
        </is>
      </c>
      <c r="I676" s="14" t="n"/>
      <c r="J676" s="14" t="n"/>
      <c r="K676" s="12" t="n"/>
      <c r="L676" s="9" t="n"/>
      <c r="M676" s="9" t="n"/>
      <c r="N676" s="9" t="n"/>
      <c r="O676" s="40">
        <f>K676+V676-AE676-AZ676</f>
        <v/>
      </c>
      <c r="P676" s="12" t="n"/>
      <c r="Q676" s="138" t="n"/>
      <c r="R676" s="16" t="n"/>
      <c r="S676" s="139" t="n"/>
      <c r="T676" s="16" t="n"/>
      <c r="U676" s="139" t="n"/>
      <c r="V676" s="16">
        <f>P676+R676+T676</f>
        <v/>
      </c>
      <c r="W676" s="16" t="n"/>
      <c r="X676" s="139" t="n"/>
      <c r="Y676" s="16" t="n"/>
      <c r="Z676" s="139" t="n"/>
      <c r="AA676" s="16" t="n"/>
      <c r="AB676" s="139" t="n"/>
      <c r="AC676" s="16" t="n"/>
      <c r="AD676" s="139" t="n"/>
      <c r="AE676" s="16">
        <f>(W676+Y676+AA676+AC676)</f>
        <v/>
      </c>
      <c r="AF676" s="16" t="n"/>
      <c r="AG676" s="138" t="n"/>
      <c r="AH676" s="16" t="n"/>
      <c r="AI676" s="138" t="n"/>
      <c r="AJ676" s="16" t="n"/>
      <c r="AK676" s="138" t="n"/>
      <c r="AL676" s="16" t="n"/>
      <c r="AM676" s="138" t="n"/>
      <c r="AN676" s="16" t="n"/>
      <c r="AO676" s="138" t="n"/>
      <c r="AP676" s="16" t="n"/>
      <c r="AQ676" s="138" t="n"/>
      <c r="AR676" s="16" t="n"/>
      <c r="AS676" s="138" t="n"/>
      <c r="AT676" s="16" t="n"/>
      <c r="AU676" s="138" t="n"/>
      <c r="AV676" s="16" t="n"/>
      <c r="AW676" s="138" t="n"/>
      <c r="AX676" s="16" t="n"/>
      <c r="AY676" s="138" t="n"/>
      <c r="AZ676" s="16">
        <f>AF676+AH676+AJ676+AL676+AN676+AP676+AR676+AT676+AV676+AX676</f>
        <v/>
      </c>
      <c r="BA676" s="16" t="n"/>
      <c r="BB676" s="139" t="n"/>
      <c r="BC676" s="16" t="n"/>
      <c r="BD676" s="139" t="n"/>
      <c r="BE676" s="16">
        <f>(BA676+BC676)</f>
        <v/>
      </c>
    </row>
    <row r="677" ht="22.5" customFormat="1" customHeight="1" s="8">
      <c r="A677" s="9" t="n">
        <v>999</v>
      </c>
      <c r="B677" s="136" t="inlineStr">
        <is>
          <t>케이블 스토퍼</t>
        </is>
      </c>
      <c r="C677" s="137" t="n"/>
      <c r="D677" s="60" t="inlineStr">
        <is>
          <t>와이어 몰드</t>
        </is>
      </c>
      <c r="E677" s="13" t="n"/>
      <c r="F677" s="12" t="n"/>
      <c r="G677" s="9" t="n"/>
      <c r="H677" s="9" t="inlineStr">
        <is>
          <t>동양전자</t>
        </is>
      </c>
      <c r="I677" s="14" t="n"/>
      <c r="J677" s="14" t="n"/>
      <c r="K677" s="12" t="n"/>
      <c r="L677" s="9" t="n"/>
      <c r="M677" s="9" t="n"/>
      <c r="N677" s="9" t="n"/>
      <c r="O677" s="40">
        <f>K677+V677-AE677-AZ677</f>
        <v/>
      </c>
      <c r="P677" s="12" t="n"/>
      <c r="Q677" s="138" t="n"/>
      <c r="R677" s="16" t="n"/>
      <c r="S677" s="139" t="n"/>
      <c r="T677" s="16" t="n"/>
      <c r="U677" s="139" t="n"/>
      <c r="V677" s="16">
        <f>P677+R677+T677</f>
        <v/>
      </c>
      <c r="W677" s="16" t="n"/>
      <c r="X677" s="139" t="n"/>
      <c r="Y677" s="16" t="n"/>
      <c r="Z677" s="139" t="n"/>
      <c r="AA677" s="16" t="n"/>
      <c r="AB677" s="139" t="n"/>
      <c r="AC677" s="16" t="n"/>
      <c r="AD677" s="139" t="n"/>
      <c r="AE677" s="16">
        <f>(W677+Y677+AA677+AC677)</f>
        <v/>
      </c>
      <c r="AF677" s="16" t="n"/>
      <c r="AG677" s="138" t="n"/>
      <c r="AH677" s="16" t="n"/>
      <c r="AI677" s="138" t="n"/>
      <c r="AJ677" s="16" t="n"/>
      <c r="AK677" s="138" t="n"/>
      <c r="AL677" s="16" t="n"/>
      <c r="AM677" s="138" t="n"/>
      <c r="AN677" s="16" t="n"/>
      <c r="AO677" s="138" t="n"/>
      <c r="AP677" s="16" t="n"/>
      <c r="AQ677" s="138" t="n"/>
      <c r="AR677" s="16" t="n"/>
      <c r="AS677" s="138" t="n"/>
      <c r="AT677" s="16" t="n"/>
      <c r="AU677" s="138" t="n"/>
      <c r="AV677" s="16" t="n"/>
      <c r="AW677" s="138" t="n"/>
      <c r="AX677" s="16" t="n"/>
      <c r="AY677" s="138" t="n"/>
      <c r="AZ677" s="16">
        <f>AF677+AH677+AJ677+AL677+AN677+AP677+AR677+AT677+AV677+AX677</f>
        <v/>
      </c>
      <c r="BA677" s="16" t="n"/>
      <c r="BB677" s="139" t="n"/>
      <c r="BC677" s="16" t="n"/>
      <c r="BD677" s="139" t="n"/>
      <c r="BE677" s="16">
        <f>(BA677+BC677)</f>
        <v/>
      </c>
    </row>
  </sheetData>
  <autoFilter ref="A3:BE586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31" hiddenButton="0" showButton="0"/>
    <filterColumn colId="32" hiddenButton="0" showButton="0"/>
    <filterColumn colId="33" hiddenButton="0" showButton="0"/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49" hiddenButton="0" showButton="0"/>
    <filterColumn colId="52" hiddenButton="0" showButton="0"/>
    <filterColumn colId="53" hiddenButton="0" showButton="0"/>
    <filterColumn colId="54" hiddenButton="0" showButton="0"/>
    <sortState ref="A4:BE581">
      <sortCondition ref="A3:A581"/>
    </sortState>
  </autoFilter>
  <mergeCells count="5">
    <mergeCell ref="C1:D1"/>
    <mergeCell ref="AF3:AY3"/>
    <mergeCell ref="BA3:BD3"/>
    <mergeCell ref="P3:U3"/>
    <mergeCell ref="W3:AD3"/>
  </mergeCells>
  <conditionalFormatting sqref="I352 O4:O677">
    <cfRule type="cellIs" priority="7" operator="lessThanOrEqual" dxfId="0">
      <formula>200</formula>
    </cfRule>
  </conditionalFormatting>
  <conditionalFormatting sqref="I361">
    <cfRule type="cellIs" priority="6" operator="lessThanOrEqual" dxfId="0">
      <formula>200</formula>
    </cfRule>
  </conditionalFormatting>
  <conditionalFormatting sqref="L188">
    <cfRule type="cellIs" priority="3" operator="lessThanOrEqual" dxfId="0">
      <formula>200</formula>
    </cfRule>
  </conditionalFormatting>
  <conditionalFormatting sqref="I238">
    <cfRule type="cellIs" priority="2" operator="lessThanOrEqual" dxfId="0">
      <formula>200</formula>
    </cfRule>
  </conditionalFormatting>
  <conditionalFormatting sqref="L238">
    <cfRule type="cellIs" priority="1" operator="lessThanOrEqual" dxfId="0">
      <formula>200</formula>
    </cfRule>
  </conditionalFormatting>
  <pageMargins left="0.3937007874015748" right="0.7874015748031497" top="0.3937007874015748" bottom="0.3937007874015748" header="0" footer="0"/>
  <pageSetup orientation="portrait" paperSize="9" scale="42" fitToHeight="0"/>
  <headerFooter>
    <oddHeader/>
    <oddFooter>&amp;LF704-03 (R00)&amp;C(주) 덱스코윈&amp;R&amp;P/&amp;N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51"/>
  <sheetViews>
    <sheetView workbookViewId="0">
      <selection activeCell="I11" sqref="I11"/>
    </sheetView>
  </sheetViews>
  <sheetFormatPr baseColWidth="8" defaultRowHeight="16.5"/>
  <sheetData>
    <row r="1" ht="24" customHeight="1" s="122">
      <c r="A1" s="26" t="inlineStr">
        <is>
          <t>No</t>
        </is>
      </c>
      <c r="B1" s="126" t="inlineStr">
        <is>
          <t>부품
종류</t>
        </is>
      </c>
      <c r="C1" s="127" t="n"/>
      <c r="D1" s="59" t="inlineStr">
        <is>
          <t>품명</t>
        </is>
      </c>
      <c r="E1" s="28" t="inlineStr">
        <is>
          <t>규격</t>
        </is>
      </c>
      <c r="F1" s="29" t="inlineStr">
        <is>
          <t>MAKER
품번</t>
        </is>
      </c>
      <c r="G1" s="128" t="inlineStr">
        <is>
          <t>MAKER</t>
        </is>
      </c>
      <c r="H1" s="128" t="inlineStr">
        <is>
          <t>공급처</t>
        </is>
      </c>
      <c r="I1" s="31" t="inlineStr">
        <is>
          <t>등록일자</t>
        </is>
      </c>
      <c r="J1" s="29" t="inlineStr">
        <is>
          <t>사용중지일</t>
        </is>
      </c>
      <c r="K1" s="39" t="inlineStr">
        <is>
          <t>전월재고</t>
        </is>
      </c>
      <c r="L1" s="129" t="inlineStr">
        <is>
          <t>MOQ</t>
        </is>
      </c>
      <c r="M1" s="129" t="inlineStr">
        <is>
          <t>납기</t>
        </is>
      </c>
      <c r="N1" s="129" t="inlineStr">
        <is>
          <t>안전재고수량</t>
        </is>
      </c>
      <c r="O1" s="39" t="inlineStr">
        <is>
          <t>현재고</t>
        </is>
      </c>
      <c r="P1" s="108" t="inlineStr">
        <is>
          <t>입고수량</t>
        </is>
      </c>
      <c r="Q1" s="130" t="n"/>
      <c r="R1" s="130" t="n"/>
      <c r="S1" s="130" t="n"/>
      <c r="T1" s="130" t="n"/>
      <c r="U1" s="131" t="n"/>
      <c r="V1" s="35" t="inlineStr">
        <is>
          <t>당월
입고</t>
        </is>
      </c>
      <c r="W1" s="132" t="inlineStr">
        <is>
          <t>원자재 불량 반출</t>
        </is>
      </c>
      <c r="X1" s="133" t="n"/>
      <c r="Y1" s="133" t="n"/>
      <c r="Z1" s="133" t="n"/>
      <c r="AA1" s="133" t="n"/>
      <c r="AB1" s="133" t="n"/>
      <c r="AC1" s="133" t="n"/>
      <c r="AD1" s="134" t="n"/>
      <c r="AE1" s="35" t="inlineStr">
        <is>
          <t>당월
반출</t>
        </is>
      </c>
      <c r="AF1" s="135" t="inlineStr">
        <is>
          <t>출고수량</t>
        </is>
      </c>
      <c r="AG1" s="130" t="n"/>
      <c r="AH1" s="130" t="n"/>
      <c r="AI1" s="130" t="n"/>
      <c r="AJ1" s="130" t="n"/>
      <c r="AK1" s="130" t="n"/>
      <c r="AL1" s="130" t="n"/>
      <c r="AM1" s="130" t="n"/>
      <c r="AN1" s="130" t="n"/>
      <c r="AO1" s="130" t="n"/>
      <c r="AP1" s="130" t="n"/>
      <c r="AQ1" s="130" t="n"/>
      <c r="AR1" s="130" t="n"/>
      <c r="AS1" s="130" t="n"/>
      <c r="AT1" s="130" t="n"/>
      <c r="AU1" s="130" t="n"/>
      <c r="AV1" s="130" t="n"/>
      <c r="AW1" s="130" t="n"/>
      <c r="AX1" s="130" t="n"/>
      <c r="AY1" s="131" t="n"/>
      <c r="AZ1" s="34" t="inlineStr">
        <is>
          <t>당월
출고</t>
        </is>
      </c>
      <c r="BA1" s="116" t="inlineStr">
        <is>
          <t>공정 불량</t>
        </is>
      </c>
      <c r="BB1" s="130" t="n"/>
      <c r="BC1" s="130" t="n"/>
      <c r="BD1" s="131" t="n"/>
      <c r="BE1" s="34" t="inlineStr">
        <is>
          <t>공정
불량</t>
        </is>
      </c>
    </row>
    <row r="2">
      <c r="A2" s="9" t="n"/>
      <c r="B2" s="136" t="inlineStr">
        <is>
          <t>전극</t>
        </is>
      </c>
      <c r="C2" s="137" t="inlineStr">
        <is>
          <t>DXDR-070</t>
        </is>
      </c>
      <c r="D2" s="60" t="inlineStr">
        <is>
          <t>전극(70kV)</t>
        </is>
      </c>
      <c r="E2" s="11" t="inlineStr">
        <is>
          <t>순철 도금</t>
        </is>
      </c>
      <c r="F2" s="99" t="n"/>
      <c r="G2" s="9" t="n"/>
      <c r="H2" s="9" t="n"/>
      <c r="I2" s="14" t="n"/>
      <c r="J2" s="14" t="n"/>
      <c r="K2" s="12" t="n">
        <v>0</v>
      </c>
      <c r="L2" s="9" t="n"/>
      <c r="M2" s="9" t="n"/>
      <c r="N2" s="9" t="n"/>
      <c r="O2" s="40">
        <f>K2+V2-AE2-AZ2</f>
        <v/>
      </c>
      <c r="P2" s="12" t="n"/>
      <c r="Q2" s="138" t="n"/>
      <c r="R2" s="16" t="n"/>
      <c r="S2" s="139" t="n"/>
      <c r="T2" s="16" t="n"/>
      <c r="U2" s="139" t="n"/>
      <c r="V2" s="16">
        <f>P2+R2+T2</f>
        <v/>
      </c>
      <c r="W2" s="16" t="n"/>
      <c r="X2" s="139" t="n"/>
      <c r="Y2" s="16" t="n"/>
      <c r="Z2" s="139" t="n"/>
      <c r="AA2" s="16" t="n"/>
      <c r="AB2" s="139" t="n"/>
      <c r="AC2" s="16" t="n"/>
      <c r="AD2" s="139" t="n"/>
      <c r="AE2" s="16">
        <f>(W2+Y2+AA2+AC2)</f>
        <v/>
      </c>
      <c r="AF2" s="16" t="n"/>
      <c r="AG2" s="138" t="n"/>
      <c r="AH2" s="16" t="n"/>
      <c r="AI2" s="138" t="n"/>
      <c r="AJ2" s="16" t="n"/>
      <c r="AK2" s="138" t="n"/>
      <c r="AL2" s="16" t="n"/>
      <c r="AM2" s="138" t="n"/>
      <c r="AN2" s="16" t="n"/>
      <c r="AO2" s="138" t="n"/>
      <c r="AP2" s="16" t="n"/>
      <c r="AQ2" s="138" t="n"/>
      <c r="AR2" s="16" t="n"/>
      <c r="AS2" s="138" t="n"/>
      <c r="AT2" s="16" t="n"/>
      <c r="AU2" s="138" t="n"/>
      <c r="AV2" s="16" t="n"/>
      <c r="AW2" s="138" t="n"/>
      <c r="AX2" s="16" t="n"/>
      <c r="AY2" s="138" t="n"/>
      <c r="AZ2" s="16" t="n"/>
      <c r="BA2" s="16" t="n"/>
      <c r="BB2" s="139" t="n"/>
      <c r="BC2" s="16" t="n"/>
      <c r="BD2" s="139" t="n"/>
      <c r="BE2" s="16" t="n"/>
    </row>
    <row r="3">
      <c r="A3" s="9" t="n"/>
      <c r="B3" s="136" t="inlineStr">
        <is>
          <t>필라멘트</t>
        </is>
      </c>
      <c r="C3" s="137" t="inlineStr">
        <is>
          <t>DXDR-070</t>
        </is>
      </c>
      <c r="D3" s="60" t="inlineStr">
        <is>
          <t>텅스텐 필라멘트</t>
        </is>
      </c>
      <c r="E3" s="11" t="n"/>
      <c r="F3" s="99" t="n"/>
      <c r="G3" s="9" t="n"/>
      <c r="H3" s="9" t="n"/>
      <c r="I3" s="14" t="n"/>
      <c r="J3" s="14" t="n"/>
      <c r="K3" s="12" t="n">
        <v>0</v>
      </c>
      <c r="L3" s="9" t="n"/>
      <c r="M3" s="9" t="n"/>
      <c r="N3" s="9" t="n"/>
      <c r="O3" s="40">
        <f>K3+V3-AE3-AZ3</f>
        <v/>
      </c>
      <c r="P3" s="12" t="n"/>
      <c r="Q3" s="138" t="n"/>
      <c r="R3" s="16" t="n"/>
      <c r="S3" s="139" t="n"/>
      <c r="T3" s="16" t="n"/>
      <c r="U3" s="139" t="n"/>
      <c r="V3" s="16">
        <f>P3+R3+T3</f>
        <v/>
      </c>
      <c r="W3" s="16" t="n"/>
      <c r="X3" s="139" t="n"/>
      <c r="Y3" s="16" t="n"/>
      <c r="Z3" s="139" t="n"/>
      <c r="AA3" s="16" t="n"/>
      <c r="AB3" s="139" t="n"/>
      <c r="AC3" s="16" t="n"/>
      <c r="AD3" s="139" t="n"/>
      <c r="AE3" s="16">
        <f>(W3+Y3+AA3+AC3)</f>
        <v/>
      </c>
      <c r="AF3" s="16" t="n"/>
      <c r="AG3" s="138" t="n"/>
      <c r="AH3" s="16" t="n"/>
      <c r="AI3" s="138" t="n"/>
      <c r="AJ3" s="16" t="n"/>
      <c r="AK3" s="138" t="n"/>
      <c r="AL3" s="16" t="n"/>
      <c r="AM3" s="138" t="n"/>
      <c r="AN3" s="16" t="n"/>
      <c r="AO3" s="138" t="n"/>
      <c r="AP3" s="16" t="n"/>
      <c r="AQ3" s="138" t="n"/>
      <c r="AR3" s="16" t="n"/>
      <c r="AS3" s="138" t="n"/>
      <c r="AT3" s="16" t="n"/>
      <c r="AU3" s="138" t="n"/>
      <c r="AV3" s="16" t="n"/>
      <c r="AW3" s="138" t="n"/>
      <c r="AX3" s="16" t="n"/>
      <c r="AY3" s="138" t="n"/>
      <c r="AZ3" s="16">
        <f>AF3+AH3+AJ3+AL3+AN3+AP3+AR3+AT3+AV3+AX3</f>
        <v/>
      </c>
      <c r="BA3" s="16" t="n"/>
      <c r="BB3" s="139" t="n"/>
      <c r="BC3" s="16" t="n"/>
      <c r="BD3" s="139" t="n"/>
      <c r="BE3" s="16">
        <f>(BA3+BC3)</f>
        <v/>
      </c>
    </row>
    <row r="4">
      <c r="A4" s="9" t="n"/>
      <c r="B4" s="136" t="inlineStr">
        <is>
          <t>필라멘트</t>
        </is>
      </c>
      <c r="C4" s="137" t="inlineStr">
        <is>
          <t>DXDR-070</t>
        </is>
      </c>
      <c r="D4" s="60" t="inlineStr">
        <is>
          <t>텅스텐 필라멘트</t>
        </is>
      </c>
      <c r="E4" s="11" t="n"/>
      <c r="F4" s="99" t="n"/>
      <c r="G4" s="9" t="n"/>
      <c r="H4" s="9" t="n"/>
      <c r="I4" s="14" t="n"/>
      <c r="J4" s="14" t="n"/>
      <c r="K4" s="12" t="n">
        <v>0</v>
      </c>
      <c r="L4" s="9" t="n"/>
      <c r="M4" s="9" t="n"/>
      <c r="N4" s="9" t="n"/>
      <c r="O4" s="40">
        <f>K4+V4-AE4-AZ4</f>
        <v/>
      </c>
      <c r="P4" s="12" t="n"/>
      <c r="Q4" s="138" t="n"/>
      <c r="R4" s="16" t="n"/>
      <c r="S4" s="139" t="n"/>
      <c r="T4" s="16" t="n"/>
      <c r="U4" s="139" t="n"/>
      <c r="V4" s="16">
        <f>P4+R4+T4</f>
        <v/>
      </c>
      <c r="W4" s="16" t="n"/>
      <c r="X4" s="139" t="n"/>
      <c r="Y4" s="16" t="n"/>
      <c r="Z4" s="139" t="n"/>
      <c r="AA4" s="16" t="n"/>
      <c r="AB4" s="139" t="n"/>
      <c r="AC4" s="16" t="n"/>
      <c r="AD4" s="139" t="n"/>
      <c r="AE4" s="16">
        <f>(W4+Y4+AA4+AC4)</f>
        <v/>
      </c>
      <c r="AF4" s="16" t="n"/>
      <c r="AG4" s="138" t="n"/>
      <c r="AH4" s="16" t="n"/>
      <c r="AI4" s="138" t="n"/>
      <c r="AJ4" s="16" t="n"/>
      <c r="AK4" s="138" t="n"/>
      <c r="AL4" s="16" t="n"/>
      <c r="AM4" s="138" t="n"/>
      <c r="AN4" s="16" t="n"/>
      <c r="AO4" s="138" t="n"/>
      <c r="AP4" s="16" t="n"/>
      <c r="AQ4" s="138" t="n"/>
      <c r="AR4" s="16" t="n"/>
      <c r="AS4" s="138" t="n"/>
      <c r="AT4" s="16" t="n"/>
      <c r="AU4" s="138" t="n"/>
      <c r="AV4" s="16" t="n"/>
      <c r="AW4" s="138" t="n"/>
      <c r="AX4" s="16" t="n"/>
      <c r="AY4" s="138" t="n"/>
      <c r="AZ4" s="16">
        <f>AF4+AH4+AJ4+AL4+AN4+AP4+AR4+AT4+AV4+AX4</f>
        <v/>
      </c>
      <c r="BA4" s="16" t="n"/>
      <c r="BB4" s="139" t="n"/>
      <c r="BC4" s="16" t="n"/>
      <c r="BD4" s="139" t="n"/>
      <c r="BE4" s="16">
        <f>(BA4+BC4)</f>
        <v/>
      </c>
    </row>
    <row r="5" ht="36" customHeight="1" s="122">
      <c r="A5" s="9" t="n"/>
      <c r="B5" s="136" t="inlineStr">
        <is>
          <t>게터</t>
        </is>
      </c>
      <c r="C5" s="137" t="inlineStr">
        <is>
          <t>DXDR-070,DXDR-100</t>
        </is>
      </c>
      <c r="D5" s="60" t="inlineStr">
        <is>
          <t>게터</t>
        </is>
      </c>
      <c r="E5" s="11" t="n"/>
      <c r="F5" s="99" t="n"/>
      <c r="G5" s="9" t="n"/>
      <c r="H5" s="9" t="n"/>
      <c r="I5" s="14" t="n"/>
      <c r="J5" s="14" t="n"/>
      <c r="K5" s="12" t="n">
        <v>0</v>
      </c>
      <c r="L5" s="9" t="n"/>
      <c r="M5" s="9" t="n"/>
      <c r="N5" s="9" t="n"/>
      <c r="O5" s="40">
        <f>K5+V5-AE5-AZ5</f>
        <v/>
      </c>
      <c r="P5" s="12" t="n"/>
      <c r="Q5" s="138" t="n"/>
      <c r="R5" s="16" t="n"/>
      <c r="S5" s="139" t="n"/>
      <c r="T5" s="16" t="n"/>
      <c r="U5" s="139" t="n"/>
      <c r="V5" s="16">
        <f>P5+R5+T5</f>
        <v/>
      </c>
      <c r="W5" s="16" t="n"/>
      <c r="X5" s="139" t="n"/>
      <c r="Y5" s="16" t="n"/>
      <c r="Z5" s="139" t="n"/>
      <c r="AA5" s="16" t="n"/>
      <c r="AB5" s="139" t="n"/>
      <c r="AC5" s="16" t="n"/>
      <c r="AD5" s="139" t="n"/>
      <c r="AE5" s="16">
        <f>(W5+Y5+AA5+AC5)</f>
        <v/>
      </c>
      <c r="AF5" s="16" t="n"/>
      <c r="AG5" s="138" t="n"/>
      <c r="AH5" s="16" t="n"/>
      <c r="AI5" s="138" t="n"/>
      <c r="AJ5" s="16" t="n"/>
      <c r="AK5" s="138" t="n"/>
      <c r="AL5" s="16" t="n"/>
      <c r="AM5" s="138" t="n"/>
      <c r="AN5" s="16" t="n"/>
      <c r="AO5" s="138" t="n"/>
      <c r="AP5" s="16" t="n"/>
      <c r="AQ5" s="138" t="n"/>
      <c r="AR5" s="16" t="n"/>
      <c r="AS5" s="138" t="n"/>
      <c r="AT5" s="16" t="n"/>
      <c r="AU5" s="138" t="n"/>
      <c r="AV5" s="16" t="n"/>
      <c r="AW5" s="138" t="n"/>
      <c r="AX5" s="16" t="n"/>
      <c r="AY5" s="138" t="n"/>
      <c r="AZ5" s="16">
        <f>AF5+AH5+AJ5+AL5+AN5+AP5+AR5+AT5+AV5+AX5</f>
        <v/>
      </c>
      <c r="BA5" s="16" t="n"/>
      <c r="BB5" s="139" t="n"/>
      <c r="BC5" s="16" t="n"/>
      <c r="BD5" s="139" t="n"/>
      <c r="BE5" s="16">
        <f>(BA5+BC5)</f>
        <v/>
      </c>
    </row>
    <row r="6">
      <c r="A6" s="9" t="n"/>
      <c r="B6" s="136" t="inlineStr">
        <is>
          <t>코바</t>
        </is>
      </c>
      <c r="C6" s="137" t="inlineStr">
        <is>
          <t>DXDR-070</t>
        </is>
      </c>
      <c r="D6" s="60" t="inlineStr">
        <is>
          <t>에노드</t>
        </is>
      </c>
      <c r="E6" s="36" t="n"/>
      <c r="F6" s="99" t="n"/>
      <c r="G6" s="9" t="n"/>
      <c r="H6" s="9" t="n"/>
      <c r="I6" s="14" t="n"/>
      <c r="J6" s="14" t="n"/>
      <c r="K6" s="12" t="n">
        <v>0</v>
      </c>
      <c r="L6" s="9" t="n"/>
      <c r="M6" s="9" t="n"/>
      <c r="N6" s="9" t="n"/>
      <c r="O6" s="40">
        <f>K6+V6-AE6-AZ6</f>
        <v/>
      </c>
      <c r="P6" s="12" t="n"/>
      <c r="Q6" s="138" t="n"/>
      <c r="R6" s="16" t="n"/>
      <c r="S6" s="139" t="n"/>
      <c r="T6" s="16" t="n"/>
      <c r="U6" s="139" t="n"/>
      <c r="V6" s="16">
        <f>P6+R6+T6</f>
        <v/>
      </c>
      <c r="W6" s="16" t="n"/>
      <c r="X6" s="139" t="n"/>
      <c r="Y6" s="16" t="n"/>
      <c r="Z6" s="139" t="n"/>
      <c r="AA6" s="16" t="n"/>
      <c r="AB6" s="139" t="n"/>
      <c r="AC6" s="16" t="n"/>
      <c r="AD6" s="139" t="n"/>
      <c r="AE6" s="16">
        <f>(W6+Y6+AA6+AC6)</f>
        <v/>
      </c>
      <c r="AF6" s="16" t="n"/>
      <c r="AG6" s="138" t="n"/>
      <c r="AH6" s="16" t="n"/>
      <c r="AI6" s="138" t="n"/>
      <c r="AJ6" s="16" t="n"/>
      <c r="AK6" s="138" t="n"/>
      <c r="AL6" s="16" t="n"/>
      <c r="AM6" s="138" t="n"/>
      <c r="AN6" s="16" t="n"/>
      <c r="AO6" s="138" t="n"/>
      <c r="AP6" s="16" t="n"/>
      <c r="AQ6" s="138" t="n"/>
      <c r="AR6" s="16" t="n"/>
      <c r="AS6" s="138" t="n"/>
      <c r="AT6" s="16" t="n"/>
      <c r="AU6" s="138" t="n"/>
      <c r="AV6" s="16" t="n"/>
      <c r="AW6" s="138" t="n"/>
      <c r="AX6" s="16" t="n"/>
      <c r="AY6" s="138" t="n"/>
      <c r="AZ6" s="16">
        <f>AF6+AH6+AJ6+AL6+AN6+AP6+AR6+AT6+AV6+AX6</f>
        <v/>
      </c>
      <c r="BA6" s="16" t="n"/>
      <c r="BB6" s="139" t="n"/>
      <c r="BC6" s="16" t="n"/>
      <c r="BD6" s="139" t="n"/>
      <c r="BE6" s="16">
        <f>(BA6+BC6)</f>
        <v/>
      </c>
    </row>
    <row r="7">
      <c r="A7" s="9" t="n"/>
      <c r="B7" s="136" t="inlineStr">
        <is>
          <t>코바</t>
        </is>
      </c>
      <c r="C7" s="137" t="inlineStr">
        <is>
          <t>DXDR-070</t>
        </is>
      </c>
      <c r="D7" s="62" t="inlineStr">
        <is>
          <t>포커서</t>
        </is>
      </c>
      <c r="E7" s="11" t="n"/>
      <c r="F7" s="99" t="n"/>
      <c r="G7" s="22" t="n"/>
      <c r="H7" s="22" t="n"/>
      <c r="I7" s="14" t="n"/>
      <c r="J7" s="14" t="n"/>
      <c r="K7" s="12" t="n">
        <v>0</v>
      </c>
      <c r="L7" s="9" t="n"/>
      <c r="M7" s="9" t="n"/>
      <c r="N7" s="9" t="n"/>
      <c r="O7" s="40">
        <f>K7+V7-AE7-AZ7</f>
        <v/>
      </c>
      <c r="P7" s="12" t="n"/>
      <c r="Q7" s="138" t="n"/>
      <c r="R7" s="16" t="n"/>
      <c r="S7" s="139" t="n"/>
      <c r="T7" s="16" t="n"/>
      <c r="U7" s="139" t="n"/>
      <c r="V7" s="16">
        <f>P7+R7+T7</f>
        <v/>
      </c>
      <c r="W7" s="16" t="n"/>
      <c r="X7" s="139" t="n"/>
      <c r="Y7" s="16" t="n"/>
      <c r="Z7" s="139" t="n"/>
      <c r="AA7" s="16" t="n"/>
      <c r="AB7" s="139" t="n"/>
      <c r="AC7" s="16" t="n"/>
      <c r="AD7" s="139" t="n"/>
      <c r="AE7" s="16">
        <f>(W7+Y7+AA7+AC7)</f>
        <v/>
      </c>
      <c r="AF7" s="16" t="n"/>
      <c r="AG7" s="138" t="n"/>
      <c r="AH7" s="16" t="n"/>
      <c r="AI7" s="138" t="n"/>
      <c r="AJ7" s="16" t="n"/>
      <c r="AK7" s="138" t="n"/>
      <c r="AL7" s="16" t="n"/>
      <c r="AM7" s="138" t="n"/>
      <c r="AN7" s="16" t="n"/>
      <c r="AO7" s="138" t="n"/>
      <c r="AP7" s="16" t="n"/>
      <c r="AQ7" s="138" t="n"/>
      <c r="AR7" s="16" t="n"/>
      <c r="AS7" s="138" t="n"/>
      <c r="AT7" s="16" t="n"/>
      <c r="AU7" s="138" t="n"/>
      <c r="AV7" s="16" t="n"/>
      <c r="AW7" s="138" t="n"/>
      <c r="AX7" s="16" t="n"/>
      <c r="AY7" s="138" t="n"/>
      <c r="AZ7" s="16">
        <f>AF7+AH7+AJ7+AL7+AN7+AP7+AR7+AT7+AV7+AX7</f>
        <v/>
      </c>
      <c r="BA7" s="16" t="n"/>
      <c r="BB7" s="139" t="n"/>
      <c r="BC7" s="16" t="n"/>
      <c r="BD7" s="139" t="n"/>
      <c r="BE7" s="16">
        <f>(BA7+BC7)</f>
        <v/>
      </c>
    </row>
    <row r="8">
      <c r="A8" s="9" t="n"/>
      <c r="B8" s="141" t="inlineStr">
        <is>
          <t>세라믹</t>
        </is>
      </c>
      <c r="C8" s="137" t="inlineStr">
        <is>
          <t>DXDR-070</t>
        </is>
      </c>
      <c r="D8" s="60" t="inlineStr">
        <is>
          <t>세라믹 바디</t>
        </is>
      </c>
      <c r="E8" s="36" t="n"/>
      <c r="F8" s="99" t="n"/>
      <c r="G8" s="22" t="n"/>
      <c r="H8" s="22" t="n"/>
      <c r="I8" s="14" t="n"/>
      <c r="J8" s="14" t="n"/>
      <c r="K8" s="12" t="n">
        <v>0</v>
      </c>
      <c r="L8" s="9" t="n"/>
      <c r="M8" s="9" t="n"/>
      <c r="N8" s="9" t="n"/>
      <c r="O8" s="40">
        <f>K8+V8-AE8-AZ8</f>
        <v/>
      </c>
      <c r="P8" s="12" t="n"/>
      <c r="Q8" s="138" t="n"/>
      <c r="R8" s="16" t="n"/>
      <c r="S8" s="139" t="n"/>
      <c r="T8" s="16" t="n"/>
      <c r="U8" s="139" t="n"/>
      <c r="V8" s="16">
        <f>P8+R8+T8</f>
        <v/>
      </c>
      <c r="W8" s="16" t="n"/>
      <c r="X8" s="139" t="n"/>
      <c r="Y8" s="16" t="n"/>
      <c r="Z8" s="139" t="n"/>
      <c r="AA8" s="16" t="n"/>
      <c r="AB8" s="139" t="n"/>
      <c r="AC8" s="16" t="n"/>
      <c r="AD8" s="139" t="n"/>
      <c r="AE8" s="16">
        <f>(W8+Y8+AA8+AC8)</f>
        <v/>
      </c>
      <c r="AF8" s="16" t="n"/>
      <c r="AG8" s="138" t="n"/>
      <c r="AH8" s="16" t="n"/>
      <c r="AI8" s="138" t="n"/>
      <c r="AJ8" s="16" t="n"/>
      <c r="AK8" s="138" t="n"/>
      <c r="AL8" s="16" t="n"/>
      <c r="AM8" s="138" t="n"/>
      <c r="AN8" s="16" t="n"/>
      <c r="AO8" s="138" t="n"/>
      <c r="AP8" s="16" t="n"/>
      <c r="AQ8" s="138" t="n"/>
      <c r="AR8" s="16" t="n"/>
      <c r="AS8" s="138" t="n"/>
      <c r="AT8" s="16" t="n"/>
      <c r="AU8" s="138" t="n"/>
      <c r="AV8" s="16" t="n"/>
      <c r="AW8" s="138" t="n"/>
      <c r="AX8" s="16" t="n"/>
      <c r="AY8" s="138" t="n"/>
      <c r="AZ8" s="16">
        <f>AF8+AH8+AJ8+AL8+AN8+AP8+AR8+AT8+AV8+AX8</f>
        <v/>
      </c>
      <c r="BA8" s="16" t="n"/>
      <c r="BB8" s="139" t="n"/>
      <c r="BC8" s="16" t="n"/>
      <c r="BD8" s="139" t="n"/>
      <c r="BE8" s="16">
        <f>(BA8+BC8)</f>
        <v/>
      </c>
    </row>
    <row r="9">
      <c r="A9" s="9" t="n"/>
      <c r="B9" s="141" t="inlineStr">
        <is>
          <t>세라믹</t>
        </is>
      </c>
      <c r="C9" s="137" t="inlineStr">
        <is>
          <t>DXDR-070</t>
        </is>
      </c>
      <c r="D9" s="60" t="inlineStr">
        <is>
          <t>세라믹 스템</t>
        </is>
      </c>
      <c r="E9" s="11" t="n"/>
      <c r="F9" s="99" t="n"/>
      <c r="G9" s="9" t="n"/>
      <c r="H9" s="9" t="n"/>
      <c r="I9" s="14" t="n"/>
      <c r="J9" s="14" t="n"/>
      <c r="K9" s="12" t="n">
        <v>0</v>
      </c>
      <c r="L9" s="9" t="n"/>
      <c r="M9" s="9" t="n"/>
      <c r="N9" s="9" t="n"/>
      <c r="O9" s="40">
        <f>K9+V9-AE9-AZ9</f>
        <v/>
      </c>
      <c r="P9" s="12" t="n"/>
      <c r="Q9" s="138" t="n"/>
      <c r="R9" s="16" t="n"/>
      <c r="S9" s="139" t="n"/>
      <c r="T9" s="16" t="n"/>
      <c r="U9" s="139" t="n"/>
      <c r="V9" s="16">
        <f>P9+R9+T9</f>
        <v/>
      </c>
      <c r="W9" s="16" t="n"/>
      <c r="X9" s="139" t="n"/>
      <c r="Y9" s="16" t="n"/>
      <c r="Z9" s="139" t="n"/>
      <c r="AA9" s="16" t="n"/>
      <c r="AB9" s="139" t="n"/>
      <c r="AC9" s="16" t="n"/>
      <c r="AD9" s="139" t="n"/>
      <c r="AE9" s="16">
        <f>(W9+Y9+AA9+AC9)</f>
        <v/>
      </c>
      <c r="AF9" s="16" t="n"/>
      <c r="AG9" s="138" t="n"/>
      <c r="AH9" s="16" t="n"/>
      <c r="AI9" s="138" t="n"/>
      <c r="AJ9" s="16" t="n"/>
      <c r="AK9" s="138" t="n"/>
      <c r="AL9" s="16" t="n"/>
      <c r="AM9" s="138" t="n"/>
      <c r="AN9" s="16" t="n"/>
      <c r="AO9" s="138" t="n"/>
      <c r="AP9" s="16" t="n"/>
      <c r="AQ9" s="138" t="n"/>
      <c r="AR9" s="16" t="n"/>
      <c r="AS9" s="138" t="n"/>
      <c r="AT9" s="16" t="n"/>
      <c r="AU9" s="138" t="n"/>
      <c r="AV9" s="16" t="n"/>
      <c r="AW9" s="138" t="n"/>
      <c r="AX9" s="16" t="n"/>
      <c r="AY9" s="138" t="n"/>
      <c r="AZ9" s="16">
        <f>AF9+AH9+AJ9+AL9+AN9+AP9+AR9+AT9+AV9+AX9</f>
        <v/>
      </c>
      <c r="BA9" s="16" t="n"/>
      <c r="BB9" s="139" t="n"/>
      <c r="BC9" s="16" t="n"/>
      <c r="BD9" s="139" t="n"/>
      <c r="BE9" s="16">
        <f>(BA9+BC9)</f>
        <v/>
      </c>
    </row>
    <row r="10">
      <c r="A10" s="9" t="n"/>
      <c r="B10" s="136" t="inlineStr">
        <is>
          <t>필러</t>
        </is>
      </c>
      <c r="C10" s="137" t="inlineStr">
        <is>
          <t>DXDR-070</t>
        </is>
      </c>
      <c r="D10" s="62" t="inlineStr">
        <is>
          <t>필러</t>
        </is>
      </c>
      <c r="E10" s="11" t="n"/>
      <c r="F10" s="99" t="n"/>
      <c r="G10" s="9" t="n"/>
      <c r="H10" s="9" t="n"/>
      <c r="I10" s="14" t="n"/>
      <c r="J10" s="14" t="n"/>
      <c r="K10" s="12" t="n">
        <v>0</v>
      </c>
      <c r="L10" s="9" t="n"/>
      <c r="M10" s="9" t="n"/>
      <c r="N10" s="9" t="n"/>
      <c r="O10" s="40">
        <f>K10+V10-AE10-AZ10</f>
        <v/>
      </c>
      <c r="P10" s="12" t="n"/>
      <c r="Q10" s="138" t="n"/>
      <c r="R10" s="16" t="n"/>
      <c r="S10" s="139" t="n"/>
      <c r="T10" s="16" t="n"/>
      <c r="U10" s="139" t="n"/>
      <c r="V10" s="16">
        <f>P10+R10+T10</f>
        <v/>
      </c>
      <c r="W10" s="16" t="n"/>
      <c r="X10" s="139" t="n"/>
      <c r="Y10" s="16" t="n"/>
      <c r="Z10" s="139" t="n"/>
      <c r="AA10" s="16" t="n"/>
      <c r="AB10" s="139" t="n"/>
      <c r="AC10" s="16" t="n"/>
      <c r="AD10" s="139" t="n"/>
      <c r="AE10" s="16">
        <f>(W10+Y10+AA10+AC10)</f>
        <v/>
      </c>
      <c r="AF10" s="16" t="n"/>
      <c r="AG10" s="138" t="n"/>
      <c r="AH10" s="16" t="n"/>
      <c r="AI10" s="138" t="n"/>
      <c r="AJ10" s="16" t="n"/>
      <c r="AK10" s="138" t="n"/>
      <c r="AL10" s="16" t="n"/>
      <c r="AM10" s="138" t="n"/>
      <c r="AN10" s="16" t="n"/>
      <c r="AO10" s="138" t="n"/>
      <c r="AP10" s="16" t="n"/>
      <c r="AQ10" s="138" t="n"/>
      <c r="AR10" s="16" t="n"/>
      <c r="AS10" s="138" t="n"/>
      <c r="AT10" s="16" t="n"/>
      <c r="AU10" s="138" t="n"/>
      <c r="AV10" s="16" t="n"/>
      <c r="AW10" s="138" t="n"/>
      <c r="AX10" s="16" t="n"/>
      <c r="AY10" s="138" t="n"/>
      <c r="AZ10" s="16">
        <f>AF10+AH10+AJ10+AL10+AN10+AP10+AR10+AT10+AV10+AX10</f>
        <v/>
      </c>
      <c r="BA10" s="16" t="n"/>
      <c r="BB10" s="139" t="n"/>
      <c r="BC10" s="16" t="n"/>
      <c r="BD10" s="139" t="n"/>
      <c r="BE10" s="16">
        <f>(BA10+BC10)</f>
        <v/>
      </c>
    </row>
    <row r="11">
      <c r="A11" s="9" t="n"/>
      <c r="B11" s="136" t="inlineStr">
        <is>
          <t>필러</t>
        </is>
      </c>
      <c r="C11" s="137" t="inlineStr">
        <is>
          <t>DXDR-070</t>
        </is>
      </c>
      <c r="D11" s="62" t="inlineStr">
        <is>
          <t>전극 필러</t>
        </is>
      </c>
      <c r="E11" s="11" t="n"/>
      <c r="F11" s="99" t="n"/>
      <c r="G11" s="9" t="n"/>
      <c r="H11" s="9" t="n"/>
      <c r="I11" s="14" t="n"/>
      <c r="J11" s="14" t="n"/>
      <c r="K11" s="12" t="n">
        <v>0</v>
      </c>
      <c r="L11" s="9" t="n"/>
      <c r="M11" s="9" t="n"/>
      <c r="N11" s="9" t="n"/>
      <c r="O11" s="40">
        <f>K11+V11-AE11-AZ11</f>
        <v/>
      </c>
      <c r="P11" s="12" t="n"/>
      <c r="Q11" s="138" t="n"/>
      <c r="R11" s="16" t="n"/>
      <c r="S11" s="139" t="n"/>
      <c r="T11" s="16" t="n"/>
      <c r="U11" s="139" t="n"/>
      <c r="V11" s="16">
        <f>P11+R11+T11</f>
        <v/>
      </c>
      <c r="W11" s="16" t="n"/>
      <c r="X11" s="139" t="n"/>
      <c r="Y11" s="16" t="n"/>
      <c r="Z11" s="139" t="n"/>
      <c r="AA11" s="16" t="n"/>
      <c r="AB11" s="139" t="n"/>
      <c r="AC11" s="16" t="n"/>
      <c r="AD11" s="139" t="n"/>
      <c r="AE11" s="16">
        <f>(W11+Y11+AA11+AC11)</f>
        <v/>
      </c>
      <c r="AF11" s="16" t="n"/>
      <c r="AG11" s="138" t="n"/>
      <c r="AH11" s="16" t="n"/>
      <c r="AI11" s="138" t="n"/>
      <c r="AJ11" s="16" t="n"/>
      <c r="AK11" s="138" t="n"/>
      <c r="AL11" s="16" t="n"/>
      <c r="AM11" s="138" t="n"/>
      <c r="AN11" s="16" t="n"/>
      <c r="AO11" s="138" t="n"/>
      <c r="AP11" s="16" t="n"/>
      <c r="AQ11" s="138" t="n"/>
      <c r="AR11" s="16" t="n"/>
      <c r="AS11" s="138" t="n"/>
      <c r="AT11" s="16" t="n"/>
      <c r="AU11" s="138" t="n"/>
      <c r="AV11" s="16" t="n"/>
      <c r="AW11" s="138" t="n"/>
      <c r="AX11" s="16" t="n"/>
      <c r="AY11" s="138" t="n"/>
      <c r="AZ11" s="16">
        <f>AF11+AH11+AJ11+AL11+AN11+AP11+AR11+AT11+AV11+AX11</f>
        <v/>
      </c>
      <c r="BA11" s="16" t="n"/>
      <c r="BB11" s="139" t="n"/>
      <c r="BC11" s="16" t="n"/>
      <c r="BD11" s="139" t="n"/>
      <c r="BE11" s="16">
        <f>(BA11+BC11)</f>
        <v/>
      </c>
    </row>
    <row r="12">
      <c r="A12" s="9" t="n"/>
      <c r="B12" s="136" t="inlineStr">
        <is>
          <t>전극</t>
        </is>
      </c>
      <c r="C12" s="137" t="inlineStr">
        <is>
          <t>DXDR-100</t>
        </is>
      </c>
      <c r="D12" s="60" t="inlineStr">
        <is>
          <t>전극(100kV)</t>
        </is>
      </c>
      <c r="E12" s="11" t="inlineStr">
        <is>
          <t>순철 도금</t>
        </is>
      </c>
      <c r="F12" s="99" t="n"/>
      <c r="G12" s="9" t="n"/>
      <c r="H12" s="9" t="n"/>
      <c r="I12" s="14" t="n"/>
      <c r="J12" s="14" t="n"/>
      <c r="K12" s="12" t="n">
        <v>0</v>
      </c>
      <c r="L12" s="9" t="n"/>
      <c r="M12" s="9" t="n"/>
      <c r="N12" s="9" t="n"/>
      <c r="O12" s="40">
        <f>K12+V12-AE12-AZ12</f>
        <v/>
      </c>
      <c r="P12" s="12" t="n"/>
      <c r="Q12" s="138" t="n"/>
      <c r="R12" s="16" t="n"/>
      <c r="S12" s="139" t="n"/>
      <c r="T12" s="16" t="n"/>
      <c r="U12" s="139" t="n"/>
      <c r="V12" s="16">
        <f>P12+R12+T12</f>
        <v/>
      </c>
      <c r="W12" s="16" t="n"/>
      <c r="X12" s="139" t="n"/>
      <c r="Y12" s="16" t="n"/>
      <c r="Z12" s="139" t="n"/>
      <c r="AA12" s="16" t="n"/>
      <c r="AB12" s="139" t="n"/>
      <c r="AC12" s="16" t="n"/>
      <c r="AD12" s="139" t="n"/>
      <c r="AE12" s="16">
        <f>(W12+Y12+AA12+AC12)</f>
        <v/>
      </c>
      <c r="AF12" s="16" t="n"/>
      <c r="AG12" s="138" t="n"/>
      <c r="AH12" s="16" t="n"/>
      <c r="AI12" s="138" t="n"/>
      <c r="AJ12" s="16" t="n"/>
      <c r="AK12" s="138" t="n"/>
      <c r="AL12" s="16" t="n"/>
      <c r="AM12" s="138" t="n"/>
      <c r="AN12" s="16" t="n"/>
      <c r="AO12" s="138" t="n"/>
      <c r="AP12" s="16" t="n"/>
      <c r="AQ12" s="138" t="n"/>
      <c r="AR12" s="16" t="n"/>
      <c r="AS12" s="138" t="n"/>
      <c r="AT12" s="16" t="n"/>
      <c r="AU12" s="138" t="n"/>
      <c r="AV12" s="16" t="n"/>
      <c r="AW12" s="138" t="n"/>
      <c r="AX12" s="16" t="n"/>
      <c r="AY12" s="138" t="n"/>
      <c r="AZ12" s="16">
        <f>AF12+AH12+AJ12+AL12+AN12+AP12+AR12+AT12+AV12+AX12</f>
        <v/>
      </c>
      <c r="BA12" s="16" t="n"/>
      <c r="BB12" s="139" t="n"/>
      <c r="BC12" s="16" t="n"/>
      <c r="BD12" s="139" t="n"/>
      <c r="BE12" s="16">
        <f>(BA12+BC12)</f>
        <v/>
      </c>
    </row>
    <row r="13">
      <c r="A13" s="9" t="n"/>
      <c r="B13" s="136" t="inlineStr">
        <is>
          <t>필라멘트</t>
        </is>
      </c>
      <c r="C13" s="137" t="inlineStr">
        <is>
          <t>DXDR-100</t>
        </is>
      </c>
      <c r="D13" s="60" t="inlineStr">
        <is>
          <t>텅스텐 필라멘트</t>
        </is>
      </c>
      <c r="E13" s="11" t="n"/>
      <c r="F13" s="99" t="n"/>
      <c r="G13" s="9" t="n"/>
      <c r="H13" s="9" t="n"/>
      <c r="I13" s="14" t="n"/>
      <c r="J13" s="14" t="n"/>
      <c r="K13" s="12" t="n">
        <v>0</v>
      </c>
      <c r="L13" s="9" t="n"/>
      <c r="M13" s="9" t="n"/>
      <c r="N13" s="9" t="n"/>
      <c r="O13" s="40">
        <f>K13+V13-AE13-AZ13</f>
        <v/>
      </c>
      <c r="P13" s="12" t="n"/>
      <c r="Q13" s="138" t="n"/>
      <c r="R13" s="16" t="n"/>
      <c r="S13" s="139" t="n"/>
      <c r="T13" s="16" t="n"/>
      <c r="U13" s="139" t="n"/>
      <c r="V13" s="16">
        <f>P13+R13+T13</f>
        <v/>
      </c>
      <c r="W13" s="16" t="n"/>
      <c r="X13" s="139" t="n"/>
      <c r="Y13" s="16" t="n"/>
      <c r="Z13" s="139" t="n"/>
      <c r="AA13" s="16" t="n"/>
      <c r="AB13" s="139" t="n"/>
      <c r="AC13" s="16" t="n"/>
      <c r="AD13" s="139" t="n"/>
      <c r="AE13" s="16">
        <f>(W13+Y13+AA13+AC13)</f>
        <v/>
      </c>
      <c r="AF13" s="16" t="n"/>
      <c r="AG13" s="138" t="n"/>
      <c r="AH13" s="16" t="n"/>
      <c r="AI13" s="138" t="n"/>
      <c r="AJ13" s="16" t="n"/>
      <c r="AK13" s="138" t="n"/>
      <c r="AL13" s="16" t="n"/>
      <c r="AM13" s="138" t="n"/>
      <c r="AN13" s="16" t="n"/>
      <c r="AO13" s="138" t="n"/>
      <c r="AP13" s="16" t="n"/>
      <c r="AQ13" s="138" t="n"/>
      <c r="AR13" s="16" t="n"/>
      <c r="AS13" s="138" t="n"/>
      <c r="AT13" s="16" t="n"/>
      <c r="AU13" s="138" t="n"/>
      <c r="AV13" s="16" t="n"/>
      <c r="AW13" s="138" t="n"/>
      <c r="AX13" s="16" t="n"/>
      <c r="AY13" s="138" t="n"/>
      <c r="AZ13" s="16">
        <f>AF13+AH13+AJ13+AL13+AN13+AP13+AR13+AT13+AV13+AX13</f>
        <v/>
      </c>
      <c r="BA13" s="16" t="n"/>
      <c r="BB13" s="139" t="n"/>
      <c r="BC13" s="16" t="n"/>
      <c r="BD13" s="139" t="n"/>
      <c r="BE13" s="16">
        <f>(BA13+BC13)</f>
        <v/>
      </c>
    </row>
    <row r="14">
      <c r="A14" s="9" t="n"/>
      <c r="B14" s="136" t="inlineStr">
        <is>
          <t>코바</t>
        </is>
      </c>
      <c r="C14" s="137" t="inlineStr">
        <is>
          <t>DXDR-100</t>
        </is>
      </c>
      <c r="D14" s="60" t="inlineStr">
        <is>
          <t>에노드</t>
        </is>
      </c>
      <c r="E14" s="11" t="n"/>
      <c r="F14" s="99" t="n"/>
      <c r="G14" s="9" t="n"/>
      <c r="H14" s="9" t="n"/>
      <c r="I14" s="14" t="n"/>
      <c r="J14" s="14" t="n"/>
      <c r="K14" s="12" t="n">
        <v>0</v>
      </c>
      <c r="L14" s="9" t="n"/>
      <c r="M14" s="9" t="n"/>
      <c r="N14" s="9" t="n"/>
      <c r="O14" s="40">
        <f>K14+V14-AE14-AZ14</f>
        <v/>
      </c>
      <c r="P14" s="12" t="n"/>
      <c r="Q14" s="138" t="n"/>
      <c r="R14" s="16" t="n"/>
      <c r="S14" s="139" t="n"/>
      <c r="T14" s="16" t="n"/>
      <c r="U14" s="139" t="n"/>
      <c r="V14" s="16">
        <f>P14+R14+T14</f>
        <v/>
      </c>
      <c r="W14" s="16" t="n"/>
      <c r="X14" s="139" t="n"/>
      <c r="Y14" s="16" t="n"/>
      <c r="Z14" s="139" t="n"/>
      <c r="AA14" s="16" t="n"/>
      <c r="AB14" s="139" t="n"/>
      <c r="AC14" s="16" t="n"/>
      <c r="AD14" s="139" t="n"/>
      <c r="AE14" s="16">
        <f>(W14+Y14+AA14+AC14)</f>
        <v/>
      </c>
      <c r="AF14" s="16" t="n"/>
      <c r="AG14" s="138" t="n"/>
      <c r="AH14" s="16" t="n"/>
      <c r="AI14" s="138" t="n"/>
      <c r="AJ14" s="16" t="n"/>
      <c r="AK14" s="138" t="n"/>
      <c r="AL14" s="16" t="n"/>
      <c r="AM14" s="138" t="n"/>
      <c r="AN14" s="16" t="n"/>
      <c r="AO14" s="138" t="n"/>
      <c r="AP14" s="16" t="n"/>
      <c r="AQ14" s="138" t="n"/>
      <c r="AR14" s="16" t="n"/>
      <c r="AS14" s="138" t="n"/>
      <c r="AT14" s="16" t="n"/>
      <c r="AU14" s="138" t="n"/>
      <c r="AV14" s="16" t="n"/>
      <c r="AW14" s="138" t="n"/>
      <c r="AX14" s="16" t="n"/>
      <c r="AY14" s="138" t="n"/>
      <c r="AZ14" s="16">
        <f>AF14+AH14+AJ14+AL14+AN14+AP14+AR14+AT14+AV14+AX14</f>
        <v/>
      </c>
      <c r="BA14" s="16" t="n"/>
      <c r="BB14" s="139" t="n"/>
      <c r="BC14" s="16" t="n"/>
      <c r="BD14" s="139" t="n"/>
      <c r="BE14" s="16">
        <f>(BA14+BC14)</f>
        <v/>
      </c>
    </row>
    <row r="15">
      <c r="A15" s="9" t="n"/>
      <c r="B15" s="136" t="inlineStr">
        <is>
          <t>코바</t>
        </is>
      </c>
      <c r="C15" s="137" t="inlineStr">
        <is>
          <t>DXDR-100</t>
        </is>
      </c>
      <c r="D15" s="60" t="inlineStr">
        <is>
          <t>에노드 링</t>
        </is>
      </c>
      <c r="E15" s="11" t="n"/>
      <c r="F15" s="99" t="n"/>
      <c r="G15" s="9" t="n"/>
      <c r="H15" s="9" t="n"/>
      <c r="I15" s="14" t="n"/>
      <c r="J15" s="14" t="n"/>
      <c r="K15" s="12" t="n">
        <v>0</v>
      </c>
      <c r="L15" s="9" t="n"/>
      <c r="M15" s="9" t="n"/>
      <c r="N15" s="9" t="n"/>
      <c r="O15" s="40">
        <f>K15+V15-AE15-AZ15</f>
        <v/>
      </c>
      <c r="P15" s="12" t="n"/>
      <c r="Q15" s="138" t="n"/>
      <c r="R15" s="16" t="n"/>
      <c r="S15" s="139" t="n"/>
      <c r="T15" s="16" t="n"/>
      <c r="U15" s="139" t="n"/>
      <c r="V15" s="16">
        <f>P15+R15+T15</f>
        <v/>
      </c>
      <c r="W15" s="16" t="n"/>
      <c r="X15" s="139" t="n"/>
      <c r="Y15" s="16" t="n"/>
      <c r="Z15" s="139" t="n"/>
      <c r="AA15" s="16" t="n"/>
      <c r="AB15" s="139" t="n"/>
      <c r="AC15" s="16" t="n"/>
      <c r="AD15" s="139" t="n"/>
      <c r="AE15" s="16">
        <f>(W15+Y15+AA15+AC15)</f>
        <v/>
      </c>
      <c r="AF15" s="16" t="n"/>
      <c r="AG15" s="138" t="n"/>
      <c r="AH15" s="16" t="n"/>
      <c r="AI15" s="138" t="n"/>
      <c r="AJ15" s="16" t="n"/>
      <c r="AK15" s="138" t="n"/>
      <c r="AL15" s="16" t="n"/>
      <c r="AM15" s="138" t="n"/>
      <c r="AN15" s="16" t="n"/>
      <c r="AO15" s="138" t="n"/>
      <c r="AP15" s="16" t="n"/>
      <c r="AQ15" s="138" t="n"/>
      <c r="AR15" s="16" t="n"/>
      <c r="AS15" s="138" t="n"/>
      <c r="AT15" s="16" t="n"/>
      <c r="AU15" s="138" t="n"/>
      <c r="AV15" s="16" t="n"/>
      <c r="AW15" s="138" t="n"/>
      <c r="AX15" s="16" t="n"/>
      <c r="AY15" s="138" t="n"/>
      <c r="AZ15" s="16">
        <f>AF15+AH15+AJ15+AL15+AN15+AP15+AR15+AT15+AV15+AX15</f>
        <v/>
      </c>
      <c r="BA15" s="16" t="n"/>
      <c r="BB15" s="139" t="n"/>
      <c r="BC15" s="16" t="n"/>
      <c r="BD15" s="139" t="n"/>
      <c r="BE15" s="16">
        <f>(BA15+BC15)</f>
        <v/>
      </c>
    </row>
    <row r="16">
      <c r="A16" s="9" t="n"/>
      <c r="B16" s="136" t="inlineStr">
        <is>
          <t>코바</t>
        </is>
      </c>
      <c r="C16" s="137" t="inlineStr">
        <is>
          <t>DXDR-100</t>
        </is>
      </c>
      <c r="D16" s="62" t="inlineStr">
        <is>
          <t>포커서</t>
        </is>
      </c>
      <c r="E16" s="11" t="n"/>
      <c r="F16" s="99" t="n"/>
      <c r="G16" s="9" t="n"/>
      <c r="H16" s="9" t="n"/>
      <c r="I16" s="14" t="n"/>
      <c r="J16" s="14" t="n"/>
      <c r="K16" s="12" t="n">
        <v>0</v>
      </c>
      <c r="L16" s="9" t="n"/>
      <c r="M16" s="9" t="n"/>
      <c r="N16" s="9" t="n"/>
      <c r="O16" s="40">
        <f>K16+V16-AE16-AZ16</f>
        <v/>
      </c>
      <c r="P16" s="12" t="n"/>
      <c r="Q16" s="138" t="n"/>
      <c r="R16" s="16" t="n"/>
      <c r="S16" s="139" t="n"/>
      <c r="T16" s="16" t="n"/>
      <c r="U16" s="139" t="n"/>
      <c r="V16" s="16">
        <f>P16+R16+T16</f>
        <v/>
      </c>
      <c r="W16" s="16" t="n"/>
      <c r="X16" s="139" t="n"/>
      <c r="Y16" s="16" t="n"/>
      <c r="Z16" s="139" t="n"/>
      <c r="AA16" s="16" t="n"/>
      <c r="AB16" s="139" t="n"/>
      <c r="AC16" s="16" t="n"/>
      <c r="AD16" s="139" t="n"/>
      <c r="AE16" s="16">
        <f>(W16+Y16+AA16+AC16)</f>
        <v/>
      </c>
      <c r="AF16" s="16" t="n"/>
      <c r="AG16" s="138" t="n"/>
      <c r="AH16" s="16" t="n"/>
      <c r="AI16" s="138" t="n"/>
      <c r="AJ16" s="16" t="n"/>
      <c r="AK16" s="138" t="n"/>
      <c r="AL16" s="16" t="n"/>
      <c r="AM16" s="138" t="n"/>
      <c r="AN16" s="16" t="n"/>
      <c r="AO16" s="138" t="n"/>
      <c r="AP16" s="16" t="n"/>
      <c r="AQ16" s="138" t="n"/>
      <c r="AR16" s="16" t="n"/>
      <c r="AS16" s="138" t="n"/>
      <c r="AT16" s="16" t="n"/>
      <c r="AU16" s="138" t="n"/>
      <c r="AV16" s="16" t="n"/>
      <c r="AW16" s="138" t="n"/>
      <c r="AX16" s="16" t="n"/>
      <c r="AY16" s="138" t="n"/>
      <c r="AZ16" s="16">
        <f>AF16+AH16+AJ16+AL16+AN16+AP16+AR16+AT16+AV16+AX16</f>
        <v/>
      </c>
      <c r="BA16" s="16" t="n"/>
      <c r="BB16" s="139" t="n"/>
      <c r="BC16" s="16" t="n"/>
      <c r="BD16" s="139" t="n"/>
      <c r="BE16" s="16">
        <f>(BA16+BC16)</f>
        <v/>
      </c>
    </row>
    <row r="17">
      <c r="A17" s="9" t="n"/>
      <c r="B17" s="141" t="inlineStr">
        <is>
          <t>세라믹</t>
        </is>
      </c>
      <c r="C17" s="137" t="inlineStr">
        <is>
          <t>DXDR-100</t>
        </is>
      </c>
      <c r="D17" s="60" t="inlineStr">
        <is>
          <t>세라믹 바디</t>
        </is>
      </c>
      <c r="E17" s="11" t="n"/>
      <c r="F17" s="99" t="n"/>
      <c r="G17" s="9" t="n"/>
      <c r="H17" s="9" t="n"/>
      <c r="I17" s="14" t="n"/>
      <c r="J17" s="14" t="n"/>
      <c r="K17" s="12" t="n">
        <v>0</v>
      </c>
      <c r="L17" s="9" t="n"/>
      <c r="M17" s="9" t="n"/>
      <c r="N17" s="9" t="n"/>
      <c r="O17" s="40">
        <f>K17+V17-AE17-AZ17</f>
        <v/>
      </c>
      <c r="P17" s="12" t="n"/>
      <c r="Q17" s="138" t="n"/>
      <c r="R17" s="16" t="n"/>
      <c r="S17" s="139" t="n"/>
      <c r="T17" s="16" t="n"/>
      <c r="U17" s="139" t="n"/>
      <c r="V17" s="16">
        <f>P17+R17+T17</f>
        <v/>
      </c>
      <c r="W17" s="16" t="n"/>
      <c r="X17" s="139" t="n"/>
      <c r="Y17" s="16" t="n"/>
      <c r="Z17" s="139" t="n"/>
      <c r="AA17" s="16" t="n"/>
      <c r="AB17" s="139" t="n"/>
      <c r="AC17" s="16" t="n"/>
      <c r="AD17" s="139" t="n"/>
      <c r="AE17" s="16">
        <f>(W17+Y17+AA17+AC17)</f>
        <v/>
      </c>
      <c r="AF17" s="16" t="n"/>
      <c r="AG17" s="138" t="n"/>
      <c r="AH17" s="16" t="n"/>
      <c r="AI17" s="138" t="n"/>
      <c r="AJ17" s="16" t="n"/>
      <c r="AK17" s="138" t="n"/>
      <c r="AL17" s="16" t="n"/>
      <c r="AM17" s="138" t="n"/>
      <c r="AN17" s="16" t="n"/>
      <c r="AO17" s="138" t="n"/>
      <c r="AP17" s="16" t="n"/>
      <c r="AQ17" s="138" t="n"/>
      <c r="AR17" s="16" t="n"/>
      <c r="AS17" s="138" t="n"/>
      <c r="AT17" s="16" t="n"/>
      <c r="AU17" s="138" t="n"/>
      <c r="AV17" s="16" t="n"/>
      <c r="AW17" s="138" t="n"/>
      <c r="AX17" s="16" t="n"/>
      <c r="AY17" s="138" t="n"/>
      <c r="AZ17" s="16">
        <f>AF17+AH17+AJ17+AL17+AN17+AP17+AR17+AT17+AV17+AX17</f>
        <v/>
      </c>
      <c r="BA17" s="16" t="n"/>
      <c r="BB17" s="139" t="n"/>
      <c r="BC17" s="16" t="n"/>
      <c r="BD17" s="139" t="n"/>
      <c r="BE17" s="16">
        <f>(BA17+BC17)</f>
        <v/>
      </c>
    </row>
    <row r="18">
      <c r="A18" s="9" t="n"/>
      <c r="B18" s="141" t="inlineStr">
        <is>
          <t>세라믹</t>
        </is>
      </c>
      <c r="C18" s="137" t="inlineStr">
        <is>
          <t>DXDR-100</t>
        </is>
      </c>
      <c r="D18" s="60" t="inlineStr">
        <is>
          <t>세라믹 슬리브</t>
        </is>
      </c>
      <c r="E18" s="11" t="n"/>
      <c r="F18" s="99" t="n"/>
      <c r="G18" s="9" t="n"/>
      <c r="H18" s="9" t="n"/>
      <c r="I18" s="14" t="n"/>
      <c r="J18" s="14" t="n"/>
      <c r="K18" s="12" t="n">
        <v>0</v>
      </c>
      <c r="L18" s="9" t="n"/>
      <c r="M18" s="9" t="n"/>
      <c r="N18" s="9" t="n"/>
      <c r="O18" s="40">
        <f>K18+V18-AE18-AZ18</f>
        <v/>
      </c>
      <c r="P18" s="12" t="n"/>
      <c r="Q18" s="138" t="n"/>
      <c r="R18" s="16" t="n"/>
      <c r="S18" s="139" t="n"/>
      <c r="T18" s="16" t="n"/>
      <c r="U18" s="139" t="n"/>
      <c r="V18" s="16">
        <f>P18+R18+T18</f>
        <v/>
      </c>
      <c r="W18" s="16" t="n"/>
      <c r="X18" s="139" t="n"/>
      <c r="Y18" s="16" t="n"/>
      <c r="Z18" s="139" t="n"/>
      <c r="AA18" s="16" t="n"/>
      <c r="AB18" s="139" t="n"/>
      <c r="AC18" s="16" t="n"/>
      <c r="AD18" s="139" t="n"/>
      <c r="AE18" s="16">
        <f>(W18+Y18+AA18+AC18)</f>
        <v/>
      </c>
      <c r="AF18" s="16" t="n"/>
      <c r="AG18" s="138" t="n"/>
      <c r="AH18" s="16" t="n"/>
      <c r="AI18" s="138" t="n"/>
      <c r="AJ18" s="16" t="n"/>
      <c r="AK18" s="138" t="n"/>
      <c r="AL18" s="16" t="n"/>
      <c r="AM18" s="138" t="n"/>
      <c r="AN18" s="16" t="n"/>
      <c r="AO18" s="138" t="n"/>
      <c r="AP18" s="16" t="n"/>
      <c r="AQ18" s="138" t="n"/>
      <c r="AR18" s="16" t="n"/>
      <c r="AS18" s="138" t="n"/>
      <c r="AT18" s="16" t="n"/>
      <c r="AU18" s="138" t="n"/>
      <c r="AV18" s="16" t="n"/>
      <c r="AW18" s="138" t="n"/>
      <c r="AX18" s="16" t="n"/>
      <c r="AY18" s="138" t="n"/>
      <c r="AZ18" s="16">
        <f>AF18+AH18+AJ18+AL18+AN18+AP18+AR18+AT18+AV18+AX18</f>
        <v/>
      </c>
      <c r="BA18" s="16" t="n"/>
      <c r="BB18" s="139" t="n"/>
      <c r="BC18" s="16" t="n"/>
      <c r="BD18" s="139" t="n"/>
      <c r="BE18" s="16">
        <f>(BA18+BC18)</f>
        <v/>
      </c>
    </row>
    <row r="19">
      <c r="A19" s="9" t="n"/>
      <c r="B19" s="136" t="inlineStr">
        <is>
          <t>필러</t>
        </is>
      </c>
      <c r="C19" s="137" t="inlineStr">
        <is>
          <t>DXDR-100</t>
        </is>
      </c>
      <c r="D19" s="62" t="inlineStr">
        <is>
          <t>필러</t>
        </is>
      </c>
      <c r="E19" s="11" t="n"/>
      <c r="F19" s="99" t="n"/>
      <c r="G19" s="9" t="n"/>
      <c r="H19" s="9" t="n"/>
      <c r="I19" s="14" t="n"/>
      <c r="J19" s="14" t="n"/>
      <c r="K19" s="12" t="n">
        <v>0</v>
      </c>
      <c r="L19" s="9" t="n"/>
      <c r="M19" s="9" t="n"/>
      <c r="N19" s="9" t="n"/>
      <c r="O19" s="40">
        <f>K19+V19-AE19-AZ19</f>
        <v/>
      </c>
      <c r="P19" s="12" t="n"/>
      <c r="Q19" s="138" t="n"/>
      <c r="R19" s="16" t="n"/>
      <c r="S19" s="139" t="n"/>
      <c r="T19" s="16" t="n"/>
      <c r="U19" s="139" t="n"/>
      <c r="V19" s="16">
        <f>P19+R19+T19</f>
        <v/>
      </c>
      <c r="W19" s="16" t="n"/>
      <c r="X19" s="139" t="n"/>
      <c r="Y19" s="16" t="n"/>
      <c r="Z19" s="139" t="n"/>
      <c r="AA19" s="16" t="n"/>
      <c r="AB19" s="139" t="n"/>
      <c r="AC19" s="16" t="n"/>
      <c r="AD19" s="139" t="n"/>
      <c r="AE19" s="16">
        <f>(W19+Y19+AA19+AC19)</f>
        <v/>
      </c>
      <c r="AF19" s="16" t="n"/>
      <c r="AG19" s="138" t="n"/>
      <c r="AH19" s="16" t="n"/>
      <c r="AI19" s="138" t="n"/>
      <c r="AJ19" s="16" t="n"/>
      <c r="AK19" s="138" t="n"/>
      <c r="AL19" s="16" t="n"/>
      <c r="AM19" s="138" t="n"/>
      <c r="AN19" s="16" t="n"/>
      <c r="AO19" s="138" t="n"/>
      <c r="AP19" s="16" t="n"/>
      <c r="AQ19" s="138" t="n"/>
      <c r="AR19" s="16" t="n"/>
      <c r="AS19" s="138" t="n"/>
      <c r="AT19" s="16" t="n"/>
      <c r="AU19" s="138" t="n"/>
      <c r="AV19" s="16" t="n"/>
      <c r="AW19" s="138" t="n"/>
      <c r="AX19" s="16" t="n"/>
      <c r="AY19" s="138" t="n"/>
      <c r="AZ19" s="16">
        <f>AF19+AH19+AJ19+AL19+AN19+AP19+AR19+AT19+AV19+AX19</f>
        <v/>
      </c>
      <c r="BA19" s="16" t="n"/>
      <c r="BB19" s="139" t="n"/>
      <c r="BC19" s="16" t="n"/>
      <c r="BD19" s="139" t="n"/>
      <c r="BE19" s="16">
        <f>(BA19+BC19)</f>
        <v/>
      </c>
    </row>
    <row r="20">
      <c r="A20" s="9" t="n"/>
      <c r="B20" s="136" t="inlineStr">
        <is>
          <t>필러</t>
        </is>
      </c>
      <c r="C20" s="137" t="inlineStr">
        <is>
          <t>DXDR-100</t>
        </is>
      </c>
      <c r="D20" s="62" t="inlineStr">
        <is>
          <t>전극 필러</t>
        </is>
      </c>
      <c r="E20" s="11" t="n"/>
      <c r="F20" s="99" t="n"/>
      <c r="G20" s="9" t="n"/>
      <c r="H20" s="9" t="n"/>
      <c r="I20" s="14" t="n"/>
      <c r="J20" s="14" t="n"/>
      <c r="K20" s="12" t="n">
        <v>0</v>
      </c>
      <c r="L20" s="9" t="n"/>
      <c r="M20" s="9" t="n"/>
      <c r="N20" s="9" t="n"/>
      <c r="O20" s="40">
        <f>K20+V20-AE20-AZ20</f>
        <v/>
      </c>
      <c r="P20" s="12" t="n"/>
      <c r="Q20" s="138" t="n"/>
      <c r="R20" s="16" t="n"/>
      <c r="S20" s="139" t="n"/>
      <c r="T20" s="16" t="n"/>
      <c r="U20" s="139" t="n"/>
      <c r="V20" s="16">
        <f>P20+R20+T20</f>
        <v/>
      </c>
      <c r="W20" s="16" t="n"/>
      <c r="X20" s="139" t="n"/>
      <c r="Y20" s="16" t="n"/>
      <c r="Z20" s="139" t="n"/>
      <c r="AA20" s="16" t="n"/>
      <c r="AB20" s="139" t="n"/>
      <c r="AC20" s="16" t="n"/>
      <c r="AD20" s="139" t="n"/>
      <c r="AE20" s="16">
        <f>(W20+Y20+AA20+AC20)</f>
        <v/>
      </c>
      <c r="AF20" s="16" t="n"/>
      <c r="AG20" s="138" t="n"/>
      <c r="AH20" s="16" t="n"/>
      <c r="AI20" s="138" t="n"/>
      <c r="AJ20" s="16" t="n"/>
      <c r="AK20" s="138" t="n"/>
      <c r="AL20" s="16" t="n"/>
      <c r="AM20" s="138" t="n"/>
      <c r="AN20" s="16" t="n"/>
      <c r="AO20" s="138" t="n"/>
      <c r="AP20" s="16" t="n"/>
      <c r="AQ20" s="138" t="n"/>
      <c r="AR20" s="16" t="n"/>
      <c r="AS20" s="138" t="n"/>
      <c r="AT20" s="16" t="n"/>
      <c r="AU20" s="138" t="n"/>
      <c r="AV20" s="16" t="n"/>
      <c r="AW20" s="138" t="n"/>
      <c r="AX20" s="16" t="n"/>
      <c r="AY20" s="138" t="n"/>
      <c r="AZ20" s="16">
        <f>AF20+AH20+AJ20+AL20+AN20+AP20+AR20+AT20+AV20+AX20</f>
        <v/>
      </c>
      <c r="BA20" s="16" t="n"/>
      <c r="BB20" s="139" t="n"/>
      <c r="BC20" s="16" t="n"/>
      <c r="BD20" s="139" t="n"/>
      <c r="BE20" s="16">
        <f>(BA20+BC20)</f>
        <v/>
      </c>
    </row>
    <row r="21" ht="24" customHeight="1" s="122">
      <c r="A21" s="9" t="n"/>
      <c r="B21" s="136" t="inlineStr">
        <is>
          <t>X-ray Tube</t>
        </is>
      </c>
      <c r="C21" s="137" t="inlineStr">
        <is>
          <t>DX3000, ADX4000W</t>
        </is>
      </c>
      <c r="D21" s="60" t="inlineStr">
        <is>
          <t>TUBE</t>
        </is>
      </c>
      <c r="E21" s="11" t="inlineStr">
        <is>
          <t>60KV D-081B</t>
        </is>
      </c>
      <c r="F21" s="99" t="n"/>
      <c r="G21" s="9" t="n"/>
      <c r="H21" s="9" t="inlineStr">
        <is>
          <t>신광포토레이</t>
        </is>
      </c>
      <c r="I21" s="14" t="n"/>
      <c r="J21" s="14" t="n"/>
      <c r="K21" s="12" t="n">
        <v>1000</v>
      </c>
      <c r="L21" s="9" t="n"/>
      <c r="M21" s="9" t="n"/>
      <c r="N21" s="9" t="n"/>
      <c r="O21" s="40">
        <f>K21+V21-AE21-AZ21</f>
        <v/>
      </c>
      <c r="P21" s="12" t="n"/>
      <c r="Q21" s="138" t="n"/>
      <c r="R21" s="16" t="n"/>
      <c r="S21" s="139" t="n"/>
      <c r="T21" s="16" t="n"/>
      <c r="U21" s="139" t="n"/>
      <c r="V21" s="16">
        <f>P21+R21+T21</f>
        <v/>
      </c>
      <c r="W21" s="16" t="n"/>
      <c r="X21" s="139" t="n"/>
      <c r="Y21" s="16" t="n"/>
      <c r="Z21" s="139" t="n"/>
      <c r="AA21" s="16" t="n"/>
      <c r="AB21" s="139" t="n"/>
      <c r="AC21" s="16" t="n"/>
      <c r="AD21" s="139" t="n"/>
      <c r="AE21" s="16">
        <f>(W21+Y21+AA21+AC21)</f>
        <v/>
      </c>
      <c r="AF21" s="16" t="n"/>
      <c r="AG21" s="138" t="n"/>
      <c r="AH21" s="16" t="n"/>
      <c r="AI21" s="138" t="n"/>
      <c r="AJ21" s="16" t="n"/>
      <c r="AK21" s="138" t="n"/>
      <c r="AL21" s="16" t="n"/>
      <c r="AM21" s="138" t="n"/>
      <c r="AN21" s="16" t="n"/>
      <c r="AO21" s="138" t="n"/>
      <c r="AP21" s="16" t="n"/>
      <c r="AQ21" s="138" t="n"/>
      <c r="AR21" s="16" t="n"/>
      <c r="AS21" s="138" t="n"/>
      <c r="AT21" s="16" t="n"/>
      <c r="AU21" s="138" t="n"/>
      <c r="AV21" s="16" t="n"/>
      <c r="AW21" s="138" t="n"/>
      <c r="AX21" s="16" t="n"/>
      <c r="AY21" s="138" t="n"/>
      <c r="AZ21" s="16">
        <f>AF21+AH21+AJ21+AL21+AN21+AP21+AR21+AT21+AV21+AX21</f>
        <v/>
      </c>
      <c r="BA21" s="16" t="n"/>
      <c r="BB21" s="139" t="n"/>
      <c r="BC21" s="16" t="n"/>
      <c r="BD21" s="139" t="n"/>
      <c r="BE21" s="16">
        <f>(BA21+BC21)</f>
        <v/>
      </c>
    </row>
    <row r="22">
      <c r="A22" s="9" t="n"/>
      <c r="B22" s="136" t="inlineStr">
        <is>
          <t>X-ray Tube</t>
        </is>
      </c>
      <c r="C22" s="137" t="inlineStr">
        <is>
          <t>COCOON</t>
        </is>
      </c>
      <c r="D22" s="60" t="inlineStr">
        <is>
          <t>TUBE</t>
        </is>
      </c>
      <c r="E22" s="11" t="inlineStr">
        <is>
          <t>70KV D-041</t>
        </is>
      </c>
      <c r="F22" s="99" t="n"/>
      <c r="G22" s="9" t="n"/>
      <c r="H22" s="9" t="inlineStr">
        <is>
          <t>신광포토레이</t>
        </is>
      </c>
      <c r="I22" s="14" t="n"/>
      <c r="J22" s="14" t="n"/>
      <c r="K22" s="12" t="n">
        <v>400</v>
      </c>
      <c r="L22" s="9" t="n"/>
      <c r="M22" s="9" t="n"/>
      <c r="N22" s="9" t="n"/>
      <c r="O22" s="40">
        <f>K22+V22-AE22-AZ22</f>
        <v/>
      </c>
      <c r="P22" s="12" t="n"/>
      <c r="Q22" s="138" t="n"/>
      <c r="R22" s="16" t="n"/>
      <c r="S22" s="139" t="n"/>
      <c r="T22" s="16" t="n"/>
      <c r="U22" s="139" t="n"/>
      <c r="V22" s="16">
        <f>P22+R22+T22</f>
        <v/>
      </c>
      <c r="W22" s="16" t="n"/>
      <c r="X22" s="139" t="n"/>
      <c r="Y22" s="16" t="n"/>
      <c r="Z22" s="139" t="n"/>
      <c r="AA22" s="16" t="n"/>
      <c r="AB22" s="139" t="n"/>
      <c r="AC22" s="16" t="n"/>
      <c r="AD22" s="139" t="n"/>
      <c r="AE22" s="16">
        <f>(W22+Y22+AA22+AC22)</f>
        <v/>
      </c>
      <c r="AF22" s="16" t="n"/>
      <c r="AG22" s="138" t="n"/>
      <c r="AH22" s="16" t="n"/>
      <c r="AI22" s="138" t="n"/>
      <c r="AJ22" s="16" t="n"/>
      <c r="AK22" s="138" t="n"/>
      <c r="AL22" s="16" t="n"/>
      <c r="AM22" s="138" t="n"/>
      <c r="AN22" s="16" t="n"/>
      <c r="AO22" s="138" t="n"/>
      <c r="AP22" s="16" t="n"/>
      <c r="AQ22" s="138" t="n"/>
      <c r="AR22" s="16" t="n"/>
      <c r="AS22" s="138" t="n"/>
      <c r="AT22" s="16" t="n"/>
      <c r="AU22" s="138" t="n"/>
      <c r="AV22" s="16" t="n"/>
      <c r="AW22" s="138" t="n"/>
      <c r="AX22" s="16" t="n"/>
      <c r="AY22" s="138" t="n"/>
      <c r="AZ22" s="16">
        <f>AF22+AH22+AJ22+AL22+AN22+AP22+AR22+AT22+AV22+AX22</f>
        <v/>
      </c>
      <c r="BA22" s="16" t="n"/>
      <c r="BB22" s="139" t="n"/>
      <c r="BC22" s="16" t="n"/>
      <c r="BD22" s="139" t="n"/>
      <c r="BE22" s="16">
        <f>(BA22+BC22)</f>
        <v/>
      </c>
    </row>
    <row r="23">
      <c r="A23" s="9" t="n"/>
      <c r="B23" s="136" t="inlineStr">
        <is>
          <t>X-ray Tube</t>
        </is>
      </c>
      <c r="C23" s="137" t="inlineStr">
        <is>
          <t>SOLO</t>
        </is>
      </c>
      <c r="D23" s="60" t="inlineStr">
        <is>
          <t>TUBE</t>
        </is>
      </c>
      <c r="E23" s="11" t="inlineStr">
        <is>
          <t>70KV DXDR-070</t>
        </is>
      </c>
      <c r="F23" s="99" t="n"/>
      <c r="G23" s="9" t="n"/>
      <c r="H23" s="9" t="n"/>
      <c r="I23" s="14" t="n"/>
      <c r="J23" s="14" t="n"/>
      <c r="K23" s="12" t="n">
        <v>0</v>
      </c>
      <c r="L23" s="9" t="n"/>
      <c r="M23" s="9" t="n"/>
      <c r="N23" s="9" t="n"/>
      <c r="O23" s="40">
        <f>K23+V23-AE23-AZ23</f>
        <v/>
      </c>
      <c r="P23" s="12" t="n"/>
      <c r="Q23" s="138" t="n"/>
      <c r="R23" s="16" t="n"/>
      <c r="S23" s="139" t="n"/>
      <c r="T23" s="16" t="n"/>
      <c r="U23" s="139" t="n"/>
      <c r="V23" s="16">
        <f>P23+R23+T23</f>
        <v/>
      </c>
      <c r="W23" s="16" t="n"/>
      <c r="X23" s="139" t="n"/>
      <c r="Y23" s="16" t="n"/>
      <c r="Z23" s="139" t="n"/>
      <c r="AA23" s="16" t="n"/>
      <c r="AB23" s="139" t="n"/>
      <c r="AC23" s="16" t="n"/>
      <c r="AD23" s="139" t="n"/>
      <c r="AE23" s="16">
        <f>(W23+Y23+AA23+AC23)</f>
        <v/>
      </c>
      <c r="AF23" s="16" t="n"/>
      <c r="AG23" s="138" t="n"/>
      <c r="AH23" s="16" t="n"/>
      <c r="AI23" s="138" t="n"/>
      <c r="AJ23" s="16" t="n"/>
      <c r="AK23" s="138" t="n"/>
      <c r="AL23" s="16" t="n"/>
      <c r="AM23" s="138" t="n"/>
      <c r="AN23" s="16" t="n"/>
      <c r="AO23" s="138" t="n"/>
      <c r="AP23" s="16" t="n"/>
      <c r="AQ23" s="138" t="n"/>
      <c r="AR23" s="16" t="n"/>
      <c r="AS23" s="138" t="n"/>
      <c r="AT23" s="16" t="n"/>
      <c r="AU23" s="138" t="n"/>
      <c r="AV23" s="16" t="n"/>
      <c r="AW23" s="138" t="n"/>
      <c r="AX23" s="16" t="n"/>
      <c r="AY23" s="138" t="n"/>
      <c r="AZ23" s="16">
        <f>AF23+AH23+AJ23+AL23+AN23+AP23+AR23+AT23+AV23+AX23</f>
        <v/>
      </c>
      <c r="BA23" s="16" t="n"/>
      <c r="BB23" s="139" t="n"/>
      <c r="BC23" s="16" t="n"/>
      <c r="BD23" s="139" t="n"/>
      <c r="BE23" s="16">
        <f>(BA23+BC23)</f>
        <v/>
      </c>
    </row>
    <row r="24">
      <c r="A24" s="9" t="n"/>
      <c r="B24" s="136" t="inlineStr">
        <is>
          <t>X-ray Tube</t>
        </is>
      </c>
      <c r="C24" s="137" t="inlineStr">
        <is>
          <t>ADX6000</t>
        </is>
      </c>
      <c r="D24" s="60" t="inlineStr">
        <is>
          <t>TUBE</t>
        </is>
      </c>
      <c r="E24" s="11" t="inlineStr">
        <is>
          <t>80KV D-0813</t>
        </is>
      </c>
      <c r="F24" s="99" t="n"/>
      <c r="G24" s="9" t="n"/>
      <c r="H24" s="9" t="inlineStr">
        <is>
          <t>신광포토레이</t>
        </is>
      </c>
      <c r="I24" s="14" t="n"/>
      <c r="J24" s="14" t="n"/>
      <c r="K24" s="12" t="n">
        <v>500</v>
      </c>
      <c r="L24" s="9" t="n"/>
      <c r="M24" s="9" t="n"/>
      <c r="N24" s="9" t="n"/>
      <c r="O24" s="40">
        <f>K24+V24-AE24-AZ24</f>
        <v/>
      </c>
      <c r="P24" s="12" t="n"/>
      <c r="Q24" s="138" t="n"/>
      <c r="R24" s="16" t="n"/>
      <c r="S24" s="139" t="n"/>
      <c r="T24" s="16" t="n"/>
      <c r="U24" s="139" t="n"/>
      <c r="V24" s="16">
        <f>P24+R24+T24</f>
        <v/>
      </c>
      <c r="W24" s="16" t="n"/>
      <c r="X24" s="139" t="n"/>
      <c r="Y24" s="16" t="n"/>
      <c r="Z24" s="139" t="n"/>
      <c r="AA24" s="16" t="n"/>
      <c r="AB24" s="139" t="n"/>
      <c r="AC24" s="16" t="n"/>
      <c r="AD24" s="139" t="n"/>
      <c r="AE24" s="16">
        <f>(W24+Y24+AA24+AC24)</f>
        <v/>
      </c>
      <c r="AF24" s="16" t="n"/>
      <c r="AG24" s="138" t="n"/>
      <c r="AH24" s="16" t="n"/>
      <c r="AI24" s="138" t="n"/>
      <c r="AJ24" s="16" t="n"/>
      <c r="AK24" s="138" t="n"/>
      <c r="AL24" s="16" t="n"/>
      <c r="AM24" s="138" t="n"/>
      <c r="AN24" s="16" t="n"/>
      <c r="AO24" s="138" t="n"/>
      <c r="AP24" s="16" t="n"/>
      <c r="AQ24" s="138" t="n"/>
      <c r="AR24" s="16" t="n"/>
      <c r="AS24" s="138" t="n"/>
      <c r="AT24" s="16" t="n"/>
      <c r="AU24" s="138" t="n"/>
      <c r="AV24" s="16" t="n"/>
      <c r="AW24" s="138" t="n"/>
      <c r="AX24" s="16" t="n"/>
      <c r="AY24" s="138" t="n"/>
      <c r="AZ24" s="16">
        <f>AF24+AH24+AJ24+AL24+AN24+AP24+AR24+AT24+AV24+AX24</f>
        <v/>
      </c>
      <c r="BA24" s="16" t="n"/>
      <c r="BB24" s="139" t="n"/>
      <c r="BC24" s="16" t="n"/>
      <c r="BD24" s="139" t="n"/>
      <c r="BE24" s="16">
        <f>(BA24+BC24)</f>
        <v/>
      </c>
    </row>
    <row r="25">
      <c r="A25" s="9" t="n"/>
      <c r="B25" s="136" t="inlineStr">
        <is>
          <t>X-ray Tube</t>
        </is>
      </c>
      <c r="C25" s="137" t="inlineStr">
        <is>
          <t>ADX6000</t>
        </is>
      </c>
      <c r="D25" s="60" t="inlineStr">
        <is>
          <t>TUBE</t>
        </is>
      </c>
      <c r="E25" s="11" t="inlineStr">
        <is>
          <t>90kV OX / 70-1.0</t>
        </is>
      </c>
      <c r="F25" s="99" t="n"/>
      <c r="G25" s="9" t="n"/>
      <c r="H25" s="9" t="inlineStr">
        <is>
          <t>CEI</t>
        </is>
      </c>
      <c r="I25" s="14" t="n"/>
      <c r="J25" s="14" t="n"/>
      <c r="K25" s="12" t="n">
        <v>622</v>
      </c>
      <c r="L25" s="9" t="n"/>
      <c r="M25" s="9" t="n"/>
      <c r="N25" s="9" t="n"/>
      <c r="O25" s="40">
        <f>K25+V25-AE25-AZ25</f>
        <v/>
      </c>
      <c r="P25" s="12" t="n"/>
      <c r="Q25" s="138" t="n"/>
      <c r="R25" s="16" t="n"/>
      <c r="S25" s="139" t="n"/>
      <c r="T25" s="16" t="n"/>
      <c r="U25" s="139" t="n"/>
      <c r="V25" s="16">
        <f>P25+R25+T25</f>
        <v/>
      </c>
      <c r="W25" s="16" t="n"/>
      <c r="X25" s="139" t="n"/>
      <c r="Y25" s="16" t="n"/>
      <c r="Z25" s="139" t="n"/>
      <c r="AA25" s="16" t="n"/>
      <c r="AB25" s="139" t="n"/>
      <c r="AC25" s="16" t="n"/>
      <c r="AD25" s="139" t="n"/>
      <c r="AE25" s="16">
        <f>(W25+Y25+AA25+AC25)</f>
        <v/>
      </c>
      <c r="AF25" s="16" t="n"/>
      <c r="AG25" s="138" t="n"/>
      <c r="AH25" s="16" t="n"/>
      <c r="AI25" s="138" t="n"/>
      <c r="AJ25" s="16" t="n"/>
      <c r="AK25" s="138" t="n"/>
      <c r="AL25" s="16" t="n"/>
      <c r="AM25" s="138" t="n"/>
      <c r="AN25" s="16" t="n"/>
      <c r="AO25" s="138" t="n"/>
      <c r="AP25" s="16" t="n"/>
      <c r="AQ25" s="138" t="n"/>
      <c r="AR25" s="16" t="n"/>
      <c r="AS25" s="138" t="n"/>
      <c r="AT25" s="16" t="n"/>
      <c r="AU25" s="138" t="n"/>
      <c r="AV25" s="16" t="n"/>
      <c r="AW25" s="138" t="n"/>
      <c r="AX25" s="16" t="n"/>
      <c r="AY25" s="138" t="n"/>
      <c r="AZ25" s="16">
        <f>AF25+AH25+AJ25+AL25+AN25+AP25+AR25+AT25+AV25+AX25</f>
        <v/>
      </c>
      <c r="BA25" s="16" t="n"/>
      <c r="BB25" s="139" t="n"/>
      <c r="BC25" s="16" t="n"/>
      <c r="BD25" s="139" t="n"/>
      <c r="BE25" s="16">
        <f>(BA25+BC25)</f>
        <v/>
      </c>
    </row>
    <row r="26">
      <c r="A26" s="9" t="n"/>
      <c r="B26" s="136" t="inlineStr">
        <is>
          <t>X-ray Tube</t>
        </is>
      </c>
      <c r="C26" s="137" t="inlineStr">
        <is>
          <t>100kV</t>
        </is>
      </c>
      <c r="D26" s="60" t="inlineStr">
        <is>
          <t>TUBE</t>
        </is>
      </c>
      <c r="E26" s="11" t="inlineStr">
        <is>
          <t>100Kv DXDR-100</t>
        </is>
      </c>
      <c r="F26" s="99" t="n"/>
      <c r="G26" s="9" t="n"/>
      <c r="H26" s="9" t="n"/>
      <c r="I26" s="14" t="n"/>
      <c r="J26" s="14" t="n"/>
      <c r="K26" s="12" t="n">
        <v>0</v>
      </c>
      <c r="L26" s="9" t="n"/>
      <c r="M26" s="9" t="n"/>
      <c r="N26" s="9" t="n"/>
      <c r="O26" s="40">
        <f>K26+V26-AE26-AZ26</f>
        <v/>
      </c>
      <c r="P26" s="12" t="n"/>
      <c r="Q26" s="138" t="n"/>
      <c r="R26" s="16" t="n"/>
      <c r="S26" s="139" t="n"/>
      <c r="T26" s="16" t="n"/>
      <c r="U26" s="139" t="n"/>
      <c r="V26" s="16">
        <f>P26+R26+T26</f>
        <v/>
      </c>
      <c r="W26" s="16" t="n"/>
      <c r="X26" s="139" t="n"/>
      <c r="Y26" s="16" t="n"/>
      <c r="Z26" s="139" t="n"/>
      <c r="AA26" s="16" t="n"/>
      <c r="AB26" s="139" t="n"/>
      <c r="AC26" s="16" t="n"/>
      <c r="AD26" s="139" t="n"/>
      <c r="AE26" s="16">
        <f>(W26+Y26+AA26+AC26)</f>
        <v/>
      </c>
      <c r="AF26" s="16" t="n"/>
      <c r="AG26" s="138" t="n"/>
      <c r="AH26" s="16" t="n"/>
      <c r="AI26" s="138" t="n"/>
      <c r="AJ26" s="16" t="n"/>
      <c r="AK26" s="138" t="n"/>
      <c r="AL26" s="16" t="n"/>
      <c r="AM26" s="138" t="n"/>
      <c r="AN26" s="16" t="n"/>
      <c r="AO26" s="138" t="n"/>
      <c r="AP26" s="16" t="n"/>
      <c r="AQ26" s="138" t="n"/>
      <c r="AR26" s="16" t="n"/>
      <c r="AS26" s="138" t="n"/>
      <c r="AT26" s="16" t="n"/>
      <c r="AU26" s="138" t="n"/>
      <c r="AV26" s="16" t="n"/>
      <c r="AW26" s="138" t="n"/>
      <c r="AX26" s="16" t="n"/>
      <c r="AY26" s="138" t="n"/>
      <c r="AZ26" s="16">
        <f>AF26+AH26+AJ26+AL26+AN26+AP26+AR26+AT26+AV26+AX26</f>
        <v/>
      </c>
      <c r="BA26" s="16" t="n"/>
      <c r="BB26" s="139" t="n"/>
      <c r="BC26" s="16" t="n"/>
      <c r="BD26" s="139" t="n"/>
      <c r="BE26" s="16">
        <f>(BA26+BC26)</f>
        <v/>
      </c>
    </row>
    <row r="27" ht="36" customHeight="1" s="122">
      <c r="A27" s="9" t="n"/>
      <c r="B27" s="136" t="inlineStr">
        <is>
          <t>베이클라이트</t>
        </is>
      </c>
      <c r="C27" s="137" t="inlineStr">
        <is>
          <t>DX3000, ADX4000W ADX6000</t>
        </is>
      </c>
      <c r="D27" s="61" t="inlineStr">
        <is>
          <t>튜브 하우징 파이프</t>
        </is>
      </c>
      <c r="E27" s="11" t="inlineStr">
        <is>
          <t>베이클라이트</t>
        </is>
      </c>
      <c r="F27" s="99" t="n"/>
      <c r="G27" s="9" t="n"/>
      <c r="H27" s="9" t="inlineStr">
        <is>
          <t>용봉화학</t>
        </is>
      </c>
      <c r="I27" s="14" t="n"/>
      <c r="J27" s="14" t="n"/>
      <c r="K27" s="12" t="n">
        <v>800</v>
      </c>
      <c r="L27" s="9" t="n"/>
      <c r="M27" s="9" t="n"/>
      <c r="N27" s="9" t="n"/>
      <c r="O27" s="40">
        <f>K27+V27-AE27-AZ27</f>
        <v/>
      </c>
      <c r="P27" s="12" t="n"/>
      <c r="Q27" s="138" t="n"/>
      <c r="R27" s="16" t="n"/>
      <c r="S27" s="139" t="n"/>
      <c r="T27" s="16" t="n"/>
      <c r="U27" s="139" t="n"/>
      <c r="V27" s="16">
        <f>P27+R27+T27</f>
        <v/>
      </c>
      <c r="W27" s="16" t="n"/>
      <c r="X27" s="139" t="n"/>
      <c r="Y27" s="16" t="n"/>
      <c r="Z27" s="139" t="n"/>
      <c r="AA27" s="16" t="n"/>
      <c r="AB27" s="139" t="n"/>
      <c r="AC27" s="16" t="n"/>
      <c r="AD27" s="139" t="n"/>
      <c r="AE27" s="16">
        <f>(W27+Y27+AA27+AC27)</f>
        <v/>
      </c>
      <c r="AF27" s="16" t="n"/>
      <c r="AG27" s="138" t="n"/>
      <c r="AH27" s="16" t="n"/>
      <c r="AI27" s="138" t="n"/>
      <c r="AJ27" s="16" t="n"/>
      <c r="AK27" s="138" t="n"/>
      <c r="AL27" s="16" t="n"/>
      <c r="AM27" s="138" t="n"/>
      <c r="AN27" s="16" t="n"/>
      <c r="AO27" s="138" t="n"/>
      <c r="AP27" s="16" t="n"/>
      <c r="AQ27" s="138" t="n"/>
      <c r="AR27" s="16" t="n"/>
      <c r="AS27" s="138" t="n"/>
      <c r="AT27" s="16" t="n"/>
      <c r="AU27" s="138" t="n"/>
      <c r="AV27" s="16" t="n"/>
      <c r="AW27" s="138" t="n"/>
      <c r="AX27" s="16" t="n"/>
      <c r="AY27" s="138" t="n"/>
      <c r="AZ27" s="16">
        <f>AF27+AH27+AJ27+AL27+AN27+AP27+AR27+AT27+AV27+AX27</f>
        <v/>
      </c>
      <c r="BA27" s="16" t="n"/>
      <c r="BB27" s="139" t="n"/>
      <c r="BC27" s="16" t="n"/>
      <c r="BD27" s="139" t="n"/>
      <c r="BE27" s="16">
        <f>(BA27+BC27)</f>
        <v/>
      </c>
    </row>
    <row r="28">
      <c r="A28" s="9" t="n"/>
      <c r="B28" s="141" t="inlineStr">
        <is>
          <t>HDPE</t>
        </is>
      </c>
      <c r="C28" s="137" t="inlineStr">
        <is>
          <t>COCOON</t>
        </is>
      </c>
      <c r="D28" s="62" t="inlineStr">
        <is>
          <t>튜브 하우징 파이프</t>
        </is>
      </c>
      <c r="E28" s="36" t="inlineStr">
        <is>
          <t>HDPE</t>
        </is>
      </c>
      <c r="F28" s="99" t="n"/>
      <c r="G28" s="22" t="n"/>
      <c r="H28" s="22" t="inlineStr">
        <is>
          <t>용봉화학</t>
        </is>
      </c>
      <c r="I28" s="14" t="n"/>
      <c r="J28" s="14" t="n"/>
      <c r="K28" s="12" t="n">
        <v>360</v>
      </c>
      <c r="L28" s="9" t="n"/>
      <c r="M28" s="9" t="n"/>
      <c r="N28" s="9" t="n"/>
      <c r="O28" s="40">
        <f>K28+V28-AE28-AZ28</f>
        <v/>
      </c>
      <c r="P28" s="12" t="n"/>
      <c r="Q28" s="138" t="n"/>
      <c r="R28" s="16" t="n"/>
      <c r="S28" s="139" t="n"/>
      <c r="T28" s="16" t="n"/>
      <c r="U28" s="139" t="n"/>
      <c r="V28" s="16">
        <f>P28+R28+T28</f>
        <v/>
      </c>
      <c r="W28" s="16" t="n"/>
      <c r="X28" s="139" t="n"/>
      <c r="Y28" s="16" t="n"/>
      <c r="Z28" s="139" t="n"/>
      <c r="AA28" s="16" t="n"/>
      <c r="AB28" s="139" t="n"/>
      <c r="AC28" s="16" t="n"/>
      <c r="AD28" s="139" t="n"/>
      <c r="AE28" s="16">
        <f>(W28+Y28+AA28+AC28)</f>
        <v/>
      </c>
      <c r="AF28" s="16" t="n"/>
      <c r="AG28" s="138" t="n"/>
      <c r="AH28" s="16" t="n"/>
      <c r="AI28" s="138" t="n"/>
      <c r="AJ28" s="16" t="n"/>
      <c r="AK28" s="138" t="n"/>
      <c r="AL28" s="16" t="n"/>
      <c r="AM28" s="138" t="n"/>
      <c r="AN28" s="16" t="n"/>
      <c r="AO28" s="138" t="n"/>
      <c r="AP28" s="16" t="n"/>
      <c r="AQ28" s="138" t="n"/>
      <c r="AR28" s="16" t="n"/>
      <c r="AS28" s="138" t="n"/>
      <c r="AT28" s="16" t="n"/>
      <c r="AU28" s="138" t="n"/>
      <c r="AV28" s="16" t="n"/>
      <c r="AW28" s="138" t="n"/>
      <c r="AX28" s="16" t="n"/>
      <c r="AY28" s="138" t="n"/>
      <c r="AZ28" s="16">
        <f>AF28+AH28+AJ28+AL28+AN28+AP28+AR28+AT28+AV28+AX28</f>
        <v/>
      </c>
      <c r="BA28" s="16" t="n"/>
      <c r="BB28" s="139" t="n"/>
      <c r="BC28" s="16" t="n"/>
      <c r="BD28" s="139" t="n"/>
      <c r="BE28" s="16">
        <f>(BA28+BC28)</f>
        <v/>
      </c>
    </row>
    <row r="29">
      <c r="A29" s="9" t="n"/>
      <c r="B29" s="141" t="inlineStr">
        <is>
          <t>HDPE</t>
        </is>
      </c>
      <c r="C29" s="137" t="inlineStr">
        <is>
          <t>SOLO</t>
        </is>
      </c>
      <c r="D29" s="62" t="inlineStr">
        <is>
          <t>튜브 하우징 파이프</t>
        </is>
      </c>
      <c r="E29" s="36" t="inlineStr">
        <is>
          <t>HDPE</t>
        </is>
      </c>
      <c r="F29" s="99" t="n"/>
      <c r="G29" s="22" t="n"/>
      <c r="H29" s="22" t="inlineStr">
        <is>
          <t>용봉화학</t>
        </is>
      </c>
      <c r="I29" s="14" t="n"/>
      <c r="J29" s="14" t="n"/>
      <c r="K29" s="12" t="n">
        <v>100</v>
      </c>
      <c r="L29" s="9" t="n"/>
      <c r="M29" s="9" t="n"/>
      <c r="N29" s="9" t="n"/>
      <c r="O29" s="40">
        <f>K29+V29-AE29-AZ29</f>
        <v/>
      </c>
      <c r="P29" s="12" t="n"/>
      <c r="Q29" s="138" t="n"/>
      <c r="R29" s="16" t="n"/>
      <c r="S29" s="139" t="n"/>
      <c r="T29" s="16" t="n"/>
      <c r="U29" s="139" t="n"/>
      <c r="V29" s="16">
        <f>P29+R29+T29</f>
        <v/>
      </c>
      <c r="W29" s="16" t="n"/>
      <c r="X29" s="139" t="n"/>
      <c r="Y29" s="16" t="n"/>
      <c r="Z29" s="139" t="n"/>
      <c r="AA29" s="16" t="n"/>
      <c r="AB29" s="139" t="n"/>
      <c r="AC29" s="16" t="n"/>
      <c r="AD29" s="139" t="n"/>
      <c r="AE29" s="16">
        <f>(W29+Y29+AA29+AC29)</f>
        <v/>
      </c>
      <c r="AF29" s="16" t="n"/>
      <c r="AG29" s="138" t="n"/>
      <c r="AH29" s="16" t="n"/>
      <c r="AI29" s="138" t="n"/>
      <c r="AJ29" s="16" t="n"/>
      <c r="AK29" s="138" t="n"/>
      <c r="AL29" s="16" t="n"/>
      <c r="AM29" s="138" t="n"/>
      <c r="AN29" s="16" t="n"/>
      <c r="AO29" s="138" t="n"/>
      <c r="AP29" s="16" t="n"/>
      <c r="AQ29" s="138" t="n"/>
      <c r="AR29" s="16" t="n"/>
      <c r="AS29" s="138" t="n"/>
      <c r="AT29" s="16" t="n"/>
      <c r="AU29" s="138" t="n"/>
      <c r="AV29" s="16" t="n"/>
      <c r="AW29" s="138" t="n"/>
      <c r="AX29" s="16" t="n"/>
      <c r="AY29" s="138" t="n"/>
      <c r="AZ29" s="16">
        <f>AF29+AH29+AJ29+AL29+AN29+AP29+AR29+AT29+AV29+AX29</f>
        <v/>
      </c>
      <c r="BA29" s="16" t="n"/>
      <c r="BB29" s="139" t="n"/>
      <c r="BC29" s="16" t="n"/>
      <c r="BD29" s="139" t="n"/>
      <c r="BE29" s="16">
        <f>(BA29+BC29)</f>
        <v/>
      </c>
    </row>
    <row r="30" ht="36" customHeight="1" s="122">
      <c r="A30" s="9" t="n"/>
      <c r="B30" s="136" t="inlineStr">
        <is>
          <t>램프</t>
        </is>
      </c>
      <c r="C30" s="137" t="inlineStr">
        <is>
          <t>DX3000, ADX4000W COCOON</t>
        </is>
      </c>
      <c r="D30" s="63" t="inlineStr">
        <is>
          <t>네온램프</t>
        </is>
      </c>
      <c r="E30" s="11" t="inlineStr">
        <is>
          <t>NEON-5T.5*13 red</t>
        </is>
      </c>
      <c r="F30" s="99" t="n"/>
      <c r="G30" s="9" t="n"/>
      <c r="H30" s="9" t="inlineStr">
        <is>
          <t>HLP</t>
        </is>
      </c>
      <c r="I30" s="14" t="n"/>
      <c r="J30" s="14" t="n"/>
      <c r="K30" s="12" t="n">
        <v>1000</v>
      </c>
      <c r="L30" s="9" t="n"/>
      <c r="M30" s="9" t="n"/>
      <c r="N30" s="9" t="n"/>
      <c r="O30" s="40">
        <f>K30+V30-AE30-AZ30</f>
        <v/>
      </c>
      <c r="P30" s="12" t="n"/>
      <c r="Q30" s="138" t="n"/>
      <c r="R30" s="16" t="n"/>
      <c r="S30" s="139" t="n"/>
      <c r="T30" s="16" t="n"/>
      <c r="U30" s="139" t="n"/>
      <c r="V30" s="16">
        <f>P30+R30+T30</f>
        <v/>
      </c>
      <c r="W30" s="16" t="n"/>
      <c r="X30" s="139" t="n"/>
      <c r="Y30" s="16" t="n"/>
      <c r="Z30" s="139" t="n"/>
      <c r="AA30" s="16" t="n"/>
      <c r="AB30" s="139" t="n"/>
      <c r="AC30" s="16" t="n"/>
      <c r="AD30" s="139" t="n"/>
      <c r="AE30" s="16">
        <f>(W30+Y30+AA30+AC30)</f>
        <v/>
      </c>
      <c r="AF30" s="16" t="n"/>
      <c r="AG30" s="138" t="n"/>
      <c r="AH30" s="16" t="n"/>
      <c r="AI30" s="138" t="n"/>
      <c r="AJ30" s="16" t="n"/>
      <c r="AK30" s="138" t="n"/>
      <c r="AL30" s="16" t="n"/>
      <c r="AM30" s="138" t="n"/>
      <c r="AN30" s="16" t="n"/>
      <c r="AO30" s="138" t="n"/>
      <c r="AP30" s="16" t="n"/>
      <c r="AQ30" s="138" t="n"/>
      <c r="AR30" s="16" t="n"/>
      <c r="AS30" s="138" t="n"/>
      <c r="AT30" s="16" t="n"/>
      <c r="AU30" s="138" t="n"/>
      <c r="AV30" s="16" t="n"/>
      <c r="AW30" s="138" t="n"/>
      <c r="AX30" s="16" t="n"/>
      <c r="AY30" s="138" t="n"/>
      <c r="AZ30" s="16">
        <f>AF30+AH30+AJ30+AL30+AN30+AP30+AR30+AT30+AV30+AX30</f>
        <v/>
      </c>
      <c r="BA30" s="16" t="n"/>
      <c r="BB30" s="139" t="n"/>
      <c r="BC30" s="16" t="n"/>
      <c r="BD30" s="139" t="n"/>
      <c r="BE30" s="16">
        <f>(BA30+BC30)</f>
        <v/>
      </c>
    </row>
    <row r="31" ht="24" customHeight="1" s="122">
      <c r="A31" s="9" t="n"/>
      <c r="B31" s="136" t="inlineStr">
        <is>
          <t>다이오드</t>
        </is>
      </c>
      <c r="C31" s="137" t="inlineStr">
        <is>
          <t>DX3000, ADX4000W</t>
        </is>
      </c>
      <c r="D31" s="60" t="inlineStr">
        <is>
          <t>고압 다이오드</t>
        </is>
      </c>
      <c r="E31" s="11" t="inlineStr">
        <is>
          <t>2CL77 (20KV, 5mA)</t>
        </is>
      </c>
      <c r="F31" s="99" t="n"/>
      <c r="G31" s="9" t="n"/>
      <c r="H31" s="9" t="inlineStr">
        <is>
          <t>비지티</t>
        </is>
      </c>
      <c r="I31" s="14" t="n"/>
      <c r="J31" s="14" t="n"/>
      <c r="K31" s="12" t="n">
        <v>0</v>
      </c>
      <c r="L31" s="9" t="n"/>
      <c r="M31" s="9" t="n"/>
      <c r="N31" s="9" t="n"/>
      <c r="O31" s="40">
        <f>K31+V31-AE31-AZ31</f>
        <v/>
      </c>
      <c r="P31" s="12" t="n"/>
      <c r="Q31" s="138" t="n"/>
      <c r="R31" s="16" t="n"/>
      <c r="S31" s="139" t="n"/>
      <c r="T31" s="16" t="n"/>
      <c r="U31" s="139" t="n"/>
      <c r="V31" s="16">
        <f>P31+R31+T31</f>
        <v/>
      </c>
      <c r="W31" s="16" t="n"/>
      <c r="X31" s="139" t="n"/>
      <c r="Y31" s="16" t="n"/>
      <c r="Z31" s="139" t="n"/>
      <c r="AA31" s="16" t="n"/>
      <c r="AB31" s="139" t="n"/>
      <c r="AC31" s="16" t="n"/>
      <c r="AD31" s="139" t="n"/>
      <c r="AE31" s="16">
        <f>(W31+Y31+AA31+AC31)</f>
        <v/>
      </c>
      <c r="AF31" s="16" t="n"/>
      <c r="AG31" s="138" t="n"/>
      <c r="AH31" s="16" t="n"/>
      <c r="AI31" s="138" t="n"/>
      <c r="AJ31" s="16" t="n"/>
      <c r="AK31" s="138" t="n"/>
      <c r="AL31" s="16" t="n"/>
      <c r="AM31" s="138" t="n"/>
      <c r="AN31" s="16" t="n"/>
      <c r="AO31" s="138" t="n"/>
      <c r="AP31" s="16" t="n"/>
      <c r="AQ31" s="138" t="n"/>
      <c r="AR31" s="16" t="n"/>
      <c r="AS31" s="138" t="n"/>
      <c r="AT31" s="16" t="n"/>
      <c r="AU31" s="138" t="n"/>
      <c r="AV31" s="16" t="n"/>
      <c r="AW31" s="138" t="n"/>
      <c r="AX31" s="16" t="n"/>
      <c r="AY31" s="138" t="n"/>
      <c r="AZ31" s="16">
        <f>AF31+AH31+AJ31+AL31+AN31+AP31+AR31+AT31+AV31+AX31</f>
        <v/>
      </c>
      <c r="BA31" s="16" t="n"/>
      <c r="BB31" s="139" t="n"/>
      <c r="BC31" s="16" t="n"/>
      <c r="BD31" s="139" t="n"/>
      <c r="BE31" s="16">
        <f>(BA31+BC31)</f>
        <v/>
      </c>
    </row>
    <row r="32" ht="36" customHeight="1" s="122">
      <c r="A32" s="9" t="n"/>
      <c r="B32" s="136" t="inlineStr">
        <is>
          <t>다이오드</t>
        </is>
      </c>
      <c r="C32" s="137" t="inlineStr">
        <is>
          <t>DX3000, ADX4000W ADX6000</t>
        </is>
      </c>
      <c r="D32" s="60" t="inlineStr">
        <is>
          <t>고압 다이오드</t>
        </is>
      </c>
      <c r="E32" s="11" t="inlineStr">
        <is>
          <t>DL1500</t>
        </is>
      </c>
      <c r="F32" s="99" t="n"/>
      <c r="G32" s="9" t="n"/>
      <c r="H32" s="9" t="inlineStr">
        <is>
          <t>비지티</t>
        </is>
      </c>
      <c r="I32" s="14" t="n"/>
      <c r="J32" s="14" t="n"/>
      <c r="K32" s="12" t="n">
        <v>0</v>
      </c>
      <c r="L32" s="9" t="n"/>
      <c r="M32" s="9" t="n"/>
      <c r="N32" s="9" t="n"/>
      <c r="O32" s="40">
        <f>K32+V32-AE32-AZ32</f>
        <v/>
      </c>
      <c r="P32" s="12" t="n"/>
      <c r="Q32" s="138" t="n"/>
      <c r="R32" s="16" t="n"/>
      <c r="S32" s="139" t="n"/>
      <c r="T32" s="16" t="n"/>
      <c r="U32" s="139" t="n"/>
      <c r="V32" s="16">
        <f>P32+R32+T32</f>
        <v/>
      </c>
      <c r="W32" s="16" t="n"/>
      <c r="X32" s="139" t="n"/>
      <c r="Y32" s="16" t="n"/>
      <c r="Z32" s="139" t="n"/>
      <c r="AA32" s="16" t="n"/>
      <c r="AB32" s="139" t="n"/>
      <c r="AC32" s="16" t="n"/>
      <c r="AD32" s="139" t="n"/>
      <c r="AE32" s="16">
        <f>(W32+Y32+AA32+AC32)</f>
        <v/>
      </c>
      <c r="AF32" s="16" t="n"/>
      <c r="AG32" s="138" t="n"/>
      <c r="AH32" s="16" t="n"/>
      <c r="AI32" s="138" t="n"/>
      <c r="AJ32" s="16" t="n"/>
      <c r="AK32" s="138" t="n"/>
      <c r="AL32" s="16" t="n"/>
      <c r="AM32" s="138" t="n"/>
      <c r="AN32" s="16" t="n"/>
      <c r="AO32" s="138" t="n"/>
      <c r="AP32" s="16" t="n"/>
      <c r="AQ32" s="138" t="n"/>
      <c r="AR32" s="16" t="n"/>
      <c r="AS32" s="138" t="n"/>
      <c r="AT32" s="16" t="n"/>
      <c r="AU32" s="138" t="n"/>
      <c r="AV32" s="16" t="n"/>
      <c r="AW32" s="138" t="n"/>
      <c r="AX32" s="16" t="n"/>
      <c r="AY32" s="138" t="n"/>
      <c r="AZ32" s="16">
        <f>AF32+AH32+AJ32+AL32+AN32+AP32+AR32+AT32+AV32+AX32</f>
        <v/>
      </c>
      <c r="BA32" s="16" t="n"/>
      <c r="BB32" s="139" t="n"/>
      <c r="BC32" s="16" t="n"/>
      <c r="BD32" s="139" t="n"/>
      <c r="BE32" s="16">
        <f>(BA32+BC32)</f>
        <v/>
      </c>
    </row>
    <row r="33">
      <c r="A33" s="9" t="n"/>
      <c r="B33" s="136" t="inlineStr">
        <is>
          <t>다이오드</t>
        </is>
      </c>
      <c r="C33" s="137" t="inlineStr">
        <is>
          <t>COCOON</t>
        </is>
      </c>
      <c r="D33" s="60" t="inlineStr">
        <is>
          <t>고압 다이오드</t>
        </is>
      </c>
      <c r="E33" s="11" t="inlineStr">
        <is>
          <t>DD1800</t>
        </is>
      </c>
      <c r="F33" s="99" t="n"/>
      <c r="G33" s="9" t="n"/>
      <c r="H33" s="9" t="inlineStr">
        <is>
          <t>비지티</t>
        </is>
      </c>
      <c r="I33" s="14" t="n"/>
      <c r="J33" s="14" t="n"/>
      <c r="K33" s="12" t="n">
        <v>0</v>
      </c>
      <c r="L33" s="9" t="n"/>
      <c r="M33" s="9" t="n"/>
      <c r="N33" s="9" t="n"/>
      <c r="O33" s="40">
        <f>K33+V33-AE33-AZ33</f>
        <v/>
      </c>
      <c r="P33" s="12" t="n"/>
      <c r="Q33" s="138" t="n"/>
      <c r="R33" s="16" t="n"/>
      <c r="S33" s="139" t="n"/>
      <c r="T33" s="16" t="n"/>
      <c r="U33" s="139" t="n"/>
      <c r="V33" s="16">
        <f>P33+R33+T33</f>
        <v/>
      </c>
      <c r="W33" s="16" t="n"/>
      <c r="X33" s="139" t="n"/>
      <c r="Y33" s="16" t="n"/>
      <c r="Z33" s="139" t="n"/>
      <c r="AA33" s="16" t="n"/>
      <c r="AB33" s="139" t="n"/>
      <c r="AC33" s="16" t="n"/>
      <c r="AD33" s="139" t="n"/>
      <c r="AE33" s="16">
        <f>(W33+Y33+AA33+AC33)</f>
        <v/>
      </c>
      <c r="AF33" s="16" t="n"/>
      <c r="AG33" s="138" t="n"/>
      <c r="AH33" s="16" t="n"/>
      <c r="AI33" s="138" t="n"/>
      <c r="AJ33" s="16" t="n"/>
      <c r="AK33" s="138" t="n"/>
      <c r="AL33" s="16" t="n"/>
      <c r="AM33" s="138" t="n"/>
      <c r="AN33" s="16" t="n"/>
      <c r="AO33" s="138" t="n"/>
      <c r="AP33" s="16" t="n"/>
      <c r="AQ33" s="138" t="n"/>
      <c r="AR33" s="16" t="n"/>
      <c r="AS33" s="138" t="n"/>
      <c r="AT33" s="16" t="n"/>
      <c r="AU33" s="138" t="n"/>
      <c r="AV33" s="16" t="n"/>
      <c r="AW33" s="138" t="n"/>
      <c r="AX33" s="16" t="n"/>
      <c r="AY33" s="138" t="n"/>
      <c r="AZ33" s="16">
        <f>AF33+AH33+AJ33+AL33+AN33+AP33+AR33+AT33+AV33+AX33</f>
        <v/>
      </c>
      <c r="BA33" s="16" t="n"/>
      <c r="BB33" s="139" t="n"/>
      <c r="BC33" s="16" t="n"/>
      <c r="BD33" s="139" t="n"/>
      <c r="BE33" s="16">
        <f>(BA33+BC33)</f>
        <v/>
      </c>
    </row>
    <row r="34" ht="24" customHeight="1" s="122">
      <c r="A34" s="9" t="n"/>
      <c r="B34" s="136" t="inlineStr">
        <is>
          <t>저항</t>
        </is>
      </c>
      <c r="C34" s="137" t="inlineStr">
        <is>
          <t>DX3000, ADX4000W</t>
        </is>
      </c>
      <c r="D34" s="64" t="inlineStr">
        <is>
          <t>15㏀ 고압용 저항</t>
        </is>
      </c>
      <c r="E34" s="11" t="inlineStr">
        <is>
          <t>15㏀±1％, DIP-1/4W</t>
        </is>
      </c>
      <c r="F34" s="99" t="n"/>
      <c r="G34" s="9" t="n"/>
      <c r="H34" s="9" t="inlineStr">
        <is>
          <t>HLP</t>
        </is>
      </c>
      <c r="I34" s="14" t="n"/>
      <c r="J34" s="14" t="n"/>
      <c r="K34" s="12" t="n">
        <v>0</v>
      </c>
      <c r="L34" s="9" t="n"/>
      <c r="M34" s="9" t="n"/>
      <c r="N34" s="9" t="n"/>
      <c r="O34" s="40">
        <f>K34+V34-AE34-AZ34</f>
        <v/>
      </c>
      <c r="P34" s="12" t="n"/>
      <c r="Q34" s="138" t="n"/>
      <c r="R34" s="16" t="n"/>
      <c r="S34" s="139" t="n"/>
      <c r="T34" s="16" t="n"/>
      <c r="U34" s="139" t="n"/>
      <c r="V34" s="16">
        <f>P34+R34+T34</f>
        <v/>
      </c>
      <c r="W34" s="16" t="n"/>
      <c r="X34" s="139" t="n"/>
      <c r="Y34" s="16" t="n"/>
      <c r="Z34" s="139" t="n"/>
      <c r="AA34" s="16" t="n"/>
      <c r="AB34" s="139" t="n"/>
      <c r="AC34" s="16" t="n"/>
      <c r="AD34" s="139" t="n"/>
      <c r="AE34" s="16">
        <f>(W34+Y34+AA34+AC34)</f>
        <v/>
      </c>
      <c r="AF34" s="16" t="n"/>
      <c r="AG34" s="138" t="n"/>
      <c r="AH34" s="16" t="n"/>
      <c r="AI34" s="138" t="n"/>
      <c r="AJ34" s="16" t="n"/>
      <c r="AK34" s="138" t="n"/>
      <c r="AL34" s="16" t="n"/>
      <c r="AM34" s="138" t="n"/>
      <c r="AN34" s="16" t="n"/>
      <c r="AO34" s="138" t="n"/>
      <c r="AP34" s="16" t="n"/>
      <c r="AQ34" s="138" t="n"/>
      <c r="AR34" s="16" t="n"/>
      <c r="AS34" s="138" t="n"/>
      <c r="AT34" s="16" t="n"/>
      <c r="AU34" s="138" t="n"/>
      <c r="AV34" s="16" t="n"/>
      <c r="AW34" s="138" t="n"/>
      <c r="AX34" s="16" t="n"/>
      <c r="AY34" s="138" t="n"/>
      <c r="AZ34" s="16">
        <f>AF34+AH34+AJ34+AL34+AN34+AP34+AR34+AT34+AV34+AX34</f>
        <v/>
      </c>
      <c r="BA34" s="16" t="n"/>
      <c r="BB34" s="139" t="n"/>
      <c r="BC34" s="16" t="n"/>
      <c r="BD34" s="139" t="n"/>
      <c r="BE34" s="16">
        <f>(BA34+BC34)</f>
        <v/>
      </c>
    </row>
    <row r="35" ht="36" customHeight="1" s="122">
      <c r="A35" s="9" t="n"/>
      <c r="B35" s="136" t="inlineStr">
        <is>
          <t>저항</t>
        </is>
      </c>
      <c r="C35" s="137" t="inlineStr">
        <is>
          <t>DX3000, ADX4000W ADX6000</t>
        </is>
      </c>
      <c r="D35" s="64" t="inlineStr">
        <is>
          <t>30㏀ 고압용 저항</t>
        </is>
      </c>
      <c r="E35" s="11" t="inlineStr">
        <is>
          <t>30㏀±1％, DIP-1/4W</t>
        </is>
      </c>
      <c r="F35" s="99" t="n"/>
      <c r="G35" s="9" t="n"/>
      <c r="H35" s="9" t="inlineStr">
        <is>
          <t>HLP</t>
        </is>
      </c>
      <c r="I35" s="14" t="n"/>
      <c r="J35" s="14" t="n"/>
      <c r="K35" s="12" t="n">
        <v>0</v>
      </c>
      <c r="L35" s="9" t="n"/>
      <c r="M35" s="9" t="n"/>
      <c r="N35" s="9" t="n"/>
      <c r="O35" s="40">
        <f>K35+V35-AE35-AZ35</f>
        <v/>
      </c>
      <c r="P35" s="12" t="n"/>
      <c r="Q35" s="138" t="n"/>
      <c r="R35" s="16" t="n"/>
      <c r="S35" s="139" t="n"/>
      <c r="T35" s="16" t="n"/>
      <c r="U35" s="139" t="n"/>
      <c r="V35" s="16">
        <f>P35+R35+T35</f>
        <v/>
      </c>
      <c r="W35" s="16" t="n"/>
      <c r="X35" s="139" t="n"/>
      <c r="Y35" s="16" t="n"/>
      <c r="Z35" s="139" t="n"/>
      <c r="AA35" s="16" t="n"/>
      <c r="AB35" s="139" t="n"/>
      <c r="AC35" s="16" t="n"/>
      <c r="AD35" s="139" t="n"/>
      <c r="AE35" s="16">
        <f>(W35+Y35+AA35+AC35)</f>
        <v/>
      </c>
      <c r="AF35" s="16" t="n"/>
      <c r="AG35" s="138" t="n"/>
      <c r="AH35" s="16" t="n"/>
      <c r="AI35" s="138" t="n"/>
      <c r="AJ35" s="16" t="n"/>
      <c r="AK35" s="138" t="n"/>
      <c r="AL35" s="16" t="n"/>
      <c r="AM35" s="138" t="n"/>
      <c r="AN35" s="16" t="n"/>
      <c r="AO35" s="138" t="n"/>
      <c r="AP35" s="16" t="n"/>
      <c r="AQ35" s="138" t="n"/>
      <c r="AR35" s="16" t="n"/>
      <c r="AS35" s="138" t="n"/>
      <c r="AT35" s="16" t="n"/>
      <c r="AU35" s="138" t="n"/>
      <c r="AV35" s="16" t="n"/>
      <c r="AW35" s="138" t="n"/>
      <c r="AX35" s="16" t="n"/>
      <c r="AY35" s="138" t="n"/>
      <c r="AZ35" s="16">
        <f>AF35+AH35+AJ35+AL35+AN35+AP35+AR35+AT35+AV35+AX35</f>
        <v/>
      </c>
      <c r="BA35" s="16" t="n"/>
      <c r="BB35" s="139" t="n"/>
      <c r="BC35" s="16" t="n"/>
      <c r="BD35" s="139" t="n"/>
      <c r="BE35" s="16">
        <f>(BA35+BC35)</f>
        <v/>
      </c>
    </row>
    <row r="36">
      <c r="A36" s="9" t="n"/>
      <c r="B36" s="136" t="inlineStr">
        <is>
          <t>저항</t>
        </is>
      </c>
      <c r="C36" s="137" t="inlineStr">
        <is>
          <t>ADX6000</t>
        </is>
      </c>
      <c r="D36" s="65" t="inlineStr">
        <is>
          <t>500Ω 고압용 저항</t>
        </is>
      </c>
      <c r="E36" s="11" t="inlineStr">
        <is>
          <t>500Ω±1％, DIP-1/4W</t>
        </is>
      </c>
      <c r="F36" s="99" t="n"/>
      <c r="G36" s="9" t="n"/>
      <c r="H36" s="9" t="inlineStr">
        <is>
          <t>HLP</t>
        </is>
      </c>
      <c r="I36" s="14" t="n"/>
      <c r="J36" s="14" t="n"/>
      <c r="K36" s="12" t="n">
        <v>5000</v>
      </c>
      <c r="L36" s="9" t="n"/>
      <c r="M36" s="9" t="n"/>
      <c r="N36" s="9" t="n"/>
      <c r="O36" s="40">
        <f>K36+V36-AE36-AZ36</f>
        <v/>
      </c>
      <c r="P36" s="12" t="n"/>
      <c r="Q36" s="138" t="n"/>
      <c r="R36" s="16" t="n"/>
      <c r="S36" s="139" t="n"/>
      <c r="T36" s="16" t="n"/>
      <c r="U36" s="139" t="n"/>
      <c r="V36" s="16">
        <f>P36+R36+T36</f>
        <v/>
      </c>
      <c r="W36" s="16" t="n"/>
      <c r="X36" s="139" t="n"/>
      <c r="Y36" s="16" t="n"/>
      <c r="Z36" s="139" t="n"/>
      <c r="AA36" s="16" t="n"/>
      <c r="AB36" s="139" t="n"/>
      <c r="AC36" s="16" t="n"/>
      <c r="AD36" s="139" t="n"/>
      <c r="AE36" s="16">
        <f>(W36+Y36+AA36+AC36)</f>
        <v/>
      </c>
      <c r="AF36" s="16" t="n"/>
      <c r="AG36" s="138" t="n"/>
      <c r="AH36" s="16" t="n"/>
      <c r="AI36" s="138" t="n"/>
      <c r="AJ36" s="16" t="n"/>
      <c r="AK36" s="138" t="n"/>
      <c r="AL36" s="16" t="n"/>
      <c r="AM36" s="138" t="n"/>
      <c r="AN36" s="16" t="n"/>
      <c r="AO36" s="138" t="n"/>
      <c r="AP36" s="16" t="n"/>
      <c r="AQ36" s="138" t="n"/>
      <c r="AR36" s="16" t="n"/>
      <c r="AS36" s="138" t="n"/>
      <c r="AT36" s="16" t="n"/>
      <c r="AU36" s="138" t="n"/>
      <c r="AV36" s="16" t="n"/>
      <c r="AW36" s="138" t="n"/>
      <c r="AX36" s="16" t="n"/>
      <c r="AY36" s="138" t="n"/>
      <c r="AZ36" s="16">
        <f>AF36+AH36+AJ36+AL36+AN36+AP36+AR36+AT36+AV36+AX36</f>
        <v/>
      </c>
      <c r="BA36" s="16" t="n"/>
      <c r="BB36" s="139" t="n"/>
      <c r="BC36" s="16" t="n"/>
      <c r="BD36" s="139" t="n"/>
      <c r="BE36" s="16">
        <f>(BA36+BC36)</f>
        <v/>
      </c>
    </row>
    <row r="37" ht="24" customHeight="1" s="122">
      <c r="A37" s="9" t="n"/>
      <c r="B37" s="136" t="inlineStr">
        <is>
          <t>저항</t>
        </is>
      </c>
      <c r="C37" s="137" t="inlineStr">
        <is>
          <t>DX3000, ADX4000W</t>
        </is>
      </c>
      <c r="D37" s="63" t="inlineStr">
        <is>
          <t>1.7W,10kV 시멘트저항 짧은 것</t>
        </is>
      </c>
      <c r="E37" s="11" t="inlineStr">
        <is>
          <t>RK92-11XD 307J (1.7W,10kV,±5%,300ppm,Flat)</t>
        </is>
      </c>
      <c r="F37" s="99" t="n"/>
      <c r="G37" s="9" t="n"/>
      <c r="H37" s="9" t="inlineStr">
        <is>
          <t>비지티</t>
        </is>
      </c>
      <c r="I37" s="14" t="n"/>
      <c r="J37" s="14" t="n"/>
      <c r="K37" s="12" t="n">
        <v>0</v>
      </c>
      <c r="L37" s="9" t="n"/>
      <c r="M37" s="9" t="n"/>
      <c r="N37" s="9" t="n"/>
      <c r="O37" s="40">
        <f>K37+V37-AE37-AZ37</f>
        <v/>
      </c>
      <c r="P37" s="12" t="n"/>
      <c r="Q37" s="138" t="n"/>
      <c r="R37" s="16" t="n"/>
      <c r="S37" s="139" t="n"/>
      <c r="T37" s="16" t="n"/>
      <c r="U37" s="139" t="n"/>
      <c r="V37" s="16">
        <f>P37+R37+T37</f>
        <v/>
      </c>
      <c r="W37" s="16" t="n"/>
      <c r="X37" s="139" t="n"/>
      <c r="Y37" s="16" t="n"/>
      <c r="Z37" s="139" t="n"/>
      <c r="AA37" s="16" t="n"/>
      <c r="AB37" s="139" t="n"/>
      <c r="AC37" s="16" t="n"/>
      <c r="AD37" s="139" t="n"/>
      <c r="AE37" s="16">
        <f>(W37+Y37+AA37+AC37)</f>
        <v/>
      </c>
      <c r="AF37" s="16" t="n"/>
      <c r="AG37" s="138" t="n"/>
      <c r="AH37" s="16" t="n"/>
      <c r="AI37" s="138" t="n"/>
      <c r="AJ37" s="16" t="n"/>
      <c r="AK37" s="138" t="n"/>
      <c r="AL37" s="16" t="n"/>
      <c r="AM37" s="138" t="n"/>
      <c r="AN37" s="16" t="n"/>
      <c r="AO37" s="138" t="n"/>
      <c r="AP37" s="16" t="n"/>
      <c r="AQ37" s="138" t="n"/>
      <c r="AR37" s="16" t="n"/>
      <c r="AS37" s="138" t="n"/>
      <c r="AT37" s="16" t="n"/>
      <c r="AU37" s="138" t="n"/>
      <c r="AV37" s="16" t="n"/>
      <c r="AW37" s="138" t="n"/>
      <c r="AX37" s="16" t="n"/>
      <c r="AY37" s="138" t="n"/>
      <c r="AZ37" s="16">
        <f>AF37+AH37+AJ37+AL37+AN37+AP37+AR37+AT37+AV37+AX37</f>
        <v/>
      </c>
      <c r="BA37" s="16" t="n"/>
      <c r="BB37" s="139" t="n"/>
      <c r="BC37" s="16" t="n"/>
      <c r="BD37" s="139" t="n"/>
      <c r="BE37" s="16">
        <f>(BA37+BC37)</f>
        <v/>
      </c>
    </row>
    <row r="38">
      <c r="A38" s="9" t="n"/>
      <c r="B38" s="136" t="inlineStr">
        <is>
          <t>저항</t>
        </is>
      </c>
      <c r="C38" s="137" t="inlineStr">
        <is>
          <t>COCOON</t>
        </is>
      </c>
      <c r="D38" s="60" t="inlineStr">
        <is>
          <t>2.7W,15kV 시멘트저항 긴 것</t>
        </is>
      </c>
      <c r="E38" s="11" t="inlineStr">
        <is>
          <t xml:space="preserve">RK92-18XD 307J (2.7W,15kV,±5%,300ppm,Flat) </t>
        </is>
      </c>
      <c r="F38" s="99" t="n"/>
      <c r="G38" s="9" t="n"/>
      <c r="H38" s="9" t="inlineStr">
        <is>
          <t>비지티</t>
        </is>
      </c>
      <c r="I38" s="14" t="n"/>
      <c r="J38" s="14" t="n"/>
      <c r="K38" s="12" t="n">
        <v>0</v>
      </c>
      <c r="L38" s="9" t="n"/>
      <c r="M38" s="9" t="n"/>
      <c r="N38" s="9" t="n"/>
      <c r="O38" s="40">
        <f>K38+V38-AE38-AZ38</f>
        <v/>
      </c>
      <c r="P38" s="12" t="n"/>
      <c r="Q38" s="138" t="n"/>
      <c r="R38" s="16" t="n"/>
      <c r="S38" s="139" t="n"/>
      <c r="T38" s="16" t="n"/>
      <c r="U38" s="139" t="n"/>
      <c r="V38" s="16">
        <f>P38+R38+T38</f>
        <v/>
      </c>
      <c r="W38" s="16" t="n"/>
      <c r="X38" s="139" t="n"/>
      <c r="Y38" s="16" t="n"/>
      <c r="Z38" s="139" t="n"/>
      <c r="AA38" s="16" t="n"/>
      <c r="AB38" s="139" t="n"/>
      <c r="AC38" s="16" t="n"/>
      <c r="AD38" s="139" t="n"/>
      <c r="AE38" s="16">
        <f>(W38+Y38+AA38+AC38)</f>
        <v/>
      </c>
      <c r="AF38" s="16" t="n"/>
      <c r="AG38" s="138" t="n"/>
      <c r="AH38" s="16" t="n"/>
      <c r="AI38" s="138" t="n"/>
      <c r="AJ38" s="16" t="n"/>
      <c r="AK38" s="138" t="n"/>
      <c r="AL38" s="16" t="n"/>
      <c r="AM38" s="138" t="n"/>
      <c r="AN38" s="16" t="n"/>
      <c r="AO38" s="138" t="n"/>
      <c r="AP38" s="16" t="n"/>
      <c r="AQ38" s="138" t="n"/>
      <c r="AR38" s="16" t="n"/>
      <c r="AS38" s="138" t="n"/>
      <c r="AT38" s="16" t="n"/>
      <c r="AU38" s="138" t="n"/>
      <c r="AV38" s="16" t="n"/>
      <c r="AW38" s="138" t="n"/>
      <c r="AX38" s="16" t="n"/>
      <c r="AY38" s="138" t="n"/>
      <c r="AZ38" s="16">
        <f>AF38+AH38+AJ38+AL38+AN38+AP38+AR38+AT38+AV38+AX38</f>
        <v/>
      </c>
      <c r="BA38" s="16" t="n"/>
      <c r="BB38" s="139" t="n"/>
      <c r="BC38" s="16" t="n"/>
      <c r="BD38" s="139" t="n"/>
      <c r="BE38" s="16">
        <f>(BA38+BC38)</f>
        <v/>
      </c>
    </row>
    <row r="39" ht="36" customHeight="1" s="122">
      <c r="A39" s="9" t="n"/>
      <c r="B39" s="136" t="inlineStr">
        <is>
          <t>저항</t>
        </is>
      </c>
      <c r="C39" s="137" t="inlineStr">
        <is>
          <t>DX3000, ADX4000W ADX6000</t>
        </is>
      </c>
      <c r="D39" s="60" t="inlineStr">
        <is>
          <t>47k Surge 저항</t>
        </is>
      </c>
      <c r="E39" s="11" t="inlineStr">
        <is>
          <t>HPC-2C 47k/Surge</t>
        </is>
      </c>
      <c r="F39" s="99" t="n"/>
      <c r="G39" s="9" t="n"/>
      <c r="H39" s="9" t="inlineStr">
        <is>
          <t>비지티</t>
        </is>
      </c>
      <c r="I39" s="14" t="n"/>
      <c r="J39" s="14" t="n"/>
      <c r="K39" s="12" t="n">
        <v>0</v>
      </c>
      <c r="L39" s="9" t="n"/>
      <c r="M39" s="9" t="n"/>
      <c r="N39" s="9" t="n"/>
      <c r="O39" s="40">
        <f>K39+V39-AE39-AZ39</f>
        <v/>
      </c>
      <c r="P39" s="16" t="n"/>
      <c r="Q39" s="138" t="n"/>
      <c r="R39" s="16" t="n"/>
      <c r="S39" s="139" t="n"/>
      <c r="T39" s="16" t="n"/>
      <c r="U39" s="139" t="n"/>
      <c r="V39" s="16">
        <f>P39+R39+T39</f>
        <v/>
      </c>
      <c r="W39" s="16" t="n"/>
      <c r="X39" s="139" t="n"/>
      <c r="Y39" s="16" t="n"/>
      <c r="Z39" s="139" t="n"/>
      <c r="AA39" s="16" t="n"/>
      <c r="AB39" s="139" t="n"/>
      <c r="AC39" s="16" t="n"/>
      <c r="AD39" s="139" t="n"/>
      <c r="AE39" s="16">
        <f>(W39+Y39+AA39+AC39)</f>
        <v/>
      </c>
      <c r="AF39" s="16" t="n"/>
      <c r="AG39" s="138" t="n"/>
      <c r="AH39" s="16" t="n"/>
      <c r="AI39" s="138" t="n"/>
      <c r="AJ39" s="16" t="n"/>
      <c r="AK39" s="138" t="n"/>
      <c r="AL39" s="16" t="n"/>
      <c r="AM39" s="138" t="n"/>
      <c r="AN39" s="16" t="n"/>
      <c r="AO39" s="138" t="n"/>
      <c r="AP39" s="16" t="n"/>
      <c r="AQ39" s="138" t="n"/>
      <c r="AR39" s="16" t="n"/>
      <c r="AS39" s="138" t="n"/>
      <c r="AT39" s="16" t="n"/>
      <c r="AU39" s="138" t="n"/>
      <c r="AV39" s="16" t="n"/>
      <c r="AW39" s="138" t="n"/>
      <c r="AX39" s="16" t="n"/>
      <c r="AY39" s="138" t="n"/>
      <c r="AZ39" s="16">
        <f>AF39+AH39+AJ39+AL39+AN39+AP39+AR39+AT39+AV39+AX39</f>
        <v/>
      </c>
      <c r="BA39" s="16" t="n"/>
      <c r="BB39" s="139" t="n"/>
      <c r="BC39" s="16" t="n"/>
      <c r="BD39" s="139" t="n"/>
      <c r="BE39" s="16">
        <f>(BA39+BC39)</f>
        <v/>
      </c>
    </row>
    <row r="40" ht="36" customHeight="1" s="122">
      <c r="A40" s="9" t="n"/>
      <c r="B40" s="136" t="inlineStr">
        <is>
          <t>세라믹</t>
        </is>
      </c>
      <c r="C40" s="137" t="inlineStr">
        <is>
          <t>DX3000, ADX4000W ADX6000</t>
        </is>
      </c>
      <c r="D40" s="64" t="inlineStr">
        <is>
          <t>100nF 칩세라믹 콘덴서</t>
        </is>
      </c>
      <c r="E40" s="11" t="inlineStr">
        <is>
          <t>3216B 100nF</t>
        </is>
      </c>
      <c r="F40" s="99" t="n"/>
      <c r="G40" s="9" t="n"/>
      <c r="H40" s="9" t="inlineStr">
        <is>
          <t>HLP</t>
        </is>
      </c>
      <c r="I40" s="14" t="n"/>
      <c r="J40" s="14" t="n"/>
      <c r="K40" s="12" t="n">
        <v>4000</v>
      </c>
      <c r="L40" s="9" t="n"/>
      <c r="M40" s="9" t="n"/>
      <c r="N40" s="9" t="n"/>
      <c r="O40" s="40">
        <f>K40+V40-AE40-AZ40</f>
        <v/>
      </c>
      <c r="P40" s="12" t="n"/>
      <c r="Q40" s="138" t="n"/>
      <c r="R40" s="16" t="n"/>
      <c r="S40" s="139" t="n"/>
      <c r="T40" s="16" t="n"/>
      <c r="U40" s="139" t="n"/>
      <c r="V40" s="16">
        <f>P40+R40+T40</f>
        <v/>
      </c>
      <c r="W40" s="16" t="n"/>
      <c r="X40" s="139" t="n"/>
      <c r="Y40" s="16" t="n"/>
      <c r="Z40" s="139" t="n"/>
      <c r="AA40" s="16" t="n"/>
      <c r="AB40" s="139" t="n"/>
      <c r="AC40" s="16" t="n"/>
      <c r="AD40" s="139" t="n"/>
      <c r="AE40" s="16">
        <f>(W40+Y40+AA40+AC40)</f>
        <v/>
      </c>
      <c r="AF40" s="16" t="n"/>
      <c r="AG40" s="138" t="n"/>
      <c r="AH40" s="16" t="n"/>
      <c r="AI40" s="138" t="n"/>
      <c r="AJ40" s="16" t="n"/>
      <c r="AK40" s="138" t="n"/>
      <c r="AL40" s="16" t="n"/>
      <c r="AM40" s="138" t="n"/>
      <c r="AN40" s="16" t="n"/>
      <c r="AO40" s="138" t="n"/>
      <c r="AP40" s="16" t="n"/>
      <c r="AQ40" s="138" t="n"/>
      <c r="AR40" s="16" t="n"/>
      <c r="AS40" s="138" t="n"/>
      <c r="AT40" s="16" t="n"/>
      <c r="AU40" s="138" t="n"/>
      <c r="AV40" s="16" t="n"/>
      <c r="AW40" s="138" t="n"/>
      <c r="AX40" s="16" t="n"/>
      <c r="AY40" s="138" t="n"/>
      <c r="AZ40" s="16">
        <f>AF40+AH40+AJ40+AL40+AN40+AP40+AR40+AT40+AV40+AX40</f>
        <v/>
      </c>
      <c r="BA40" s="16" t="n"/>
      <c r="BB40" s="139" t="n"/>
      <c r="BC40" s="16" t="n"/>
      <c r="BD40" s="139" t="n"/>
      <c r="BE40" s="16">
        <f>(BA40+BC40)</f>
        <v/>
      </c>
    </row>
    <row r="41" ht="36" customHeight="1" s="122">
      <c r="A41" s="9" t="n"/>
      <c r="B41" s="136" t="inlineStr">
        <is>
          <t>세라믹</t>
        </is>
      </c>
      <c r="C41" s="137" t="inlineStr">
        <is>
          <t>DX3000, ADX4000W ADX6000</t>
        </is>
      </c>
      <c r="D41" s="64" t="inlineStr">
        <is>
          <t>103Z 고압용 세라믹 콘덴서</t>
        </is>
      </c>
      <c r="E41" s="11" t="inlineStr">
        <is>
          <t>50V F103Z</t>
        </is>
      </c>
      <c r="F41" s="99" t="n"/>
      <c r="G41" s="9" t="n"/>
      <c r="H41" s="9" t="inlineStr">
        <is>
          <t>HLP</t>
        </is>
      </c>
      <c r="I41" s="14" t="n"/>
      <c r="J41" s="14" t="n"/>
      <c r="K41" s="12" t="n">
        <v>5000</v>
      </c>
      <c r="L41" s="9" t="n"/>
      <c r="M41" s="9" t="n"/>
      <c r="N41" s="9" t="n"/>
      <c r="O41" s="40">
        <f>K41+V41-AE41-AZ41</f>
        <v/>
      </c>
      <c r="P41" s="12" t="n"/>
      <c r="Q41" s="138" t="n"/>
      <c r="R41" s="16" t="n"/>
      <c r="S41" s="139" t="n"/>
      <c r="T41" s="16" t="n"/>
      <c r="U41" s="139" t="n"/>
      <c r="V41" s="16">
        <f>P41+R41+T41</f>
        <v/>
      </c>
      <c r="W41" s="16" t="n"/>
      <c r="X41" s="139" t="n"/>
      <c r="Y41" s="16" t="n"/>
      <c r="Z41" s="139" t="n"/>
      <c r="AA41" s="16" t="n"/>
      <c r="AB41" s="139" t="n"/>
      <c r="AC41" s="16" t="n"/>
      <c r="AD41" s="139" t="n"/>
      <c r="AE41" s="16">
        <f>(W41+Y41+AA41+AC41)</f>
        <v/>
      </c>
      <c r="AF41" s="16" t="n"/>
      <c r="AG41" s="138" t="n"/>
      <c r="AH41" s="16" t="n"/>
      <c r="AI41" s="138" t="n"/>
      <c r="AJ41" s="16" t="n"/>
      <c r="AK41" s="138" t="n"/>
      <c r="AL41" s="16" t="n"/>
      <c r="AM41" s="138" t="n"/>
      <c r="AN41" s="16" t="n"/>
      <c r="AO41" s="138" t="n"/>
      <c r="AP41" s="16" t="n"/>
      <c r="AQ41" s="138" t="n"/>
      <c r="AR41" s="16" t="n"/>
      <c r="AS41" s="138" t="n"/>
      <c r="AT41" s="16" t="n"/>
      <c r="AU41" s="138" t="n"/>
      <c r="AV41" s="16" t="n"/>
      <c r="AW41" s="138" t="n"/>
      <c r="AX41" s="16" t="n"/>
      <c r="AY41" s="138" t="n"/>
      <c r="AZ41" s="16">
        <f>AF41+AH41+AJ41+AL41+AN41+AP41+AR41+AT41+AV41+AX41</f>
        <v/>
      </c>
      <c r="BA41" s="16" t="n"/>
      <c r="BB41" s="139" t="n"/>
      <c r="BC41" s="16" t="n"/>
      <c r="BD41" s="139" t="n"/>
      <c r="BE41" s="16">
        <f>(BA41+BC41)</f>
        <v/>
      </c>
    </row>
    <row r="42" ht="24" customHeight="1" s="122">
      <c r="A42" s="9" t="n"/>
      <c r="B42" s="136" t="inlineStr">
        <is>
          <t>세라믹</t>
        </is>
      </c>
      <c r="C42" s="137" t="inlineStr">
        <is>
          <t>DX3000, ADX4000W</t>
        </is>
      </c>
      <c r="D42" s="64" t="inlineStr">
        <is>
          <t>세라믹 큰 콘덴서</t>
        </is>
      </c>
      <c r="E42" s="11" t="inlineStr">
        <is>
          <t>DHR4E4C102K2FB</t>
        </is>
      </c>
      <c r="F42" s="99" t="n"/>
      <c r="G42" s="9" t="n"/>
      <c r="H42" s="9" t="inlineStr">
        <is>
          <t>비지티, HLP</t>
        </is>
      </c>
      <c r="I42" s="14" t="n"/>
      <c r="J42" s="14" t="n"/>
      <c r="K42" s="12" t="n">
        <v>2050</v>
      </c>
      <c r="L42" s="9" t="n"/>
      <c r="M42" s="9" t="n"/>
      <c r="N42" s="9" t="n"/>
      <c r="O42" s="40">
        <f>K42+V42-AE42-AZ42</f>
        <v/>
      </c>
      <c r="P42" s="12" t="n"/>
      <c r="Q42" s="138" t="n"/>
      <c r="R42" s="16" t="n"/>
      <c r="S42" s="139" t="n"/>
      <c r="T42" s="16" t="n"/>
      <c r="U42" s="139" t="n"/>
      <c r="V42" s="16">
        <f>P42+R42+T42</f>
        <v/>
      </c>
      <c r="W42" s="16" t="n"/>
      <c r="X42" s="139" t="n"/>
      <c r="Y42" s="16" t="n"/>
      <c r="Z42" s="139" t="n"/>
      <c r="AA42" s="16" t="n"/>
      <c r="AB42" s="139" t="n"/>
      <c r="AC42" s="16" t="n"/>
      <c r="AD42" s="139" t="n"/>
      <c r="AE42" s="16">
        <f>(W42+Y42+AA42+AC42)</f>
        <v/>
      </c>
      <c r="AF42" s="16" t="n"/>
      <c r="AG42" s="138" t="n"/>
      <c r="AH42" s="16" t="n"/>
      <c r="AI42" s="138" t="n"/>
      <c r="AJ42" s="16" t="n"/>
      <c r="AK42" s="138" t="n"/>
      <c r="AL42" s="16" t="n"/>
      <c r="AM42" s="138" t="n"/>
      <c r="AN42" s="16" t="n"/>
      <c r="AO42" s="138" t="n"/>
      <c r="AP42" s="16" t="n"/>
      <c r="AQ42" s="138" t="n"/>
      <c r="AR42" s="16" t="n"/>
      <c r="AS42" s="138" t="n"/>
      <c r="AT42" s="16" t="n"/>
      <c r="AU42" s="138" t="n"/>
      <c r="AV42" s="16" t="n"/>
      <c r="AW42" s="138" t="n"/>
      <c r="AX42" s="16" t="n"/>
      <c r="AY42" s="138" t="n"/>
      <c r="AZ42" s="16">
        <f>AF42+AH42+AJ42+AL42+AN42+AP42+AR42+AT42+AV42+AX42</f>
        <v/>
      </c>
      <c r="BA42" s="16" t="n"/>
      <c r="BB42" s="139" t="n"/>
      <c r="BC42" s="16" t="n"/>
      <c r="BD42" s="139" t="n"/>
      <c r="BE42" s="16">
        <f>(BA42+BC42)</f>
        <v/>
      </c>
    </row>
    <row r="43" ht="24" customHeight="1" s="122">
      <c r="A43" s="9" t="n"/>
      <c r="B43" s="136" t="inlineStr">
        <is>
          <t>세라믹</t>
        </is>
      </c>
      <c r="C43" s="137" t="inlineStr">
        <is>
          <t>COCOON, 
ADX6000</t>
        </is>
      </c>
      <c r="D43" s="64" t="inlineStr">
        <is>
          <t>세라믹 작은 콘덴서 Murata</t>
        </is>
      </c>
      <c r="E43" s="11" t="inlineStr">
        <is>
          <t>680pF DHR4E4C681K2BB</t>
        </is>
      </c>
      <c r="F43" s="99" t="n"/>
      <c r="G43" s="9" t="n"/>
      <c r="H43" s="9" t="inlineStr">
        <is>
          <t>비지티, HLP</t>
        </is>
      </c>
      <c r="I43" s="14" t="n"/>
      <c r="J43" s="14" t="n"/>
      <c r="K43" s="12" t="n">
        <v>0</v>
      </c>
      <c r="L43" s="9" t="n"/>
      <c r="M43" s="9" t="n"/>
      <c r="N43" s="9" t="n"/>
      <c r="O43" s="40">
        <f>K43+V43-AE43-AZ43</f>
        <v/>
      </c>
      <c r="P43" s="12" t="n"/>
      <c r="Q43" s="138" t="n"/>
      <c r="R43" s="16" t="n"/>
      <c r="S43" s="139" t="n"/>
      <c r="T43" s="16" t="n"/>
      <c r="U43" s="139" t="n"/>
      <c r="V43" s="16">
        <f>P43+R43+T43</f>
        <v/>
      </c>
      <c r="W43" s="16" t="n"/>
      <c r="X43" s="139" t="n"/>
      <c r="Y43" s="16" t="n"/>
      <c r="Z43" s="139" t="n"/>
      <c r="AA43" s="16" t="n"/>
      <c r="AB43" s="139" t="n"/>
      <c r="AC43" s="16" t="n"/>
      <c r="AD43" s="139" t="n"/>
      <c r="AE43" s="16">
        <f>(W43+Y43+AA43+AC43)</f>
        <v/>
      </c>
      <c r="AF43" s="16" t="n"/>
      <c r="AG43" s="138" t="n"/>
      <c r="AH43" s="16" t="n"/>
      <c r="AI43" s="138" t="n"/>
      <c r="AJ43" s="16" t="n"/>
      <c r="AK43" s="138" t="n"/>
      <c r="AL43" s="16" t="n"/>
      <c r="AM43" s="138" t="n"/>
      <c r="AN43" s="16" t="n"/>
      <c r="AO43" s="138" t="n"/>
      <c r="AP43" s="16" t="n"/>
      <c r="AQ43" s="138" t="n"/>
      <c r="AR43" s="16" t="n"/>
      <c r="AS43" s="138" t="n"/>
      <c r="AT43" s="16" t="n"/>
      <c r="AU43" s="138" t="n"/>
      <c r="AV43" s="16" t="n"/>
      <c r="AW43" s="138" t="n"/>
      <c r="AX43" s="16" t="n"/>
      <c r="AY43" s="138" t="n"/>
      <c r="AZ43" s="16">
        <f>AF43+AH43+AJ43+AL43+AN43+AP43+AR43+AT43+AV43+AX43</f>
        <v/>
      </c>
      <c r="BA43" s="16" t="n"/>
      <c r="BB43" s="139" t="n"/>
      <c r="BC43" s="16" t="n"/>
      <c r="BD43" s="139" t="n"/>
      <c r="BE43" s="16">
        <f>(BA43+BC43)</f>
        <v/>
      </c>
    </row>
    <row r="44" ht="24" customHeight="1" s="122">
      <c r="A44" s="9" t="n"/>
      <c r="B44" s="136" t="inlineStr">
        <is>
          <t>세라믹</t>
        </is>
      </c>
      <c r="C44" s="137" t="inlineStr">
        <is>
          <t>COCOON, 
ADX6000</t>
        </is>
      </c>
      <c r="D44" s="64" t="inlineStr">
        <is>
          <t>세라믹 작은 콘덴서 Vishay</t>
        </is>
      </c>
      <c r="E44" s="11" t="inlineStr">
        <is>
          <t>HVCC203Y6P681MCAX</t>
        </is>
      </c>
      <c r="F44" s="99" t="n"/>
      <c r="G44" s="9" t="n"/>
      <c r="H44" s="9" t="inlineStr">
        <is>
          <t>HLP</t>
        </is>
      </c>
      <c r="I44" s="14" t="n"/>
      <c r="J44" s="14" t="n"/>
      <c r="K44" s="12" t="n">
        <v>30000</v>
      </c>
      <c r="L44" s="9" t="n"/>
      <c r="M44" s="9" t="n"/>
      <c r="N44" s="9" t="n"/>
      <c r="O44" s="40">
        <f>K44+V44-AE44-AZ44</f>
        <v/>
      </c>
      <c r="P44" s="12" t="n"/>
      <c r="Q44" s="138" t="n"/>
      <c r="R44" s="16" t="n"/>
      <c r="S44" s="139" t="n"/>
      <c r="T44" s="16" t="n"/>
      <c r="U44" s="139" t="n"/>
      <c r="V44" s="16">
        <f>P44+R44+T44</f>
        <v/>
      </c>
      <c r="W44" s="16" t="n"/>
      <c r="X44" s="139" t="n"/>
      <c r="Y44" s="16" t="n"/>
      <c r="Z44" s="139" t="n"/>
      <c r="AA44" s="16" t="n"/>
      <c r="AB44" s="139" t="n"/>
      <c r="AC44" s="16" t="n"/>
      <c r="AD44" s="139" t="n"/>
      <c r="AE44" s="16">
        <f>(W44+Y44+AA44+AC44)</f>
        <v/>
      </c>
      <c r="AF44" s="16" t="n"/>
      <c r="AG44" s="138" t="n"/>
      <c r="AH44" s="16" t="n"/>
      <c r="AI44" s="138" t="n"/>
      <c r="AJ44" s="16" t="n"/>
      <c r="AK44" s="138" t="n"/>
      <c r="AL44" s="16" t="n"/>
      <c r="AM44" s="138" t="n"/>
      <c r="AN44" s="16" t="n"/>
      <c r="AO44" s="138" t="n"/>
      <c r="AP44" s="16" t="n"/>
      <c r="AQ44" s="138" t="n"/>
      <c r="AR44" s="16" t="n"/>
      <c r="AS44" s="138" t="n"/>
      <c r="AT44" s="16" t="n"/>
      <c r="AU44" s="138" t="n"/>
      <c r="AV44" s="16" t="n"/>
      <c r="AW44" s="138" t="n"/>
      <c r="AX44" s="16" t="n"/>
      <c r="AY44" s="138" t="n"/>
      <c r="AZ44" s="16">
        <f>AF44+AH44+AJ44+AL44+AN44+AP44+AR44+AT44+AV44+AX44</f>
        <v/>
      </c>
      <c r="BA44" s="16" t="n"/>
      <c r="BB44" s="139" t="n"/>
      <c r="BC44" s="16" t="n"/>
      <c r="BD44" s="139" t="n"/>
      <c r="BE44" s="16">
        <f>(BA44+BC44)</f>
        <v/>
      </c>
    </row>
    <row r="45">
      <c r="A45" s="9" t="n"/>
      <c r="B45" s="136" t="inlineStr">
        <is>
          <t>센서</t>
        </is>
      </c>
      <c r="C45" s="137" t="inlineStr">
        <is>
          <t>COCOON</t>
        </is>
      </c>
      <c r="D45" s="60" t="inlineStr">
        <is>
          <t>온도센서</t>
        </is>
      </c>
      <c r="E45" s="11" t="inlineStr">
        <is>
          <t>LNTK103FW</t>
        </is>
      </c>
      <c r="F45" s="99" t="n"/>
      <c r="G45" s="9" t="n"/>
      <c r="H45" s="9" t="inlineStr">
        <is>
          <t>HLP</t>
        </is>
      </c>
      <c r="I45" s="14" t="n"/>
      <c r="J45" s="14" t="n"/>
      <c r="K45" s="12" t="n">
        <v>0</v>
      </c>
      <c r="L45" s="9" t="n"/>
      <c r="M45" s="9" t="n"/>
      <c r="N45" s="9" t="n"/>
      <c r="O45" s="40">
        <f>K45+V45-AE45-AZ45</f>
        <v/>
      </c>
      <c r="P45" s="12" t="n"/>
      <c r="Q45" s="138" t="n"/>
      <c r="R45" s="16" t="n"/>
      <c r="S45" s="139" t="n"/>
      <c r="T45" s="16" t="n"/>
      <c r="U45" s="139" t="n"/>
      <c r="V45" s="16">
        <f>P45+R45+T45</f>
        <v/>
      </c>
      <c r="W45" s="16" t="n"/>
      <c r="X45" s="139" t="n"/>
      <c r="Y45" s="16" t="n"/>
      <c r="Z45" s="139" t="n"/>
      <c r="AA45" s="16" t="n"/>
      <c r="AB45" s="139" t="n"/>
      <c r="AC45" s="16" t="n"/>
      <c r="AD45" s="139" t="n"/>
      <c r="AE45" s="16">
        <f>(W45+Y45+AA45+AC45)</f>
        <v/>
      </c>
      <c r="AF45" s="16" t="n"/>
      <c r="AG45" s="138" t="n"/>
      <c r="AH45" s="16" t="n"/>
      <c r="AI45" s="138" t="n"/>
      <c r="AJ45" s="16" t="n"/>
      <c r="AK45" s="138" t="n"/>
      <c r="AL45" s="16" t="n"/>
      <c r="AM45" s="138" t="n"/>
      <c r="AN45" s="16" t="n"/>
      <c r="AO45" s="138" t="n"/>
      <c r="AP45" s="16" t="n"/>
      <c r="AQ45" s="138" t="n"/>
      <c r="AR45" s="16" t="n"/>
      <c r="AS45" s="138" t="n"/>
      <c r="AT45" s="16" t="n"/>
      <c r="AU45" s="138" t="n"/>
      <c r="AV45" s="16" t="n"/>
      <c r="AW45" s="138" t="n"/>
      <c r="AX45" s="16" t="n"/>
      <c r="AY45" s="138" t="n"/>
      <c r="AZ45" s="16">
        <f>AF45+AH45+AJ45+AL45+AN45+AP45+AR45+AT45+AV45+AX45</f>
        <v/>
      </c>
      <c r="BA45" s="16" t="n"/>
      <c r="BB45" s="139" t="n"/>
      <c r="BC45" s="16" t="n"/>
      <c r="BD45" s="139" t="n"/>
      <c r="BE45" s="16">
        <f>(BA45+BC45)</f>
        <v/>
      </c>
    </row>
    <row r="46" ht="24" customHeight="1" s="122">
      <c r="A46" s="9" t="n"/>
      <c r="B46" s="136" t="inlineStr">
        <is>
          <t>트랜스</t>
        </is>
      </c>
      <c r="C46" s="137" t="inlineStr">
        <is>
          <t>DX3000, ADX4000W</t>
        </is>
      </c>
      <c r="D46" s="63" t="inlineStr">
        <is>
          <t>트랜스포머</t>
        </is>
      </c>
      <c r="E46" s="11" t="inlineStr">
        <is>
          <t>60kV</t>
        </is>
      </c>
      <c r="F46" s="99" t="n"/>
      <c r="G46" s="9" t="n"/>
      <c r="H46" s="9" t="inlineStr">
        <is>
          <t>미래메디칼</t>
        </is>
      </c>
      <c r="I46" s="14" t="n"/>
      <c r="J46" s="14" t="n"/>
      <c r="K46" s="12" t="n">
        <v>500</v>
      </c>
      <c r="L46" s="9" t="n"/>
      <c r="M46" s="9" t="n"/>
      <c r="N46" s="9" t="n"/>
      <c r="O46" s="40">
        <f>K46+V46-AE46-AZ46</f>
        <v/>
      </c>
      <c r="P46" s="12" t="n"/>
      <c r="Q46" s="138" t="n"/>
      <c r="R46" s="16" t="n"/>
      <c r="S46" s="139" t="n"/>
      <c r="T46" s="16" t="n"/>
      <c r="U46" s="139" t="n"/>
      <c r="V46" s="16">
        <f>P46+R46+T46</f>
        <v/>
      </c>
      <c r="W46" s="16" t="n"/>
      <c r="X46" s="139" t="n"/>
      <c r="Y46" s="16" t="n"/>
      <c r="Z46" s="139" t="n"/>
      <c r="AA46" s="16" t="n"/>
      <c r="AB46" s="139" t="n"/>
      <c r="AC46" s="16" t="n"/>
      <c r="AD46" s="139" t="n"/>
      <c r="AE46" s="16">
        <f>(W46+Y46+AA46+AC46)</f>
        <v/>
      </c>
      <c r="AF46" s="16" t="n"/>
      <c r="AG46" s="138" t="n"/>
      <c r="AH46" s="16" t="n"/>
      <c r="AI46" s="138" t="n"/>
      <c r="AJ46" s="16" t="n"/>
      <c r="AK46" s="138" t="n"/>
      <c r="AL46" s="16" t="n"/>
      <c r="AM46" s="138" t="n"/>
      <c r="AN46" s="16" t="n"/>
      <c r="AO46" s="138" t="n"/>
      <c r="AP46" s="16" t="n"/>
      <c r="AQ46" s="138" t="n"/>
      <c r="AR46" s="16" t="n"/>
      <c r="AS46" s="138" t="n"/>
      <c r="AT46" s="16" t="n"/>
      <c r="AU46" s="138" t="n"/>
      <c r="AV46" s="16" t="n"/>
      <c r="AW46" s="138" t="n"/>
      <c r="AX46" s="16" t="n"/>
      <c r="AY46" s="138" t="n"/>
      <c r="AZ46" s="16">
        <f>AF46+AH46+AJ46+AL46+AN46+AP46+AR46+AT46+AV46+AX46</f>
        <v/>
      </c>
      <c r="BA46" s="16" t="n"/>
      <c r="BB46" s="139" t="n"/>
      <c r="BC46" s="16" t="n"/>
      <c r="BD46" s="139" t="n"/>
      <c r="BE46" s="16">
        <f>(BA46+BC46)</f>
        <v/>
      </c>
    </row>
    <row r="47">
      <c r="A47" s="9" t="n"/>
      <c r="B47" s="136" t="inlineStr">
        <is>
          <t>트랜스</t>
        </is>
      </c>
      <c r="C47" s="137" t="inlineStr">
        <is>
          <t>COCOON</t>
        </is>
      </c>
      <c r="D47" s="66" t="inlineStr">
        <is>
          <t>트랜스포머</t>
        </is>
      </c>
      <c r="E47" s="11" t="inlineStr">
        <is>
          <t>70kV</t>
        </is>
      </c>
      <c r="F47" s="99" t="n"/>
      <c r="G47" s="9" t="n"/>
      <c r="H47" s="9" t="inlineStr">
        <is>
          <t>미래메디칼</t>
        </is>
      </c>
      <c r="I47" s="14" t="n"/>
      <c r="J47" s="14" t="n"/>
      <c r="K47" s="12" t="n">
        <v>0</v>
      </c>
      <c r="L47" s="9" t="n"/>
      <c r="M47" s="9" t="n"/>
      <c r="N47" s="9" t="n"/>
      <c r="O47" s="40">
        <f>K47+V47-AE47-AZ47</f>
        <v/>
      </c>
      <c r="P47" s="12" t="n"/>
      <c r="Q47" s="138" t="n"/>
      <c r="R47" s="16" t="n"/>
      <c r="S47" s="139" t="n"/>
      <c r="T47" s="16" t="n"/>
      <c r="U47" s="139" t="n"/>
      <c r="V47" s="16">
        <f>P47+R47+T47</f>
        <v/>
      </c>
      <c r="W47" s="16" t="n"/>
      <c r="X47" s="139" t="n"/>
      <c r="Y47" s="16" t="n"/>
      <c r="Z47" s="139" t="n"/>
      <c r="AA47" s="16" t="n"/>
      <c r="AB47" s="139" t="n"/>
      <c r="AC47" s="16" t="n"/>
      <c r="AD47" s="139" t="n"/>
      <c r="AE47" s="16">
        <f>(W47+Y47+AA47+AC47)</f>
        <v/>
      </c>
      <c r="AF47" s="16" t="n"/>
      <c r="AG47" s="138" t="n"/>
      <c r="AH47" s="16" t="n"/>
      <c r="AI47" s="138" t="n"/>
      <c r="AJ47" s="16" t="n"/>
      <c r="AK47" s="138" t="n"/>
      <c r="AL47" s="16" t="n"/>
      <c r="AM47" s="138" t="n"/>
      <c r="AN47" s="16" t="n"/>
      <c r="AO47" s="138" t="n"/>
      <c r="AP47" s="16" t="n"/>
      <c r="AQ47" s="138" t="n"/>
      <c r="AR47" s="16" t="n"/>
      <c r="AS47" s="138" t="n"/>
      <c r="AT47" s="16" t="n"/>
      <c r="AU47" s="138" t="n"/>
      <c r="AV47" s="16" t="n"/>
      <c r="AW47" s="138" t="n"/>
      <c r="AX47" s="16" t="n"/>
      <c r="AY47" s="138" t="n"/>
      <c r="AZ47" s="16">
        <f>AF47+AH47+AJ47+AL47+AN47+AP47+AR47+AT47+AV47+AX47</f>
        <v/>
      </c>
      <c r="BA47" s="16" t="n"/>
      <c r="BB47" s="139" t="n"/>
      <c r="BC47" s="16" t="n"/>
      <c r="BD47" s="139" t="n"/>
      <c r="BE47" s="16">
        <f>(BA47+BC47)</f>
        <v/>
      </c>
    </row>
    <row r="48">
      <c r="A48" s="9" t="n"/>
      <c r="B48" s="136" t="inlineStr">
        <is>
          <t>트랜스</t>
        </is>
      </c>
      <c r="C48" s="137" t="inlineStr">
        <is>
          <t>ADX6000</t>
        </is>
      </c>
      <c r="D48" s="65" t="inlineStr">
        <is>
          <t>트랜스포머 (800턴)</t>
        </is>
      </c>
      <c r="E48" s="11" t="inlineStr">
        <is>
          <t>80kV</t>
        </is>
      </c>
      <c r="F48" s="99" t="n"/>
      <c r="G48" s="9" t="n"/>
      <c r="H48" s="9" t="inlineStr">
        <is>
          <t>미래메디칼</t>
        </is>
      </c>
      <c r="I48" s="14" t="n"/>
      <c r="J48" s="14" t="n"/>
      <c r="K48" s="12" t="n">
        <v>0</v>
      </c>
      <c r="L48" s="9" t="n"/>
      <c r="M48" s="9" t="n"/>
      <c r="N48" s="9" t="n"/>
      <c r="O48" s="40">
        <f>K48+V48-AE48-AZ48</f>
        <v/>
      </c>
      <c r="P48" s="12" t="n"/>
      <c r="Q48" s="138" t="n"/>
      <c r="R48" s="16" t="n"/>
      <c r="S48" s="139" t="n"/>
      <c r="T48" s="16" t="n"/>
      <c r="U48" s="139" t="n"/>
      <c r="V48" s="16">
        <f>P48+R48+T48</f>
        <v/>
      </c>
      <c r="W48" s="16" t="n"/>
      <c r="X48" s="139" t="n"/>
      <c r="Y48" s="16" t="n"/>
      <c r="Z48" s="139" t="n"/>
      <c r="AA48" s="16" t="n"/>
      <c r="AB48" s="139" t="n"/>
      <c r="AC48" s="16" t="n"/>
      <c r="AD48" s="139" t="n"/>
      <c r="AE48" s="16">
        <f>(W48+Y48+AA48+AC48)</f>
        <v/>
      </c>
      <c r="AF48" s="16" t="n"/>
      <c r="AG48" s="138" t="n"/>
      <c r="AH48" s="16" t="n"/>
      <c r="AI48" s="138" t="n"/>
      <c r="AJ48" s="16" t="n"/>
      <c r="AK48" s="138" t="n"/>
      <c r="AL48" s="16" t="n"/>
      <c r="AM48" s="138" t="n"/>
      <c r="AN48" s="16" t="n"/>
      <c r="AO48" s="138" t="n"/>
      <c r="AP48" s="16" t="n"/>
      <c r="AQ48" s="138" t="n"/>
      <c r="AR48" s="16" t="n"/>
      <c r="AS48" s="138" t="n"/>
      <c r="AT48" s="16" t="n"/>
      <c r="AU48" s="138" t="n"/>
      <c r="AV48" s="16" t="n"/>
      <c r="AW48" s="138" t="n"/>
      <c r="AX48" s="16" t="n"/>
      <c r="AY48" s="138" t="n"/>
      <c r="AZ48" s="16">
        <f>AF48+AH48+AJ48+AL48+AN48+AP48+AR48+AT48+AV48+AX48</f>
        <v/>
      </c>
      <c r="BA48" s="16" t="n"/>
      <c r="BB48" s="139" t="n"/>
      <c r="BC48" s="16" t="n"/>
      <c r="BD48" s="139" t="n"/>
      <c r="BE48" s="16">
        <f>(BA48+BC48)</f>
        <v/>
      </c>
    </row>
    <row r="49" ht="36" customHeight="1" s="122">
      <c r="A49" s="9" t="n"/>
      <c r="B49" s="136" t="inlineStr">
        <is>
          <t>CORE</t>
        </is>
      </c>
      <c r="C49" s="137" t="inlineStr">
        <is>
          <t>DX3000, ADX4000W ADX6000</t>
        </is>
      </c>
      <c r="D49" s="65" t="inlineStr">
        <is>
          <t>T 코어 (히터트랜스용)</t>
        </is>
      </c>
      <c r="E49" s="11" t="inlineStr">
        <is>
          <t>T31 X 8 X 19E</t>
        </is>
      </c>
      <c r="F49" s="99" t="n"/>
      <c r="G49" s="9" t="n"/>
      <c r="H49" s="9" t="inlineStr">
        <is>
          <t>대영파츠넷</t>
        </is>
      </c>
      <c r="I49" s="14" t="n"/>
      <c r="J49" s="14" t="n"/>
      <c r="K49" s="12" t="n">
        <v>880</v>
      </c>
      <c r="L49" s="9" t="n"/>
      <c r="M49" s="9" t="n"/>
      <c r="N49" s="9" t="n"/>
      <c r="O49" s="40">
        <f>K49+V49-AE49-AZ49</f>
        <v/>
      </c>
      <c r="P49" s="12" t="n"/>
      <c r="Q49" s="138" t="n"/>
      <c r="R49" s="16" t="n"/>
      <c r="S49" s="139" t="n"/>
      <c r="T49" s="16" t="n"/>
      <c r="U49" s="139" t="n"/>
      <c r="V49" s="16">
        <f>P49+R49+T49</f>
        <v/>
      </c>
      <c r="W49" s="16" t="n"/>
      <c r="X49" s="139" t="n"/>
      <c r="Y49" s="16" t="n"/>
      <c r="Z49" s="139" t="n"/>
      <c r="AA49" s="16" t="n"/>
      <c r="AB49" s="139" t="n"/>
      <c r="AC49" s="16" t="n"/>
      <c r="AD49" s="139" t="n"/>
      <c r="AE49" s="16">
        <f>(W49+Y49+AA49+AC49)</f>
        <v/>
      </c>
      <c r="AF49" s="16" t="n"/>
      <c r="AG49" s="138" t="n"/>
      <c r="AH49" s="16" t="n"/>
      <c r="AI49" s="138" t="n"/>
      <c r="AJ49" s="16" t="n"/>
      <c r="AK49" s="138" t="n"/>
      <c r="AL49" s="16" t="n"/>
      <c r="AM49" s="138" t="n"/>
      <c r="AN49" s="16" t="n"/>
      <c r="AO49" s="138" t="n"/>
      <c r="AP49" s="16" t="n"/>
      <c r="AQ49" s="138" t="n"/>
      <c r="AR49" s="16" t="n"/>
      <c r="AS49" s="138" t="n"/>
      <c r="AT49" s="16" t="n"/>
      <c r="AU49" s="138" t="n"/>
      <c r="AV49" s="16" t="n"/>
      <c r="AW49" s="138" t="n"/>
      <c r="AX49" s="16" t="n"/>
      <c r="AY49" s="138" t="n"/>
      <c r="AZ49" s="16">
        <f>AF49+AH49+AJ49+AL49+AN49+AP49+AR49+AT49+AV49+AX49</f>
        <v/>
      </c>
      <c r="BA49" s="16" t="n"/>
      <c r="BB49" s="139" t="n"/>
      <c r="BC49" s="16" t="n"/>
      <c r="BD49" s="139" t="n"/>
      <c r="BE49" s="16">
        <f>(BA49+BC49)</f>
        <v/>
      </c>
    </row>
    <row r="50">
      <c r="A50" s="9" t="n"/>
      <c r="B50" s="136" t="inlineStr">
        <is>
          <t>CORE</t>
        </is>
      </c>
      <c r="C50" s="137" t="inlineStr">
        <is>
          <t>SOLO</t>
        </is>
      </c>
      <c r="D50" s="65" t="inlineStr">
        <is>
          <t>T 코어 (히터트랜스용)</t>
        </is>
      </c>
      <c r="E50" s="11" t="inlineStr">
        <is>
          <t>TR22-14-6.5</t>
        </is>
      </c>
      <c r="F50" s="99" t="n"/>
      <c r="G50" s="9" t="n"/>
      <c r="H50" s="9" t="inlineStr">
        <is>
          <t>DCT,HLP</t>
        </is>
      </c>
      <c r="I50" s="14" t="n"/>
      <c r="J50" s="14" t="n"/>
      <c r="K50" s="12" t="n">
        <v>0</v>
      </c>
      <c r="L50" s="9" t="n"/>
      <c r="M50" s="9" t="n"/>
      <c r="N50" s="9" t="n"/>
      <c r="O50" s="40">
        <f>K50+V50-AE50-AZ50</f>
        <v/>
      </c>
      <c r="P50" s="12" t="n"/>
      <c r="Q50" s="138" t="n"/>
      <c r="R50" s="16" t="n"/>
      <c r="S50" s="139" t="n"/>
      <c r="T50" s="16" t="n"/>
      <c r="U50" s="139" t="n"/>
      <c r="V50" s="16">
        <f>P50+R50+T50</f>
        <v/>
      </c>
      <c r="W50" s="16" t="n"/>
      <c r="X50" s="139" t="n"/>
      <c r="Y50" s="16" t="n"/>
      <c r="Z50" s="139" t="n"/>
      <c r="AA50" s="16" t="n"/>
      <c r="AB50" s="139" t="n"/>
      <c r="AC50" s="16" t="n"/>
      <c r="AD50" s="139" t="n"/>
      <c r="AE50" s="16">
        <f>(W50+Y50+AA50+AC50)</f>
        <v/>
      </c>
      <c r="AF50" s="16" t="n"/>
      <c r="AG50" s="138" t="n"/>
      <c r="AH50" s="16" t="n"/>
      <c r="AI50" s="138" t="n"/>
      <c r="AJ50" s="16" t="n"/>
      <c r="AK50" s="138" t="n"/>
      <c r="AL50" s="16" t="n"/>
      <c r="AM50" s="138" t="n"/>
      <c r="AN50" s="16" t="n"/>
      <c r="AO50" s="138" t="n"/>
      <c r="AP50" s="16" t="n"/>
      <c r="AQ50" s="138" t="n"/>
      <c r="AR50" s="16" t="n"/>
      <c r="AS50" s="138" t="n"/>
      <c r="AT50" s="16" t="n"/>
      <c r="AU50" s="138" t="n"/>
      <c r="AV50" s="16" t="n"/>
      <c r="AW50" s="138" t="n"/>
      <c r="AX50" s="16" t="n"/>
      <c r="AY50" s="138" t="n"/>
      <c r="AZ50" s="16">
        <f>AF50+AH50+AJ50+AL50+AN50+AP50+AR50+AT50+AV50+AX50</f>
        <v/>
      </c>
      <c r="BA50" s="16" t="n"/>
      <c r="BB50" s="139" t="n"/>
      <c r="BC50" s="16" t="n"/>
      <c r="BD50" s="139" t="n"/>
      <c r="BE50" s="16">
        <f>(BA50+BC50)</f>
        <v/>
      </c>
    </row>
    <row r="51">
      <c r="A51" s="9" t="n"/>
      <c r="B51" s="136" t="inlineStr">
        <is>
          <t>CORE</t>
        </is>
      </c>
      <c r="C51" s="137" t="inlineStr">
        <is>
          <t>ADX6000</t>
        </is>
      </c>
      <c r="D51" s="65" t="inlineStr">
        <is>
          <t>센더스트 코어</t>
        </is>
      </c>
      <c r="E51" s="11" t="inlineStr">
        <is>
          <t>CS234060</t>
        </is>
      </c>
      <c r="F51" s="99" t="n"/>
      <c r="G51" s="9" t="n"/>
      <c r="H51" s="9" t="inlineStr">
        <is>
          <t>도일코리아</t>
        </is>
      </c>
      <c r="I51" s="14" t="n"/>
      <c r="J51" s="14" t="n"/>
      <c r="K51" s="12" t="n">
        <v>250</v>
      </c>
      <c r="L51" s="9" t="n"/>
      <c r="M51" s="9" t="n"/>
      <c r="N51" s="9" t="n"/>
      <c r="O51" s="40">
        <f>K51+V51-AE51-AZ51</f>
        <v/>
      </c>
      <c r="P51" s="12" t="n"/>
      <c r="Q51" s="138" t="n"/>
      <c r="R51" s="16" t="n"/>
      <c r="S51" s="139" t="n"/>
      <c r="T51" s="16" t="n"/>
      <c r="U51" s="139" t="n"/>
      <c r="V51" s="16">
        <f>P51+R51+T51</f>
        <v/>
      </c>
      <c r="W51" s="16" t="n"/>
      <c r="X51" s="139" t="n"/>
      <c r="Y51" s="16" t="n"/>
      <c r="Z51" s="139" t="n"/>
      <c r="AA51" s="16" t="n"/>
      <c r="AB51" s="139" t="n"/>
      <c r="AC51" s="16" t="n"/>
      <c r="AD51" s="139" t="n"/>
      <c r="AE51" s="16">
        <f>(W51+Y51+AA51+AC51)</f>
        <v/>
      </c>
      <c r="AF51" s="16" t="n"/>
      <c r="AG51" s="138" t="n"/>
      <c r="AH51" s="16" t="n"/>
      <c r="AI51" s="138" t="n"/>
      <c r="AJ51" s="16" t="n"/>
      <c r="AK51" s="138" t="n"/>
      <c r="AL51" s="16" t="n"/>
      <c r="AM51" s="138" t="n"/>
      <c r="AN51" s="16" t="n"/>
      <c r="AO51" s="138" t="n"/>
      <c r="AP51" s="16" t="n"/>
      <c r="AQ51" s="138" t="n"/>
      <c r="AR51" s="16" t="n"/>
      <c r="AS51" s="138" t="n"/>
      <c r="AT51" s="16" t="n"/>
      <c r="AU51" s="138" t="n"/>
      <c r="AV51" s="16" t="n"/>
      <c r="AW51" s="138" t="n"/>
      <c r="AX51" s="16" t="n"/>
      <c r="AY51" s="138" t="n"/>
      <c r="AZ51" s="16">
        <f>AF51+AH51+AJ51+AL51+AN51+AP51+AR51+AT51+AV51+AX51</f>
        <v/>
      </c>
      <c r="BA51" s="16" t="n"/>
      <c r="BB51" s="139" t="n"/>
      <c r="BC51" s="16" t="n"/>
      <c r="BD51" s="139" t="n"/>
      <c r="BE51" s="16">
        <f>(BA51+BC51)</f>
        <v/>
      </c>
    </row>
    <row r="52" ht="36" customHeight="1" s="122">
      <c r="A52" s="9" t="n"/>
      <c r="B52" s="136" t="inlineStr">
        <is>
          <t>CABLE</t>
        </is>
      </c>
      <c r="C52" s="137" t="inlineStr">
        <is>
          <t>DX3000, ADX4000W ADX6000</t>
        </is>
      </c>
      <c r="D52" s="65" t="inlineStr">
        <is>
          <t>TIW 권선 (히터트랜스용 선)</t>
        </is>
      </c>
      <c r="E52" s="11" t="inlineStr">
        <is>
          <t>(외경)0.7mm (내경)0.5mm, 4000m</t>
        </is>
      </c>
      <c r="F52" s="99" t="n"/>
      <c r="G52" s="9" t="n"/>
      <c r="H52" s="9" t="inlineStr">
        <is>
          <t>승리케이블</t>
        </is>
      </c>
      <c r="I52" s="14" t="n"/>
      <c r="J52" s="14" t="n"/>
      <c r="K52" s="12" t="n">
        <v>0</v>
      </c>
      <c r="L52" s="9" t="n"/>
      <c r="M52" s="9" t="n"/>
      <c r="N52" s="9" t="n"/>
      <c r="O52" s="40">
        <f>K52+V52-AE52-AZ52</f>
        <v/>
      </c>
      <c r="P52" s="12" t="n"/>
      <c r="Q52" s="138" t="n"/>
      <c r="R52" s="16" t="n"/>
      <c r="S52" s="139" t="n"/>
      <c r="T52" s="16" t="n"/>
      <c r="U52" s="139" t="n"/>
      <c r="V52" s="16">
        <f>P52+R52+T52</f>
        <v/>
      </c>
      <c r="W52" s="16" t="n"/>
      <c r="X52" s="139" t="n"/>
      <c r="Y52" s="16" t="n"/>
      <c r="Z52" s="139" t="n"/>
      <c r="AA52" s="16" t="n"/>
      <c r="AB52" s="139" t="n"/>
      <c r="AC52" s="16" t="n"/>
      <c r="AD52" s="139" t="n"/>
      <c r="AE52" s="16">
        <f>(W52+Y52+AA52+AC52)</f>
        <v/>
      </c>
      <c r="AF52" s="16" t="n"/>
      <c r="AG52" s="138" t="n"/>
      <c r="AH52" s="16" t="n"/>
      <c r="AI52" s="138" t="n"/>
      <c r="AJ52" s="16" t="n"/>
      <c r="AK52" s="138" t="n"/>
      <c r="AL52" s="16" t="n"/>
      <c r="AM52" s="138" t="n"/>
      <c r="AN52" s="16" t="n"/>
      <c r="AO52" s="138" t="n"/>
      <c r="AP52" s="16" t="n"/>
      <c r="AQ52" s="138" t="n"/>
      <c r="AR52" s="16" t="n"/>
      <c r="AS52" s="138" t="n"/>
      <c r="AT52" s="16" t="n"/>
      <c r="AU52" s="138" t="n"/>
      <c r="AV52" s="16" t="n"/>
      <c r="AW52" s="138" t="n"/>
      <c r="AX52" s="16" t="n"/>
      <c r="AY52" s="138" t="n"/>
      <c r="AZ52" s="16">
        <f>AF52+AH52+AJ52+AL52+AN52+AP52+AR52+AT52+AV52+AX52</f>
        <v/>
      </c>
      <c r="BA52" s="16" t="n"/>
      <c r="BB52" s="139" t="n"/>
      <c r="BC52" s="16" t="n"/>
      <c r="BD52" s="139" t="n"/>
      <c r="BE52" s="16">
        <f>(BA52+BC52)</f>
        <v/>
      </c>
    </row>
    <row r="53" ht="36" customHeight="1" s="122">
      <c r="A53" s="9" t="n"/>
      <c r="B53" s="136" t="inlineStr">
        <is>
          <t>CABLE</t>
        </is>
      </c>
      <c r="C53" s="137" t="inlineStr">
        <is>
          <t>DX3000, ADX4000W ADX6000</t>
        </is>
      </c>
      <c r="D53" s="65" t="inlineStr">
        <is>
          <t>히터트랜스용 고압선(적색)</t>
        </is>
      </c>
      <c r="E53" s="11" t="inlineStr">
        <is>
          <t>40KVDC 22AWG</t>
        </is>
      </c>
      <c r="F53" s="99" t="n"/>
      <c r="G53" s="9" t="n"/>
      <c r="H53" s="9" t="inlineStr">
        <is>
          <t>HLP</t>
        </is>
      </c>
      <c r="I53" s="14" t="n"/>
      <c r="J53" s="14" t="n"/>
      <c r="K53" s="12" t="n">
        <v>0</v>
      </c>
      <c r="L53" s="9" t="n"/>
      <c r="M53" s="9" t="n"/>
      <c r="N53" s="9" t="n"/>
      <c r="O53" s="40">
        <f>K53+V53-AE53-AZ53</f>
        <v/>
      </c>
      <c r="P53" s="12" t="n"/>
      <c r="Q53" s="138" t="n"/>
      <c r="R53" s="16" t="n"/>
      <c r="S53" s="139" t="n"/>
      <c r="T53" s="16" t="n"/>
      <c r="U53" s="139" t="n"/>
      <c r="V53" s="16">
        <f>P53+R53+T53</f>
        <v/>
      </c>
      <c r="W53" s="16" t="n"/>
      <c r="X53" s="139" t="n"/>
      <c r="Y53" s="16" t="n"/>
      <c r="Z53" s="139" t="n"/>
      <c r="AA53" s="16" t="n"/>
      <c r="AB53" s="139" t="n"/>
      <c r="AC53" s="16" t="n"/>
      <c r="AD53" s="139" t="n"/>
      <c r="AE53" s="16">
        <f>(W53+Y53+AA53+AC53)</f>
        <v/>
      </c>
      <c r="AF53" s="16" t="n"/>
      <c r="AG53" s="138" t="n"/>
      <c r="AH53" s="16" t="n"/>
      <c r="AI53" s="138" t="n"/>
      <c r="AJ53" s="16" t="n"/>
      <c r="AK53" s="138" t="n"/>
      <c r="AL53" s="16" t="n"/>
      <c r="AM53" s="138" t="n"/>
      <c r="AN53" s="16" t="n"/>
      <c r="AO53" s="138" t="n"/>
      <c r="AP53" s="16" t="n"/>
      <c r="AQ53" s="138" t="n"/>
      <c r="AR53" s="16" t="n"/>
      <c r="AS53" s="138" t="n"/>
      <c r="AT53" s="16" t="n"/>
      <c r="AU53" s="138" t="n"/>
      <c r="AV53" s="16" t="n"/>
      <c r="AW53" s="138" t="n"/>
      <c r="AX53" s="16" t="n"/>
      <c r="AY53" s="138" t="n"/>
      <c r="AZ53" s="16">
        <f>AF53+AH53+AJ53+AL53+AN53+AP53+AR53+AT53+AV53+AX53</f>
        <v/>
      </c>
      <c r="BA53" s="16" t="n"/>
      <c r="BB53" s="139" t="n"/>
      <c r="BC53" s="16" t="n"/>
      <c r="BD53" s="139" t="n"/>
      <c r="BE53" s="16">
        <f>(BA53+BC53)</f>
        <v/>
      </c>
    </row>
    <row r="54">
      <c r="A54" s="9" t="n"/>
      <c r="B54" s="136" t="inlineStr">
        <is>
          <t>CABLE</t>
        </is>
      </c>
      <c r="C54" s="137" t="inlineStr">
        <is>
          <t>SOLO</t>
        </is>
      </c>
      <c r="D54" s="65" t="inlineStr">
        <is>
          <t>히터트랜스용 고압선(흰색)</t>
        </is>
      </c>
      <c r="E54" s="11" t="inlineStr">
        <is>
          <t>DSI HV CABLE 2178</t>
        </is>
      </c>
      <c r="F54" s="99" t="n"/>
      <c r="G54" s="9" t="n"/>
      <c r="H54" s="9" t="inlineStr">
        <is>
          <t>BGT</t>
        </is>
      </c>
      <c r="I54" s="14" t="n"/>
      <c r="J54" s="14" t="n"/>
      <c r="K54" s="12" t="n">
        <v>0</v>
      </c>
      <c r="L54" s="9" t="n"/>
      <c r="M54" s="9" t="n"/>
      <c r="N54" s="9" t="n"/>
      <c r="O54" s="40">
        <f>K54+V54-AE54-AZ54</f>
        <v/>
      </c>
      <c r="P54" s="12" t="n"/>
      <c r="Q54" s="138" t="n"/>
      <c r="R54" s="16" t="n"/>
      <c r="S54" s="139" t="n"/>
      <c r="T54" s="16" t="n"/>
      <c r="U54" s="139" t="n"/>
      <c r="V54" s="16">
        <f>P54+R54+T54</f>
        <v/>
      </c>
      <c r="W54" s="16" t="n"/>
      <c r="X54" s="139" t="n"/>
      <c r="Y54" s="16" t="n"/>
      <c r="Z54" s="139" t="n"/>
      <c r="AA54" s="16" t="n"/>
      <c r="AB54" s="139" t="n"/>
      <c r="AC54" s="16" t="n"/>
      <c r="AD54" s="139" t="n"/>
      <c r="AE54" s="16">
        <f>(W54+Y54+AA54+AC54)</f>
        <v/>
      </c>
      <c r="AF54" s="16" t="n"/>
      <c r="AG54" s="138" t="n"/>
      <c r="AH54" s="16" t="n"/>
      <c r="AI54" s="138" t="n"/>
      <c r="AJ54" s="16" t="n"/>
      <c r="AK54" s="138" t="n"/>
      <c r="AL54" s="16" t="n"/>
      <c r="AM54" s="138" t="n"/>
      <c r="AN54" s="16" t="n"/>
      <c r="AO54" s="138" t="n"/>
      <c r="AP54" s="16" t="n"/>
      <c r="AQ54" s="138" t="n"/>
      <c r="AR54" s="16" t="n"/>
      <c r="AS54" s="138" t="n"/>
      <c r="AT54" s="16" t="n"/>
      <c r="AU54" s="138" t="n"/>
      <c r="AV54" s="16" t="n"/>
      <c r="AW54" s="138" t="n"/>
      <c r="AX54" s="16" t="n"/>
      <c r="AY54" s="138" t="n"/>
      <c r="AZ54" s="16">
        <f>AF54+AH54+AJ54+AL54+AN54+AP54+AR54+AT54+AV54+AX54</f>
        <v/>
      </c>
      <c r="BA54" s="16" t="n"/>
      <c r="BB54" s="139" t="n"/>
      <c r="BC54" s="16" t="n"/>
      <c r="BD54" s="139" t="n"/>
      <c r="BE54" s="16">
        <f>(BA54+BC54)</f>
        <v/>
      </c>
    </row>
    <row r="55" ht="24" customHeight="1" s="122">
      <c r="A55" s="9" t="n"/>
      <c r="B55" s="136" t="inlineStr">
        <is>
          <t>BOARD</t>
        </is>
      </c>
      <c r="C55" s="137" t="inlineStr">
        <is>
          <t>DX3000, ADX4000W</t>
        </is>
      </c>
      <c r="D55" s="64" t="inlineStr">
        <is>
          <t>고압베어 B/D</t>
        </is>
      </c>
      <c r="E55" s="11" t="n"/>
      <c r="F55" s="99" t="n"/>
      <c r="G55" s="9" t="n"/>
      <c r="H55" s="9" t="inlineStr">
        <is>
          <t>한샘디지텍</t>
        </is>
      </c>
      <c r="I55" s="14" t="n"/>
      <c r="J55" s="14" t="n"/>
      <c r="K55" s="12" t="n">
        <v>0</v>
      </c>
      <c r="L55" s="9" t="n"/>
      <c r="M55" s="9" t="n"/>
      <c r="N55" s="9" t="n"/>
      <c r="O55" s="40">
        <f>K55+V55-AE55-AZ55</f>
        <v/>
      </c>
      <c r="P55" s="12" t="n"/>
      <c r="Q55" s="138" t="n"/>
      <c r="R55" s="16" t="n"/>
      <c r="S55" s="139" t="n"/>
      <c r="T55" s="16" t="n"/>
      <c r="U55" s="139" t="n"/>
      <c r="V55" s="16">
        <f>P55+R55+T55</f>
        <v/>
      </c>
      <c r="W55" s="16" t="n"/>
      <c r="X55" s="139" t="n"/>
      <c r="Y55" s="16" t="n"/>
      <c r="Z55" s="139" t="n"/>
      <c r="AA55" s="16" t="n"/>
      <c r="AB55" s="139" t="n"/>
      <c r="AC55" s="16" t="n"/>
      <c r="AD55" s="139" t="n"/>
      <c r="AE55" s="16">
        <f>(W55+Y55+AA55+AC55)</f>
        <v/>
      </c>
      <c r="AF55" s="16" t="n"/>
      <c r="AG55" s="138" t="n"/>
      <c r="AH55" s="16" t="n"/>
      <c r="AI55" s="138" t="n"/>
      <c r="AJ55" s="16" t="n"/>
      <c r="AK55" s="138" t="n"/>
      <c r="AL55" s="16" t="n"/>
      <c r="AM55" s="138" t="n"/>
      <c r="AN55" s="16" t="n"/>
      <c r="AO55" s="138" t="n"/>
      <c r="AP55" s="16" t="n"/>
      <c r="AQ55" s="138" t="n"/>
      <c r="AR55" s="16" t="n"/>
      <c r="AS55" s="138" t="n"/>
      <c r="AT55" s="16" t="n"/>
      <c r="AU55" s="138" t="n"/>
      <c r="AV55" s="16" t="n"/>
      <c r="AW55" s="138" t="n"/>
      <c r="AX55" s="16" t="n"/>
      <c r="AY55" s="138" t="n"/>
      <c r="AZ55" s="16">
        <f>AF55+AH55+AJ55+AL55+AN55+AP55+AR55+AT55+AV55+AX55</f>
        <v/>
      </c>
      <c r="BA55" s="16" t="n"/>
      <c r="BB55" s="139" t="n"/>
      <c r="BC55" s="16" t="n"/>
      <c r="BD55" s="139" t="n"/>
      <c r="BE55" s="16">
        <f>(BA55+BC55)</f>
        <v/>
      </c>
    </row>
    <row r="56" ht="24" customHeight="1" s="122">
      <c r="A56" s="9" t="n"/>
      <c r="B56" s="136" t="inlineStr">
        <is>
          <t>BOARD</t>
        </is>
      </c>
      <c r="C56" s="137" t="inlineStr">
        <is>
          <t>DX3000</t>
        </is>
      </c>
      <c r="D56" s="67" t="inlineStr">
        <is>
          <t>고압베어 B/D - TFT</t>
        </is>
      </c>
      <c r="E56" s="11" t="inlineStr">
        <is>
          <t>70kV, 3mA</t>
        </is>
      </c>
      <c r="F56" s="99" t="n"/>
      <c r="G56" s="9" t="n"/>
      <c r="H56" s="9" t="inlineStr">
        <is>
          <t>HLP</t>
        </is>
      </c>
      <c r="I56" s="14" t="n"/>
      <c r="J56" s="14" t="n"/>
      <c r="K56" s="12" t="n">
        <v>0</v>
      </c>
      <c r="L56" s="9" t="n"/>
      <c r="M56" s="9" t="n"/>
      <c r="N56" s="9" t="n"/>
      <c r="O56" s="40">
        <f>K56+V56-AE56-AZ56</f>
        <v/>
      </c>
      <c r="P56" s="12" t="n"/>
      <c r="Q56" s="138" t="n"/>
      <c r="R56" s="16" t="n"/>
      <c r="S56" s="139" t="n"/>
      <c r="T56" s="16" t="n"/>
      <c r="U56" s="139" t="n"/>
      <c r="V56" s="16">
        <f>P56+R56+T56</f>
        <v/>
      </c>
      <c r="W56" s="16" t="n"/>
      <c r="X56" s="139" t="n"/>
      <c r="Y56" s="16" t="n"/>
      <c r="Z56" s="139" t="n"/>
      <c r="AA56" s="16" t="n"/>
      <c r="AB56" s="139" t="n"/>
      <c r="AC56" s="16" t="n"/>
      <c r="AD56" s="139" t="n"/>
      <c r="AE56" s="16">
        <f>(W56+Y56+AA56+AC56)</f>
        <v/>
      </c>
      <c r="AF56" s="16" t="n"/>
      <c r="AG56" s="138" t="n"/>
      <c r="AH56" s="16" t="n"/>
      <c r="AI56" s="138" t="n"/>
      <c r="AJ56" s="16" t="n"/>
      <c r="AK56" s="138" t="n"/>
      <c r="AL56" s="16" t="n"/>
      <c r="AM56" s="138" t="n"/>
      <c r="AN56" s="16" t="n"/>
      <c r="AO56" s="138" t="n"/>
      <c r="AP56" s="16" t="n"/>
      <c r="AQ56" s="138" t="n"/>
      <c r="AR56" s="16" t="n"/>
      <c r="AS56" s="138" t="n"/>
      <c r="AT56" s="16" t="n"/>
      <c r="AU56" s="138" t="n"/>
      <c r="AV56" s="16" t="n"/>
      <c r="AW56" s="138" t="n"/>
      <c r="AX56" s="16" t="n"/>
      <c r="AY56" s="138" t="n"/>
      <c r="AZ56" s="16">
        <f>AF56+AH56+AJ56+AL56+AN56+AP56+AR56+AT56+AV56+AX56</f>
        <v/>
      </c>
      <c r="BA56" s="16" t="n"/>
      <c r="BB56" s="139" t="n"/>
      <c r="BC56" s="16" t="n"/>
      <c r="BD56" s="139" t="n"/>
      <c r="BE56" s="16">
        <f>(BA56+BC56)</f>
        <v/>
      </c>
    </row>
    <row r="57">
      <c r="A57" s="9" t="n"/>
      <c r="B57" s="136" t="inlineStr">
        <is>
          <t>BOARD</t>
        </is>
      </c>
      <c r="C57" s="137" t="inlineStr">
        <is>
          <t>COCOON</t>
        </is>
      </c>
      <c r="D57" s="64" t="inlineStr">
        <is>
          <t>고압베어 B/D</t>
        </is>
      </c>
      <c r="E57" s="11" t="inlineStr">
        <is>
          <t xml:space="preserve">구형 </t>
        </is>
      </c>
      <c r="F57" s="99" t="n"/>
      <c r="G57" s="9" t="n"/>
      <c r="H57" s="9" t="inlineStr">
        <is>
          <t>한샘디지텍</t>
        </is>
      </c>
      <c r="I57" s="14" t="n"/>
      <c r="J57" s="14" t="n"/>
      <c r="K57" s="12" t="n">
        <v>1192</v>
      </c>
      <c r="L57" s="9" t="n"/>
      <c r="M57" s="9" t="n"/>
      <c r="N57" s="9" t="n"/>
      <c r="O57" s="40">
        <f>K57+V57-AE57-AZ57</f>
        <v/>
      </c>
      <c r="P57" s="12" t="n"/>
      <c r="Q57" s="138" t="n"/>
      <c r="R57" s="16" t="n"/>
      <c r="S57" s="139" t="n"/>
      <c r="T57" s="16" t="n"/>
      <c r="U57" s="139" t="n"/>
      <c r="V57" s="16">
        <f>P57+R57+T57</f>
        <v/>
      </c>
      <c r="W57" s="16" t="n"/>
      <c r="X57" s="139" t="n"/>
      <c r="Y57" s="16" t="n"/>
      <c r="Z57" s="139" t="n"/>
      <c r="AA57" s="16" t="n"/>
      <c r="AB57" s="139" t="n"/>
      <c r="AC57" s="16" t="n"/>
      <c r="AD57" s="139" t="n"/>
      <c r="AE57" s="16">
        <f>(W57+Y57+AA57+AC57)</f>
        <v/>
      </c>
      <c r="AF57" s="16" t="n"/>
      <c r="AG57" s="138" t="n"/>
      <c r="AH57" s="16" t="n"/>
      <c r="AI57" s="138" t="n"/>
      <c r="AJ57" s="16" t="n"/>
      <c r="AK57" s="138" t="n"/>
      <c r="AL57" s="16" t="n"/>
      <c r="AM57" s="138" t="n"/>
      <c r="AN57" s="16" t="n"/>
      <c r="AO57" s="138" t="n"/>
      <c r="AP57" s="16" t="n"/>
      <c r="AQ57" s="138" t="n"/>
      <c r="AR57" s="16" t="n"/>
      <c r="AS57" s="138" t="n"/>
      <c r="AT57" s="16" t="n"/>
      <c r="AU57" s="138" t="n"/>
      <c r="AV57" s="16" t="n"/>
      <c r="AW57" s="138" t="n"/>
      <c r="AX57" s="16" t="n"/>
      <c r="AY57" s="138" t="n"/>
      <c r="AZ57" s="16">
        <f>AF57+AH57+AJ57+AL57+AN57+AP57+AR57+AT57+AV57+AX57</f>
        <v/>
      </c>
      <c r="BA57" s="16" t="n"/>
      <c r="BB57" s="139" t="n"/>
      <c r="BC57" s="16" t="n"/>
      <c r="BD57" s="139" t="n"/>
      <c r="BE57" s="16">
        <f>(BA57+BC57)</f>
        <v/>
      </c>
    </row>
    <row r="58">
      <c r="A58" s="9" t="n"/>
      <c r="B58" s="136" t="inlineStr">
        <is>
          <t>BOARD</t>
        </is>
      </c>
      <c r="C58" s="137" t="inlineStr">
        <is>
          <t>COCOON</t>
        </is>
      </c>
      <c r="D58" s="64" t="inlineStr">
        <is>
          <t>고압베어 B/D</t>
        </is>
      </c>
      <c r="E58" s="11" t="inlineStr">
        <is>
          <t>신형</t>
        </is>
      </c>
      <c r="F58" s="99" t="n"/>
      <c r="G58" s="9" t="n"/>
      <c r="H58" s="9" t="inlineStr">
        <is>
          <t>한샘디지텍</t>
        </is>
      </c>
      <c r="I58" s="14" t="n"/>
      <c r="J58" s="14" t="n"/>
      <c r="K58" s="12" t="n">
        <v>0</v>
      </c>
      <c r="L58" s="9" t="n"/>
      <c r="M58" s="9" t="n"/>
      <c r="N58" s="9" t="n"/>
      <c r="O58" s="40">
        <f>K58+V58-AE58-AZ58</f>
        <v/>
      </c>
      <c r="P58" s="12" t="n"/>
      <c r="Q58" s="138" t="n"/>
      <c r="R58" s="16" t="n"/>
      <c r="S58" s="139" t="n"/>
      <c r="T58" s="16" t="n"/>
      <c r="U58" s="139" t="n"/>
      <c r="V58" s="16">
        <f>P58+R58+T58</f>
        <v/>
      </c>
      <c r="W58" s="16" t="n"/>
      <c r="X58" s="139" t="n"/>
      <c r="Y58" s="16" t="n"/>
      <c r="Z58" s="139" t="n"/>
      <c r="AA58" s="16" t="n"/>
      <c r="AB58" s="139" t="n"/>
      <c r="AC58" s="16" t="n"/>
      <c r="AD58" s="139" t="n"/>
      <c r="AE58" s="16">
        <f>(W58+Y58+AA58+AC58)</f>
        <v/>
      </c>
      <c r="AF58" s="16" t="n"/>
      <c r="AG58" s="138" t="n"/>
      <c r="AH58" s="16" t="n"/>
      <c r="AI58" s="138" t="n"/>
      <c r="AJ58" s="16" t="n"/>
      <c r="AK58" s="138" t="n"/>
      <c r="AL58" s="16" t="n"/>
      <c r="AM58" s="138" t="n"/>
      <c r="AN58" s="16" t="n"/>
      <c r="AO58" s="138" t="n"/>
      <c r="AP58" s="16" t="n"/>
      <c r="AQ58" s="138" t="n"/>
      <c r="AR58" s="16" t="n"/>
      <c r="AS58" s="138" t="n"/>
      <c r="AT58" s="16" t="n"/>
      <c r="AU58" s="138" t="n"/>
      <c r="AV58" s="16" t="n"/>
      <c r="AW58" s="138" t="n"/>
      <c r="AX58" s="16" t="n"/>
      <c r="AY58" s="138" t="n"/>
      <c r="AZ58" s="16">
        <f>AF58+AH58+AJ58+AL58+AN58+AP58+AR58+AT58+AV58+AX58</f>
        <v/>
      </c>
      <c r="BA58" s="16" t="n"/>
      <c r="BB58" s="139" t="n"/>
      <c r="BC58" s="16" t="n"/>
      <c r="BD58" s="139" t="n"/>
      <c r="BE58" s="16">
        <f>(BA58+BC58)</f>
        <v/>
      </c>
    </row>
    <row r="59">
      <c r="A59" s="9" t="n"/>
      <c r="B59" s="136" t="inlineStr">
        <is>
          <t>BOARD</t>
        </is>
      </c>
      <c r="C59" s="137" t="inlineStr">
        <is>
          <t>SOLO</t>
        </is>
      </c>
      <c r="D59" s="64" t="inlineStr">
        <is>
          <t>고압베어 B/D</t>
        </is>
      </c>
      <c r="E59" s="11" t="n"/>
      <c r="F59" s="99" t="n"/>
      <c r="G59" s="9" t="n"/>
      <c r="H59" s="9" t="inlineStr">
        <is>
          <t>HLP</t>
        </is>
      </c>
      <c r="I59" s="14" t="n"/>
      <c r="J59" s="14" t="n"/>
      <c r="K59" s="12" t="n">
        <v>0</v>
      </c>
      <c r="L59" s="9" t="n"/>
      <c r="M59" s="9" t="n"/>
      <c r="N59" s="9" t="n"/>
      <c r="O59" s="40">
        <f>K59+V59-AE59-AZ59</f>
        <v/>
      </c>
      <c r="P59" s="12" t="n"/>
      <c r="Q59" s="138" t="n"/>
      <c r="R59" s="16" t="n"/>
      <c r="S59" s="139" t="n"/>
      <c r="T59" s="16" t="n"/>
      <c r="U59" s="139" t="n"/>
      <c r="V59" s="16">
        <f>P59+R59+T59</f>
        <v/>
      </c>
      <c r="W59" s="16" t="n"/>
      <c r="X59" s="139" t="n"/>
      <c r="Y59" s="16" t="n"/>
      <c r="Z59" s="139" t="n"/>
      <c r="AA59" s="16" t="n"/>
      <c r="AB59" s="139" t="n"/>
      <c r="AC59" s="16" t="n"/>
      <c r="AD59" s="139" t="n"/>
      <c r="AE59" s="16">
        <f>(W59+Y59+AA59+AC59)</f>
        <v/>
      </c>
      <c r="AF59" s="16" t="n"/>
      <c r="AG59" s="138" t="n"/>
      <c r="AH59" s="16" t="n"/>
      <c r="AI59" s="138" t="n"/>
      <c r="AJ59" s="16" t="n"/>
      <c r="AK59" s="138" t="n"/>
      <c r="AL59" s="16" t="n"/>
      <c r="AM59" s="138" t="n"/>
      <c r="AN59" s="16" t="n"/>
      <c r="AO59" s="138" t="n"/>
      <c r="AP59" s="16" t="n"/>
      <c r="AQ59" s="138" t="n"/>
      <c r="AR59" s="16" t="n"/>
      <c r="AS59" s="138" t="n"/>
      <c r="AT59" s="16" t="n"/>
      <c r="AU59" s="138" t="n"/>
      <c r="AV59" s="16" t="n"/>
      <c r="AW59" s="138" t="n"/>
      <c r="AX59" s="16" t="n"/>
      <c r="AY59" s="138" t="n"/>
      <c r="AZ59" s="16">
        <f>AF59+AH59+AJ59+AL59+AN59+AP59+AR59+AT59+AV59+AX59</f>
        <v/>
      </c>
      <c r="BA59" s="16" t="n"/>
      <c r="BB59" s="139" t="n"/>
      <c r="BC59" s="16" t="n"/>
      <c r="BD59" s="139" t="n"/>
      <c r="BE59" s="16">
        <f>(BA59+BC59)</f>
        <v/>
      </c>
    </row>
    <row r="60">
      <c r="A60" s="9" t="n"/>
      <c r="B60" s="136" t="inlineStr">
        <is>
          <t>BOARD</t>
        </is>
      </c>
      <c r="C60" s="137" t="inlineStr">
        <is>
          <t>ADX6000</t>
        </is>
      </c>
      <c r="D60" s="64" t="inlineStr">
        <is>
          <t>고압베어 B/D</t>
        </is>
      </c>
      <c r="E60" s="11" t="inlineStr">
        <is>
          <t xml:space="preserve">구형 </t>
        </is>
      </c>
      <c r="F60" s="99" t="n"/>
      <c r="G60" s="9" t="n"/>
      <c r="H60" s="9" t="inlineStr">
        <is>
          <t>한샘디지텍</t>
        </is>
      </c>
      <c r="I60" s="14" t="n"/>
      <c r="J60" s="14" t="n"/>
      <c r="K60" s="12" t="n">
        <v>176</v>
      </c>
      <c r="L60" s="9" t="n"/>
      <c r="M60" s="9" t="n"/>
      <c r="N60" s="9" t="n"/>
      <c r="O60" s="40">
        <f>K60+V60-AE60-AZ60</f>
        <v/>
      </c>
      <c r="P60" s="12" t="n"/>
      <c r="Q60" s="138" t="n"/>
      <c r="R60" s="16" t="n"/>
      <c r="S60" s="139" t="n"/>
      <c r="T60" s="16" t="n"/>
      <c r="U60" s="139" t="n"/>
      <c r="V60" s="16">
        <f>P60+R60+T60</f>
        <v/>
      </c>
      <c r="W60" s="16" t="n"/>
      <c r="X60" s="139" t="n"/>
      <c r="Y60" s="16" t="n"/>
      <c r="Z60" s="139" t="n"/>
      <c r="AA60" s="16" t="n"/>
      <c r="AB60" s="139" t="n"/>
      <c r="AC60" s="16" t="n"/>
      <c r="AD60" s="139" t="n"/>
      <c r="AE60" s="16">
        <f>(W60+Y60+AA60+AC60)</f>
        <v/>
      </c>
      <c r="AF60" s="16" t="n"/>
      <c r="AG60" s="138" t="n"/>
      <c r="AH60" s="16" t="n"/>
      <c r="AI60" s="138" t="n"/>
      <c r="AJ60" s="16" t="n"/>
      <c r="AK60" s="138" t="n"/>
      <c r="AL60" s="16" t="n"/>
      <c r="AM60" s="138" t="n"/>
      <c r="AN60" s="16" t="n"/>
      <c r="AO60" s="138" t="n"/>
      <c r="AP60" s="16" t="n"/>
      <c r="AQ60" s="138" t="n"/>
      <c r="AR60" s="16" t="n"/>
      <c r="AS60" s="138" t="n"/>
      <c r="AT60" s="16" t="n"/>
      <c r="AU60" s="138" t="n"/>
      <c r="AV60" s="16" t="n"/>
      <c r="AW60" s="138" t="n"/>
      <c r="AX60" s="16" t="n"/>
      <c r="AY60" s="138" t="n"/>
      <c r="AZ60" s="16">
        <f>AF60+AH60+AJ60+AL60+AN60+AP60+AR60+AT60+AV60+AX60</f>
        <v/>
      </c>
      <c r="BA60" s="16" t="n"/>
      <c r="BB60" s="139" t="n"/>
      <c r="BC60" s="16" t="n"/>
      <c r="BD60" s="139" t="n"/>
      <c r="BE60" s="16">
        <f>(BA60+BC60)</f>
        <v/>
      </c>
    </row>
    <row r="61">
      <c r="A61" s="9" t="n"/>
      <c r="B61" s="136" t="inlineStr">
        <is>
          <t>BOARD</t>
        </is>
      </c>
      <c r="C61" s="137" t="inlineStr">
        <is>
          <t>ADX6000</t>
        </is>
      </c>
      <c r="D61" s="64" t="inlineStr">
        <is>
          <t>고압베어 B/D</t>
        </is>
      </c>
      <c r="E61" s="11" t="inlineStr">
        <is>
          <t>신형</t>
        </is>
      </c>
      <c r="F61" s="99" t="n"/>
      <c r="G61" s="9" t="n"/>
      <c r="H61" s="9" t="inlineStr">
        <is>
          <t>한샘디지텍</t>
        </is>
      </c>
      <c r="I61" s="14" t="n"/>
      <c r="J61" s="14" t="n"/>
      <c r="K61" s="12" t="n">
        <v>0</v>
      </c>
      <c r="L61" s="9" t="n"/>
      <c r="M61" s="9" t="n"/>
      <c r="N61" s="9" t="n"/>
      <c r="O61" s="40">
        <f>K61+V61-AE61-AZ61</f>
        <v/>
      </c>
      <c r="P61" s="12" t="n"/>
      <c r="Q61" s="138" t="n"/>
      <c r="R61" s="16" t="n"/>
      <c r="S61" s="139" t="n"/>
      <c r="T61" s="16" t="n"/>
      <c r="U61" s="139" t="n"/>
      <c r="V61" s="16">
        <f>P61+R61+T61</f>
        <v/>
      </c>
      <c r="W61" s="16" t="n"/>
      <c r="X61" s="139" t="n"/>
      <c r="Y61" s="16" t="n"/>
      <c r="Z61" s="139" t="n"/>
      <c r="AA61" s="16" t="n"/>
      <c r="AB61" s="139" t="n"/>
      <c r="AC61" s="16" t="n"/>
      <c r="AD61" s="139" t="n"/>
      <c r="AE61" s="16">
        <f>(W61+Y61+AA61+AC61)</f>
        <v/>
      </c>
      <c r="AF61" s="16" t="n"/>
      <c r="AG61" s="138" t="n"/>
      <c r="AH61" s="16" t="n"/>
      <c r="AI61" s="138" t="n"/>
      <c r="AJ61" s="16" t="n"/>
      <c r="AK61" s="138" t="n"/>
      <c r="AL61" s="16" t="n"/>
      <c r="AM61" s="138" t="n"/>
      <c r="AN61" s="16" t="n"/>
      <c r="AO61" s="138" t="n"/>
      <c r="AP61" s="16" t="n"/>
      <c r="AQ61" s="138" t="n"/>
      <c r="AR61" s="16" t="n"/>
      <c r="AS61" s="138" t="n"/>
      <c r="AT61" s="16" t="n"/>
      <c r="AU61" s="138" t="n"/>
      <c r="AV61" s="16" t="n"/>
      <c r="AW61" s="138" t="n"/>
      <c r="AX61" s="16" t="n"/>
      <c r="AY61" s="138" t="n"/>
      <c r="AZ61" s="16">
        <f>AF61+AH61+AJ61+AL61+AN61+AP61+AR61+AT61+AV61+AX61</f>
        <v/>
      </c>
      <c r="BA61" s="16" t="n"/>
      <c r="BB61" s="139" t="n"/>
      <c r="BC61" s="16" t="n"/>
      <c r="BD61" s="139" t="n"/>
      <c r="BE61" s="16">
        <f>(BA61+BC61)</f>
        <v/>
      </c>
    </row>
    <row r="62" ht="24" customHeight="1" s="122">
      <c r="A62" s="9" t="n"/>
      <c r="B62" s="136" t="inlineStr">
        <is>
          <t>BOARD</t>
        </is>
      </c>
      <c r="C62" s="137" t="inlineStr">
        <is>
          <t>DX3000, ADX4000W</t>
        </is>
      </c>
      <c r="D62" s="61" t="inlineStr">
        <is>
          <t>튜브 고정 보드 에노드</t>
        </is>
      </c>
      <c r="E62" s="11" t="inlineStr">
        <is>
          <t>나사</t>
        </is>
      </c>
      <c r="F62" s="99" t="n"/>
      <c r="G62" s="9" t="n"/>
      <c r="H62" s="9" t="inlineStr">
        <is>
          <t>한샘디지텍</t>
        </is>
      </c>
      <c r="I62" s="14" t="n"/>
      <c r="J62" s="14" t="n"/>
      <c r="K62" s="12" t="n">
        <v>1000</v>
      </c>
      <c r="L62" s="9" t="n"/>
      <c r="M62" s="9" t="n"/>
      <c r="N62" s="9" t="n"/>
      <c r="O62" s="40">
        <f>K62+V62-AE62-AZ62</f>
        <v/>
      </c>
      <c r="P62" s="12" t="n"/>
      <c r="Q62" s="138" t="n"/>
      <c r="R62" s="16" t="n"/>
      <c r="S62" s="139" t="n"/>
      <c r="T62" s="16" t="n"/>
      <c r="U62" s="139" t="n"/>
      <c r="V62" s="16">
        <f>P62+R62+T62</f>
        <v/>
      </c>
      <c r="W62" s="16" t="n"/>
      <c r="X62" s="139" t="n"/>
      <c r="Y62" s="16" t="n"/>
      <c r="Z62" s="139" t="n"/>
      <c r="AA62" s="16" t="n"/>
      <c r="AB62" s="139" t="n"/>
      <c r="AC62" s="16" t="n"/>
      <c r="AD62" s="139" t="n"/>
      <c r="AE62" s="16">
        <f>(W62+Y62+AA62+AC62)</f>
        <v/>
      </c>
      <c r="AF62" s="16" t="n"/>
      <c r="AG62" s="138" t="n"/>
      <c r="AH62" s="16" t="n"/>
      <c r="AI62" s="138" t="n"/>
      <c r="AJ62" s="16" t="n"/>
      <c r="AK62" s="138" t="n"/>
      <c r="AL62" s="16" t="n"/>
      <c r="AM62" s="138" t="n"/>
      <c r="AN62" s="16" t="n"/>
      <c r="AO62" s="138" t="n"/>
      <c r="AP62" s="16" t="n"/>
      <c r="AQ62" s="138" t="n"/>
      <c r="AR62" s="16" t="n"/>
      <c r="AS62" s="138" t="n"/>
      <c r="AT62" s="16" t="n"/>
      <c r="AU62" s="138" t="n"/>
      <c r="AV62" s="16" t="n"/>
      <c r="AW62" s="138" t="n"/>
      <c r="AX62" s="16" t="n"/>
      <c r="AY62" s="138" t="n"/>
      <c r="AZ62" s="16">
        <f>AF62+AH62+AJ62+AL62+AN62+AP62+AR62+AT62+AV62+AX62</f>
        <v/>
      </c>
      <c r="BA62" s="16" t="n"/>
      <c r="BB62" s="139" t="n"/>
      <c r="BC62" s="16" t="n"/>
      <c r="BD62" s="139" t="n"/>
      <c r="BE62" s="16">
        <f>(BA62+BC62)</f>
        <v/>
      </c>
    </row>
    <row r="63">
      <c r="A63" s="9" t="n"/>
      <c r="B63" s="136" t="inlineStr">
        <is>
          <t>BOARD</t>
        </is>
      </c>
      <c r="C63" s="137" t="inlineStr">
        <is>
          <t>DX3000</t>
        </is>
      </c>
      <c r="D63" s="60" t="inlineStr">
        <is>
          <t>튜브 고정 보드 케소드</t>
        </is>
      </c>
      <c r="E63" s="11" t="inlineStr">
        <is>
          <t>필라멘트</t>
        </is>
      </c>
      <c r="F63" s="99" t="n"/>
      <c r="G63" s="9" t="n"/>
      <c r="H63" s="9" t="inlineStr">
        <is>
          <t>한샘디지텍</t>
        </is>
      </c>
      <c r="I63" s="14" t="n"/>
      <c r="J63" s="14" t="n"/>
      <c r="K63" s="12" t="n">
        <v>1800</v>
      </c>
      <c r="L63" s="9" t="n"/>
      <c r="M63" s="9" t="n"/>
      <c r="N63" s="9" t="n"/>
      <c r="O63" s="40">
        <f>K63+V63-AE63-AZ63</f>
        <v/>
      </c>
      <c r="P63" s="12" t="n"/>
      <c r="Q63" s="138" t="n"/>
      <c r="R63" s="16" t="n"/>
      <c r="S63" s="139" t="n"/>
      <c r="T63" s="16" t="n"/>
      <c r="U63" s="139" t="n"/>
      <c r="V63" s="16">
        <f>P63+R63+T63</f>
        <v/>
      </c>
      <c r="W63" s="16" t="n"/>
      <c r="X63" s="139" t="n"/>
      <c r="Y63" s="16" t="n"/>
      <c r="Z63" s="139" t="n"/>
      <c r="AA63" s="16" t="n"/>
      <c r="AB63" s="139" t="n"/>
      <c r="AC63" s="16" t="n"/>
      <c r="AD63" s="139" t="n"/>
      <c r="AE63" s="16">
        <f>(W63+Y63+AA63+AC63)</f>
        <v/>
      </c>
      <c r="AF63" s="16" t="n"/>
      <c r="AG63" s="138" t="n"/>
      <c r="AH63" s="16" t="n"/>
      <c r="AI63" s="138" t="n"/>
      <c r="AJ63" s="16" t="n"/>
      <c r="AK63" s="138" t="n"/>
      <c r="AL63" s="16" t="n"/>
      <c r="AM63" s="138" t="n"/>
      <c r="AN63" s="16" t="n"/>
      <c r="AO63" s="138" t="n"/>
      <c r="AP63" s="16" t="n"/>
      <c r="AQ63" s="138" t="n"/>
      <c r="AR63" s="16" t="n"/>
      <c r="AS63" s="138" t="n"/>
      <c r="AT63" s="16" t="n"/>
      <c r="AU63" s="138" t="n"/>
      <c r="AV63" s="16" t="n"/>
      <c r="AW63" s="138" t="n"/>
      <c r="AX63" s="16" t="n"/>
      <c r="AY63" s="138" t="n"/>
      <c r="AZ63" s="16">
        <f>AF63+AH63+AJ63+AL63+AN63+AP63+AR63+AT63+AV63+AX63</f>
        <v/>
      </c>
      <c r="BA63" s="16" t="n"/>
      <c r="BB63" s="139" t="n"/>
      <c r="BC63" s="16" t="n"/>
      <c r="BD63" s="139" t="n"/>
      <c r="BE63" s="16">
        <f>(BA63+BC63)</f>
        <v/>
      </c>
    </row>
    <row r="64" ht="24" customHeight="1" s="122">
      <c r="A64" s="9" t="n"/>
      <c r="B64" s="136" t="inlineStr">
        <is>
          <t>BOARD</t>
        </is>
      </c>
      <c r="C64" s="137" t="inlineStr">
        <is>
          <t>ADX4000W</t>
        </is>
      </c>
      <c r="D64" s="68" t="inlineStr">
        <is>
          <t>튜브 고정 보드 케소드</t>
        </is>
      </c>
      <c r="E64" s="11" t="inlineStr">
        <is>
          <t>필라멘트</t>
        </is>
      </c>
      <c r="F64" s="99" t="n"/>
      <c r="G64" s="9" t="n"/>
      <c r="H64" s="9" t="inlineStr">
        <is>
          <t>한샘디지텍</t>
        </is>
      </c>
      <c r="I64" s="14" t="n"/>
      <c r="J64" s="14" t="n"/>
      <c r="K64" s="12" t="n">
        <v>2040</v>
      </c>
      <c r="L64" s="9" t="n"/>
      <c r="M64" s="9" t="n"/>
      <c r="N64" s="9" t="n"/>
      <c r="O64" s="40">
        <f>K64+V64-AE64-AZ64</f>
        <v/>
      </c>
      <c r="P64" s="12" t="n"/>
      <c r="Q64" s="138" t="n"/>
      <c r="R64" s="16" t="n"/>
      <c r="S64" s="139" t="n"/>
      <c r="T64" s="16" t="n"/>
      <c r="U64" s="139" t="n"/>
      <c r="V64" s="16">
        <f>P64+R64+T64</f>
        <v/>
      </c>
      <c r="W64" s="16" t="n"/>
      <c r="X64" s="139" t="n"/>
      <c r="Y64" s="16" t="n"/>
      <c r="Z64" s="139" t="n"/>
      <c r="AA64" s="16" t="n"/>
      <c r="AB64" s="139" t="n"/>
      <c r="AC64" s="16" t="n"/>
      <c r="AD64" s="139" t="n"/>
      <c r="AE64" s="16">
        <f>(W64+Y64+AA64+AC64)</f>
        <v/>
      </c>
      <c r="AF64" s="16" t="n"/>
      <c r="AG64" s="138" t="n"/>
      <c r="AH64" s="16" t="n"/>
      <c r="AI64" s="138" t="n"/>
      <c r="AJ64" s="16" t="n"/>
      <c r="AK64" s="138" t="n"/>
      <c r="AL64" s="16" t="n"/>
      <c r="AM64" s="138" t="n"/>
      <c r="AN64" s="16" t="n"/>
      <c r="AO64" s="138" t="n"/>
      <c r="AP64" s="16" t="n"/>
      <c r="AQ64" s="138" t="n"/>
      <c r="AR64" s="16" t="n"/>
      <c r="AS64" s="138" t="n"/>
      <c r="AT64" s="16" t="n"/>
      <c r="AU64" s="138" t="n"/>
      <c r="AV64" s="16" t="n"/>
      <c r="AW64" s="138" t="n"/>
      <c r="AX64" s="16" t="n"/>
      <c r="AY64" s="138" t="n"/>
      <c r="AZ64" s="16">
        <f>AF64+AH64+AJ64+AL64+AN64+AP64+AR64+AT64+AV64+AX64</f>
        <v/>
      </c>
      <c r="BA64" s="16" t="n"/>
      <c r="BB64" s="139" t="n"/>
      <c r="BC64" s="16" t="n"/>
      <c r="BD64" s="139" t="n"/>
      <c r="BE64" s="16">
        <f>(BA64+BC64)</f>
        <v/>
      </c>
    </row>
    <row r="65">
      <c r="A65" s="9" t="n"/>
      <c r="B65" s="136" t="inlineStr">
        <is>
          <t>BOARD</t>
        </is>
      </c>
      <c r="C65" s="137" t="inlineStr">
        <is>
          <t>COCOON</t>
        </is>
      </c>
      <c r="D65" s="65" t="inlineStr">
        <is>
          <t>튜브 고정 보드 에노드</t>
        </is>
      </c>
      <c r="E65" s="11" t="inlineStr">
        <is>
          <t>나사</t>
        </is>
      </c>
      <c r="F65" s="99" t="n"/>
      <c r="G65" s="9" t="n"/>
      <c r="H65" s="9" t="inlineStr">
        <is>
          <t>한샘디지텍</t>
        </is>
      </c>
      <c r="I65" s="14" t="n"/>
      <c r="J65" s="14" t="n"/>
      <c r="K65" s="12" t="n">
        <v>1202</v>
      </c>
      <c r="L65" s="9" t="n"/>
      <c r="M65" s="9" t="n"/>
      <c r="N65" s="9" t="n"/>
      <c r="O65" s="40">
        <f>K65+V65-AE65-AZ65</f>
        <v/>
      </c>
      <c r="P65" s="12" t="n"/>
      <c r="Q65" s="138" t="n"/>
      <c r="R65" s="16" t="n"/>
      <c r="S65" s="139" t="n"/>
      <c r="T65" s="16" t="n"/>
      <c r="U65" s="139" t="n"/>
      <c r="V65" s="16">
        <f>P65+R65+T65</f>
        <v/>
      </c>
      <c r="W65" s="16" t="n"/>
      <c r="X65" s="139" t="n"/>
      <c r="Y65" s="16" t="n"/>
      <c r="Z65" s="139" t="n"/>
      <c r="AA65" s="16" t="n"/>
      <c r="AB65" s="139" t="n"/>
      <c r="AC65" s="16" t="n"/>
      <c r="AD65" s="139" t="n"/>
      <c r="AE65" s="16">
        <f>(W65+Y65+AA65+AC65)</f>
        <v/>
      </c>
      <c r="AF65" s="16" t="n"/>
      <c r="AG65" s="138" t="n"/>
      <c r="AH65" s="16" t="n"/>
      <c r="AI65" s="138" t="n"/>
      <c r="AJ65" s="16" t="n"/>
      <c r="AK65" s="138" t="n"/>
      <c r="AL65" s="16" t="n"/>
      <c r="AM65" s="138" t="n"/>
      <c r="AN65" s="16" t="n"/>
      <c r="AO65" s="138" t="n"/>
      <c r="AP65" s="16" t="n"/>
      <c r="AQ65" s="138" t="n"/>
      <c r="AR65" s="16" t="n"/>
      <c r="AS65" s="138" t="n"/>
      <c r="AT65" s="16" t="n"/>
      <c r="AU65" s="138" t="n"/>
      <c r="AV65" s="16" t="n"/>
      <c r="AW65" s="138" t="n"/>
      <c r="AX65" s="16" t="n"/>
      <c r="AY65" s="138" t="n"/>
      <c r="AZ65" s="16">
        <f>AF65+AH65+AJ65+AL65+AN65+AP65+AR65+AT65+AV65+AX65</f>
        <v/>
      </c>
      <c r="BA65" s="16" t="n"/>
      <c r="BB65" s="139" t="n"/>
      <c r="BC65" s="16" t="n"/>
      <c r="BD65" s="139" t="n"/>
      <c r="BE65" s="16">
        <f>(BA65+BC65)</f>
        <v/>
      </c>
    </row>
    <row r="66">
      <c r="A66" s="9" t="n"/>
      <c r="B66" s="136" t="inlineStr">
        <is>
          <t>BOARD</t>
        </is>
      </c>
      <c r="C66" s="137" t="inlineStr">
        <is>
          <t>ADX6000</t>
        </is>
      </c>
      <c r="D66" s="65" t="inlineStr">
        <is>
          <t>튜브 고정 보드 에노드</t>
        </is>
      </c>
      <c r="E66" s="11" t="inlineStr">
        <is>
          <t>나사</t>
        </is>
      </c>
      <c r="F66" s="99" t="n"/>
      <c r="G66" s="9" t="n"/>
      <c r="H66" s="9" t="inlineStr">
        <is>
          <t>한샘디지텍</t>
        </is>
      </c>
      <c r="I66" s="14" t="n"/>
      <c r="J66" s="14" t="n"/>
      <c r="K66" s="12" t="n">
        <v>0</v>
      </c>
      <c r="L66" s="9" t="n"/>
      <c r="M66" s="9" t="n"/>
      <c r="N66" s="9" t="n"/>
      <c r="O66" s="40">
        <f>K66+V66-AE66-AZ66</f>
        <v/>
      </c>
      <c r="P66" s="12" t="n"/>
      <c r="Q66" s="138" t="n"/>
      <c r="R66" s="16" t="n"/>
      <c r="S66" s="139" t="n"/>
      <c r="T66" s="16" t="n"/>
      <c r="U66" s="139" t="n"/>
      <c r="V66" s="16">
        <f>P66+R66+T66</f>
        <v/>
      </c>
      <c r="W66" s="16" t="n"/>
      <c r="X66" s="139" t="n"/>
      <c r="Y66" s="16" t="n"/>
      <c r="Z66" s="139" t="n"/>
      <c r="AA66" s="16" t="n"/>
      <c r="AB66" s="139" t="n"/>
      <c r="AC66" s="16" t="n"/>
      <c r="AD66" s="139" t="n"/>
      <c r="AE66" s="16">
        <f>(W66+Y66+AA66+AC66)</f>
        <v/>
      </c>
      <c r="AF66" s="16" t="n"/>
      <c r="AG66" s="138" t="n"/>
      <c r="AH66" s="16" t="n"/>
      <c r="AI66" s="138" t="n"/>
      <c r="AJ66" s="16" t="n"/>
      <c r="AK66" s="138" t="n"/>
      <c r="AL66" s="16" t="n"/>
      <c r="AM66" s="138" t="n"/>
      <c r="AN66" s="16" t="n"/>
      <c r="AO66" s="138" t="n"/>
      <c r="AP66" s="16" t="n"/>
      <c r="AQ66" s="138" t="n"/>
      <c r="AR66" s="16" t="n"/>
      <c r="AS66" s="138" t="n"/>
      <c r="AT66" s="16" t="n"/>
      <c r="AU66" s="138" t="n"/>
      <c r="AV66" s="16" t="n"/>
      <c r="AW66" s="138" t="n"/>
      <c r="AX66" s="16" t="n"/>
      <c r="AY66" s="138" t="n"/>
      <c r="AZ66" s="16">
        <f>AF66+AH66+AJ66+AL66+AN66+AP66+AR66+AT66+AV66+AX66</f>
        <v/>
      </c>
      <c r="BA66" s="16" t="n"/>
      <c r="BB66" s="139" t="n"/>
      <c r="BC66" s="16" t="n"/>
      <c r="BD66" s="139" t="n"/>
      <c r="BE66" s="16">
        <f>(BA66+BC66)</f>
        <v/>
      </c>
    </row>
    <row r="67">
      <c r="A67" s="9" t="n"/>
      <c r="B67" s="136" t="inlineStr">
        <is>
          <t>BOARD</t>
        </is>
      </c>
      <c r="C67" s="137" t="inlineStr">
        <is>
          <t>ADX6000</t>
        </is>
      </c>
      <c r="D67" s="60" t="inlineStr">
        <is>
          <t>튜브 고정 보드 케소드</t>
        </is>
      </c>
      <c r="E67" s="11" t="inlineStr">
        <is>
          <t>필라멘트</t>
        </is>
      </c>
      <c r="F67" s="99" t="n"/>
      <c r="G67" s="9" t="n"/>
      <c r="H67" s="9" t="inlineStr">
        <is>
          <t>한샘디지텍</t>
        </is>
      </c>
      <c r="I67" s="14" t="n"/>
      <c r="J67" s="14" t="n"/>
      <c r="K67" s="12" t="n">
        <v>0</v>
      </c>
      <c r="L67" s="9" t="n"/>
      <c r="M67" s="9" t="n"/>
      <c r="N67" s="9" t="n"/>
      <c r="O67" s="40">
        <f>K67+V67-AE67-AZ67</f>
        <v/>
      </c>
      <c r="P67" s="12" t="n"/>
      <c r="Q67" s="138" t="n"/>
      <c r="R67" s="16" t="n"/>
      <c r="S67" s="139" t="n"/>
      <c r="T67" s="16" t="n"/>
      <c r="U67" s="139" t="n"/>
      <c r="V67" s="16">
        <f>P67+R67+T67</f>
        <v/>
      </c>
      <c r="W67" s="16" t="n"/>
      <c r="X67" s="139" t="n"/>
      <c r="Y67" s="16" t="n"/>
      <c r="Z67" s="139" t="n"/>
      <c r="AA67" s="16" t="n"/>
      <c r="AB67" s="139" t="n"/>
      <c r="AC67" s="16" t="n"/>
      <c r="AD67" s="139" t="n"/>
      <c r="AE67" s="16">
        <f>(W67+Y67+AA67+AC67)</f>
        <v/>
      </c>
      <c r="AF67" s="16" t="n"/>
      <c r="AG67" s="138" t="n"/>
      <c r="AH67" s="16" t="n"/>
      <c r="AI67" s="138" t="n"/>
      <c r="AJ67" s="16" t="n"/>
      <c r="AK67" s="138" t="n"/>
      <c r="AL67" s="16" t="n"/>
      <c r="AM67" s="138" t="n"/>
      <c r="AN67" s="16" t="n"/>
      <c r="AO67" s="138" t="n"/>
      <c r="AP67" s="16" t="n"/>
      <c r="AQ67" s="138" t="n"/>
      <c r="AR67" s="16" t="n"/>
      <c r="AS67" s="138" t="n"/>
      <c r="AT67" s="16" t="n"/>
      <c r="AU67" s="138" t="n"/>
      <c r="AV67" s="16" t="n"/>
      <c r="AW67" s="138" t="n"/>
      <c r="AX67" s="16" t="n"/>
      <c r="AY67" s="138" t="n"/>
      <c r="AZ67" s="16">
        <f>AF67+AH67+AJ67+AL67+AN67+AP67+AR67+AT67+AV67+AX67</f>
        <v/>
      </c>
      <c r="BA67" s="16" t="n"/>
      <c r="BB67" s="139" t="n"/>
      <c r="BC67" s="16" t="n"/>
      <c r="BD67" s="139" t="n"/>
      <c r="BE67" s="16">
        <f>(BA67+BC67)</f>
        <v/>
      </c>
    </row>
    <row r="68" ht="36" customHeight="1" s="122">
      <c r="A68" s="9" t="n"/>
      <c r="B68" s="141" t="inlineStr">
        <is>
          <t>베이클라이트</t>
        </is>
      </c>
      <c r="C68" s="137" t="inlineStr">
        <is>
          <t>DX3000, ADX4000W ADX6000</t>
        </is>
      </c>
      <c r="D68" s="62" t="inlineStr">
        <is>
          <t>베이클라이트 케이스</t>
        </is>
      </c>
      <c r="E68" s="36" t="inlineStr">
        <is>
          <t>베이클라이트</t>
        </is>
      </c>
      <c r="F68" s="99" t="n"/>
      <c r="G68" s="22" t="n"/>
      <c r="H68" s="22" t="inlineStr">
        <is>
          <t>용봉화학</t>
        </is>
      </c>
      <c r="I68" s="14" t="n"/>
      <c r="J68" s="14" t="n"/>
      <c r="K68" s="12" t="n">
        <v>733</v>
      </c>
      <c r="L68" s="9" t="n"/>
      <c r="M68" s="9" t="n"/>
      <c r="N68" s="9" t="n"/>
      <c r="O68" s="40">
        <f>K68+V68-AE68-AZ68</f>
        <v/>
      </c>
      <c r="P68" s="12" t="n"/>
      <c r="Q68" s="138" t="n"/>
      <c r="R68" s="16" t="n"/>
      <c r="S68" s="139" t="n"/>
      <c r="T68" s="16" t="n"/>
      <c r="U68" s="139" t="n"/>
      <c r="V68" s="16">
        <f>P68+R68+T68</f>
        <v/>
      </c>
      <c r="W68" s="16" t="n"/>
      <c r="X68" s="139" t="n"/>
      <c r="Y68" s="16" t="n"/>
      <c r="Z68" s="139" t="n"/>
      <c r="AA68" s="16" t="n"/>
      <c r="AB68" s="139" t="n"/>
      <c r="AC68" s="16" t="n"/>
      <c r="AD68" s="139" t="n"/>
      <c r="AE68" s="16">
        <f>(W68+Y68+AA68+AC68)</f>
        <v/>
      </c>
      <c r="AF68" s="16" t="n"/>
      <c r="AG68" s="138" t="n"/>
      <c r="AH68" s="16" t="n"/>
      <c r="AI68" s="138" t="n"/>
      <c r="AJ68" s="16" t="n"/>
      <c r="AK68" s="138" t="n"/>
      <c r="AL68" s="16" t="n"/>
      <c r="AM68" s="138" t="n"/>
      <c r="AN68" s="16" t="n"/>
      <c r="AO68" s="138" t="n"/>
      <c r="AP68" s="16" t="n"/>
      <c r="AQ68" s="138" t="n"/>
      <c r="AR68" s="16" t="n"/>
      <c r="AS68" s="138" t="n"/>
      <c r="AT68" s="16" t="n"/>
      <c r="AU68" s="138" t="n"/>
      <c r="AV68" s="16" t="n"/>
      <c r="AW68" s="138" t="n"/>
      <c r="AX68" s="16" t="n"/>
      <c r="AY68" s="138" t="n"/>
      <c r="AZ68" s="16">
        <f>AF68+AH68+AJ68+AL68+AN68+AP68+AR68+AT68+AV68+AX68</f>
        <v/>
      </c>
      <c r="BA68" s="16" t="n"/>
      <c r="BB68" s="139" t="n"/>
      <c r="BC68" s="16" t="n"/>
      <c r="BD68" s="139" t="n"/>
      <c r="BE68" s="16">
        <f>(BA68+BC68)</f>
        <v/>
      </c>
    </row>
    <row r="69">
      <c r="A69" s="9" t="n"/>
      <c r="B69" s="141" t="inlineStr">
        <is>
          <t>HDPE</t>
        </is>
      </c>
      <c r="C69" s="137" t="inlineStr">
        <is>
          <t>COCOON</t>
        </is>
      </c>
      <c r="D69" s="62" t="inlineStr">
        <is>
          <t>NC 케이스</t>
        </is>
      </c>
      <c r="E69" s="36" t="inlineStr">
        <is>
          <t>HDPE</t>
        </is>
      </c>
      <c r="F69" s="99" t="n"/>
      <c r="G69" s="22" t="n"/>
      <c r="H69" s="22" t="inlineStr">
        <is>
          <t>용봉화학</t>
        </is>
      </c>
      <c r="I69" s="14" t="n"/>
      <c r="J69" s="14" t="n"/>
      <c r="K69" s="12" t="n">
        <v>112</v>
      </c>
      <c r="L69" s="9" t="n"/>
      <c r="M69" s="9" t="n"/>
      <c r="N69" s="9" t="n"/>
      <c r="O69" s="40">
        <f>K69+V69-AE69-AZ69</f>
        <v/>
      </c>
      <c r="P69" s="12" t="n"/>
      <c r="Q69" s="138" t="n"/>
      <c r="R69" s="16" t="n"/>
      <c r="S69" s="139" t="n"/>
      <c r="T69" s="16" t="n"/>
      <c r="U69" s="139" t="n"/>
      <c r="V69" s="16">
        <f>P69+R69+T69</f>
        <v/>
      </c>
      <c r="W69" s="16" t="n"/>
      <c r="X69" s="139" t="n"/>
      <c r="Y69" s="16" t="n"/>
      <c r="Z69" s="139" t="n"/>
      <c r="AA69" s="16" t="n"/>
      <c r="AB69" s="139" t="n"/>
      <c r="AC69" s="16" t="n"/>
      <c r="AD69" s="139" t="n"/>
      <c r="AE69" s="16">
        <f>(W69+Y69+AA69+AC69)</f>
        <v/>
      </c>
      <c r="AF69" s="16" t="n"/>
      <c r="AG69" s="138" t="n"/>
      <c r="AH69" s="16" t="n"/>
      <c r="AI69" s="138" t="n"/>
      <c r="AJ69" s="16" t="n"/>
      <c r="AK69" s="138" t="n"/>
      <c r="AL69" s="16" t="n"/>
      <c r="AM69" s="138" t="n"/>
      <c r="AN69" s="16" t="n"/>
      <c r="AO69" s="138" t="n"/>
      <c r="AP69" s="16" t="n"/>
      <c r="AQ69" s="138" t="n"/>
      <c r="AR69" s="16" t="n"/>
      <c r="AS69" s="138" t="n"/>
      <c r="AT69" s="16" t="n"/>
      <c r="AU69" s="138" t="n"/>
      <c r="AV69" s="16" t="n"/>
      <c r="AW69" s="138" t="n"/>
      <c r="AX69" s="16" t="n"/>
      <c r="AY69" s="138" t="n"/>
      <c r="AZ69" s="16">
        <f>AF69+AH69+AJ69+AL69+AN69+AP69+AR69+AT69+AV69+AX69</f>
        <v/>
      </c>
      <c r="BA69" s="16" t="n"/>
      <c r="BB69" s="139" t="n"/>
      <c r="BC69" s="16" t="n"/>
      <c r="BD69" s="139" t="n"/>
      <c r="BE69" s="16">
        <f>(BA69+BC69)</f>
        <v/>
      </c>
    </row>
    <row r="70">
      <c r="A70" s="9" t="n"/>
      <c r="B70" s="141" t="inlineStr">
        <is>
          <t>HDPE</t>
        </is>
      </c>
      <c r="C70" s="137" t="inlineStr">
        <is>
          <t>SOLO</t>
        </is>
      </c>
      <c r="D70" s="62" t="inlineStr">
        <is>
          <t>NC 케이스</t>
        </is>
      </c>
      <c r="E70" s="36" t="inlineStr">
        <is>
          <t>HDPE</t>
        </is>
      </c>
      <c r="F70" s="99" t="n"/>
      <c r="G70" s="22" t="n"/>
      <c r="H70" s="22" t="inlineStr">
        <is>
          <t>용봉화학</t>
        </is>
      </c>
      <c r="I70" s="14" t="n"/>
      <c r="J70" s="14" t="n"/>
      <c r="K70" s="12" t="n">
        <v>40</v>
      </c>
      <c r="L70" s="9" t="n"/>
      <c r="M70" s="9" t="n"/>
      <c r="N70" s="9" t="n"/>
      <c r="O70" s="40">
        <f>K70+V70-AE70-AZ70</f>
        <v/>
      </c>
      <c r="P70" s="12" t="n"/>
      <c r="Q70" s="138" t="n"/>
      <c r="R70" s="16" t="n"/>
      <c r="S70" s="139" t="n"/>
      <c r="T70" s="16" t="n"/>
      <c r="U70" s="139" t="n"/>
      <c r="V70" s="16">
        <f>P70+R70+T70</f>
        <v/>
      </c>
      <c r="W70" s="16" t="n"/>
      <c r="X70" s="139" t="n"/>
      <c r="Y70" s="16" t="n"/>
      <c r="Z70" s="139" t="n"/>
      <c r="AA70" s="16" t="n"/>
      <c r="AB70" s="139" t="n"/>
      <c r="AC70" s="16" t="n"/>
      <c r="AD70" s="139" t="n"/>
      <c r="AE70" s="16">
        <f>(W70+Y70+AA70+AC70)</f>
        <v/>
      </c>
      <c r="AF70" s="16" t="n"/>
      <c r="AG70" s="138" t="n"/>
      <c r="AH70" s="16" t="n"/>
      <c r="AI70" s="138" t="n"/>
      <c r="AJ70" s="16" t="n"/>
      <c r="AK70" s="138" t="n"/>
      <c r="AL70" s="16" t="n"/>
      <c r="AM70" s="138" t="n"/>
      <c r="AN70" s="16" t="n"/>
      <c r="AO70" s="138" t="n"/>
      <c r="AP70" s="16" t="n"/>
      <c r="AQ70" s="138" t="n"/>
      <c r="AR70" s="16" t="n"/>
      <c r="AS70" s="138" t="n"/>
      <c r="AT70" s="16" t="n"/>
      <c r="AU70" s="138" t="n"/>
      <c r="AV70" s="16" t="n"/>
      <c r="AW70" s="138" t="n"/>
      <c r="AX70" s="16" t="n"/>
      <c r="AY70" s="138" t="n"/>
      <c r="AZ70" s="16">
        <f>AF70+AH70+AJ70+AL70+AN70+AP70+AR70+AT70+AV70+AX70</f>
        <v/>
      </c>
      <c r="BA70" s="16" t="n"/>
      <c r="BB70" s="139" t="n"/>
      <c r="BC70" s="16" t="n"/>
      <c r="BD70" s="139" t="n"/>
      <c r="BE70" s="16">
        <f>(BA70+BC70)</f>
        <v/>
      </c>
    </row>
    <row r="71">
      <c r="A71" s="9" t="n"/>
      <c r="B71" s="141" t="inlineStr">
        <is>
          <t>HDPE</t>
        </is>
      </c>
      <c r="C71" s="137" t="inlineStr">
        <is>
          <t>COCOON</t>
        </is>
      </c>
      <c r="D71" s="62" t="inlineStr">
        <is>
          <t>PE케이스 거치대</t>
        </is>
      </c>
      <c r="E71" s="36" t="inlineStr">
        <is>
          <t>HDPE</t>
        </is>
      </c>
      <c r="F71" s="99" t="n"/>
      <c r="G71" s="22" t="n"/>
      <c r="H71" s="22" t="inlineStr">
        <is>
          <t>용봉화학</t>
        </is>
      </c>
      <c r="I71" s="14" t="n"/>
      <c r="J71" s="14" t="n"/>
      <c r="K71" s="12" t="n">
        <v>200</v>
      </c>
      <c r="L71" s="9" t="n"/>
      <c r="M71" s="9" t="n"/>
      <c r="N71" s="9" t="n"/>
      <c r="O71" s="40">
        <f>K71+V71-AE71-AZ71</f>
        <v/>
      </c>
      <c r="P71" s="12" t="n"/>
      <c r="Q71" s="138" t="n"/>
      <c r="R71" s="16" t="n"/>
      <c r="S71" s="139" t="n"/>
      <c r="T71" s="16" t="n"/>
      <c r="U71" s="139" t="n"/>
      <c r="V71" s="16">
        <f>P71+R71+T71</f>
        <v/>
      </c>
      <c r="W71" s="16" t="n"/>
      <c r="X71" s="139" t="n"/>
      <c r="Y71" s="16" t="n"/>
      <c r="Z71" s="139" t="n"/>
      <c r="AA71" s="16" t="n"/>
      <c r="AB71" s="139" t="n"/>
      <c r="AC71" s="16" t="n"/>
      <c r="AD71" s="139" t="n"/>
      <c r="AE71" s="16">
        <f>(W71+Y71+AA71+AC71)</f>
        <v/>
      </c>
      <c r="AF71" s="16" t="n"/>
      <c r="AG71" s="138" t="n"/>
      <c r="AH71" s="16" t="n"/>
      <c r="AI71" s="138" t="n"/>
      <c r="AJ71" s="16" t="n"/>
      <c r="AK71" s="138" t="n"/>
      <c r="AL71" s="16" t="n"/>
      <c r="AM71" s="138" t="n"/>
      <c r="AN71" s="16" t="n"/>
      <c r="AO71" s="138" t="n"/>
      <c r="AP71" s="16" t="n"/>
      <c r="AQ71" s="138" t="n"/>
      <c r="AR71" s="16" t="n"/>
      <c r="AS71" s="138" t="n"/>
      <c r="AT71" s="16" t="n"/>
      <c r="AU71" s="138" t="n"/>
      <c r="AV71" s="16" t="n"/>
      <c r="AW71" s="138" t="n"/>
      <c r="AX71" s="16" t="n"/>
      <c r="AY71" s="138" t="n"/>
      <c r="AZ71" s="16">
        <f>AF71+AH71+AJ71+AL71+AN71+AP71+AR71+AT71+AV71+AX71</f>
        <v/>
      </c>
      <c r="BA71" s="16" t="n"/>
      <c r="BB71" s="139" t="n"/>
      <c r="BC71" s="16" t="n"/>
      <c r="BD71" s="139" t="n"/>
      <c r="BE71" s="16">
        <f>(BA71+BC71)</f>
        <v/>
      </c>
    </row>
    <row r="72">
      <c r="A72" s="9" t="n"/>
      <c r="B72" s="141" t="inlineStr">
        <is>
          <t>황동</t>
        </is>
      </c>
      <c r="C72" s="137" t="inlineStr">
        <is>
          <t>DX3000</t>
        </is>
      </c>
      <c r="D72" s="69" t="inlineStr">
        <is>
          <t>신주 케이스</t>
        </is>
      </c>
      <c r="E72" s="36" t="inlineStr">
        <is>
          <t>0.6T</t>
        </is>
      </c>
      <c r="F72" s="99" t="n"/>
      <c r="G72" s="22" t="n"/>
      <c r="H72" s="22" t="inlineStr">
        <is>
          <t>해진정밀</t>
        </is>
      </c>
      <c r="I72" s="14" t="n"/>
      <c r="J72" s="14" t="n"/>
      <c r="K72" s="12" t="n">
        <v>893</v>
      </c>
      <c r="L72" s="9" t="n"/>
      <c r="M72" s="9" t="n"/>
      <c r="N72" s="9" t="n"/>
      <c r="O72" s="40">
        <f>K72+V72-AE72-AZ72</f>
        <v/>
      </c>
      <c r="P72" s="12" t="n"/>
      <c r="Q72" s="138" t="n"/>
      <c r="R72" s="16" t="n"/>
      <c r="S72" s="139" t="n"/>
      <c r="T72" s="16" t="n"/>
      <c r="U72" s="139" t="n"/>
      <c r="V72" s="16">
        <f>P72+R72+T72</f>
        <v/>
      </c>
      <c r="W72" s="16" t="n"/>
      <c r="X72" s="139" t="n"/>
      <c r="Y72" s="16" t="n"/>
      <c r="Z72" s="139" t="n"/>
      <c r="AA72" s="16" t="n"/>
      <c r="AB72" s="139" t="n"/>
      <c r="AC72" s="16" t="n"/>
      <c r="AD72" s="139" t="n"/>
      <c r="AE72" s="16">
        <f>(W72+Y72+AA72+AC72)</f>
        <v/>
      </c>
      <c r="AF72" s="16" t="n"/>
      <c r="AG72" s="138" t="n"/>
      <c r="AH72" s="16" t="n"/>
      <c r="AI72" s="138" t="n"/>
      <c r="AJ72" s="16" t="n"/>
      <c r="AK72" s="138" t="n"/>
      <c r="AL72" s="16" t="n"/>
      <c r="AM72" s="138" t="n"/>
      <c r="AN72" s="16" t="n"/>
      <c r="AO72" s="138" t="n"/>
      <c r="AP72" s="16" t="n"/>
      <c r="AQ72" s="138" t="n"/>
      <c r="AR72" s="16" t="n"/>
      <c r="AS72" s="138" t="n"/>
      <c r="AT72" s="16" t="n"/>
      <c r="AU72" s="138" t="n"/>
      <c r="AV72" s="16" t="n"/>
      <c r="AW72" s="138" t="n"/>
      <c r="AX72" s="16" t="n"/>
      <c r="AY72" s="138" t="n"/>
      <c r="AZ72" s="16">
        <f>AF72+AH72+AJ72+AL72+AN72+AP72+AR72+AT72+AV72+AX72</f>
        <v/>
      </c>
      <c r="BA72" s="16" t="n"/>
      <c r="BB72" s="139" t="n"/>
      <c r="BC72" s="16" t="n"/>
      <c r="BD72" s="139" t="n"/>
      <c r="BE72" s="16">
        <f>(BA72+BC72)</f>
        <v/>
      </c>
    </row>
    <row r="73">
      <c r="A73" s="9" t="n"/>
      <c r="B73" s="141" t="inlineStr">
        <is>
          <t>황동</t>
        </is>
      </c>
      <c r="C73" s="137" t="inlineStr">
        <is>
          <t>COCOON</t>
        </is>
      </c>
      <c r="D73" s="62" t="inlineStr">
        <is>
          <t>신주 케이스</t>
        </is>
      </c>
      <c r="E73" s="36" t="inlineStr">
        <is>
          <t>0.6T</t>
        </is>
      </c>
      <c r="F73" s="99" t="n"/>
      <c r="G73" s="22" t="n"/>
      <c r="H73" s="22" t="inlineStr">
        <is>
          <t>디지아이</t>
        </is>
      </c>
      <c r="I73" s="14" t="n"/>
      <c r="J73" s="14" t="n"/>
      <c r="K73" s="12" t="n">
        <v>654</v>
      </c>
      <c r="L73" s="9" t="n"/>
      <c r="M73" s="9" t="n"/>
      <c r="N73" s="9" t="n"/>
      <c r="O73" s="40">
        <f>K73+V73-AE73-AZ73</f>
        <v/>
      </c>
      <c r="P73" s="12" t="n"/>
      <c r="Q73" s="138" t="n"/>
      <c r="R73" s="16" t="n"/>
      <c r="S73" s="139" t="n"/>
      <c r="T73" s="16" t="n"/>
      <c r="U73" s="139" t="n"/>
      <c r="V73" s="16">
        <f>P73+R73+T73</f>
        <v/>
      </c>
      <c r="W73" s="16" t="n"/>
      <c r="X73" s="139" t="n"/>
      <c r="Y73" s="16" t="n"/>
      <c r="Z73" s="139" t="n"/>
      <c r="AA73" s="16" t="n"/>
      <c r="AB73" s="139" t="n"/>
      <c r="AC73" s="16" t="n"/>
      <c r="AD73" s="139" t="n"/>
      <c r="AE73" s="16">
        <f>(W73+Y73+AA73+AC73)</f>
        <v/>
      </c>
      <c r="AF73" s="16" t="n"/>
      <c r="AG73" s="138" t="n"/>
      <c r="AH73" s="16" t="n"/>
      <c r="AI73" s="138" t="n"/>
      <c r="AJ73" s="16" t="n"/>
      <c r="AK73" s="138" t="n"/>
      <c r="AL73" s="16" t="n"/>
      <c r="AM73" s="138" t="n"/>
      <c r="AN73" s="16" t="n"/>
      <c r="AO73" s="138" t="n"/>
      <c r="AP73" s="16" t="n"/>
      <c r="AQ73" s="138" t="n"/>
      <c r="AR73" s="16" t="n"/>
      <c r="AS73" s="138" t="n"/>
      <c r="AT73" s="16" t="n"/>
      <c r="AU73" s="138" t="n"/>
      <c r="AV73" s="16" t="n"/>
      <c r="AW73" s="138" t="n"/>
      <c r="AX73" s="16" t="n"/>
      <c r="AY73" s="138" t="n"/>
      <c r="AZ73" s="16">
        <f>AF73+AH73+AJ73+AL73+AN73+AP73+AR73+AT73+AV73+AX73</f>
        <v/>
      </c>
      <c r="BA73" s="16" t="n"/>
      <c r="BB73" s="139" t="n"/>
      <c r="BC73" s="16" t="n"/>
      <c r="BD73" s="139" t="n"/>
      <c r="BE73" s="16">
        <f>(BA73+BC73)</f>
        <v/>
      </c>
    </row>
    <row r="74">
      <c r="A74" s="9" t="n"/>
      <c r="B74" s="141" t="inlineStr">
        <is>
          <t>황동</t>
        </is>
      </c>
      <c r="C74" s="137" t="inlineStr">
        <is>
          <t>SOLO</t>
        </is>
      </c>
      <c r="D74" s="62" t="inlineStr">
        <is>
          <t>신주 케이스</t>
        </is>
      </c>
      <c r="E74" s="36" t="inlineStr">
        <is>
          <t>0.6T</t>
        </is>
      </c>
      <c r="F74" s="99" t="n"/>
      <c r="G74" s="22" t="n"/>
      <c r="H74" s="22" t="inlineStr">
        <is>
          <t>디지아이</t>
        </is>
      </c>
      <c r="I74" s="14" t="n"/>
      <c r="J74" s="14" t="n"/>
      <c r="K74" s="12" t="n">
        <v>0</v>
      </c>
      <c r="L74" s="9" t="n"/>
      <c r="M74" s="9" t="n"/>
      <c r="N74" s="9" t="n"/>
      <c r="O74" s="40">
        <f>K74+V74-AE74-AZ74</f>
        <v/>
      </c>
      <c r="P74" s="12" t="n"/>
      <c r="Q74" s="138" t="n"/>
      <c r="R74" s="16" t="n"/>
      <c r="S74" s="139" t="n"/>
      <c r="T74" s="16" t="n"/>
      <c r="U74" s="139" t="n"/>
      <c r="V74" s="16">
        <f>P74+R74+T74</f>
        <v/>
      </c>
      <c r="W74" s="16" t="n"/>
      <c r="X74" s="139" t="n"/>
      <c r="Y74" s="16" t="n"/>
      <c r="Z74" s="139" t="n"/>
      <c r="AA74" s="16" t="n"/>
      <c r="AB74" s="139" t="n"/>
      <c r="AC74" s="16" t="n"/>
      <c r="AD74" s="139" t="n"/>
      <c r="AE74" s="16">
        <f>(W74+Y74+AA74+AC74)</f>
        <v/>
      </c>
      <c r="AF74" s="16" t="n"/>
      <c r="AG74" s="138" t="n"/>
      <c r="AH74" s="16" t="n"/>
      <c r="AI74" s="138" t="n"/>
      <c r="AJ74" s="16" t="n"/>
      <c r="AK74" s="138" t="n"/>
      <c r="AL74" s="16" t="n"/>
      <c r="AM74" s="138" t="n"/>
      <c r="AN74" s="16" t="n"/>
      <c r="AO74" s="138" t="n"/>
      <c r="AP74" s="16" t="n"/>
      <c r="AQ74" s="138" t="n"/>
      <c r="AR74" s="16" t="n"/>
      <c r="AS74" s="138" t="n"/>
      <c r="AT74" s="16" t="n"/>
      <c r="AU74" s="138" t="n"/>
      <c r="AV74" s="16" t="n"/>
      <c r="AW74" s="138" t="n"/>
      <c r="AX74" s="16" t="n"/>
      <c r="AY74" s="138" t="n"/>
      <c r="AZ74" s="16">
        <f>AF74+AH74+AJ74+AL74+AN74+AP74+AR74+AT74+AV74+AX74</f>
        <v/>
      </c>
      <c r="BA74" s="16" t="n"/>
      <c r="BB74" s="139" t="n"/>
      <c r="BC74" s="16" t="n"/>
      <c r="BD74" s="139" t="n"/>
      <c r="BE74" s="16">
        <f>(BA74+BC74)</f>
        <v/>
      </c>
    </row>
    <row r="75">
      <c r="A75" s="9" t="n"/>
      <c r="B75" s="141" t="inlineStr">
        <is>
          <t>황동</t>
        </is>
      </c>
      <c r="C75" s="137" t="inlineStr">
        <is>
          <t>ADX4000W</t>
        </is>
      </c>
      <c r="D75" s="62" t="inlineStr">
        <is>
          <t>신주 케이스</t>
        </is>
      </c>
      <c r="E75" s="36" t="inlineStr">
        <is>
          <t>0.6T</t>
        </is>
      </c>
      <c r="F75" s="99" t="n"/>
      <c r="G75" s="22" t="n"/>
      <c r="H75" s="22" t="inlineStr">
        <is>
          <t>해진정밀</t>
        </is>
      </c>
      <c r="I75" s="14" t="n"/>
      <c r="J75" s="14" t="n"/>
      <c r="K75" s="12" t="n">
        <v>273</v>
      </c>
      <c r="L75" s="9" t="n"/>
      <c r="M75" s="9" t="n"/>
      <c r="N75" s="9" t="n"/>
      <c r="O75" s="40">
        <f>K75+V75-AE75-AZ75</f>
        <v/>
      </c>
      <c r="P75" s="12" t="n"/>
      <c r="Q75" s="138" t="n"/>
      <c r="R75" s="16" t="n"/>
      <c r="S75" s="139" t="n"/>
      <c r="T75" s="16" t="n"/>
      <c r="U75" s="139" t="n"/>
      <c r="V75" s="16">
        <f>P75+R75+T75</f>
        <v/>
      </c>
      <c r="W75" s="16" t="n"/>
      <c r="X75" s="139" t="n"/>
      <c r="Y75" s="16" t="n"/>
      <c r="Z75" s="139" t="n"/>
      <c r="AA75" s="16" t="n"/>
      <c r="AB75" s="139" t="n"/>
      <c r="AC75" s="16" t="n"/>
      <c r="AD75" s="139" t="n"/>
      <c r="AE75" s="16">
        <f>(W75+Y75+AA75+AC75)</f>
        <v/>
      </c>
      <c r="AF75" s="16" t="n"/>
      <c r="AG75" s="138" t="n"/>
      <c r="AH75" s="16" t="n"/>
      <c r="AI75" s="138" t="n"/>
      <c r="AJ75" s="16" t="n"/>
      <c r="AK75" s="138" t="n"/>
      <c r="AL75" s="16" t="n"/>
      <c r="AM75" s="138" t="n"/>
      <c r="AN75" s="16" t="n"/>
      <c r="AO75" s="138" t="n"/>
      <c r="AP75" s="16" t="n"/>
      <c r="AQ75" s="138" t="n"/>
      <c r="AR75" s="16" t="n"/>
      <c r="AS75" s="138" t="n"/>
      <c r="AT75" s="16" t="n"/>
      <c r="AU75" s="138" t="n"/>
      <c r="AV75" s="16" t="n"/>
      <c r="AW75" s="138" t="n"/>
      <c r="AX75" s="16" t="n"/>
      <c r="AY75" s="138" t="n"/>
      <c r="AZ75" s="16">
        <f>AF75+AH75+AJ75+AL75+AN75+AP75+AR75+AT75+AV75+AX75</f>
        <v/>
      </c>
      <c r="BA75" s="16" t="n"/>
      <c r="BB75" s="139" t="n"/>
      <c r="BC75" s="16" t="n"/>
      <c r="BD75" s="139" t="n"/>
      <c r="BE75" s="16">
        <f>(BA75+BC75)</f>
        <v/>
      </c>
    </row>
    <row r="76">
      <c r="A76" s="9" t="n"/>
      <c r="B76" s="141" t="inlineStr">
        <is>
          <t>황동</t>
        </is>
      </c>
      <c r="C76" s="137" t="inlineStr">
        <is>
          <t>ADX6000</t>
        </is>
      </c>
      <c r="D76" s="62" t="inlineStr">
        <is>
          <t>신주 케이스</t>
        </is>
      </c>
      <c r="E76" s="36" t="inlineStr">
        <is>
          <t>0.6T + 193 (커팅전)</t>
        </is>
      </c>
      <c r="F76" s="99" t="n"/>
      <c r="G76" s="22" t="n"/>
      <c r="H76" s="22" t="inlineStr">
        <is>
          <t>해진정밀</t>
        </is>
      </c>
      <c r="I76" s="14" t="n"/>
      <c r="J76" s="14" t="n"/>
      <c r="K76" s="12" t="n">
        <v>200</v>
      </c>
      <c r="L76" s="9" t="n"/>
      <c r="M76" s="9" t="n"/>
      <c r="N76" s="9" t="n"/>
      <c r="O76" s="40">
        <f>K76+V76-AE76-AZ76</f>
        <v/>
      </c>
      <c r="P76" s="12" t="n"/>
      <c r="Q76" s="138" t="n"/>
      <c r="R76" s="16" t="n"/>
      <c r="S76" s="139" t="n"/>
      <c r="T76" s="16" t="n"/>
      <c r="U76" s="139" t="n"/>
      <c r="V76" s="16">
        <f>P76+R76+T76</f>
        <v/>
      </c>
      <c r="W76" s="16" t="n"/>
      <c r="X76" s="139" t="n"/>
      <c r="Y76" s="16" t="n"/>
      <c r="Z76" s="139" t="n"/>
      <c r="AA76" s="16" t="n"/>
      <c r="AB76" s="139" t="n"/>
      <c r="AC76" s="16" t="n"/>
      <c r="AD76" s="139" t="n"/>
      <c r="AE76" s="16">
        <f>(W76+Y76+AA76+AC76)</f>
        <v/>
      </c>
      <c r="AF76" s="16" t="n"/>
      <c r="AG76" s="138" t="n"/>
      <c r="AH76" s="16" t="n"/>
      <c r="AI76" s="138" t="n"/>
      <c r="AJ76" s="16" t="n"/>
      <c r="AK76" s="138" t="n"/>
      <c r="AL76" s="16" t="n"/>
      <c r="AM76" s="138" t="n"/>
      <c r="AN76" s="16" t="n"/>
      <c r="AO76" s="138" t="n"/>
      <c r="AP76" s="16" t="n"/>
      <c r="AQ76" s="138" t="n"/>
      <c r="AR76" s="16" t="n"/>
      <c r="AS76" s="138" t="n"/>
      <c r="AT76" s="16" t="n"/>
      <c r="AU76" s="138" t="n"/>
      <c r="AV76" s="16" t="n"/>
      <c r="AW76" s="138" t="n"/>
      <c r="AX76" s="16" t="n"/>
      <c r="AY76" s="138" t="n"/>
      <c r="AZ76" s="16">
        <f>AF76+AH76+AJ76+AL76+AN76+AP76+AR76+AT76+AV76+AX76</f>
        <v/>
      </c>
      <c r="BA76" s="16" t="n"/>
      <c r="BB76" s="139" t="n"/>
      <c r="BC76" s="16" t="n"/>
      <c r="BD76" s="139" t="n"/>
      <c r="BE76" s="16">
        <f>(BA76+BC76)</f>
        <v/>
      </c>
    </row>
    <row r="77" ht="36" customHeight="1" s="122">
      <c r="A77" s="9" t="n"/>
      <c r="B77" s="141" t="inlineStr">
        <is>
          <t>황동</t>
        </is>
      </c>
      <c r="C77" s="137" t="inlineStr">
        <is>
          <t>DX3000, ADX4000W ADX6000</t>
        </is>
      </c>
      <c r="D77" s="62" t="inlineStr">
        <is>
          <t>신주 케이스 뚜껑</t>
        </is>
      </c>
      <c r="E77" s="36" t="inlineStr">
        <is>
          <t>0.6T</t>
        </is>
      </c>
      <c r="F77" s="99" t="n"/>
      <c r="G77" s="22" t="n"/>
      <c r="H77" s="22" t="inlineStr">
        <is>
          <t>해진정밀</t>
        </is>
      </c>
      <c r="I77" s="14" t="n"/>
      <c r="J77" s="14" t="n"/>
      <c r="K77" s="12" t="n">
        <v>737</v>
      </c>
      <c r="L77" s="9" t="n"/>
      <c r="M77" s="9" t="n"/>
      <c r="N77" s="9" t="n"/>
      <c r="O77" s="40">
        <f>K77+V77-AE77-AZ77</f>
        <v/>
      </c>
      <c r="P77" s="12" t="n"/>
      <c r="Q77" s="138" t="n"/>
      <c r="R77" s="16" t="n"/>
      <c r="S77" s="139" t="n"/>
      <c r="T77" s="16" t="n"/>
      <c r="U77" s="139" t="n"/>
      <c r="V77" s="16">
        <f>P77+R77+T77</f>
        <v/>
      </c>
      <c r="W77" s="16" t="n"/>
      <c r="X77" s="139" t="n"/>
      <c r="Y77" s="16" t="n"/>
      <c r="Z77" s="139" t="n"/>
      <c r="AA77" s="16" t="n"/>
      <c r="AB77" s="139" t="n"/>
      <c r="AC77" s="16" t="n"/>
      <c r="AD77" s="139" t="n"/>
      <c r="AE77" s="16">
        <f>(W77+Y77+AA77+AC77)</f>
        <v/>
      </c>
      <c r="AF77" s="16" t="n"/>
      <c r="AG77" s="138" t="n"/>
      <c r="AH77" s="16" t="n"/>
      <c r="AI77" s="138" t="n"/>
      <c r="AJ77" s="16" t="n"/>
      <c r="AK77" s="138" t="n"/>
      <c r="AL77" s="16" t="n"/>
      <c r="AM77" s="138" t="n"/>
      <c r="AN77" s="16" t="n"/>
      <c r="AO77" s="138" t="n"/>
      <c r="AP77" s="16" t="n"/>
      <c r="AQ77" s="138" t="n"/>
      <c r="AR77" s="16" t="n"/>
      <c r="AS77" s="138" t="n"/>
      <c r="AT77" s="16" t="n"/>
      <c r="AU77" s="138" t="n"/>
      <c r="AV77" s="16" t="n"/>
      <c r="AW77" s="138" t="n"/>
      <c r="AX77" s="16" t="n"/>
      <c r="AY77" s="138" t="n"/>
      <c r="AZ77" s="16">
        <f>AF77+AH77+AJ77+AL77+AN77+AP77+AR77+AT77+AV77+AX77</f>
        <v/>
      </c>
      <c r="BA77" s="16" t="n"/>
      <c r="BB77" s="139" t="n"/>
      <c r="BC77" s="16" t="n"/>
      <c r="BD77" s="139" t="n"/>
      <c r="BE77" s="16">
        <f>(BA77+BC77)</f>
        <v/>
      </c>
    </row>
    <row r="78">
      <c r="A78" s="9" t="n"/>
      <c r="B78" s="141" t="inlineStr">
        <is>
          <t>황동</t>
        </is>
      </c>
      <c r="C78" s="137" t="inlineStr">
        <is>
          <t>COCOON</t>
        </is>
      </c>
      <c r="D78" s="69" t="inlineStr">
        <is>
          <t>신주 케이스 뚜껑</t>
        </is>
      </c>
      <c r="E78" s="36" t="inlineStr">
        <is>
          <t>0.6T</t>
        </is>
      </c>
      <c r="F78" s="99" t="n"/>
      <c r="G78" s="22" t="n"/>
      <c r="H78" s="22" t="inlineStr">
        <is>
          <t>디지아이</t>
        </is>
      </c>
      <c r="I78" s="14" t="n"/>
      <c r="J78" s="14" t="n"/>
      <c r="K78" s="12" t="n">
        <v>232</v>
      </c>
      <c r="L78" s="9" t="n"/>
      <c r="M78" s="9" t="n"/>
      <c r="N78" s="9" t="n"/>
      <c r="O78" s="40">
        <f>K78+V78-AE78-AZ78</f>
        <v/>
      </c>
      <c r="P78" s="12" t="n"/>
      <c r="Q78" s="138" t="n"/>
      <c r="R78" s="16" t="n"/>
      <c r="S78" s="139" t="n"/>
      <c r="T78" s="16" t="n"/>
      <c r="U78" s="139" t="n"/>
      <c r="V78" s="16">
        <f>P78+R78+T78</f>
        <v/>
      </c>
      <c r="W78" s="16" t="n"/>
      <c r="X78" s="139" t="n"/>
      <c r="Y78" s="16" t="n"/>
      <c r="Z78" s="139" t="n"/>
      <c r="AA78" s="16" t="n"/>
      <c r="AB78" s="139" t="n"/>
      <c r="AC78" s="16" t="n"/>
      <c r="AD78" s="139" t="n"/>
      <c r="AE78" s="16">
        <f>(W78+Y78+AA78+AC78)</f>
        <v/>
      </c>
      <c r="AF78" s="16" t="n">
        <v>30</v>
      </c>
      <c r="AG78" s="138" t="n">
        <v>46093</v>
      </c>
      <c r="AH78" s="16" t="n"/>
      <c r="AI78" s="138" t="n"/>
      <c r="AJ78" s="16" t="n"/>
      <c r="AK78" s="138" t="n"/>
      <c r="AL78" s="16" t="n"/>
      <c r="AM78" s="138" t="n"/>
      <c r="AN78" s="16" t="n"/>
      <c r="AO78" s="138" t="n"/>
      <c r="AP78" s="16" t="n"/>
      <c r="AQ78" s="138" t="n"/>
      <c r="AR78" s="16" t="n"/>
      <c r="AS78" s="138" t="n"/>
      <c r="AT78" s="16" t="n"/>
      <c r="AU78" s="138" t="n"/>
      <c r="AV78" s="16" t="n"/>
      <c r="AW78" s="138" t="n"/>
      <c r="AX78" s="16" t="n"/>
      <c r="AY78" s="138" t="n"/>
      <c r="AZ78" s="16">
        <f>AF78+AH78+AJ78+AL78+AN78+AP78+AR78+AT78+AV78+AX78</f>
        <v/>
      </c>
      <c r="BA78" s="16" t="n"/>
      <c r="BB78" s="139" t="n"/>
      <c r="BC78" s="16" t="n"/>
      <c r="BD78" s="139" t="n"/>
      <c r="BE78" s="16">
        <f>(BA78+BC78)</f>
        <v/>
      </c>
    </row>
    <row r="79">
      <c r="A79" s="9" t="n"/>
      <c r="B79" s="141" t="inlineStr">
        <is>
          <t>황동</t>
        </is>
      </c>
      <c r="C79" s="137" t="inlineStr">
        <is>
          <t>SOLO</t>
        </is>
      </c>
      <c r="D79" s="69" t="inlineStr">
        <is>
          <t>신주 케이스 뚜껑</t>
        </is>
      </c>
      <c r="E79" s="36" t="inlineStr">
        <is>
          <t>0.6T</t>
        </is>
      </c>
      <c r="F79" s="99" t="n"/>
      <c r="G79" s="22" t="n"/>
      <c r="H79" s="22" t="inlineStr">
        <is>
          <t>디지아이</t>
        </is>
      </c>
      <c r="I79" s="14" t="n"/>
      <c r="J79" s="14" t="n"/>
      <c r="K79" s="12" t="n">
        <v>50</v>
      </c>
      <c r="L79" s="9" t="n"/>
      <c r="M79" s="9" t="n"/>
      <c r="N79" s="9" t="n"/>
      <c r="O79" s="40">
        <f>K79+V79-AE79-AZ79</f>
        <v/>
      </c>
      <c r="P79" s="12" t="n"/>
      <c r="Q79" s="138" t="n"/>
      <c r="R79" s="16" t="n"/>
      <c r="S79" s="139" t="n"/>
      <c r="T79" s="16" t="n"/>
      <c r="U79" s="139" t="n"/>
      <c r="V79" s="16">
        <f>P79+R79+T79</f>
        <v/>
      </c>
      <c r="W79" s="16" t="n"/>
      <c r="X79" s="139" t="n"/>
      <c r="Y79" s="16" t="n"/>
      <c r="Z79" s="139" t="n"/>
      <c r="AA79" s="16" t="n"/>
      <c r="AB79" s="139" t="n"/>
      <c r="AC79" s="16" t="n"/>
      <c r="AD79" s="139" t="n"/>
      <c r="AE79" s="16">
        <f>(W79+Y79+AA79+AC79)</f>
        <v/>
      </c>
      <c r="AF79" s="16" t="n"/>
      <c r="AG79" s="138" t="n"/>
      <c r="AH79" s="16" t="n"/>
      <c r="AI79" s="138" t="n"/>
      <c r="AJ79" s="16" t="n"/>
      <c r="AK79" s="138" t="n"/>
      <c r="AL79" s="16" t="n"/>
      <c r="AM79" s="138" t="n"/>
      <c r="AN79" s="16" t="n"/>
      <c r="AO79" s="138" t="n"/>
      <c r="AP79" s="16" t="n"/>
      <c r="AQ79" s="138" t="n"/>
      <c r="AR79" s="16" t="n"/>
      <c r="AS79" s="138" t="n"/>
      <c r="AT79" s="16" t="n"/>
      <c r="AU79" s="138" t="n"/>
      <c r="AV79" s="16" t="n"/>
      <c r="AW79" s="138" t="n"/>
      <c r="AX79" s="16" t="n"/>
      <c r="AY79" s="138" t="n"/>
      <c r="AZ79" s="16">
        <f>AF79+AH79+AJ79+AL79+AN79+AP79+AR79+AT79+AV79+AX79</f>
        <v/>
      </c>
      <c r="BA79" s="16" t="n"/>
      <c r="BB79" s="139" t="n"/>
      <c r="BC79" s="16" t="n"/>
      <c r="BD79" s="139" t="n"/>
      <c r="BE79" s="16">
        <f>(BA79+BC79)</f>
        <v/>
      </c>
    </row>
    <row r="80">
      <c r="A80" s="9" t="n"/>
      <c r="B80" s="141" t="inlineStr">
        <is>
          <t>황동</t>
        </is>
      </c>
      <c r="C80" s="142" t="inlineStr">
        <is>
          <t>공용</t>
        </is>
      </c>
      <c r="D80" s="62" t="inlineStr">
        <is>
          <t>방사구</t>
        </is>
      </c>
      <c r="E80" s="36" t="n"/>
      <c r="F80" s="99" t="n"/>
      <c r="G80" s="22" t="n"/>
      <c r="H80" s="22" t="inlineStr">
        <is>
          <t>해진정밀</t>
        </is>
      </c>
      <c r="I80" s="14" t="n"/>
      <c r="J80" s="14" t="n"/>
      <c r="K80" s="12" t="n">
        <v>0</v>
      </c>
      <c r="L80" s="9" t="n"/>
      <c r="M80" s="9" t="n"/>
      <c r="N80" s="9" t="n"/>
      <c r="O80" s="40">
        <f>K80+V80-AE80-AZ80</f>
        <v/>
      </c>
      <c r="P80" s="12" t="n"/>
      <c r="Q80" s="138" t="n"/>
      <c r="R80" s="16" t="n"/>
      <c r="S80" s="139" t="n"/>
      <c r="T80" s="16" t="n"/>
      <c r="U80" s="139" t="n"/>
      <c r="V80" s="16">
        <f>P80+R80+T80</f>
        <v/>
      </c>
      <c r="W80" s="16" t="n"/>
      <c r="X80" s="139" t="n"/>
      <c r="Y80" s="16" t="n"/>
      <c r="Z80" s="139" t="n"/>
      <c r="AA80" s="16" t="n"/>
      <c r="AB80" s="139" t="n"/>
      <c r="AC80" s="16" t="n"/>
      <c r="AD80" s="139" t="n"/>
      <c r="AE80" s="16">
        <f>(W80+Y80+AA80+AC80)</f>
        <v/>
      </c>
      <c r="AF80" s="16" t="n"/>
      <c r="AG80" s="138" t="n"/>
      <c r="AH80" s="16" t="n"/>
      <c r="AI80" s="138" t="n"/>
      <c r="AJ80" s="16" t="n"/>
      <c r="AK80" s="138" t="n"/>
      <c r="AL80" s="16" t="n"/>
      <c r="AM80" s="138" t="n"/>
      <c r="AN80" s="16" t="n"/>
      <c r="AO80" s="138" t="n"/>
      <c r="AP80" s="16" t="n"/>
      <c r="AQ80" s="138" t="n"/>
      <c r="AR80" s="16" t="n"/>
      <c r="AS80" s="138" t="n"/>
      <c r="AT80" s="16" t="n"/>
      <c r="AU80" s="138" t="n"/>
      <c r="AV80" s="16" t="n"/>
      <c r="AW80" s="138" t="n"/>
      <c r="AX80" s="16" t="n"/>
      <c r="AY80" s="138" t="n"/>
      <c r="AZ80" s="16">
        <f>AF80+AH80+AJ80+AL80+AN80+AP80+AR80+AT80+AV80+AX80</f>
        <v/>
      </c>
      <c r="BA80" s="16" t="n"/>
      <c r="BB80" s="139" t="n"/>
      <c r="BC80" s="16" t="n"/>
      <c r="BD80" s="139" t="n"/>
      <c r="BE80" s="16">
        <f>(BA80+BC80)</f>
        <v/>
      </c>
    </row>
    <row r="81">
      <c r="A81" s="9" t="n"/>
      <c r="B81" s="141" t="inlineStr">
        <is>
          <t>황동</t>
        </is>
      </c>
      <c r="C81" s="142" t="inlineStr">
        <is>
          <t>공용</t>
        </is>
      </c>
      <c r="D81" s="62" t="inlineStr">
        <is>
          <t>방사구</t>
        </is>
      </c>
      <c r="E81" s="36" t="inlineStr">
        <is>
          <t>외경 탭 추가</t>
        </is>
      </c>
      <c r="F81" s="99" t="n"/>
      <c r="G81" s="22" t="n"/>
      <c r="H81" s="22" t="inlineStr">
        <is>
          <t>해진정밀</t>
        </is>
      </c>
      <c r="I81" s="14" t="n"/>
      <c r="J81" s="14" t="n"/>
      <c r="K81" s="12" t="n">
        <v>100</v>
      </c>
      <c r="L81" s="9" t="n"/>
      <c r="M81" s="9" t="n"/>
      <c r="N81" s="9" t="n"/>
      <c r="O81" s="40">
        <f>K81+V81-AE81-AZ81</f>
        <v/>
      </c>
      <c r="P81" s="12" t="n"/>
      <c r="Q81" s="138" t="n"/>
      <c r="R81" s="16" t="n"/>
      <c r="S81" s="139" t="n"/>
      <c r="T81" s="16" t="n"/>
      <c r="U81" s="139" t="n"/>
      <c r="V81" s="16">
        <f>P81+R81+T81</f>
        <v/>
      </c>
      <c r="W81" s="16" t="n"/>
      <c r="X81" s="139" t="n"/>
      <c r="Y81" s="16" t="n"/>
      <c r="Z81" s="139" t="n"/>
      <c r="AA81" s="16" t="n"/>
      <c r="AB81" s="139" t="n"/>
      <c r="AC81" s="16" t="n"/>
      <c r="AD81" s="139" t="n"/>
      <c r="AE81" s="16">
        <f>(W81+Y81+AA81+AC81)</f>
        <v/>
      </c>
      <c r="AF81" s="16" t="n"/>
      <c r="AG81" s="138" t="n"/>
      <c r="AH81" s="16" t="n"/>
      <c r="AI81" s="138" t="n"/>
      <c r="AJ81" s="16" t="n"/>
      <c r="AK81" s="138" t="n"/>
      <c r="AL81" s="16" t="n"/>
      <c r="AM81" s="138" t="n"/>
      <c r="AN81" s="16" t="n"/>
      <c r="AO81" s="138" t="n"/>
      <c r="AP81" s="16" t="n"/>
      <c r="AQ81" s="138" t="n"/>
      <c r="AR81" s="16" t="n"/>
      <c r="AS81" s="138" t="n"/>
      <c r="AT81" s="16" t="n"/>
      <c r="AU81" s="138" t="n"/>
      <c r="AV81" s="16" t="n"/>
      <c r="AW81" s="138" t="n"/>
      <c r="AX81" s="16" t="n"/>
      <c r="AY81" s="138" t="n"/>
      <c r="AZ81" s="16">
        <f>AF81+AH81+AJ81+AL81+AN81+AP81+AR81+AT81+AV81+AX81</f>
        <v/>
      </c>
      <c r="BA81" s="16" t="n"/>
      <c r="BB81" s="139" t="n"/>
      <c r="BC81" s="16" t="n"/>
      <c r="BD81" s="139" t="n"/>
      <c r="BE81" s="16">
        <f>(BA81+BC81)</f>
        <v/>
      </c>
    </row>
    <row r="82">
      <c r="A82" s="9" t="n"/>
      <c r="B82" s="141" t="inlineStr">
        <is>
          <t>황동</t>
        </is>
      </c>
      <c r="C82" s="142" t="inlineStr">
        <is>
          <t>공용</t>
        </is>
      </c>
      <c r="D82" s="69" t="inlineStr">
        <is>
          <t>방사구 너트</t>
        </is>
      </c>
      <c r="E82" s="36" t="n"/>
      <c r="F82" s="99" t="n"/>
      <c r="G82" s="22" t="n"/>
      <c r="H82" s="22" t="inlineStr">
        <is>
          <t>해진정밀</t>
        </is>
      </c>
      <c r="I82" s="14" t="n"/>
      <c r="J82" s="14" t="n"/>
      <c r="K82" s="12" t="n">
        <v>1188</v>
      </c>
      <c r="L82" s="9" t="n"/>
      <c r="M82" s="9" t="n"/>
      <c r="N82" s="9" t="n"/>
      <c r="O82" s="40">
        <f>K82+V82-AE82-AZ82</f>
        <v/>
      </c>
      <c r="P82" s="12" t="n"/>
      <c r="Q82" s="138" t="n"/>
      <c r="R82" s="16" t="n"/>
      <c r="S82" s="139" t="n"/>
      <c r="T82" s="16" t="n"/>
      <c r="U82" s="139" t="n"/>
      <c r="V82" s="16">
        <f>P82+R82+T82</f>
        <v/>
      </c>
      <c r="W82" s="16" t="n"/>
      <c r="X82" s="139" t="n"/>
      <c r="Y82" s="16" t="n"/>
      <c r="Z82" s="139" t="n"/>
      <c r="AA82" s="16" t="n"/>
      <c r="AB82" s="139" t="n"/>
      <c r="AC82" s="16" t="n"/>
      <c r="AD82" s="139" t="n"/>
      <c r="AE82" s="16">
        <f>(W82+Y82+AA82+AC82)</f>
        <v/>
      </c>
      <c r="AF82" s="16" t="n"/>
      <c r="AG82" s="138" t="n"/>
      <c r="AH82" s="16" t="n"/>
      <c r="AI82" s="138" t="n"/>
      <c r="AJ82" s="16" t="n"/>
      <c r="AK82" s="138" t="n"/>
      <c r="AL82" s="16" t="n"/>
      <c r="AM82" s="138" t="n"/>
      <c r="AN82" s="16" t="n"/>
      <c r="AO82" s="138" t="n"/>
      <c r="AP82" s="16" t="n"/>
      <c r="AQ82" s="138" t="n"/>
      <c r="AR82" s="16" t="n"/>
      <c r="AS82" s="138" t="n"/>
      <c r="AT82" s="16" t="n"/>
      <c r="AU82" s="138" t="n"/>
      <c r="AV82" s="16" t="n"/>
      <c r="AW82" s="138" t="n"/>
      <c r="AX82" s="16" t="n"/>
      <c r="AY82" s="138" t="n"/>
      <c r="AZ82" s="16">
        <f>AF82+AH82+AJ82+AL82+AN82+AP82+AR82+AT82+AV82+AX82</f>
        <v/>
      </c>
      <c r="BA82" s="16" t="n"/>
      <c r="BB82" s="139" t="n"/>
      <c r="BC82" s="16" t="n"/>
      <c r="BD82" s="139" t="n"/>
      <c r="BE82" s="16">
        <f>(BA82+BC82)</f>
        <v/>
      </c>
    </row>
    <row r="83" ht="36" customHeight="1" s="122">
      <c r="A83" s="9" t="n"/>
      <c r="B83" s="141" t="inlineStr">
        <is>
          <t>AL</t>
        </is>
      </c>
      <c r="C83" s="137" t="inlineStr">
        <is>
          <t>DX3000, ADX4000W ADX6000</t>
        </is>
      </c>
      <c r="D83" s="62" t="inlineStr">
        <is>
          <t>알루미늄 필터</t>
        </is>
      </c>
      <c r="E83" s="36" t="inlineStr">
        <is>
          <t>0.8T * Φ24</t>
        </is>
      </c>
      <c r="F83" s="99" t="n"/>
      <c r="G83" s="22" t="n"/>
      <c r="H83" s="22" t="inlineStr">
        <is>
          <t>광전레이저</t>
        </is>
      </c>
      <c r="I83" s="14" t="n"/>
      <c r="J83" s="14" t="n"/>
      <c r="K83" s="12" t="n">
        <v>1543</v>
      </c>
      <c r="L83" s="9" t="n"/>
      <c r="M83" s="9" t="n"/>
      <c r="N83" s="9" t="n"/>
      <c r="O83" s="40">
        <f>K83+V83-AE83-AZ83</f>
        <v/>
      </c>
      <c r="P83" s="12" t="n"/>
      <c r="Q83" s="138" t="n"/>
      <c r="R83" s="16" t="n"/>
      <c r="S83" s="139" t="n"/>
      <c r="T83" s="16" t="n"/>
      <c r="U83" s="139" t="n"/>
      <c r="V83" s="16">
        <f>P83+R83+T83</f>
        <v/>
      </c>
      <c r="W83" s="16" t="n"/>
      <c r="X83" s="139" t="n"/>
      <c r="Y83" s="16" t="n"/>
      <c r="Z83" s="139" t="n"/>
      <c r="AA83" s="16" t="n"/>
      <c r="AB83" s="139" t="n"/>
      <c r="AC83" s="16" t="n"/>
      <c r="AD83" s="139" t="n"/>
      <c r="AE83" s="16">
        <f>(W83+Y83+AA83+AC83)</f>
        <v/>
      </c>
      <c r="AF83" s="16" t="n"/>
      <c r="AG83" s="138" t="n"/>
      <c r="AH83" s="16" t="n"/>
      <c r="AI83" s="138" t="n"/>
      <c r="AJ83" s="16" t="n"/>
      <c r="AK83" s="138" t="n"/>
      <c r="AL83" s="16" t="n"/>
      <c r="AM83" s="138" t="n"/>
      <c r="AN83" s="16" t="n"/>
      <c r="AO83" s="138" t="n"/>
      <c r="AP83" s="16" t="n"/>
      <c r="AQ83" s="138" t="n"/>
      <c r="AR83" s="16" t="n"/>
      <c r="AS83" s="138" t="n"/>
      <c r="AT83" s="16" t="n"/>
      <c r="AU83" s="138" t="n"/>
      <c r="AV83" s="16" t="n"/>
      <c r="AW83" s="138" t="n"/>
      <c r="AX83" s="16" t="n"/>
      <c r="AY83" s="138" t="n"/>
      <c r="AZ83" s="16">
        <f>AF83+AH83+AJ83+AL83+AN83+AP83+AR83+AT83+AV83+AX83</f>
        <v/>
      </c>
      <c r="BA83" s="16" t="n"/>
      <c r="BB83" s="139" t="n"/>
      <c r="BC83" s="16" t="n"/>
      <c r="BD83" s="139" t="n"/>
      <c r="BE83" s="16">
        <f>(BA83+BC83)</f>
        <v/>
      </c>
    </row>
    <row r="84">
      <c r="A84" s="9" t="n"/>
      <c r="B84" s="141" t="inlineStr">
        <is>
          <t>AL</t>
        </is>
      </c>
      <c r="C84" s="137" t="inlineStr">
        <is>
          <t>COCOON</t>
        </is>
      </c>
      <c r="D84" s="62" t="inlineStr">
        <is>
          <t>알루미늄 필터</t>
        </is>
      </c>
      <c r="E84" s="36" t="inlineStr">
        <is>
          <t>1.2T * Φ24</t>
        </is>
      </c>
      <c r="F84" s="99" t="n"/>
      <c r="G84" s="22" t="n"/>
      <c r="H84" s="22" t="inlineStr">
        <is>
          <t>광전레이저</t>
        </is>
      </c>
      <c r="I84" s="14" t="n"/>
      <c r="J84" s="14" t="n"/>
      <c r="K84" s="12" t="n">
        <v>0</v>
      </c>
      <c r="L84" s="9" t="n"/>
      <c r="M84" s="9" t="n"/>
      <c r="N84" s="9" t="n"/>
      <c r="O84" s="40">
        <f>K84+V84-AE84-AZ84</f>
        <v/>
      </c>
      <c r="P84" s="12" t="n"/>
      <c r="Q84" s="138" t="n"/>
      <c r="R84" s="16" t="n"/>
      <c r="S84" s="139" t="n"/>
      <c r="T84" s="16" t="n"/>
      <c r="U84" s="139" t="n"/>
      <c r="V84" s="16">
        <f>P84+R84+T84</f>
        <v/>
      </c>
      <c r="W84" s="16" t="n"/>
      <c r="X84" s="139" t="n"/>
      <c r="Y84" s="16" t="n"/>
      <c r="Z84" s="139" t="n"/>
      <c r="AA84" s="16" t="n"/>
      <c r="AB84" s="139" t="n"/>
      <c r="AC84" s="16" t="n"/>
      <c r="AD84" s="139" t="n"/>
      <c r="AE84" s="16">
        <f>(W84+Y84+AA84+AC84)</f>
        <v/>
      </c>
      <c r="AF84" s="16" t="n"/>
      <c r="AG84" s="138" t="n"/>
      <c r="AH84" s="16" t="n"/>
      <c r="AI84" s="138" t="n"/>
      <c r="AJ84" s="16" t="n"/>
      <c r="AK84" s="138" t="n"/>
      <c r="AL84" s="16" t="n"/>
      <c r="AM84" s="138" t="n"/>
      <c r="AN84" s="16" t="n"/>
      <c r="AO84" s="138" t="n"/>
      <c r="AP84" s="16" t="n"/>
      <c r="AQ84" s="138" t="n"/>
      <c r="AR84" s="16" t="n"/>
      <c r="AS84" s="138" t="n"/>
      <c r="AT84" s="16" t="n"/>
      <c r="AU84" s="138" t="n"/>
      <c r="AV84" s="16" t="n"/>
      <c r="AW84" s="138" t="n"/>
      <c r="AX84" s="16" t="n"/>
      <c r="AY84" s="138" t="n"/>
      <c r="AZ84" s="16">
        <f>AF84+AH84+AJ84+AL84+AN84+AP84+AR84+AT84+AV84+AX84</f>
        <v/>
      </c>
      <c r="BA84" s="16" t="n"/>
      <c r="BB84" s="139" t="n"/>
      <c r="BC84" s="16" t="n"/>
      <c r="BD84" s="139" t="n"/>
      <c r="BE84" s="16">
        <f>(BA84+BC84)</f>
        <v/>
      </c>
    </row>
    <row r="85">
      <c r="A85" s="9" t="n"/>
      <c r="B85" s="141" t="inlineStr">
        <is>
          <t>AL</t>
        </is>
      </c>
      <c r="C85" s="137" t="inlineStr">
        <is>
          <t>ADX6000</t>
        </is>
      </c>
      <c r="D85" s="62" t="inlineStr">
        <is>
          <t>알루미늄 필터</t>
        </is>
      </c>
      <c r="E85" s="36" t="inlineStr">
        <is>
          <t>2T * Φ24</t>
        </is>
      </c>
      <c r="F85" s="99" t="n"/>
      <c r="G85" s="22" t="n"/>
      <c r="H85" s="22" t="inlineStr">
        <is>
          <t>광전레이저</t>
        </is>
      </c>
      <c r="I85" s="14" t="n"/>
      <c r="J85" s="14" t="n"/>
      <c r="K85" s="12" t="n">
        <v>0</v>
      </c>
      <c r="L85" s="9" t="n"/>
      <c r="M85" s="9" t="n"/>
      <c r="N85" s="9" t="n"/>
      <c r="O85" s="40">
        <f>K85+V85-AE85-AZ85</f>
        <v/>
      </c>
      <c r="P85" s="12" t="n"/>
      <c r="Q85" s="138" t="n"/>
      <c r="R85" s="16" t="n"/>
      <c r="S85" s="139" t="n"/>
      <c r="T85" s="16" t="n"/>
      <c r="U85" s="139" t="n"/>
      <c r="V85" s="16">
        <f>P85+R85+T85</f>
        <v/>
      </c>
      <c r="W85" s="16" t="n"/>
      <c r="X85" s="139" t="n"/>
      <c r="Y85" s="16" t="n"/>
      <c r="Z85" s="139" t="n"/>
      <c r="AA85" s="16" t="n"/>
      <c r="AB85" s="139" t="n"/>
      <c r="AC85" s="16" t="n"/>
      <c r="AD85" s="139" t="n"/>
      <c r="AE85" s="16">
        <f>(W85+Y85+AA85+AC85)</f>
        <v/>
      </c>
      <c r="AF85" s="16" t="n"/>
      <c r="AG85" s="138" t="n"/>
      <c r="AH85" s="16" t="n"/>
      <c r="AI85" s="138" t="n"/>
      <c r="AJ85" s="16" t="n"/>
      <c r="AK85" s="138" t="n"/>
      <c r="AL85" s="16" t="n"/>
      <c r="AM85" s="138" t="n"/>
      <c r="AN85" s="16" t="n"/>
      <c r="AO85" s="138" t="n"/>
      <c r="AP85" s="16" t="n"/>
      <c r="AQ85" s="138" t="n"/>
      <c r="AR85" s="16" t="n"/>
      <c r="AS85" s="138" t="n"/>
      <c r="AT85" s="16" t="n"/>
      <c r="AU85" s="138" t="n"/>
      <c r="AV85" s="16" t="n"/>
      <c r="AW85" s="138" t="n"/>
      <c r="AX85" s="16" t="n"/>
      <c r="AY85" s="138" t="n"/>
      <c r="AZ85" s="16">
        <f>AF85+AH85+AJ85+AL85+AN85+AP85+AR85+AT85+AV85+AX85</f>
        <v/>
      </c>
      <c r="BA85" s="16" t="n"/>
      <c r="BB85" s="139" t="n"/>
      <c r="BC85" s="16" t="n"/>
      <c r="BD85" s="139" t="n"/>
      <c r="BE85" s="16">
        <f>(BA85+BC85)</f>
        <v/>
      </c>
    </row>
    <row r="86">
      <c r="A86" s="9" t="n"/>
      <c r="B86" s="141" t="inlineStr">
        <is>
          <t>오링</t>
        </is>
      </c>
      <c r="C86" s="142" t="inlineStr">
        <is>
          <t>공용</t>
        </is>
      </c>
      <c r="D86" s="62" t="inlineStr">
        <is>
          <t>방사구 오링</t>
        </is>
      </c>
      <c r="E86" s="36" t="inlineStr">
        <is>
          <t>2*18</t>
        </is>
      </c>
      <c r="F86" s="99" t="n"/>
      <c r="G86" s="22" t="n"/>
      <c r="H86" s="22" t="n"/>
      <c r="I86" s="14" t="n"/>
      <c r="J86" s="14" t="n"/>
      <c r="K86" s="12" t="n">
        <v>0</v>
      </c>
      <c r="L86" s="9" t="n"/>
      <c r="M86" s="9" t="n"/>
      <c r="N86" s="9" t="n"/>
      <c r="O86" s="40">
        <f>K86+V86-AE86-AZ86</f>
        <v/>
      </c>
      <c r="P86" s="12" t="n"/>
      <c r="Q86" s="138" t="n"/>
      <c r="R86" s="16" t="n"/>
      <c r="S86" s="139" t="n"/>
      <c r="T86" s="16" t="n"/>
      <c r="U86" s="139" t="n"/>
      <c r="V86" s="16">
        <f>P86+R86+T86</f>
        <v/>
      </c>
      <c r="W86" s="16" t="n"/>
      <c r="X86" s="139" t="n"/>
      <c r="Y86" s="16" t="n"/>
      <c r="Z86" s="139" t="n"/>
      <c r="AA86" s="16" t="n"/>
      <c r="AB86" s="139" t="n"/>
      <c r="AC86" s="16" t="n"/>
      <c r="AD86" s="139" t="n"/>
      <c r="AE86" s="16">
        <f>(W86+Y86+AA86+AC86)</f>
        <v/>
      </c>
      <c r="AF86" s="16" t="n"/>
      <c r="AG86" s="138" t="n"/>
      <c r="AH86" s="16" t="n"/>
      <c r="AI86" s="138" t="n"/>
      <c r="AJ86" s="16" t="n"/>
      <c r="AK86" s="138" t="n"/>
      <c r="AL86" s="16" t="n"/>
      <c r="AM86" s="138" t="n"/>
      <c r="AN86" s="16" t="n"/>
      <c r="AO86" s="138" t="n"/>
      <c r="AP86" s="16" t="n"/>
      <c r="AQ86" s="138" t="n"/>
      <c r="AR86" s="16" t="n"/>
      <c r="AS86" s="138" t="n"/>
      <c r="AT86" s="16" t="n"/>
      <c r="AU86" s="138" t="n"/>
      <c r="AV86" s="16" t="n"/>
      <c r="AW86" s="138" t="n"/>
      <c r="AX86" s="16" t="n"/>
      <c r="AY86" s="138" t="n"/>
      <c r="AZ86" s="16">
        <f>AF86+AH86+AJ86+AL86+AN86+AP86+AR86+AT86+AV86+AX86</f>
        <v/>
      </c>
      <c r="BA86" s="16" t="n"/>
      <c r="BB86" s="139" t="n"/>
      <c r="BC86" s="16" t="n"/>
      <c r="BD86" s="139" t="n"/>
      <c r="BE86" s="16">
        <f>(BA86+BC86)</f>
        <v/>
      </c>
    </row>
    <row r="87" ht="24" customHeight="1" s="122">
      <c r="A87" s="9" t="n"/>
      <c r="B87" s="141" t="inlineStr">
        <is>
          <t>BOARD</t>
        </is>
      </c>
      <c r="C87" s="137" t="inlineStr">
        <is>
          <t>DX3000, ADX4000W</t>
        </is>
      </c>
      <c r="D87" s="70" t="inlineStr">
        <is>
          <t>3 PIN 커넥터</t>
        </is>
      </c>
      <c r="E87" s="36" t="n"/>
      <c r="F87" s="99" t="n"/>
      <c r="G87" s="22" t="n"/>
      <c r="H87" s="22" t="n"/>
      <c r="I87" s="14" t="n"/>
      <c r="J87" s="14" t="n"/>
      <c r="K87" s="12" t="n">
        <v>0</v>
      </c>
      <c r="L87" s="9" t="n"/>
      <c r="M87" s="9" t="n"/>
      <c r="N87" s="9" t="n"/>
      <c r="O87" s="40">
        <f>K87+V87-AE87-AZ87</f>
        <v/>
      </c>
      <c r="P87" s="12" t="n"/>
      <c r="Q87" s="138" t="n"/>
      <c r="R87" s="16" t="n"/>
      <c r="S87" s="139" t="n"/>
      <c r="T87" s="16" t="n"/>
      <c r="U87" s="139" t="n"/>
      <c r="V87" s="16">
        <f>P87+R87+T87</f>
        <v/>
      </c>
      <c r="W87" s="16" t="n"/>
      <c r="X87" s="139" t="n"/>
      <c r="Y87" s="16" t="n"/>
      <c r="Z87" s="139" t="n"/>
      <c r="AA87" s="16" t="n"/>
      <c r="AB87" s="139" t="n"/>
      <c r="AC87" s="16" t="n"/>
      <c r="AD87" s="139" t="n"/>
      <c r="AE87" s="16">
        <f>(W87+Y87+AA87+AC87)</f>
        <v/>
      </c>
      <c r="AF87" s="16" t="n"/>
      <c r="AG87" s="138" t="n"/>
      <c r="AH87" s="16" t="n"/>
      <c r="AI87" s="138" t="n"/>
      <c r="AJ87" s="16" t="n"/>
      <c r="AK87" s="138" t="n"/>
      <c r="AL87" s="16" t="n"/>
      <c r="AM87" s="138" t="n"/>
      <c r="AN87" s="16" t="n"/>
      <c r="AO87" s="138" t="n"/>
      <c r="AP87" s="16" t="n"/>
      <c r="AQ87" s="138" t="n"/>
      <c r="AR87" s="16" t="n"/>
      <c r="AS87" s="138" t="n"/>
      <c r="AT87" s="16" t="n"/>
      <c r="AU87" s="138" t="n"/>
      <c r="AV87" s="16" t="n"/>
      <c r="AW87" s="138" t="n"/>
      <c r="AX87" s="16" t="n"/>
      <c r="AY87" s="138" t="n"/>
      <c r="AZ87" s="16">
        <f>AF87+AH87+AJ87+AL87+AN87+AP87+AR87+AT87+AV87+AX87</f>
        <v/>
      </c>
      <c r="BA87" s="16" t="n"/>
      <c r="BB87" s="139" t="n"/>
      <c r="BC87" s="16" t="n"/>
      <c r="BD87" s="139" t="n"/>
      <c r="BE87" s="16">
        <f>(BA87+BC87)</f>
        <v/>
      </c>
    </row>
    <row r="88" ht="48" customHeight="1" s="122">
      <c r="A88" s="9" t="n"/>
      <c r="B88" s="141" t="inlineStr">
        <is>
          <t>BOARD</t>
        </is>
      </c>
      <c r="C88" s="137" t="inlineStr">
        <is>
          <t>DX3000,ADX4000W
COCOON,ADX6000</t>
        </is>
      </c>
      <c r="D88" s="70" t="inlineStr">
        <is>
          <t>4 PIN 커넥터</t>
        </is>
      </c>
      <c r="E88" s="36" t="n"/>
      <c r="F88" s="99" t="n"/>
      <c r="G88" s="22" t="n"/>
      <c r="H88" s="22" t="n"/>
      <c r="I88" s="14" t="n"/>
      <c r="J88" s="14" t="n"/>
      <c r="K88" s="12" t="n">
        <v>0</v>
      </c>
      <c r="L88" s="9" t="n"/>
      <c r="M88" s="9" t="n"/>
      <c r="N88" s="9" t="n"/>
      <c r="O88" s="40">
        <f>K88+V88-AE88-AZ88</f>
        <v/>
      </c>
      <c r="P88" s="12" t="n"/>
      <c r="Q88" s="138" t="n"/>
      <c r="R88" s="16" t="n"/>
      <c r="S88" s="139" t="n"/>
      <c r="T88" s="16" t="n"/>
      <c r="U88" s="139" t="n"/>
      <c r="V88" s="16">
        <f>P88+R88+T88</f>
        <v/>
      </c>
      <c r="W88" s="16" t="n"/>
      <c r="X88" s="139" t="n"/>
      <c r="Y88" s="16" t="n"/>
      <c r="Z88" s="139" t="n"/>
      <c r="AA88" s="16" t="n"/>
      <c r="AB88" s="139" t="n"/>
      <c r="AC88" s="16" t="n"/>
      <c r="AD88" s="139" t="n"/>
      <c r="AE88" s="16">
        <f>(W88+Y88+AA88+AC88)</f>
        <v/>
      </c>
      <c r="AF88" s="16" t="n"/>
      <c r="AG88" s="138" t="n"/>
      <c r="AH88" s="16" t="n"/>
      <c r="AI88" s="138" t="n"/>
      <c r="AJ88" s="16" t="n"/>
      <c r="AK88" s="138" t="n"/>
      <c r="AL88" s="16" t="n"/>
      <c r="AM88" s="138" t="n"/>
      <c r="AN88" s="16" t="n"/>
      <c r="AO88" s="138" t="n"/>
      <c r="AP88" s="16" t="n"/>
      <c r="AQ88" s="138" t="n"/>
      <c r="AR88" s="16" t="n"/>
      <c r="AS88" s="138" t="n"/>
      <c r="AT88" s="16" t="n"/>
      <c r="AU88" s="138" t="n"/>
      <c r="AV88" s="16" t="n"/>
      <c r="AW88" s="138" t="n"/>
      <c r="AX88" s="16" t="n"/>
      <c r="AY88" s="138" t="n"/>
      <c r="AZ88" s="16">
        <f>AF88+AH88+AJ88+AL88+AN88+AP88+AR88+AT88+AV88+AX88</f>
        <v/>
      </c>
      <c r="BA88" s="16" t="n"/>
      <c r="BB88" s="139" t="n"/>
      <c r="BC88" s="16" t="n"/>
      <c r="BD88" s="139" t="n"/>
      <c r="BE88" s="16">
        <f>(BA88+BC88)</f>
        <v/>
      </c>
    </row>
    <row r="89" ht="24" customHeight="1" s="122">
      <c r="A89" s="9" t="n"/>
      <c r="B89" s="141" t="inlineStr">
        <is>
          <t>BOARD</t>
        </is>
      </c>
      <c r="C89" s="137" t="inlineStr">
        <is>
          <t>DX3000, ADX4000W</t>
        </is>
      </c>
      <c r="D89" s="70" t="inlineStr">
        <is>
          <t>7핀 B/D</t>
        </is>
      </c>
      <c r="E89" s="36" t="n"/>
      <c r="F89" s="99" t="n"/>
      <c r="G89" s="22" t="n"/>
      <c r="H89" s="22" t="inlineStr">
        <is>
          <t>한샘디지텍</t>
        </is>
      </c>
      <c r="I89" s="14" t="n"/>
      <c r="J89" s="14" t="n"/>
      <c r="K89" s="12" t="n">
        <v>574</v>
      </c>
      <c r="L89" s="9" t="n"/>
      <c r="M89" s="9" t="n"/>
      <c r="N89" s="9" t="n"/>
      <c r="O89" s="40">
        <f>K89+V89-AE89-AZ89</f>
        <v/>
      </c>
      <c r="P89" s="12" t="n"/>
      <c r="Q89" s="138" t="n"/>
      <c r="R89" s="16" t="n"/>
      <c r="S89" s="139" t="n"/>
      <c r="T89" s="16" t="n"/>
      <c r="U89" s="139" t="n"/>
      <c r="V89" s="16">
        <f>P89+R89+T89</f>
        <v/>
      </c>
      <c r="W89" s="16" t="n"/>
      <c r="X89" s="139" t="n"/>
      <c r="Y89" s="16" t="n"/>
      <c r="Z89" s="139" t="n"/>
      <c r="AA89" s="16" t="n"/>
      <c r="AB89" s="139" t="n"/>
      <c r="AC89" s="16" t="n"/>
      <c r="AD89" s="139" t="n"/>
      <c r="AE89" s="16">
        <f>(W89+Y89+AA89+AC89)</f>
        <v/>
      </c>
      <c r="AF89" s="16" t="n"/>
      <c r="AG89" s="138" t="n"/>
      <c r="AH89" s="16" t="n"/>
      <c r="AI89" s="138" t="n"/>
      <c r="AJ89" s="16" t="n"/>
      <c r="AK89" s="138" t="n"/>
      <c r="AL89" s="16" t="n"/>
      <c r="AM89" s="138" t="n"/>
      <c r="AN89" s="16" t="n"/>
      <c r="AO89" s="138" t="n"/>
      <c r="AP89" s="16" t="n"/>
      <c r="AQ89" s="138" t="n"/>
      <c r="AR89" s="16" t="n"/>
      <c r="AS89" s="138" t="n"/>
      <c r="AT89" s="16" t="n"/>
      <c r="AU89" s="138" t="n"/>
      <c r="AV89" s="16" t="n"/>
      <c r="AW89" s="138" t="n"/>
      <c r="AX89" s="16" t="n"/>
      <c r="AY89" s="138" t="n"/>
      <c r="AZ89" s="16">
        <f>AF89+AH89+AJ89+AL89+AN89+AP89+AR89+AT89+AV89+AX89</f>
        <v/>
      </c>
      <c r="BA89" s="16" t="n"/>
      <c r="BB89" s="139" t="n"/>
      <c r="BC89" s="16" t="n"/>
      <c r="BD89" s="139" t="n"/>
      <c r="BE89" s="16">
        <f>(BA89+BC89)</f>
        <v/>
      </c>
    </row>
    <row r="90">
      <c r="A90" s="9" t="n"/>
      <c r="B90" s="141" t="inlineStr">
        <is>
          <t>BOARD</t>
        </is>
      </c>
      <c r="C90" s="137" t="inlineStr">
        <is>
          <t>DX3000</t>
        </is>
      </c>
      <c r="D90" s="70" t="inlineStr">
        <is>
          <t>9핀 B/D - TFT</t>
        </is>
      </c>
      <c r="E90" s="36" t="n"/>
      <c r="F90" s="99" t="n"/>
      <c r="G90" s="22" t="n"/>
      <c r="H90" s="22" t="inlineStr">
        <is>
          <t>HLP</t>
        </is>
      </c>
      <c r="I90" s="14" t="n"/>
      <c r="J90" s="14" t="n"/>
      <c r="K90" s="12" t="n">
        <v>604</v>
      </c>
      <c r="L90" s="9" t="n"/>
      <c r="M90" s="9" t="n"/>
      <c r="N90" s="9" t="n"/>
      <c r="O90" s="40">
        <f>K90+V90-AE90-AZ90</f>
        <v/>
      </c>
      <c r="P90" s="12" t="n"/>
      <c r="Q90" s="138" t="n"/>
      <c r="R90" s="16" t="n"/>
      <c r="S90" s="139" t="n"/>
      <c r="T90" s="16" t="n"/>
      <c r="U90" s="139" t="n"/>
      <c r="V90" s="16">
        <f>P90+R90+T90</f>
        <v/>
      </c>
      <c r="W90" s="16" t="n"/>
      <c r="X90" s="139" t="n"/>
      <c r="Y90" s="16" t="n"/>
      <c r="Z90" s="139" t="n"/>
      <c r="AA90" s="16" t="n"/>
      <c r="AB90" s="139" t="n"/>
      <c r="AC90" s="16" t="n"/>
      <c r="AD90" s="139" t="n"/>
      <c r="AE90" s="16">
        <f>(W90+Y90+AA90+AC90)</f>
        <v/>
      </c>
      <c r="AF90" s="16" t="n"/>
      <c r="AG90" s="138" t="n"/>
      <c r="AH90" s="16" t="n"/>
      <c r="AI90" s="138" t="n"/>
      <c r="AJ90" s="16" t="n"/>
      <c r="AK90" s="138" t="n"/>
      <c r="AL90" s="16" t="n"/>
      <c r="AM90" s="138" t="n"/>
      <c r="AN90" s="16" t="n"/>
      <c r="AO90" s="138" t="n"/>
      <c r="AP90" s="16" t="n"/>
      <c r="AQ90" s="138" t="n"/>
      <c r="AR90" s="16" t="n"/>
      <c r="AS90" s="138" t="n"/>
      <c r="AT90" s="16" t="n"/>
      <c r="AU90" s="138" t="n"/>
      <c r="AV90" s="16" t="n"/>
      <c r="AW90" s="138" t="n"/>
      <c r="AX90" s="16" t="n"/>
      <c r="AY90" s="138" t="n"/>
      <c r="AZ90" s="16">
        <f>AF90+AH90+AJ90+AL90+AN90+AP90+AR90+AT90+AV90+AX90</f>
        <v/>
      </c>
      <c r="BA90" s="16" t="n"/>
      <c r="BB90" s="139" t="n"/>
      <c r="BC90" s="16" t="n"/>
      <c r="BD90" s="139" t="n"/>
      <c r="BE90" s="16">
        <f>(BA90+BC90)</f>
        <v/>
      </c>
    </row>
    <row r="91">
      <c r="A91" s="9" t="n"/>
      <c r="B91" s="141" t="inlineStr">
        <is>
          <t>BOARD</t>
        </is>
      </c>
      <c r="C91" s="137" t="inlineStr">
        <is>
          <t>COCOON</t>
        </is>
      </c>
      <c r="D91" s="62" t="inlineStr">
        <is>
          <t>8핀 B/D</t>
        </is>
      </c>
      <c r="E91" s="36" t="n"/>
      <c r="F91" s="99" t="n"/>
      <c r="G91" s="22" t="n"/>
      <c r="H91" s="22" t="inlineStr">
        <is>
          <t>한샘디지텍</t>
        </is>
      </c>
      <c r="I91" s="14" t="n"/>
      <c r="J91" s="14" t="n"/>
      <c r="K91" s="12" t="n">
        <v>400</v>
      </c>
      <c r="L91" s="9" t="n"/>
      <c r="M91" s="9" t="n"/>
      <c r="N91" s="9" t="n"/>
      <c r="O91" s="40">
        <f>K91+V91-AE91-AZ91</f>
        <v/>
      </c>
      <c r="P91" s="12" t="n"/>
      <c r="Q91" s="138" t="n"/>
      <c r="R91" s="16" t="n"/>
      <c r="S91" s="139" t="n"/>
      <c r="T91" s="16" t="n"/>
      <c r="U91" s="139" t="n"/>
      <c r="V91" s="16">
        <f>P91+R91+T91</f>
        <v/>
      </c>
      <c r="W91" s="16" t="n"/>
      <c r="X91" s="139" t="n"/>
      <c r="Y91" s="16" t="n"/>
      <c r="Z91" s="139" t="n"/>
      <c r="AA91" s="16" t="n"/>
      <c r="AB91" s="139" t="n"/>
      <c r="AC91" s="16" t="n"/>
      <c r="AD91" s="139" t="n"/>
      <c r="AE91" s="16">
        <f>(W91+Y91+AA91+AC91)</f>
        <v/>
      </c>
      <c r="AF91" s="16" t="n"/>
      <c r="AG91" s="138" t="n"/>
      <c r="AH91" s="16" t="n"/>
      <c r="AI91" s="138" t="n"/>
      <c r="AJ91" s="16" t="n"/>
      <c r="AK91" s="138" t="n"/>
      <c r="AL91" s="16" t="n"/>
      <c r="AM91" s="138" t="n"/>
      <c r="AN91" s="16" t="n"/>
      <c r="AO91" s="138" t="n"/>
      <c r="AP91" s="16" t="n"/>
      <c r="AQ91" s="138" t="n"/>
      <c r="AR91" s="16" t="n"/>
      <c r="AS91" s="138" t="n"/>
      <c r="AT91" s="16" t="n"/>
      <c r="AU91" s="138" t="n"/>
      <c r="AV91" s="16" t="n"/>
      <c r="AW91" s="138" t="n"/>
      <c r="AX91" s="16" t="n"/>
      <c r="AY91" s="138" t="n"/>
      <c r="AZ91" s="16">
        <f>AF91+AH91+AJ91+AL91+AN91+AP91+AR91+AT91+AV91+AX91</f>
        <v/>
      </c>
      <c r="BA91" s="16" t="n"/>
      <c r="BB91" s="139" t="n"/>
      <c r="BC91" s="16" t="n"/>
      <c r="BD91" s="139" t="n"/>
      <c r="BE91" s="16">
        <f>(BA91+BC91)</f>
        <v/>
      </c>
    </row>
    <row r="92">
      <c r="A92" s="9" t="n"/>
      <c r="B92" s="141" t="inlineStr">
        <is>
          <t>BOARD</t>
        </is>
      </c>
      <c r="C92" s="137" t="inlineStr">
        <is>
          <t>SOLO</t>
        </is>
      </c>
      <c r="D92" s="62" t="inlineStr">
        <is>
          <t>9핀 B/D</t>
        </is>
      </c>
      <c r="E92" s="36" t="n"/>
      <c r="F92" s="99" t="n"/>
      <c r="G92" s="22" t="n"/>
      <c r="H92" s="22" t="inlineStr">
        <is>
          <t>한샘디지텍</t>
        </is>
      </c>
      <c r="I92" s="14" t="n"/>
      <c r="J92" s="14" t="n"/>
      <c r="K92" s="12" t="n">
        <v>260</v>
      </c>
      <c r="L92" s="9" t="n"/>
      <c r="M92" s="9" t="n"/>
      <c r="N92" s="9" t="n"/>
      <c r="O92" s="40">
        <f>K92+V92-AE92-AZ92</f>
        <v/>
      </c>
      <c r="P92" s="12" t="n"/>
      <c r="Q92" s="138" t="n"/>
      <c r="R92" s="16" t="n"/>
      <c r="S92" s="139" t="n"/>
      <c r="T92" s="16" t="n"/>
      <c r="U92" s="139" t="n"/>
      <c r="V92" s="16">
        <f>P92+R92+T92</f>
        <v/>
      </c>
      <c r="W92" s="16" t="n"/>
      <c r="X92" s="139" t="n"/>
      <c r="Y92" s="16" t="n"/>
      <c r="Z92" s="139" t="n"/>
      <c r="AA92" s="16" t="n"/>
      <c r="AB92" s="139" t="n"/>
      <c r="AC92" s="16" t="n"/>
      <c r="AD92" s="139" t="n"/>
      <c r="AE92" s="16">
        <f>(W92+Y92+AA92+AC92)</f>
        <v/>
      </c>
      <c r="AF92" s="16" t="n"/>
      <c r="AG92" s="138" t="n"/>
      <c r="AH92" s="16" t="n"/>
      <c r="AI92" s="138" t="n"/>
      <c r="AJ92" s="16" t="n"/>
      <c r="AK92" s="138" t="n"/>
      <c r="AL92" s="16" t="n"/>
      <c r="AM92" s="138" t="n"/>
      <c r="AN92" s="16" t="n"/>
      <c r="AO92" s="138" t="n"/>
      <c r="AP92" s="16" t="n"/>
      <c r="AQ92" s="138" t="n"/>
      <c r="AR92" s="16" t="n"/>
      <c r="AS92" s="138" t="n"/>
      <c r="AT92" s="16" t="n"/>
      <c r="AU92" s="138" t="n"/>
      <c r="AV92" s="16" t="n"/>
      <c r="AW92" s="138" t="n"/>
      <c r="AX92" s="16" t="n"/>
      <c r="AY92" s="138" t="n"/>
      <c r="AZ92" s="16">
        <f>AF92+AH92+AJ92+AL92+AN92+AP92+AR92+AT92+AV92+AX92</f>
        <v/>
      </c>
      <c r="BA92" s="16" t="n"/>
      <c r="BB92" s="139" t="n"/>
      <c r="BC92" s="16" t="n"/>
      <c r="BD92" s="139" t="n"/>
      <c r="BE92" s="16">
        <f>(BA92+BC92)</f>
        <v/>
      </c>
    </row>
    <row r="93">
      <c r="A93" s="9" t="n"/>
      <c r="B93" s="141" t="inlineStr">
        <is>
          <t>BOARD</t>
        </is>
      </c>
      <c r="C93" s="137" t="inlineStr">
        <is>
          <t>ADX6000</t>
        </is>
      </c>
      <c r="D93" s="62" t="inlineStr">
        <is>
          <t>10핀 B/D</t>
        </is>
      </c>
      <c r="E93" s="36" t="n"/>
      <c r="F93" s="99" t="n"/>
      <c r="G93" s="22" t="n"/>
      <c r="H93" s="22" t="inlineStr">
        <is>
          <t>한샘디지텍</t>
        </is>
      </c>
      <c r="I93" s="14" t="n"/>
      <c r="J93" s="14" t="n"/>
      <c r="K93" s="12" t="n">
        <v>0</v>
      </c>
      <c r="L93" s="9" t="n"/>
      <c r="M93" s="9" t="n"/>
      <c r="N93" s="9" t="n"/>
      <c r="O93" s="40">
        <f>K93+V93-AE93-AZ93</f>
        <v/>
      </c>
      <c r="P93" s="12" t="n"/>
      <c r="Q93" s="138" t="n"/>
      <c r="R93" s="16" t="n"/>
      <c r="S93" s="139" t="n"/>
      <c r="T93" s="16" t="n"/>
      <c r="U93" s="139" t="n"/>
      <c r="V93" s="16">
        <f>P93+R93+T93</f>
        <v/>
      </c>
      <c r="W93" s="16" t="n"/>
      <c r="X93" s="139" t="n"/>
      <c r="Y93" s="16" t="n"/>
      <c r="Z93" s="139" t="n"/>
      <c r="AA93" s="16" t="n"/>
      <c r="AB93" s="139" t="n"/>
      <c r="AC93" s="16" t="n"/>
      <c r="AD93" s="139" t="n"/>
      <c r="AE93" s="16">
        <f>(W93+Y93+AA93+AC93)</f>
        <v/>
      </c>
      <c r="AF93" s="16" t="n"/>
      <c r="AG93" s="138" t="n"/>
      <c r="AH93" s="16" t="n"/>
      <c r="AI93" s="138" t="n"/>
      <c r="AJ93" s="16" t="n"/>
      <c r="AK93" s="138" t="n"/>
      <c r="AL93" s="16" t="n"/>
      <c r="AM93" s="138" t="n"/>
      <c r="AN93" s="16" t="n"/>
      <c r="AO93" s="138" t="n"/>
      <c r="AP93" s="16" t="n"/>
      <c r="AQ93" s="138" t="n"/>
      <c r="AR93" s="16" t="n"/>
      <c r="AS93" s="138" t="n"/>
      <c r="AT93" s="16" t="n"/>
      <c r="AU93" s="138" t="n"/>
      <c r="AV93" s="16" t="n"/>
      <c r="AW93" s="138" t="n"/>
      <c r="AX93" s="16" t="n"/>
      <c r="AY93" s="138" t="n"/>
      <c r="AZ93" s="16">
        <f>AF93+AH93+AJ93+AL93+AN93+AP93+AR93+AT93+AV93+AX93</f>
        <v/>
      </c>
      <c r="BA93" s="16" t="n"/>
      <c r="BB93" s="139" t="n"/>
      <c r="BC93" s="16" t="n"/>
      <c r="BD93" s="139" t="n"/>
      <c r="BE93" s="16">
        <f>(BA93+BC93)</f>
        <v/>
      </c>
    </row>
    <row r="94">
      <c r="A94" s="9" t="n"/>
      <c r="B94" s="141" t="inlineStr">
        <is>
          <t>PCB</t>
        </is>
      </c>
      <c r="C94" s="137" t="inlineStr">
        <is>
          <t>DX3000</t>
        </is>
      </c>
      <c r="D94" s="62" t="inlineStr">
        <is>
          <t>CTR B/D (유럽용)</t>
        </is>
      </c>
      <c r="E94" s="36" t="n"/>
      <c r="F94" s="100" t="n"/>
      <c r="G94" s="22" t="n"/>
      <c r="H94" s="22" t="inlineStr">
        <is>
          <t>HLP</t>
        </is>
      </c>
      <c r="I94" s="14" t="n"/>
      <c r="J94" s="14" t="n"/>
      <c r="K94" s="12" t="n">
        <v>249</v>
      </c>
      <c r="L94" s="9" t="n"/>
      <c r="M94" s="9" t="n"/>
      <c r="N94" s="9" t="n"/>
      <c r="O94" s="40">
        <f>K94+V94-AE94-AZ94</f>
        <v/>
      </c>
      <c r="P94" s="12" t="n"/>
      <c r="Q94" s="138" t="n"/>
      <c r="R94" s="16" t="n"/>
      <c r="S94" s="139" t="n"/>
      <c r="T94" s="16" t="n"/>
      <c r="U94" s="139" t="n"/>
      <c r="V94" s="16">
        <f>P94+R94+T94</f>
        <v/>
      </c>
      <c r="W94" s="16" t="n"/>
      <c r="X94" s="139" t="n"/>
      <c r="Y94" s="16" t="n"/>
      <c r="Z94" s="139" t="n"/>
      <c r="AA94" s="16" t="n"/>
      <c r="AB94" s="139" t="n"/>
      <c r="AC94" s="16" t="n"/>
      <c r="AD94" s="139" t="n"/>
      <c r="AE94" s="16">
        <f>(W94+Y94+AA94+AC94)</f>
        <v/>
      </c>
      <c r="AF94" s="16" t="n"/>
      <c r="AG94" s="138" t="n"/>
      <c r="AH94" s="16" t="n"/>
      <c r="AI94" s="138" t="n"/>
      <c r="AJ94" s="16" t="n"/>
      <c r="AK94" s="138" t="n"/>
      <c r="AL94" s="16" t="n"/>
      <c r="AM94" s="138" t="n"/>
      <c r="AN94" s="16" t="n"/>
      <c r="AO94" s="138" t="n"/>
      <c r="AP94" s="16" t="n"/>
      <c r="AQ94" s="138" t="n"/>
      <c r="AR94" s="16" t="n"/>
      <c r="AS94" s="138" t="n"/>
      <c r="AT94" s="16" t="n"/>
      <c r="AU94" s="138" t="n"/>
      <c r="AV94" s="16" t="n"/>
      <c r="AW94" s="138" t="n"/>
      <c r="AX94" s="16" t="n"/>
      <c r="AY94" s="138" t="n"/>
      <c r="AZ94" s="16">
        <f>AF94+AH94+AJ94+AL94+AN94+AP94+AR94+AT94+AV94+AX94</f>
        <v/>
      </c>
      <c r="BA94" s="16" t="n"/>
      <c r="BB94" s="139" t="n"/>
      <c r="BC94" s="16" t="n"/>
      <c r="BD94" s="139" t="n"/>
      <c r="BE94" s="16" t="n">
        <v>0</v>
      </c>
    </row>
    <row r="95">
      <c r="A95" s="9" t="n"/>
      <c r="B95" s="141" t="inlineStr">
        <is>
          <t>PCB</t>
        </is>
      </c>
      <c r="C95" s="137" t="inlineStr">
        <is>
          <t>DX3000</t>
        </is>
      </c>
      <c r="D95" s="70" t="inlineStr">
        <is>
          <t>CTR B/D (미국용)</t>
        </is>
      </c>
      <c r="E95" s="36" t="n"/>
      <c r="F95" s="100" t="n"/>
      <c r="G95" s="22" t="n"/>
      <c r="H95" s="22" t="inlineStr">
        <is>
          <t>HLP</t>
        </is>
      </c>
      <c r="I95" s="14" t="n"/>
      <c r="J95" s="14" t="n"/>
      <c r="K95" s="12" t="n">
        <v>100</v>
      </c>
      <c r="L95" s="9" t="n"/>
      <c r="M95" s="9" t="n"/>
      <c r="N95" s="9" t="n"/>
      <c r="O95" s="40">
        <f>K95+V95-AE95-AZ95</f>
        <v/>
      </c>
      <c r="P95" s="12" t="n"/>
      <c r="Q95" s="138" t="n"/>
      <c r="R95" s="16" t="n"/>
      <c r="S95" s="139" t="n"/>
      <c r="T95" s="16" t="n"/>
      <c r="U95" s="139" t="n"/>
      <c r="V95" s="16">
        <f>P95+R95+T95</f>
        <v/>
      </c>
      <c r="W95" s="16" t="n"/>
      <c r="X95" s="139" t="n"/>
      <c r="Y95" s="16" t="n"/>
      <c r="Z95" s="139" t="n"/>
      <c r="AA95" s="16" t="n"/>
      <c r="AB95" s="139" t="n"/>
      <c r="AC95" s="16" t="n"/>
      <c r="AD95" s="139" t="n"/>
      <c r="AE95" s="16">
        <f>(W95+Y95+AA95+AC95)</f>
        <v/>
      </c>
      <c r="AF95" s="16" t="n"/>
      <c r="AG95" s="138" t="n"/>
      <c r="AH95" s="16" t="n"/>
      <c r="AI95" s="138" t="n"/>
      <c r="AJ95" s="16" t="n"/>
      <c r="AK95" s="138" t="n"/>
      <c r="AL95" s="16" t="n"/>
      <c r="AM95" s="138" t="n"/>
      <c r="AN95" s="16" t="n"/>
      <c r="AO95" s="138" t="n"/>
      <c r="AP95" s="16" t="n"/>
      <c r="AQ95" s="138" t="n"/>
      <c r="AR95" s="16" t="n"/>
      <c r="AS95" s="138" t="n"/>
      <c r="AT95" s="16" t="n"/>
      <c r="AU95" s="138" t="n"/>
      <c r="AV95" s="16" t="n"/>
      <c r="AW95" s="138" t="n"/>
      <c r="AX95" s="16" t="n"/>
      <c r="AY95" s="138" t="n"/>
      <c r="AZ95" s="16">
        <f>AF95+AH95+AJ95+AL95+AN95+AP95+AR95+AT95+AV95+AX95</f>
        <v/>
      </c>
      <c r="BA95" s="16" t="n"/>
      <c r="BB95" s="139" t="n"/>
      <c r="BC95" s="16" t="n"/>
      <c r="BD95" s="139" t="n"/>
      <c r="BE95" s="16">
        <f>(BA95+BC95)</f>
        <v/>
      </c>
    </row>
    <row r="96">
      <c r="A96" s="9" t="n"/>
      <c r="B96" s="141" t="inlineStr">
        <is>
          <t>PCB</t>
        </is>
      </c>
      <c r="C96" s="137" t="inlineStr">
        <is>
          <t>DX3000</t>
        </is>
      </c>
      <c r="D96" s="70" t="inlineStr">
        <is>
          <t>CTR B/D (TFT용)</t>
        </is>
      </c>
      <c r="E96" s="36" t="inlineStr">
        <is>
          <t>V3.1.1</t>
        </is>
      </c>
      <c r="F96" s="100" t="n"/>
      <c r="G96" s="22" t="n"/>
      <c r="H96" s="22" t="inlineStr">
        <is>
          <t>HLP</t>
        </is>
      </c>
      <c r="I96" s="14" t="n"/>
      <c r="J96" s="14" t="n"/>
      <c r="K96" s="12" t="n">
        <v>164</v>
      </c>
      <c r="L96" s="9" t="n"/>
      <c r="M96" s="9" t="n"/>
      <c r="N96" s="9" t="n"/>
      <c r="O96" s="40">
        <f>K96+V96-AE96-AZ96</f>
        <v/>
      </c>
      <c r="P96" s="12" t="n"/>
      <c r="Q96" s="138" t="n"/>
      <c r="R96" s="16" t="n"/>
      <c r="S96" s="139" t="n"/>
      <c r="T96" s="16" t="n"/>
      <c r="U96" s="139" t="n"/>
      <c r="V96" s="16">
        <f>P96+R96+T96</f>
        <v/>
      </c>
      <c r="W96" s="16" t="n"/>
      <c r="X96" s="139" t="n"/>
      <c r="Y96" s="16" t="n"/>
      <c r="Z96" s="139" t="n"/>
      <c r="AA96" s="16" t="n"/>
      <c r="AB96" s="139" t="n"/>
      <c r="AC96" s="16" t="n"/>
      <c r="AD96" s="139" t="n"/>
      <c r="AE96" s="16">
        <f>(W96+Y96+AA96+AC96)</f>
        <v/>
      </c>
      <c r="AF96" s="16" t="n"/>
      <c r="AG96" s="138" t="n"/>
      <c r="AH96" s="16" t="n"/>
      <c r="AI96" s="138" t="n"/>
      <c r="AJ96" s="16" t="n"/>
      <c r="AK96" s="138" t="n"/>
      <c r="AL96" s="16" t="n"/>
      <c r="AM96" s="138" t="n"/>
      <c r="AN96" s="16" t="n"/>
      <c r="AO96" s="138" t="n"/>
      <c r="AP96" s="16" t="n"/>
      <c r="AQ96" s="138" t="n"/>
      <c r="AR96" s="16" t="n"/>
      <c r="AS96" s="138" t="n"/>
      <c r="AT96" s="16" t="n"/>
      <c r="AU96" s="138" t="n"/>
      <c r="AV96" s="16" t="n"/>
      <c r="AW96" s="138" t="n"/>
      <c r="AX96" s="16" t="n"/>
      <c r="AY96" s="138" t="n"/>
      <c r="AZ96" s="16">
        <f>AF96+AH96+AJ96+AL96+AN96+AP96+AR96+AT96+AV96+AX96</f>
        <v/>
      </c>
      <c r="BA96" s="16" t="n"/>
      <c r="BB96" s="139" t="n"/>
      <c r="BC96" s="16" t="n"/>
      <c r="BD96" s="139" t="n"/>
      <c r="BE96" s="16">
        <f>(BA96+BC96)</f>
        <v/>
      </c>
    </row>
    <row r="97">
      <c r="A97" s="9" t="n"/>
      <c r="B97" s="141" t="inlineStr">
        <is>
          <t>PCB</t>
        </is>
      </c>
      <c r="C97" s="137" t="inlineStr">
        <is>
          <t>DX3000</t>
        </is>
      </c>
      <c r="D97" s="62" t="inlineStr">
        <is>
          <t>LCD B/D (듀얼 슬라이드)</t>
        </is>
      </c>
      <c r="E97" s="20" t="n"/>
      <c r="F97" s="100" t="n"/>
      <c r="G97" s="22" t="n"/>
      <c r="H97" s="22" t="inlineStr">
        <is>
          <t>HLP</t>
        </is>
      </c>
      <c r="I97" s="14" t="n"/>
      <c r="J97" s="14" t="n"/>
      <c r="K97" s="12" t="n">
        <v>300</v>
      </c>
      <c r="L97" s="9" t="n"/>
      <c r="M97" s="9" t="n"/>
      <c r="N97" s="9" t="n"/>
      <c r="O97" s="40">
        <f>K97+V97-AE97-AZ97</f>
        <v/>
      </c>
      <c r="P97" s="12" t="n"/>
      <c r="Q97" s="138" t="n"/>
      <c r="R97" s="16" t="n"/>
      <c r="S97" s="139" t="n"/>
      <c r="T97" s="16" t="n"/>
      <c r="U97" s="139" t="n"/>
      <c r="V97" s="16">
        <f>P97+R97+T97</f>
        <v/>
      </c>
      <c r="W97" s="16" t="n"/>
      <c r="X97" s="139" t="n"/>
      <c r="Y97" s="16" t="n"/>
      <c r="Z97" s="139" t="n"/>
      <c r="AA97" s="16" t="n"/>
      <c r="AB97" s="139" t="n"/>
      <c r="AC97" s="16" t="n"/>
      <c r="AD97" s="139" t="n"/>
      <c r="AE97" s="16">
        <f>(W97+Y97+AA97+AC97)</f>
        <v/>
      </c>
      <c r="AF97" s="16" t="n"/>
      <c r="AG97" s="138" t="n"/>
      <c r="AH97" s="16" t="n"/>
      <c r="AI97" s="138" t="n"/>
      <c r="AJ97" s="16" t="n"/>
      <c r="AK97" s="138" t="n"/>
      <c r="AL97" s="16" t="n"/>
      <c r="AM97" s="138" t="n"/>
      <c r="AN97" s="16" t="n"/>
      <c r="AO97" s="138" t="n"/>
      <c r="AP97" s="16" t="n"/>
      <c r="AQ97" s="138" t="n"/>
      <c r="AR97" s="16" t="n"/>
      <c r="AS97" s="138" t="n"/>
      <c r="AT97" s="16" t="n"/>
      <c r="AU97" s="138" t="n"/>
      <c r="AV97" s="16" t="n"/>
      <c r="AW97" s="138" t="n"/>
      <c r="AX97" s="16" t="n"/>
      <c r="AY97" s="138" t="n"/>
      <c r="AZ97" s="16">
        <f>AF97+AH97+AJ97+AL97+AN97+AP97+AR97+AT97+AV97+AX97</f>
        <v/>
      </c>
      <c r="BA97" s="16" t="n"/>
      <c r="BB97" s="139" t="n"/>
      <c r="BC97" s="16" t="n"/>
      <c r="BD97" s="139" t="n"/>
      <c r="BE97" s="16">
        <f>(BA97+BC97)</f>
        <v/>
      </c>
    </row>
    <row r="98">
      <c r="A98" s="9" t="n"/>
      <c r="B98" s="141" t="inlineStr">
        <is>
          <t>PCB</t>
        </is>
      </c>
      <c r="C98" s="137" t="inlineStr">
        <is>
          <t>DX3000</t>
        </is>
      </c>
      <c r="D98" s="62" t="inlineStr">
        <is>
          <t>TFT LCD B/D (듀얼 슬라이드)</t>
        </is>
      </c>
      <c r="E98" s="20" t="inlineStr">
        <is>
          <t>V3.0.1</t>
        </is>
      </c>
      <c r="F98" s="100" t="n"/>
      <c r="G98" s="22" t="n"/>
      <c r="H98" s="22" t="inlineStr">
        <is>
          <t>HLP</t>
        </is>
      </c>
      <c r="I98" s="14" t="n"/>
      <c r="J98" s="14" t="n"/>
      <c r="K98" s="12" t="n">
        <v>102</v>
      </c>
      <c r="L98" s="9" t="n"/>
      <c r="M98" s="9" t="n"/>
      <c r="N98" s="9" t="n"/>
      <c r="O98" s="40">
        <f>K98+V98-AE98-AZ98</f>
        <v/>
      </c>
      <c r="P98" s="12" t="n"/>
      <c r="Q98" s="138" t="n"/>
      <c r="R98" s="16" t="n"/>
      <c r="S98" s="139" t="n"/>
      <c r="T98" s="16" t="n"/>
      <c r="U98" s="139" t="n"/>
      <c r="V98" s="16">
        <f>P98+R98+T98</f>
        <v/>
      </c>
      <c r="W98" s="16" t="n"/>
      <c r="X98" s="139" t="n"/>
      <c r="Y98" s="16" t="n"/>
      <c r="Z98" s="139" t="n"/>
      <c r="AA98" s="16" t="n"/>
      <c r="AB98" s="139" t="n"/>
      <c r="AC98" s="16" t="n"/>
      <c r="AD98" s="139" t="n"/>
      <c r="AE98" s="16">
        <f>(W98+Y98+AA98+AC98)</f>
        <v/>
      </c>
      <c r="AF98" s="16" t="n"/>
      <c r="AG98" s="138" t="n"/>
      <c r="AH98" s="16" t="n"/>
      <c r="AI98" s="138" t="n"/>
      <c r="AJ98" s="16" t="n"/>
      <c r="AK98" s="138" t="n"/>
      <c r="AL98" s="16" t="n"/>
      <c r="AM98" s="138" t="n"/>
      <c r="AN98" s="16" t="n"/>
      <c r="AO98" s="138" t="n"/>
      <c r="AP98" s="16" t="n"/>
      <c r="AQ98" s="138" t="n"/>
      <c r="AR98" s="16" t="n"/>
      <c r="AS98" s="138" t="n"/>
      <c r="AT98" s="16" t="n"/>
      <c r="AU98" s="138" t="n"/>
      <c r="AV98" s="16" t="n"/>
      <c r="AW98" s="138" t="n"/>
      <c r="AX98" s="16" t="n"/>
      <c r="AY98" s="138" t="n"/>
      <c r="AZ98" s="16">
        <f>AF98+AH98+AJ98+AL98+AN98+AP98+AR98+AT98+AV98+AX98</f>
        <v/>
      </c>
      <c r="BA98" s="16" t="n"/>
      <c r="BB98" s="139" t="n"/>
      <c r="BC98" s="16" t="n"/>
      <c r="BD98" s="139" t="n"/>
      <c r="BE98" s="16">
        <f>(BA98+BC98)</f>
        <v/>
      </c>
    </row>
    <row r="99">
      <c r="A99" s="9" t="n"/>
      <c r="B99" s="141" t="inlineStr">
        <is>
          <t>PCB</t>
        </is>
      </c>
      <c r="C99" s="137" t="inlineStr">
        <is>
          <t>DX3000</t>
        </is>
      </c>
      <c r="D99" s="62" t="inlineStr">
        <is>
          <t>LCD B/D (사파리) -원버턴타입</t>
        </is>
      </c>
      <c r="E99" s="20" t="n"/>
      <c r="F99" s="100" t="n"/>
      <c r="G99" s="22" t="n"/>
      <c r="H99" s="22" t="inlineStr">
        <is>
          <t>HLP</t>
        </is>
      </c>
      <c r="I99" s="14" t="n"/>
      <c r="J99" s="14" t="n"/>
      <c r="K99" s="12" t="n">
        <v>0</v>
      </c>
      <c r="L99" s="9" t="n"/>
      <c r="M99" s="9" t="n"/>
      <c r="N99" s="9" t="n"/>
      <c r="O99" s="40">
        <f>K99+V99-AE99-AZ99</f>
        <v/>
      </c>
      <c r="P99" s="12" t="n"/>
      <c r="Q99" s="138" t="n"/>
      <c r="R99" s="16" t="n"/>
      <c r="S99" s="139" t="n"/>
      <c r="T99" s="16" t="n"/>
      <c r="U99" s="139" t="n"/>
      <c r="V99" s="16">
        <f>P99+R99+T99</f>
        <v/>
      </c>
      <c r="W99" s="16" t="n"/>
      <c r="X99" s="139" t="n"/>
      <c r="Y99" s="16" t="n"/>
      <c r="Z99" s="139" t="n"/>
      <c r="AA99" s="16" t="n"/>
      <c r="AB99" s="139" t="n"/>
      <c r="AC99" s="16" t="n"/>
      <c r="AD99" s="139" t="n"/>
      <c r="AE99" s="16">
        <f>(W99+Y99+AA99+AC99)</f>
        <v/>
      </c>
      <c r="AF99" s="16" t="n"/>
      <c r="AG99" s="138" t="n"/>
      <c r="AH99" s="16" t="n"/>
      <c r="AI99" s="138" t="n"/>
      <c r="AJ99" s="16" t="n"/>
      <c r="AK99" s="138" t="n"/>
      <c r="AL99" s="16" t="n"/>
      <c r="AM99" s="138" t="n"/>
      <c r="AN99" s="16" t="n"/>
      <c r="AO99" s="138" t="n"/>
      <c r="AP99" s="16" t="n"/>
      <c r="AQ99" s="138" t="n"/>
      <c r="AR99" s="16" t="n"/>
      <c r="AS99" s="138" t="n"/>
      <c r="AT99" s="16" t="n"/>
      <c r="AU99" s="138" t="n"/>
      <c r="AV99" s="16" t="n"/>
      <c r="AW99" s="138" t="n"/>
      <c r="AX99" s="16" t="n"/>
      <c r="AY99" s="138" t="n"/>
      <c r="AZ99" s="16">
        <f>AF99+AH99+AJ99+AL99+AN99+AP99+AR99+AT99+AV99+AX99</f>
        <v/>
      </c>
      <c r="BA99" s="16" t="n"/>
      <c r="BB99" s="139" t="n"/>
      <c r="BC99" s="16" t="n"/>
      <c r="BD99" s="139" t="n"/>
      <c r="BE99" s="16">
        <f>(BA99+BC99)</f>
        <v/>
      </c>
    </row>
    <row r="100">
      <c r="A100" s="9" t="n"/>
      <c r="B100" s="141" t="inlineStr">
        <is>
          <t>PCB</t>
        </is>
      </c>
      <c r="C100" s="137" t="inlineStr">
        <is>
          <t>DX3000</t>
        </is>
      </c>
      <c r="D100" s="62" t="inlineStr">
        <is>
          <t>OLED B/D (듀얼)</t>
        </is>
      </c>
      <c r="E100" s="20" t="n"/>
      <c r="F100" s="100" t="n"/>
      <c r="G100" s="22" t="n"/>
      <c r="H100" s="22" t="inlineStr">
        <is>
          <t>HLP</t>
        </is>
      </c>
      <c r="I100" s="14" t="n"/>
      <c r="J100" s="14" t="n"/>
      <c r="K100" s="12" t="n">
        <v>0</v>
      </c>
      <c r="L100" s="9" t="n"/>
      <c r="M100" s="9" t="n"/>
      <c r="N100" s="9" t="n"/>
      <c r="O100" s="40">
        <f>K100+V100-AE100-AZ100</f>
        <v/>
      </c>
      <c r="P100" s="12" t="n"/>
      <c r="Q100" s="138" t="n"/>
      <c r="R100" s="16" t="n"/>
      <c r="S100" s="139" t="n"/>
      <c r="T100" s="16" t="n"/>
      <c r="U100" s="139" t="n"/>
      <c r="V100" s="16">
        <f>P100+R100+T100</f>
        <v/>
      </c>
      <c r="W100" s="16" t="n"/>
      <c r="X100" s="139" t="n"/>
      <c r="Y100" s="16" t="n"/>
      <c r="Z100" s="139" t="n"/>
      <c r="AA100" s="16" t="n"/>
      <c r="AB100" s="139" t="n"/>
      <c r="AC100" s="16" t="n"/>
      <c r="AD100" s="139" t="n"/>
      <c r="AE100" s="16">
        <f>(W100+Y100+AA100+AC100)</f>
        <v/>
      </c>
      <c r="AF100" s="16" t="n"/>
      <c r="AG100" s="138" t="n"/>
      <c r="AH100" s="16" t="n"/>
      <c r="AI100" s="138" t="n"/>
      <c r="AJ100" s="16" t="n"/>
      <c r="AK100" s="138" t="n"/>
      <c r="AL100" s="16" t="n"/>
      <c r="AM100" s="138" t="n"/>
      <c r="AN100" s="16" t="n"/>
      <c r="AO100" s="138" t="n"/>
      <c r="AP100" s="16" t="n"/>
      <c r="AQ100" s="138" t="n"/>
      <c r="AR100" s="16" t="n"/>
      <c r="AS100" s="138" t="n"/>
      <c r="AT100" s="16" t="n"/>
      <c r="AU100" s="138" t="n"/>
      <c r="AV100" s="16" t="n"/>
      <c r="AW100" s="138" t="n"/>
      <c r="AX100" s="16" t="n"/>
      <c r="AY100" s="138" t="n"/>
      <c r="AZ100" s="16">
        <f>AF100+AH100+AJ100+AL100+AN100+AP100+AR100+AT100+AV100+AX100</f>
        <v/>
      </c>
      <c r="BA100" s="16" t="n"/>
      <c r="BB100" s="139" t="n"/>
      <c r="BC100" s="16" t="n"/>
      <c r="BD100" s="139" t="n"/>
      <c r="BE100" s="16">
        <f>(BA100+BC100)</f>
        <v/>
      </c>
    </row>
    <row r="101">
      <c r="A101" s="9" t="n"/>
      <c r="B101" s="141" t="inlineStr">
        <is>
          <t>PCB</t>
        </is>
      </c>
      <c r="C101" s="137" t="inlineStr">
        <is>
          <t>DX3000</t>
        </is>
      </c>
      <c r="D101" s="62" t="inlineStr">
        <is>
          <t>EX B/D (듀얼) (좌)</t>
        </is>
      </c>
      <c r="E101" s="20" t="n"/>
      <c r="F101" s="100" t="n"/>
      <c r="G101" s="22" t="n"/>
      <c r="H101" s="22" t="inlineStr">
        <is>
          <t>HLP</t>
        </is>
      </c>
      <c r="I101" s="14" t="n"/>
      <c r="J101" s="14" t="n"/>
      <c r="K101" s="12" t="n">
        <v>240</v>
      </c>
      <c r="L101" s="9" t="n"/>
      <c r="M101" s="9" t="n"/>
      <c r="N101" s="9" t="n"/>
      <c r="O101" s="40">
        <f>K101+V101-AE101-AZ101</f>
        <v/>
      </c>
      <c r="P101" s="12" t="n"/>
      <c r="Q101" s="138" t="n"/>
      <c r="R101" s="16" t="n"/>
      <c r="S101" s="139" t="n"/>
      <c r="T101" s="16" t="n"/>
      <c r="U101" s="139" t="n"/>
      <c r="V101" s="16">
        <f>P101+R101+T101</f>
        <v/>
      </c>
      <c r="W101" s="16" t="n"/>
      <c r="X101" s="139" t="n"/>
      <c r="Y101" s="16" t="n"/>
      <c r="Z101" s="139" t="n"/>
      <c r="AA101" s="16" t="n"/>
      <c r="AB101" s="139" t="n"/>
      <c r="AC101" s="16" t="n"/>
      <c r="AD101" s="139" t="n"/>
      <c r="AE101" s="16">
        <f>(W101+Y101+AA101+AC101)</f>
        <v/>
      </c>
      <c r="AF101" s="16" t="n"/>
      <c r="AG101" s="138" t="n"/>
      <c r="AH101" s="16" t="n"/>
      <c r="AI101" s="138" t="n"/>
      <c r="AJ101" s="16" t="n"/>
      <c r="AK101" s="138" t="n"/>
      <c r="AL101" s="16" t="n"/>
      <c r="AM101" s="138" t="n"/>
      <c r="AN101" s="16" t="n"/>
      <c r="AO101" s="138" t="n"/>
      <c r="AP101" s="16" t="n"/>
      <c r="AQ101" s="138" t="n"/>
      <c r="AR101" s="16" t="n"/>
      <c r="AS101" s="138" t="n"/>
      <c r="AT101" s="16" t="n"/>
      <c r="AU101" s="138" t="n"/>
      <c r="AV101" s="16" t="n"/>
      <c r="AW101" s="138" t="n"/>
      <c r="AX101" s="16" t="n"/>
      <c r="AY101" s="138" t="n"/>
      <c r="AZ101" s="16">
        <f>AF101+AH101+AJ101+AL101+AN101+AP101+AR101+AT101+AV101+AX101</f>
        <v/>
      </c>
      <c r="BA101" s="16" t="n"/>
      <c r="BB101" s="139" t="n"/>
      <c r="BC101" s="16" t="n"/>
      <c r="BD101" s="139" t="n"/>
      <c r="BE101" s="16">
        <f>(BA101+BC101)</f>
        <v/>
      </c>
    </row>
    <row r="102">
      <c r="A102" s="9" t="n"/>
      <c r="B102" s="141" t="inlineStr">
        <is>
          <t>PCB</t>
        </is>
      </c>
      <c r="C102" s="137" t="inlineStr">
        <is>
          <t>DX3000</t>
        </is>
      </c>
      <c r="D102" s="62" t="inlineStr">
        <is>
          <t>EX B/D (듀얼) (우)</t>
        </is>
      </c>
      <c r="E102" s="20" t="n"/>
      <c r="F102" s="100" t="n"/>
      <c r="G102" s="22" t="n"/>
      <c r="H102" s="22" t="inlineStr">
        <is>
          <t>HLP</t>
        </is>
      </c>
      <c r="I102" s="14" t="n"/>
      <c r="J102" s="14" t="n"/>
      <c r="K102" s="12" t="n">
        <v>240</v>
      </c>
      <c r="L102" s="9" t="n"/>
      <c r="M102" s="9" t="n"/>
      <c r="N102" s="9" t="n"/>
      <c r="O102" s="40">
        <f>K102+V102-AE102-AZ102</f>
        <v/>
      </c>
      <c r="P102" s="12" t="n"/>
      <c r="Q102" s="138" t="n"/>
      <c r="R102" s="16" t="n"/>
      <c r="S102" s="139" t="n"/>
      <c r="T102" s="16" t="n"/>
      <c r="U102" s="139" t="n"/>
      <c r="V102" s="16">
        <f>P102+R102+T102</f>
        <v/>
      </c>
      <c r="W102" s="16" t="n"/>
      <c r="X102" s="139" t="n"/>
      <c r="Y102" s="16" t="n"/>
      <c r="Z102" s="139" t="n"/>
      <c r="AA102" s="16" t="n"/>
      <c r="AB102" s="139" t="n"/>
      <c r="AC102" s="16" t="n"/>
      <c r="AD102" s="139" t="n"/>
      <c r="AE102" s="16">
        <f>(W102+Y102+AA102+AC102)</f>
        <v/>
      </c>
      <c r="AF102" s="16" t="n"/>
      <c r="AG102" s="138" t="n"/>
      <c r="AH102" s="16" t="n"/>
      <c r="AI102" s="138" t="n"/>
      <c r="AJ102" s="16" t="n"/>
      <c r="AK102" s="138" t="n"/>
      <c r="AL102" s="16" t="n"/>
      <c r="AM102" s="138" t="n"/>
      <c r="AN102" s="16" t="n"/>
      <c r="AO102" s="138" t="n"/>
      <c r="AP102" s="16" t="n"/>
      <c r="AQ102" s="138" t="n"/>
      <c r="AR102" s="16" t="n"/>
      <c r="AS102" s="138" t="n"/>
      <c r="AT102" s="16" t="n"/>
      <c r="AU102" s="138" t="n"/>
      <c r="AV102" s="16" t="n"/>
      <c r="AW102" s="138" t="n"/>
      <c r="AX102" s="16" t="n"/>
      <c r="AY102" s="138" t="n"/>
      <c r="AZ102" s="16">
        <f>AF102+AH102+AJ102+AL102+AN102+AP102+AR102+AT102+AV102+AX102</f>
        <v/>
      </c>
      <c r="BA102" s="16" t="n"/>
      <c r="BB102" s="139" t="n"/>
      <c r="BC102" s="16" t="n"/>
      <c r="BD102" s="139" t="n"/>
      <c r="BE102" s="16">
        <f>(BA102+BC102)</f>
        <v/>
      </c>
    </row>
    <row r="103">
      <c r="A103" s="9" t="n"/>
      <c r="B103" s="141" t="inlineStr">
        <is>
          <t>PCB</t>
        </is>
      </c>
      <c r="C103" s="137" t="inlineStr">
        <is>
          <t>DX3000</t>
        </is>
      </c>
      <c r="D103" s="62" t="inlineStr">
        <is>
          <t>EX B/D 사파리 (원버턴)</t>
        </is>
      </c>
      <c r="E103" s="20" t="n"/>
      <c r="F103" s="100" t="n"/>
      <c r="G103" s="22" t="n"/>
      <c r="H103" s="22" t="inlineStr">
        <is>
          <t>HLP</t>
        </is>
      </c>
      <c r="I103" s="14" t="n"/>
      <c r="J103" s="14" t="n"/>
      <c r="K103" s="12" t="n">
        <v>88</v>
      </c>
      <c r="L103" s="9" t="n"/>
      <c r="M103" s="9" t="n"/>
      <c r="N103" s="9" t="n"/>
      <c r="O103" s="40">
        <f>K103+V103-AE103-AZ103</f>
        <v/>
      </c>
      <c r="P103" s="12" t="n"/>
      <c r="Q103" s="138" t="n"/>
      <c r="R103" s="16" t="n"/>
      <c r="S103" s="139" t="n"/>
      <c r="T103" s="16" t="n"/>
      <c r="U103" s="139" t="n"/>
      <c r="V103" s="16">
        <f>P103+R103+T103</f>
        <v/>
      </c>
      <c r="W103" s="16" t="n"/>
      <c r="X103" s="139" t="n"/>
      <c r="Y103" s="16" t="n"/>
      <c r="Z103" s="139" t="n"/>
      <c r="AA103" s="16" t="n"/>
      <c r="AB103" s="139" t="n"/>
      <c r="AC103" s="16" t="n"/>
      <c r="AD103" s="139" t="n"/>
      <c r="AE103" s="16">
        <f>(W103+Y103+AA103+AC103)</f>
        <v/>
      </c>
      <c r="AF103" s="16" t="n"/>
      <c r="AG103" s="138" t="n"/>
      <c r="AH103" s="16" t="n"/>
      <c r="AI103" s="138" t="n"/>
      <c r="AJ103" s="16" t="n"/>
      <c r="AK103" s="138" t="n"/>
      <c r="AL103" s="16" t="n"/>
      <c r="AM103" s="138" t="n"/>
      <c r="AN103" s="16" t="n"/>
      <c r="AO103" s="138" t="n"/>
      <c r="AP103" s="16" t="n"/>
      <c r="AQ103" s="138" t="n"/>
      <c r="AR103" s="16" t="n"/>
      <c r="AS103" s="138" t="n"/>
      <c r="AT103" s="16" t="n"/>
      <c r="AU103" s="138" t="n"/>
      <c r="AV103" s="16" t="n"/>
      <c r="AW103" s="138" t="n"/>
      <c r="AX103" s="16" t="n"/>
      <c r="AY103" s="138" t="n"/>
      <c r="AZ103" s="16">
        <f>AF103+AH103+AJ103+AL103+AN103+AP103+AR103+AT103+AV103+AX103</f>
        <v/>
      </c>
      <c r="BA103" s="16" t="n"/>
      <c r="BB103" s="139" t="n"/>
      <c r="BC103" s="16" t="n"/>
      <c r="BD103" s="139" t="n"/>
      <c r="BE103" s="16">
        <f>(BA103+BC103)</f>
        <v/>
      </c>
    </row>
    <row r="104">
      <c r="A104" s="9" t="n"/>
      <c r="B104" s="136" t="inlineStr">
        <is>
          <t>PCB</t>
        </is>
      </c>
      <c r="C104" s="137" t="inlineStr">
        <is>
          <t>DX3000</t>
        </is>
      </c>
      <c r="D104" s="72" t="inlineStr">
        <is>
          <t>RELAY 쪽 보드</t>
        </is>
      </c>
      <c r="E104" s="13" t="n"/>
      <c r="F104" s="100" t="n"/>
      <c r="G104" s="9" t="n"/>
      <c r="H104" s="9" t="inlineStr">
        <is>
          <t>HLP</t>
        </is>
      </c>
      <c r="I104" s="14" t="n"/>
      <c r="J104" s="14" t="n"/>
      <c r="K104" s="12" t="n">
        <v>0</v>
      </c>
      <c r="L104" s="9" t="n"/>
      <c r="M104" s="9" t="n"/>
      <c r="N104" s="9" t="n"/>
      <c r="O104" s="40">
        <f>K104+V104-AE104-AZ104</f>
        <v/>
      </c>
      <c r="P104" s="12" t="n"/>
      <c r="Q104" s="138" t="n"/>
      <c r="R104" s="16" t="n"/>
      <c r="S104" s="139" t="n"/>
      <c r="T104" s="16" t="n"/>
      <c r="U104" s="139" t="n"/>
      <c r="V104" s="16">
        <f>P104+R104+T104</f>
        <v/>
      </c>
      <c r="W104" s="16" t="n"/>
      <c r="X104" s="139" t="n"/>
      <c r="Y104" s="16" t="n"/>
      <c r="Z104" s="139" t="n"/>
      <c r="AA104" s="16" t="n"/>
      <c r="AB104" s="139" t="n"/>
      <c r="AC104" s="16" t="n"/>
      <c r="AD104" s="139" t="n"/>
      <c r="AE104" s="16">
        <f>(W104+Y104+AA104+AC104)</f>
        <v/>
      </c>
      <c r="AF104" s="16" t="n"/>
      <c r="AG104" s="138" t="n"/>
      <c r="AH104" s="16" t="n"/>
      <c r="AI104" s="138" t="n"/>
      <c r="AJ104" s="16" t="n"/>
      <c r="AK104" s="138" t="n"/>
      <c r="AL104" s="16" t="n"/>
      <c r="AM104" s="138" t="n"/>
      <c r="AN104" s="16" t="n"/>
      <c r="AO104" s="138" t="n"/>
      <c r="AP104" s="16" t="n"/>
      <c r="AQ104" s="138" t="n"/>
      <c r="AR104" s="16" t="n"/>
      <c r="AS104" s="138" t="n"/>
      <c r="AT104" s="16" t="n"/>
      <c r="AU104" s="138" t="n"/>
      <c r="AV104" s="16" t="n"/>
      <c r="AW104" s="138" t="n"/>
      <c r="AX104" s="16" t="n"/>
      <c r="AY104" s="138" t="n"/>
      <c r="AZ104" s="16">
        <f>AF104+AH104+AJ104+AL104+AN104+AP104+AR104+AT104+AV104+AX104</f>
        <v/>
      </c>
      <c r="BA104" s="16" t="n"/>
      <c r="BB104" s="139" t="n"/>
      <c r="BC104" s="16" t="n"/>
      <c r="BD104" s="139" t="n"/>
      <c r="BE104" s="16">
        <f>(BA104+BC104)</f>
        <v/>
      </c>
    </row>
    <row r="105">
      <c r="A105" s="9" t="n"/>
      <c r="B105" s="136" t="inlineStr">
        <is>
          <t>PCB</t>
        </is>
      </c>
      <c r="C105" s="137" t="inlineStr">
        <is>
          <t>DX3000</t>
        </is>
      </c>
      <c r="D105" s="143" t="inlineStr">
        <is>
          <t>AIM LED 쪽 보드</t>
        </is>
      </c>
      <c r="E105" s="13" t="inlineStr">
        <is>
          <t>V3.0.1</t>
        </is>
      </c>
      <c r="F105" s="100" t="n"/>
      <c r="G105" s="9" t="n"/>
      <c r="H105" s="9" t="inlineStr">
        <is>
          <t>HLP</t>
        </is>
      </c>
      <c r="I105" s="14" t="n"/>
      <c r="J105" s="14" t="n"/>
      <c r="K105" s="12" t="n">
        <v>378</v>
      </c>
      <c r="L105" s="9" t="n"/>
      <c r="M105" s="9" t="n"/>
      <c r="N105" s="9" t="n"/>
      <c r="O105" s="40">
        <f>K105+V105-AE105-AZ105</f>
        <v/>
      </c>
      <c r="P105" s="12" t="n"/>
      <c r="Q105" s="138" t="n"/>
      <c r="R105" s="16" t="n"/>
      <c r="S105" s="139" t="n"/>
      <c r="T105" s="16" t="n"/>
      <c r="U105" s="139" t="n"/>
      <c r="V105" s="16">
        <f>P105+R105+T105</f>
        <v/>
      </c>
      <c r="W105" s="16" t="n"/>
      <c r="X105" s="139" t="n"/>
      <c r="Y105" s="16" t="n"/>
      <c r="Z105" s="139" t="n"/>
      <c r="AA105" s="16" t="n"/>
      <c r="AB105" s="139" t="n"/>
      <c r="AC105" s="16" t="n"/>
      <c r="AD105" s="139" t="n"/>
      <c r="AE105" s="16">
        <f>(W105+Y105+AA105+AC105)</f>
        <v/>
      </c>
      <c r="AF105" s="16" t="n"/>
      <c r="AG105" s="138" t="n"/>
      <c r="AH105" s="16" t="n"/>
      <c r="AI105" s="138" t="n"/>
      <c r="AJ105" s="16" t="n"/>
      <c r="AK105" s="138" t="n"/>
      <c r="AL105" s="16" t="n"/>
      <c r="AM105" s="138" t="n"/>
      <c r="AN105" s="16" t="n"/>
      <c r="AO105" s="138" t="n"/>
      <c r="AP105" s="16" t="n"/>
      <c r="AQ105" s="138" t="n"/>
      <c r="AR105" s="16" t="n"/>
      <c r="AS105" s="138" t="n"/>
      <c r="AT105" s="16" t="n"/>
      <c r="AU105" s="138" t="n"/>
      <c r="AV105" s="16" t="n"/>
      <c r="AW105" s="138" t="n"/>
      <c r="AX105" s="16" t="n"/>
      <c r="AY105" s="138" t="n"/>
      <c r="AZ105" s="16">
        <f>AF105+AH105+AJ105+AL105+AN105+AP105+AR105+AT105+AV105+AX105</f>
        <v/>
      </c>
      <c r="BA105" s="16" t="n"/>
      <c r="BB105" s="139" t="n"/>
      <c r="BC105" s="16" t="n"/>
      <c r="BD105" s="139" t="n"/>
      <c r="BE105" s="16">
        <f>(BA105+BC105)</f>
        <v/>
      </c>
    </row>
    <row r="106">
      <c r="A106" s="9" t="n"/>
      <c r="B106" s="141" t="inlineStr">
        <is>
          <t>PANEL</t>
        </is>
      </c>
      <c r="C106" s="137" t="inlineStr">
        <is>
          <t>DX3000</t>
        </is>
      </c>
      <c r="D106" s="62" t="inlineStr">
        <is>
          <t>LCD PANEL</t>
        </is>
      </c>
      <c r="E106" s="36" t="inlineStr">
        <is>
          <t>2.35"LCD</t>
        </is>
      </c>
      <c r="F106" s="100" t="n"/>
      <c r="G106" s="22" t="n"/>
      <c r="H106" s="22" t="inlineStr">
        <is>
          <t>HLP</t>
        </is>
      </c>
      <c r="I106" s="14" t="n"/>
      <c r="J106" s="14" t="n"/>
      <c r="K106" s="12" t="n">
        <v>855</v>
      </c>
      <c r="L106" s="37" t="n"/>
      <c r="M106" s="37" t="n"/>
      <c r="N106" s="37" t="n"/>
      <c r="O106" s="40">
        <f>K106+V106-AE106-AZ106</f>
        <v/>
      </c>
      <c r="P106" s="12" t="n"/>
      <c r="Q106" s="138" t="n"/>
      <c r="R106" s="16" t="n"/>
      <c r="S106" s="139" t="n"/>
      <c r="T106" s="16" t="n"/>
      <c r="U106" s="139" t="n"/>
      <c r="V106" s="16">
        <f>P106+R106+T106</f>
        <v/>
      </c>
      <c r="W106" s="16" t="n"/>
      <c r="X106" s="139" t="n"/>
      <c r="Y106" s="16" t="n"/>
      <c r="Z106" s="139" t="n"/>
      <c r="AA106" s="16" t="n"/>
      <c r="AB106" s="139" t="n"/>
      <c r="AC106" s="16" t="n"/>
      <c r="AD106" s="139" t="n"/>
      <c r="AE106" s="16">
        <f>(W106+Y106+AA106+AC106)</f>
        <v/>
      </c>
      <c r="AF106" s="16" t="n"/>
      <c r="AG106" s="138" t="n"/>
      <c r="AH106" s="16" t="n"/>
      <c r="AI106" s="138" t="n"/>
      <c r="AJ106" s="16" t="n"/>
      <c r="AK106" s="138" t="n"/>
      <c r="AL106" s="16" t="n"/>
      <c r="AM106" s="138" t="n"/>
      <c r="AN106" s="16" t="n"/>
      <c r="AO106" s="138" t="n"/>
      <c r="AP106" s="16" t="n"/>
      <c r="AQ106" s="138" t="n"/>
      <c r="AR106" s="16" t="n"/>
      <c r="AS106" s="138" t="n"/>
      <c r="AT106" s="16" t="n"/>
      <c r="AU106" s="138" t="n"/>
      <c r="AV106" s="16" t="n"/>
      <c r="AW106" s="138" t="n"/>
      <c r="AX106" s="16" t="n"/>
      <c r="AY106" s="138" t="n"/>
      <c r="AZ106" s="16">
        <f>AF106+AH106+AJ106+AL106+AN106+AP106+AR106+AT106+AV106+AX106</f>
        <v/>
      </c>
      <c r="BA106" s="16" t="n"/>
      <c r="BB106" s="139" t="n"/>
      <c r="BC106" s="16" t="n"/>
      <c r="BD106" s="139" t="n"/>
      <c r="BE106" s="16">
        <f>(BA106+BC106)</f>
        <v/>
      </c>
    </row>
    <row r="107" ht="24" customHeight="1" s="122">
      <c r="A107" s="9" t="n"/>
      <c r="B107" s="141" t="inlineStr">
        <is>
          <t>PANEL</t>
        </is>
      </c>
      <c r="C107" s="137" t="inlineStr">
        <is>
          <t>DX3000, SOLO</t>
        </is>
      </c>
      <c r="D107" s="62" t="inlineStr">
        <is>
          <t>TFT LCD PANEL</t>
        </is>
      </c>
      <c r="E107" s="36" t="inlineStr">
        <is>
          <t>2.4"LCD - CT1715N241A</t>
        </is>
      </c>
      <c r="F107" s="100" t="n"/>
      <c r="G107" s="22" t="n"/>
      <c r="H107" s="22" t="inlineStr">
        <is>
          <t>클리어디스플레이</t>
        </is>
      </c>
      <c r="I107" s="14" t="n"/>
      <c r="J107" s="14" t="n"/>
      <c r="K107" s="12" t="n">
        <v>823</v>
      </c>
      <c r="L107" s="9" t="n"/>
      <c r="M107" s="9" t="n"/>
      <c r="N107" s="9" t="n"/>
      <c r="O107" s="40">
        <f>K107+V107-AE107-AZ107</f>
        <v/>
      </c>
      <c r="P107" s="12" t="n"/>
      <c r="Q107" s="138" t="n"/>
      <c r="R107" s="16" t="n"/>
      <c r="S107" s="139" t="n"/>
      <c r="T107" s="16" t="n"/>
      <c r="U107" s="139" t="n"/>
      <c r="V107" s="16">
        <f>P107+R107+T107</f>
        <v/>
      </c>
      <c r="W107" s="16" t="n"/>
      <c r="X107" s="139" t="n"/>
      <c r="Y107" s="16" t="n"/>
      <c r="Z107" s="139" t="n"/>
      <c r="AA107" s="16" t="n"/>
      <c r="AB107" s="139" t="n"/>
      <c r="AC107" s="16" t="n"/>
      <c r="AD107" s="139" t="n"/>
      <c r="AE107" s="16">
        <f>(W107+Y107+AA107+AC107)</f>
        <v/>
      </c>
      <c r="AF107" s="16" t="n"/>
      <c r="AG107" s="138" t="n"/>
      <c r="AH107" s="16" t="n"/>
      <c r="AI107" s="138" t="n"/>
      <c r="AJ107" s="16" t="n"/>
      <c r="AK107" s="138" t="n"/>
      <c r="AL107" s="16" t="n"/>
      <c r="AM107" s="138" t="n"/>
      <c r="AN107" s="16" t="n"/>
      <c r="AO107" s="138" t="n"/>
      <c r="AP107" s="16" t="n"/>
      <c r="AQ107" s="138" t="n"/>
      <c r="AR107" s="16" t="n"/>
      <c r="AS107" s="138" t="n"/>
      <c r="AT107" s="16" t="n"/>
      <c r="AU107" s="138" t="n"/>
      <c r="AV107" s="16" t="n"/>
      <c r="AW107" s="138" t="n"/>
      <c r="AX107" s="16" t="n"/>
      <c r="AY107" s="138" t="n"/>
      <c r="AZ107" s="16">
        <f>AF107+AH107+AJ107+AL107+AN107+AP107+AR107+AT107+AV107+AX107</f>
        <v/>
      </c>
      <c r="BA107" s="16" t="n"/>
      <c r="BB107" s="139" t="n"/>
      <c r="BC107" s="16" t="n"/>
      <c r="BD107" s="139" t="n"/>
      <c r="BE107" s="16">
        <f>(BA107+BC107)</f>
        <v/>
      </c>
    </row>
    <row r="108">
      <c r="A108" s="9" t="n"/>
      <c r="B108" s="141" t="inlineStr">
        <is>
          <t>CABLE</t>
        </is>
      </c>
      <c r="C108" s="137" t="inlineStr">
        <is>
          <t>DX3000</t>
        </is>
      </c>
      <c r="D108" s="62" t="inlineStr">
        <is>
          <t>하네스 1번</t>
        </is>
      </c>
      <c r="E108" s="36" t="inlineStr">
        <is>
          <t>FFC 20핀</t>
        </is>
      </c>
      <c r="F108" s="100" t="n"/>
      <c r="G108" s="22" t="n"/>
      <c r="H108" s="22" t="inlineStr">
        <is>
          <t>HLP</t>
        </is>
      </c>
      <c r="I108" s="14" t="n"/>
      <c r="J108" s="14" t="n"/>
      <c r="K108" s="12" t="n">
        <v>0</v>
      </c>
      <c r="L108" s="9" t="n"/>
      <c r="M108" s="9" t="n"/>
      <c r="N108" s="9" t="n"/>
      <c r="O108" s="40">
        <f>K108+V108-AE108-AZ108</f>
        <v/>
      </c>
      <c r="P108" s="12" t="n"/>
      <c r="Q108" s="138" t="n"/>
      <c r="R108" s="16" t="n"/>
      <c r="S108" s="139" t="n"/>
      <c r="T108" s="16" t="n"/>
      <c r="U108" s="139" t="n"/>
      <c r="V108" s="16">
        <f>P108+R108+T108</f>
        <v/>
      </c>
      <c r="W108" s="16" t="n"/>
      <c r="X108" s="139" t="n"/>
      <c r="Y108" s="16" t="n"/>
      <c r="Z108" s="139" t="n"/>
      <c r="AA108" s="16" t="n"/>
      <c r="AB108" s="139" t="n"/>
      <c r="AC108" s="16" t="n"/>
      <c r="AD108" s="139" t="n"/>
      <c r="AE108" s="16">
        <f>(W108+Y108+AA108+AC108)</f>
        <v/>
      </c>
      <c r="AF108" s="16" t="n"/>
      <c r="AG108" s="138" t="n"/>
      <c r="AH108" s="16" t="n"/>
      <c r="AI108" s="138" t="n"/>
      <c r="AJ108" s="16" t="n"/>
      <c r="AK108" s="138" t="n"/>
      <c r="AL108" s="16" t="n"/>
      <c r="AM108" s="138" t="n"/>
      <c r="AN108" s="16" t="n"/>
      <c r="AO108" s="138" t="n"/>
      <c r="AP108" s="16" t="n"/>
      <c r="AQ108" s="138" t="n"/>
      <c r="AR108" s="16" t="n"/>
      <c r="AS108" s="138" t="n"/>
      <c r="AT108" s="16" t="n"/>
      <c r="AU108" s="138" t="n"/>
      <c r="AV108" s="16" t="n"/>
      <c r="AW108" s="138" t="n"/>
      <c r="AX108" s="16" t="n"/>
      <c r="AY108" s="138" t="n"/>
      <c r="AZ108" s="16">
        <f>AF108+AH108+AJ108+AL108+AN108+AP108+AR108+AT108+AV108+AX108</f>
        <v/>
      </c>
      <c r="BA108" s="16" t="n"/>
      <c r="BB108" s="139" t="n"/>
      <c r="BC108" s="16" t="n"/>
      <c r="BD108" s="139" t="n"/>
      <c r="BE108" s="16">
        <f>(BA108+BC108)</f>
        <v/>
      </c>
    </row>
    <row r="109">
      <c r="A109" s="9" t="n"/>
      <c r="B109" s="141" t="inlineStr">
        <is>
          <t>CABLE</t>
        </is>
      </c>
      <c r="C109" s="137" t="inlineStr">
        <is>
          <t>DX3000</t>
        </is>
      </c>
      <c r="D109" s="62" t="inlineStr">
        <is>
          <t>하네스 4번</t>
        </is>
      </c>
      <c r="E109" s="36" t="inlineStr">
        <is>
          <t xml:space="preserve">후면 전원 Wire - DC 잭 </t>
        </is>
      </c>
      <c r="F109" s="100" t="n"/>
      <c r="G109" s="22" t="n"/>
      <c r="H109" s="22" t="inlineStr">
        <is>
          <t>HLP</t>
        </is>
      </c>
      <c r="I109" s="14" t="n"/>
      <c r="J109" s="14" t="n"/>
      <c r="K109" s="12" t="n">
        <v>0</v>
      </c>
      <c r="L109" s="9" t="n"/>
      <c r="M109" s="9" t="n"/>
      <c r="N109" s="9" t="n"/>
      <c r="O109" s="40">
        <f>K109+V109-AE109-AZ109</f>
        <v/>
      </c>
      <c r="P109" s="12" t="n"/>
      <c r="Q109" s="138" t="n"/>
      <c r="R109" s="16" t="n"/>
      <c r="S109" s="139" t="n"/>
      <c r="T109" s="16" t="n"/>
      <c r="U109" s="139" t="n"/>
      <c r="V109" s="16">
        <f>P109+R109+T109</f>
        <v/>
      </c>
      <c r="W109" s="16" t="n"/>
      <c r="X109" s="139" t="n"/>
      <c r="Y109" s="16" t="n"/>
      <c r="Z109" s="139" t="n"/>
      <c r="AA109" s="16" t="n"/>
      <c r="AB109" s="139" t="n"/>
      <c r="AC109" s="16" t="n"/>
      <c r="AD109" s="139" t="n"/>
      <c r="AE109" s="16">
        <f>(W109+Y109+AA109+AC109)</f>
        <v/>
      </c>
      <c r="AF109" s="16" t="n"/>
      <c r="AG109" s="138" t="n"/>
      <c r="AH109" s="16" t="n"/>
      <c r="AI109" s="138" t="n"/>
      <c r="AJ109" s="16" t="n"/>
      <c r="AK109" s="138" t="n"/>
      <c r="AL109" s="16" t="n"/>
      <c r="AM109" s="138" t="n"/>
      <c r="AN109" s="16" t="n"/>
      <c r="AO109" s="138" t="n"/>
      <c r="AP109" s="16" t="n"/>
      <c r="AQ109" s="138" t="n"/>
      <c r="AR109" s="16" t="n"/>
      <c r="AS109" s="138" t="n"/>
      <c r="AT109" s="16" t="n"/>
      <c r="AU109" s="138" t="n"/>
      <c r="AV109" s="16" t="n"/>
      <c r="AW109" s="138" t="n"/>
      <c r="AX109" s="16" t="n"/>
      <c r="AY109" s="138" t="n"/>
      <c r="AZ109" s="16">
        <f>AF109+AH109+AJ109+AL109+AN109+AP109+AR109+AT109+AV109+AX109</f>
        <v/>
      </c>
      <c r="BA109" s="16" t="n"/>
      <c r="BB109" s="139" t="n"/>
      <c r="BC109" s="16" t="n"/>
      <c r="BD109" s="139" t="n"/>
      <c r="BE109" s="16">
        <f>(BA109+BC109)</f>
        <v/>
      </c>
    </row>
    <row r="110">
      <c r="A110" s="9" t="n"/>
      <c r="B110" s="141" t="inlineStr">
        <is>
          <t>CABLE</t>
        </is>
      </c>
      <c r="C110" s="137" t="inlineStr">
        <is>
          <t>DX3000</t>
        </is>
      </c>
      <c r="D110" s="62" t="inlineStr">
        <is>
          <t>하네스 5번</t>
        </is>
      </c>
      <c r="E110" s="20" t="inlineStr">
        <is>
          <t>EXP KEY 4핀 케이블</t>
        </is>
      </c>
      <c r="F110" s="100" t="n"/>
      <c r="G110" s="22" t="n"/>
      <c r="H110" s="22" t="inlineStr">
        <is>
          <t>HLP</t>
        </is>
      </c>
      <c r="I110" s="14" t="n"/>
      <c r="J110" s="14" t="n"/>
      <c r="K110" s="12" t="n">
        <v>0</v>
      </c>
      <c r="L110" s="9" t="n"/>
      <c r="M110" s="9" t="n"/>
      <c r="N110" s="9" t="n"/>
      <c r="O110" s="40">
        <f>K110+V110-AE110-AZ110</f>
        <v/>
      </c>
      <c r="P110" s="12" t="n"/>
      <c r="Q110" s="138" t="n"/>
      <c r="R110" s="16" t="n"/>
      <c r="S110" s="139" t="n"/>
      <c r="T110" s="16" t="n"/>
      <c r="U110" s="139" t="n"/>
      <c r="V110" s="16">
        <f>P110+R110+T110</f>
        <v/>
      </c>
      <c r="W110" s="16" t="n"/>
      <c r="X110" s="139" t="n"/>
      <c r="Y110" s="16" t="n"/>
      <c r="Z110" s="139" t="n"/>
      <c r="AA110" s="16" t="n"/>
      <c r="AB110" s="139" t="n"/>
      <c r="AC110" s="16" t="n"/>
      <c r="AD110" s="139" t="n"/>
      <c r="AE110" s="16">
        <f>(W110+Y110+AA110+AC110)</f>
        <v/>
      </c>
      <c r="AF110" s="16" t="n"/>
      <c r="AG110" s="138" t="n"/>
      <c r="AH110" s="16" t="n"/>
      <c r="AI110" s="138" t="n"/>
      <c r="AJ110" s="16" t="n"/>
      <c r="AK110" s="138" t="n"/>
      <c r="AL110" s="16" t="n"/>
      <c r="AM110" s="138" t="n"/>
      <c r="AN110" s="16" t="n"/>
      <c r="AO110" s="138" t="n"/>
      <c r="AP110" s="16" t="n"/>
      <c r="AQ110" s="138" t="n"/>
      <c r="AR110" s="16" t="n"/>
      <c r="AS110" s="138" t="n"/>
      <c r="AT110" s="16" t="n"/>
      <c r="AU110" s="138" t="n"/>
      <c r="AV110" s="16" t="n"/>
      <c r="AW110" s="138" t="n"/>
      <c r="AX110" s="16" t="n"/>
      <c r="AY110" s="138" t="n"/>
      <c r="AZ110" s="16">
        <f>AF110+AH110+AJ110+AL110+AN110+AP110+AR110+AT110+AV110+AX110</f>
        <v/>
      </c>
      <c r="BA110" s="16" t="n"/>
      <c r="BB110" s="139" t="n"/>
      <c r="BC110" s="16" t="n"/>
      <c r="BD110" s="139" t="n"/>
      <c r="BE110" s="16">
        <f>(BA110+BC110)</f>
        <v/>
      </c>
    </row>
    <row r="111">
      <c r="A111" s="9" t="n"/>
      <c r="B111" s="141" t="inlineStr">
        <is>
          <t>CABLE</t>
        </is>
      </c>
      <c r="C111" s="137" t="inlineStr">
        <is>
          <t>DX3000</t>
        </is>
      </c>
      <c r="D111" s="62" t="inlineStr">
        <is>
          <t>하네스 7번</t>
        </is>
      </c>
      <c r="E111" s="20" t="inlineStr">
        <is>
          <t>마그네틱보드 연결 4핀</t>
        </is>
      </c>
      <c r="F111" s="100" t="n"/>
      <c r="G111" s="22" t="n"/>
      <c r="H111" s="22" t="inlineStr">
        <is>
          <t>HLP</t>
        </is>
      </c>
      <c r="I111" s="14" t="n"/>
      <c r="J111" s="14" t="n"/>
      <c r="K111" s="12" t="n">
        <v>0</v>
      </c>
      <c r="L111" s="9" t="n"/>
      <c r="M111" s="9" t="n"/>
      <c r="N111" s="9" t="n"/>
      <c r="O111" s="40">
        <f>K111+V111-AE111-AZ111</f>
        <v/>
      </c>
      <c r="P111" s="12" t="n"/>
      <c r="Q111" s="138" t="n"/>
      <c r="R111" s="16" t="n"/>
      <c r="S111" s="139" t="n"/>
      <c r="T111" s="16" t="n"/>
      <c r="U111" s="139" t="n"/>
      <c r="V111" s="16">
        <f>P111+R111+T111</f>
        <v/>
      </c>
      <c r="W111" s="16" t="n"/>
      <c r="X111" s="139" t="n"/>
      <c r="Y111" s="16" t="n"/>
      <c r="Z111" s="139" t="n"/>
      <c r="AA111" s="16" t="n"/>
      <c r="AB111" s="139" t="n"/>
      <c r="AC111" s="16" t="n"/>
      <c r="AD111" s="139" t="n"/>
      <c r="AE111" s="16">
        <f>(W111+Y111+AA111+AC111)</f>
        <v/>
      </c>
      <c r="AF111" s="16" t="n"/>
      <c r="AG111" s="138" t="n"/>
      <c r="AH111" s="16" t="n"/>
      <c r="AI111" s="138" t="n"/>
      <c r="AJ111" s="16" t="n"/>
      <c r="AK111" s="138" t="n"/>
      <c r="AL111" s="16" t="n"/>
      <c r="AM111" s="138" t="n"/>
      <c r="AN111" s="16" t="n"/>
      <c r="AO111" s="138" t="n"/>
      <c r="AP111" s="16" t="n"/>
      <c r="AQ111" s="138" t="n"/>
      <c r="AR111" s="16" t="n"/>
      <c r="AS111" s="138" t="n"/>
      <c r="AT111" s="16" t="n"/>
      <c r="AU111" s="138" t="n"/>
      <c r="AV111" s="16" t="n"/>
      <c r="AW111" s="138" t="n"/>
      <c r="AX111" s="16" t="n"/>
      <c r="AY111" s="138" t="n"/>
      <c r="AZ111" s="16">
        <f>AF111+AH111+AJ111+AL111+AN111+AP111+AR111+AT111+AV111+AX111</f>
        <v/>
      </c>
      <c r="BA111" s="16" t="n"/>
      <c r="BB111" s="139" t="n"/>
      <c r="BC111" s="16" t="n"/>
      <c r="BD111" s="139" t="n"/>
      <c r="BE111" s="16">
        <f>(BA111+BC111)</f>
        <v/>
      </c>
    </row>
    <row r="112">
      <c r="A112" s="9" t="n"/>
      <c r="B112" s="141" t="inlineStr">
        <is>
          <t>CABLE</t>
        </is>
      </c>
      <c r="C112" s="137" t="inlineStr">
        <is>
          <t>DX3000</t>
        </is>
      </c>
      <c r="D112" s="62" t="inlineStr">
        <is>
          <t>하네스 8번</t>
        </is>
      </c>
      <c r="E112" s="20" t="inlineStr">
        <is>
          <t>CJ4003 잭 (관전류 짹 + 2핀케이블)</t>
        </is>
      </c>
      <c r="F112" s="100" t="n"/>
      <c r="G112" s="22" t="n"/>
      <c r="H112" s="22" t="inlineStr">
        <is>
          <t>HLP</t>
        </is>
      </c>
      <c r="I112" s="14" t="n"/>
      <c r="J112" s="14" t="n"/>
      <c r="K112" s="12" t="n">
        <v>98</v>
      </c>
      <c r="L112" s="9" t="n"/>
      <c r="M112" s="9" t="n"/>
      <c r="N112" s="9" t="n"/>
      <c r="O112" s="40">
        <f>K112+V112-AE112-AZ112</f>
        <v/>
      </c>
      <c r="P112" s="12" t="n"/>
      <c r="Q112" s="138" t="n"/>
      <c r="R112" s="16" t="n"/>
      <c r="S112" s="139" t="n"/>
      <c r="T112" s="16" t="n"/>
      <c r="U112" s="139" t="n"/>
      <c r="V112" s="16">
        <f>P112+R112+T112</f>
        <v/>
      </c>
      <c r="W112" s="16" t="n"/>
      <c r="X112" s="139" t="n"/>
      <c r="Y112" s="16" t="n"/>
      <c r="Z112" s="139" t="n"/>
      <c r="AA112" s="16" t="n"/>
      <c r="AB112" s="139" t="n"/>
      <c r="AC112" s="16" t="n"/>
      <c r="AD112" s="139" t="n"/>
      <c r="AE112" s="16">
        <f>(W112+Y112+AA112+AC112)</f>
        <v/>
      </c>
      <c r="AF112" s="16" t="n"/>
      <c r="AG112" s="138" t="n"/>
      <c r="AH112" s="16" t="n"/>
      <c r="AI112" s="138" t="n"/>
      <c r="AJ112" s="16" t="n"/>
      <c r="AK112" s="138" t="n"/>
      <c r="AL112" s="16" t="n"/>
      <c r="AM112" s="138" t="n"/>
      <c r="AN112" s="16" t="n"/>
      <c r="AO112" s="138" t="n"/>
      <c r="AP112" s="16" t="n"/>
      <c r="AQ112" s="138" t="n"/>
      <c r="AR112" s="16" t="n"/>
      <c r="AS112" s="138" t="n"/>
      <c r="AT112" s="16" t="n"/>
      <c r="AU112" s="138" t="n"/>
      <c r="AV112" s="16" t="n"/>
      <c r="AW112" s="138" t="n"/>
      <c r="AX112" s="16" t="n"/>
      <c r="AY112" s="138" t="n"/>
      <c r="AZ112" s="16">
        <f>AF112+AH112+AJ112+AL112+AN112+AP112+AR112+AT112+AV112+AX112</f>
        <v/>
      </c>
      <c r="BA112" s="16" t="n"/>
      <c r="BB112" s="139" t="n"/>
      <c r="BC112" s="16" t="n"/>
      <c r="BD112" s="139" t="n"/>
      <c r="BE112" s="16">
        <f>(BA112+BC112)</f>
        <v/>
      </c>
    </row>
    <row r="113">
      <c r="A113" s="9" t="n"/>
      <c r="B113" s="141" t="inlineStr">
        <is>
          <t>ABS 난연</t>
        </is>
      </c>
      <c r="C113" s="137" t="inlineStr">
        <is>
          <t>DX3000</t>
        </is>
      </c>
      <c r="D113" s="62" t="inlineStr">
        <is>
          <t>LCD GUIDE</t>
        </is>
      </c>
      <c r="E113" s="36" t="inlineStr">
        <is>
          <t>ABS 난연 화이트</t>
        </is>
      </c>
      <c r="F113" s="100" t="n"/>
      <c r="G113" s="22" t="n"/>
      <c r="H113" s="22" t="inlineStr">
        <is>
          <t>천우</t>
        </is>
      </c>
      <c r="I113" s="14" t="n"/>
      <c r="J113" s="14" t="n"/>
      <c r="K113" s="12" t="n">
        <v>340</v>
      </c>
      <c r="L113" s="9" t="n"/>
      <c r="M113" s="9" t="n"/>
      <c r="N113" s="9" t="n"/>
      <c r="O113" s="40">
        <f>K113+V113-AE113-AZ113</f>
        <v/>
      </c>
      <c r="P113" s="12" t="n"/>
      <c r="Q113" s="138" t="n"/>
      <c r="R113" s="16" t="n"/>
      <c r="S113" s="139" t="n"/>
      <c r="T113" s="16" t="n"/>
      <c r="U113" s="139" t="n"/>
      <c r="V113" s="16">
        <f>P113+R113+T113</f>
        <v/>
      </c>
      <c r="W113" s="16" t="n"/>
      <c r="X113" s="139" t="n"/>
      <c r="Y113" s="16" t="n"/>
      <c r="Z113" s="139" t="n"/>
      <c r="AA113" s="16" t="n"/>
      <c r="AB113" s="139" t="n"/>
      <c r="AC113" s="16" t="n"/>
      <c r="AD113" s="139" t="n"/>
      <c r="AE113" s="16">
        <f>(W113+Y113+AA113+AC113)</f>
        <v/>
      </c>
      <c r="AF113" s="16" t="n"/>
      <c r="AG113" s="138" t="n"/>
      <c r="AH113" s="16" t="n"/>
      <c r="AI113" s="138" t="n"/>
      <c r="AJ113" s="16" t="n"/>
      <c r="AK113" s="138" t="n"/>
      <c r="AL113" s="16" t="n"/>
      <c r="AM113" s="138" t="n"/>
      <c r="AN113" s="16" t="n"/>
      <c r="AO113" s="138" t="n"/>
      <c r="AP113" s="16" t="n"/>
      <c r="AQ113" s="138" t="n"/>
      <c r="AR113" s="16" t="n"/>
      <c r="AS113" s="138" t="n"/>
      <c r="AT113" s="16" t="n"/>
      <c r="AU113" s="138" t="n"/>
      <c r="AV113" s="16" t="n"/>
      <c r="AW113" s="138" t="n"/>
      <c r="AX113" s="16" t="n"/>
      <c r="AY113" s="138" t="n"/>
      <c r="AZ113" s="16">
        <f>AF113+AH113+AJ113+AL113+AN113+AP113+AR113+AT113+AV113+AX113</f>
        <v/>
      </c>
      <c r="BA113" s="16" t="n"/>
      <c r="BB113" s="139" t="n"/>
      <c r="BC113" s="16" t="n"/>
      <c r="BD113" s="139" t="n"/>
      <c r="BE113" s="16">
        <f>(BA113+BC113)</f>
        <v/>
      </c>
    </row>
    <row r="114">
      <c r="A114" s="9" t="n"/>
      <c r="B114" s="141" t="inlineStr">
        <is>
          <t>ABS 난연</t>
        </is>
      </c>
      <c r="C114" s="137" t="inlineStr">
        <is>
          <t>DX3000</t>
        </is>
      </c>
      <c r="D114" s="103" t="inlineStr">
        <is>
          <t>LCD GUIDE (사파리)</t>
        </is>
      </c>
      <c r="E114" s="36" t="n"/>
      <c r="F114" s="100" t="n"/>
      <c r="G114" s="22" t="n"/>
      <c r="H114" s="22" t="inlineStr">
        <is>
          <t>HLP</t>
        </is>
      </c>
      <c r="I114" s="14" t="n"/>
      <c r="J114" s="14" t="n"/>
      <c r="K114" s="12" t="n">
        <v>247</v>
      </c>
      <c r="L114" s="9" t="n"/>
      <c r="M114" s="9" t="n"/>
      <c r="N114" s="9" t="n"/>
      <c r="O114" s="40">
        <f>K114+V114-AE114-AZ114</f>
        <v/>
      </c>
      <c r="P114" s="12" t="n"/>
      <c r="Q114" s="138" t="n"/>
      <c r="R114" s="16" t="n"/>
      <c r="S114" s="139" t="n"/>
      <c r="T114" s="16" t="n"/>
      <c r="U114" s="139" t="n"/>
      <c r="V114" s="16">
        <f>P114+R114+T114</f>
        <v/>
      </c>
      <c r="W114" s="16" t="n"/>
      <c r="X114" s="139" t="n"/>
      <c r="Y114" s="16" t="n"/>
      <c r="Z114" s="139" t="n"/>
      <c r="AA114" s="16" t="n"/>
      <c r="AB114" s="139" t="n"/>
      <c r="AC114" s="16" t="n"/>
      <c r="AD114" s="139" t="n"/>
      <c r="AE114" s="16">
        <f>(W114+Y114+AA114+AC114)</f>
        <v/>
      </c>
      <c r="AF114" s="16" t="n"/>
      <c r="AG114" s="138" t="n"/>
      <c r="AH114" s="16" t="n"/>
      <c r="AI114" s="138" t="n"/>
      <c r="AJ114" s="16" t="n"/>
      <c r="AK114" s="138" t="n"/>
      <c r="AL114" s="16" t="n"/>
      <c r="AM114" s="138" t="n"/>
      <c r="AN114" s="16" t="n"/>
      <c r="AO114" s="138" t="n"/>
      <c r="AP114" s="16" t="n"/>
      <c r="AQ114" s="138" t="n"/>
      <c r="AR114" s="16" t="n"/>
      <c r="AS114" s="138" t="n"/>
      <c r="AT114" s="16" t="n"/>
      <c r="AU114" s="138" t="n"/>
      <c r="AV114" s="16" t="n"/>
      <c r="AW114" s="138" t="n"/>
      <c r="AX114" s="16" t="n"/>
      <c r="AY114" s="138" t="n"/>
      <c r="AZ114" s="16">
        <f>AF114+AH114+AJ114+AL114+AN114+AP114+AR114+AT114+AV114+AX114</f>
        <v/>
      </c>
      <c r="BA114" s="16" t="n"/>
      <c r="BB114" s="139" t="n"/>
      <c r="BC114" s="16" t="n"/>
      <c r="BD114" s="139" t="n"/>
      <c r="BE114" s="16">
        <f>(BA114+BC114)</f>
        <v/>
      </c>
    </row>
    <row r="115">
      <c r="A115" s="9" t="n"/>
      <c r="B115" s="141" t="inlineStr">
        <is>
          <t>ABS 난연</t>
        </is>
      </c>
      <c r="C115" s="137" t="inlineStr">
        <is>
          <t>DX3000</t>
        </is>
      </c>
      <c r="D115" s="62" t="inlineStr">
        <is>
          <t>FRONT COVER (듀얼 슬라이드)</t>
        </is>
      </c>
      <c r="E115" s="36" t="inlineStr">
        <is>
          <t>ABS 난연 블랙</t>
        </is>
      </c>
      <c r="F115" s="100" t="n"/>
      <c r="G115" s="22" t="n"/>
      <c r="H115" s="22" t="inlineStr">
        <is>
          <t>천우</t>
        </is>
      </c>
      <c r="I115" s="14" t="n"/>
      <c r="J115" s="14" t="n"/>
      <c r="K115" s="12" t="n">
        <v>302</v>
      </c>
      <c r="L115" s="9" t="n"/>
      <c r="M115" s="9" t="n"/>
      <c r="N115" s="9" t="n"/>
      <c r="O115" s="40">
        <f>K115+V115-AE115-AZ115</f>
        <v/>
      </c>
      <c r="P115" s="12" t="n"/>
      <c r="Q115" s="138" t="n"/>
      <c r="R115" s="16" t="n"/>
      <c r="S115" s="139" t="n"/>
      <c r="T115" s="16" t="n"/>
      <c r="U115" s="139" t="n"/>
      <c r="V115" s="16">
        <f>P115+R115+T115</f>
        <v/>
      </c>
      <c r="W115" s="16" t="n"/>
      <c r="X115" s="139" t="n"/>
      <c r="Y115" s="16" t="n"/>
      <c r="Z115" s="139" t="n"/>
      <c r="AA115" s="16" t="n"/>
      <c r="AB115" s="139" t="n"/>
      <c r="AC115" s="16" t="n"/>
      <c r="AD115" s="139" t="n"/>
      <c r="AE115" s="16">
        <f>(W115+Y115+AA115+AC115)</f>
        <v/>
      </c>
      <c r="AF115" s="16" t="n"/>
      <c r="AG115" s="138" t="n"/>
      <c r="AH115" s="16" t="n"/>
      <c r="AI115" s="138" t="n"/>
      <c r="AJ115" s="16" t="n"/>
      <c r="AK115" s="138" t="n"/>
      <c r="AL115" s="16" t="n"/>
      <c r="AM115" s="138" t="n"/>
      <c r="AN115" s="16" t="n"/>
      <c r="AO115" s="138" t="n"/>
      <c r="AP115" s="16" t="n"/>
      <c r="AQ115" s="138" t="n"/>
      <c r="AR115" s="16" t="n"/>
      <c r="AS115" s="138" t="n"/>
      <c r="AT115" s="16" t="n"/>
      <c r="AU115" s="138" t="n"/>
      <c r="AV115" s="16" t="n"/>
      <c r="AW115" s="138" t="n"/>
      <c r="AX115" s="16" t="n"/>
      <c r="AY115" s="138" t="n"/>
      <c r="AZ115" s="16">
        <f>AF115+AH115+AJ115+AL115+AN115+AP115+AR115+AT115+AV115+AX115</f>
        <v/>
      </c>
      <c r="BA115" s="16" t="n"/>
      <c r="BB115" s="139" t="n"/>
      <c r="BC115" s="16" t="n"/>
      <c r="BD115" s="139" t="n"/>
      <c r="BE115" s="16">
        <f>(BA115+BC115)</f>
        <v/>
      </c>
    </row>
    <row r="116">
      <c r="A116" s="9" t="n"/>
      <c r="B116" s="141" t="inlineStr">
        <is>
          <t>ABS 난연</t>
        </is>
      </c>
      <c r="C116" s="137" t="inlineStr">
        <is>
          <t>DX3000</t>
        </is>
      </c>
      <c r="D116" s="62" t="inlineStr">
        <is>
          <t>FRONT COVER (듀얼 슬라이드)</t>
        </is>
      </c>
      <c r="E116" s="36" t="inlineStr">
        <is>
          <t>ABS 난연 블랙 (홀작업 완료)</t>
        </is>
      </c>
      <c r="F116" s="100" t="n"/>
      <c r="G116" s="22" t="n"/>
      <c r="H116" s="22" t="inlineStr">
        <is>
          <t>천우</t>
        </is>
      </c>
      <c r="I116" s="14" t="n"/>
      <c r="J116" s="14" t="n"/>
      <c r="K116" s="12" t="n">
        <v>0</v>
      </c>
      <c r="L116" s="9" t="n"/>
      <c r="M116" s="9" t="n"/>
      <c r="N116" s="9" t="n"/>
      <c r="O116" s="40">
        <f>K116+V116-AE116-AZ116</f>
        <v/>
      </c>
      <c r="P116" s="12" t="n"/>
      <c r="Q116" s="138" t="n"/>
      <c r="R116" s="16" t="n"/>
      <c r="S116" s="139" t="n"/>
      <c r="T116" s="16" t="n"/>
      <c r="U116" s="139" t="n"/>
      <c r="V116" s="16">
        <f>P116+R116+T116</f>
        <v/>
      </c>
      <c r="W116" s="16" t="n"/>
      <c r="X116" s="139" t="n"/>
      <c r="Y116" s="16" t="n"/>
      <c r="Z116" s="139" t="n"/>
      <c r="AA116" s="16" t="n"/>
      <c r="AB116" s="139" t="n"/>
      <c r="AC116" s="16" t="n"/>
      <c r="AD116" s="139" t="n"/>
      <c r="AE116" s="16">
        <f>(W116+Y116+AA116+AC116)</f>
        <v/>
      </c>
      <c r="AF116" s="16" t="n"/>
      <c r="AG116" s="138" t="n"/>
      <c r="AH116" s="16" t="n"/>
      <c r="AI116" s="138" t="n"/>
      <c r="AJ116" s="16" t="n"/>
      <c r="AK116" s="138" t="n"/>
      <c r="AL116" s="16" t="n"/>
      <c r="AM116" s="138" t="n"/>
      <c r="AN116" s="16" t="n"/>
      <c r="AO116" s="138" t="n"/>
      <c r="AP116" s="16" t="n"/>
      <c r="AQ116" s="138" t="n"/>
      <c r="AR116" s="16" t="n"/>
      <c r="AS116" s="138" t="n"/>
      <c r="AT116" s="16" t="n"/>
      <c r="AU116" s="138" t="n"/>
      <c r="AV116" s="16" t="n"/>
      <c r="AW116" s="138" t="n"/>
      <c r="AX116" s="16" t="n"/>
      <c r="AY116" s="138" t="n"/>
      <c r="AZ116" s="16">
        <f>AF116+AH116+AJ116+AL116+AN116+AP116+AR116+AT116+AV116+AX116</f>
        <v/>
      </c>
      <c r="BA116" s="16" t="n"/>
      <c r="BB116" s="139" t="n"/>
      <c r="BC116" s="16" t="n"/>
      <c r="BD116" s="139" t="n"/>
      <c r="BE116" s="16">
        <f>(BA116+BC116)</f>
        <v/>
      </c>
    </row>
    <row r="117">
      <c r="A117" s="9" t="n"/>
      <c r="B117" s="141" t="inlineStr">
        <is>
          <t>ABS 난연</t>
        </is>
      </c>
      <c r="C117" s="137" t="inlineStr">
        <is>
          <t>DX3000</t>
        </is>
      </c>
      <c r="D117" s="62" t="inlineStr">
        <is>
          <t>FRONT COVER (듀얼 슬라이드)</t>
        </is>
      </c>
      <c r="E117" s="36" t="inlineStr">
        <is>
          <t>ABS 난연 화이트</t>
        </is>
      </c>
      <c r="F117" s="100" t="n"/>
      <c r="G117" s="22" t="n"/>
      <c r="H117" s="22" t="inlineStr">
        <is>
          <t>천우</t>
        </is>
      </c>
      <c r="I117" s="14" t="n"/>
      <c r="J117" s="14" t="n"/>
      <c r="K117" s="12" t="n">
        <v>306</v>
      </c>
      <c r="L117" s="9" t="n"/>
      <c r="M117" s="9" t="n"/>
      <c r="N117" s="9" t="n"/>
      <c r="O117" s="40">
        <f>K117+V117-AE117-AZ117</f>
        <v/>
      </c>
      <c r="P117" s="12" t="n"/>
      <c r="Q117" s="138" t="n"/>
      <c r="R117" s="16" t="n"/>
      <c r="S117" s="139" t="n"/>
      <c r="T117" s="16" t="n"/>
      <c r="U117" s="139" t="n"/>
      <c r="V117" s="16">
        <f>P117+R117+T117</f>
        <v/>
      </c>
      <c r="W117" s="16" t="n"/>
      <c r="X117" s="139" t="n"/>
      <c r="Y117" s="16" t="n"/>
      <c r="Z117" s="139" t="n"/>
      <c r="AA117" s="16" t="n"/>
      <c r="AB117" s="139" t="n"/>
      <c r="AC117" s="16" t="n"/>
      <c r="AD117" s="139" t="n"/>
      <c r="AE117" s="16">
        <f>(W117+Y117+AA117+AC117)</f>
        <v/>
      </c>
      <c r="AF117" s="16" t="n"/>
      <c r="AG117" s="138" t="n"/>
      <c r="AH117" s="16" t="n"/>
      <c r="AI117" s="138" t="n"/>
      <c r="AJ117" s="16" t="n"/>
      <c r="AK117" s="138" t="n"/>
      <c r="AL117" s="16" t="n"/>
      <c r="AM117" s="138" t="n"/>
      <c r="AN117" s="16" t="n"/>
      <c r="AO117" s="138" t="n"/>
      <c r="AP117" s="16" t="n"/>
      <c r="AQ117" s="138" t="n"/>
      <c r="AR117" s="16" t="n"/>
      <c r="AS117" s="138" t="n"/>
      <c r="AT117" s="16" t="n"/>
      <c r="AU117" s="138" t="n"/>
      <c r="AV117" s="16" t="n"/>
      <c r="AW117" s="138" t="n"/>
      <c r="AX117" s="16" t="n"/>
      <c r="AY117" s="138" t="n"/>
      <c r="AZ117" s="16">
        <f>AF117+AH117+AJ117+AL117+AN117+AP117+AR117+AT117+AV117+AX117</f>
        <v/>
      </c>
      <c r="BA117" s="16" t="n"/>
      <c r="BB117" s="139" t="n"/>
      <c r="BC117" s="16" t="n"/>
      <c r="BD117" s="139" t="n"/>
      <c r="BE117" s="16">
        <f>(BA117+BC117)</f>
        <v/>
      </c>
    </row>
    <row r="118">
      <c r="A118" s="9" t="n"/>
      <c r="B118" s="141" t="inlineStr">
        <is>
          <t>ABS 난연</t>
        </is>
      </c>
      <c r="C118" s="137" t="inlineStr">
        <is>
          <t>DX3000</t>
        </is>
      </c>
      <c r="D118" s="62" t="inlineStr">
        <is>
          <t>REAR COVER</t>
        </is>
      </c>
      <c r="E118" s="36" t="inlineStr">
        <is>
          <t>ABS 난연 블랙</t>
        </is>
      </c>
      <c r="F118" s="100" t="n"/>
      <c r="G118" s="22" t="n"/>
      <c r="H118" s="22" t="inlineStr">
        <is>
          <t>천우</t>
        </is>
      </c>
      <c r="I118" s="14" t="n"/>
      <c r="J118" s="14" t="n"/>
      <c r="K118" s="12" t="n">
        <v>40</v>
      </c>
      <c r="L118" s="9" t="n"/>
      <c r="M118" s="9" t="n"/>
      <c r="N118" s="9" t="n"/>
      <c r="O118" s="40">
        <f>K118+V118-AE118-AZ118</f>
        <v/>
      </c>
      <c r="P118" s="12" t="n"/>
      <c r="Q118" s="138" t="n"/>
      <c r="R118" s="16" t="n"/>
      <c r="S118" s="139" t="n"/>
      <c r="T118" s="16" t="n"/>
      <c r="U118" s="139" t="n"/>
      <c r="V118" s="16">
        <f>P118+R118+T118</f>
        <v/>
      </c>
      <c r="W118" s="16" t="n"/>
      <c r="X118" s="139" t="n"/>
      <c r="Y118" s="16" t="n"/>
      <c r="Z118" s="139" t="n"/>
      <c r="AA118" s="16" t="n"/>
      <c r="AB118" s="139" t="n"/>
      <c r="AC118" s="16" t="n"/>
      <c r="AD118" s="139" t="n"/>
      <c r="AE118" s="16">
        <f>(W118+Y118+AA118+AC118)</f>
        <v/>
      </c>
      <c r="AF118" s="16" t="n"/>
      <c r="AG118" s="138" t="n"/>
      <c r="AH118" s="16" t="n"/>
      <c r="AI118" s="138" t="n"/>
      <c r="AJ118" s="16" t="n"/>
      <c r="AK118" s="138" t="n"/>
      <c r="AL118" s="16" t="n"/>
      <c r="AM118" s="138" t="n"/>
      <c r="AN118" s="16" t="n"/>
      <c r="AO118" s="138" t="n"/>
      <c r="AP118" s="16" t="n"/>
      <c r="AQ118" s="138" t="n"/>
      <c r="AR118" s="16" t="n"/>
      <c r="AS118" s="138" t="n"/>
      <c r="AT118" s="16" t="n"/>
      <c r="AU118" s="138" t="n"/>
      <c r="AV118" s="16" t="n"/>
      <c r="AW118" s="138" t="n"/>
      <c r="AX118" s="16" t="n"/>
      <c r="AY118" s="138" t="n"/>
      <c r="AZ118" s="16">
        <f>AF118+AH118+AJ118+AL118+AN118+AP118+AR118+AT118+AV118+AX118</f>
        <v/>
      </c>
      <c r="BA118" s="16" t="n"/>
      <c r="BB118" s="139" t="n"/>
      <c r="BC118" s="16" t="n"/>
      <c r="BD118" s="139" t="n"/>
      <c r="BE118" s="16">
        <f>(BA118+BC118)</f>
        <v/>
      </c>
    </row>
    <row r="119">
      <c r="A119" s="9" t="n"/>
      <c r="B119" s="141" t="inlineStr">
        <is>
          <t>ABS 난연</t>
        </is>
      </c>
      <c r="C119" s="137" t="inlineStr">
        <is>
          <t>DX3000</t>
        </is>
      </c>
      <c r="D119" s="62" t="inlineStr">
        <is>
          <t>REAR COVER</t>
        </is>
      </c>
      <c r="E119" s="36" t="inlineStr">
        <is>
          <t>ABS 난연 화이트</t>
        </is>
      </c>
      <c r="F119" s="100" t="n"/>
      <c r="G119" s="22" t="n"/>
      <c r="H119" s="22" t="inlineStr">
        <is>
          <t>천우</t>
        </is>
      </c>
      <c r="I119" s="14" t="n"/>
      <c r="J119" s="14" t="n"/>
      <c r="K119" s="12" t="n">
        <v>372</v>
      </c>
      <c r="L119" s="9" t="n"/>
      <c r="M119" s="9" t="n"/>
      <c r="N119" s="9" t="n"/>
      <c r="O119" s="40">
        <f>K119+V119-AE119-AZ119</f>
        <v/>
      </c>
      <c r="P119" s="12" t="n"/>
      <c r="Q119" s="138" t="n"/>
      <c r="R119" s="16" t="n"/>
      <c r="S119" s="139" t="n"/>
      <c r="T119" s="16" t="n"/>
      <c r="U119" s="139" t="n"/>
      <c r="V119" s="16">
        <f>P119+R119+T119</f>
        <v/>
      </c>
      <c r="W119" s="16" t="n"/>
      <c r="X119" s="139" t="n"/>
      <c r="Y119" s="16" t="n"/>
      <c r="Z119" s="139" t="n"/>
      <c r="AA119" s="16" t="n"/>
      <c r="AB119" s="139" t="n"/>
      <c r="AC119" s="16" t="n"/>
      <c r="AD119" s="139" t="n"/>
      <c r="AE119" s="16">
        <f>(W119+Y119+AA119+AC119)</f>
        <v/>
      </c>
      <c r="AF119" s="16" t="n"/>
      <c r="AG119" s="138" t="n"/>
      <c r="AH119" s="16" t="n"/>
      <c r="AI119" s="138" t="n"/>
      <c r="AJ119" s="16" t="n"/>
      <c r="AK119" s="138" t="n"/>
      <c r="AL119" s="16" t="n"/>
      <c r="AM119" s="138" t="n"/>
      <c r="AN119" s="16" t="n"/>
      <c r="AO119" s="138" t="n"/>
      <c r="AP119" s="16" t="n"/>
      <c r="AQ119" s="138" t="n"/>
      <c r="AR119" s="16" t="n"/>
      <c r="AS119" s="138" t="n"/>
      <c r="AT119" s="16" t="n"/>
      <c r="AU119" s="138" t="n"/>
      <c r="AV119" s="16" t="n"/>
      <c r="AW119" s="138" t="n"/>
      <c r="AX119" s="16" t="n"/>
      <c r="AY119" s="138" t="n"/>
      <c r="AZ119" s="16">
        <f>AF119+AH119+AJ119+AL119+AN119+AP119+AR119+AT119+AV119+AX119</f>
        <v/>
      </c>
      <c r="BA119" s="16" t="n"/>
      <c r="BB119" s="139" t="n"/>
      <c r="BC119" s="16" t="n"/>
      <c r="BD119" s="139" t="n"/>
      <c r="BE119" s="16">
        <f>(BA119+BC119)</f>
        <v/>
      </c>
    </row>
    <row r="120">
      <c r="A120" s="9" t="n"/>
      <c r="B120" s="141" t="inlineStr">
        <is>
          <t>ABS 난연</t>
        </is>
      </c>
      <c r="C120" s="137" t="inlineStr">
        <is>
          <t>DX3000</t>
        </is>
      </c>
      <c r="D120" s="62" t="inlineStr">
        <is>
          <t>BATTERY COVER</t>
        </is>
      </c>
      <c r="E120" s="36" t="inlineStr">
        <is>
          <t>ABS 난연 블랙 + 블랙</t>
        </is>
      </c>
      <c r="F120" s="100" t="n"/>
      <c r="G120" s="22" t="n"/>
      <c r="H120" s="22" t="inlineStr">
        <is>
          <t>천우</t>
        </is>
      </c>
      <c r="I120" s="14" t="n"/>
      <c r="J120" s="14" t="n"/>
      <c r="K120" s="12" t="n">
        <v>525</v>
      </c>
      <c r="L120" s="9" t="n"/>
      <c r="M120" s="9" t="n"/>
      <c r="N120" s="9" t="n"/>
      <c r="O120" s="40">
        <f>K120+V120-AE120-AZ120</f>
        <v/>
      </c>
      <c r="P120" s="12" t="n"/>
      <c r="Q120" s="138" t="n"/>
      <c r="R120" s="16" t="n"/>
      <c r="S120" s="139" t="n"/>
      <c r="T120" s="16" t="n"/>
      <c r="U120" s="139" t="n"/>
      <c r="V120" s="16">
        <f>P120+R120+T120</f>
        <v/>
      </c>
      <c r="W120" s="16" t="n"/>
      <c r="X120" s="139" t="n"/>
      <c r="Y120" s="16" t="n"/>
      <c r="Z120" s="139" t="n"/>
      <c r="AA120" s="16" t="n"/>
      <c r="AB120" s="139" t="n"/>
      <c r="AC120" s="16" t="n"/>
      <c r="AD120" s="139" t="n"/>
      <c r="AE120" s="16">
        <f>(W120+Y120+AA120+AC120)</f>
        <v/>
      </c>
      <c r="AF120" s="16" t="n"/>
      <c r="AG120" s="138" t="n"/>
      <c r="AH120" s="16" t="n"/>
      <c r="AI120" s="138" t="n"/>
      <c r="AJ120" s="16" t="n"/>
      <c r="AK120" s="138" t="n"/>
      <c r="AL120" s="16" t="n"/>
      <c r="AM120" s="138" t="n"/>
      <c r="AN120" s="16" t="n"/>
      <c r="AO120" s="138" t="n"/>
      <c r="AP120" s="16" t="n"/>
      <c r="AQ120" s="138" t="n"/>
      <c r="AR120" s="16" t="n"/>
      <c r="AS120" s="138" t="n"/>
      <c r="AT120" s="16" t="n"/>
      <c r="AU120" s="138" t="n"/>
      <c r="AV120" s="16" t="n"/>
      <c r="AW120" s="138" t="n"/>
      <c r="AX120" s="16" t="n"/>
      <c r="AY120" s="138" t="n"/>
      <c r="AZ120" s="16">
        <f>AF120+AH120+AJ120+AL120+AN120+AP120+AR120+AT120+AV120+AX120</f>
        <v/>
      </c>
      <c r="BA120" s="16" t="n"/>
      <c r="BB120" s="139" t="n"/>
      <c r="BC120" s="16" t="n"/>
      <c r="BD120" s="139" t="n"/>
      <c r="BE120" s="16">
        <f>(BA120+BC120)</f>
        <v/>
      </c>
    </row>
    <row r="121">
      <c r="A121" s="9" t="n"/>
      <c r="B121" s="141" t="inlineStr">
        <is>
          <t>ABS 난연</t>
        </is>
      </c>
      <c r="C121" s="137" t="inlineStr">
        <is>
          <t>DX3000</t>
        </is>
      </c>
      <c r="D121" s="62" t="inlineStr">
        <is>
          <t>BATTERY COVER</t>
        </is>
      </c>
      <c r="E121" s="36" t="inlineStr">
        <is>
          <t>ABS 난연 화이트</t>
        </is>
      </c>
      <c r="F121" s="100" t="n"/>
      <c r="G121" s="22" t="n"/>
      <c r="H121" s="22" t="inlineStr">
        <is>
          <t>천우</t>
        </is>
      </c>
      <c r="I121" s="14" t="n"/>
      <c r="J121" s="14" t="n"/>
      <c r="K121" s="12" t="n">
        <v>0</v>
      </c>
      <c r="L121" s="9" t="n"/>
      <c r="M121" s="9" t="n"/>
      <c r="N121" s="9" t="n"/>
      <c r="O121" s="40">
        <f>K121+V121-AE121-AZ121</f>
        <v/>
      </c>
      <c r="P121" s="12" t="n"/>
      <c r="Q121" s="138" t="n"/>
      <c r="R121" s="16" t="n"/>
      <c r="S121" s="139" t="n"/>
      <c r="T121" s="16" t="n"/>
      <c r="U121" s="139" t="n"/>
      <c r="V121" s="16">
        <f>P121+R121+T121</f>
        <v/>
      </c>
      <c r="W121" s="16" t="n"/>
      <c r="X121" s="139" t="n"/>
      <c r="Y121" s="16" t="n"/>
      <c r="Z121" s="139" t="n"/>
      <c r="AA121" s="16" t="n"/>
      <c r="AB121" s="139" t="n"/>
      <c r="AC121" s="16" t="n"/>
      <c r="AD121" s="139" t="n"/>
      <c r="AE121" s="16">
        <f>(W121+Y121+AA121+AC121)</f>
        <v/>
      </c>
      <c r="AF121" s="16" t="n"/>
      <c r="AG121" s="138" t="n"/>
      <c r="AH121" s="16" t="n"/>
      <c r="AI121" s="138" t="n"/>
      <c r="AJ121" s="16" t="n"/>
      <c r="AK121" s="138" t="n"/>
      <c r="AL121" s="16" t="n"/>
      <c r="AM121" s="138" t="n"/>
      <c r="AN121" s="16" t="n"/>
      <c r="AO121" s="138" t="n"/>
      <c r="AP121" s="16" t="n"/>
      <c r="AQ121" s="138" t="n"/>
      <c r="AR121" s="16" t="n"/>
      <c r="AS121" s="138" t="n"/>
      <c r="AT121" s="16" t="n"/>
      <c r="AU121" s="138" t="n"/>
      <c r="AV121" s="16" t="n"/>
      <c r="AW121" s="138" t="n"/>
      <c r="AX121" s="16" t="n"/>
      <c r="AY121" s="138" t="n"/>
      <c r="AZ121" s="16">
        <f>AF121+AH121+AJ121+AL121+AN121+AP121+AR121+AT121+AV121+AX121</f>
        <v/>
      </c>
      <c r="BA121" s="16" t="n"/>
      <c r="BB121" s="139" t="n"/>
      <c r="BC121" s="16" t="n"/>
      <c r="BD121" s="139" t="n"/>
      <c r="BE121" s="16">
        <f>(BA121+BC121)</f>
        <v/>
      </c>
    </row>
    <row r="122">
      <c r="A122" s="9" t="n"/>
      <c r="B122" s="141" t="inlineStr">
        <is>
          <t>ABS 난연</t>
        </is>
      </c>
      <c r="C122" s="137" t="inlineStr">
        <is>
          <t>DX3000</t>
        </is>
      </c>
      <c r="D122" s="62" t="inlineStr">
        <is>
          <t>BATTERY COVER</t>
        </is>
      </c>
      <c r="E122" s="36" t="inlineStr">
        <is>
          <t>ABS 난연 화이트 + 진한 회색</t>
        </is>
      </c>
      <c r="F122" s="100" t="n"/>
      <c r="G122" s="22" t="n"/>
      <c r="H122" s="22" t="inlineStr">
        <is>
          <t>천우</t>
        </is>
      </c>
      <c r="I122" s="14" t="n"/>
      <c r="J122" s="14" t="n"/>
      <c r="K122" s="12" t="n">
        <v>2109</v>
      </c>
      <c r="L122" s="9" t="n"/>
      <c r="M122" s="9" t="n"/>
      <c r="N122" s="9" t="n"/>
      <c r="O122" s="40">
        <f>K122+V122-AE122-AZ122</f>
        <v/>
      </c>
      <c r="P122" s="12" t="n"/>
      <c r="Q122" s="138" t="n"/>
      <c r="R122" s="16" t="n"/>
      <c r="S122" s="139" t="n"/>
      <c r="T122" s="16" t="n"/>
      <c r="U122" s="139" t="n"/>
      <c r="V122" s="16">
        <f>P122+R122+T122</f>
        <v/>
      </c>
      <c r="W122" s="16" t="n"/>
      <c r="X122" s="139" t="n"/>
      <c r="Y122" s="16" t="n"/>
      <c r="Z122" s="139" t="n"/>
      <c r="AA122" s="16" t="n"/>
      <c r="AB122" s="139" t="n"/>
      <c r="AC122" s="16" t="n"/>
      <c r="AD122" s="139" t="n"/>
      <c r="AE122" s="16">
        <f>(W122+Y122+AA122+AC122)</f>
        <v/>
      </c>
      <c r="AF122" s="16" t="n"/>
      <c r="AG122" s="138" t="n"/>
      <c r="AH122" s="16" t="n"/>
      <c r="AI122" s="138" t="n"/>
      <c r="AJ122" s="16" t="n"/>
      <c r="AK122" s="138" t="n"/>
      <c r="AL122" s="16" t="n"/>
      <c r="AM122" s="138" t="n"/>
      <c r="AN122" s="16" t="n"/>
      <c r="AO122" s="138" t="n"/>
      <c r="AP122" s="16" t="n"/>
      <c r="AQ122" s="138" t="n"/>
      <c r="AR122" s="16" t="n"/>
      <c r="AS122" s="138" t="n"/>
      <c r="AT122" s="16" t="n"/>
      <c r="AU122" s="138" t="n"/>
      <c r="AV122" s="16" t="n"/>
      <c r="AW122" s="138" t="n"/>
      <c r="AX122" s="16" t="n"/>
      <c r="AY122" s="138" t="n"/>
      <c r="AZ122" s="16">
        <f>AF122+AH122+AJ122+AL122+AN122+AP122+AR122+AT122+AV122+AX122</f>
        <v/>
      </c>
      <c r="BA122" s="16" t="n"/>
      <c r="BB122" s="139" t="n"/>
      <c r="BC122" s="16" t="n"/>
      <c r="BD122" s="139" t="n"/>
      <c r="BE122" s="16">
        <f>(BA122+BC122)</f>
        <v/>
      </c>
    </row>
    <row r="123">
      <c r="A123" s="9" t="n"/>
      <c r="B123" s="141" t="inlineStr">
        <is>
          <t>ABS 난연</t>
        </is>
      </c>
      <c r="C123" s="137" t="inlineStr">
        <is>
          <t>DX3000</t>
        </is>
      </c>
      <c r="D123" s="62" t="inlineStr">
        <is>
          <t>POWER BUTTON</t>
        </is>
      </c>
      <c r="E123" s="36" t="inlineStr">
        <is>
          <t>ABS 난연 화이트 + 밝은 회색</t>
        </is>
      </c>
      <c r="F123" s="100" t="n"/>
      <c r="G123" s="22" t="n"/>
      <c r="H123" s="22" t="inlineStr">
        <is>
          <t>천우</t>
        </is>
      </c>
      <c r="I123" s="14" t="n"/>
      <c r="J123" s="14" t="n"/>
      <c r="K123" s="12" t="n">
        <v>60</v>
      </c>
      <c r="L123" s="9" t="n"/>
      <c r="M123" s="9" t="n"/>
      <c r="N123" s="9" t="n"/>
      <c r="O123" s="40">
        <f>K123+V123-AE123-AZ123</f>
        <v/>
      </c>
      <c r="P123" s="12" t="n"/>
      <c r="Q123" s="138" t="n"/>
      <c r="R123" s="16" t="n"/>
      <c r="S123" s="139" t="n"/>
      <c r="T123" s="16" t="n"/>
      <c r="U123" s="139" t="n"/>
      <c r="V123" s="16">
        <f>P123+R123+T123</f>
        <v/>
      </c>
      <c r="W123" s="16" t="n"/>
      <c r="X123" s="139" t="n"/>
      <c r="Y123" s="16" t="n"/>
      <c r="Z123" s="139" t="n"/>
      <c r="AA123" s="16" t="n"/>
      <c r="AB123" s="139" t="n"/>
      <c r="AC123" s="16" t="n"/>
      <c r="AD123" s="139" t="n"/>
      <c r="AE123" s="16">
        <f>(W123+Y123+AA123+AC123)</f>
        <v/>
      </c>
      <c r="AF123" s="16" t="n"/>
      <c r="AG123" s="138" t="n"/>
      <c r="AH123" s="16" t="n"/>
      <c r="AI123" s="138" t="n"/>
      <c r="AJ123" s="16" t="n"/>
      <c r="AK123" s="138" t="n"/>
      <c r="AL123" s="16" t="n"/>
      <c r="AM123" s="138" t="n"/>
      <c r="AN123" s="16" t="n"/>
      <c r="AO123" s="138" t="n"/>
      <c r="AP123" s="16" t="n"/>
      <c r="AQ123" s="138" t="n"/>
      <c r="AR123" s="16" t="n"/>
      <c r="AS123" s="138" t="n"/>
      <c r="AT123" s="16" t="n"/>
      <c r="AU123" s="138" t="n"/>
      <c r="AV123" s="16" t="n"/>
      <c r="AW123" s="138" t="n"/>
      <c r="AX123" s="16" t="n"/>
      <c r="AY123" s="138" t="n"/>
      <c r="AZ123" s="16">
        <f>AF123+AH123+AJ123+AL123+AN123+AP123+AR123+AT123+AV123+AX123</f>
        <v/>
      </c>
      <c r="BA123" s="16" t="n"/>
      <c r="BB123" s="139" t="n"/>
      <c r="BC123" s="16" t="n"/>
      <c r="BD123" s="139" t="n"/>
      <c r="BE123" s="16">
        <f>(BA123+BC123)</f>
        <v/>
      </c>
    </row>
    <row r="124">
      <c r="A124" s="9" t="n"/>
      <c r="B124" s="141" t="inlineStr">
        <is>
          <t>ABS 난연</t>
        </is>
      </c>
      <c r="C124" s="137" t="inlineStr">
        <is>
          <t>DX3000</t>
        </is>
      </c>
      <c r="D124" s="62" t="inlineStr">
        <is>
          <t>EX BUTTON</t>
        </is>
      </c>
      <c r="E124" s="36" t="inlineStr">
        <is>
          <t>ABS 난연 화이트 + 밝은 회색</t>
        </is>
      </c>
      <c r="F124" s="100" t="n"/>
      <c r="G124" s="22" t="n"/>
      <c r="H124" s="22" t="inlineStr">
        <is>
          <t>천우</t>
        </is>
      </c>
      <c r="I124" s="14" t="n"/>
      <c r="J124" s="14" t="n"/>
      <c r="K124" s="12" t="n">
        <v>540</v>
      </c>
      <c r="L124" s="9" t="n"/>
      <c r="M124" s="9" t="n"/>
      <c r="N124" s="9" t="n"/>
      <c r="O124" s="40">
        <f>K124+V124-AE124-AZ124</f>
        <v/>
      </c>
      <c r="P124" s="12" t="n"/>
      <c r="Q124" s="138" t="n"/>
      <c r="R124" s="16" t="n"/>
      <c r="S124" s="139" t="n"/>
      <c r="T124" s="16" t="n"/>
      <c r="U124" s="139" t="n"/>
      <c r="V124" s="16">
        <f>P124+R124+T124</f>
        <v/>
      </c>
      <c r="W124" s="16" t="n"/>
      <c r="X124" s="139" t="n"/>
      <c r="Y124" s="16" t="n"/>
      <c r="Z124" s="139" t="n"/>
      <c r="AA124" s="16" t="n"/>
      <c r="AB124" s="139" t="n"/>
      <c r="AC124" s="16" t="n"/>
      <c r="AD124" s="139" t="n"/>
      <c r="AE124" s="16">
        <f>(W124+Y124+AA124+AC124)</f>
        <v/>
      </c>
      <c r="AF124" s="16" t="n"/>
      <c r="AG124" s="138" t="n"/>
      <c r="AH124" s="16" t="n"/>
      <c r="AI124" s="138" t="n"/>
      <c r="AJ124" s="16" t="n"/>
      <c r="AK124" s="138" t="n"/>
      <c r="AL124" s="16" t="n"/>
      <c r="AM124" s="138" t="n"/>
      <c r="AN124" s="16" t="n"/>
      <c r="AO124" s="138" t="n"/>
      <c r="AP124" s="16" t="n"/>
      <c r="AQ124" s="138" t="n"/>
      <c r="AR124" s="16" t="n"/>
      <c r="AS124" s="138" t="n"/>
      <c r="AT124" s="16" t="n"/>
      <c r="AU124" s="138" t="n"/>
      <c r="AV124" s="16" t="n"/>
      <c r="AW124" s="138" t="n"/>
      <c r="AX124" s="16" t="n"/>
      <c r="AY124" s="138" t="n"/>
      <c r="AZ124" s="16">
        <f>AF124+AH124+AJ124+AL124+AN124+AP124+AR124+AT124+AV124+AX124</f>
        <v/>
      </c>
      <c r="BA124" s="16" t="n"/>
      <c r="BB124" s="139" t="n"/>
      <c r="BC124" s="16" t="n"/>
      <c r="BD124" s="139" t="n"/>
      <c r="BE124" s="16">
        <f>(BA124+BC124)</f>
        <v/>
      </c>
    </row>
    <row r="125">
      <c r="A125" s="9" t="n"/>
      <c r="B125" s="141" t="inlineStr">
        <is>
          <t>ABS 난연</t>
        </is>
      </c>
      <c r="C125" s="137" t="inlineStr">
        <is>
          <t>DX3000</t>
        </is>
      </c>
      <c r="D125" s="62" t="inlineStr">
        <is>
          <t>NAVI KEY</t>
        </is>
      </c>
      <c r="E125" s="36" t="inlineStr">
        <is>
          <t>ABS 난연 화이트 + 밝은 회색</t>
        </is>
      </c>
      <c r="F125" s="100" t="n"/>
      <c r="G125" s="22" t="n"/>
      <c r="H125" s="22" t="inlineStr">
        <is>
          <t>천우</t>
        </is>
      </c>
      <c r="I125" s="14" t="n"/>
      <c r="J125" s="14" t="n"/>
      <c r="K125" s="12" t="n">
        <v>94</v>
      </c>
      <c r="L125" s="9" t="n"/>
      <c r="M125" s="9" t="n"/>
      <c r="N125" s="9" t="n"/>
      <c r="O125" s="40">
        <f>K125+V125-AE125-AZ125</f>
        <v/>
      </c>
      <c r="P125" s="12" t="n"/>
      <c r="Q125" s="138" t="n"/>
      <c r="R125" s="16" t="n"/>
      <c r="S125" s="139" t="n"/>
      <c r="T125" s="16" t="n"/>
      <c r="U125" s="139" t="n"/>
      <c r="V125" s="16">
        <f>P125+R125+T125</f>
        <v/>
      </c>
      <c r="W125" s="16" t="n"/>
      <c r="X125" s="139" t="n"/>
      <c r="Y125" s="16" t="n"/>
      <c r="Z125" s="139" t="n"/>
      <c r="AA125" s="16" t="n"/>
      <c r="AB125" s="139" t="n"/>
      <c r="AC125" s="16" t="n"/>
      <c r="AD125" s="139" t="n"/>
      <c r="AE125" s="16">
        <f>(W125+Y125+AA125+AC125)</f>
        <v/>
      </c>
      <c r="AF125" s="16" t="n"/>
      <c r="AG125" s="138" t="n"/>
      <c r="AH125" s="16" t="n"/>
      <c r="AI125" s="138" t="n"/>
      <c r="AJ125" s="16" t="n"/>
      <c r="AK125" s="138" t="n"/>
      <c r="AL125" s="16" t="n"/>
      <c r="AM125" s="138" t="n"/>
      <c r="AN125" s="16" t="n"/>
      <c r="AO125" s="138" t="n"/>
      <c r="AP125" s="16" t="n"/>
      <c r="AQ125" s="138" t="n"/>
      <c r="AR125" s="16" t="n"/>
      <c r="AS125" s="138" t="n"/>
      <c r="AT125" s="16" t="n"/>
      <c r="AU125" s="138" t="n"/>
      <c r="AV125" s="16" t="n"/>
      <c r="AW125" s="138" t="n"/>
      <c r="AX125" s="16" t="n"/>
      <c r="AY125" s="138" t="n"/>
      <c r="AZ125" s="16">
        <f>AF125+AH125+AJ125+AL125+AN125+AP125+AR125+AT125+AV125+AX125</f>
        <v/>
      </c>
      <c r="BA125" s="16" t="n"/>
      <c r="BB125" s="139" t="n"/>
      <c r="BC125" s="16" t="n"/>
      <c r="BD125" s="139" t="n"/>
      <c r="BE125" s="16">
        <f>(BA125+BC125)</f>
        <v/>
      </c>
    </row>
    <row r="126">
      <c r="A126" s="9" t="n"/>
      <c r="B126" s="141" t="inlineStr">
        <is>
          <t>ABS 난연</t>
        </is>
      </c>
      <c r="C126" s="137" t="inlineStr">
        <is>
          <t>DX3000</t>
        </is>
      </c>
      <c r="D126" s="62" t="inlineStr">
        <is>
          <t>DECO GUIDE</t>
        </is>
      </c>
      <c r="E126" s="36" t="inlineStr">
        <is>
          <t>ABS 난연 화이트 + 진한 회색</t>
        </is>
      </c>
      <c r="F126" s="100" t="n"/>
      <c r="G126" s="22" t="n"/>
      <c r="H126" s="22" t="inlineStr">
        <is>
          <t>천우</t>
        </is>
      </c>
      <c r="I126" s="14" t="n"/>
      <c r="J126" s="14" t="n"/>
      <c r="K126" s="12" t="n">
        <v>759</v>
      </c>
      <c r="L126" s="9" t="n"/>
      <c r="M126" s="9" t="n"/>
      <c r="N126" s="9" t="n"/>
      <c r="O126" s="40">
        <f>K126+V126-AE126-AZ126</f>
        <v/>
      </c>
      <c r="P126" s="12" t="n"/>
      <c r="Q126" s="138" t="n"/>
      <c r="R126" s="16" t="n"/>
      <c r="S126" s="139" t="n"/>
      <c r="T126" s="16" t="n"/>
      <c r="U126" s="139" t="n"/>
      <c r="V126" s="16">
        <f>P126+R126+T126</f>
        <v/>
      </c>
      <c r="W126" s="16" t="n"/>
      <c r="X126" s="139" t="n"/>
      <c r="Y126" s="16" t="n"/>
      <c r="Z126" s="139" t="n"/>
      <c r="AA126" s="16" t="n"/>
      <c r="AB126" s="139" t="n"/>
      <c r="AC126" s="16" t="n"/>
      <c r="AD126" s="139" t="n"/>
      <c r="AE126" s="16">
        <f>(W126+Y126+AA126+AC126)</f>
        <v/>
      </c>
      <c r="AF126" s="16" t="n"/>
      <c r="AG126" s="138" t="n"/>
      <c r="AH126" s="16" t="n"/>
      <c r="AI126" s="138" t="n"/>
      <c r="AJ126" s="16" t="n"/>
      <c r="AK126" s="138" t="n"/>
      <c r="AL126" s="16" t="n"/>
      <c r="AM126" s="138" t="n"/>
      <c r="AN126" s="16" t="n"/>
      <c r="AO126" s="138" t="n"/>
      <c r="AP126" s="16" t="n"/>
      <c r="AQ126" s="138" t="n"/>
      <c r="AR126" s="16" t="n"/>
      <c r="AS126" s="138" t="n"/>
      <c r="AT126" s="16" t="n"/>
      <c r="AU126" s="138" t="n"/>
      <c r="AV126" s="16" t="n"/>
      <c r="AW126" s="138" t="n"/>
      <c r="AX126" s="16" t="n"/>
      <c r="AY126" s="138" t="n"/>
      <c r="AZ126" s="16">
        <f>AF126+AH126+AJ126+AL126+AN126+AP126+AR126+AT126+AV126+AX126</f>
        <v/>
      </c>
      <c r="BA126" s="16" t="n"/>
      <c r="BB126" s="139" t="n"/>
      <c r="BC126" s="16" t="n"/>
      <c r="BD126" s="139" t="n"/>
      <c r="BE126" s="16">
        <f>(BA126+BC126)</f>
        <v/>
      </c>
    </row>
    <row r="127">
      <c r="A127" s="9" t="n"/>
      <c r="B127" s="141" t="inlineStr">
        <is>
          <t>ABS 난연</t>
        </is>
      </c>
      <c r="C127" s="137" t="inlineStr">
        <is>
          <t>DX3000</t>
        </is>
      </c>
      <c r="D127" s="62" t="inlineStr">
        <is>
          <t>20cm CONE</t>
        </is>
      </c>
      <c r="E127" s="36" t="inlineStr">
        <is>
          <t>ABS 난연 블랙 + 블랙 무광</t>
        </is>
      </c>
      <c r="F127" s="100" t="n"/>
      <c r="G127" s="22" t="n"/>
      <c r="H127" s="22" t="inlineStr">
        <is>
          <t>천우</t>
        </is>
      </c>
      <c r="I127" s="14" t="n"/>
      <c r="J127" s="14" t="n"/>
      <c r="K127" s="12" t="n">
        <v>0</v>
      </c>
      <c r="L127" s="9" t="n"/>
      <c r="M127" s="9" t="n"/>
      <c r="N127" s="9" t="n"/>
      <c r="O127" s="40">
        <f>K127+V127-AE127-AZ127</f>
        <v/>
      </c>
      <c r="P127" s="12" t="n"/>
      <c r="Q127" s="138" t="n"/>
      <c r="R127" s="16" t="n"/>
      <c r="S127" s="139" t="n"/>
      <c r="T127" s="16" t="n"/>
      <c r="U127" s="139" t="n"/>
      <c r="V127" s="16">
        <f>P127+R127+T127</f>
        <v/>
      </c>
      <c r="W127" s="16" t="n"/>
      <c r="X127" s="139" t="n"/>
      <c r="Y127" s="16" t="n"/>
      <c r="Z127" s="139" t="n"/>
      <c r="AA127" s="16" t="n"/>
      <c r="AB127" s="139" t="n"/>
      <c r="AC127" s="16" t="n"/>
      <c r="AD127" s="139" t="n"/>
      <c r="AE127" s="16">
        <f>(W127+Y127+AA127+AC127)</f>
        <v/>
      </c>
      <c r="AF127" s="16" t="n"/>
      <c r="AG127" s="138" t="n"/>
      <c r="AH127" s="16" t="n"/>
      <c r="AI127" s="138" t="n"/>
      <c r="AJ127" s="16" t="n"/>
      <c r="AK127" s="138" t="n"/>
      <c r="AL127" s="16" t="n"/>
      <c r="AM127" s="138" t="n"/>
      <c r="AN127" s="16" t="n"/>
      <c r="AO127" s="138" t="n"/>
      <c r="AP127" s="16" t="n"/>
      <c r="AQ127" s="138" t="n"/>
      <c r="AR127" s="16" t="n"/>
      <c r="AS127" s="138" t="n"/>
      <c r="AT127" s="16" t="n"/>
      <c r="AU127" s="138" t="n"/>
      <c r="AV127" s="16" t="n"/>
      <c r="AW127" s="138" t="n"/>
      <c r="AX127" s="16" t="n"/>
      <c r="AY127" s="138" t="n"/>
      <c r="AZ127" s="16">
        <f>AF127+AH127+AJ127+AL127+AN127+AP127+AR127+AT127+AV127+AX127</f>
        <v/>
      </c>
      <c r="BA127" s="16" t="n"/>
      <c r="BB127" s="139" t="n"/>
      <c r="BC127" s="16" t="n"/>
      <c r="BD127" s="139" t="n"/>
      <c r="BE127" s="16">
        <f>(BA127+BC127)</f>
        <v/>
      </c>
    </row>
    <row r="128">
      <c r="A128" s="9" t="n"/>
      <c r="B128" s="141" t="inlineStr">
        <is>
          <t>ABS 난연</t>
        </is>
      </c>
      <c r="C128" s="137" t="inlineStr">
        <is>
          <t>DX3000</t>
        </is>
      </c>
      <c r="D128" s="62" t="inlineStr">
        <is>
          <t>20cm CONE</t>
        </is>
      </c>
      <c r="E128" s="36" t="inlineStr">
        <is>
          <t>ABS 난연 화이트</t>
        </is>
      </c>
      <c r="F128" s="100" t="n"/>
      <c r="G128" s="22" t="n"/>
      <c r="H128" s="22" t="inlineStr">
        <is>
          <t>천우</t>
        </is>
      </c>
      <c r="I128" s="14" t="n"/>
      <c r="J128" s="14" t="n"/>
      <c r="K128" s="12" t="n">
        <v>592</v>
      </c>
      <c r="L128" s="9" t="n"/>
      <c r="M128" s="9" t="n"/>
      <c r="N128" s="9" t="n"/>
      <c r="O128" s="40">
        <f>K128+V128-AE128-AZ128</f>
        <v/>
      </c>
      <c r="P128" s="12" t="n"/>
      <c r="Q128" s="138" t="n"/>
      <c r="R128" s="16" t="n"/>
      <c r="S128" s="139" t="n"/>
      <c r="T128" s="16" t="n"/>
      <c r="U128" s="139" t="n"/>
      <c r="V128" s="16">
        <f>P128+R128+T128</f>
        <v/>
      </c>
      <c r="W128" s="16" t="n"/>
      <c r="X128" s="139" t="n"/>
      <c r="Y128" s="16" t="n"/>
      <c r="Z128" s="139" t="n"/>
      <c r="AA128" s="16" t="n"/>
      <c r="AB128" s="139" t="n"/>
      <c r="AC128" s="16" t="n"/>
      <c r="AD128" s="139" t="n"/>
      <c r="AE128" s="16">
        <f>(W128+Y128+AA128+AC128)</f>
        <v/>
      </c>
      <c r="AF128" s="16" t="n"/>
      <c r="AG128" s="138" t="n"/>
      <c r="AH128" s="16" t="n"/>
      <c r="AI128" s="138" t="n"/>
      <c r="AJ128" s="16" t="n"/>
      <c r="AK128" s="138" t="n"/>
      <c r="AL128" s="16" t="n"/>
      <c r="AM128" s="138" t="n"/>
      <c r="AN128" s="16" t="n"/>
      <c r="AO128" s="138" t="n"/>
      <c r="AP128" s="16" t="n"/>
      <c r="AQ128" s="138" t="n"/>
      <c r="AR128" s="16" t="n"/>
      <c r="AS128" s="138" t="n"/>
      <c r="AT128" s="16" t="n"/>
      <c r="AU128" s="138" t="n"/>
      <c r="AV128" s="16" t="n"/>
      <c r="AW128" s="138" t="n"/>
      <c r="AX128" s="16" t="n"/>
      <c r="AY128" s="138" t="n"/>
      <c r="AZ128" s="16">
        <f>AF128+AH128+AJ128+AL128+AN128+AP128+AR128+AT128+AV128+AX128</f>
        <v/>
      </c>
      <c r="BA128" s="16" t="n"/>
      <c r="BB128" s="139" t="n"/>
      <c r="BC128" s="16" t="n"/>
      <c r="BD128" s="139" t="n"/>
      <c r="BE128" s="16">
        <f>(BA128+BC128)</f>
        <v/>
      </c>
    </row>
    <row r="129">
      <c r="A129" s="9" t="n"/>
      <c r="B129" s="141" t="inlineStr">
        <is>
          <t>ABS 난연</t>
        </is>
      </c>
      <c r="C129" s="137" t="inlineStr">
        <is>
          <t>DX3000</t>
        </is>
      </c>
      <c r="D129" s="62" t="inlineStr">
        <is>
          <t>15cm CONE</t>
        </is>
      </c>
      <c r="E129" s="36" t="inlineStr">
        <is>
          <t>ABS 난연 화이트</t>
        </is>
      </c>
      <c r="F129" s="100" t="n"/>
      <c r="G129" s="22" t="n"/>
      <c r="H129" s="22" t="inlineStr">
        <is>
          <t>천우</t>
        </is>
      </c>
      <c r="I129" s="14" t="n"/>
      <c r="J129" s="14" t="n"/>
      <c r="K129" s="12" t="n">
        <v>129</v>
      </c>
      <c r="L129" s="9" t="n"/>
      <c r="M129" s="9" t="n"/>
      <c r="N129" s="9" t="n"/>
      <c r="O129" s="40">
        <f>K129+V129-AE129-AZ129</f>
        <v/>
      </c>
      <c r="P129" s="12" t="n"/>
      <c r="Q129" s="138" t="n"/>
      <c r="R129" s="16" t="n"/>
      <c r="S129" s="139" t="n"/>
      <c r="T129" s="16" t="n"/>
      <c r="U129" s="139" t="n"/>
      <c r="V129" s="16">
        <f>P129+R129+T129</f>
        <v/>
      </c>
      <c r="W129" s="16" t="n"/>
      <c r="X129" s="139" t="n"/>
      <c r="Y129" s="16" t="n"/>
      <c r="Z129" s="139" t="n"/>
      <c r="AA129" s="16" t="n"/>
      <c r="AB129" s="139" t="n"/>
      <c r="AC129" s="16" t="n"/>
      <c r="AD129" s="139" t="n"/>
      <c r="AE129" s="16">
        <f>(W129+Y129+AA129+AC129)</f>
        <v/>
      </c>
      <c r="AF129" s="16" t="n"/>
      <c r="AG129" s="138" t="n"/>
      <c r="AH129" s="16" t="n"/>
      <c r="AI129" s="138" t="n"/>
      <c r="AJ129" s="16" t="n"/>
      <c r="AK129" s="138" t="n"/>
      <c r="AL129" s="16" t="n"/>
      <c r="AM129" s="138" t="n"/>
      <c r="AN129" s="16" t="n"/>
      <c r="AO129" s="138" t="n"/>
      <c r="AP129" s="16" t="n"/>
      <c r="AQ129" s="138" t="n"/>
      <c r="AR129" s="16" t="n"/>
      <c r="AS129" s="138" t="n"/>
      <c r="AT129" s="16" t="n"/>
      <c r="AU129" s="138" t="n"/>
      <c r="AV129" s="16" t="n"/>
      <c r="AW129" s="138" t="n"/>
      <c r="AX129" s="16" t="n"/>
      <c r="AY129" s="138" t="n"/>
      <c r="AZ129" s="16">
        <f>AF129+AH129+AJ129+AL129+AN129+AP129+AR129+AT129+AV129+AX129</f>
        <v/>
      </c>
      <c r="BA129" s="16" t="n"/>
      <c r="BB129" s="139" t="n"/>
      <c r="BC129" s="16" t="n"/>
      <c r="BD129" s="139" t="n"/>
      <c r="BE129" s="16">
        <f>(BA129+BC129)</f>
        <v/>
      </c>
    </row>
    <row r="130">
      <c r="A130" s="9" t="n"/>
      <c r="B130" s="141" t="inlineStr">
        <is>
          <t>ABS 난연</t>
        </is>
      </c>
      <c r="C130" s="137" t="inlineStr">
        <is>
          <t>DX3000</t>
        </is>
      </c>
      <c r="D130" s="62" t="inlineStr">
        <is>
          <t>X-CAP (기본)</t>
        </is>
      </c>
      <c r="E130" s="36" t="inlineStr">
        <is>
          <t>ABS 화이트 + 진한 회색</t>
        </is>
      </c>
      <c r="F130" s="100" t="n"/>
      <c r="G130" s="22" t="n"/>
      <c r="H130" s="22" t="inlineStr">
        <is>
          <t>천우</t>
        </is>
      </c>
      <c r="I130" s="14" t="n"/>
      <c r="J130" s="14" t="n"/>
      <c r="K130" s="12" t="n">
        <v>214</v>
      </c>
      <c r="L130" s="9" t="n"/>
      <c r="M130" s="9" t="n"/>
      <c r="N130" s="9" t="n"/>
      <c r="O130" s="40">
        <f>K130+V130-AE130-AZ130</f>
        <v/>
      </c>
      <c r="P130" s="12" t="n"/>
      <c r="Q130" s="138" t="n"/>
      <c r="R130" s="16" t="n"/>
      <c r="S130" s="139" t="n"/>
      <c r="T130" s="16" t="n"/>
      <c r="U130" s="139" t="n"/>
      <c r="V130" s="16">
        <f>P130+R130+T130</f>
        <v/>
      </c>
      <c r="W130" s="16" t="n"/>
      <c r="X130" s="139" t="n"/>
      <c r="Y130" s="16" t="n"/>
      <c r="Z130" s="139" t="n"/>
      <c r="AA130" s="16" t="n"/>
      <c r="AB130" s="139" t="n"/>
      <c r="AC130" s="16" t="n"/>
      <c r="AD130" s="139" t="n"/>
      <c r="AE130" s="16">
        <f>(W130+Y130+AA130+AC130)</f>
        <v/>
      </c>
      <c r="AF130" s="16" t="n"/>
      <c r="AG130" s="138" t="n"/>
      <c r="AH130" s="16" t="n"/>
      <c r="AI130" s="138" t="n"/>
      <c r="AJ130" s="16" t="n"/>
      <c r="AK130" s="138" t="n"/>
      <c r="AL130" s="16" t="n"/>
      <c r="AM130" s="138" t="n"/>
      <c r="AN130" s="16" t="n"/>
      <c r="AO130" s="138" t="n"/>
      <c r="AP130" s="16" t="n"/>
      <c r="AQ130" s="138" t="n"/>
      <c r="AR130" s="16" t="n"/>
      <c r="AS130" s="138" t="n"/>
      <c r="AT130" s="16" t="n"/>
      <c r="AU130" s="138" t="n"/>
      <c r="AV130" s="16" t="n"/>
      <c r="AW130" s="138" t="n"/>
      <c r="AX130" s="16" t="n"/>
      <c r="AY130" s="138" t="n"/>
      <c r="AZ130" s="16">
        <f>AF130+AH130+AJ130+AL130+AN130+AP130+AR130+AT130+AV130+AX130</f>
        <v/>
      </c>
      <c r="BA130" s="16" t="n"/>
      <c r="BB130" s="139" t="n"/>
      <c r="BC130" s="16" t="n"/>
      <c r="BD130" s="139" t="n"/>
      <c r="BE130" s="16">
        <f>(BA130+BC130)</f>
        <v/>
      </c>
    </row>
    <row r="131">
      <c r="A131" s="9" t="n"/>
      <c r="B131" s="141" t="inlineStr">
        <is>
          <t>ABS 난연</t>
        </is>
      </c>
      <c r="C131" s="137" t="inlineStr">
        <is>
          <t>DX3000</t>
        </is>
      </c>
      <c r="D131" s="62" t="inlineStr">
        <is>
          <t>X-CAP 체결형 (신형)</t>
        </is>
      </c>
      <c r="E131" s="36" t="inlineStr">
        <is>
          <t>ABS 난연 화이트 + 진한 회색</t>
        </is>
      </c>
      <c r="F131" s="100" t="n"/>
      <c r="G131" s="22" t="n"/>
      <c r="H131" s="22" t="inlineStr">
        <is>
          <t>천우</t>
        </is>
      </c>
      <c r="I131" s="14" t="n"/>
      <c r="J131" s="14" t="n"/>
      <c r="K131" s="12" t="n">
        <v>484</v>
      </c>
      <c r="L131" s="9" t="n"/>
      <c r="M131" s="9" t="n"/>
      <c r="N131" s="9" t="n"/>
      <c r="O131" s="40">
        <f>K131+V131-AE131-AZ131</f>
        <v/>
      </c>
      <c r="P131" s="12" t="n"/>
      <c r="Q131" s="138" t="n"/>
      <c r="R131" s="16" t="n"/>
      <c r="S131" s="139" t="n"/>
      <c r="T131" s="16" t="n"/>
      <c r="U131" s="139" t="n"/>
      <c r="V131" s="16">
        <f>P131+R131+T131</f>
        <v/>
      </c>
      <c r="W131" s="16" t="n"/>
      <c r="X131" s="139" t="n"/>
      <c r="Y131" s="16" t="n"/>
      <c r="Z131" s="139" t="n"/>
      <c r="AA131" s="16" t="n"/>
      <c r="AB131" s="139" t="n"/>
      <c r="AC131" s="16" t="n"/>
      <c r="AD131" s="139" t="n"/>
      <c r="AE131" s="16">
        <f>(W131+Y131+AA131+AC131)</f>
        <v/>
      </c>
      <c r="AF131" s="16" t="n"/>
      <c r="AG131" s="138" t="n"/>
      <c r="AH131" s="16" t="n"/>
      <c r="AI131" s="138" t="n"/>
      <c r="AJ131" s="16" t="n"/>
      <c r="AK131" s="138" t="n"/>
      <c r="AL131" s="16" t="n"/>
      <c r="AM131" s="138" t="n"/>
      <c r="AN131" s="16" t="n"/>
      <c r="AO131" s="138" t="n"/>
      <c r="AP131" s="16" t="n"/>
      <c r="AQ131" s="138" t="n"/>
      <c r="AR131" s="16" t="n"/>
      <c r="AS131" s="138" t="n"/>
      <c r="AT131" s="16" t="n"/>
      <c r="AU131" s="138" t="n"/>
      <c r="AV131" s="16" t="n"/>
      <c r="AW131" s="138" t="n"/>
      <c r="AX131" s="16" t="n"/>
      <c r="AY131" s="138" t="n"/>
      <c r="AZ131" s="16">
        <f>AF131+AH131+AJ131+AL131+AN131+AP131+AR131+AT131+AV131+AX131</f>
        <v/>
      </c>
      <c r="BA131" s="16" t="n"/>
      <c r="BB131" s="139" t="n"/>
      <c r="BC131" s="16" t="n"/>
      <c r="BD131" s="139" t="n"/>
      <c r="BE131" s="16">
        <f>(BA131+BC131)</f>
        <v/>
      </c>
    </row>
    <row r="132">
      <c r="A132" s="9" t="n"/>
      <c r="B132" s="141" t="inlineStr">
        <is>
          <t>ABS 난연</t>
        </is>
      </c>
      <c r="C132" s="137" t="inlineStr">
        <is>
          <t>DX3000</t>
        </is>
      </c>
      <c r="D132" s="62" t="inlineStr">
        <is>
          <t>X-CAP 체결형 (구형, 일본용)</t>
        </is>
      </c>
      <c r="E132" s="36" t="inlineStr">
        <is>
          <t>ABS 난연 화이트 + 진한 회색</t>
        </is>
      </c>
      <c r="F132" s="100" t="n"/>
      <c r="G132" s="22" t="n"/>
      <c r="H132" s="22" t="inlineStr">
        <is>
          <t>천우</t>
        </is>
      </c>
      <c r="I132" s="14" t="n"/>
      <c r="J132" s="14" t="n"/>
      <c r="K132" s="12" t="n">
        <v>0</v>
      </c>
      <c r="L132" s="9" t="n"/>
      <c r="M132" s="9" t="n"/>
      <c r="N132" s="9" t="n"/>
      <c r="O132" s="40">
        <f>K132+V132-AE132-AZ132</f>
        <v/>
      </c>
      <c r="P132" s="12" t="n"/>
      <c r="Q132" s="138" t="n"/>
      <c r="R132" s="16" t="n"/>
      <c r="S132" s="139" t="n"/>
      <c r="T132" s="16" t="n"/>
      <c r="U132" s="139" t="n"/>
      <c r="V132" s="16">
        <f>P132+R132+T132</f>
        <v/>
      </c>
      <c r="W132" s="16" t="n"/>
      <c r="X132" s="139" t="n"/>
      <c r="Y132" s="16" t="n"/>
      <c r="Z132" s="139" t="n"/>
      <c r="AA132" s="16" t="n"/>
      <c r="AB132" s="139" t="n"/>
      <c r="AC132" s="16" t="n"/>
      <c r="AD132" s="139" t="n"/>
      <c r="AE132" s="16">
        <f>(W132+Y132+AA132+AC132)</f>
        <v/>
      </c>
      <c r="AF132" s="16" t="n"/>
      <c r="AG132" s="138" t="n"/>
      <c r="AH132" s="16" t="n"/>
      <c r="AI132" s="138" t="n"/>
      <c r="AJ132" s="16" t="n"/>
      <c r="AK132" s="138" t="n"/>
      <c r="AL132" s="16" t="n"/>
      <c r="AM132" s="138" t="n"/>
      <c r="AN132" s="16" t="n"/>
      <c r="AO132" s="138" t="n"/>
      <c r="AP132" s="16" t="n"/>
      <c r="AQ132" s="138" t="n"/>
      <c r="AR132" s="16" t="n"/>
      <c r="AS132" s="138" t="n"/>
      <c r="AT132" s="16" t="n"/>
      <c r="AU132" s="138" t="n"/>
      <c r="AV132" s="16" t="n"/>
      <c r="AW132" s="138" t="n"/>
      <c r="AX132" s="16" t="n"/>
      <c r="AY132" s="138" t="n"/>
      <c r="AZ132" s="16">
        <f>AF132+AH132+AJ132+AL132+AN132+AP132+AR132+AT132+AV132+AX132</f>
        <v/>
      </c>
      <c r="BA132" s="16" t="n"/>
      <c r="BB132" s="139" t="n"/>
      <c r="BC132" s="16" t="n"/>
      <c r="BD132" s="139" t="n"/>
      <c r="BE132" s="16">
        <f>(BA132+BC132)</f>
        <v/>
      </c>
    </row>
    <row r="133">
      <c r="A133" s="9" t="n"/>
      <c r="B133" s="141" t="inlineStr">
        <is>
          <t>ABS 난연</t>
        </is>
      </c>
      <c r="C133" s="137" t="inlineStr">
        <is>
          <t>DX3000</t>
        </is>
      </c>
      <c r="D133" s="62" t="inlineStr">
        <is>
          <t>X-CAP 체결형 스프레이 X (구형, 일본용)</t>
        </is>
      </c>
      <c r="E133" s="36" t="inlineStr">
        <is>
          <t>ABS 난연 화이트</t>
        </is>
      </c>
      <c r="F133" s="100" t="n"/>
      <c r="G133" s="22" t="n"/>
      <c r="H133" s="22" t="inlineStr">
        <is>
          <t>천우</t>
        </is>
      </c>
      <c r="I133" s="14" t="n"/>
      <c r="J133" s="14" t="n"/>
      <c r="K133" s="12" t="n">
        <v>0</v>
      </c>
      <c r="L133" s="9" t="n"/>
      <c r="M133" s="9" t="n"/>
      <c r="N133" s="9" t="n"/>
      <c r="O133" s="40">
        <f>K133+V133-AE133-AZ133</f>
        <v/>
      </c>
      <c r="P133" s="12" t="n"/>
      <c r="Q133" s="138" t="n"/>
      <c r="R133" s="16" t="n"/>
      <c r="S133" s="139" t="n"/>
      <c r="T133" s="16" t="n"/>
      <c r="U133" s="139" t="n"/>
      <c r="V133" s="16">
        <f>P133+R133+T133</f>
        <v/>
      </c>
      <c r="W133" s="16" t="n"/>
      <c r="X133" s="139" t="n"/>
      <c r="Y133" s="16" t="n"/>
      <c r="Z133" s="139" t="n"/>
      <c r="AA133" s="16" t="n"/>
      <c r="AB133" s="139" t="n"/>
      <c r="AC133" s="16" t="n"/>
      <c r="AD133" s="139" t="n"/>
      <c r="AE133" s="16">
        <f>(W133+Y133+AA133+AC133)</f>
        <v/>
      </c>
      <c r="AF133" s="16" t="n"/>
      <c r="AG133" s="138" t="n"/>
      <c r="AH133" s="16" t="n"/>
      <c r="AI133" s="138" t="n"/>
      <c r="AJ133" s="16" t="n"/>
      <c r="AK133" s="138" t="n"/>
      <c r="AL133" s="16" t="n"/>
      <c r="AM133" s="138" t="n"/>
      <c r="AN133" s="16" t="n"/>
      <c r="AO133" s="138" t="n"/>
      <c r="AP133" s="16" t="n"/>
      <c r="AQ133" s="138" t="n"/>
      <c r="AR133" s="16" t="n"/>
      <c r="AS133" s="138" t="n"/>
      <c r="AT133" s="16" t="n"/>
      <c r="AU133" s="138" t="n"/>
      <c r="AV133" s="16" t="n"/>
      <c r="AW133" s="138" t="n"/>
      <c r="AX133" s="16" t="n"/>
      <c r="AY133" s="138" t="n"/>
      <c r="AZ133" s="16">
        <f>AF133+AH133+AJ133+AL133+AN133+AP133+AR133+AT133+AV133+AX133</f>
        <v/>
      </c>
      <c r="BA133" s="16" t="n"/>
      <c r="BB133" s="139" t="n"/>
      <c r="BC133" s="16" t="n"/>
      <c r="BD133" s="139" t="n"/>
      <c r="BE133" s="16">
        <f>(BA133+BC133)</f>
        <v/>
      </c>
    </row>
    <row r="134">
      <c r="A134" s="9" t="n"/>
      <c r="B134" s="141" t="inlineStr">
        <is>
          <t>ABS 난연</t>
        </is>
      </c>
      <c r="C134" s="137" t="inlineStr">
        <is>
          <t>DX3000</t>
        </is>
      </c>
      <c r="D134" s="62" t="inlineStr">
        <is>
          <t>CONE 젠더</t>
        </is>
      </c>
      <c r="E134" s="36" t="inlineStr">
        <is>
          <t>ABS 난연 블랙 + 블랙 무광</t>
        </is>
      </c>
      <c r="F134" s="100" t="n"/>
      <c r="G134" s="22" t="n"/>
      <c r="H134" s="22" t="inlineStr">
        <is>
          <t>천우</t>
        </is>
      </c>
      <c r="I134" s="14" t="n"/>
      <c r="J134" s="14" t="n"/>
      <c r="K134" s="12" t="n">
        <v>0</v>
      </c>
      <c r="L134" s="9" t="n"/>
      <c r="M134" s="9" t="n"/>
      <c r="N134" s="9" t="n"/>
      <c r="O134" s="40">
        <f>K134+V134-AE134-AZ134</f>
        <v/>
      </c>
      <c r="P134" s="12" t="n"/>
      <c r="Q134" s="138" t="n"/>
      <c r="R134" s="16" t="n"/>
      <c r="S134" s="139" t="n"/>
      <c r="T134" s="16" t="n"/>
      <c r="U134" s="139" t="n"/>
      <c r="V134" s="16">
        <f>P134+R134+T134</f>
        <v/>
      </c>
      <c r="W134" s="16" t="n"/>
      <c r="X134" s="139" t="n"/>
      <c r="Y134" s="16" t="n"/>
      <c r="Z134" s="139" t="n"/>
      <c r="AA134" s="16" t="n"/>
      <c r="AB134" s="139" t="n"/>
      <c r="AC134" s="16" t="n"/>
      <c r="AD134" s="139" t="n"/>
      <c r="AE134" s="16">
        <f>(W134+Y134+AA134+AC134)</f>
        <v/>
      </c>
      <c r="AF134" s="16" t="n"/>
      <c r="AG134" s="138" t="n"/>
      <c r="AH134" s="16" t="n"/>
      <c r="AI134" s="138" t="n"/>
      <c r="AJ134" s="16" t="n"/>
      <c r="AK134" s="138" t="n"/>
      <c r="AL134" s="16" t="n"/>
      <c r="AM134" s="138" t="n"/>
      <c r="AN134" s="16" t="n"/>
      <c r="AO134" s="138" t="n"/>
      <c r="AP134" s="16" t="n"/>
      <c r="AQ134" s="138" t="n"/>
      <c r="AR134" s="16" t="n"/>
      <c r="AS134" s="138" t="n"/>
      <c r="AT134" s="16" t="n"/>
      <c r="AU134" s="138" t="n"/>
      <c r="AV134" s="16" t="n"/>
      <c r="AW134" s="138" t="n"/>
      <c r="AX134" s="16" t="n"/>
      <c r="AY134" s="138" t="n"/>
      <c r="AZ134" s="16">
        <f>AF134+AH134+AJ134+AL134+AN134+AP134+AR134+AT134+AV134+AX134</f>
        <v/>
      </c>
      <c r="BA134" s="16" t="n"/>
      <c r="BB134" s="139" t="n"/>
      <c r="BC134" s="16" t="n"/>
      <c r="BD134" s="139" t="n"/>
      <c r="BE134" s="16">
        <f>(BA134+BC134)</f>
        <v/>
      </c>
    </row>
    <row r="135">
      <c r="A135" s="9" t="n"/>
      <c r="B135" s="141" t="inlineStr">
        <is>
          <t>ABS 난연</t>
        </is>
      </c>
      <c r="C135" s="137" t="inlineStr">
        <is>
          <t>DX3000</t>
        </is>
      </c>
      <c r="D135" s="62" t="inlineStr">
        <is>
          <t>메디컬용 컬리메타</t>
        </is>
      </c>
      <c r="E135" s="36" t="inlineStr">
        <is>
          <t>ABS 난연 블랙</t>
        </is>
      </c>
      <c r="F135" s="100" t="n"/>
      <c r="G135" s="22" t="n"/>
      <c r="H135" s="22" t="inlineStr">
        <is>
          <t>금오몰드</t>
        </is>
      </c>
      <c r="I135" s="14" t="n"/>
      <c r="J135" s="14" t="n"/>
      <c r="K135" s="12" t="n">
        <v>61</v>
      </c>
      <c r="L135" s="9" t="n"/>
      <c r="M135" s="9" t="n"/>
      <c r="N135" s="9" t="n"/>
      <c r="O135" s="40">
        <f>K135+V135-AE135-AZ135</f>
        <v/>
      </c>
      <c r="P135" s="12" t="n"/>
      <c r="Q135" s="138" t="n"/>
      <c r="R135" s="16" t="n"/>
      <c r="S135" s="139" t="n"/>
      <c r="T135" s="16" t="n"/>
      <c r="U135" s="139" t="n"/>
      <c r="V135" s="16">
        <f>P135+R135+T135</f>
        <v/>
      </c>
      <c r="W135" s="16" t="n"/>
      <c r="X135" s="139" t="n"/>
      <c r="Y135" s="16" t="n"/>
      <c r="Z135" s="139" t="n"/>
      <c r="AA135" s="16" t="n"/>
      <c r="AB135" s="139" t="n"/>
      <c r="AC135" s="16" t="n"/>
      <c r="AD135" s="139" t="n"/>
      <c r="AE135" s="16">
        <f>(W135+Y135+AA135+AC135)</f>
        <v/>
      </c>
      <c r="AF135" s="16" t="n"/>
      <c r="AG135" s="138" t="n"/>
      <c r="AH135" s="16" t="n"/>
      <c r="AI135" s="138" t="n"/>
      <c r="AJ135" s="16" t="n"/>
      <c r="AK135" s="138" t="n"/>
      <c r="AL135" s="16" t="n"/>
      <c r="AM135" s="138" t="n"/>
      <c r="AN135" s="16" t="n"/>
      <c r="AO135" s="138" t="n"/>
      <c r="AP135" s="16" t="n"/>
      <c r="AQ135" s="138" t="n"/>
      <c r="AR135" s="16" t="n"/>
      <c r="AS135" s="138" t="n"/>
      <c r="AT135" s="16" t="n"/>
      <c r="AU135" s="138" t="n"/>
      <c r="AV135" s="16" t="n"/>
      <c r="AW135" s="138" t="n"/>
      <c r="AX135" s="16" t="n"/>
      <c r="AY135" s="138" t="n"/>
      <c r="AZ135" s="16">
        <f>AF135+AH135+AJ135+AL135+AN135+AP135+AR135+AT135+AV135+AX135</f>
        <v/>
      </c>
      <c r="BA135" s="16" t="n"/>
      <c r="BB135" s="139" t="n"/>
      <c r="BC135" s="16" t="n"/>
      <c r="BD135" s="139" t="n"/>
      <c r="BE135" s="16">
        <f>(BA135+BC135)</f>
        <v/>
      </c>
    </row>
    <row r="136">
      <c r="A136" s="9" t="n"/>
      <c r="B136" s="141" t="inlineStr">
        <is>
          <t>ABS 난연</t>
        </is>
      </c>
      <c r="C136" s="137" t="inlineStr">
        <is>
          <t>DX3000</t>
        </is>
      </c>
      <c r="D136" s="62" t="inlineStr">
        <is>
          <t>메디컬용 컬리메타 CAP</t>
        </is>
      </c>
      <c r="E136" s="36" t="inlineStr">
        <is>
          <t>ABS 난연 블랙 + 블랙 무광</t>
        </is>
      </c>
      <c r="F136" s="100" t="n"/>
      <c r="G136" s="22" t="n"/>
      <c r="H136" s="22" t="inlineStr">
        <is>
          <t>금오몰드</t>
        </is>
      </c>
      <c r="I136" s="14" t="n"/>
      <c r="J136" s="14" t="n"/>
      <c r="K136" s="12" t="n">
        <v>106</v>
      </c>
      <c r="L136" s="9" t="n"/>
      <c r="M136" s="9" t="n"/>
      <c r="N136" s="9" t="n"/>
      <c r="O136" s="40">
        <f>K136+V136-AE136-AZ136</f>
        <v/>
      </c>
      <c r="P136" s="12" t="n"/>
      <c r="Q136" s="138" t="n"/>
      <c r="R136" s="16" t="n"/>
      <c r="S136" s="139" t="n"/>
      <c r="T136" s="16" t="n"/>
      <c r="U136" s="139" t="n"/>
      <c r="V136" s="16">
        <f>P136+R136+T136</f>
        <v/>
      </c>
      <c r="W136" s="16" t="n"/>
      <c r="X136" s="139" t="n"/>
      <c r="Y136" s="16" t="n"/>
      <c r="Z136" s="139" t="n"/>
      <c r="AA136" s="16" t="n"/>
      <c r="AB136" s="139" t="n"/>
      <c r="AC136" s="16" t="n"/>
      <c r="AD136" s="139" t="n"/>
      <c r="AE136" s="16">
        <f>(W136+Y136+AA136+AC136)</f>
        <v/>
      </c>
      <c r="AF136" s="16" t="n"/>
      <c r="AG136" s="138" t="n"/>
      <c r="AH136" s="16" t="n"/>
      <c r="AI136" s="138" t="n"/>
      <c r="AJ136" s="16" t="n"/>
      <c r="AK136" s="138" t="n"/>
      <c r="AL136" s="16" t="n"/>
      <c r="AM136" s="138" t="n"/>
      <c r="AN136" s="16" t="n"/>
      <c r="AO136" s="138" t="n"/>
      <c r="AP136" s="16" t="n"/>
      <c r="AQ136" s="138" t="n"/>
      <c r="AR136" s="16" t="n"/>
      <c r="AS136" s="138" t="n"/>
      <c r="AT136" s="16" t="n"/>
      <c r="AU136" s="138" t="n"/>
      <c r="AV136" s="16" t="n"/>
      <c r="AW136" s="138" t="n"/>
      <c r="AX136" s="16" t="n"/>
      <c r="AY136" s="138" t="n"/>
      <c r="AZ136" s="16">
        <f>AF136+AH136+AJ136+AL136+AN136+AP136+AR136+AT136+AV136+AX136</f>
        <v/>
      </c>
      <c r="BA136" s="16" t="n"/>
      <c r="BB136" s="139" t="n"/>
      <c r="BC136" s="16" t="n"/>
      <c r="BD136" s="139" t="n"/>
      <c r="BE136" s="16">
        <f>(BA136+BC136)</f>
        <v/>
      </c>
    </row>
    <row r="137">
      <c r="A137" s="9" t="n"/>
      <c r="B137" s="141" t="inlineStr">
        <is>
          <t>아크릴</t>
        </is>
      </c>
      <c r="C137" s="137" t="inlineStr">
        <is>
          <t>DX3000</t>
        </is>
      </c>
      <c r="D137" s="62" t="inlineStr">
        <is>
          <t>LCD WINDOW</t>
        </is>
      </c>
      <c r="E137" s="36" t="inlineStr">
        <is>
          <t>투명 아크릴</t>
        </is>
      </c>
      <c r="F137" s="100" t="n"/>
      <c r="G137" s="22" t="n"/>
      <c r="H137" s="22" t="inlineStr">
        <is>
          <t>천우</t>
        </is>
      </c>
      <c r="I137" s="14" t="n"/>
      <c r="J137" s="14" t="n"/>
      <c r="K137" s="12" t="n">
        <v>280</v>
      </c>
      <c r="L137" s="9" t="n"/>
      <c r="M137" s="9" t="n"/>
      <c r="N137" s="9" t="n"/>
      <c r="O137" s="40">
        <f>K137+V137-AE137-AZ137</f>
        <v/>
      </c>
      <c r="P137" s="12" t="n"/>
      <c r="Q137" s="138" t="n"/>
      <c r="R137" s="16" t="n"/>
      <c r="S137" s="139" t="n"/>
      <c r="T137" s="16" t="n"/>
      <c r="U137" s="139" t="n"/>
      <c r="V137" s="16">
        <f>P137+R137+T137</f>
        <v/>
      </c>
      <c r="W137" s="16" t="n"/>
      <c r="X137" s="139" t="n"/>
      <c r="Y137" s="16" t="n"/>
      <c r="Z137" s="139" t="n"/>
      <c r="AA137" s="16" t="n"/>
      <c r="AB137" s="139" t="n"/>
      <c r="AC137" s="16" t="n"/>
      <c r="AD137" s="139" t="n"/>
      <c r="AE137" s="16">
        <f>(W137+Y137+AA137+AC137)</f>
        <v/>
      </c>
      <c r="AF137" s="16" t="n"/>
      <c r="AG137" s="138" t="n"/>
      <c r="AH137" s="16" t="n"/>
      <c r="AI137" s="138" t="n"/>
      <c r="AJ137" s="16" t="n"/>
      <c r="AK137" s="138" t="n"/>
      <c r="AL137" s="16" t="n"/>
      <c r="AM137" s="138" t="n"/>
      <c r="AN137" s="16" t="n"/>
      <c r="AO137" s="138" t="n"/>
      <c r="AP137" s="16" t="n"/>
      <c r="AQ137" s="138" t="n"/>
      <c r="AR137" s="16" t="n"/>
      <c r="AS137" s="138" t="n"/>
      <c r="AT137" s="16" t="n"/>
      <c r="AU137" s="138" t="n"/>
      <c r="AV137" s="16" t="n"/>
      <c r="AW137" s="138" t="n"/>
      <c r="AX137" s="16" t="n"/>
      <c r="AY137" s="138" t="n"/>
      <c r="AZ137" s="16">
        <f>AF137+AH137+AJ137+AL137+AN137+AP137+AR137+AT137+AV137+AX137</f>
        <v/>
      </c>
      <c r="BA137" s="16" t="n"/>
      <c r="BB137" s="139" t="n"/>
      <c r="BC137" s="16" t="n"/>
      <c r="BD137" s="139" t="n"/>
      <c r="BE137" s="16">
        <f>(BA137+BC137)</f>
        <v/>
      </c>
    </row>
    <row r="138">
      <c r="A138" s="9" t="n"/>
      <c r="B138" s="141" t="inlineStr">
        <is>
          <t>아크릴</t>
        </is>
      </c>
      <c r="C138" s="137" t="inlineStr">
        <is>
          <t>DX3000</t>
        </is>
      </c>
      <c r="D138" s="62" t="inlineStr">
        <is>
          <t>LCD LED</t>
        </is>
      </c>
      <c r="E138" s="36" t="inlineStr">
        <is>
          <t>확산 아크릴</t>
        </is>
      </c>
      <c r="F138" s="100" t="n"/>
      <c r="G138" s="22" t="n"/>
      <c r="H138" s="22" t="inlineStr">
        <is>
          <t>천우</t>
        </is>
      </c>
      <c r="I138" s="14" t="n"/>
      <c r="J138" s="14" t="n"/>
      <c r="K138" s="12" t="n">
        <v>100</v>
      </c>
      <c r="L138" s="9" t="n"/>
      <c r="M138" s="9" t="n"/>
      <c r="N138" s="9" t="n"/>
      <c r="O138" s="40">
        <f>K138+V138-AE138-AZ138</f>
        <v/>
      </c>
      <c r="P138" s="12" t="n"/>
      <c r="Q138" s="138" t="n"/>
      <c r="R138" s="16" t="n"/>
      <c r="S138" s="139" t="n"/>
      <c r="T138" s="16" t="n"/>
      <c r="U138" s="139" t="n"/>
      <c r="V138" s="16">
        <f>P138+R138+T138</f>
        <v/>
      </c>
      <c r="W138" s="16" t="n"/>
      <c r="X138" s="139" t="n"/>
      <c r="Y138" s="16" t="n"/>
      <c r="Z138" s="139" t="n"/>
      <c r="AA138" s="16" t="n"/>
      <c r="AB138" s="139" t="n"/>
      <c r="AC138" s="16" t="n"/>
      <c r="AD138" s="139" t="n"/>
      <c r="AE138" s="16">
        <f>(W138+Y138+AA138+AC138)</f>
        <v/>
      </c>
      <c r="AF138" s="16" t="n"/>
      <c r="AG138" s="138" t="n"/>
      <c r="AH138" s="16" t="n"/>
      <c r="AI138" s="138" t="n"/>
      <c r="AJ138" s="16" t="n"/>
      <c r="AK138" s="138" t="n"/>
      <c r="AL138" s="16" t="n"/>
      <c r="AM138" s="138" t="n"/>
      <c r="AN138" s="16" t="n"/>
      <c r="AO138" s="138" t="n"/>
      <c r="AP138" s="16" t="n"/>
      <c r="AQ138" s="138" t="n"/>
      <c r="AR138" s="16" t="n"/>
      <c r="AS138" s="138" t="n"/>
      <c r="AT138" s="16" t="n"/>
      <c r="AU138" s="138" t="n"/>
      <c r="AV138" s="16" t="n"/>
      <c r="AW138" s="138" t="n"/>
      <c r="AX138" s="16" t="n"/>
      <c r="AY138" s="138" t="n"/>
      <c r="AZ138" s="16">
        <f>AF138+AH138+AJ138+AL138+AN138+AP138+AR138+AT138+AV138+AX138</f>
        <v/>
      </c>
      <c r="BA138" s="16" t="n"/>
      <c r="BB138" s="139" t="n"/>
      <c r="BC138" s="16" t="n"/>
      <c r="BD138" s="139" t="n"/>
      <c r="BE138" s="16">
        <f>(BA138+BC138)</f>
        <v/>
      </c>
    </row>
    <row r="139">
      <c r="A139" s="9" t="n"/>
      <c r="B139" s="141" t="inlineStr">
        <is>
          <t>아크릴</t>
        </is>
      </c>
      <c r="C139" s="137" t="inlineStr">
        <is>
          <t>DX3000</t>
        </is>
      </c>
      <c r="D139" s="62" t="inlineStr">
        <is>
          <t>POWER LED</t>
        </is>
      </c>
      <c r="E139" s="36" t="inlineStr">
        <is>
          <t>확산 아크릴</t>
        </is>
      </c>
      <c r="F139" s="100" t="n"/>
      <c r="G139" s="22" t="n"/>
      <c r="H139" s="22" t="inlineStr">
        <is>
          <t>천우</t>
        </is>
      </c>
      <c r="I139" s="14" t="n"/>
      <c r="J139" s="14" t="n"/>
      <c r="K139" s="12" t="n">
        <v>612</v>
      </c>
      <c r="L139" s="9" t="n"/>
      <c r="M139" s="9" t="n"/>
      <c r="N139" s="9" t="n"/>
      <c r="O139" s="40">
        <f>K139+V139-AE139-AZ139</f>
        <v/>
      </c>
      <c r="P139" s="12" t="n"/>
      <c r="Q139" s="138" t="n"/>
      <c r="R139" s="16" t="n"/>
      <c r="S139" s="139" t="n"/>
      <c r="T139" s="16" t="n"/>
      <c r="U139" s="139" t="n"/>
      <c r="V139" s="16">
        <f>P139+R139+T139</f>
        <v/>
      </c>
      <c r="W139" s="16" t="n"/>
      <c r="X139" s="139" t="n"/>
      <c r="Y139" s="16" t="n"/>
      <c r="Z139" s="139" t="n"/>
      <c r="AA139" s="16" t="n"/>
      <c r="AB139" s="139" t="n"/>
      <c r="AC139" s="16" t="n"/>
      <c r="AD139" s="139" t="n"/>
      <c r="AE139" s="16">
        <f>(W139+Y139+AA139+AC139)</f>
        <v/>
      </c>
      <c r="AF139" s="16" t="n"/>
      <c r="AG139" s="138" t="n"/>
      <c r="AH139" s="16" t="n"/>
      <c r="AI139" s="138" t="n"/>
      <c r="AJ139" s="16" t="n"/>
      <c r="AK139" s="138" t="n"/>
      <c r="AL139" s="16" t="n"/>
      <c r="AM139" s="138" t="n"/>
      <c r="AN139" s="16" t="n"/>
      <c r="AO139" s="138" t="n"/>
      <c r="AP139" s="16" t="n"/>
      <c r="AQ139" s="138" t="n"/>
      <c r="AR139" s="16" t="n"/>
      <c r="AS139" s="138" t="n"/>
      <c r="AT139" s="16" t="n"/>
      <c r="AU139" s="138" t="n"/>
      <c r="AV139" s="16" t="n"/>
      <c r="AW139" s="138" t="n"/>
      <c r="AX139" s="16" t="n"/>
      <c r="AY139" s="138" t="n"/>
      <c r="AZ139" s="16">
        <f>AF139+AH139+AJ139+AL139+AN139+AP139+AR139+AT139+AV139+AX139</f>
        <v/>
      </c>
      <c r="BA139" s="16" t="n"/>
      <c r="BB139" s="139" t="n"/>
      <c r="BC139" s="16" t="n"/>
      <c r="BD139" s="139" t="n"/>
      <c r="BE139" s="16">
        <f>(BA139+BC139)</f>
        <v/>
      </c>
    </row>
    <row r="140">
      <c r="A140" s="9" t="n"/>
      <c r="B140" s="141" t="inlineStr">
        <is>
          <t>아크릴</t>
        </is>
      </c>
      <c r="C140" s="137" t="inlineStr">
        <is>
          <t>DX3000</t>
        </is>
      </c>
      <c r="D140" s="62" t="inlineStr">
        <is>
          <t>EX LED (좌)</t>
        </is>
      </c>
      <c r="E140" s="36" t="inlineStr">
        <is>
          <t>확산 아크릴</t>
        </is>
      </c>
      <c r="F140" s="100" t="n"/>
      <c r="G140" s="22" t="n"/>
      <c r="H140" s="22" t="inlineStr">
        <is>
          <t>천우</t>
        </is>
      </c>
      <c r="I140" s="14" t="n"/>
      <c r="J140" s="14" t="n"/>
      <c r="K140" s="12" t="n">
        <v>300</v>
      </c>
      <c r="L140" s="9" t="n"/>
      <c r="M140" s="9" t="n"/>
      <c r="N140" s="9" t="n"/>
      <c r="O140" s="40">
        <f>K140+V140-AE140-AZ140</f>
        <v/>
      </c>
      <c r="P140" s="12" t="n"/>
      <c r="Q140" s="138" t="n"/>
      <c r="R140" s="16" t="n"/>
      <c r="S140" s="139" t="n"/>
      <c r="T140" s="16" t="n"/>
      <c r="U140" s="139" t="n"/>
      <c r="V140" s="16">
        <f>P140+R140+T140</f>
        <v/>
      </c>
      <c r="W140" s="16" t="n"/>
      <c r="X140" s="139" t="n"/>
      <c r="Y140" s="16" t="n"/>
      <c r="Z140" s="139" t="n"/>
      <c r="AA140" s="16" t="n"/>
      <c r="AB140" s="139" t="n"/>
      <c r="AC140" s="16" t="n"/>
      <c r="AD140" s="139" t="n"/>
      <c r="AE140" s="16">
        <f>(W140+Y140+AA140+AC140)</f>
        <v/>
      </c>
      <c r="AF140" s="16" t="n"/>
      <c r="AG140" s="138" t="n"/>
      <c r="AH140" s="16" t="n"/>
      <c r="AI140" s="138" t="n"/>
      <c r="AJ140" s="16" t="n"/>
      <c r="AK140" s="138" t="n"/>
      <c r="AL140" s="16" t="n"/>
      <c r="AM140" s="138" t="n"/>
      <c r="AN140" s="16" t="n"/>
      <c r="AO140" s="138" t="n"/>
      <c r="AP140" s="16" t="n"/>
      <c r="AQ140" s="138" t="n"/>
      <c r="AR140" s="16" t="n"/>
      <c r="AS140" s="138" t="n"/>
      <c r="AT140" s="16" t="n"/>
      <c r="AU140" s="138" t="n"/>
      <c r="AV140" s="16" t="n"/>
      <c r="AW140" s="138" t="n"/>
      <c r="AX140" s="16" t="n"/>
      <c r="AY140" s="138" t="n"/>
      <c r="AZ140" s="16">
        <f>AF140+AH140+AJ140+AL140+AN140+AP140+AR140+AT140+AV140+AX140</f>
        <v/>
      </c>
      <c r="BA140" s="16" t="n"/>
      <c r="BB140" s="139" t="n"/>
      <c r="BC140" s="16" t="n"/>
      <c r="BD140" s="139" t="n"/>
      <c r="BE140" s="16">
        <f>(BA140+BC140)</f>
        <v/>
      </c>
    </row>
    <row r="141">
      <c r="A141" s="9" t="n"/>
      <c r="B141" s="141" t="inlineStr">
        <is>
          <t>아크릴</t>
        </is>
      </c>
      <c r="C141" s="137" t="inlineStr">
        <is>
          <t>DX3000</t>
        </is>
      </c>
      <c r="D141" s="62" t="inlineStr">
        <is>
          <t>EX LED (우)</t>
        </is>
      </c>
      <c r="E141" s="36" t="inlineStr">
        <is>
          <t>확산 아크릴</t>
        </is>
      </c>
      <c r="F141" s="100" t="n"/>
      <c r="G141" s="22" t="n"/>
      <c r="H141" s="22" t="inlineStr">
        <is>
          <t>천우</t>
        </is>
      </c>
      <c r="I141" s="14" t="n"/>
      <c r="J141" s="14" t="n"/>
      <c r="K141" s="12" t="n">
        <v>300</v>
      </c>
      <c r="L141" s="9" t="n"/>
      <c r="M141" s="9" t="n"/>
      <c r="N141" s="9" t="n"/>
      <c r="O141" s="40">
        <f>K141+V141-AE141-AZ141</f>
        <v/>
      </c>
      <c r="P141" s="12" t="n"/>
      <c r="Q141" s="138" t="n"/>
      <c r="R141" s="16" t="n"/>
      <c r="S141" s="139" t="n"/>
      <c r="T141" s="16" t="n"/>
      <c r="U141" s="139" t="n"/>
      <c r="V141" s="16">
        <f>P141+R141+T141</f>
        <v/>
      </c>
      <c r="W141" s="16" t="n"/>
      <c r="X141" s="139" t="n"/>
      <c r="Y141" s="16" t="n"/>
      <c r="Z141" s="139" t="n"/>
      <c r="AA141" s="16" t="n"/>
      <c r="AB141" s="139" t="n"/>
      <c r="AC141" s="16" t="n"/>
      <c r="AD141" s="139" t="n"/>
      <c r="AE141" s="16">
        <f>(W141+Y141+AA141+AC141)</f>
        <v/>
      </c>
      <c r="AF141" s="16" t="n"/>
      <c r="AG141" s="138" t="n"/>
      <c r="AH141" s="16" t="n"/>
      <c r="AI141" s="138" t="n"/>
      <c r="AJ141" s="16" t="n"/>
      <c r="AK141" s="138" t="n"/>
      <c r="AL141" s="16" t="n"/>
      <c r="AM141" s="138" t="n"/>
      <c r="AN141" s="16" t="n"/>
      <c r="AO141" s="138" t="n"/>
      <c r="AP141" s="16" t="n"/>
      <c r="AQ141" s="138" t="n"/>
      <c r="AR141" s="16" t="n"/>
      <c r="AS141" s="138" t="n"/>
      <c r="AT141" s="16" t="n"/>
      <c r="AU141" s="138" t="n"/>
      <c r="AV141" s="16" t="n"/>
      <c r="AW141" s="138" t="n"/>
      <c r="AX141" s="16" t="n"/>
      <c r="AY141" s="138" t="n"/>
      <c r="AZ141" s="16">
        <f>AF141+AH141+AJ141+AL141+AN141+AP141+AR141+AT141+AV141+AX141</f>
        <v/>
      </c>
      <c r="BA141" s="16" t="n"/>
      <c r="BB141" s="139" t="n"/>
      <c r="BC141" s="16" t="n"/>
      <c r="BD141" s="139" t="n"/>
      <c r="BE141" s="16">
        <f>(BA141+BC141)</f>
        <v/>
      </c>
    </row>
    <row r="142">
      <c r="A142" s="9" t="n"/>
      <c r="B142" s="136" t="inlineStr">
        <is>
          <t>아크릴</t>
        </is>
      </c>
      <c r="C142" s="137" t="inlineStr">
        <is>
          <t>DX3000</t>
        </is>
      </c>
      <c r="D142" s="144" t="inlineStr">
        <is>
          <t>메디컬용 십자아크릴 (66*66)</t>
        </is>
      </c>
      <c r="E142" s="13" t="n"/>
      <c r="F142" s="100" t="n"/>
      <c r="G142" s="9" t="n"/>
      <c r="H142" s="9" t="n"/>
      <c r="I142" s="14" t="n"/>
      <c r="J142" s="14" t="n"/>
      <c r="K142" s="12" t="n">
        <v>124</v>
      </c>
      <c r="L142" s="9" t="n"/>
      <c r="M142" s="9" t="n"/>
      <c r="N142" s="9" t="n"/>
      <c r="O142" s="40">
        <f>K142+V142-AE142-AZ142</f>
        <v/>
      </c>
      <c r="P142" s="12" t="n"/>
      <c r="Q142" s="138" t="n"/>
      <c r="R142" s="16" t="n"/>
      <c r="S142" s="139" t="n"/>
      <c r="T142" s="16" t="n"/>
      <c r="U142" s="139" t="n"/>
      <c r="V142" s="16">
        <f>P142+R142+T142</f>
        <v/>
      </c>
      <c r="W142" s="16" t="n"/>
      <c r="X142" s="139" t="n"/>
      <c r="Y142" s="16" t="n"/>
      <c r="Z142" s="139" t="n"/>
      <c r="AA142" s="16" t="n"/>
      <c r="AB142" s="139" t="n"/>
      <c r="AC142" s="16" t="n"/>
      <c r="AD142" s="139" t="n"/>
      <c r="AE142" s="16">
        <f>(W142+Y142+AA142+AC142)</f>
        <v/>
      </c>
      <c r="AF142" s="16" t="n"/>
      <c r="AG142" s="138" t="n"/>
      <c r="AH142" s="16" t="n"/>
      <c r="AI142" s="138" t="n"/>
      <c r="AJ142" s="16" t="n"/>
      <c r="AK142" s="138" t="n"/>
      <c r="AL142" s="16" t="n"/>
      <c r="AM142" s="138" t="n"/>
      <c r="AN142" s="16" t="n"/>
      <c r="AO142" s="138" t="n"/>
      <c r="AP142" s="16" t="n"/>
      <c r="AQ142" s="138" t="n"/>
      <c r="AR142" s="16" t="n"/>
      <c r="AS142" s="138" t="n"/>
      <c r="AT142" s="16" t="n"/>
      <c r="AU142" s="138" t="n"/>
      <c r="AV142" s="16" t="n"/>
      <c r="AW142" s="138" t="n"/>
      <c r="AX142" s="16" t="n"/>
      <c r="AY142" s="138" t="n"/>
      <c r="AZ142" s="16">
        <f>AF142+AH142+AJ142+AL142+AN142+AP142+AR142+AT142+AV142+AX142</f>
        <v/>
      </c>
      <c r="BA142" s="16" t="n"/>
      <c r="BB142" s="139" t="n"/>
      <c r="BC142" s="16" t="n"/>
      <c r="BD142" s="139" t="n"/>
      <c r="BE142" s="16">
        <f>(BA142+BC142)</f>
        <v/>
      </c>
    </row>
    <row r="143">
      <c r="A143" s="9" t="n"/>
      <c r="B143" s="136" t="inlineStr">
        <is>
          <t>AL</t>
        </is>
      </c>
      <c r="C143" s="137" t="inlineStr">
        <is>
          <t>DX3000</t>
        </is>
      </c>
      <c r="D143" s="144" t="inlineStr">
        <is>
          <t>알루미늄 필터</t>
        </is>
      </c>
      <c r="E143" s="13" t="inlineStr">
        <is>
          <t>0.8T * Φ63</t>
        </is>
      </c>
      <c r="F143" s="100" t="n"/>
      <c r="G143" s="9" t="n"/>
      <c r="H143" s="9" t="inlineStr">
        <is>
          <t>광전레이저</t>
        </is>
      </c>
      <c r="I143" s="14" t="n"/>
      <c r="J143" s="14" t="n"/>
      <c r="K143" s="12" t="n">
        <v>652</v>
      </c>
      <c r="L143" s="9" t="n"/>
      <c r="M143" s="9" t="n"/>
      <c r="N143" s="9" t="n"/>
      <c r="O143" s="40">
        <f>K143+V143-AE143-AZ143</f>
        <v/>
      </c>
      <c r="P143" s="12" t="n"/>
      <c r="Q143" s="138" t="n"/>
      <c r="R143" s="16" t="n"/>
      <c r="S143" s="139" t="n"/>
      <c r="T143" s="16" t="n"/>
      <c r="U143" s="139" t="n"/>
      <c r="V143" s="16">
        <f>P143+R143+T143</f>
        <v/>
      </c>
      <c r="W143" s="16" t="n"/>
      <c r="X143" s="139" t="n"/>
      <c r="Y143" s="16" t="n"/>
      <c r="Z143" s="139" t="n"/>
      <c r="AA143" s="16" t="n"/>
      <c r="AB143" s="139" t="n"/>
      <c r="AC143" s="16" t="n"/>
      <c r="AD143" s="139" t="n"/>
      <c r="AE143" s="16">
        <f>(W143+Y143+AA143+AC143)</f>
        <v/>
      </c>
      <c r="AF143" s="16" t="n"/>
      <c r="AG143" s="138" t="n"/>
      <c r="AH143" s="16" t="n"/>
      <c r="AI143" s="138" t="n"/>
      <c r="AJ143" s="16" t="n"/>
      <c r="AK143" s="138" t="n"/>
      <c r="AL143" s="16" t="n"/>
      <c r="AM143" s="138" t="n"/>
      <c r="AN143" s="16" t="n"/>
      <c r="AO143" s="138" t="n"/>
      <c r="AP143" s="16" t="n"/>
      <c r="AQ143" s="138" t="n"/>
      <c r="AR143" s="16" t="n"/>
      <c r="AS143" s="138" t="n"/>
      <c r="AT143" s="16" t="n"/>
      <c r="AU143" s="138" t="n"/>
      <c r="AV143" s="16" t="n"/>
      <c r="AW143" s="138" t="n"/>
      <c r="AX143" s="16" t="n"/>
      <c r="AY143" s="138" t="n"/>
      <c r="AZ143" s="16">
        <f>AF143+AH143+AJ143+AL143+AN143+AP143+AR143+AT143+AV143+AX143</f>
        <v/>
      </c>
      <c r="BA143" s="16" t="n"/>
      <c r="BB143" s="139" t="n"/>
      <c r="BC143" s="16" t="n"/>
      <c r="BD143" s="139" t="n"/>
      <c r="BE143" s="16">
        <f>(BA143+BC143)</f>
        <v/>
      </c>
    </row>
    <row r="144">
      <c r="A144" s="9" t="n"/>
      <c r="B144" s="136" t="inlineStr">
        <is>
          <t>AL</t>
        </is>
      </c>
      <c r="C144" s="137" t="inlineStr">
        <is>
          <t>DX3000</t>
        </is>
      </c>
      <c r="D144" s="143" t="inlineStr">
        <is>
          <t>알루미늄 필터</t>
        </is>
      </c>
      <c r="E144" s="13" t="inlineStr">
        <is>
          <t>1.5T * Φ63 일본 동물용</t>
        </is>
      </c>
      <c r="F144" s="100" t="n"/>
      <c r="G144" s="9" t="n"/>
      <c r="H144" s="9" t="inlineStr">
        <is>
          <t>광전레이저</t>
        </is>
      </c>
      <c r="I144" s="14" t="n"/>
      <c r="J144" s="14" t="n"/>
      <c r="K144" s="12" t="n">
        <v>34</v>
      </c>
      <c r="L144" s="9" t="n"/>
      <c r="M144" s="9" t="n"/>
      <c r="N144" s="9" t="n"/>
      <c r="O144" s="40">
        <f>K144+V144-AE144-AZ144</f>
        <v/>
      </c>
      <c r="P144" s="12" t="n"/>
      <c r="Q144" s="138" t="n"/>
      <c r="R144" s="16" t="n"/>
      <c r="S144" s="139" t="n"/>
      <c r="T144" s="16" t="n"/>
      <c r="U144" s="139" t="n"/>
      <c r="V144" s="16">
        <f>P144+R144+T144</f>
        <v/>
      </c>
      <c r="W144" s="16" t="n"/>
      <c r="X144" s="139" t="n"/>
      <c r="Y144" s="16" t="n"/>
      <c r="Z144" s="139" t="n"/>
      <c r="AA144" s="16" t="n"/>
      <c r="AB144" s="139" t="n"/>
      <c r="AC144" s="16" t="n"/>
      <c r="AD144" s="139" t="n"/>
      <c r="AE144" s="16">
        <f>(W144+Y144+AA144+AC144)</f>
        <v/>
      </c>
      <c r="AF144" s="16" t="n"/>
      <c r="AG144" s="138" t="n"/>
      <c r="AH144" s="16" t="n"/>
      <c r="AI144" s="138" t="n"/>
      <c r="AJ144" s="16" t="n"/>
      <c r="AK144" s="138" t="n"/>
      <c r="AL144" s="16" t="n"/>
      <c r="AM144" s="138" t="n"/>
      <c r="AN144" s="16" t="n"/>
      <c r="AO144" s="138" t="n"/>
      <c r="AP144" s="16" t="n"/>
      <c r="AQ144" s="138" t="n"/>
      <c r="AR144" s="16" t="n"/>
      <c r="AS144" s="138" t="n"/>
      <c r="AT144" s="16" t="n"/>
      <c r="AU144" s="138" t="n"/>
      <c r="AV144" s="16" t="n"/>
      <c r="AW144" s="138" t="n"/>
      <c r="AX144" s="16" t="n"/>
      <c r="AY144" s="138" t="n"/>
      <c r="AZ144" s="16">
        <f>AF144+AH144+AJ144+AL144+AN144+AP144+AR144+AT144+AV144+AX144</f>
        <v/>
      </c>
      <c r="BA144" s="16" t="n"/>
      <c r="BB144" s="139" t="n"/>
      <c r="BC144" s="16" t="n"/>
      <c r="BD144" s="139" t="n"/>
      <c r="BE144" s="16">
        <f>(BA144+BC144)</f>
        <v/>
      </c>
    </row>
    <row r="145">
      <c r="A145" s="9" t="n"/>
      <c r="B145" s="136" t="inlineStr">
        <is>
          <t>인조가죽</t>
        </is>
      </c>
      <c r="C145" s="137" t="inlineStr">
        <is>
          <t>DX3000</t>
        </is>
      </c>
      <c r="D145" s="143" t="inlineStr">
        <is>
          <t>HAND STRAP 손잡이</t>
        </is>
      </c>
      <c r="E145" s="13" t="inlineStr">
        <is>
          <t>인조 가죽</t>
        </is>
      </c>
      <c r="F145" s="100" t="n"/>
      <c r="G145" s="9" t="n"/>
      <c r="H145" s="9" t="inlineStr">
        <is>
          <t>굿모닝코리아유통</t>
        </is>
      </c>
      <c r="I145" s="14" t="n"/>
      <c r="J145" s="14" t="n"/>
      <c r="K145" s="12" t="n">
        <v>0</v>
      </c>
      <c r="L145" s="9" t="n"/>
      <c r="M145" s="9" t="n"/>
      <c r="N145" s="9" t="n"/>
      <c r="O145" s="40">
        <f>K145+V145-AE145-AZ145</f>
        <v/>
      </c>
      <c r="P145" s="12" t="n"/>
      <c r="Q145" s="138" t="n"/>
      <c r="R145" s="16" t="n"/>
      <c r="S145" s="139" t="n"/>
      <c r="T145" s="16" t="n"/>
      <c r="U145" s="139" t="n"/>
      <c r="V145" s="16">
        <f>P145+R145+T145</f>
        <v/>
      </c>
      <c r="W145" s="16" t="n"/>
      <c r="X145" s="139" t="n"/>
      <c r="Y145" s="16" t="n"/>
      <c r="Z145" s="139" t="n"/>
      <c r="AA145" s="16" t="n"/>
      <c r="AB145" s="139" t="n"/>
      <c r="AC145" s="16" t="n"/>
      <c r="AD145" s="139" t="n"/>
      <c r="AE145" s="16">
        <f>(W145+Y145+AA145+AC145)</f>
        <v/>
      </c>
      <c r="AF145" s="16" t="n"/>
      <c r="AG145" s="138" t="n"/>
      <c r="AH145" s="16" t="n"/>
      <c r="AI145" s="138" t="n"/>
      <c r="AJ145" s="16" t="n"/>
      <c r="AK145" s="138" t="n"/>
      <c r="AL145" s="16" t="n"/>
      <c r="AM145" s="138" t="n"/>
      <c r="AN145" s="16" t="n"/>
      <c r="AO145" s="138" t="n"/>
      <c r="AP145" s="16" t="n"/>
      <c r="AQ145" s="138" t="n"/>
      <c r="AR145" s="16" t="n"/>
      <c r="AS145" s="138" t="n"/>
      <c r="AT145" s="16" t="n"/>
      <c r="AU145" s="138" t="n"/>
      <c r="AV145" s="16" t="n"/>
      <c r="AW145" s="138" t="n"/>
      <c r="AX145" s="16" t="n"/>
      <c r="AY145" s="138" t="n"/>
      <c r="AZ145" s="16">
        <f>AF145+AH145+AJ145+AL145+AN145+AP145+AR145+AT145+AV145+AX145</f>
        <v/>
      </c>
      <c r="BA145" s="16" t="n"/>
      <c r="BB145" s="139" t="n"/>
      <c r="BC145" s="16" t="n"/>
      <c r="BD145" s="139" t="n"/>
      <c r="BE145" s="16">
        <f>(BA145+BC145)</f>
        <v/>
      </c>
    </row>
    <row r="146">
      <c r="A146" s="9" t="n"/>
      <c r="B146" s="136" t="inlineStr">
        <is>
          <t>인조가죽</t>
        </is>
      </c>
      <c r="C146" s="137" t="inlineStr">
        <is>
          <t>DX3000</t>
        </is>
      </c>
      <c r="D146" s="143" t="inlineStr">
        <is>
          <t>HAND STRAP 손잡이 (로고 없음)</t>
        </is>
      </c>
      <c r="E146" s="13" t="inlineStr">
        <is>
          <t>인조 가죽</t>
        </is>
      </c>
      <c r="F146" s="100" t="n"/>
      <c r="G146" s="9" t="n"/>
      <c r="H146" s="9" t="inlineStr">
        <is>
          <t>굿모닝코리아유통</t>
        </is>
      </c>
      <c r="I146" s="14" t="n"/>
      <c r="J146" s="14" t="n"/>
      <c r="K146" s="12" t="n">
        <v>240</v>
      </c>
      <c r="L146" s="9" t="n"/>
      <c r="M146" s="9" t="n"/>
      <c r="N146" s="9" t="n"/>
      <c r="O146" s="40">
        <f>K146+V146-AE146-AZ146</f>
        <v/>
      </c>
      <c r="P146" s="12" t="n"/>
      <c r="Q146" s="138" t="n"/>
      <c r="R146" s="16" t="n"/>
      <c r="S146" s="139" t="n"/>
      <c r="T146" s="16" t="n"/>
      <c r="U146" s="139" t="n"/>
      <c r="V146" s="16">
        <f>P146+R146+T146</f>
        <v/>
      </c>
      <c r="W146" s="16" t="n"/>
      <c r="X146" s="139" t="n"/>
      <c r="Y146" s="16" t="n"/>
      <c r="Z146" s="139" t="n"/>
      <c r="AA146" s="16" t="n"/>
      <c r="AB146" s="139" t="n"/>
      <c r="AC146" s="16" t="n"/>
      <c r="AD146" s="139" t="n"/>
      <c r="AE146" s="16">
        <f>(W146+Y146+AA146+AC146)</f>
        <v/>
      </c>
      <c r="AF146" s="16" t="n"/>
      <c r="AG146" s="138" t="n"/>
      <c r="AH146" s="16" t="n"/>
      <c r="AI146" s="138" t="n"/>
      <c r="AJ146" s="16" t="n"/>
      <c r="AK146" s="138" t="n"/>
      <c r="AL146" s="16" t="n"/>
      <c r="AM146" s="138" t="n"/>
      <c r="AN146" s="16" t="n"/>
      <c r="AO146" s="138" t="n"/>
      <c r="AP146" s="16" t="n"/>
      <c r="AQ146" s="138" t="n"/>
      <c r="AR146" s="16" t="n"/>
      <c r="AS146" s="138" t="n"/>
      <c r="AT146" s="16" t="n"/>
      <c r="AU146" s="138" t="n"/>
      <c r="AV146" s="16" t="n"/>
      <c r="AW146" s="138" t="n"/>
      <c r="AX146" s="16" t="n"/>
      <c r="AY146" s="138" t="n"/>
      <c r="AZ146" s="16">
        <f>AF146+AH146+AJ146+AL146+AN146+AP146+AR146+AT146+AV146+AX146</f>
        <v/>
      </c>
      <c r="BA146" s="16" t="n"/>
      <c r="BB146" s="139" t="n"/>
      <c r="BC146" s="16" t="n"/>
      <c r="BD146" s="139" t="n"/>
      <c r="BE146" s="16">
        <f>(BA146+BC146)</f>
        <v/>
      </c>
    </row>
    <row r="147" ht="24" customHeight="1" s="122">
      <c r="A147" s="9" t="n"/>
      <c r="B147" s="136" t="inlineStr">
        <is>
          <t>STEEL</t>
        </is>
      </c>
      <c r="C147" s="137" t="inlineStr">
        <is>
          <t>DX3000, ADX4000W</t>
        </is>
      </c>
      <c r="D147" s="143" t="inlineStr">
        <is>
          <t>고리 1</t>
        </is>
      </c>
      <c r="E147" s="13" t="inlineStr">
        <is>
          <t>니켈 도금</t>
        </is>
      </c>
      <c r="F147" s="100" t="n"/>
      <c r="G147" s="9" t="n"/>
      <c r="H147" s="9" t="inlineStr">
        <is>
          <t>굿모닝코리아유통</t>
        </is>
      </c>
      <c r="I147" s="14" t="n"/>
      <c r="J147" s="14" t="n"/>
      <c r="K147" s="12" t="n">
        <v>407</v>
      </c>
      <c r="L147" s="9" t="n"/>
      <c r="M147" s="9" t="n"/>
      <c r="N147" s="9" t="n"/>
      <c r="O147" s="40">
        <f>K147+V147-AE147-AZ147</f>
        <v/>
      </c>
      <c r="P147" s="12" t="n"/>
      <c r="Q147" s="138" t="n"/>
      <c r="R147" s="16" t="n"/>
      <c r="S147" s="139" t="n"/>
      <c r="T147" s="16" t="n"/>
      <c r="U147" s="139" t="n"/>
      <c r="V147" s="16">
        <f>P147+R147+T147</f>
        <v/>
      </c>
      <c r="W147" s="16" t="n"/>
      <c r="X147" s="139" t="n"/>
      <c r="Y147" s="16" t="n"/>
      <c r="Z147" s="139" t="n"/>
      <c r="AA147" s="16" t="n"/>
      <c r="AB147" s="139" t="n"/>
      <c r="AC147" s="16" t="n"/>
      <c r="AD147" s="139" t="n"/>
      <c r="AE147" s="16">
        <f>(W147+Y147+AA147+AC147)</f>
        <v/>
      </c>
      <c r="AF147" s="16" t="n"/>
      <c r="AG147" s="138" t="n"/>
      <c r="AH147" s="16" t="n"/>
      <c r="AI147" s="138" t="n"/>
      <c r="AJ147" s="16" t="n"/>
      <c r="AK147" s="138" t="n"/>
      <c r="AL147" s="16" t="n"/>
      <c r="AM147" s="138" t="n"/>
      <c r="AN147" s="16" t="n"/>
      <c r="AO147" s="138" t="n"/>
      <c r="AP147" s="16" t="n"/>
      <c r="AQ147" s="138" t="n"/>
      <c r="AR147" s="16" t="n"/>
      <c r="AS147" s="138" t="n"/>
      <c r="AT147" s="16" t="n"/>
      <c r="AU147" s="138" t="n"/>
      <c r="AV147" s="16" t="n"/>
      <c r="AW147" s="138" t="n"/>
      <c r="AX147" s="16" t="n"/>
      <c r="AY147" s="138" t="n"/>
      <c r="AZ147" s="16">
        <f>AF147+AH147+AJ147+AL147+AN147+AP147+AR147+AT147+AV147+AX147</f>
        <v/>
      </c>
      <c r="BA147" s="16" t="n"/>
      <c r="BB147" s="139" t="n"/>
      <c r="BC147" s="16" t="n"/>
      <c r="BD147" s="139" t="n"/>
      <c r="BE147" s="16">
        <f>(BA147+BC147)</f>
        <v/>
      </c>
    </row>
    <row r="148">
      <c r="A148" s="9" t="n"/>
      <c r="B148" s="136" t="inlineStr">
        <is>
          <t>STEEL</t>
        </is>
      </c>
      <c r="C148" s="137" t="inlineStr">
        <is>
          <t>DX3000</t>
        </is>
      </c>
      <c r="D148" s="143" t="inlineStr">
        <is>
          <t>고리 2</t>
        </is>
      </c>
      <c r="E148" s="13" t="inlineStr">
        <is>
          <t>니켈 도금</t>
        </is>
      </c>
      <c r="F148" s="100" t="n"/>
      <c r="G148" s="9" t="n"/>
      <c r="H148" s="9" t="inlineStr">
        <is>
          <t>굿모닝코리아유통</t>
        </is>
      </c>
      <c r="I148" s="14" t="n"/>
      <c r="J148" s="14" t="n"/>
      <c r="K148" s="12" t="n">
        <v>409</v>
      </c>
      <c r="L148" s="9" t="n"/>
      <c r="M148" s="9" t="n"/>
      <c r="N148" s="9" t="n"/>
      <c r="O148" s="40">
        <f>K148+V148-AE148-AZ148</f>
        <v/>
      </c>
      <c r="P148" s="12" t="n"/>
      <c r="Q148" s="138" t="n"/>
      <c r="R148" s="16" t="n"/>
      <c r="S148" s="139" t="n"/>
      <c r="T148" s="16" t="n"/>
      <c r="U148" s="139" t="n"/>
      <c r="V148" s="16">
        <f>P148+R148+T148</f>
        <v/>
      </c>
      <c r="W148" s="16" t="n"/>
      <c r="X148" s="139" t="n"/>
      <c r="Y148" s="16" t="n"/>
      <c r="Z148" s="139" t="n"/>
      <c r="AA148" s="16" t="n"/>
      <c r="AB148" s="139" t="n"/>
      <c r="AC148" s="16" t="n"/>
      <c r="AD148" s="139" t="n"/>
      <c r="AE148" s="16">
        <f>(W148+Y148+AA148+AC148)</f>
        <v/>
      </c>
      <c r="AF148" s="16" t="n"/>
      <c r="AG148" s="138" t="n"/>
      <c r="AH148" s="16" t="n"/>
      <c r="AI148" s="138" t="n"/>
      <c r="AJ148" s="16" t="n"/>
      <c r="AK148" s="138" t="n"/>
      <c r="AL148" s="16" t="n"/>
      <c r="AM148" s="138" t="n"/>
      <c r="AN148" s="16" t="n"/>
      <c r="AO148" s="138" t="n"/>
      <c r="AP148" s="16" t="n"/>
      <c r="AQ148" s="138" t="n"/>
      <c r="AR148" s="16" t="n"/>
      <c r="AS148" s="138" t="n"/>
      <c r="AT148" s="16" t="n"/>
      <c r="AU148" s="138" t="n"/>
      <c r="AV148" s="16" t="n"/>
      <c r="AW148" s="138" t="n"/>
      <c r="AX148" s="16" t="n"/>
      <c r="AY148" s="138" t="n"/>
      <c r="AZ148" s="16">
        <f>AF148+AH148+AJ148+AL148+AN148+AP148+AR148+AT148+AV148+AX148</f>
        <v/>
      </c>
      <c r="BA148" s="16" t="n"/>
      <c r="BB148" s="139" t="n"/>
      <c r="BC148" s="16" t="n"/>
      <c r="BD148" s="139" t="n"/>
      <c r="BE148" s="16">
        <f>(BA148+BC148)</f>
        <v/>
      </c>
    </row>
    <row r="149">
      <c r="A149" s="9" t="n"/>
      <c r="B149" s="141" t="inlineStr">
        <is>
          <t>PCB</t>
        </is>
      </c>
      <c r="C149" s="137" t="inlineStr">
        <is>
          <t>COCOON</t>
        </is>
      </c>
      <c r="D149" s="70" t="inlineStr">
        <is>
          <t>CTR B/D</t>
        </is>
      </c>
      <c r="E149" s="36" t="n"/>
      <c r="F149" s="100" t="n"/>
      <c r="G149" s="22" t="n"/>
      <c r="H149" s="22" t="inlineStr">
        <is>
          <t>HLP</t>
        </is>
      </c>
      <c r="I149" s="14" t="n"/>
      <c r="J149" s="14" t="n"/>
      <c r="K149" s="12" t="n">
        <v>0</v>
      </c>
      <c r="L149" s="9" t="n"/>
      <c r="M149" s="9" t="n"/>
      <c r="N149" s="9" t="n"/>
      <c r="O149" s="40">
        <f>K149+V149-AE149-AZ149</f>
        <v/>
      </c>
      <c r="P149" s="12" t="n"/>
      <c r="Q149" s="138" t="n"/>
      <c r="R149" s="16" t="n"/>
      <c r="S149" s="139" t="n"/>
      <c r="T149" s="16" t="n"/>
      <c r="U149" s="139" t="n"/>
      <c r="V149" s="16">
        <f>P149+R149+T149</f>
        <v/>
      </c>
      <c r="W149" s="16" t="n"/>
      <c r="X149" s="139" t="n"/>
      <c r="Y149" s="16" t="n"/>
      <c r="Z149" s="139" t="n"/>
      <c r="AA149" s="16" t="n"/>
      <c r="AB149" s="139" t="n"/>
      <c r="AC149" s="16" t="n"/>
      <c r="AD149" s="139" t="n"/>
      <c r="AE149" s="16">
        <f>(W149+Y149+AA149+AC149)</f>
        <v/>
      </c>
      <c r="AF149" s="16" t="n"/>
      <c r="AG149" s="138" t="n"/>
      <c r="AH149" s="16" t="n"/>
      <c r="AI149" s="138" t="n"/>
      <c r="AJ149" s="16" t="n"/>
      <c r="AK149" s="138" t="n"/>
      <c r="AL149" s="16" t="n"/>
      <c r="AM149" s="138" t="n"/>
      <c r="AN149" s="16" t="n"/>
      <c r="AO149" s="138" t="n"/>
      <c r="AP149" s="16" t="n"/>
      <c r="AQ149" s="138" t="n"/>
      <c r="AR149" s="16" t="n"/>
      <c r="AS149" s="138" t="n"/>
      <c r="AT149" s="16" t="n"/>
      <c r="AU149" s="138" t="n"/>
      <c r="AV149" s="16" t="n"/>
      <c r="AW149" s="138" t="n"/>
      <c r="AX149" s="16" t="n"/>
      <c r="AY149" s="138" t="n"/>
      <c r="AZ149" s="16">
        <f>AF149+AH149+AJ149+AL149+AN149+AP149+AR149+AT149+AV149+AX149</f>
        <v/>
      </c>
      <c r="BA149" s="16" t="n"/>
      <c r="BB149" s="139" t="n"/>
      <c r="BC149" s="16" t="n"/>
      <c r="BD149" s="139" t="n"/>
      <c r="BE149" s="16">
        <f>(BA149+BC149)</f>
        <v/>
      </c>
    </row>
    <row r="150">
      <c r="A150" s="9" t="n"/>
      <c r="B150" s="141" t="inlineStr">
        <is>
          <t>PCB</t>
        </is>
      </c>
      <c r="C150" s="137" t="inlineStr">
        <is>
          <t>COCOON</t>
        </is>
      </c>
      <c r="D150" s="62" t="inlineStr">
        <is>
          <t>FET B/D</t>
        </is>
      </c>
      <c r="E150" s="36" t="inlineStr">
        <is>
          <t xml:space="preserve"> + 56 (교체전)</t>
        </is>
      </c>
      <c r="F150" s="100" t="n"/>
      <c r="G150" s="22" t="n"/>
      <c r="H150" s="22" t="inlineStr">
        <is>
          <t>HLP</t>
        </is>
      </c>
      <c r="I150" s="14" t="n"/>
      <c r="J150" s="14" t="n"/>
      <c r="K150" s="12" t="n">
        <v>93</v>
      </c>
      <c r="L150" s="9" t="n"/>
      <c r="M150" s="9" t="n"/>
      <c r="N150" s="9" t="n"/>
      <c r="O150" s="40">
        <f>K150+V150-AE150-AZ150</f>
        <v/>
      </c>
      <c r="P150" s="12" t="n"/>
      <c r="Q150" s="138" t="n"/>
      <c r="R150" s="16" t="n"/>
      <c r="S150" s="139" t="n"/>
      <c r="T150" s="16" t="n"/>
      <c r="U150" s="139" t="n"/>
      <c r="V150" s="16">
        <f>P150+R150+T150</f>
        <v/>
      </c>
      <c r="W150" s="16" t="n"/>
      <c r="X150" s="139" t="n"/>
      <c r="Y150" s="16" t="n"/>
      <c r="Z150" s="139" t="n"/>
      <c r="AA150" s="16" t="n"/>
      <c r="AB150" s="139" t="n"/>
      <c r="AC150" s="16" t="n"/>
      <c r="AD150" s="139" t="n"/>
      <c r="AE150" s="16">
        <f>(W150+Y150+AA150+AC150)</f>
        <v/>
      </c>
      <c r="AF150" s="16" t="n"/>
      <c r="AG150" s="138" t="n"/>
      <c r="AH150" s="16" t="n"/>
      <c r="AI150" s="138" t="n"/>
      <c r="AJ150" s="16" t="n"/>
      <c r="AK150" s="138" t="n"/>
      <c r="AL150" s="16" t="n"/>
      <c r="AM150" s="138" t="n"/>
      <c r="AN150" s="16" t="n"/>
      <c r="AO150" s="138" t="n"/>
      <c r="AP150" s="16" t="n"/>
      <c r="AQ150" s="138" t="n"/>
      <c r="AR150" s="16" t="n"/>
      <c r="AS150" s="138" t="n"/>
      <c r="AT150" s="16" t="n"/>
      <c r="AU150" s="138" t="n"/>
      <c r="AV150" s="16" t="n"/>
      <c r="AW150" s="138" t="n"/>
      <c r="AX150" s="16" t="n"/>
      <c r="AY150" s="138" t="n"/>
      <c r="AZ150" s="16">
        <f>AF150+AH150+AJ150+AL150+AN150+AP150+AR150+AT150+AV150+AX150</f>
        <v/>
      </c>
      <c r="BA150" s="16" t="n"/>
      <c r="BB150" s="139" t="n"/>
      <c r="BC150" s="16" t="n"/>
      <c r="BD150" s="139" t="n"/>
      <c r="BE150" s="16">
        <f>(BA150+BC150)</f>
        <v/>
      </c>
    </row>
    <row r="151">
      <c r="A151" s="9" t="n"/>
      <c r="B151" s="136" t="inlineStr">
        <is>
          <t>PCB</t>
        </is>
      </c>
      <c r="C151" s="137" t="inlineStr">
        <is>
          <t>COCOON</t>
        </is>
      </c>
      <c r="D151" s="145" t="inlineStr">
        <is>
          <t>POWER SWITCH BD</t>
        </is>
      </c>
      <c r="E151" s="13" t="n"/>
      <c r="F151" s="100" t="n"/>
      <c r="G151" s="9" t="n"/>
      <c r="H151" s="9" t="inlineStr">
        <is>
          <t>HLP</t>
        </is>
      </c>
      <c r="I151" s="14" t="n"/>
      <c r="J151" s="14" t="n"/>
      <c r="K151" s="12" t="n">
        <v>755</v>
      </c>
      <c r="L151" s="9" t="n"/>
      <c r="M151" s="9" t="n"/>
      <c r="N151" s="9" t="n"/>
      <c r="O151" s="40">
        <f>K151+V151-AE151-AZ151</f>
        <v/>
      </c>
      <c r="P151" s="12" t="n"/>
      <c r="Q151" s="138" t="n"/>
      <c r="R151" s="16" t="n"/>
      <c r="S151" s="139" t="n"/>
      <c r="T151" s="16" t="n"/>
      <c r="U151" s="139" t="n"/>
      <c r="V151" s="16">
        <f>P151+R151+T151</f>
        <v/>
      </c>
      <c r="W151" s="16" t="n"/>
      <c r="X151" s="139" t="n"/>
      <c r="Y151" s="16" t="n"/>
      <c r="Z151" s="139" t="n"/>
      <c r="AA151" s="16" t="n"/>
      <c r="AB151" s="139" t="n"/>
      <c r="AC151" s="16" t="n"/>
      <c r="AD151" s="139" t="n"/>
      <c r="AE151" s="16">
        <f>(W151+Y151+AA151+AC151)</f>
        <v/>
      </c>
      <c r="AF151" s="16" t="n"/>
      <c r="AG151" s="138" t="n"/>
      <c r="AH151" s="16" t="n"/>
      <c r="AI151" s="138" t="n"/>
      <c r="AJ151" s="16" t="n"/>
      <c r="AK151" s="138" t="n"/>
      <c r="AL151" s="16" t="n"/>
      <c r="AM151" s="138" t="n"/>
      <c r="AN151" s="16" t="n"/>
      <c r="AO151" s="138" t="n"/>
      <c r="AP151" s="16" t="n"/>
      <c r="AQ151" s="138" t="n"/>
      <c r="AR151" s="16" t="n"/>
      <c r="AS151" s="138" t="n"/>
      <c r="AT151" s="16" t="n"/>
      <c r="AU151" s="138" t="n"/>
      <c r="AV151" s="16" t="n"/>
      <c r="AW151" s="138" t="n"/>
      <c r="AX151" s="16" t="n"/>
      <c r="AY151" s="138" t="n"/>
      <c r="AZ151" s="16">
        <f>AF151+AH151+AJ151+AL151+AN151+AP151+AR151+AT151+AV151+AX151</f>
        <v/>
      </c>
      <c r="BA151" s="16" t="n"/>
      <c r="BB151" s="139" t="n"/>
      <c r="BC151" s="16" t="n"/>
      <c r="BD151" s="139" t="n"/>
      <c r="BE151" s="16">
        <f>(BA151+BC151)</f>
        <v/>
      </c>
    </row>
    <row r="152">
      <c r="A152" s="9" t="n"/>
      <c r="B152" s="136" t="inlineStr">
        <is>
          <t>PCB</t>
        </is>
      </c>
      <c r="C152" s="137" t="inlineStr">
        <is>
          <t>COCOON</t>
        </is>
      </c>
      <c r="D152" s="82" t="inlineStr">
        <is>
          <t>POWER SWITCH BD (Ver 3.0.0)</t>
        </is>
      </c>
      <c r="E152" s="13" t="n"/>
      <c r="F152" s="100" t="n"/>
      <c r="G152" s="9" t="n"/>
      <c r="H152" s="9" t="inlineStr">
        <is>
          <t>HLP</t>
        </is>
      </c>
      <c r="I152" s="14" t="n"/>
      <c r="J152" s="14" t="n"/>
      <c r="K152" s="12" t="n">
        <v>98</v>
      </c>
      <c r="L152" s="9" t="n"/>
      <c r="M152" s="9" t="n"/>
      <c r="N152" s="9" t="n"/>
      <c r="O152" s="40">
        <f>K152+V152-AE152-AZ152</f>
        <v/>
      </c>
      <c r="P152" s="12" t="n"/>
      <c r="Q152" s="138" t="n"/>
      <c r="R152" s="16" t="n"/>
      <c r="S152" s="139" t="n"/>
      <c r="T152" s="16" t="n"/>
      <c r="U152" s="139" t="n"/>
      <c r="V152" s="16">
        <f>P152+R152+T152</f>
        <v/>
      </c>
      <c r="W152" s="16" t="n"/>
      <c r="X152" s="139" t="n"/>
      <c r="Y152" s="16" t="n"/>
      <c r="Z152" s="139" t="n"/>
      <c r="AA152" s="16" t="n"/>
      <c r="AB152" s="139" t="n"/>
      <c r="AC152" s="16" t="n"/>
      <c r="AD152" s="139" t="n"/>
      <c r="AE152" s="16">
        <f>(W152+Y152+AA152+AC152)</f>
        <v/>
      </c>
      <c r="AF152" s="16" t="n"/>
      <c r="AG152" s="138" t="n"/>
      <c r="AH152" s="16" t="n"/>
      <c r="AI152" s="138" t="n"/>
      <c r="AJ152" s="16" t="n"/>
      <c r="AK152" s="138" t="n"/>
      <c r="AL152" s="16" t="n"/>
      <c r="AM152" s="138" t="n"/>
      <c r="AN152" s="16" t="n"/>
      <c r="AO152" s="138" t="n"/>
      <c r="AP152" s="16" t="n"/>
      <c r="AQ152" s="138" t="n"/>
      <c r="AR152" s="16" t="n"/>
      <c r="AS152" s="138" t="n"/>
      <c r="AT152" s="16" t="n"/>
      <c r="AU152" s="138" t="n"/>
      <c r="AV152" s="16" t="n"/>
      <c r="AW152" s="138" t="n"/>
      <c r="AX152" s="16" t="n"/>
      <c r="AY152" s="138" t="n"/>
      <c r="AZ152" s="16">
        <f>AF152+AH152+AJ152+AL152+AN152+AP152+AR152+AT152+AV152+AX152</f>
        <v/>
      </c>
      <c r="BA152" s="16" t="n"/>
      <c r="BB152" s="139" t="n"/>
      <c r="BC152" s="16" t="n"/>
      <c r="BD152" s="139" t="n"/>
      <c r="BE152" s="16">
        <f>(BA152+BC152)</f>
        <v/>
      </c>
    </row>
    <row r="153">
      <c r="A153" s="9" t="n"/>
      <c r="B153" s="136" t="inlineStr">
        <is>
          <t>PCB</t>
        </is>
      </c>
      <c r="C153" s="137" t="inlineStr">
        <is>
          <t>COCOON</t>
        </is>
      </c>
      <c r="D153" s="82" t="inlineStr">
        <is>
          <t>HANDLE CONNECTOR BD 신형 (신주 2핀)</t>
        </is>
      </c>
      <c r="E153" s="13" t="n"/>
      <c r="F153" s="100" t="n"/>
      <c r="G153" s="9" t="n"/>
      <c r="H153" s="9" t="inlineStr">
        <is>
          <t>HLP</t>
        </is>
      </c>
      <c r="I153" s="14" t="n"/>
      <c r="J153" s="14" t="n"/>
      <c r="K153" s="12" t="n">
        <v>200</v>
      </c>
      <c r="L153" s="9" t="n"/>
      <c r="M153" s="9" t="n"/>
      <c r="N153" s="9" t="n"/>
      <c r="O153" s="40">
        <f>K153+V153-AE153-AZ153</f>
        <v/>
      </c>
      <c r="P153" s="12" t="n"/>
      <c r="Q153" s="138" t="n"/>
      <c r="R153" s="16" t="n"/>
      <c r="S153" s="139" t="n"/>
      <c r="T153" s="16" t="n"/>
      <c r="U153" s="139" t="n"/>
      <c r="V153" s="16">
        <f>P153+R153+T153</f>
        <v/>
      </c>
      <c r="W153" s="16" t="n"/>
      <c r="X153" s="139" t="n"/>
      <c r="Y153" s="16" t="n"/>
      <c r="Z153" s="139" t="n"/>
      <c r="AA153" s="16" t="n"/>
      <c r="AB153" s="139" t="n"/>
      <c r="AC153" s="16" t="n"/>
      <c r="AD153" s="139" t="n"/>
      <c r="AE153" s="16">
        <f>(W153+Y153+AA153+AC153)</f>
        <v/>
      </c>
      <c r="AF153" s="16" t="n"/>
      <c r="AG153" s="138" t="n"/>
      <c r="AH153" s="16" t="n"/>
      <c r="AI153" s="138" t="n"/>
      <c r="AJ153" s="16" t="n"/>
      <c r="AK153" s="138" t="n"/>
      <c r="AL153" s="16" t="n"/>
      <c r="AM153" s="138" t="n"/>
      <c r="AN153" s="16" t="n"/>
      <c r="AO153" s="138" t="n"/>
      <c r="AP153" s="16" t="n"/>
      <c r="AQ153" s="138" t="n"/>
      <c r="AR153" s="16" t="n"/>
      <c r="AS153" s="138" t="n"/>
      <c r="AT153" s="16" t="n"/>
      <c r="AU153" s="138" t="n"/>
      <c r="AV153" s="16" t="n"/>
      <c r="AW153" s="138" t="n"/>
      <c r="AX153" s="16" t="n"/>
      <c r="AY153" s="138" t="n"/>
      <c r="AZ153" s="16">
        <f>AF153+AH153+AJ153+AL153+AN153+AP153+AR153+AT153+AV153+AX153</f>
        <v/>
      </c>
      <c r="BA153" s="16" t="n"/>
      <c r="BB153" s="139" t="n"/>
      <c r="BC153" s="16" t="n"/>
      <c r="BD153" s="139" t="n"/>
      <c r="BE153" s="16">
        <f>(BA153+BC153)</f>
        <v/>
      </c>
    </row>
    <row r="154">
      <c r="A154" s="9" t="n"/>
      <c r="B154" s="136" t="inlineStr">
        <is>
          <t>PCB</t>
        </is>
      </c>
      <c r="C154" s="137" t="inlineStr">
        <is>
          <t>COCOON</t>
        </is>
      </c>
      <c r="D154" s="82" t="inlineStr">
        <is>
          <t>BATTERY BRIDGE BD</t>
        </is>
      </c>
      <c r="E154" s="13" t="n"/>
      <c r="F154" s="100" t="n"/>
      <c r="G154" s="9" t="n"/>
      <c r="H154" s="9" t="inlineStr">
        <is>
          <t>HLP</t>
        </is>
      </c>
      <c r="I154" s="14" t="n"/>
      <c r="J154" s="14" t="n"/>
      <c r="K154" s="12" t="n">
        <v>189</v>
      </c>
      <c r="L154" s="9" t="n"/>
      <c r="M154" s="9" t="n"/>
      <c r="N154" s="9" t="n"/>
      <c r="O154" s="40">
        <f>K154+V154-AE154-AZ154</f>
        <v/>
      </c>
      <c r="P154" s="12" t="n"/>
      <c r="Q154" s="138" t="n"/>
      <c r="R154" s="16" t="n"/>
      <c r="S154" s="139" t="n"/>
      <c r="T154" s="16" t="n"/>
      <c r="U154" s="139" t="n"/>
      <c r="V154" s="16">
        <f>P154+R154+T154</f>
        <v/>
      </c>
      <c r="W154" s="16" t="n"/>
      <c r="X154" s="139" t="n"/>
      <c r="Y154" s="16" t="n"/>
      <c r="Z154" s="139" t="n"/>
      <c r="AA154" s="16" t="n"/>
      <c r="AB154" s="139" t="n"/>
      <c r="AC154" s="16" t="n"/>
      <c r="AD154" s="139" t="n"/>
      <c r="AE154" s="16">
        <f>(W154+Y154+AA154+AC154)</f>
        <v/>
      </c>
      <c r="AF154" s="16" t="n"/>
      <c r="AG154" s="138" t="n"/>
      <c r="AH154" s="16" t="n"/>
      <c r="AI154" s="138" t="n"/>
      <c r="AJ154" s="16" t="n"/>
      <c r="AK154" s="138" t="n"/>
      <c r="AL154" s="16" t="n"/>
      <c r="AM154" s="138" t="n"/>
      <c r="AN154" s="16" t="n"/>
      <c r="AO154" s="138" t="n"/>
      <c r="AP154" s="16" t="n"/>
      <c r="AQ154" s="138" t="n"/>
      <c r="AR154" s="16" t="n"/>
      <c r="AS154" s="138" t="n"/>
      <c r="AT154" s="16" t="n"/>
      <c r="AU154" s="138" t="n"/>
      <c r="AV154" s="16" t="n"/>
      <c r="AW154" s="138" t="n"/>
      <c r="AX154" s="16" t="n"/>
      <c r="AY154" s="138" t="n"/>
      <c r="AZ154" s="16">
        <f>AF154+AH154+AJ154+AL154+AN154+AP154+AR154+AT154+AV154+AX154</f>
        <v/>
      </c>
      <c r="BA154" s="16" t="n"/>
      <c r="BB154" s="139" t="n"/>
      <c r="BC154" s="16" t="n"/>
      <c r="BD154" s="139" t="n"/>
      <c r="BE154" s="16">
        <f>(BA154+BC154)</f>
        <v/>
      </c>
    </row>
    <row r="155">
      <c r="A155" s="9" t="n"/>
      <c r="B155" s="136" t="inlineStr">
        <is>
          <t>PCB</t>
        </is>
      </c>
      <c r="C155" s="137" t="inlineStr">
        <is>
          <t>COCOON</t>
        </is>
      </c>
      <c r="D155" s="82" t="inlineStr">
        <is>
          <t>CRADLE BD</t>
        </is>
      </c>
      <c r="E155" s="13" t="n"/>
      <c r="F155" s="100" t="n"/>
      <c r="G155" s="9" t="n"/>
      <c r="H155" s="9" t="inlineStr">
        <is>
          <t>HLP</t>
        </is>
      </c>
      <c r="I155" s="14" t="n"/>
      <c r="J155" s="14" t="n"/>
      <c r="K155" s="12" t="n">
        <v>656</v>
      </c>
      <c r="L155" s="9" t="n"/>
      <c r="M155" s="9" t="n"/>
      <c r="N155" s="9" t="n"/>
      <c r="O155" s="40">
        <f>K155+V155-AE155-AZ155</f>
        <v/>
      </c>
      <c r="P155" s="12" t="n"/>
      <c r="Q155" s="138" t="n"/>
      <c r="R155" s="16" t="n"/>
      <c r="S155" s="139" t="n"/>
      <c r="T155" s="16" t="n"/>
      <c r="U155" s="139" t="n"/>
      <c r="V155" s="16">
        <f>P155+R155+T155</f>
        <v/>
      </c>
      <c r="W155" s="16" t="n"/>
      <c r="X155" s="139" t="n"/>
      <c r="Y155" s="16" t="n"/>
      <c r="Z155" s="139" t="n"/>
      <c r="AA155" s="16" t="n"/>
      <c r="AB155" s="139" t="n"/>
      <c r="AC155" s="16" t="n"/>
      <c r="AD155" s="139" t="n"/>
      <c r="AE155" s="16">
        <f>(W155+Y155+AA155+AC155)</f>
        <v/>
      </c>
      <c r="AF155" s="16" t="n"/>
      <c r="AG155" s="138" t="n"/>
      <c r="AH155" s="16" t="n"/>
      <c r="AI155" s="138" t="n"/>
      <c r="AJ155" s="16" t="n"/>
      <c r="AK155" s="138" t="n"/>
      <c r="AL155" s="16" t="n"/>
      <c r="AM155" s="138" t="n"/>
      <c r="AN155" s="16" t="n"/>
      <c r="AO155" s="138" t="n"/>
      <c r="AP155" s="16" t="n"/>
      <c r="AQ155" s="138" t="n"/>
      <c r="AR155" s="16" t="n"/>
      <c r="AS155" s="138" t="n"/>
      <c r="AT155" s="16" t="n"/>
      <c r="AU155" s="138" t="n"/>
      <c r="AV155" s="16" t="n"/>
      <c r="AW155" s="138" t="n"/>
      <c r="AX155" s="16" t="n"/>
      <c r="AY155" s="138" t="n"/>
      <c r="AZ155" s="16">
        <f>AF155+AH155+AJ155+AL155+AN155+AP155+AR155+AT155+AV155+AX155</f>
        <v/>
      </c>
      <c r="BA155" s="16" t="n"/>
      <c r="BB155" s="139" t="n"/>
      <c r="BC155" s="16" t="n"/>
      <c r="BD155" s="139" t="n"/>
      <c r="BE155" s="16">
        <f>(BA155+BC155)</f>
        <v/>
      </c>
    </row>
    <row r="156">
      <c r="A156" s="9" t="n"/>
      <c r="B156" s="136" t="inlineStr">
        <is>
          <t>PCB</t>
        </is>
      </c>
      <c r="C156" s="137" t="inlineStr">
        <is>
          <t>COCOON</t>
        </is>
      </c>
      <c r="D156" s="82" t="inlineStr">
        <is>
          <t>OP &amp; TOUCH BD</t>
        </is>
      </c>
      <c r="E156" s="13" t="n"/>
      <c r="F156" s="100" t="n"/>
      <c r="G156" s="9" t="n"/>
      <c r="H156" s="9" t="inlineStr">
        <is>
          <t>HLP</t>
        </is>
      </c>
      <c r="I156" s="14" t="n"/>
      <c r="J156" s="14" t="n"/>
      <c r="K156" s="12" t="n">
        <v>0</v>
      </c>
      <c r="L156" s="9" t="n"/>
      <c r="M156" s="9" t="n"/>
      <c r="N156" s="9" t="n"/>
      <c r="O156" s="40">
        <f>K156+V156-AE156-AZ156</f>
        <v/>
      </c>
      <c r="P156" s="12" t="n"/>
      <c r="Q156" s="138" t="n"/>
      <c r="R156" s="16" t="n"/>
      <c r="S156" s="139" t="n"/>
      <c r="T156" s="16" t="n"/>
      <c r="U156" s="139" t="n"/>
      <c r="V156" s="16">
        <f>P156+R156+T156</f>
        <v/>
      </c>
      <c r="W156" s="16" t="n"/>
      <c r="X156" s="139" t="n"/>
      <c r="Y156" s="16" t="n"/>
      <c r="Z156" s="139" t="n"/>
      <c r="AA156" s="16" t="n"/>
      <c r="AB156" s="139" t="n"/>
      <c r="AC156" s="16" t="n"/>
      <c r="AD156" s="139" t="n"/>
      <c r="AE156" s="16">
        <f>(W156+Y156+AA156+AC156)</f>
        <v/>
      </c>
      <c r="AF156" s="16" t="n"/>
      <c r="AG156" s="138" t="n"/>
      <c r="AH156" s="16" t="n"/>
      <c r="AI156" s="138" t="n"/>
      <c r="AJ156" s="16" t="n"/>
      <c r="AK156" s="138" t="n"/>
      <c r="AL156" s="16" t="n"/>
      <c r="AM156" s="138" t="n"/>
      <c r="AN156" s="16" t="n"/>
      <c r="AO156" s="138" t="n"/>
      <c r="AP156" s="16" t="n"/>
      <c r="AQ156" s="138" t="n"/>
      <c r="AR156" s="16" t="n"/>
      <c r="AS156" s="138" t="n"/>
      <c r="AT156" s="16" t="n"/>
      <c r="AU156" s="138" t="n"/>
      <c r="AV156" s="16" t="n"/>
      <c r="AW156" s="138" t="n"/>
      <c r="AX156" s="16" t="n"/>
      <c r="AY156" s="138" t="n"/>
      <c r="AZ156" s="16">
        <f>AF156+AH156+AJ156+AL156+AN156+AP156+AR156+AT156+AV156+AX156</f>
        <v/>
      </c>
      <c r="BA156" s="16" t="n"/>
      <c r="BB156" s="139" t="n"/>
      <c r="BC156" s="16" t="n"/>
      <c r="BD156" s="139" t="n"/>
      <c r="BE156" s="16">
        <f>(BA156+BC156)</f>
        <v/>
      </c>
    </row>
    <row r="157">
      <c r="A157" s="9" t="n"/>
      <c r="B157" s="136" t="inlineStr">
        <is>
          <t>CABLE</t>
        </is>
      </c>
      <c r="C157" s="137" t="inlineStr">
        <is>
          <t>COCOON</t>
        </is>
      </c>
      <c r="D157" s="72" t="inlineStr">
        <is>
          <t>하네스 1번</t>
        </is>
      </c>
      <c r="E157" s="13" t="inlineStr">
        <is>
          <t>TX30(FEMALE)+YH396-02 100mm CTR BD 외부단자 2핀</t>
        </is>
      </c>
      <c r="F157" s="100" t="n"/>
      <c r="G157" s="9" t="n"/>
      <c r="H157" s="9" t="inlineStr">
        <is>
          <t>HLP</t>
        </is>
      </c>
      <c r="I157" s="14" t="n"/>
      <c r="J157" s="14" t="n"/>
      <c r="K157" s="12" t="n">
        <v>215</v>
      </c>
      <c r="L157" s="9" t="n"/>
      <c r="M157" s="9" t="n"/>
      <c r="N157" s="9" t="n"/>
      <c r="O157" s="40">
        <f>K157+V157-AE157-AZ157</f>
        <v/>
      </c>
      <c r="P157" s="12" t="n"/>
      <c r="Q157" s="138" t="n"/>
      <c r="R157" s="16" t="n"/>
      <c r="S157" s="139" t="n"/>
      <c r="T157" s="16" t="n"/>
      <c r="U157" s="139" t="n"/>
      <c r="V157" s="16">
        <f>P157+R157+T157</f>
        <v/>
      </c>
      <c r="W157" s="16" t="n"/>
      <c r="X157" s="139" t="n"/>
      <c r="Y157" s="16" t="n"/>
      <c r="Z157" s="139" t="n"/>
      <c r="AA157" s="16" t="n"/>
      <c r="AB157" s="139" t="n"/>
      <c r="AC157" s="16" t="n"/>
      <c r="AD157" s="139" t="n"/>
      <c r="AE157" s="16">
        <f>(W157+Y157+AA157+AC157)</f>
        <v/>
      </c>
      <c r="AF157" s="16" t="n"/>
      <c r="AG157" s="138" t="n"/>
      <c r="AH157" s="16" t="n"/>
      <c r="AI157" s="138" t="n"/>
      <c r="AJ157" s="16" t="n"/>
      <c r="AK157" s="138" t="n"/>
      <c r="AL157" s="16" t="n"/>
      <c r="AM157" s="138" t="n"/>
      <c r="AN157" s="16" t="n"/>
      <c r="AO157" s="138" t="n"/>
      <c r="AP157" s="16" t="n"/>
      <c r="AQ157" s="138" t="n"/>
      <c r="AR157" s="16" t="n"/>
      <c r="AS157" s="138" t="n"/>
      <c r="AT157" s="16" t="n"/>
      <c r="AU157" s="138" t="n"/>
      <c r="AV157" s="16" t="n"/>
      <c r="AW157" s="138" t="n"/>
      <c r="AX157" s="16" t="n"/>
      <c r="AY157" s="138" t="n"/>
      <c r="AZ157" s="16">
        <f>AF157+AH157+AJ157+AL157+AN157+AP157+AR157+AT157+AV157+AX157</f>
        <v/>
      </c>
      <c r="BA157" s="16" t="n"/>
      <c r="BB157" s="139" t="n"/>
      <c r="BC157" s="16" t="n"/>
      <c r="BD157" s="139" t="n"/>
      <c r="BE157" s="16">
        <f>(BA157+BC157)</f>
        <v/>
      </c>
    </row>
    <row r="158">
      <c r="A158" s="9" t="n"/>
      <c r="B158" s="136" t="inlineStr">
        <is>
          <t>CABLE</t>
        </is>
      </c>
      <c r="C158" s="137" t="inlineStr">
        <is>
          <t>COCOON</t>
        </is>
      </c>
      <c r="D158" s="78" t="inlineStr">
        <is>
          <t>하네스 2번</t>
        </is>
      </c>
      <c r="E158" s="13" t="inlineStr">
        <is>
          <t>TX30(MALE)+DC022(2.5) 80mm 전원 외부단자 2핀</t>
        </is>
      </c>
      <c r="F158" s="100" t="n"/>
      <c r="G158" s="9" t="n"/>
      <c r="H158" s="9" t="inlineStr">
        <is>
          <t>HLP</t>
        </is>
      </c>
      <c r="I158" s="14" t="n"/>
      <c r="J158" s="14" t="n"/>
      <c r="K158" s="12" t="n">
        <v>424</v>
      </c>
      <c r="L158" s="9" t="n"/>
      <c r="M158" s="9" t="n"/>
      <c r="N158" s="9" t="n"/>
      <c r="O158" s="40">
        <f>K158+V158-AE158-AZ158</f>
        <v/>
      </c>
      <c r="P158" s="12" t="n"/>
      <c r="Q158" s="138" t="n"/>
      <c r="R158" s="16" t="n"/>
      <c r="S158" s="139" t="n"/>
      <c r="T158" s="16" t="n"/>
      <c r="U158" s="139" t="n"/>
      <c r="V158" s="16">
        <f>P158+R158+T158</f>
        <v/>
      </c>
      <c r="W158" s="16" t="n"/>
      <c r="X158" s="139" t="n"/>
      <c r="Y158" s="16" t="n"/>
      <c r="Z158" s="139" t="n"/>
      <c r="AA158" s="16" t="n"/>
      <c r="AB158" s="139" t="n"/>
      <c r="AC158" s="16" t="n"/>
      <c r="AD158" s="139" t="n"/>
      <c r="AE158" s="16">
        <f>(W158+Y158+AA158+AC158)</f>
        <v/>
      </c>
      <c r="AF158" s="16" t="n"/>
      <c r="AG158" s="138" t="n"/>
      <c r="AH158" s="16" t="n"/>
      <c r="AI158" s="138" t="n"/>
      <c r="AJ158" s="16" t="n"/>
      <c r="AK158" s="138" t="n"/>
      <c r="AL158" s="16" t="n"/>
      <c r="AM158" s="138" t="n"/>
      <c r="AN158" s="16" t="n"/>
      <c r="AO158" s="138" t="n"/>
      <c r="AP158" s="16" t="n"/>
      <c r="AQ158" s="138" t="n"/>
      <c r="AR158" s="16" t="n"/>
      <c r="AS158" s="138" t="n"/>
      <c r="AT158" s="16" t="n"/>
      <c r="AU158" s="138" t="n"/>
      <c r="AV158" s="16" t="n"/>
      <c r="AW158" s="138" t="n"/>
      <c r="AX158" s="16" t="n"/>
      <c r="AY158" s="138" t="n"/>
      <c r="AZ158" s="16">
        <f>AF158+AH158+AJ158+AL158+AN158+AP158+AR158+AT158+AV158+AX158</f>
        <v/>
      </c>
      <c r="BA158" s="16" t="n"/>
      <c r="BB158" s="139" t="n"/>
      <c r="BC158" s="16" t="n"/>
      <c r="BD158" s="139" t="n"/>
      <c r="BE158" s="16">
        <f>(BA158+BC158)</f>
        <v/>
      </c>
    </row>
    <row r="159">
      <c r="A159" s="9" t="n"/>
      <c r="B159" s="136" t="inlineStr">
        <is>
          <t>CABLE</t>
        </is>
      </c>
      <c r="C159" s="137" t="inlineStr">
        <is>
          <t>COCOON</t>
        </is>
      </c>
      <c r="D159" s="78" t="inlineStr">
        <is>
          <t>하네스 3번</t>
        </is>
      </c>
      <c r="E159" s="13" t="inlineStr">
        <is>
          <t>FFC CABLE 1mm*30P*200*B CTR BD*OP BD (다른방향)</t>
        </is>
      </c>
      <c r="F159" s="100" t="n"/>
      <c r="G159" s="9" t="n"/>
      <c r="H159" s="9" t="inlineStr">
        <is>
          <t>HLP</t>
        </is>
      </c>
      <c r="I159" s="14" t="n"/>
      <c r="J159" s="14" t="n"/>
      <c r="K159" s="12" t="n">
        <v>374</v>
      </c>
      <c r="L159" s="9" t="n"/>
      <c r="M159" s="9" t="n"/>
      <c r="N159" s="9" t="n"/>
      <c r="O159" s="40">
        <f>K159+V159-AE159-AZ159</f>
        <v/>
      </c>
      <c r="P159" s="12" t="n"/>
      <c r="Q159" s="138" t="n"/>
      <c r="R159" s="16" t="n"/>
      <c r="S159" s="139" t="n"/>
      <c r="T159" s="16" t="n"/>
      <c r="U159" s="139" t="n"/>
      <c r="V159" s="16">
        <f>P159+R159+T159</f>
        <v/>
      </c>
      <c r="W159" s="16" t="n"/>
      <c r="X159" s="139" t="n"/>
      <c r="Y159" s="16" t="n"/>
      <c r="Z159" s="139" t="n"/>
      <c r="AA159" s="16" t="n"/>
      <c r="AB159" s="139" t="n"/>
      <c r="AC159" s="16" t="n"/>
      <c r="AD159" s="139" t="n"/>
      <c r="AE159" s="16">
        <f>(W159+Y159+AA159+AC159)</f>
        <v/>
      </c>
      <c r="AF159" s="16" t="n"/>
      <c r="AG159" s="138" t="n"/>
      <c r="AH159" s="16" t="n"/>
      <c r="AI159" s="138" t="n"/>
      <c r="AJ159" s="16" t="n"/>
      <c r="AK159" s="138" t="n"/>
      <c r="AL159" s="16" t="n"/>
      <c r="AM159" s="138" t="n"/>
      <c r="AN159" s="16" t="n"/>
      <c r="AO159" s="138" t="n"/>
      <c r="AP159" s="16" t="n"/>
      <c r="AQ159" s="138" t="n"/>
      <c r="AR159" s="16" t="n"/>
      <c r="AS159" s="138" t="n"/>
      <c r="AT159" s="16" t="n"/>
      <c r="AU159" s="138" t="n"/>
      <c r="AV159" s="16" t="n"/>
      <c r="AW159" s="138" t="n"/>
      <c r="AX159" s="16" t="n"/>
      <c r="AY159" s="138" t="n"/>
      <c r="AZ159" s="16">
        <f>AF159+AH159+AJ159+AL159+AN159+AP159+AR159+AT159+AV159+AX159</f>
        <v/>
      </c>
      <c r="BA159" s="16" t="n"/>
      <c r="BB159" s="139" t="n"/>
      <c r="BC159" s="16" t="n"/>
      <c r="BD159" s="139" t="n"/>
      <c r="BE159" s="16">
        <f>(BA159+BC159)</f>
        <v/>
      </c>
    </row>
    <row r="160">
      <c r="A160" s="9" t="n"/>
      <c r="B160" s="136" t="inlineStr">
        <is>
          <t>CABLE</t>
        </is>
      </c>
      <c r="C160" s="137" t="inlineStr">
        <is>
          <t>COCOON</t>
        </is>
      </c>
      <c r="D160" s="78" t="inlineStr">
        <is>
          <t>하네스 4번</t>
        </is>
      </c>
      <c r="E160" s="13" t="inlineStr">
        <is>
          <t>12505HS-02+SORDER 50mm - OP BD 2.20 전용 스피커 2핀</t>
        </is>
      </c>
      <c r="F160" s="100" t="n"/>
      <c r="G160" s="9" t="n"/>
      <c r="H160" s="9" t="inlineStr">
        <is>
          <t>HLP</t>
        </is>
      </c>
      <c r="I160" s="14" t="n"/>
      <c r="J160" s="14" t="n"/>
      <c r="K160" s="12" t="n">
        <v>0</v>
      </c>
      <c r="L160" s="9" t="n"/>
      <c r="M160" s="9" t="n"/>
      <c r="N160" s="9" t="n"/>
      <c r="O160" s="40">
        <f>K160+V160-AE160-AZ160</f>
        <v/>
      </c>
      <c r="P160" s="12" t="n"/>
      <c r="Q160" s="138" t="n"/>
      <c r="R160" s="16" t="n"/>
      <c r="S160" s="139" t="n"/>
      <c r="T160" s="16" t="n"/>
      <c r="U160" s="139" t="n"/>
      <c r="V160" s="16">
        <f>P160+R160+T160</f>
        <v/>
      </c>
      <c r="W160" s="16" t="n"/>
      <c r="X160" s="139" t="n"/>
      <c r="Y160" s="16" t="n"/>
      <c r="Z160" s="139" t="n"/>
      <c r="AA160" s="16" t="n"/>
      <c r="AB160" s="139" t="n"/>
      <c r="AC160" s="16" t="n"/>
      <c r="AD160" s="139" t="n"/>
      <c r="AE160" s="16">
        <f>(W160+Y160+AA160+AC160)</f>
        <v/>
      </c>
      <c r="AF160" s="16" t="n"/>
      <c r="AG160" s="138" t="n"/>
      <c r="AH160" s="16" t="n"/>
      <c r="AI160" s="138" t="n"/>
      <c r="AJ160" s="16" t="n"/>
      <c r="AK160" s="138" t="n"/>
      <c r="AL160" s="16" t="n"/>
      <c r="AM160" s="138" t="n"/>
      <c r="AN160" s="16" t="n"/>
      <c r="AO160" s="138" t="n"/>
      <c r="AP160" s="16" t="n"/>
      <c r="AQ160" s="138" t="n"/>
      <c r="AR160" s="16" t="n"/>
      <c r="AS160" s="138" t="n"/>
      <c r="AT160" s="16" t="n"/>
      <c r="AU160" s="138" t="n"/>
      <c r="AV160" s="16" t="n"/>
      <c r="AW160" s="138" t="n"/>
      <c r="AX160" s="16" t="n"/>
      <c r="AY160" s="138" t="n"/>
      <c r="AZ160" s="16">
        <f>AF160+AH160+AJ160+AL160+AN160+AP160+AR160+AT160+AV160+AX160</f>
        <v/>
      </c>
      <c r="BA160" s="16" t="n"/>
      <c r="BB160" s="139" t="n"/>
      <c r="BC160" s="16" t="n"/>
      <c r="BD160" s="139" t="n"/>
      <c r="BE160" s="16">
        <f>(BA160+BC160)</f>
        <v/>
      </c>
    </row>
    <row r="161">
      <c r="A161" s="9" t="n"/>
      <c r="B161" s="136" t="inlineStr">
        <is>
          <t>CABLE</t>
        </is>
      </c>
      <c r="C161" s="137" t="inlineStr">
        <is>
          <t>COCOON</t>
        </is>
      </c>
      <c r="D161" s="79" t="inlineStr">
        <is>
          <t>하네스 5번</t>
        </is>
      </c>
      <c r="E161" s="146" t="inlineStr">
        <is>
          <t>YH396-04*2EA 150mm BATTERY BRIDGE BD 4핀</t>
        </is>
      </c>
      <c r="F161" s="100" t="n"/>
      <c r="G161" s="9" t="n"/>
      <c r="H161" s="9" t="inlineStr">
        <is>
          <t>HLP</t>
        </is>
      </c>
      <c r="I161" s="14" t="n"/>
      <c r="J161" s="14" t="n"/>
      <c r="K161" s="12" t="n">
        <v>492</v>
      </c>
      <c r="L161" s="9" t="n"/>
      <c r="M161" s="9" t="n"/>
      <c r="N161" s="9" t="n"/>
      <c r="O161" s="40">
        <f>K161+V161-AE161-AZ161</f>
        <v/>
      </c>
      <c r="P161" s="12" t="n"/>
      <c r="Q161" s="138" t="n"/>
      <c r="R161" s="16" t="n"/>
      <c r="S161" s="139" t="n"/>
      <c r="T161" s="16" t="n"/>
      <c r="U161" s="139" t="n"/>
      <c r="V161" s="16">
        <f>P161+R161+T161</f>
        <v/>
      </c>
      <c r="W161" s="16" t="n"/>
      <c r="X161" s="139" t="n"/>
      <c r="Y161" s="16" t="n"/>
      <c r="Z161" s="139" t="n"/>
      <c r="AA161" s="16" t="n"/>
      <c r="AB161" s="139" t="n"/>
      <c r="AC161" s="16" t="n"/>
      <c r="AD161" s="139" t="n"/>
      <c r="AE161" s="16">
        <f>(W161+Y161+AA161+AC161)</f>
        <v/>
      </c>
      <c r="AF161" s="16" t="n"/>
      <c r="AG161" s="138" t="n"/>
      <c r="AH161" s="16" t="n"/>
      <c r="AI161" s="138" t="n"/>
      <c r="AJ161" s="16" t="n"/>
      <c r="AK161" s="138" t="n"/>
      <c r="AL161" s="16" t="n"/>
      <c r="AM161" s="138" t="n"/>
      <c r="AN161" s="16" t="n"/>
      <c r="AO161" s="138" t="n"/>
      <c r="AP161" s="16" t="n"/>
      <c r="AQ161" s="138" t="n"/>
      <c r="AR161" s="16" t="n"/>
      <c r="AS161" s="138" t="n"/>
      <c r="AT161" s="16" t="n"/>
      <c r="AU161" s="138" t="n"/>
      <c r="AV161" s="16" t="n"/>
      <c r="AW161" s="138" t="n"/>
      <c r="AX161" s="16" t="n"/>
      <c r="AY161" s="138" t="n"/>
      <c r="AZ161" s="16">
        <f>AF161+AH161+AJ161+AL161+AN161+AP161+AR161+AT161+AV161+AX161</f>
        <v/>
      </c>
      <c r="BA161" s="16" t="n"/>
      <c r="BB161" s="139" t="n"/>
      <c r="BC161" s="16" t="n"/>
      <c r="BD161" s="139" t="n"/>
      <c r="BE161" s="16">
        <f>(BA161+BC161)</f>
        <v/>
      </c>
    </row>
    <row r="162">
      <c r="A162" s="9" t="n"/>
      <c r="B162" s="136" t="inlineStr">
        <is>
          <t>CABLE</t>
        </is>
      </c>
      <c r="C162" s="137" t="inlineStr">
        <is>
          <t>COCOON</t>
        </is>
      </c>
      <c r="D162" s="147" t="inlineStr">
        <is>
          <t>하네스 7번</t>
        </is>
      </c>
      <c r="E162" s="13" t="inlineStr">
        <is>
          <t>12505HS-05 125mm POWER SWITCH BD 5핀</t>
        </is>
      </c>
      <c r="F162" s="100" t="n"/>
      <c r="G162" s="9" t="n"/>
      <c r="H162" s="9" t="inlineStr">
        <is>
          <t>HLP</t>
        </is>
      </c>
      <c r="I162" s="14" t="n"/>
      <c r="J162" s="14" t="n"/>
      <c r="K162" s="12" t="n">
        <v>300</v>
      </c>
      <c r="L162" s="9" t="n"/>
      <c r="M162" s="9" t="n"/>
      <c r="N162" s="9" t="n"/>
      <c r="O162" s="40">
        <f>K162+V162-AE162-AZ162</f>
        <v/>
      </c>
      <c r="P162" s="12" t="n"/>
      <c r="Q162" s="138" t="n"/>
      <c r="R162" s="16" t="n"/>
      <c r="S162" s="139" t="n"/>
      <c r="T162" s="16" t="n"/>
      <c r="U162" s="139" t="n"/>
      <c r="V162" s="16">
        <f>P162+R162+T162</f>
        <v/>
      </c>
      <c r="W162" s="16" t="n"/>
      <c r="X162" s="139" t="n"/>
      <c r="Y162" s="16" t="n"/>
      <c r="Z162" s="139" t="n"/>
      <c r="AA162" s="16" t="n"/>
      <c r="AB162" s="139" t="n"/>
      <c r="AC162" s="16" t="n"/>
      <c r="AD162" s="139" t="n"/>
      <c r="AE162" s="16">
        <f>(W162+Y162+AA162+AC162)</f>
        <v/>
      </c>
      <c r="AF162" s="16" t="n"/>
      <c r="AG162" s="138" t="n"/>
      <c r="AH162" s="16" t="n"/>
      <c r="AI162" s="138" t="n"/>
      <c r="AJ162" s="16" t="n"/>
      <c r="AK162" s="138" t="n"/>
      <c r="AL162" s="16" t="n"/>
      <c r="AM162" s="138" t="n"/>
      <c r="AN162" s="16" t="n"/>
      <c r="AO162" s="138" t="n"/>
      <c r="AP162" s="16" t="n"/>
      <c r="AQ162" s="138" t="n"/>
      <c r="AR162" s="16" t="n"/>
      <c r="AS162" s="138" t="n"/>
      <c r="AT162" s="16" t="n"/>
      <c r="AU162" s="138" t="n"/>
      <c r="AV162" s="16" t="n"/>
      <c r="AW162" s="138" t="n"/>
      <c r="AX162" s="16" t="n"/>
      <c r="AY162" s="138" t="n"/>
      <c r="AZ162" s="16">
        <f>AF162+AH162+AJ162+AL162+AN162+AP162+AR162+AT162+AV162+AX162</f>
        <v/>
      </c>
      <c r="BA162" s="16" t="n"/>
      <c r="BB162" s="139" t="n"/>
      <c r="BC162" s="16" t="n"/>
      <c r="BD162" s="139" t="n"/>
      <c r="BE162" s="16">
        <f>(BA162+BC162)</f>
        <v/>
      </c>
    </row>
    <row r="163">
      <c r="A163" s="9" t="n"/>
      <c r="B163" s="136" t="inlineStr">
        <is>
          <t>CABLE</t>
        </is>
      </c>
      <c r="C163" s="137" t="inlineStr">
        <is>
          <t>COCOON</t>
        </is>
      </c>
      <c r="D163" s="148" t="inlineStr">
        <is>
          <t>하네스 11번</t>
        </is>
      </c>
      <c r="E163" s="13" t="inlineStr">
        <is>
          <t>YH396-02+SORDER 80mm CRADLE 신주 연결 2핀</t>
        </is>
      </c>
      <c r="F163" s="100" t="n"/>
      <c r="G163" s="9" t="n"/>
      <c r="H163" s="9" t="inlineStr">
        <is>
          <t>HLP</t>
        </is>
      </c>
      <c r="I163" s="14" t="n"/>
      <c r="J163" s="14" t="n"/>
      <c r="K163" s="12" t="n">
        <v>356</v>
      </c>
      <c r="L163" s="9" t="n"/>
      <c r="M163" s="9" t="n"/>
      <c r="N163" s="9" t="n"/>
      <c r="O163" s="40">
        <f>K163+V163-AE163-AZ163</f>
        <v/>
      </c>
      <c r="P163" s="12" t="n"/>
      <c r="Q163" s="138" t="n"/>
      <c r="R163" s="16" t="n"/>
      <c r="S163" s="139" t="n"/>
      <c r="T163" s="16" t="n"/>
      <c r="U163" s="139" t="n"/>
      <c r="V163" s="16">
        <f>P163+R163+T163</f>
        <v/>
      </c>
      <c r="W163" s="16" t="n"/>
      <c r="X163" s="139" t="n"/>
      <c r="Y163" s="16" t="n"/>
      <c r="Z163" s="139" t="n"/>
      <c r="AA163" s="16" t="n"/>
      <c r="AB163" s="139" t="n"/>
      <c r="AC163" s="16" t="n"/>
      <c r="AD163" s="139" t="n"/>
      <c r="AE163" s="16">
        <f>(W163+Y163+AA163+AC163)</f>
        <v/>
      </c>
      <c r="AF163" s="16" t="n"/>
      <c r="AG163" s="138" t="n"/>
      <c r="AH163" s="16" t="n"/>
      <c r="AI163" s="138" t="n"/>
      <c r="AJ163" s="16" t="n"/>
      <c r="AK163" s="138" t="n"/>
      <c r="AL163" s="16" t="n"/>
      <c r="AM163" s="138" t="n"/>
      <c r="AN163" s="16" t="n"/>
      <c r="AO163" s="138" t="n"/>
      <c r="AP163" s="16" t="n"/>
      <c r="AQ163" s="138" t="n"/>
      <c r="AR163" s="16" t="n"/>
      <c r="AS163" s="138" t="n"/>
      <c r="AT163" s="16" t="n"/>
      <c r="AU163" s="138" t="n"/>
      <c r="AV163" s="16" t="n"/>
      <c r="AW163" s="138" t="n"/>
      <c r="AX163" s="16" t="n"/>
      <c r="AY163" s="138" t="n"/>
      <c r="AZ163" s="16">
        <f>AF163+AH163+AJ163+AL163+AN163+AP163+AR163+AT163+AV163+AX163</f>
        <v/>
      </c>
      <c r="BA163" s="16" t="n"/>
      <c r="BB163" s="139" t="n"/>
      <c r="BC163" s="16" t="n"/>
      <c r="BD163" s="139" t="n"/>
      <c r="BE163" s="16">
        <f>(BA163+BC163)</f>
        <v/>
      </c>
    </row>
    <row r="164">
      <c r="A164" s="9" t="n"/>
      <c r="B164" s="136" t="inlineStr">
        <is>
          <t>CABLE</t>
        </is>
      </c>
      <c r="C164" s="137" t="inlineStr">
        <is>
          <t>COCOON</t>
        </is>
      </c>
      <c r="D164" s="145" t="inlineStr">
        <is>
          <t>에이밍 하네스 1번</t>
        </is>
      </c>
      <c r="E164" s="13" t="inlineStr">
        <is>
          <t>YHM025-02R 210mm, CTR + POWER BD 2핀</t>
        </is>
      </c>
      <c r="F164" s="100" t="n"/>
      <c r="G164" s="9" t="n"/>
      <c r="H164" s="9" t="inlineStr">
        <is>
          <t>HLP</t>
        </is>
      </c>
      <c r="I164" s="14" t="n"/>
      <c r="J164" s="14" t="n"/>
      <c r="K164" s="12" t="n">
        <v>431</v>
      </c>
      <c r="L164" s="9" t="n"/>
      <c r="M164" s="9" t="n"/>
      <c r="N164" s="9" t="n"/>
      <c r="O164" s="40">
        <f>K164+V164-AE164-AZ164</f>
        <v/>
      </c>
      <c r="P164" s="12" t="n"/>
      <c r="Q164" s="138" t="n"/>
      <c r="R164" s="16" t="n"/>
      <c r="S164" s="139" t="n"/>
      <c r="T164" s="16" t="n"/>
      <c r="U164" s="139" t="n"/>
      <c r="V164" s="16">
        <f>P164+R164+T164</f>
        <v/>
      </c>
      <c r="W164" s="16" t="n"/>
      <c r="X164" s="139" t="n"/>
      <c r="Y164" s="16" t="n"/>
      <c r="Z164" s="139" t="n"/>
      <c r="AA164" s="16" t="n"/>
      <c r="AB164" s="139" t="n"/>
      <c r="AC164" s="16" t="n"/>
      <c r="AD164" s="139" t="n"/>
      <c r="AE164" s="16">
        <f>(W164+Y164+AA164+AC164)</f>
        <v/>
      </c>
      <c r="AF164" s="16" t="n"/>
      <c r="AG164" s="138" t="n"/>
      <c r="AH164" s="16" t="n"/>
      <c r="AI164" s="138" t="n"/>
      <c r="AJ164" s="16" t="n"/>
      <c r="AK164" s="138" t="n"/>
      <c r="AL164" s="16" t="n"/>
      <c r="AM164" s="138" t="n"/>
      <c r="AN164" s="16" t="n"/>
      <c r="AO164" s="138" t="n"/>
      <c r="AP164" s="16" t="n"/>
      <c r="AQ164" s="138" t="n"/>
      <c r="AR164" s="16" t="n"/>
      <c r="AS164" s="138" t="n"/>
      <c r="AT164" s="16" t="n"/>
      <c r="AU164" s="138" t="n"/>
      <c r="AV164" s="16" t="n"/>
      <c r="AW164" s="138" t="n"/>
      <c r="AX164" s="16" t="n"/>
      <c r="AY164" s="138" t="n"/>
      <c r="AZ164" s="16">
        <f>AF164+AH164+AJ164+AL164+AN164+AP164+AR164+AT164+AV164+AX164</f>
        <v/>
      </c>
      <c r="BA164" s="16" t="n"/>
      <c r="BB164" s="139" t="n"/>
      <c r="BC164" s="16" t="n"/>
      <c r="BD164" s="139" t="n"/>
      <c r="BE164" s="16">
        <f>(BA164+BC164)</f>
        <v/>
      </c>
    </row>
    <row r="165">
      <c r="A165" s="9" t="n"/>
      <c r="B165" s="136" t="inlineStr">
        <is>
          <t>CABLE</t>
        </is>
      </c>
      <c r="C165" s="137" t="inlineStr">
        <is>
          <t>COCOON</t>
        </is>
      </c>
      <c r="D165" s="145" t="inlineStr">
        <is>
          <t>에이밍 하네스 2번</t>
        </is>
      </c>
      <c r="E165" s="13" t="inlineStr">
        <is>
          <t>YHM025-02R 180mm, LED BD 2핀, 19+83(사출결합)</t>
        </is>
      </c>
      <c r="F165" s="100" t="n"/>
      <c r="G165" s="9" t="n"/>
      <c r="H165" s="9" t="inlineStr">
        <is>
          <t>HLP</t>
        </is>
      </c>
      <c r="I165" s="14" t="n"/>
      <c r="J165" s="14" t="n"/>
      <c r="K165" s="12" t="n">
        <v>277</v>
      </c>
      <c r="L165" s="9" t="n"/>
      <c r="M165" s="9" t="n"/>
      <c r="N165" s="9" t="n"/>
      <c r="O165" s="40">
        <f>K165+V165-AE165-AZ165</f>
        <v/>
      </c>
      <c r="P165" s="12" t="n"/>
      <c r="Q165" s="138" t="n"/>
      <c r="R165" s="16" t="n"/>
      <c r="S165" s="139" t="n"/>
      <c r="T165" s="16" t="n"/>
      <c r="U165" s="139" t="n"/>
      <c r="V165" s="16">
        <f>P165+R165+T165</f>
        <v/>
      </c>
      <c r="W165" s="16" t="n"/>
      <c r="X165" s="139" t="n"/>
      <c r="Y165" s="16" t="n"/>
      <c r="Z165" s="139" t="n"/>
      <c r="AA165" s="16" t="n"/>
      <c r="AB165" s="139" t="n"/>
      <c r="AC165" s="16" t="n"/>
      <c r="AD165" s="139" t="n"/>
      <c r="AE165" s="16">
        <f>(W165+Y165+AA165+AC165)</f>
        <v/>
      </c>
      <c r="AF165" s="16" t="n"/>
      <c r="AG165" s="138" t="n"/>
      <c r="AH165" s="16" t="n"/>
      <c r="AI165" s="138" t="n"/>
      <c r="AJ165" s="16" t="n"/>
      <c r="AK165" s="138" t="n"/>
      <c r="AL165" s="16" t="n"/>
      <c r="AM165" s="138" t="n"/>
      <c r="AN165" s="16" t="n"/>
      <c r="AO165" s="138" t="n"/>
      <c r="AP165" s="16" t="n"/>
      <c r="AQ165" s="138" t="n"/>
      <c r="AR165" s="16" t="n"/>
      <c r="AS165" s="138" t="n"/>
      <c r="AT165" s="16" t="n"/>
      <c r="AU165" s="138" t="n"/>
      <c r="AV165" s="16" t="n"/>
      <c r="AW165" s="138" t="n"/>
      <c r="AX165" s="16" t="n"/>
      <c r="AY165" s="138" t="n"/>
      <c r="AZ165" s="16">
        <f>AF165+AH165+AJ165+AL165+AN165+AP165+AR165+AT165+AV165+AX165</f>
        <v/>
      </c>
      <c r="BA165" s="16" t="n"/>
      <c r="BB165" s="139" t="n"/>
      <c r="BC165" s="16" t="n"/>
      <c r="BD165" s="139" t="n"/>
      <c r="BE165" s="16">
        <f>(BA165+BC165)</f>
        <v/>
      </c>
    </row>
    <row r="166">
      <c r="A166" s="9" t="n"/>
      <c r="B166" s="136" t="inlineStr">
        <is>
          <t>PANEL</t>
        </is>
      </c>
      <c r="C166" s="137" t="inlineStr">
        <is>
          <t>COCOON</t>
        </is>
      </c>
      <c r="D166" s="143" t="inlineStr">
        <is>
          <t>OLED PANEL</t>
        </is>
      </c>
      <c r="E166" s="13" t="inlineStr">
        <is>
          <t>UG-5664ASWEF01</t>
        </is>
      </c>
      <c r="F166" s="100" t="n"/>
      <c r="G166" s="9" t="n"/>
      <c r="H166" s="9" t="inlineStr">
        <is>
          <t>HLP</t>
        </is>
      </c>
      <c r="I166" s="14" t="n"/>
      <c r="J166" s="14" t="n"/>
      <c r="K166" s="12" t="n">
        <v>0</v>
      </c>
      <c r="L166" s="9" t="n"/>
      <c r="M166" s="9" t="n"/>
      <c r="N166" s="9" t="n"/>
      <c r="O166" s="40">
        <f>K166+V166-AE166-AZ166</f>
        <v/>
      </c>
      <c r="P166" s="12" t="n"/>
      <c r="Q166" s="138" t="n"/>
      <c r="R166" s="16" t="n"/>
      <c r="S166" s="139" t="n"/>
      <c r="T166" s="16" t="n"/>
      <c r="U166" s="139" t="n"/>
      <c r="V166" s="16">
        <f>P166+R166+T166</f>
        <v/>
      </c>
      <c r="W166" s="16" t="n"/>
      <c r="X166" s="139" t="n"/>
      <c r="Y166" s="16" t="n"/>
      <c r="Z166" s="139" t="n"/>
      <c r="AA166" s="16" t="n"/>
      <c r="AB166" s="139" t="n"/>
      <c r="AC166" s="16" t="n"/>
      <c r="AD166" s="139" t="n"/>
      <c r="AE166" s="16">
        <f>(W166+Y166+AA166+AC166)</f>
        <v/>
      </c>
      <c r="AF166" s="16" t="n"/>
      <c r="AG166" s="138" t="n"/>
      <c r="AH166" s="16" t="n"/>
      <c r="AI166" s="138" t="n"/>
      <c r="AJ166" s="16" t="n"/>
      <c r="AK166" s="138" t="n"/>
      <c r="AL166" s="16" t="n"/>
      <c r="AM166" s="138" t="n"/>
      <c r="AN166" s="16" t="n"/>
      <c r="AO166" s="138" t="n"/>
      <c r="AP166" s="16" t="n"/>
      <c r="AQ166" s="138" t="n"/>
      <c r="AR166" s="16" t="n"/>
      <c r="AS166" s="138" t="n"/>
      <c r="AT166" s="16" t="n"/>
      <c r="AU166" s="138" t="n"/>
      <c r="AV166" s="16" t="n"/>
      <c r="AW166" s="138" t="n"/>
      <c r="AX166" s="16" t="n"/>
      <c r="AY166" s="138" t="n"/>
      <c r="AZ166" s="16">
        <f>AF166+AH166+AJ166+AL166+AN166+AP166+AR166+AT166+AV166+AX166</f>
        <v/>
      </c>
      <c r="BA166" s="16" t="n"/>
      <c r="BB166" s="139" t="n"/>
      <c r="BC166" s="16" t="n"/>
      <c r="BD166" s="139" t="n"/>
      <c r="BE166" s="16">
        <f>(BA166+BC166)</f>
        <v/>
      </c>
    </row>
    <row r="167">
      <c r="A167" s="9" t="n"/>
      <c r="B167" s="136" t="inlineStr">
        <is>
          <t>ABS 난연</t>
        </is>
      </c>
      <c r="C167" s="137" t="inlineStr">
        <is>
          <t>COCOON</t>
        </is>
      </c>
      <c r="D167" s="143" t="inlineStr">
        <is>
          <t>TOP BODY</t>
        </is>
      </c>
      <c r="E167" s="13" t="inlineStr">
        <is>
          <t>메탈 실버 유광</t>
        </is>
      </c>
      <c r="F167" s="100" t="n"/>
      <c r="G167" s="9" t="n"/>
      <c r="H167" s="9" t="inlineStr">
        <is>
          <t>천우</t>
        </is>
      </c>
      <c r="I167" s="14" t="n"/>
      <c r="J167" s="14" t="n"/>
      <c r="K167" s="12" t="n">
        <v>303</v>
      </c>
      <c r="L167" s="9" t="n"/>
      <c r="M167" s="9" t="n"/>
      <c r="N167" s="9" t="n"/>
      <c r="O167" s="40">
        <f>K167+V167-AE167-AZ167</f>
        <v/>
      </c>
      <c r="P167" s="12" t="n"/>
      <c r="Q167" s="138" t="n"/>
      <c r="R167" s="16" t="n"/>
      <c r="S167" s="139" t="n"/>
      <c r="T167" s="16" t="n"/>
      <c r="U167" s="139" t="n"/>
      <c r="V167" s="16">
        <f>P167+R167+T167</f>
        <v/>
      </c>
      <c r="W167" s="16" t="n"/>
      <c r="X167" s="139" t="n"/>
      <c r="Y167" s="16" t="n"/>
      <c r="Z167" s="139" t="n"/>
      <c r="AA167" s="16" t="n"/>
      <c r="AB167" s="139" t="n"/>
      <c r="AC167" s="16" t="n"/>
      <c r="AD167" s="139" t="n"/>
      <c r="AE167" s="16">
        <f>(W167+Y167+AA167+AC167)</f>
        <v/>
      </c>
      <c r="AF167" s="16" t="n"/>
      <c r="AG167" s="138" t="n"/>
      <c r="AH167" s="16" t="n"/>
      <c r="AI167" s="138" t="n"/>
      <c r="AJ167" s="16" t="n"/>
      <c r="AK167" s="138" t="n"/>
      <c r="AL167" s="16" t="n"/>
      <c r="AM167" s="138" t="n"/>
      <c r="AN167" s="16" t="n"/>
      <c r="AO167" s="138" t="n"/>
      <c r="AP167" s="16" t="n"/>
      <c r="AQ167" s="138" t="n"/>
      <c r="AR167" s="16" t="n"/>
      <c r="AS167" s="138" t="n"/>
      <c r="AT167" s="16" t="n"/>
      <c r="AU167" s="138" t="n"/>
      <c r="AV167" s="16" t="n"/>
      <c r="AW167" s="138" t="n"/>
      <c r="AX167" s="16" t="n"/>
      <c r="AY167" s="138" t="n"/>
      <c r="AZ167" s="16">
        <f>AF167+AH167+AJ167+AL167+AN167+AP167+AR167+AT167+AV167+AX167</f>
        <v/>
      </c>
      <c r="BA167" s="16" t="n"/>
      <c r="BB167" s="139" t="n"/>
      <c r="BC167" s="16" t="n"/>
      <c r="BD167" s="139" t="n"/>
      <c r="BE167" s="16">
        <f>(BA167+BC167)</f>
        <v/>
      </c>
    </row>
    <row r="168">
      <c r="A168" s="9" t="n"/>
      <c r="B168" s="136" t="inlineStr">
        <is>
          <t>ABS 난연</t>
        </is>
      </c>
      <c r="C168" s="137" t="inlineStr">
        <is>
          <t>COCOON</t>
        </is>
      </c>
      <c r="D168" s="143" t="inlineStr">
        <is>
          <t>BOTTOM BODY</t>
        </is>
      </c>
      <c r="E168" s="13" t="inlineStr">
        <is>
          <t>블랙 유광</t>
        </is>
      </c>
      <c r="F168" s="100" t="n"/>
      <c r="G168" s="9" t="n"/>
      <c r="H168" s="9" t="inlineStr">
        <is>
          <t>천우</t>
        </is>
      </c>
      <c r="I168" s="14" t="n"/>
      <c r="J168" s="14" t="n"/>
      <c r="K168" s="12" t="n">
        <v>0</v>
      </c>
      <c r="L168" s="9" t="n"/>
      <c r="M168" s="9" t="n"/>
      <c r="N168" s="9" t="n"/>
      <c r="O168" s="40">
        <f>K168+V168-AE168-AZ168</f>
        <v/>
      </c>
      <c r="P168" s="12" t="n"/>
      <c r="Q168" s="138" t="n"/>
      <c r="R168" s="16" t="n"/>
      <c r="S168" s="139" t="n"/>
      <c r="T168" s="16" t="n"/>
      <c r="U168" s="139" t="n"/>
      <c r="V168" s="16">
        <f>P168+R168+T168</f>
        <v/>
      </c>
      <c r="W168" s="16" t="n"/>
      <c r="X168" s="139" t="n"/>
      <c r="Y168" s="16" t="n"/>
      <c r="Z168" s="139" t="n"/>
      <c r="AA168" s="16" t="n"/>
      <c r="AB168" s="139" t="n"/>
      <c r="AC168" s="16" t="n"/>
      <c r="AD168" s="139" t="n"/>
      <c r="AE168" s="16">
        <f>(W168+Y168+AA168+AC168)</f>
        <v/>
      </c>
      <c r="AF168" s="16" t="n"/>
      <c r="AG168" s="138" t="n"/>
      <c r="AH168" s="16" t="n"/>
      <c r="AI168" s="138" t="n"/>
      <c r="AJ168" s="16" t="n"/>
      <c r="AK168" s="138" t="n"/>
      <c r="AL168" s="16" t="n"/>
      <c r="AM168" s="138" t="n"/>
      <c r="AN168" s="16" t="n"/>
      <c r="AO168" s="138" t="n"/>
      <c r="AP168" s="16" t="n"/>
      <c r="AQ168" s="138" t="n"/>
      <c r="AR168" s="16" t="n"/>
      <c r="AS168" s="138" t="n"/>
      <c r="AT168" s="16" t="n"/>
      <c r="AU168" s="138" t="n"/>
      <c r="AV168" s="16" t="n"/>
      <c r="AW168" s="138" t="n"/>
      <c r="AX168" s="16" t="n"/>
      <c r="AY168" s="138" t="n"/>
      <c r="AZ168" s="16">
        <f>AF168+AH168+AJ168+AL168+AN168+AP168+AR168+AT168+AV168+AX168</f>
        <v/>
      </c>
      <c r="BA168" s="16" t="n"/>
      <c r="BB168" s="139" t="n"/>
      <c r="BC168" s="16" t="n"/>
      <c r="BD168" s="139" t="n"/>
      <c r="BE168" s="16">
        <f>(BA168+BC168)</f>
        <v/>
      </c>
    </row>
    <row r="169">
      <c r="A169" s="9" t="n"/>
      <c r="B169" s="136" t="inlineStr">
        <is>
          <t>ABS 난연</t>
        </is>
      </c>
      <c r="C169" s="137" t="inlineStr">
        <is>
          <t>COCOON</t>
        </is>
      </c>
      <c r="D169" s="144" t="inlineStr">
        <is>
          <t>OLED GUIDE</t>
        </is>
      </c>
      <c r="E169" s="13" t="inlineStr">
        <is>
          <t>ABS 난연 화이트</t>
        </is>
      </c>
      <c r="F169" s="100" t="n"/>
      <c r="G169" s="9" t="n"/>
      <c r="H169" s="9" t="inlineStr">
        <is>
          <t>천우</t>
        </is>
      </c>
      <c r="I169" s="14" t="n"/>
      <c r="J169" s="14" t="n"/>
      <c r="K169" s="12" t="n">
        <v>0</v>
      </c>
      <c r="L169" s="9" t="n"/>
      <c r="M169" s="9" t="n"/>
      <c r="N169" s="9" t="n"/>
      <c r="O169" s="40">
        <f>K169+V169-AE169-AZ169</f>
        <v/>
      </c>
      <c r="P169" s="12" t="n"/>
      <c r="Q169" s="138" t="n"/>
      <c r="R169" s="16" t="n"/>
      <c r="S169" s="139" t="n"/>
      <c r="T169" s="16" t="n"/>
      <c r="U169" s="139" t="n"/>
      <c r="V169" s="16">
        <f>P169+R169+T169</f>
        <v/>
      </c>
      <c r="W169" s="16" t="n"/>
      <c r="X169" s="139" t="n"/>
      <c r="Y169" s="16" t="n"/>
      <c r="Z169" s="139" t="n"/>
      <c r="AA169" s="16" t="n"/>
      <c r="AB169" s="139" t="n"/>
      <c r="AC169" s="16" t="n"/>
      <c r="AD169" s="139" t="n"/>
      <c r="AE169" s="16">
        <f>(W169+Y169+AA169+AC169)</f>
        <v/>
      </c>
      <c r="AF169" s="16" t="n"/>
      <c r="AG169" s="138" t="n"/>
      <c r="AH169" s="16" t="n"/>
      <c r="AI169" s="138" t="n"/>
      <c r="AJ169" s="16" t="n"/>
      <c r="AK169" s="138" t="n"/>
      <c r="AL169" s="16" t="n"/>
      <c r="AM169" s="138" t="n"/>
      <c r="AN169" s="16" t="n"/>
      <c r="AO169" s="138" t="n"/>
      <c r="AP169" s="16" t="n"/>
      <c r="AQ169" s="138" t="n"/>
      <c r="AR169" s="16" t="n"/>
      <c r="AS169" s="138" t="n"/>
      <c r="AT169" s="16" t="n"/>
      <c r="AU169" s="138" t="n"/>
      <c r="AV169" s="16" t="n"/>
      <c r="AW169" s="138" t="n"/>
      <c r="AX169" s="16" t="n"/>
      <c r="AY169" s="138" t="n"/>
      <c r="AZ169" s="16">
        <f>AF169+AH169+AJ169+AL169+AN169+AP169+AR169+AT169+AV169+AX169</f>
        <v/>
      </c>
      <c r="BA169" s="16" t="n"/>
      <c r="BB169" s="139" t="n"/>
      <c r="BC169" s="16" t="n"/>
      <c r="BD169" s="139" t="n"/>
      <c r="BE169" s="16">
        <f>(BA169+BC169)</f>
        <v/>
      </c>
    </row>
    <row r="170">
      <c r="A170" s="9" t="n"/>
      <c r="B170" s="136" t="inlineStr">
        <is>
          <t>ABS 난연</t>
        </is>
      </c>
      <c r="C170" s="137" t="inlineStr">
        <is>
          <t>COCOON</t>
        </is>
      </c>
      <c r="D170" s="143" t="inlineStr">
        <is>
          <t>POWER BUTTON</t>
        </is>
      </c>
      <c r="E170" s="13" t="inlineStr">
        <is>
          <t>메탈 실버 유광</t>
        </is>
      </c>
      <c r="F170" s="100" t="n"/>
      <c r="G170" s="9" t="n"/>
      <c r="H170" s="9" t="inlineStr">
        <is>
          <t>천우</t>
        </is>
      </c>
      <c r="I170" s="14" t="n"/>
      <c r="J170" s="14" t="n"/>
      <c r="K170" s="12" t="n">
        <v>324</v>
      </c>
      <c r="L170" s="9" t="n"/>
      <c r="M170" s="9" t="n"/>
      <c r="N170" s="9" t="n"/>
      <c r="O170" s="40">
        <f>K170+V170-AE170-AZ170</f>
        <v/>
      </c>
      <c r="P170" s="12" t="n"/>
      <c r="Q170" s="138" t="n"/>
      <c r="R170" s="16" t="n"/>
      <c r="S170" s="139" t="n"/>
      <c r="T170" s="16" t="n"/>
      <c r="U170" s="139" t="n"/>
      <c r="V170" s="16">
        <f>P170+R170+T170</f>
        <v/>
      </c>
      <c r="W170" s="16" t="n"/>
      <c r="X170" s="139" t="n"/>
      <c r="Y170" s="16" t="n"/>
      <c r="Z170" s="139" t="n"/>
      <c r="AA170" s="16" t="n"/>
      <c r="AB170" s="139" t="n"/>
      <c r="AC170" s="16" t="n"/>
      <c r="AD170" s="139" t="n"/>
      <c r="AE170" s="16">
        <f>(W170+Y170+AA170+AC170)</f>
        <v/>
      </c>
      <c r="AF170" s="16" t="n"/>
      <c r="AG170" s="138" t="n"/>
      <c r="AH170" s="16" t="n"/>
      <c r="AI170" s="138" t="n"/>
      <c r="AJ170" s="16" t="n"/>
      <c r="AK170" s="138" t="n"/>
      <c r="AL170" s="16" t="n"/>
      <c r="AM170" s="138" t="n"/>
      <c r="AN170" s="16" t="n"/>
      <c r="AO170" s="138" t="n"/>
      <c r="AP170" s="16" t="n"/>
      <c r="AQ170" s="138" t="n"/>
      <c r="AR170" s="16" t="n"/>
      <c r="AS170" s="138" t="n"/>
      <c r="AT170" s="16" t="n"/>
      <c r="AU170" s="138" t="n"/>
      <c r="AV170" s="16" t="n"/>
      <c r="AW170" s="138" t="n"/>
      <c r="AX170" s="16" t="n"/>
      <c r="AY170" s="138" t="n"/>
      <c r="AZ170" s="16">
        <f>AF170+AH170+AJ170+AL170+AN170+AP170+AR170+AT170+AV170+AX170</f>
        <v/>
      </c>
      <c r="BA170" s="16" t="n"/>
      <c r="BB170" s="139" t="n"/>
      <c r="BC170" s="16" t="n"/>
      <c r="BD170" s="139" t="n"/>
      <c r="BE170" s="16">
        <f>(BA170+BC170)</f>
        <v/>
      </c>
    </row>
    <row r="171">
      <c r="A171" s="9" t="n"/>
      <c r="B171" s="136" t="inlineStr">
        <is>
          <t>ABS 난연</t>
        </is>
      </c>
      <c r="C171" s="137" t="inlineStr">
        <is>
          <t>COCOON</t>
        </is>
      </c>
      <c r="D171" s="144" t="inlineStr">
        <is>
          <t>BUTTON INDICATOR</t>
        </is>
      </c>
      <c r="E171" s="13" t="inlineStr">
        <is>
          <t>ABS 난연 화이트</t>
        </is>
      </c>
      <c r="F171" s="100" t="n"/>
      <c r="G171" s="9" t="n"/>
      <c r="H171" s="9" t="inlineStr">
        <is>
          <t>천우</t>
        </is>
      </c>
      <c r="I171" s="14" t="n"/>
      <c r="J171" s="14" t="n"/>
      <c r="K171" s="12" t="n">
        <v>259</v>
      </c>
      <c r="L171" s="9" t="n"/>
      <c r="M171" s="9" t="n"/>
      <c r="N171" s="9" t="n"/>
      <c r="O171" s="40">
        <f>K171+V171-AE171-AZ171</f>
        <v/>
      </c>
      <c r="P171" s="12" t="n"/>
      <c r="Q171" s="138" t="n"/>
      <c r="R171" s="16" t="n"/>
      <c r="S171" s="139" t="n"/>
      <c r="T171" s="16" t="n"/>
      <c r="U171" s="139" t="n"/>
      <c r="V171" s="16">
        <f>P171+R171+T171</f>
        <v/>
      </c>
      <c r="W171" s="16" t="n"/>
      <c r="X171" s="139" t="n"/>
      <c r="Y171" s="16" t="n"/>
      <c r="Z171" s="139" t="n"/>
      <c r="AA171" s="16" t="n"/>
      <c r="AB171" s="139" t="n"/>
      <c r="AC171" s="16" t="n"/>
      <c r="AD171" s="139" t="n"/>
      <c r="AE171" s="16">
        <f>(W171+Y171+AA171+AC171)</f>
        <v/>
      </c>
      <c r="AF171" s="16" t="n"/>
      <c r="AG171" s="138" t="n"/>
      <c r="AH171" s="16" t="n"/>
      <c r="AI171" s="138" t="n"/>
      <c r="AJ171" s="16" t="n"/>
      <c r="AK171" s="138" t="n"/>
      <c r="AL171" s="16" t="n"/>
      <c r="AM171" s="138" t="n"/>
      <c r="AN171" s="16" t="n"/>
      <c r="AO171" s="138" t="n"/>
      <c r="AP171" s="16" t="n"/>
      <c r="AQ171" s="138" t="n"/>
      <c r="AR171" s="16" t="n"/>
      <c r="AS171" s="138" t="n"/>
      <c r="AT171" s="16" t="n"/>
      <c r="AU171" s="138" t="n"/>
      <c r="AV171" s="16" t="n"/>
      <c r="AW171" s="138" t="n"/>
      <c r="AX171" s="16" t="n"/>
      <c r="AY171" s="138" t="n"/>
      <c r="AZ171" s="16">
        <f>AF171+AH171+AJ171+AL171+AN171+AP171+AR171+AT171+AV171+AX171</f>
        <v/>
      </c>
      <c r="BA171" s="16" t="n"/>
      <c r="BB171" s="139" t="n"/>
      <c r="BC171" s="16" t="n"/>
      <c r="BD171" s="139" t="n"/>
      <c r="BE171" s="16">
        <f>(BA171+BC171)</f>
        <v/>
      </c>
    </row>
    <row r="172">
      <c r="A172" s="9" t="n"/>
      <c r="B172" s="136" t="inlineStr">
        <is>
          <t>ABS 난연</t>
        </is>
      </c>
      <c r="C172" s="137" t="inlineStr">
        <is>
          <t>COCOON</t>
        </is>
      </c>
      <c r="D172" s="143" t="inlineStr">
        <is>
          <t>TOUCH DUMMY</t>
        </is>
      </c>
      <c r="E172" s="13" t="inlineStr">
        <is>
          <t>확산 아크릴</t>
        </is>
      </c>
      <c r="F172" s="100" t="n"/>
      <c r="G172" s="9" t="n"/>
      <c r="H172" s="9" t="inlineStr">
        <is>
          <t>천우</t>
        </is>
      </c>
      <c r="I172" s="14" t="n"/>
      <c r="J172" s="14" t="n"/>
      <c r="K172" s="12" t="n">
        <v>156</v>
      </c>
      <c r="L172" s="9" t="n"/>
      <c r="M172" s="9" t="n"/>
      <c r="N172" s="9" t="n"/>
      <c r="O172" s="40">
        <f>K172+V172-AE172-AZ172</f>
        <v/>
      </c>
      <c r="P172" s="12" t="n"/>
      <c r="Q172" s="138" t="n"/>
      <c r="R172" s="16" t="n"/>
      <c r="S172" s="139" t="n"/>
      <c r="T172" s="16" t="n"/>
      <c r="U172" s="139" t="n"/>
      <c r="V172" s="16">
        <f>P172+R172+T172</f>
        <v/>
      </c>
      <c r="W172" s="16" t="n"/>
      <c r="X172" s="139" t="n"/>
      <c r="Y172" s="16" t="n"/>
      <c r="Z172" s="139" t="n"/>
      <c r="AA172" s="16" t="n"/>
      <c r="AB172" s="139" t="n"/>
      <c r="AC172" s="16" t="n"/>
      <c r="AD172" s="139" t="n"/>
      <c r="AE172" s="16">
        <f>(W172+Y172+AA172+AC172)</f>
        <v/>
      </c>
      <c r="AF172" s="16" t="n"/>
      <c r="AG172" s="138" t="n"/>
      <c r="AH172" s="16" t="n"/>
      <c r="AI172" s="138" t="n"/>
      <c r="AJ172" s="16" t="n"/>
      <c r="AK172" s="138" t="n"/>
      <c r="AL172" s="16" t="n"/>
      <c r="AM172" s="138" t="n"/>
      <c r="AN172" s="16" t="n"/>
      <c r="AO172" s="138" t="n"/>
      <c r="AP172" s="16" t="n"/>
      <c r="AQ172" s="138" t="n"/>
      <c r="AR172" s="16" t="n"/>
      <c r="AS172" s="138" t="n"/>
      <c r="AT172" s="16" t="n"/>
      <c r="AU172" s="138" t="n"/>
      <c r="AV172" s="16" t="n"/>
      <c r="AW172" s="138" t="n"/>
      <c r="AX172" s="16" t="n"/>
      <c r="AY172" s="138" t="n"/>
      <c r="AZ172" s="16">
        <f>AF172+AH172+AJ172+AL172+AN172+AP172+AR172+AT172+AV172+AX172</f>
        <v/>
      </c>
      <c r="BA172" s="16" t="n"/>
      <c r="BB172" s="139" t="n"/>
      <c r="BC172" s="16" t="n"/>
      <c r="BD172" s="139" t="n"/>
      <c r="BE172" s="16">
        <f>(BA172+BC172)</f>
        <v/>
      </c>
    </row>
    <row r="173">
      <c r="A173" s="9" t="n"/>
      <c r="B173" s="136" t="inlineStr">
        <is>
          <t>ABS 난연</t>
        </is>
      </c>
      <c r="C173" s="137" t="inlineStr">
        <is>
          <t>COCOON</t>
        </is>
      </c>
      <c r="D173" s="144" t="inlineStr">
        <is>
          <t>LOCK KNOB</t>
        </is>
      </c>
      <c r="E173" s="13" t="inlineStr">
        <is>
          <t>메탈 실버 유광</t>
        </is>
      </c>
      <c r="F173" s="100" t="n"/>
      <c r="G173" s="9" t="n"/>
      <c r="H173" s="9" t="inlineStr">
        <is>
          <t>천우</t>
        </is>
      </c>
      <c r="I173" s="14" t="n"/>
      <c r="J173" s="14" t="n"/>
      <c r="K173" s="12" t="n">
        <v>69</v>
      </c>
      <c r="L173" s="9" t="n"/>
      <c r="M173" s="9" t="n"/>
      <c r="N173" s="9" t="n"/>
      <c r="O173" s="40">
        <f>K173+V173-AE173-AZ173</f>
        <v/>
      </c>
      <c r="P173" s="12" t="n"/>
      <c r="Q173" s="138" t="n"/>
      <c r="R173" s="16" t="n"/>
      <c r="S173" s="139" t="n"/>
      <c r="T173" s="16" t="n"/>
      <c r="U173" s="139" t="n"/>
      <c r="V173" s="16">
        <f>P173+R173+T173</f>
        <v/>
      </c>
      <c r="W173" s="16" t="n"/>
      <c r="X173" s="139" t="n"/>
      <c r="Y173" s="16" t="n"/>
      <c r="Z173" s="139" t="n"/>
      <c r="AA173" s="25" t="n"/>
      <c r="AB173" s="139" t="n"/>
      <c r="AC173" s="25" t="n"/>
      <c r="AD173" s="139" t="n"/>
      <c r="AE173" s="16">
        <f>(W173+Y173+AA173+AC173)</f>
        <v/>
      </c>
      <c r="AF173" s="16" t="n"/>
      <c r="AG173" s="138" t="n"/>
      <c r="AH173" s="16" t="n"/>
      <c r="AI173" s="138" t="n"/>
      <c r="AJ173" s="16" t="n"/>
      <c r="AK173" s="138" t="n"/>
      <c r="AL173" s="16" t="n"/>
      <c r="AM173" s="138" t="n"/>
      <c r="AN173" s="16" t="n"/>
      <c r="AO173" s="138" t="n"/>
      <c r="AP173" s="16" t="n"/>
      <c r="AQ173" s="138" t="n"/>
      <c r="AR173" s="16" t="n"/>
      <c r="AS173" s="138" t="n"/>
      <c r="AT173" s="16" t="n"/>
      <c r="AU173" s="138" t="n"/>
      <c r="AV173" s="16" t="n"/>
      <c r="AW173" s="138" t="n"/>
      <c r="AX173" s="16" t="n"/>
      <c r="AY173" s="138" t="n"/>
      <c r="AZ173" s="16">
        <f>AF173+AH173+AJ173+AL173+AN173+AP173+AR173+AT173+AV173+AX173</f>
        <v/>
      </c>
      <c r="BA173" s="16" t="n"/>
      <c r="BB173" s="139" t="n"/>
      <c r="BC173" s="16" t="n"/>
      <c r="BD173" s="139" t="n"/>
      <c r="BE173" s="16">
        <f>(BA173+BC173)</f>
        <v/>
      </c>
    </row>
    <row r="174">
      <c r="A174" s="9" t="n"/>
      <c r="B174" s="136" t="inlineStr">
        <is>
          <t>ABS 난연</t>
        </is>
      </c>
      <c r="C174" s="137" t="inlineStr">
        <is>
          <t>COCOON</t>
        </is>
      </c>
      <c r="D174" s="143" t="inlineStr">
        <is>
          <t>LOCK INNER</t>
        </is>
      </c>
      <c r="E174" s="13" t="inlineStr">
        <is>
          <t>메탈 실버</t>
        </is>
      </c>
      <c r="F174" s="100" t="n"/>
      <c r="G174" s="9" t="n"/>
      <c r="H174" s="9" t="inlineStr">
        <is>
          <t>천우</t>
        </is>
      </c>
      <c r="I174" s="14" t="n"/>
      <c r="J174" s="14" t="n"/>
      <c r="K174" s="12" t="n">
        <v>29</v>
      </c>
      <c r="L174" s="9" t="n"/>
      <c r="M174" s="9" t="n"/>
      <c r="N174" s="9" t="n"/>
      <c r="O174" s="40">
        <f>K174+V174-AE174-AZ174</f>
        <v/>
      </c>
      <c r="P174" s="12" t="n"/>
      <c r="Q174" s="138" t="n"/>
      <c r="R174" s="16" t="n"/>
      <c r="S174" s="139" t="n"/>
      <c r="T174" s="16" t="n"/>
      <c r="U174" s="139" t="n"/>
      <c r="V174" s="16">
        <f>P174+R174+T174</f>
        <v/>
      </c>
      <c r="W174" s="16" t="n"/>
      <c r="X174" s="139" t="n"/>
      <c r="Y174" s="16" t="n"/>
      <c r="Z174" s="139" t="n"/>
      <c r="AA174" s="16" t="n"/>
      <c r="AB174" s="139" t="n"/>
      <c r="AC174" s="16" t="n"/>
      <c r="AD174" s="139" t="n"/>
      <c r="AE174" s="16">
        <f>(W174+Y174+AA174+AC174)</f>
        <v/>
      </c>
      <c r="AF174" s="16" t="n"/>
      <c r="AG174" s="138" t="n"/>
      <c r="AH174" s="16" t="n"/>
      <c r="AI174" s="138" t="n"/>
      <c r="AJ174" s="16" t="n"/>
      <c r="AK174" s="138" t="n"/>
      <c r="AL174" s="16" t="n"/>
      <c r="AM174" s="138" t="n"/>
      <c r="AN174" s="16" t="n"/>
      <c r="AO174" s="138" t="n"/>
      <c r="AP174" s="16" t="n"/>
      <c r="AQ174" s="138" t="n"/>
      <c r="AR174" s="16" t="n"/>
      <c r="AS174" s="138" t="n"/>
      <c r="AT174" s="16" t="n"/>
      <c r="AU174" s="138" t="n"/>
      <c r="AV174" s="16" t="n"/>
      <c r="AW174" s="138" t="n"/>
      <c r="AX174" s="16" t="n"/>
      <c r="AY174" s="138" t="n"/>
      <c r="AZ174" s="16">
        <f>AF174+AH174+AJ174+AL174+AN174+AP174+AR174+AT174+AV174+AX174</f>
        <v/>
      </c>
      <c r="BA174" s="16" t="n"/>
      <c r="BB174" s="139" t="n"/>
      <c r="BC174" s="16" t="n"/>
      <c r="BD174" s="139" t="n"/>
      <c r="BE174" s="16">
        <f>(BA174+BC174)</f>
        <v/>
      </c>
    </row>
    <row r="175">
      <c r="A175" s="9" t="n"/>
      <c r="B175" s="136" t="inlineStr">
        <is>
          <t>ABS 난연</t>
        </is>
      </c>
      <c r="C175" s="137" t="inlineStr">
        <is>
          <t>COCOON</t>
        </is>
      </c>
      <c r="D175" s="144" t="inlineStr">
        <is>
          <t>FRONT_S (18cm)</t>
        </is>
      </c>
      <c r="E175" s="13" t="inlineStr">
        <is>
          <t>블랙 유광</t>
        </is>
      </c>
      <c r="F175" s="100" t="n"/>
      <c r="G175" s="9" t="n"/>
      <c r="H175" s="9" t="inlineStr">
        <is>
          <t>천우</t>
        </is>
      </c>
      <c r="I175" s="14" t="n"/>
      <c r="J175" s="14" t="n"/>
      <c r="K175" s="12" t="n">
        <v>207</v>
      </c>
      <c r="L175" s="9" t="n"/>
      <c r="M175" s="9" t="n"/>
      <c r="N175" s="9" t="n"/>
      <c r="O175" s="40">
        <f>K175+V175-AE175-AZ175</f>
        <v/>
      </c>
      <c r="P175" s="12" t="n"/>
      <c r="Q175" s="138" t="n"/>
      <c r="R175" s="12" t="n"/>
      <c r="S175" s="138" t="n"/>
      <c r="T175" s="16" t="n"/>
      <c r="U175" s="139" t="n"/>
      <c r="V175" s="16">
        <f>P175+R175+T175</f>
        <v/>
      </c>
      <c r="W175" s="16" t="n"/>
      <c r="X175" s="139" t="n"/>
      <c r="Y175" s="16" t="n"/>
      <c r="Z175" s="139" t="n"/>
      <c r="AA175" s="16" t="n"/>
      <c r="AB175" s="139" t="n"/>
      <c r="AC175" s="16" t="n"/>
      <c r="AD175" s="139" t="n"/>
      <c r="AE175" s="16">
        <f>(W175+Y175+AA175+AC175)</f>
        <v/>
      </c>
      <c r="AF175" s="16" t="n"/>
      <c r="AG175" s="138" t="n"/>
      <c r="AH175" s="16" t="n"/>
      <c r="AI175" s="138" t="n"/>
      <c r="AJ175" s="16" t="n"/>
      <c r="AK175" s="138" t="n"/>
      <c r="AL175" s="16" t="n"/>
      <c r="AM175" s="138" t="n"/>
      <c r="AN175" s="16" t="n"/>
      <c r="AO175" s="138" t="n"/>
      <c r="AP175" s="16" t="n"/>
      <c r="AQ175" s="138" t="n"/>
      <c r="AR175" s="16" t="n"/>
      <c r="AS175" s="138" t="n"/>
      <c r="AT175" s="16" t="n"/>
      <c r="AU175" s="138" t="n"/>
      <c r="AV175" s="16" t="n"/>
      <c r="AW175" s="138" t="n"/>
      <c r="AX175" s="16" t="n"/>
      <c r="AY175" s="138" t="n"/>
      <c r="AZ175" s="16">
        <f>AF175+AH175+AJ175+AL175+AN175+AP175+AR175+AT175+AV175+AX175</f>
        <v/>
      </c>
      <c r="BA175" s="16" t="n"/>
      <c r="BB175" s="139" t="n"/>
      <c r="BC175" s="16" t="n"/>
      <c r="BD175" s="139" t="n"/>
      <c r="BE175" s="16">
        <f>(BA175+BC175)</f>
        <v/>
      </c>
    </row>
    <row r="176">
      <c r="A176" s="9" t="n"/>
      <c r="B176" s="136" t="inlineStr">
        <is>
          <t>ABS 난연</t>
        </is>
      </c>
      <c r="C176" s="137" t="inlineStr">
        <is>
          <t>COCOON</t>
        </is>
      </c>
      <c r="D176" s="149" t="inlineStr">
        <is>
          <t>FRONT_L (20cm)</t>
        </is>
      </c>
      <c r="E176" s="13" t="inlineStr">
        <is>
          <t>ABS 난연 블랙 + 블랙 유광</t>
        </is>
      </c>
      <c r="F176" s="100" t="n"/>
      <c r="G176" s="9" t="n"/>
      <c r="H176" s="9" t="inlineStr">
        <is>
          <t>천우</t>
        </is>
      </c>
      <c r="I176" s="14" t="n"/>
      <c r="J176" s="14" t="n"/>
      <c r="K176" s="12" t="n">
        <v>165</v>
      </c>
      <c r="L176" s="9" t="n"/>
      <c r="M176" s="9" t="n"/>
      <c r="N176" s="9" t="n"/>
      <c r="O176" s="40">
        <f>K176+V176-AE176-AZ176</f>
        <v/>
      </c>
      <c r="P176" s="12" t="n"/>
      <c r="Q176" s="138" t="n"/>
      <c r="R176" s="16" t="n"/>
      <c r="S176" s="139" t="n"/>
      <c r="T176" s="16" t="n"/>
      <c r="U176" s="139" t="n"/>
      <c r="V176" s="16">
        <f>P176+R176+T176</f>
        <v/>
      </c>
      <c r="W176" s="16" t="n"/>
      <c r="X176" s="139" t="n"/>
      <c r="Y176" s="16" t="n"/>
      <c r="Z176" s="139" t="n"/>
      <c r="AA176" s="16" t="n"/>
      <c r="AB176" s="139" t="n"/>
      <c r="AC176" s="16" t="n"/>
      <c r="AD176" s="139" t="n"/>
      <c r="AE176" s="16">
        <f>(W176+Y176+AA176+AC176)</f>
        <v/>
      </c>
      <c r="AF176" s="16" t="n"/>
      <c r="AG176" s="138" t="n"/>
      <c r="AH176" s="16" t="n"/>
      <c r="AI176" s="138" t="n"/>
      <c r="AJ176" s="16" t="n"/>
      <c r="AK176" s="138" t="n"/>
      <c r="AL176" s="16" t="n"/>
      <c r="AM176" s="138" t="n"/>
      <c r="AN176" s="16" t="n"/>
      <c r="AO176" s="138" t="n"/>
      <c r="AP176" s="16" t="n"/>
      <c r="AQ176" s="138" t="n"/>
      <c r="AR176" s="16" t="n"/>
      <c r="AS176" s="138" t="n"/>
      <c r="AT176" s="16" t="n"/>
      <c r="AU176" s="138" t="n"/>
      <c r="AV176" s="16" t="n"/>
      <c r="AW176" s="138" t="n"/>
      <c r="AX176" s="16" t="n"/>
      <c r="AY176" s="138" t="n"/>
      <c r="AZ176" s="16">
        <f>AF176+AH176+AJ176+AL176+AN176+AP176+AR176+AT176+AV176+AX176</f>
        <v/>
      </c>
      <c r="BA176" s="16" t="n"/>
      <c r="BB176" s="139" t="n"/>
      <c r="BC176" s="16" t="n"/>
      <c r="BD176" s="139" t="n"/>
      <c r="BE176" s="16">
        <f>(BA176+BC176)</f>
        <v/>
      </c>
    </row>
    <row r="177">
      <c r="A177" s="9" t="n"/>
      <c r="B177" s="136" t="inlineStr">
        <is>
          <t>ABS 난연</t>
        </is>
      </c>
      <c r="C177" s="137" t="inlineStr">
        <is>
          <t>COCOON</t>
        </is>
      </c>
      <c r="D177" s="149" t="inlineStr">
        <is>
          <t>FRONT_CAP</t>
        </is>
      </c>
      <c r="E177" s="13" t="inlineStr">
        <is>
          <t>블랙 유광</t>
        </is>
      </c>
      <c r="F177" s="100" t="n"/>
      <c r="G177" s="9" t="n"/>
      <c r="H177" s="9" t="inlineStr">
        <is>
          <t>천우</t>
        </is>
      </c>
      <c r="I177" s="14" t="n"/>
      <c r="J177" s="14" t="n"/>
      <c r="K177" s="12" t="n">
        <v>248</v>
      </c>
      <c r="L177" s="9" t="n"/>
      <c r="M177" s="9" t="n"/>
      <c r="N177" s="9" t="n"/>
      <c r="O177" s="40">
        <f>K177+V177-AE177-AZ177</f>
        <v/>
      </c>
      <c r="P177" s="12" t="n"/>
      <c r="Q177" s="138" t="n"/>
      <c r="R177" s="16" t="n"/>
      <c r="S177" s="139" t="n"/>
      <c r="T177" s="16" t="n"/>
      <c r="U177" s="139" t="n"/>
      <c r="V177" s="16">
        <f>P177+R177+T177</f>
        <v/>
      </c>
      <c r="W177" s="16" t="n"/>
      <c r="X177" s="139" t="n"/>
      <c r="Y177" s="16" t="n"/>
      <c r="Z177" s="139" t="n"/>
      <c r="AA177" s="16" t="n"/>
      <c r="AB177" s="139" t="n"/>
      <c r="AC177" s="16" t="n"/>
      <c r="AD177" s="139" t="n"/>
      <c r="AE177" s="16">
        <f>(W177+Y177+AA177+AC177)</f>
        <v/>
      </c>
      <c r="AF177" s="16" t="n"/>
      <c r="AG177" s="138" t="n"/>
      <c r="AH177" s="16" t="n"/>
      <c r="AI177" s="138" t="n"/>
      <c r="AJ177" s="16" t="n"/>
      <c r="AK177" s="138" t="n"/>
      <c r="AL177" s="16" t="n"/>
      <c r="AM177" s="138" t="n"/>
      <c r="AN177" s="16" t="n"/>
      <c r="AO177" s="138" t="n"/>
      <c r="AP177" s="16" t="n"/>
      <c r="AQ177" s="138" t="n"/>
      <c r="AR177" s="16" t="n"/>
      <c r="AS177" s="138" t="n"/>
      <c r="AT177" s="16" t="n"/>
      <c r="AU177" s="138" t="n"/>
      <c r="AV177" s="16" t="n"/>
      <c r="AW177" s="138" t="n"/>
      <c r="AX177" s="16" t="n"/>
      <c r="AY177" s="138" t="n"/>
      <c r="AZ177" s="16">
        <f>AF177+AH177+AJ177+AL177+AN177+AP177+AR177+AT177+AV177+AX177</f>
        <v/>
      </c>
      <c r="BA177" s="16" t="n"/>
      <c r="BB177" s="139" t="n"/>
      <c r="BC177" s="16" t="n"/>
      <c r="BD177" s="139" t="n"/>
      <c r="BE177" s="16">
        <f>(BA177+BC177)</f>
        <v/>
      </c>
    </row>
    <row r="178">
      <c r="A178" s="9" t="n"/>
      <c r="B178" s="136" t="inlineStr">
        <is>
          <t>ABS 난연</t>
        </is>
      </c>
      <c r="C178" s="137" t="inlineStr">
        <is>
          <t>COCOON</t>
        </is>
      </c>
      <c r="D178" s="149" t="inlineStr">
        <is>
          <t>에이밍 앞 사출</t>
        </is>
      </c>
      <c r="E178" s="13" t="inlineStr">
        <is>
          <t>블랙 유광</t>
        </is>
      </c>
      <c r="F178" s="100" t="n"/>
      <c r="G178" s="9" t="n"/>
      <c r="H178" s="9" t="inlineStr">
        <is>
          <t>천우</t>
        </is>
      </c>
      <c r="I178" s="14" t="n"/>
      <c r="J178" s="14" t="n"/>
      <c r="K178" s="12" t="n">
        <v>295</v>
      </c>
      <c r="L178" s="9" t="n"/>
      <c r="M178" s="9" t="n"/>
      <c r="N178" s="9" t="n"/>
      <c r="O178" s="40">
        <f>K178+V178-AE178-AZ178</f>
        <v/>
      </c>
      <c r="P178" s="12" t="n"/>
      <c r="Q178" s="138" t="n"/>
      <c r="R178" s="16" t="n"/>
      <c r="S178" s="139" t="n"/>
      <c r="T178" s="16" t="n"/>
      <c r="U178" s="139" t="n"/>
      <c r="V178" s="16">
        <f>P178+R178+T178</f>
        <v/>
      </c>
      <c r="W178" s="16" t="n"/>
      <c r="X178" s="139" t="n"/>
      <c r="Y178" s="16" t="n"/>
      <c r="Z178" s="139" t="n"/>
      <c r="AA178" s="16" t="n"/>
      <c r="AB178" s="139" t="n"/>
      <c r="AC178" s="16" t="n"/>
      <c r="AD178" s="139" t="n"/>
      <c r="AE178" s="16">
        <f>(W178+Y178+AA178+AC178)</f>
        <v/>
      </c>
      <c r="AF178" s="16" t="n"/>
      <c r="AG178" s="138" t="n"/>
      <c r="AH178" s="16" t="n"/>
      <c r="AI178" s="138" t="n"/>
      <c r="AJ178" s="16" t="n"/>
      <c r="AK178" s="138" t="n"/>
      <c r="AL178" s="16" t="n"/>
      <c r="AM178" s="138" t="n"/>
      <c r="AN178" s="16" t="n"/>
      <c r="AO178" s="138" t="n"/>
      <c r="AP178" s="16" t="n"/>
      <c r="AQ178" s="138" t="n"/>
      <c r="AR178" s="16" t="n"/>
      <c r="AS178" s="138" t="n"/>
      <c r="AT178" s="16" t="n"/>
      <c r="AU178" s="138" t="n"/>
      <c r="AV178" s="16" t="n"/>
      <c r="AW178" s="138" t="n"/>
      <c r="AX178" s="16" t="n"/>
      <c r="AY178" s="138" t="n"/>
      <c r="AZ178" s="16">
        <f>AF178+AH178+AJ178+AL178+AN178+AP178+AR178+AT178+AV178+AX178</f>
        <v/>
      </c>
      <c r="BA178" s="16" t="n"/>
      <c r="BB178" s="139" t="n"/>
      <c r="BC178" s="16" t="n"/>
      <c r="BD178" s="139" t="n"/>
      <c r="BE178" s="16">
        <f>(BA178+BC178)</f>
        <v/>
      </c>
    </row>
    <row r="179">
      <c r="A179" s="9" t="n"/>
      <c r="B179" s="136" t="inlineStr">
        <is>
          <t>ABS 난연</t>
        </is>
      </c>
      <c r="C179" s="137" t="inlineStr">
        <is>
          <t>COCOON</t>
        </is>
      </c>
      <c r="D179" s="149" t="inlineStr">
        <is>
          <t>CONE GUIDE_S (18cm)</t>
        </is>
      </c>
      <c r="E179" s="13" t="inlineStr">
        <is>
          <t>ABS 난연 화이트</t>
        </is>
      </c>
      <c r="F179" s="100" t="n"/>
      <c r="G179" s="9" t="n"/>
      <c r="H179" s="9" t="inlineStr">
        <is>
          <t>천우</t>
        </is>
      </c>
      <c r="I179" s="14" t="n"/>
      <c r="J179" s="14" t="n"/>
      <c r="K179" s="12" t="n">
        <v>260</v>
      </c>
      <c r="L179" s="9" t="n"/>
      <c r="M179" s="9" t="n"/>
      <c r="N179" s="9" t="n"/>
      <c r="O179" s="40">
        <f>K179+V179-AE179-AZ179</f>
        <v/>
      </c>
      <c r="P179" s="12" t="n"/>
      <c r="Q179" s="138" t="n"/>
      <c r="R179" s="16" t="n"/>
      <c r="S179" s="139" t="n"/>
      <c r="T179" s="16" t="n"/>
      <c r="U179" s="139" t="n"/>
      <c r="V179" s="16">
        <f>P179+R179+T179</f>
        <v/>
      </c>
      <c r="W179" s="16" t="n"/>
      <c r="X179" s="139" t="n"/>
      <c r="Y179" s="16" t="n"/>
      <c r="Z179" s="139" t="n"/>
      <c r="AA179" s="16" t="n"/>
      <c r="AB179" s="139" t="n"/>
      <c r="AC179" s="16" t="n"/>
      <c r="AD179" s="139" t="n"/>
      <c r="AE179" s="16">
        <f>(W179+Y179+AA179+AC179)</f>
        <v/>
      </c>
      <c r="AF179" s="16" t="n"/>
      <c r="AG179" s="138" t="n"/>
      <c r="AH179" s="16" t="n"/>
      <c r="AI179" s="138" t="n"/>
      <c r="AJ179" s="16" t="n"/>
      <c r="AK179" s="138" t="n"/>
      <c r="AL179" s="16" t="n"/>
      <c r="AM179" s="138" t="n"/>
      <c r="AN179" s="16" t="n"/>
      <c r="AO179" s="138" t="n"/>
      <c r="AP179" s="16" t="n"/>
      <c r="AQ179" s="138" t="n"/>
      <c r="AR179" s="16" t="n"/>
      <c r="AS179" s="138" t="n"/>
      <c r="AT179" s="16" t="n"/>
      <c r="AU179" s="138" t="n"/>
      <c r="AV179" s="16" t="n"/>
      <c r="AW179" s="138" t="n"/>
      <c r="AX179" s="16" t="n"/>
      <c r="AY179" s="138" t="n"/>
      <c r="AZ179" s="16">
        <f>AF179+AH179+AJ179+AL179+AN179+AP179+AR179+AT179+AV179+AX179</f>
        <v/>
      </c>
      <c r="BA179" s="16" t="n"/>
      <c r="BB179" s="139" t="n"/>
      <c r="BC179" s="16" t="n"/>
      <c r="BD179" s="139" t="n"/>
      <c r="BE179" s="16">
        <f>(BA179+BC179)</f>
        <v/>
      </c>
    </row>
    <row r="180">
      <c r="A180" s="9" t="n"/>
      <c r="B180" s="136" t="inlineStr">
        <is>
          <t>ABS 난연</t>
        </is>
      </c>
      <c r="C180" s="137" t="inlineStr">
        <is>
          <t>COCOON</t>
        </is>
      </c>
      <c r="D180" s="143" t="inlineStr">
        <is>
          <t>CONE GUIDE_L (20cm)</t>
        </is>
      </c>
      <c r="E180" s="13" t="inlineStr">
        <is>
          <t>ABS 난연 화이트</t>
        </is>
      </c>
      <c r="F180" s="100" t="n"/>
      <c r="G180" s="9" t="n"/>
      <c r="H180" s="9" t="inlineStr">
        <is>
          <t>천우</t>
        </is>
      </c>
      <c r="I180" s="14" t="n"/>
      <c r="J180" s="14" t="n"/>
      <c r="K180" s="12" t="n">
        <v>420</v>
      </c>
      <c r="L180" s="9" t="n"/>
      <c r="M180" s="9" t="n"/>
      <c r="N180" s="9" t="n"/>
      <c r="O180" s="40">
        <f>K180+V180-AE180-AZ180</f>
        <v/>
      </c>
      <c r="P180" s="12" t="n"/>
      <c r="Q180" s="138" t="n"/>
      <c r="R180" s="16" t="n"/>
      <c r="S180" s="139" t="n"/>
      <c r="T180" s="16" t="n"/>
      <c r="U180" s="139" t="n"/>
      <c r="V180" s="16">
        <f>P180+R180+T180</f>
        <v/>
      </c>
      <c r="W180" s="16" t="n"/>
      <c r="X180" s="139" t="n"/>
      <c r="Y180" s="16" t="n"/>
      <c r="Z180" s="139" t="n"/>
      <c r="AA180" s="16" t="n"/>
      <c r="AB180" s="139" t="n"/>
      <c r="AC180" s="16" t="n"/>
      <c r="AD180" s="139" t="n"/>
      <c r="AE180" s="16">
        <f>(W180+Y180+AA180+AC180)</f>
        <v/>
      </c>
      <c r="AF180" s="16" t="n"/>
      <c r="AG180" s="138" t="n"/>
      <c r="AH180" s="16" t="n"/>
      <c r="AI180" s="138" t="n"/>
      <c r="AJ180" s="16" t="n"/>
      <c r="AK180" s="138" t="n"/>
      <c r="AL180" s="16" t="n"/>
      <c r="AM180" s="138" t="n"/>
      <c r="AN180" s="16" t="n"/>
      <c r="AO180" s="138" t="n"/>
      <c r="AP180" s="16" t="n"/>
      <c r="AQ180" s="138" t="n"/>
      <c r="AR180" s="16" t="n"/>
      <c r="AS180" s="138" t="n"/>
      <c r="AT180" s="16" t="n"/>
      <c r="AU180" s="138" t="n"/>
      <c r="AV180" s="16" t="n"/>
      <c r="AW180" s="138" t="n"/>
      <c r="AX180" s="16" t="n"/>
      <c r="AY180" s="138" t="n"/>
      <c r="AZ180" s="16">
        <f>AF180+AH180+AJ180+AL180+AN180+AP180+AR180+AT180+AV180+AX180</f>
        <v/>
      </c>
      <c r="BA180" s="16" t="n"/>
      <c r="BB180" s="139" t="n"/>
      <c r="BC180" s="16" t="n"/>
      <c r="BD180" s="139" t="n"/>
      <c r="BE180" s="16">
        <f>(BA180+BC180)</f>
        <v/>
      </c>
    </row>
    <row r="181">
      <c r="A181" s="9" t="n"/>
      <c r="B181" s="136" t="inlineStr">
        <is>
          <t>ABS 난연</t>
        </is>
      </c>
      <c r="C181" s="137" t="inlineStr">
        <is>
          <t>COCOON</t>
        </is>
      </c>
      <c r="D181" s="145" t="inlineStr">
        <is>
          <t>HAND BODY</t>
        </is>
      </c>
      <c r="E181" s="13" t="inlineStr">
        <is>
          <t>메탈 실버 유광</t>
        </is>
      </c>
      <c r="F181" s="100" t="n"/>
      <c r="G181" s="9" t="n"/>
      <c r="H181" s="9" t="inlineStr">
        <is>
          <t>천우</t>
        </is>
      </c>
      <c r="I181" s="14" t="n"/>
      <c r="J181" s="14" t="n"/>
      <c r="K181" s="12" t="n">
        <v>80</v>
      </c>
      <c r="L181" s="9" t="n"/>
      <c r="M181" s="9" t="n"/>
      <c r="N181" s="9" t="n"/>
      <c r="O181" s="40">
        <f>K181+V181-AE181-AZ181</f>
        <v/>
      </c>
      <c r="P181" s="12" t="n"/>
      <c r="Q181" s="138" t="n"/>
      <c r="R181" s="16" t="n"/>
      <c r="S181" s="139" t="n"/>
      <c r="T181" s="16" t="n"/>
      <c r="U181" s="139" t="n"/>
      <c r="V181" s="16">
        <f>P181+R181+T181</f>
        <v/>
      </c>
      <c r="W181" s="16" t="n"/>
      <c r="X181" s="139" t="n"/>
      <c r="Y181" s="16" t="n"/>
      <c r="Z181" s="139" t="n"/>
      <c r="AA181" s="16" t="n"/>
      <c r="AB181" s="139" t="n"/>
      <c r="AC181" s="16" t="n"/>
      <c r="AD181" s="139" t="n"/>
      <c r="AE181" s="16">
        <f>(W181+Y181+AA181+AC181)</f>
        <v/>
      </c>
      <c r="AF181" s="16" t="n"/>
      <c r="AG181" s="138" t="n"/>
      <c r="AH181" s="16" t="n"/>
      <c r="AI181" s="138" t="n"/>
      <c r="AJ181" s="16" t="n"/>
      <c r="AK181" s="138" t="n"/>
      <c r="AL181" s="16" t="n"/>
      <c r="AM181" s="138" t="n"/>
      <c r="AN181" s="16" t="n"/>
      <c r="AO181" s="138" t="n"/>
      <c r="AP181" s="16" t="n"/>
      <c r="AQ181" s="138" t="n"/>
      <c r="AR181" s="16" t="n"/>
      <c r="AS181" s="138" t="n"/>
      <c r="AT181" s="16" t="n"/>
      <c r="AU181" s="138" t="n"/>
      <c r="AV181" s="16" t="n"/>
      <c r="AW181" s="138" t="n"/>
      <c r="AX181" s="16" t="n"/>
      <c r="AY181" s="138" t="n"/>
      <c r="AZ181" s="16">
        <f>AF181+AH181+AJ181+AL181+AN181+AP181+AR181+AT181+AV181+AX181</f>
        <v/>
      </c>
      <c r="BA181" s="16" t="n"/>
      <c r="BB181" s="139" t="n"/>
      <c r="BC181" s="16" t="n"/>
      <c r="BD181" s="139" t="n"/>
      <c r="BE181" s="16">
        <f>(BA181+BC181)</f>
        <v/>
      </c>
    </row>
    <row r="182">
      <c r="A182" s="9" t="n"/>
      <c r="B182" s="136" t="inlineStr">
        <is>
          <t>ABS 난연</t>
        </is>
      </c>
      <c r="C182" s="137" t="inlineStr">
        <is>
          <t>COCOON</t>
        </is>
      </c>
      <c r="D182" s="143" t="inlineStr">
        <is>
          <t>HAND TOP COVER</t>
        </is>
      </c>
      <c r="E182" s="13" t="inlineStr">
        <is>
          <t>메탈 실버</t>
        </is>
      </c>
      <c r="F182" s="100" t="n"/>
      <c r="G182" s="9" t="n"/>
      <c r="H182" s="9" t="inlineStr">
        <is>
          <t>천우</t>
        </is>
      </c>
      <c r="I182" s="14" t="n"/>
      <c r="J182" s="14" t="n"/>
      <c r="K182" s="12" t="n">
        <v>490</v>
      </c>
      <c r="L182" s="9" t="n"/>
      <c r="M182" s="9" t="n"/>
      <c r="N182" s="9" t="n"/>
      <c r="O182" s="40">
        <f>K182+V182-AE182-AZ182</f>
        <v/>
      </c>
      <c r="P182" s="12" t="n"/>
      <c r="Q182" s="138" t="n"/>
      <c r="R182" s="16" t="n"/>
      <c r="S182" s="139" t="n"/>
      <c r="T182" s="16" t="n"/>
      <c r="U182" s="139" t="n"/>
      <c r="V182" s="16">
        <f>P182+R182+T182</f>
        <v/>
      </c>
      <c r="W182" s="16" t="n"/>
      <c r="X182" s="139" t="n"/>
      <c r="Y182" s="16" t="n"/>
      <c r="Z182" s="139" t="n"/>
      <c r="AA182" s="16" t="n"/>
      <c r="AB182" s="139" t="n"/>
      <c r="AC182" s="16" t="n"/>
      <c r="AD182" s="139" t="n"/>
      <c r="AE182" s="16">
        <f>(W182+Y182+AA182+AC182)</f>
        <v/>
      </c>
      <c r="AF182" s="16" t="n"/>
      <c r="AG182" s="138" t="n"/>
      <c r="AH182" s="16" t="n"/>
      <c r="AI182" s="138" t="n"/>
      <c r="AJ182" s="16" t="n"/>
      <c r="AK182" s="138" t="n"/>
      <c r="AL182" s="16" t="n"/>
      <c r="AM182" s="138" t="n"/>
      <c r="AN182" s="16" t="n"/>
      <c r="AO182" s="138" t="n"/>
      <c r="AP182" s="16" t="n"/>
      <c r="AQ182" s="138" t="n"/>
      <c r="AR182" s="16" t="n"/>
      <c r="AS182" s="138" t="n"/>
      <c r="AT182" s="16" t="n"/>
      <c r="AU182" s="138" t="n"/>
      <c r="AV182" s="16" t="n"/>
      <c r="AW182" s="138" t="n"/>
      <c r="AX182" s="16" t="n"/>
      <c r="AY182" s="138" t="n"/>
      <c r="AZ182" s="16">
        <f>AF182+AH182+AJ182+AL182+AN182+AP182+AR182+AT182+AV182+AX182</f>
        <v/>
      </c>
      <c r="BA182" s="16" t="n"/>
      <c r="BB182" s="139" t="n"/>
      <c r="BC182" s="16" t="n"/>
      <c r="BD182" s="139" t="n"/>
      <c r="BE182" s="16">
        <f>(BA182+BC182)</f>
        <v/>
      </c>
    </row>
    <row r="183">
      <c r="A183" s="9" t="n"/>
      <c r="B183" s="136" t="inlineStr">
        <is>
          <t>ABS 난연</t>
        </is>
      </c>
      <c r="C183" s="137" t="inlineStr">
        <is>
          <t>COCOON</t>
        </is>
      </c>
      <c r="D183" s="143" t="inlineStr">
        <is>
          <t>BAT BOTTOM</t>
        </is>
      </c>
      <c r="E183" s="13" t="inlineStr">
        <is>
          <t>블랙 유광</t>
        </is>
      </c>
      <c r="F183" s="100" t="n"/>
      <c r="G183" s="9" t="n"/>
      <c r="H183" s="9" t="inlineStr">
        <is>
          <t>천우</t>
        </is>
      </c>
      <c r="I183" s="14" t="n"/>
      <c r="J183" s="14" t="n"/>
      <c r="K183" s="12" t="n">
        <v>433</v>
      </c>
      <c r="L183" s="9" t="n"/>
      <c r="M183" s="9" t="n"/>
      <c r="N183" s="9" t="n"/>
      <c r="O183" s="40">
        <f>K183+V183-AE183-AZ183</f>
        <v/>
      </c>
      <c r="P183" s="12" t="n"/>
      <c r="Q183" s="138" t="n"/>
      <c r="R183" s="12" t="n"/>
      <c r="S183" s="138" t="n"/>
      <c r="T183" s="16" t="n"/>
      <c r="U183" s="139" t="n"/>
      <c r="V183" s="16">
        <f>P183+R183+T183</f>
        <v/>
      </c>
      <c r="W183" s="16" t="n"/>
      <c r="X183" s="139" t="n"/>
      <c r="Y183" s="16" t="n"/>
      <c r="Z183" s="139" t="n"/>
      <c r="AA183" s="16" t="n"/>
      <c r="AB183" s="139" t="n"/>
      <c r="AC183" s="16" t="n"/>
      <c r="AD183" s="139" t="n"/>
      <c r="AE183" s="16">
        <f>(W183+Y183+AA183+AC183)</f>
        <v/>
      </c>
      <c r="AF183" s="16" t="n"/>
      <c r="AG183" s="138" t="n"/>
      <c r="AH183" s="16" t="n"/>
      <c r="AI183" s="138" t="n"/>
      <c r="AJ183" s="16" t="n"/>
      <c r="AK183" s="138" t="n"/>
      <c r="AL183" s="16" t="n"/>
      <c r="AM183" s="138" t="n"/>
      <c r="AN183" s="16" t="n"/>
      <c r="AO183" s="138" t="n"/>
      <c r="AP183" s="16" t="n"/>
      <c r="AQ183" s="138" t="n"/>
      <c r="AR183" s="16" t="n"/>
      <c r="AS183" s="138" t="n"/>
      <c r="AT183" s="16" t="n"/>
      <c r="AU183" s="138" t="n"/>
      <c r="AV183" s="16" t="n"/>
      <c r="AW183" s="138" t="n"/>
      <c r="AX183" s="16" t="n"/>
      <c r="AY183" s="138" t="n"/>
      <c r="AZ183" s="16">
        <f>AF183+AH183+AJ183+AL183+AN183+AP183+AR183+AT183+AV183+AX183</f>
        <v/>
      </c>
      <c r="BA183" s="16" t="n"/>
      <c r="BB183" s="139" t="n"/>
      <c r="BC183" s="16" t="n"/>
      <c r="BD183" s="139" t="n"/>
      <c r="BE183" s="16">
        <f>(BA183+BC183)</f>
        <v/>
      </c>
    </row>
    <row r="184">
      <c r="A184" s="9" t="n"/>
      <c r="B184" s="136" t="inlineStr">
        <is>
          <t>ABS 난연</t>
        </is>
      </c>
      <c r="C184" s="137" t="inlineStr">
        <is>
          <t>COCOON</t>
        </is>
      </c>
      <c r="D184" s="143" t="inlineStr">
        <is>
          <t>CRADLE BODY BUTTON X</t>
        </is>
      </c>
      <c r="E184" s="13" t="inlineStr">
        <is>
          <t>ABS 난연 블랙 + 블랙 유광</t>
        </is>
      </c>
      <c r="F184" s="100" t="n"/>
      <c r="G184" s="9" t="n"/>
      <c r="H184" s="9" t="inlineStr">
        <is>
          <t>천우</t>
        </is>
      </c>
      <c r="I184" s="14" t="n"/>
      <c r="J184" s="14" t="n"/>
      <c r="K184" s="12" t="n">
        <v>48</v>
      </c>
      <c r="L184" s="9" t="n"/>
      <c r="M184" s="9" t="n"/>
      <c r="N184" s="9" t="n"/>
      <c r="O184" s="40">
        <f>K184+V184-AE184-AZ184</f>
        <v/>
      </c>
      <c r="P184" s="12" t="n"/>
      <c r="Q184" s="138" t="n"/>
      <c r="R184" s="16" t="n"/>
      <c r="S184" s="139" t="n"/>
      <c r="T184" s="16" t="n"/>
      <c r="U184" s="139" t="n"/>
      <c r="V184" s="16">
        <f>P184+R184+T184</f>
        <v/>
      </c>
      <c r="W184" s="16" t="n"/>
      <c r="X184" s="139" t="n"/>
      <c r="Y184" s="16" t="n"/>
      <c r="Z184" s="139" t="n"/>
      <c r="AA184" s="16" t="n"/>
      <c r="AB184" s="139" t="n"/>
      <c r="AC184" s="16" t="n"/>
      <c r="AD184" s="139" t="n"/>
      <c r="AE184" s="16">
        <f>(W184+Y184+AA184+AC184)</f>
        <v/>
      </c>
      <c r="AF184" s="16" t="n"/>
      <c r="AG184" s="138" t="n"/>
      <c r="AH184" s="16" t="n"/>
      <c r="AI184" s="138" t="n"/>
      <c r="AJ184" s="16" t="n"/>
      <c r="AK184" s="138" t="n"/>
      <c r="AL184" s="16" t="n"/>
      <c r="AM184" s="138" t="n"/>
      <c r="AN184" s="16" t="n"/>
      <c r="AO184" s="138" t="n"/>
      <c r="AP184" s="16" t="n"/>
      <c r="AQ184" s="138" t="n"/>
      <c r="AR184" s="16" t="n"/>
      <c r="AS184" s="138" t="n"/>
      <c r="AT184" s="16" t="n"/>
      <c r="AU184" s="138" t="n"/>
      <c r="AV184" s="16" t="n"/>
      <c r="AW184" s="138" t="n"/>
      <c r="AX184" s="16" t="n"/>
      <c r="AY184" s="138" t="n"/>
      <c r="AZ184" s="16">
        <f>AF184+AH184+AJ184+AL184+AN184+AP184+AR184+AT184+AV184+AX184</f>
        <v/>
      </c>
      <c r="BA184" s="16" t="n"/>
      <c r="BB184" s="139" t="n"/>
      <c r="BC184" s="16" t="n"/>
      <c r="BD184" s="139" t="n"/>
      <c r="BE184" s="16">
        <f>(BA184+BC184)</f>
        <v/>
      </c>
    </row>
    <row r="185">
      <c r="A185" s="9" t="n"/>
      <c r="B185" s="136" t="inlineStr">
        <is>
          <t>ABS 난연</t>
        </is>
      </c>
      <c r="C185" s="137" t="inlineStr">
        <is>
          <t>COCOON</t>
        </is>
      </c>
      <c r="D185" s="150" t="inlineStr">
        <is>
          <t>CRADLE BOTTOM</t>
        </is>
      </c>
      <c r="E185" s="13" t="inlineStr">
        <is>
          <t>블랙 유광</t>
        </is>
      </c>
      <c r="F185" s="100" t="n"/>
      <c r="G185" s="9" t="n"/>
      <c r="H185" s="9" t="inlineStr">
        <is>
          <t>천우</t>
        </is>
      </c>
      <c r="I185" s="14" t="n"/>
      <c r="J185" s="14" t="n"/>
      <c r="K185" s="12" t="n">
        <v>90</v>
      </c>
      <c r="L185" s="9" t="n"/>
      <c r="M185" s="9" t="n"/>
      <c r="N185" s="9" t="n"/>
      <c r="O185" s="40">
        <f>K185+V185-AE185-AZ185</f>
        <v/>
      </c>
      <c r="P185" s="12" t="n"/>
      <c r="Q185" s="138" t="n"/>
      <c r="R185" s="16" t="n"/>
      <c r="S185" s="139" t="n"/>
      <c r="T185" s="16" t="n"/>
      <c r="U185" s="139" t="n"/>
      <c r="V185" s="16">
        <f>P185+R185+T185</f>
        <v/>
      </c>
      <c r="W185" s="16" t="n"/>
      <c r="X185" s="139" t="n"/>
      <c r="Y185" s="16" t="n"/>
      <c r="Z185" s="139" t="n"/>
      <c r="AA185" s="16" t="n"/>
      <c r="AB185" s="139" t="n"/>
      <c r="AC185" s="16" t="n"/>
      <c r="AD185" s="139" t="n"/>
      <c r="AE185" s="16">
        <f>(W185+Y185+AA185+AC185)</f>
        <v/>
      </c>
      <c r="AF185" s="16" t="n"/>
      <c r="AG185" s="138" t="n"/>
      <c r="AH185" s="16" t="n"/>
      <c r="AI185" s="138" t="n"/>
      <c r="AJ185" s="16" t="n"/>
      <c r="AK185" s="138" t="n"/>
      <c r="AL185" s="16" t="n"/>
      <c r="AM185" s="138" t="n"/>
      <c r="AN185" s="16" t="n"/>
      <c r="AO185" s="138" t="n"/>
      <c r="AP185" s="16" t="n"/>
      <c r="AQ185" s="138" t="n"/>
      <c r="AR185" s="16" t="n"/>
      <c r="AS185" s="138" t="n"/>
      <c r="AT185" s="16" t="n"/>
      <c r="AU185" s="138" t="n"/>
      <c r="AV185" s="16" t="n"/>
      <c r="AW185" s="138" t="n"/>
      <c r="AX185" s="16" t="n"/>
      <c r="AY185" s="138" t="n"/>
      <c r="AZ185" s="16">
        <f>AF185+AH185+AJ185+AL185+AN185+AP185+AR185+AT185+AV185+AX185</f>
        <v/>
      </c>
      <c r="BA185" s="16" t="n"/>
      <c r="BB185" s="139" t="n"/>
      <c r="BC185" s="16" t="n"/>
      <c r="BD185" s="139" t="n"/>
      <c r="BE185" s="16">
        <f>(BA185+BC185)</f>
        <v/>
      </c>
    </row>
    <row r="186">
      <c r="A186" s="9" t="n"/>
      <c r="B186" s="136" t="inlineStr">
        <is>
          <t>도금용 ABS</t>
        </is>
      </c>
      <c r="C186" s="137" t="inlineStr">
        <is>
          <t>COCOON</t>
        </is>
      </c>
      <c r="D186" s="143" t="inlineStr">
        <is>
          <t>CRADLE FRAME</t>
        </is>
      </c>
      <c r="E186" s="13" t="inlineStr">
        <is>
          <t>도금용 사출 + 크롬 도금</t>
        </is>
      </c>
      <c r="F186" s="100" t="n"/>
      <c r="G186" s="9" t="n"/>
      <c r="H186" s="9" t="inlineStr">
        <is>
          <t>천우</t>
        </is>
      </c>
      <c r="I186" s="14" t="n"/>
      <c r="J186" s="14" t="n"/>
      <c r="K186" s="12" t="n">
        <v>103</v>
      </c>
      <c r="L186" s="9" t="n"/>
      <c r="M186" s="9" t="n"/>
      <c r="N186" s="9" t="n"/>
      <c r="O186" s="40">
        <f>K186+V186-AE186-AZ186</f>
        <v/>
      </c>
      <c r="P186" s="12" t="n"/>
      <c r="Q186" s="138" t="n"/>
      <c r="R186" s="16" t="n"/>
      <c r="S186" s="139" t="n"/>
      <c r="T186" s="16" t="n"/>
      <c r="U186" s="139" t="n"/>
      <c r="V186" s="16">
        <f>P186+R186+T186</f>
        <v/>
      </c>
      <c r="W186" s="16" t="n"/>
      <c r="X186" s="139" t="n"/>
      <c r="Y186" s="16" t="n"/>
      <c r="Z186" s="139" t="n"/>
      <c r="AA186" s="16" t="n"/>
      <c r="AB186" s="139" t="n"/>
      <c r="AC186" s="16" t="n"/>
      <c r="AD186" s="139" t="n"/>
      <c r="AE186" s="16">
        <f>(W186+Y186+AA186+AC186)</f>
        <v/>
      </c>
      <c r="AF186" s="16" t="n"/>
      <c r="AG186" s="138" t="n"/>
      <c r="AH186" s="16" t="n"/>
      <c r="AI186" s="138" t="n"/>
      <c r="AJ186" s="16" t="n"/>
      <c r="AK186" s="138" t="n"/>
      <c r="AL186" s="16" t="n"/>
      <c r="AM186" s="138" t="n"/>
      <c r="AN186" s="16" t="n"/>
      <c r="AO186" s="138" t="n"/>
      <c r="AP186" s="16" t="n"/>
      <c r="AQ186" s="138" t="n"/>
      <c r="AR186" s="16" t="n"/>
      <c r="AS186" s="138" t="n"/>
      <c r="AT186" s="16" t="n"/>
      <c r="AU186" s="138" t="n"/>
      <c r="AV186" s="16" t="n"/>
      <c r="AW186" s="138" t="n"/>
      <c r="AX186" s="16" t="n"/>
      <c r="AY186" s="138" t="n"/>
      <c r="AZ186" s="16">
        <f>AF186+AH186+AJ186+AL186+AN186+AP186+AR186+AT186+AV186+AX186</f>
        <v/>
      </c>
      <c r="BA186" s="16" t="n"/>
      <c r="BB186" s="139" t="n"/>
      <c r="BC186" s="16" t="n"/>
      <c r="BD186" s="139" t="n"/>
      <c r="BE186" s="16">
        <f>(BA186+BC186)</f>
        <v/>
      </c>
    </row>
    <row r="187">
      <c r="A187" s="9" t="n"/>
      <c r="B187" s="136" t="inlineStr">
        <is>
          <t>ABS 난연</t>
        </is>
      </c>
      <c r="C187" s="137" t="inlineStr">
        <is>
          <t>COCOON</t>
        </is>
      </c>
      <c r="D187" s="143" t="inlineStr">
        <is>
          <t>SHOT BUTTON</t>
        </is>
      </c>
      <c r="E187" s="13" t="inlineStr">
        <is>
          <t>ABS 난연 화이트 + 오렌지 유광</t>
        </is>
      </c>
      <c r="F187" s="100" t="n"/>
      <c r="G187" s="9" t="n"/>
      <c r="H187" s="9" t="inlineStr">
        <is>
          <t>천우</t>
        </is>
      </c>
      <c r="I187" s="14" t="n"/>
      <c r="J187" s="14" t="n"/>
      <c r="K187" s="12" t="n">
        <v>165</v>
      </c>
      <c r="L187" s="9" t="n"/>
      <c r="M187" s="9" t="n"/>
      <c r="N187" s="9" t="n"/>
      <c r="O187" s="40">
        <f>K187+V187-AE187-AZ187</f>
        <v/>
      </c>
      <c r="P187" s="12" t="n"/>
      <c r="Q187" s="138" t="n"/>
      <c r="R187" s="16" t="n"/>
      <c r="S187" s="139" t="n"/>
      <c r="T187" s="16" t="n"/>
      <c r="U187" s="139" t="n"/>
      <c r="V187" s="16">
        <f>P187+R187+T187</f>
        <v/>
      </c>
      <c r="W187" s="16" t="n"/>
      <c r="X187" s="139" t="n"/>
      <c r="Y187" s="16" t="n"/>
      <c r="Z187" s="139" t="n"/>
      <c r="AA187" s="16" t="n"/>
      <c r="AB187" s="139" t="n"/>
      <c r="AC187" s="16" t="n"/>
      <c r="AD187" s="139" t="n"/>
      <c r="AE187" s="16">
        <f>(W187+Y187+AA187+AC187)</f>
        <v/>
      </c>
      <c r="AF187" s="16" t="n"/>
      <c r="AG187" s="138" t="n"/>
      <c r="AH187" s="16" t="n"/>
      <c r="AI187" s="138" t="n"/>
      <c r="AJ187" s="16" t="n"/>
      <c r="AK187" s="138" t="n"/>
      <c r="AL187" s="16" t="n"/>
      <c r="AM187" s="138" t="n"/>
      <c r="AN187" s="16" t="n"/>
      <c r="AO187" s="138" t="n"/>
      <c r="AP187" s="16" t="n"/>
      <c r="AQ187" s="138" t="n"/>
      <c r="AR187" s="16" t="n"/>
      <c r="AS187" s="138" t="n"/>
      <c r="AT187" s="16" t="n"/>
      <c r="AU187" s="138" t="n"/>
      <c r="AV187" s="16" t="n"/>
      <c r="AW187" s="138" t="n"/>
      <c r="AX187" s="16" t="n"/>
      <c r="AY187" s="138" t="n"/>
      <c r="AZ187" s="16">
        <f>AF187+AH187+AJ187+AL187+AN187+AP187+AR187+AT187+AV187+AX187</f>
        <v/>
      </c>
      <c r="BA187" s="16" t="n"/>
      <c r="BB187" s="139" t="n"/>
      <c r="BC187" s="16" t="n"/>
      <c r="BD187" s="139" t="n"/>
      <c r="BE187" s="16">
        <f>(BA187+BC187)</f>
        <v/>
      </c>
    </row>
    <row r="188">
      <c r="A188" s="9" t="n"/>
      <c r="B188" s="136" t="inlineStr">
        <is>
          <t>ABS 난연</t>
        </is>
      </c>
      <c r="C188" s="137" t="inlineStr">
        <is>
          <t>COCOON</t>
        </is>
      </c>
      <c r="D188" s="144" t="inlineStr">
        <is>
          <t>SHOT PCB GUIDE</t>
        </is>
      </c>
      <c r="E188" s="13" t="inlineStr">
        <is>
          <t>ABS 난연 화이트</t>
        </is>
      </c>
      <c r="F188" s="100" t="n"/>
      <c r="G188" s="9" t="n"/>
      <c r="H188" s="9" t="inlineStr">
        <is>
          <t>천우</t>
        </is>
      </c>
      <c r="I188" s="14" t="n"/>
      <c r="J188" s="14" t="n"/>
      <c r="K188" s="12" t="n">
        <v>0</v>
      </c>
      <c r="L188" s="9" t="n"/>
      <c r="M188" s="9" t="n"/>
      <c r="N188" s="9" t="n"/>
      <c r="O188" s="40">
        <f>K188+V188-AE188-AZ188</f>
        <v/>
      </c>
      <c r="P188" s="12" t="n"/>
      <c r="Q188" s="138" t="n"/>
      <c r="R188" s="16" t="n"/>
      <c r="S188" s="139" t="n"/>
      <c r="T188" s="16" t="n"/>
      <c r="U188" s="139" t="n"/>
      <c r="V188" s="16">
        <f>P188+R188+T188</f>
        <v/>
      </c>
      <c r="W188" s="16" t="n"/>
      <c r="X188" s="139" t="n"/>
      <c r="Y188" s="16" t="n"/>
      <c r="Z188" s="139" t="n"/>
      <c r="AA188" s="16" t="n"/>
      <c r="AB188" s="139" t="n"/>
      <c r="AC188" s="16" t="n"/>
      <c r="AD188" s="139" t="n"/>
      <c r="AE188" s="16">
        <f>(W188+Y188+AA188+AC188)</f>
        <v/>
      </c>
      <c r="AF188" s="16" t="n"/>
      <c r="AG188" s="138" t="n"/>
      <c r="AH188" s="16" t="n"/>
      <c r="AI188" s="138" t="n"/>
      <c r="AJ188" s="16" t="n"/>
      <c r="AK188" s="138" t="n"/>
      <c r="AL188" s="16" t="n"/>
      <c r="AM188" s="138" t="n"/>
      <c r="AN188" s="16" t="n"/>
      <c r="AO188" s="138" t="n"/>
      <c r="AP188" s="16" t="n"/>
      <c r="AQ188" s="138" t="n"/>
      <c r="AR188" s="16" t="n"/>
      <c r="AS188" s="138" t="n"/>
      <c r="AT188" s="16" t="n"/>
      <c r="AU188" s="138" t="n"/>
      <c r="AV188" s="16" t="n"/>
      <c r="AW188" s="138" t="n"/>
      <c r="AX188" s="16" t="n"/>
      <c r="AY188" s="138" t="n"/>
      <c r="AZ188" s="16">
        <f>AF188+AH188+AJ188+AL188+AN188+AP188+AR188+AT188+AV188+AX188</f>
        <v/>
      </c>
      <c r="BA188" s="16" t="n"/>
      <c r="BB188" s="139" t="n"/>
      <c r="BC188" s="16" t="n"/>
      <c r="BD188" s="139" t="n"/>
      <c r="BE188" s="16">
        <f>(BA188+BC188)</f>
        <v/>
      </c>
    </row>
    <row r="189">
      <c r="A189" s="9" t="n"/>
      <c r="B189" s="136" t="inlineStr">
        <is>
          <t>ABS 난연</t>
        </is>
      </c>
      <c r="C189" s="137" t="inlineStr">
        <is>
          <t>COCOON</t>
        </is>
      </c>
      <c r="D189" s="143" t="inlineStr">
        <is>
          <t>SLIDE SWITCH</t>
        </is>
      </c>
      <c r="E189" s="13" t="inlineStr">
        <is>
          <t>ABS 난연 화이트 + 레드 유광</t>
        </is>
      </c>
      <c r="F189" s="100" t="n"/>
      <c r="G189" s="9" t="n"/>
      <c r="H189" s="9" t="inlineStr">
        <is>
          <t>천우</t>
        </is>
      </c>
      <c r="I189" s="14" t="n"/>
      <c r="J189" s="14" t="n"/>
      <c r="K189" s="12" t="n">
        <v>332</v>
      </c>
      <c r="L189" s="9" t="n"/>
      <c r="M189" s="9" t="n"/>
      <c r="N189" s="9" t="n"/>
      <c r="O189" s="40">
        <f>K189+V189-AE189-AZ189</f>
        <v/>
      </c>
      <c r="P189" s="12" t="n"/>
      <c r="Q189" s="138" t="n"/>
      <c r="R189" s="16" t="n"/>
      <c r="S189" s="139" t="n"/>
      <c r="T189" s="16" t="n"/>
      <c r="U189" s="139" t="n"/>
      <c r="V189" s="16">
        <f>P189+R189+T189</f>
        <v/>
      </c>
      <c r="W189" s="16" t="n"/>
      <c r="X189" s="139" t="n"/>
      <c r="Y189" s="16" t="n"/>
      <c r="Z189" s="139" t="n"/>
      <c r="AA189" s="16" t="n"/>
      <c r="AB189" s="139" t="n"/>
      <c r="AC189" s="16" t="n"/>
      <c r="AD189" s="139" t="n"/>
      <c r="AE189" s="16">
        <f>(W189+Y189+AA189+AC189)</f>
        <v/>
      </c>
      <c r="AF189" s="16" t="n"/>
      <c r="AG189" s="138" t="n"/>
      <c r="AH189" s="16" t="n"/>
      <c r="AI189" s="138" t="n"/>
      <c r="AJ189" s="16" t="n"/>
      <c r="AK189" s="138" t="n"/>
      <c r="AL189" s="16" t="n"/>
      <c r="AM189" s="138" t="n"/>
      <c r="AN189" s="16" t="n"/>
      <c r="AO189" s="138" t="n"/>
      <c r="AP189" s="16" t="n"/>
      <c r="AQ189" s="138" t="n"/>
      <c r="AR189" s="16" t="n"/>
      <c r="AS189" s="138" t="n"/>
      <c r="AT189" s="16" t="n"/>
      <c r="AU189" s="138" t="n"/>
      <c r="AV189" s="16" t="n"/>
      <c r="AW189" s="138" t="n"/>
      <c r="AX189" s="16" t="n"/>
      <c r="AY189" s="138" t="n"/>
      <c r="AZ189" s="16">
        <f>AF189+AH189+AJ189+AL189+AN189+AP189+AR189+AT189+AV189+AX189</f>
        <v/>
      </c>
      <c r="BA189" s="16" t="n"/>
      <c r="BB189" s="139" t="n"/>
      <c r="BC189" s="16" t="n"/>
      <c r="BD189" s="139" t="n"/>
      <c r="BE189" s="16">
        <f>(BA189+BC189)</f>
        <v/>
      </c>
    </row>
    <row r="190">
      <c r="A190" s="9" t="n"/>
      <c r="B190" s="136" t="inlineStr">
        <is>
          <t>ABS 난연</t>
        </is>
      </c>
      <c r="C190" s="137" t="inlineStr">
        <is>
          <t>COCOON</t>
        </is>
      </c>
      <c r="D190" s="144" t="inlineStr">
        <is>
          <t>SLIDE CAP</t>
        </is>
      </c>
      <c r="E190" s="13" t="inlineStr">
        <is>
          <t>ABS 난연 화이트 + 레드 유광</t>
        </is>
      </c>
      <c r="F190" s="100" t="n"/>
      <c r="G190" s="9" t="n"/>
      <c r="H190" s="9" t="inlineStr">
        <is>
          <t>천우</t>
        </is>
      </c>
      <c r="I190" s="14" t="n"/>
      <c r="J190" s="14" t="n"/>
      <c r="K190" s="12" t="n">
        <v>400</v>
      </c>
      <c r="L190" s="9" t="n"/>
      <c r="M190" s="9" t="n"/>
      <c r="N190" s="9" t="n"/>
      <c r="O190" s="40">
        <f>K190+V190-AE190-AZ190</f>
        <v/>
      </c>
      <c r="P190" s="12" t="n"/>
      <c r="Q190" s="138" t="n"/>
      <c r="R190" s="16" t="n"/>
      <c r="S190" s="139" t="n"/>
      <c r="T190" s="16" t="n"/>
      <c r="U190" s="139" t="n"/>
      <c r="V190" s="16">
        <f>P190+R190+T190</f>
        <v/>
      </c>
      <c r="W190" s="16" t="n"/>
      <c r="X190" s="139" t="n"/>
      <c r="Y190" s="16" t="n"/>
      <c r="Z190" s="139" t="n"/>
      <c r="AA190" s="16" t="n"/>
      <c r="AB190" s="139" t="n"/>
      <c r="AC190" s="16" t="n"/>
      <c r="AD190" s="139" t="n"/>
      <c r="AE190" s="16">
        <f>(W190+Y190+AA190+AC190)</f>
        <v/>
      </c>
      <c r="AF190" s="16" t="n"/>
      <c r="AG190" s="138" t="n"/>
      <c r="AH190" s="16" t="n"/>
      <c r="AI190" s="138" t="n"/>
      <c r="AJ190" s="16" t="n"/>
      <c r="AK190" s="138" t="n"/>
      <c r="AL190" s="16" t="n"/>
      <c r="AM190" s="138" t="n"/>
      <c r="AN190" s="16" t="n"/>
      <c r="AO190" s="138" t="n"/>
      <c r="AP190" s="16" t="n"/>
      <c r="AQ190" s="138" t="n"/>
      <c r="AR190" s="16" t="n"/>
      <c r="AS190" s="138" t="n"/>
      <c r="AT190" s="16" t="n"/>
      <c r="AU190" s="138" t="n"/>
      <c r="AV190" s="16" t="n"/>
      <c r="AW190" s="138" t="n"/>
      <c r="AX190" s="16" t="n"/>
      <c r="AY190" s="138" t="n"/>
      <c r="AZ190" s="16">
        <f>AF190+AH190+AJ190+AL190+AN190+AP190+AR190+AT190+AV190+AX190</f>
        <v/>
      </c>
      <c r="BA190" s="16" t="n"/>
      <c r="BB190" s="139" t="n"/>
      <c r="BC190" s="16" t="n"/>
      <c r="BD190" s="139" t="n"/>
      <c r="BE190" s="16">
        <f>(BA190+BC190)</f>
        <v/>
      </c>
    </row>
    <row r="191">
      <c r="A191" s="9" t="n"/>
      <c r="B191" s="136" t="inlineStr">
        <is>
          <t>ABS 난연</t>
        </is>
      </c>
      <c r="C191" s="137" t="inlineStr">
        <is>
          <t>COCOON</t>
        </is>
      </c>
      <c r="D191" s="143" t="inlineStr">
        <is>
          <t>GER GUIDE</t>
        </is>
      </c>
      <c r="E191" s="13" t="inlineStr">
        <is>
          <t>ABS 난연 화이트</t>
        </is>
      </c>
      <c r="F191" s="100" t="n"/>
      <c r="G191" s="9" t="n"/>
      <c r="H191" s="9" t="inlineStr">
        <is>
          <t>천우</t>
        </is>
      </c>
      <c r="I191" s="14" t="n"/>
      <c r="J191" s="14" t="n"/>
      <c r="K191" s="12" t="n">
        <v>471</v>
      </c>
      <c r="L191" s="9" t="n"/>
      <c r="M191" s="9" t="n"/>
      <c r="N191" s="9" t="n"/>
      <c r="O191" s="40">
        <f>K191+V191-AE191-AZ191</f>
        <v/>
      </c>
      <c r="P191" s="12" t="n"/>
      <c r="Q191" s="138" t="n"/>
      <c r="R191" s="16" t="n"/>
      <c r="S191" s="139" t="n"/>
      <c r="T191" s="16" t="n"/>
      <c r="U191" s="139" t="n"/>
      <c r="V191" s="16">
        <f>P191+R191+T191</f>
        <v/>
      </c>
      <c r="W191" s="16" t="n"/>
      <c r="X191" s="139" t="n"/>
      <c r="Y191" s="16" t="n"/>
      <c r="Z191" s="139" t="n"/>
      <c r="AA191" s="16" t="n"/>
      <c r="AB191" s="139" t="n"/>
      <c r="AC191" s="16" t="n"/>
      <c r="AD191" s="139" t="n"/>
      <c r="AE191" s="16">
        <f>(W191+Y191+AA191+AC191)</f>
        <v/>
      </c>
      <c r="AF191" s="16" t="n"/>
      <c r="AG191" s="138" t="n"/>
      <c r="AH191" s="16" t="n"/>
      <c r="AI191" s="138" t="n"/>
      <c r="AJ191" s="16" t="n"/>
      <c r="AK191" s="138" t="n"/>
      <c r="AL191" s="16" t="n"/>
      <c r="AM191" s="138" t="n"/>
      <c r="AN191" s="16" t="n"/>
      <c r="AO191" s="138" t="n"/>
      <c r="AP191" s="16" t="n"/>
      <c r="AQ191" s="138" t="n"/>
      <c r="AR191" s="16" t="n"/>
      <c r="AS191" s="138" t="n"/>
      <c r="AT191" s="16" t="n"/>
      <c r="AU191" s="138" t="n"/>
      <c r="AV191" s="16" t="n"/>
      <c r="AW191" s="138" t="n"/>
      <c r="AX191" s="16" t="n"/>
      <c r="AY191" s="138" t="n"/>
      <c r="AZ191" s="16">
        <f>AF191+AH191+AJ191+AL191+AN191+AP191+AR191+AT191+AV191+AX191</f>
        <v/>
      </c>
      <c r="BA191" s="16" t="n"/>
      <c r="BB191" s="139" t="n"/>
      <c r="BC191" s="16" t="n"/>
      <c r="BD191" s="139" t="n"/>
      <c r="BE191" s="16">
        <f>(BA191+BC191)</f>
        <v/>
      </c>
    </row>
    <row r="192">
      <c r="A192" s="9" t="n"/>
      <c r="B192" s="136" t="inlineStr">
        <is>
          <t>ABS 난연</t>
        </is>
      </c>
      <c r="C192" s="137" t="inlineStr">
        <is>
          <t>COCOON</t>
        </is>
      </c>
      <c r="D192" s="150" t="inlineStr">
        <is>
          <t>에이밍 LED BODY 신형 A</t>
        </is>
      </c>
      <c r="E192" s="13" t="n"/>
      <c r="F192" s="100" t="n"/>
      <c r="G192" s="9" t="n"/>
      <c r="H192" s="9" t="inlineStr">
        <is>
          <t>오비스코리아</t>
        </is>
      </c>
      <c r="I192" s="14" t="n"/>
      <c r="J192" s="14" t="n"/>
      <c r="K192" s="12" t="n">
        <v>658</v>
      </c>
      <c r="L192" s="9" t="n"/>
      <c r="M192" s="9" t="n"/>
      <c r="N192" s="9" t="n"/>
      <c r="O192" s="40">
        <f>K192+V192-AE192-AZ192</f>
        <v/>
      </c>
      <c r="P192" s="12" t="n"/>
      <c r="Q192" s="138" t="n"/>
      <c r="R192" s="16" t="n"/>
      <c r="S192" s="139" t="n"/>
      <c r="T192" s="16" t="n"/>
      <c r="U192" s="139" t="n"/>
      <c r="V192" s="16">
        <f>P192+R192+T192</f>
        <v/>
      </c>
      <c r="W192" s="16" t="n"/>
      <c r="X192" s="139" t="n"/>
      <c r="Y192" s="16" t="n"/>
      <c r="Z192" s="139" t="n"/>
      <c r="AA192" s="16" t="n"/>
      <c r="AB192" s="139" t="n"/>
      <c r="AC192" s="16" t="n"/>
      <c r="AD192" s="139" t="n"/>
      <c r="AE192" s="16">
        <f>(W192+Y192+AA192+AC192)</f>
        <v/>
      </c>
      <c r="AF192" s="16" t="n"/>
      <c r="AG192" s="138" t="n"/>
      <c r="AH192" s="16" t="n"/>
      <c r="AI192" s="138" t="n"/>
      <c r="AJ192" s="16" t="n"/>
      <c r="AK192" s="138" t="n"/>
      <c r="AL192" s="16" t="n"/>
      <c r="AM192" s="138" t="n"/>
      <c r="AN192" s="16" t="n"/>
      <c r="AO192" s="138" t="n"/>
      <c r="AP192" s="16" t="n"/>
      <c r="AQ192" s="138" t="n"/>
      <c r="AR192" s="16" t="n"/>
      <c r="AS192" s="138" t="n"/>
      <c r="AT192" s="16" t="n"/>
      <c r="AU192" s="138" t="n"/>
      <c r="AV192" s="16" t="n"/>
      <c r="AW192" s="138" t="n"/>
      <c r="AX192" s="16" t="n"/>
      <c r="AY192" s="138" t="n"/>
      <c r="AZ192" s="16">
        <f>AF192+AH192+AJ192+AL192+AN192+AP192+AR192+AT192+AV192+AX192</f>
        <v/>
      </c>
      <c r="BA192" s="16" t="n"/>
      <c r="BB192" s="139" t="n"/>
      <c r="BC192" s="16" t="n"/>
      <c r="BD192" s="139" t="n"/>
      <c r="BE192" s="16">
        <f>(BA192+BC192)</f>
        <v/>
      </c>
    </row>
    <row r="193">
      <c r="A193" s="9" t="n"/>
      <c r="B193" s="136" t="inlineStr">
        <is>
          <t>ABS 난연</t>
        </is>
      </c>
      <c r="C193" s="137" t="inlineStr">
        <is>
          <t>COCOON</t>
        </is>
      </c>
      <c r="D193" s="150" t="inlineStr">
        <is>
          <t>에이밍 LED BODY 신형 B</t>
        </is>
      </c>
      <c r="E193" s="13" t="n"/>
      <c r="F193" s="100" t="n"/>
      <c r="G193" s="9" t="n"/>
      <c r="H193" s="9" t="inlineStr">
        <is>
          <t>오비스코리아</t>
        </is>
      </c>
      <c r="I193" s="14" t="n"/>
      <c r="J193" s="14" t="n"/>
      <c r="K193" s="12" t="n">
        <v>257</v>
      </c>
      <c r="L193" s="9" t="n"/>
      <c r="M193" s="9" t="n"/>
      <c r="N193" s="9" t="n"/>
      <c r="O193" s="40">
        <f>K193+V193-AE193-AZ193</f>
        <v/>
      </c>
      <c r="P193" s="12" t="n"/>
      <c r="Q193" s="138" t="n"/>
      <c r="R193" s="16" t="n"/>
      <c r="S193" s="139" t="n"/>
      <c r="T193" s="16" t="n"/>
      <c r="U193" s="139" t="n"/>
      <c r="V193" s="16">
        <f>P193+R193+T193</f>
        <v/>
      </c>
      <c r="W193" s="16" t="n"/>
      <c r="X193" s="139" t="n"/>
      <c r="Y193" s="16" t="n"/>
      <c r="Z193" s="139" t="n"/>
      <c r="AA193" s="16" t="n"/>
      <c r="AB193" s="139" t="n"/>
      <c r="AC193" s="16" t="n"/>
      <c r="AD193" s="139" t="n"/>
      <c r="AE193" s="16">
        <f>(W193+Y193+AA193+AC193)</f>
        <v/>
      </c>
      <c r="AF193" s="16" t="n"/>
      <c r="AG193" s="138" t="n"/>
      <c r="AH193" s="16" t="n"/>
      <c r="AI193" s="138" t="n"/>
      <c r="AJ193" s="16" t="n"/>
      <c r="AK193" s="138" t="n"/>
      <c r="AL193" s="16" t="n"/>
      <c r="AM193" s="138" t="n"/>
      <c r="AN193" s="16" t="n"/>
      <c r="AO193" s="138" t="n"/>
      <c r="AP193" s="16" t="n"/>
      <c r="AQ193" s="138" t="n"/>
      <c r="AR193" s="16" t="n"/>
      <c r="AS193" s="138" t="n"/>
      <c r="AT193" s="16" t="n"/>
      <c r="AU193" s="138" t="n"/>
      <c r="AV193" s="16" t="n"/>
      <c r="AW193" s="138" t="n"/>
      <c r="AX193" s="16" t="n"/>
      <c r="AY193" s="138" t="n"/>
      <c r="AZ193" s="16">
        <f>AF193+AH193+AJ193+AL193+AN193+AP193+AR193+AT193+AV193+AX193</f>
        <v/>
      </c>
      <c r="BA193" s="16" t="n"/>
      <c r="BB193" s="139" t="n"/>
      <c r="BC193" s="16" t="n"/>
      <c r="BD193" s="139" t="n"/>
      <c r="BE193" s="16">
        <f>(BA193+BC193)</f>
        <v/>
      </c>
    </row>
    <row r="194">
      <c r="A194" s="9" t="n"/>
      <c r="B194" s="136" t="inlineStr">
        <is>
          <t>ABS 난연</t>
        </is>
      </c>
      <c r="C194" s="137" t="inlineStr">
        <is>
          <t>COCOON</t>
        </is>
      </c>
      <c r="D194" s="150" t="inlineStr">
        <is>
          <t>에이밍 방사구 젠더</t>
        </is>
      </c>
      <c r="E194" s="13" t="n"/>
      <c r="F194" s="100" t="n"/>
      <c r="G194" s="9" t="n"/>
      <c r="H194" s="9" t="inlineStr">
        <is>
          <t>다우정밀</t>
        </is>
      </c>
      <c r="I194" s="14" t="n"/>
      <c r="J194" s="14" t="n"/>
      <c r="K194" s="12" t="n">
        <v>0</v>
      </c>
      <c r="L194" s="9" t="n"/>
      <c r="M194" s="9" t="n"/>
      <c r="N194" s="9" t="n"/>
      <c r="O194" s="40">
        <f>K194+V194-AE194-AZ194</f>
        <v/>
      </c>
      <c r="P194" s="12" t="n"/>
      <c r="Q194" s="138" t="n"/>
      <c r="R194" s="16" t="n"/>
      <c r="S194" s="139" t="n"/>
      <c r="T194" s="16" t="n"/>
      <c r="U194" s="139" t="n"/>
      <c r="V194" s="16">
        <f>P194+R194+T194</f>
        <v/>
      </c>
      <c r="W194" s="16" t="n"/>
      <c r="X194" s="139" t="n"/>
      <c r="Y194" s="16" t="n"/>
      <c r="Z194" s="139" t="n"/>
      <c r="AA194" s="16" t="n"/>
      <c r="AB194" s="139" t="n"/>
      <c r="AC194" s="16" t="n"/>
      <c r="AD194" s="139" t="n"/>
      <c r="AE194" s="16">
        <f>(W194+Y194+AA194+AC194)</f>
        <v/>
      </c>
      <c r="AF194" s="16" t="n"/>
      <c r="AG194" s="138" t="n"/>
      <c r="AH194" s="16" t="n"/>
      <c r="AI194" s="138" t="n"/>
      <c r="AJ194" s="16" t="n"/>
      <c r="AK194" s="138" t="n"/>
      <c r="AL194" s="16" t="n"/>
      <c r="AM194" s="138" t="n"/>
      <c r="AN194" s="16" t="n"/>
      <c r="AO194" s="138" t="n"/>
      <c r="AP194" s="16" t="n"/>
      <c r="AQ194" s="138" t="n"/>
      <c r="AR194" s="16" t="n"/>
      <c r="AS194" s="138" t="n"/>
      <c r="AT194" s="16" t="n"/>
      <c r="AU194" s="138" t="n"/>
      <c r="AV194" s="16" t="n"/>
      <c r="AW194" s="138" t="n"/>
      <c r="AX194" s="16" t="n"/>
      <c r="AY194" s="138" t="n"/>
      <c r="AZ194" s="16">
        <f>AF194+AH194+AJ194+AL194+AN194+AP194+AR194+AT194+AV194+AX194</f>
        <v/>
      </c>
      <c r="BA194" s="16" t="n"/>
      <c r="BB194" s="139" t="n"/>
      <c r="BC194" s="16" t="n"/>
      <c r="BD194" s="139" t="n"/>
      <c r="BE194" s="16">
        <f>(BA194+BC194)</f>
        <v/>
      </c>
    </row>
    <row r="195">
      <c r="A195" s="9" t="n"/>
      <c r="B195" s="136" t="inlineStr">
        <is>
          <t>아크릴</t>
        </is>
      </c>
      <c r="C195" s="137" t="inlineStr">
        <is>
          <t>COCOON</t>
        </is>
      </c>
      <c r="D195" s="83" t="inlineStr">
        <is>
          <t>WINDOW</t>
        </is>
      </c>
      <c r="E195" s="13" t="inlineStr">
        <is>
          <t>투명 아크릴 + 실크 인쇄 로고O</t>
        </is>
      </c>
      <c r="F195" s="100" t="n"/>
      <c r="G195" s="9" t="n"/>
      <c r="H195" s="9" t="inlineStr">
        <is>
          <t>우민테크</t>
        </is>
      </c>
      <c r="I195" s="14" t="n"/>
      <c r="J195" s="14" t="n"/>
      <c r="K195" s="12" t="n">
        <v>270</v>
      </c>
      <c r="L195" s="9" t="n"/>
      <c r="M195" s="9" t="n"/>
      <c r="N195" s="9" t="n"/>
      <c r="O195" s="40">
        <f>K195+V195-AE195-AZ195</f>
        <v/>
      </c>
      <c r="P195" s="12" t="n"/>
      <c r="Q195" s="138" t="n"/>
      <c r="R195" s="16" t="n"/>
      <c r="S195" s="139" t="n"/>
      <c r="T195" s="16" t="n"/>
      <c r="U195" s="139" t="n"/>
      <c r="V195" s="16">
        <f>P195+R195+T195</f>
        <v/>
      </c>
      <c r="W195" s="16" t="n"/>
      <c r="X195" s="139" t="n"/>
      <c r="Y195" s="16" t="n"/>
      <c r="Z195" s="139" t="n"/>
      <c r="AA195" s="16" t="n"/>
      <c r="AB195" s="139" t="n"/>
      <c r="AC195" s="16" t="n"/>
      <c r="AD195" s="139" t="n"/>
      <c r="AE195" s="16">
        <f>(W195+Y195+AA195+AC195)</f>
        <v/>
      </c>
      <c r="AF195" s="16" t="n"/>
      <c r="AG195" s="138" t="n"/>
      <c r="AH195" s="16" t="n"/>
      <c r="AI195" s="138" t="n"/>
      <c r="AJ195" s="16" t="n"/>
      <c r="AK195" s="138" t="n"/>
      <c r="AL195" s="16" t="n"/>
      <c r="AM195" s="138" t="n"/>
      <c r="AN195" s="16" t="n"/>
      <c r="AO195" s="138" t="n"/>
      <c r="AP195" s="16" t="n"/>
      <c r="AQ195" s="138" t="n"/>
      <c r="AR195" s="16" t="n"/>
      <c r="AS195" s="138" t="n"/>
      <c r="AT195" s="16" t="n"/>
      <c r="AU195" s="138" t="n"/>
      <c r="AV195" s="16" t="n"/>
      <c r="AW195" s="138" t="n"/>
      <c r="AX195" s="16" t="n"/>
      <c r="AY195" s="138" t="n"/>
      <c r="AZ195" s="16">
        <f>AF195+AH195+AJ195+AL195+AN195+AP195+AR195+AT195+AV195+AX195</f>
        <v/>
      </c>
      <c r="BA195" s="16" t="n"/>
      <c r="BB195" s="139" t="n"/>
      <c r="BC195" s="16" t="n"/>
      <c r="BD195" s="139" t="n"/>
      <c r="BE195" s="16">
        <f>(BA195+BC195)</f>
        <v/>
      </c>
    </row>
    <row r="196">
      <c r="A196" s="9" t="n"/>
      <c r="B196" s="136" t="inlineStr">
        <is>
          <t>아크릴</t>
        </is>
      </c>
      <c r="C196" s="137" t="inlineStr">
        <is>
          <t>COCOON</t>
        </is>
      </c>
      <c r="D196" s="83" t="inlineStr">
        <is>
          <t>WINDOW</t>
        </is>
      </c>
      <c r="E196" s="13" t="inlineStr">
        <is>
          <t>투명 아크릴 + 실크 인쇄 로고X</t>
        </is>
      </c>
      <c r="F196" s="100" t="n"/>
      <c r="G196" s="9" t="n"/>
      <c r="H196" s="9" t="inlineStr">
        <is>
          <t>우민테크</t>
        </is>
      </c>
      <c r="I196" s="14" t="n"/>
      <c r="J196" s="14" t="n"/>
      <c r="K196" s="12" t="n">
        <v>500</v>
      </c>
      <c r="L196" s="9" t="n"/>
      <c r="M196" s="9" t="n"/>
      <c r="N196" s="9" t="n"/>
      <c r="O196" s="40">
        <f>K196+V196-AE196-AZ196</f>
        <v/>
      </c>
      <c r="P196" s="12" t="n"/>
      <c r="Q196" s="138" t="n"/>
      <c r="R196" s="16" t="n"/>
      <c r="S196" s="139" t="n"/>
      <c r="T196" s="16" t="n"/>
      <c r="U196" s="139" t="n"/>
      <c r="V196" s="16">
        <f>P196+R196+T196</f>
        <v/>
      </c>
      <c r="W196" s="16" t="n"/>
      <c r="X196" s="139" t="n"/>
      <c r="Y196" s="16" t="n"/>
      <c r="Z196" s="139" t="n"/>
      <c r="AA196" s="16" t="n"/>
      <c r="AB196" s="139" t="n"/>
      <c r="AC196" s="16" t="n"/>
      <c r="AD196" s="139" t="n"/>
      <c r="AE196" s="16">
        <f>(W196+Y196+AA196+AC196)</f>
        <v/>
      </c>
      <c r="AF196" s="16" t="n"/>
      <c r="AG196" s="138" t="n"/>
      <c r="AH196" s="16" t="n"/>
      <c r="AI196" s="138" t="n"/>
      <c r="AJ196" s="16" t="n"/>
      <c r="AK196" s="138" t="n"/>
      <c r="AL196" s="16" t="n"/>
      <c r="AM196" s="138" t="n"/>
      <c r="AN196" s="16" t="n"/>
      <c r="AO196" s="138" t="n"/>
      <c r="AP196" s="16" t="n"/>
      <c r="AQ196" s="138" t="n"/>
      <c r="AR196" s="16" t="n"/>
      <c r="AS196" s="138" t="n"/>
      <c r="AT196" s="16" t="n"/>
      <c r="AU196" s="138" t="n"/>
      <c r="AV196" s="16" t="n"/>
      <c r="AW196" s="138" t="n"/>
      <c r="AX196" s="16" t="n"/>
      <c r="AY196" s="138" t="n"/>
      <c r="AZ196" s="16">
        <f>AF196+AH196+AJ196+AL196+AN196+AP196+AR196+AT196+AV196+AX196</f>
        <v/>
      </c>
      <c r="BA196" s="16" t="n"/>
      <c r="BB196" s="139" t="n"/>
      <c r="BC196" s="16" t="n"/>
      <c r="BD196" s="139" t="n"/>
      <c r="BE196" s="16">
        <f>(BA196+BC196)</f>
        <v/>
      </c>
    </row>
    <row r="197">
      <c r="A197" s="9" t="n"/>
      <c r="B197" s="136" t="inlineStr">
        <is>
          <t>아크릴</t>
        </is>
      </c>
      <c r="C197" s="137" t="inlineStr">
        <is>
          <t>COCOON</t>
        </is>
      </c>
      <c r="D197" s="83" t="inlineStr">
        <is>
          <t xml:space="preserve">에이밍 아크릴 은경 </t>
        </is>
      </c>
      <c r="E197" s="13" t="inlineStr">
        <is>
          <t>아크릴</t>
        </is>
      </c>
      <c r="F197" s="100" t="n"/>
      <c r="G197" s="9" t="n"/>
      <c r="H197" s="9" t="n"/>
      <c r="I197" s="14" t="n"/>
      <c r="J197" s="14" t="n"/>
      <c r="K197" s="12" t="n">
        <v>0</v>
      </c>
      <c r="L197" s="9" t="n"/>
      <c r="M197" s="9" t="n"/>
      <c r="N197" s="9" t="n"/>
      <c r="O197" s="40">
        <f>K197+V197-AE197-AZ197</f>
        <v/>
      </c>
      <c r="P197" s="12" t="n"/>
      <c r="Q197" s="138" t="n"/>
      <c r="R197" s="16" t="n"/>
      <c r="S197" s="139" t="n"/>
      <c r="T197" s="16" t="n"/>
      <c r="U197" s="139" t="n"/>
      <c r="V197" s="16">
        <f>P197+R197+T197</f>
        <v/>
      </c>
      <c r="W197" s="16" t="n"/>
      <c r="X197" s="139" t="n"/>
      <c r="Y197" s="16" t="n"/>
      <c r="Z197" s="139" t="n"/>
      <c r="AA197" s="16" t="n"/>
      <c r="AB197" s="139" t="n"/>
      <c r="AC197" s="16" t="n"/>
      <c r="AD197" s="139" t="n"/>
      <c r="AE197" s="16">
        <f>(W197+Y197+AA197+AC197)</f>
        <v/>
      </c>
      <c r="AF197" s="16" t="n"/>
      <c r="AG197" s="138" t="n"/>
      <c r="AH197" s="16" t="n"/>
      <c r="AI197" s="138" t="n"/>
      <c r="AJ197" s="16" t="n"/>
      <c r="AK197" s="138" t="n"/>
      <c r="AL197" s="16" t="n"/>
      <c r="AM197" s="138" t="n"/>
      <c r="AN197" s="16" t="n"/>
      <c r="AO197" s="138" t="n"/>
      <c r="AP197" s="16" t="n"/>
      <c r="AQ197" s="138" t="n"/>
      <c r="AR197" s="16" t="n"/>
      <c r="AS197" s="138" t="n"/>
      <c r="AT197" s="16" t="n"/>
      <c r="AU197" s="138" t="n"/>
      <c r="AV197" s="16" t="n"/>
      <c r="AW197" s="138" t="n"/>
      <c r="AX197" s="16" t="n"/>
      <c r="AY197" s="138" t="n"/>
      <c r="AZ197" s="16">
        <f>AF197+AH197+AJ197+AL197+AN197+AP197+AR197+AT197+AV197+AX197</f>
        <v/>
      </c>
      <c r="BA197" s="16" t="n"/>
      <c r="BB197" s="139" t="n"/>
      <c r="BC197" s="16" t="n"/>
      <c r="BD197" s="139" t="n"/>
      <c r="BE197" s="16">
        <f>(BA197+BC197)</f>
        <v/>
      </c>
    </row>
    <row r="198">
      <c r="A198" s="9" t="n"/>
      <c r="B198" s="136" t="inlineStr">
        <is>
          <t>아크릴</t>
        </is>
      </c>
      <c r="C198" s="137" t="inlineStr">
        <is>
          <t>COCOON</t>
        </is>
      </c>
      <c r="D198" s="83" t="inlineStr">
        <is>
          <t>에이밍 십자 아크릴 (사각 모양)</t>
        </is>
      </c>
      <c r="E198" s="13" t="inlineStr">
        <is>
          <t>투명 아크릴 + 인쇄</t>
        </is>
      </c>
      <c r="F198" s="100" t="n"/>
      <c r="G198" s="9" t="n"/>
      <c r="H198" s="9" t="n"/>
      <c r="I198" s="14" t="n"/>
      <c r="J198" s="14" t="n"/>
      <c r="K198" s="12" t="n">
        <v>0</v>
      </c>
      <c r="L198" s="9" t="n"/>
      <c r="M198" s="9" t="n"/>
      <c r="N198" s="9" t="n"/>
      <c r="O198" s="40">
        <f>K198+V198-AE198-AZ198</f>
        <v/>
      </c>
      <c r="P198" s="12" t="n"/>
      <c r="Q198" s="138" t="n"/>
      <c r="R198" s="16" t="n"/>
      <c r="S198" s="139" t="n"/>
      <c r="T198" s="16" t="n"/>
      <c r="U198" s="139" t="n"/>
      <c r="V198" s="16">
        <f>P198+R198+T198</f>
        <v/>
      </c>
      <c r="W198" s="16" t="n"/>
      <c r="X198" s="139" t="n"/>
      <c r="Y198" s="16" t="n"/>
      <c r="Z198" s="139" t="n"/>
      <c r="AA198" s="16" t="n"/>
      <c r="AB198" s="139" t="n"/>
      <c r="AC198" s="16" t="n"/>
      <c r="AD198" s="139" t="n"/>
      <c r="AE198" s="16">
        <f>(W198+Y198+AA198+AC198)</f>
        <v/>
      </c>
      <c r="AF198" s="16" t="n"/>
      <c r="AG198" s="138" t="n"/>
      <c r="AH198" s="16" t="n"/>
      <c r="AI198" s="138" t="n"/>
      <c r="AJ198" s="16" t="n"/>
      <c r="AK198" s="138" t="n"/>
      <c r="AL198" s="16" t="n"/>
      <c r="AM198" s="138" t="n"/>
      <c r="AN198" s="16" t="n"/>
      <c r="AO198" s="138" t="n"/>
      <c r="AP198" s="16" t="n"/>
      <c r="AQ198" s="138" t="n"/>
      <c r="AR198" s="16" t="n"/>
      <c r="AS198" s="138" t="n"/>
      <c r="AT198" s="16" t="n"/>
      <c r="AU198" s="138" t="n"/>
      <c r="AV198" s="16" t="n"/>
      <c r="AW198" s="138" t="n"/>
      <c r="AX198" s="16" t="n"/>
      <c r="AY198" s="138" t="n"/>
      <c r="AZ198" s="16">
        <f>AF198+AH198+AJ198+AL198+AN198+AP198+AR198+AT198+AV198+AX198</f>
        <v/>
      </c>
      <c r="BA198" s="16" t="n"/>
      <c r="BB198" s="139" t="n"/>
      <c r="BC198" s="16" t="n"/>
      <c r="BD198" s="139" t="n"/>
      <c r="BE198" s="16">
        <f>(BA198+BC198)</f>
        <v/>
      </c>
    </row>
    <row r="199">
      <c r="A199" s="9" t="n"/>
      <c r="B199" s="136" t="inlineStr">
        <is>
          <t>아크릴</t>
        </is>
      </c>
      <c r="C199" s="137" t="inlineStr">
        <is>
          <t>COCOON</t>
        </is>
      </c>
      <c r="D199" s="83" t="inlineStr">
        <is>
          <t>에이밍 원형 십자 아크릴 (테두리 O)  2.0T</t>
        </is>
      </c>
      <c r="E199" s="13" t="inlineStr">
        <is>
          <t>투명 아크릴 + 인쇄 2T - 영국용</t>
        </is>
      </c>
      <c r="F199" s="100" t="n"/>
      <c r="G199" s="9" t="n"/>
      <c r="H199" s="9" t="n"/>
      <c r="I199" s="14" t="n"/>
      <c r="J199" s="14" t="n"/>
      <c r="K199" s="12" t="n">
        <v>0</v>
      </c>
      <c r="L199" s="9" t="n"/>
      <c r="M199" s="9" t="n"/>
      <c r="N199" s="9" t="n"/>
      <c r="O199" s="40">
        <f>K199+V199-AE199-AZ199</f>
        <v/>
      </c>
      <c r="P199" s="12" t="n"/>
      <c r="Q199" s="138" t="n"/>
      <c r="R199" s="16" t="n"/>
      <c r="S199" s="139" t="n"/>
      <c r="T199" s="16" t="n"/>
      <c r="U199" s="139" t="n"/>
      <c r="V199" s="16">
        <f>P199+R199+T199</f>
        <v/>
      </c>
      <c r="W199" s="16" t="n"/>
      <c r="X199" s="139" t="n"/>
      <c r="Y199" s="16" t="n"/>
      <c r="Z199" s="139" t="n"/>
      <c r="AA199" s="16" t="n"/>
      <c r="AB199" s="139" t="n"/>
      <c r="AC199" s="16" t="n"/>
      <c r="AD199" s="139" t="n"/>
      <c r="AE199" s="16">
        <f>(W199+Y199+AA199+AC199)</f>
        <v/>
      </c>
      <c r="AF199" s="16" t="n"/>
      <c r="AG199" s="138" t="n"/>
      <c r="AH199" s="16" t="n"/>
      <c r="AI199" s="138" t="n"/>
      <c r="AJ199" s="16" t="n"/>
      <c r="AK199" s="138" t="n"/>
      <c r="AL199" s="16" t="n"/>
      <c r="AM199" s="138" t="n"/>
      <c r="AN199" s="16" t="n"/>
      <c r="AO199" s="138" t="n"/>
      <c r="AP199" s="16" t="n"/>
      <c r="AQ199" s="138" t="n"/>
      <c r="AR199" s="16" t="n"/>
      <c r="AS199" s="138" t="n"/>
      <c r="AT199" s="16" t="n"/>
      <c r="AU199" s="138" t="n"/>
      <c r="AV199" s="16" t="n"/>
      <c r="AW199" s="138" t="n"/>
      <c r="AX199" s="16" t="n"/>
      <c r="AY199" s="138" t="n"/>
      <c r="AZ199" s="16">
        <f>AF199+AH199+AJ199+AL199+AN199+AP199+AR199+AT199+AV199+AX199</f>
        <v/>
      </c>
      <c r="BA199" s="16" t="n"/>
      <c r="BB199" s="139" t="n"/>
      <c r="BC199" s="16" t="n"/>
      <c r="BD199" s="139" t="n"/>
      <c r="BE199" s="16">
        <f>(BA199+BC199)</f>
        <v/>
      </c>
    </row>
    <row r="200">
      <c r="A200" s="9" t="n"/>
      <c r="B200" s="136" t="inlineStr">
        <is>
          <t>아크릴</t>
        </is>
      </c>
      <c r="C200" s="137" t="inlineStr">
        <is>
          <t>COCOON</t>
        </is>
      </c>
      <c r="D200" s="83" t="inlineStr">
        <is>
          <t>에이밍 원형 십자 아크릴 (테두리 O) 2.0T</t>
        </is>
      </c>
      <c r="E200" s="13" t="inlineStr">
        <is>
          <t>투명 아크릴 + 인쇄 2T - 얇은 테두리</t>
        </is>
      </c>
      <c r="F200" s="100" t="n"/>
      <c r="G200" s="9" t="n"/>
      <c r="H200" s="9" t="n"/>
      <c r="I200" s="14" t="n"/>
      <c r="J200" s="14" t="n"/>
      <c r="K200" s="12" t="n">
        <v>208</v>
      </c>
      <c r="L200" s="9" t="n"/>
      <c r="M200" s="9" t="n"/>
      <c r="N200" s="9" t="n"/>
      <c r="O200" s="40">
        <f>K200+V200-AE200-AZ200</f>
        <v/>
      </c>
      <c r="P200" s="12" t="n"/>
      <c r="Q200" s="138" t="n"/>
      <c r="R200" s="16" t="n"/>
      <c r="S200" s="139" t="n"/>
      <c r="T200" s="16" t="n"/>
      <c r="U200" s="139" t="n"/>
      <c r="V200" s="16">
        <f>P200+R200+T200</f>
        <v/>
      </c>
      <c r="W200" s="16" t="n"/>
      <c r="X200" s="139" t="n"/>
      <c r="Y200" s="16" t="n"/>
      <c r="Z200" s="139" t="n"/>
      <c r="AA200" s="16" t="n"/>
      <c r="AB200" s="139" t="n"/>
      <c r="AC200" s="16" t="n"/>
      <c r="AD200" s="139" t="n"/>
      <c r="AE200" s="16">
        <f>(W200+Y200+AA200+AC200)</f>
        <v/>
      </c>
      <c r="AF200" s="16" t="n"/>
      <c r="AG200" s="138" t="n"/>
      <c r="AH200" s="16" t="n"/>
      <c r="AI200" s="138" t="n"/>
      <c r="AJ200" s="16" t="n"/>
      <c r="AK200" s="138" t="n"/>
      <c r="AL200" s="16" t="n"/>
      <c r="AM200" s="138" t="n"/>
      <c r="AN200" s="16" t="n"/>
      <c r="AO200" s="138" t="n"/>
      <c r="AP200" s="16" t="n"/>
      <c r="AQ200" s="138" t="n"/>
      <c r="AR200" s="16" t="n"/>
      <c r="AS200" s="138" t="n"/>
      <c r="AT200" s="16" t="n"/>
      <c r="AU200" s="138" t="n"/>
      <c r="AV200" s="16" t="n"/>
      <c r="AW200" s="138" t="n"/>
      <c r="AX200" s="16" t="n"/>
      <c r="AY200" s="138" t="n"/>
      <c r="AZ200" s="16">
        <f>AF200+AH200+AJ200+AL200+AN200+AP200+AR200+AT200+AV200+AX200</f>
        <v/>
      </c>
      <c r="BA200" s="16" t="n"/>
      <c r="BB200" s="139" t="n"/>
      <c r="BC200" s="16" t="n"/>
      <c r="BD200" s="139" t="n"/>
      <c r="BE200" s="16">
        <f>(BA200+BC200)</f>
        <v/>
      </c>
    </row>
    <row r="201">
      <c r="A201" s="9" t="n"/>
      <c r="B201" s="136" t="inlineStr">
        <is>
          <t>아크릴</t>
        </is>
      </c>
      <c r="C201" s="137" t="inlineStr">
        <is>
          <t>COCOON</t>
        </is>
      </c>
      <c r="D201" s="83" t="inlineStr">
        <is>
          <t>에이밍 원형 십자 아크릴 (테두리 X) 2.0T</t>
        </is>
      </c>
      <c r="E201" s="13" t="inlineStr">
        <is>
          <t>투명 아크릴 + 인쇄 2T -사파리용</t>
        </is>
      </c>
      <c r="F201" s="100" t="n"/>
      <c r="G201" s="9" t="n"/>
      <c r="H201" s="9" t="n"/>
      <c r="I201" s="14" t="n"/>
      <c r="J201" s="14" t="n"/>
      <c r="K201" s="12" t="n">
        <v>108</v>
      </c>
      <c r="L201" s="9" t="n"/>
      <c r="M201" s="9" t="n"/>
      <c r="N201" s="9" t="n"/>
      <c r="O201" s="40">
        <f>K201+V201-AE201-AZ201</f>
        <v/>
      </c>
      <c r="P201" s="12" t="n"/>
      <c r="Q201" s="138" t="n"/>
      <c r="R201" s="16" t="n"/>
      <c r="S201" s="139" t="n"/>
      <c r="T201" s="16" t="n"/>
      <c r="U201" s="139" t="n"/>
      <c r="V201" s="16">
        <f>P201+R201+T201</f>
        <v/>
      </c>
      <c r="W201" s="16" t="n"/>
      <c r="X201" s="139" t="n"/>
      <c r="Y201" s="16" t="n"/>
      <c r="Z201" s="139" t="n"/>
      <c r="AA201" s="16" t="n"/>
      <c r="AB201" s="139" t="n"/>
      <c r="AC201" s="16" t="n"/>
      <c r="AD201" s="139" t="n"/>
      <c r="AE201" s="16">
        <f>(W201+Y201+AA201+AC201)</f>
        <v/>
      </c>
      <c r="AF201" s="16" t="n"/>
      <c r="AG201" s="138" t="n"/>
      <c r="AH201" s="16" t="n"/>
      <c r="AI201" s="138" t="n"/>
      <c r="AJ201" s="16" t="n"/>
      <c r="AK201" s="138" t="n"/>
      <c r="AL201" s="16" t="n"/>
      <c r="AM201" s="138" t="n"/>
      <c r="AN201" s="16" t="n"/>
      <c r="AO201" s="138" t="n"/>
      <c r="AP201" s="16" t="n"/>
      <c r="AQ201" s="138" t="n"/>
      <c r="AR201" s="16" t="n"/>
      <c r="AS201" s="138" t="n"/>
      <c r="AT201" s="16" t="n"/>
      <c r="AU201" s="138" t="n"/>
      <c r="AV201" s="16" t="n"/>
      <c r="AW201" s="138" t="n"/>
      <c r="AX201" s="16" t="n"/>
      <c r="AY201" s="138" t="n"/>
      <c r="AZ201" s="16">
        <f>AF201+AH201+AJ201+AL201+AN201+AP201+AR201+AT201+AV201+AX201</f>
        <v/>
      </c>
      <c r="BA201" s="16" t="n"/>
      <c r="BB201" s="139" t="n"/>
      <c r="BC201" s="16" t="n"/>
      <c r="BD201" s="139" t="n"/>
      <c r="BE201" s="16">
        <f>(BA201+BC201)</f>
        <v/>
      </c>
    </row>
    <row r="202">
      <c r="A202" s="9" t="n"/>
      <c r="B202" s="136" t="inlineStr">
        <is>
          <t>AL</t>
        </is>
      </c>
      <c r="C202" s="137" t="inlineStr">
        <is>
          <t>COCOON</t>
        </is>
      </c>
      <c r="D202" s="144" t="inlineStr">
        <is>
          <t xml:space="preserve">알루미늄 필터 </t>
        </is>
      </c>
      <c r="E202" s="13" t="inlineStr">
        <is>
          <t>0.5T * Φ63 코쿤 기본</t>
        </is>
      </c>
      <c r="F202" s="100" t="n"/>
      <c r="G202" s="9" t="n"/>
      <c r="H202" s="9" t="inlineStr">
        <is>
          <t>광전레이저</t>
        </is>
      </c>
      <c r="I202" s="14" t="n"/>
      <c r="J202" s="14" t="n"/>
      <c r="K202" s="12" t="n">
        <v>596</v>
      </c>
      <c r="L202" s="9" t="n"/>
      <c r="M202" s="9" t="n"/>
      <c r="N202" s="9" t="n"/>
      <c r="O202" s="40">
        <f>K202+V202-AE202-AZ202</f>
        <v/>
      </c>
      <c r="P202" s="12" t="n"/>
      <c r="Q202" s="138" t="n"/>
      <c r="R202" s="16" t="n"/>
      <c r="S202" s="139" t="n"/>
      <c r="T202" s="16" t="n"/>
      <c r="U202" s="139" t="n"/>
      <c r="V202" s="16">
        <f>P202+R202+T202</f>
        <v/>
      </c>
      <c r="W202" s="16" t="n"/>
      <c r="X202" s="139" t="n"/>
      <c r="Y202" s="16" t="n"/>
      <c r="Z202" s="139" t="n"/>
      <c r="AA202" s="16" t="n"/>
      <c r="AB202" s="139" t="n"/>
      <c r="AC202" s="16" t="n"/>
      <c r="AD202" s="139" t="n"/>
      <c r="AE202" s="16">
        <f>(W202+Y202+AA202+AC202)</f>
        <v/>
      </c>
      <c r="AF202" s="16" t="n"/>
      <c r="AG202" s="138" t="n"/>
      <c r="AH202" s="16" t="n"/>
      <c r="AI202" s="138" t="n"/>
      <c r="AJ202" s="16" t="n"/>
      <c r="AK202" s="138" t="n"/>
      <c r="AL202" s="16" t="n"/>
      <c r="AM202" s="138" t="n"/>
      <c r="AN202" s="16" t="n"/>
      <c r="AO202" s="138" t="n"/>
      <c r="AP202" s="16" t="n"/>
      <c r="AQ202" s="138" t="n"/>
      <c r="AR202" s="16" t="n"/>
      <c r="AS202" s="138" t="n"/>
      <c r="AT202" s="16" t="n"/>
      <c r="AU202" s="138" t="n"/>
      <c r="AV202" s="16" t="n"/>
      <c r="AW202" s="138" t="n"/>
      <c r="AX202" s="16" t="n"/>
      <c r="AY202" s="138" t="n"/>
      <c r="AZ202" s="16">
        <f>AF202+AH202+AJ202+AL202+AN202+AP202+AR202+AT202+AV202+AX202</f>
        <v/>
      </c>
      <c r="BA202" s="16" t="n"/>
      <c r="BB202" s="139" t="n"/>
      <c r="BC202" s="16" t="n"/>
      <c r="BD202" s="139" t="n"/>
      <c r="BE202" s="16">
        <f>(BA202+BC202)</f>
        <v/>
      </c>
    </row>
    <row r="203">
      <c r="A203" s="9" t="n"/>
      <c r="B203" s="136" t="inlineStr">
        <is>
          <t>RUBBER</t>
        </is>
      </c>
      <c r="C203" s="137" t="inlineStr">
        <is>
          <t>COCOON</t>
        </is>
      </c>
      <c r="D203" s="143" t="inlineStr">
        <is>
          <t>BAT BOTTOM RUBBER</t>
        </is>
      </c>
      <c r="E203" s="13" t="inlineStr">
        <is>
          <t>RUBBER</t>
        </is>
      </c>
      <c r="F203" s="100" t="n"/>
      <c r="G203" s="9" t="n"/>
      <c r="H203" s="9" t="inlineStr">
        <is>
          <t>남경화학</t>
        </is>
      </c>
      <c r="I203" s="14" t="n"/>
      <c r="J203" s="14" t="n"/>
      <c r="K203" s="12" t="n">
        <v>364</v>
      </c>
      <c r="L203" s="9" t="n"/>
      <c r="M203" s="9" t="n"/>
      <c r="N203" s="9" t="n"/>
      <c r="O203" s="40">
        <f>K203+V203-AE203-AZ203</f>
        <v/>
      </c>
      <c r="P203" s="12" t="n"/>
      <c r="Q203" s="138" t="n"/>
      <c r="R203" s="16" t="n"/>
      <c r="S203" s="139" t="n"/>
      <c r="T203" s="16" t="n"/>
      <c r="U203" s="139" t="n"/>
      <c r="V203" s="16">
        <f>P203+R203+T203</f>
        <v/>
      </c>
      <c r="W203" s="16" t="n"/>
      <c r="X203" s="139" t="n"/>
      <c r="Y203" s="16" t="n"/>
      <c r="Z203" s="139" t="n"/>
      <c r="AA203" s="16" t="n"/>
      <c r="AB203" s="139" t="n"/>
      <c r="AC203" s="16" t="n"/>
      <c r="AD203" s="139" t="n"/>
      <c r="AE203" s="16">
        <f>(W203+Y203+AA203+AC203)</f>
        <v/>
      </c>
      <c r="AF203" s="16" t="n"/>
      <c r="AG203" s="138" t="n"/>
      <c r="AH203" s="16" t="n"/>
      <c r="AI203" s="138" t="n"/>
      <c r="AJ203" s="16" t="n"/>
      <c r="AK203" s="138" t="n"/>
      <c r="AL203" s="16" t="n"/>
      <c r="AM203" s="138" t="n"/>
      <c r="AN203" s="16" t="n"/>
      <c r="AO203" s="138" t="n"/>
      <c r="AP203" s="16" t="n"/>
      <c r="AQ203" s="138" t="n"/>
      <c r="AR203" s="16" t="n"/>
      <c r="AS203" s="138" t="n"/>
      <c r="AT203" s="16" t="n"/>
      <c r="AU203" s="138" t="n"/>
      <c r="AV203" s="16" t="n"/>
      <c r="AW203" s="138" t="n"/>
      <c r="AX203" s="16" t="n"/>
      <c r="AY203" s="138" t="n"/>
      <c r="AZ203" s="16">
        <f>AF203+AH203+AJ203+AL203+AN203+AP203+AR203+AT203+AV203+AX203</f>
        <v/>
      </c>
      <c r="BA203" s="16" t="n"/>
      <c r="BB203" s="139" t="n"/>
      <c r="BC203" s="16" t="n"/>
      <c r="BD203" s="139" t="n"/>
      <c r="BE203" s="16">
        <f>(BA203+BC203)</f>
        <v/>
      </c>
    </row>
    <row r="204">
      <c r="A204" s="9" t="n"/>
      <c r="B204" s="136" t="inlineStr">
        <is>
          <t>RUBBER</t>
        </is>
      </c>
      <c r="C204" s="137" t="inlineStr">
        <is>
          <t>COCOON</t>
        </is>
      </c>
      <c r="D204" s="144" t="inlineStr">
        <is>
          <t>CRADLE FOOT RUBBER</t>
        </is>
      </c>
      <c r="E204" s="13" t="inlineStr">
        <is>
          <t>RUBBER</t>
        </is>
      </c>
      <c r="F204" s="100" t="n"/>
      <c r="G204" s="9" t="n"/>
      <c r="H204" s="9" t="inlineStr">
        <is>
          <t>남경화학</t>
        </is>
      </c>
      <c r="I204" s="14" t="n"/>
      <c r="J204" s="14" t="n"/>
      <c r="K204" s="12" t="n">
        <v>0</v>
      </c>
      <c r="L204" s="9" t="n"/>
      <c r="M204" s="9" t="n"/>
      <c r="N204" s="9" t="n"/>
      <c r="O204" s="40">
        <f>K204+V204-AE204-AZ204</f>
        <v/>
      </c>
      <c r="P204" s="12" t="n"/>
      <c r="Q204" s="138" t="n"/>
      <c r="R204" s="16" t="n"/>
      <c r="S204" s="139" t="n"/>
      <c r="T204" s="16" t="n"/>
      <c r="U204" s="139" t="n"/>
      <c r="V204" s="16">
        <f>P204+R204+T204</f>
        <v/>
      </c>
      <c r="W204" s="16" t="n"/>
      <c r="X204" s="139" t="n"/>
      <c r="Y204" s="16" t="n"/>
      <c r="Z204" s="139" t="n"/>
      <c r="AA204" s="16" t="n"/>
      <c r="AB204" s="139" t="n"/>
      <c r="AC204" s="16" t="n"/>
      <c r="AD204" s="139" t="n"/>
      <c r="AE204" s="16">
        <f>(W204+Y204+AA204+AC204)</f>
        <v/>
      </c>
      <c r="AF204" s="16" t="n"/>
      <c r="AG204" s="138" t="n"/>
      <c r="AH204" s="16" t="n"/>
      <c r="AI204" s="138" t="n"/>
      <c r="AJ204" s="16" t="n"/>
      <c r="AK204" s="138" t="n"/>
      <c r="AL204" s="16" t="n"/>
      <c r="AM204" s="138" t="n"/>
      <c r="AN204" s="16" t="n"/>
      <c r="AO204" s="138" t="n"/>
      <c r="AP204" s="16" t="n"/>
      <c r="AQ204" s="138" t="n"/>
      <c r="AR204" s="16" t="n"/>
      <c r="AS204" s="138" t="n"/>
      <c r="AT204" s="16" t="n"/>
      <c r="AU204" s="138" t="n"/>
      <c r="AV204" s="16" t="n"/>
      <c r="AW204" s="138" t="n"/>
      <c r="AX204" s="16" t="n"/>
      <c r="AY204" s="138" t="n"/>
      <c r="AZ204" s="16">
        <f>AF204+AH204+AJ204+AL204+AN204+AP204+AR204+AT204+AV204+AX204</f>
        <v/>
      </c>
      <c r="BA204" s="16" t="n"/>
      <c r="BB204" s="139" t="n"/>
      <c r="BC204" s="16" t="n"/>
      <c r="BD204" s="139" t="n"/>
      <c r="BE204" s="16">
        <f>(BA204+BC204)</f>
        <v/>
      </c>
    </row>
    <row r="205">
      <c r="A205" s="9" t="n"/>
      <c r="B205" s="136" t="inlineStr">
        <is>
          <t>신주</t>
        </is>
      </c>
      <c r="C205" s="137" t="inlineStr">
        <is>
          <t>COCOON</t>
        </is>
      </c>
      <c r="D205" s="83" t="inlineStr">
        <is>
          <t>CRADLE 신주 핀</t>
        </is>
      </c>
      <c r="E205" s="13" t="inlineStr">
        <is>
          <t>신주 가공 + 니켈 도금</t>
        </is>
      </c>
      <c r="F205" s="100" t="n"/>
      <c r="G205" s="9" t="n"/>
      <c r="H205" s="9" t="inlineStr">
        <is>
          <t>다우정밀</t>
        </is>
      </c>
      <c r="I205" s="14" t="n"/>
      <c r="J205" s="14" t="n"/>
      <c r="K205" s="12" t="n">
        <v>0</v>
      </c>
      <c r="L205" s="9" t="n"/>
      <c r="M205" s="9" t="n"/>
      <c r="N205" s="9" t="n"/>
      <c r="O205" s="40">
        <f>K205+V205-AE205-AZ205</f>
        <v/>
      </c>
      <c r="P205" s="12" t="n"/>
      <c r="Q205" s="138" t="n"/>
      <c r="R205" s="16" t="n"/>
      <c r="S205" s="139" t="n"/>
      <c r="T205" s="16" t="n"/>
      <c r="U205" s="139" t="n"/>
      <c r="V205" s="16">
        <f>P205+R205+T205</f>
        <v/>
      </c>
      <c r="W205" s="16" t="n"/>
      <c r="X205" s="139" t="n"/>
      <c r="Y205" s="16" t="n"/>
      <c r="Z205" s="139" t="n"/>
      <c r="AA205" s="16" t="n"/>
      <c r="AB205" s="139" t="n"/>
      <c r="AC205" s="16" t="n"/>
      <c r="AD205" s="139" t="n"/>
      <c r="AE205" s="16">
        <f>(W205+Y205+AA205+AC205)</f>
        <v/>
      </c>
      <c r="AF205" s="16" t="n"/>
      <c r="AG205" s="138" t="n"/>
      <c r="AH205" s="16" t="n"/>
      <c r="AI205" s="138" t="n"/>
      <c r="AJ205" s="16" t="n"/>
      <c r="AK205" s="138" t="n"/>
      <c r="AL205" s="16" t="n"/>
      <c r="AM205" s="138" t="n"/>
      <c r="AN205" s="16" t="n"/>
      <c r="AO205" s="138" t="n"/>
      <c r="AP205" s="16" t="n"/>
      <c r="AQ205" s="138" t="n"/>
      <c r="AR205" s="16" t="n"/>
      <c r="AS205" s="138" t="n"/>
      <c r="AT205" s="16" t="n"/>
      <c r="AU205" s="138" t="n"/>
      <c r="AV205" s="16" t="n"/>
      <c r="AW205" s="138" t="n"/>
      <c r="AX205" s="16" t="n"/>
      <c r="AY205" s="138" t="n"/>
      <c r="AZ205" s="16">
        <f>AF205+AH205+AJ205+AL205+AN205+AP205+AR205+AT205+AV205+AX205</f>
        <v/>
      </c>
      <c r="BA205" s="16" t="n"/>
      <c r="BB205" s="139" t="n"/>
      <c r="BC205" s="16" t="n"/>
      <c r="BD205" s="139" t="n"/>
      <c r="BE205" s="16">
        <f>(BA205+BC205)</f>
        <v/>
      </c>
    </row>
    <row r="206">
      <c r="A206" s="9" t="n"/>
      <c r="B206" s="136" t="inlineStr">
        <is>
          <t>스프링</t>
        </is>
      </c>
      <c r="C206" s="137" t="inlineStr">
        <is>
          <t>COCOON</t>
        </is>
      </c>
      <c r="D206" s="83" t="inlineStr">
        <is>
          <t>EXP BUTTON 스프링</t>
        </is>
      </c>
      <c r="E206" s="13" t="inlineStr">
        <is>
          <t>스프링</t>
        </is>
      </c>
      <c r="F206" s="100" t="n"/>
      <c r="G206" s="9" t="n"/>
      <c r="H206" s="9" t="inlineStr">
        <is>
          <t>금호스프링</t>
        </is>
      </c>
      <c r="I206" s="14" t="n"/>
      <c r="J206" s="14" t="n"/>
      <c r="K206" s="12" t="n">
        <v>0</v>
      </c>
      <c r="L206" s="9" t="n"/>
      <c r="M206" s="9" t="n"/>
      <c r="N206" s="9" t="n"/>
      <c r="O206" s="40">
        <f>K206+V206-AE206-AZ206</f>
        <v/>
      </c>
      <c r="P206" s="12" t="n"/>
      <c r="Q206" s="138" t="n"/>
      <c r="R206" s="16" t="n"/>
      <c r="S206" s="139" t="n"/>
      <c r="T206" s="16" t="n"/>
      <c r="U206" s="139" t="n"/>
      <c r="V206" s="16">
        <f>P206+R206+T206</f>
        <v/>
      </c>
      <c r="W206" s="16" t="n"/>
      <c r="X206" s="139" t="n"/>
      <c r="Y206" s="16" t="n"/>
      <c r="Z206" s="139" t="n"/>
      <c r="AA206" s="16" t="n"/>
      <c r="AB206" s="139" t="n"/>
      <c r="AC206" s="16" t="n"/>
      <c r="AD206" s="139" t="n"/>
      <c r="AE206" s="16">
        <f>(W206+Y206+AA206+AC206)</f>
        <v/>
      </c>
      <c r="AF206" s="16" t="n"/>
      <c r="AG206" s="138" t="n"/>
      <c r="AH206" s="16" t="n"/>
      <c r="AI206" s="138" t="n"/>
      <c r="AJ206" s="16" t="n"/>
      <c r="AK206" s="138" t="n"/>
      <c r="AL206" s="16" t="n"/>
      <c r="AM206" s="138" t="n"/>
      <c r="AN206" s="16" t="n"/>
      <c r="AO206" s="138" t="n"/>
      <c r="AP206" s="16" t="n"/>
      <c r="AQ206" s="138" t="n"/>
      <c r="AR206" s="16" t="n"/>
      <c r="AS206" s="138" t="n"/>
      <c r="AT206" s="16" t="n"/>
      <c r="AU206" s="138" t="n"/>
      <c r="AV206" s="16" t="n"/>
      <c r="AW206" s="138" t="n"/>
      <c r="AX206" s="16" t="n"/>
      <c r="AY206" s="138" t="n"/>
      <c r="AZ206" s="16">
        <f>AF206+AH206+AJ206+AL206+AN206+AP206+AR206+AT206+AV206+AX206</f>
        <v/>
      </c>
      <c r="BA206" s="16" t="n"/>
      <c r="BB206" s="139" t="n"/>
      <c r="BC206" s="16" t="n"/>
      <c r="BD206" s="139" t="n"/>
      <c r="BE206" s="16">
        <f>(BA206+BC206)</f>
        <v/>
      </c>
    </row>
    <row r="207">
      <c r="A207" s="9" t="n"/>
      <c r="B207" s="136" t="inlineStr">
        <is>
          <t>스프링</t>
        </is>
      </c>
      <c r="C207" s="137" t="inlineStr">
        <is>
          <t>COCOON</t>
        </is>
      </c>
      <c r="D207" s="83" t="inlineStr">
        <is>
          <t>CRADLE 충전단자 스프링</t>
        </is>
      </c>
      <c r="E207" s="13" t="inlineStr">
        <is>
          <t>스프링</t>
        </is>
      </c>
      <c r="F207" s="100" t="n"/>
      <c r="G207" s="9" t="n"/>
      <c r="H207" s="9" t="inlineStr">
        <is>
          <t>금호스프링</t>
        </is>
      </c>
      <c r="I207" s="14" t="n"/>
      <c r="J207" s="14" t="n"/>
      <c r="K207" s="12" t="n">
        <v>0</v>
      </c>
      <c r="L207" s="9" t="n"/>
      <c r="M207" s="9" t="n"/>
      <c r="N207" s="9" t="n"/>
      <c r="O207" s="40">
        <f>K207+V207-AE207-AZ207</f>
        <v/>
      </c>
      <c r="P207" s="12" t="n"/>
      <c r="Q207" s="138" t="n"/>
      <c r="R207" s="16" t="n"/>
      <c r="S207" s="139" t="n"/>
      <c r="T207" s="16" t="n"/>
      <c r="U207" s="139" t="n"/>
      <c r="V207" s="16">
        <f>P207+R207+T207</f>
        <v/>
      </c>
      <c r="W207" s="16" t="n"/>
      <c r="X207" s="139" t="n"/>
      <c r="Y207" s="16" t="n"/>
      <c r="Z207" s="139" t="n"/>
      <c r="AA207" s="16" t="n"/>
      <c r="AB207" s="139" t="n"/>
      <c r="AC207" s="16" t="n"/>
      <c r="AD207" s="139" t="n"/>
      <c r="AE207" s="16">
        <f>(W207+Y207+AA207+AC207)</f>
        <v/>
      </c>
      <c r="AF207" s="16" t="n"/>
      <c r="AG207" s="138" t="n"/>
      <c r="AH207" s="16" t="n"/>
      <c r="AI207" s="138" t="n"/>
      <c r="AJ207" s="16" t="n"/>
      <c r="AK207" s="138" t="n"/>
      <c r="AL207" s="16" t="n"/>
      <c r="AM207" s="138" t="n"/>
      <c r="AN207" s="16" t="n"/>
      <c r="AO207" s="138" t="n"/>
      <c r="AP207" s="16" t="n"/>
      <c r="AQ207" s="138" t="n"/>
      <c r="AR207" s="16" t="n"/>
      <c r="AS207" s="138" t="n"/>
      <c r="AT207" s="16" t="n"/>
      <c r="AU207" s="138" t="n"/>
      <c r="AV207" s="16" t="n"/>
      <c r="AW207" s="138" t="n"/>
      <c r="AX207" s="16" t="n"/>
      <c r="AY207" s="138" t="n"/>
      <c r="AZ207" s="16">
        <f>AF207+AH207+AJ207+AL207+AN207+AP207+AR207+AT207+AV207+AX207</f>
        <v/>
      </c>
      <c r="BA207" s="16" t="n"/>
      <c r="BB207" s="139" t="n"/>
      <c r="BC207" s="16" t="n"/>
      <c r="BD207" s="139" t="n"/>
      <c r="BE207" s="16">
        <f>(BA207+BC207)</f>
        <v/>
      </c>
    </row>
    <row r="208">
      <c r="A208" s="9" t="n"/>
      <c r="B208" s="136" t="inlineStr">
        <is>
          <t>STEEL</t>
        </is>
      </c>
      <c r="C208" s="137" t="inlineStr">
        <is>
          <t>COCOON</t>
        </is>
      </c>
      <c r="D208" s="83" t="inlineStr">
        <is>
          <t>고리</t>
        </is>
      </c>
      <c r="E208" s="13" t="inlineStr">
        <is>
          <t>니켈 도금 D링</t>
        </is>
      </c>
      <c r="F208" s="100" t="n"/>
      <c r="G208" s="9" t="n"/>
      <c r="H208" s="9" t="inlineStr">
        <is>
          <t>굿모닝코리아유통</t>
        </is>
      </c>
      <c r="I208" s="14" t="n"/>
      <c r="J208" s="14" t="n"/>
      <c r="K208" s="12" t="n">
        <v>351</v>
      </c>
      <c r="L208" s="9" t="n"/>
      <c r="M208" s="9" t="n"/>
      <c r="N208" s="9" t="n"/>
      <c r="O208" s="40">
        <f>K208+V208-AE208-AZ208</f>
        <v/>
      </c>
      <c r="P208" s="12" t="n"/>
      <c r="Q208" s="138" t="n"/>
      <c r="R208" s="16" t="n"/>
      <c r="S208" s="139" t="n"/>
      <c r="T208" s="16" t="n"/>
      <c r="U208" s="139" t="n"/>
      <c r="V208" s="16">
        <f>P208+R208+T208</f>
        <v/>
      </c>
      <c r="W208" s="16" t="n"/>
      <c r="X208" s="139" t="n"/>
      <c r="Y208" s="16" t="n"/>
      <c r="Z208" s="139" t="n"/>
      <c r="AA208" s="16" t="n"/>
      <c r="AB208" s="139" t="n"/>
      <c r="AC208" s="16" t="n"/>
      <c r="AD208" s="139" t="n"/>
      <c r="AE208" s="16">
        <f>(W208+Y208+AA208+AC208)</f>
        <v/>
      </c>
      <c r="AF208" s="16" t="n"/>
      <c r="AG208" s="138" t="n"/>
      <c r="AH208" s="16" t="n"/>
      <c r="AI208" s="138" t="n"/>
      <c r="AJ208" s="16" t="n"/>
      <c r="AK208" s="138" t="n"/>
      <c r="AL208" s="16" t="n"/>
      <c r="AM208" s="138" t="n"/>
      <c r="AN208" s="16" t="n"/>
      <c r="AO208" s="138" t="n"/>
      <c r="AP208" s="16" t="n"/>
      <c r="AQ208" s="138" t="n"/>
      <c r="AR208" s="16" t="n"/>
      <c r="AS208" s="138" t="n"/>
      <c r="AT208" s="16" t="n"/>
      <c r="AU208" s="138" t="n"/>
      <c r="AV208" s="16" t="n"/>
      <c r="AW208" s="138" t="n"/>
      <c r="AX208" s="16" t="n"/>
      <c r="AY208" s="138" t="n"/>
      <c r="AZ208" s="16">
        <f>AF208+AH208+AJ208+AL208+AN208+AP208+AR208+AT208+AV208+AX208</f>
        <v/>
      </c>
      <c r="BA208" s="16" t="n"/>
      <c r="BB208" s="139" t="n"/>
      <c r="BC208" s="16" t="n"/>
      <c r="BD208" s="139" t="n"/>
      <c r="BE208" s="16">
        <f>(BA208+BC208)</f>
        <v/>
      </c>
    </row>
    <row r="209">
      <c r="A209" s="9" t="n"/>
      <c r="B209" s="136" t="inlineStr">
        <is>
          <t>자석</t>
        </is>
      </c>
      <c r="C209" s="137" t="inlineStr">
        <is>
          <t>COCOON</t>
        </is>
      </c>
      <c r="D209" s="83" t="inlineStr">
        <is>
          <t>자석</t>
        </is>
      </c>
      <c r="E209" s="13" t="inlineStr">
        <is>
          <t>네오디움 마그넷</t>
        </is>
      </c>
      <c r="F209" s="100" t="n"/>
      <c r="G209" s="9" t="n"/>
      <c r="H209" s="9" t="inlineStr">
        <is>
          <t>일성마그네트</t>
        </is>
      </c>
      <c r="I209" s="14" t="n"/>
      <c r="J209" s="14" t="n"/>
      <c r="K209" s="12" t="n">
        <v>0</v>
      </c>
      <c r="L209" s="9" t="n"/>
      <c r="M209" s="9" t="n"/>
      <c r="N209" s="9" t="n"/>
      <c r="O209" s="40">
        <f>K209+V209-AE209-AZ209</f>
        <v/>
      </c>
      <c r="P209" s="12" t="n"/>
      <c r="Q209" s="138" t="n"/>
      <c r="R209" s="16" t="n"/>
      <c r="S209" s="139" t="n"/>
      <c r="T209" s="16" t="n"/>
      <c r="U209" s="139" t="n"/>
      <c r="V209" s="16">
        <f>P209+R209+T209</f>
        <v/>
      </c>
      <c r="W209" s="16" t="n"/>
      <c r="X209" s="139" t="n"/>
      <c r="Y209" s="16" t="n"/>
      <c r="Z209" s="139" t="n"/>
      <c r="AA209" s="16" t="n"/>
      <c r="AB209" s="139" t="n"/>
      <c r="AC209" s="16" t="n"/>
      <c r="AD209" s="139" t="n"/>
      <c r="AE209" s="16">
        <f>(W209+Y209+AA209+AC209)</f>
        <v/>
      </c>
      <c r="AF209" s="16" t="n"/>
      <c r="AG209" s="138" t="n"/>
      <c r="AH209" s="16" t="n"/>
      <c r="AI209" s="138" t="n"/>
      <c r="AJ209" s="16" t="n"/>
      <c r="AK209" s="138" t="n"/>
      <c r="AL209" s="16" t="n"/>
      <c r="AM209" s="138" t="n"/>
      <c r="AN209" s="16" t="n"/>
      <c r="AO209" s="138" t="n"/>
      <c r="AP209" s="16" t="n"/>
      <c r="AQ209" s="138" t="n"/>
      <c r="AR209" s="16" t="n"/>
      <c r="AS209" s="138" t="n"/>
      <c r="AT209" s="16" t="n"/>
      <c r="AU209" s="138" t="n"/>
      <c r="AV209" s="16" t="n"/>
      <c r="AW209" s="138" t="n"/>
      <c r="AX209" s="16" t="n"/>
      <c r="AY209" s="138" t="n"/>
      <c r="AZ209" s="16">
        <f>AF209+AH209+AJ209+AL209+AN209+AP209+AR209+AT209+AV209+AX209</f>
        <v/>
      </c>
      <c r="BA209" s="16" t="n"/>
      <c r="BB209" s="139" t="n"/>
      <c r="BC209" s="16" t="n"/>
      <c r="BD209" s="139" t="n"/>
      <c r="BE209" s="16">
        <f>(BA209+BC209)</f>
        <v/>
      </c>
    </row>
    <row r="210">
      <c r="A210" s="9" t="n"/>
      <c r="B210" s="136" t="inlineStr">
        <is>
          <t>ABS 난연</t>
        </is>
      </c>
      <c r="C210" s="137" t="inlineStr">
        <is>
          <t>COCOON</t>
        </is>
      </c>
      <c r="D210" s="144" t="inlineStr">
        <is>
          <t>FRONT_S (18cm)</t>
        </is>
      </c>
      <c r="E210" s="13" t="inlineStr">
        <is>
          <t>ABS 난연 블랙 + 블랙 무광</t>
        </is>
      </c>
      <c r="F210" s="100" t="n"/>
      <c r="G210" s="9" t="n"/>
      <c r="H210" s="9" t="inlineStr">
        <is>
          <t>천우</t>
        </is>
      </c>
      <c r="I210" s="14" t="n"/>
      <c r="J210" s="14" t="n"/>
      <c r="K210" s="12" t="n">
        <v>34</v>
      </c>
      <c r="L210" s="9" t="n"/>
      <c r="M210" s="9" t="n"/>
      <c r="N210" s="9" t="n"/>
      <c r="O210" s="40">
        <f>K210+V210-AE210-AZ210</f>
        <v/>
      </c>
      <c r="P210" s="12" t="n"/>
      <c r="Q210" s="138" t="n"/>
      <c r="R210" s="16" t="n"/>
      <c r="S210" s="139" t="n"/>
      <c r="T210" s="16" t="n"/>
      <c r="U210" s="139" t="n"/>
      <c r="V210" s="16">
        <f>P210+R210+T210</f>
        <v/>
      </c>
      <c r="W210" s="16" t="n"/>
      <c r="X210" s="139" t="n"/>
      <c r="Y210" s="16" t="n"/>
      <c r="Z210" s="139" t="n"/>
      <c r="AA210" s="16" t="n"/>
      <c r="AB210" s="139" t="n"/>
      <c r="AC210" s="16" t="n"/>
      <c r="AD210" s="139" t="n"/>
      <c r="AE210" s="16">
        <f>(W210+Y210+AA210+AC210)</f>
        <v/>
      </c>
      <c r="AF210" s="16" t="n"/>
      <c r="AG210" s="138" t="n"/>
      <c r="AH210" s="16" t="n"/>
      <c r="AI210" s="138" t="n"/>
      <c r="AJ210" s="16" t="n"/>
      <c r="AK210" s="138" t="n"/>
      <c r="AL210" s="16" t="n"/>
      <c r="AM210" s="138" t="n"/>
      <c r="AN210" s="16" t="n"/>
      <c r="AO210" s="138" t="n"/>
      <c r="AP210" s="16" t="n"/>
      <c r="AQ210" s="138" t="n"/>
      <c r="AR210" s="16" t="n"/>
      <c r="AS210" s="138" t="n"/>
      <c r="AT210" s="16" t="n"/>
      <c r="AU210" s="138" t="n"/>
      <c r="AV210" s="16" t="n"/>
      <c r="AW210" s="138" t="n"/>
      <c r="AX210" s="16" t="n"/>
      <c r="AY210" s="138" t="n"/>
      <c r="AZ210" s="16">
        <f>AF210+AH210+AJ210+AL210+AN210+AP210+AR210+AT210+AV210+AX210</f>
        <v/>
      </c>
      <c r="BA210" s="16" t="n"/>
      <c r="BB210" s="139" t="n"/>
      <c r="BC210" s="16" t="n"/>
      <c r="BD210" s="139" t="n"/>
      <c r="BE210" s="16">
        <f>(BA210+BC210)</f>
        <v/>
      </c>
    </row>
    <row r="211">
      <c r="A211" s="9" t="n"/>
      <c r="B211" s="136" t="inlineStr">
        <is>
          <t>ABS 난연</t>
        </is>
      </c>
      <c r="C211" s="137" t="inlineStr">
        <is>
          <t>COCOON</t>
        </is>
      </c>
      <c r="D211" s="149" t="inlineStr">
        <is>
          <t>FRONT_L (20cm)</t>
        </is>
      </c>
      <c r="E211" s="13" t="inlineStr">
        <is>
          <t>ABS 난연 블랙 + 블랙 무광</t>
        </is>
      </c>
      <c r="F211" s="100" t="n"/>
      <c r="G211" s="9" t="n"/>
      <c r="H211" s="9" t="inlineStr">
        <is>
          <t>천우</t>
        </is>
      </c>
      <c r="I211" s="14" t="n"/>
      <c r="J211" s="14" t="n"/>
      <c r="K211" s="12" t="n">
        <v>239</v>
      </c>
      <c r="L211" s="9" t="n"/>
      <c r="M211" s="9" t="n"/>
      <c r="N211" s="9" t="n"/>
      <c r="O211" s="40">
        <f>K211+V211-AE211-AZ211</f>
        <v/>
      </c>
      <c r="P211" s="12" t="n"/>
      <c r="Q211" s="138" t="n"/>
      <c r="R211" s="16" t="n"/>
      <c r="S211" s="139" t="n"/>
      <c r="T211" s="16" t="n"/>
      <c r="U211" s="139" t="n"/>
      <c r="V211" s="16">
        <f>P211+R211+T211</f>
        <v/>
      </c>
      <c r="W211" s="16" t="n"/>
      <c r="X211" s="139" t="n"/>
      <c r="Y211" s="16" t="n"/>
      <c r="Z211" s="139" t="n"/>
      <c r="AA211" s="16" t="n"/>
      <c r="AB211" s="139" t="n"/>
      <c r="AC211" s="16" t="n"/>
      <c r="AD211" s="139" t="n"/>
      <c r="AE211" s="16">
        <f>(W211+Y211+AA211+AC211)</f>
        <v/>
      </c>
      <c r="AF211" s="16" t="n"/>
      <c r="AG211" s="138" t="n"/>
      <c r="AH211" s="16" t="n"/>
      <c r="AI211" s="138" t="n"/>
      <c r="AJ211" s="16" t="n"/>
      <c r="AK211" s="138" t="n"/>
      <c r="AL211" s="16" t="n"/>
      <c r="AM211" s="138" t="n"/>
      <c r="AN211" s="16" t="n"/>
      <c r="AO211" s="138" t="n"/>
      <c r="AP211" s="16" t="n"/>
      <c r="AQ211" s="138" t="n"/>
      <c r="AR211" s="16" t="n"/>
      <c r="AS211" s="138" t="n"/>
      <c r="AT211" s="16" t="n"/>
      <c r="AU211" s="138" t="n"/>
      <c r="AV211" s="16" t="n"/>
      <c r="AW211" s="138" t="n"/>
      <c r="AX211" s="16" t="n"/>
      <c r="AY211" s="138" t="n"/>
      <c r="AZ211" s="16">
        <f>AF211+AH211+AJ211+AL211+AN211+AP211+AR211+AT211+AV211+AX211</f>
        <v/>
      </c>
      <c r="BA211" s="16" t="n"/>
      <c r="BB211" s="139" t="n"/>
      <c r="BC211" s="16" t="n"/>
      <c r="BD211" s="139" t="n"/>
      <c r="BE211" s="16">
        <f>(BA211+BC211)</f>
        <v/>
      </c>
    </row>
    <row r="212">
      <c r="A212" s="9" t="n"/>
      <c r="B212" s="136" t="inlineStr">
        <is>
          <t>ABS 난연</t>
        </is>
      </c>
      <c r="C212" s="137" t="inlineStr">
        <is>
          <t>COCOON</t>
        </is>
      </c>
      <c r="D212" s="149" t="inlineStr">
        <is>
          <t>FRONT_CAP</t>
        </is>
      </c>
      <c r="E212" s="13" t="inlineStr">
        <is>
          <t>ABS 난연 블랙 + 블랙 무광</t>
        </is>
      </c>
      <c r="F212" s="100" t="n"/>
      <c r="G212" s="9" t="n"/>
      <c r="H212" s="9" t="inlineStr">
        <is>
          <t>천우</t>
        </is>
      </c>
      <c r="I212" s="14" t="n"/>
      <c r="J212" s="14" t="n"/>
      <c r="K212" s="12" t="n">
        <v>145</v>
      </c>
      <c r="L212" s="9" t="n"/>
      <c r="M212" s="9" t="n"/>
      <c r="N212" s="9" t="n"/>
      <c r="O212" s="40">
        <f>K212+V212-AE212-AZ212</f>
        <v/>
      </c>
      <c r="P212" s="12" t="n"/>
      <c r="Q212" s="138" t="n"/>
      <c r="R212" s="16" t="n"/>
      <c r="S212" s="139" t="n"/>
      <c r="T212" s="16" t="n"/>
      <c r="U212" s="139" t="n"/>
      <c r="V212" s="16">
        <f>P212+R212+T212</f>
        <v/>
      </c>
      <c r="W212" s="16" t="n"/>
      <c r="X212" s="139" t="n"/>
      <c r="Y212" s="16" t="n"/>
      <c r="Z212" s="139" t="n"/>
      <c r="AA212" s="16" t="n"/>
      <c r="AB212" s="139" t="n"/>
      <c r="AC212" s="16" t="n"/>
      <c r="AD212" s="139" t="n"/>
      <c r="AE212" s="16">
        <f>(W212+Y212+AA212+AC212)</f>
        <v/>
      </c>
      <c r="AF212" s="16" t="n"/>
      <c r="AG212" s="138" t="n"/>
      <c r="AH212" s="16" t="n"/>
      <c r="AI212" s="138" t="n"/>
      <c r="AJ212" s="16" t="n"/>
      <c r="AK212" s="138" t="n"/>
      <c r="AL212" s="16" t="n"/>
      <c r="AM212" s="138" t="n"/>
      <c r="AN212" s="16" t="n"/>
      <c r="AO212" s="138" t="n"/>
      <c r="AP212" s="16" t="n"/>
      <c r="AQ212" s="138" t="n"/>
      <c r="AR212" s="16" t="n"/>
      <c r="AS212" s="138" t="n"/>
      <c r="AT212" s="16" t="n"/>
      <c r="AU212" s="138" t="n"/>
      <c r="AV212" s="16" t="n"/>
      <c r="AW212" s="138" t="n"/>
      <c r="AX212" s="16" t="n"/>
      <c r="AY212" s="138" t="n"/>
      <c r="AZ212" s="16">
        <f>AF212+AH212+AJ212+AL212+AN212+AP212+AR212+AT212+AV212+AX212</f>
        <v/>
      </c>
      <c r="BA212" s="16" t="n"/>
      <c r="BB212" s="139" t="n"/>
      <c r="BC212" s="16" t="n"/>
      <c r="BD212" s="139" t="n"/>
      <c r="BE212" s="16">
        <f>(BA212+BC212)</f>
        <v/>
      </c>
    </row>
    <row r="213">
      <c r="A213" s="9" t="n"/>
      <c r="B213" s="136" t="inlineStr">
        <is>
          <t>ABS 난연</t>
        </is>
      </c>
      <c r="C213" s="137" t="inlineStr">
        <is>
          <t>COCOON</t>
        </is>
      </c>
      <c r="D213" s="149" t="inlineStr">
        <is>
          <t>에이밍 앞 사출</t>
        </is>
      </c>
      <c r="E213" s="13" t="inlineStr">
        <is>
          <t>블랙 무광</t>
        </is>
      </c>
      <c r="F213" s="100" t="n"/>
      <c r="G213" s="9" t="n"/>
      <c r="H213" s="9" t="inlineStr">
        <is>
          <t>천우</t>
        </is>
      </c>
      <c r="I213" s="14" t="n"/>
      <c r="J213" s="14" t="n"/>
      <c r="K213" s="12" t="n">
        <v>488</v>
      </c>
      <c r="L213" s="9" t="n"/>
      <c r="M213" s="9" t="n"/>
      <c r="N213" s="9" t="n"/>
      <c r="O213" s="40">
        <f>K213+V213-AE213-AZ213</f>
        <v/>
      </c>
      <c r="P213" s="12" t="n"/>
      <c r="Q213" s="138" t="n"/>
      <c r="R213" s="16" t="n"/>
      <c r="S213" s="139" t="n"/>
      <c r="T213" s="16" t="n"/>
      <c r="U213" s="139" t="n"/>
      <c r="V213" s="16">
        <f>P213+R213+T213</f>
        <v/>
      </c>
      <c r="W213" s="16" t="n"/>
      <c r="X213" s="139" t="n"/>
      <c r="Y213" s="16" t="n"/>
      <c r="Z213" s="139" t="n"/>
      <c r="AA213" s="16" t="n"/>
      <c r="AB213" s="139" t="n"/>
      <c r="AC213" s="16" t="n"/>
      <c r="AD213" s="139" t="n"/>
      <c r="AE213" s="16">
        <f>(W213+Y213+AA213+AC213)</f>
        <v/>
      </c>
      <c r="AF213" s="16" t="n"/>
      <c r="AG213" s="138" t="n"/>
      <c r="AH213" s="16" t="n"/>
      <c r="AI213" s="138" t="n"/>
      <c r="AJ213" s="16" t="n"/>
      <c r="AK213" s="138" t="n"/>
      <c r="AL213" s="16" t="n"/>
      <c r="AM213" s="138" t="n"/>
      <c r="AN213" s="16" t="n"/>
      <c r="AO213" s="138" t="n"/>
      <c r="AP213" s="16" t="n"/>
      <c r="AQ213" s="138" t="n"/>
      <c r="AR213" s="16" t="n"/>
      <c r="AS213" s="138" t="n"/>
      <c r="AT213" s="16" t="n"/>
      <c r="AU213" s="138" t="n"/>
      <c r="AV213" s="16" t="n"/>
      <c r="AW213" s="138" t="n"/>
      <c r="AX213" s="16" t="n"/>
      <c r="AY213" s="138" t="n"/>
      <c r="AZ213" s="16">
        <f>AF213+AH213+AJ213+AL213+AN213+AP213+AR213+AT213+AV213+AX213</f>
        <v/>
      </c>
      <c r="BA213" s="16" t="n"/>
      <c r="BB213" s="139" t="n"/>
      <c r="BC213" s="16" t="n"/>
      <c r="BD213" s="139" t="n"/>
      <c r="BE213" s="16">
        <f>(BA213+BC213)</f>
        <v/>
      </c>
    </row>
    <row r="214">
      <c r="A214" s="9" t="n"/>
      <c r="B214" s="136" t="inlineStr">
        <is>
          <t>ABS 난연</t>
        </is>
      </c>
      <c r="C214" s="137" t="inlineStr">
        <is>
          <t>COCOON</t>
        </is>
      </c>
      <c r="D214" s="143" t="inlineStr">
        <is>
          <t>POWER BUTTON</t>
        </is>
      </c>
      <c r="E214" s="13" t="inlineStr">
        <is>
          <t>ABS 난연 화이트 유광</t>
        </is>
      </c>
      <c r="F214" s="100" t="n"/>
      <c r="G214" s="9" t="n"/>
      <c r="H214" s="9" t="inlineStr">
        <is>
          <t>천우</t>
        </is>
      </c>
      <c r="I214" s="14" t="n"/>
      <c r="J214" s="14" t="n"/>
      <c r="K214" s="12" t="n">
        <v>465</v>
      </c>
      <c r="L214" s="9" t="n"/>
      <c r="M214" s="9" t="n"/>
      <c r="N214" s="9" t="n"/>
      <c r="O214" s="40">
        <f>K214+V214-AE214-AZ214</f>
        <v/>
      </c>
      <c r="P214" s="12" t="n"/>
      <c r="Q214" s="138" t="n"/>
      <c r="R214" s="16" t="n"/>
      <c r="S214" s="139" t="n"/>
      <c r="T214" s="16" t="n"/>
      <c r="U214" s="139" t="n"/>
      <c r="V214" s="16">
        <f>P214+R214+T214</f>
        <v/>
      </c>
      <c r="W214" s="16" t="n"/>
      <c r="X214" s="139" t="n"/>
      <c r="Y214" s="16" t="n"/>
      <c r="Z214" s="139" t="n"/>
      <c r="AA214" s="16" t="n"/>
      <c r="AB214" s="139" t="n"/>
      <c r="AC214" s="16" t="n"/>
      <c r="AD214" s="139" t="n"/>
      <c r="AE214" s="16">
        <f>(W214+Y214+AA214+AC214)</f>
        <v/>
      </c>
      <c r="AF214" s="16" t="n"/>
      <c r="AG214" s="138" t="n"/>
      <c r="AH214" s="16" t="n"/>
      <c r="AI214" s="138" t="n"/>
      <c r="AJ214" s="16" t="n"/>
      <c r="AK214" s="138" t="n"/>
      <c r="AL214" s="16" t="n"/>
      <c r="AM214" s="138" t="n"/>
      <c r="AN214" s="16" t="n"/>
      <c r="AO214" s="138" t="n"/>
      <c r="AP214" s="16" t="n"/>
      <c r="AQ214" s="138" t="n"/>
      <c r="AR214" s="16" t="n"/>
      <c r="AS214" s="138" t="n"/>
      <c r="AT214" s="16" t="n"/>
      <c r="AU214" s="138" t="n"/>
      <c r="AV214" s="16" t="n"/>
      <c r="AW214" s="138" t="n"/>
      <c r="AX214" s="16" t="n"/>
      <c r="AY214" s="138" t="n"/>
      <c r="AZ214" s="16">
        <f>AF214+AH214+AJ214+AL214+AN214+AP214+AR214+AT214+AV214+AX214</f>
        <v/>
      </c>
      <c r="BA214" s="16" t="n"/>
      <c r="BB214" s="139" t="n"/>
      <c r="BC214" s="16" t="n"/>
      <c r="BD214" s="139" t="n"/>
      <c r="BE214" s="16">
        <f>(BA214+BC214)</f>
        <v/>
      </c>
    </row>
    <row r="215">
      <c r="A215" s="9" t="n"/>
      <c r="B215" s="136" t="inlineStr">
        <is>
          <t>ABS 난연</t>
        </is>
      </c>
      <c r="C215" s="137" t="inlineStr">
        <is>
          <t>COCOON</t>
        </is>
      </c>
      <c r="D215" s="144" t="inlineStr">
        <is>
          <t>LOCK KNOB</t>
        </is>
      </c>
      <c r="E215" s="13" t="inlineStr">
        <is>
          <t>ABS 난연 화이트 유광</t>
        </is>
      </c>
      <c r="F215" s="100" t="n"/>
      <c r="G215" s="9" t="n"/>
      <c r="H215" s="9" t="inlineStr">
        <is>
          <t>천우</t>
        </is>
      </c>
      <c r="I215" s="14" t="n"/>
      <c r="J215" s="14" t="n"/>
      <c r="K215" s="12" t="n">
        <v>171</v>
      </c>
      <c r="L215" s="9" t="n"/>
      <c r="M215" s="9" t="n"/>
      <c r="N215" s="9" t="n"/>
      <c r="O215" s="40">
        <f>K215+V215-AE215-AZ215</f>
        <v/>
      </c>
      <c r="P215" s="12" t="n"/>
      <c r="Q215" s="138" t="n"/>
      <c r="R215" s="16" t="n"/>
      <c r="S215" s="139" t="n"/>
      <c r="T215" s="16" t="n"/>
      <c r="U215" s="139" t="n"/>
      <c r="V215" s="16">
        <f>P215+R215+T215</f>
        <v/>
      </c>
      <c r="W215" s="16" t="n"/>
      <c r="X215" s="139" t="n"/>
      <c r="Y215" s="16" t="n"/>
      <c r="Z215" s="139" t="n"/>
      <c r="AA215" s="25" t="n"/>
      <c r="AB215" s="139" t="n"/>
      <c r="AC215" s="25" t="n"/>
      <c r="AD215" s="139" t="n"/>
      <c r="AE215" s="16">
        <f>(W215+Y215+AA215+AC215)</f>
        <v/>
      </c>
      <c r="AF215" s="16" t="n"/>
      <c r="AG215" s="138" t="n"/>
      <c r="AH215" s="16" t="n"/>
      <c r="AI215" s="138" t="n"/>
      <c r="AJ215" s="16" t="n"/>
      <c r="AK215" s="138" t="n"/>
      <c r="AL215" s="16" t="n"/>
      <c r="AM215" s="138" t="n"/>
      <c r="AN215" s="16" t="n"/>
      <c r="AO215" s="138" t="n"/>
      <c r="AP215" s="16" t="n"/>
      <c r="AQ215" s="138" t="n"/>
      <c r="AR215" s="16" t="n"/>
      <c r="AS215" s="138" t="n"/>
      <c r="AT215" s="16" t="n"/>
      <c r="AU215" s="138" t="n"/>
      <c r="AV215" s="16" t="n"/>
      <c r="AW215" s="138" t="n"/>
      <c r="AX215" s="16" t="n"/>
      <c r="AY215" s="138" t="n"/>
      <c r="AZ215" s="16">
        <f>AF215+AH215+AJ215+AL215+AN215+AP215+AR215+AT215+AV215+AX215</f>
        <v/>
      </c>
      <c r="BA215" s="16" t="n"/>
      <c r="BB215" s="139" t="n"/>
      <c r="BC215" s="16" t="n"/>
      <c r="BD215" s="139" t="n"/>
      <c r="BE215" s="16">
        <f>(BA215+BC215)</f>
        <v/>
      </c>
    </row>
    <row r="216">
      <c r="A216" s="9" t="n"/>
      <c r="B216" s="136" t="inlineStr">
        <is>
          <t>ABS 난연</t>
        </is>
      </c>
      <c r="C216" s="137" t="inlineStr">
        <is>
          <t>COCOON</t>
        </is>
      </c>
      <c r="D216" s="143" t="inlineStr">
        <is>
          <t>LOCK INNER</t>
        </is>
      </c>
      <c r="E216" s="13" t="inlineStr">
        <is>
          <t>ABS 난연 화이트</t>
        </is>
      </c>
      <c r="F216" s="100" t="n"/>
      <c r="G216" s="9" t="n"/>
      <c r="H216" s="9" t="inlineStr">
        <is>
          <t>천우</t>
        </is>
      </c>
      <c r="I216" s="14" t="n"/>
      <c r="J216" s="14" t="n"/>
      <c r="K216" s="12" t="n">
        <v>279</v>
      </c>
      <c r="L216" s="9" t="n"/>
      <c r="M216" s="9" t="n"/>
      <c r="N216" s="9" t="n"/>
      <c r="O216" s="40">
        <f>K216+V216-AE216-AZ216</f>
        <v/>
      </c>
      <c r="P216" s="12" t="n"/>
      <c r="Q216" s="138" t="n"/>
      <c r="R216" s="16" t="n"/>
      <c r="S216" s="139" t="n"/>
      <c r="T216" s="16" t="n"/>
      <c r="U216" s="139" t="n"/>
      <c r="V216" s="16">
        <f>P216+R216+T216</f>
        <v/>
      </c>
      <c r="W216" s="16" t="n"/>
      <c r="X216" s="139" t="n"/>
      <c r="Y216" s="16" t="n"/>
      <c r="Z216" s="139" t="n"/>
      <c r="AA216" s="16" t="n"/>
      <c r="AB216" s="139" t="n"/>
      <c r="AC216" s="16" t="n"/>
      <c r="AD216" s="139" t="n"/>
      <c r="AE216" s="16">
        <f>(W216+Y216+AA216+AC216)</f>
        <v/>
      </c>
      <c r="AF216" s="16" t="n"/>
      <c r="AG216" s="138" t="n"/>
      <c r="AH216" s="16" t="n"/>
      <c r="AI216" s="138" t="n"/>
      <c r="AJ216" s="16" t="n"/>
      <c r="AK216" s="138" t="n"/>
      <c r="AL216" s="16" t="n"/>
      <c r="AM216" s="138" t="n"/>
      <c r="AN216" s="16" t="n"/>
      <c r="AO216" s="138" t="n"/>
      <c r="AP216" s="16" t="n"/>
      <c r="AQ216" s="138" t="n"/>
      <c r="AR216" s="16" t="n"/>
      <c r="AS216" s="138" t="n"/>
      <c r="AT216" s="16" t="n"/>
      <c r="AU216" s="138" t="n"/>
      <c r="AV216" s="16" t="n"/>
      <c r="AW216" s="138" t="n"/>
      <c r="AX216" s="16" t="n"/>
      <c r="AY216" s="138" t="n"/>
      <c r="AZ216" s="16">
        <f>AF216+AH216+AJ216+AL216+AN216+AP216+AR216+AT216+AV216+AX216</f>
        <v/>
      </c>
      <c r="BA216" s="16" t="n"/>
      <c r="BB216" s="139" t="n"/>
      <c r="BC216" s="16" t="n"/>
      <c r="BD216" s="139" t="n"/>
      <c r="BE216" s="16">
        <f>(BA216+BC216)</f>
        <v/>
      </c>
    </row>
    <row r="217">
      <c r="A217" s="9" t="n"/>
      <c r="B217" s="136" t="inlineStr">
        <is>
          <t>ABS 난연</t>
        </is>
      </c>
      <c r="C217" s="137" t="inlineStr">
        <is>
          <t>COCOON</t>
        </is>
      </c>
      <c r="D217" s="145" t="inlineStr">
        <is>
          <t>HAND BODY</t>
        </is>
      </c>
      <c r="E217" s="13" t="inlineStr">
        <is>
          <t>ABS 난연 화이트 + 화이트 유광</t>
        </is>
      </c>
      <c r="F217" s="100" t="n"/>
      <c r="G217" s="9" t="n"/>
      <c r="H217" s="9" t="inlineStr">
        <is>
          <t>천우</t>
        </is>
      </c>
      <c r="I217" s="14" t="n"/>
      <c r="J217" s="14" t="n"/>
      <c r="K217" s="12" t="n">
        <v>0</v>
      </c>
      <c r="L217" s="9" t="n"/>
      <c r="M217" s="9" t="n"/>
      <c r="N217" s="9" t="n"/>
      <c r="O217" s="40">
        <f>K217+V217-AE217-AZ217</f>
        <v/>
      </c>
      <c r="P217" s="12" t="n"/>
      <c r="Q217" s="138" t="n"/>
      <c r="R217" s="16" t="n"/>
      <c r="S217" s="139" t="n"/>
      <c r="T217" s="16" t="n"/>
      <c r="U217" s="139" t="n"/>
      <c r="V217" s="16">
        <f>P217+R217+T217</f>
        <v/>
      </c>
      <c r="W217" s="16" t="n"/>
      <c r="X217" s="139" t="n"/>
      <c r="Y217" s="16" t="n"/>
      <c r="Z217" s="139" t="n"/>
      <c r="AA217" s="16" t="n"/>
      <c r="AB217" s="139" t="n"/>
      <c r="AC217" s="16" t="n"/>
      <c r="AD217" s="139" t="n"/>
      <c r="AE217" s="16">
        <f>(W217+Y217+AA217+AC217)</f>
        <v/>
      </c>
      <c r="AF217" s="16" t="n"/>
      <c r="AG217" s="138" t="n"/>
      <c r="AH217" s="16" t="n"/>
      <c r="AI217" s="138" t="n"/>
      <c r="AJ217" s="16" t="n"/>
      <c r="AK217" s="138" t="n"/>
      <c r="AL217" s="16" t="n"/>
      <c r="AM217" s="138" t="n"/>
      <c r="AN217" s="16" t="n"/>
      <c r="AO217" s="138" t="n"/>
      <c r="AP217" s="16" t="n"/>
      <c r="AQ217" s="138" t="n"/>
      <c r="AR217" s="16" t="n"/>
      <c r="AS217" s="138" t="n"/>
      <c r="AT217" s="16" t="n"/>
      <c r="AU217" s="138" t="n"/>
      <c r="AV217" s="16" t="n"/>
      <c r="AW217" s="138" t="n"/>
      <c r="AX217" s="16" t="n"/>
      <c r="AY217" s="138" t="n"/>
      <c r="AZ217" s="16">
        <f>AF217+AH217+AJ217+AL217+AN217+AP217+AR217+AT217+AV217+AX217</f>
        <v/>
      </c>
      <c r="BA217" s="16" t="n"/>
      <c r="BB217" s="139" t="n"/>
      <c r="BC217" s="16" t="n"/>
      <c r="BD217" s="139" t="n"/>
      <c r="BE217" s="16">
        <f>(BA217+BC217)</f>
        <v/>
      </c>
    </row>
    <row r="218">
      <c r="A218" s="9" t="n"/>
      <c r="B218" s="136" t="inlineStr">
        <is>
          <t>ABS 난연</t>
        </is>
      </c>
      <c r="C218" s="137" t="inlineStr">
        <is>
          <t>COCOON</t>
        </is>
      </c>
      <c r="D218" s="143" t="inlineStr">
        <is>
          <t>HAND TOP COVER</t>
        </is>
      </c>
      <c r="E218" s="13" t="inlineStr">
        <is>
          <t>ABS 난연 화이트 유광</t>
        </is>
      </c>
      <c r="F218" s="100" t="n"/>
      <c r="G218" s="9" t="n"/>
      <c r="H218" s="9" t="inlineStr">
        <is>
          <t>천우</t>
        </is>
      </c>
      <c r="I218" s="14" t="n"/>
      <c r="J218" s="14" t="n"/>
      <c r="K218" s="12" t="n">
        <v>0</v>
      </c>
      <c r="L218" s="9" t="n"/>
      <c r="M218" s="9" t="n"/>
      <c r="N218" s="9" t="n"/>
      <c r="O218" s="40">
        <f>K218+V218-AE218-AZ218</f>
        <v/>
      </c>
      <c r="P218" s="12" t="n"/>
      <c r="Q218" s="138" t="n"/>
      <c r="R218" s="16" t="n"/>
      <c r="S218" s="139" t="n"/>
      <c r="T218" s="16" t="n"/>
      <c r="U218" s="139" t="n"/>
      <c r="V218" s="16">
        <f>P218+R218+T218</f>
        <v/>
      </c>
      <c r="W218" s="16" t="n"/>
      <c r="X218" s="139" t="n"/>
      <c r="Y218" s="16" t="n"/>
      <c r="Z218" s="139" t="n"/>
      <c r="AA218" s="16" t="n"/>
      <c r="AB218" s="139" t="n"/>
      <c r="AC218" s="16" t="n"/>
      <c r="AD218" s="139" t="n"/>
      <c r="AE218" s="16">
        <f>(W218+Y218+AA218+AC218)</f>
        <v/>
      </c>
      <c r="AF218" s="16" t="n"/>
      <c r="AG218" s="138" t="n"/>
      <c r="AH218" s="16" t="n"/>
      <c r="AI218" s="138" t="n"/>
      <c r="AJ218" s="16" t="n"/>
      <c r="AK218" s="138" t="n"/>
      <c r="AL218" s="16" t="n"/>
      <c r="AM218" s="138" t="n"/>
      <c r="AN218" s="16" t="n"/>
      <c r="AO218" s="138" t="n"/>
      <c r="AP218" s="16" t="n"/>
      <c r="AQ218" s="138" t="n"/>
      <c r="AR218" s="16" t="n"/>
      <c r="AS218" s="138" t="n"/>
      <c r="AT218" s="16" t="n"/>
      <c r="AU218" s="138" t="n"/>
      <c r="AV218" s="16" t="n"/>
      <c r="AW218" s="138" t="n"/>
      <c r="AX218" s="16" t="n"/>
      <c r="AY218" s="138" t="n"/>
      <c r="AZ218" s="16">
        <f>AF218+AH218+AJ218+AL218+AN218+AP218+AR218+AT218+AV218+AX218</f>
        <v/>
      </c>
      <c r="BA218" s="16" t="n"/>
      <c r="BB218" s="139" t="n"/>
      <c r="BC218" s="16" t="n"/>
      <c r="BD218" s="139" t="n"/>
      <c r="BE218" s="16">
        <f>(BA218+BC218)</f>
        <v/>
      </c>
    </row>
    <row r="219">
      <c r="A219" s="9" t="n"/>
      <c r="B219" s="136" t="inlineStr">
        <is>
          <t>ABS 난연</t>
        </is>
      </c>
      <c r="C219" s="137" t="inlineStr">
        <is>
          <t>COCOON</t>
        </is>
      </c>
      <c r="D219" s="143" t="inlineStr">
        <is>
          <t>BAT BOTTOM</t>
        </is>
      </c>
      <c r="E219" s="13" t="inlineStr">
        <is>
          <t>ABS 난연 블랙 + 블랙 무광</t>
        </is>
      </c>
      <c r="F219" s="100" t="n"/>
      <c r="G219" s="9" t="n"/>
      <c r="H219" s="9" t="inlineStr">
        <is>
          <t>천우</t>
        </is>
      </c>
      <c r="I219" s="14" t="n"/>
      <c r="J219" s="14" t="n"/>
      <c r="K219" s="12" t="n">
        <v>49</v>
      </c>
      <c r="L219" s="9" t="n"/>
      <c r="M219" s="9" t="n"/>
      <c r="N219" s="9" t="n"/>
      <c r="O219" s="40">
        <f>K219+V219-AE219-AZ219</f>
        <v/>
      </c>
      <c r="P219" s="12" t="n"/>
      <c r="Q219" s="138" t="n"/>
      <c r="R219" s="16" t="n"/>
      <c r="S219" s="139" t="n"/>
      <c r="T219" s="16" t="n"/>
      <c r="U219" s="139" t="n"/>
      <c r="V219" s="16">
        <f>P219+R219+T219</f>
        <v/>
      </c>
      <c r="W219" s="16" t="n"/>
      <c r="X219" s="139" t="n"/>
      <c r="Y219" s="16" t="n"/>
      <c r="Z219" s="139" t="n"/>
      <c r="AA219" s="16" t="n"/>
      <c r="AB219" s="139" t="n"/>
      <c r="AC219" s="16" t="n"/>
      <c r="AD219" s="139" t="n"/>
      <c r="AE219" s="16">
        <f>(W219+Y219+AA219+AC219)</f>
        <v/>
      </c>
      <c r="AF219" s="16" t="n"/>
      <c r="AG219" s="138" t="n"/>
      <c r="AH219" s="16" t="n"/>
      <c r="AI219" s="138" t="n"/>
      <c r="AJ219" s="16" t="n"/>
      <c r="AK219" s="138" t="n"/>
      <c r="AL219" s="16" t="n"/>
      <c r="AM219" s="138" t="n"/>
      <c r="AN219" s="16" t="n"/>
      <c r="AO219" s="138" t="n"/>
      <c r="AP219" s="16" t="n"/>
      <c r="AQ219" s="138" t="n"/>
      <c r="AR219" s="16" t="n"/>
      <c r="AS219" s="138" t="n"/>
      <c r="AT219" s="16" t="n"/>
      <c r="AU219" s="138" t="n"/>
      <c r="AV219" s="16" t="n"/>
      <c r="AW219" s="138" t="n"/>
      <c r="AX219" s="16" t="n"/>
      <c r="AY219" s="138" t="n"/>
      <c r="AZ219" s="16">
        <f>AF219+AH219+AJ219+AL219+AN219+AP219+AR219+AT219+AV219+AX219</f>
        <v/>
      </c>
      <c r="BA219" s="16" t="n"/>
      <c r="BB219" s="139" t="n"/>
      <c r="BC219" s="16" t="n"/>
      <c r="BD219" s="139" t="n"/>
      <c r="BE219" s="16">
        <f>(BA219+BC219)</f>
        <v/>
      </c>
    </row>
    <row r="220">
      <c r="A220" s="9" t="n"/>
      <c r="B220" s="141" t="inlineStr">
        <is>
          <t>PCB</t>
        </is>
      </c>
      <c r="C220" s="137" t="inlineStr">
        <is>
          <t>SOLO</t>
        </is>
      </c>
      <c r="D220" s="70" t="inlineStr">
        <is>
          <t>CTR _BD</t>
        </is>
      </c>
      <c r="E220" s="36" t="n"/>
      <c r="F220" s="100" t="n"/>
      <c r="G220" s="22" t="n"/>
      <c r="H220" s="22" t="inlineStr">
        <is>
          <t>HLP</t>
        </is>
      </c>
      <c r="I220" s="14" t="n"/>
      <c r="J220" s="14" t="n"/>
      <c r="K220" s="12" t="n">
        <v>0</v>
      </c>
      <c r="L220" s="9" t="n"/>
      <c r="M220" s="9" t="n"/>
      <c r="N220" s="9" t="n"/>
      <c r="O220" s="40">
        <f>K220+V220-AE220-AZ220</f>
        <v/>
      </c>
      <c r="P220" s="12" t="n"/>
      <c r="Q220" s="138" t="n"/>
      <c r="R220" s="16" t="n"/>
      <c r="S220" s="139" t="n"/>
      <c r="T220" s="16" t="n"/>
      <c r="U220" s="139" t="n"/>
      <c r="V220" s="16">
        <f>P220+R220+T220</f>
        <v/>
      </c>
      <c r="W220" s="16" t="n"/>
      <c r="X220" s="139" t="n"/>
      <c r="Y220" s="16" t="n"/>
      <c r="Z220" s="139" t="n"/>
      <c r="AA220" s="16" t="n"/>
      <c r="AB220" s="139" t="n"/>
      <c r="AC220" s="16" t="n"/>
      <c r="AD220" s="139" t="n"/>
      <c r="AE220" s="16">
        <f>(W220+Y220+AA220+AC220)</f>
        <v/>
      </c>
      <c r="AF220" s="16" t="n"/>
      <c r="AG220" s="138" t="n"/>
      <c r="AH220" s="16" t="n"/>
      <c r="AI220" s="138" t="n"/>
      <c r="AJ220" s="16" t="n"/>
      <c r="AK220" s="138" t="n"/>
      <c r="AL220" s="16" t="n"/>
      <c r="AM220" s="138" t="n"/>
      <c r="AN220" s="16" t="n"/>
      <c r="AO220" s="138" t="n"/>
      <c r="AP220" s="16" t="n"/>
      <c r="AQ220" s="138" t="n"/>
      <c r="AR220" s="16" t="n"/>
      <c r="AS220" s="138" t="n"/>
      <c r="AT220" s="16" t="n"/>
      <c r="AU220" s="138" t="n"/>
      <c r="AV220" s="16" t="n"/>
      <c r="AW220" s="138" t="n"/>
      <c r="AX220" s="16" t="n"/>
      <c r="AY220" s="138" t="n"/>
      <c r="AZ220" s="16">
        <f>AF220+AH220+AJ220+AL220+AN220+AP220+AR220+AT220+AV220+AX220</f>
        <v/>
      </c>
      <c r="BA220" s="16" t="n"/>
      <c r="BB220" s="139" t="n"/>
      <c r="BC220" s="16" t="n"/>
      <c r="BD220" s="139" t="n"/>
      <c r="BE220" s="16">
        <f>(BA220+BC220)</f>
        <v/>
      </c>
    </row>
    <row r="221">
      <c r="A221" s="9" t="n"/>
      <c r="B221" s="141" t="inlineStr">
        <is>
          <t>PCB</t>
        </is>
      </c>
      <c r="C221" s="137" t="inlineStr">
        <is>
          <t>SOLO</t>
        </is>
      </c>
      <c r="D221" s="62" t="inlineStr">
        <is>
          <t>OP_BD</t>
        </is>
      </c>
      <c r="E221" s="36" t="n"/>
      <c r="F221" s="100" t="n"/>
      <c r="G221" s="22" t="n"/>
      <c r="H221" s="22" t="inlineStr">
        <is>
          <t>HLP</t>
        </is>
      </c>
      <c r="I221" s="14" t="n"/>
      <c r="J221" s="14" t="n"/>
      <c r="K221" s="12" t="n">
        <v>0</v>
      </c>
      <c r="L221" s="9" t="n"/>
      <c r="M221" s="9" t="n"/>
      <c r="N221" s="9" t="n"/>
      <c r="O221" s="40">
        <f>K221+V221-AE221-AZ221</f>
        <v/>
      </c>
      <c r="P221" s="12" t="n"/>
      <c r="Q221" s="138" t="n"/>
      <c r="R221" s="16" t="n"/>
      <c r="S221" s="139" t="n"/>
      <c r="T221" s="16" t="n"/>
      <c r="U221" s="139" t="n"/>
      <c r="V221" s="16">
        <f>P221+R221+T221</f>
        <v/>
      </c>
      <c r="W221" s="16" t="n"/>
      <c r="X221" s="139" t="n"/>
      <c r="Y221" s="16" t="n"/>
      <c r="Z221" s="139" t="n"/>
      <c r="AA221" s="16" t="n"/>
      <c r="AB221" s="139" t="n"/>
      <c r="AC221" s="16" t="n"/>
      <c r="AD221" s="139" t="n"/>
      <c r="AE221" s="16">
        <f>(W221+Y221+AA221+AC221)</f>
        <v/>
      </c>
      <c r="AF221" s="16" t="n"/>
      <c r="AG221" s="138" t="n"/>
      <c r="AH221" s="16" t="n"/>
      <c r="AI221" s="138" t="n"/>
      <c r="AJ221" s="16" t="n"/>
      <c r="AK221" s="138" t="n"/>
      <c r="AL221" s="16" t="n"/>
      <c r="AM221" s="138" t="n"/>
      <c r="AN221" s="16" t="n"/>
      <c r="AO221" s="138" t="n"/>
      <c r="AP221" s="16" t="n"/>
      <c r="AQ221" s="138" t="n"/>
      <c r="AR221" s="16" t="n"/>
      <c r="AS221" s="138" t="n"/>
      <c r="AT221" s="16" t="n"/>
      <c r="AU221" s="138" t="n"/>
      <c r="AV221" s="16" t="n"/>
      <c r="AW221" s="138" t="n"/>
      <c r="AX221" s="16" t="n"/>
      <c r="AY221" s="138" t="n"/>
      <c r="AZ221" s="16">
        <f>AF221+AH221+AJ221+AL221+AN221+AP221+AR221+AT221+AV221+AX221</f>
        <v/>
      </c>
      <c r="BA221" s="16" t="n"/>
      <c r="BB221" s="139" t="n"/>
      <c r="BC221" s="16" t="n"/>
      <c r="BD221" s="139" t="n"/>
      <c r="BE221" s="16">
        <f>(BA221+BC221)</f>
        <v/>
      </c>
    </row>
    <row r="222">
      <c r="A222" s="9" t="n"/>
      <c r="B222" s="136" t="inlineStr">
        <is>
          <t>PCB</t>
        </is>
      </c>
      <c r="C222" s="137" t="inlineStr">
        <is>
          <t>SOLO</t>
        </is>
      </c>
      <c r="D222" s="145" t="inlineStr">
        <is>
          <t>POWER_BD</t>
        </is>
      </c>
      <c r="E222" s="13" t="n"/>
      <c r="F222" s="100" t="n"/>
      <c r="G222" s="9" t="n"/>
      <c r="H222" s="9" t="inlineStr">
        <is>
          <t>HLP</t>
        </is>
      </c>
      <c r="I222" s="14" t="n"/>
      <c r="J222" s="14" t="n"/>
      <c r="K222" s="12" t="n">
        <v>62</v>
      </c>
      <c r="L222" s="9" t="n"/>
      <c r="M222" s="9" t="n"/>
      <c r="N222" s="9" t="n"/>
      <c r="O222" s="40">
        <f>K222+V222-AE222-AZ222</f>
        <v/>
      </c>
      <c r="P222" s="12" t="n"/>
      <c r="Q222" s="138" t="n"/>
      <c r="R222" s="16" t="n"/>
      <c r="S222" s="139" t="n"/>
      <c r="T222" s="16" t="n"/>
      <c r="U222" s="139" t="n"/>
      <c r="V222" s="16">
        <f>P222+R222+T222</f>
        <v/>
      </c>
      <c r="W222" s="16" t="n"/>
      <c r="X222" s="139" t="n"/>
      <c r="Y222" s="16" t="n"/>
      <c r="Z222" s="139" t="n"/>
      <c r="AA222" s="16" t="n"/>
      <c r="AB222" s="139" t="n"/>
      <c r="AC222" s="16" t="n"/>
      <c r="AD222" s="139" t="n"/>
      <c r="AE222" s="16">
        <f>(W222+Y222+AA222+AC222)</f>
        <v/>
      </c>
      <c r="AF222" s="16" t="n"/>
      <c r="AG222" s="138" t="n"/>
      <c r="AH222" s="16" t="n"/>
      <c r="AI222" s="138" t="n"/>
      <c r="AJ222" s="16" t="n"/>
      <c r="AK222" s="138" t="n"/>
      <c r="AL222" s="16" t="n"/>
      <c r="AM222" s="138" t="n"/>
      <c r="AN222" s="16" t="n"/>
      <c r="AO222" s="138" t="n"/>
      <c r="AP222" s="16" t="n"/>
      <c r="AQ222" s="138" t="n"/>
      <c r="AR222" s="16" t="n"/>
      <c r="AS222" s="138" t="n"/>
      <c r="AT222" s="16" t="n"/>
      <c r="AU222" s="138" t="n"/>
      <c r="AV222" s="16" t="n"/>
      <c r="AW222" s="138" t="n"/>
      <c r="AX222" s="16" t="n"/>
      <c r="AY222" s="138" t="n"/>
      <c r="AZ222" s="16">
        <f>AF222+AH222+AJ222+AL222+AN222+AP222+AR222+AT222+AV222+AX222</f>
        <v/>
      </c>
      <c r="BA222" s="16" t="n"/>
      <c r="BB222" s="139" t="n"/>
      <c r="BC222" s="16" t="n"/>
      <c r="BD222" s="139" t="n"/>
      <c r="BE222" s="16">
        <f>(BA222+BC222)</f>
        <v/>
      </c>
    </row>
    <row r="223">
      <c r="A223" s="9" t="n"/>
      <c r="B223" s="136" t="inlineStr">
        <is>
          <t>PCB</t>
        </is>
      </c>
      <c r="C223" s="137" t="inlineStr">
        <is>
          <t>SOLO</t>
        </is>
      </c>
      <c r="D223" s="82" t="inlineStr">
        <is>
          <t>MAIN_BD</t>
        </is>
      </c>
      <c r="E223" s="13" t="n"/>
      <c r="F223" s="100" t="n"/>
      <c r="G223" s="9" t="n"/>
      <c r="H223" s="9" t="inlineStr">
        <is>
          <t>HLP</t>
        </is>
      </c>
      <c r="I223" s="14" t="n"/>
      <c r="J223" s="14" t="n"/>
      <c r="K223" s="12" t="n">
        <v>0</v>
      </c>
      <c r="L223" s="9" t="n"/>
      <c r="M223" s="9" t="n"/>
      <c r="N223" s="9" t="n"/>
      <c r="O223" s="40">
        <f>K223+V223-AE223-AZ223</f>
        <v/>
      </c>
      <c r="P223" s="12" t="n"/>
      <c r="Q223" s="138" t="n"/>
      <c r="R223" s="16" t="n"/>
      <c r="S223" s="139" t="n"/>
      <c r="T223" s="16" t="n"/>
      <c r="U223" s="139" t="n"/>
      <c r="V223" s="16">
        <f>P223+R223+T223</f>
        <v/>
      </c>
      <c r="W223" s="16" t="n"/>
      <c r="X223" s="139" t="n"/>
      <c r="Y223" s="16" t="n"/>
      <c r="Z223" s="139" t="n"/>
      <c r="AA223" s="16" t="n"/>
      <c r="AB223" s="139" t="n"/>
      <c r="AC223" s="16" t="n"/>
      <c r="AD223" s="139" t="n"/>
      <c r="AE223" s="16">
        <f>(W223+Y223+AA223+AC223)</f>
        <v/>
      </c>
      <c r="AF223" s="16" t="n"/>
      <c r="AG223" s="138" t="n"/>
      <c r="AH223" s="16" t="n"/>
      <c r="AI223" s="138" t="n"/>
      <c r="AJ223" s="16" t="n"/>
      <c r="AK223" s="138" t="n"/>
      <c r="AL223" s="16" t="n"/>
      <c r="AM223" s="138" t="n"/>
      <c r="AN223" s="16" t="n"/>
      <c r="AO223" s="138" t="n"/>
      <c r="AP223" s="16" t="n"/>
      <c r="AQ223" s="138" t="n"/>
      <c r="AR223" s="16" t="n"/>
      <c r="AS223" s="138" t="n"/>
      <c r="AT223" s="16" t="n"/>
      <c r="AU223" s="138" t="n"/>
      <c r="AV223" s="16" t="n"/>
      <c r="AW223" s="138" t="n"/>
      <c r="AX223" s="16" t="n"/>
      <c r="AY223" s="138" t="n"/>
      <c r="AZ223" s="16">
        <f>AF223+AH223+AJ223+AL223+AN223+AP223+AR223+AT223+AV223+AX223</f>
        <v/>
      </c>
      <c r="BA223" s="16" t="n"/>
      <c r="BB223" s="139" t="n"/>
      <c r="BC223" s="16" t="n"/>
      <c r="BD223" s="139" t="n"/>
      <c r="BE223" s="16">
        <f>(BA223+BC223)</f>
        <v/>
      </c>
    </row>
    <row r="224">
      <c r="A224" s="9" t="n"/>
      <c r="B224" s="136" t="inlineStr">
        <is>
          <t>PCB</t>
        </is>
      </c>
      <c r="C224" s="137" t="inlineStr">
        <is>
          <t>SOLO</t>
        </is>
      </c>
      <c r="D224" s="82" t="inlineStr">
        <is>
          <t>리모콘_BD</t>
        </is>
      </c>
      <c r="E224" s="13" t="n"/>
      <c r="F224" s="100" t="n"/>
      <c r="G224" s="9" t="n"/>
      <c r="H224" s="9" t="inlineStr">
        <is>
          <t>HLP</t>
        </is>
      </c>
      <c r="I224" s="14" t="n"/>
      <c r="J224" s="14" t="n"/>
      <c r="K224" s="12" t="n">
        <v>68</v>
      </c>
      <c r="L224" s="9" t="n"/>
      <c r="M224" s="9" t="n"/>
      <c r="N224" s="9" t="n"/>
      <c r="O224" s="40">
        <f>K224+V224-AE224-AZ224</f>
        <v/>
      </c>
      <c r="P224" s="12" t="n"/>
      <c r="Q224" s="138" t="n"/>
      <c r="R224" s="16" t="n"/>
      <c r="S224" s="139" t="n"/>
      <c r="T224" s="16" t="n"/>
      <c r="U224" s="139" t="n"/>
      <c r="V224" s="16">
        <f>P224+R224+T224</f>
        <v/>
      </c>
      <c r="W224" s="16" t="n"/>
      <c r="X224" s="139" t="n"/>
      <c r="Y224" s="16" t="n"/>
      <c r="Z224" s="139" t="n"/>
      <c r="AA224" s="16" t="n"/>
      <c r="AB224" s="139" t="n"/>
      <c r="AC224" s="16" t="n"/>
      <c r="AD224" s="139" t="n"/>
      <c r="AE224" s="16">
        <f>(W224+Y224+AA224+AC224)</f>
        <v/>
      </c>
      <c r="AF224" s="16" t="n"/>
      <c r="AG224" s="138" t="n"/>
      <c r="AH224" s="16" t="n"/>
      <c r="AI224" s="138" t="n"/>
      <c r="AJ224" s="16" t="n"/>
      <c r="AK224" s="138" t="n"/>
      <c r="AL224" s="16" t="n"/>
      <c r="AM224" s="138" t="n"/>
      <c r="AN224" s="16" t="n"/>
      <c r="AO224" s="138" t="n"/>
      <c r="AP224" s="16" t="n"/>
      <c r="AQ224" s="138" t="n"/>
      <c r="AR224" s="16" t="n"/>
      <c r="AS224" s="138" t="n"/>
      <c r="AT224" s="16" t="n"/>
      <c r="AU224" s="138" t="n"/>
      <c r="AV224" s="16" t="n"/>
      <c r="AW224" s="138" t="n"/>
      <c r="AX224" s="16" t="n"/>
      <c r="AY224" s="138" t="n"/>
      <c r="AZ224" s="16">
        <f>AF224+AH224+AJ224+AL224+AN224+AP224+AR224+AT224+AV224+AX224</f>
        <v/>
      </c>
      <c r="BA224" s="16" t="n"/>
      <c r="BB224" s="139" t="n"/>
      <c r="BC224" s="16" t="n"/>
      <c r="BD224" s="139" t="n"/>
      <c r="BE224" s="16">
        <f>(BA224+BC224)</f>
        <v/>
      </c>
    </row>
    <row r="225">
      <c r="A225" s="9" t="n"/>
      <c r="B225" s="136" t="inlineStr">
        <is>
          <t>PCB</t>
        </is>
      </c>
      <c r="C225" s="137" t="inlineStr">
        <is>
          <t>SOLO</t>
        </is>
      </c>
      <c r="D225" s="82" t="inlineStr">
        <is>
          <t>EXP_BD</t>
        </is>
      </c>
      <c r="E225" s="13" t="n"/>
      <c r="F225" s="100" t="n"/>
      <c r="G225" s="9" t="n"/>
      <c r="H225" s="9" t="inlineStr">
        <is>
          <t>HLP</t>
        </is>
      </c>
      <c r="I225" s="14" t="n"/>
      <c r="J225" s="14" t="n"/>
      <c r="K225" s="12" t="n">
        <v>0</v>
      </c>
      <c r="L225" s="9" t="n"/>
      <c r="M225" s="9" t="n"/>
      <c r="N225" s="9" t="n"/>
      <c r="O225" s="40">
        <f>K225+V225-AE225-AZ225</f>
        <v/>
      </c>
      <c r="P225" s="12" t="n"/>
      <c r="Q225" s="138" t="n"/>
      <c r="R225" s="16" t="n"/>
      <c r="S225" s="139" t="n"/>
      <c r="T225" s="16" t="n"/>
      <c r="U225" s="139" t="n"/>
      <c r="V225" s="16">
        <f>P225+R225+T225</f>
        <v/>
      </c>
      <c r="W225" s="16" t="n"/>
      <c r="X225" s="139" t="n"/>
      <c r="Y225" s="16" t="n"/>
      <c r="Z225" s="139" t="n"/>
      <c r="AA225" s="16" t="n"/>
      <c r="AB225" s="139" t="n"/>
      <c r="AC225" s="16" t="n"/>
      <c r="AD225" s="139" t="n"/>
      <c r="AE225" s="16">
        <f>(W225+Y225+AA225+AC225)</f>
        <v/>
      </c>
      <c r="AF225" s="16" t="n"/>
      <c r="AG225" s="138" t="n"/>
      <c r="AH225" s="16" t="n"/>
      <c r="AI225" s="138" t="n"/>
      <c r="AJ225" s="16" t="n"/>
      <c r="AK225" s="138" t="n"/>
      <c r="AL225" s="16" t="n"/>
      <c r="AM225" s="138" t="n"/>
      <c r="AN225" s="16" t="n"/>
      <c r="AO225" s="138" t="n"/>
      <c r="AP225" s="16" t="n"/>
      <c r="AQ225" s="138" t="n"/>
      <c r="AR225" s="16" t="n"/>
      <c r="AS225" s="138" t="n"/>
      <c r="AT225" s="16" t="n"/>
      <c r="AU225" s="138" t="n"/>
      <c r="AV225" s="16" t="n"/>
      <c r="AW225" s="138" t="n"/>
      <c r="AX225" s="16" t="n"/>
      <c r="AY225" s="138" t="n"/>
      <c r="AZ225" s="16">
        <f>AF225+AH225+AJ225+AL225+AN225+AP225+AR225+AT225+AV225+AX225</f>
        <v/>
      </c>
      <c r="BA225" s="16" t="n"/>
      <c r="BB225" s="139" t="n"/>
      <c r="BC225" s="16" t="n"/>
      <c r="BD225" s="139" t="n"/>
      <c r="BE225" s="16">
        <f>(BA225+BC225)</f>
        <v/>
      </c>
    </row>
    <row r="226">
      <c r="A226" s="9" t="n"/>
      <c r="B226" s="136" t="inlineStr">
        <is>
          <t>PCB</t>
        </is>
      </c>
      <c r="C226" s="137" t="inlineStr">
        <is>
          <t>SOLO</t>
        </is>
      </c>
      <c r="D226" s="82" t="inlineStr">
        <is>
          <t>BATCON_BD</t>
        </is>
      </c>
      <c r="E226" s="13" t="n"/>
      <c r="F226" s="100" t="n"/>
      <c r="G226" s="9" t="n"/>
      <c r="H226" s="9" t="inlineStr">
        <is>
          <t>HLP</t>
        </is>
      </c>
      <c r="I226" s="14" t="n"/>
      <c r="J226" s="14" t="n"/>
      <c r="K226" s="12" t="n">
        <v>31</v>
      </c>
      <c r="L226" s="9" t="n"/>
      <c r="M226" s="9" t="n"/>
      <c r="N226" s="9" t="n"/>
      <c r="O226" s="40">
        <f>K226+V226-AE226-AZ226</f>
        <v/>
      </c>
      <c r="P226" s="12" t="n"/>
      <c r="Q226" s="138" t="n"/>
      <c r="R226" s="16" t="n"/>
      <c r="S226" s="139" t="n"/>
      <c r="T226" s="16" t="n"/>
      <c r="U226" s="139" t="n"/>
      <c r="V226" s="16">
        <f>P226+R226+T226</f>
        <v/>
      </c>
      <c r="W226" s="16" t="n"/>
      <c r="X226" s="139" t="n"/>
      <c r="Y226" s="16" t="n"/>
      <c r="Z226" s="139" t="n"/>
      <c r="AA226" s="16" t="n"/>
      <c r="AB226" s="139" t="n"/>
      <c r="AC226" s="16" t="n"/>
      <c r="AD226" s="139" t="n"/>
      <c r="AE226" s="16">
        <f>(W226+Y226+AA226+AC226)</f>
        <v/>
      </c>
      <c r="AF226" s="16" t="n">
        <v>2</v>
      </c>
      <c r="AG226" s="138" t="n">
        <v>46093</v>
      </c>
      <c r="AH226" s="16" t="n"/>
      <c r="AI226" s="138" t="n"/>
      <c r="AJ226" s="16" t="n"/>
      <c r="AK226" s="138" t="n"/>
      <c r="AL226" s="16" t="n"/>
      <c r="AM226" s="138" t="n"/>
      <c r="AN226" s="16" t="n"/>
      <c r="AO226" s="138" t="n"/>
      <c r="AP226" s="16" t="n"/>
      <c r="AQ226" s="138" t="n"/>
      <c r="AR226" s="16" t="n"/>
      <c r="AS226" s="138" t="n"/>
      <c r="AT226" s="16" t="n"/>
      <c r="AU226" s="138" t="n"/>
      <c r="AV226" s="16" t="n"/>
      <c r="AW226" s="138" t="n"/>
      <c r="AX226" s="16" t="n"/>
      <c r="AY226" s="138" t="n"/>
      <c r="AZ226" s="16">
        <f>AF226+AH226+AJ226+AL226+AN226+AP226+AR226+AT226+AV226+AX226</f>
        <v/>
      </c>
      <c r="BA226" s="16" t="n"/>
      <c r="BB226" s="139" t="n"/>
      <c r="BC226" s="16" t="n"/>
      <c r="BD226" s="139" t="n"/>
      <c r="BE226" s="16">
        <f>(BA226+BC226)</f>
        <v/>
      </c>
    </row>
    <row r="227">
      <c r="A227" s="9" t="n"/>
      <c r="B227" s="136" t="inlineStr">
        <is>
          <t>CABLE</t>
        </is>
      </c>
      <c r="C227" s="142" t="inlineStr">
        <is>
          <t>SOLO</t>
        </is>
      </c>
      <c r="D227" s="83" t="inlineStr">
        <is>
          <t>SOLO 하네스 1번</t>
        </is>
      </c>
      <c r="E227" s="13" t="inlineStr">
        <is>
          <t>12505HS-12 (PowerBD - OP 12핀)</t>
        </is>
      </c>
      <c r="F227" s="12" t="n"/>
      <c r="G227" s="9" t="n"/>
      <c r="H227" s="9" t="inlineStr">
        <is>
          <t>HLP</t>
        </is>
      </c>
      <c r="I227" s="14" t="n"/>
      <c r="J227" s="14" t="n"/>
      <c r="K227" s="12" t="n">
        <v>616</v>
      </c>
      <c r="L227" s="9" t="n"/>
      <c r="M227" s="9" t="n"/>
      <c r="N227" s="9" t="n"/>
      <c r="O227" s="40">
        <f>K227+V227-AE227-AZ227</f>
        <v/>
      </c>
      <c r="P227" s="12" t="n"/>
      <c r="Q227" s="138" t="n"/>
      <c r="R227" s="16" t="n"/>
      <c r="S227" s="139" t="n"/>
      <c r="T227" s="16" t="n"/>
      <c r="U227" s="139" t="n"/>
      <c r="V227" s="16">
        <f>P227+R227+T227</f>
        <v/>
      </c>
      <c r="W227" s="16" t="n"/>
      <c r="X227" s="139" t="n"/>
      <c r="Y227" s="16" t="n"/>
      <c r="Z227" s="139" t="n"/>
      <c r="AA227" s="16" t="n"/>
      <c r="AB227" s="139" t="n"/>
      <c r="AC227" s="16" t="n"/>
      <c r="AD227" s="139" t="n"/>
      <c r="AE227" s="16">
        <f>(W227+Y227+AA227+AC227)</f>
        <v/>
      </c>
      <c r="AF227" s="16" t="n"/>
      <c r="AG227" s="138" t="n"/>
      <c r="AH227" s="16" t="n"/>
      <c r="AI227" s="138" t="n"/>
      <c r="AJ227" s="16" t="n"/>
      <c r="AK227" s="138" t="n"/>
      <c r="AL227" s="16" t="n"/>
      <c r="AM227" s="138" t="n"/>
      <c r="AN227" s="16" t="n"/>
      <c r="AO227" s="138" t="n"/>
      <c r="AP227" s="16" t="n"/>
      <c r="AQ227" s="138" t="n"/>
      <c r="AR227" s="16" t="n"/>
      <c r="AS227" s="138" t="n"/>
      <c r="AT227" s="16" t="n"/>
      <c r="AU227" s="138" t="n"/>
      <c r="AV227" s="16" t="n"/>
      <c r="AW227" s="138" t="n"/>
      <c r="AX227" s="16" t="n"/>
      <c r="AY227" s="138" t="n"/>
      <c r="AZ227" s="16">
        <f>AF227+AH227+AJ227+AL227+AN227+AP227+AR227+AT227+AV227+AX227</f>
        <v/>
      </c>
      <c r="BA227" s="16" t="n"/>
      <c r="BB227" s="139" t="n"/>
      <c r="BC227" s="16" t="n"/>
      <c r="BD227" s="139" t="n"/>
      <c r="BE227" s="16">
        <f>(BA227+BC227)</f>
        <v/>
      </c>
    </row>
    <row r="228">
      <c r="A228" s="9" t="n"/>
      <c r="B228" s="136" t="inlineStr">
        <is>
          <t>CABLE</t>
        </is>
      </c>
      <c r="C228" s="142" t="inlineStr">
        <is>
          <t>SOLO</t>
        </is>
      </c>
      <c r="D228" s="83" t="inlineStr">
        <is>
          <t>SOLO 하네스 2번</t>
        </is>
      </c>
      <c r="E228" s="13" t="inlineStr">
        <is>
          <t>12505HS-03 Battery-Handle bridge 3핀</t>
        </is>
      </c>
      <c r="F228" s="12" t="n"/>
      <c r="G228" s="9" t="n"/>
      <c r="H228" s="9" t="inlineStr">
        <is>
          <t>HLP</t>
        </is>
      </c>
      <c r="I228" s="14" t="n"/>
      <c r="J228" s="14" t="n"/>
      <c r="K228" s="12" t="n">
        <v>73</v>
      </c>
      <c r="L228" s="9" t="n"/>
      <c r="M228" s="9" t="n"/>
      <c r="N228" s="9" t="n"/>
      <c r="O228" s="40">
        <f>K228+V228-AE228-AZ228</f>
        <v/>
      </c>
      <c r="P228" s="12" t="n"/>
      <c r="Q228" s="138" t="n"/>
      <c r="R228" s="16" t="n"/>
      <c r="S228" s="139" t="n"/>
      <c r="T228" s="16" t="n"/>
      <c r="U228" s="139" t="n"/>
      <c r="V228" s="16">
        <f>P228+R228+T228</f>
        <v/>
      </c>
      <c r="W228" s="16" t="n"/>
      <c r="X228" s="139" t="n"/>
      <c r="Y228" s="16" t="n"/>
      <c r="Z228" s="139" t="n"/>
      <c r="AA228" s="16" t="n"/>
      <c r="AB228" s="139" t="n"/>
      <c r="AC228" s="16" t="n"/>
      <c r="AD228" s="139" t="n"/>
      <c r="AE228" s="16">
        <f>(W228+Y228+AA228+AC228)</f>
        <v/>
      </c>
      <c r="AF228" s="16" t="n">
        <v>26</v>
      </c>
      <c r="AG228" s="138" t="n">
        <v>46093</v>
      </c>
      <c r="AH228" s="16" t="n"/>
      <c r="AI228" s="138" t="n"/>
      <c r="AJ228" s="16" t="n"/>
      <c r="AK228" s="138" t="n"/>
      <c r="AL228" s="16" t="n"/>
      <c r="AM228" s="138" t="n"/>
      <c r="AN228" s="16" t="n"/>
      <c r="AO228" s="138" t="n"/>
      <c r="AP228" s="16" t="n"/>
      <c r="AQ228" s="138" t="n"/>
      <c r="AR228" s="16" t="n"/>
      <c r="AS228" s="138" t="n"/>
      <c r="AT228" s="16" t="n"/>
      <c r="AU228" s="138" t="n"/>
      <c r="AV228" s="16" t="n"/>
      <c r="AW228" s="138" t="n"/>
      <c r="AX228" s="16" t="n"/>
      <c r="AY228" s="138" t="n"/>
      <c r="AZ228" s="16">
        <f>AF228+AH228+AJ228+AL228+AN228+AP228+AR228+AT228+AV228+AX228</f>
        <v/>
      </c>
      <c r="BA228" s="16" t="n"/>
      <c r="BB228" s="139" t="n"/>
      <c r="BC228" s="16" t="n"/>
      <c r="BD228" s="139" t="n"/>
      <c r="BE228" s="16">
        <f>(BA228+BC228)</f>
        <v/>
      </c>
    </row>
    <row r="229">
      <c r="A229" s="9" t="n"/>
      <c r="B229" s="136" t="inlineStr">
        <is>
          <t>CABLE</t>
        </is>
      </c>
      <c r="C229" s="142" t="inlineStr">
        <is>
          <t>SOLO</t>
        </is>
      </c>
      <c r="D229" s="83" t="inlineStr">
        <is>
          <t>SOLO 하네스 3번</t>
        </is>
      </c>
      <c r="E229" s="13" t="inlineStr">
        <is>
          <t>0.5 * 40 * 100 * B (FFC 40핀)</t>
        </is>
      </c>
      <c r="F229" s="12" t="n"/>
      <c r="G229" s="9" t="n"/>
      <c r="H229" s="9" t="inlineStr">
        <is>
          <t>HLP</t>
        </is>
      </c>
      <c r="I229" s="14" t="n"/>
      <c r="J229" s="14" t="n"/>
      <c r="K229" s="12" t="n">
        <v>227</v>
      </c>
      <c r="L229" s="9" t="n"/>
      <c r="M229" s="9" t="n"/>
      <c r="N229" s="9" t="n"/>
      <c r="O229" s="40">
        <f>K229+V229-AE229-AZ229</f>
        <v/>
      </c>
      <c r="P229" s="12" t="n"/>
      <c r="Q229" s="138" t="n"/>
      <c r="R229" s="16" t="n"/>
      <c r="S229" s="139" t="n"/>
      <c r="T229" s="16" t="n"/>
      <c r="U229" s="139" t="n"/>
      <c r="V229" s="16">
        <f>P229+R229+T229</f>
        <v/>
      </c>
      <c r="W229" s="16" t="n"/>
      <c r="X229" s="139" t="n"/>
      <c r="Y229" s="16" t="n"/>
      <c r="Z229" s="139" t="n"/>
      <c r="AA229" s="16" t="n"/>
      <c r="AB229" s="139" t="n"/>
      <c r="AC229" s="16" t="n"/>
      <c r="AD229" s="139" t="n"/>
      <c r="AE229" s="16">
        <f>(W229+Y229+AA229+AC229)</f>
        <v/>
      </c>
      <c r="AF229" s="16" t="n"/>
      <c r="AG229" s="138" t="n"/>
      <c r="AH229" s="16" t="n"/>
      <c r="AI229" s="138" t="n"/>
      <c r="AJ229" s="16" t="n"/>
      <c r="AK229" s="138" t="n"/>
      <c r="AL229" s="16" t="n"/>
      <c r="AM229" s="138" t="n"/>
      <c r="AN229" s="16" t="n"/>
      <c r="AO229" s="138" t="n"/>
      <c r="AP229" s="16" t="n"/>
      <c r="AQ229" s="138" t="n"/>
      <c r="AR229" s="16" t="n"/>
      <c r="AS229" s="138" t="n"/>
      <c r="AT229" s="16" t="n"/>
      <c r="AU229" s="138" t="n"/>
      <c r="AV229" s="16" t="n"/>
      <c r="AW229" s="138" t="n"/>
      <c r="AX229" s="16" t="n"/>
      <c r="AY229" s="138" t="n"/>
      <c r="AZ229" s="16">
        <f>AF229+AH229+AJ229+AL229+AN229+AP229+AR229+AT229+AV229+AX229</f>
        <v/>
      </c>
      <c r="BA229" s="16" t="n"/>
      <c r="BB229" s="139" t="n"/>
      <c r="BC229" s="16" t="n"/>
      <c r="BD229" s="139" t="n"/>
      <c r="BE229" s="16">
        <f>(BA229+BC229)</f>
        <v/>
      </c>
    </row>
    <row r="230">
      <c r="A230" s="9" t="n"/>
      <c r="B230" s="136" t="inlineStr">
        <is>
          <t>CABLE</t>
        </is>
      </c>
      <c r="C230" s="142" t="inlineStr">
        <is>
          <t>SOLO</t>
        </is>
      </c>
      <c r="D230" s="83" t="inlineStr">
        <is>
          <t>SOLO 하네스 4번</t>
        </is>
      </c>
      <c r="E230" s="13" t="inlineStr">
        <is>
          <t>BATCON+EXP _ 190mm(Red1EA, White 2EA)-3핀</t>
        </is>
      </c>
      <c r="F230" s="12" t="n"/>
      <c r="G230" s="9" t="n"/>
      <c r="H230" s="9" t="inlineStr">
        <is>
          <t>HLP</t>
        </is>
      </c>
      <c r="I230" s="14" t="n"/>
      <c r="J230" s="14" t="n"/>
      <c r="K230" s="12" t="n">
        <v>250</v>
      </c>
      <c r="L230" s="9" t="n"/>
      <c r="M230" s="9" t="n"/>
      <c r="N230" s="9" t="n"/>
      <c r="O230" s="40">
        <f>K230+V230-AE230-AZ230</f>
        <v/>
      </c>
      <c r="P230" s="12" t="n"/>
      <c r="Q230" s="138" t="n"/>
      <c r="R230" s="16" t="n"/>
      <c r="S230" s="139" t="n"/>
      <c r="T230" s="16" t="n"/>
      <c r="U230" s="139" t="n"/>
      <c r="V230" s="16">
        <f>P230+R230+T230</f>
        <v/>
      </c>
      <c r="W230" s="16" t="n"/>
      <c r="X230" s="139" t="n"/>
      <c r="Y230" s="16" t="n"/>
      <c r="Z230" s="139" t="n"/>
      <c r="AA230" s="16" t="n"/>
      <c r="AB230" s="139" t="n"/>
      <c r="AC230" s="16" t="n"/>
      <c r="AD230" s="139" t="n"/>
      <c r="AE230" s="16">
        <f>(W230+Y230+AA230+AC230)</f>
        <v/>
      </c>
      <c r="AF230" s="16" t="n"/>
      <c r="AG230" s="138" t="n"/>
      <c r="AH230" s="16" t="n"/>
      <c r="AI230" s="138" t="n"/>
      <c r="AJ230" s="16" t="n"/>
      <c r="AK230" s="138" t="n"/>
      <c r="AL230" s="16" t="n"/>
      <c r="AM230" s="138" t="n"/>
      <c r="AN230" s="16" t="n"/>
      <c r="AO230" s="138" t="n"/>
      <c r="AP230" s="16" t="n"/>
      <c r="AQ230" s="138" t="n"/>
      <c r="AR230" s="16" t="n"/>
      <c r="AS230" s="138" t="n"/>
      <c r="AT230" s="16" t="n"/>
      <c r="AU230" s="138" t="n"/>
      <c r="AV230" s="16" t="n"/>
      <c r="AW230" s="138" t="n"/>
      <c r="AX230" s="16" t="n"/>
      <c r="AY230" s="138" t="n"/>
      <c r="AZ230" s="16">
        <f>AF230+AH230+AJ230+AL230+AN230+AP230+AR230+AT230+AV230+AX230</f>
        <v/>
      </c>
      <c r="BA230" s="16" t="n"/>
      <c r="BB230" s="139" t="n"/>
      <c r="BC230" s="16" t="n"/>
      <c r="BD230" s="139" t="n"/>
      <c r="BE230" s="16">
        <f>(BA230+BC230)</f>
        <v/>
      </c>
    </row>
    <row r="231">
      <c r="A231" s="9" t="n"/>
      <c r="B231" s="136" t="inlineStr">
        <is>
          <t>ABS 난연</t>
        </is>
      </c>
      <c r="C231" s="142" t="inlineStr">
        <is>
          <t>SOLO</t>
        </is>
      </c>
      <c r="D231" s="62" t="inlineStr">
        <is>
          <t>TOP Body</t>
        </is>
      </c>
      <c r="E231" s="36" t="inlineStr">
        <is>
          <t>ABS 블랙 샌딩</t>
        </is>
      </c>
      <c r="F231" s="21" t="n"/>
      <c r="G231" s="22" t="n"/>
      <c r="H231" s="22" t="inlineStr">
        <is>
          <t>천우</t>
        </is>
      </c>
      <c r="I231" s="14" t="n"/>
      <c r="J231" s="14" t="n"/>
      <c r="K231" s="12" t="n">
        <v>164</v>
      </c>
      <c r="L231" s="9" t="n"/>
      <c r="M231" s="9" t="n"/>
      <c r="N231" s="9" t="n"/>
      <c r="O231" s="40">
        <f>K231+V231-AE231-AZ231</f>
        <v/>
      </c>
      <c r="P231" s="12" t="n"/>
      <c r="Q231" s="138" t="n"/>
      <c r="R231" s="16" t="n"/>
      <c r="S231" s="139" t="n"/>
      <c r="T231" s="16" t="n"/>
      <c r="U231" s="139" t="n"/>
      <c r="V231" s="16">
        <f>P231+R231+T231</f>
        <v/>
      </c>
      <c r="W231" s="16" t="n"/>
      <c r="X231" s="139" t="n"/>
      <c r="Y231" s="16" t="n"/>
      <c r="Z231" s="139" t="n"/>
      <c r="AA231" s="16" t="n"/>
      <c r="AB231" s="139" t="n"/>
      <c r="AC231" s="16" t="n"/>
      <c r="AD231" s="139" t="n"/>
      <c r="AE231" s="16">
        <f>(W231+Y231+AA231+AC231)</f>
        <v/>
      </c>
      <c r="AF231" s="16" t="n"/>
      <c r="AG231" s="138" t="n"/>
      <c r="AH231" s="16" t="n"/>
      <c r="AI231" s="138" t="n"/>
      <c r="AJ231" s="16" t="n"/>
      <c r="AK231" s="138" t="n"/>
      <c r="AL231" s="16" t="n"/>
      <c r="AM231" s="138" t="n"/>
      <c r="AN231" s="16" t="n"/>
      <c r="AO231" s="138" t="n"/>
      <c r="AP231" s="16" t="n"/>
      <c r="AQ231" s="138" t="n"/>
      <c r="AR231" s="16" t="n"/>
      <c r="AS231" s="138" t="n"/>
      <c r="AT231" s="16" t="n"/>
      <c r="AU231" s="138" t="n"/>
      <c r="AV231" s="16" t="n"/>
      <c r="AW231" s="138" t="n"/>
      <c r="AX231" s="16" t="n"/>
      <c r="AY231" s="138" t="n"/>
      <c r="AZ231" s="16">
        <f>AF231+AH231+AJ231+AL231+AN231+AP231+AR231+AT231+AV231+AX231</f>
        <v/>
      </c>
      <c r="BA231" s="16" t="n"/>
      <c r="BB231" s="139" t="n"/>
      <c r="BC231" s="16" t="n"/>
      <c r="BD231" s="139" t="n"/>
      <c r="BE231" s="16">
        <f>(BA231+BC231)</f>
        <v/>
      </c>
    </row>
    <row r="232">
      <c r="A232" s="9" t="n"/>
      <c r="B232" s="136" t="inlineStr">
        <is>
          <t>ABS 난연</t>
        </is>
      </c>
      <c r="C232" s="142" t="inlineStr">
        <is>
          <t>SOLO</t>
        </is>
      </c>
      <c r="D232" s="62" t="inlineStr">
        <is>
          <t>Bottom Body</t>
        </is>
      </c>
      <c r="E232" s="36" t="inlineStr">
        <is>
          <t>ABS 블랙 샌딩</t>
        </is>
      </c>
      <c r="F232" s="21" t="n"/>
      <c r="G232" s="22" t="n"/>
      <c r="H232" s="22" t="inlineStr">
        <is>
          <t>천우</t>
        </is>
      </c>
      <c r="I232" s="14" t="n"/>
      <c r="J232" s="14" t="n"/>
      <c r="K232" s="12" t="n">
        <v>178</v>
      </c>
      <c r="L232" s="9" t="n"/>
      <c r="M232" s="9" t="n"/>
      <c r="N232" s="9" t="n"/>
      <c r="O232" s="40">
        <f>K232+V232-AE232-AZ232</f>
        <v/>
      </c>
      <c r="P232" s="12" t="n"/>
      <c r="Q232" s="138" t="n"/>
      <c r="R232" s="16" t="n"/>
      <c r="S232" s="139" t="n"/>
      <c r="T232" s="16" t="n"/>
      <c r="U232" s="139" t="n"/>
      <c r="V232" s="16">
        <f>P232+R232+T232</f>
        <v/>
      </c>
      <c r="W232" s="16" t="n"/>
      <c r="X232" s="139" t="n"/>
      <c r="Y232" s="16" t="n"/>
      <c r="Z232" s="139" t="n"/>
      <c r="AA232" s="16" t="n"/>
      <c r="AB232" s="139" t="n"/>
      <c r="AC232" s="16" t="n"/>
      <c r="AD232" s="139" t="n"/>
      <c r="AE232" s="16">
        <f>(W232+Y232+AA232+AC232)</f>
        <v/>
      </c>
      <c r="AF232" s="16" t="n"/>
      <c r="AG232" s="138" t="n"/>
      <c r="AH232" s="16" t="n"/>
      <c r="AI232" s="138" t="n"/>
      <c r="AJ232" s="16" t="n"/>
      <c r="AK232" s="138" t="n"/>
      <c r="AL232" s="16" t="n"/>
      <c r="AM232" s="138" t="n"/>
      <c r="AN232" s="16" t="n"/>
      <c r="AO232" s="138" t="n"/>
      <c r="AP232" s="16" t="n"/>
      <c r="AQ232" s="138" t="n"/>
      <c r="AR232" s="16" t="n"/>
      <c r="AS232" s="138" t="n"/>
      <c r="AT232" s="16" t="n"/>
      <c r="AU232" s="138" t="n"/>
      <c r="AV232" s="16" t="n"/>
      <c r="AW232" s="138" t="n"/>
      <c r="AX232" s="16" t="n"/>
      <c r="AY232" s="138" t="n"/>
      <c r="AZ232" s="16">
        <f>AF232+AH232+AJ232+AL232+AN232+AP232+AR232+AT232+AV232+AX232</f>
        <v/>
      </c>
      <c r="BA232" s="16" t="n"/>
      <c r="BB232" s="139" t="n"/>
      <c r="BC232" s="16" t="n"/>
      <c r="BD232" s="139" t="n"/>
      <c r="BE232" s="16">
        <f>(BA232+BC232)</f>
        <v/>
      </c>
    </row>
    <row r="233">
      <c r="A233" s="9" t="n"/>
      <c r="B233" s="136" t="inlineStr">
        <is>
          <t>ABS 난연</t>
        </is>
      </c>
      <c r="C233" s="142" t="inlineStr">
        <is>
          <t>SOLO</t>
        </is>
      </c>
      <c r="D233" s="62" t="inlineStr">
        <is>
          <t>Main_Cone</t>
        </is>
      </c>
      <c r="E233" s="36" t="inlineStr">
        <is>
          <t>ABS 메탈릭 다크그레이</t>
        </is>
      </c>
      <c r="F233" s="21" t="n"/>
      <c r="G233" s="22" t="n"/>
      <c r="H233" s="22" t="inlineStr">
        <is>
          <t>천우</t>
        </is>
      </c>
      <c r="I233" s="14" t="n"/>
      <c r="J233" s="14" t="n"/>
      <c r="K233" s="12" t="n">
        <v>205</v>
      </c>
      <c r="L233" s="9" t="n"/>
      <c r="M233" s="9" t="n"/>
      <c r="N233" s="9" t="n"/>
      <c r="O233" s="40">
        <f>K233+V233-AE233-AZ233</f>
        <v/>
      </c>
      <c r="P233" s="12" t="n"/>
      <c r="Q233" s="138" t="n"/>
      <c r="R233" s="16" t="n"/>
      <c r="S233" s="139" t="n"/>
      <c r="T233" s="16" t="n"/>
      <c r="U233" s="139" t="n"/>
      <c r="V233" s="16">
        <f>P233+R233+T233</f>
        <v/>
      </c>
      <c r="W233" s="16" t="n"/>
      <c r="X233" s="139" t="n"/>
      <c r="Y233" s="16" t="n"/>
      <c r="Z233" s="139" t="n"/>
      <c r="AA233" s="16" t="n"/>
      <c r="AB233" s="139" t="n"/>
      <c r="AC233" s="16" t="n"/>
      <c r="AD233" s="139" t="n"/>
      <c r="AE233" s="16">
        <f>(W233+Y233+AA233+AC233)</f>
        <v/>
      </c>
      <c r="AF233" s="16" t="n"/>
      <c r="AG233" s="138" t="n"/>
      <c r="AH233" s="16" t="n"/>
      <c r="AI233" s="138" t="n"/>
      <c r="AJ233" s="16" t="n"/>
      <c r="AK233" s="138" t="n"/>
      <c r="AL233" s="16" t="n"/>
      <c r="AM233" s="138" t="n"/>
      <c r="AN233" s="16" t="n"/>
      <c r="AO233" s="138" t="n"/>
      <c r="AP233" s="16" t="n"/>
      <c r="AQ233" s="138" t="n"/>
      <c r="AR233" s="16" t="n"/>
      <c r="AS233" s="138" t="n"/>
      <c r="AT233" s="16" t="n"/>
      <c r="AU233" s="138" t="n"/>
      <c r="AV233" s="16" t="n"/>
      <c r="AW233" s="138" t="n"/>
      <c r="AX233" s="16" t="n"/>
      <c r="AY233" s="138" t="n"/>
      <c r="AZ233" s="16">
        <f>AF233+AH233+AJ233+AL233+AN233+AP233+AR233+AT233+AV233+AX233</f>
        <v/>
      </c>
      <c r="BA233" s="16" t="n"/>
      <c r="BB233" s="139" t="n"/>
      <c r="BC233" s="16" t="n"/>
      <c r="BD233" s="139" t="n"/>
      <c r="BE233" s="16">
        <f>(BA233+BC233)</f>
        <v/>
      </c>
    </row>
    <row r="234">
      <c r="A234" s="9" t="n"/>
      <c r="B234" s="136" t="inlineStr">
        <is>
          <t>ABS 난연</t>
        </is>
      </c>
      <c r="C234" s="142" t="inlineStr">
        <is>
          <t>SOLO</t>
        </is>
      </c>
      <c r="D234" s="62" t="inlineStr">
        <is>
          <t>Hand_Body</t>
        </is>
      </c>
      <c r="E234" s="36" t="inlineStr">
        <is>
          <t>ABS 블랙 샌딩</t>
        </is>
      </c>
      <c r="F234" s="21" t="n"/>
      <c r="G234" s="22" t="n"/>
      <c r="H234" s="22" t="inlineStr">
        <is>
          <t>천우</t>
        </is>
      </c>
      <c r="I234" s="14" t="n"/>
      <c r="J234" s="14" t="n"/>
      <c r="K234" s="12" t="n">
        <v>36</v>
      </c>
      <c r="L234" s="9" t="n"/>
      <c r="M234" s="9" t="n"/>
      <c r="N234" s="9" t="n"/>
      <c r="O234" s="40">
        <f>K234+V234-AE234-AZ234</f>
        <v/>
      </c>
      <c r="P234" s="12" t="n"/>
      <c r="Q234" s="138" t="n"/>
      <c r="R234" s="16" t="n"/>
      <c r="S234" s="139" t="n"/>
      <c r="T234" s="16" t="n"/>
      <c r="U234" s="139" t="n"/>
      <c r="V234" s="16">
        <f>P234+R234+T234</f>
        <v/>
      </c>
      <c r="W234" s="16" t="n"/>
      <c r="X234" s="139" t="n"/>
      <c r="Y234" s="16" t="n"/>
      <c r="Z234" s="139" t="n"/>
      <c r="AA234" s="16" t="n"/>
      <c r="AB234" s="139" t="n"/>
      <c r="AC234" s="16" t="n"/>
      <c r="AD234" s="139" t="n"/>
      <c r="AE234" s="16">
        <f>(W234+Y234+AA234+AC234)</f>
        <v/>
      </c>
      <c r="AF234" s="16" t="n"/>
      <c r="AG234" s="138" t="n"/>
      <c r="AH234" s="16" t="n"/>
      <c r="AI234" s="138" t="n"/>
      <c r="AJ234" s="16" t="n"/>
      <c r="AK234" s="138" t="n"/>
      <c r="AL234" s="16" t="n"/>
      <c r="AM234" s="138" t="n"/>
      <c r="AN234" s="16" t="n"/>
      <c r="AO234" s="138" t="n"/>
      <c r="AP234" s="16" t="n"/>
      <c r="AQ234" s="138" t="n"/>
      <c r="AR234" s="16" t="n"/>
      <c r="AS234" s="138" t="n"/>
      <c r="AT234" s="16" t="n"/>
      <c r="AU234" s="138" t="n"/>
      <c r="AV234" s="16" t="n"/>
      <c r="AW234" s="138" t="n"/>
      <c r="AX234" s="16" t="n"/>
      <c r="AY234" s="138" t="n"/>
      <c r="AZ234" s="16">
        <f>AF234+AH234+AJ234+AL234+AN234+AP234+AR234+AT234+AV234+AX234</f>
        <v/>
      </c>
      <c r="BA234" s="16" t="n"/>
      <c r="BB234" s="139" t="n"/>
      <c r="BC234" s="16" t="n"/>
      <c r="BD234" s="139" t="n"/>
      <c r="BE234" s="16">
        <f>(BA234+BC234)</f>
        <v/>
      </c>
    </row>
    <row r="235">
      <c r="A235" s="9" t="n"/>
      <c r="B235" s="136" t="inlineStr">
        <is>
          <t>ABS 난연</t>
        </is>
      </c>
      <c r="C235" s="142" t="inlineStr">
        <is>
          <t>SOLO</t>
        </is>
      </c>
      <c r="D235" s="62" t="inlineStr">
        <is>
          <t>Bat_Bottom</t>
        </is>
      </c>
      <c r="E235" s="36" t="inlineStr">
        <is>
          <t>ABS 블랙 샌딩</t>
        </is>
      </c>
      <c r="F235" s="21" t="n"/>
      <c r="G235" s="22" t="n"/>
      <c r="H235" s="22" t="inlineStr">
        <is>
          <t>천우</t>
        </is>
      </c>
      <c r="I235" s="14" t="n"/>
      <c r="J235" s="14" t="n"/>
      <c r="K235" s="12" t="n">
        <v>544</v>
      </c>
      <c r="L235" s="9" t="n"/>
      <c r="M235" s="9" t="n"/>
      <c r="N235" s="9" t="n"/>
      <c r="O235" s="40">
        <f>K235+V235-AE235-AZ235</f>
        <v/>
      </c>
      <c r="P235" s="12" t="n"/>
      <c r="Q235" s="138" t="n"/>
      <c r="R235" s="16" t="n"/>
      <c r="S235" s="139" t="n"/>
      <c r="T235" s="16" t="n"/>
      <c r="U235" s="139" t="n"/>
      <c r="V235" s="16">
        <f>P235+R235+T235</f>
        <v/>
      </c>
      <c r="W235" s="16" t="n"/>
      <c r="X235" s="139" t="n"/>
      <c r="Y235" s="16" t="n"/>
      <c r="Z235" s="139" t="n"/>
      <c r="AA235" s="16" t="n"/>
      <c r="AB235" s="139" t="n"/>
      <c r="AC235" s="16" t="n"/>
      <c r="AD235" s="139" t="n"/>
      <c r="AE235" s="16">
        <f>(W235+Y235+AA235+AC235)</f>
        <v/>
      </c>
      <c r="AF235" s="16" t="n">
        <v>2</v>
      </c>
      <c r="AG235" s="138" t="n">
        <v>46093</v>
      </c>
      <c r="AH235" s="16" t="n"/>
      <c r="AI235" s="138" t="n"/>
      <c r="AJ235" s="16" t="n"/>
      <c r="AK235" s="138" t="n"/>
      <c r="AL235" s="16" t="n"/>
      <c r="AM235" s="138" t="n"/>
      <c r="AN235" s="16" t="n"/>
      <c r="AO235" s="138" t="n"/>
      <c r="AP235" s="16" t="n"/>
      <c r="AQ235" s="138" t="n"/>
      <c r="AR235" s="16" t="n"/>
      <c r="AS235" s="138" t="n"/>
      <c r="AT235" s="16" t="n"/>
      <c r="AU235" s="138" t="n"/>
      <c r="AV235" s="16" t="n"/>
      <c r="AW235" s="138" t="n"/>
      <c r="AX235" s="16" t="n"/>
      <c r="AY235" s="138" t="n"/>
      <c r="AZ235" s="16">
        <f>AF235+AH235+AJ235+AL235+AN235+AP235+AR235+AT235+AV235+AX235</f>
        <v/>
      </c>
      <c r="BA235" s="16" t="n"/>
      <c r="BB235" s="139" t="n"/>
      <c r="BC235" s="16" t="n"/>
      <c r="BD235" s="139" t="n"/>
      <c r="BE235" s="16">
        <f>(BA235+BC235)</f>
        <v/>
      </c>
    </row>
    <row r="236">
      <c r="A236" s="9" t="n"/>
      <c r="B236" s="136" t="inlineStr">
        <is>
          <t>ABS 난연</t>
        </is>
      </c>
      <c r="C236" s="142" t="inlineStr">
        <is>
          <t>SOLO</t>
        </is>
      </c>
      <c r="D236" s="62" t="inlineStr">
        <is>
          <t>Power Button</t>
        </is>
      </c>
      <c r="E236" s="36" t="inlineStr">
        <is>
          <t>ABS 블랙 샌딩</t>
        </is>
      </c>
      <c r="F236" s="21" t="n"/>
      <c r="G236" s="22" t="n"/>
      <c r="H236" s="22" t="inlineStr">
        <is>
          <t>천우</t>
        </is>
      </c>
      <c r="I236" s="14" t="n"/>
      <c r="J236" s="14" t="n"/>
      <c r="K236" s="12" t="n">
        <v>537</v>
      </c>
      <c r="L236" s="9" t="n"/>
      <c r="M236" s="9" t="n"/>
      <c r="N236" s="9" t="n"/>
      <c r="O236" s="40">
        <f>K236+V236-AE236-AZ236</f>
        <v/>
      </c>
      <c r="P236" s="12" t="n"/>
      <c r="Q236" s="138" t="n"/>
      <c r="R236" s="16" t="n"/>
      <c r="S236" s="139" t="n"/>
      <c r="T236" s="16" t="n"/>
      <c r="U236" s="139" t="n"/>
      <c r="V236" s="16">
        <f>P236+R236+T236</f>
        <v/>
      </c>
      <c r="W236" s="16" t="n"/>
      <c r="X236" s="139" t="n"/>
      <c r="Y236" s="16" t="n"/>
      <c r="Z236" s="139" t="n"/>
      <c r="AA236" s="16" t="n"/>
      <c r="AB236" s="139" t="n"/>
      <c r="AC236" s="16" t="n"/>
      <c r="AD236" s="139" t="n"/>
      <c r="AE236" s="16">
        <f>(W236+Y236+AA236+AC236)</f>
        <v/>
      </c>
      <c r="AF236" s="16" t="n"/>
      <c r="AG236" s="138" t="n"/>
      <c r="AH236" s="16" t="n"/>
      <c r="AI236" s="138" t="n"/>
      <c r="AJ236" s="16" t="n"/>
      <c r="AK236" s="138" t="n"/>
      <c r="AL236" s="16" t="n"/>
      <c r="AM236" s="138" t="n"/>
      <c r="AN236" s="16" t="n"/>
      <c r="AO236" s="138" t="n"/>
      <c r="AP236" s="16" t="n"/>
      <c r="AQ236" s="138" t="n"/>
      <c r="AR236" s="16" t="n"/>
      <c r="AS236" s="138" t="n"/>
      <c r="AT236" s="16" t="n"/>
      <c r="AU236" s="138" t="n"/>
      <c r="AV236" s="16" t="n"/>
      <c r="AW236" s="138" t="n"/>
      <c r="AX236" s="16" t="n"/>
      <c r="AY236" s="138" t="n"/>
      <c r="AZ236" s="16">
        <f>AF236+AH236+AJ236+AL236+AN236+AP236+AR236+AT236+AV236+AX236</f>
        <v/>
      </c>
      <c r="BA236" s="16" t="n"/>
      <c r="BB236" s="139" t="n"/>
      <c r="BC236" s="16" t="n"/>
      <c r="BD236" s="139" t="n"/>
      <c r="BE236" s="16">
        <f>(BA236+BC236)</f>
        <v/>
      </c>
    </row>
    <row r="237">
      <c r="A237" s="9" t="n"/>
      <c r="B237" s="136" t="inlineStr">
        <is>
          <t>ABS 난연</t>
        </is>
      </c>
      <c r="C237" s="142" t="inlineStr">
        <is>
          <t>SOLO</t>
        </is>
      </c>
      <c r="D237" s="62" t="inlineStr">
        <is>
          <t>Button Indicator</t>
        </is>
      </c>
      <c r="E237" s="36" t="inlineStr">
        <is>
          <t>ABS 블랙</t>
        </is>
      </c>
      <c r="F237" s="21" t="n"/>
      <c r="G237" s="22" t="n"/>
      <c r="H237" s="22" t="inlineStr">
        <is>
          <t>천우</t>
        </is>
      </c>
      <c r="I237" s="14" t="n"/>
      <c r="J237" s="14" t="n"/>
      <c r="K237" s="12" t="n">
        <v>0</v>
      </c>
      <c r="L237" s="9" t="n"/>
      <c r="M237" s="9" t="n"/>
      <c r="N237" s="9" t="n"/>
      <c r="O237" s="40">
        <f>K237+V237-AE237-AZ237</f>
        <v/>
      </c>
      <c r="P237" s="12" t="n"/>
      <c r="Q237" s="138" t="n"/>
      <c r="R237" s="16" t="n"/>
      <c r="S237" s="139" t="n"/>
      <c r="T237" s="16" t="n"/>
      <c r="U237" s="139" t="n"/>
      <c r="V237" s="16">
        <f>P237+R237+T237</f>
        <v/>
      </c>
      <c r="W237" s="16" t="n"/>
      <c r="X237" s="139" t="n"/>
      <c r="Y237" s="16" t="n"/>
      <c r="Z237" s="139" t="n"/>
      <c r="AA237" s="16" t="n"/>
      <c r="AB237" s="139" t="n"/>
      <c r="AC237" s="16" t="n"/>
      <c r="AD237" s="139" t="n"/>
      <c r="AE237" s="16">
        <f>(W237+Y237+AA237+AC237)</f>
        <v/>
      </c>
      <c r="AF237" s="16" t="n"/>
      <c r="AG237" s="138" t="n"/>
      <c r="AH237" s="16" t="n"/>
      <c r="AI237" s="138" t="n"/>
      <c r="AJ237" s="16" t="n"/>
      <c r="AK237" s="138" t="n"/>
      <c r="AL237" s="16" t="n"/>
      <c r="AM237" s="138" t="n"/>
      <c r="AN237" s="16" t="n"/>
      <c r="AO237" s="138" t="n"/>
      <c r="AP237" s="16" t="n"/>
      <c r="AQ237" s="138" t="n"/>
      <c r="AR237" s="16" t="n"/>
      <c r="AS237" s="138" t="n"/>
      <c r="AT237" s="16" t="n"/>
      <c r="AU237" s="138" t="n"/>
      <c r="AV237" s="16" t="n"/>
      <c r="AW237" s="138" t="n"/>
      <c r="AX237" s="16" t="n"/>
      <c r="AY237" s="138" t="n"/>
      <c r="AZ237" s="16">
        <f>AF237+AH237+AJ237+AL237+AN237+AP237+AR237+AT237+AV237+AX237</f>
        <v/>
      </c>
      <c r="BA237" s="16" t="n"/>
      <c r="BB237" s="139" t="n"/>
      <c r="BC237" s="16" t="n"/>
      <c r="BD237" s="139" t="n"/>
      <c r="BE237" s="16">
        <f>(BA237+BC237)</f>
        <v/>
      </c>
    </row>
    <row r="238">
      <c r="A238" s="9" t="n"/>
      <c r="B238" s="136" t="inlineStr">
        <is>
          <t>ABS 난연</t>
        </is>
      </c>
      <c r="C238" s="142" t="inlineStr">
        <is>
          <t>SOLO</t>
        </is>
      </c>
      <c r="D238" s="62" t="inlineStr">
        <is>
          <t>LCD GUIDE</t>
        </is>
      </c>
      <c r="E238" s="36" t="inlineStr">
        <is>
          <t>ABS 블랙</t>
        </is>
      </c>
      <c r="F238" s="21" t="n"/>
      <c r="G238" s="22" t="n"/>
      <c r="H238" s="22" t="inlineStr">
        <is>
          <t>월드씨앤피</t>
        </is>
      </c>
      <c r="I238" s="14" t="n"/>
      <c r="J238" s="14" t="n"/>
      <c r="K238" s="12" t="n">
        <v>71</v>
      </c>
      <c r="L238" s="9" t="n"/>
      <c r="M238" s="9" t="n"/>
      <c r="N238" s="9" t="n"/>
      <c r="O238" s="40">
        <f>K238+V238-AE238-AZ238</f>
        <v/>
      </c>
      <c r="P238" s="12" t="n"/>
      <c r="Q238" s="138" t="n"/>
      <c r="R238" s="16" t="n"/>
      <c r="S238" s="139" t="n"/>
      <c r="T238" s="16" t="n"/>
      <c r="U238" s="139" t="n"/>
      <c r="V238" s="16">
        <f>P238+R238+T238</f>
        <v/>
      </c>
      <c r="W238" s="16" t="n"/>
      <c r="X238" s="139" t="n"/>
      <c r="Y238" s="16" t="n"/>
      <c r="Z238" s="139" t="n"/>
      <c r="AA238" s="16" t="n"/>
      <c r="AB238" s="139" t="n"/>
      <c r="AC238" s="16" t="n"/>
      <c r="AD238" s="139" t="n"/>
      <c r="AE238" s="16">
        <f>(W238+Y238+AA238+AC238)</f>
        <v/>
      </c>
      <c r="AF238" s="16" t="n"/>
      <c r="AG238" s="138" t="n"/>
      <c r="AH238" s="16" t="n"/>
      <c r="AI238" s="138" t="n"/>
      <c r="AJ238" s="16" t="n"/>
      <c r="AK238" s="138" t="n"/>
      <c r="AL238" s="16" t="n"/>
      <c r="AM238" s="138" t="n"/>
      <c r="AN238" s="16" t="n"/>
      <c r="AO238" s="138" t="n"/>
      <c r="AP238" s="16" t="n"/>
      <c r="AQ238" s="138" t="n"/>
      <c r="AR238" s="16" t="n"/>
      <c r="AS238" s="138" t="n"/>
      <c r="AT238" s="16" t="n"/>
      <c r="AU238" s="138" t="n"/>
      <c r="AV238" s="16" t="n"/>
      <c r="AW238" s="138" t="n"/>
      <c r="AX238" s="16" t="n"/>
      <c r="AY238" s="138" t="n"/>
      <c r="AZ238" s="16">
        <f>AF238+AH238+AJ238+AL238+AN238+AP238+AR238+AT238+AV238+AX238</f>
        <v/>
      </c>
      <c r="BA238" s="16" t="n"/>
      <c r="BB238" s="139" t="n"/>
      <c r="BC238" s="16" t="n"/>
      <c r="BD238" s="139" t="n"/>
      <c r="BE238" s="16">
        <f>(BA238+BC238)</f>
        <v/>
      </c>
    </row>
    <row r="239">
      <c r="A239" s="9" t="n"/>
      <c r="B239" s="136" t="inlineStr">
        <is>
          <t>ABS 난연</t>
        </is>
      </c>
      <c r="C239" s="142" t="inlineStr">
        <is>
          <t>SOLO</t>
        </is>
      </c>
      <c r="D239" s="62" t="inlineStr">
        <is>
          <t>발생부_Guide</t>
        </is>
      </c>
      <c r="E239" s="36" t="inlineStr">
        <is>
          <t>ABS 블랙</t>
        </is>
      </c>
      <c r="F239" s="21" t="n"/>
      <c r="G239" s="22" t="n"/>
      <c r="H239" s="22" t="inlineStr">
        <is>
          <t>천우</t>
        </is>
      </c>
      <c r="I239" s="14" t="n"/>
      <c r="J239" s="14" t="n"/>
      <c r="K239" s="12" t="n">
        <v>553</v>
      </c>
      <c r="L239" s="9" t="n"/>
      <c r="M239" s="9" t="n"/>
      <c r="N239" s="9" t="n"/>
      <c r="O239" s="40">
        <f>K239+V239-AE239-AZ239</f>
        <v/>
      </c>
      <c r="P239" s="12" t="n"/>
      <c r="Q239" s="138" t="n"/>
      <c r="R239" s="16" t="n"/>
      <c r="S239" s="139" t="n"/>
      <c r="T239" s="16" t="n"/>
      <c r="U239" s="139" t="n"/>
      <c r="V239" s="16">
        <f>P239+R239+T239</f>
        <v/>
      </c>
      <c r="W239" s="16" t="n"/>
      <c r="X239" s="139" t="n"/>
      <c r="Y239" s="16" t="n"/>
      <c r="Z239" s="139" t="n"/>
      <c r="AA239" s="16" t="n"/>
      <c r="AB239" s="139" t="n"/>
      <c r="AC239" s="16" t="n"/>
      <c r="AD239" s="139" t="n"/>
      <c r="AE239" s="16">
        <f>(W239+Y239+AA239+AC239)</f>
        <v/>
      </c>
      <c r="AF239" s="16" t="n"/>
      <c r="AG239" s="138" t="n"/>
      <c r="AH239" s="16" t="n"/>
      <c r="AI239" s="138" t="n"/>
      <c r="AJ239" s="16" t="n"/>
      <c r="AK239" s="138" t="n"/>
      <c r="AL239" s="16" t="n"/>
      <c r="AM239" s="138" t="n"/>
      <c r="AN239" s="16" t="n"/>
      <c r="AO239" s="138" t="n"/>
      <c r="AP239" s="16" t="n"/>
      <c r="AQ239" s="138" t="n"/>
      <c r="AR239" s="16" t="n"/>
      <c r="AS239" s="138" t="n"/>
      <c r="AT239" s="16" t="n"/>
      <c r="AU239" s="138" t="n"/>
      <c r="AV239" s="16" t="n"/>
      <c r="AW239" s="138" t="n"/>
      <c r="AX239" s="16" t="n"/>
      <c r="AY239" s="138" t="n"/>
      <c r="AZ239" s="16">
        <f>AF239+AH239+AJ239+AL239+AN239+AP239+AR239+AT239+AV239+AX239</f>
        <v/>
      </c>
      <c r="BA239" s="16" t="n"/>
      <c r="BB239" s="139" t="n"/>
      <c r="BC239" s="16" t="n"/>
      <c r="BD239" s="139" t="n"/>
      <c r="BE239" s="16">
        <f>(BA239+BC239)</f>
        <v/>
      </c>
    </row>
    <row r="240">
      <c r="A240" s="9" t="n"/>
      <c r="B240" s="136" t="inlineStr">
        <is>
          <t>ABS 난연</t>
        </is>
      </c>
      <c r="C240" s="142" t="inlineStr">
        <is>
          <t>SOLO</t>
        </is>
      </c>
      <c r="D240" s="62" t="inlineStr">
        <is>
          <t>Lock Inner</t>
        </is>
      </c>
      <c r="E240" s="36" t="inlineStr">
        <is>
          <t>ABS 블랙</t>
        </is>
      </c>
      <c r="F240" s="21" t="n"/>
      <c r="G240" s="22" t="n"/>
      <c r="H240" s="22" t="inlineStr">
        <is>
          <t>천우</t>
        </is>
      </c>
      <c r="I240" s="14" t="n"/>
      <c r="J240" s="14" t="n"/>
      <c r="K240" s="12" t="n">
        <v>529</v>
      </c>
      <c r="L240" s="9" t="n"/>
      <c r="M240" s="9" t="n"/>
      <c r="N240" s="9" t="n"/>
      <c r="O240" s="40">
        <f>K240+V240-AE240-AZ240</f>
        <v/>
      </c>
      <c r="P240" s="12" t="n"/>
      <c r="Q240" s="138" t="n"/>
      <c r="R240" s="16" t="n"/>
      <c r="S240" s="139" t="n"/>
      <c r="T240" s="16" t="n"/>
      <c r="U240" s="139" t="n"/>
      <c r="V240" s="16">
        <f>P240+R240+T240</f>
        <v/>
      </c>
      <c r="W240" s="16" t="n"/>
      <c r="X240" s="139" t="n"/>
      <c r="Y240" s="16" t="n"/>
      <c r="Z240" s="139" t="n"/>
      <c r="AA240" s="16" t="n"/>
      <c r="AB240" s="139" t="n"/>
      <c r="AC240" s="16" t="n"/>
      <c r="AD240" s="139" t="n"/>
      <c r="AE240" s="16">
        <f>(W240+Y240+AA240+AC240)</f>
        <v/>
      </c>
      <c r="AF240" s="16" t="n"/>
      <c r="AG240" s="138" t="n"/>
      <c r="AH240" s="16" t="n"/>
      <c r="AI240" s="138" t="n"/>
      <c r="AJ240" s="16" t="n"/>
      <c r="AK240" s="138" t="n"/>
      <c r="AL240" s="16" t="n"/>
      <c r="AM240" s="138" t="n"/>
      <c r="AN240" s="16" t="n"/>
      <c r="AO240" s="138" t="n"/>
      <c r="AP240" s="16" t="n"/>
      <c r="AQ240" s="138" t="n"/>
      <c r="AR240" s="16" t="n"/>
      <c r="AS240" s="138" t="n"/>
      <c r="AT240" s="16" t="n"/>
      <c r="AU240" s="138" t="n"/>
      <c r="AV240" s="16" t="n"/>
      <c r="AW240" s="138" t="n"/>
      <c r="AX240" s="16" t="n"/>
      <c r="AY240" s="138" t="n"/>
      <c r="AZ240" s="16">
        <f>AF240+AH240+AJ240+AL240+AN240+AP240+AR240+AT240+AV240+AX240</f>
        <v/>
      </c>
      <c r="BA240" s="16" t="n"/>
      <c r="BB240" s="139" t="n"/>
      <c r="BC240" s="16" t="n"/>
      <c r="BD240" s="139" t="n"/>
      <c r="BE240" s="16">
        <f>(BA240+BC240)</f>
        <v/>
      </c>
    </row>
    <row r="241">
      <c r="A241" s="9" t="n"/>
      <c r="B241" s="136" t="inlineStr">
        <is>
          <t>ABS 난연</t>
        </is>
      </c>
      <c r="C241" s="142" t="inlineStr">
        <is>
          <t>SOLO</t>
        </is>
      </c>
      <c r="D241" s="62" t="inlineStr">
        <is>
          <t>Lock Knob</t>
        </is>
      </c>
      <c r="E241" s="36" t="inlineStr">
        <is>
          <t>ABS 블랙 샌딩</t>
        </is>
      </c>
      <c r="F241" s="21" t="n"/>
      <c r="G241" s="22" t="n"/>
      <c r="H241" s="22" t="inlineStr">
        <is>
          <t>천우</t>
        </is>
      </c>
      <c r="I241" s="14" t="n"/>
      <c r="J241" s="14" t="n"/>
      <c r="K241" s="12" t="n">
        <v>554</v>
      </c>
      <c r="L241" s="9" t="n"/>
      <c r="M241" s="9" t="n"/>
      <c r="N241" s="9" t="n"/>
      <c r="O241" s="40">
        <f>K241+V241-AE241-AZ241</f>
        <v/>
      </c>
      <c r="P241" s="12" t="n"/>
      <c r="Q241" s="138" t="n"/>
      <c r="R241" s="16" t="n"/>
      <c r="S241" s="139" t="n"/>
      <c r="T241" s="16" t="n"/>
      <c r="U241" s="139" t="n"/>
      <c r="V241" s="16">
        <f>P241+R241+T241</f>
        <v/>
      </c>
      <c r="W241" s="16" t="n"/>
      <c r="X241" s="139" t="n"/>
      <c r="Y241" s="16" t="n"/>
      <c r="Z241" s="139" t="n"/>
      <c r="AA241" s="16" t="n"/>
      <c r="AB241" s="139" t="n"/>
      <c r="AC241" s="16" t="n"/>
      <c r="AD241" s="139" t="n"/>
      <c r="AE241" s="16">
        <f>(W241+Y241+AA241+AC241)</f>
        <v/>
      </c>
      <c r="AF241" s="16" t="n"/>
      <c r="AG241" s="138" t="n"/>
      <c r="AH241" s="16" t="n"/>
      <c r="AI241" s="138" t="n"/>
      <c r="AJ241" s="16" t="n"/>
      <c r="AK241" s="138" t="n"/>
      <c r="AL241" s="16" t="n"/>
      <c r="AM241" s="138" t="n"/>
      <c r="AN241" s="16" t="n"/>
      <c r="AO241" s="138" t="n"/>
      <c r="AP241" s="16" t="n"/>
      <c r="AQ241" s="138" t="n"/>
      <c r="AR241" s="16" t="n"/>
      <c r="AS241" s="138" t="n"/>
      <c r="AT241" s="16" t="n"/>
      <c r="AU241" s="138" t="n"/>
      <c r="AV241" s="16" t="n"/>
      <c r="AW241" s="138" t="n"/>
      <c r="AX241" s="16" t="n"/>
      <c r="AY241" s="138" t="n"/>
      <c r="AZ241" s="16">
        <f>AF241+AH241+AJ241+AL241+AN241+AP241+AR241+AT241+AV241+AX241</f>
        <v/>
      </c>
      <c r="BA241" s="16" t="n"/>
      <c r="BB241" s="139" t="n"/>
      <c r="BC241" s="16" t="n"/>
      <c r="BD241" s="139" t="n"/>
      <c r="BE241" s="16">
        <f>(BA241+BC241)</f>
        <v/>
      </c>
    </row>
    <row r="242">
      <c r="A242" s="9" t="n"/>
      <c r="B242" s="136" t="inlineStr">
        <is>
          <t>ABS 난연</t>
        </is>
      </c>
      <c r="C242" s="142" t="inlineStr">
        <is>
          <t>SOLO</t>
        </is>
      </c>
      <c r="D242" s="62" t="inlineStr">
        <is>
          <t>Front_CAP</t>
        </is>
      </c>
      <c r="E242" s="36" t="inlineStr">
        <is>
          <t>ABS 메탈릭 다크그레이</t>
        </is>
      </c>
      <c r="F242" s="21" t="n"/>
      <c r="G242" s="22" t="n"/>
      <c r="H242" s="22" t="inlineStr">
        <is>
          <t>천우</t>
        </is>
      </c>
      <c r="I242" s="14" t="n"/>
      <c r="J242" s="14" t="n"/>
      <c r="K242" s="12" t="n">
        <v>500</v>
      </c>
      <c r="L242" s="9" t="n"/>
      <c r="M242" s="9" t="n"/>
      <c r="N242" s="9" t="n"/>
      <c r="O242" s="40">
        <f>K242+V242-AE242-AZ242</f>
        <v/>
      </c>
      <c r="P242" s="12" t="n"/>
      <c r="Q242" s="138" t="n"/>
      <c r="R242" s="16" t="n"/>
      <c r="S242" s="139" t="n"/>
      <c r="T242" s="16" t="n"/>
      <c r="U242" s="139" t="n"/>
      <c r="V242" s="16">
        <f>P242+R242+T242</f>
        <v/>
      </c>
      <c r="W242" s="16" t="n"/>
      <c r="X242" s="139" t="n"/>
      <c r="Y242" s="16" t="n"/>
      <c r="Z242" s="139" t="n"/>
      <c r="AA242" s="16" t="n"/>
      <c r="AB242" s="139" t="n"/>
      <c r="AC242" s="16" t="n"/>
      <c r="AD242" s="139" t="n"/>
      <c r="AE242" s="16">
        <f>(W242+Y242+AA242+AC242)</f>
        <v/>
      </c>
      <c r="AF242" s="16" t="n"/>
      <c r="AG242" s="138" t="n"/>
      <c r="AH242" s="16" t="n"/>
      <c r="AI242" s="138" t="n"/>
      <c r="AJ242" s="16" t="n"/>
      <c r="AK242" s="138" t="n"/>
      <c r="AL242" s="16" t="n"/>
      <c r="AM242" s="138" t="n"/>
      <c r="AN242" s="16" t="n"/>
      <c r="AO242" s="138" t="n"/>
      <c r="AP242" s="16" t="n"/>
      <c r="AQ242" s="138" t="n"/>
      <c r="AR242" s="16" t="n"/>
      <c r="AS242" s="138" t="n"/>
      <c r="AT242" s="16" t="n"/>
      <c r="AU242" s="138" t="n"/>
      <c r="AV242" s="16" t="n"/>
      <c r="AW242" s="138" t="n"/>
      <c r="AX242" s="16" t="n"/>
      <c r="AY242" s="138" t="n"/>
      <c r="AZ242" s="16">
        <f>AF242+AH242+AJ242+AL242+AN242+AP242+AR242+AT242+AV242+AX242</f>
        <v/>
      </c>
      <c r="BA242" s="16" t="n"/>
      <c r="BB242" s="139" t="n"/>
      <c r="BC242" s="16" t="n"/>
      <c r="BD242" s="139" t="n"/>
      <c r="BE242" s="16">
        <f>(BA242+BC242)</f>
        <v/>
      </c>
    </row>
    <row r="243">
      <c r="A243" s="9" t="n"/>
      <c r="B243" s="136" t="inlineStr">
        <is>
          <t>ABS 난연</t>
        </is>
      </c>
      <c r="C243" s="142" t="inlineStr">
        <is>
          <t>SOLO</t>
        </is>
      </c>
      <c r="D243" s="62" t="inlineStr">
        <is>
          <t>연장 Cone</t>
        </is>
      </c>
      <c r="E243" s="36" t="inlineStr">
        <is>
          <t>ABS 메탈릭 다크그레이</t>
        </is>
      </c>
      <c r="F243" s="21" t="n"/>
      <c r="G243" s="22" t="n"/>
      <c r="H243" s="22" t="inlineStr">
        <is>
          <t>천우</t>
        </is>
      </c>
      <c r="I243" s="14" t="n"/>
      <c r="J243" s="14" t="n"/>
      <c r="K243" s="12" t="n">
        <v>139</v>
      </c>
      <c r="L243" s="9" t="n"/>
      <c r="M243" s="9" t="n"/>
      <c r="N243" s="9" t="n"/>
      <c r="O243" s="40">
        <f>K243+V243-AE243-AZ243</f>
        <v/>
      </c>
      <c r="P243" s="12" t="n"/>
      <c r="Q243" s="138" t="n"/>
      <c r="R243" s="16" t="n"/>
      <c r="S243" s="139" t="n"/>
      <c r="T243" s="16" t="n"/>
      <c r="U243" s="139" t="n"/>
      <c r="V243" s="16">
        <f>P243+R243+T243</f>
        <v/>
      </c>
      <c r="W243" s="16" t="n"/>
      <c r="X243" s="139" t="n"/>
      <c r="Y243" s="16" t="n"/>
      <c r="Z243" s="139" t="n"/>
      <c r="AA243" s="16" t="n"/>
      <c r="AB243" s="139" t="n"/>
      <c r="AC243" s="16" t="n"/>
      <c r="AD243" s="139" t="n"/>
      <c r="AE243" s="16">
        <f>(W243+Y243+AA243+AC243)</f>
        <v/>
      </c>
      <c r="AF243" s="16" t="n"/>
      <c r="AG243" s="138" t="n"/>
      <c r="AH243" s="16" t="n"/>
      <c r="AI243" s="138" t="n"/>
      <c r="AJ243" s="16" t="n"/>
      <c r="AK243" s="138" t="n"/>
      <c r="AL243" s="16" t="n"/>
      <c r="AM243" s="138" t="n"/>
      <c r="AN243" s="16" t="n"/>
      <c r="AO243" s="138" t="n"/>
      <c r="AP243" s="16" t="n"/>
      <c r="AQ243" s="138" t="n"/>
      <c r="AR243" s="16" t="n"/>
      <c r="AS243" s="138" t="n"/>
      <c r="AT243" s="16" t="n"/>
      <c r="AU243" s="138" t="n"/>
      <c r="AV243" s="16" t="n"/>
      <c r="AW243" s="138" t="n"/>
      <c r="AX243" s="16" t="n"/>
      <c r="AY243" s="138" t="n"/>
      <c r="AZ243" s="16">
        <f>AF243+AH243+AJ243+AL243+AN243+AP243+AR243+AT243+AV243+AX243</f>
        <v/>
      </c>
      <c r="BA243" s="16" t="n"/>
      <c r="BB243" s="139" t="n"/>
      <c r="BC243" s="16" t="n"/>
      <c r="BD243" s="139" t="n"/>
      <c r="BE243" s="16">
        <f>(BA243+BC243)</f>
        <v/>
      </c>
    </row>
    <row r="244">
      <c r="A244" s="9" t="n"/>
      <c r="B244" s="136" t="inlineStr">
        <is>
          <t>ABS 난연</t>
        </is>
      </c>
      <c r="C244" s="142" t="inlineStr">
        <is>
          <t>SOLO</t>
        </is>
      </c>
      <c r="D244" s="62" t="inlineStr">
        <is>
          <t>Hand Top Cover</t>
        </is>
      </c>
      <c r="E244" s="36" t="inlineStr">
        <is>
          <t>ABS 블랙</t>
        </is>
      </c>
      <c r="F244" s="21" t="n"/>
      <c r="G244" s="22" t="n"/>
      <c r="H244" s="22" t="inlineStr">
        <is>
          <t>천우</t>
        </is>
      </c>
      <c r="I244" s="14" t="n"/>
      <c r="J244" s="14" t="n"/>
      <c r="K244" s="12" t="n">
        <v>550</v>
      </c>
      <c r="L244" s="9" t="n"/>
      <c r="M244" s="9" t="n"/>
      <c r="N244" s="9" t="n"/>
      <c r="O244" s="40">
        <f>K244+V244-AE244-AZ244</f>
        <v/>
      </c>
      <c r="P244" s="12" t="n"/>
      <c r="Q244" s="138" t="n"/>
      <c r="R244" s="16" t="n"/>
      <c r="S244" s="139" t="n"/>
      <c r="T244" s="16" t="n"/>
      <c r="U244" s="139" t="n"/>
      <c r="V244" s="16">
        <f>P244+R244+T244</f>
        <v/>
      </c>
      <c r="W244" s="16" t="n"/>
      <c r="X244" s="139" t="n"/>
      <c r="Y244" s="16" t="n"/>
      <c r="Z244" s="139" t="n"/>
      <c r="AA244" s="16" t="n"/>
      <c r="AB244" s="139" t="n"/>
      <c r="AC244" s="16" t="n"/>
      <c r="AD244" s="139" t="n"/>
      <c r="AE244" s="16">
        <f>(W244+Y244+AA244+AC244)</f>
        <v/>
      </c>
      <c r="AF244" s="16" t="n"/>
      <c r="AG244" s="138" t="n"/>
      <c r="AH244" s="16" t="n"/>
      <c r="AI244" s="138" t="n"/>
      <c r="AJ244" s="16" t="n"/>
      <c r="AK244" s="138" t="n"/>
      <c r="AL244" s="16" t="n"/>
      <c r="AM244" s="138" t="n"/>
      <c r="AN244" s="16" t="n"/>
      <c r="AO244" s="138" t="n"/>
      <c r="AP244" s="16" t="n"/>
      <c r="AQ244" s="138" t="n"/>
      <c r="AR244" s="16" t="n"/>
      <c r="AS244" s="138" t="n"/>
      <c r="AT244" s="16" t="n"/>
      <c r="AU244" s="138" t="n"/>
      <c r="AV244" s="16" t="n"/>
      <c r="AW244" s="138" t="n"/>
      <c r="AX244" s="16" t="n"/>
      <c r="AY244" s="138" t="n"/>
      <c r="AZ244" s="16">
        <f>AF244+AH244+AJ244+AL244+AN244+AP244+AR244+AT244+AV244+AX244</f>
        <v/>
      </c>
      <c r="BA244" s="16" t="n"/>
      <c r="BB244" s="139" t="n"/>
      <c r="BC244" s="16" t="n"/>
      <c r="BD244" s="139" t="n"/>
      <c r="BE244" s="16">
        <f>(BA244+BC244)</f>
        <v/>
      </c>
    </row>
    <row r="245">
      <c r="A245" s="9" t="n"/>
      <c r="B245" s="136" t="inlineStr">
        <is>
          <t>ABS 난연</t>
        </is>
      </c>
      <c r="C245" s="142" t="inlineStr">
        <is>
          <t>SOLO</t>
        </is>
      </c>
      <c r="D245" s="62" t="inlineStr">
        <is>
          <t>Slide Switch</t>
        </is>
      </c>
      <c r="E245" s="36" t="inlineStr">
        <is>
          <t>ABS 블루(PANTTON 660C) 무광</t>
        </is>
      </c>
      <c r="F245" s="21" t="n"/>
      <c r="G245" s="22" t="n"/>
      <c r="H245" s="22" t="inlineStr">
        <is>
          <t>천우</t>
        </is>
      </c>
      <c r="I245" s="14" t="n"/>
      <c r="J245" s="14" t="n"/>
      <c r="K245" s="12" t="n">
        <v>551</v>
      </c>
      <c r="L245" s="9" t="n"/>
      <c r="M245" s="9" t="n"/>
      <c r="N245" s="9" t="n"/>
      <c r="O245" s="40">
        <f>K245+V245-AE245-AZ245</f>
        <v/>
      </c>
      <c r="P245" s="12" t="n"/>
      <c r="Q245" s="138" t="n"/>
      <c r="R245" s="16" t="n"/>
      <c r="S245" s="139" t="n"/>
      <c r="T245" s="16" t="n"/>
      <c r="U245" s="139" t="n"/>
      <c r="V245" s="16">
        <f>P245+R245+T245</f>
        <v/>
      </c>
      <c r="W245" s="16" t="n"/>
      <c r="X245" s="139" t="n"/>
      <c r="Y245" s="16" t="n"/>
      <c r="Z245" s="139" t="n"/>
      <c r="AA245" s="16" t="n"/>
      <c r="AB245" s="139" t="n"/>
      <c r="AC245" s="16" t="n"/>
      <c r="AD245" s="139" t="n"/>
      <c r="AE245" s="16">
        <f>(W245+Y245+AA245+AC245)</f>
        <v/>
      </c>
      <c r="AF245" s="16" t="n"/>
      <c r="AG245" s="138" t="n"/>
      <c r="AH245" s="16" t="n"/>
      <c r="AI245" s="138" t="n"/>
      <c r="AJ245" s="16" t="n"/>
      <c r="AK245" s="138" t="n"/>
      <c r="AL245" s="16" t="n"/>
      <c r="AM245" s="138" t="n"/>
      <c r="AN245" s="16" t="n"/>
      <c r="AO245" s="138" t="n"/>
      <c r="AP245" s="16" t="n"/>
      <c r="AQ245" s="138" t="n"/>
      <c r="AR245" s="16" t="n"/>
      <c r="AS245" s="138" t="n"/>
      <c r="AT245" s="16" t="n"/>
      <c r="AU245" s="138" t="n"/>
      <c r="AV245" s="16" t="n"/>
      <c r="AW245" s="138" t="n"/>
      <c r="AX245" s="16" t="n"/>
      <c r="AY245" s="138" t="n"/>
      <c r="AZ245" s="16">
        <f>AF245+AH245+AJ245+AL245+AN245+AP245+AR245+AT245+AV245+AX245</f>
        <v/>
      </c>
      <c r="BA245" s="16" t="n"/>
      <c r="BB245" s="139" t="n"/>
      <c r="BC245" s="16" t="n"/>
      <c r="BD245" s="139" t="n"/>
      <c r="BE245" s="16">
        <f>(BA245+BC245)</f>
        <v/>
      </c>
    </row>
    <row r="246">
      <c r="A246" s="9" t="n"/>
      <c r="B246" s="136" t="inlineStr">
        <is>
          <t>ABS 난연</t>
        </is>
      </c>
      <c r="C246" s="142" t="inlineStr">
        <is>
          <t>SOLO</t>
        </is>
      </c>
      <c r="D246" s="62" t="inlineStr">
        <is>
          <t>Slide Switch Cap</t>
        </is>
      </c>
      <c r="E246" s="36" t="inlineStr">
        <is>
          <t>ABS 레드 무광</t>
        </is>
      </c>
      <c r="F246" s="21" t="n"/>
      <c r="G246" s="22" t="n"/>
      <c r="H246" s="22" t="inlineStr">
        <is>
          <t>천우</t>
        </is>
      </c>
      <c r="I246" s="14" t="n"/>
      <c r="J246" s="14" t="n"/>
      <c r="K246" s="12" t="n">
        <v>552</v>
      </c>
      <c r="L246" s="9" t="n"/>
      <c r="M246" s="9" t="n"/>
      <c r="N246" s="9" t="n"/>
      <c r="O246" s="40">
        <f>K246+V246-AE246-AZ246</f>
        <v/>
      </c>
      <c r="P246" s="12" t="n"/>
      <c r="Q246" s="138" t="n"/>
      <c r="R246" s="16" t="n"/>
      <c r="S246" s="139" t="n"/>
      <c r="T246" s="16" t="n"/>
      <c r="U246" s="139" t="n"/>
      <c r="V246" s="16">
        <f>P246+R246+T246</f>
        <v/>
      </c>
      <c r="W246" s="16" t="n"/>
      <c r="X246" s="139" t="n"/>
      <c r="Y246" s="16" t="n"/>
      <c r="Z246" s="139" t="n"/>
      <c r="AA246" s="16" t="n"/>
      <c r="AB246" s="139" t="n"/>
      <c r="AC246" s="16" t="n"/>
      <c r="AD246" s="139" t="n"/>
      <c r="AE246" s="16">
        <f>(W246+Y246+AA246+AC246)</f>
        <v/>
      </c>
      <c r="AF246" s="16" t="n"/>
      <c r="AG246" s="138" t="n"/>
      <c r="AH246" s="16" t="n"/>
      <c r="AI246" s="138" t="n"/>
      <c r="AJ246" s="16" t="n"/>
      <c r="AK246" s="138" t="n"/>
      <c r="AL246" s="16" t="n"/>
      <c r="AM246" s="138" t="n"/>
      <c r="AN246" s="16" t="n"/>
      <c r="AO246" s="138" t="n"/>
      <c r="AP246" s="16" t="n"/>
      <c r="AQ246" s="138" t="n"/>
      <c r="AR246" s="16" t="n"/>
      <c r="AS246" s="138" t="n"/>
      <c r="AT246" s="16" t="n"/>
      <c r="AU246" s="138" t="n"/>
      <c r="AV246" s="16" t="n"/>
      <c r="AW246" s="138" t="n"/>
      <c r="AX246" s="16" t="n"/>
      <c r="AY246" s="138" t="n"/>
      <c r="AZ246" s="16">
        <f>AF246+AH246+AJ246+AL246+AN246+AP246+AR246+AT246+AV246+AX246</f>
        <v/>
      </c>
      <c r="BA246" s="16" t="n"/>
      <c r="BB246" s="139" t="n"/>
      <c r="BC246" s="16" t="n"/>
      <c r="BD246" s="139" t="n"/>
      <c r="BE246" s="16">
        <f>(BA246+BC246)</f>
        <v/>
      </c>
    </row>
    <row r="247">
      <c r="A247" s="9" t="n"/>
      <c r="B247" s="136" t="inlineStr">
        <is>
          <t>ABS 난연</t>
        </is>
      </c>
      <c r="C247" s="142" t="inlineStr">
        <is>
          <t>SOLO</t>
        </is>
      </c>
      <c r="D247" s="62" t="inlineStr">
        <is>
          <t>Shot_Button</t>
        </is>
      </c>
      <c r="E247" s="36" t="inlineStr">
        <is>
          <t>ABS 메탈릭 다크그레이</t>
        </is>
      </c>
      <c r="F247" s="21" t="n"/>
      <c r="G247" s="22" t="n"/>
      <c r="H247" s="22" t="inlineStr">
        <is>
          <t>천우</t>
        </is>
      </c>
      <c r="I247" s="14" t="n"/>
      <c r="J247" s="14" t="n"/>
      <c r="K247" s="12" t="n">
        <v>53</v>
      </c>
      <c r="L247" s="9" t="n"/>
      <c r="M247" s="9" t="n"/>
      <c r="N247" s="9" t="n"/>
      <c r="O247" s="40">
        <f>K247+V247-AE247-AZ247</f>
        <v/>
      </c>
      <c r="P247" s="12" t="n"/>
      <c r="Q247" s="138" t="n"/>
      <c r="R247" s="16" t="n"/>
      <c r="S247" s="139" t="n"/>
      <c r="T247" s="16" t="n"/>
      <c r="U247" s="139" t="n"/>
      <c r="V247" s="16">
        <f>P247+R247+T247</f>
        <v/>
      </c>
      <c r="W247" s="16" t="n"/>
      <c r="X247" s="139" t="n"/>
      <c r="Y247" s="16" t="n"/>
      <c r="Z247" s="139" t="n"/>
      <c r="AA247" s="16" t="n"/>
      <c r="AB247" s="139" t="n"/>
      <c r="AC247" s="16" t="n"/>
      <c r="AD247" s="139" t="n"/>
      <c r="AE247" s="16">
        <f>(W247+Y247+AA247+AC247)</f>
        <v/>
      </c>
      <c r="AF247" s="16" t="n"/>
      <c r="AG247" s="138" t="n"/>
      <c r="AH247" s="16" t="n"/>
      <c r="AI247" s="138" t="n"/>
      <c r="AJ247" s="16" t="n"/>
      <c r="AK247" s="138" t="n"/>
      <c r="AL247" s="16" t="n"/>
      <c r="AM247" s="138" t="n"/>
      <c r="AN247" s="16" t="n"/>
      <c r="AO247" s="138" t="n"/>
      <c r="AP247" s="16" t="n"/>
      <c r="AQ247" s="138" t="n"/>
      <c r="AR247" s="16" t="n"/>
      <c r="AS247" s="138" t="n"/>
      <c r="AT247" s="16" t="n"/>
      <c r="AU247" s="138" t="n"/>
      <c r="AV247" s="16" t="n"/>
      <c r="AW247" s="138" t="n"/>
      <c r="AX247" s="16" t="n"/>
      <c r="AY247" s="138" t="n"/>
      <c r="AZ247" s="16">
        <f>AF247+AH247+AJ247+AL247+AN247+AP247+AR247+AT247+AV247+AX247</f>
        <v/>
      </c>
      <c r="BA247" s="16" t="n"/>
      <c r="BB247" s="139" t="n"/>
      <c r="BC247" s="16" t="n"/>
      <c r="BD247" s="139" t="n"/>
      <c r="BE247" s="16">
        <f>(BA247+BC247)</f>
        <v/>
      </c>
    </row>
    <row r="248">
      <c r="A248" s="9" t="n"/>
      <c r="B248" s="136" t="inlineStr">
        <is>
          <t>ABS 난연</t>
        </is>
      </c>
      <c r="C248" s="142" t="inlineStr">
        <is>
          <t>SOLO</t>
        </is>
      </c>
      <c r="D248" s="62" t="inlineStr">
        <is>
          <t>Shot_PCB_Guide</t>
        </is>
      </c>
      <c r="E248" s="36" t="n"/>
      <c r="F248" s="21" t="n"/>
      <c r="G248" s="22" t="n"/>
      <c r="H248" s="22" t="inlineStr">
        <is>
          <t>천우</t>
        </is>
      </c>
      <c r="I248" s="14" t="n"/>
      <c r="J248" s="14" t="n"/>
      <c r="K248" s="12" t="n">
        <v>552</v>
      </c>
      <c r="L248" s="9" t="n"/>
      <c r="M248" s="9" t="n"/>
      <c r="N248" s="9" t="n"/>
      <c r="O248" s="40">
        <f>K248+V248-AE248-AZ248</f>
        <v/>
      </c>
      <c r="P248" s="12" t="n"/>
      <c r="Q248" s="138" t="n"/>
      <c r="R248" s="16" t="n"/>
      <c r="S248" s="139" t="n"/>
      <c r="T248" s="16" t="n"/>
      <c r="U248" s="139" t="n"/>
      <c r="V248" s="16">
        <f>P248+R248+T248</f>
        <v/>
      </c>
      <c r="W248" s="16" t="n"/>
      <c r="X248" s="139" t="n"/>
      <c r="Y248" s="16" t="n"/>
      <c r="Z248" s="139" t="n"/>
      <c r="AA248" s="16" t="n"/>
      <c r="AB248" s="139" t="n"/>
      <c r="AC248" s="16" t="n"/>
      <c r="AD248" s="139" t="n"/>
      <c r="AE248" s="16">
        <f>(W248+Y248+AA248+AC248)</f>
        <v/>
      </c>
      <c r="AF248" s="16" t="n"/>
      <c r="AG248" s="138" t="n"/>
      <c r="AH248" s="16" t="n"/>
      <c r="AI248" s="138" t="n"/>
      <c r="AJ248" s="16" t="n"/>
      <c r="AK248" s="138" t="n"/>
      <c r="AL248" s="16" t="n"/>
      <c r="AM248" s="138" t="n"/>
      <c r="AN248" s="16" t="n"/>
      <c r="AO248" s="138" t="n"/>
      <c r="AP248" s="16" t="n"/>
      <c r="AQ248" s="138" t="n"/>
      <c r="AR248" s="16" t="n"/>
      <c r="AS248" s="138" t="n"/>
      <c r="AT248" s="16" t="n"/>
      <c r="AU248" s="138" t="n"/>
      <c r="AV248" s="16" t="n"/>
      <c r="AW248" s="138" t="n"/>
      <c r="AX248" s="16" t="n"/>
      <c r="AY248" s="138" t="n"/>
      <c r="AZ248" s="16">
        <f>AF248+AH248+AJ248+AL248+AN248+AP248+AR248+AT248+AV248+AX248</f>
        <v/>
      </c>
      <c r="BA248" s="16" t="n"/>
      <c r="BB248" s="139" t="n"/>
      <c r="BC248" s="16" t="n"/>
      <c r="BD248" s="139" t="n"/>
      <c r="BE248" s="16">
        <f>(BA248+BC248)</f>
        <v/>
      </c>
    </row>
    <row r="249">
      <c r="A249" s="9" t="n"/>
      <c r="B249" s="136" t="inlineStr">
        <is>
          <t>ABS 난연</t>
        </is>
      </c>
      <c r="C249" s="142" t="inlineStr">
        <is>
          <t>SOLO</t>
        </is>
      </c>
      <c r="D249" s="62" t="inlineStr">
        <is>
          <t>Bat_Bottom_Cover</t>
        </is>
      </c>
      <c r="E249" s="36" t="inlineStr">
        <is>
          <t>ABS 블랙 샌딩</t>
        </is>
      </c>
      <c r="F249" s="21" t="n"/>
      <c r="G249" s="22" t="n"/>
      <c r="H249" s="22" t="inlineStr">
        <is>
          <t>천우</t>
        </is>
      </c>
      <c r="I249" s="14" t="n"/>
      <c r="J249" s="14" t="n"/>
      <c r="K249" s="12" t="n">
        <v>0</v>
      </c>
      <c r="L249" s="9" t="n"/>
      <c r="M249" s="9" t="n"/>
      <c r="N249" s="9" t="n"/>
      <c r="O249" s="40">
        <f>K249+V249-AE249-AZ249</f>
        <v/>
      </c>
      <c r="P249" s="12" t="n"/>
      <c r="Q249" s="138" t="n"/>
      <c r="R249" s="16" t="n"/>
      <c r="S249" s="139" t="n"/>
      <c r="T249" s="16" t="n"/>
      <c r="U249" s="139" t="n"/>
      <c r="V249" s="16">
        <f>P249+R249+T249</f>
        <v/>
      </c>
      <c r="W249" s="16" t="n"/>
      <c r="X249" s="139" t="n"/>
      <c r="Y249" s="16" t="n"/>
      <c r="Z249" s="139" t="n"/>
      <c r="AA249" s="16" t="n"/>
      <c r="AB249" s="139" t="n"/>
      <c r="AC249" s="16" t="n"/>
      <c r="AD249" s="139" t="n"/>
      <c r="AE249" s="16">
        <f>(W249+Y249+AA249+AC249)</f>
        <v/>
      </c>
      <c r="AF249" s="16" t="n"/>
      <c r="AG249" s="138" t="n"/>
      <c r="AH249" s="16" t="n"/>
      <c r="AI249" s="138" t="n"/>
      <c r="AJ249" s="16" t="n"/>
      <c r="AK249" s="138" t="n"/>
      <c r="AL249" s="16" t="n"/>
      <c r="AM249" s="138" t="n"/>
      <c r="AN249" s="16" t="n"/>
      <c r="AO249" s="138" t="n"/>
      <c r="AP249" s="16" t="n"/>
      <c r="AQ249" s="138" t="n"/>
      <c r="AR249" s="16" t="n"/>
      <c r="AS249" s="138" t="n"/>
      <c r="AT249" s="16" t="n"/>
      <c r="AU249" s="138" t="n"/>
      <c r="AV249" s="16" t="n"/>
      <c r="AW249" s="138" t="n"/>
      <c r="AX249" s="16" t="n"/>
      <c r="AY249" s="138" t="n"/>
      <c r="AZ249" s="16">
        <f>AF249+AH249+AJ249+AL249+AN249+AP249+AR249+AT249+AV249+AX249</f>
        <v/>
      </c>
      <c r="BA249" s="16" t="n"/>
      <c r="BB249" s="139" t="n"/>
      <c r="BC249" s="16" t="n"/>
      <c r="BD249" s="139" t="n"/>
      <c r="BE249" s="16">
        <f>(BA249+BC249)</f>
        <v/>
      </c>
    </row>
    <row r="250" ht="36" customHeight="1" s="122">
      <c r="A250" s="9" t="n"/>
      <c r="B250" s="136" t="inlineStr">
        <is>
          <t>아크릴</t>
        </is>
      </c>
      <c r="C250" s="142" t="inlineStr">
        <is>
          <t>SOLO</t>
        </is>
      </c>
      <c r="D250" s="62" t="inlineStr">
        <is>
          <t>Aiming_Light_LED_아크릴</t>
        </is>
      </c>
      <c r="E250" s="102" t="inlineStr">
        <is>
          <t>확산 아크릴/ 화이트</t>
        </is>
      </c>
      <c r="F250" s="21" t="n"/>
      <c r="G250" s="22" t="n"/>
      <c r="H250" s="22" t="inlineStr">
        <is>
          <t>천우</t>
        </is>
      </c>
      <c r="I250" s="14" t="n"/>
      <c r="J250" s="14" t="n"/>
      <c r="K250" s="12" t="n">
        <v>527</v>
      </c>
      <c r="L250" s="9" t="n"/>
      <c r="M250" s="9" t="n"/>
      <c r="N250" s="9" t="n"/>
      <c r="O250" s="40">
        <f>K250+V250-AE250-AZ250</f>
        <v/>
      </c>
      <c r="P250" s="12" t="n"/>
      <c r="Q250" s="138" t="n"/>
      <c r="R250" s="16" t="n"/>
      <c r="S250" s="139" t="n"/>
      <c r="T250" s="16" t="n"/>
      <c r="U250" s="139" t="n"/>
      <c r="V250" s="16">
        <f>P250+R250+T250</f>
        <v/>
      </c>
      <c r="W250" s="16" t="n"/>
      <c r="X250" s="139" t="n"/>
      <c r="Y250" s="16" t="n"/>
      <c r="Z250" s="139" t="n"/>
      <c r="AA250" s="16" t="n"/>
      <c r="AB250" s="139" t="n"/>
      <c r="AC250" s="16" t="n"/>
      <c r="AD250" s="139" t="n"/>
      <c r="AE250" s="16">
        <f>(W250+Y250+AA250+AC250)</f>
        <v/>
      </c>
      <c r="AF250" s="16" t="n"/>
      <c r="AG250" s="138" t="n"/>
      <c r="AH250" s="16" t="n"/>
      <c r="AI250" s="138" t="n"/>
      <c r="AJ250" s="16" t="n"/>
      <c r="AK250" s="138" t="n"/>
      <c r="AL250" s="16" t="n"/>
      <c r="AM250" s="138" t="n"/>
      <c r="AN250" s="16" t="n"/>
      <c r="AO250" s="138" t="n"/>
      <c r="AP250" s="16" t="n"/>
      <c r="AQ250" s="138" t="n"/>
      <c r="AR250" s="16" t="n"/>
      <c r="AS250" s="138" t="n"/>
      <c r="AT250" s="16" t="n"/>
      <c r="AU250" s="138" t="n"/>
      <c r="AV250" s="16" t="n"/>
      <c r="AW250" s="138" t="n"/>
      <c r="AX250" s="16" t="n"/>
      <c r="AY250" s="138" t="n"/>
      <c r="AZ250" s="16">
        <f>AF250+AH250+AJ250+AL250+AN250+AP250+AR250+AT250+AV250+AX250</f>
        <v/>
      </c>
      <c r="BA250" s="16" t="n"/>
      <c r="BB250" s="139" t="n"/>
      <c r="BC250" s="16" t="n"/>
      <c r="BD250" s="139" t="n"/>
      <c r="BE250" s="16">
        <f>(BA250+BC250)</f>
        <v/>
      </c>
    </row>
    <row r="251">
      <c r="A251" s="9" t="n"/>
      <c r="B251" s="136" t="inlineStr">
        <is>
          <t>아크릴</t>
        </is>
      </c>
      <c r="C251" s="142" t="inlineStr">
        <is>
          <t>SOLO</t>
        </is>
      </c>
      <c r="D251" s="62" t="inlineStr">
        <is>
          <t>LCD_Window</t>
        </is>
      </c>
      <c r="E251" s="36" t="inlineStr">
        <is>
          <t>PC / 투명 + (구형 26)</t>
        </is>
      </c>
      <c r="F251" s="21" t="n"/>
      <c r="G251" s="22" t="n"/>
      <c r="H251" s="22" t="inlineStr">
        <is>
          <t>천우</t>
        </is>
      </c>
      <c r="I251" s="14" t="n"/>
      <c r="J251" s="14" t="n"/>
      <c r="K251" s="12" t="n">
        <v>493</v>
      </c>
      <c r="L251" s="9" t="n"/>
      <c r="M251" s="9" t="n"/>
      <c r="N251" s="9" t="n"/>
      <c r="O251" s="40">
        <f>K251+V251-AE251-AZ251</f>
        <v/>
      </c>
      <c r="P251" s="12" t="n"/>
      <c r="Q251" s="138" t="n"/>
      <c r="R251" s="16" t="n"/>
      <c r="S251" s="139" t="n"/>
      <c r="T251" s="16" t="n"/>
      <c r="U251" s="139" t="n"/>
      <c r="V251" s="16">
        <f>P251+R251+T251</f>
        <v/>
      </c>
      <c r="W251" s="16" t="n"/>
      <c r="X251" s="139" t="n"/>
      <c r="Y251" s="16" t="n"/>
      <c r="Z251" s="139" t="n"/>
      <c r="AA251" s="16" t="n"/>
      <c r="AB251" s="139" t="n"/>
      <c r="AC251" s="16" t="n"/>
      <c r="AD251" s="139" t="n"/>
      <c r="AE251" s="16">
        <f>(W251+Y251+AA251+AC251)</f>
        <v/>
      </c>
      <c r="AF251" s="16" t="n"/>
      <c r="AG251" s="138" t="n"/>
      <c r="AH251" s="16" t="n"/>
      <c r="AI251" s="138" t="n"/>
      <c r="AJ251" s="16" t="n"/>
      <c r="AK251" s="138" t="n"/>
      <c r="AL251" s="16" t="n"/>
      <c r="AM251" s="138" t="n"/>
      <c r="AN251" s="16" t="n"/>
      <c r="AO251" s="138" t="n"/>
      <c r="AP251" s="16" t="n"/>
      <c r="AQ251" s="138" t="n"/>
      <c r="AR251" s="16" t="n"/>
      <c r="AS251" s="138" t="n"/>
      <c r="AT251" s="16" t="n"/>
      <c r="AU251" s="138" t="n"/>
      <c r="AV251" s="16" t="n"/>
      <c r="AW251" s="138" t="n"/>
      <c r="AX251" s="16" t="n"/>
      <c r="AY251" s="138" t="n"/>
      <c r="AZ251" s="16">
        <f>AF251+AH251+AJ251+AL251+AN251+AP251+AR251+AT251+AV251+AX251</f>
        <v/>
      </c>
      <c r="BA251" s="16" t="n"/>
      <c r="BB251" s="139" t="n"/>
      <c r="BC251" s="16" t="n"/>
      <c r="BD251" s="139" t="n"/>
      <c r="BE251" s="16">
        <f>(BA251+BC251)</f>
        <v/>
      </c>
    </row>
    <row r="252" ht="36" customHeight="1" s="122">
      <c r="A252" s="9" t="n"/>
      <c r="B252" s="136" t="inlineStr">
        <is>
          <t>아크릴</t>
        </is>
      </c>
      <c r="C252" s="142" t="inlineStr">
        <is>
          <t>SOLO</t>
        </is>
      </c>
      <c r="D252" s="62" t="inlineStr">
        <is>
          <t>LCD_LED_확산_아크릴</t>
        </is>
      </c>
      <c r="E252" s="102" t="inlineStr">
        <is>
          <t>확산 아크릴/ 화이트</t>
        </is>
      </c>
      <c r="F252" s="21" t="n"/>
      <c r="G252" s="22" t="n"/>
      <c r="H252" s="22" t="inlineStr">
        <is>
          <t>천우</t>
        </is>
      </c>
      <c r="I252" s="14" t="n"/>
      <c r="J252" s="14" t="n"/>
      <c r="K252" s="12" t="n">
        <v>554</v>
      </c>
      <c r="L252" s="9" t="n"/>
      <c r="M252" s="9" t="n"/>
      <c r="N252" s="9" t="n"/>
      <c r="O252" s="40">
        <f>K252+V252-AE252-AZ252</f>
        <v/>
      </c>
      <c r="P252" s="12" t="n"/>
      <c r="Q252" s="138" t="n"/>
      <c r="R252" s="16" t="n"/>
      <c r="S252" s="139" t="n"/>
      <c r="T252" s="16" t="n"/>
      <c r="U252" s="139" t="n"/>
      <c r="V252" s="16">
        <f>P252+R252+T252</f>
        <v/>
      </c>
      <c r="W252" s="16" t="n"/>
      <c r="X252" s="139" t="n"/>
      <c r="Y252" s="16" t="n"/>
      <c r="Z252" s="139" t="n"/>
      <c r="AA252" s="16" t="n"/>
      <c r="AB252" s="139" t="n"/>
      <c r="AC252" s="16" t="n"/>
      <c r="AD252" s="139" t="n"/>
      <c r="AE252" s="16">
        <f>(W252+Y252+AA252+AC252)</f>
        <v/>
      </c>
      <c r="AF252" s="16" t="n"/>
      <c r="AG252" s="138" t="n"/>
      <c r="AH252" s="16" t="n"/>
      <c r="AI252" s="138" t="n"/>
      <c r="AJ252" s="16" t="n"/>
      <c r="AK252" s="138" t="n"/>
      <c r="AL252" s="16" t="n"/>
      <c r="AM252" s="138" t="n"/>
      <c r="AN252" s="16" t="n"/>
      <c r="AO252" s="138" t="n"/>
      <c r="AP252" s="16" t="n"/>
      <c r="AQ252" s="138" t="n"/>
      <c r="AR252" s="16" t="n"/>
      <c r="AS252" s="138" t="n"/>
      <c r="AT252" s="16" t="n"/>
      <c r="AU252" s="138" t="n"/>
      <c r="AV252" s="16" t="n"/>
      <c r="AW252" s="138" t="n"/>
      <c r="AX252" s="16" t="n"/>
      <c r="AY252" s="138" t="n"/>
      <c r="AZ252" s="16">
        <f>AF252+AH252+AJ252+AL252+AN252+AP252+AR252+AT252+AV252+AX252</f>
        <v/>
      </c>
      <c r="BA252" s="16" t="n"/>
      <c r="BB252" s="139" t="n"/>
      <c r="BC252" s="16" t="n"/>
      <c r="BD252" s="139" t="n"/>
      <c r="BE252" s="16">
        <f>(BA252+BC252)</f>
        <v/>
      </c>
    </row>
    <row r="253">
      <c r="A253" s="9" t="n"/>
      <c r="B253" s="136" t="inlineStr">
        <is>
          <t>아크릴</t>
        </is>
      </c>
      <c r="C253" s="142" t="inlineStr">
        <is>
          <t>SOLO</t>
        </is>
      </c>
      <c r="D253" s="62" t="inlineStr">
        <is>
          <t>광센서_유색_창</t>
        </is>
      </c>
      <c r="E253" s="36" t="inlineStr">
        <is>
          <t>PC/스모그/퍼플</t>
        </is>
      </c>
      <c r="F253" s="21" t="n"/>
      <c r="G253" s="22" t="n"/>
      <c r="H253" s="22" t="inlineStr">
        <is>
          <t>천우</t>
        </is>
      </c>
      <c r="I253" s="14" t="n"/>
      <c r="J253" s="14" t="n"/>
      <c r="K253" s="12" t="n">
        <v>476</v>
      </c>
      <c r="L253" s="9" t="n"/>
      <c r="M253" s="9" t="n"/>
      <c r="N253" s="9" t="n"/>
      <c r="O253" s="40">
        <f>K253+V253-AE253-AZ253</f>
        <v/>
      </c>
      <c r="P253" s="12" t="n"/>
      <c r="Q253" s="138" t="n"/>
      <c r="R253" s="16" t="n"/>
      <c r="S253" s="139" t="n"/>
      <c r="T253" s="16" t="n"/>
      <c r="U253" s="139" t="n"/>
      <c r="V253" s="16">
        <f>P253+R253+T253</f>
        <v/>
      </c>
      <c r="W253" s="16" t="n"/>
      <c r="X253" s="139" t="n"/>
      <c r="Y253" s="16" t="n"/>
      <c r="Z253" s="139" t="n"/>
      <c r="AA253" s="16" t="n"/>
      <c r="AB253" s="139" t="n"/>
      <c r="AC253" s="16" t="n"/>
      <c r="AD253" s="139" t="n"/>
      <c r="AE253" s="16">
        <f>(W253+Y253+AA253+AC253)</f>
        <v/>
      </c>
      <c r="AF253" s="16" t="n"/>
      <c r="AG253" s="138" t="n"/>
      <c r="AH253" s="16" t="n"/>
      <c r="AI253" s="138" t="n"/>
      <c r="AJ253" s="16" t="n"/>
      <c r="AK253" s="138" t="n"/>
      <c r="AL253" s="16" t="n"/>
      <c r="AM253" s="138" t="n"/>
      <c r="AN253" s="16" t="n"/>
      <c r="AO253" s="138" t="n"/>
      <c r="AP253" s="16" t="n"/>
      <c r="AQ253" s="138" t="n"/>
      <c r="AR253" s="16" t="n"/>
      <c r="AS253" s="138" t="n"/>
      <c r="AT253" s="16" t="n"/>
      <c r="AU253" s="138" t="n"/>
      <c r="AV253" s="16" t="n"/>
      <c r="AW253" s="138" t="n"/>
      <c r="AX253" s="16" t="n"/>
      <c r="AY253" s="138" t="n"/>
      <c r="AZ253" s="16">
        <f>AF253+AH253+AJ253+AL253+AN253+AP253+AR253+AT253+AV253+AX253</f>
        <v/>
      </c>
      <c r="BA253" s="16" t="n"/>
      <c r="BB253" s="139" t="n"/>
      <c r="BC253" s="16" t="n"/>
      <c r="BD253" s="139" t="n"/>
      <c r="BE253" s="16">
        <f>(BA253+BC253)</f>
        <v/>
      </c>
    </row>
    <row r="254" ht="36" customHeight="1" s="122">
      <c r="A254" s="9" t="n"/>
      <c r="B254" s="136" t="inlineStr">
        <is>
          <t>아크릴</t>
        </is>
      </c>
      <c r="C254" s="142" t="inlineStr">
        <is>
          <t>SOLO</t>
        </is>
      </c>
      <c r="D254" s="62" t="inlineStr">
        <is>
          <t>BAT_LED_확산_아크릴</t>
        </is>
      </c>
      <c r="E254" s="102" t="inlineStr">
        <is>
          <t>확산 아크릴/ 화이트</t>
        </is>
      </c>
      <c r="F254" s="21" t="n"/>
      <c r="G254" s="22" t="n"/>
      <c r="H254" s="22" t="inlineStr">
        <is>
          <t>천우</t>
        </is>
      </c>
      <c r="I254" s="14" t="n"/>
      <c r="J254" s="14" t="n"/>
      <c r="K254" s="12" t="n">
        <v>548</v>
      </c>
      <c r="L254" s="9" t="n"/>
      <c r="M254" s="9" t="n"/>
      <c r="N254" s="9" t="n"/>
      <c r="O254" s="40">
        <f>K254+V254-AE254-AZ254</f>
        <v/>
      </c>
      <c r="P254" s="12" t="n"/>
      <c r="Q254" s="138" t="n"/>
      <c r="R254" s="16" t="n"/>
      <c r="S254" s="139" t="n"/>
      <c r="T254" s="16" t="n"/>
      <c r="U254" s="139" t="n"/>
      <c r="V254" s="16">
        <f>P254+R254+T254</f>
        <v/>
      </c>
      <c r="W254" s="16" t="n"/>
      <c r="X254" s="139" t="n"/>
      <c r="Y254" s="16" t="n"/>
      <c r="Z254" s="139" t="n"/>
      <c r="AA254" s="16" t="n"/>
      <c r="AB254" s="139" t="n"/>
      <c r="AC254" s="16" t="n"/>
      <c r="AD254" s="139" t="n"/>
      <c r="AE254" s="16">
        <f>(W254+Y254+AA254+AC254)</f>
        <v/>
      </c>
      <c r="AF254" s="16" t="n"/>
      <c r="AG254" s="138" t="n"/>
      <c r="AH254" s="16" t="n"/>
      <c r="AI254" s="138" t="n"/>
      <c r="AJ254" s="16" t="n"/>
      <c r="AK254" s="138" t="n"/>
      <c r="AL254" s="16" t="n"/>
      <c r="AM254" s="138" t="n"/>
      <c r="AN254" s="16" t="n"/>
      <c r="AO254" s="138" t="n"/>
      <c r="AP254" s="16" t="n"/>
      <c r="AQ254" s="138" t="n"/>
      <c r="AR254" s="16" t="n"/>
      <c r="AS254" s="138" t="n"/>
      <c r="AT254" s="16" t="n"/>
      <c r="AU254" s="138" t="n"/>
      <c r="AV254" s="16" t="n"/>
      <c r="AW254" s="138" t="n"/>
      <c r="AX254" s="16" t="n"/>
      <c r="AY254" s="138" t="n"/>
      <c r="AZ254" s="16">
        <f>AF254+AH254+AJ254+AL254+AN254+AP254+AR254+AT254+AV254+AX254</f>
        <v/>
      </c>
      <c r="BA254" s="16" t="n"/>
      <c r="BB254" s="139" t="n"/>
      <c r="BC254" s="16" t="n"/>
      <c r="BD254" s="139" t="n"/>
      <c r="BE254" s="16">
        <f>(BA254+BC254)</f>
        <v/>
      </c>
    </row>
    <row r="255">
      <c r="A255" s="9" t="n"/>
      <c r="B255" s="136" t="inlineStr">
        <is>
          <t>가스켓</t>
        </is>
      </c>
      <c r="C255" s="142" t="inlineStr">
        <is>
          <t>SOLO</t>
        </is>
      </c>
      <c r="D255" s="62" t="inlineStr">
        <is>
          <t>LCD 터치가스켓</t>
        </is>
      </c>
      <c r="E255" s="36" t="inlineStr">
        <is>
          <t>8X8X7</t>
        </is>
      </c>
      <c r="F255" s="21" t="n"/>
      <c r="G255" s="22" t="n"/>
      <c r="H255" s="22" t="n"/>
      <c r="I255" s="14" t="n"/>
      <c r="J255" s="14" t="n"/>
      <c r="K255" s="12" t="n">
        <v>1499</v>
      </c>
      <c r="L255" s="9" t="n"/>
      <c r="M255" s="9" t="n"/>
      <c r="N255" s="9" t="n"/>
      <c r="O255" s="40">
        <f>K255+V255-AE255-AZ255</f>
        <v/>
      </c>
      <c r="P255" s="12" t="n"/>
      <c r="Q255" s="138" t="n"/>
      <c r="R255" s="16" t="n"/>
      <c r="S255" s="139" t="n"/>
      <c r="T255" s="16" t="n"/>
      <c r="U255" s="139" t="n"/>
      <c r="V255" s="16">
        <f>P255+R255+T255</f>
        <v/>
      </c>
      <c r="W255" s="16" t="n"/>
      <c r="X255" s="139" t="n"/>
      <c r="Y255" s="16" t="n"/>
      <c r="Z255" s="139" t="n"/>
      <c r="AA255" s="16" t="n"/>
      <c r="AB255" s="139" t="n"/>
      <c r="AC255" s="16" t="n"/>
      <c r="AD255" s="139" t="n"/>
      <c r="AE255" s="16">
        <f>(W255+Y255+AA255+AC255)</f>
        <v/>
      </c>
      <c r="AF255" s="16" t="n"/>
      <c r="AG255" s="138" t="n"/>
      <c r="AH255" s="16" t="n"/>
      <c r="AI255" s="138" t="n"/>
      <c r="AJ255" s="16" t="n"/>
      <c r="AK255" s="138" t="n"/>
      <c r="AL255" s="16" t="n"/>
      <c r="AM255" s="138" t="n"/>
      <c r="AN255" s="16" t="n"/>
      <c r="AO255" s="138" t="n"/>
      <c r="AP255" s="16" t="n"/>
      <c r="AQ255" s="138" t="n"/>
      <c r="AR255" s="16" t="n"/>
      <c r="AS255" s="138" t="n"/>
      <c r="AT255" s="16" t="n"/>
      <c r="AU255" s="138" t="n"/>
      <c r="AV255" s="16" t="n"/>
      <c r="AW255" s="138" t="n"/>
      <c r="AX255" s="16" t="n"/>
      <c r="AY255" s="138" t="n"/>
      <c r="AZ255" s="16">
        <f>AF255+AH255+AJ255+AL255+AN255+AP255+AR255+AT255+AV255+AX255</f>
        <v/>
      </c>
      <c r="BA255" s="16" t="n"/>
      <c r="BB255" s="139" t="n"/>
      <c r="BC255" s="16" t="n"/>
      <c r="BD255" s="139" t="n"/>
      <c r="BE255" s="16">
        <f>(BA255+BC255)</f>
        <v/>
      </c>
    </row>
    <row r="256">
      <c r="A256" s="9" t="n"/>
      <c r="B256" s="136" t="inlineStr">
        <is>
          <t>AL</t>
        </is>
      </c>
      <c r="C256" s="137" t="inlineStr">
        <is>
          <t>SOLO</t>
        </is>
      </c>
      <c r="D256" s="83" t="inlineStr">
        <is>
          <t>마운트</t>
        </is>
      </c>
      <c r="E256" s="13" t="inlineStr">
        <is>
          <t>삼각대 고정홀</t>
        </is>
      </c>
      <c r="F256" s="100" t="n"/>
      <c r="G256" s="9" t="n"/>
      <c r="H256" s="9" t="n"/>
      <c r="I256" s="14" t="n"/>
      <c r="J256" s="14" t="n"/>
      <c r="K256" s="12" t="n">
        <v>248</v>
      </c>
      <c r="L256" s="9" t="n"/>
      <c r="M256" s="9" t="n"/>
      <c r="N256" s="9" t="n"/>
      <c r="O256" s="40">
        <f>K256+V256-AE256-AZ256</f>
        <v/>
      </c>
      <c r="P256" s="12" t="n"/>
      <c r="Q256" s="138" t="n"/>
      <c r="R256" s="16" t="n"/>
      <c r="S256" s="139" t="n"/>
      <c r="T256" s="16" t="n"/>
      <c r="U256" s="139" t="n"/>
      <c r="V256" s="16">
        <f>P256+R256+T256</f>
        <v/>
      </c>
      <c r="W256" s="16" t="n"/>
      <c r="X256" s="139" t="n"/>
      <c r="Y256" s="16" t="n"/>
      <c r="Z256" s="139" t="n"/>
      <c r="AA256" s="16" t="n"/>
      <c r="AB256" s="139" t="n"/>
      <c r="AC256" s="16" t="n"/>
      <c r="AD256" s="139" t="n"/>
      <c r="AE256" s="16">
        <f>(W256+Y256+AA256+AC256)</f>
        <v/>
      </c>
      <c r="AF256" s="16" t="n"/>
      <c r="AG256" s="138" t="n"/>
      <c r="AH256" s="16" t="n"/>
      <c r="AI256" s="138" t="n"/>
      <c r="AJ256" s="16" t="n"/>
      <c r="AK256" s="138" t="n"/>
      <c r="AL256" s="16" t="n"/>
      <c r="AM256" s="138" t="n"/>
      <c r="AN256" s="16" t="n"/>
      <c r="AO256" s="138" t="n"/>
      <c r="AP256" s="16" t="n"/>
      <c r="AQ256" s="138" t="n"/>
      <c r="AR256" s="16" t="n"/>
      <c r="AS256" s="138" t="n"/>
      <c r="AT256" s="16" t="n"/>
      <c r="AU256" s="138" t="n"/>
      <c r="AV256" s="16" t="n"/>
      <c r="AW256" s="138" t="n"/>
      <c r="AX256" s="16" t="n"/>
      <c r="AY256" s="138" t="n"/>
      <c r="AZ256" s="16">
        <f>AF256+AH256+AJ256+AL256+AN256+AP256+AR256+AT256+AV256+AX256</f>
        <v/>
      </c>
      <c r="BA256" s="16" t="n"/>
      <c r="BB256" s="139" t="n"/>
      <c r="BC256" s="16" t="n"/>
      <c r="BD256" s="139" t="n"/>
      <c r="BE256" s="16">
        <f>(BA256+BC256)</f>
        <v/>
      </c>
    </row>
    <row r="257">
      <c r="A257" s="9" t="n"/>
      <c r="B257" s="136" t="inlineStr">
        <is>
          <t>RUBBER</t>
        </is>
      </c>
      <c r="C257" s="137" t="inlineStr">
        <is>
          <t>SOLO</t>
        </is>
      </c>
      <c r="D257" s="143" t="inlineStr">
        <is>
          <t>BAT BOTTOM RUBBER</t>
        </is>
      </c>
      <c r="E257" s="13" t="inlineStr">
        <is>
          <t>RUBBER (1T, 마운트 홀)</t>
        </is>
      </c>
      <c r="F257" s="100" t="n"/>
      <c r="G257" s="9" t="n"/>
      <c r="H257" s="9" t="inlineStr">
        <is>
          <t>남경화학</t>
        </is>
      </c>
      <c r="I257" s="14" t="n"/>
      <c r="J257" s="14" t="n"/>
      <c r="K257" s="12" t="n">
        <v>467</v>
      </c>
      <c r="L257" s="9" t="n"/>
      <c r="M257" s="9" t="n"/>
      <c r="N257" s="9" t="n"/>
      <c r="O257" s="40">
        <f>K257+V257-AE257-AZ257</f>
        <v/>
      </c>
      <c r="P257" s="12" t="n"/>
      <c r="Q257" s="138" t="n"/>
      <c r="R257" s="16" t="n"/>
      <c r="S257" s="139" t="n"/>
      <c r="T257" s="16" t="n"/>
      <c r="U257" s="139" t="n"/>
      <c r="V257" s="16">
        <f>P257+R257+T257</f>
        <v/>
      </c>
      <c r="W257" s="16" t="n"/>
      <c r="X257" s="139" t="n"/>
      <c r="Y257" s="16" t="n"/>
      <c r="Z257" s="139" t="n"/>
      <c r="AA257" s="16" t="n"/>
      <c r="AB257" s="139" t="n"/>
      <c r="AC257" s="16" t="n"/>
      <c r="AD257" s="139" t="n"/>
      <c r="AE257" s="16">
        <f>(W257+Y257+AA257+AC257)</f>
        <v/>
      </c>
      <c r="AF257" s="16" t="n">
        <v>2</v>
      </c>
      <c r="AG257" s="138" t="n">
        <v>46093</v>
      </c>
      <c r="AH257" s="16" t="n"/>
      <c r="AI257" s="138" t="n"/>
      <c r="AJ257" s="16" t="n"/>
      <c r="AK257" s="138" t="n"/>
      <c r="AL257" s="16" t="n"/>
      <c r="AM257" s="138" t="n"/>
      <c r="AN257" s="16" t="n"/>
      <c r="AO257" s="138" t="n"/>
      <c r="AP257" s="16" t="n"/>
      <c r="AQ257" s="138" t="n"/>
      <c r="AR257" s="16" t="n"/>
      <c r="AS257" s="138" t="n"/>
      <c r="AT257" s="16" t="n"/>
      <c r="AU257" s="138" t="n"/>
      <c r="AV257" s="16" t="n"/>
      <c r="AW257" s="138" t="n"/>
      <c r="AX257" s="16" t="n"/>
      <c r="AY257" s="138" t="n"/>
      <c r="AZ257" s="16">
        <f>AF257+AH257+AJ257+AL257+AN257+AP257+AR257+AT257+AV257+AX257</f>
        <v/>
      </c>
      <c r="BA257" s="16" t="n"/>
      <c r="BB257" s="139" t="n"/>
      <c r="BC257" s="16" t="n"/>
      <c r="BD257" s="139" t="n"/>
      <c r="BE257" s="16">
        <f>(BA257+BC257)</f>
        <v/>
      </c>
    </row>
    <row r="258" ht="36" customHeight="1" s="122">
      <c r="A258" s="9" t="n"/>
      <c r="B258" s="136" t="inlineStr">
        <is>
          <t>ABS 난연</t>
        </is>
      </c>
      <c r="C258" s="137" t="inlineStr">
        <is>
          <t>DX3000, ADX6000,SOLO</t>
        </is>
      </c>
      <c r="D258" s="150" t="inlineStr">
        <is>
          <t>에이밍 바디 뭉치</t>
        </is>
      </c>
      <c r="E258" s="13" t="inlineStr">
        <is>
          <t>ø33*19.3</t>
        </is>
      </c>
      <c r="F258" s="100" t="n"/>
      <c r="G258" s="9" t="n"/>
      <c r="H258" s="9" t="inlineStr">
        <is>
          <t>오비스코리아</t>
        </is>
      </c>
      <c r="I258" s="14" t="n"/>
      <c r="J258" s="14" t="n"/>
      <c r="K258" s="12" t="n">
        <v>0</v>
      </c>
      <c r="L258" s="9" t="n"/>
      <c r="M258" s="9" t="n"/>
      <c r="N258" s="9" t="n"/>
      <c r="O258" s="40">
        <f>K258+V258-AE258-AZ258</f>
        <v/>
      </c>
      <c r="P258" s="12" t="n"/>
      <c r="Q258" s="138" t="n"/>
      <c r="R258" s="16" t="n"/>
      <c r="S258" s="139" t="n"/>
      <c r="T258" s="16" t="n"/>
      <c r="U258" s="139" t="n"/>
      <c r="V258" s="16">
        <f>P258+R258+T258</f>
        <v/>
      </c>
      <c r="W258" s="16" t="n"/>
      <c r="X258" s="139" t="n"/>
      <c r="Y258" s="16" t="n"/>
      <c r="Z258" s="139" t="n"/>
      <c r="AA258" s="16" t="n"/>
      <c r="AB258" s="139" t="n"/>
      <c r="AC258" s="16" t="n"/>
      <c r="AD258" s="139" t="n"/>
      <c r="AE258" s="16">
        <f>(W258+Y258+AA258+AC258)</f>
        <v/>
      </c>
      <c r="AF258" s="16" t="n"/>
      <c r="AG258" s="138" t="n"/>
      <c r="AH258" s="16" t="n"/>
      <c r="AI258" s="138" t="n"/>
      <c r="AJ258" s="16" t="n"/>
      <c r="AK258" s="138" t="n"/>
      <c r="AL258" s="16" t="n"/>
      <c r="AM258" s="138" t="n"/>
      <c r="AN258" s="16" t="n"/>
      <c r="AO258" s="138" t="n"/>
      <c r="AP258" s="16" t="n"/>
      <c r="AQ258" s="138" t="n"/>
      <c r="AR258" s="16" t="n"/>
      <c r="AS258" s="138" t="n"/>
      <c r="AT258" s="16" t="n"/>
      <c r="AU258" s="138" t="n"/>
      <c r="AV258" s="16" t="n"/>
      <c r="AW258" s="138" t="n"/>
      <c r="AX258" s="16" t="n"/>
      <c r="AY258" s="138" t="n"/>
      <c r="AZ258" s="16">
        <f>AF258+AH258+AJ258+AL258+AN258+AP258+AR258+AT258+AV258+AX258</f>
        <v/>
      </c>
      <c r="BA258" s="16" t="n"/>
      <c r="BB258" s="139" t="n"/>
      <c r="BC258" s="16" t="n"/>
      <c r="BD258" s="139" t="n"/>
      <c r="BE258" s="16">
        <f>(BA258+BC258)</f>
        <v/>
      </c>
    </row>
    <row r="259" ht="36" customHeight="1" s="122">
      <c r="A259" s="9" t="n"/>
      <c r="B259" s="136" t="inlineStr">
        <is>
          <t>아크릴</t>
        </is>
      </c>
      <c r="C259" s="137" t="inlineStr">
        <is>
          <t>DX3000, ADX6000,SOLO</t>
        </is>
      </c>
      <c r="D259" s="86" t="inlineStr">
        <is>
          <t>아크릴 은경</t>
        </is>
      </c>
      <c r="E259" s="23" t="inlineStr">
        <is>
          <t>아크릴 40파이</t>
        </is>
      </c>
      <c r="F259" s="99" t="n"/>
      <c r="G259" s="9" t="n"/>
      <c r="H259" s="9" t="inlineStr">
        <is>
          <t>명동아크릴</t>
        </is>
      </c>
      <c r="I259" s="14" t="n"/>
      <c r="J259" s="14" t="n"/>
      <c r="K259" s="12" t="n">
        <v>0</v>
      </c>
      <c r="L259" s="9" t="n"/>
      <c r="M259" s="9" t="n"/>
      <c r="N259" s="9" t="n"/>
      <c r="O259" s="40">
        <f>K259+V259-AE259-AZ259</f>
        <v/>
      </c>
      <c r="P259" s="12" t="n"/>
      <c r="Q259" s="138" t="n"/>
      <c r="R259" s="16" t="n"/>
      <c r="S259" s="139" t="n"/>
      <c r="T259" s="16" t="n"/>
      <c r="U259" s="139" t="n"/>
      <c r="V259" s="16">
        <f>P259+R259+T259</f>
        <v/>
      </c>
      <c r="W259" s="16" t="n"/>
      <c r="X259" s="139" t="n"/>
      <c r="Y259" s="16" t="n"/>
      <c r="Z259" s="139" t="n"/>
      <c r="AA259" s="16" t="n"/>
      <c r="AB259" s="139" t="n"/>
      <c r="AC259" s="16" t="n"/>
      <c r="AD259" s="139" t="n"/>
      <c r="AE259" s="16">
        <f>(W259+Y259+AA259+AC259)</f>
        <v/>
      </c>
      <c r="AF259" s="16" t="n"/>
      <c r="AG259" s="138" t="n"/>
      <c r="AH259" s="16" t="n"/>
      <c r="AI259" s="138" t="n"/>
      <c r="AJ259" s="16" t="n"/>
      <c r="AK259" s="138" t="n"/>
      <c r="AL259" s="16" t="n"/>
      <c r="AM259" s="138" t="n"/>
      <c r="AN259" s="16" t="n"/>
      <c r="AO259" s="138" t="n"/>
      <c r="AP259" s="16" t="n"/>
      <c r="AQ259" s="138" t="n"/>
      <c r="AR259" s="16" t="n"/>
      <c r="AS259" s="138" t="n"/>
      <c r="AT259" s="16" t="n"/>
      <c r="AU259" s="138" t="n"/>
      <c r="AV259" s="16" t="n"/>
      <c r="AW259" s="138" t="n"/>
      <c r="AX259" s="16" t="n"/>
      <c r="AY259" s="138" t="n"/>
      <c r="AZ259" s="16">
        <f>AF259+AH259+AJ259+AL259+AN259+AP259+AR259+AT259+AV259+AX259</f>
        <v/>
      </c>
      <c r="BA259" s="16" t="n"/>
      <c r="BB259" s="139" t="n"/>
      <c r="BC259" s="16" t="n"/>
      <c r="BD259" s="139" t="n"/>
      <c r="BE259" s="16">
        <f>(BA259+BC259)</f>
        <v/>
      </c>
    </row>
    <row r="260" ht="36" customHeight="1" s="122">
      <c r="A260" s="9" t="n"/>
      <c r="B260" s="136" t="inlineStr">
        <is>
          <t>PCB</t>
        </is>
      </c>
      <c r="C260" s="137" t="inlineStr">
        <is>
          <t>DX3000, ADX6000,SOLO</t>
        </is>
      </c>
      <c r="D260" s="86" t="inlineStr">
        <is>
          <t>에이밍 LED 보드</t>
        </is>
      </c>
      <c r="E260" s="23" t="inlineStr">
        <is>
          <t xml:space="preserve">LED PCB </t>
        </is>
      </c>
      <c r="F260" s="99" t="n"/>
      <c r="G260" s="9" t="n"/>
      <c r="H260" s="9" t="inlineStr">
        <is>
          <t>HLP</t>
        </is>
      </c>
      <c r="I260" s="14" t="n"/>
      <c r="J260" s="14" t="n"/>
      <c r="K260" s="12" t="n">
        <v>0</v>
      </c>
      <c r="L260" s="9" t="n"/>
      <c r="M260" s="9" t="n"/>
      <c r="N260" s="9" t="n"/>
      <c r="O260" s="40">
        <f>K260+V260-AE260-AZ260</f>
        <v/>
      </c>
      <c r="P260" s="12" t="n"/>
      <c r="Q260" s="138" t="n"/>
      <c r="R260" s="16" t="n"/>
      <c r="S260" s="139" t="n"/>
      <c r="T260" s="16" t="n"/>
      <c r="U260" s="139" t="n"/>
      <c r="V260" s="16">
        <f>P260+R260+T260</f>
        <v/>
      </c>
      <c r="W260" s="16" t="n"/>
      <c r="X260" s="139" t="n"/>
      <c r="Y260" s="16" t="n"/>
      <c r="Z260" s="139" t="n"/>
      <c r="AA260" s="16" t="n"/>
      <c r="AB260" s="139" t="n"/>
      <c r="AC260" s="16" t="n"/>
      <c r="AD260" s="139" t="n"/>
      <c r="AE260" s="16">
        <f>(W260+Y260+AA260+AC260)</f>
        <v/>
      </c>
      <c r="AF260" s="16" t="n"/>
      <c r="AG260" s="138" t="n"/>
      <c r="AH260" s="16" t="n"/>
      <c r="AI260" s="138" t="n"/>
      <c r="AJ260" s="16" t="n"/>
      <c r="AK260" s="138" t="n"/>
      <c r="AL260" s="16" t="n"/>
      <c r="AM260" s="138" t="n"/>
      <c r="AN260" s="16" t="n"/>
      <c r="AO260" s="138" t="n"/>
      <c r="AP260" s="16" t="n"/>
      <c r="AQ260" s="138" t="n"/>
      <c r="AR260" s="16" t="n"/>
      <c r="AS260" s="138" t="n"/>
      <c r="AT260" s="16" t="n"/>
      <c r="AU260" s="138" t="n"/>
      <c r="AV260" s="16" t="n"/>
      <c r="AW260" s="138" t="n"/>
      <c r="AX260" s="16" t="n"/>
      <c r="AY260" s="138" t="n"/>
      <c r="AZ260" s="16">
        <f>AF260+AH260+AJ260+AL260+AN260+AP260+AR260+AT260+AV260+AX260</f>
        <v/>
      </c>
      <c r="BA260" s="16" t="n"/>
      <c r="BB260" s="139" t="n"/>
      <c r="BC260" s="16" t="n"/>
      <c r="BD260" s="139" t="n"/>
      <c r="BE260" s="16">
        <f>(BA260+BC260)</f>
        <v/>
      </c>
    </row>
    <row r="261" ht="36" customHeight="1" s="122">
      <c r="A261" s="9" t="n"/>
      <c r="B261" s="136" t="inlineStr">
        <is>
          <t>AL</t>
        </is>
      </c>
      <c r="C261" s="137" t="inlineStr">
        <is>
          <t>DX3000, ADX6000,SOLO</t>
        </is>
      </c>
      <c r="D261" s="86" t="inlineStr">
        <is>
          <t>LED PCB 방열 가이드</t>
        </is>
      </c>
      <c r="E261" s="23" t="inlineStr">
        <is>
          <t>흑색 다이캐스팅</t>
        </is>
      </c>
      <c r="F261" s="99" t="n"/>
      <c r="G261" s="9" t="n"/>
      <c r="H261" s="9" t="inlineStr">
        <is>
          <t>㈜쿠가</t>
        </is>
      </c>
      <c r="I261" s="14" t="n"/>
      <c r="J261" s="14" t="n"/>
      <c r="K261" s="12" t="n">
        <v>824</v>
      </c>
      <c r="L261" s="9" t="n"/>
      <c r="M261" s="9" t="n"/>
      <c r="N261" s="9" t="n"/>
      <c r="O261" s="40">
        <f>K261+V261-AE261-AZ261</f>
        <v/>
      </c>
      <c r="P261" s="12" t="n"/>
      <c r="Q261" s="138" t="n"/>
      <c r="R261" s="16" t="n"/>
      <c r="S261" s="139" t="n"/>
      <c r="T261" s="16" t="n"/>
      <c r="U261" s="139" t="n"/>
      <c r="V261" s="16">
        <f>P261+R261+T261</f>
        <v/>
      </c>
      <c r="W261" s="16" t="n"/>
      <c r="X261" s="139" t="n"/>
      <c r="Y261" s="16" t="n"/>
      <c r="Z261" s="139" t="n"/>
      <c r="AA261" s="16" t="n"/>
      <c r="AB261" s="139" t="n"/>
      <c r="AC261" s="16" t="n"/>
      <c r="AD261" s="139" t="n"/>
      <c r="AE261" s="16">
        <f>(W261+Y261+AA261+AC261)</f>
        <v/>
      </c>
      <c r="AF261" s="16" t="n"/>
      <c r="AG261" s="138" t="n"/>
      <c r="AH261" s="16" t="n"/>
      <c r="AI261" s="138" t="n"/>
      <c r="AJ261" s="16" t="n"/>
      <c r="AK261" s="138" t="n"/>
      <c r="AL261" s="16" t="n"/>
      <c r="AM261" s="138" t="n"/>
      <c r="AN261" s="16" t="n"/>
      <c r="AO261" s="138" t="n"/>
      <c r="AP261" s="16" t="n"/>
      <c r="AQ261" s="138" t="n"/>
      <c r="AR261" s="16" t="n"/>
      <c r="AS261" s="138" t="n"/>
      <c r="AT261" s="16" t="n"/>
      <c r="AU261" s="138" t="n"/>
      <c r="AV261" s="16" t="n"/>
      <c r="AW261" s="138" t="n"/>
      <c r="AX261" s="16" t="n"/>
      <c r="AY261" s="138" t="n"/>
      <c r="AZ261" s="16">
        <f>AF261+AH261+AJ261+AL261+AN261+AP261+AR261+AT261+AV261+AX261</f>
        <v/>
      </c>
      <c r="BA261" s="16" t="n"/>
      <c r="BB261" s="139" t="n"/>
      <c r="BC261" s="16" t="n"/>
      <c r="BD261" s="139" t="n"/>
      <c r="BE261" s="16">
        <f>(BA261+BC261)</f>
        <v/>
      </c>
    </row>
    <row r="262">
      <c r="A262" s="9" t="n"/>
      <c r="B262" s="141" t="inlineStr">
        <is>
          <t>PCB</t>
        </is>
      </c>
      <c r="C262" s="137" t="inlineStr">
        <is>
          <t>ADX4000W</t>
        </is>
      </c>
      <c r="D262" s="62" t="inlineStr">
        <is>
          <t>CTR B/D</t>
        </is>
      </c>
      <c r="E262" s="36" t="inlineStr">
        <is>
          <t xml:space="preserve"> + 12(AS용)</t>
        </is>
      </c>
      <c r="F262" s="100" t="n"/>
      <c r="G262" s="22" t="n"/>
      <c r="H262" s="22" t="inlineStr">
        <is>
          <t>HLP</t>
        </is>
      </c>
      <c r="I262" s="14" t="n"/>
      <c r="J262" s="14" t="n"/>
      <c r="K262" s="12" t="n">
        <v>87</v>
      </c>
      <c r="L262" s="9" t="n"/>
      <c r="M262" s="9" t="n"/>
      <c r="N262" s="9" t="n"/>
      <c r="O262" s="40">
        <f>K262+V262-AE262-AZ262</f>
        <v/>
      </c>
      <c r="P262" s="12" t="n"/>
      <c r="Q262" s="138" t="n"/>
      <c r="R262" s="16" t="n"/>
      <c r="S262" s="139" t="n"/>
      <c r="T262" s="16" t="n"/>
      <c r="U262" s="139" t="n"/>
      <c r="V262" s="16">
        <f>P262+R262+T262</f>
        <v/>
      </c>
      <c r="W262" s="16" t="n"/>
      <c r="X262" s="139" t="n"/>
      <c r="Y262" s="16" t="n"/>
      <c r="Z262" s="139" t="n"/>
      <c r="AA262" s="16" t="n"/>
      <c r="AB262" s="139" t="n"/>
      <c r="AC262" s="16" t="n"/>
      <c r="AD262" s="139" t="n"/>
      <c r="AE262" s="16">
        <f>(W262+Y262+AA262+AC262)</f>
        <v/>
      </c>
      <c r="AF262" s="16" t="n"/>
      <c r="AG262" s="138" t="n"/>
      <c r="AH262" s="16" t="n"/>
      <c r="AI262" s="138" t="n"/>
      <c r="AJ262" s="16" t="n"/>
      <c r="AK262" s="138" t="n"/>
      <c r="AL262" s="16" t="n"/>
      <c r="AM262" s="138" t="n"/>
      <c r="AN262" s="16" t="n"/>
      <c r="AO262" s="138" t="n"/>
      <c r="AP262" s="16" t="n"/>
      <c r="AQ262" s="138" t="n"/>
      <c r="AR262" s="16" t="n"/>
      <c r="AS262" s="138" t="n"/>
      <c r="AT262" s="16" t="n"/>
      <c r="AU262" s="138" t="n"/>
      <c r="AV262" s="16" t="n"/>
      <c r="AW262" s="138" t="n"/>
      <c r="AX262" s="16" t="n"/>
      <c r="AY262" s="138" t="n"/>
      <c r="AZ262" s="16">
        <f>AF262+AH262+AJ262+AL262+AN262+AP262+AR262+AT262+AV262+AX262</f>
        <v/>
      </c>
      <c r="BA262" s="16" t="n"/>
      <c r="BB262" s="139" t="n"/>
      <c r="BC262" s="16" t="n"/>
      <c r="BD262" s="139" t="n"/>
      <c r="BE262" s="16">
        <f>(BA262+BC262)</f>
        <v/>
      </c>
    </row>
    <row r="263">
      <c r="A263" s="9" t="n"/>
      <c r="B263" s="136" t="inlineStr">
        <is>
          <t>PCB</t>
        </is>
      </c>
      <c r="C263" s="137" t="inlineStr">
        <is>
          <t>ADX4000W</t>
        </is>
      </c>
      <c r="D263" s="65" t="inlineStr">
        <is>
          <t>4.8" LCD  BD</t>
        </is>
      </c>
      <c r="E263" s="13" t="n"/>
      <c r="F263" s="100" t="n"/>
      <c r="G263" s="9" t="n"/>
      <c r="H263" s="9" t="inlineStr">
        <is>
          <t>HLP</t>
        </is>
      </c>
      <c r="I263" s="14" t="n"/>
      <c r="J263" s="14" t="n"/>
      <c r="K263" s="12" t="n">
        <v>224</v>
      </c>
      <c r="L263" s="9" t="n"/>
      <c r="M263" s="9" t="n"/>
      <c r="N263" s="9" t="n"/>
      <c r="O263" s="40">
        <f>K263+V263-AE263-AZ263</f>
        <v/>
      </c>
      <c r="P263" s="12" t="n"/>
      <c r="Q263" s="138" t="n"/>
      <c r="R263" s="16" t="n"/>
      <c r="S263" s="139" t="n"/>
      <c r="T263" s="16" t="n"/>
      <c r="U263" s="139" t="n"/>
      <c r="V263" s="16">
        <f>P263+R263+T263</f>
        <v/>
      </c>
      <c r="W263" s="16" t="n"/>
      <c r="X263" s="139" t="n"/>
      <c r="Y263" s="16" t="n"/>
      <c r="Z263" s="139" t="n"/>
      <c r="AA263" s="16" t="n"/>
      <c r="AB263" s="139" t="n"/>
      <c r="AC263" s="16" t="n"/>
      <c r="AD263" s="139" t="n"/>
      <c r="AE263" s="16">
        <f>(W263+Y263+AA263+AC263)</f>
        <v/>
      </c>
      <c r="AF263" s="16" t="n"/>
      <c r="AG263" s="138" t="n"/>
      <c r="AH263" s="16" t="n"/>
      <c r="AI263" s="138" t="n"/>
      <c r="AJ263" s="16" t="n"/>
      <c r="AK263" s="138" t="n"/>
      <c r="AL263" s="16" t="n"/>
      <c r="AM263" s="138" t="n"/>
      <c r="AN263" s="16" t="n"/>
      <c r="AO263" s="138" t="n"/>
      <c r="AP263" s="16" t="n"/>
      <c r="AQ263" s="138" t="n"/>
      <c r="AR263" s="16" t="n"/>
      <c r="AS263" s="138" t="n"/>
      <c r="AT263" s="16" t="n"/>
      <c r="AU263" s="138" t="n"/>
      <c r="AV263" s="16" t="n"/>
      <c r="AW263" s="138" t="n"/>
      <c r="AX263" s="16" t="n"/>
      <c r="AY263" s="138" t="n"/>
      <c r="AZ263" s="16">
        <f>AF263+AH263+AJ263+AL263+AN263+AP263+AR263+AT263+AV263+AX263</f>
        <v/>
      </c>
      <c r="BA263" s="16" t="n"/>
      <c r="BB263" s="139" t="n"/>
      <c r="BC263" s="16" t="n"/>
      <c r="BD263" s="139" t="n"/>
      <c r="BE263" s="16">
        <f>(BA263+BC263)</f>
        <v/>
      </c>
    </row>
    <row r="264">
      <c r="A264" s="9" t="n"/>
      <c r="B264" s="136" t="inlineStr">
        <is>
          <t>PCB</t>
        </is>
      </c>
      <c r="C264" s="137" t="inlineStr">
        <is>
          <t>ADX4000W</t>
        </is>
      </c>
      <c r="D264" s="65" t="inlineStr">
        <is>
          <t>POWER BD</t>
        </is>
      </c>
      <c r="E264" s="13" t="n"/>
      <c r="F264" s="100" t="n"/>
      <c r="G264" s="9" t="n"/>
      <c r="H264" s="9" t="inlineStr">
        <is>
          <t>HLP</t>
        </is>
      </c>
      <c r="I264" s="14" t="n"/>
      <c r="J264" s="14" t="n"/>
      <c r="K264" s="12" t="n">
        <v>138</v>
      </c>
      <c r="L264" s="9" t="n"/>
      <c r="M264" s="9" t="n"/>
      <c r="N264" s="9" t="n"/>
      <c r="O264" s="40">
        <f>K264+V264-AE264-AZ264</f>
        <v/>
      </c>
      <c r="P264" s="12" t="n"/>
      <c r="Q264" s="138" t="n"/>
      <c r="R264" s="16" t="n"/>
      <c r="S264" s="139" t="n"/>
      <c r="T264" s="16" t="n"/>
      <c r="U264" s="139" t="n"/>
      <c r="V264" s="16">
        <f>P264+R264+T264</f>
        <v/>
      </c>
      <c r="W264" s="16" t="n"/>
      <c r="X264" s="139" t="n"/>
      <c r="Y264" s="16" t="n"/>
      <c r="Z264" s="139" t="n"/>
      <c r="AA264" s="16" t="n"/>
      <c r="AB264" s="139" t="n"/>
      <c r="AC264" s="16" t="n"/>
      <c r="AD264" s="139" t="n"/>
      <c r="AE264" s="16">
        <f>(W264+Y264+AA264+AC264)</f>
        <v/>
      </c>
      <c r="AF264" s="16" t="n"/>
      <c r="AG264" s="138" t="n"/>
      <c r="AH264" s="16" t="n"/>
      <c r="AI264" s="138" t="n"/>
      <c r="AJ264" s="16" t="n"/>
      <c r="AK264" s="138" t="n"/>
      <c r="AL264" s="16" t="n"/>
      <c r="AM264" s="138" t="n"/>
      <c r="AN264" s="16" t="n"/>
      <c r="AO264" s="138" t="n"/>
      <c r="AP264" s="16" t="n"/>
      <c r="AQ264" s="138" t="n"/>
      <c r="AR264" s="16" t="n"/>
      <c r="AS264" s="138" t="n"/>
      <c r="AT264" s="16" t="n"/>
      <c r="AU264" s="138" t="n"/>
      <c r="AV264" s="16" t="n"/>
      <c r="AW264" s="138" t="n"/>
      <c r="AX264" s="16" t="n"/>
      <c r="AY264" s="138" t="n"/>
      <c r="AZ264" s="16">
        <f>AF264+AH264+AJ264+AL264+AN264+AP264+AR264+AT264+AV264+AX264</f>
        <v/>
      </c>
      <c r="BA264" s="16" t="n"/>
      <c r="BB264" s="139" t="n"/>
      <c r="BC264" s="16" t="n"/>
      <c r="BD264" s="139" t="n"/>
      <c r="BE264" s="16">
        <f>(BA264+BC264)</f>
        <v/>
      </c>
    </row>
    <row r="265">
      <c r="A265" s="9" t="n"/>
      <c r="B265" s="136" t="inlineStr">
        <is>
          <t>PCB</t>
        </is>
      </c>
      <c r="C265" s="137" t="inlineStr">
        <is>
          <t>ADX4000W</t>
        </is>
      </c>
      <c r="D265" s="83" t="inlineStr">
        <is>
          <t>EX B/D</t>
        </is>
      </c>
      <c r="E265" s="13" t="n"/>
      <c r="F265" s="100" t="n"/>
      <c r="G265" s="9" t="n"/>
      <c r="H265" s="9" t="inlineStr">
        <is>
          <t>HLP</t>
        </is>
      </c>
      <c r="I265" s="14" t="n"/>
      <c r="J265" s="14" t="n"/>
      <c r="K265" s="12" t="n">
        <v>116</v>
      </c>
      <c r="L265" s="9" t="n"/>
      <c r="M265" s="9" t="n"/>
      <c r="N265" s="9" t="n"/>
      <c r="O265" s="40">
        <f>K265+V265-AE265-AZ265</f>
        <v/>
      </c>
      <c r="P265" s="12" t="n"/>
      <c r="Q265" s="138" t="n"/>
      <c r="R265" s="16" t="n"/>
      <c r="S265" s="139" t="n"/>
      <c r="T265" s="16" t="n"/>
      <c r="U265" s="139" t="n"/>
      <c r="V265" s="16">
        <f>P265+R265+T265</f>
        <v/>
      </c>
      <c r="W265" s="16" t="n"/>
      <c r="X265" s="139" t="n"/>
      <c r="Y265" s="16" t="n"/>
      <c r="Z265" s="139" t="n"/>
      <c r="AA265" s="16" t="n"/>
      <c r="AB265" s="139" t="n"/>
      <c r="AC265" s="16" t="n"/>
      <c r="AD265" s="139" t="n"/>
      <c r="AE265" s="16">
        <f>(W265+Y265+AA265+AC265)</f>
        <v/>
      </c>
      <c r="AF265" s="16" t="n"/>
      <c r="AG265" s="138" t="n"/>
      <c r="AH265" s="16" t="n"/>
      <c r="AI265" s="138" t="n"/>
      <c r="AJ265" s="16" t="n"/>
      <c r="AK265" s="138" t="n"/>
      <c r="AL265" s="16" t="n"/>
      <c r="AM265" s="138" t="n"/>
      <c r="AN265" s="16" t="n"/>
      <c r="AO265" s="138" t="n"/>
      <c r="AP265" s="16" t="n"/>
      <c r="AQ265" s="138" t="n"/>
      <c r="AR265" s="16" t="n"/>
      <c r="AS265" s="138" t="n"/>
      <c r="AT265" s="16" t="n"/>
      <c r="AU265" s="138" t="n"/>
      <c r="AV265" s="16" t="n"/>
      <c r="AW265" s="138" t="n"/>
      <c r="AX265" s="16" t="n"/>
      <c r="AY265" s="138" t="n"/>
      <c r="AZ265" s="16">
        <f>AF265+AH265+AJ265+AL265+AN265+AP265+AR265+AT265+AV265+AX265</f>
        <v/>
      </c>
      <c r="BA265" s="16" t="n"/>
      <c r="BB265" s="139" t="n"/>
      <c r="BC265" s="16" t="n"/>
      <c r="BD265" s="139" t="n"/>
      <c r="BE265" s="16">
        <f>(BA265+BC265)</f>
        <v/>
      </c>
    </row>
    <row r="266">
      <c r="A266" s="9" t="n"/>
      <c r="B266" s="136" t="inlineStr">
        <is>
          <t>PCB</t>
        </is>
      </c>
      <c r="C266" s="137" t="inlineStr">
        <is>
          <t>ADX4000W</t>
        </is>
      </c>
      <c r="D266" s="82" t="inlineStr">
        <is>
          <t>NAVI BD</t>
        </is>
      </c>
      <c r="E266" s="13" t="n"/>
      <c r="F266" s="100" t="n"/>
      <c r="G266" s="9" t="n"/>
      <c r="H266" s="9" t="inlineStr">
        <is>
          <t>HLP</t>
        </is>
      </c>
      <c r="I266" s="14" t="n"/>
      <c r="J266" s="14" t="n"/>
      <c r="K266" s="12" t="n">
        <v>170</v>
      </c>
      <c r="L266" s="9" t="n"/>
      <c r="M266" s="9" t="n"/>
      <c r="N266" s="9" t="n"/>
      <c r="O266" s="40">
        <f>K266+V266-AE266-AZ266</f>
        <v/>
      </c>
      <c r="P266" s="12" t="n"/>
      <c r="Q266" s="138" t="n"/>
      <c r="R266" s="16" t="n"/>
      <c r="S266" s="139" t="n"/>
      <c r="T266" s="16" t="n"/>
      <c r="U266" s="139" t="n"/>
      <c r="V266" s="16">
        <f>P266+R266+T266</f>
        <v/>
      </c>
      <c r="W266" s="16" t="n"/>
      <c r="X266" s="139" t="n"/>
      <c r="Y266" s="16" t="n"/>
      <c r="Z266" s="139" t="n"/>
      <c r="AA266" s="16" t="n"/>
      <c r="AB266" s="139" t="n"/>
      <c r="AC266" s="16" t="n"/>
      <c r="AD266" s="139" t="n"/>
      <c r="AE266" s="16">
        <f>(W266+Y266+AA266+AC266)</f>
        <v/>
      </c>
      <c r="AF266" s="16" t="n"/>
      <c r="AG266" s="138" t="n"/>
      <c r="AH266" s="16" t="n"/>
      <c r="AI266" s="138" t="n"/>
      <c r="AJ266" s="16" t="n"/>
      <c r="AK266" s="138" t="n"/>
      <c r="AL266" s="16" t="n"/>
      <c r="AM266" s="138" t="n"/>
      <c r="AN266" s="16" t="n"/>
      <c r="AO266" s="138" t="n"/>
      <c r="AP266" s="16" t="n"/>
      <c r="AQ266" s="138" t="n"/>
      <c r="AR266" s="16" t="n"/>
      <c r="AS266" s="138" t="n"/>
      <c r="AT266" s="16" t="n"/>
      <c r="AU266" s="138" t="n"/>
      <c r="AV266" s="16" t="n"/>
      <c r="AW266" s="138" t="n"/>
      <c r="AX266" s="16" t="n"/>
      <c r="AY266" s="138" t="n"/>
      <c r="AZ266" s="16">
        <f>AF266+AH266+AJ266+AL266+AN266+AP266+AR266+AT266+AV266+AX266</f>
        <v/>
      </c>
      <c r="BA266" s="16" t="n"/>
      <c r="BB266" s="139" t="n"/>
      <c r="BC266" s="16" t="n"/>
      <c r="BD266" s="139" t="n"/>
      <c r="BE266" s="16">
        <f>(BA266+BC266)</f>
        <v/>
      </c>
    </row>
    <row r="267">
      <c r="A267" s="9" t="n"/>
      <c r="B267" s="136" t="inlineStr">
        <is>
          <t>PCB</t>
        </is>
      </c>
      <c r="C267" s="137" t="inlineStr">
        <is>
          <t>ADX4000W</t>
        </is>
      </c>
      <c r="D267" s="82" t="inlineStr">
        <is>
          <t>NAVI BD 사파리</t>
        </is>
      </c>
      <c r="E267" s="13" t="n"/>
      <c r="F267" s="100" t="n"/>
      <c r="G267" s="9" t="n"/>
      <c r="H267" s="9" t="inlineStr">
        <is>
          <t>HLP</t>
        </is>
      </c>
      <c r="I267" s="14" t="n"/>
      <c r="J267" s="14" t="n"/>
      <c r="K267" s="12" t="n">
        <v>6</v>
      </c>
      <c r="L267" s="9" t="n"/>
      <c r="M267" s="9" t="n"/>
      <c r="N267" s="9" t="n"/>
      <c r="O267" s="40">
        <f>K267+V267-AE267-AZ267</f>
        <v/>
      </c>
      <c r="P267" s="12" t="n"/>
      <c r="Q267" s="138" t="n"/>
      <c r="R267" s="16" t="n"/>
      <c r="S267" s="139" t="n"/>
      <c r="T267" s="16" t="n"/>
      <c r="U267" s="139" t="n"/>
      <c r="V267" s="16">
        <f>P267+R267+T267</f>
        <v/>
      </c>
      <c r="W267" s="16" t="n"/>
      <c r="X267" s="139" t="n"/>
      <c r="Y267" s="16" t="n"/>
      <c r="Z267" s="139" t="n"/>
      <c r="AA267" s="16" t="n"/>
      <c r="AB267" s="139" t="n"/>
      <c r="AC267" s="16" t="n"/>
      <c r="AD267" s="139" t="n"/>
      <c r="AE267" s="16">
        <f>(W267+Y267+AA267+AC267)</f>
        <v/>
      </c>
      <c r="AF267" s="16" t="n"/>
      <c r="AG267" s="138" t="n"/>
      <c r="AH267" s="16" t="n"/>
      <c r="AI267" s="138" t="n"/>
      <c r="AJ267" s="16" t="n"/>
      <c r="AK267" s="138" t="n"/>
      <c r="AL267" s="16" t="n"/>
      <c r="AM267" s="138" t="n"/>
      <c r="AN267" s="16" t="n"/>
      <c r="AO267" s="138" t="n"/>
      <c r="AP267" s="16" t="n"/>
      <c r="AQ267" s="138" t="n"/>
      <c r="AR267" s="16" t="n"/>
      <c r="AS267" s="138" t="n"/>
      <c r="AT267" s="16" t="n"/>
      <c r="AU267" s="138" t="n"/>
      <c r="AV267" s="16" t="n"/>
      <c r="AW267" s="138" t="n"/>
      <c r="AX267" s="16" t="n"/>
      <c r="AY267" s="138" t="n"/>
      <c r="AZ267" s="16">
        <f>AF267+AH267+AJ267+AL267+AN267+AP267+AR267+AT267+AV267+AX267</f>
        <v/>
      </c>
      <c r="BA267" s="16" t="n"/>
      <c r="BB267" s="139" t="n"/>
      <c r="BC267" s="16" t="n"/>
      <c r="BD267" s="139" t="n"/>
      <c r="BE267" s="16">
        <f>(BA267+BC267)</f>
        <v/>
      </c>
    </row>
    <row r="268">
      <c r="A268" s="9" t="n"/>
      <c r="B268" s="136" t="inlineStr">
        <is>
          <t>PCB</t>
        </is>
      </c>
      <c r="C268" s="137" t="inlineStr">
        <is>
          <t>ADX4000W</t>
        </is>
      </c>
      <c r="D268" s="82" t="inlineStr">
        <is>
          <t>Carrier BD (구형 KONTRON)</t>
        </is>
      </c>
      <c r="E268" s="13" t="n"/>
      <c r="F268" s="100" t="n"/>
      <c r="G268" s="9" t="n"/>
      <c r="H268" s="9" t="inlineStr">
        <is>
          <t>비씨엠테크</t>
        </is>
      </c>
      <c r="I268" s="14" t="n"/>
      <c r="J268" s="14" t="n"/>
      <c r="K268" s="12" t="n">
        <v>0</v>
      </c>
      <c r="L268" s="9" t="n"/>
      <c r="M268" s="9" t="n"/>
      <c r="N268" s="9" t="n"/>
      <c r="O268" s="40">
        <f>K268+V268-AE268-AZ268</f>
        <v/>
      </c>
      <c r="P268" s="12" t="n"/>
      <c r="Q268" s="138" t="n"/>
      <c r="R268" s="16" t="n"/>
      <c r="S268" s="139" t="n"/>
      <c r="T268" s="16" t="n"/>
      <c r="U268" s="139" t="n"/>
      <c r="V268" s="16">
        <f>P268+R268+T268</f>
        <v/>
      </c>
      <c r="W268" s="16" t="n"/>
      <c r="X268" s="139" t="n"/>
      <c r="Y268" s="16" t="n"/>
      <c r="Z268" s="139" t="n"/>
      <c r="AA268" s="16" t="n"/>
      <c r="AB268" s="139" t="n"/>
      <c r="AC268" s="16" t="n"/>
      <c r="AD268" s="139" t="n"/>
      <c r="AE268" s="16">
        <f>(W268+Y268+AA268+AC268)</f>
        <v/>
      </c>
      <c r="AF268" s="16" t="n"/>
      <c r="AG268" s="138" t="n"/>
      <c r="AH268" s="16" t="n"/>
      <c r="AI268" s="138" t="n"/>
      <c r="AJ268" s="16" t="n"/>
      <c r="AK268" s="138" t="n"/>
      <c r="AL268" s="16" t="n"/>
      <c r="AM268" s="138" t="n"/>
      <c r="AN268" s="16" t="n"/>
      <c r="AO268" s="138" t="n"/>
      <c r="AP268" s="16" t="n"/>
      <c r="AQ268" s="138" t="n"/>
      <c r="AR268" s="16" t="n"/>
      <c r="AS268" s="138" t="n"/>
      <c r="AT268" s="16" t="n"/>
      <c r="AU268" s="138" t="n"/>
      <c r="AV268" s="16" t="n"/>
      <c r="AW268" s="138" t="n"/>
      <c r="AX268" s="16" t="n"/>
      <c r="AY268" s="138" t="n"/>
      <c r="AZ268" s="16">
        <f>AF268+AH268+AJ268+AL268+AN268+AP268+AR268+AT268+AV268+AX268</f>
        <v/>
      </c>
      <c r="BA268" s="16" t="n"/>
      <c r="BB268" s="139" t="n"/>
      <c r="BC268" s="16" t="n"/>
      <c r="BD268" s="139" t="n"/>
      <c r="BE268" s="16">
        <f>(BA268+BC268)</f>
        <v/>
      </c>
    </row>
    <row r="269">
      <c r="A269" s="9" t="n"/>
      <c r="B269" s="136" t="inlineStr">
        <is>
          <t>PCB</t>
        </is>
      </c>
      <c r="C269" s="137" t="inlineStr">
        <is>
          <t>ADX4000W</t>
        </is>
      </c>
      <c r="D269" s="65" t="inlineStr">
        <is>
          <t>Carrier BD (신형 DFI)</t>
        </is>
      </c>
      <c r="E269" s="13" t="n"/>
      <c r="F269" s="100" t="n"/>
      <c r="G269" s="9" t="n"/>
      <c r="H269" s="9" t="inlineStr">
        <is>
          <t>한컴MDS</t>
        </is>
      </c>
      <c r="I269" s="14" t="n"/>
      <c r="J269" s="14" t="n"/>
      <c r="K269" s="12" t="n">
        <v>126</v>
      </c>
      <c r="L269" s="9" t="n"/>
      <c r="M269" s="9" t="n"/>
      <c r="N269" s="9" t="n"/>
      <c r="O269" s="40">
        <f>K269+V269-AE269-AZ269</f>
        <v/>
      </c>
      <c r="P269" s="12" t="n"/>
      <c r="Q269" s="138" t="n"/>
      <c r="R269" s="16" t="n"/>
      <c r="S269" s="139" t="n"/>
      <c r="T269" s="16" t="n"/>
      <c r="U269" s="139" t="n"/>
      <c r="V269" s="16">
        <f>P269+R269+T269</f>
        <v/>
      </c>
      <c r="W269" s="16" t="n"/>
      <c r="X269" s="139" t="n"/>
      <c r="Y269" s="16" t="n"/>
      <c r="Z269" s="139" t="n"/>
      <c r="AA269" s="16" t="n"/>
      <c r="AB269" s="139" t="n"/>
      <c r="AC269" s="16" t="n"/>
      <c r="AD269" s="139" t="n"/>
      <c r="AE269" s="16">
        <f>(W269+Y269+AA269+AC269)</f>
        <v/>
      </c>
      <c r="AF269" s="16" t="n"/>
      <c r="AG269" s="138" t="n"/>
      <c r="AH269" s="16" t="n"/>
      <c r="AI269" s="138" t="n"/>
      <c r="AJ269" s="16" t="n"/>
      <c r="AK269" s="138" t="n"/>
      <c r="AL269" s="16" t="n"/>
      <c r="AM269" s="138" t="n"/>
      <c r="AN269" s="16" t="n"/>
      <c r="AO269" s="138" t="n"/>
      <c r="AP269" s="16" t="n"/>
      <c r="AQ269" s="138" t="n"/>
      <c r="AR269" s="16" t="n"/>
      <c r="AS269" s="138" t="n"/>
      <c r="AT269" s="16" t="n"/>
      <c r="AU269" s="138" t="n"/>
      <c r="AV269" s="16" t="n"/>
      <c r="AW269" s="138" t="n"/>
      <c r="AX269" s="16" t="n"/>
      <c r="AY269" s="138" t="n"/>
      <c r="AZ269" s="16">
        <f>AF269+AH269+AJ269+AL269+AN269+AP269+AR269+AT269+AV269+AX269</f>
        <v/>
      </c>
      <c r="BA269" s="16" t="n"/>
      <c r="BB269" s="139" t="n"/>
      <c r="BC269" s="16" t="n"/>
      <c r="BD269" s="139" t="n"/>
      <c r="BE269" s="16">
        <f>(BA269+BC269)</f>
        <v/>
      </c>
    </row>
    <row r="270">
      <c r="A270" s="9" t="n"/>
      <c r="B270" s="136" t="inlineStr">
        <is>
          <t>PCB</t>
        </is>
      </c>
      <c r="C270" s="137" t="inlineStr">
        <is>
          <t>ADX4000W</t>
        </is>
      </c>
      <c r="D270" s="65" t="inlineStr">
        <is>
          <t>Module BD (구형 KONTRON)</t>
        </is>
      </c>
      <c r="E270" s="13" t="n"/>
      <c r="F270" s="100" t="n"/>
      <c r="G270" s="9" t="n"/>
      <c r="H270" s="9" t="inlineStr">
        <is>
          <t>KONTRON</t>
        </is>
      </c>
      <c r="I270" s="14" t="n"/>
      <c r="J270" s="14" t="n"/>
      <c r="K270" s="12" t="n">
        <v>37</v>
      </c>
      <c r="L270" s="9" t="n"/>
      <c r="M270" s="9" t="n"/>
      <c r="N270" s="9" t="n"/>
      <c r="O270" s="40">
        <f>K270+V270-AE270-AZ270</f>
        <v/>
      </c>
      <c r="P270" s="12" t="n"/>
      <c r="Q270" s="138" t="n"/>
      <c r="R270" s="16" t="n"/>
      <c r="S270" s="139" t="n"/>
      <c r="T270" s="16" t="n"/>
      <c r="U270" s="139" t="n"/>
      <c r="V270" s="16">
        <f>P270+R270+T270</f>
        <v/>
      </c>
      <c r="W270" s="16" t="n"/>
      <c r="X270" s="139" t="n"/>
      <c r="Y270" s="16" t="n"/>
      <c r="Z270" s="139" t="n"/>
      <c r="AA270" s="16" t="n"/>
      <c r="AB270" s="139" t="n"/>
      <c r="AC270" s="16" t="n"/>
      <c r="AD270" s="139" t="n"/>
      <c r="AE270" s="16">
        <f>(W270+Y270+AA270+AC270)</f>
        <v/>
      </c>
      <c r="AF270" s="16" t="n"/>
      <c r="AG270" s="138" t="n"/>
      <c r="AH270" s="16" t="n"/>
      <c r="AI270" s="138" t="n"/>
      <c r="AJ270" s="16" t="n"/>
      <c r="AK270" s="138" t="n"/>
      <c r="AL270" s="16" t="n"/>
      <c r="AM270" s="138" t="n"/>
      <c r="AN270" s="16" t="n"/>
      <c r="AO270" s="138" t="n"/>
      <c r="AP270" s="16" t="n"/>
      <c r="AQ270" s="138" t="n"/>
      <c r="AR270" s="16" t="n"/>
      <c r="AS270" s="138" t="n"/>
      <c r="AT270" s="16" t="n"/>
      <c r="AU270" s="138" t="n"/>
      <c r="AV270" s="16" t="n"/>
      <c r="AW270" s="138" t="n"/>
      <c r="AX270" s="16" t="n"/>
      <c r="AY270" s="138" t="n"/>
      <c r="AZ270" s="16">
        <f>AF270+AH270+AJ270+AL270+AN270+AP270+AR270+AT270+AV270+AX270</f>
        <v/>
      </c>
      <c r="BA270" s="16" t="n"/>
      <c r="BB270" s="139" t="n"/>
      <c r="BC270" s="16" t="n"/>
      <c r="BD270" s="139" t="n"/>
      <c r="BE270" s="16">
        <f>(BA270+BC270)</f>
        <v/>
      </c>
    </row>
    <row r="271">
      <c r="A271" s="9" t="n"/>
      <c r="B271" s="136" t="inlineStr">
        <is>
          <t>PCB</t>
        </is>
      </c>
      <c r="C271" s="137" t="inlineStr">
        <is>
          <t>ADX4000W</t>
        </is>
      </c>
      <c r="D271" s="65" t="inlineStr">
        <is>
          <t>Module BD (신형 DFI)</t>
        </is>
      </c>
      <c r="E271" s="13" t="n"/>
      <c r="F271" s="100" t="n"/>
      <c r="G271" s="9" t="n"/>
      <c r="H271" s="9" t="inlineStr">
        <is>
          <t>한컴MDS</t>
        </is>
      </c>
      <c r="I271" s="14" t="n"/>
      <c r="J271" s="14" t="n"/>
      <c r="K271" s="12" t="n">
        <v>12</v>
      </c>
      <c r="L271" s="9" t="n"/>
      <c r="M271" s="9" t="n"/>
      <c r="N271" s="9" t="n"/>
      <c r="O271" s="40">
        <f>K271+V271-AE271-AZ271</f>
        <v/>
      </c>
      <c r="P271" s="12" t="n"/>
      <c r="Q271" s="138" t="n"/>
      <c r="R271" s="16" t="n"/>
      <c r="S271" s="139" t="n"/>
      <c r="T271" s="16" t="n"/>
      <c r="U271" s="139" t="n"/>
      <c r="V271" s="16">
        <f>P271+R271+T271</f>
        <v/>
      </c>
      <c r="W271" s="16" t="n"/>
      <c r="X271" s="139" t="n"/>
      <c r="Y271" s="16" t="n"/>
      <c r="Z271" s="139" t="n"/>
      <c r="AA271" s="16" t="n"/>
      <c r="AB271" s="139" t="n"/>
      <c r="AC271" s="16" t="n"/>
      <c r="AD271" s="139" t="n"/>
      <c r="AE271" s="16">
        <f>(W271+Y271+AA271+AC271)</f>
        <v/>
      </c>
      <c r="AF271" s="16" t="n"/>
      <c r="AG271" s="138" t="n"/>
      <c r="AH271" s="16" t="n"/>
      <c r="AI271" s="138" t="n"/>
      <c r="AJ271" s="16" t="n"/>
      <c r="AK271" s="138" t="n"/>
      <c r="AL271" s="16" t="n"/>
      <c r="AM271" s="138" t="n"/>
      <c r="AN271" s="16" t="n"/>
      <c r="AO271" s="138" t="n"/>
      <c r="AP271" s="16" t="n"/>
      <c r="AQ271" s="138" t="n"/>
      <c r="AR271" s="16" t="n"/>
      <c r="AS271" s="138" t="n"/>
      <c r="AT271" s="16" t="n"/>
      <c r="AU271" s="138" t="n"/>
      <c r="AV271" s="16" t="n"/>
      <c r="AW271" s="138" t="n"/>
      <c r="AX271" s="16" t="n"/>
      <c r="AY271" s="138" t="n"/>
      <c r="AZ271" s="16">
        <f>AF271+AH271+AJ271+AL271+AN271+AP271+AR271+AT271+AV271+AX271</f>
        <v/>
      </c>
      <c r="BA271" s="16" t="n"/>
      <c r="BB271" s="139" t="n"/>
      <c r="BC271" s="16" t="n"/>
      <c r="BD271" s="139" t="n"/>
      <c r="BE271" s="16">
        <f>(BA271+BC271)</f>
        <v/>
      </c>
    </row>
    <row r="272">
      <c r="A272" s="9" t="n"/>
      <c r="B272" s="136" t="inlineStr">
        <is>
          <t>PCB</t>
        </is>
      </c>
      <c r="C272" s="137" t="inlineStr">
        <is>
          <t>ADX4000W</t>
        </is>
      </c>
      <c r="D272" s="65" t="inlineStr">
        <is>
          <t>USB 메모리 BD (구형 KONTRON)</t>
        </is>
      </c>
      <c r="E272" s="13" t="n"/>
      <c r="F272" s="100" t="n"/>
      <c r="G272" s="9" t="n"/>
      <c r="H272" s="9" t="inlineStr">
        <is>
          <t>HLP</t>
        </is>
      </c>
      <c r="I272" s="14" t="n"/>
      <c r="J272" s="14" t="n"/>
      <c r="K272" s="12" t="n">
        <v>0</v>
      </c>
      <c r="L272" s="9" t="n"/>
      <c r="M272" s="9" t="n"/>
      <c r="N272" s="9" t="n"/>
      <c r="O272" s="40">
        <f>K272+V272-AE272-AZ272</f>
        <v/>
      </c>
      <c r="P272" s="12" t="n"/>
      <c r="Q272" s="138" t="n"/>
      <c r="R272" s="16" t="n"/>
      <c r="S272" s="139" t="n"/>
      <c r="T272" s="16" t="n"/>
      <c r="U272" s="139" t="n"/>
      <c r="V272" s="16">
        <f>P272+R272+T272</f>
        <v/>
      </c>
      <c r="W272" s="16" t="n"/>
      <c r="X272" s="139" t="n"/>
      <c r="Y272" s="16" t="n"/>
      <c r="Z272" s="139" t="n"/>
      <c r="AA272" s="16" t="n"/>
      <c r="AB272" s="139" t="n"/>
      <c r="AC272" s="16" t="n"/>
      <c r="AD272" s="139" t="n"/>
      <c r="AE272" s="16">
        <f>(W272+Y272+AA272+AC272)</f>
        <v/>
      </c>
      <c r="AF272" s="16" t="n"/>
      <c r="AG272" s="138" t="n"/>
      <c r="AH272" s="16" t="n"/>
      <c r="AI272" s="138" t="n"/>
      <c r="AJ272" s="16" t="n"/>
      <c r="AK272" s="138" t="n"/>
      <c r="AL272" s="16" t="n"/>
      <c r="AM272" s="138" t="n"/>
      <c r="AN272" s="16" t="n"/>
      <c r="AO272" s="138" t="n"/>
      <c r="AP272" s="16" t="n"/>
      <c r="AQ272" s="138" t="n"/>
      <c r="AR272" s="16" t="n"/>
      <c r="AS272" s="138" t="n"/>
      <c r="AT272" s="16" t="n"/>
      <c r="AU272" s="138" t="n"/>
      <c r="AV272" s="16" t="n"/>
      <c r="AW272" s="138" t="n"/>
      <c r="AX272" s="16" t="n"/>
      <c r="AY272" s="138" t="n"/>
      <c r="AZ272" s="16">
        <f>AF272+AH272+AJ272+AL272+AN272+AP272+AR272+AT272+AV272+AX272</f>
        <v/>
      </c>
      <c r="BA272" s="16" t="n"/>
      <c r="BB272" s="139" t="n"/>
      <c r="BC272" s="16" t="n"/>
      <c r="BD272" s="139" t="n"/>
      <c r="BE272" s="16">
        <f>(BA272+BC272)</f>
        <v/>
      </c>
    </row>
    <row r="273">
      <c r="A273" s="9" t="n"/>
      <c r="B273" s="136" t="inlineStr">
        <is>
          <t>PCB</t>
        </is>
      </c>
      <c r="C273" s="137" t="inlineStr">
        <is>
          <t>ADX4000W</t>
        </is>
      </c>
      <c r="D273" s="65" t="inlineStr">
        <is>
          <t>USB 메모리 BD (신형 DFI)</t>
        </is>
      </c>
      <c r="E273" s="13" t="n"/>
      <c r="F273" s="100" t="n"/>
      <c r="G273" s="9" t="n"/>
      <c r="H273" s="9" t="inlineStr">
        <is>
          <t>HLP</t>
        </is>
      </c>
      <c r="I273" s="14" t="n"/>
      <c r="J273" s="14" t="n"/>
      <c r="K273" s="12" t="n">
        <v>48</v>
      </c>
      <c r="L273" s="9" t="n"/>
      <c r="M273" s="9" t="n"/>
      <c r="N273" s="9" t="n"/>
      <c r="O273" s="40">
        <f>K273+V273-AE273-AZ273</f>
        <v/>
      </c>
      <c r="P273" s="12" t="n"/>
      <c r="Q273" s="138" t="n"/>
      <c r="R273" s="16" t="n"/>
      <c r="S273" s="139" t="n"/>
      <c r="T273" s="16" t="n"/>
      <c r="U273" s="139" t="n"/>
      <c r="V273" s="16">
        <f>P273+R273+T273</f>
        <v/>
      </c>
      <c r="W273" s="16" t="n"/>
      <c r="X273" s="139" t="n"/>
      <c r="Y273" s="16" t="n"/>
      <c r="Z273" s="139" t="n"/>
      <c r="AA273" s="16" t="n"/>
      <c r="AB273" s="139" t="n"/>
      <c r="AC273" s="16" t="n"/>
      <c r="AD273" s="139" t="n"/>
      <c r="AE273" s="16">
        <f>(W273+Y273+AA273+AC273)</f>
        <v/>
      </c>
      <c r="AF273" s="16" t="n"/>
      <c r="AG273" s="138" t="n"/>
      <c r="AH273" s="16" t="n"/>
      <c r="AI273" s="138" t="n"/>
      <c r="AJ273" s="16" t="n"/>
      <c r="AK273" s="138" t="n"/>
      <c r="AL273" s="16" t="n"/>
      <c r="AM273" s="138" t="n"/>
      <c r="AN273" s="16" t="n"/>
      <c r="AO273" s="138" t="n"/>
      <c r="AP273" s="16" t="n"/>
      <c r="AQ273" s="138" t="n"/>
      <c r="AR273" s="16" t="n"/>
      <c r="AS273" s="138" t="n"/>
      <c r="AT273" s="16" t="n"/>
      <c r="AU273" s="138" t="n"/>
      <c r="AV273" s="16" t="n"/>
      <c r="AW273" s="138" t="n"/>
      <c r="AX273" s="16" t="n"/>
      <c r="AY273" s="138" t="n"/>
      <c r="AZ273" s="16">
        <f>AF273+AH273+AJ273+AL273+AN273+AP273+AR273+AT273+AV273+AX273</f>
        <v/>
      </c>
      <c r="BA273" s="16" t="n"/>
      <c r="BB273" s="139" t="n"/>
      <c r="BC273" s="16" t="n"/>
      <c r="BD273" s="139" t="n"/>
      <c r="BE273" s="16">
        <f>(BA273+BC273)</f>
        <v/>
      </c>
    </row>
    <row r="274">
      <c r="A274" s="9" t="n"/>
      <c r="B274" s="136" t="inlineStr">
        <is>
          <t>PANEL</t>
        </is>
      </c>
      <c r="C274" s="137" t="inlineStr">
        <is>
          <t>ADX4000W</t>
        </is>
      </c>
      <c r="D274" s="83" t="inlineStr">
        <is>
          <t>5" LCD</t>
        </is>
      </c>
      <c r="E274" s="13" t="inlineStr">
        <is>
          <t>LQ050W1LA0A</t>
        </is>
      </c>
      <c r="F274" s="100" t="n"/>
      <c r="G274" s="9" t="n"/>
      <c r="H274" s="9" t="inlineStr">
        <is>
          <t>홍콩</t>
        </is>
      </c>
      <c r="I274" s="14" t="n"/>
      <c r="J274" s="14" t="n"/>
      <c r="K274" s="12" t="n">
        <v>0</v>
      </c>
      <c r="L274" s="9" t="n"/>
      <c r="M274" s="9" t="n"/>
      <c r="N274" s="9" t="n"/>
      <c r="O274" s="40">
        <f>K274+V274-AE274-AZ274</f>
        <v/>
      </c>
      <c r="P274" s="12" t="n"/>
      <c r="Q274" s="138" t="n"/>
      <c r="R274" s="16" t="n"/>
      <c r="S274" s="139" t="n"/>
      <c r="T274" s="16" t="n"/>
      <c r="U274" s="139" t="n"/>
      <c r="V274" s="16">
        <f>P274+R274+T274</f>
        <v/>
      </c>
      <c r="W274" s="16" t="n"/>
      <c r="X274" s="139" t="n"/>
      <c r="Y274" s="16" t="n"/>
      <c r="Z274" s="139" t="n"/>
      <c r="AA274" s="16" t="n"/>
      <c r="AB274" s="139" t="n"/>
      <c r="AC274" s="16" t="n"/>
      <c r="AD274" s="139" t="n"/>
      <c r="AE274" s="16">
        <f>(W274+Y274+AA274+AC274)</f>
        <v/>
      </c>
      <c r="AF274" s="16" t="n"/>
      <c r="AG274" s="138" t="n"/>
      <c r="AH274" s="16" t="n"/>
      <c r="AI274" s="138" t="n"/>
      <c r="AJ274" s="16" t="n"/>
      <c r="AK274" s="138" t="n"/>
      <c r="AL274" s="16" t="n"/>
      <c r="AM274" s="138" t="n"/>
      <c r="AN274" s="16" t="n"/>
      <c r="AO274" s="138" t="n"/>
      <c r="AP274" s="16" t="n"/>
      <c r="AQ274" s="138" t="n"/>
      <c r="AR274" s="16" t="n"/>
      <c r="AS274" s="138" t="n"/>
      <c r="AT274" s="16" t="n"/>
      <c r="AU274" s="138" t="n"/>
      <c r="AV274" s="16" t="n"/>
      <c r="AW274" s="138" t="n"/>
      <c r="AX274" s="16" t="n"/>
      <c r="AY274" s="138" t="n"/>
      <c r="AZ274" s="16">
        <f>AF274+AH274+AJ274+AL274+AN274+AP274+AR274+AT274+AV274+AX274</f>
        <v/>
      </c>
      <c r="BA274" s="16" t="n"/>
      <c r="BB274" s="139" t="n"/>
      <c r="BC274" s="16" t="n"/>
      <c r="BD274" s="139" t="n"/>
      <c r="BE274" s="16">
        <f>(BA274+BC274)</f>
        <v/>
      </c>
    </row>
    <row r="275">
      <c r="A275" s="9" t="n"/>
      <c r="B275" s="136" t="inlineStr">
        <is>
          <t>PANEL</t>
        </is>
      </c>
      <c r="C275" s="137" t="inlineStr">
        <is>
          <t>ADX4000W</t>
        </is>
      </c>
      <c r="D275" s="83" t="inlineStr">
        <is>
          <t>4.8" LCD</t>
        </is>
      </c>
      <c r="E275" s="13" t="inlineStr">
        <is>
          <t>LMS480J-C01(LTS480WS-C01)</t>
        </is>
      </c>
      <c r="F275" s="100" t="n"/>
      <c r="G275" s="9" t="n"/>
      <c r="H275" s="9" t="inlineStr">
        <is>
          <t>HLP</t>
        </is>
      </c>
      <c r="I275" s="14" t="n"/>
      <c r="J275" s="14" t="n"/>
      <c r="K275" s="12" t="n">
        <v>15</v>
      </c>
      <c r="L275" s="9" t="n"/>
      <c r="M275" s="9" t="n"/>
      <c r="N275" s="9" t="n"/>
      <c r="O275" s="40">
        <f>K275+V275-AE275-AZ275</f>
        <v/>
      </c>
      <c r="P275" s="12" t="n"/>
      <c r="Q275" s="138" t="n"/>
      <c r="R275" s="16" t="n"/>
      <c r="S275" s="139" t="n"/>
      <c r="T275" s="16" t="n"/>
      <c r="U275" s="139" t="n"/>
      <c r="V275" s="16">
        <f>P275+R275+T275</f>
        <v/>
      </c>
      <c r="W275" s="16" t="n"/>
      <c r="X275" s="139" t="n"/>
      <c r="Y275" s="16" t="n"/>
      <c r="Z275" s="139" t="n"/>
      <c r="AA275" s="16" t="n"/>
      <c r="AB275" s="139" t="n"/>
      <c r="AC275" s="16" t="n"/>
      <c r="AD275" s="139" t="n"/>
      <c r="AE275" s="16">
        <f>(W275+Y275+AA275+AC275)</f>
        <v/>
      </c>
      <c r="AF275" s="16" t="n"/>
      <c r="AG275" s="138" t="n"/>
      <c r="AH275" s="16" t="n"/>
      <c r="AI275" s="138" t="n"/>
      <c r="AJ275" s="16" t="n"/>
      <c r="AK275" s="138" t="n"/>
      <c r="AL275" s="16" t="n"/>
      <c r="AM275" s="138" t="n"/>
      <c r="AN275" s="16" t="n"/>
      <c r="AO275" s="138" t="n"/>
      <c r="AP275" s="16" t="n"/>
      <c r="AQ275" s="138" t="n"/>
      <c r="AR275" s="16" t="n"/>
      <c r="AS275" s="138" t="n"/>
      <c r="AT275" s="16" t="n"/>
      <c r="AU275" s="138" t="n"/>
      <c r="AV275" s="16" t="n"/>
      <c r="AW275" s="138" t="n"/>
      <c r="AX275" s="16" t="n"/>
      <c r="AY275" s="138" t="n"/>
      <c r="AZ275" s="16">
        <f>AF275+AH275+AJ275+AL275+AN275+AP275+AR275+AT275+AV275+AX275</f>
        <v/>
      </c>
      <c r="BA275" s="16" t="n"/>
      <c r="BB275" s="139" t="n"/>
      <c r="BC275" s="16" t="n"/>
      <c r="BD275" s="139" t="n"/>
      <c r="BE275" s="16">
        <f>(BA275+BC275)</f>
        <v/>
      </c>
    </row>
    <row r="276">
      <c r="A276" s="9" t="n"/>
      <c r="B276" s="136" t="inlineStr">
        <is>
          <t>CABLE</t>
        </is>
      </c>
      <c r="C276" s="137" t="inlineStr">
        <is>
          <t>ADX4000W</t>
        </is>
      </c>
      <c r="D276" s="65" t="inlineStr">
        <is>
          <t>Embedded PC 전원 (2핀)</t>
        </is>
      </c>
      <c r="E276" s="13" t="inlineStr">
        <is>
          <t>케리어+CTR B/D 연결</t>
        </is>
      </c>
      <c r="F276" s="100" t="n"/>
      <c r="G276" s="9" t="n"/>
      <c r="H276" s="9" t="inlineStr">
        <is>
          <t>HLP</t>
        </is>
      </c>
      <c r="I276" s="14" t="n"/>
      <c r="J276" s="14" t="n"/>
      <c r="K276" s="12" t="n">
        <v>104</v>
      </c>
      <c r="L276" s="9" t="n"/>
      <c r="M276" s="9" t="n"/>
      <c r="N276" s="9" t="n"/>
      <c r="O276" s="40">
        <f>K276+V276-AE276-AZ276</f>
        <v/>
      </c>
      <c r="P276" s="12" t="n"/>
      <c r="Q276" s="138" t="n"/>
      <c r="R276" s="16" t="n"/>
      <c r="S276" s="139" t="n"/>
      <c r="T276" s="16" t="n"/>
      <c r="U276" s="139" t="n"/>
      <c r="V276" s="16">
        <f>P276+R276+T276</f>
        <v/>
      </c>
      <c r="W276" s="16" t="n"/>
      <c r="X276" s="139" t="n"/>
      <c r="Y276" s="16" t="n"/>
      <c r="Z276" s="139" t="n"/>
      <c r="AA276" s="16" t="n"/>
      <c r="AB276" s="139" t="n"/>
      <c r="AC276" s="16" t="n"/>
      <c r="AD276" s="139" t="n"/>
      <c r="AE276" s="16">
        <f>(W276+Y276+AA276+AC276)</f>
        <v/>
      </c>
      <c r="AF276" s="16" t="n"/>
      <c r="AG276" s="138" t="n"/>
      <c r="AH276" s="16" t="n"/>
      <c r="AI276" s="138" t="n"/>
      <c r="AJ276" s="16" t="n"/>
      <c r="AK276" s="138" t="n"/>
      <c r="AL276" s="16" t="n"/>
      <c r="AM276" s="138" t="n"/>
      <c r="AN276" s="16" t="n"/>
      <c r="AO276" s="138" t="n"/>
      <c r="AP276" s="16" t="n"/>
      <c r="AQ276" s="138" t="n"/>
      <c r="AR276" s="16" t="n"/>
      <c r="AS276" s="138" t="n"/>
      <c r="AT276" s="16" t="n"/>
      <c r="AU276" s="138" t="n"/>
      <c r="AV276" s="16" t="n"/>
      <c r="AW276" s="138" t="n"/>
      <c r="AX276" s="16" t="n"/>
      <c r="AY276" s="138" t="n"/>
      <c r="AZ276" s="16">
        <f>AF276+AH276+AJ276+AL276+AN276+AP276+AR276+AT276+AV276+AX276</f>
        <v/>
      </c>
      <c r="BA276" s="16" t="n"/>
      <c r="BB276" s="139" t="n"/>
      <c r="BC276" s="16" t="n"/>
      <c r="BD276" s="139" t="n"/>
      <c r="BE276" s="16">
        <f>(BA276+BC276)</f>
        <v/>
      </c>
    </row>
    <row r="277">
      <c r="A277" s="9" t="n"/>
      <c r="B277" s="136" t="inlineStr">
        <is>
          <t>CABLE</t>
        </is>
      </c>
      <c r="C277" s="137" t="inlineStr">
        <is>
          <t>ADX4000W</t>
        </is>
      </c>
      <c r="D277" s="82" t="inlineStr">
        <is>
          <t>리모콘 및 관전류 (4핀)</t>
        </is>
      </c>
      <c r="E277" s="13" t="n"/>
      <c r="F277" s="100" t="n"/>
      <c r="G277" s="9" t="n"/>
      <c r="H277" s="9" t="inlineStr">
        <is>
          <t>HLP</t>
        </is>
      </c>
      <c r="I277" s="14" t="n"/>
      <c r="J277" s="14" t="n"/>
      <c r="K277" s="12" t="n">
        <v>87</v>
      </c>
      <c r="L277" s="9" t="n"/>
      <c r="M277" s="9" t="n"/>
      <c r="N277" s="9" t="n"/>
      <c r="O277" s="40">
        <f>K277+V277-AE277-AZ277</f>
        <v/>
      </c>
      <c r="P277" s="12" t="n"/>
      <c r="Q277" s="138" t="n"/>
      <c r="R277" s="16" t="n"/>
      <c r="S277" s="139" t="n"/>
      <c r="T277" s="16" t="n"/>
      <c r="U277" s="139" t="n"/>
      <c r="V277" s="16">
        <f>P277+R277+T277</f>
        <v/>
      </c>
      <c r="W277" s="16" t="n"/>
      <c r="X277" s="139" t="n"/>
      <c r="Y277" s="16" t="n"/>
      <c r="Z277" s="139" t="n"/>
      <c r="AA277" s="16" t="n"/>
      <c r="AB277" s="139" t="n"/>
      <c r="AC277" s="16" t="n"/>
      <c r="AD277" s="139" t="n"/>
      <c r="AE277" s="16">
        <f>(W277+Y277+AA277+AC277)</f>
        <v/>
      </c>
      <c r="AF277" s="16" t="n"/>
      <c r="AG277" s="138" t="n"/>
      <c r="AH277" s="16" t="n"/>
      <c r="AI277" s="138" t="n"/>
      <c r="AJ277" s="16" t="n"/>
      <c r="AK277" s="138" t="n"/>
      <c r="AL277" s="16" t="n"/>
      <c r="AM277" s="138" t="n"/>
      <c r="AN277" s="16" t="n"/>
      <c r="AO277" s="138" t="n"/>
      <c r="AP277" s="16" t="n"/>
      <c r="AQ277" s="138" t="n"/>
      <c r="AR277" s="16" t="n"/>
      <c r="AS277" s="138" t="n"/>
      <c r="AT277" s="16" t="n"/>
      <c r="AU277" s="138" t="n"/>
      <c r="AV277" s="16" t="n"/>
      <c r="AW277" s="138" t="n"/>
      <c r="AX277" s="16" t="n"/>
      <c r="AY277" s="138" t="n"/>
      <c r="AZ277" s="16">
        <f>AF277+AH277+AJ277+AL277+AN277+AP277+AR277+AT277+AV277+AX277</f>
        <v/>
      </c>
      <c r="BA277" s="16" t="n"/>
      <c r="BB277" s="139" t="n"/>
      <c r="BC277" s="16" t="n"/>
      <c r="BD277" s="139" t="n"/>
      <c r="BE277" s="16">
        <f>(BA277+BC277)</f>
        <v/>
      </c>
    </row>
    <row r="278">
      <c r="A278" s="9" t="n"/>
      <c r="B278" s="136" t="inlineStr">
        <is>
          <t>CABLE</t>
        </is>
      </c>
      <c r="C278" s="137" t="inlineStr">
        <is>
          <t>ADX4000W</t>
        </is>
      </c>
      <c r="D278" s="82" t="inlineStr">
        <is>
          <t>USB Wire (4핀)</t>
        </is>
      </c>
      <c r="E278" s="13" t="n"/>
      <c r="F278" s="100" t="n"/>
      <c r="G278" s="9" t="n"/>
      <c r="H278" s="9" t="inlineStr">
        <is>
          <t>HLP</t>
        </is>
      </c>
      <c r="I278" s="14" t="n"/>
      <c r="J278" s="14" t="n"/>
      <c r="K278" s="12" t="n">
        <v>90</v>
      </c>
      <c r="L278" s="9" t="n"/>
      <c r="M278" s="9" t="n"/>
      <c r="N278" s="9" t="n"/>
      <c r="O278" s="40">
        <f>K278+V278-AE278-AZ278</f>
        <v/>
      </c>
      <c r="P278" s="12" t="n"/>
      <c r="Q278" s="138" t="n"/>
      <c r="R278" s="16" t="n"/>
      <c r="S278" s="139" t="n"/>
      <c r="T278" s="16" t="n"/>
      <c r="U278" s="139" t="n"/>
      <c r="V278" s="16">
        <f>P278+R278+T278</f>
        <v/>
      </c>
      <c r="W278" s="16" t="n"/>
      <c r="X278" s="139" t="n"/>
      <c r="Y278" s="16" t="n"/>
      <c r="Z278" s="139" t="n"/>
      <c r="AA278" s="16" t="n"/>
      <c r="AB278" s="139" t="n"/>
      <c r="AC278" s="16" t="n"/>
      <c r="AD278" s="139" t="n"/>
      <c r="AE278" s="16">
        <f>(W278+Y278+AA278+AC278)</f>
        <v/>
      </c>
      <c r="AF278" s="16" t="n"/>
      <c r="AG278" s="138" t="n"/>
      <c r="AH278" s="16" t="n"/>
      <c r="AI278" s="138" t="n"/>
      <c r="AJ278" s="16" t="n"/>
      <c r="AK278" s="138" t="n"/>
      <c r="AL278" s="16" t="n"/>
      <c r="AM278" s="138" t="n"/>
      <c r="AN278" s="16" t="n"/>
      <c r="AO278" s="138" t="n"/>
      <c r="AP278" s="16" t="n"/>
      <c r="AQ278" s="138" t="n"/>
      <c r="AR278" s="16" t="n"/>
      <c r="AS278" s="138" t="n"/>
      <c r="AT278" s="16" t="n"/>
      <c r="AU278" s="138" t="n"/>
      <c r="AV278" s="16" t="n"/>
      <c r="AW278" s="138" t="n"/>
      <c r="AX278" s="16" t="n"/>
      <c r="AY278" s="138" t="n"/>
      <c r="AZ278" s="16">
        <f>AF278+AH278+AJ278+AL278+AN278+AP278+AR278+AT278+AV278+AX278</f>
        <v/>
      </c>
      <c r="BA278" s="16" t="n"/>
      <c r="BB278" s="139" t="n"/>
      <c r="BC278" s="16" t="n"/>
      <c r="BD278" s="139" t="n"/>
      <c r="BE278" s="16">
        <f>(BA278+BC278)</f>
        <v/>
      </c>
    </row>
    <row r="279">
      <c r="A279" s="9" t="n"/>
      <c r="B279" s="136" t="inlineStr">
        <is>
          <t>CABLE</t>
        </is>
      </c>
      <c r="C279" s="137" t="inlineStr">
        <is>
          <t>ADX4000W</t>
        </is>
      </c>
      <c r="D279" s="82" t="inlineStr">
        <is>
          <t>NAVIGATION KEY (6핀)</t>
        </is>
      </c>
      <c r="E279" s="13" t="n"/>
      <c r="F279" s="100" t="n"/>
      <c r="G279" s="9" t="n"/>
      <c r="H279" s="9" t="inlineStr">
        <is>
          <t>HLP</t>
        </is>
      </c>
      <c r="I279" s="14" t="n"/>
      <c r="J279" s="14" t="n"/>
      <c r="K279" s="12" t="n">
        <v>72</v>
      </c>
      <c r="L279" s="9" t="n"/>
      <c r="M279" s="9" t="n"/>
      <c r="N279" s="9" t="n"/>
      <c r="O279" s="40">
        <f>K279+V279-AE279-AZ279</f>
        <v/>
      </c>
      <c r="P279" s="12" t="n"/>
      <c r="Q279" s="138" t="n"/>
      <c r="R279" s="16" t="n"/>
      <c r="S279" s="139" t="n"/>
      <c r="T279" s="16" t="n"/>
      <c r="U279" s="139" t="n"/>
      <c r="V279" s="16">
        <f>P279+R279+T279</f>
        <v/>
      </c>
      <c r="W279" s="16" t="n"/>
      <c r="X279" s="139" t="n"/>
      <c r="Y279" s="16" t="n"/>
      <c r="Z279" s="139" t="n"/>
      <c r="AA279" s="16" t="n"/>
      <c r="AB279" s="139" t="n"/>
      <c r="AC279" s="16" t="n"/>
      <c r="AD279" s="139" t="n"/>
      <c r="AE279" s="16">
        <f>(W279+Y279+AA279+AC279)</f>
        <v/>
      </c>
      <c r="AF279" s="16" t="n"/>
      <c r="AG279" s="138" t="n"/>
      <c r="AH279" s="16" t="n"/>
      <c r="AI279" s="138" t="n"/>
      <c r="AJ279" s="16" t="n"/>
      <c r="AK279" s="138" t="n"/>
      <c r="AL279" s="16" t="n"/>
      <c r="AM279" s="138" t="n"/>
      <c r="AN279" s="16" t="n"/>
      <c r="AO279" s="138" t="n"/>
      <c r="AP279" s="16" t="n"/>
      <c r="AQ279" s="138" t="n"/>
      <c r="AR279" s="16" t="n"/>
      <c r="AS279" s="138" t="n"/>
      <c r="AT279" s="16" t="n"/>
      <c r="AU279" s="138" t="n"/>
      <c r="AV279" s="16" t="n"/>
      <c r="AW279" s="138" t="n"/>
      <c r="AX279" s="16" t="n"/>
      <c r="AY279" s="138" t="n"/>
      <c r="AZ279" s="16">
        <f>AF279+AH279+AJ279+AL279+AN279+AP279+AR279+AT279+AV279+AX279</f>
        <v/>
      </c>
      <c r="BA279" s="16" t="n"/>
      <c r="BB279" s="139" t="n"/>
      <c r="BC279" s="16" t="n"/>
      <c r="BD279" s="139" t="n"/>
      <c r="BE279" s="16">
        <f>(BA279+BC279)</f>
        <v/>
      </c>
    </row>
    <row r="280">
      <c r="A280" s="9" t="n"/>
      <c r="B280" s="136" t="inlineStr">
        <is>
          <t>CABLE</t>
        </is>
      </c>
      <c r="C280" s="137" t="inlineStr">
        <is>
          <t>ADX4000W</t>
        </is>
      </c>
      <c r="D280" s="82" t="inlineStr">
        <is>
          <t>RS422 통신 및 PC 전원 on/off  (7핀)</t>
        </is>
      </c>
      <c r="E280" s="13" t="n"/>
      <c r="F280" s="100" t="n"/>
      <c r="G280" s="9" t="n"/>
      <c r="H280" s="9" t="inlineStr">
        <is>
          <t>HLP</t>
        </is>
      </c>
      <c r="I280" s="14" t="n"/>
      <c r="J280" s="14" t="n"/>
      <c r="K280" s="12" t="n">
        <v>38</v>
      </c>
      <c r="L280" s="9" t="n"/>
      <c r="M280" s="9" t="n"/>
      <c r="N280" s="9" t="n"/>
      <c r="O280" s="40">
        <f>K280+V280-AE280-AZ280</f>
        <v/>
      </c>
      <c r="P280" s="12" t="n"/>
      <c r="Q280" s="138" t="n"/>
      <c r="R280" s="16" t="n"/>
      <c r="S280" s="139" t="n"/>
      <c r="T280" s="16" t="n"/>
      <c r="U280" s="139" t="n"/>
      <c r="V280" s="16">
        <f>P280+R280+T280</f>
        <v/>
      </c>
      <c r="W280" s="16" t="n"/>
      <c r="X280" s="139" t="n"/>
      <c r="Y280" s="16" t="n"/>
      <c r="Z280" s="139" t="n"/>
      <c r="AA280" s="16" t="n"/>
      <c r="AB280" s="139" t="n"/>
      <c r="AC280" s="16" t="n"/>
      <c r="AD280" s="139" t="n"/>
      <c r="AE280" s="16">
        <f>(W280+Y280+AA280+AC280)</f>
        <v/>
      </c>
      <c r="AF280" s="16" t="n"/>
      <c r="AG280" s="138" t="n"/>
      <c r="AH280" s="16" t="n"/>
      <c r="AI280" s="138" t="n"/>
      <c r="AJ280" s="16" t="n"/>
      <c r="AK280" s="138" t="n"/>
      <c r="AL280" s="16" t="n"/>
      <c r="AM280" s="138" t="n"/>
      <c r="AN280" s="16" t="n"/>
      <c r="AO280" s="138" t="n"/>
      <c r="AP280" s="16" t="n"/>
      <c r="AQ280" s="138" t="n"/>
      <c r="AR280" s="16" t="n"/>
      <c r="AS280" s="138" t="n"/>
      <c r="AT280" s="16" t="n"/>
      <c r="AU280" s="138" t="n"/>
      <c r="AV280" s="16" t="n"/>
      <c r="AW280" s="138" t="n"/>
      <c r="AX280" s="16" t="n"/>
      <c r="AY280" s="138" t="n"/>
      <c r="AZ280" s="16">
        <f>AF280+AH280+AJ280+AL280+AN280+AP280+AR280+AT280+AV280+AX280</f>
        <v/>
      </c>
      <c r="BA280" s="16" t="n"/>
      <c r="BB280" s="139" t="n"/>
      <c r="BC280" s="16" t="n"/>
      <c r="BD280" s="139" t="n"/>
      <c r="BE280" s="16">
        <f>(BA280+BC280)</f>
        <v/>
      </c>
    </row>
    <row r="281">
      <c r="A281" s="9" t="n"/>
      <c r="B281" s="136" t="inlineStr">
        <is>
          <t>CABLE</t>
        </is>
      </c>
      <c r="C281" s="137" t="inlineStr">
        <is>
          <t>ADX4000W</t>
        </is>
      </c>
      <c r="D281" s="82" t="inlineStr">
        <is>
          <t>전원 및 EXP Wire  (8핀)</t>
        </is>
      </c>
      <c r="E281" s="13" t="n"/>
      <c r="F281" s="100" t="n"/>
      <c r="G281" s="9" t="n"/>
      <c r="H281" s="9" t="inlineStr">
        <is>
          <t>HLP</t>
        </is>
      </c>
      <c r="I281" s="14" t="n"/>
      <c r="J281" s="14" t="n"/>
      <c r="K281" s="12" t="n">
        <v>146</v>
      </c>
      <c r="L281" s="9" t="n"/>
      <c r="M281" s="9" t="n"/>
      <c r="N281" s="9" t="n"/>
      <c r="O281" s="40">
        <f>K281+V281-AE281-AZ281</f>
        <v/>
      </c>
      <c r="P281" s="12" t="n"/>
      <c r="Q281" s="138" t="n"/>
      <c r="R281" s="16" t="n"/>
      <c r="S281" s="139" t="n"/>
      <c r="T281" s="16" t="n"/>
      <c r="U281" s="139" t="n"/>
      <c r="V281" s="16">
        <f>P281+R281+T281</f>
        <v/>
      </c>
      <c r="W281" s="16" t="n"/>
      <c r="X281" s="139" t="n"/>
      <c r="Y281" s="16" t="n"/>
      <c r="Z281" s="139" t="n"/>
      <c r="AA281" s="16" t="n"/>
      <c r="AB281" s="139" t="n"/>
      <c r="AC281" s="16" t="n"/>
      <c r="AD281" s="139" t="n"/>
      <c r="AE281" s="16">
        <f>(W281+Y281+AA281+AC281)</f>
        <v/>
      </c>
      <c r="AF281" s="16" t="n"/>
      <c r="AG281" s="138" t="n"/>
      <c r="AH281" s="16" t="n"/>
      <c r="AI281" s="138" t="n"/>
      <c r="AJ281" s="16" t="n"/>
      <c r="AK281" s="138" t="n"/>
      <c r="AL281" s="16" t="n"/>
      <c r="AM281" s="138" t="n"/>
      <c r="AN281" s="16" t="n"/>
      <c r="AO281" s="138" t="n"/>
      <c r="AP281" s="16" t="n"/>
      <c r="AQ281" s="138" t="n"/>
      <c r="AR281" s="16" t="n"/>
      <c r="AS281" s="138" t="n"/>
      <c r="AT281" s="16" t="n"/>
      <c r="AU281" s="138" t="n"/>
      <c r="AV281" s="16" t="n"/>
      <c r="AW281" s="138" t="n"/>
      <c r="AX281" s="16" t="n"/>
      <c r="AY281" s="138" t="n"/>
      <c r="AZ281" s="16">
        <f>AF281+AH281+AJ281+AL281+AN281+AP281+AR281+AT281+AV281+AX281</f>
        <v/>
      </c>
      <c r="BA281" s="16" t="n"/>
      <c r="BB281" s="139" t="n"/>
      <c r="BC281" s="16" t="n"/>
      <c r="BD281" s="139" t="n"/>
      <c r="BE281" s="16">
        <f>(BA281+BC281)</f>
        <v/>
      </c>
    </row>
    <row r="282">
      <c r="A282" s="9" t="n"/>
      <c r="B282" s="136" t="inlineStr">
        <is>
          <t>CABLE</t>
        </is>
      </c>
      <c r="C282" s="137" t="inlineStr">
        <is>
          <t>ADX4000W</t>
        </is>
      </c>
      <c r="D282" s="82" t="inlineStr">
        <is>
          <t>LCD Wire (LVDS) (30핀)</t>
        </is>
      </c>
      <c r="E282" s="13" t="n"/>
      <c r="F282" s="100" t="n"/>
      <c r="G282" s="9" t="n"/>
      <c r="H282" s="9" t="inlineStr">
        <is>
          <t>HLP</t>
        </is>
      </c>
      <c r="I282" s="14" t="n"/>
      <c r="J282" s="14" t="n"/>
      <c r="K282" s="12" t="n">
        <v>512</v>
      </c>
      <c r="L282" s="9" t="n"/>
      <c r="M282" s="9" t="n"/>
      <c r="N282" s="9" t="n"/>
      <c r="O282" s="40">
        <f>K282+V282-AE282-AZ282</f>
        <v/>
      </c>
      <c r="P282" s="12" t="n"/>
      <c r="Q282" s="138" t="n"/>
      <c r="R282" s="16" t="n"/>
      <c r="S282" s="139" t="n"/>
      <c r="T282" s="16" t="n"/>
      <c r="U282" s="139" t="n"/>
      <c r="V282" s="16">
        <f>P282+R282+T282</f>
        <v/>
      </c>
      <c r="W282" s="16" t="n"/>
      <c r="X282" s="139" t="n"/>
      <c r="Y282" s="16" t="n"/>
      <c r="Z282" s="139" t="n"/>
      <c r="AA282" s="16" t="n"/>
      <c r="AB282" s="139" t="n"/>
      <c r="AC282" s="16" t="n"/>
      <c r="AD282" s="139" t="n"/>
      <c r="AE282" s="16">
        <f>(W282+Y282+AA282+AC282)</f>
        <v/>
      </c>
      <c r="AF282" s="16" t="n"/>
      <c r="AG282" s="138" t="n"/>
      <c r="AH282" s="16" t="n"/>
      <c r="AI282" s="138" t="n"/>
      <c r="AJ282" s="16" t="n"/>
      <c r="AK282" s="138" t="n"/>
      <c r="AL282" s="16" t="n"/>
      <c r="AM282" s="138" t="n"/>
      <c r="AN282" s="16" t="n"/>
      <c r="AO282" s="138" t="n"/>
      <c r="AP282" s="16" t="n"/>
      <c r="AQ282" s="138" t="n"/>
      <c r="AR282" s="16" t="n"/>
      <c r="AS282" s="138" t="n"/>
      <c r="AT282" s="16" t="n"/>
      <c r="AU282" s="138" t="n"/>
      <c r="AV282" s="16" t="n"/>
      <c r="AW282" s="138" t="n"/>
      <c r="AX282" s="16" t="n"/>
      <c r="AY282" s="138" t="n"/>
      <c r="AZ282" s="16">
        <f>AF282+AH282+AJ282+AL282+AN282+AP282+AR282+AT282+AV282+AX282</f>
        <v/>
      </c>
      <c r="BA282" s="16" t="n"/>
      <c r="BB282" s="139" t="n"/>
      <c r="BC282" s="16" t="n"/>
      <c r="BD282" s="139" t="n"/>
      <c r="BE282" s="16">
        <f>(BA282+BC282)</f>
        <v/>
      </c>
    </row>
    <row r="283">
      <c r="A283" s="9" t="n"/>
      <c r="B283" s="136" t="inlineStr">
        <is>
          <t>ABS 난연</t>
        </is>
      </c>
      <c r="C283" s="137" t="inlineStr">
        <is>
          <t>ADX4000W</t>
        </is>
      </c>
      <c r="D283" s="83" t="inlineStr">
        <is>
          <t>LCD TOP</t>
        </is>
      </c>
      <c r="E283" s="13" t="inlineStr">
        <is>
          <t>ABS 난연 화이트</t>
        </is>
      </c>
      <c r="F283" s="100" t="n"/>
      <c r="G283" s="9" t="n"/>
      <c r="H283" s="9" t="inlineStr">
        <is>
          <t>천우</t>
        </is>
      </c>
      <c r="I283" s="14" t="n"/>
      <c r="J283" s="14" t="n"/>
      <c r="K283" s="12" t="n">
        <v>101</v>
      </c>
      <c r="L283" s="9" t="n"/>
      <c r="M283" s="9" t="n"/>
      <c r="N283" s="9" t="n"/>
      <c r="O283" s="40">
        <f>K283+V283-AE283-AZ283</f>
        <v/>
      </c>
      <c r="P283" s="12" t="n"/>
      <c r="Q283" s="138" t="n"/>
      <c r="R283" s="16" t="n"/>
      <c r="S283" s="139" t="n"/>
      <c r="T283" s="16" t="n"/>
      <c r="U283" s="139" t="n"/>
      <c r="V283" s="16">
        <f>P283+R283+T283</f>
        <v/>
      </c>
      <c r="W283" s="16" t="n"/>
      <c r="X283" s="139" t="n"/>
      <c r="Y283" s="16" t="n"/>
      <c r="Z283" s="139" t="n"/>
      <c r="AA283" s="16" t="n"/>
      <c r="AB283" s="139" t="n"/>
      <c r="AC283" s="16" t="n"/>
      <c r="AD283" s="139" t="n"/>
      <c r="AE283" s="16">
        <f>(W283+Y283+AA283+AC283)</f>
        <v/>
      </c>
      <c r="AF283" s="16" t="n"/>
      <c r="AG283" s="138" t="n"/>
      <c r="AH283" s="16" t="n"/>
      <c r="AI283" s="138" t="n"/>
      <c r="AJ283" s="16" t="n"/>
      <c r="AK283" s="138" t="n"/>
      <c r="AL283" s="16" t="n"/>
      <c r="AM283" s="138" t="n"/>
      <c r="AN283" s="16" t="n"/>
      <c r="AO283" s="138" t="n"/>
      <c r="AP283" s="16" t="n"/>
      <c r="AQ283" s="138" t="n"/>
      <c r="AR283" s="16" t="n"/>
      <c r="AS283" s="138" t="n"/>
      <c r="AT283" s="16" t="n"/>
      <c r="AU283" s="138" t="n"/>
      <c r="AV283" s="16" t="n"/>
      <c r="AW283" s="138" t="n"/>
      <c r="AX283" s="16" t="n"/>
      <c r="AY283" s="138" t="n"/>
      <c r="AZ283" s="16">
        <f>AF283+AH283+AJ283+AL283+AN283+AP283+AR283+AT283+AV283+AX283</f>
        <v/>
      </c>
      <c r="BA283" s="16" t="n"/>
      <c r="BB283" s="139" t="n"/>
      <c r="BC283" s="16" t="n"/>
      <c r="BD283" s="139" t="n"/>
      <c r="BE283" s="16">
        <f>(BA283+BC283)</f>
        <v/>
      </c>
    </row>
    <row r="284">
      <c r="A284" s="9" t="n"/>
      <c r="B284" s="136" t="inlineStr">
        <is>
          <t>ABS 난연</t>
        </is>
      </c>
      <c r="C284" s="137" t="inlineStr">
        <is>
          <t>ADX4000W</t>
        </is>
      </c>
      <c r="D284" s="83" t="inlineStr">
        <is>
          <t>LCD BOTTOM</t>
        </is>
      </c>
      <c r="E284" s="13" t="inlineStr">
        <is>
          <t>ABS 난연 화이트</t>
        </is>
      </c>
      <c r="F284" s="100" t="n"/>
      <c r="G284" s="9" t="n"/>
      <c r="H284" s="9" t="inlineStr">
        <is>
          <t>천우</t>
        </is>
      </c>
      <c r="I284" s="14" t="n"/>
      <c r="J284" s="14" t="n"/>
      <c r="K284" s="12" t="n">
        <v>101</v>
      </c>
      <c r="L284" s="9" t="n"/>
      <c r="M284" s="9" t="n"/>
      <c r="N284" s="9" t="n"/>
      <c r="O284" s="40">
        <f>K284+V284-AE284-AZ284</f>
        <v/>
      </c>
      <c r="P284" s="12" t="n"/>
      <c r="Q284" s="138" t="n"/>
      <c r="R284" s="16" t="n"/>
      <c r="S284" s="139" t="n"/>
      <c r="T284" s="16" t="n"/>
      <c r="U284" s="139" t="n"/>
      <c r="V284" s="16">
        <f>P284+R284+T284</f>
        <v/>
      </c>
      <c r="W284" s="16" t="n"/>
      <c r="X284" s="139" t="n"/>
      <c r="Y284" s="16" t="n"/>
      <c r="Z284" s="139" t="n"/>
      <c r="AA284" s="16" t="n"/>
      <c r="AB284" s="139" t="n"/>
      <c r="AC284" s="16" t="n"/>
      <c r="AD284" s="139" t="n"/>
      <c r="AE284" s="16">
        <f>(W284+Y284+AA284+AC284)</f>
        <v/>
      </c>
      <c r="AF284" s="16" t="n"/>
      <c r="AG284" s="138" t="n"/>
      <c r="AH284" s="16" t="n"/>
      <c r="AI284" s="138" t="n"/>
      <c r="AJ284" s="16" t="n"/>
      <c r="AK284" s="138" t="n"/>
      <c r="AL284" s="16" t="n"/>
      <c r="AM284" s="138" t="n"/>
      <c r="AN284" s="16" t="n"/>
      <c r="AO284" s="138" t="n"/>
      <c r="AP284" s="16" t="n"/>
      <c r="AQ284" s="138" t="n"/>
      <c r="AR284" s="16" t="n"/>
      <c r="AS284" s="138" t="n"/>
      <c r="AT284" s="16" t="n"/>
      <c r="AU284" s="138" t="n"/>
      <c r="AV284" s="16" t="n"/>
      <c r="AW284" s="138" t="n"/>
      <c r="AX284" s="16" t="n"/>
      <c r="AY284" s="138" t="n"/>
      <c r="AZ284" s="16">
        <f>AF284+AH284+AJ284+AL284+AN284+AP284+AR284+AT284+AV284+AX284</f>
        <v/>
      </c>
      <c r="BA284" s="16" t="n"/>
      <c r="BB284" s="139" t="n"/>
      <c r="BC284" s="16" t="n"/>
      <c r="BD284" s="139" t="n"/>
      <c r="BE284" s="16">
        <f>(BA284+BC284)</f>
        <v/>
      </c>
    </row>
    <row r="285">
      <c r="A285" s="9" t="n"/>
      <c r="B285" s="136" t="inlineStr">
        <is>
          <t>ABS 난연</t>
        </is>
      </c>
      <c r="C285" s="137" t="inlineStr">
        <is>
          <t>ADX4000W</t>
        </is>
      </c>
      <c r="D285" s="83" t="inlineStr">
        <is>
          <t>LCD GUIDE</t>
        </is>
      </c>
      <c r="E285" s="13" t="inlineStr">
        <is>
          <t>ABS 난연 화이트</t>
        </is>
      </c>
      <c r="F285" s="100" t="n"/>
      <c r="G285" s="9" t="n"/>
      <c r="H285" s="9" t="inlineStr">
        <is>
          <t>천우</t>
        </is>
      </c>
      <c r="I285" s="14" t="n"/>
      <c r="J285" s="14" t="n"/>
      <c r="K285" s="12" t="n">
        <v>2058</v>
      </c>
      <c r="L285" s="9" t="n"/>
      <c r="M285" s="9" t="n"/>
      <c r="N285" s="9" t="n"/>
      <c r="O285" s="40">
        <f>K285+V285-AE285-AZ285</f>
        <v/>
      </c>
      <c r="P285" s="12" t="n"/>
      <c r="Q285" s="138" t="n"/>
      <c r="R285" s="16" t="n"/>
      <c r="S285" s="139" t="n"/>
      <c r="T285" s="16" t="n"/>
      <c r="U285" s="139" t="n"/>
      <c r="V285" s="16">
        <f>P285+R285+T285</f>
        <v/>
      </c>
      <c r="W285" s="16" t="n"/>
      <c r="X285" s="139" t="n"/>
      <c r="Y285" s="16" t="n"/>
      <c r="Z285" s="139" t="n"/>
      <c r="AA285" s="16" t="n"/>
      <c r="AB285" s="139" t="n"/>
      <c r="AC285" s="16" t="n"/>
      <c r="AD285" s="139" t="n"/>
      <c r="AE285" s="16">
        <f>(W285+Y285+AA285+AC285)</f>
        <v/>
      </c>
      <c r="AF285" s="16" t="n">
        <v>140</v>
      </c>
      <c r="AG285" s="138" t="n">
        <v>46093</v>
      </c>
      <c r="AH285" s="16" t="n"/>
      <c r="AI285" s="138" t="n"/>
      <c r="AJ285" s="16" t="n"/>
      <c r="AK285" s="138" t="n"/>
      <c r="AL285" s="16" t="n"/>
      <c r="AM285" s="138" t="n"/>
      <c r="AN285" s="16" t="n"/>
      <c r="AO285" s="138" t="n"/>
      <c r="AP285" s="16" t="n"/>
      <c r="AQ285" s="138" t="n"/>
      <c r="AR285" s="16" t="n"/>
      <c r="AS285" s="138" t="n"/>
      <c r="AT285" s="16" t="n"/>
      <c r="AU285" s="138" t="n"/>
      <c r="AV285" s="16" t="n"/>
      <c r="AW285" s="138" t="n"/>
      <c r="AX285" s="16" t="n"/>
      <c r="AY285" s="138" t="n"/>
      <c r="AZ285" s="16">
        <f>AF285+AH285+AJ285+AL285+AN285+AP285+AR285+AT285+AV285+AX285</f>
        <v/>
      </c>
      <c r="BA285" s="16" t="n"/>
      <c r="BB285" s="139" t="n"/>
      <c r="BC285" s="16" t="n"/>
      <c r="BD285" s="139" t="n"/>
      <c r="BE285" s="16">
        <f>(BA285+BC285)</f>
        <v/>
      </c>
    </row>
    <row r="286">
      <c r="A286" s="9" t="n"/>
      <c r="B286" s="136" t="inlineStr">
        <is>
          <t>ABS 난연</t>
        </is>
      </c>
      <c r="C286" s="137" t="inlineStr">
        <is>
          <t>ADX4000W</t>
        </is>
      </c>
      <c r="D286" s="83" t="inlineStr">
        <is>
          <t>TOP</t>
        </is>
      </c>
      <c r="E286" s="13" t="inlineStr">
        <is>
          <t>ABS 난연 화이트</t>
        </is>
      </c>
      <c r="F286" s="100" t="n"/>
      <c r="G286" s="9" t="n"/>
      <c r="H286" s="9" t="inlineStr">
        <is>
          <t>천우</t>
        </is>
      </c>
      <c r="I286" s="14" t="n"/>
      <c r="J286" s="14" t="n"/>
      <c r="K286" s="12" t="n">
        <v>0</v>
      </c>
      <c r="L286" s="9" t="n"/>
      <c r="M286" s="9" t="n"/>
      <c r="N286" s="9" t="n"/>
      <c r="O286" s="40">
        <f>K286+V286-AE286-AZ286</f>
        <v/>
      </c>
      <c r="P286" s="12" t="n"/>
      <c r="Q286" s="138" t="n"/>
      <c r="R286" s="16" t="n"/>
      <c r="S286" s="139" t="n"/>
      <c r="T286" s="16" t="n"/>
      <c r="U286" s="139" t="n"/>
      <c r="V286" s="16">
        <f>P286+R286+T286</f>
        <v/>
      </c>
      <c r="W286" s="16" t="n"/>
      <c r="X286" s="139" t="n"/>
      <c r="Y286" s="16" t="n"/>
      <c r="Z286" s="139" t="n"/>
      <c r="AA286" s="16" t="n"/>
      <c r="AB286" s="139" t="n"/>
      <c r="AC286" s="16" t="n"/>
      <c r="AD286" s="139" t="n"/>
      <c r="AE286" s="16">
        <f>(W286+Y286+AA286+AC286)</f>
        <v/>
      </c>
      <c r="AF286" s="16" t="n"/>
      <c r="AG286" s="138" t="n"/>
      <c r="AH286" s="16" t="n"/>
      <c r="AI286" s="138" t="n"/>
      <c r="AJ286" s="16" t="n"/>
      <c r="AK286" s="138" t="n"/>
      <c r="AL286" s="16" t="n"/>
      <c r="AM286" s="138" t="n"/>
      <c r="AN286" s="16" t="n"/>
      <c r="AO286" s="138" t="n"/>
      <c r="AP286" s="16" t="n"/>
      <c r="AQ286" s="138" t="n"/>
      <c r="AR286" s="16" t="n"/>
      <c r="AS286" s="138" t="n"/>
      <c r="AT286" s="16" t="n"/>
      <c r="AU286" s="138" t="n"/>
      <c r="AV286" s="16" t="n"/>
      <c r="AW286" s="138" t="n"/>
      <c r="AX286" s="16" t="n"/>
      <c r="AY286" s="138" t="n"/>
      <c r="AZ286" s="16">
        <f>AF286+AH286+AJ286+AL286+AN286+AP286+AR286+AT286+AV286+AX286</f>
        <v/>
      </c>
      <c r="BA286" s="16" t="n"/>
      <c r="BB286" s="139" t="n"/>
      <c r="BC286" s="16" t="n"/>
      <c r="BD286" s="139" t="n"/>
      <c r="BE286" s="16">
        <f>(BA286+BC286)</f>
        <v/>
      </c>
    </row>
    <row r="287">
      <c r="A287" s="9" t="n"/>
      <c r="B287" s="136" t="inlineStr">
        <is>
          <t>ABS 난연</t>
        </is>
      </c>
      <c r="C287" s="137" t="inlineStr">
        <is>
          <t>ADX4000W</t>
        </is>
      </c>
      <c r="D287" s="83" t="inlineStr">
        <is>
          <t>BOTTOM</t>
        </is>
      </c>
      <c r="E287" s="13" t="inlineStr">
        <is>
          <t>ABS 난연 화이트</t>
        </is>
      </c>
      <c r="F287" s="100" t="n"/>
      <c r="G287" s="9" t="n"/>
      <c r="H287" s="9" t="inlineStr">
        <is>
          <t>천우</t>
        </is>
      </c>
      <c r="I287" s="14" t="n"/>
      <c r="J287" s="14" t="n"/>
      <c r="K287" s="12" t="n">
        <v>0</v>
      </c>
      <c r="L287" s="9" t="n"/>
      <c r="M287" s="9" t="n"/>
      <c r="N287" s="9" t="n"/>
      <c r="O287" s="40">
        <f>K287+V287-AE287-AZ287</f>
        <v/>
      </c>
      <c r="P287" s="12" t="n"/>
      <c r="Q287" s="138" t="n"/>
      <c r="R287" s="16" t="n"/>
      <c r="S287" s="139" t="n"/>
      <c r="T287" s="16" t="n"/>
      <c r="U287" s="139" t="n"/>
      <c r="V287" s="16">
        <f>P287+R287+T287</f>
        <v/>
      </c>
      <c r="W287" s="16" t="n"/>
      <c r="X287" s="139" t="n"/>
      <c r="Y287" s="16" t="n"/>
      <c r="Z287" s="139" t="n"/>
      <c r="AA287" s="16" t="n"/>
      <c r="AB287" s="139" t="n"/>
      <c r="AC287" s="16" t="n"/>
      <c r="AD287" s="139" t="n"/>
      <c r="AE287" s="16">
        <f>(W287+Y287+AA287+AC287)</f>
        <v/>
      </c>
      <c r="AF287" s="16" t="n"/>
      <c r="AG287" s="138" t="n"/>
      <c r="AH287" s="16" t="n"/>
      <c r="AI287" s="138" t="n"/>
      <c r="AJ287" s="16" t="n"/>
      <c r="AK287" s="138" t="n"/>
      <c r="AL287" s="16" t="n"/>
      <c r="AM287" s="138" t="n"/>
      <c r="AN287" s="16" t="n"/>
      <c r="AO287" s="138" t="n"/>
      <c r="AP287" s="16" t="n"/>
      <c r="AQ287" s="138" t="n"/>
      <c r="AR287" s="16" t="n"/>
      <c r="AS287" s="138" t="n"/>
      <c r="AT287" s="16" t="n"/>
      <c r="AU287" s="138" t="n"/>
      <c r="AV287" s="16" t="n"/>
      <c r="AW287" s="138" t="n"/>
      <c r="AX287" s="16" t="n"/>
      <c r="AY287" s="138" t="n"/>
      <c r="AZ287" s="16">
        <f>AF287+AH287+AJ287+AL287+AN287+AP287+AR287+AT287+AV287+AX287</f>
        <v/>
      </c>
      <c r="BA287" s="16" t="n"/>
      <c r="BB287" s="139" t="n"/>
      <c r="BC287" s="16" t="n"/>
      <c r="BD287" s="139" t="n"/>
      <c r="BE287" s="16">
        <f>(BA287+BC287)</f>
        <v/>
      </c>
    </row>
    <row r="288">
      <c r="A288" s="9" t="n"/>
      <c r="B288" s="136" t="inlineStr">
        <is>
          <t>ABS 난연</t>
        </is>
      </c>
      <c r="C288" s="137" t="inlineStr">
        <is>
          <t>ADX4000W</t>
        </is>
      </c>
      <c r="D288" s="83" t="inlineStr">
        <is>
          <t>BATTERY COVER</t>
        </is>
      </c>
      <c r="E288" s="13" t="inlineStr">
        <is>
          <t>ABS 난연 화이트 + 진한 회색</t>
        </is>
      </c>
      <c r="F288" s="100" t="n"/>
      <c r="G288" s="9" t="n"/>
      <c r="H288" s="9" t="inlineStr">
        <is>
          <t>천우</t>
        </is>
      </c>
      <c r="I288" s="14" t="n"/>
      <c r="J288" s="14" t="n"/>
      <c r="K288" s="12" t="n">
        <v>56</v>
      </c>
      <c r="L288" s="9" t="n"/>
      <c r="M288" s="9" t="n"/>
      <c r="N288" s="9" t="n"/>
      <c r="O288" s="40">
        <f>K288+V288-AE288-AZ288</f>
        <v/>
      </c>
      <c r="P288" s="12" t="n"/>
      <c r="Q288" s="138" t="n"/>
      <c r="R288" s="16" t="n"/>
      <c r="S288" s="139" t="n"/>
      <c r="T288" s="16" t="n"/>
      <c r="U288" s="139" t="n"/>
      <c r="V288" s="16">
        <f>P288+R288+T288</f>
        <v/>
      </c>
      <c r="W288" s="16" t="n"/>
      <c r="X288" s="139" t="n"/>
      <c r="Y288" s="16" t="n"/>
      <c r="Z288" s="139" t="n"/>
      <c r="AA288" s="16" t="n"/>
      <c r="AB288" s="139" t="n"/>
      <c r="AC288" s="16" t="n"/>
      <c r="AD288" s="139" t="n"/>
      <c r="AE288" s="16">
        <f>(W288+Y288+AA288+AC288)</f>
        <v/>
      </c>
      <c r="AF288" s="16" t="n"/>
      <c r="AG288" s="138" t="n"/>
      <c r="AH288" s="16" t="n"/>
      <c r="AI288" s="138" t="n"/>
      <c r="AJ288" s="16" t="n"/>
      <c r="AK288" s="138" t="n"/>
      <c r="AL288" s="16" t="n"/>
      <c r="AM288" s="138" t="n"/>
      <c r="AN288" s="16" t="n"/>
      <c r="AO288" s="138" t="n"/>
      <c r="AP288" s="16" t="n"/>
      <c r="AQ288" s="138" t="n"/>
      <c r="AR288" s="16" t="n"/>
      <c r="AS288" s="138" t="n"/>
      <c r="AT288" s="16" t="n"/>
      <c r="AU288" s="138" t="n"/>
      <c r="AV288" s="16" t="n"/>
      <c r="AW288" s="138" t="n"/>
      <c r="AX288" s="16" t="n"/>
      <c r="AY288" s="138" t="n"/>
      <c r="AZ288" s="16">
        <f>AF288+AH288+AJ288+AL288+AN288+AP288+AR288+AT288+AV288+AX288</f>
        <v/>
      </c>
      <c r="BA288" s="16" t="n"/>
      <c r="BB288" s="139" t="n"/>
      <c r="BC288" s="16" t="n"/>
      <c r="BD288" s="139" t="n"/>
      <c r="BE288" s="16">
        <f>(BA288+BC288)</f>
        <v/>
      </c>
    </row>
    <row r="289">
      <c r="A289" s="9" t="n"/>
      <c r="B289" s="136" t="inlineStr">
        <is>
          <t>ABS 난연</t>
        </is>
      </c>
      <c r="C289" s="137" t="inlineStr">
        <is>
          <t>ADX4000W</t>
        </is>
      </c>
      <c r="D289" s="83" t="inlineStr">
        <is>
          <t>USB COVER</t>
        </is>
      </c>
      <c r="E289" s="13" t="inlineStr">
        <is>
          <t>ABS 난연 화이트 + 진한 회색</t>
        </is>
      </c>
      <c r="F289" s="100" t="n"/>
      <c r="G289" s="9" t="n"/>
      <c r="H289" s="9" t="inlineStr">
        <is>
          <t>천우</t>
        </is>
      </c>
      <c r="I289" s="14" t="n"/>
      <c r="J289" s="14" t="n"/>
      <c r="K289" s="12" t="n">
        <v>32</v>
      </c>
      <c r="L289" s="9" t="n"/>
      <c r="M289" s="9" t="n"/>
      <c r="N289" s="9" t="n"/>
      <c r="O289" s="40">
        <f>K289+V289-AE289-AZ289</f>
        <v/>
      </c>
      <c r="P289" s="12" t="n"/>
      <c r="Q289" s="138" t="n"/>
      <c r="R289" s="16" t="n"/>
      <c r="S289" s="139" t="n"/>
      <c r="T289" s="16" t="n"/>
      <c r="U289" s="139" t="n"/>
      <c r="V289" s="16">
        <f>P289+R289+T289</f>
        <v/>
      </c>
      <c r="W289" s="16" t="n"/>
      <c r="X289" s="139" t="n"/>
      <c r="Y289" s="16" t="n"/>
      <c r="Z289" s="139" t="n"/>
      <c r="AA289" s="16" t="n"/>
      <c r="AB289" s="139" t="n"/>
      <c r="AC289" s="16" t="n"/>
      <c r="AD289" s="139" t="n"/>
      <c r="AE289" s="16">
        <f>(W289+Y289+AA289+AC289)</f>
        <v/>
      </c>
      <c r="AF289" s="16" t="n"/>
      <c r="AG289" s="138" t="n"/>
      <c r="AH289" s="16" t="n"/>
      <c r="AI289" s="138" t="n"/>
      <c r="AJ289" s="16" t="n"/>
      <c r="AK289" s="138" t="n"/>
      <c r="AL289" s="16" t="n"/>
      <c r="AM289" s="138" t="n"/>
      <c r="AN289" s="16" t="n"/>
      <c r="AO289" s="138" t="n"/>
      <c r="AP289" s="16" t="n"/>
      <c r="AQ289" s="138" t="n"/>
      <c r="AR289" s="16" t="n"/>
      <c r="AS289" s="138" t="n"/>
      <c r="AT289" s="16" t="n"/>
      <c r="AU289" s="138" t="n"/>
      <c r="AV289" s="16" t="n"/>
      <c r="AW289" s="138" t="n"/>
      <c r="AX289" s="16" t="n"/>
      <c r="AY289" s="138" t="n"/>
      <c r="AZ289" s="16">
        <f>AF289+AH289+AJ289+AL289+AN289+AP289+AR289+AT289+AV289+AX289</f>
        <v/>
      </c>
      <c r="BA289" s="16" t="n"/>
      <c r="BB289" s="139" t="n"/>
      <c r="BC289" s="16" t="n"/>
      <c r="BD289" s="139" t="n"/>
      <c r="BE289" s="16">
        <f>(BA289+BC289)</f>
        <v/>
      </c>
    </row>
    <row r="290">
      <c r="A290" s="9" t="n"/>
      <c r="B290" s="136" t="inlineStr">
        <is>
          <t>ABS 난연</t>
        </is>
      </c>
      <c r="C290" s="137" t="inlineStr">
        <is>
          <t>ADX4000W</t>
        </is>
      </c>
      <c r="D290" s="83" t="inlineStr">
        <is>
          <t>POWER LED GUIDE</t>
        </is>
      </c>
      <c r="E290" s="13" t="inlineStr">
        <is>
          <t>확산 아크릴</t>
        </is>
      </c>
      <c r="F290" s="100" t="n"/>
      <c r="G290" s="9" t="n"/>
      <c r="H290" s="9" t="inlineStr">
        <is>
          <t>천우</t>
        </is>
      </c>
      <c r="I290" s="14" t="n"/>
      <c r="J290" s="14" t="n"/>
      <c r="K290" s="12" t="n">
        <v>2263</v>
      </c>
      <c r="L290" s="9" t="n"/>
      <c r="M290" s="9" t="n"/>
      <c r="N290" s="9" t="n"/>
      <c r="O290" s="40">
        <f>K290+V290-AE290-AZ290</f>
        <v/>
      </c>
      <c r="P290" s="12" t="n"/>
      <c r="Q290" s="138" t="n"/>
      <c r="R290" s="16" t="n"/>
      <c r="S290" s="139" t="n"/>
      <c r="T290" s="16" t="n"/>
      <c r="U290" s="139" t="n"/>
      <c r="V290" s="16">
        <f>P290+R290+T290</f>
        <v/>
      </c>
      <c r="W290" s="16" t="n"/>
      <c r="X290" s="139" t="n"/>
      <c r="Y290" s="16" t="n"/>
      <c r="Z290" s="139" t="n"/>
      <c r="AA290" s="16" t="n"/>
      <c r="AB290" s="139" t="n"/>
      <c r="AC290" s="16" t="n"/>
      <c r="AD290" s="139" t="n"/>
      <c r="AE290" s="16">
        <f>(W290+Y290+AA290+AC290)</f>
        <v/>
      </c>
      <c r="AF290" s="16" t="n">
        <v>70</v>
      </c>
      <c r="AG290" s="138" t="n">
        <v>46093</v>
      </c>
      <c r="AH290" s="16" t="n"/>
      <c r="AI290" s="138" t="n"/>
      <c r="AJ290" s="16" t="n"/>
      <c r="AK290" s="138" t="n"/>
      <c r="AL290" s="16" t="n"/>
      <c r="AM290" s="138" t="n"/>
      <c r="AN290" s="16" t="n"/>
      <c r="AO290" s="138" t="n"/>
      <c r="AP290" s="16" t="n"/>
      <c r="AQ290" s="138" t="n"/>
      <c r="AR290" s="16" t="n"/>
      <c r="AS290" s="138" t="n"/>
      <c r="AT290" s="16" t="n"/>
      <c r="AU290" s="138" t="n"/>
      <c r="AV290" s="16" t="n"/>
      <c r="AW290" s="138" t="n"/>
      <c r="AX290" s="16" t="n"/>
      <c r="AY290" s="138" t="n"/>
      <c r="AZ290" s="16">
        <f>AF290+AH290+AJ290+AL290+AN290+AP290+AR290+AT290+AV290+AX290</f>
        <v/>
      </c>
      <c r="BA290" s="16" t="n"/>
      <c r="BB290" s="139" t="n"/>
      <c r="BC290" s="16" t="n"/>
      <c r="BD290" s="139" t="n"/>
      <c r="BE290" s="16">
        <f>(BA290+BC290)</f>
        <v/>
      </c>
    </row>
    <row r="291">
      <c r="A291" s="9" t="n"/>
      <c r="B291" s="136" t="inlineStr">
        <is>
          <t>ABS 난연</t>
        </is>
      </c>
      <c r="C291" s="137" t="inlineStr">
        <is>
          <t>ADX4000W</t>
        </is>
      </c>
      <c r="D291" s="83" t="inlineStr">
        <is>
          <t>EX LED GUIDE</t>
        </is>
      </c>
      <c r="E291" s="13" t="inlineStr">
        <is>
          <t>확산 아크릴</t>
        </is>
      </c>
      <c r="F291" s="100" t="n"/>
      <c r="G291" s="9" t="n"/>
      <c r="H291" s="9" t="inlineStr">
        <is>
          <t>천우</t>
        </is>
      </c>
      <c r="I291" s="14" t="n"/>
      <c r="J291" s="14" t="n"/>
      <c r="K291" s="12" t="n">
        <v>3652</v>
      </c>
      <c r="L291" s="9" t="n"/>
      <c r="M291" s="9" t="n"/>
      <c r="N291" s="9" t="n"/>
      <c r="O291" s="40">
        <f>K291+V291-AE291-AZ291</f>
        <v/>
      </c>
      <c r="P291" s="12" t="n"/>
      <c r="Q291" s="138" t="n"/>
      <c r="R291" s="16" t="n"/>
      <c r="S291" s="139" t="n"/>
      <c r="T291" s="16" t="n"/>
      <c r="U291" s="139" t="n"/>
      <c r="V291" s="16">
        <f>P291+R291+T291</f>
        <v/>
      </c>
      <c r="W291" s="16" t="n"/>
      <c r="X291" s="139" t="n"/>
      <c r="Y291" s="16" t="n"/>
      <c r="Z291" s="139" t="n"/>
      <c r="AA291" s="16" t="n"/>
      <c r="AB291" s="139" t="n"/>
      <c r="AC291" s="16" t="n"/>
      <c r="AD291" s="139" t="n"/>
      <c r="AE291" s="16">
        <f>(W291+Y291+AA291+AC291)</f>
        <v/>
      </c>
      <c r="AF291" s="16" t="n">
        <v>70</v>
      </c>
      <c r="AG291" s="138" t="n">
        <v>46093</v>
      </c>
      <c r="AH291" s="16" t="n"/>
      <c r="AI291" s="138" t="n"/>
      <c r="AJ291" s="16" t="n"/>
      <c r="AK291" s="138" t="n"/>
      <c r="AL291" s="16" t="n"/>
      <c r="AM291" s="138" t="n"/>
      <c r="AN291" s="16" t="n"/>
      <c r="AO291" s="138" t="n"/>
      <c r="AP291" s="16" t="n"/>
      <c r="AQ291" s="138" t="n"/>
      <c r="AR291" s="16" t="n"/>
      <c r="AS291" s="138" t="n"/>
      <c r="AT291" s="16" t="n"/>
      <c r="AU291" s="138" t="n"/>
      <c r="AV291" s="16" t="n"/>
      <c r="AW291" s="138" t="n"/>
      <c r="AX291" s="16" t="n"/>
      <c r="AY291" s="138" t="n"/>
      <c r="AZ291" s="16">
        <f>AF291+AH291+AJ291+AL291+AN291+AP291+AR291+AT291+AV291+AX291</f>
        <v/>
      </c>
      <c r="BA291" s="16" t="n"/>
      <c r="BB291" s="139" t="n"/>
      <c r="BC291" s="16" t="n"/>
      <c r="BD291" s="139" t="n"/>
      <c r="BE291" s="16">
        <f>(BA291+BC291)</f>
        <v/>
      </c>
    </row>
    <row r="292">
      <c r="A292" s="9" t="n"/>
      <c r="B292" s="136" t="inlineStr">
        <is>
          <t>ABS 난연</t>
        </is>
      </c>
      <c r="C292" s="137" t="inlineStr">
        <is>
          <t>ADX4000W</t>
        </is>
      </c>
      <c r="D292" s="65" t="inlineStr">
        <is>
          <t>GUIDE</t>
        </is>
      </c>
      <c r="E292" s="13" t="inlineStr">
        <is>
          <t>ABS 난연 화이트 + 진한 회색</t>
        </is>
      </c>
      <c r="F292" s="100" t="n"/>
      <c r="G292" s="9" t="n"/>
      <c r="H292" s="9" t="inlineStr">
        <is>
          <t>천우</t>
        </is>
      </c>
      <c r="I292" s="14" t="n"/>
      <c r="J292" s="14" t="n"/>
      <c r="K292" s="12" t="n">
        <v>185</v>
      </c>
      <c r="L292" s="9" t="n"/>
      <c r="M292" s="9" t="n"/>
      <c r="N292" s="9" t="n"/>
      <c r="O292" s="40">
        <f>K292+V292-AE292-AZ292</f>
        <v/>
      </c>
      <c r="P292" s="12" t="n"/>
      <c r="Q292" s="138" t="n"/>
      <c r="R292" s="16" t="n"/>
      <c r="S292" s="139" t="n"/>
      <c r="T292" s="16" t="n"/>
      <c r="U292" s="139" t="n"/>
      <c r="V292" s="16">
        <f>P292+R292+T292</f>
        <v/>
      </c>
      <c r="W292" s="16" t="n"/>
      <c r="X292" s="139" t="n"/>
      <c r="Y292" s="16" t="n"/>
      <c r="Z292" s="139" t="n"/>
      <c r="AA292" s="16" t="n"/>
      <c r="AB292" s="139" t="n"/>
      <c r="AC292" s="16" t="n"/>
      <c r="AD292" s="139" t="n"/>
      <c r="AE292" s="16">
        <f>(W292+Y292+AA292+AC292)</f>
        <v/>
      </c>
      <c r="AF292" s="16" t="n">
        <v>70</v>
      </c>
      <c r="AG292" s="138" t="n">
        <v>46093</v>
      </c>
      <c r="AH292" s="16" t="n"/>
      <c r="AI292" s="138" t="n"/>
      <c r="AJ292" s="16" t="n"/>
      <c r="AK292" s="138" t="n"/>
      <c r="AL292" s="16" t="n"/>
      <c r="AM292" s="138" t="n"/>
      <c r="AN292" s="16" t="n"/>
      <c r="AO292" s="138" t="n"/>
      <c r="AP292" s="16" t="n"/>
      <c r="AQ292" s="138" t="n"/>
      <c r="AR292" s="16" t="n"/>
      <c r="AS292" s="138" t="n"/>
      <c r="AT292" s="16" t="n"/>
      <c r="AU292" s="138" t="n"/>
      <c r="AV292" s="16" t="n"/>
      <c r="AW292" s="138" t="n"/>
      <c r="AX292" s="16" t="n"/>
      <c r="AY292" s="138" t="n"/>
      <c r="AZ292" s="16">
        <f>AF292+AH292+AJ292+AL292+AN292+AP292+AR292+AT292+AV292+AX292</f>
        <v/>
      </c>
      <c r="BA292" s="16" t="n"/>
      <c r="BB292" s="139" t="n"/>
      <c r="BC292" s="16" t="n"/>
      <c r="BD292" s="139" t="n"/>
      <c r="BE292" s="16">
        <f>(BA292+BC292)</f>
        <v/>
      </c>
    </row>
    <row r="293">
      <c r="A293" s="9" t="n"/>
      <c r="B293" s="136" t="inlineStr">
        <is>
          <t>ABS 난연</t>
        </is>
      </c>
      <c r="C293" s="137" t="inlineStr">
        <is>
          <t>ADX4000W</t>
        </is>
      </c>
      <c r="D293" s="65" t="inlineStr">
        <is>
          <t>GUIDE 스프레이 X</t>
        </is>
      </c>
      <c r="E293" s="13" t="inlineStr">
        <is>
          <t>ABS 난연 화이트</t>
        </is>
      </c>
      <c r="F293" s="100" t="n"/>
      <c r="G293" s="9" t="n"/>
      <c r="H293" s="9" t="inlineStr">
        <is>
          <t>천우</t>
        </is>
      </c>
      <c r="I293" s="14" t="n"/>
      <c r="J293" s="14" t="n"/>
      <c r="K293" s="12" t="n">
        <v>4840</v>
      </c>
      <c r="L293" s="9" t="n"/>
      <c r="M293" s="9" t="n"/>
      <c r="N293" s="9" t="n"/>
      <c r="O293" s="40">
        <f>K293+V293-AE293-AZ293</f>
        <v/>
      </c>
      <c r="P293" s="12" t="n"/>
      <c r="Q293" s="138" t="n"/>
      <c r="R293" s="16" t="n"/>
      <c r="S293" s="139" t="n"/>
      <c r="T293" s="16" t="n"/>
      <c r="U293" s="139" t="n"/>
      <c r="V293" s="16">
        <f>P293+R293+T293</f>
        <v/>
      </c>
      <c r="W293" s="16" t="n"/>
      <c r="X293" s="139" t="n"/>
      <c r="Y293" s="16" t="n"/>
      <c r="Z293" s="139" t="n"/>
      <c r="AA293" s="16" t="n"/>
      <c r="AB293" s="139" t="n"/>
      <c r="AC293" s="16" t="n"/>
      <c r="AD293" s="139" t="n"/>
      <c r="AE293" s="16">
        <f>(W293+Y293+AA293+AC293)</f>
        <v/>
      </c>
      <c r="AF293" s="16" t="n"/>
      <c r="AG293" s="138" t="n"/>
      <c r="AH293" s="16" t="n"/>
      <c r="AI293" s="138" t="n"/>
      <c r="AJ293" s="16" t="n"/>
      <c r="AK293" s="138" t="n"/>
      <c r="AL293" s="16" t="n"/>
      <c r="AM293" s="138" t="n"/>
      <c r="AN293" s="16" t="n"/>
      <c r="AO293" s="138" t="n"/>
      <c r="AP293" s="16" t="n"/>
      <c r="AQ293" s="138" t="n"/>
      <c r="AR293" s="16" t="n"/>
      <c r="AS293" s="138" t="n"/>
      <c r="AT293" s="16" t="n"/>
      <c r="AU293" s="138" t="n"/>
      <c r="AV293" s="16" t="n"/>
      <c r="AW293" s="138" t="n"/>
      <c r="AX293" s="16" t="n"/>
      <c r="AY293" s="138" t="n"/>
      <c r="AZ293" s="16">
        <f>AF293+AH293+AJ293+AL293+AN293+AP293+AR293+AT293+AV293+AX293</f>
        <v/>
      </c>
      <c r="BA293" s="16" t="n"/>
      <c r="BB293" s="139" t="n"/>
      <c r="BC293" s="16" t="n"/>
      <c r="BD293" s="139" t="n"/>
      <c r="BE293" s="16">
        <f>(BA293+BC293)</f>
        <v/>
      </c>
    </row>
    <row r="294">
      <c r="A294" s="9" t="n"/>
      <c r="B294" s="136" t="inlineStr">
        <is>
          <t>ABS 난연</t>
        </is>
      </c>
      <c r="C294" s="137" t="inlineStr">
        <is>
          <t>ADX4000W</t>
        </is>
      </c>
      <c r="D294" s="65" t="inlineStr">
        <is>
          <t>HINGE GUIDE</t>
        </is>
      </c>
      <c r="E294" s="13" t="inlineStr">
        <is>
          <t>ABS 난연 화이트</t>
        </is>
      </c>
      <c r="F294" s="100" t="n"/>
      <c r="G294" s="9" t="n"/>
      <c r="H294" s="9" t="inlineStr">
        <is>
          <t>천우</t>
        </is>
      </c>
      <c r="I294" s="14" t="n"/>
      <c r="J294" s="14" t="n"/>
      <c r="K294" s="12" t="n">
        <v>225</v>
      </c>
      <c r="L294" s="9" t="n"/>
      <c r="M294" s="9" t="n"/>
      <c r="N294" s="9" t="n"/>
      <c r="O294" s="40">
        <f>K294+V294-AE294-AZ294</f>
        <v/>
      </c>
      <c r="P294" s="12" t="n"/>
      <c r="Q294" s="138" t="n"/>
      <c r="R294" s="16" t="n"/>
      <c r="S294" s="139" t="n"/>
      <c r="T294" s="16" t="n"/>
      <c r="U294" s="139" t="n"/>
      <c r="V294" s="16">
        <f>P294+R294+T294</f>
        <v/>
      </c>
      <c r="W294" s="16" t="n"/>
      <c r="X294" s="139" t="n"/>
      <c r="Y294" s="16" t="n"/>
      <c r="Z294" s="139" t="n"/>
      <c r="AA294" s="16" t="n"/>
      <c r="AB294" s="139" t="n"/>
      <c r="AC294" s="16" t="n"/>
      <c r="AD294" s="139" t="n"/>
      <c r="AE294" s="16">
        <f>(W294+Y294+AA294+AC294)</f>
        <v/>
      </c>
      <c r="AF294" s="16" t="n"/>
      <c r="AG294" s="138" t="n"/>
      <c r="AH294" s="16" t="n"/>
      <c r="AI294" s="138" t="n"/>
      <c r="AJ294" s="16" t="n"/>
      <c r="AK294" s="138" t="n"/>
      <c r="AL294" s="16" t="n"/>
      <c r="AM294" s="138" t="n"/>
      <c r="AN294" s="16" t="n"/>
      <c r="AO294" s="138" t="n"/>
      <c r="AP294" s="16" t="n"/>
      <c r="AQ294" s="138" t="n"/>
      <c r="AR294" s="16" t="n"/>
      <c r="AS294" s="138" t="n"/>
      <c r="AT294" s="16" t="n"/>
      <c r="AU294" s="138" t="n"/>
      <c r="AV294" s="16" t="n"/>
      <c r="AW294" s="138" t="n"/>
      <c r="AX294" s="16" t="n"/>
      <c r="AY294" s="138" t="n"/>
      <c r="AZ294" s="16">
        <f>AF294+AH294+AJ294+AL294+AN294+AP294+AR294+AT294+AV294+AX294</f>
        <v/>
      </c>
      <c r="BA294" s="16" t="n"/>
      <c r="BB294" s="139" t="n"/>
      <c r="BC294" s="16" t="n"/>
      <c r="BD294" s="139" t="n"/>
      <c r="BE294" s="16">
        <f>(BA294+BC294)</f>
        <v/>
      </c>
    </row>
    <row r="295">
      <c r="A295" s="9" t="n"/>
      <c r="B295" s="136" t="inlineStr">
        <is>
          <t>ABS 난연</t>
        </is>
      </c>
      <c r="C295" s="137" t="inlineStr">
        <is>
          <t>ADX4000W</t>
        </is>
      </c>
      <c r="D295" s="83" t="inlineStr">
        <is>
          <t>POWER BUTTON</t>
        </is>
      </c>
      <c r="E295" s="13" t="inlineStr">
        <is>
          <t>ABS 난연 화이트 + 밝은 회색</t>
        </is>
      </c>
      <c r="F295" s="100" t="n"/>
      <c r="G295" s="9" t="n"/>
      <c r="H295" s="9" t="inlineStr">
        <is>
          <t>천우</t>
        </is>
      </c>
      <c r="I295" s="14" t="n"/>
      <c r="J295" s="14" t="n"/>
      <c r="K295" s="12" t="n">
        <v>93</v>
      </c>
      <c r="L295" s="9" t="n"/>
      <c r="M295" s="9" t="n"/>
      <c r="N295" s="9" t="n"/>
      <c r="O295" s="40">
        <f>K295+V295-AE295-AZ295</f>
        <v/>
      </c>
      <c r="P295" s="12" t="n"/>
      <c r="Q295" s="138" t="n"/>
      <c r="R295" s="16" t="n"/>
      <c r="S295" s="139" t="n"/>
      <c r="T295" s="16" t="n"/>
      <c r="U295" s="139" t="n"/>
      <c r="V295" s="16">
        <f>P295+R295+T295</f>
        <v/>
      </c>
      <c r="W295" s="16" t="n"/>
      <c r="X295" s="139" t="n"/>
      <c r="Y295" s="16" t="n"/>
      <c r="Z295" s="139" t="n"/>
      <c r="AA295" s="16" t="n"/>
      <c r="AB295" s="139" t="n"/>
      <c r="AC295" s="16" t="n"/>
      <c r="AD295" s="139" t="n"/>
      <c r="AE295" s="16">
        <f>(W295+Y295+AA295+AC295)</f>
        <v/>
      </c>
      <c r="AF295" s="16" t="n"/>
      <c r="AG295" s="138" t="n"/>
      <c r="AH295" s="16" t="n"/>
      <c r="AI295" s="138" t="n"/>
      <c r="AJ295" s="16" t="n"/>
      <c r="AK295" s="138" t="n"/>
      <c r="AL295" s="16" t="n"/>
      <c r="AM295" s="138" t="n"/>
      <c r="AN295" s="16" t="n"/>
      <c r="AO295" s="138" t="n"/>
      <c r="AP295" s="16" t="n"/>
      <c r="AQ295" s="138" t="n"/>
      <c r="AR295" s="16" t="n"/>
      <c r="AS295" s="138" t="n"/>
      <c r="AT295" s="16" t="n"/>
      <c r="AU295" s="138" t="n"/>
      <c r="AV295" s="16" t="n"/>
      <c r="AW295" s="138" t="n"/>
      <c r="AX295" s="16" t="n"/>
      <c r="AY295" s="138" t="n"/>
      <c r="AZ295" s="16">
        <f>AF295+AH295+AJ295+AL295+AN295+AP295+AR295+AT295+AV295+AX295</f>
        <v/>
      </c>
      <c r="BA295" s="16" t="n"/>
      <c r="BB295" s="139" t="n"/>
      <c r="BC295" s="16" t="n"/>
      <c r="BD295" s="139" t="n"/>
      <c r="BE295" s="16">
        <f>(BA295+BC295)</f>
        <v/>
      </c>
    </row>
    <row r="296">
      <c r="A296" s="9" t="n"/>
      <c r="B296" s="136" t="inlineStr">
        <is>
          <t>ABS 난연</t>
        </is>
      </c>
      <c r="C296" s="137" t="inlineStr">
        <is>
          <t>ADX4000W</t>
        </is>
      </c>
      <c r="D296" s="65" t="inlineStr">
        <is>
          <t>POWER BUTTON 스프레이 X</t>
        </is>
      </c>
      <c r="E296" s="13" t="inlineStr">
        <is>
          <t>ABS 난연 화이트</t>
        </is>
      </c>
      <c r="F296" s="100" t="n"/>
      <c r="G296" s="9" t="n"/>
      <c r="H296" s="9" t="inlineStr">
        <is>
          <t>천우</t>
        </is>
      </c>
      <c r="I296" s="14" t="n"/>
      <c r="J296" s="14" t="n"/>
      <c r="K296" s="12" t="n">
        <v>3331</v>
      </c>
      <c r="L296" s="9" t="n"/>
      <c r="M296" s="9" t="n"/>
      <c r="N296" s="9" t="n"/>
      <c r="O296" s="40">
        <f>K296+V296-AE296-AZ296</f>
        <v/>
      </c>
      <c r="P296" s="12" t="n"/>
      <c r="Q296" s="138" t="n"/>
      <c r="R296" s="16" t="n"/>
      <c r="S296" s="139" t="n"/>
      <c r="T296" s="16" t="n"/>
      <c r="U296" s="139" t="n"/>
      <c r="V296" s="16">
        <f>P296+R296+T296</f>
        <v/>
      </c>
      <c r="W296" s="16" t="n"/>
      <c r="X296" s="139" t="n"/>
      <c r="Y296" s="16" t="n"/>
      <c r="Z296" s="139" t="n"/>
      <c r="AA296" s="16" t="n"/>
      <c r="AB296" s="139" t="n"/>
      <c r="AC296" s="16" t="n"/>
      <c r="AD296" s="139" t="n"/>
      <c r="AE296" s="16">
        <f>(W296+Y296+AA296+AC296)</f>
        <v/>
      </c>
      <c r="AF296" s="16" t="n"/>
      <c r="AG296" s="138" t="n"/>
      <c r="AH296" s="16" t="n"/>
      <c r="AI296" s="138" t="n"/>
      <c r="AJ296" s="16" t="n"/>
      <c r="AK296" s="138" t="n"/>
      <c r="AL296" s="16" t="n"/>
      <c r="AM296" s="138" t="n"/>
      <c r="AN296" s="16" t="n"/>
      <c r="AO296" s="138" t="n"/>
      <c r="AP296" s="16" t="n"/>
      <c r="AQ296" s="138" t="n"/>
      <c r="AR296" s="16" t="n"/>
      <c r="AS296" s="138" t="n"/>
      <c r="AT296" s="16" t="n"/>
      <c r="AU296" s="138" t="n"/>
      <c r="AV296" s="16" t="n"/>
      <c r="AW296" s="138" t="n"/>
      <c r="AX296" s="16" t="n"/>
      <c r="AY296" s="138" t="n"/>
      <c r="AZ296" s="16">
        <f>AF296+AH296+AJ296+AL296+AN296+AP296+AR296+AT296+AV296+AX296</f>
        <v/>
      </c>
      <c r="BA296" s="16" t="n"/>
      <c r="BB296" s="139" t="n"/>
      <c r="BC296" s="16" t="n"/>
      <c r="BD296" s="139" t="n"/>
      <c r="BE296" s="16">
        <f>(BA296+BC296)</f>
        <v/>
      </c>
    </row>
    <row r="297">
      <c r="A297" s="9" t="n"/>
      <c r="B297" s="136" t="inlineStr">
        <is>
          <t>ABS 난연</t>
        </is>
      </c>
      <c r="C297" s="137" t="inlineStr">
        <is>
          <t>ADX4000W</t>
        </is>
      </c>
      <c r="D297" s="83" t="inlineStr">
        <is>
          <t>EXPOSE BUTTON</t>
        </is>
      </c>
      <c r="E297" s="13" t="inlineStr">
        <is>
          <t>ABS 난연 화이트 + 밝은 회색</t>
        </is>
      </c>
      <c r="F297" s="100" t="n"/>
      <c r="G297" s="9" t="n"/>
      <c r="H297" s="9" t="inlineStr">
        <is>
          <t>천우</t>
        </is>
      </c>
      <c r="I297" s="14" t="n"/>
      <c r="J297" s="14" t="n"/>
      <c r="K297" s="12" t="n">
        <v>6</v>
      </c>
      <c r="L297" s="9" t="n"/>
      <c r="M297" s="9" t="n"/>
      <c r="N297" s="9" t="n"/>
      <c r="O297" s="40">
        <f>K297+V297-AE297-AZ297</f>
        <v/>
      </c>
      <c r="P297" s="12" t="n"/>
      <c r="Q297" s="138" t="n"/>
      <c r="R297" s="16" t="n"/>
      <c r="S297" s="139" t="n"/>
      <c r="T297" s="16" t="n"/>
      <c r="U297" s="139" t="n"/>
      <c r="V297" s="16">
        <f>P297+R297+T297</f>
        <v/>
      </c>
      <c r="W297" s="16" t="n"/>
      <c r="X297" s="139" t="n"/>
      <c r="Y297" s="16" t="n"/>
      <c r="Z297" s="139" t="n"/>
      <c r="AA297" s="16" t="n"/>
      <c r="AB297" s="139" t="n"/>
      <c r="AC297" s="16" t="n"/>
      <c r="AD297" s="139" t="n"/>
      <c r="AE297" s="16">
        <f>(W297+Y297+AA297+AC297)</f>
        <v/>
      </c>
      <c r="AF297" s="16" t="n"/>
      <c r="AG297" s="138" t="n"/>
      <c r="AH297" s="16" t="n"/>
      <c r="AI297" s="138" t="n"/>
      <c r="AJ297" s="16" t="n"/>
      <c r="AK297" s="138" t="n"/>
      <c r="AL297" s="16" t="n"/>
      <c r="AM297" s="138" t="n"/>
      <c r="AN297" s="16" t="n"/>
      <c r="AO297" s="138" t="n"/>
      <c r="AP297" s="16" t="n"/>
      <c r="AQ297" s="138" t="n"/>
      <c r="AR297" s="16" t="n"/>
      <c r="AS297" s="138" t="n"/>
      <c r="AT297" s="16" t="n"/>
      <c r="AU297" s="138" t="n"/>
      <c r="AV297" s="16" t="n"/>
      <c r="AW297" s="138" t="n"/>
      <c r="AX297" s="16" t="n"/>
      <c r="AY297" s="138" t="n"/>
      <c r="AZ297" s="16">
        <f>AF297+AH297+AJ297+AL297+AN297+AP297+AR297+AT297+AV297+AX297</f>
        <v/>
      </c>
      <c r="BA297" s="16" t="n"/>
      <c r="BB297" s="139" t="n"/>
      <c r="BC297" s="16" t="n"/>
      <c r="BD297" s="139" t="n"/>
      <c r="BE297" s="16">
        <f>(BA297+BC297)</f>
        <v/>
      </c>
    </row>
    <row r="298">
      <c r="A298" s="9" t="n"/>
      <c r="B298" s="136" t="inlineStr">
        <is>
          <t>ABS 난연</t>
        </is>
      </c>
      <c r="C298" s="137" t="inlineStr">
        <is>
          <t>ADX4000W</t>
        </is>
      </c>
      <c r="D298" s="82" t="inlineStr">
        <is>
          <t>EXPOSE BUTTON 스프레이 X</t>
        </is>
      </c>
      <c r="E298" s="13" t="inlineStr">
        <is>
          <t>ABS 난연 화이트</t>
        </is>
      </c>
      <c r="F298" s="100" t="n"/>
      <c r="G298" s="9" t="n"/>
      <c r="H298" s="9" t="inlineStr">
        <is>
          <t>천우</t>
        </is>
      </c>
      <c r="I298" s="14" t="n"/>
      <c r="J298" s="14" t="n"/>
      <c r="K298" s="12" t="n">
        <v>3432</v>
      </c>
      <c r="L298" s="9" t="n"/>
      <c r="M298" s="9" t="n"/>
      <c r="N298" s="9" t="n"/>
      <c r="O298" s="40">
        <f>K298+V298-AE298-AZ298</f>
        <v/>
      </c>
      <c r="P298" s="12" t="n"/>
      <c r="Q298" s="138" t="n"/>
      <c r="R298" s="16" t="n"/>
      <c r="S298" s="139" t="n"/>
      <c r="T298" s="16" t="n"/>
      <c r="U298" s="139" t="n"/>
      <c r="V298" s="16">
        <f>P298+R298+T298</f>
        <v/>
      </c>
      <c r="W298" s="16" t="n"/>
      <c r="X298" s="139" t="n"/>
      <c r="Y298" s="16" t="n"/>
      <c r="Z298" s="139" t="n"/>
      <c r="AA298" s="16" t="n"/>
      <c r="AB298" s="139" t="n"/>
      <c r="AC298" s="16" t="n"/>
      <c r="AD298" s="139" t="n"/>
      <c r="AE298" s="16">
        <f>(W298+Y298+AA298+AC298)</f>
        <v/>
      </c>
      <c r="AF298" s="16" t="n"/>
      <c r="AG298" s="138" t="n"/>
      <c r="AH298" s="16" t="n"/>
      <c r="AI298" s="138" t="n"/>
      <c r="AJ298" s="16" t="n"/>
      <c r="AK298" s="138" t="n"/>
      <c r="AL298" s="16" t="n"/>
      <c r="AM298" s="138" t="n"/>
      <c r="AN298" s="16" t="n"/>
      <c r="AO298" s="138" t="n"/>
      <c r="AP298" s="16" t="n"/>
      <c r="AQ298" s="138" t="n"/>
      <c r="AR298" s="16" t="n"/>
      <c r="AS298" s="138" t="n"/>
      <c r="AT298" s="16" t="n"/>
      <c r="AU298" s="138" t="n"/>
      <c r="AV298" s="16" t="n"/>
      <c r="AW298" s="138" t="n"/>
      <c r="AX298" s="16" t="n"/>
      <c r="AY298" s="138" t="n"/>
      <c r="AZ298" s="16">
        <f>AF298+AH298+AJ298+AL298+AN298+AP298+AR298+AT298+AV298+AX298</f>
        <v/>
      </c>
      <c r="BA298" s="16" t="n"/>
      <c r="BB298" s="139" t="n"/>
      <c r="BC298" s="16" t="n"/>
      <c r="BD298" s="139" t="n"/>
      <c r="BE298" s="16">
        <f>(BA298+BC298)</f>
        <v/>
      </c>
    </row>
    <row r="299">
      <c r="A299" s="9" t="n"/>
      <c r="B299" s="136" t="inlineStr">
        <is>
          <t>ABS 난연</t>
        </is>
      </c>
      <c r="C299" s="137" t="inlineStr">
        <is>
          <t>ADX4000W</t>
        </is>
      </c>
      <c r="D299" s="82" t="inlineStr">
        <is>
          <t>NAVI BUTTON (가운데)</t>
        </is>
      </c>
      <c r="E299" s="13" t="inlineStr">
        <is>
          <t>ABS 난연 화이트 + 밝은 회색</t>
        </is>
      </c>
      <c r="F299" s="100" t="n"/>
      <c r="G299" s="9" t="n"/>
      <c r="H299" s="9" t="inlineStr">
        <is>
          <t>천우</t>
        </is>
      </c>
      <c r="I299" s="14" t="n"/>
      <c r="J299" s="14" t="n"/>
      <c r="K299" s="12" t="n">
        <v>35</v>
      </c>
      <c r="L299" s="9" t="n"/>
      <c r="M299" s="9" t="n"/>
      <c r="N299" s="9" t="n"/>
      <c r="O299" s="40">
        <f>K299+V299-AE299-AZ299</f>
        <v/>
      </c>
      <c r="P299" s="12" t="n"/>
      <c r="Q299" s="138" t="n"/>
      <c r="R299" s="16" t="n"/>
      <c r="S299" s="139" t="n"/>
      <c r="T299" s="16" t="n"/>
      <c r="U299" s="139" t="n"/>
      <c r="V299" s="16">
        <f>P299+R299+T299</f>
        <v/>
      </c>
      <c r="W299" s="16" t="n"/>
      <c r="X299" s="139" t="n"/>
      <c r="Y299" s="16" t="n"/>
      <c r="Z299" s="139" t="n"/>
      <c r="AA299" s="16" t="n"/>
      <c r="AB299" s="139" t="n"/>
      <c r="AC299" s="16" t="n"/>
      <c r="AD299" s="139" t="n"/>
      <c r="AE299" s="16">
        <f>(W299+Y299+AA299+AC299)</f>
        <v/>
      </c>
      <c r="AF299" s="16" t="n"/>
      <c r="AG299" s="138" t="n"/>
      <c r="AH299" s="16" t="n"/>
      <c r="AI299" s="138" t="n"/>
      <c r="AJ299" s="16" t="n"/>
      <c r="AK299" s="138" t="n"/>
      <c r="AL299" s="16" t="n"/>
      <c r="AM299" s="138" t="n"/>
      <c r="AN299" s="16" t="n"/>
      <c r="AO299" s="138" t="n"/>
      <c r="AP299" s="16" t="n"/>
      <c r="AQ299" s="138" t="n"/>
      <c r="AR299" s="16" t="n"/>
      <c r="AS299" s="138" t="n"/>
      <c r="AT299" s="16" t="n"/>
      <c r="AU299" s="138" t="n"/>
      <c r="AV299" s="16" t="n"/>
      <c r="AW299" s="138" t="n"/>
      <c r="AX299" s="16" t="n"/>
      <c r="AY299" s="138" t="n"/>
      <c r="AZ299" s="16">
        <f>AF299+AH299+AJ299+AL299+AN299+AP299+AR299+AT299+AV299+AX299</f>
        <v/>
      </c>
      <c r="BA299" s="16" t="n"/>
      <c r="BB299" s="139" t="n"/>
      <c r="BC299" s="16" t="n"/>
      <c r="BD299" s="139" t="n"/>
      <c r="BE299" s="16">
        <f>(BA299+BC299)</f>
        <v/>
      </c>
    </row>
    <row r="300">
      <c r="A300" s="9" t="n"/>
      <c r="B300" s="136" t="inlineStr">
        <is>
          <t>ABS 난연</t>
        </is>
      </c>
      <c r="C300" s="137" t="inlineStr">
        <is>
          <t>ADX4000W</t>
        </is>
      </c>
      <c r="D300" s="82" t="inlineStr">
        <is>
          <t>NAVI BUTTON 스프레이 X (가운데)</t>
        </is>
      </c>
      <c r="E300" s="13" t="inlineStr">
        <is>
          <t>ABS 난연 화이트</t>
        </is>
      </c>
      <c r="F300" s="100" t="n"/>
      <c r="G300" s="9" t="n"/>
      <c r="H300" s="9" t="inlineStr">
        <is>
          <t>천우</t>
        </is>
      </c>
      <c r="I300" s="14" t="n"/>
      <c r="J300" s="14" t="n"/>
      <c r="K300" s="12" t="n">
        <v>2756</v>
      </c>
      <c r="L300" s="9" t="n"/>
      <c r="M300" s="9" t="n"/>
      <c r="N300" s="9" t="n"/>
      <c r="O300" s="40">
        <f>K300+V300-AE300-AZ300</f>
        <v/>
      </c>
      <c r="P300" s="12" t="n"/>
      <c r="Q300" s="138" t="n"/>
      <c r="R300" s="16" t="n"/>
      <c r="S300" s="139" t="n"/>
      <c r="T300" s="16" t="n"/>
      <c r="U300" s="139" t="n"/>
      <c r="V300" s="16">
        <f>P300+R300+T300</f>
        <v/>
      </c>
      <c r="W300" s="16" t="n"/>
      <c r="X300" s="139" t="n"/>
      <c r="Y300" s="16" t="n"/>
      <c r="Z300" s="139" t="n"/>
      <c r="AA300" s="16" t="n"/>
      <c r="AB300" s="139" t="n"/>
      <c r="AC300" s="16" t="n"/>
      <c r="AD300" s="139" t="n"/>
      <c r="AE300" s="16">
        <f>(W300+Y300+AA300+AC300)</f>
        <v/>
      </c>
      <c r="AF300" s="16" t="n"/>
      <c r="AG300" s="138" t="n"/>
      <c r="AH300" s="16" t="n"/>
      <c r="AI300" s="138" t="n"/>
      <c r="AJ300" s="16" t="n"/>
      <c r="AK300" s="138" t="n"/>
      <c r="AL300" s="16" t="n"/>
      <c r="AM300" s="138" t="n"/>
      <c r="AN300" s="16" t="n"/>
      <c r="AO300" s="138" t="n"/>
      <c r="AP300" s="16" t="n"/>
      <c r="AQ300" s="138" t="n"/>
      <c r="AR300" s="16" t="n"/>
      <c r="AS300" s="138" t="n"/>
      <c r="AT300" s="16" t="n"/>
      <c r="AU300" s="138" t="n"/>
      <c r="AV300" s="16" t="n"/>
      <c r="AW300" s="138" t="n"/>
      <c r="AX300" s="16" t="n"/>
      <c r="AY300" s="138" t="n"/>
      <c r="AZ300" s="16">
        <f>AF300+AH300+AJ300+AL300+AN300+AP300+AR300+AT300+AV300+AX300</f>
        <v/>
      </c>
      <c r="BA300" s="16" t="n"/>
      <c r="BB300" s="139" t="n"/>
      <c r="BC300" s="16" t="n"/>
      <c r="BD300" s="139" t="n"/>
      <c r="BE300" s="16">
        <f>(BA300+BC300)</f>
        <v/>
      </c>
    </row>
    <row r="301">
      <c r="A301" s="9" t="n"/>
      <c r="B301" s="136" t="inlineStr">
        <is>
          <t>ABS 난연</t>
        </is>
      </c>
      <c r="C301" s="137" t="inlineStr">
        <is>
          <t>ADX4000W</t>
        </is>
      </c>
      <c r="D301" s="82" t="inlineStr">
        <is>
          <t>NAVI KEY (방향)</t>
        </is>
      </c>
      <c r="E301" s="13" t="inlineStr">
        <is>
          <t>ABS 난연 화이트 + 밝은 회색</t>
        </is>
      </c>
      <c r="F301" s="100" t="n"/>
      <c r="G301" s="9" t="n"/>
      <c r="H301" s="9" t="inlineStr">
        <is>
          <t>천우</t>
        </is>
      </c>
      <c r="I301" s="14" t="n"/>
      <c r="J301" s="14" t="n"/>
      <c r="K301" s="12" t="n">
        <v>74</v>
      </c>
      <c r="L301" s="9" t="n"/>
      <c r="M301" s="9" t="n"/>
      <c r="N301" s="9" t="n"/>
      <c r="O301" s="40">
        <f>K301+V301-AE301-AZ301</f>
        <v/>
      </c>
      <c r="P301" s="12" t="n"/>
      <c r="Q301" s="138" t="n"/>
      <c r="R301" s="16" t="n"/>
      <c r="S301" s="139" t="n"/>
      <c r="T301" s="16" t="n"/>
      <c r="U301" s="139" t="n"/>
      <c r="V301" s="16">
        <f>P301+R301+T301</f>
        <v/>
      </c>
      <c r="W301" s="16" t="n"/>
      <c r="X301" s="139" t="n"/>
      <c r="Y301" s="16" t="n"/>
      <c r="Z301" s="139" t="n"/>
      <c r="AA301" s="16" t="n"/>
      <c r="AB301" s="139" t="n"/>
      <c r="AC301" s="16" t="n"/>
      <c r="AD301" s="139" t="n"/>
      <c r="AE301" s="16">
        <f>(W301+Y301+AA301+AC301)</f>
        <v/>
      </c>
      <c r="AF301" s="16" t="n"/>
      <c r="AG301" s="138" t="n"/>
      <c r="AH301" s="16" t="n"/>
      <c r="AI301" s="138" t="n"/>
      <c r="AJ301" s="16" t="n"/>
      <c r="AK301" s="138" t="n"/>
      <c r="AL301" s="16" t="n"/>
      <c r="AM301" s="138" t="n"/>
      <c r="AN301" s="16" t="n"/>
      <c r="AO301" s="138" t="n"/>
      <c r="AP301" s="16" t="n"/>
      <c r="AQ301" s="138" t="n"/>
      <c r="AR301" s="16" t="n"/>
      <c r="AS301" s="138" t="n"/>
      <c r="AT301" s="16" t="n"/>
      <c r="AU301" s="138" t="n"/>
      <c r="AV301" s="16" t="n"/>
      <c r="AW301" s="138" t="n"/>
      <c r="AX301" s="16" t="n"/>
      <c r="AY301" s="138" t="n"/>
      <c r="AZ301" s="16">
        <f>AF301+AH301+AJ301+AL301+AN301+AP301+AR301+AT301+AV301+AX301</f>
        <v/>
      </c>
      <c r="BA301" s="16" t="n"/>
      <c r="BB301" s="139" t="n"/>
      <c r="BC301" s="16" t="n"/>
      <c r="BD301" s="139" t="n"/>
      <c r="BE301" s="16">
        <f>(BA301+BC301)</f>
        <v/>
      </c>
    </row>
    <row r="302">
      <c r="A302" s="9" t="n"/>
      <c r="B302" s="136" t="inlineStr">
        <is>
          <t>ABS 난연</t>
        </is>
      </c>
      <c r="C302" s="137" t="inlineStr">
        <is>
          <t>ADX4000W</t>
        </is>
      </c>
      <c r="D302" s="82" t="inlineStr">
        <is>
          <t>NAVI KEY 사파리 (방향)</t>
        </is>
      </c>
      <c r="E302" s="13" t="inlineStr">
        <is>
          <t>ABS 난연 반투명</t>
        </is>
      </c>
      <c r="F302" s="100" t="n"/>
      <c r="G302" s="9" t="n"/>
      <c r="H302" s="9" t="inlineStr">
        <is>
          <t>천우</t>
        </is>
      </c>
      <c r="I302" s="14" t="n"/>
      <c r="J302" s="14" t="n"/>
      <c r="K302" s="12" t="n">
        <v>78</v>
      </c>
      <c r="L302" s="9" t="n"/>
      <c r="M302" s="9" t="n"/>
      <c r="N302" s="9" t="n"/>
      <c r="O302" s="40">
        <f>K302+V302-AE302-AZ302</f>
        <v/>
      </c>
      <c r="P302" s="12" t="n"/>
      <c r="Q302" s="138" t="n"/>
      <c r="R302" s="16" t="n"/>
      <c r="S302" s="139" t="n"/>
      <c r="T302" s="16" t="n"/>
      <c r="U302" s="139" t="n"/>
      <c r="V302" s="16">
        <f>P302+R302+T302</f>
        <v/>
      </c>
      <c r="W302" s="16" t="n"/>
      <c r="X302" s="139" t="n"/>
      <c r="Y302" s="16" t="n"/>
      <c r="Z302" s="139" t="n"/>
      <c r="AA302" s="16" t="n"/>
      <c r="AB302" s="139" t="n"/>
      <c r="AC302" s="16" t="n"/>
      <c r="AD302" s="139" t="n"/>
      <c r="AE302" s="16">
        <f>(W302+Y302+AA302+AC302)</f>
        <v/>
      </c>
      <c r="AF302" s="16" t="n"/>
      <c r="AG302" s="138" t="n"/>
      <c r="AH302" s="16" t="n"/>
      <c r="AI302" s="138" t="n"/>
      <c r="AJ302" s="16" t="n"/>
      <c r="AK302" s="138" t="n"/>
      <c r="AL302" s="16" t="n"/>
      <c r="AM302" s="138" t="n"/>
      <c r="AN302" s="16" t="n"/>
      <c r="AO302" s="138" t="n"/>
      <c r="AP302" s="16" t="n"/>
      <c r="AQ302" s="138" t="n"/>
      <c r="AR302" s="16" t="n"/>
      <c r="AS302" s="138" t="n"/>
      <c r="AT302" s="16" t="n"/>
      <c r="AU302" s="138" t="n"/>
      <c r="AV302" s="16" t="n"/>
      <c r="AW302" s="138" t="n"/>
      <c r="AX302" s="16" t="n"/>
      <c r="AY302" s="138" t="n"/>
      <c r="AZ302" s="16">
        <f>AF302+AH302+AJ302+AL302+AN302+AP302+AR302+AT302+AV302+AX302</f>
        <v/>
      </c>
      <c r="BA302" s="16" t="n"/>
      <c r="BB302" s="139" t="n"/>
      <c r="BC302" s="16" t="n"/>
      <c r="BD302" s="139" t="n"/>
      <c r="BE302" s="16">
        <f>(BA302+BC302)</f>
        <v/>
      </c>
    </row>
    <row r="303">
      <c r="A303" s="9" t="n"/>
      <c r="B303" s="136" t="inlineStr">
        <is>
          <t>ABS 난연</t>
        </is>
      </c>
      <c r="C303" s="137" t="inlineStr">
        <is>
          <t>ADX4000W</t>
        </is>
      </c>
      <c r="D303" s="82" t="inlineStr">
        <is>
          <t>NAVI KEY 스프레이 X (방향)</t>
        </is>
      </c>
      <c r="E303" s="13" t="inlineStr">
        <is>
          <t>ABS 난연 화이트</t>
        </is>
      </c>
      <c r="F303" s="100" t="n"/>
      <c r="G303" s="9" t="n"/>
      <c r="H303" s="9" t="inlineStr">
        <is>
          <t>천우</t>
        </is>
      </c>
      <c r="I303" s="14" t="n"/>
      <c r="J303" s="14" t="n"/>
      <c r="K303" s="12" t="n">
        <v>3340</v>
      </c>
      <c r="L303" s="9" t="n"/>
      <c r="M303" s="9" t="n"/>
      <c r="N303" s="9" t="n"/>
      <c r="O303" s="40">
        <f>K303+V303-AE303-AZ303</f>
        <v/>
      </c>
      <c r="P303" s="12" t="n"/>
      <c r="Q303" s="138" t="n"/>
      <c r="R303" s="16" t="n"/>
      <c r="S303" s="139" t="n"/>
      <c r="T303" s="16" t="n"/>
      <c r="U303" s="139" t="n"/>
      <c r="V303" s="16">
        <f>P303+R303+T303</f>
        <v/>
      </c>
      <c r="W303" s="16" t="n"/>
      <c r="X303" s="139" t="n"/>
      <c r="Y303" s="16" t="n"/>
      <c r="Z303" s="139" t="n"/>
      <c r="AA303" s="16" t="n"/>
      <c r="AB303" s="139" t="n"/>
      <c r="AC303" s="16" t="n"/>
      <c r="AD303" s="139" t="n"/>
      <c r="AE303" s="16">
        <f>(W303+Y303+AA303+AC303)</f>
        <v/>
      </c>
      <c r="AF303" s="16" t="n"/>
      <c r="AG303" s="138" t="n"/>
      <c r="AH303" s="16" t="n"/>
      <c r="AI303" s="138" t="n"/>
      <c r="AJ303" s="16" t="n"/>
      <c r="AK303" s="138" t="n"/>
      <c r="AL303" s="16" t="n"/>
      <c r="AM303" s="138" t="n"/>
      <c r="AN303" s="16" t="n"/>
      <c r="AO303" s="138" t="n"/>
      <c r="AP303" s="16" t="n"/>
      <c r="AQ303" s="138" t="n"/>
      <c r="AR303" s="16" t="n"/>
      <c r="AS303" s="138" t="n"/>
      <c r="AT303" s="16" t="n"/>
      <c r="AU303" s="138" t="n"/>
      <c r="AV303" s="16" t="n"/>
      <c r="AW303" s="138" t="n"/>
      <c r="AX303" s="16" t="n"/>
      <c r="AY303" s="138" t="n"/>
      <c r="AZ303" s="16">
        <f>AF303+AH303+AJ303+AL303+AN303+AP303+AR303+AT303+AV303+AX303</f>
        <v/>
      </c>
      <c r="BA303" s="16" t="n"/>
      <c r="BB303" s="139" t="n"/>
      <c r="BC303" s="16" t="n"/>
      <c r="BD303" s="139" t="n"/>
      <c r="BE303" s="16">
        <f>(BA303+BC303)</f>
        <v/>
      </c>
    </row>
    <row r="304">
      <c r="A304" s="9" t="n"/>
      <c r="B304" s="136" t="inlineStr">
        <is>
          <t>ABS 난연</t>
        </is>
      </c>
      <c r="C304" s="137" t="inlineStr">
        <is>
          <t>ADX4000W</t>
        </is>
      </c>
      <c r="D304" s="65" t="inlineStr">
        <is>
          <t>FRONT CONE 일체형</t>
        </is>
      </c>
      <c r="E304" s="13" t="inlineStr">
        <is>
          <t>ABS 난연 화이트 + 진한 회색</t>
        </is>
      </c>
      <c r="F304" s="100" t="n"/>
      <c r="G304" s="9" t="n"/>
      <c r="H304" s="9" t="inlineStr">
        <is>
          <t>천우</t>
        </is>
      </c>
      <c r="I304" s="14" t="n"/>
      <c r="J304" s="14" t="n"/>
      <c r="K304" s="12" t="n">
        <v>133</v>
      </c>
      <c r="L304" s="9" t="n"/>
      <c r="M304" s="9" t="n"/>
      <c r="N304" s="9" t="n"/>
      <c r="O304" s="40">
        <f>K304+V304-AE304-AZ304</f>
        <v/>
      </c>
      <c r="P304" s="12" t="n"/>
      <c r="Q304" s="138" t="n"/>
      <c r="R304" s="16" t="n"/>
      <c r="S304" s="139" t="n"/>
      <c r="T304" s="16" t="n"/>
      <c r="U304" s="139" t="n"/>
      <c r="V304" s="16">
        <f>P304+R304+T304</f>
        <v/>
      </c>
      <c r="W304" s="16" t="n"/>
      <c r="X304" s="139" t="n"/>
      <c r="Y304" s="16" t="n"/>
      <c r="Z304" s="139" t="n"/>
      <c r="AA304" s="16" t="n"/>
      <c r="AB304" s="139" t="n"/>
      <c r="AC304" s="16" t="n"/>
      <c r="AD304" s="139" t="n"/>
      <c r="AE304" s="16">
        <f>(W304+Y304+AA304+AC304)</f>
        <v/>
      </c>
      <c r="AF304" s="16" t="n"/>
      <c r="AG304" s="138" t="n"/>
      <c r="AH304" s="16" t="n"/>
      <c r="AI304" s="138" t="n"/>
      <c r="AJ304" s="16" t="n"/>
      <c r="AK304" s="138" t="n"/>
      <c r="AL304" s="16" t="n"/>
      <c r="AM304" s="138" t="n"/>
      <c r="AN304" s="16" t="n"/>
      <c r="AO304" s="138" t="n"/>
      <c r="AP304" s="16" t="n"/>
      <c r="AQ304" s="138" t="n"/>
      <c r="AR304" s="16" t="n"/>
      <c r="AS304" s="138" t="n"/>
      <c r="AT304" s="16" t="n"/>
      <c r="AU304" s="138" t="n"/>
      <c r="AV304" s="16" t="n"/>
      <c r="AW304" s="138" t="n"/>
      <c r="AX304" s="16" t="n"/>
      <c r="AY304" s="138" t="n"/>
      <c r="AZ304" s="16">
        <f>AF304+AH304+AJ304+AL304+AN304+AP304+AR304+AT304+AV304+AX304</f>
        <v/>
      </c>
      <c r="BA304" s="16" t="n"/>
      <c r="BB304" s="139" t="n"/>
      <c r="BC304" s="16" t="n"/>
      <c r="BD304" s="139" t="n"/>
      <c r="BE304" s="16">
        <f>(BA304+BC304)</f>
        <v/>
      </c>
    </row>
    <row r="305">
      <c r="A305" s="9" t="n"/>
      <c r="B305" s="136" t="inlineStr">
        <is>
          <t>ABS 난연</t>
        </is>
      </c>
      <c r="C305" s="137" t="inlineStr">
        <is>
          <t>ADX4000W</t>
        </is>
      </c>
      <c r="D305" s="65" t="inlineStr">
        <is>
          <t>FRONT CONE 체결형</t>
        </is>
      </c>
      <c r="E305" s="13" t="inlineStr">
        <is>
          <t>ABS 난연 화이트 + 진한 회색</t>
        </is>
      </c>
      <c r="F305" s="100" t="n"/>
      <c r="G305" s="9" t="n"/>
      <c r="H305" s="9" t="inlineStr">
        <is>
          <t>천우</t>
        </is>
      </c>
      <c r="I305" s="14" t="n"/>
      <c r="J305" s="14" t="n"/>
      <c r="K305" s="12" t="n">
        <v>123</v>
      </c>
      <c r="L305" s="9" t="n"/>
      <c r="M305" s="9" t="n"/>
      <c r="N305" s="9" t="n"/>
      <c r="O305" s="40">
        <f>K305+V305-AE305-AZ305</f>
        <v/>
      </c>
      <c r="P305" s="12" t="n"/>
      <c r="Q305" s="138" t="n"/>
      <c r="R305" s="16" t="n"/>
      <c r="S305" s="139" t="n"/>
      <c r="T305" s="16" t="n"/>
      <c r="U305" s="139" t="n"/>
      <c r="V305" s="16">
        <f>P305+R305+T305</f>
        <v/>
      </c>
      <c r="W305" s="16" t="n"/>
      <c r="X305" s="139" t="n"/>
      <c r="Y305" s="16" t="n"/>
      <c r="Z305" s="139" t="n"/>
      <c r="AA305" s="16" t="n"/>
      <c r="AB305" s="139" t="n"/>
      <c r="AC305" s="16" t="n"/>
      <c r="AD305" s="139" t="n"/>
      <c r="AE305" s="16">
        <f>(W305+Y305+AA305+AC305)</f>
        <v/>
      </c>
      <c r="AF305" s="16" t="n"/>
      <c r="AG305" s="138" t="n"/>
      <c r="AH305" s="16" t="n"/>
      <c r="AI305" s="138" t="n"/>
      <c r="AJ305" s="16" t="n"/>
      <c r="AK305" s="138" t="n"/>
      <c r="AL305" s="16" t="n"/>
      <c r="AM305" s="138" t="n"/>
      <c r="AN305" s="16" t="n"/>
      <c r="AO305" s="138" t="n"/>
      <c r="AP305" s="16" t="n"/>
      <c r="AQ305" s="138" t="n"/>
      <c r="AR305" s="16" t="n"/>
      <c r="AS305" s="138" t="n"/>
      <c r="AT305" s="16" t="n"/>
      <c r="AU305" s="138" t="n"/>
      <c r="AV305" s="16" t="n"/>
      <c r="AW305" s="138" t="n"/>
      <c r="AX305" s="16" t="n"/>
      <c r="AY305" s="138" t="n"/>
      <c r="AZ305" s="16">
        <f>AF305+AH305+AJ305+AL305+AN305+AP305+AR305+AT305+AV305+AX305</f>
        <v/>
      </c>
      <c r="BA305" s="16" t="n"/>
      <c r="BB305" s="139" t="n"/>
      <c r="BC305" s="16" t="n"/>
      <c r="BD305" s="139" t="n"/>
      <c r="BE305" s="16">
        <f>(BA305+BC305)</f>
        <v/>
      </c>
    </row>
    <row r="306">
      <c r="A306" s="9" t="n"/>
      <c r="B306" s="136" t="inlineStr">
        <is>
          <t>ABS 난연</t>
        </is>
      </c>
      <c r="C306" s="137" t="inlineStr">
        <is>
          <t>ADX4000W</t>
        </is>
      </c>
      <c r="D306" s="83" t="inlineStr">
        <is>
          <t>20cm CONE</t>
        </is>
      </c>
      <c r="E306" s="13" t="inlineStr">
        <is>
          <t>ABS 난연 화이트 + 진한 회색</t>
        </is>
      </c>
      <c r="F306" s="100" t="n"/>
      <c r="G306" s="9" t="n"/>
      <c r="H306" s="9" t="inlineStr">
        <is>
          <t>천우</t>
        </is>
      </c>
      <c r="I306" s="14" t="n"/>
      <c r="J306" s="14" t="n"/>
      <c r="K306" s="12" t="n">
        <v>134</v>
      </c>
      <c r="L306" s="9" t="n"/>
      <c r="M306" s="9" t="n"/>
      <c r="N306" s="9" t="n"/>
      <c r="O306" s="40">
        <f>K306+V306-AE306-AZ306</f>
        <v/>
      </c>
      <c r="P306" s="12" t="n"/>
      <c r="Q306" s="138" t="n"/>
      <c r="R306" s="16" t="n"/>
      <c r="S306" s="139" t="n"/>
      <c r="T306" s="16" t="n"/>
      <c r="U306" s="139" t="n"/>
      <c r="V306" s="16">
        <f>P306+R306+T306</f>
        <v/>
      </c>
      <c r="W306" s="16" t="n"/>
      <c r="X306" s="139" t="n"/>
      <c r="Y306" s="16" t="n"/>
      <c r="Z306" s="139" t="n"/>
      <c r="AA306" s="16" t="n"/>
      <c r="AB306" s="139" t="n"/>
      <c r="AC306" s="16" t="n"/>
      <c r="AD306" s="139" t="n"/>
      <c r="AE306" s="16">
        <f>(W306+Y306+AA306+AC306)</f>
        <v/>
      </c>
      <c r="AF306" s="16" t="n"/>
      <c r="AG306" s="138" t="n"/>
      <c r="AH306" s="16" t="n"/>
      <c r="AI306" s="138" t="n"/>
      <c r="AJ306" s="16" t="n"/>
      <c r="AK306" s="138" t="n"/>
      <c r="AL306" s="16" t="n"/>
      <c r="AM306" s="138" t="n"/>
      <c r="AN306" s="16" t="n"/>
      <c r="AO306" s="138" t="n"/>
      <c r="AP306" s="16" t="n"/>
      <c r="AQ306" s="138" t="n"/>
      <c r="AR306" s="16" t="n"/>
      <c r="AS306" s="138" t="n"/>
      <c r="AT306" s="16" t="n"/>
      <c r="AU306" s="138" t="n"/>
      <c r="AV306" s="16" t="n"/>
      <c r="AW306" s="138" t="n"/>
      <c r="AX306" s="16" t="n"/>
      <c r="AY306" s="138" t="n"/>
      <c r="AZ306" s="16">
        <f>AF306+AH306+AJ306+AL306+AN306+AP306+AR306+AT306+AV306+AX306</f>
        <v/>
      </c>
      <c r="BA306" s="16" t="n"/>
      <c r="BB306" s="139" t="n"/>
      <c r="BC306" s="16" t="n"/>
      <c r="BD306" s="139" t="n"/>
      <c r="BE306" s="16">
        <f>(BA306+BC306)</f>
        <v/>
      </c>
    </row>
    <row r="307">
      <c r="A307" s="9" t="n"/>
      <c r="B307" s="136" t="inlineStr">
        <is>
          <t>ABS 난연</t>
        </is>
      </c>
      <c r="C307" s="137" t="inlineStr">
        <is>
          <t>ADX4000W</t>
        </is>
      </c>
      <c r="D307" s="83" t="inlineStr">
        <is>
          <t>15cm CONE</t>
        </is>
      </c>
      <c r="E307" s="13" t="inlineStr">
        <is>
          <t>ABS 난연 화이트 + 진한 회색</t>
        </is>
      </c>
      <c r="F307" s="100" t="n"/>
      <c r="G307" s="9" t="n"/>
      <c r="H307" s="9" t="inlineStr">
        <is>
          <t>천우</t>
        </is>
      </c>
      <c r="I307" s="14" t="n"/>
      <c r="J307" s="14" t="n"/>
      <c r="K307" s="12" t="n">
        <v>113</v>
      </c>
      <c r="L307" s="9" t="n"/>
      <c r="M307" s="9" t="n"/>
      <c r="N307" s="9" t="n"/>
      <c r="O307" s="40">
        <f>K307+V307-AE307-AZ307</f>
        <v/>
      </c>
      <c r="P307" s="12" t="n"/>
      <c r="Q307" s="138" t="n"/>
      <c r="R307" s="16" t="n"/>
      <c r="S307" s="139" t="n"/>
      <c r="T307" s="16" t="n"/>
      <c r="U307" s="139" t="n"/>
      <c r="V307" s="16">
        <f>P307+R307+T307</f>
        <v/>
      </c>
      <c r="W307" s="16" t="n"/>
      <c r="X307" s="139" t="n"/>
      <c r="Y307" s="16" t="n"/>
      <c r="Z307" s="139" t="n"/>
      <c r="AA307" s="16" t="n"/>
      <c r="AB307" s="139" t="n"/>
      <c r="AC307" s="16" t="n"/>
      <c r="AD307" s="139" t="n"/>
      <c r="AE307" s="16">
        <f>(W307+Y307+AA307+AC307)</f>
        <v/>
      </c>
      <c r="AF307" s="16" t="n"/>
      <c r="AG307" s="138" t="n"/>
      <c r="AH307" s="16" t="n"/>
      <c r="AI307" s="138" t="n"/>
      <c r="AJ307" s="16" t="n"/>
      <c r="AK307" s="138" t="n"/>
      <c r="AL307" s="16" t="n"/>
      <c r="AM307" s="138" t="n"/>
      <c r="AN307" s="16" t="n"/>
      <c r="AO307" s="138" t="n"/>
      <c r="AP307" s="16" t="n"/>
      <c r="AQ307" s="138" t="n"/>
      <c r="AR307" s="16" t="n"/>
      <c r="AS307" s="138" t="n"/>
      <c r="AT307" s="16" t="n"/>
      <c r="AU307" s="138" t="n"/>
      <c r="AV307" s="16" t="n"/>
      <c r="AW307" s="138" t="n"/>
      <c r="AX307" s="16" t="n"/>
      <c r="AY307" s="138" t="n"/>
      <c r="AZ307" s="16">
        <f>AF307+AH307+AJ307+AL307+AN307+AP307+AR307+AT307+AV307+AX307</f>
        <v/>
      </c>
      <c r="BA307" s="16" t="n"/>
      <c r="BB307" s="139" t="n"/>
      <c r="BC307" s="16" t="n"/>
      <c r="BD307" s="139" t="n"/>
      <c r="BE307" s="16">
        <f>(BA307+BC307)</f>
        <v/>
      </c>
    </row>
    <row r="308">
      <c r="A308" s="9" t="n"/>
      <c r="B308" s="136" t="inlineStr">
        <is>
          <t>AL</t>
        </is>
      </c>
      <c r="C308" s="137" t="inlineStr">
        <is>
          <t>ADX4000W</t>
        </is>
      </c>
      <c r="D308" s="84" t="inlineStr">
        <is>
          <t>히팅 싱크 구형 (일본 사용)</t>
        </is>
      </c>
      <c r="E308" s="13" t="n"/>
      <c r="F308" s="100" t="n"/>
      <c r="G308" s="9" t="n"/>
      <c r="H308" s="9" t="inlineStr">
        <is>
          <t>다우정밀</t>
        </is>
      </c>
      <c r="I308" s="14" t="n"/>
      <c r="J308" s="14" t="n"/>
      <c r="K308" s="12" t="n">
        <v>59</v>
      </c>
      <c r="L308" s="9" t="n"/>
      <c r="M308" s="9" t="n"/>
      <c r="N308" s="9" t="n"/>
      <c r="O308" s="40">
        <f>K308+V308-AE308-AZ308</f>
        <v/>
      </c>
      <c r="P308" s="12" t="n"/>
      <c r="Q308" s="138" t="n"/>
      <c r="R308" s="16" t="n"/>
      <c r="S308" s="139" t="n"/>
      <c r="T308" s="16" t="n"/>
      <c r="U308" s="139" t="n"/>
      <c r="V308" s="16">
        <f>P308+R308+T308</f>
        <v/>
      </c>
      <c r="W308" s="16" t="n"/>
      <c r="X308" s="139" t="n"/>
      <c r="Y308" s="16" t="n"/>
      <c r="Z308" s="139" t="n"/>
      <c r="AA308" s="16" t="n"/>
      <c r="AB308" s="139" t="n"/>
      <c r="AC308" s="16" t="n"/>
      <c r="AD308" s="139" t="n"/>
      <c r="AE308" s="16">
        <f>(W308+Y308+AA308+AC308)</f>
        <v/>
      </c>
      <c r="AF308" s="16" t="n"/>
      <c r="AG308" s="138" t="n"/>
      <c r="AH308" s="16" t="n"/>
      <c r="AI308" s="138" t="n"/>
      <c r="AJ308" s="16" t="n"/>
      <c r="AK308" s="138" t="n"/>
      <c r="AL308" s="16" t="n"/>
      <c r="AM308" s="138" t="n"/>
      <c r="AN308" s="16" t="n"/>
      <c r="AO308" s="138" t="n"/>
      <c r="AP308" s="16" t="n"/>
      <c r="AQ308" s="138" t="n"/>
      <c r="AR308" s="16" t="n"/>
      <c r="AS308" s="138" t="n"/>
      <c r="AT308" s="16" t="n"/>
      <c r="AU308" s="138" t="n"/>
      <c r="AV308" s="16" t="n"/>
      <c r="AW308" s="138" t="n"/>
      <c r="AX308" s="16" t="n"/>
      <c r="AY308" s="138" t="n"/>
      <c r="AZ308" s="16">
        <f>AF308+AH308+AJ308+AL308+AN308+AP308+AR308+AT308+AV308+AX308</f>
        <v/>
      </c>
      <c r="BA308" s="16" t="n"/>
      <c r="BB308" s="139" t="n"/>
      <c r="BC308" s="16" t="n"/>
      <c r="BD308" s="139" t="n"/>
      <c r="BE308" s="16">
        <f>(BA308+BC308)</f>
        <v/>
      </c>
    </row>
    <row r="309">
      <c r="A309" s="9" t="n"/>
      <c r="B309" s="136" t="inlineStr">
        <is>
          <t>AL</t>
        </is>
      </c>
      <c r="C309" s="137" t="inlineStr">
        <is>
          <t>ADX4000W</t>
        </is>
      </c>
      <c r="D309" s="84" t="inlineStr">
        <is>
          <t>히팅 싱크 신형</t>
        </is>
      </c>
      <c r="E309" s="13" t="n"/>
      <c r="F309" s="100" t="n"/>
      <c r="G309" s="9" t="n"/>
      <c r="H309" s="9" t="inlineStr">
        <is>
          <t>다우정밀</t>
        </is>
      </c>
      <c r="I309" s="14" t="n"/>
      <c r="J309" s="14" t="n"/>
      <c r="K309" s="12" t="n">
        <v>0</v>
      </c>
      <c r="L309" s="9" t="n"/>
      <c r="M309" s="9" t="n"/>
      <c r="N309" s="9" t="n"/>
      <c r="O309" s="40">
        <f>K309+V309-AE309-AZ309</f>
        <v/>
      </c>
      <c r="P309" s="12" t="n"/>
      <c r="Q309" s="138" t="n"/>
      <c r="R309" s="16" t="n"/>
      <c r="S309" s="139" t="n"/>
      <c r="T309" s="16" t="n"/>
      <c r="U309" s="139" t="n"/>
      <c r="V309" s="16">
        <f>P309+R309+T309</f>
        <v/>
      </c>
      <c r="W309" s="16" t="n"/>
      <c r="X309" s="139" t="n"/>
      <c r="Y309" s="16" t="n"/>
      <c r="Z309" s="139" t="n"/>
      <c r="AA309" s="16" t="n"/>
      <c r="AB309" s="139" t="n"/>
      <c r="AC309" s="16" t="n"/>
      <c r="AD309" s="139" t="n"/>
      <c r="AE309" s="16">
        <f>(W309+Y309+AA309+AC309)</f>
        <v/>
      </c>
      <c r="AF309" s="16" t="n"/>
      <c r="AG309" s="138" t="n"/>
      <c r="AH309" s="16" t="n"/>
      <c r="AI309" s="138" t="n"/>
      <c r="AJ309" s="16" t="n"/>
      <c r="AK309" s="138" t="n"/>
      <c r="AL309" s="16" t="n"/>
      <c r="AM309" s="138" t="n"/>
      <c r="AN309" s="16" t="n"/>
      <c r="AO309" s="138" t="n"/>
      <c r="AP309" s="16" t="n"/>
      <c r="AQ309" s="138" t="n"/>
      <c r="AR309" s="16" t="n"/>
      <c r="AS309" s="138" t="n"/>
      <c r="AT309" s="16" t="n"/>
      <c r="AU309" s="138" t="n"/>
      <c r="AV309" s="16" t="n"/>
      <c r="AW309" s="138" t="n"/>
      <c r="AX309" s="16" t="n"/>
      <c r="AY309" s="138" t="n"/>
      <c r="AZ309" s="16">
        <f>AF309+AH309+AJ309+AL309+AN309+AP309+AR309+AT309+AV309+AX309</f>
        <v/>
      </c>
      <c r="BA309" s="16" t="n"/>
      <c r="BB309" s="139" t="n"/>
      <c r="BC309" s="16" t="n"/>
      <c r="BD309" s="139" t="n"/>
      <c r="BE309" s="16">
        <f>(BA309+BC309)</f>
        <v/>
      </c>
    </row>
    <row r="310">
      <c r="A310" s="9" t="n"/>
      <c r="B310" s="136" t="inlineStr">
        <is>
          <t>쿨링팬</t>
        </is>
      </c>
      <c r="C310" s="137" t="inlineStr">
        <is>
          <t>ADX4000W</t>
        </is>
      </c>
      <c r="D310" s="84" t="inlineStr">
        <is>
          <t>방열 팬 구형 (일본 사용)</t>
        </is>
      </c>
      <c r="E310" s="13" t="inlineStr">
        <is>
          <t>1204KL-01W-B10 5V 0.1A</t>
        </is>
      </c>
      <c r="F310" s="100" t="n"/>
      <c r="G310" s="9" t="n"/>
      <c r="H310" s="9" t="inlineStr">
        <is>
          <t>직구</t>
        </is>
      </c>
      <c r="I310" s="14" t="n"/>
      <c r="J310" s="14" t="n"/>
      <c r="K310" s="12" t="n">
        <v>54</v>
      </c>
      <c r="L310" s="9" t="n"/>
      <c r="M310" s="9" t="n"/>
      <c r="N310" s="9" t="n"/>
      <c r="O310" s="40">
        <f>K310+V310-AE310-AZ310</f>
        <v/>
      </c>
      <c r="P310" s="12" t="n"/>
      <c r="Q310" s="138" t="n"/>
      <c r="R310" s="16" t="n"/>
      <c r="S310" s="139" t="n"/>
      <c r="T310" s="16" t="n"/>
      <c r="U310" s="139" t="n"/>
      <c r="V310" s="16">
        <f>P310+R310+T310</f>
        <v/>
      </c>
      <c r="W310" s="16" t="n"/>
      <c r="X310" s="139" t="n"/>
      <c r="Y310" s="16" t="n"/>
      <c r="Z310" s="139" t="n"/>
      <c r="AA310" s="16" t="n"/>
      <c r="AB310" s="139" t="n"/>
      <c r="AC310" s="16" t="n"/>
      <c r="AD310" s="139" t="n"/>
      <c r="AE310" s="16">
        <f>(W310+Y310+AA310+AC310)</f>
        <v/>
      </c>
      <c r="AF310" s="16" t="n"/>
      <c r="AG310" s="138" t="n"/>
      <c r="AH310" s="16" t="n"/>
      <c r="AI310" s="138" t="n"/>
      <c r="AJ310" s="16" t="n"/>
      <c r="AK310" s="138" t="n"/>
      <c r="AL310" s="16" t="n"/>
      <c r="AM310" s="138" t="n"/>
      <c r="AN310" s="16" t="n"/>
      <c r="AO310" s="138" t="n"/>
      <c r="AP310" s="16" t="n"/>
      <c r="AQ310" s="138" t="n"/>
      <c r="AR310" s="16" t="n"/>
      <c r="AS310" s="138" t="n"/>
      <c r="AT310" s="16" t="n"/>
      <c r="AU310" s="138" t="n"/>
      <c r="AV310" s="16" t="n"/>
      <c r="AW310" s="138" t="n"/>
      <c r="AX310" s="16" t="n"/>
      <c r="AY310" s="138" t="n"/>
      <c r="AZ310" s="16">
        <f>AF310+AH310+AJ310+AL310+AN310+AP310+AR310+AT310+AV310+AX310</f>
        <v/>
      </c>
      <c r="BA310" s="16" t="n"/>
      <c r="BB310" s="139" t="n"/>
      <c r="BC310" s="16" t="n"/>
      <c r="BD310" s="139" t="n"/>
      <c r="BE310" s="16">
        <f>(BA310+BC310)</f>
        <v/>
      </c>
    </row>
    <row r="311">
      <c r="A311" s="9" t="n"/>
      <c r="B311" s="136" t="inlineStr">
        <is>
          <t>쿨링팬</t>
        </is>
      </c>
      <c r="C311" s="137" t="inlineStr">
        <is>
          <t>ADX4000W</t>
        </is>
      </c>
      <c r="D311" s="84" t="inlineStr">
        <is>
          <t>방열 팬 신형</t>
        </is>
      </c>
      <c r="E311" s="13" t="inlineStr">
        <is>
          <t>HBD0401005SEM 5V 0.15A</t>
        </is>
      </c>
      <c r="F311" s="100" t="n"/>
      <c r="G311" s="9" t="n"/>
      <c r="H311" s="9" t="inlineStr">
        <is>
          <t>직구</t>
        </is>
      </c>
      <c r="I311" s="14" t="n"/>
      <c r="J311" s="14" t="n"/>
      <c r="K311" s="12" t="n">
        <v>0</v>
      </c>
      <c r="L311" s="9" t="n"/>
      <c r="M311" s="9" t="n"/>
      <c r="N311" s="9" t="n"/>
      <c r="O311" s="40">
        <f>K311+V311-AE311-AZ311</f>
        <v/>
      </c>
      <c r="P311" s="12" t="n"/>
      <c r="Q311" s="138" t="n"/>
      <c r="R311" s="16" t="n"/>
      <c r="S311" s="139" t="n"/>
      <c r="T311" s="16" t="n"/>
      <c r="U311" s="139" t="n"/>
      <c r="V311" s="16">
        <f>P311+R311+T311</f>
        <v/>
      </c>
      <c r="W311" s="16" t="n"/>
      <c r="X311" s="139" t="n"/>
      <c r="Y311" s="16" t="n"/>
      <c r="Z311" s="139" t="n"/>
      <c r="AA311" s="16" t="n"/>
      <c r="AB311" s="139" t="n"/>
      <c r="AC311" s="16" t="n"/>
      <c r="AD311" s="139" t="n"/>
      <c r="AE311" s="16">
        <f>(W311+Y311+AA311+AC311)</f>
        <v/>
      </c>
      <c r="AF311" s="16" t="n"/>
      <c r="AG311" s="138" t="n"/>
      <c r="AH311" s="16" t="n"/>
      <c r="AI311" s="138" t="n"/>
      <c r="AJ311" s="16" t="n"/>
      <c r="AK311" s="138" t="n"/>
      <c r="AL311" s="16" t="n"/>
      <c r="AM311" s="138" t="n"/>
      <c r="AN311" s="16" t="n"/>
      <c r="AO311" s="138" t="n"/>
      <c r="AP311" s="16" t="n"/>
      <c r="AQ311" s="138" t="n"/>
      <c r="AR311" s="16" t="n"/>
      <c r="AS311" s="138" t="n"/>
      <c r="AT311" s="16" t="n"/>
      <c r="AU311" s="138" t="n"/>
      <c r="AV311" s="16" t="n"/>
      <c r="AW311" s="138" t="n"/>
      <c r="AX311" s="16" t="n"/>
      <c r="AY311" s="138" t="n"/>
      <c r="AZ311" s="16">
        <f>AF311+AH311+AJ311+AL311+AN311+AP311+AR311+AT311+AV311+AX311</f>
        <v/>
      </c>
      <c r="BA311" s="16" t="n"/>
      <c r="BB311" s="139" t="n"/>
      <c r="BC311" s="16" t="n"/>
      <c r="BD311" s="139" t="n"/>
      <c r="BE311" s="16">
        <f>(BA311+BC311)</f>
        <v/>
      </c>
    </row>
    <row r="312">
      <c r="A312" s="9" t="n"/>
      <c r="B312" s="136" t="inlineStr">
        <is>
          <t>써멀패드</t>
        </is>
      </c>
      <c r="C312" s="137" t="inlineStr">
        <is>
          <t>ADX4000W</t>
        </is>
      </c>
      <c r="D312" s="84" t="inlineStr">
        <is>
          <t>히팅 패드</t>
        </is>
      </c>
      <c r="E312" s="13" t="n"/>
      <c r="F312" s="100" t="n"/>
      <c r="G312" s="9" t="n"/>
      <c r="H312" s="9" t="inlineStr">
        <is>
          <t>직구</t>
        </is>
      </c>
      <c r="I312" s="14" t="n"/>
      <c r="J312" s="14" t="n"/>
      <c r="K312" s="12" t="n">
        <v>71</v>
      </c>
      <c r="L312" s="9" t="n"/>
      <c r="M312" s="9" t="n"/>
      <c r="N312" s="9" t="n"/>
      <c r="O312" s="40">
        <f>K312+V312-AE312-AZ312</f>
        <v/>
      </c>
      <c r="P312" s="12" t="n"/>
      <c r="Q312" s="138" t="n"/>
      <c r="R312" s="16" t="n"/>
      <c r="S312" s="139" t="n"/>
      <c r="T312" s="16" t="n"/>
      <c r="U312" s="139" t="n"/>
      <c r="V312" s="16">
        <f>P312+R312+T312</f>
        <v/>
      </c>
      <c r="W312" s="16" t="n"/>
      <c r="X312" s="139" t="n"/>
      <c r="Y312" s="16" t="n"/>
      <c r="Z312" s="139" t="n"/>
      <c r="AA312" s="16" t="n"/>
      <c r="AB312" s="139" t="n"/>
      <c r="AC312" s="16" t="n"/>
      <c r="AD312" s="139" t="n"/>
      <c r="AE312" s="16">
        <f>(W312+Y312+AA312+AC312)</f>
        <v/>
      </c>
      <c r="AF312" s="16" t="n"/>
      <c r="AG312" s="138" t="n"/>
      <c r="AH312" s="16" t="n"/>
      <c r="AI312" s="138" t="n"/>
      <c r="AJ312" s="16" t="n"/>
      <c r="AK312" s="138" t="n"/>
      <c r="AL312" s="16" t="n"/>
      <c r="AM312" s="138" t="n"/>
      <c r="AN312" s="16" t="n"/>
      <c r="AO312" s="138" t="n"/>
      <c r="AP312" s="16" t="n"/>
      <c r="AQ312" s="138" t="n"/>
      <c r="AR312" s="16" t="n"/>
      <c r="AS312" s="138" t="n"/>
      <c r="AT312" s="16" t="n"/>
      <c r="AU312" s="138" t="n"/>
      <c r="AV312" s="16" t="n"/>
      <c r="AW312" s="138" t="n"/>
      <c r="AX312" s="16" t="n"/>
      <c r="AY312" s="138" t="n"/>
      <c r="AZ312" s="16">
        <f>AF312+AH312+AJ312+AL312+AN312+AP312+AR312+AT312+AV312+AX312</f>
        <v/>
      </c>
      <c r="BA312" s="16" t="n"/>
      <c r="BB312" s="139" t="n"/>
      <c r="BC312" s="16" t="n"/>
      <c r="BD312" s="139" t="n"/>
      <c r="BE312" s="16">
        <f>(BA312+BC312)</f>
        <v/>
      </c>
    </row>
    <row r="313">
      <c r="A313" s="9" t="n"/>
      <c r="B313" s="136" t="inlineStr">
        <is>
          <t>페라이트</t>
        </is>
      </c>
      <c r="C313" s="137" t="inlineStr">
        <is>
          <t>ADX4000W</t>
        </is>
      </c>
      <c r="D313" s="84" t="inlineStr">
        <is>
          <t>큰 페라이트</t>
        </is>
      </c>
      <c r="E313" s="13" t="inlineStr">
        <is>
          <t>ZCAT-1730-0730</t>
        </is>
      </c>
      <c r="F313" s="100" t="n"/>
      <c r="G313" s="9" t="n"/>
      <c r="H313" s="9" t="inlineStr">
        <is>
          <t>HLP</t>
        </is>
      </c>
      <c r="I313" s="14" t="n"/>
      <c r="J313" s="14" t="n"/>
      <c r="K313" s="12" t="n">
        <v>301</v>
      </c>
      <c r="L313" s="9" t="n"/>
      <c r="M313" s="9" t="n"/>
      <c r="N313" s="9" t="n"/>
      <c r="O313" s="40">
        <f>K313+V313-AE313-AZ313</f>
        <v/>
      </c>
      <c r="P313" s="12" t="n"/>
      <c r="Q313" s="138" t="n"/>
      <c r="R313" s="16" t="n"/>
      <c r="S313" s="139" t="n"/>
      <c r="T313" s="16" t="n"/>
      <c r="U313" s="139" t="n"/>
      <c r="V313" s="16">
        <f>P313+R313+T313</f>
        <v/>
      </c>
      <c r="W313" s="16" t="n"/>
      <c r="X313" s="139" t="n"/>
      <c r="Y313" s="16" t="n"/>
      <c r="Z313" s="139" t="n"/>
      <c r="AA313" s="16" t="n"/>
      <c r="AB313" s="139" t="n"/>
      <c r="AC313" s="16" t="n"/>
      <c r="AD313" s="139" t="n"/>
      <c r="AE313" s="16">
        <f>(W313+Y313+AA313+AC313)</f>
        <v/>
      </c>
      <c r="AF313" s="16" t="n"/>
      <c r="AG313" s="138" t="n"/>
      <c r="AH313" s="16" t="n"/>
      <c r="AI313" s="138" t="n"/>
      <c r="AJ313" s="16" t="n"/>
      <c r="AK313" s="138" t="n"/>
      <c r="AL313" s="16" t="n"/>
      <c r="AM313" s="138" t="n"/>
      <c r="AN313" s="16" t="n"/>
      <c r="AO313" s="138" t="n"/>
      <c r="AP313" s="16" t="n"/>
      <c r="AQ313" s="138" t="n"/>
      <c r="AR313" s="16" t="n"/>
      <c r="AS313" s="138" t="n"/>
      <c r="AT313" s="16" t="n"/>
      <c r="AU313" s="138" t="n"/>
      <c r="AV313" s="16" t="n"/>
      <c r="AW313" s="138" t="n"/>
      <c r="AX313" s="16" t="n"/>
      <c r="AY313" s="138" t="n"/>
      <c r="AZ313" s="16">
        <f>AF313+AH313+AJ313+AL313+AN313+AP313+AR313+AT313+AV313+AX313</f>
        <v/>
      </c>
      <c r="BA313" s="16" t="n"/>
      <c r="BB313" s="139" t="n"/>
      <c r="BC313" s="16" t="n"/>
      <c r="BD313" s="139" t="n"/>
      <c r="BE313" s="16">
        <f>(BA313+BC313)</f>
        <v/>
      </c>
    </row>
    <row r="314">
      <c r="A314" s="9" t="n"/>
      <c r="B314" s="136" t="inlineStr">
        <is>
          <t>페라이트</t>
        </is>
      </c>
      <c r="C314" s="137" t="inlineStr">
        <is>
          <t>ADX4000W</t>
        </is>
      </c>
      <c r="D314" s="84" t="inlineStr">
        <is>
          <t>작은 페라이트</t>
        </is>
      </c>
      <c r="E314" s="13" t="inlineStr">
        <is>
          <t>ZCAT-1325-0530</t>
        </is>
      </c>
      <c r="F314" s="100" t="n"/>
      <c r="G314" s="9" t="n"/>
      <c r="H314" s="9" t="inlineStr">
        <is>
          <t>HLP</t>
        </is>
      </c>
      <c r="I314" s="14" t="n"/>
      <c r="J314" s="14" t="n"/>
      <c r="K314" s="12" t="n">
        <v>352</v>
      </c>
      <c r="L314" s="9" t="n"/>
      <c r="M314" s="9" t="n"/>
      <c r="N314" s="9" t="n"/>
      <c r="O314" s="40">
        <f>K314+V314-AE314-AZ314</f>
        <v/>
      </c>
      <c r="P314" s="12" t="n"/>
      <c r="Q314" s="138" t="n"/>
      <c r="R314" s="16" t="n"/>
      <c r="S314" s="139" t="n"/>
      <c r="T314" s="16" t="n"/>
      <c r="U314" s="139" t="n"/>
      <c r="V314" s="16">
        <f>P314+R314+T314</f>
        <v/>
      </c>
      <c r="W314" s="16" t="n"/>
      <c r="X314" s="139" t="n"/>
      <c r="Y314" s="16" t="n"/>
      <c r="Z314" s="139" t="n"/>
      <c r="AA314" s="16" t="n"/>
      <c r="AB314" s="139" t="n"/>
      <c r="AC314" s="16" t="n"/>
      <c r="AD314" s="139" t="n"/>
      <c r="AE314" s="16">
        <f>(W314+Y314+AA314+AC314)</f>
        <v/>
      </c>
      <c r="AF314" s="16" t="n"/>
      <c r="AG314" s="138" t="n"/>
      <c r="AH314" s="16" t="n"/>
      <c r="AI314" s="138" t="n"/>
      <c r="AJ314" s="16" t="n"/>
      <c r="AK314" s="138" t="n"/>
      <c r="AL314" s="16" t="n"/>
      <c r="AM314" s="138" t="n"/>
      <c r="AN314" s="16" t="n"/>
      <c r="AO314" s="138" t="n"/>
      <c r="AP314" s="16" t="n"/>
      <c r="AQ314" s="138" t="n"/>
      <c r="AR314" s="16" t="n"/>
      <c r="AS314" s="138" t="n"/>
      <c r="AT314" s="16" t="n"/>
      <c r="AU314" s="138" t="n"/>
      <c r="AV314" s="16" t="n"/>
      <c r="AW314" s="138" t="n"/>
      <c r="AX314" s="16" t="n"/>
      <c r="AY314" s="138" t="n"/>
      <c r="AZ314" s="16">
        <f>AF314+AH314+AJ314+AL314+AN314+AP314+AR314+AT314+AV314+AX314</f>
        <v/>
      </c>
      <c r="BA314" s="16" t="n"/>
      <c r="BB314" s="139" t="n"/>
      <c r="BC314" s="16" t="n"/>
      <c r="BD314" s="139" t="n"/>
      <c r="BE314" s="16">
        <f>(BA314+BC314)</f>
        <v/>
      </c>
    </row>
    <row r="315">
      <c r="A315" s="9" t="n"/>
      <c r="B315" s="136" t="inlineStr">
        <is>
          <t>동글</t>
        </is>
      </c>
      <c r="C315" s="137" t="inlineStr">
        <is>
          <t>ADX4000W</t>
        </is>
      </c>
      <c r="D315" s="84" t="inlineStr">
        <is>
          <t>TP-LINK (WAN1000M)-동글</t>
        </is>
      </c>
      <c r="E315" s="13" t="n"/>
      <c r="F315" s="100" t="n"/>
      <c r="G315" s="9" t="n"/>
      <c r="H315" s="9" t="inlineStr">
        <is>
          <t>직구</t>
        </is>
      </c>
      <c r="I315" s="14" t="n"/>
      <c r="J315" s="14" t="n"/>
      <c r="K315" s="12" t="n">
        <v>200</v>
      </c>
      <c r="L315" s="9" t="n"/>
      <c r="M315" s="9" t="n"/>
      <c r="N315" s="9" t="n"/>
      <c r="O315" s="40">
        <f>K315+V315-AE315-AZ315</f>
        <v/>
      </c>
      <c r="P315" s="12" t="n"/>
      <c r="Q315" s="138" t="n"/>
      <c r="R315" s="16" t="n"/>
      <c r="S315" s="139" t="n"/>
      <c r="T315" s="16" t="n"/>
      <c r="U315" s="139" t="n"/>
      <c r="V315" s="16">
        <f>P315+R315+T315</f>
        <v/>
      </c>
      <c r="W315" s="16" t="n"/>
      <c r="X315" s="139" t="n"/>
      <c r="Y315" s="16" t="n"/>
      <c r="Z315" s="139" t="n"/>
      <c r="AA315" s="16" t="n"/>
      <c r="AB315" s="139" t="n"/>
      <c r="AC315" s="16" t="n"/>
      <c r="AD315" s="139" t="n"/>
      <c r="AE315" s="16">
        <f>(W315+Y315+AA315+AC315)</f>
        <v/>
      </c>
      <c r="AF315" s="16" t="n"/>
      <c r="AG315" s="138" t="n"/>
      <c r="AH315" s="16" t="n"/>
      <c r="AI315" s="138" t="n"/>
      <c r="AJ315" s="16" t="n"/>
      <c r="AK315" s="138" t="n"/>
      <c r="AL315" s="16" t="n"/>
      <c r="AM315" s="138" t="n"/>
      <c r="AN315" s="16" t="n"/>
      <c r="AO315" s="138" t="n"/>
      <c r="AP315" s="16" t="n"/>
      <c r="AQ315" s="138" t="n"/>
      <c r="AR315" s="16" t="n"/>
      <c r="AS315" s="138" t="n"/>
      <c r="AT315" s="16" t="n"/>
      <c r="AU315" s="138" t="n"/>
      <c r="AV315" s="16" t="n"/>
      <c r="AW315" s="138" t="n"/>
      <c r="AX315" s="16" t="n"/>
      <c r="AY315" s="138" t="n"/>
      <c r="AZ315" s="16">
        <f>AF315+AH315+AJ315+AL315+AN315+AP315+AR315+AT315+AV315+AX315</f>
        <v/>
      </c>
      <c r="BA315" s="16" t="n"/>
      <c r="BB315" s="139" t="n"/>
      <c r="BC315" s="16" t="n"/>
      <c r="BD315" s="139" t="n"/>
      <c r="BE315" s="16">
        <f>(BA315+BC315)</f>
        <v/>
      </c>
    </row>
    <row r="316">
      <c r="A316" s="9" t="n"/>
      <c r="B316" s="136" t="inlineStr">
        <is>
          <t>동글</t>
        </is>
      </c>
      <c r="C316" s="137" t="inlineStr">
        <is>
          <t>ADX4000W</t>
        </is>
      </c>
      <c r="D316" s="84" t="inlineStr">
        <is>
          <t>ip TIME 무선 랜카드 [N100UM]</t>
        </is>
      </c>
      <c r="E316" s="13" t="n"/>
      <c r="F316" s="100" t="n"/>
      <c r="G316" s="9" t="n"/>
      <c r="H316" s="9" t="inlineStr">
        <is>
          <t>직구</t>
        </is>
      </c>
      <c r="I316" s="14" t="n"/>
      <c r="J316" s="14" t="n"/>
      <c r="K316" s="12" t="n">
        <v>35</v>
      </c>
      <c r="L316" s="9" t="n"/>
      <c r="M316" s="9" t="n"/>
      <c r="N316" s="9" t="n"/>
      <c r="O316" s="40">
        <f>K316+V316-AE316-AZ316</f>
        <v/>
      </c>
      <c r="P316" s="12" t="n"/>
      <c r="Q316" s="138" t="n"/>
      <c r="R316" s="16" t="n"/>
      <c r="S316" s="139" t="n"/>
      <c r="T316" s="16" t="n"/>
      <c r="U316" s="139" t="n"/>
      <c r="V316" s="16">
        <f>P316+R316+T316</f>
        <v/>
      </c>
      <c r="W316" s="16" t="n"/>
      <c r="X316" s="139" t="n"/>
      <c r="Y316" s="16" t="n"/>
      <c r="Z316" s="139" t="n"/>
      <c r="AA316" s="16" t="n"/>
      <c r="AB316" s="139" t="n"/>
      <c r="AC316" s="16" t="n"/>
      <c r="AD316" s="139" t="n"/>
      <c r="AE316" s="16">
        <f>(W316+Y316+AA316+AC316)</f>
        <v/>
      </c>
      <c r="AF316" s="16" t="n"/>
      <c r="AG316" s="138" t="n"/>
      <c r="AH316" s="16" t="n"/>
      <c r="AI316" s="138" t="n"/>
      <c r="AJ316" s="16" t="n"/>
      <c r="AK316" s="138" t="n"/>
      <c r="AL316" s="16" t="n"/>
      <c r="AM316" s="138" t="n"/>
      <c r="AN316" s="16" t="n"/>
      <c r="AO316" s="138" t="n"/>
      <c r="AP316" s="16" t="n"/>
      <c r="AQ316" s="138" t="n"/>
      <c r="AR316" s="16" t="n"/>
      <c r="AS316" s="138" t="n"/>
      <c r="AT316" s="16" t="n"/>
      <c r="AU316" s="138" t="n"/>
      <c r="AV316" s="16" t="n"/>
      <c r="AW316" s="138" t="n"/>
      <c r="AX316" s="16" t="n"/>
      <c r="AY316" s="138" t="n"/>
      <c r="AZ316" s="16">
        <f>AF316+AH316+AJ316+AL316+AN316+AP316+AR316+AT316+AV316+AX316</f>
        <v/>
      </c>
      <c r="BA316" s="16" t="n"/>
      <c r="BB316" s="139" t="n"/>
      <c r="BC316" s="16" t="n"/>
      <c r="BD316" s="139" t="n"/>
      <c r="BE316" s="16">
        <f>(BA316+BC316)</f>
        <v/>
      </c>
    </row>
    <row r="317">
      <c r="A317" s="9" t="n"/>
      <c r="B317" s="136" t="inlineStr">
        <is>
          <t>동글</t>
        </is>
      </c>
      <c r="C317" s="137" t="inlineStr">
        <is>
          <t>ADX4000W</t>
        </is>
      </c>
      <c r="D317" s="84" t="inlineStr">
        <is>
          <t>ELECOM WIFI (10DR)</t>
        </is>
      </c>
      <c r="E317" s="13" t="inlineStr">
        <is>
          <t>WDC-150SU2M</t>
        </is>
      </c>
      <c r="F317" s="100" t="n"/>
      <c r="G317" s="9" t="n"/>
      <c r="H317" s="9" t="inlineStr">
        <is>
          <t>일본 지사</t>
        </is>
      </c>
      <c r="I317" s="14" t="n"/>
      <c r="J317" s="14" t="n"/>
      <c r="K317" s="12" t="n">
        <v>0</v>
      </c>
      <c r="L317" s="9" t="n"/>
      <c r="M317" s="9" t="n"/>
      <c r="N317" s="9" t="n"/>
      <c r="O317" s="40">
        <f>K317+V317-AE317-AZ317</f>
        <v/>
      </c>
      <c r="P317" s="12" t="n"/>
      <c r="Q317" s="138" t="n"/>
      <c r="R317" s="16" t="n"/>
      <c r="S317" s="139" t="n"/>
      <c r="T317" s="16" t="n"/>
      <c r="U317" s="139" t="n"/>
      <c r="V317" s="16">
        <f>P317+R317+T317</f>
        <v/>
      </c>
      <c r="W317" s="16" t="n"/>
      <c r="X317" s="139" t="n"/>
      <c r="Y317" s="16" t="n"/>
      <c r="Z317" s="139" t="n"/>
      <c r="AA317" s="16" t="n"/>
      <c r="AB317" s="139" t="n"/>
      <c r="AC317" s="16" t="n"/>
      <c r="AD317" s="139" t="n"/>
      <c r="AE317" s="16">
        <f>(W317+Y317+AA317+AC317)</f>
        <v/>
      </c>
      <c r="AF317" s="16" t="n"/>
      <c r="AG317" s="138" t="n"/>
      <c r="AH317" s="16" t="n"/>
      <c r="AI317" s="138" t="n"/>
      <c r="AJ317" s="16" t="n"/>
      <c r="AK317" s="138" t="n"/>
      <c r="AL317" s="16" t="n"/>
      <c r="AM317" s="138" t="n"/>
      <c r="AN317" s="16" t="n"/>
      <c r="AO317" s="138" t="n"/>
      <c r="AP317" s="16" t="n"/>
      <c r="AQ317" s="138" t="n"/>
      <c r="AR317" s="16" t="n"/>
      <c r="AS317" s="138" t="n"/>
      <c r="AT317" s="16" t="n"/>
      <c r="AU317" s="138" t="n"/>
      <c r="AV317" s="16" t="n"/>
      <c r="AW317" s="138" t="n"/>
      <c r="AX317" s="16" t="n"/>
      <c r="AY317" s="138" t="n"/>
      <c r="AZ317" s="16">
        <f>AF317+AH317+AJ317+AL317+AN317+AP317+AR317+AT317+AV317+AX317</f>
        <v/>
      </c>
      <c r="BA317" s="16" t="n"/>
      <c r="BB317" s="139" t="n"/>
      <c r="BC317" s="16" t="n"/>
      <c r="BD317" s="139" t="n"/>
      <c r="BE317" s="16">
        <f>(BA317+BC317)</f>
        <v/>
      </c>
    </row>
    <row r="318">
      <c r="A318" s="9" t="n"/>
      <c r="B318" s="136" t="inlineStr">
        <is>
          <t>USB</t>
        </is>
      </c>
      <c r="C318" s="137" t="inlineStr">
        <is>
          <t>ADX4000W</t>
        </is>
      </c>
      <c r="D318" s="84" t="inlineStr">
        <is>
          <t>USB 메모리</t>
        </is>
      </c>
      <c r="E318" s="13" t="inlineStr">
        <is>
          <t>16GB</t>
        </is>
      </c>
      <c r="F318" s="100" t="n"/>
      <c r="G318" s="9" t="n"/>
      <c r="H318" s="9" t="inlineStr">
        <is>
          <t>직구</t>
        </is>
      </c>
      <c r="I318" s="14" t="n"/>
      <c r="J318" s="14" t="n"/>
      <c r="K318" s="12" t="n">
        <v>20</v>
      </c>
      <c r="L318" s="9" t="n"/>
      <c r="M318" s="9" t="n"/>
      <c r="N318" s="9" t="n"/>
      <c r="O318" s="40">
        <f>K318+V318-AE318-AZ318</f>
        <v/>
      </c>
      <c r="P318" s="12" t="n"/>
      <c r="Q318" s="138" t="n"/>
      <c r="R318" s="16" t="n"/>
      <c r="S318" s="139" t="n"/>
      <c r="T318" s="16" t="n"/>
      <c r="U318" s="139" t="n"/>
      <c r="V318" s="16">
        <f>P318+R318+T318</f>
        <v/>
      </c>
      <c r="W318" s="16" t="n"/>
      <c r="X318" s="139" t="n"/>
      <c r="Y318" s="16" t="n"/>
      <c r="Z318" s="139" t="n"/>
      <c r="AA318" s="16" t="n"/>
      <c r="AB318" s="139" t="n"/>
      <c r="AC318" s="16" t="n"/>
      <c r="AD318" s="139" t="n"/>
      <c r="AE318" s="16">
        <f>(W318+Y318+AA318+AC318)</f>
        <v/>
      </c>
      <c r="AF318" s="16" t="n"/>
      <c r="AG318" s="138" t="n"/>
      <c r="AH318" s="16" t="n"/>
      <c r="AI318" s="138" t="n"/>
      <c r="AJ318" s="16" t="n"/>
      <c r="AK318" s="138" t="n"/>
      <c r="AL318" s="16" t="n"/>
      <c r="AM318" s="138" t="n"/>
      <c r="AN318" s="16" t="n"/>
      <c r="AO318" s="138" t="n"/>
      <c r="AP318" s="16" t="n"/>
      <c r="AQ318" s="138" t="n"/>
      <c r="AR318" s="16" t="n"/>
      <c r="AS318" s="138" t="n"/>
      <c r="AT318" s="16" t="n"/>
      <c r="AU318" s="138" t="n"/>
      <c r="AV318" s="16" t="n"/>
      <c r="AW318" s="138" t="n"/>
      <c r="AX318" s="16" t="n"/>
      <c r="AY318" s="138" t="n"/>
      <c r="AZ318" s="16">
        <f>AF318+AH318+AJ318+AL318+AN318+AP318+AR318+AT318+AV318+AX318</f>
        <v/>
      </c>
      <c r="BA318" s="16" t="n"/>
      <c r="BB318" s="139" t="n"/>
      <c r="BC318" s="16" t="n"/>
      <c r="BD318" s="139" t="n"/>
      <c r="BE318" s="16">
        <f>(BA318+BC318)</f>
        <v/>
      </c>
    </row>
    <row r="319">
      <c r="A319" s="9" t="n"/>
      <c r="B319" s="136" t="inlineStr">
        <is>
          <t>클립</t>
        </is>
      </c>
      <c r="C319" s="137" t="inlineStr">
        <is>
          <t>ADX4000W</t>
        </is>
      </c>
      <c r="D319" s="84" t="inlineStr">
        <is>
          <t>Q 클립</t>
        </is>
      </c>
      <c r="E319" s="13" t="n"/>
      <c r="F319" s="100" t="n"/>
      <c r="G319" s="9" t="n"/>
      <c r="H319" s="9" t="inlineStr">
        <is>
          <t>직구</t>
        </is>
      </c>
      <c r="I319" s="14" t="n"/>
      <c r="J319" s="14" t="n"/>
      <c r="K319" s="12" t="n">
        <v>0</v>
      </c>
      <c r="L319" s="9" t="n"/>
      <c r="M319" s="9" t="n"/>
      <c r="N319" s="9" t="n"/>
      <c r="O319" s="40">
        <f>K319+V319-AE319-AZ319</f>
        <v/>
      </c>
      <c r="P319" s="12" t="n"/>
      <c r="Q319" s="138" t="n"/>
      <c r="R319" s="16" t="n"/>
      <c r="S319" s="139" t="n"/>
      <c r="T319" s="16" t="n"/>
      <c r="U319" s="139" t="n"/>
      <c r="V319" s="16">
        <f>P319+R319+T319</f>
        <v/>
      </c>
      <c r="W319" s="16" t="n"/>
      <c r="X319" s="139" t="n"/>
      <c r="Y319" s="16" t="n"/>
      <c r="Z319" s="139" t="n"/>
      <c r="AA319" s="16" t="n"/>
      <c r="AB319" s="139" t="n"/>
      <c r="AC319" s="16" t="n"/>
      <c r="AD319" s="139" t="n"/>
      <c r="AE319" s="16">
        <f>(W319+Y319+AA319+AC319)</f>
        <v/>
      </c>
      <c r="AF319" s="16" t="n"/>
      <c r="AG319" s="138" t="n"/>
      <c r="AH319" s="16" t="n"/>
      <c r="AI319" s="138" t="n"/>
      <c r="AJ319" s="16" t="n"/>
      <c r="AK319" s="138" t="n"/>
      <c r="AL319" s="16" t="n"/>
      <c r="AM319" s="138" t="n"/>
      <c r="AN319" s="16" t="n"/>
      <c r="AO319" s="138" t="n"/>
      <c r="AP319" s="16" t="n"/>
      <c r="AQ319" s="138" t="n"/>
      <c r="AR319" s="16" t="n"/>
      <c r="AS319" s="138" t="n"/>
      <c r="AT319" s="16" t="n"/>
      <c r="AU319" s="138" t="n"/>
      <c r="AV319" s="16" t="n"/>
      <c r="AW319" s="138" t="n"/>
      <c r="AX319" s="16" t="n"/>
      <c r="AY319" s="138" t="n"/>
      <c r="AZ319" s="16">
        <f>AF319+AH319+AJ319+AL319+AN319+AP319+AR319+AT319+AV319+AX319</f>
        <v/>
      </c>
      <c r="BA319" s="16" t="n"/>
      <c r="BB319" s="139" t="n"/>
      <c r="BC319" s="16" t="n"/>
      <c r="BD319" s="139" t="n"/>
      <c r="BE319" s="16">
        <f>(BA319+BC319)</f>
        <v/>
      </c>
    </row>
    <row r="320">
      <c r="A320" s="9" t="n"/>
      <c r="B320" s="136" t="inlineStr">
        <is>
          <t>클립</t>
        </is>
      </c>
      <c r="C320" s="137" t="inlineStr">
        <is>
          <t>ADX4000W</t>
        </is>
      </c>
      <c r="D320" s="84" t="inlineStr">
        <is>
          <t>L 클립</t>
        </is>
      </c>
      <c r="E320" s="13" t="n"/>
      <c r="F320" s="100" t="n"/>
      <c r="G320" s="9" t="n"/>
      <c r="H320" s="9" t="inlineStr">
        <is>
          <t>직구</t>
        </is>
      </c>
      <c r="I320" s="14" t="n"/>
      <c r="J320" s="14" t="n"/>
      <c r="K320" s="12" t="n">
        <v>0</v>
      </c>
      <c r="L320" s="9" t="n"/>
      <c r="M320" s="9" t="n"/>
      <c r="N320" s="9" t="n"/>
      <c r="O320" s="40">
        <f>K320+V320-AE320-AZ320</f>
        <v/>
      </c>
      <c r="P320" s="12" t="n"/>
      <c r="Q320" s="138" t="n"/>
      <c r="R320" s="16" t="n"/>
      <c r="S320" s="139" t="n"/>
      <c r="T320" s="16" t="n"/>
      <c r="U320" s="139" t="n"/>
      <c r="V320" s="16">
        <f>P320+R320+T320</f>
        <v/>
      </c>
      <c r="W320" s="16" t="n"/>
      <c r="X320" s="139" t="n"/>
      <c r="Y320" s="16" t="n"/>
      <c r="Z320" s="139" t="n"/>
      <c r="AA320" s="16" t="n"/>
      <c r="AB320" s="139" t="n"/>
      <c r="AC320" s="16" t="n"/>
      <c r="AD320" s="139" t="n"/>
      <c r="AE320" s="16">
        <f>(W320+Y320+AA320+AC320)</f>
        <v/>
      </c>
      <c r="AF320" s="16" t="n"/>
      <c r="AG320" s="138" t="n"/>
      <c r="AH320" s="16" t="n"/>
      <c r="AI320" s="138" t="n"/>
      <c r="AJ320" s="16" t="n"/>
      <c r="AK320" s="138" t="n"/>
      <c r="AL320" s="16" t="n"/>
      <c r="AM320" s="138" t="n"/>
      <c r="AN320" s="16" t="n"/>
      <c r="AO320" s="138" t="n"/>
      <c r="AP320" s="16" t="n"/>
      <c r="AQ320" s="138" t="n"/>
      <c r="AR320" s="16" t="n"/>
      <c r="AS320" s="138" t="n"/>
      <c r="AT320" s="16" t="n"/>
      <c r="AU320" s="138" t="n"/>
      <c r="AV320" s="16" t="n"/>
      <c r="AW320" s="138" t="n"/>
      <c r="AX320" s="16" t="n"/>
      <c r="AY320" s="138" t="n"/>
      <c r="AZ320" s="16">
        <f>AF320+AH320+AJ320+AL320+AN320+AP320+AR320+AT320+AV320+AX320</f>
        <v/>
      </c>
      <c r="BA320" s="16" t="n"/>
      <c r="BB320" s="139" t="n"/>
      <c r="BC320" s="16" t="n"/>
      <c r="BD320" s="139" t="n"/>
      <c r="BE320" s="16">
        <f>(BA320+BC320)</f>
        <v/>
      </c>
    </row>
    <row r="321">
      <c r="A321" s="9" t="n"/>
      <c r="B321" s="136" t="inlineStr">
        <is>
          <t>실리콘</t>
        </is>
      </c>
      <c r="C321" s="137" t="inlineStr">
        <is>
          <t>ADX4000W</t>
        </is>
      </c>
      <c r="D321" s="84" t="inlineStr">
        <is>
          <t>HAND GUIDE</t>
        </is>
      </c>
      <c r="E321" s="13" t="inlineStr">
        <is>
          <t>ABS 난연 화이트</t>
        </is>
      </c>
      <c r="F321" s="100" t="n"/>
      <c r="G321" s="9" t="n"/>
      <c r="H321" s="9" t="inlineStr">
        <is>
          <t>천우</t>
        </is>
      </c>
      <c r="I321" s="14" t="n"/>
      <c r="J321" s="14" t="n"/>
      <c r="K321" s="12" t="n">
        <v>490</v>
      </c>
      <c r="L321" s="9" t="n"/>
      <c r="M321" s="9" t="n"/>
      <c r="N321" s="9" t="n"/>
      <c r="O321" s="40">
        <f>K321+V321-AE321-AZ321</f>
        <v/>
      </c>
      <c r="P321" s="12" t="n"/>
      <c r="Q321" s="138" t="n"/>
      <c r="R321" s="16" t="n"/>
      <c r="S321" s="139" t="n"/>
      <c r="T321" s="16" t="n"/>
      <c r="U321" s="139" t="n"/>
      <c r="V321" s="16">
        <f>P321+R321+T321</f>
        <v/>
      </c>
      <c r="W321" s="16" t="n"/>
      <c r="X321" s="139" t="n"/>
      <c r="Y321" s="16" t="n"/>
      <c r="Z321" s="139" t="n"/>
      <c r="AA321" s="16" t="n"/>
      <c r="AB321" s="139" t="n"/>
      <c r="AC321" s="16" t="n"/>
      <c r="AD321" s="139" t="n"/>
      <c r="AE321" s="16">
        <f>(W321+Y321+AA321+AC321)</f>
        <v/>
      </c>
      <c r="AF321" s="16" t="n"/>
      <c r="AG321" s="138" t="n"/>
      <c r="AH321" s="16" t="n"/>
      <c r="AI321" s="138" t="n"/>
      <c r="AJ321" s="16" t="n"/>
      <c r="AK321" s="138" t="n"/>
      <c r="AL321" s="16" t="n"/>
      <c r="AM321" s="138" t="n"/>
      <c r="AN321" s="16" t="n"/>
      <c r="AO321" s="138" t="n"/>
      <c r="AP321" s="16" t="n"/>
      <c r="AQ321" s="138" t="n"/>
      <c r="AR321" s="16" t="n"/>
      <c r="AS321" s="138" t="n"/>
      <c r="AT321" s="16" t="n"/>
      <c r="AU321" s="138" t="n"/>
      <c r="AV321" s="16" t="n"/>
      <c r="AW321" s="138" t="n"/>
      <c r="AX321" s="16" t="n"/>
      <c r="AY321" s="138" t="n"/>
      <c r="AZ321" s="16">
        <f>AF321+AH321+AJ321+AL321+AN321+AP321+AR321+AT321+AV321+AX321</f>
        <v/>
      </c>
      <c r="BA321" s="16" t="n"/>
      <c r="BB321" s="139" t="n"/>
      <c r="BC321" s="16" t="n"/>
      <c r="BD321" s="139" t="n"/>
      <c r="BE321" s="16">
        <f>(BA321+BC321)</f>
        <v/>
      </c>
    </row>
    <row r="322">
      <c r="A322" s="9" t="n"/>
      <c r="B322" s="136" t="inlineStr">
        <is>
          <t>인조가죽</t>
        </is>
      </c>
      <c r="C322" s="137" t="inlineStr">
        <is>
          <t>ADX4000W</t>
        </is>
      </c>
      <c r="D322" s="84" t="inlineStr">
        <is>
          <t>HAND STRAP -손잡이(터치펜)(유럽용)</t>
        </is>
      </c>
      <c r="E322" s="13" t="inlineStr">
        <is>
          <t>인조 가죽, AL(Cr도금), SUS Φ2.0</t>
        </is>
      </c>
      <c r="F322" s="100" t="n"/>
      <c r="G322" s="9" t="n"/>
      <c r="H322" s="9" t="inlineStr">
        <is>
          <t>굿모닝코리아유통</t>
        </is>
      </c>
      <c r="I322" s="14" t="n"/>
      <c r="J322" s="14" t="n"/>
      <c r="K322" s="12" t="n">
        <v>71</v>
      </c>
      <c r="L322" s="9" t="n"/>
      <c r="M322" s="9" t="n"/>
      <c r="N322" s="9" t="n"/>
      <c r="O322" s="40">
        <f>K322+V322-AE322-AZ322</f>
        <v/>
      </c>
      <c r="P322" s="12" t="n"/>
      <c r="Q322" s="138" t="n"/>
      <c r="R322" s="16" t="n"/>
      <c r="S322" s="139" t="n"/>
      <c r="T322" s="16" t="n"/>
      <c r="U322" s="139" t="n"/>
      <c r="V322" s="16">
        <f>P322+R322+T322</f>
        <v/>
      </c>
      <c r="W322" s="16" t="n"/>
      <c r="X322" s="139" t="n"/>
      <c r="Y322" s="16" t="n"/>
      <c r="Z322" s="139" t="n"/>
      <c r="AA322" s="16" t="n"/>
      <c r="AB322" s="139" t="n"/>
      <c r="AC322" s="16" t="n"/>
      <c r="AD322" s="139" t="n"/>
      <c r="AE322" s="16">
        <f>(W322+Y322+AA322+AC322)</f>
        <v/>
      </c>
      <c r="AF322" s="16" t="n"/>
      <c r="AG322" s="138" t="n"/>
      <c r="AH322" s="16" t="n"/>
      <c r="AI322" s="138" t="n"/>
      <c r="AJ322" s="16" t="n"/>
      <c r="AK322" s="138" t="n"/>
      <c r="AL322" s="16" t="n"/>
      <c r="AM322" s="138" t="n"/>
      <c r="AN322" s="16" t="n"/>
      <c r="AO322" s="138" t="n"/>
      <c r="AP322" s="16" t="n"/>
      <c r="AQ322" s="138" t="n"/>
      <c r="AR322" s="16" t="n"/>
      <c r="AS322" s="138" t="n"/>
      <c r="AT322" s="16" t="n"/>
      <c r="AU322" s="138" t="n"/>
      <c r="AV322" s="16" t="n"/>
      <c r="AW322" s="138" t="n"/>
      <c r="AX322" s="16" t="n"/>
      <c r="AY322" s="138" t="n"/>
      <c r="AZ322" s="16">
        <f>AF322+AH322+AJ322+AL322+AN322+AP322+AR322+AT322+AV322+AX322</f>
        <v/>
      </c>
      <c r="BA322" s="16" t="n"/>
      <c r="BB322" s="139" t="n"/>
      <c r="BC322" s="16" t="n"/>
      <c r="BD322" s="139" t="n"/>
      <c r="BE322" s="16">
        <f>(BA322+BC322)</f>
        <v/>
      </c>
    </row>
    <row r="323">
      <c r="A323" s="9" t="n"/>
      <c r="B323" s="136" t="inlineStr">
        <is>
          <t>인조가죽</t>
        </is>
      </c>
      <c r="C323" s="137" t="inlineStr">
        <is>
          <t>ADX4000W</t>
        </is>
      </c>
      <c r="D323" s="84" t="inlineStr">
        <is>
          <t>HAND STRAP -손잡이(터치펜)</t>
        </is>
      </c>
      <c r="E323" s="13" t="inlineStr">
        <is>
          <t>인조 가죽, AL(Cr도금), SUS Φ2.0</t>
        </is>
      </c>
      <c r="F323" s="100" t="n"/>
      <c r="G323" s="9" t="n"/>
      <c r="H323" s="9" t="inlineStr">
        <is>
          <t>굿모닝코리아유통</t>
        </is>
      </c>
      <c r="I323" s="14" t="n"/>
      <c r="J323" s="14" t="n"/>
      <c r="K323" s="12" t="n">
        <v>144</v>
      </c>
      <c r="L323" s="9" t="n"/>
      <c r="M323" s="9" t="n"/>
      <c r="N323" s="9" t="n"/>
      <c r="O323" s="40">
        <f>K323+V323-AE323-AZ323</f>
        <v/>
      </c>
      <c r="P323" s="12" t="n"/>
      <c r="Q323" s="138" t="n"/>
      <c r="R323" s="16" t="n"/>
      <c r="S323" s="139" t="n"/>
      <c r="T323" s="16" t="n"/>
      <c r="U323" s="139" t="n"/>
      <c r="V323" s="16">
        <f>P323+R323+T323</f>
        <v/>
      </c>
      <c r="W323" s="16" t="n"/>
      <c r="X323" s="139" t="n"/>
      <c r="Y323" s="16" t="n"/>
      <c r="Z323" s="139" t="n"/>
      <c r="AA323" s="16" t="n"/>
      <c r="AB323" s="139" t="n"/>
      <c r="AC323" s="16" t="n"/>
      <c r="AD323" s="139" t="n"/>
      <c r="AE323" s="16">
        <f>(W323+Y323+AA323+AC323)</f>
        <v/>
      </c>
      <c r="AF323" s="16" t="n"/>
      <c r="AG323" s="138" t="n"/>
      <c r="AH323" s="16" t="n"/>
      <c r="AI323" s="138" t="n"/>
      <c r="AJ323" s="16" t="n"/>
      <c r="AK323" s="138" t="n"/>
      <c r="AL323" s="16" t="n"/>
      <c r="AM323" s="138" t="n"/>
      <c r="AN323" s="16" t="n"/>
      <c r="AO323" s="138" t="n"/>
      <c r="AP323" s="16" t="n"/>
      <c r="AQ323" s="138" t="n"/>
      <c r="AR323" s="16" t="n"/>
      <c r="AS323" s="138" t="n"/>
      <c r="AT323" s="16" t="n"/>
      <c r="AU323" s="138" t="n"/>
      <c r="AV323" s="16" t="n"/>
      <c r="AW323" s="138" t="n"/>
      <c r="AX323" s="16" t="n"/>
      <c r="AY323" s="138" t="n"/>
      <c r="AZ323" s="16">
        <f>AF323+AH323+AJ323+AL323+AN323+AP323+AR323+AT323+AV323+AX323</f>
        <v/>
      </c>
      <c r="BA323" s="16" t="n"/>
      <c r="BB323" s="139" t="n"/>
      <c r="BC323" s="16" t="n"/>
      <c r="BD323" s="139" t="n"/>
      <c r="BE323" s="16">
        <f>(BA323+BC323)</f>
        <v/>
      </c>
    </row>
    <row r="324">
      <c r="A324" s="9" t="n"/>
      <c r="B324" s="141" t="inlineStr">
        <is>
          <t>PCB</t>
        </is>
      </c>
      <c r="C324" s="137" t="inlineStr">
        <is>
          <t>ADX6000S</t>
        </is>
      </c>
      <c r="D324" s="62" t="inlineStr">
        <is>
          <t>CTR B/D</t>
        </is>
      </c>
      <c r="E324" s="36" t="n"/>
      <c r="F324" s="100" t="n"/>
      <c r="G324" s="22" t="n"/>
      <c r="H324" s="22" t="inlineStr">
        <is>
          <t>HLP</t>
        </is>
      </c>
      <c r="I324" s="14" t="n"/>
      <c r="J324" s="14" t="n"/>
      <c r="K324" s="12" t="n">
        <v>235</v>
      </c>
      <c r="L324" s="9" t="n"/>
      <c r="M324" s="9" t="n"/>
      <c r="N324" s="9" t="n"/>
      <c r="O324" s="40">
        <f>K324+V324-AE324-AZ324</f>
        <v/>
      </c>
      <c r="P324" s="12" t="n"/>
      <c r="Q324" s="138" t="n"/>
      <c r="R324" s="16" t="n"/>
      <c r="S324" s="139" t="n"/>
      <c r="T324" s="16" t="n"/>
      <c r="U324" s="139" t="n"/>
      <c r="V324" s="16">
        <f>P324+R324+T324</f>
        <v/>
      </c>
      <c r="W324" s="16" t="n"/>
      <c r="X324" s="139" t="n"/>
      <c r="Y324" s="16" t="n"/>
      <c r="Z324" s="139" t="n"/>
      <c r="AA324" s="16" t="n"/>
      <c r="AB324" s="139" t="n"/>
      <c r="AC324" s="16" t="n"/>
      <c r="AD324" s="139" t="n"/>
      <c r="AE324" s="16">
        <f>(W324+Y324+AA324+AC324)</f>
        <v/>
      </c>
      <c r="AF324" s="16" t="n"/>
      <c r="AG324" s="138" t="n"/>
      <c r="AH324" s="16" t="n"/>
      <c r="AI324" s="138" t="n"/>
      <c r="AJ324" s="16" t="n"/>
      <c r="AK324" s="138" t="n"/>
      <c r="AL324" s="16" t="n"/>
      <c r="AM324" s="138" t="n"/>
      <c r="AN324" s="16" t="n"/>
      <c r="AO324" s="138" t="n"/>
      <c r="AP324" s="16" t="n"/>
      <c r="AQ324" s="138" t="n"/>
      <c r="AR324" s="16" t="n"/>
      <c r="AS324" s="138" t="n"/>
      <c r="AT324" s="16" t="n"/>
      <c r="AU324" s="138" t="n"/>
      <c r="AV324" s="16" t="n"/>
      <c r="AW324" s="138" t="n"/>
      <c r="AX324" s="16" t="n"/>
      <c r="AY324" s="138" t="n"/>
      <c r="AZ324" s="16">
        <f>AF324+AH324+AJ324+AL324+AN324+AP324+AR324+AT324+AV324+AX324</f>
        <v/>
      </c>
      <c r="BA324" s="16" t="n"/>
      <c r="BB324" s="139" t="n"/>
      <c r="BC324" s="16" t="n"/>
      <c r="BD324" s="139" t="n"/>
      <c r="BE324" s="16">
        <f>(BA324+BC324)</f>
        <v/>
      </c>
    </row>
    <row r="325">
      <c r="A325" s="9" t="n"/>
      <c r="B325" s="141" t="inlineStr">
        <is>
          <t>PCB</t>
        </is>
      </c>
      <c r="C325" s="137" t="inlineStr">
        <is>
          <t>ADX6000</t>
        </is>
      </c>
      <c r="D325" s="62" t="inlineStr">
        <is>
          <t>CON BD</t>
        </is>
      </c>
      <c r="E325" s="36" t="inlineStr">
        <is>
          <t>V2.0.1</t>
        </is>
      </c>
      <c r="F325" s="100" t="n"/>
      <c r="G325" s="22" t="n"/>
      <c r="H325" s="22" t="inlineStr">
        <is>
          <t>HLP</t>
        </is>
      </c>
      <c r="I325" s="14" t="n"/>
      <c r="J325" s="14" t="n"/>
      <c r="K325" s="12" t="n">
        <v>500</v>
      </c>
      <c r="L325" s="9" t="n"/>
      <c r="M325" s="9" t="n"/>
      <c r="N325" s="9" t="n"/>
      <c r="O325" s="40">
        <f>K325+V325-AE325-AZ325</f>
        <v/>
      </c>
      <c r="P325" s="12" t="n"/>
      <c r="Q325" s="138" t="n"/>
      <c r="R325" s="16" t="n"/>
      <c r="S325" s="139" t="n"/>
      <c r="T325" s="16" t="n"/>
      <c r="U325" s="139" t="n"/>
      <c r="V325" s="16">
        <f>P325+R325+T325</f>
        <v/>
      </c>
      <c r="W325" s="16" t="n"/>
      <c r="X325" s="139" t="n"/>
      <c r="Y325" s="16" t="n"/>
      <c r="Z325" s="139" t="n"/>
      <c r="AA325" s="16" t="n"/>
      <c r="AB325" s="139" t="n"/>
      <c r="AC325" s="16" t="n"/>
      <c r="AD325" s="139" t="n"/>
      <c r="AE325" s="16">
        <f>(W325+Y325+AA325+AC325)</f>
        <v/>
      </c>
      <c r="AF325" s="16" t="n"/>
      <c r="AG325" s="138" t="n"/>
      <c r="AH325" s="16" t="n"/>
      <c r="AI325" s="138" t="n"/>
      <c r="AJ325" s="16" t="n"/>
      <c r="AK325" s="138" t="n"/>
      <c r="AL325" s="16" t="n"/>
      <c r="AM325" s="138" t="n"/>
      <c r="AN325" s="16" t="n"/>
      <c r="AO325" s="138" t="n"/>
      <c r="AP325" s="16" t="n"/>
      <c r="AQ325" s="138" t="n"/>
      <c r="AR325" s="16" t="n"/>
      <c r="AS325" s="138" t="n"/>
      <c r="AT325" s="16" t="n"/>
      <c r="AU325" s="138" t="n"/>
      <c r="AV325" s="16" t="n"/>
      <c r="AW325" s="138" t="n"/>
      <c r="AX325" s="16" t="n"/>
      <c r="AY325" s="138" t="n"/>
      <c r="AZ325" s="16">
        <f>AF325+AH325+AJ325+AL325+AN325+AP325+AR325+AT325+AV325+AX325</f>
        <v/>
      </c>
      <c r="BA325" s="16" t="n"/>
      <c r="BB325" s="139" t="n"/>
      <c r="BC325" s="16" t="n"/>
      <c r="BD325" s="139" t="n"/>
      <c r="BE325" s="16">
        <f>(BA325+BC325)</f>
        <v/>
      </c>
    </row>
    <row r="326">
      <c r="A326" s="9" t="n"/>
      <c r="B326" s="136" t="inlineStr">
        <is>
          <t>PCB</t>
        </is>
      </c>
      <c r="C326" s="137" t="inlineStr">
        <is>
          <t>ADX6000S</t>
        </is>
      </c>
      <c r="D326" s="65" t="inlineStr">
        <is>
          <t>LCD B/D</t>
        </is>
      </c>
      <c r="E326" s="13" t="n"/>
      <c r="F326" s="100" t="n"/>
      <c r="G326" s="9" t="n"/>
      <c r="H326" s="9" t="inlineStr">
        <is>
          <t>HLP</t>
        </is>
      </c>
      <c r="I326" s="14" t="n"/>
      <c r="J326" s="14" t="n"/>
      <c r="K326" s="12" t="n">
        <v>205</v>
      </c>
      <c r="L326" s="9" t="n"/>
      <c r="M326" s="9" t="n"/>
      <c r="N326" s="9" t="n"/>
      <c r="O326" s="40">
        <f>K326+V326-AE326-AZ326</f>
        <v/>
      </c>
      <c r="P326" s="12" t="n"/>
      <c r="Q326" s="138" t="n"/>
      <c r="R326" s="16" t="n"/>
      <c r="S326" s="139" t="n"/>
      <c r="T326" s="16" t="n"/>
      <c r="U326" s="139" t="n"/>
      <c r="V326" s="16">
        <f>P326+R326+T326</f>
        <v/>
      </c>
      <c r="W326" s="16" t="n"/>
      <c r="X326" s="139" t="n"/>
      <c r="Y326" s="16" t="n"/>
      <c r="Z326" s="139" t="n"/>
      <c r="AA326" s="16" t="n"/>
      <c r="AB326" s="139" t="n"/>
      <c r="AC326" s="16" t="n"/>
      <c r="AD326" s="139" t="n"/>
      <c r="AE326" s="16">
        <f>(W326+Y326+AA326+AC326)</f>
        <v/>
      </c>
      <c r="AF326" s="16" t="n"/>
      <c r="AG326" s="138" t="n"/>
      <c r="AH326" s="16" t="n"/>
      <c r="AI326" s="138" t="n"/>
      <c r="AJ326" s="16" t="n"/>
      <c r="AK326" s="138" t="n"/>
      <c r="AL326" s="16" t="n"/>
      <c r="AM326" s="138" t="n"/>
      <c r="AN326" s="16" t="n"/>
      <c r="AO326" s="138" t="n"/>
      <c r="AP326" s="16" t="n"/>
      <c r="AQ326" s="138" t="n"/>
      <c r="AR326" s="16" t="n"/>
      <c r="AS326" s="138" t="n"/>
      <c r="AT326" s="16" t="n"/>
      <c r="AU326" s="138" t="n"/>
      <c r="AV326" s="16" t="n"/>
      <c r="AW326" s="138" t="n"/>
      <c r="AX326" s="16" t="n"/>
      <c r="AY326" s="138" t="n"/>
      <c r="AZ326" s="16">
        <f>AF326+AH326+AJ326+AL326+AN326+AP326+AR326+AT326+AV326+AX326</f>
        <v/>
      </c>
      <c r="BA326" s="16" t="n"/>
      <c r="BB326" s="139" t="n"/>
      <c r="BC326" s="16" t="n"/>
      <c r="BD326" s="139" t="n"/>
      <c r="BE326" s="16">
        <f>(BA326+BC326)</f>
        <v/>
      </c>
    </row>
    <row r="327">
      <c r="A327" s="9" t="n"/>
      <c r="B327" s="136" t="inlineStr">
        <is>
          <t>PCB</t>
        </is>
      </c>
      <c r="C327" s="137" t="inlineStr">
        <is>
          <t>ADX6000S</t>
        </is>
      </c>
      <c r="D327" s="88" t="inlineStr">
        <is>
          <t>ETC CARRIER BD</t>
        </is>
      </c>
      <c r="E327" s="13" t="inlineStr">
        <is>
          <t>IEC-1000</t>
        </is>
      </c>
      <c r="F327" s="100" t="n"/>
      <c r="G327" s="9" t="n"/>
      <c r="H327" s="9" t="inlineStr">
        <is>
          <t>HLP</t>
        </is>
      </c>
      <c r="I327" s="14" t="n"/>
      <c r="J327" s="14" t="n"/>
      <c r="K327" s="12" t="n">
        <v>90</v>
      </c>
      <c r="L327" s="9" t="n"/>
      <c r="M327" s="9" t="n"/>
      <c r="N327" s="9" t="n"/>
      <c r="O327" s="40">
        <f>K327+V327-AE327-AZ327</f>
        <v/>
      </c>
      <c r="P327" s="12" t="n"/>
      <c r="Q327" s="138" t="n"/>
      <c r="R327" s="16" t="n"/>
      <c r="S327" s="139" t="n"/>
      <c r="T327" s="16" t="n"/>
      <c r="U327" s="139" t="n"/>
      <c r="V327" s="16">
        <f>P327+R327+T327</f>
        <v/>
      </c>
      <c r="W327" s="16" t="n"/>
      <c r="X327" s="139" t="n"/>
      <c r="Y327" s="16" t="n"/>
      <c r="Z327" s="139" t="n"/>
      <c r="AA327" s="16" t="n"/>
      <c r="AB327" s="139" t="n"/>
      <c r="AC327" s="16" t="n"/>
      <c r="AD327" s="139" t="n"/>
      <c r="AE327" s="16">
        <f>(W327+Y327+AA327+AC327)</f>
        <v/>
      </c>
      <c r="AF327" s="16" t="n"/>
      <c r="AG327" s="138" t="n"/>
      <c r="AH327" s="16" t="n"/>
      <c r="AI327" s="138" t="n"/>
      <c r="AJ327" s="16" t="n"/>
      <c r="AK327" s="138" t="n"/>
      <c r="AL327" s="16" t="n"/>
      <c r="AM327" s="138" t="n"/>
      <c r="AN327" s="16" t="n"/>
      <c r="AO327" s="138" t="n"/>
      <c r="AP327" s="16" t="n"/>
      <c r="AQ327" s="138" t="n"/>
      <c r="AR327" s="16" t="n"/>
      <c r="AS327" s="138" t="n"/>
      <c r="AT327" s="16" t="n"/>
      <c r="AU327" s="138" t="n"/>
      <c r="AV327" s="16" t="n"/>
      <c r="AW327" s="138" t="n"/>
      <c r="AX327" s="16" t="n"/>
      <c r="AY327" s="138" t="n"/>
      <c r="AZ327" s="16">
        <f>AF327+AH327+AJ327+AL327+AN327+AP327+AR327+AT327+AV327+AX327</f>
        <v/>
      </c>
      <c r="BA327" s="16" t="n"/>
      <c r="BB327" s="139" t="n"/>
      <c r="BC327" s="16" t="n"/>
      <c r="BD327" s="139" t="n"/>
      <c r="BE327" s="16">
        <f>(BA327+BC327)</f>
        <v/>
      </c>
    </row>
    <row r="328">
      <c r="A328" s="9" t="n"/>
      <c r="B328" s="136" t="inlineStr">
        <is>
          <t>PCB</t>
        </is>
      </c>
      <c r="C328" s="137" t="inlineStr">
        <is>
          <t>ADX6000S</t>
        </is>
      </c>
      <c r="D328" s="84" t="inlineStr">
        <is>
          <t>ETC FRONT BD</t>
        </is>
      </c>
      <c r="E328" s="13" t="inlineStr">
        <is>
          <t>리모콘 포트 수정 신형 얇은 것</t>
        </is>
      </c>
      <c r="F328" s="100" t="n"/>
      <c r="G328" s="9" t="n"/>
      <c r="H328" s="9" t="inlineStr">
        <is>
          <t>HLP</t>
        </is>
      </c>
      <c r="I328" s="14" t="n"/>
      <c r="J328" s="14" t="n"/>
      <c r="K328" s="12" t="n">
        <v>109</v>
      </c>
      <c r="L328" s="9" t="n"/>
      <c r="M328" s="9" t="n"/>
      <c r="N328" s="9" t="n"/>
      <c r="O328" s="40">
        <f>K328+V328-AE328-AZ328</f>
        <v/>
      </c>
      <c r="P328" s="12" t="n"/>
      <c r="Q328" s="138" t="n"/>
      <c r="R328" s="16" t="n"/>
      <c r="S328" s="139" t="n"/>
      <c r="T328" s="16" t="n"/>
      <c r="U328" s="139" t="n"/>
      <c r="V328" s="16">
        <f>P328+R328+T328</f>
        <v/>
      </c>
      <c r="W328" s="16" t="n"/>
      <c r="X328" s="139" t="n"/>
      <c r="Y328" s="16" t="n"/>
      <c r="Z328" s="139" t="n"/>
      <c r="AA328" s="16" t="n"/>
      <c r="AB328" s="139" t="n"/>
      <c r="AC328" s="16" t="n"/>
      <c r="AD328" s="139" t="n"/>
      <c r="AE328" s="16">
        <f>(W328+Y328+AA328+AC328)</f>
        <v/>
      </c>
      <c r="AF328" s="16" t="n"/>
      <c r="AG328" s="138" t="n"/>
      <c r="AH328" s="16" t="n"/>
      <c r="AI328" s="138" t="n"/>
      <c r="AJ328" s="16" t="n"/>
      <c r="AK328" s="138" t="n"/>
      <c r="AL328" s="16" t="n"/>
      <c r="AM328" s="138" t="n"/>
      <c r="AN328" s="16" t="n"/>
      <c r="AO328" s="138" t="n"/>
      <c r="AP328" s="16" t="n"/>
      <c r="AQ328" s="138" t="n"/>
      <c r="AR328" s="16" t="n"/>
      <c r="AS328" s="138" t="n"/>
      <c r="AT328" s="16" t="n"/>
      <c r="AU328" s="138" t="n"/>
      <c r="AV328" s="16" t="n"/>
      <c r="AW328" s="138" t="n"/>
      <c r="AX328" s="16" t="n"/>
      <c r="AY328" s="138" t="n"/>
      <c r="AZ328" s="16">
        <f>AF328+AH328+AJ328+AL328+AN328+AP328+AR328+AT328+AV328+AX328</f>
        <v/>
      </c>
      <c r="BA328" s="16" t="n"/>
      <c r="BB328" s="139" t="n"/>
      <c r="BC328" s="16" t="n"/>
      <c r="BD328" s="139" t="n"/>
      <c r="BE328" s="16">
        <f>(BA328+BC328)</f>
        <v/>
      </c>
    </row>
    <row r="329">
      <c r="A329" s="9" t="n"/>
      <c r="B329" s="136" t="inlineStr">
        <is>
          <t>PCB</t>
        </is>
      </c>
      <c r="C329" s="137" t="inlineStr">
        <is>
          <t>ADX6000</t>
        </is>
      </c>
      <c r="D329" s="84" t="inlineStr">
        <is>
          <t>Power Switch B/D</t>
        </is>
      </c>
      <c r="E329" s="13" t="n"/>
      <c r="F329" s="100" t="n"/>
      <c r="G329" s="9" t="n"/>
      <c r="H329" s="9" t="inlineStr">
        <is>
          <t>HLP</t>
        </is>
      </c>
      <c r="I329" s="14" t="n"/>
      <c r="J329" s="14" t="n"/>
      <c r="K329" s="12" t="n">
        <v>106</v>
      </c>
      <c r="L329" s="9" t="n"/>
      <c r="M329" s="9" t="n"/>
      <c r="N329" s="9" t="n"/>
      <c r="O329" s="40">
        <f>K329+V329-AE329-AZ329</f>
        <v/>
      </c>
      <c r="P329" s="12" t="n"/>
      <c r="Q329" s="138" t="n"/>
      <c r="R329" s="16" t="n"/>
      <c r="S329" s="139" t="n"/>
      <c r="T329" s="16" t="n"/>
      <c r="U329" s="139" t="n"/>
      <c r="V329" s="16">
        <f>P329+R329+T329</f>
        <v/>
      </c>
      <c r="W329" s="16" t="n"/>
      <c r="X329" s="139" t="n"/>
      <c r="Y329" s="16" t="n"/>
      <c r="Z329" s="139" t="n"/>
      <c r="AA329" s="16" t="n"/>
      <c r="AB329" s="139" t="n"/>
      <c r="AC329" s="16" t="n"/>
      <c r="AD329" s="139" t="n"/>
      <c r="AE329" s="16">
        <f>(W329+Y329+AA329+AC329)</f>
        <v/>
      </c>
      <c r="AF329" s="16" t="n"/>
      <c r="AG329" s="138" t="n"/>
      <c r="AH329" s="16" t="n"/>
      <c r="AI329" s="138" t="n"/>
      <c r="AJ329" s="16" t="n"/>
      <c r="AK329" s="138" t="n"/>
      <c r="AL329" s="16" t="n"/>
      <c r="AM329" s="138" t="n"/>
      <c r="AN329" s="16" t="n"/>
      <c r="AO329" s="138" t="n"/>
      <c r="AP329" s="16" t="n"/>
      <c r="AQ329" s="138" t="n"/>
      <c r="AR329" s="16" t="n"/>
      <c r="AS329" s="138" t="n"/>
      <c r="AT329" s="16" t="n"/>
      <c r="AU329" s="138" t="n"/>
      <c r="AV329" s="16" t="n"/>
      <c r="AW329" s="138" t="n"/>
      <c r="AX329" s="16" t="n"/>
      <c r="AY329" s="138" t="n"/>
      <c r="AZ329" s="16">
        <f>AF329+AH329+AJ329+AL329+AN329+AP329+AR329+AT329+AV329+AX329</f>
        <v/>
      </c>
      <c r="BA329" s="16" t="n"/>
      <c r="BB329" s="139" t="n"/>
      <c r="BC329" s="16" t="n"/>
      <c r="BD329" s="139" t="n"/>
      <c r="BE329" s="16">
        <f>(BA329+BC329)</f>
        <v/>
      </c>
    </row>
    <row r="330">
      <c r="A330" s="9" t="n"/>
      <c r="B330" s="136" t="inlineStr">
        <is>
          <t>PCB</t>
        </is>
      </c>
      <c r="C330" s="137" t="inlineStr">
        <is>
          <t>ADX6000</t>
        </is>
      </c>
      <c r="D330" s="84" t="inlineStr">
        <is>
          <t>EX B/D</t>
        </is>
      </c>
      <c r="E330" s="13" t="n"/>
      <c r="F330" s="100" t="n"/>
      <c r="G330" s="9" t="n"/>
      <c r="H330" s="9" t="inlineStr">
        <is>
          <t>HLP</t>
        </is>
      </c>
      <c r="I330" s="14" t="n"/>
      <c r="J330" s="14" t="n"/>
      <c r="K330" s="12" t="n">
        <v>108</v>
      </c>
      <c r="L330" s="9" t="n"/>
      <c r="M330" s="9" t="n"/>
      <c r="N330" s="9" t="n"/>
      <c r="O330" s="40">
        <f>K330+V330-AE330-AZ330</f>
        <v/>
      </c>
      <c r="P330" s="12" t="n"/>
      <c r="Q330" s="138" t="n"/>
      <c r="R330" s="16" t="n"/>
      <c r="S330" s="139" t="n"/>
      <c r="T330" s="16" t="n"/>
      <c r="U330" s="139" t="n"/>
      <c r="V330" s="16">
        <f>P330+R330+T330</f>
        <v/>
      </c>
      <c r="W330" s="16" t="n"/>
      <c r="X330" s="139" t="n"/>
      <c r="Y330" s="16" t="n"/>
      <c r="Z330" s="139" t="n"/>
      <c r="AA330" s="16" t="n"/>
      <c r="AB330" s="139" t="n"/>
      <c r="AC330" s="16" t="n"/>
      <c r="AD330" s="139" t="n"/>
      <c r="AE330" s="16">
        <f>(W330+Y330+AA330+AC330)</f>
        <v/>
      </c>
      <c r="AF330" s="16" t="n"/>
      <c r="AG330" s="138" t="n"/>
      <c r="AH330" s="16" t="n"/>
      <c r="AI330" s="138" t="n"/>
      <c r="AJ330" s="16" t="n"/>
      <c r="AK330" s="138" t="n"/>
      <c r="AL330" s="16" t="n"/>
      <c r="AM330" s="138" t="n"/>
      <c r="AN330" s="16" t="n"/>
      <c r="AO330" s="138" t="n"/>
      <c r="AP330" s="16" t="n"/>
      <c r="AQ330" s="138" t="n"/>
      <c r="AR330" s="16" t="n"/>
      <c r="AS330" s="138" t="n"/>
      <c r="AT330" s="16" t="n"/>
      <c r="AU330" s="138" t="n"/>
      <c r="AV330" s="16" t="n"/>
      <c r="AW330" s="138" t="n"/>
      <c r="AX330" s="16" t="n"/>
      <c r="AY330" s="138" t="n"/>
      <c r="AZ330" s="16">
        <f>AF330+AH330+AJ330+AL330+AN330+AP330+AR330+AT330+AV330+AX330</f>
        <v/>
      </c>
      <c r="BA330" s="16" t="n"/>
      <c r="BB330" s="139" t="n"/>
      <c r="BC330" s="16" t="n"/>
      <c r="BD330" s="139" t="n"/>
      <c r="BE330" s="16">
        <f>(BA330+BC330)</f>
        <v/>
      </c>
    </row>
    <row r="331">
      <c r="A331" s="9" t="n"/>
      <c r="B331" s="136" t="inlineStr">
        <is>
          <t>PCB</t>
        </is>
      </c>
      <c r="C331" s="137" t="inlineStr">
        <is>
          <t>ADX6000</t>
        </is>
      </c>
      <c r="D331" s="84" t="inlineStr">
        <is>
          <t>관전류 B/D</t>
        </is>
      </c>
      <c r="E331" s="13" t="n"/>
      <c r="F331" s="100" t="n"/>
      <c r="G331" s="9" t="n"/>
      <c r="H331" s="9" t="inlineStr">
        <is>
          <t>HLP</t>
        </is>
      </c>
      <c r="I331" s="14" t="n"/>
      <c r="J331" s="14" t="n"/>
      <c r="K331" s="12" t="n">
        <v>280</v>
      </c>
      <c r="L331" s="9" t="n"/>
      <c r="M331" s="9" t="n"/>
      <c r="N331" s="9" t="n"/>
      <c r="O331" s="40">
        <f>K331+V331-AE331-AZ331</f>
        <v/>
      </c>
      <c r="P331" s="12" t="n"/>
      <c r="Q331" s="138" t="n"/>
      <c r="R331" s="16" t="n"/>
      <c r="S331" s="139" t="n"/>
      <c r="T331" s="16" t="n"/>
      <c r="U331" s="139" t="n"/>
      <c r="V331" s="16">
        <f>P331+R331+T331</f>
        <v/>
      </c>
      <c r="W331" s="16" t="n"/>
      <c r="X331" s="139" t="n"/>
      <c r="Y331" s="16" t="n"/>
      <c r="Z331" s="139" t="n"/>
      <c r="AA331" s="16" t="n"/>
      <c r="AB331" s="139" t="n"/>
      <c r="AC331" s="16" t="n"/>
      <c r="AD331" s="139" t="n"/>
      <c r="AE331" s="16">
        <f>(W331+Y331+AA331+AC331)</f>
        <v/>
      </c>
      <c r="AF331" s="16" t="n"/>
      <c r="AG331" s="138" t="n"/>
      <c r="AH331" s="16" t="n"/>
      <c r="AI331" s="138" t="n"/>
      <c r="AJ331" s="16" t="n"/>
      <c r="AK331" s="138" t="n"/>
      <c r="AL331" s="16" t="n"/>
      <c r="AM331" s="138" t="n"/>
      <c r="AN331" s="16" t="n"/>
      <c r="AO331" s="138" t="n"/>
      <c r="AP331" s="16" t="n"/>
      <c r="AQ331" s="138" t="n"/>
      <c r="AR331" s="16" t="n"/>
      <c r="AS331" s="138" t="n"/>
      <c r="AT331" s="16" t="n"/>
      <c r="AU331" s="138" t="n"/>
      <c r="AV331" s="16" t="n"/>
      <c r="AW331" s="138" t="n"/>
      <c r="AX331" s="16" t="n"/>
      <c r="AY331" s="138" t="n"/>
      <c r="AZ331" s="16">
        <f>AF331+AH331+AJ331+AL331+AN331+AP331+AR331+AT331+AV331+AX331</f>
        <v/>
      </c>
      <c r="BA331" s="16" t="n"/>
      <c r="BB331" s="139" t="n"/>
      <c r="BC331" s="16" t="n"/>
      <c r="BD331" s="139" t="n"/>
      <c r="BE331" s="16">
        <f>(BA331+BC331)</f>
        <v/>
      </c>
    </row>
    <row r="332">
      <c r="A332" s="9" t="n"/>
      <c r="B332" s="136" t="inlineStr">
        <is>
          <t>PCB</t>
        </is>
      </c>
      <c r="C332" s="137" t="inlineStr">
        <is>
          <t>ADX6000</t>
        </is>
      </c>
      <c r="D332" s="84" t="inlineStr">
        <is>
          <t>Battery Bridge B/D</t>
        </is>
      </c>
      <c r="E332" s="13" t="n"/>
      <c r="F332" s="100" t="n"/>
      <c r="G332" s="9" t="n"/>
      <c r="H332" s="9" t="inlineStr">
        <is>
          <t>HLP</t>
        </is>
      </c>
      <c r="I332" s="14" t="n"/>
      <c r="J332" s="14" t="n"/>
      <c r="K332" s="12" t="n">
        <v>192</v>
      </c>
      <c r="L332" s="9" t="n"/>
      <c r="M332" s="9" t="n"/>
      <c r="N332" s="9" t="n"/>
      <c r="O332" s="40">
        <f>K332+V332-AE332-AZ332</f>
        <v/>
      </c>
      <c r="P332" s="12" t="n"/>
      <c r="Q332" s="138" t="n"/>
      <c r="R332" s="16" t="n"/>
      <c r="S332" s="139" t="n"/>
      <c r="T332" s="16" t="n"/>
      <c r="U332" s="139" t="n"/>
      <c r="V332" s="16">
        <f>P332+R332+T332</f>
        <v/>
      </c>
      <c r="W332" s="16" t="n"/>
      <c r="X332" s="139" t="n"/>
      <c r="Y332" s="16" t="n"/>
      <c r="Z332" s="139" t="n"/>
      <c r="AA332" s="16" t="n"/>
      <c r="AB332" s="139" t="n"/>
      <c r="AC332" s="16" t="n"/>
      <c r="AD332" s="139" t="n"/>
      <c r="AE332" s="16">
        <f>(W332+Y332+AA332+AC332)</f>
        <v/>
      </c>
      <c r="AF332" s="16" t="n"/>
      <c r="AG332" s="138" t="n"/>
      <c r="AH332" s="16" t="n"/>
      <c r="AI332" s="138" t="n"/>
      <c r="AJ332" s="16" t="n"/>
      <c r="AK332" s="138" t="n"/>
      <c r="AL332" s="16" t="n"/>
      <c r="AM332" s="138" t="n"/>
      <c r="AN332" s="16" t="n"/>
      <c r="AO332" s="138" t="n"/>
      <c r="AP332" s="16" t="n"/>
      <c r="AQ332" s="138" t="n"/>
      <c r="AR332" s="16" t="n"/>
      <c r="AS332" s="138" t="n"/>
      <c r="AT332" s="16" t="n"/>
      <c r="AU332" s="138" t="n"/>
      <c r="AV332" s="16" t="n"/>
      <c r="AW332" s="138" t="n"/>
      <c r="AX332" s="16" t="n"/>
      <c r="AY332" s="138" t="n"/>
      <c r="AZ332" s="16">
        <f>AF332+AH332+AJ332+AL332+AN332+AP332+AR332+AT332+AV332+AX332</f>
        <v/>
      </c>
      <c r="BA332" s="16" t="n"/>
      <c r="BB332" s="139" t="n"/>
      <c r="BC332" s="16" t="n"/>
      <c r="BD332" s="139" t="n"/>
      <c r="BE332" s="16">
        <f>(BA332+BC332)</f>
        <v/>
      </c>
    </row>
    <row r="333">
      <c r="A333" s="9" t="n"/>
      <c r="B333" s="136" t="inlineStr">
        <is>
          <t>PCB</t>
        </is>
      </c>
      <c r="C333" s="137" t="inlineStr">
        <is>
          <t>ADX6000</t>
        </is>
      </c>
      <c r="D333" s="84" t="inlineStr">
        <is>
          <t>Battery Connect B/D</t>
        </is>
      </c>
      <c r="E333" s="13" t="n"/>
      <c r="F333" s="100" t="n"/>
      <c r="G333" s="9" t="n"/>
      <c r="H333" s="9" t="inlineStr">
        <is>
          <t>HLP</t>
        </is>
      </c>
      <c r="I333" s="14" t="n"/>
      <c r="J333" s="14" t="n"/>
      <c r="K333" s="12" t="n">
        <v>194</v>
      </c>
      <c r="L333" s="9" t="n"/>
      <c r="M333" s="9" t="n"/>
      <c r="N333" s="9" t="n"/>
      <c r="O333" s="40">
        <f>K333+V333-AE333-AZ333</f>
        <v/>
      </c>
      <c r="P333" s="12" t="n"/>
      <c r="Q333" s="138" t="n"/>
      <c r="R333" s="16" t="n"/>
      <c r="S333" s="139" t="n"/>
      <c r="T333" s="16" t="n"/>
      <c r="U333" s="139" t="n"/>
      <c r="V333" s="16">
        <f>P333+R333+T333</f>
        <v/>
      </c>
      <c r="W333" s="16" t="n"/>
      <c r="X333" s="139" t="n"/>
      <c r="Y333" s="16" t="n"/>
      <c r="Z333" s="139" t="n"/>
      <c r="AA333" s="16" t="n"/>
      <c r="AB333" s="139" t="n"/>
      <c r="AC333" s="16" t="n"/>
      <c r="AD333" s="139" t="n"/>
      <c r="AE333" s="16">
        <f>(W333+Y333+AA333+AC333)</f>
        <v/>
      </c>
      <c r="AF333" s="16" t="n"/>
      <c r="AG333" s="138" t="n"/>
      <c r="AH333" s="16" t="n"/>
      <c r="AI333" s="138" t="n"/>
      <c r="AJ333" s="16" t="n"/>
      <c r="AK333" s="138" t="n"/>
      <c r="AL333" s="16" t="n"/>
      <c r="AM333" s="138" t="n"/>
      <c r="AN333" s="16" t="n"/>
      <c r="AO333" s="138" t="n"/>
      <c r="AP333" s="16" t="n"/>
      <c r="AQ333" s="138" t="n"/>
      <c r="AR333" s="16" t="n"/>
      <c r="AS333" s="138" t="n"/>
      <c r="AT333" s="16" t="n"/>
      <c r="AU333" s="138" t="n"/>
      <c r="AV333" s="16" t="n"/>
      <c r="AW333" s="138" t="n"/>
      <c r="AX333" s="16" t="n"/>
      <c r="AY333" s="138" t="n"/>
      <c r="AZ333" s="16">
        <f>AF333+AH333+AJ333+AL333+AN333+AP333+AR333+AT333+AV333+AX333</f>
        <v/>
      </c>
      <c r="BA333" s="16" t="n"/>
      <c r="BB333" s="139" t="n"/>
      <c r="BC333" s="16" t="n"/>
      <c r="BD333" s="139" t="n"/>
      <c r="BE333" s="16">
        <f>(BA333+BC333)</f>
        <v/>
      </c>
    </row>
    <row r="334">
      <c r="A334" s="9" t="n"/>
      <c r="B334" s="136" t="inlineStr">
        <is>
          <t>PCB</t>
        </is>
      </c>
      <c r="C334" s="137" t="inlineStr">
        <is>
          <t>ADX6000</t>
        </is>
      </c>
      <c r="D334" s="84" t="inlineStr">
        <is>
          <t>Cradle B/D</t>
        </is>
      </c>
      <c r="E334" s="13" t="n"/>
      <c r="F334" s="100" t="n"/>
      <c r="G334" s="9" t="n"/>
      <c r="H334" s="9" t="inlineStr">
        <is>
          <t>HLP</t>
        </is>
      </c>
      <c r="I334" s="14" t="n"/>
      <c r="J334" s="14" t="n"/>
      <c r="K334" s="12" t="n">
        <v>0</v>
      </c>
      <c r="L334" s="9" t="n"/>
      <c r="M334" s="9" t="n"/>
      <c r="N334" s="9" t="n"/>
      <c r="O334" s="40">
        <f>K334+V334-AE334-AZ334</f>
        <v/>
      </c>
      <c r="P334" s="12" t="n"/>
      <c r="Q334" s="138" t="n"/>
      <c r="R334" s="16" t="n"/>
      <c r="S334" s="139" t="n"/>
      <c r="T334" s="16" t="n"/>
      <c r="U334" s="139" t="n"/>
      <c r="V334" s="16">
        <f>P334+R334+T334</f>
        <v/>
      </c>
      <c r="W334" s="16" t="n"/>
      <c r="X334" s="139" t="n"/>
      <c r="Y334" s="16" t="n"/>
      <c r="Z334" s="139" t="n"/>
      <c r="AA334" s="16" t="n"/>
      <c r="AB334" s="139" t="n"/>
      <c r="AC334" s="16" t="n"/>
      <c r="AD334" s="139" t="n"/>
      <c r="AE334" s="16">
        <f>(W334+Y334+AA334+AC334)</f>
        <v/>
      </c>
      <c r="AF334" s="16" t="n"/>
      <c r="AG334" s="138" t="n"/>
      <c r="AH334" s="16" t="n"/>
      <c r="AI334" s="138" t="n"/>
      <c r="AJ334" s="16" t="n"/>
      <c r="AK334" s="138" t="n"/>
      <c r="AL334" s="16" t="n"/>
      <c r="AM334" s="138" t="n"/>
      <c r="AN334" s="16" t="n"/>
      <c r="AO334" s="138" t="n"/>
      <c r="AP334" s="16" t="n"/>
      <c r="AQ334" s="138" t="n"/>
      <c r="AR334" s="16" t="n"/>
      <c r="AS334" s="138" t="n"/>
      <c r="AT334" s="16" t="n"/>
      <c r="AU334" s="138" t="n"/>
      <c r="AV334" s="16" t="n"/>
      <c r="AW334" s="138" t="n"/>
      <c r="AX334" s="16" t="n"/>
      <c r="AY334" s="138" t="n"/>
      <c r="AZ334" s="16">
        <f>AF334+AH334+AJ334+AL334+AN334+AP334+AR334+AT334+AV334+AX334</f>
        <v/>
      </c>
      <c r="BA334" s="16" t="n"/>
      <c r="BB334" s="139" t="n"/>
      <c r="BC334" s="16" t="n"/>
      <c r="BD334" s="139" t="n"/>
      <c r="BE334" s="16">
        <f>(BA334+BC334)</f>
        <v/>
      </c>
    </row>
    <row r="335" ht="24" customHeight="1" s="122">
      <c r="A335" s="9" t="n"/>
      <c r="B335" s="136" t="inlineStr">
        <is>
          <t>CABLE</t>
        </is>
      </c>
      <c r="C335" s="137" t="inlineStr">
        <is>
          <t>ADX4000W, ADX6000</t>
        </is>
      </c>
      <c r="D335" s="145" t="inlineStr">
        <is>
          <t>스피커 2핀</t>
        </is>
      </c>
      <c r="E335" s="13" t="inlineStr">
        <is>
          <t>12505HS-02+SORDER 200mm</t>
        </is>
      </c>
      <c r="F335" s="100" t="n"/>
      <c r="G335" s="9" t="n"/>
      <c r="H335" s="9" t="inlineStr">
        <is>
          <t>HLP</t>
        </is>
      </c>
      <c r="I335" s="14" t="n"/>
      <c r="J335" s="14" t="n"/>
      <c r="K335" s="12" t="n">
        <v>157</v>
      </c>
      <c r="L335" s="9" t="n"/>
      <c r="M335" s="9" t="n"/>
      <c r="N335" s="9" t="n"/>
      <c r="O335" s="40">
        <f>K335+V335-AE335-AZ335</f>
        <v/>
      </c>
      <c r="P335" s="12" t="n"/>
      <c r="Q335" s="138" t="n"/>
      <c r="R335" s="16" t="n"/>
      <c r="S335" s="139" t="n"/>
      <c r="T335" s="16" t="n"/>
      <c r="U335" s="139" t="n"/>
      <c r="V335" s="16">
        <f>P335+R335+T335</f>
        <v/>
      </c>
      <c r="W335" s="16" t="n"/>
      <c r="X335" s="139" t="n"/>
      <c r="Y335" s="16" t="n"/>
      <c r="Z335" s="139" t="n"/>
      <c r="AA335" s="16" t="n"/>
      <c r="AB335" s="139" t="n"/>
      <c r="AC335" s="16" t="n"/>
      <c r="AD335" s="139" t="n"/>
      <c r="AE335" s="16">
        <f>(W335+Y335+AA335+AC335)</f>
        <v/>
      </c>
      <c r="AF335" s="16" t="n"/>
      <c r="AG335" s="138" t="n"/>
      <c r="AH335" s="16" t="n"/>
      <c r="AI335" s="138" t="n"/>
      <c r="AJ335" s="16" t="n"/>
      <c r="AK335" s="138" t="n"/>
      <c r="AL335" s="16" t="n"/>
      <c r="AM335" s="138" t="n"/>
      <c r="AN335" s="16" t="n"/>
      <c r="AO335" s="138" t="n"/>
      <c r="AP335" s="16" t="n"/>
      <c r="AQ335" s="138" t="n"/>
      <c r="AR335" s="16" t="n"/>
      <c r="AS335" s="138" t="n"/>
      <c r="AT335" s="16" t="n"/>
      <c r="AU335" s="138" t="n"/>
      <c r="AV335" s="16" t="n"/>
      <c r="AW335" s="138" t="n"/>
      <c r="AX335" s="16" t="n"/>
      <c r="AY335" s="138" t="n"/>
      <c r="AZ335" s="16">
        <f>AF335+AH335+AJ335+AL335+AN335+AP335+AR335+AT335+AV335+AX335</f>
        <v/>
      </c>
      <c r="BA335" s="16" t="n"/>
      <c r="BB335" s="139" t="n"/>
      <c r="BC335" s="16" t="n"/>
      <c r="BD335" s="139" t="n"/>
      <c r="BE335" s="16">
        <f>(BA335+BC335)</f>
        <v/>
      </c>
    </row>
    <row r="336">
      <c r="A336" s="9" t="n"/>
      <c r="B336" s="136" t="inlineStr">
        <is>
          <t>CABLE</t>
        </is>
      </c>
      <c r="C336" s="137" t="inlineStr">
        <is>
          <t>ADX6000S</t>
        </is>
      </c>
      <c r="D336" s="60" t="inlineStr">
        <is>
          <t>하네스 1번</t>
        </is>
      </c>
      <c r="E336" s="13" t="inlineStr">
        <is>
          <t>12505HS-06, 12505HS-04, 12505HS-03, 12505HS-02 CTR, CURRENT, FRONT, PC BD연결 / 180mm, 140mm, 200mm</t>
        </is>
      </c>
      <c r="F336" s="100" t="n"/>
      <c r="G336" s="9" t="n"/>
      <c r="H336" s="9" t="inlineStr">
        <is>
          <t>HLP</t>
        </is>
      </c>
      <c r="I336" s="14" t="n"/>
      <c r="J336" s="14" t="n"/>
      <c r="K336" s="12" t="n">
        <v>123</v>
      </c>
      <c r="L336" s="9" t="n"/>
      <c r="M336" s="9" t="n"/>
      <c r="N336" s="9" t="n"/>
      <c r="O336" s="40">
        <f>K336+V336-AE336-AZ336</f>
        <v/>
      </c>
      <c r="P336" s="12" t="n"/>
      <c r="Q336" s="138" t="n"/>
      <c r="R336" s="16" t="n"/>
      <c r="S336" s="139" t="n"/>
      <c r="T336" s="16" t="n"/>
      <c r="U336" s="139" t="n"/>
      <c r="V336" s="16">
        <f>P336+R336+T336</f>
        <v/>
      </c>
      <c r="W336" s="16" t="n"/>
      <c r="X336" s="139" t="n"/>
      <c r="Y336" s="16" t="n"/>
      <c r="Z336" s="139" t="n"/>
      <c r="AA336" s="16" t="n"/>
      <c r="AB336" s="139" t="n"/>
      <c r="AC336" s="16" t="n"/>
      <c r="AD336" s="139" t="n"/>
      <c r="AE336" s="16">
        <f>(W336+Y336+AA336+AC336)</f>
        <v/>
      </c>
      <c r="AF336" s="16" t="n"/>
      <c r="AG336" s="138" t="n"/>
      <c r="AH336" s="16" t="n"/>
      <c r="AI336" s="138" t="n"/>
      <c r="AJ336" s="16" t="n"/>
      <c r="AK336" s="138" t="n"/>
      <c r="AL336" s="16" t="n"/>
      <c r="AM336" s="138" t="n"/>
      <c r="AN336" s="16" t="n"/>
      <c r="AO336" s="138" t="n"/>
      <c r="AP336" s="16" t="n"/>
      <c r="AQ336" s="138" t="n"/>
      <c r="AR336" s="16" t="n"/>
      <c r="AS336" s="138" t="n"/>
      <c r="AT336" s="16" t="n"/>
      <c r="AU336" s="138" t="n"/>
      <c r="AV336" s="16" t="n"/>
      <c r="AW336" s="138" t="n"/>
      <c r="AX336" s="16" t="n"/>
      <c r="AY336" s="138" t="n"/>
      <c r="AZ336" s="16">
        <f>AF336+AH336+AJ336+AL336+AN336+AP336+AR336+AT336+AV336+AX336</f>
        <v/>
      </c>
      <c r="BA336" s="16" t="n"/>
      <c r="BB336" s="139" t="n"/>
      <c r="BC336" s="16" t="n"/>
      <c r="BD336" s="139" t="n"/>
      <c r="BE336" s="16">
        <f>(BA336+BC336)</f>
        <v/>
      </c>
    </row>
    <row r="337">
      <c r="A337" s="9" t="n"/>
      <c r="B337" s="136" t="inlineStr">
        <is>
          <t>CABLE</t>
        </is>
      </c>
      <c r="C337" s="137" t="inlineStr">
        <is>
          <t>ADX6000S</t>
        </is>
      </c>
      <c r="D337" s="84" t="inlineStr">
        <is>
          <t>하네스 2번</t>
        </is>
      </c>
      <c r="E337" s="13" t="inlineStr">
        <is>
          <t>12505HS-04, USB-105 PC, FRONT BD 연결 / 70mm</t>
        </is>
      </c>
      <c r="F337" s="100" t="n"/>
      <c r="G337" s="9" t="n"/>
      <c r="H337" s="9" t="inlineStr">
        <is>
          <t>HLP</t>
        </is>
      </c>
      <c r="I337" s="14" t="n"/>
      <c r="J337" s="14" t="n"/>
      <c r="K337" s="12" t="n">
        <v>240</v>
      </c>
      <c r="L337" s="9" t="n"/>
      <c r="M337" s="9" t="n"/>
      <c r="N337" s="9" t="n"/>
      <c r="O337" s="40">
        <f>K337+V337-AE337-AZ337</f>
        <v/>
      </c>
      <c r="P337" s="12" t="n"/>
      <c r="Q337" s="138" t="n"/>
      <c r="R337" s="16" t="n"/>
      <c r="S337" s="139" t="n"/>
      <c r="T337" s="16" t="n"/>
      <c r="U337" s="139" t="n"/>
      <c r="V337" s="16">
        <f>P337+R337+T337</f>
        <v/>
      </c>
      <c r="W337" s="16" t="n"/>
      <c r="X337" s="139" t="n"/>
      <c r="Y337" s="16" t="n"/>
      <c r="Z337" s="139" t="n"/>
      <c r="AA337" s="16" t="n"/>
      <c r="AB337" s="139" t="n"/>
      <c r="AC337" s="16" t="n"/>
      <c r="AD337" s="139" t="n"/>
      <c r="AE337" s="16">
        <f>(W337+Y337+AA337+AC337)</f>
        <v/>
      </c>
      <c r="AF337" s="16" t="n"/>
      <c r="AG337" s="138" t="n"/>
      <c r="AH337" s="16" t="n"/>
      <c r="AI337" s="138" t="n"/>
      <c r="AJ337" s="16" t="n"/>
      <c r="AK337" s="138" t="n"/>
      <c r="AL337" s="16" t="n"/>
      <c r="AM337" s="138" t="n"/>
      <c r="AN337" s="16" t="n"/>
      <c r="AO337" s="138" t="n"/>
      <c r="AP337" s="16" t="n"/>
      <c r="AQ337" s="138" t="n"/>
      <c r="AR337" s="16" t="n"/>
      <c r="AS337" s="138" t="n"/>
      <c r="AT337" s="16" t="n"/>
      <c r="AU337" s="138" t="n"/>
      <c r="AV337" s="16" t="n"/>
      <c r="AW337" s="138" t="n"/>
      <c r="AX337" s="16" t="n"/>
      <c r="AY337" s="138" t="n"/>
      <c r="AZ337" s="16">
        <f>AF337+AH337+AJ337+AL337+AN337+AP337+AR337+AT337+AV337+AX337</f>
        <v/>
      </c>
      <c r="BA337" s="16" t="n"/>
      <c r="BB337" s="139" t="n"/>
      <c r="BC337" s="16" t="n"/>
      <c r="BD337" s="139" t="n"/>
      <c r="BE337" s="16">
        <f>(BA337+BC337)</f>
        <v/>
      </c>
    </row>
    <row r="338">
      <c r="A338" s="9" t="n"/>
      <c r="B338" s="136" t="inlineStr">
        <is>
          <t>CABLE</t>
        </is>
      </c>
      <c r="C338" s="137" t="inlineStr">
        <is>
          <t>ADX6000</t>
        </is>
      </c>
      <c r="D338" s="84" t="inlineStr">
        <is>
          <t>하네스 3번</t>
        </is>
      </c>
      <c r="E338" s="13" t="inlineStr">
        <is>
          <t>Power&amp;Exp Connector 12핀 / 160mm, 70mm</t>
        </is>
      </c>
      <c r="F338" s="100" t="n"/>
      <c r="G338" s="9" t="n"/>
      <c r="H338" s="9" t="inlineStr">
        <is>
          <t>HLP</t>
        </is>
      </c>
      <c r="I338" s="14" t="n"/>
      <c r="J338" s="14" t="n"/>
      <c r="K338" s="12" t="n">
        <v>203</v>
      </c>
      <c r="L338" s="9" t="n"/>
      <c r="M338" s="9" t="n"/>
      <c r="N338" s="9" t="n"/>
      <c r="O338" s="40">
        <f>K338+V338-AE338-AZ338</f>
        <v/>
      </c>
      <c r="P338" s="12" t="n"/>
      <c r="Q338" s="138" t="n"/>
      <c r="R338" s="16" t="n"/>
      <c r="S338" s="139" t="n"/>
      <c r="T338" s="16" t="n"/>
      <c r="U338" s="139" t="n"/>
      <c r="V338" s="16">
        <f>P338+R338+T338</f>
        <v/>
      </c>
      <c r="W338" s="16" t="n"/>
      <c r="X338" s="139" t="n"/>
      <c r="Y338" s="16" t="n"/>
      <c r="Z338" s="139" t="n"/>
      <c r="AA338" s="16" t="n"/>
      <c r="AB338" s="139" t="n"/>
      <c r="AC338" s="16" t="n"/>
      <c r="AD338" s="139" t="n"/>
      <c r="AE338" s="16">
        <f>(W338+Y338+AA338+AC338)</f>
        <v/>
      </c>
      <c r="AF338" s="16" t="n"/>
      <c r="AG338" s="138" t="n"/>
      <c r="AH338" s="16" t="n"/>
      <c r="AI338" s="138" t="n"/>
      <c r="AJ338" s="16" t="n"/>
      <c r="AK338" s="138" t="n"/>
      <c r="AL338" s="16" t="n"/>
      <c r="AM338" s="138" t="n"/>
      <c r="AN338" s="16" t="n"/>
      <c r="AO338" s="138" t="n"/>
      <c r="AP338" s="16" t="n"/>
      <c r="AQ338" s="138" t="n"/>
      <c r="AR338" s="16" t="n"/>
      <c r="AS338" s="138" t="n"/>
      <c r="AT338" s="16" t="n"/>
      <c r="AU338" s="138" t="n"/>
      <c r="AV338" s="16" t="n"/>
      <c r="AW338" s="138" t="n"/>
      <c r="AX338" s="16" t="n"/>
      <c r="AY338" s="138" t="n"/>
      <c r="AZ338" s="16">
        <f>AF338+AH338+AJ338+AL338+AN338+AP338+AR338+AT338+AV338+AX338</f>
        <v/>
      </c>
      <c r="BA338" s="16" t="n"/>
      <c r="BB338" s="139" t="n"/>
      <c r="BC338" s="16" t="n"/>
      <c r="BD338" s="139" t="n"/>
      <c r="BE338" s="16">
        <f>(BA338+BC338)</f>
        <v/>
      </c>
    </row>
    <row r="339">
      <c r="A339" s="9" t="n"/>
      <c r="B339" s="136" t="inlineStr">
        <is>
          <t>CABLE</t>
        </is>
      </c>
      <c r="C339" s="137" t="inlineStr">
        <is>
          <t>ADX6000</t>
        </is>
      </c>
      <c r="D339" s="84" t="inlineStr">
        <is>
          <t>하네스 5번</t>
        </is>
      </c>
      <c r="E339" s="13" t="inlineStr">
        <is>
          <t>컬리메이터 LED 2핀 / 300mm</t>
        </is>
      </c>
      <c r="F339" s="100" t="n"/>
      <c r="G339" s="9" t="n"/>
      <c r="H339" s="9" t="inlineStr">
        <is>
          <t>HLP</t>
        </is>
      </c>
      <c r="I339" s="14" t="n"/>
      <c r="J339" s="14" t="n"/>
      <c r="K339" s="12" t="n">
        <v>0</v>
      </c>
      <c r="L339" s="9" t="n"/>
      <c r="M339" s="9" t="n"/>
      <c r="N339" s="9" t="n"/>
      <c r="O339" s="40">
        <f>K339+V339-AE339-AZ339</f>
        <v/>
      </c>
      <c r="P339" s="12" t="n"/>
      <c r="Q339" s="138" t="n"/>
      <c r="R339" s="16" t="n"/>
      <c r="S339" s="139" t="n"/>
      <c r="T339" s="16" t="n"/>
      <c r="U339" s="139" t="n"/>
      <c r="V339" s="16">
        <f>P339+R339+T339</f>
        <v/>
      </c>
      <c r="W339" s="16" t="n"/>
      <c r="X339" s="139" t="n"/>
      <c r="Y339" s="16" t="n"/>
      <c r="Z339" s="139" t="n"/>
      <c r="AA339" s="16" t="n"/>
      <c r="AB339" s="139" t="n"/>
      <c r="AC339" s="16" t="n"/>
      <c r="AD339" s="139" t="n"/>
      <c r="AE339" s="16">
        <f>(W339+Y339+AA339+AC339)</f>
        <v/>
      </c>
      <c r="AF339" s="16" t="n"/>
      <c r="AG339" s="138" t="n"/>
      <c r="AH339" s="16" t="n"/>
      <c r="AI339" s="138" t="n"/>
      <c r="AJ339" s="16" t="n"/>
      <c r="AK339" s="138" t="n"/>
      <c r="AL339" s="16" t="n"/>
      <c r="AM339" s="138" t="n"/>
      <c r="AN339" s="16" t="n"/>
      <c r="AO339" s="138" t="n"/>
      <c r="AP339" s="16" t="n"/>
      <c r="AQ339" s="138" t="n"/>
      <c r="AR339" s="16" t="n"/>
      <c r="AS339" s="138" t="n"/>
      <c r="AT339" s="16" t="n"/>
      <c r="AU339" s="138" t="n"/>
      <c r="AV339" s="16" t="n"/>
      <c r="AW339" s="138" t="n"/>
      <c r="AX339" s="16" t="n"/>
      <c r="AY339" s="138" t="n"/>
      <c r="AZ339" s="16">
        <f>AF339+AH339+AJ339+AL339+AN339+AP339+AR339+AT339+AV339+AX339</f>
        <v/>
      </c>
      <c r="BA339" s="16" t="n"/>
      <c r="BB339" s="139" t="n"/>
      <c r="BC339" s="16" t="n"/>
      <c r="BD339" s="139" t="n"/>
      <c r="BE339" s="16">
        <f>(BA339+BC339)</f>
        <v/>
      </c>
    </row>
    <row r="340">
      <c r="A340" s="9" t="n"/>
      <c r="B340" s="136" t="inlineStr">
        <is>
          <t>CABLE</t>
        </is>
      </c>
      <c r="C340" s="137" t="inlineStr">
        <is>
          <t>ADX6000S</t>
        </is>
      </c>
      <c r="D340" s="84" t="inlineStr">
        <is>
          <t>하네스 6번</t>
        </is>
      </c>
      <c r="E340" s="13" t="inlineStr">
        <is>
          <t>SMH250-02 PC 전원 케이블 / 130mm</t>
        </is>
      </c>
      <c r="F340" s="100" t="n"/>
      <c r="G340" s="9" t="n"/>
      <c r="H340" s="9" t="inlineStr">
        <is>
          <t>HLP</t>
        </is>
      </c>
      <c r="I340" s="14" t="n"/>
      <c r="J340" s="14" t="n"/>
      <c r="K340" s="12" t="n">
        <v>234</v>
      </c>
      <c r="L340" s="9" t="n"/>
      <c r="M340" s="9" t="n"/>
      <c r="N340" s="9" t="n"/>
      <c r="O340" s="40">
        <f>K340+V340-AE340-AZ340</f>
        <v/>
      </c>
      <c r="P340" s="12" t="n"/>
      <c r="Q340" s="138" t="n"/>
      <c r="R340" s="16" t="n"/>
      <c r="S340" s="139" t="n"/>
      <c r="T340" s="16" t="n"/>
      <c r="U340" s="139" t="n"/>
      <c r="V340" s="16">
        <f>P340+R340+T340</f>
        <v/>
      </c>
      <c r="W340" s="16" t="n"/>
      <c r="X340" s="139" t="n"/>
      <c r="Y340" s="16" t="n"/>
      <c r="Z340" s="139" t="n"/>
      <c r="AA340" s="16" t="n"/>
      <c r="AB340" s="139" t="n"/>
      <c r="AC340" s="16" t="n"/>
      <c r="AD340" s="139" t="n"/>
      <c r="AE340" s="16">
        <f>(W340+Y340+AA340+AC340)</f>
        <v/>
      </c>
      <c r="AF340" s="16" t="n"/>
      <c r="AG340" s="138" t="n"/>
      <c r="AH340" s="16" t="n"/>
      <c r="AI340" s="138" t="n"/>
      <c r="AJ340" s="16" t="n"/>
      <c r="AK340" s="138" t="n"/>
      <c r="AL340" s="16" t="n"/>
      <c r="AM340" s="138" t="n"/>
      <c r="AN340" s="16" t="n"/>
      <c r="AO340" s="138" t="n"/>
      <c r="AP340" s="16" t="n"/>
      <c r="AQ340" s="138" t="n"/>
      <c r="AR340" s="16" t="n"/>
      <c r="AS340" s="138" t="n"/>
      <c r="AT340" s="16" t="n"/>
      <c r="AU340" s="138" t="n"/>
      <c r="AV340" s="16" t="n"/>
      <c r="AW340" s="138" t="n"/>
      <c r="AX340" s="16" t="n"/>
      <c r="AY340" s="138" t="n"/>
      <c r="AZ340" s="16">
        <f>AF340+AH340+AJ340+AL340+AN340+AP340+AR340+AT340+AV340+AX340</f>
        <v/>
      </c>
      <c r="BA340" s="16" t="n"/>
      <c r="BB340" s="139" t="n"/>
      <c r="BC340" s="16" t="n"/>
      <c r="BD340" s="139" t="n"/>
      <c r="BE340" s="16">
        <f>(BA340+BC340)</f>
        <v/>
      </c>
    </row>
    <row r="341">
      <c r="A341" s="9" t="n"/>
      <c r="B341" s="136" t="inlineStr">
        <is>
          <t>CABLE</t>
        </is>
      </c>
      <c r="C341" s="137" t="inlineStr">
        <is>
          <t>ADX6000S</t>
        </is>
      </c>
      <c r="D341" s="84" t="inlineStr">
        <is>
          <t>하네스 7번</t>
        </is>
      </c>
      <c r="E341" s="13" t="inlineStr">
        <is>
          <t>DF19G-20S-1C(0.5) (2EA) LVDS 케이블 / 160mm 힌지 작업시 발주</t>
        </is>
      </c>
      <c r="F341" s="100" t="n"/>
      <c r="G341" s="9" t="n"/>
      <c r="H341" s="9" t="inlineStr">
        <is>
          <t>HLP</t>
        </is>
      </c>
      <c r="I341" s="14" t="n"/>
      <c r="J341" s="14" t="n"/>
      <c r="K341" s="12" t="n">
        <v>512</v>
      </c>
      <c r="L341" s="9" t="n"/>
      <c r="M341" s="9" t="n"/>
      <c r="N341" s="9" t="n"/>
      <c r="O341" s="40">
        <f>K341+V341-AE341-AZ341</f>
        <v/>
      </c>
      <c r="P341" s="12" t="n"/>
      <c r="Q341" s="138" t="n"/>
      <c r="R341" s="16" t="n"/>
      <c r="S341" s="139" t="n"/>
      <c r="T341" s="16" t="n"/>
      <c r="U341" s="139" t="n"/>
      <c r="V341" s="16">
        <f>P341+R341+T341</f>
        <v/>
      </c>
      <c r="W341" s="16" t="n"/>
      <c r="X341" s="139" t="n"/>
      <c r="Y341" s="16" t="n"/>
      <c r="Z341" s="139" t="n"/>
      <c r="AA341" s="16" t="n"/>
      <c r="AB341" s="139" t="n"/>
      <c r="AC341" s="16" t="n"/>
      <c r="AD341" s="139" t="n"/>
      <c r="AE341" s="16">
        <f>(W341+Y341+AA341+AC341)</f>
        <v/>
      </c>
      <c r="AF341" s="16" t="n"/>
      <c r="AG341" s="138" t="n"/>
      <c r="AH341" s="16" t="n"/>
      <c r="AI341" s="138" t="n"/>
      <c r="AJ341" s="16" t="n"/>
      <c r="AK341" s="138" t="n"/>
      <c r="AL341" s="16" t="n"/>
      <c r="AM341" s="138" t="n"/>
      <c r="AN341" s="16" t="n"/>
      <c r="AO341" s="138" t="n"/>
      <c r="AP341" s="16" t="n"/>
      <c r="AQ341" s="138" t="n"/>
      <c r="AR341" s="16" t="n"/>
      <c r="AS341" s="138" t="n"/>
      <c r="AT341" s="16" t="n"/>
      <c r="AU341" s="138" t="n"/>
      <c r="AV341" s="16" t="n"/>
      <c r="AW341" s="138" t="n"/>
      <c r="AX341" s="16" t="n"/>
      <c r="AY341" s="138" t="n"/>
      <c r="AZ341" s="16">
        <f>AF341+AH341+AJ341+AL341+AN341+AP341+AR341+AT341+AV341+AX341</f>
        <v/>
      </c>
      <c r="BA341" s="16" t="n"/>
      <c r="BB341" s="139" t="n"/>
      <c r="BC341" s="16" t="n"/>
      <c r="BD341" s="139" t="n"/>
      <c r="BE341" s="16">
        <f>(BA341+BC341)</f>
        <v/>
      </c>
    </row>
    <row r="342">
      <c r="A342" s="9" t="n"/>
      <c r="B342" s="136" t="inlineStr">
        <is>
          <t>CABLE</t>
        </is>
      </c>
      <c r="C342" s="137" t="inlineStr">
        <is>
          <t>ADX6000S</t>
        </is>
      </c>
      <c r="D342" s="84" t="inlineStr">
        <is>
          <t>하네스 9-1번</t>
        </is>
      </c>
      <c r="E342" s="13" t="inlineStr">
        <is>
          <t>12505HS-03 Carrier Mini BD 케이블 / 100mm (한쪽만 커넥터)</t>
        </is>
      </c>
      <c r="F342" s="100" t="n"/>
      <c r="G342" s="9" t="n"/>
      <c r="H342" s="9" t="inlineStr">
        <is>
          <t>HLP</t>
        </is>
      </c>
      <c r="I342" s="14" t="n"/>
      <c r="J342" s="14" t="n"/>
      <c r="K342" s="12" t="n">
        <v>501</v>
      </c>
      <c r="L342" s="9" t="n"/>
      <c r="M342" s="9" t="n"/>
      <c r="N342" s="9" t="n"/>
      <c r="O342" s="40">
        <f>K342+V342-AE342-AZ342</f>
        <v/>
      </c>
      <c r="P342" s="12" t="n"/>
      <c r="Q342" s="138" t="n"/>
      <c r="R342" s="16" t="n"/>
      <c r="S342" s="139" t="n"/>
      <c r="T342" s="16" t="n"/>
      <c r="U342" s="139" t="n"/>
      <c r="V342" s="16">
        <f>P342+R342+T342</f>
        <v/>
      </c>
      <c r="W342" s="16" t="n"/>
      <c r="X342" s="139" t="n"/>
      <c r="Y342" s="16" t="n"/>
      <c r="Z342" s="139" t="n"/>
      <c r="AA342" s="16" t="n"/>
      <c r="AB342" s="139" t="n"/>
      <c r="AC342" s="16" t="n"/>
      <c r="AD342" s="139" t="n"/>
      <c r="AE342" s="16">
        <f>(W342+Y342+AA342+AC342)</f>
        <v/>
      </c>
      <c r="AF342" s="16" t="n"/>
      <c r="AG342" s="138" t="n"/>
      <c r="AH342" s="16" t="n"/>
      <c r="AI342" s="138" t="n"/>
      <c r="AJ342" s="16" t="n"/>
      <c r="AK342" s="138" t="n"/>
      <c r="AL342" s="16" t="n"/>
      <c r="AM342" s="138" t="n"/>
      <c r="AN342" s="16" t="n"/>
      <c r="AO342" s="138" t="n"/>
      <c r="AP342" s="16" t="n"/>
      <c r="AQ342" s="138" t="n"/>
      <c r="AR342" s="16" t="n"/>
      <c r="AS342" s="138" t="n"/>
      <c r="AT342" s="16" t="n"/>
      <c r="AU342" s="138" t="n"/>
      <c r="AV342" s="16" t="n"/>
      <c r="AW342" s="138" t="n"/>
      <c r="AX342" s="16" t="n"/>
      <c r="AY342" s="138" t="n"/>
      <c r="AZ342" s="16">
        <f>AF342+AH342+AJ342+AL342+AN342+AP342+AR342+AT342+AV342+AX342</f>
        <v/>
      </c>
      <c r="BA342" s="16" t="n"/>
      <c r="BB342" s="139" t="n"/>
      <c r="BC342" s="16" t="n"/>
      <c r="BD342" s="139" t="n"/>
      <c r="BE342" s="16">
        <f>(BA342+BC342)</f>
        <v/>
      </c>
    </row>
    <row r="343">
      <c r="A343" s="9" t="n"/>
      <c r="B343" s="136" t="inlineStr">
        <is>
          <t>CABLE</t>
        </is>
      </c>
      <c r="C343" s="137" t="inlineStr">
        <is>
          <t>ADX6000S</t>
        </is>
      </c>
      <c r="D343" s="84" t="inlineStr">
        <is>
          <t>하네스 10번</t>
        </is>
      </c>
      <c r="E343" s="13" t="inlineStr">
        <is>
          <t>CHW0640-03, 1205HS-03 PC, CTR BD 연결 / 130mm</t>
        </is>
      </c>
      <c r="F343" s="100" t="n"/>
      <c r="G343" s="9" t="n"/>
      <c r="H343" s="9" t="inlineStr">
        <is>
          <t>HLP</t>
        </is>
      </c>
      <c r="I343" s="14" t="n"/>
      <c r="J343" s="14" t="n"/>
      <c r="K343" s="12" t="n">
        <v>210</v>
      </c>
      <c r="L343" s="9" t="n"/>
      <c r="M343" s="9" t="n"/>
      <c r="N343" s="9" t="n"/>
      <c r="O343" s="40">
        <f>K343+V343-AE343-AZ343</f>
        <v/>
      </c>
      <c r="P343" s="12" t="n"/>
      <c r="Q343" s="138" t="n"/>
      <c r="R343" s="16" t="n"/>
      <c r="S343" s="139" t="n"/>
      <c r="T343" s="16" t="n"/>
      <c r="U343" s="139" t="n"/>
      <c r="V343" s="16">
        <f>P343+R343+T343</f>
        <v/>
      </c>
      <c r="W343" s="16" t="n"/>
      <c r="X343" s="139" t="n"/>
      <c r="Y343" s="16" t="n"/>
      <c r="Z343" s="139" t="n"/>
      <c r="AA343" s="16" t="n"/>
      <c r="AB343" s="139" t="n"/>
      <c r="AC343" s="16" t="n"/>
      <c r="AD343" s="139" t="n"/>
      <c r="AE343" s="16">
        <f>(W343+Y343+AA343+AC343)</f>
        <v/>
      </c>
      <c r="AF343" s="16" t="n"/>
      <c r="AG343" s="138" t="n"/>
      <c r="AH343" s="16" t="n"/>
      <c r="AI343" s="138" t="n"/>
      <c r="AJ343" s="16" t="n"/>
      <c r="AK343" s="138" t="n"/>
      <c r="AL343" s="16" t="n"/>
      <c r="AM343" s="138" t="n"/>
      <c r="AN343" s="16" t="n"/>
      <c r="AO343" s="138" t="n"/>
      <c r="AP343" s="16" t="n"/>
      <c r="AQ343" s="138" t="n"/>
      <c r="AR343" s="16" t="n"/>
      <c r="AS343" s="138" t="n"/>
      <c r="AT343" s="16" t="n"/>
      <c r="AU343" s="138" t="n"/>
      <c r="AV343" s="16" t="n"/>
      <c r="AW343" s="138" t="n"/>
      <c r="AX343" s="16" t="n"/>
      <c r="AY343" s="138" t="n"/>
      <c r="AZ343" s="16">
        <f>AF343+AH343+AJ343+AL343+AN343+AP343+AR343+AT343+AV343+AX343</f>
        <v/>
      </c>
      <c r="BA343" s="16" t="n"/>
      <c r="BB343" s="139" t="n"/>
      <c r="BC343" s="16" t="n"/>
      <c r="BD343" s="139" t="n"/>
      <c r="BE343" s="16">
        <f>(BA343+BC343)</f>
        <v/>
      </c>
    </row>
    <row r="344">
      <c r="A344" s="9" t="n"/>
      <c r="B344" s="136" t="inlineStr">
        <is>
          <t>CABLE</t>
        </is>
      </c>
      <c r="C344" s="137" t="inlineStr">
        <is>
          <t>ADX6000</t>
        </is>
      </c>
      <c r="D344" s="84" t="inlineStr">
        <is>
          <t>하네스 11번</t>
        </is>
      </c>
      <c r="E344" s="13" t="inlineStr">
        <is>
          <t>Battery BD 02 [4핀,2핀,Dual] 탈착, 외부 BAT BD 연결 / 90mm, 80mm</t>
        </is>
      </c>
      <c r="F344" s="100" t="n"/>
      <c r="G344" s="9" t="n"/>
      <c r="H344" s="9" t="inlineStr">
        <is>
          <t>HLP</t>
        </is>
      </c>
      <c r="I344" s="14" t="n"/>
      <c r="J344" s="14" t="n"/>
      <c r="K344" s="12" t="n">
        <v>354</v>
      </c>
      <c r="L344" s="9" t="n"/>
      <c r="M344" s="9" t="n"/>
      <c r="N344" s="9" t="n"/>
      <c r="O344" s="40">
        <f>K344+V344-AE344-AZ344</f>
        <v/>
      </c>
      <c r="P344" s="12" t="n"/>
      <c r="Q344" s="138" t="n"/>
      <c r="R344" s="16" t="n"/>
      <c r="S344" s="139" t="n"/>
      <c r="T344" s="16" t="n"/>
      <c r="U344" s="139" t="n"/>
      <c r="V344" s="16">
        <f>P344+R344+T344</f>
        <v/>
      </c>
      <c r="W344" s="16" t="n"/>
      <c r="X344" s="139" t="n"/>
      <c r="Y344" s="16" t="n"/>
      <c r="Z344" s="139" t="n"/>
      <c r="AA344" s="16" t="n"/>
      <c r="AB344" s="139" t="n"/>
      <c r="AC344" s="16" t="n"/>
      <c r="AD344" s="139" t="n"/>
      <c r="AE344" s="16">
        <f>(W344+Y344+AA344+AC344)</f>
        <v/>
      </c>
      <c r="AF344" s="16" t="n"/>
      <c r="AG344" s="138" t="n"/>
      <c r="AH344" s="16" t="n"/>
      <c r="AI344" s="138" t="n"/>
      <c r="AJ344" s="16" t="n"/>
      <c r="AK344" s="138" t="n"/>
      <c r="AL344" s="16" t="n"/>
      <c r="AM344" s="138" t="n"/>
      <c r="AN344" s="16" t="n"/>
      <c r="AO344" s="138" t="n"/>
      <c r="AP344" s="16" t="n"/>
      <c r="AQ344" s="138" t="n"/>
      <c r="AR344" s="16" t="n"/>
      <c r="AS344" s="138" t="n"/>
      <c r="AT344" s="16" t="n"/>
      <c r="AU344" s="138" t="n"/>
      <c r="AV344" s="16" t="n"/>
      <c r="AW344" s="138" t="n"/>
      <c r="AX344" s="16" t="n"/>
      <c r="AY344" s="138" t="n"/>
      <c r="AZ344" s="16">
        <f>AF344+AH344+AJ344+AL344+AN344+AP344+AR344+AT344+AV344+AX344</f>
        <v/>
      </c>
      <c r="BA344" s="16" t="n"/>
      <c r="BB344" s="139" t="n"/>
      <c r="BC344" s="16" t="n"/>
      <c r="BD344" s="139" t="n"/>
      <c r="BE344" s="16">
        <f>(BA344+BC344)</f>
        <v/>
      </c>
    </row>
    <row r="345">
      <c r="A345" s="9" t="n"/>
      <c r="B345" s="136" t="inlineStr">
        <is>
          <t>CABLE</t>
        </is>
      </c>
      <c r="C345" s="137" t="inlineStr">
        <is>
          <t>ADX6000S</t>
        </is>
      </c>
      <c r="D345" s="84" t="inlineStr">
        <is>
          <t>하네스 14번</t>
        </is>
      </c>
      <c r="E345" s="13" t="inlineStr">
        <is>
          <t>FFC Cable 40핀 / 50mm - 사용안함</t>
        </is>
      </c>
      <c r="F345" s="100" t="n"/>
      <c r="G345" s="9" t="n"/>
      <c r="H345" s="9" t="inlineStr">
        <is>
          <t>HLP</t>
        </is>
      </c>
      <c r="I345" s="14" t="n"/>
      <c r="J345" s="14" t="n"/>
      <c r="K345" s="12" t="n">
        <v>0</v>
      </c>
      <c r="L345" s="9" t="n"/>
      <c r="M345" s="9" t="n"/>
      <c r="N345" s="9" t="n"/>
      <c r="O345" s="40">
        <f>K345+V345-AE345-AZ345</f>
        <v/>
      </c>
      <c r="P345" s="12" t="n"/>
      <c r="Q345" s="138" t="n"/>
      <c r="R345" s="16" t="n"/>
      <c r="S345" s="139" t="n"/>
      <c r="T345" s="16" t="n"/>
      <c r="U345" s="139" t="n"/>
      <c r="V345" s="16">
        <f>P345+R345+T345</f>
        <v/>
      </c>
      <c r="W345" s="16" t="n"/>
      <c r="X345" s="139" t="n"/>
      <c r="Y345" s="16" t="n"/>
      <c r="Z345" s="139" t="n"/>
      <c r="AA345" s="16" t="n"/>
      <c r="AB345" s="139" t="n"/>
      <c r="AC345" s="16" t="n"/>
      <c r="AD345" s="139" t="n"/>
      <c r="AE345" s="16">
        <f>(W345+Y345+AA345+AC345)</f>
        <v/>
      </c>
      <c r="AF345" s="16" t="n"/>
      <c r="AG345" s="138" t="n"/>
      <c r="AH345" s="16" t="n"/>
      <c r="AI345" s="138" t="n"/>
      <c r="AJ345" s="16" t="n"/>
      <c r="AK345" s="138" t="n"/>
      <c r="AL345" s="16" t="n"/>
      <c r="AM345" s="138" t="n"/>
      <c r="AN345" s="16" t="n"/>
      <c r="AO345" s="138" t="n"/>
      <c r="AP345" s="16" t="n"/>
      <c r="AQ345" s="138" t="n"/>
      <c r="AR345" s="16" t="n"/>
      <c r="AS345" s="138" t="n"/>
      <c r="AT345" s="16" t="n"/>
      <c r="AU345" s="138" t="n"/>
      <c r="AV345" s="16" t="n"/>
      <c r="AW345" s="138" t="n"/>
      <c r="AX345" s="16" t="n"/>
      <c r="AY345" s="138" t="n"/>
      <c r="AZ345" s="16">
        <f>AF345+AH345+AJ345+AL345+AN345+AP345+AR345+AT345+AV345+AX345</f>
        <v/>
      </c>
      <c r="BA345" s="16" t="n"/>
      <c r="BB345" s="139" t="n"/>
      <c r="BC345" s="16" t="n"/>
      <c r="BD345" s="139" t="n"/>
      <c r="BE345" s="16">
        <f>(BA345+BC345)</f>
        <v/>
      </c>
    </row>
    <row r="346">
      <c r="A346" s="9" t="n"/>
      <c r="B346" s="136" t="inlineStr">
        <is>
          <t>CABLE</t>
        </is>
      </c>
      <c r="C346" s="137" t="inlineStr">
        <is>
          <t>ADX6000</t>
        </is>
      </c>
      <c r="D346" s="85" t="inlineStr">
        <is>
          <t>Battery BD 01 Wire Harness (2핀)</t>
        </is>
      </c>
      <c r="E346" s="23" t="inlineStr">
        <is>
          <t>80mm</t>
        </is>
      </c>
      <c r="F346" s="100" t="n"/>
      <c r="G346" s="9" t="n"/>
      <c r="H346" s="9" t="inlineStr">
        <is>
          <t>HLP</t>
        </is>
      </c>
      <c r="I346" s="14" t="n"/>
      <c r="J346" s="14" t="n"/>
      <c r="K346" s="12" t="n">
        <v>712</v>
      </c>
      <c r="L346" s="9" t="n"/>
      <c r="M346" s="9" t="n"/>
      <c r="N346" s="9" t="n"/>
      <c r="O346" s="40">
        <f>K346+V346-AE346-AZ346</f>
        <v/>
      </c>
      <c r="P346" s="12" t="n"/>
      <c r="Q346" s="138" t="n"/>
      <c r="R346" s="16" t="n"/>
      <c r="S346" s="139" t="n"/>
      <c r="T346" s="16" t="n"/>
      <c r="U346" s="139" t="n"/>
      <c r="V346" s="16">
        <f>P346+R346+T346</f>
        <v/>
      </c>
      <c r="W346" s="16" t="n"/>
      <c r="X346" s="139" t="n"/>
      <c r="Y346" s="16" t="n"/>
      <c r="Z346" s="139" t="n"/>
      <c r="AA346" s="16" t="n"/>
      <c r="AB346" s="139" t="n"/>
      <c r="AC346" s="16" t="n"/>
      <c r="AD346" s="139" t="n"/>
      <c r="AE346" s="16">
        <f>(W346+Y346+AA346+AC346)</f>
        <v/>
      </c>
      <c r="AF346" s="16" t="n"/>
      <c r="AG346" s="138" t="n"/>
      <c r="AH346" s="16" t="n"/>
      <c r="AI346" s="138" t="n"/>
      <c r="AJ346" s="16" t="n"/>
      <c r="AK346" s="138" t="n"/>
      <c r="AL346" s="16" t="n"/>
      <c r="AM346" s="138" t="n"/>
      <c r="AN346" s="16" t="n"/>
      <c r="AO346" s="138" t="n"/>
      <c r="AP346" s="16" t="n"/>
      <c r="AQ346" s="138" t="n"/>
      <c r="AR346" s="16" t="n"/>
      <c r="AS346" s="138" t="n"/>
      <c r="AT346" s="16" t="n"/>
      <c r="AU346" s="138" t="n"/>
      <c r="AV346" s="16" t="n"/>
      <c r="AW346" s="138" t="n"/>
      <c r="AX346" s="16" t="n"/>
      <c r="AY346" s="138" t="n"/>
      <c r="AZ346" s="16">
        <f>AF346+AH346+AJ346+AL346+AN346+AP346+AR346+AT346+AV346+AX346</f>
        <v/>
      </c>
      <c r="BA346" s="16" t="n"/>
      <c r="BB346" s="139" t="n"/>
      <c r="BC346" s="16" t="n"/>
      <c r="BD346" s="139" t="n"/>
      <c r="BE346" s="16">
        <f>(BA346+BC346)</f>
        <v/>
      </c>
    </row>
    <row r="347">
      <c r="A347" s="9" t="n"/>
      <c r="B347" s="136" t="inlineStr">
        <is>
          <t>PANEL</t>
        </is>
      </c>
      <c r="C347" s="137" t="inlineStr">
        <is>
          <t>ADX6000S</t>
        </is>
      </c>
      <c r="D347" s="65" t="inlineStr">
        <is>
          <t>4.3" LCD (신형)</t>
        </is>
      </c>
      <c r="E347" s="13" t="inlineStr">
        <is>
          <t>IEC-1000</t>
        </is>
      </c>
      <c r="F347" s="100" t="n"/>
      <c r="G347" s="9" t="n"/>
      <c r="H347" s="9" t="inlineStr">
        <is>
          <t>에이치앤에스</t>
        </is>
      </c>
      <c r="I347" s="14" t="n"/>
      <c r="J347" s="14" t="n"/>
      <c r="K347" s="12" t="n">
        <v>0</v>
      </c>
      <c r="L347" s="9" t="n"/>
      <c r="M347" s="9" t="n"/>
      <c r="N347" s="9" t="n"/>
      <c r="O347" s="40">
        <f>K347+V347-AE347-AZ347</f>
        <v/>
      </c>
      <c r="P347" s="12" t="n"/>
      <c r="Q347" s="138" t="n"/>
      <c r="R347" s="16" t="n"/>
      <c r="S347" s="139" t="n"/>
      <c r="T347" s="16" t="n"/>
      <c r="U347" s="139" t="n"/>
      <c r="V347" s="16">
        <f>P347+R347+T347</f>
        <v/>
      </c>
      <c r="W347" s="16" t="n"/>
      <c r="X347" s="139" t="n"/>
      <c r="Y347" s="16" t="n"/>
      <c r="Z347" s="139" t="n"/>
      <c r="AA347" s="16" t="n"/>
      <c r="AB347" s="139" t="n"/>
      <c r="AC347" s="16" t="n"/>
      <c r="AD347" s="139" t="n"/>
      <c r="AE347" s="16">
        <f>(W347+Y347+AA347+AC347)</f>
        <v/>
      </c>
      <c r="AF347" s="16" t="n"/>
      <c r="AG347" s="138" t="n"/>
      <c r="AH347" s="16" t="n"/>
      <c r="AI347" s="138" t="n"/>
      <c r="AJ347" s="16" t="n"/>
      <c r="AK347" s="138" t="n"/>
      <c r="AL347" s="16" t="n"/>
      <c r="AM347" s="138" t="n"/>
      <c r="AN347" s="16" t="n"/>
      <c r="AO347" s="138" t="n"/>
      <c r="AP347" s="16" t="n"/>
      <c r="AQ347" s="138" t="n"/>
      <c r="AR347" s="16" t="n"/>
      <c r="AS347" s="138" t="n"/>
      <c r="AT347" s="16" t="n"/>
      <c r="AU347" s="138" t="n"/>
      <c r="AV347" s="16" t="n"/>
      <c r="AW347" s="138" t="n"/>
      <c r="AX347" s="16" t="n"/>
      <c r="AY347" s="138" t="n"/>
      <c r="AZ347" s="16">
        <f>AF347+AH347+AJ347+AL347+AN347+AP347+AR347+AT347+AV347+AX347</f>
        <v/>
      </c>
      <c r="BA347" s="16" t="n"/>
      <c r="BB347" s="139" t="n"/>
      <c r="BC347" s="16" t="n"/>
      <c r="BD347" s="139" t="n"/>
      <c r="BE347" s="16">
        <f>(BA347+BC347)</f>
        <v/>
      </c>
    </row>
    <row r="348">
      <c r="A348" s="9" t="n"/>
      <c r="B348" s="136" t="inlineStr">
        <is>
          <t>MODULE</t>
        </is>
      </c>
      <c r="C348" s="137" t="inlineStr">
        <is>
          <t>ADX6000S</t>
        </is>
      </c>
      <c r="D348" s="84" t="inlineStr">
        <is>
          <t>4.3" Module (신형)</t>
        </is>
      </c>
      <c r="E348" s="13" t="inlineStr">
        <is>
          <t>IEC-1000</t>
        </is>
      </c>
      <c r="F348" s="100" t="n"/>
      <c r="G348" s="9" t="n"/>
      <c r="H348" s="9" t="inlineStr">
        <is>
          <t>에이치앤에스</t>
        </is>
      </c>
      <c r="I348" s="14" t="n"/>
      <c r="J348" s="14" t="n"/>
      <c r="K348" s="12" t="n">
        <v>0</v>
      </c>
      <c r="L348" s="9" t="n"/>
      <c r="M348" s="9" t="n"/>
      <c r="N348" s="9" t="n"/>
      <c r="O348" s="40">
        <f>K348+V348-AE348-AZ348</f>
        <v/>
      </c>
      <c r="P348" s="12" t="n"/>
      <c r="Q348" s="138" t="n"/>
      <c r="R348" s="16" t="n"/>
      <c r="S348" s="139" t="n"/>
      <c r="T348" s="16" t="n"/>
      <c r="U348" s="139" t="n"/>
      <c r="V348" s="16">
        <f>P348+R348+T348</f>
        <v/>
      </c>
      <c r="W348" s="16" t="n"/>
      <c r="X348" s="139" t="n"/>
      <c r="Y348" s="16" t="n"/>
      <c r="Z348" s="139" t="n"/>
      <c r="AA348" s="16" t="n"/>
      <c r="AB348" s="139" t="n"/>
      <c r="AC348" s="16" t="n"/>
      <c r="AD348" s="139" t="n"/>
      <c r="AE348" s="16">
        <f>(W348+Y348+AA348+AC348)</f>
        <v/>
      </c>
      <c r="AF348" s="16" t="n"/>
      <c r="AG348" s="138" t="n"/>
      <c r="AH348" s="16" t="n"/>
      <c r="AI348" s="138" t="n"/>
      <c r="AJ348" s="16" t="n"/>
      <c r="AK348" s="138" t="n"/>
      <c r="AL348" s="16" t="n"/>
      <c r="AM348" s="138" t="n"/>
      <c r="AN348" s="16" t="n"/>
      <c r="AO348" s="138" t="n"/>
      <c r="AP348" s="16" t="n"/>
      <c r="AQ348" s="138" t="n"/>
      <c r="AR348" s="16" t="n"/>
      <c r="AS348" s="138" t="n"/>
      <c r="AT348" s="16" t="n"/>
      <c r="AU348" s="138" t="n"/>
      <c r="AV348" s="16" t="n"/>
      <c r="AW348" s="138" t="n"/>
      <c r="AX348" s="16" t="n"/>
      <c r="AY348" s="138" t="n"/>
      <c r="AZ348" s="16">
        <f>AF348+AH348+AJ348+AL348+AN348+AP348+AR348+AT348+AV348+AX348</f>
        <v/>
      </c>
      <c r="BA348" s="16" t="n"/>
      <c r="BB348" s="139" t="n"/>
      <c r="BC348" s="16" t="n"/>
      <c r="BD348" s="139" t="n"/>
      <c r="BE348" s="16">
        <f>(BA348+BC348)</f>
        <v/>
      </c>
    </row>
    <row r="349">
      <c r="A349" s="9" t="n"/>
      <c r="B349" s="136" t="inlineStr">
        <is>
          <t>ABS 난연</t>
        </is>
      </c>
      <c r="C349" s="137" t="inlineStr">
        <is>
          <t>ADX6000</t>
        </is>
      </c>
      <c r="D349" s="84" t="inlineStr">
        <is>
          <t>컬리메이터 TOP 사출</t>
        </is>
      </c>
      <c r="E349" s="13" t="inlineStr">
        <is>
          <t>ABS 난연 화이트 + 스프레이</t>
        </is>
      </c>
      <c r="F349" s="100" t="n"/>
      <c r="G349" s="9" t="n"/>
      <c r="H349" s="9" t="inlineStr">
        <is>
          <t>천우</t>
        </is>
      </c>
      <c r="I349" s="14" t="n"/>
      <c r="J349" s="14" t="n"/>
      <c r="K349" s="12" t="n">
        <v>348</v>
      </c>
      <c r="L349" s="9" t="n"/>
      <c r="M349" s="9" t="n"/>
      <c r="N349" s="9" t="n"/>
      <c r="O349" s="40">
        <f>K349+V349-AE349-AZ349</f>
        <v/>
      </c>
      <c r="P349" s="12" t="n"/>
      <c r="Q349" s="138" t="n"/>
      <c r="R349" s="16" t="n"/>
      <c r="S349" s="139" t="n"/>
      <c r="T349" s="16" t="n"/>
      <c r="U349" s="139" t="n"/>
      <c r="V349" s="16">
        <f>P349+R349+T349</f>
        <v/>
      </c>
      <c r="W349" s="16" t="n"/>
      <c r="X349" s="139" t="n"/>
      <c r="Y349" s="16" t="n"/>
      <c r="Z349" s="139" t="n"/>
      <c r="AA349" s="16" t="n"/>
      <c r="AB349" s="139" t="n"/>
      <c r="AC349" s="16" t="n"/>
      <c r="AD349" s="139" t="n"/>
      <c r="AE349" s="16">
        <f>(W349+Y349+AA349+AC349)</f>
        <v/>
      </c>
      <c r="AF349" s="16" t="n"/>
      <c r="AG349" s="138" t="n"/>
      <c r="AH349" s="16" t="n"/>
      <c r="AI349" s="138" t="n"/>
      <c r="AJ349" s="16" t="n"/>
      <c r="AK349" s="138" t="n"/>
      <c r="AL349" s="16" t="n"/>
      <c r="AM349" s="138" t="n"/>
      <c r="AN349" s="16" t="n"/>
      <c r="AO349" s="138" t="n"/>
      <c r="AP349" s="16" t="n"/>
      <c r="AQ349" s="138" t="n"/>
      <c r="AR349" s="16" t="n"/>
      <c r="AS349" s="138" t="n"/>
      <c r="AT349" s="16" t="n"/>
      <c r="AU349" s="138" t="n"/>
      <c r="AV349" s="16" t="n"/>
      <c r="AW349" s="138" t="n"/>
      <c r="AX349" s="16" t="n"/>
      <c r="AY349" s="138" t="n"/>
      <c r="AZ349" s="16">
        <f>AF349+AH349+AJ349+AL349+AN349+AP349+AR349+AT349+AV349+AX349</f>
        <v/>
      </c>
      <c r="BA349" s="16" t="n"/>
      <c r="BB349" s="139" t="n"/>
      <c r="BC349" s="16" t="n"/>
      <c r="BD349" s="139" t="n"/>
      <c r="BE349" s="16">
        <f>(BA349+BC349)</f>
        <v/>
      </c>
    </row>
    <row r="350">
      <c r="A350" s="9" t="n"/>
      <c r="B350" s="136" t="inlineStr">
        <is>
          <t>ABS 난연</t>
        </is>
      </c>
      <c r="C350" s="137" t="inlineStr">
        <is>
          <t>ADX6000</t>
        </is>
      </c>
      <c r="D350" s="84" t="inlineStr">
        <is>
          <t>컬리메이터 BOTTOM 사출</t>
        </is>
      </c>
      <c r="E350" s="13" t="inlineStr">
        <is>
          <t>ABS 난연 화이트 + 스프레이</t>
        </is>
      </c>
      <c r="F350" s="100" t="n"/>
      <c r="G350" s="9" t="n"/>
      <c r="H350" s="9" t="inlineStr">
        <is>
          <t>천우</t>
        </is>
      </c>
      <c r="I350" s="14" t="n"/>
      <c r="J350" s="14" t="n"/>
      <c r="K350" s="12" t="n">
        <v>326</v>
      </c>
      <c r="L350" s="9" t="n"/>
      <c r="M350" s="9" t="n"/>
      <c r="N350" s="9" t="n"/>
      <c r="O350" s="40">
        <f>K350+V350-AE350-AZ350</f>
        <v/>
      </c>
      <c r="P350" s="12" t="n"/>
      <c r="Q350" s="138" t="n"/>
      <c r="R350" s="16" t="n"/>
      <c r="S350" s="139" t="n"/>
      <c r="T350" s="16" t="n"/>
      <c r="U350" s="139" t="n"/>
      <c r="V350" s="16">
        <f>P350+R350+T350</f>
        <v/>
      </c>
      <c r="W350" s="16" t="n"/>
      <c r="X350" s="139" t="n"/>
      <c r="Y350" s="16" t="n"/>
      <c r="Z350" s="139" t="n"/>
      <c r="AA350" s="16" t="n"/>
      <c r="AB350" s="139" t="n"/>
      <c r="AC350" s="16" t="n"/>
      <c r="AD350" s="139" t="n"/>
      <c r="AE350" s="16">
        <f>(W350+Y350+AA350+AC350)</f>
        <v/>
      </c>
      <c r="AF350" s="16" t="n"/>
      <c r="AG350" s="138" t="n"/>
      <c r="AH350" s="16" t="n"/>
      <c r="AI350" s="138" t="n"/>
      <c r="AJ350" s="16" t="n"/>
      <c r="AK350" s="138" t="n"/>
      <c r="AL350" s="16" t="n"/>
      <c r="AM350" s="138" t="n"/>
      <c r="AN350" s="16" t="n"/>
      <c r="AO350" s="138" t="n"/>
      <c r="AP350" s="16" t="n"/>
      <c r="AQ350" s="138" t="n"/>
      <c r="AR350" s="16" t="n"/>
      <c r="AS350" s="138" t="n"/>
      <c r="AT350" s="16" t="n"/>
      <c r="AU350" s="138" t="n"/>
      <c r="AV350" s="16" t="n"/>
      <c r="AW350" s="138" t="n"/>
      <c r="AX350" s="16" t="n"/>
      <c r="AY350" s="138" t="n"/>
      <c r="AZ350" s="16">
        <f>AF350+AH350+AJ350+AL350+AN350+AP350+AR350+AT350+AV350+AX350</f>
        <v/>
      </c>
      <c r="BA350" s="16" t="n"/>
      <c r="BB350" s="139" t="n"/>
      <c r="BC350" s="16" t="n"/>
      <c r="BD350" s="139" t="n"/>
      <c r="BE350" s="16">
        <f>(BA350+BC350)</f>
        <v/>
      </c>
    </row>
    <row r="351">
      <c r="A351" s="9" t="n"/>
      <c r="B351" s="136" t="inlineStr">
        <is>
          <t>ABS 난연</t>
        </is>
      </c>
      <c r="C351" s="137" t="inlineStr">
        <is>
          <t>ADX6000</t>
        </is>
      </c>
      <c r="D351" s="84" t="inlineStr">
        <is>
          <t>컬리메이터 FRONT 사출</t>
        </is>
      </c>
      <c r="E351" s="13" t="inlineStr">
        <is>
          <t>ABS 난연 화이트 + 스프레이</t>
        </is>
      </c>
      <c r="F351" s="100" t="n"/>
      <c r="G351" s="9" t="n"/>
      <c r="H351" s="9" t="inlineStr">
        <is>
          <t>천우</t>
        </is>
      </c>
      <c r="I351" s="14" t="n"/>
      <c r="J351" s="14" t="n"/>
      <c r="K351" s="12" t="n">
        <v>306</v>
      </c>
      <c r="L351" s="9" t="n"/>
      <c r="M351" s="9" t="n"/>
      <c r="N351" s="9" t="n"/>
      <c r="O351" s="40">
        <f>K351+V351-AE351-AZ351</f>
        <v/>
      </c>
      <c r="P351" s="12" t="n"/>
      <c r="Q351" s="138" t="n"/>
      <c r="R351" s="16" t="n"/>
      <c r="S351" s="139" t="n"/>
      <c r="T351" s="16" t="n"/>
      <c r="U351" s="139" t="n"/>
      <c r="V351" s="16">
        <f>P351+R351+T351</f>
        <v/>
      </c>
      <c r="W351" s="16" t="n"/>
      <c r="X351" s="139" t="n"/>
      <c r="Y351" s="16" t="n"/>
      <c r="Z351" s="139" t="n"/>
      <c r="AA351" s="16" t="n"/>
      <c r="AB351" s="139" t="n"/>
      <c r="AC351" s="16" t="n"/>
      <c r="AD351" s="139" t="n"/>
      <c r="AE351" s="16">
        <f>(W351+Y351+AA351+AC351)</f>
        <v/>
      </c>
      <c r="AF351" s="16" t="n"/>
      <c r="AG351" s="138" t="n"/>
      <c r="AH351" s="16" t="n"/>
      <c r="AI351" s="138" t="n"/>
      <c r="AJ351" s="16" t="n"/>
      <c r="AK351" s="138" t="n"/>
      <c r="AL351" s="16" t="n"/>
      <c r="AM351" s="138" t="n"/>
      <c r="AN351" s="16" t="n"/>
      <c r="AO351" s="138" t="n"/>
      <c r="AP351" s="16" t="n"/>
      <c r="AQ351" s="138" t="n"/>
      <c r="AR351" s="16" t="n"/>
      <c r="AS351" s="138" t="n"/>
      <c r="AT351" s="16" t="n"/>
      <c r="AU351" s="138" t="n"/>
      <c r="AV351" s="16" t="n"/>
      <c r="AW351" s="138" t="n"/>
      <c r="AX351" s="16" t="n"/>
      <c r="AY351" s="138" t="n"/>
      <c r="AZ351" s="16">
        <f>AF351+AH351+AJ351+AL351+AN351+AP351+AR351+AT351+AV351+AX351</f>
        <v/>
      </c>
      <c r="BA351" s="16" t="n"/>
      <c r="BB351" s="139" t="n"/>
      <c r="BC351" s="16" t="n"/>
      <c r="BD351" s="139" t="n"/>
      <c r="BE351" s="16">
        <f>(BA351+BC351)</f>
        <v/>
      </c>
    </row>
    <row r="352">
      <c r="A352" s="9" t="n"/>
      <c r="B352" s="136" t="inlineStr">
        <is>
          <t>ABS 난연</t>
        </is>
      </c>
      <c r="C352" s="137" t="inlineStr">
        <is>
          <t>ADX6000</t>
        </is>
      </c>
      <c r="D352" s="84" t="inlineStr">
        <is>
          <t>컬리메이터 FRONT 사출</t>
        </is>
      </c>
      <c r="E352" s="13" t="inlineStr">
        <is>
          <t>ABS 난연 화이트 + 스프레이(블랙무광)</t>
        </is>
      </c>
      <c r="F352" s="100" t="n"/>
      <c r="G352" s="9" t="n"/>
      <c r="H352" s="9" t="inlineStr">
        <is>
          <t>천우</t>
        </is>
      </c>
      <c r="I352" s="14" t="n"/>
      <c r="J352" s="14" t="n"/>
      <c r="K352" s="12" t="n">
        <v>0</v>
      </c>
      <c r="L352" s="9" t="n"/>
      <c r="M352" s="9" t="n"/>
      <c r="N352" s="9" t="n"/>
      <c r="O352" s="40">
        <f>K352+V352-AE352-AZ352</f>
        <v/>
      </c>
      <c r="P352" s="12" t="n"/>
      <c r="Q352" s="138" t="n"/>
      <c r="R352" s="16" t="n"/>
      <c r="S352" s="139" t="n"/>
      <c r="T352" s="16" t="n"/>
      <c r="U352" s="139" t="n"/>
      <c r="V352" s="16">
        <f>P352+R352+T352</f>
        <v/>
      </c>
      <c r="W352" s="16" t="n"/>
      <c r="X352" s="139" t="n"/>
      <c r="Y352" s="16" t="n"/>
      <c r="Z352" s="139" t="n"/>
      <c r="AA352" s="16" t="n"/>
      <c r="AB352" s="139" t="n"/>
      <c r="AC352" s="16" t="n"/>
      <c r="AD352" s="139" t="n"/>
      <c r="AE352" s="16">
        <f>(W352+Y352+AA352+AC352)</f>
        <v/>
      </c>
      <c r="AF352" s="16" t="n"/>
      <c r="AG352" s="138" t="n"/>
      <c r="AH352" s="16" t="n"/>
      <c r="AI352" s="138" t="n"/>
      <c r="AJ352" s="16" t="n"/>
      <c r="AK352" s="138" t="n"/>
      <c r="AL352" s="16" t="n"/>
      <c r="AM352" s="138" t="n"/>
      <c r="AN352" s="16" t="n"/>
      <c r="AO352" s="138" t="n"/>
      <c r="AP352" s="16" t="n"/>
      <c r="AQ352" s="138" t="n"/>
      <c r="AR352" s="16" t="n"/>
      <c r="AS352" s="138" t="n"/>
      <c r="AT352" s="16" t="n"/>
      <c r="AU352" s="138" t="n"/>
      <c r="AV352" s="16" t="n"/>
      <c r="AW352" s="138" t="n"/>
      <c r="AX352" s="16" t="n"/>
      <c r="AY352" s="138" t="n"/>
      <c r="AZ352" s="16">
        <f>AF352+AH352+AJ352+AL352+AN352+AP352+AR352+AT352+AV352+AX352</f>
        <v/>
      </c>
      <c r="BA352" s="16" t="n"/>
      <c r="BB352" s="139" t="n"/>
      <c r="BC352" s="16" t="n"/>
      <c r="BD352" s="139" t="n"/>
      <c r="BE352" s="16">
        <f>(BA352+BC352)</f>
        <v/>
      </c>
    </row>
    <row r="353">
      <c r="A353" s="9" t="n"/>
      <c r="B353" s="136" t="inlineStr">
        <is>
          <t>ABS 난연</t>
        </is>
      </c>
      <c r="C353" s="137" t="inlineStr">
        <is>
          <t>ADX6000</t>
        </is>
      </c>
      <c r="D353" s="84" t="inlineStr">
        <is>
          <t>일체형 컬리메이터</t>
        </is>
      </c>
      <c r="E353" s="13" t="inlineStr">
        <is>
          <t>ABS 난연 블랙</t>
        </is>
      </c>
      <c r="F353" s="100" t="n"/>
      <c r="G353" s="9" t="n"/>
      <c r="H353" s="9" t="inlineStr">
        <is>
          <t>금오몰드</t>
        </is>
      </c>
      <c r="I353" s="14" t="n"/>
      <c r="J353" s="14" t="n"/>
      <c r="K353" s="12" t="n">
        <v>0</v>
      </c>
      <c r="L353" s="9" t="n"/>
      <c r="M353" s="9" t="n"/>
      <c r="N353" s="9" t="n"/>
      <c r="O353" s="40">
        <f>K353+V353-AE353-AZ353</f>
        <v/>
      </c>
      <c r="P353" s="12" t="n"/>
      <c r="Q353" s="138" t="n"/>
      <c r="R353" s="16" t="n"/>
      <c r="S353" s="139" t="n"/>
      <c r="T353" s="16" t="n"/>
      <c r="U353" s="139" t="n"/>
      <c r="V353" s="16">
        <f>P353+R353+T353</f>
        <v/>
      </c>
      <c r="W353" s="16" t="n"/>
      <c r="X353" s="139" t="n"/>
      <c r="Y353" s="16" t="n"/>
      <c r="Z353" s="139" t="n"/>
      <c r="AA353" s="16" t="n"/>
      <c r="AB353" s="139" t="n"/>
      <c r="AC353" s="16" t="n"/>
      <c r="AD353" s="139" t="n"/>
      <c r="AE353" s="16">
        <f>(W353+Y353+AA353+AC353)</f>
        <v/>
      </c>
      <c r="AF353" s="16" t="n"/>
      <c r="AG353" s="138" t="n"/>
      <c r="AH353" s="16" t="n"/>
      <c r="AI353" s="138" t="n"/>
      <c r="AJ353" s="16" t="n"/>
      <c r="AK353" s="138" t="n"/>
      <c r="AL353" s="16" t="n"/>
      <c r="AM353" s="138" t="n"/>
      <c r="AN353" s="16" t="n"/>
      <c r="AO353" s="138" t="n"/>
      <c r="AP353" s="16" t="n"/>
      <c r="AQ353" s="138" t="n"/>
      <c r="AR353" s="16" t="n"/>
      <c r="AS353" s="138" t="n"/>
      <c r="AT353" s="16" t="n"/>
      <c r="AU353" s="138" t="n"/>
      <c r="AV353" s="16" t="n"/>
      <c r="AW353" s="138" t="n"/>
      <c r="AX353" s="16" t="n"/>
      <c r="AY353" s="138" t="n"/>
      <c r="AZ353" s="16">
        <f>AF353+AH353+AJ353+AL353+AN353+AP353+AR353+AT353+AV353+AX353</f>
        <v/>
      </c>
      <c r="BA353" s="16" t="n"/>
      <c r="BB353" s="139" t="n"/>
      <c r="BC353" s="16" t="n"/>
      <c r="BD353" s="139" t="n"/>
      <c r="BE353" s="16">
        <f>(BA353+BC353)</f>
        <v/>
      </c>
    </row>
    <row r="354">
      <c r="A354" s="9" t="n"/>
      <c r="B354" s="136" t="inlineStr">
        <is>
          <t>ABS 난연</t>
        </is>
      </c>
      <c r="C354" s="137" t="inlineStr">
        <is>
          <t>ADX6000</t>
        </is>
      </c>
      <c r="D354" s="84" t="inlineStr">
        <is>
          <t>LCD Cover 사출</t>
        </is>
      </c>
      <c r="E354" s="13" t="inlineStr">
        <is>
          <t>ABS 난연 화이트+ 색바랜 노란색 398</t>
        </is>
      </c>
      <c r="F354" s="100" t="n"/>
      <c r="G354" s="9" t="n"/>
      <c r="H354" s="9" t="inlineStr">
        <is>
          <t>천우</t>
        </is>
      </c>
      <c r="I354" s="14" t="n"/>
      <c r="J354" s="14" t="n"/>
      <c r="K354" s="12" t="n">
        <v>327</v>
      </c>
      <c r="L354" s="9" t="n"/>
      <c r="M354" s="9" t="n"/>
      <c r="N354" s="9" t="n"/>
      <c r="O354" s="40">
        <f>K354+V354-AE354-AZ354</f>
        <v/>
      </c>
      <c r="P354" s="12" t="n"/>
      <c r="Q354" s="138" t="n"/>
      <c r="R354" s="16" t="n"/>
      <c r="S354" s="139" t="n"/>
      <c r="T354" s="16" t="n"/>
      <c r="U354" s="139" t="n"/>
      <c r="V354" s="16">
        <f>P354+R354+T354</f>
        <v/>
      </c>
      <c r="W354" s="16" t="n"/>
      <c r="X354" s="139" t="n"/>
      <c r="Y354" s="16" t="n"/>
      <c r="Z354" s="139" t="n"/>
      <c r="AA354" s="16" t="n"/>
      <c r="AB354" s="139" t="n"/>
      <c r="AC354" s="16" t="n"/>
      <c r="AD354" s="139" t="n"/>
      <c r="AE354" s="16">
        <f>(W354+Y354+AA354+AC354)</f>
        <v/>
      </c>
      <c r="AF354" s="16" t="n"/>
      <c r="AG354" s="138" t="n"/>
      <c r="AH354" s="16" t="n"/>
      <c r="AI354" s="138" t="n"/>
      <c r="AJ354" s="16" t="n"/>
      <c r="AK354" s="138" t="n"/>
      <c r="AL354" s="16" t="n"/>
      <c r="AM354" s="138" t="n"/>
      <c r="AN354" s="16" t="n"/>
      <c r="AO354" s="138" t="n"/>
      <c r="AP354" s="16" t="n"/>
      <c r="AQ354" s="138" t="n"/>
      <c r="AR354" s="16" t="n"/>
      <c r="AS354" s="138" t="n"/>
      <c r="AT354" s="16" t="n"/>
      <c r="AU354" s="138" t="n"/>
      <c r="AV354" s="16" t="n"/>
      <c r="AW354" s="138" t="n"/>
      <c r="AX354" s="16" t="n"/>
      <c r="AY354" s="138" t="n"/>
      <c r="AZ354" s="16">
        <f>AF354+AH354+AJ354+AL354+AN354+AP354+AR354+AT354+AV354+AX354</f>
        <v/>
      </c>
      <c r="BA354" s="16" t="n"/>
      <c r="BB354" s="139" t="n"/>
      <c r="BC354" s="16" t="n"/>
      <c r="BD354" s="139" t="n"/>
      <c r="BE354" s="16">
        <f>(BA354+BC354)</f>
        <v/>
      </c>
    </row>
    <row r="355">
      <c r="A355" s="9" t="n"/>
      <c r="B355" s="136" t="inlineStr">
        <is>
          <t>ABS 난연</t>
        </is>
      </c>
      <c r="C355" s="137" t="inlineStr">
        <is>
          <t>ADX6000</t>
        </is>
      </c>
      <c r="D355" s="84" t="inlineStr">
        <is>
          <t xml:space="preserve">LCD Inner Cover 사출 </t>
        </is>
      </c>
      <c r="E355" s="13" t="inlineStr">
        <is>
          <t>ABS 난연 화이트 + 스프레이</t>
        </is>
      </c>
      <c r="F355" s="100" t="n"/>
      <c r="G355" s="9" t="n"/>
      <c r="H355" s="9" t="inlineStr">
        <is>
          <t>천우</t>
        </is>
      </c>
      <c r="I355" s="14" t="n"/>
      <c r="J355" s="14" t="n"/>
      <c r="K355" s="12" t="n">
        <v>355</v>
      </c>
      <c r="L355" s="9" t="n"/>
      <c r="M355" s="9" t="n"/>
      <c r="N355" s="9" t="n"/>
      <c r="O355" s="40">
        <f>K355+V355-AE355-AZ355</f>
        <v/>
      </c>
      <c r="P355" s="12" t="n"/>
      <c r="Q355" s="138" t="n"/>
      <c r="R355" s="16" t="n"/>
      <c r="S355" s="139" t="n"/>
      <c r="T355" s="16" t="n"/>
      <c r="U355" s="139" t="n"/>
      <c r="V355" s="16">
        <f>P355+R355+T355</f>
        <v/>
      </c>
      <c r="W355" s="16" t="n"/>
      <c r="X355" s="139" t="n"/>
      <c r="Y355" s="16" t="n"/>
      <c r="Z355" s="139" t="n"/>
      <c r="AA355" s="16" t="n"/>
      <c r="AB355" s="139" t="n"/>
      <c r="AC355" s="16" t="n"/>
      <c r="AD355" s="139" t="n"/>
      <c r="AE355" s="16">
        <f>(W355+Y355+AA355+AC355)</f>
        <v/>
      </c>
      <c r="AF355" s="16" t="n"/>
      <c r="AG355" s="138" t="n"/>
      <c r="AH355" s="16" t="n"/>
      <c r="AI355" s="138" t="n"/>
      <c r="AJ355" s="16" t="n"/>
      <c r="AK355" s="138" t="n"/>
      <c r="AL355" s="16" t="n"/>
      <c r="AM355" s="138" t="n"/>
      <c r="AN355" s="16" t="n"/>
      <c r="AO355" s="138" t="n"/>
      <c r="AP355" s="16" t="n"/>
      <c r="AQ355" s="138" t="n"/>
      <c r="AR355" s="16" t="n"/>
      <c r="AS355" s="138" t="n"/>
      <c r="AT355" s="16" t="n"/>
      <c r="AU355" s="138" t="n"/>
      <c r="AV355" s="16" t="n"/>
      <c r="AW355" s="138" t="n"/>
      <c r="AX355" s="16" t="n"/>
      <c r="AY355" s="138" t="n"/>
      <c r="AZ355" s="16">
        <f>AF355+AH355+AJ355+AL355+AN355+AP355+AR355+AT355+AV355+AX355</f>
        <v/>
      </c>
      <c r="BA355" s="16" t="n"/>
      <c r="BB355" s="139" t="n"/>
      <c r="BC355" s="16" t="n"/>
      <c r="BD355" s="139" t="n"/>
      <c r="BE355" s="16">
        <f>(BA355+BC355)</f>
        <v/>
      </c>
    </row>
    <row r="356">
      <c r="A356" s="9" t="n"/>
      <c r="B356" s="136" t="inlineStr">
        <is>
          <t>ABS 난연</t>
        </is>
      </c>
      <c r="C356" s="137" t="inlineStr">
        <is>
          <t>ADX6000</t>
        </is>
      </c>
      <c r="D356" s="84" t="inlineStr">
        <is>
          <t>LCD 힌지 사출 커버 TOP</t>
        </is>
      </c>
      <c r="E356" s="13" t="inlineStr">
        <is>
          <t>ABS 난연 화이트 + 스프레이</t>
        </is>
      </c>
      <c r="F356" s="100" t="n"/>
      <c r="G356" s="9" t="n"/>
      <c r="H356" s="9" t="inlineStr">
        <is>
          <t>천우</t>
        </is>
      </c>
      <c r="I356" s="14" t="n"/>
      <c r="J356" s="14" t="n"/>
      <c r="K356" s="12" t="n">
        <v>0</v>
      </c>
      <c r="L356" s="9" t="n"/>
      <c r="M356" s="9" t="n"/>
      <c r="N356" s="9" t="n"/>
      <c r="O356" s="40">
        <f>K356+V356-AE356-AZ356</f>
        <v/>
      </c>
      <c r="P356" s="12" t="n"/>
      <c r="Q356" s="138" t="n"/>
      <c r="R356" s="16" t="n"/>
      <c r="S356" s="139" t="n"/>
      <c r="T356" s="16" t="n"/>
      <c r="U356" s="139" t="n"/>
      <c r="V356" s="16">
        <f>P356+R356+T356</f>
        <v/>
      </c>
      <c r="W356" s="16" t="n"/>
      <c r="X356" s="139" t="n"/>
      <c r="Y356" s="16" t="n"/>
      <c r="Z356" s="139" t="n"/>
      <c r="AA356" s="16" t="n"/>
      <c r="AB356" s="139" t="n"/>
      <c r="AC356" s="16" t="n"/>
      <c r="AD356" s="139" t="n"/>
      <c r="AE356" s="16">
        <f>(W356+Y356+AA356+AC356)</f>
        <v/>
      </c>
      <c r="AF356" s="16" t="n"/>
      <c r="AG356" s="138" t="n"/>
      <c r="AH356" s="16" t="n"/>
      <c r="AI356" s="138" t="n"/>
      <c r="AJ356" s="16" t="n"/>
      <c r="AK356" s="138" t="n"/>
      <c r="AL356" s="16" t="n"/>
      <c r="AM356" s="138" t="n"/>
      <c r="AN356" s="16" t="n"/>
      <c r="AO356" s="138" t="n"/>
      <c r="AP356" s="16" t="n"/>
      <c r="AQ356" s="138" t="n"/>
      <c r="AR356" s="16" t="n"/>
      <c r="AS356" s="138" t="n"/>
      <c r="AT356" s="16" t="n"/>
      <c r="AU356" s="138" t="n"/>
      <c r="AV356" s="16" t="n"/>
      <c r="AW356" s="138" t="n"/>
      <c r="AX356" s="16" t="n"/>
      <c r="AY356" s="138" t="n"/>
      <c r="AZ356" s="16">
        <f>AF356+AH356+AJ356+AL356+AN356+AP356+AR356+AT356+AV356+AX356</f>
        <v/>
      </c>
      <c r="BA356" s="16" t="n"/>
      <c r="BB356" s="139" t="n"/>
      <c r="BC356" s="16" t="n"/>
      <c r="BD356" s="139" t="n"/>
      <c r="BE356" s="16">
        <f>(BA356+BC356)</f>
        <v/>
      </c>
    </row>
    <row r="357">
      <c r="A357" s="9" t="n"/>
      <c r="B357" s="136" t="inlineStr">
        <is>
          <t>ABS 난연</t>
        </is>
      </c>
      <c r="C357" s="137" t="inlineStr">
        <is>
          <t>ADX6000</t>
        </is>
      </c>
      <c r="D357" s="84" t="inlineStr">
        <is>
          <t>LCD 힌지 사출 커버 BOTTOM</t>
        </is>
      </c>
      <c r="E357" s="13" t="inlineStr">
        <is>
          <t>ABS 난연 화이트 + 스프레이</t>
        </is>
      </c>
      <c r="F357" s="100" t="n"/>
      <c r="G357" s="9" t="n"/>
      <c r="H357" s="9" t="inlineStr">
        <is>
          <t>천우</t>
        </is>
      </c>
      <c r="I357" s="14" t="n"/>
      <c r="J357" s="14" t="n"/>
      <c r="K357" s="12" t="n">
        <v>26</v>
      </c>
      <c r="L357" s="9" t="n"/>
      <c r="M357" s="9" t="n"/>
      <c r="N357" s="9" t="n"/>
      <c r="O357" s="40">
        <f>K357+V357-AE357-AZ357</f>
        <v/>
      </c>
      <c r="P357" s="12" t="n"/>
      <c r="Q357" s="138" t="n"/>
      <c r="R357" s="16" t="n"/>
      <c r="S357" s="139" t="n"/>
      <c r="T357" s="16" t="n"/>
      <c r="U357" s="139" t="n"/>
      <c r="V357" s="16">
        <f>P357+R357+T357</f>
        <v/>
      </c>
      <c r="W357" s="16" t="n"/>
      <c r="X357" s="139" t="n"/>
      <c r="Y357" s="16" t="n"/>
      <c r="Z357" s="139" t="n"/>
      <c r="AA357" s="16" t="n"/>
      <c r="AB357" s="139" t="n"/>
      <c r="AC357" s="16" t="n"/>
      <c r="AD357" s="139" t="n"/>
      <c r="AE357" s="16">
        <f>(W357+Y357+AA357+AC357)</f>
        <v/>
      </c>
      <c r="AF357" s="16" t="n"/>
      <c r="AG357" s="138" t="n"/>
      <c r="AH357" s="16" t="n"/>
      <c r="AI357" s="138" t="n"/>
      <c r="AJ357" s="16" t="n"/>
      <c r="AK357" s="138" t="n"/>
      <c r="AL357" s="16" t="n"/>
      <c r="AM357" s="138" t="n"/>
      <c r="AN357" s="16" t="n"/>
      <c r="AO357" s="138" t="n"/>
      <c r="AP357" s="16" t="n"/>
      <c r="AQ357" s="138" t="n"/>
      <c r="AR357" s="16" t="n"/>
      <c r="AS357" s="138" t="n"/>
      <c r="AT357" s="16" t="n"/>
      <c r="AU357" s="138" t="n"/>
      <c r="AV357" s="16" t="n"/>
      <c r="AW357" s="138" t="n"/>
      <c r="AX357" s="16" t="n"/>
      <c r="AY357" s="138" t="n"/>
      <c r="AZ357" s="16">
        <f>AF357+AH357+AJ357+AL357+AN357+AP357+AR357+AT357+AV357+AX357</f>
        <v/>
      </c>
      <c r="BA357" s="16" t="n"/>
      <c r="BB357" s="139" t="n"/>
      <c r="BC357" s="16" t="n"/>
      <c r="BD357" s="139" t="n"/>
      <c r="BE357" s="16">
        <f>(BA357+BC357)</f>
        <v/>
      </c>
    </row>
    <row r="358">
      <c r="A358" s="9" t="n"/>
      <c r="B358" s="136" t="inlineStr">
        <is>
          <t>ABS 난연</t>
        </is>
      </c>
      <c r="C358" s="137" t="inlineStr">
        <is>
          <t>ADX6000</t>
        </is>
      </c>
      <c r="D358" s="84" t="inlineStr">
        <is>
          <t>LCD 사출 나사 커버</t>
        </is>
      </c>
      <c r="E358" s="13" t="inlineStr">
        <is>
          <t>ABS 난연 화이트 + 스프레이</t>
        </is>
      </c>
      <c r="F358" s="100" t="n"/>
      <c r="G358" s="9" t="n"/>
      <c r="H358" s="9" t="inlineStr">
        <is>
          <t>천우</t>
        </is>
      </c>
      <c r="I358" s="14" t="n"/>
      <c r="J358" s="14" t="n"/>
      <c r="K358" s="12" t="n">
        <v>1009</v>
      </c>
      <c r="L358" s="9" t="n"/>
      <c r="M358" s="9" t="n"/>
      <c r="N358" s="9" t="n"/>
      <c r="O358" s="40">
        <f>K358+V358-AE358-AZ358</f>
        <v/>
      </c>
      <c r="P358" s="12" t="n"/>
      <c r="Q358" s="138" t="n"/>
      <c r="R358" s="16" t="n"/>
      <c r="S358" s="139" t="n"/>
      <c r="T358" s="16" t="n"/>
      <c r="U358" s="139" t="n"/>
      <c r="V358" s="16">
        <f>P358+R358+T358</f>
        <v/>
      </c>
      <c r="W358" s="16" t="n"/>
      <c r="X358" s="139" t="n"/>
      <c r="Y358" s="16" t="n"/>
      <c r="Z358" s="139" t="n"/>
      <c r="AA358" s="16" t="n"/>
      <c r="AB358" s="139" t="n"/>
      <c r="AC358" s="16" t="n"/>
      <c r="AD358" s="139" t="n"/>
      <c r="AE358" s="16">
        <f>(W358+Y358+AA358+AC358)</f>
        <v/>
      </c>
      <c r="AF358" s="16" t="n"/>
      <c r="AG358" s="138" t="n"/>
      <c r="AH358" s="16" t="n"/>
      <c r="AI358" s="138" t="n"/>
      <c r="AJ358" s="16" t="n"/>
      <c r="AK358" s="138" t="n"/>
      <c r="AL358" s="16" t="n"/>
      <c r="AM358" s="138" t="n"/>
      <c r="AN358" s="16" t="n"/>
      <c r="AO358" s="138" t="n"/>
      <c r="AP358" s="16" t="n"/>
      <c r="AQ358" s="138" t="n"/>
      <c r="AR358" s="16" t="n"/>
      <c r="AS358" s="138" t="n"/>
      <c r="AT358" s="16" t="n"/>
      <c r="AU358" s="138" t="n"/>
      <c r="AV358" s="16" t="n"/>
      <c r="AW358" s="138" t="n"/>
      <c r="AX358" s="16" t="n"/>
      <c r="AY358" s="138" t="n"/>
      <c r="AZ358" s="16">
        <f>AF358+AH358+AJ358+AL358+AN358+AP358+AR358+AT358+AV358+AX358</f>
        <v/>
      </c>
      <c r="BA358" s="16" t="n"/>
      <c r="BB358" s="139" t="n"/>
      <c r="BC358" s="16" t="n"/>
      <c r="BD358" s="139" t="n"/>
      <c r="BE358" s="16">
        <f>(BA358+BC358)</f>
        <v/>
      </c>
    </row>
    <row r="359">
      <c r="A359" s="9" t="n"/>
      <c r="B359" s="136" t="inlineStr">
        <is>
          <t>ABS 난연</t>
        </is>
      </c>
      <c r="C359" s="137" t="inlineStr">
        <is>
          <t>ADX6000</t>
        </is>
      </c>
      <c r="D359" s="85" t="inlineStr">
        <is>
          <t>Main PC 거치대 사출</t>
        </is>
      </c>
      <c r="E359" s="13" t="inlineStr">
        <is>
          <t>ABS 난연 화이트</t>
        </is>
      </c>
      <c r="F359" s="100" t="n"/>
      <c r="G359" s="9" t="n"/>
      <c r="H359" s="9" t="inlineStr">
        <is>
          <t>천우</t>
        </is>
      </c>
      <c r="I359" s="14" t="n"/>
      <c r="J359" s="14" t="n"/>
      <c r="K359" s="12" t="n">
        <v>335</v>
      </c>
      <c r="L359" s="9" t="n"/>
      <c r="M359" s="9" t="n"/>
      <c r="N359" s="9" t="n"/>
      <c r="O359" s="40">
        <f>K359+V359-AE359-AZ359</f>
        <v/>
      </c>
      <c r="P359" s="12" t="n"/>
      <c r="Q359" s="138" t="n"/>
      <c r="R359" s="16" t="n"/>
      <c r="S359" s="139" t="n"/>
      <c r="T359" s="16" t="n"/>
      <c r="U359" s="139" t="n"/>
      <c r="V359" s="16">
        <f>P359+R359+T359</f>
        <v/>
      </c>
      <c r="W359" s="16" t="n"/>
      <c r="X359" s="139" t="n"/>
      <c r="Y359" s="16" t="n"/>
      <c r="Z359" s="139" t="n"/>
      <c r="AA359" s="16" t="n"/>
      <c r="AB359" s="139" t="n"/>
      <c r="AC359" s="16" t="n"/>
      <c r="AD359" s="139" t="n"/>
      <c r="AE359" s="16">
        <f>(W359+Y359+AA359+AC359)</f>
        <v/>
      </c>
      <c r="AF359" s="16" t="n"/>
      <c r="AG359" s="138" t="n"/>
      <c r="AH359" s="16" t="n"/>
      <c r="AI359" s="138" t="n"/>
      <c r="AJ359" s="16" t="n"/>
      <c r="AK359" s="138" t="n"/>
      <c r="AL359" s="16" t="n"/>
      <c r="AM359" s="138" t="n"/>
      <c r="AN359" s="16" t="n"/>
      <c r="AO359" s="138" t="n"/>
      <c r="AP359" s="16" t="n"/>
      <c r="AQ359" s="138" t="n"/>
      <c r="AR359" s="16" t="n"/>
      <c r="AS359" s="138" t="n"/>
      <c r="AT359" s="16" t="n"/>
      <c r="AU359" s="138" t="n"/>
      <c r="AV359" s="16" t="n"/>
      <c r="AW359" s="138" t="n"/>
      <c r="AX359" s="16" t="n"/>
      <c r="AY359" s="138" t="n"/>
      <c r="AZ359" s="16">
        <f>AF359+AH359+AJ359+AL359+AN359+AP359+AR359+AT359+AV359+AX359</f>
        <v/>
      </c>
      <c r="BA359" s="16" t="n"/>
      <c r="BB359" s="139" t="n"/>
      <c r="BC359" s="16" t="n"/>
      <c r="BD359" s="139" t="n"/>
      <c r="BE359" s="16">
        <f>(BA359+BC359)</f>
        <v/>
      </c>
    </row>
    <row r="360">
      <c r="A360" s="9" t="n"/>
      <c r="B360" s="136" t="inlineStr">
        <is>
          <t>ABS 난연</t>
        </is>
      </c>
      <c r="C360" s="137" t="inlineStr">
        <is>
          <t>ADX6000</t>
        </is>
      </c>
      <c r="D360" s="60" t="inlineStr">
        <is>
          <t>BODY LEFT 사출</t>
        </is>
      </c>
      <c r="E360" s="13" t="inlineStr">
        <is>
          <t>ABS 난연 화이트 + 스프레이</t>
        </is>
      </c>
      <c r="F360" s="100" t="n"/>
      <c r="G360" s="9" t="n"/>
      <c r="H360" s="9" t="inlineStr">
        <is>
          <t>천우</t>
        </is>
      </c>
      <c r="I360" s="14" t="n"/>
      <c r="J360" s="14" t="n"/>
      <c r="K360" s="12" t="n">
        <v>0</v>
      </c>
      <c r="L360" s="9" t="n"/>
      <c r="M360" s="9" t="n"/>
      <c r="N360" s="9" t="n"/>
      <c r="O360" s="40">
        <f>K360+V360-AE360-AZ360</f>
        <v/>
      </c>
      <c r="P360" s="12" t="n"/>
      <c r="Q360" s="138" t="n"/>
      <c r="R360" s="16" t="n"/>
      <c r="S360" s="139" t="n"/>
      <c r="T360" s="16" t="n"/>
      <c r="U360" s="139" t="n"/>
      <c r="V360" s="16">
        <f>P360+R360+T360</f>
        <v/>
      </c>
      <c r="W360" s="16" t="n"/>
      <c r="X360" s="139" t="n"/>
      <c r="Y360" s="16" t="n"/>
      <c r="Z360" s="139" t="n"/>
      <c r="AA360" s="16" t="n"/>
      <c r="AB360" s="139" t="n"/>
      <c r="AC360" s="16" t="n"/>
      <c r="AD360" s="139" t="n"/>
      <c r="AE360" s="16">
        <f>(W360+Y360+AA360+AC360)</f>
        <v/>
      </c>
      <c r="AF360" s="16" t="n"/>
      <c r="AG360" s="138" t="n"/>
      <c r="AH360" s="16" t="n"/>
      <c r="AI360" s="138" t="n"/>
      <c r="AJ360" s="16" t="n"/>
      <c r="AK360" s="138" t="n"/>
      <c r="AL360" s="16" t="n"/>
      <c r="AM360" s="138" t="n"/>
      <c r="AN360" s="16" t="n"/>
      <c r="AO360" s="138" t="n"/>
      <c r="AP360" s="16" t="n"/>
      <c r="AQ360" s="138" t="n"/>
      <c r="AR360" s="16" t="n"/>
      <c r="AS360" s="138" t="n"/>
      <c r="AT360" s="16" t="n"/>
      <c r="AU360" s="138" t="n"/>
      <c r="AV360" s="16" t="n"/>
      <c r="AW360" s="138" t="n"/>
      <c r="AX360" s="16" t="n"/>
      <c r="AY360" s="138" t="n"/>
      <c r="AZ360" s="16">
        <f>AF360+AH360+AJ360+AL360+AN360+AP360+AR360+AT360+AV360+AX360</f>
        <v/>
      </c>
      <c r="BA360" s="16" t="n"/>
      <c r="BB360" s="139" t="n"/>
      <c r="BC360" s="16" t="n"/>
      <c r="BD360" s="139" t="n"/>
      <c r="BE360" s="16">
        <f>(BA360+BC360)</f>
        <v/>
      </c>
    </row>
    <row r="361">
      <c r="A361" s="9" t="n"/>
      <c r="B361" s="136" t="inlineStr">
        <is>
          <t>ABS 난연</t>
        </is>
      </c>
      <c r="C361" s="137" t="inlineStr">
        <is>
          <t>ADX6000</t>
        </is>
      </c>
      <c r="D361" s="85" t="inlineStr">
        <is>
          <t>BODY LEFT 사출 배터리 커버</t>
        </is>
      </c>
      <c r="E361" s="13" t="inlineStr">
        <is>
          <t>ABS 난연 화이트 + 스프레이</t>
        </is>
      </c>
      <c r="F361" s="100" t="n"/>
      <c r="G361" s="9" t="n"/>
      <c r="H361" s="9" t="inlineStr">
        <is>
          <t>천우</t>
        </is>
      </c>
      <c r="I361" s="14" t="n"/>
      <c r="J361" s="14" t="n"/>
      <c r="K361" s="12" t="n">
        <v>536</v>
      </c>
      <c r="L361" s="9" t="n"/>
      <c r="M361" s="9" t="n"/>
      <c r="N361" s="9" t="n"/>
      <c r="O361" s="40">
        <f>K361+V361-AE361-AZ361</f>
        <v/>
      </c>
      <c r="P361" s="12" t="n"/>
      <c r="Q361" s="138" t="n"/>
      <c r="R361" s="16" t="n"/>
      <c r="S361" s="139" t="n"/>
      <c r="T361" s="16" t="n"/>
      <c r="U361" s="139" t="n"/>
      <c r="V361" s="16">
        <f>P361+R361+T361</f>
        <v/>
      </c>
      <c r="W361" s="16" t="n"/>
      <c r="X361" s="139" t="n"/>
      <c r="Y361" s="16" t="n"/>
      <c r="Z361" s="139" t="n"/>
      <c r="AA361" s="16" t="n"/>
      <c r="AB361" s="139" t="n"/>
      <c r="AC361" s="16" t="n"/>
      <c r="AD361" s="139" t="n"/>
      <c r="AE361" s="16">
        <f>(W361+Y361+AA361+AC361)</f>
        <v/>
      </c>
      <c r="AF361" s="16" t="n"/>
      <c r="AG361" s="138" t="n"/>
      <c r="AH361" s="16" t="n"/>
      <c r="AI361" s="138" t="n"/>
      <c r="AJ361" s="16" t="n"/>
      <c r="AK361" s="138" t="n"/>
      <c r="AL361" s="16" t="n"/>
      <c r="AM361" s="138" t="n"/>
      <c r="AN361" s="16" t="n"/>
      <c r="AO361" s="138" t="n"/>
      <c r="AP361" s="16" t="n"/>
      <c r="AQ361" s="138" t="n"/>
      <c r="AR361" s="16" t="n"/>
      <c r="AS361" s="138" t="n"/>
      <c r="AT361" s="16" t="n"/>
      <c r="AU361" s="138" t="n"/>
      <c r="AV361" s="16" t="n"/>
      <c r="AW361" s="138" t="n"/>
      <c r="AX361" s="16" t="n"/>
      <c r="AY361" s="138" t="n"/>
      <c r="AZ361" s="16">
        <f>AF361+AH361+AJ361+AL361+AN361+AP361+AR361+AT361+AV361+AX361</f>
        <v/>
      </c>
      <c r="BA361" s="16" t="n"/>
      <c r="BB361" s="139" t="n"/>
      <c r="BC361" s="16" t="n"/>
      <c r="BD361" s="139" t="n"/>
      <c r="BE361" s="16">
        <f>(BA361+BC361)</f>
        <v/>
      </c>
    </row>
    <row r="362">
      <c r="A362" s="9" t="n"/>
      <c r="B362" s="136" t="inlineStr">
        <is>
          <t>ABS 난연</t>
        </is>
      </c>
      <c r="C362" s="137" t="inlineStr">
        <is>
          <t>ADX6000</t>
        </is>
      </c>
      <c r="D362" s="101" t="inlineStr">
        <is>
          <t>BODY RIGHT 사출</t>
        </is>
      </c>
      <c r="E362" s="13" t="inlineStr">
        <is>
          <t>ABS 난연 화이트 + 스프레이</t>
        </is>
      </c>
      <c r="F362" s="100" t="n"/>
      <c r="G362" s="9" t="n"/>
      <c r="H362" s="9" t="inlineStr">
        <is>
          <t>천우</t>
        </is>
      </c>
      <c r="I362" s="14" t="n"/>
      <c r="J362" s="14" t="n"/>
      <c r="K362" s="12" t="n">
        <v>8</v>
      </c>
      <c r="L362" s="9" t="n"/>
      <c r="M362" s="9" t="n"/>
      <c r="N362" s="9" t="n"/>
      <c r="O362" s="40">
        <f>K362+V362-AE362-AZ362</f>
        <v/>
      </c>
      <c r="P362" s="12" t="n"/>
      <c r="Q362" s="138" t="n"/>
      <c r="R362" s="16" t="n"/>
      <c r="S362" s="139" t="n"/>
      <c r="T362" s="16" t="n"/>
      <c r="U362" s="139" t="n"/>
      <c r="V362" s="16">
        <f>P362+R362+T362</f>
        <v/>
      </c>
      <c r="W362" s="16" t="n"/>
      <c r="X362" s="139" t="n"/>
      <c r="Y362" s="16" t="n"/>
      <c r="Z362" s="139" t="n"/>
      <c r="AA362" s="16" t="n"/>
      <c r="AB362" s="139" t="n"/>
      <c r="AC362" s="16" t="n"/>
      <c r="AD362" s="139" t="n"/>
      <c r="AE362" s="16">
        <f>(W362+Y362+AA362+AC362)</f>
        <v/>
      </c>
      <c r="AF362" s="16" t="n"/>
      <c r="AG362" s="138" t="n"/>
      <c r="AH362" s="16" t="n"/>
      <c r="AI362" s="138" t="n"/>
      <c r="AJ362" s="16" t="n"/>
      <c r="AK362" s="138" t="n"/>
      <c r="AL362" s="16" t="n"/>
      <c r="AM362" s="138" t="n"/>
      <c r="AN362" s="16" t="n"/>
      <c r="AO362" s="138" t="n"/>
      <c r="AP362" s="16" t="n"/>
      <c r="AQ362" s="138" t="n"/>
      <c r="AR362" s="16" t="n"/>
      <c r="AS362" s="138" t="n"/>
      <c r="AT362" s="16" t="n"/>
      <c r="AU362" s="138" t="n"/>
      <c r="AV362" s="16" t="n"/>
      <c r="AW362" s="138" t="n"/>
      <c r="AX362" s="16" t="n"/>
      <c r="AY362" s="138" t="n"/>
      <c r="AZ362" s="16">
        <f>AF362+AH362+AJ362+AL362+AN362+AP362+AR362+AT362+AV362+AX362</f>
        <v/>
      </c>
      <c r="BA362" s="16" t="n"/>
      <c r="BB362" s="139" t="n"/>
      <c r="BC362" s="16" t="n"/>
      <c r="BD362" s="139" t="n"/>
      <c r="BE362" s="16">
        <f>(BA362+BC362)</f>
        <v/>
      </c>
    </row>
    <row r="363">
      <c r="A363" s="9" t="n"/>
      <c r="B363" s="136" t="inlineStr">
        <is>
          <t>ABS 난연</t>
        </is>
      </c>
      <c r="C363" s="137" t="inlineStr">
        <is>
          <t>ADX6000</t>
        </is>
      </c>
      <c r="D363" s="84" t="inlineStr">
        <is>
          <t>HANDLE LEFT 사출</t>
        </is>
      </c>
      <c r="E363" s="13" t="inlineStr">
        <is>
          <t>ABS 난연 화이트 + 스프레이</t>
        </is>
      </c>
      <c r="F363" s="100" t="n"/>
      <c r="G363" s="9" t="n"/>
      <c r="H363" s="9" t="inlineStr">
        <is>
          <t>천우</t>
        </is>
      </c>
      <c r="I363" s="14" t="n"/>
      <c r="J363" s="14" t="n"/>
      <c r="K363" s="12" t="n">
        <v>586</v>
      </c>
      <c r="L363" s="9" t="n"/>
      <c r="M363" s="9" t="n"/>
      <c r="N363" s="9" t="n"/>
      <c r="O363" s="40">
        <f>K363+V363-AE363-AZ363</f>
        <v/>
      </c>
      <c r="P363" s="12" t="n"/>
      <c r="Q363" s="138" t="n"/>
      <c r="R363" s="16" t="n"/>
      <c r="S363" s="139" t="n"/>
      <c r="T363" s="16" t="n"/>
      <c r="U363" s="139" t="n"/>
      <c r="V363" s="16">
        <f>P363+R363+T363</f>
        <v/>
      </c>
      <c r="W363" s="16" t="n"/>
      <c r="X363" s="139" t="n"/>
      <c r="Y363" s="16" t="n"/>
      <c r="Z363" s="139" t="n"/>
      <c r="AA363" s="16" t="n"/>
      <c r="AB363" s="139" t="n"/>
      <c r="AC363" s="16" t="n"/>
      <c r="AD363" s="139" t="n"/>
      <c r="AE363" s="16">
        <f>(W363+Y363+AA363+AC363)</f>
        <v/>
      </c>
      <c r="AF363" s="16" t="n"/>
      <c r="AG363" s="138" t="n"/>
      <c r="AH363" s="16" t="n"/>
      <c r="AI363" s="138" t="n"/>
      <c r="AJ363" s="16" t="n"/>
      <c r="AK363" s="138" t="n"/>
      <c r="AL363" s="16" t="n"/>
      <c r="AM363" s="138" t="n"/>
      <c r="AN363" s="16" t="n"/>
      <c r="AO363" s="138" t="n"/>
      <c r="AP363" s="16" t="n"/>
      <c r="AQ363" s="138" t="n"/>
      <c r="AR363" s="16" t="n"/>
      <c r="AS363" s="138" t="n"/>
      <c r="AT363" s="16" t="n"/>
      <c r="AU363" s="138" t="n"/>
      <c r="AV363" s="16" t="n"/>
      <c r="AW363" s="138" t="n"/>
      <c r="AX363" s="16" t="n"/>
      <c r="AY363" s="138" t="n"/>
      <c r="AZ363" s="16">
        <f>AF363+AH363+AJ363+AL363+AN363+AP363+AR363+AT363+AV363+AX363</f>
        <v/>
      </c>
      <c r="BA363" s="16" t="n"/>
      <c r="BB363" s="139" t="n"/>
      <c r="BC363" s="16" t="n"/>
      <c r="BD363" s="139" t="n"/>
      <c r="BE363" s="16">
        <f>(BA363+BC363)</f>
        <v/>
      </c>
    </row>
    <row r="364">
      <c r="A364" s="9" t="n"/>
      <c r="B364" s="136" t="inlineStr">
        <is>
          <t>ABS 난연</t>
        </is>
      </c>
      <c r="C364" s="137" t="inlineStr">
        <is>
          <t>ADX6000</t>
        </is>
      </c>
      <c r="D364" s="85" t="inlineStr">
        <is>
          <t>HANDLE RIGHT 사출</t>
        </is>
      </c>
      <c r="E364" s="13" t="inlineStr">
        <is>
          <t>ABS 난연 화이트 + 스프레이</t>
        </is>
      </c>
      <c r="F364" s="100" t="n"/>
      <c r="G364" s="9" t="n"/>
      <c r="H364" s="9" t="inlineStr">
        <is>
          <t>천우</t>
        </is>
      </c>
      <c r="I364" s="14" t="n"/>
      <c r="J364" s="14" t="n"/>
      <c r="K364" s="12" t="n">
        <v>309</v>
      </c>
      <c r="L364" s="9" t="n"/>
      <c r="M364" s="9" t="n"/>
      <c r="N364" s="9" t="n"/>
      <c r="O364" s="40">
        <f>K364+V364-AE364-AZ364</f>
        <v/>
      </c>
      <c r="P364" s="12" t="n"/>
      <c r="Q364" s="138" t="n"/>
      <c r="R364" s="16" t="n"/>
      <c r="S364" s="139" t="n"/>
      <c r="T364" s="16" t="n"/>
      <c r="U364" s="139" t="n"/>
      <c r="V364" s="16">
        <f>P364+R364+T364</f>
        <v/>
      </c>
      <c r="W364" s="16" t="n"/>
      <c r="X364" s="139" t="n"/>
      <c r="Y364" s="16" t="n"/>
      <c r="Z364" s="139" t="n"/>
      <c r="AA364" s="16" t="n"/>
      <c r="AB364" s="139" t="n"/>
      <c r="AC364" s="16" t="n"/>
      <c r="AD364" s="139" t="n"/>
      <c r="AE364" s="16">
        <f>(W364+Y364+AA364+AC364)</f>
        <v/>
      </c>
      <c r="AF364" s="16" t="n"/>
      <c r="AG364" s="138" t="n"/>
      <c r="AH364" s="16" t="n"/>
      <c r="AI364" s="138" t="n"/>
      <c r="AJ364" s="16" t="n"/>
      <c r="AK364" s="138" t="n"/>
      <c r="AL364" s="16" t="n"/>
      <c r="AM364" s="138" t="n"/>
      <c r="AN364" s="16" t="n"/>
      <c r="AO364" s="138" t="n"/>
      <c r="AP364" s="16" t="n"/>
      <c r="AQ364" s="138" t="n"/>
      <c r="AR364" s="16" t="n"/>
      <c r="AS364" s="138" t="n"/>
      <c r="AT364" s="16" t="n"/>
      <c r="AU364" s="138" t="n"/>
      <c r="AV364" s="16" t="n"/>
      <c r="AW364" s="138" t="n"/>
      <c r="AX364" s="16" t="n"/>
      <c r="AY364" s="138" t="n"/>
      <c r="AZ364" s="16">
        <f>AF364+AH364+AJ364+AL364+AN364+AP364+AR364+AT364+AV364+AX364</f>
        <v/>
      </c>
      <c r="BA364" s="16" t="n"/>
      <c r="BB364" s="139" t="n"/>
      <c r="BC364" s="16" t="n"/>
      <c r="BD364" s="139" t="n"/>
      <c r="BE364" s="16">
        <f>(BA364+BC364)</f>
        <v/>
      </c>
    </row>
    <row r="365" ht="36" customHeight="1" s="122">
      <c r="A365" s="9" t="n"/>
      <c r="B365" s="136" t="inlineStr">
        <is>
          <t>ABS 난연</t>
        </is>
      </c>
      <c r="C365" s="137" t="inlineStr">
        <is>
          <t>ADX6000</t>
        </is>
      </c>
      <c r="D365" s="86" t="inlineStr">
        <is>
          <t>CRADLE TOP 사출</t>
        </is>
      </c>
      <c r="E365" s="23" t="inlineStr">
        <is>
          <t>ABS 난연 화이트 + 스프레이</t>
        </is>
      </c>
      <c r="F365" s="100" t="n"/>
      <c r="G365" s="9" t="n"/>
      <c r="H365" s="9" t="inlineStr">
        <is>
          <t>천우</t>
        </is>
      </c>
      <c r="I365" s="14" t="n"/>
      <c r="J365" s="14" t="n"/>
      <c r="K365" s="12" t="n">
        <v>109</v>
      </c>
      <c r="L365" s="9" t="n"/>
      <c r="M365" s="9" t="n"/>
      <c r="N365" s="9" t="n"/>
      <c r="O365" s="40">
        <f>K365+V365-AE365-AZ365</f>
        <v/>
      </c>
      <c r="P365" s="12" t="n"/>
      <c r="Q365" s="138" t="n"/>
      <c r="R365" s="16" t="n"/>
      <c r="S365" s="139" t="n"/>
      <c r="T365" s="16" t="n"/>
      <c r="U365" s="139" t="n"/>
      <c r="V365" s="16">
        <f>P365+R365+T365</f>
        <v/>
      </c>
      <c r="W365" s="16" t="n"/>
      <c r="X365" s="139" t="n"/>
      <c r="Y365" s="16" t="n"/>
      <c r="Z365" s="139" t="n"/>
      <c r="AA365" s="16" t="n"/>
      <c r="AB365" s="139" t="n"/>
      <c r="AC365" s="16" t="n"/>
      <c r="AD365" s="139" t="n"/>
      <c r="AE365" s="16">
        <f>(W365+Y365+AA365+AC365)</f>
        <v/>
      </c>
      <c r="AF365" s="16" t="n"/>
      <c r="AG365" s="138" t="n"/>
      <c r="AH365" s="16" t="n"/>
      <c r="AI365" s="138" t="n"/>
      <c r="AJ365" s="16" t="n"/>
      <c r="AK365" s="138" t="n"/>
      <c r="AL365" s="16" t="n"/>
      <c r="AM365" s="138" t="n"/>
      <c r="AN365" s="16" t="n"/>
      <c r="AO365" s="138" t="n"/>
      <c r="AP365" s="16" t="n"/>
      <c r="AQ365" s="138" t="n"/>
      <c r="AR365" s="16" t="n"/>
      <c r="AS365" s="138" t="n"/>
      <c r="AT365" s="16" t="n"/>
      <c r="AU365" s="138" t="n"/>
      <c r="AV365" s="16" t="n"/>
      <c r="AW365" s="138" t="n"/>
      <c r="AX365" s="16" t="n"/>
      <c r="AY365" s="138" t="n"/>
      <c r="AZ365" s="16">
        <f>AF365+AH365+AJ365+AL365+AN365+AP365+AR365+AT365+AV365+AX365</f>
        <v/>
      </c>
      <c r="BA365" s="16" t="n"/>
      <c r="BB365" s="139" t="n"/>
      <c r="BC365" s="16" t="n"/>
      <c r="BD365" s="139" t="n"/>
      <c r="BE365" s="16">
        <f>(BA365+BC365)</f>
        <v/>
      </c>
    </row>
    <row r="366" ht="48" customHeight="1" s="122">
      <c r="A366" s="9" t="n"/>
      <c r="B366" s="136" t="inlineStr">
        <is>
          <t>ABS 난연</t>
        </is>
      </c>
      <c r="C366" s="137" t="inlineStr">
        <is>
          <t>ADX6000</t>
        </is>
      </c>
      <c r="D366" s="85" t="inlineStr">
        <is>
          <t>CRADLE BOTTOM 사출</t>
        </is>
      </c>
      <c r="E366" s="23" t="inlineStr">
        <is>
          <t>ABS 난연 화이트 + 스프레이 블랙</t>
        </is>
      </c>
      <c r="F366" s="100" t="n"/>
      <c r="G366" s="9" t="n"/>
      <c r="H366" s="9" t="inlineStr">
        <is>
          <t>천우</t>
        </is>
      </c>
      <c r="I366" s="14" t="n"/>
      <c r="J366" s="14" t="n"/>
      <c r="K366" s="12" t="n">
        <v>21</v>
      </c>
      <c r="L366" s="9" t="n"/>
      <c r="M366" s="9" t="n"/>
      <c r="N366" s="9" t="n"/>
      <c r="O366" s="40">
        <f>K366+V366-AE366-AZ366</f>
        <v/>
      </c>
      <c r="P366" s="12" t="n"/>
      <c r="Q366" s="138" t="n"/>
      <c r="R366" s="16" t="n"/>
      <c r="S366" s="139" t="n"/>
      <c r="T366" s="16" t="n"/>
      <c r="U366" s="139" t="n"/>
      <c r="V366" s="16">
        <f>P366+R366+T366</f>
        <v/>
      </c>
      <c r="W366" s="16" t="n"/>
      <c r="X366" s="139" t="n"/>
      <c r="Y366" s="16" t="n"/>
      <c r="Z366" s="139" t="n"/>
      <c r="AA366" s="16" t="n"/>
      <c r="AB366" s="139" t="n"/>
      <c r="AC366" s="16" t="n"/>
      <c r="AD366" s="139" t="n"/>
      <c r="AE366" s="16">
        <f>(W366+Y366+AA366+AC366)</f>
        <v/>
      </c>
      <c r="AF366" s="16" t="n"/>
      <c r="AG366" s="138" t="n"/>
      <c r="AH366" s="16" t="n"/>
      <c r="AI366" s="138" t="n"/>
      <c r="AJ366" s="16" t="n"/>
      <c r="AK366" s="138" t="n"/>
      <c r="AL366" s="16" t="n"/>
      <c r="AM366" s="138" t="n"/>
      <c r="AN366" s="16" t="n"/>
      <c r="AO366" s="138" t="n"/>
      <c r="AP366" s="16" t="n"/>
      <c r="AQ366" s="138" t="n"/>
      <c r="AR366" s="16" t="n"/>
      <c r="AS366" s="138" t="n"/>
      <c r="AT366" s="16" t="n"/>
      <c r="AU366" s="138" t="n"/>
      <c r="AV366" s="16" t="n"/>
      <c r="AW366" s="138" t="n"/>
      <c r="AX366" s="16" t="n"/>
      <c r="AY366" s="138" t="n"/>
      <c r="AZ366" s="16">
        <f>AF366+AH366+AJ366+AL366+AN366+AP366+AR366+AT366+AV366+AX366</f>
        <v/>
      </c>
      <c r="BA366" s="16" t="n"/>
      <c r="BB366" s="139" t="n"/>
      <c r="BC366" s="16" t="n"/>
      <c r="BD366" s="139" t="n"/>
      <c r="BE366" s="16">
        <f>(BA366+BC366)</f>
        <v/>
      </c>
    </row>
    <row r="367" ht="36" customHeight="1" s="122">
      <c r="A367" s="9" t="n"/>
      <c r="B367" s="136" t="inlineStr">
        <is>
          <t>ABS 난연</t>
        </is>
      </c>
      <c r="C367" s="137" t="inlineStr">
        <is>
          <t>ADX6000</t>
        </is>
      </c>
      <c r="D367" s="63" t="inlineStr">
        <is>
          <t>CRADLE LED Guide 사출</t>
        </is>
      </c>
      <c r="E367" s="23" t="inlineStr">
        <is>
          <t>ABS 난연 화이트 + 스프레이</t>
        </is>
      </c>
      <c r="F367" s="100" t="n"/>
      <c r="G367" s="9" t="n"/>
      <c r="H367" s="9" t="inlineStr">
        <is>
          <t>천우</t>
        </is>
      </c>
      <c r="I367" s="14" t="n"/>
      <c r="J367" s="14" t="n"/>
      <c r="K367" s="12" t="n">
        <v>193</v>
      </c>
      <c r="L367" s="9" t="n"/>
      <c r="M367" s="9" t="n"/>
      <c r="N367" s="9" t="n"/>
      <c r="O367" s="40">
        <f>K367+V367-AE367-AZ367</f>
        <v/>
      </c>
      <c r="P367" s="12" t="n"/>
      <c r="Q367" s="138" t="n"/>
      <c r="R367" s="16" t="n"/>
      <c r="S367" s="139" t="n"/>
      <c r="T367" s="16" t="n"/>
      <c r="U367" s="139" t="n"/>
      <c r="V367" s="16">
        <f>P367+R367+T367</f>
        <v/>
      </c>
      <c r="W367" s="16" t="n"/>
      <c r="X367" s="139" t="n"/>
      <c r="Y367" s="16" t="n"/>
      <c r="Z367" s="139" t="n"/>
      <c r="AA367" s="16" t="n"/>
      <c r="AB367" s="139" t="n"/>
      <c r="AC367" s="16" t="n"/>
      <c r="AD367" s="139" t="n"/>
      <c r="AE367" s="16">
        <f>(W367+Y367+AA367+AC367)</f>
        <v/>
      </c>
      <c r="AF367" s="16" t="n"/>
      <c r="AG367" s="138" t="n"/>
      <c r="AH367" s="16" t="n"/>
      <c r="AI367" s="138" t="n"/>
      <c r="AJ367" s="16" t="n"/>
      <c r="AK367" s="138" t="n"/>
      <c r="AL367" s="16" t="n"/>
      <c r="AM367" s="138" t="n"/>
      <c r="AN367" s="16" t="n"/>
      <c r="AO367" s="138" t="n"/>
      <c r="AP367" s="16" t="n"/>
      <c r="AQ367" s="138" t="n"/>
      <c r="AR367" s="16" t="n"/>
      <c r="AS367" s="138" t="n"/>
      <c r="AT367" s="16" t="n"/>
      <c r="AU367" s="138" t="n"/>
      <c r="AV367" s="16" t="n"/>
      <c r="AW367" s="138" t="n"/>
      <c r="AX367" s="16" t="n"/>
      <c r="AY367" s="138" t="n"/>
      <c r="AZ367" s="16">
        <f>AF367+AH367+AJ367+AL367+AN367+AP367+AR367+AT367+AV367+AX367</f>
        <v/>
      </c>
      <c r="BA367" s="16" t="n"/>
      <c r="BB367" s="139" t="n"/>
      <c r="BC367" s="16" t="n"/>
      <c r="BD367" s="139" t="n"/>
      <c r="BE367" s="16">
        <f>(BA367+BC367)</f>
        <v/>
      </c>
    </row>
    <row r="368">
      <c r="A368" s="9" t="n"/>
      <c r="B368" s="136" t="inlineStr">
        <is>
          <t>ABS 난연</t>
        </is>
      </c>
      <c r="C368" s="137" t="inlineStr">
        <is>
          <t>ADX6000</t>
        </is>
      </c>
      <c r="D368" s="63" t="inlineStr">
        <is>
          <t>리모콘 포트 가이드</t>
        </is>
      </c>
      <c r="E368" s="13" t="inlineStr">
        <is>
          <t>ABS 난연 화이트</t>
        </is>
      </c>
      <c r="F368" s="100" t="n"/>
      <c r="G368" s="9" t="n"/>
      <c r="H368" s="9" t="inlineStr">
        <is>
          <t>월드씨앤피</t>
        </is>
      </c>
      <c r="I368" s="14" t="n"/>
      <c r="J368" s="14" t="n"/>
      <c r="K368" s="12" t="n">
        <v>352</v>
      </c>
      <c r="L368" s="9" t="n"/>
      <c r="M368" s="9" t="n"/>
      <c r="N368" s="9" t="n"/>
      <c r="O368" s="40">
        <f>K368+V368-AE368-AZ368</f>
        <v/>
      </c>
      <c r="P368" s="12" t="n"/>
      <c r="Q368" s="138" t="n"/>
      <c r="R368" s="16" t="n"/>
      <c r="S368" s="139" t="n"/>
      <c r="T368" s="16" t="n"/>
      <c r="U368" s="139" t="n"/>
      <c r="V368" s="16">
        <f>P368+R368+T368</f>
        <v/>
      </c>
      <c r="W368" s="16" t="n"/>
      <c r="X368" s="139" t="n"/>
      <c r="Y368" s="16" t="n"/>
      <c r="Z368" s="139" t="n"/>
      <c r="AA368" s="16" t="n"/>
      <c r="AB368" s="139" t="n"/>
      <c r="AC368" s="16" t="n"/>
      <c r="AD368" s="139" t="n"/>
      <c r="AE368" s="16">
        <f>(W368+Y368+AA368+AC368)</f>
        <v/>
      </c>
      <c r="AF368" s="16" t="n"/>
      <c r="AG368" s="138" t="n"/>
      <c r="AH368" s="16" t="n"/>
      <c r="AI368" s="138" t="n"/>
      <c r="AJ368" s="16" t="n"/>
      <c r="AK368" s="138" t="n"/>
      <c r="AL368" s="16" t="n"/>
      <c r="AM368" s="138" t="n"/>
      <c r="AN368" s="16" t="n"/>
      <c r="AO368" s="138" t="n"/>
      <c r="AP368" s="16" t="n"/>
      <c r="AQ368" s="138" t="n"/>
      <c r="AR368" s="16" t="n"/>
      <c r="AS368" s="138" t="n"/>
      <c r="AT368" s="16" t="n"/>
      <c r="AU368" s="138" t="n"/>
      <c r="AV368" s="16" t="n"/>
      <c r="AW368" s="138" t="n"/>
      <c r="AX368" s="16" t="n"/>
      <c r="AY368" s="138" t="n"/>
      <c r="AZ368" s="16">
        <f>AF368+AH368+AJ368+AL368+AN368+AP368+AR368+AT368+AV368+AX368</f>
        <v/>
      </c>
      <c r="BA368" s="16" t="n"/>
      <c r="BB368" s="139" t="n"/>
      <c r="BC368" s="16" t="n"/>
      <c r="BD368" s="139" t="n"/>
      <c r="BE368" s="16">
        <f>(BA368+BC368)</f>
        <v/>
      </c>
    </row>
    <row r="369" ht="24" customHeight="1" s="122">
      <c r="A369" s="9" t="n"/>
      <c r="B369" s="136" t="inlineStr">
        <is>
          <t>아크릴</t>
        </is>
      </c>
      <c r="C369" s="137" t="inlineStr">
        <is>
          <t>ADX6000</t>
        </is>
      </c>
      <c r="D369" s="60" t="inlineStr">
        <is>
          <t>Power Button 사출</t>
        </is>
      </c>
      <c r="E369" s="23" t="inlineStr">
        <is>
          <t>스모그 투명 아크릴</t>
        </is>
      </c>
      <c r="F369" s="100" t="n"/>
      <c r="G369" s="9" t="n"/>
      <c r="H369" s="9" t="inlineStr">
        <is>
          <t>천우</t>
        </is>
      </c>
      <c r="I369" s="14" t="n"/>
      <c r="J369" s="14" t="n"/>
      <c r="K369" s="12" t="n">
        <v>379</v>
      </c>
      <c r="L369" s="9" t="n"/>
      <c r="M369" s="9" t="n"/>
      <c r="N369" s="9" t="n"/>
      <c r="O369" s="40">
        <f>K369+V369-AE369-AZ369</f>
        <v/>
      </c>
      <c r="P369" s="12" t="n"/>
      <c r="Q369" s="138" t="n"/>
      <c r="R369" s="16" t="n"/>
      <c r="S369" s="139" t="n"/>
      <c r="T369" s="16" t="n"/>
      <c r="U369" s="139" t="n"/>
      <c r="V369" s="16">
        <f>P369+R369+T369</f>
        <v/>
      </c>
      <c r="W369" s="16" t="n"/>
      <c r="X369" s="139" t="n"/>
      <c r="Y369" s="16" t="n"/>
      <c r="Z369" s="139" t="n"/>
      <c r="AA369" s="16" t="n"/>
      <c r="AB369" s="139" t="n"/>
      <c r="AC369" s="16" t="n"/>
      <c r="AD369" s="139" t="n"/>
      <c r="AE369" s="16">
        <f>(W369+Y369+AA369+AC369)</f>
        <v/>
      </c>
      <c r="AF369" s="16" t="n"/>
      <c r="AG369" s="138" t="n"/>
      <c r="AH369" s="16" t="n"/>
      <c r="AI369" s="138" t="n"/>
      <c r="AJ369" s="16" t="n"/>
      <c r="AK369" s="138" t="n"/>
      <c r="AL369" s="16" t="n"/>
      <c r="AM369" s="138" t="n"/>
      <c r="AN369" s="16" t="n"/>
      <c r="AO369" s="138" t="n"/>
      <c r="AP369" s="16" t="n"/>
      <c r="AQ369" s="138" t="n"/>
      <c r="AR369" s="16" t="n"/>
      <c r="AS369" s="138" t="n"/>
      <c r="AT369" s="16" t="n"/>
      <c r="AU369" s="138" t="n"/>
      <c r="AV369" s="16" t="n"/>
      <c r="AW369" s="138" t="n"/>
      <c r="AX369" s="16" t="n"/>
      <c r="AY369" s="138" t="n"/>
      <c r="AZ369" s="16">
        <f>AF369+AH369+AJ369+AL369+AN369+AP369+AR369+AT369+AV369+AX369</f>
        <v/>
      </c>
      <c r="BA369" s="16" t="n"/>
      <c r="BB369" s="139" t="n"/>
      <c r="BC369" s="16" t="n"/>
      <c r="BD369" s="139" t="n"/>
      <c r="BE369" s="16">
        <f>(BA369+BC369)</f>
        <v/>
      </c>
    </row>
    <row r="370" ht="24" customHeight="1" s="122">
      <c r="A370" s="9" t="n"/>
      <c r="B370" s="136" t="inlineStr">
        <is>
          <t>아크릴</t>
        </is>
      </c>
      <c r="C370" s="137" t="inlineStr">
        <is>
          <t>ADX6000</t>
        </is>
      </c>
      <c r="D370" s="85" t="inlineStr">
        <is>
          <t>Black Deco Guide</t>
        </is>
      </c>
      <c r="E370" s="23" t="inlineStr">
        <is>
          <t>스모그 투명 아크릴</t>
        </is>
      </c>
      <c r="F370" s="100" t="n"/>
      <c r="G370" s="9" t="n"/>
      <c r="H370" s="9" t="inlineStr">
        <is>
          <t>천우</t>
        </is>
      </c>
      <c r="I370" s="14" t="n"/>
      <c r="J370" s="14" t="n"/>
      <c r="K370" s="12" t="n">
        <v>4</v>
      </c>
      <c r="L370" s="9" t="n"/>
      <c r="M370" s="9" t="n"/>
      <c r="N370" s="9" t="n"/>
      <c r="O370" s="40">
        <f>K370+V370-AE370-AZ370</f>
        <v/>
      </c>
      <c r="P370" s="12" t="n"/>
      <c r="Q370" s="138" t="n"/>
      <c r="R370" s="16" t="n"/>
      <c r="S370" s="139" t="n"/>
      <c r="T370" s="16" t="n"/>
      <c r="U370" s="139" t="n"/>
      <c r="V370" s="16">
        <f>P370+R370+T370</f>
        <v/>
      </c>
      <c r="W370" s="16" t="n"/>
      <c r="X370" s="139" t="n"/>
      <c r="Y370" s="16" t="n"/>
      <c r="Z370" s="139" t="n"/>
      <c r="AA370" s="16" t="n"/>
      <c r="AB370" s="139" t="n"/>
      <c r="AC370" s="16" t="n"/>
      <c r="AD370" s="139" t="n"/>
      <c r="AE370" s="16">
        <f>(W370+Y370+AA370+AC370)</f>
        <v/>
      </c>
      <c r="AF370" s="16" t="n"/>
      <c r="AG370" s="138" t="n"/>
      <c r="AH370" s="16" t="n"/>
      <c r="AI370" s="138" t="n"/>
      <c r="AJ370" s="16" t="n"/>
      <c r="AK370" s="138" t="n"/>
      <c r="AL370" s="16" t="n"/>
      <c r="AM370" s="138" t="n"/>
      <c r="AN370" s="16" t="n"/>
      <c r="AO370" s="138" t="n"/>
      <c r="AP370" s="16" t="n"/>
      <c r="AQ370" s="138" t="n"/>
      <c r="AR370" s="16" t="n"/>
      <c r="AS370" s="138" t="n"/>
      <c r="AT370" s="16" t="n"/>
      <c r="AU370" s="138" t="n"/>
      <c r="AV370" s="16" t="n"/>
      <c r="AW370" s="138" t="n"/>
      <c r="AX370" s="16" t="n"/>
      <c r="AY370" s="138" t="n"/>
      <c r="AZ370" s="16">
        <f>AF370+AH370+AJ370+AL370+AN370+AP370+AR370+AT370+AV370+AX370</f>
        <v/>
      </c>
      <c r="BA370" s="16" t="n"/>
      <c r="BB370" s="139" t="n"/>
      <c r="BC370" s="16" t="n"/>
      <c r="BD370" s="139" t="n"/>
      <c r="BE370" s="16">
        <f>(BA370+BC370)</f>
        <v/>
      </c>
    </row>
    <row r="371" ht="24" customHeight="1" s="122">
      <c r="A371" s="9" t="n"/>
      <c r="B371" s="136" t="inlineStr">
        <is>
          <t>아크릴</t>
        </is>
      </c>
      <c r="C371" s="137" t="inlineStr">
        <is>
          <t>ADX6000</t>
        </is>
      </c>
      <c r="D371" s="84" t="inlineStr">
        <is>
          <t>EX Button 사출</t>
        </is>
      </c>
      <c r="E371" s="23" t="inlineStr">
        <is>
          <t>스모그 투명 아크릴</t>
        </is>
      </c>
      <c r="F371" s="100" t="n"/>
      <c r="G371" s="9" t="n"/>
      <c r="H371" s="9" t="inlineStr">
        <is>
          <t>천우</t>
        </is>
      </c>
      <c r="I371" s="14" t="n"/>
      <c r="J371" s="14" t="n"/>
      <c r="K371" s="12" t="n">
        <v>575</v>
      </c>
      <c r="L371" s="9" t="n"/>
      <c r="M371" s="9" t="n"/>
      <c r="N371" s="9" t="n"/>
      <c r="O371" s="40">
        <f>K371+V371-AE371-AZ371</f>
        <v/>
      </c>
      <c r="P371" s="12" t="n"/>
      <c r="Q371" s="138" t="n"/>
      <c r="R371" s="16" t="n"/>
      <c r="S371" s="139" t="n"/>
      <c r="T371" s="16" t="n"/>
      <c r="U371" s="139" t="n"/>
      <c r="V371" s="16">
        <f>P371+R371+T371</f>
        <v/>
      </c>
      <c r="W371" s="16" t="n"/>
      <c r="X371" s="139" t="n"/>
      <c r="Y371" s="16" t="n"/>
      <c r="Z371" s="139" t="n"/>
      <c r="AA371" s="16" t="n"/>
      <c r="AB371" s="139" t="n"/>
      <c r="AC371" s="16" t="n"/>
      <c r="AD371" s="139" t="n"/>
      <c r="AE371" s="16">
        <f>(W371+Y371+AA371+AC371)</f>
        <v/>
      </c>
      <c r="AF371" s="16" t="n"/>
      <c r="AG371" s="138" t="n"/>
      <c r="AH371" s="16" t="n"/>
      <c r="AI371" s="138" t="n"/>
      <c r="AJ371" s="16" t="n"/>
      <c r="AK371" s="138" t="n"/>
      <c r="AL371" s="16" t="n"/>
      <c r="AM371" s="138" t="n"/>
      <c r="AN371" s="16" t="n"/>
      <c r="AO371" s="138" t="n"/>
      <c r="AP371" s="16" t="n"/>
      <c r="AQ371" s="138" t="n"/>
      <c r="AR371" s="16" t="n"/>
      <c r="AS371" s="138" t="n"/>
      <c r="AT371" s="16" t="n"/>
      <c r="AU371" s="138" t="n"/>
      <c r="AV371" s="16" t="n"/>
      <c r="AW371" s="138" t="n"/>
      <c r="AX371" s="16" t="n"/>
      <c r="AY371" s="138" t="n"/>
      <c r="AZ371" s="16">
        <f>AF371+AH371+AJ371+AL371+AN371+AP371+AR371+AT371+AV371+AX371</f>
        <v/>
      </c>
      <c r="BA371" s="16" t="n"/>
      <c r="BB371" s="139" t="n"/>
      <c r="BC371" s="16" t="n"/>
      <c r="BD371" s="139" t="n"/>
      <c r="BE371" s="16">
        <f>(BA371+BC371)</f>
        <v/>
      </c>
    </row>
    <row r="372" ht="24" customHeight="1" s="122">
      <c r="A372" s="9" t="n"/>
      <c r="B372" s="136" t="inlineStr">
        <is>
          <t>아크릴</t>
        </is>
      </c>
      <c r="C372" s="137" t="inlineStr">
        <is>
          <t>ADX6000</t>
        </is>
      </c>
      <c r="D372" s="84" t="inlineStr">
        <is>
          <t>LCD 아크릴 가이드</t>
        </is>
      </c>
      <c r="E372" s="23" t="inlineStr">
        <is>
          <t>투명 아크릴</t>
        </is>
      </c>
      <c r="F372" s="100" t="n"/>
      <c r="G372" s="9" t="n"/>
      <c r="H372" s="9" t="inlineStr">
        <is>
          <t>아크릴최가</t>
        </is>
      </c>
      <c r="I372" s="14" t="n"/>
      <c r="J372" s="14" t="n"/>
      <c r="K372" s="12" t="n">
        <v>56</v>
      </c>
      <c r="L372" s="9" t="n"/>
      <c r="M372" s="9" t="n"/>
      <c r="N372" s="9" t="n"/>
      <c r="O372" s="40">
        <f>K372+V372-AE372-AZ372</f>
        <v/>
      </c>
      <c r="P372" s="12" t="n"/>
      <c r="Q372" s="138" t="n"/>
      <c r="R372" s="16" t="n"/>
      <c r="S372" s="139" t="n"/>
      <c r="T372" s="16" t="n"/>
      <c r="U372" s="139" t="n"/>
      <c r="V372" s="16">
        <f>P372+R372+T372</f>
        <v/>
      </c>
      <c r="W372" s="16" t="n"/>
      <c r="X372" s="139" t="n"/>
      <c r="Y372" s="16" t="n"/>
      <c r="Z372" s="139" t="n"/>
      <c r="AA372" s="16" t="n"/>
      <c r="AB372" s="139" t="n"/>
      <c r="AC372" s="16" t="n"/>
      <c r="AD372" s="139" t="n"/>
      <c r="AE372" s="16">
        <f>(W372+Y372+AA372+AC372)</f>
        <v/>
      </c>
      <c r="AF372" s="16" t="n"/>
      <c r="AG372" s="138" t="n"/>
      <c r="AH372" s="16" t="n"/>
      <c r="AI372" s="138" t="n"/>
      <c r="AJ372" s="16" t="n"/>
      <c r="AK372" s="138" t="n"/>
      <c r="AL372" s="16" t="n"/>
      <c r="AM372" s="138" t="n"/>
      <c r="AN372" s="16" t="n"/>
      <c r="AO372" s="138" t="n"/>
      <c r="AP372" s="16" t="n"/>
      <c r="AQ372" s="138" t="n"/>
      <c r="AR372" s="16" t="n"/>
      <c r="AS372" s="138" t="n"/>
      <c r="AT372" s="16" t="n"/>
      <c r="AU372" s="138" t="n"/>
      <c r="AV372" s="16" t="n"/>
      <c r="AW372" s="138" t="n"/>
      <c r="AX372" s="16" t="n"/>
      <c r="AY372" s="138" t="n"/>
      <c r="AZ372" s="16">
        <f>AF372+AH372+AJ372+AL372+AN372+AP372+AR372+AT372+AV372+AX372</f>
        <v/>
      </c>
      <c r="BA372" s="16" t="n"/>
      <c r="BB372" s="139" t="n"/>
      <c r="BC372" s="16" t="n"/>
      <c r="BD372" s="139" t="n"/>
      <c r="BE372" s="16">
        <f>(BA372+BC372)</f>
        <v/>
      </c>
    </row>
    <row r="373" ht="24" customHeight="1" s="122">
      <c r="A373" s="9" t="n"/>
      <c r="B373" s="136" t="inlineStr">
        <is>
          <t>아크릴</t>
        </is>
      </c>
      <c r="C373" s="137" t="inlineStr">
        <is>
          <t>ADX6000</t>
        </is>
      </c>
      <c r="D373" s="84" t="inlineStr">
        <is>
          <t>아크릴 투명 십자 panel</t>
        </is>
      </c>
      <c r="E373" s="23" t="inlineStr">
        <is>
          <t>아크릴 + 실크 인쇄</t>
        </is>
      </c>
      <c r="F373" s="100" t="n"/>
      <c r="G373" s="9" t="n"/>
      <c r="H373" s="9" t="inlineStr">
        <is>
          <t>아크릴최가</t>
        </is>
      </c>
      <c r="I373" s="14" t="n"/>
      <c r="J373" s="14" t="n"/>
      <c r="K373" s="12" t="n">
        <v>0</v>
      </c>
      <c r="L373" s="9" t="n"/>
      <c r="M373" s="9" t="n"/>
      <c r="N373" s="9" t="n"/>
      <c r="O373" s="40">
        <f>K373+V373-AE373-AZ373</f>
        <v/>
      </c>
      <c r="P373" s="12" t="n"/>
      <c r="Q373" s="138" t="n"/>
      <c r="R373" s="16" t="n"/>
      <c r="S373" s="139" t="n"/>
      <c r="T373" s="16" t="n"/>
      <c r="U373" s="139" t="n"/>
      <c r="V373" s="16">
        <f>P373+R373+T373</f>
        <v/>
      </c>
      <c r="W373" s="16" t="n"/>
      <c r="X373" s="139" t="n"/>
      <c r="Y373" s="16" t="n"/>
      <c r="Z373" s="139" t="n"/>
      <c r="AA373" s="16" t="n"/>
      <c r="AB373" s="139" t="n"/>
      <c r="AC373" s="16" t="n"/>
      <c r="AD373" s="139" t="n"/>
      <c r="AE373" s="16">
        <f>(W373+Y373+AA373+AC373)</f>
        <v/>
      </c>
      <c r="AF373" s="16" t="n"/>
      <c r="AG373" s="138" t="n"/>
      <c r="AH373" s="16" t="n"/>
      <c r="AI373" s="138" t="n"/>
      <c r="AJ373" s="16" t="n"/>
      <c r="AK373" s="138" t="n"/>
      <c r="AL373" s="16" t="n"/>
      <c r="AM373" s="138" t="n"/>
      <c r="AN373" s="16" t="n"/>
      <c r="AO373" s="138" t="n"/>
      <c r="AP373" s="16" t="n"/>
      <c r="AQ373" s="138" t="n"/>
      <c r="AR373" s="16" t="n"/>
      <c r="AS373" s="138" t="n"/>
      <c r="AT373" s="16" t="n"/>
      <c r="AU373" s="138" t="n"/>
      <c r="AV373" s="16" t="n"/>
      <c r="AW373" s="138" t="n"/>
      <c r="AX373" s="16" t="n"/>
      <c r="AY373" s="138" t="n"/>
      <c r="AZ373" s="16">
        <f>AF373+AH373+AJ373+AL373+AN373+AP373+AR373+AT373+AV373+AX373</f>
        <v/>
      </c>
      <c r="BA373" s="16" t="n"/>
      <c r="BB373" s="139" t="n"/>
      <c r="BC373" s="16" t="n"/>
      <c r="BD373" s="139" t="n"/>
      <c r="BE373" s="16">
        <f>(BA373+BC373)</f>
        <v/>
      </c>
    </row>
    <row r="374">
      <c r="A374" s="9" t="n"/>
      <c r="B374" s="136" t="inlineStr">
        <is>
          <t>STEEL</t>
        </is>
      </c>
      <c r="C374" s="137" t="inlineStr">
        <is>
          <t>ADX6000</t>
        </is>
      </c>
      <c r="D374" s="84" t="inlineStr">
        <is>
          <t>LCD HINGE</t>
        </is>
      </c>
      <c r="E374" s="13" t="inlineStr">
        <is>
          <t>가공</t>
        </is>
      </c>
      <c r="F374" s="100" t="n"/>
      <c r="G374" s="9" t="n"/>
      <c r="H374" s="9" t="inlineStr">
        <is>
          <t>디엔케이시스템</t>
        </is>
      </c>
      <c r="I374" s="14" t="n"/>
      <c r="J374" s="14" t="n"/>
      <c r="K374" s="12" t="n">
        <v>12</v>
      </c>
      <c r="L374" s="9" t="n"/>
      <c r="M374" s="9" t="n"/>
      <c r="N374" s="9" t="n"/>
      <c r="O374" s="40">
        <f>K374+V374-AE374-AZ374</f>
        <v/>
      </c>
      <c r="P374" s="12" t="n"/>
      <c r="Q374" s="138" t="n"/>
      <c r="R374" s="16" t="n"/>
      <c r="S374" s="139" t="n"/>
      <c r="T374" s="16" t="n"/>
      <c r="U374" s="139" t="n"/>
      <c r="V374" s="16">
        <f>P374+R374+T374</f>
        <v/>
      </c>
      <c r="W374" s="16" t="n"/>
      <c r="X374" s="139" t="n"/>
      <c r="Y374" s="16" t="n"/>
      <c r="Z374" s="139" t="n"/>
      <c r="AA374" s="16" t="n"/>
      <c r="AB374" s="139" t="n"/>
      <c r="AC374" s="16" t="n"/>
      <c r="AD374" s="139" t="n"/>
      <c r="AE374" s="16">
        <f>(W374+Y374+AA374+AC374)</f>
        <v/>
      </c>
      <c r="AF374" s="16" t="n"/>
      <c r="AG374" s="138" t="n"/>
      <c r="AH374" s="16" t="n"/>
      <c r="AI374" s="138" t="n"/>
      <c r="AJ374" s="16" t="n"/>
      <c r="AK374" s="138" t="n"/>
      <c r="AL374" s="16" t="n"/>
      <c r="AM374" s="138" t="n"/>
      <c r="AN374" s="16" t="n"/>
      <c r="AO374" s="138" t="n"/>
      <c r="AP374" s="16" t="n"/>
      <c r="AQ374" s="138" t="n"/>
      <c r="AR374" s="16" t="n"/>
      <c r="AS374" s="138" t="n"/>
      <c r="AT374" s="16" t="n"/>
      <c r="AU374" s="138" t="n"/>
      <c r="AV374" s="16" t="n"/>
      <c r="AW374" s="138" t="n"/>
      <c r="AX374" s="16" t="n"/>
      <c r="AY374" s="138" t="n"/>
      <c r="AZ374" s="16">
        <f>AF374+AH374+AJ374+AL374+AN374+AP374+AR374+AT374+AV374+AX374</f>
        <v/>
      </c>
      <c r="BA374" s="16" t="n"/>
      <c r="BB374" s="139" t="n"/>
      <c r="BC374" s="16" t="n"/>
      <c r="BD374" s="139" t="n"/>
      <c r="BE374" s="16">
        <f>(BA374+BC374)</f>
        <v/>
      </c>
    </row>
    <row r="375">
      <c r="A375" s="9" t="n"/>
      <c r="B375" s="136" t="inlineStr">
        <is>
          <t>AL</t>
        </is>
      </c>
      <c r="C375" s="137" t="inlineStr">
        <is>
          <t>ADX6000</t>
        </is>
      </c>
      <c r="D375" s="84" t="inlineStr">
        <is>
          <t>Base Block</t>
        </is>
      </c>
      <c r="E375" s="13" t="inlineStr">
        <is>
          <t>AL 가공 + 흑색 아노다이징</t>
        </is>
      </c>
      <c r="F375" s="100" t="n"/>
      <c r="G375" s="9" t="n"/>
      <c r="H375" s="9" t="inlineStr">
        <is>
          <t>제이케이시스템</t>
        </is>
      </c>
      <c r="I375" s="14" t="n"/>
      <c r="J375" s="14" t="n"/>
      <c r="K375" s="12" t="n">
        <v>0</v>
      </c>
      <c r="L375" s="9" t="n"/>
      <c r="M375" s="9" t="n"/>
      <c r="N375" s="9" t="n"/>
      <c r="O375" s="40">
        <f>K375+V375-AE375-AZ375</f>
        <v/>
      </c>
      <c r="P375" s="12" t="n"/>
      <c r="Q375" s="138" t="n"/>
      <c r="R375" s="16" t="n"/>
      <c r="S375" s="139" t="n"/>
      <c r="T375" s="16" t="n"/>
      <c r="U375" s="139" t="n"/>
      <c r="V375" s="16">
        <f>P375+R375+T375</f>
        <v/>
      </c>
      <c r="W375" s="16" t="n"/>
      <c r="X375" s="139" t="n"/>
      <c r="Y375" s="16" t="n"/>
      <c r="Z375" s="139" t="n"/>
      <c r="AA375" s="16" t="n"/>
      <c r="AB375" s="139" t="n"/>
      <c r="AC375" s="16" t="n"/>
      <c r="AD375" s="139" t="n"/>
      <c r="AE375" s="16">
        <f>(W375+Y375+AA375+AC375)</f>
        <v/>
      </c>
      <c r="AF375" s="16" t="n"/>
      <c r="AG375" s="138" t="n"/>
      <c r="AH375" s="16" t="n"/>
      <c r="AI375" s="138" t="n"/>
      <c r="AJ375" s="16" t="n"/>
      <c r="AK375" s="138" t="n"/>
      <c r="AL375" s="16" t="n"/>
      <c r="AM375" s="138" t="n"/>
      <c r="AN375" s="16" t="n"/>
      <c r="AO375" s="138" t="n"/>
      <c r="AP375" s="16" t="n"/>
      <c r="AQ375" s="138" t="n"/>
      <c r="AR375" s="16" t="n"/>
      <c r="AS375" s="138" t="n"/>
      <c r="AT375" s="16" t="n"/>
      <c r="AU375" s="138" t="n"/>
      <c r="AV375" s="16" t="n"/>
      <c r="AW375" s="138" t="n"/>
      <c r="AX375" s="16" t="n"/>
      <c r="AY375" s="138" t="n"/>
      <c r="AZ375" s="16">
        <f>AF375+AH375+AJ375+AL375+AN375+AP375+AR375+AT375+AV375+AX375</f>
        <v/>
      </c>
      <c r="BA375" s="16" t="n"/>
      <c r="BB375" s="139" t="n"/>
      <c r="BC375" s="16" t="n"/>
      <c r="BD375" s="139" t="n"/>
      <c r="BE375" s="16">
        <f>(BA375+BC375)</f>
        <v/>
      </c>
    </row>
    <row r="376">
      <c r="A376" s="9" t="n"/>
      <c r="B376" s="136" t="inlineStr">
        <is>
          <t>AL</t>
        </is>
      </c>
      <c r="C376" s="137" t="inlineStr">
        <is>
          <t>ADX6000</t>
        </is>
      </c>
      <c r="D376" s="63" t="inlineStr">
        <is>
          <t>Bottom Block</t>
        </is>
      </c>
      <c r="E376" s="13" t="inlineStr">
        <is>
          <t>AL 가공 + 흑색 아노다이징</t>
        </is>
      </c>
      <c r="F376" s="100" t="n"/>
      <c r="G376" s="9" t="n"/>
      <c r="H376" s="9" t="inlineStr">
        <is>
          <t>제이케이시스템</t>
        </is>
      </c>
      <c r="I376" s="14" t="n"/>
      <c r="J376" s="14" t="n"/>
      <c r="K376" s="12" t="n">
        <v>27</v>
      </c>
      <c r="L376" s="9" t="n"/>
      <c r="M376" s="9" t="n"/>
      <c r="N376" s="9" t="n"/>
      <c r="O376" s="40">
        <f>K376+V376-AE376-AZ376</f>
        <v/>
      </c>
      <c r="P376" s="12" t="n"/>
      <c r="Q376" s="138" t="n"/>
      <c r="R376" s="16" t="n"/>
      <c r="S376" s="139" t="n"/>
      <c r="T376" s="16" t="n"/>
      <c r="U376" s="139" t="n"/>
      <c r="V376" s="16">
        <f>P376+R376+T376</f>
        <v/>
      </c>
      <c r="W376" s="16" t="n"/>
      <c r="X376" s="139" t="n"/>
      <c r="Y376" s="16" t="n"/>
      <c r="Z376" s="139" t="n"/>
      <c r="AA376" s="16" t="n"/>
      <c r="AB376" s="139" t="n"/>
      <c r="AC376" s="16" t="n"/>
      <c r="AD376" s="139" t="n"/>
      <c r="AE376" s="16">
        <f>(W376+Y376+AA376+AC376)</f>
        <v/>
      </c>
      <c r="AF376" s="16" t="n"/>
      <c r="AG376" s="138" t="n"/>
      <c r="AH376" s="16" t="n"/>
      <c r="AI376" s="138" t="n"/>
      <c r="AJ376" s="16" t="n"/>
      <c r="AK376" s="138" t="n"/>
      <c r="AL376" s="16" t="n"/>
      <c r="AM376" s="138" t="n"/>
      <c r="AN376" s="16" t="n"/>
      <c r="AO376" s="138" t="n"/>
      <c r="AP376" s="16" t="n"/>
      <c r="AQ376" s="138" t="n"/>
      <c r="AR376" s="16" t="n"/>
      <c r="AS376" s="138" t="n"/>
      <c r="AT376" s="16" t="n"/>
      <c r="AU376" s="138" t="n"/>
      <c r="AV376" s="16" t="n"/>
      <c r="AW376" s="138" t="n"/>
      <c r="AX376" s="16" t="n"/>
      <c r="AY376" s="138" t="n"/>
      <c r="AZ376" s="16">
        <f>AF376+AH376+AJ376+AL376+AN376+AP376+AR376+AT376+AV376+AX376</f>
        <v/>
      </c>
      <c r="BA376" s="16" t="n"/>
      <c r="BB376" s="139" t="n"/>
      <c r="BC376" s="16" t="n"/>
      <c r="BD376" s="139" t="n"/>
      <c r="BE376" s="16">
        <f>(BA376+BC376)</f>
        <v/>
      </c>
    </row>
    <row r="377">
      <c r="A377" s="9" t="n"/>
      <c r="B377" s="136" t="inlineStr">
        <is>
          <t>AL</t>
        </is>
      </c>
      <c r="C377" s="137" t="inlineStr">
        <is>
          <t>ADX6000</t>
        </is>
      </c>
      <c r="D377" s="63" t="inlineStr">
        <is>
          <t>알루미늄 브라켓 6 hole</t>
        </is>
      </c>
      <c r="E377" s="13" t="inlineStr">
        <is>
          <t>AL 가공 + 백색 아노다이징</t>
        </is>
      </c>
      <c r="F377" s="100" t="n"/>
      <c r="G377" s="9" t="n"/>
      <c r="H377" s="9" t="inlineStr">
        <is>
          <t>제이케이시스템</t>
        </is>
      </c>
      <c r="I377" s="14" t="n"/>
      <c r="J377" s="14" t="n"/>
      <c r="K377" s="12" t="n">
        <v>0</v>
      </c>
      <c r="L377" s="9" t="n"/>
      <c r="M377" s="9" t="n"/>
      <c r="N377" s="9" t="n"/>
      <c r="O377" s="40">
        <f>K377+V377-AE377-AZ377</f>
        <v/>
      </c>
      <c r="P377" s="12" t="n"/>
      <c r="Q377" s="138" t="n"/>
      <c r="R377" s="16" t="n"/>
      <c r="S377" s="139" t="n"/>
      <c r="T377" s="16" t="n"/>
      <c r="U377" s="139" t="n"/>
      <c r="V377" s="16">
        <f>P377+R377+T377</f>
        <v/>
      </c>
      <c r="W377" s="16" t="n"/>
      <c r="X377" s="139" t="n"/>
      <c r="Y377" s="16" t="n"/>
      <c r="Z377" s="139" t="n"/>
      <c r="AA377" s="16" t="n"/>
      <c r="AB377" s="139" t="n"/>
      <c r="AC377" s="16" t="n"/>
      <c r="AD377" s="139" t="n"/>
      <c r="AE377" s="16">
        <f>(W377+Y377+AA377+AC377)</f>
        <v/>
      </c>
      <c r="AF377" s="16" t="n"/>
      <c r="AG377" s="138" t="n"/>
      <c r="AH377" s="16" t="n"/>
      <c r="AI377" s="138" t="n"/>
      <c r="AJ377" s="16" t="n"/>
      <c r="AK377" s="138" t="n"/>
      <c r="AL377" s="16" t="n"/>
      <c r="AM377" s="138" t="n"/>
      <c r="AN377" s="16" t="n"/>
      <c r="AO377" s="138" t="n"/>
      <c r="AP377" s="16" t="n"/>
      <c r="AQ377" s="138" t="n"/>
      <c r="AR377" s="16" t="n"/>
      <c r="AS377" s="138" t="n"/>
      <c r="AT377" s="16" t="n"/>
      <c r="AU377" s="138" t="n"/>
      <c r="AV377" s="16" t="n"/>
      <c r="AW377" s="138" t="n"/>
      <c r="AX377" s="16" t="n"/>
      <c r="AY377" s="138" t="n"/>
      <c r="AZ377" s="16">
        <f>AF377+AH377+AJ377+AL377+AN377+AP377+AR377+AT377+AV377+AX377</f>
        <v/>
      </c>
      <c r="BA377" s="16" t="n"/>
      <c r="BB377" s="139" t="n"/>
      <c r="BC377" s="16" t="n"/>
      <c r="BD377" s="139" t="n"/>
      <c r="BE377" s="16">
        <f>(BA377+BC377)</f>
        <v/>
      </c>
    </row>
    <row r="378">
      <c r="A378" s="9" t="n"/>
      <c r="B378" s="136" t="inlineStr">
        <is>
          <t>RUBBER</t>
        </is>
      </c>
      <c r="C378" s="137" t="inlineStr">
        <is>
          <t>ADX6000</t>
        </is>
      </c>
      <c r="D378" s="144" t="inlineStr">
        <is>
          <t>CRADLE FOOT RUBBER</t>
        </is>
      </c>
      <c r="E378" s="13" t="inlineStr">
        <is>
          <t>RUBBER</t>
        </is>
      </c>
      <c r="F378" s="100" t="n"/>
      <c r="G378" s="9" t="n"/>
      <c r="H378" s="9" t="inlineStr">
        <is>
          <t>남경화학</t>
        </is>
      </c>
      <c r="I378" s="14" t="n"/>
      <c r="J378" s="14" t="n"/>
      <c r="K378" s="12" t="n">
        <v>3600</v>
      </c>
      <c r="L378" s="9" t="n"/>
      <c r="M378" s="9" t="n"/>
      <c r="N378" s="9" t="n"/>
      <c r="O378" s="40">
        <f>K378+V378-AE378-AZ378</f>
        <v/>
      </c>
      <c r="P378" s="12" t="n"/>
      <c r="Q378" s="138" t="n"/>
      <c r="R378" s="16" t="n"/>
      <c r="S378" s="139" t="n"/>
      <c r="T378" s="16" t="n"/>
      <c r="U378" s="139" t="n"/>
      <c r="V378" s="16">
        <f>P378+R378+T378</f>
        <v/>
      </c>
      <c r="W378" s="16" t="n"/>
      <c r="X378" s="139" t="n"/>
      <c r="Y378" s="16" t="n"/>
      <c r="Z378" s="139" t="n"/>
      <c r="AA378" s="16" t="n"/>
      <c r="AB378" s="139" t="n"/>
      <c r="AC378" s="16" t="n"/>
      <c r="AD378" s="139" t="n"/>
      <c r="AE378" s="16">
        <f>(W378+Y378+AA378+AC378)</f>
        <v/>
      </c>
      <c r="AF378" s="16" t="n"/>
      <c r="AG378" s="138" t="n"/>
      <c r="AH378" s="16" t="n"/>
      <c r="AI378" s="138" t="n"/>
      <c r="AJ378" s="16" t="n"/>
      <c r="AK378" s="138" t="n"/>
      <c r="AL378" s="16" t="n"/>
      <c r="AM378" s="138" t="n"/>
      <c r="AN378" s="16" t="n"/>
      <c r="AO378" s="138" t="n"/>
      <c r="AP378" s="16" t="n"/>
      <c r="AQ378" s="138" t="n"/>
      <c r="AR378" s="16" t="n"/>
      <c r="AS378" s="138" t="n"/>
      <c r="AT378" s="16" t="n"/>
      <c r="AU378" s="138" t="n"/>
      <c r="AV378" s="16" t="n"/>
      <c r="AW378" s="138" t="n"/>
      <c r="AX378" s="16" t="n"/>
      <c r="AY378" s="138" t="n"/>
      <c r="AZ378" s="16">
        <f>AF378+AH378+AJ378+AL378+AN378+AP378+AR378+AT378+AV378+AX378</f>
        <v/>
      </c>
      <c r="BA378" s="16" t="n"/>
      <c r="BB378" s="139" t="n"/>
      <c r="BC378" s="16" t="n"/>
      <c r="BD378" s="139" t="n"/>
      <c r="BE378" s="16">
        <f>(BA378+BC378)</f>
        <v/>
      </c>
    </row>
    <row r="379">
      <c r="A379" s="9" t="n"/>
      <c r="B379" s="136" t="inlineStr">
        <is>
          <t>SUS</t>
        </is>
      </c>
      <c r="C379" s="137" t="inlineStr">
        <is>
          <t>ADX6000</t>
        </is>
      </c>
      <c r="D379" s="63" t="inlineStr">
        <is>
          <t>손잡이 핀</t>
        </is>
      </c>
      <c r="E379" s="13" t="inlineStr">
        <is>
          <t>가공</t>
        </is>
      </c>
      <c r="F379" s="100" t="n"/>
      <c r="G379" s="9" t="n"/>
      <c r="H379" s="9" t="inlineStr">
        <is>
          <t>다우정밀</t>
        </is>
      </c>
      <c r="I379" s="14" t="n"/>
      <c r="J379" s="14" t="n"/>
      <c r="K379" s="12" t="n">
        <v>0</v>
      </c>
      <c r="L379" s="9" t="n"/>
      <c r="M379" s="9" t="n"/>
      <c r="N379" s="9" t="n"/>
      <c r="O379" s="40">
        <f>K379+V379-AE379-AZ379</f>
        <v/>
      </c>
      <c r="P379" s="12" t="n"/>
      <c r="Q379" s="138" t="n"/>
      <c r="R379" s="16" t="n"/>
      <c r="S379" s="139" t="n"/>
      <c r="T379" s="16" t="n"/>
      <c r="U379" s="139" t="n"/>
      <c r="V379" s="16">
        <f>P379+R379+T379</f>
        <v/>
      </c>
      <c r="W379" s="16" t="n"/>
      <c r="X379" s="139" t="n"/>
      <c r="Y379" s="16" t="n"/>
      <c r="Z379" s="139" t="n"/>
      <c r="AA379" s="16" t="n"/>
      <c r="AB379" s="139" t="n"/>
      <c r="AC379" s="16" t="n"/>
      <c r="AD379" s="139" t="n"/>
      <c r="AE379" s="16">
        <f>(W379+Y379+AA379+AC379)</f>
        <v/>
      </c>
      <c r="AF379" s="16" t="n"/>
      <c r="AG379" s="138" t="n"/>
      <c r="AH379" s="16" t="n"/>
      <c r="AI379" s="138" t="n"/>
      <c r="AJ379" s="16" t="n"/>
      <c r="AK379" s="138" t="n"/>
      <c r="AL379" s="16" t="n"/>
      <c r="AM379" s="138" t="n"/>
      <c r="AN379" s="16" t="n"/>
      <c r="AO379" s="138" t="n"/>
      <c r="AP379" s="16" t="n"/>
      <c r="AQ379" s="138" t="n"/>
      <c r="AR379" s="16" t="n"/>
      <c r="AS379" s="138" t="n"/>
      <c r="AT379" s="16" t="n"/>
      <c r="AU379" s="138" t="n"/>
      <c r="AV379" s="16" t="n"/>
      <c r="AW379" s="138" t="n"/>
      <c r="AX379" s="16" t="n"/>
      <c r="AY379" s="138" t="n"/>
      <c r="AZ379" s="16">
        <f>AF379+AH379+AJ379+AL379+AN379+AP379+AR379+AT379+AV379+AX379</f>
        <v/>
      </c>
      <c r="BA379" s="16" t="n"/>
      <c r="BB379" s="139" t="n"/>
      <c r="BC379" s="16" t="n"/>
      <c r="BD379" s="139" t="n"/>
      <c r="BE379" s="16">
        <f>(BA379+BC379)</f>
        <v/>
      </c>
    </row>
    <row r="380">
      <c r="A380" s="9" t="n"/>
      <c r="B380" s="136" t="inlineStr">
        <is>
          <t>페라이트</t>
        </is>
      </c>
      <c r="C380" s="137" t="inlineStr">
        <is>
          <t>ADX6000</t>
        </is>
      </c>
      <c r="D380" s="63" t="inlineStr">
        <is>
          <t>중간 페라이트 코어</t>
        </is>
      </c>
      <c r="E380" s="13" t="inlineStr">
        <is>
          <t>ZCAT 1518-0730</t>
        </is>
      </c>
      <c r="F380" s="100" t="n"/>
      <c r="G380" s="9" t="n"/>
      <c r="H380" s="9" t="inlineStr">
        <is>
          <t>HLP</t>
        </is>
      </c>
      <c r="I380" s="14" t="n"/>
      <c r="J380" s="14" t="n"/>
      <c r="K380" s="12" t="n">
        <v>384</v>
      </c>
      <c r="L380" s="9" t="n"/>
      <c r="M380" s="9" t="n"/>
      <c r="N380" s="9" t="n"/>
      <c r="O380" s="40">
        <f>K380+V380-AE380-AZ380</f>
        <v/>
      </c>
      <c r="P380" s="12" t="n"/>
      <c r="Q380" s="138" t="n"/>
      <c r="R380" s="16" t="n"/>
      <c r="S380" s="139" t="n"/>
      <c r="T380" s="16" t="n"/>
      <c r="U380" s="139" t="n"/>
      <c r="V380" s="16">
        <f>P380+R380+T380</f>
        <v/>
      </c>
      <c r="W380" s="16" t="n"/>
      <c r="X380" s="139" t="n"/>
      <c r="Y380" s="16" t="n"/>
      <c r="Z380" s="139" t="n"/>
      <c r="AA380" s="16" t="n"/>
      <c r="AB380" s="139" t="n"/>
      <c r="AC380" s="16" t="n"/>
      <c r="AD380" s="139" t="n"/>
      <c r="AE380" s="16">
        <f>(W380+Y380+AA380+AC380)</f>
        <v/>
      </c>
      <c r="AF380" s="16" t="n"/>
      <c r="AG380" s="138" t="n"/>
      <c r="AH380" s="16" t="n"/>
      <c r="AI380" s="138" t="n"/>
      <c r="AJ380" s="16" t="n"/>
      <c r="AK380" s="138" t="n"/>
      <c r="AL380" s="16" t="n"/>
      <c r="AM380" s="138" t="n"/>
      <c r="AN380" s="16" t="n"/>
      <c r="AO380" s="138" t="n"/>
      <c r="AP380" s="16" t="n"/>
      <c r="AQ380" s="138" t="n"/>
      <c r="AR380" s="16" t="n"/>
      <c r="AS380" s="138" t="n"/>
      <c r="AT380" s="16" t="n"/>
      <c r="AU380" s="138" t="n"/>
      <c r="AV380" s="16" t="n"/>
      <c r="AW380" s="138" t="n"/>
      <c r="AX380" s="16" t="n"/>
      <c r="AY380" s="138" t="n"/>
      <c r="AZ380" s="16">
        <f>AF380+AH380+AJ380+AL380+AN380+AP380+AR380+AT380+AV380+AX380</f>
        <v/>
      </c>
      <c r="BA380" s="16" t="n"/>
      <c r="BB380" s="139" t="n"/>
      <c r="BC380" s="16" t="n"/>
      <c r="BD380" s="139" t="n"/>
      <c r="BE380" s="16">
        <f>(BA380+BC380)</f>
        <v/>
      </c>
    </row>
    <row r="381">
      <c r="A381" s="9" t="n"/>
      <c r="B381" s="136" t="inlineStr">
        <is>
          <t>스티커</t>
        </is>
      </c>
      <c r="C381" s="137" t="inlineStr">
        <is>
          <t>ADX6000S</t>
        </is>
      </c>
      <c r="D381" s="63" t="inlineStr">
        <is>
          <t>LCD 배젤 스티커</t>
        </is>
      </c>
      <c r="E381" s="13" t="n"/>
      <c r="F381" s="100" t="n"/>
      <c r="G381" s="9" t="n"/>
      <c r="H381" s="9" t="inlineStr">
        <is>
          <t>그라피아스크린</t>
        </is>
      </c>
      <c r="I381" s="14" t="n"/>
      <c r="J381" s="14" t="n"/>
      <c r="K381" s="12" t="n">
        <v>0</v>
      </c>
      <c r="L381" s="9" t="n"/>
      <c r="M381" s="9" t="n"/>
      <c r="N381" s="9" t="n"/>
      <c r="O381" s="40">
        <f>K381+V381-AE381-AZ381</f>
        <v/>
      </c>
      <c r="P381" s="12" t="n"/>
      <c r="Q381" s="138" t="n"/>
      <c r="R381" s="16" t="n"/>
      <c r="S381" s="139" t="n"/>
      <c r="T381" s="16" t="n"/>
      <c r="U381" s="139" t="n"/>
      <c r="V381" s="16">
        <f>P381+R381+T381</f>
        <v/>
      </c>
      <c r="W381" s="16" t="n"/>
      <c r="X381" s="139" t="n"/>
      <c r="Y381" s="16" t="n"/>
      <c r="Z381" s="139" t="n"/>
      <c r="AA381" s="16" t="n"/>
      <c r="AB381" s="139" t="n"/>
      <c r="AC381" s="16" t="n"/>
      <c r="AD381" s="139" t="n"/>
      <c r="AE381" s="16">
        <f>(W381+Y381+AA381+AC381)</f>
        <v/>
      </c>
      <c r="AF381" s="16" t="n"/>
      <c r="AG381" s="138" t="n"/>
      <c r="AH381" s="16" t="n"/>
      <c r="AI381" s="138" t="n"/>
      <c r="AJ381" s="16" t="n"/>
      <c r="AK381" s="138" t="n"/>
      <c r="AL381" s="16" t="n"/>
      <c r="AM381" s="138" t="n"/>
      <c r="AN381" s="16" t="n"/>
      <c r="AO381" s="138" t="n"/>
      <c r="AP381" s="16" t="n"/>
      <c r="AQ381" s="138" t="n"/>
      <c r="AR381" s="16" t="n"/>
      <c r="AS381" s="138" t="n"/>
      <c r="AT381" s="16" t="n"/>
      <c r="AU381" s="138" t="n"/>
      <c r="AV381" s="16" t="n"/>
      <c r="AW381" s="138" t="n"/>
      <c r="AX381" s="16" t="n"/>
      <c r="AY381" s="138" t="n"/>
      <c r="AZ381" s="16">
        <f>AF381+AH381+AJ381+AL381+AN381+AP381+AR381+AT381+AV381+AX381</f>
        <v/>
      </c>
      <c r="BA381" s="16" t="n"/>
      <c r="BB381" s="139" t="n"/>
      <c r="BC381" s="16" t="n"/>
      <c r="BD381" s="139" t="n"/>
      <c r="BE381" s="16">
        <f>(BA381+BC381)</f>
        <v/>
      </c>
    </row>
    <row r="382">
      <c r="A382" s="9" t="n"/>
      <c r="B382" s="136" t="inlineStr">
        <is>
          <t>스티커</t>
        </is>
      </c>
      <c r="C382" s="137" t="inlineStr">
        <is>
          <t>ADX6000S</t>
        </is>
      </c>
      <c r="D382" s="63" t="inlineStr">
        <is>
          <t>Front Port Sticker</t>
        </is>
      </c>
      <c r="E382" s="13" t="inlineStr">
        <is>
          <t>리모콘 포트 수정 신형</t>
        </is>
      </c>
      <c r="F382" s="100" t="n"/>
      <c r="G382" s="9" t="n"/>
      <c r="H382" s="9" t="inlineStr">
        <is>
          <t>그라피아스크린</t>
        </is>
      </c>
      <c r="I382" s="14" t="n"/>
      <c r="J382" s="14" t="n"/>
      <c r="K382" s="12" t="n">
        <v>0</v>
      </c>
      <c r="L382" s="9" t="n"/>
      <c r="M382" s="9" t="n"/>
      <c r="N382" s="9" t="n"/>
      <c r="O382" s="40">
        <f>K382+V382-AE382-AZ382</f>
        <v/>
      </c>
      <c r="P382" s="12" t="n"/>
      <c r="Q382" s="138" t="n"/>
      <c r="R382" s="16" t="n"/>
      <c r="S382" s="139" t="n"/>
      <c r="T382" s="16" t="n"/>
      <c r="U382" s="139" t="n"/>
      <c r="V382" s="16">
        <f>P382+R382+T382</f>
        <v/>
      </c>
      <c r="W382" s="16" t="n"/>
      <c r="X382" s="139" t="n"/>
      <c r="Y382" s="16" t="n"/>
      <c r="Z382" s="139" t="n"/>
      <c r="AA382" s="16" t="n"/>
      <c r="AB382" s="139" t="n"/>
      <c r="AC382" s="16" t="n"/>
      <c r="AD382" s="139" t="n"/>
      <c r="AE382" s="16">
        <f>(W382+Y382+AA382+AC382)</f>
        <v/>
      </c>
      <c r="AF382" s="16" t="n"/>
      <c r="AG382" s="138" t="n"/>
      <c r="AH382" s="16" t="n"/>
      <c r="AI382" s="138" t="n"/>
      <c r="AJ382" s="16" t="n"/>
      <c r="AK382" s="138" t="n"/>
      <c r="AL382" s="16" t="n"/>
      <c r="AM382" s="138" t="n"/>
      <c r="AN382" s="16" t="n"/>
      <c r="AO382" s="138" t="n"/>
      <c r="AP382" s="16" t="n"/>
      <c r="AQ382" s="138" t="n"/>
      <c r="AR382" s="16" t="n"/>
      <c r="AS382" s="138" t="n"/>
      <c r="AT382" s="16" t="n"/>
      <c r="AU382" s="138" t="n"/>
      <c r="AV382" s="16" t="n"/>
      <c r="AW382" s="138" t="n"/>
      <c r="AX382" s="16" t="n"/>
      <c r="AY382" s="138" t="n"/>
      <c r="AZ382" s="16">
        <f>AF382+AH382+AJ382+AL382+AN382+AP382+AR382+AT382+AV382+AX382</f>
        <v/>
      </c>
      <c r="BA382" s="16" t="n"/>
      <c r="BB382" s="139" t="n"/>
      <c r="BC382" s="16" t="n"/>
      <c r="BD382" s="139" t="n"/>
      <c r="BE382" s="16">
        <f>(BA382+BC382)</f>
        <v/>
      </c>
    </row>
    <row r="383">
      <c r="A383" s="9" t="n"/>
      <c r="B383" s="136" t="inlineStr">
        <is>
          <t>인조가죽</t>
        </is>
      </c>
      <c r="C383" s="137" t="inlineStr">
        <is>
          <t>ADX6000</t>
        </is>
      </c>
      <c r="D383" s="63" t="inlineStr">
        <is>
          <t>LCD 힌지 가죽 커버</t>
        </is>
      </c>
      <c r="E383" s="13" t="inlineStr">
        <is>
          <t>인조 가죽</t>
        </is>
      </c>
      <c r="F383" s="100" t="n"/>
      <c r="G383" s="9" t="n"/>
      <c r="H383" s="9" t="inlineStr">
        <is>
          <t>굿모닝코리아유통</t>
        </is>
      </c>
      <c r="I383" s="14" t="n"/>
      <c r="J383" s="14" t="n"/>
      <c r="K383" s="12" t="n">
        <v>0</v>
      </c>
      <c r="L383" s="9" t="n"/>
      <c r="M383" s="9" t="n"/>
      <c r="N383" s="9" t="n"/>
      <c r="O383" s="40">
        <f>K383+V383-AE383-AZ383</f>
        <v/>
      </c>
      <c r="P383" s="12" t="n"/>
      <c r="Q383" s="138" t="n"/>
      <c r="R383" s="16" t="n"/>
      <c r="S383" s="139" t="n"/>
      <c r="T383" s="16" t="n"/>
      <c r="U383" s="139" t="n"/>
      <c r="V383" s="16">
        <f>P383+R383+T383</f>
        <v/>
      </c>
      <c r="W383" s="16" t="n"/>
      <c r="X383" s="139" t="n"/>
      <c r="Y383" s="16" t="n"/>
      <c r="Z383" s="139" t="n"/>
      <c r="AA383" s="16" t="n"/>
      <c r="AB383" s="139" t="n"/>
      <c r="AC383" s="16" t="n"/>
      <c r="AD383" s="139" t="n"/>
      <c r="AE383" s="16">
        <f>(W383+Y383+AA383+AC383)</f>
        <v/>
      </c>
      <c r="AF383" s="16" t="n"/>
      <c r="AG383" s="138" t="n"/>
      <c r="AH383" s="16" t="n"/>
      <c r="AI383" s="138" t="n"/>
      <c r="AJ383" s="16" t="n"/>
      <c r="AK383" s="138" t="n"/>
      <c r="AL383" s="16" t="n"/>
      <c r="AM383" s="138" t="n"/>
      <c r="AN383" s="16" t="n"/>
      <c r="AO383" s="138" t="n"/>
      <c r="AP383" s="16" t="n"/>
      <c r="AQ383" s="138" t="n"/>
      <c r="AR383" s="16" t="n"/>
      <c r="AS383" s="138" t="n"/>
      <c r="AT383" s="16" t="n"/>
      <c r="AU383" s="138" t="n"/>
      <c r="AV383" s="16" t="n"/>
      <c r="AW383" s="138" t="n"/>
      <c r="AX383" s="16" t="n"/>
      <c r="AY383" s="138" t="n"/>
      <c r="AZ383" s="16">
        <f>AF383+AH383+AJ383+AL383+AN383+AP383+AR383+AT383+AV383+AX383</f>
        <v/>
      </c>
      <c r="BA383" s="16" t="n"/>
      <c r="BB383" s="139" t="n"/>
      <c r="BC383" s="16" t="n"/>
      <c r="BD383" s="139" t="n"/>
      <c r="BE383" s="16">
        <f>(BA383+BC383)</f>
        <v/>
      </c>
    </row>
    <row r="384">
      <c r="A384" s="9" t="n"/>
      <c r="B384" s="136" t="inlineStr">
        <is>
          <t>인조가죽</t>
        </is>
      </c>
      <c r="C384" s="137" t="inlineStr">
        <is>
          <t>ADX6000</t>
        </is>
      </c>
      <c r="D384" s="60" t="inlineStr">
        <is>
          <t>가죽 손잡이 (탈착배터리 터치펜 X)</t>
        </is>
      </c>
      <c r="E384" s="13" t="inlineStr">
        <is>
          <t>인조 가죽</t>
        </is>
      </c>
      <c r="F384" s="100" t="n"/>
      <c r="G384" s="9" t="n"/>
      <c r="H384" s="9" t="inlineStr">
        <is>
          <t>굿모닝코리아유통</t>
        </is>
      </c>
      <c r="I384" s="14" t="n"/>
      <c r="J384" s="14" t="n"/>
      <c r="K384" s="12" t="n">
        <v>192</v>
      </c>
      <c r="L384" s="9" t="n"/>
      <c r="M384" s="9" t="n"/>
      <c r="N384" s="9" t="n"/>
      <c r="O384" s="40">
        <f>K384+V384-AE384-AZ384</f>
        <v/>
      </c>
      <c r="P384" s="12" t="n"/>
      <c r="Q384" s="138" t="n"/>
      <c r="R384" s="16" t="n"/>
      <c r="S384" s="139" t="n"/>
      <c r="T384" s="16" t="n"/>
      <c r="U384" s="139" t="n"/>
      <c r="V384" s="16">
        <f>P384+R384+T384</f>
        <v/>
      </c>
      <c r="W384" s="16" t="n"/>
      <c r="X384" s="139" t="n"/>
      <c r="Y384" s="16" t="n"/>
      <c r="Z384" s="139" t="n"/>
      <c r="AA384" s="16" t="n"/>
      <c r="AB384" s="139" t="n"/>
      <c r="AC384" s="16" t="n"/>
      <c r="AD384" s="139" t="n"/>
      <c r="AE384" s="16">
        <f>(W384+Y384+AA384+AC384)</f>
        <v/>
      </c>
      <c r="AF384" s="16" t="n"/>
      <c r="AG384" s="138" t="n"/>
      <c r="AH384" s="16" t="n"/>
      <c r="AI384" s="138" t="n"/>
      <c r="AJ384" s="16" t="n"/>
      <c r="AK384" s="138" t="n"/>
      <c r="AL384" s="16" t="n"/>
      <c r="AM384" s="138" t="n"/>
      <c r="AN384" s="16" t="n"/>
      <c r="AO384" s="138" t="n"/>
      <c r="AP384" s="16" t="n"/>
      <c r="AQ384" s="138" t="n"/>
      <c r="AR384" s="16" t="n"/>
      <c r="AS384" s="138" t="n"/>
      <c r="AT384" s="16" t="n"/>
      <c r="AU384" s="138" t="n"/>
      <c r="AV384" s="16" t="n"/>
      <c r="AW384" s="138" t="n"/>
      <c r="AX384" s="16" t="n"/>
      <c r="AY384" s="138" t="n"/>
      <c r="AZ384" s="16">
        <f>AF384+AH384+AJ384+AL384+AN384+AP384+AR384+AT384+AV384+AX384</f>
        <v/>
      </c>
      <c r="BA384" s="16" t="n"/>
      <c r="BB384" s="139" t="n"/>
      <c r="BC384" s="16" t="n"/>
      <c r="BD384" s="139" t="n"/>
      <c r="BE384" s="16">
        <f>(BA384+BC384)</f>
        <v/>
      </c>
    </row>
    <row r="385">
      <c r="A385" s="9" t="n"/>
      <c r="B385" s="136" t="inlineStr">
        <is>
          <t>자석</t>
        </is>
      </c>
      <c r="C385" s="137" t="inlineStr">
        <is>
          <t>ADX6000</t>
        </is>
      </c>
      <c r="D385" s="60" t="inlineStr">
        <is>
          <t>자석</t>
        </is>
      </c>
      <c r="E385" s="13" t="n"/>
      <c r="F385" s="100" t="n"/>
      <c r="G385" s="9" t="n"/>
      <c r="H385" s="9" t="inlineStr">
        <is>
          <t>일성마그네트</t>
        </is>
      </c>
      <c r="I385" s="14" t="n"/>
      <c r="J385" s="14" t="n"/>
      <c r="K385" s="12" t="n">
        <v>0</v>
      </c>
      <c r="L385" s="9" t="n"/>
      <c r="M385" s="9" t="n"/>
      <c r="N385" s="9" t="n"/>
      <c r="O385" s="40">
        <f>K385+V385-AE385-AZ385</f>
        <v/>
      </c>
      <c r="P385" s="12" t="n"/>
      <c r="Q385" s="138" t="n"/>
      <c r="R385" s="16" t="n"/>
      <c r="S385" s="139" t="n"/>
      <c r="T385" s="16" t="n"/>
      <c r="U385" s="139" t="n"/>
      <c r="V385" s="16">
        <f>P385+R385+T385</f>
        <v/>
      </c>
      <c r="W385" s="16" t="n"/>
      <c r="X385" s="139" t="n"/>
      <c r="Y385" s="16" t="n"/>
      <c r="Z385" s="139" t="n"/>
      <c r="AA385" s="16" t="n"/>
      <c r="AB385" s="139" t="n"/>
      <c r="AC385" s="16" t="n"/>
      <c r="AD385" s="139" t="n"/>
      <c r="AE385" s="16">
        <f>(W385+Y385+AA385+AC385)</f>
        <v/>
      </c>
      <c r="AF385" s="16" t="n"/>
      <c r="AG385" s="138" t="n"/>
      <c r="AH385" s="16" t="n"/>
      <c r="AI385" s="138" t="n"/>
      <c r="AJ385" s="16" t="n"/>
      <c r="AK385" s="138" t="n"/>
      <c r="AL385" s="16" t="n"/>
      <c r="AM385" s="138" t="n"/>
      <c r="AN385" s="16" t="n"/>
      <c r="AO385" s="138" t="n"/>
      <c r="AP385" s="16" t="n"/>
      <c r="AQ385" s="138" t="n"/>
      <c r="AR385" s="16" t="n"/>
      <c r="AS385" s="138" t="n"/>
      <c r="AT385" s="16" t="n"/>
      <c r="AU385" s="138" t="n"/>
      <c r="AV385" s="16" t="n"/>
      <c r="AW385" s="138" t="n"/>
      <c r="AX385" s="16" t="n"/>
      <c r="AY385" s="138" t="n"/>
      <c r="AZ385" s="16">
        <f>AF385+AH385+AJ385+AL385+AN385+AP385+AR385+AT385+AV385+AX385</f>
        <v/>
      </c>
      <c r="BA385" s="16" t="n"/>
      <c r="BB385" s="139" t="n"/>
      <c r="BC385" s="16" t="n"/>
      <c r="BD385" s="139" t="n"/>
      <c r="BE385" s="16">
        <f>(BA385+BC385)</f>
        <v/>
      </c>
    </row>
    <row r="386" ht="24" customHeight="1" s="122">
      <c r="A386" s="9" t="n"/>
      <c r="B386" s="136" t="inlineStr">
        <is>
          <t>배터리</t>
        </is>
      </c>
      <c r="C386" s="137" t="inlineStr">
        <is>
          <t>DX3000, ADX4000W</t>
        </is>
      </c>
      <c r="D386" s="63" t="inlineStr">
        <is>
          <t>기본 배터리</t>
        </is>
      </c>
      <c r="E386" s="13" t="inlineStr">
        <is>
          <t>PF435060HP</t>
        </is>
      </c>
      <c r="F386" s="99" t="n"/>
      <c r="G386" s="9" t="n"/>
      <c r="H386" s="9" t="inlineStr">
        <is>
          <t>비앤테크</t>
        </is>
      </c>
      <c r="I386" s="14" t="n"/>
      <c r="J386" s="14" t="n"/>
      <c r="K386" s="12" t="n">
        <v>0</v>
      </c>
      <c r="L386" s="9" t="n"/>
      <c r="M386" s="9" t="n"/>
      <c r="N386" s="9" t="n"/>
      <c r="O386" s="40">
        <f>K386+V386-AE386-AZ386</f>
        <v/>
      </c>
      <c r="P386" s="12" t="n"/>
      <c r="Q386" s="138" t="n"/>
      <c r="R386" s="16" t="n"/>
      <c r="S386" s="139" t="n"/>
      <c r="T386" s="16" t="n"/>
      <c r="U386" s="139" t="n"/>
      <c r="V386" s="16">
        <f>P386+R386+T386</f>
        <v/>
      </c>
      <c r="W386" s="16" t="n"/>
      <c r="X386" s="139" t="n"/>
      <c r="Y386" s="16" t="n"/>
      <c r="Z386" s="139" t="n"/>
      <c r="AA386" s="16" t="n"/>
      <c r="AB386" s="139" t="n"/>
      <c r="AC386" s="16" t="n"/>
      <c r="AD386" s="139" t="n"/>
      <c r="AE386" s="16">
        <f>(W386+Y386+AA386+AC386)</f>
        <v/>
      </c>
      <c r="AF386" s="16" t="n"/>
      <c r="AG386" s="138" t="n"/>
      <c r="AH386" s="16" t="n"/>
      <c r="AI386" s="138" t="n"/>
      <c r="AJ386" s="16" t="n"/>
      <c r="AK386" s="138" t="n"/>
      <c r="AL386" s="16" t="n"/>
      <c r="AM386" s="138" t="n"/>
      <c r="AN386" s="16" t="n"/>
      <c r="AO386" s="138" t="n"/>
      <c r="AP386" s="16" t="n"/>
      <c r="AQ386" s="138" t="n"/>
      <c r="AR386" s="16" t="n"/>
      <c r="AS386" s="138" t="n"/>
      <c r="AT386" s="16" t="n"/>
      <c r="AU386" s="138" t="n"/>
      <c r="AV386" s="16" t="n"/>
      <c r="AW386" s="138" t="n"/>
      <c r="AX386" s="16" t="n"/>
      <c r="AY386" s="138" t="n"/>
      <c r="AZ386" s="16">
        <f>AF386+AH386+AJ386+AL386+AN386+AP386+AR386+AT386+AV386+AX386</f>
        <v/>
      </c>
      <c r="BA386" s="16" t="n"/>
      <c r="BB386" s="139" t="n"/>
      <c r="BC386" s="16" t="n"/>
      <c r="BD386" s="139" t="n"/>
      <c r="BE386" s="16">
        <f>(BA386+BC386)</f>
        <v/>
      </c>
    </row>
    <row r="387">
      <c r="A387" s="9" t="n"/>
      <c r="B387" s="136" t="inlineStr">
        <is>
          <t>배터리</t>
        </is>
      </c>
      <c r="C387" s="137" t="inlineStr">
        <is>
          <t>DX3000</t>
        </is>
      </c>
      <c r="D387" s="63" t="inlineStr">
        <is>
          <t>내부 배터리</t>
        </is>
      </c>
      <c r="E387" s="13" t="inlineStr">
        <is>
          <t>PF435060HP</t>
        </is>
      </c>
      <c r="F387" s="99" t="n"/>
      <c r="G387" s="9" t="n"/>
      <c r="H387" s="9" t="inlineStr">
        <is>
          <t>비앤테크</t>
        </is>
      </c>
      <c r="I387" s="14" t="n"/>
      <c r="J387" s="14" t="n"/>
      <c r="K387" s="12" t="n">
        <v>0</v>
      </c>
      <c r="L387" s="9" t="n"/>
      <c r="M387" s="9" t="n"/>
      <c r="N387" s="9" t="n"/>
      <c r="O387" s="40">
        <f>K387+V387-AE387-AZ387</f>
        <v/>
      </c>
      <c r="P387" s="12" t="n"/>
      <c r="Q387" s="138" t="n"/>
      <c r="R387" s="16" t="n"/>
      <c r="S387" s="139" t="n"/>
      <c r="T387" s="16" t="n"/>
      <c r="U387" s="139" t="n"/>
      <c r="V387" s="16">
        <f>P387+R387+T387</f>
        <v/>
      </c>
      <c r="W387" s="16" t="n"/>
      <c r="X387" s="139" t="n"/>
      <c r="Y387" s="16" t="n"/>
      <c r="Z387" s="139" t="n"/>
      <c r="AA387" s="16" t="n"/>
      <c r="AB387" s="139" t="n"/>
      <c r="AC387" s="16" t="n"/>
      <c r="AD387" s="139" t="n"/>
      <c r="AE387" s="16">
        <f>(W387+Y387+AA387+AC387)</f>
        <v/>
      </c>
      <c r="AF387" s="16" t="n"/>
      <c r="AG387" s="138" t="n"/>
      <c r="AH387" s="16" t="n"/>
      <c r="AI387" s="138" t="n"/>
      <c r="AJ387" s="16" t="n"/>
      <c r="AK387" s="138" t="n"/>
      <c r="AL387" s="16" t="n"/>
      <c r="AM387" s="138" t="n"/>
      <c r="AN387" s="16" t="n"/>
      <c r="AO387" s="138" t="n"/>
      <c r="AP387" s="16" t="n"/>
      <c r="AQ387" s="138" t="n"/>
      <c r="AR387" s="16" t="n"/>
      <c r="AS387" s="138" t="n"/>
      <c r="AT387" s="16" t="n"/>
      <c r="AU387" s="138" t="n"/>
      <c r="AV387" s="16" t="n"/>
      <c r="AW387" s="138" t="n"/>
      <c r="AX387" s="16" t="n"/>
      <c r="AY387" s="138" t="n"/>
      <c r="AZ387" s="16">
        <f>AF387+AH387+AJ387+AL387+AN387+AP387+AR387+AT387+AV387+AX387</f>
        <v/>
      </c>
      <c r="BA387" s="16" t="n"/>
      <c r="BB387" s="139" t="n"/>
      <c r="BC387" s="16" t="n"/>
      <c r="BD387" s="139" t="n"/>
      <c r="BE387" s="16">
        <f>(BA387+BC387)</f>
        <v/>
      </c>
    </row>
    <row r="388">
      <c r="A388" s="9" t="n"/>
      <c r="B388" s="136" t="inlineStr">
        <is>
          <t>배터리</t>
        </is>
      </c>
      <c r="C388" s="137" t="inlineStr">
        <is>
          <t>COCOON</t>
        </is>
      </c>
      <c r="D388" s="63" t="inlineStr">
        <is>
          <t>내부 배터리</t>
        </is>
      </c>
      <c r="E388" s="13" t="inlineStr">
        <is>
          <t>PF605060HP</t>
        </is>
      </c>
      <c r="F388" s="99" t="n"/>
      <c r="G388" s="9" t="n"/>
      <c r="H388" s="9" t="inlineStr">
        <is>
          <t>비앤테크</t>
        </is>
      </c>
      <c r="I388" s="14" t="n"/>
      <c r="J388" s="14" t="n"/>
      <c r="K388" s="12" t="n">
        <v>0</v>
      </c>
      <c r="L388" s="9" t="n"/>
      <c r="M388" s="9" t="n"/>
      <c r="N388" s="9" t="n"/>
      <c r="O388" s="40">
        <f>K388+V388-AE388-AZ388</f>
        <v/>
      </c>
      <c r="P388" s="12" t="n"/>
      <c r="Q388" s="138" t="n"/>
      <c r="R388" s="16" t="n"/>
      <c r="S388" s="139" t="n"/>
      <c r="T388" s="16" t="n"/>
      <c r="U388" s="139" t="n"/>
      <c r="V388" s="16">
        <f>P388+R388+T388</f>
        <v/>
      </c>
      <c r="W388" s="16" t="n"/>
      <c r="X388" s="139" t="n"/>
      <c r="Y388" s="16" t="n"/>
      <c r="Z388" s="139" t="n"/>
      <c r="AA388" s="16" t="n"/>
      <c r="AB388" s="139" t="n"/>
      <c r="AC388" s="16" t="n"/>
      <c r="AD388" s="139" t="n"/>
      <c r="AE388" s="16">
        <f>(W388+Y388+AA388+AC388)</f>
        <v/>
      </c>
      <c r="AF388" s="16" t="n"/>
      <c r="AG388" s="138" t="n"/>
      <c r="AH388" s="16" t="n"/>
      <c r="AI388" s="138" t="n"/>
      <c r="AJ388" s="16" t="n"/>
      <c r="AK388" s="138" t="n"/>
      <c r="AL388" s="16" t="n"/>
      <c r="AM388" s="138" t="n"/>
      <c r="AN388" s="16" t="n"/>
      <c r="AO388" s="138" t="n"/>
      <c r="AP388" s="16" t="n"/>
      <c r="AQ388" s="138" t="n"/>
      <c r="AR388" s="16" t="n"/>
      <c r="AS388" s="138" t="n"/>
      <c r="AT388" s="16" t="n"/>
      <c r="AU388" s="138" t="n"/>
      <c r="AV388" s="16" t="n"/>
      <c r="AW388" s="138" t="n"/>
      <c r="AX388" s="16" t="n"/>
      <c r="AY388" s="138" t="n"/>
      <c r="AZ388" s="16">
        <f>AF388+AH388+AJ388+AL388+AN388+AP388+AR388+AT388+AV388+AX388</f>
        <v/>
      </c>
      <c r="BA388" s="16" t="n"/>
      <c r="BB388" s="139" t="n"/>
      <c r="BC388" s="16" t="n"/>
      <c r="BD388" s="139" t="n"/>
      <c r="BE388" s="16">
        <f>(BA388+BC388)</f>
        <v/>
      </c>
    </row>
    <row r="389">
      <c r="A389" s="9" t="n"/>
      <c r="B389" s="136" t="inlineStr">
        <is>
          <t>배터리</t>
        </is>
      </c>
      <c r="C389" s="137" t="inlineStr">
        <is>
          <t>COCOON</t>
        </is>
      </c>
      <c r="D389" s="63" t="inlineStr">
        <is>
          <t>외부 배터리</t>
        </is>
      </c>
      <c r="E389" s="13" t="inlineStr">
        <is>
          <t>PF605060HP</t>
        </is>
      </c>
      <c r="F389" s="99" t="n"/>
      <c r="G389" s="9" t="n"/>
      <c r="H389" s="9" t="inlineStr">
        <is>
          <t>비앤테크</t>
        </is>
      </c>
      <c r="I389" s="14" t="n"/>
      <c r="J389" s="14" t="n"/>
      <c r="K389" s="12" t="n">
        <v>0</v>
      </c>
      <c r="L389" s="9" t="n"/>
      <c r="M389" s="9" t="n"/>
      <c r="N389" s="9" t="n"/>
      <c r="O389" s="40">
        <f>K389+V389-AE389-AZ389</f>
        <v/>
      </c>
      <c r="P389" s="12" t="n"/>
      <c r="Q389" s="138" t="n"/>
      <c r="R389" s="16" t="n"/>
      <c r="S389" s="139" t="n"/>
      <c r="T389" s="16" t="n"/>
      <c r="U389" s="139" t="n"/>
      <c r="V389" s="16">
        <f>P389+R389+T389</f>
        <v/>
      </c>
      <c r="W389" s="16" t="n"/>
      <c r="X389" s="139" t="n"/>
      <c r="Y389" s="16" t="n"/>
      <c r="Z389" s="139" t="n"/>
      <c r="AA389" s="16" t="n"/>
      <c r="AB389" s="139" t="n"/>
      <c r="AC389" s="16" t="n"/>
      <c r="AD389" s="139" t="n"/>
      <c r="AE389" s="16">
        <f>(W389+Y389+AA389+AC389)</f>
        <v/>
      </c>
      <c r="AF389" s="16" t="n"/>
      <c r="AG389" s="138" t="n"/>
      <c r="AH389" s="16" t="n"/>
      <c r="AI389" s="138" t="n"/>
      <c r="AJ389" s="16" t="n"/>
      <c r="AK389" s="138" t="n"/>
      <c r="AL389" s="16" t="n"/>
      <c r="AM389" s="138" t="n"/>
      <c r="AN389" s="16" t="n"/>
      <c r="AO389" s="138" t="n"/>
      <c r="AP389" s="16" t="n"/>
      <c r="AQ389" s="138" t="n"/>
      <c r="AR389" s="16" t="n"/>
      <c r="AS389" s="138" t="n"/>
      <c r="AT389" s="16" t="n"/>
      <c r="AU389" s="138" t="n"/>
      <c r="AV389" s="16" t="n"/>
      <c r="AW389" s="138" t="n"/>
      <c r="AX389" s="16" t="n"/>
      <c r="AY389" s="138" t="n"/>
      <c r="AZ389" s="16">
        <f>AF389+AH389+AJ389+AL389+AN389+AP389+AR389+AT389+AV389+AX389</f>
        <v/>
      </c>
      <c r="BA389" s="16" t="n"/>
      <c r="BB389" s="139" t="n"/>
      <c r="BC389" s="16" t="n"/>
      <c r="BD389" s="139" t="n"/>
      <c r="BE389" s="16">
        <f>(BA389+BC389)</f>
        <v/>
      </c>
    </row>
    <row r="390">
      <c r="A390" s="9" t="n"/>
      <c r="B390" s="136" t="inlineStr">
        <is>
          <t>배터리</t>
        </is>
      </c>
      <c r="C390" s="137" t="inlineStr">
        <is>
          <t>DX3000</t>
        </is>
      </c>
      <c r="D390" s="63" t="inlineStr">
        <is>
          <t>소형 외부배터리</t>
        </is>
      </c>
      <c r="E390" s="13" t="inlineStr">
        <is>
          <t>PF435060HP</t>
        </is>
      </c>
      <c r="F390" s="99" t="n"/>
      <c r="G390" s="9" t="n"/>
      <c r="H390" s="9" t="inlineStr">
        <is>
          <t>비앤테크</t>
        </is>
      </c>
      <c r="I390" s="14" t="n"/>
      <c r="J390" s="14" t="n"/>
      <c r="K390" s="12" t="n">
        <v>0</v>
      </c>
      <c r="L390" s="9" t="n"/>
      <c r="M390" s="9" t="n"/>
      <c r="N390" s="9" t="n"/>
      <c r="O390" s="40">
        <f>K390+V390-AE390-AZ390</f>
        <v/>
      </c>
      <c r="P390" s="12" t="n"/>
      <c r="Q390" s="138" t="n"/>
      <c r="R390" s="16" t="n"/>
      <c r="S390" s="139" t="n"/>
      <c r="T390" s="16" t="n"/>
      <c r="U390" s="139" t="n"/>
      <c r="V390" s="16">
        <f>P390+R390+T390</f>
        <v/>
      </c>
      <c r="W390" s="16" t="n"/>
      <c r="X390" s="139" t="n"/>
      <c r="Y390" s="16" t="n"/>
      <c r="Z390" s="139" t="n"/>
      <c r="AA390" s="16" t="n"/>
      <c r="AB390" s="139" t="n"/>
      <c r="AC390" s="16" t="n"/>
      <c r="AD390" s="139" t="n"/>
      <c r="AE390" s="16">
        <f>(W390+Y390+AA390+AC390)</f>
        <v/>
      </c>
      <c r="AF390" s="16" t="n"/>
      <c r="AG390" s="138" t="n"/>
      <c r="AH390" s="16" t="n"/>
      <c r="AI390" s="138" t="n"/>
      <c r="AJ390" s="16" t="n"/>
      <c r="AK390" s="138" t="n"/>
      <c r="AL390" s="16" t="n"/>
      <c r="AM390" s="138" t="n"/>
      <c r="AN390" s="16" t="n"/>
      <c r="AO390" s="138" t="n"/>
      <c r="AP390" s="16" t="n"/>
      <c r="AQ390" s="138" t="n"/>
      <c r="AR390" s="16" t="n"/>
      <c r="AS390" s="138" t="n"/>
      <c r="AT390" s="16" t="n"/>
      <c r="AU390" s="138" t="n"/>
      <c r="AV390" s="16" t="n"/>
      <c r="AW390" s="138" t="n"/>
      <c r="AX390" s="16" t="n"/>
      <c r="AY390" s="138" t="n"/>
      <c r="AZ390" s="16">
        <f>AF390+AH390+AJ390+AL390+AN390+AP390+AR390+AT390+AV390+AX390</f>
        <v/>
      </c>
      <c r="BA390" s="16" t="n"/>
      <c r="BB390" s="139" t="n"/>
      <c r="BC390" s="16" t="n"/>
      <c r="BD390" s="139" t="n"/>
      <c r="BE390" s="16">
        <f>(BA390+BC390)</f>
        <v/>
      </c>
    </row>
    <row r="391">
      <c r="A391" s="9" t="n"/>
      <c r="B391" s="136" t="inlineStr">
        <is>
          <t>배터리</t>
        </is>
      </c>
      <c r="C391" s="137" t="inlineStr">
        <is>
          <t>ADX6000</t>
        </is>
      </c>
      <c r="D391" s="60" t="inlineStr">
        <is>
          <t>기본 배터리</t>
        </is>
      </c>
      <c r="E391" s="13" t="inlineStr">
        <is>
          <t>LIP1902A 18.5V 5S 50C 2100mAh</t>
        </is>
      </c>
      <c r="F391" s="99" t="n"/>
      <c r="G391" s="9" t="n"/>
      <c r="H391" s="9" t="inlineStr">
        <is>
          <t>비앤테크</t>
        </is>
      </c>
      <c r="I391" s="14" t="n"/>
      <c r="J391" s="14" t="n"/>
      <c r="K391" s="12" t="n">
        <v>190</v>
      </c>
      <c r="L391" s="9" t="n"/>
      <c r="M391" s="9" t="n"/>
      <c r="N391" s="9" t="n"/>
      <c r="O391" s="40">
        <f>K391+V391-AE391-AZ391</f>
        <v/>
      </c>
      <c r="P391" s="12" t="n"/>
      <c r="Q391" s="138" t="n"/>
      <c r="R391" s="16" t="n"/>
      <c r="S391" s="139" t="n"/>
      <c r="T391" s="16" t="n"/>
      <c r="U391" s="139" t="n"/>
      <c r="V391" s="16">
        <f>P391+R391+T391</f>
        <v/>
      </c>
      <c r="W391" s="16" t="n"/>
      <c r="X391" s="139" t="n"/>
      <c r="Y391" s="16" t="n"/>
      <c r="Z391" s="139" t="n"/>
      <c r="AA391" s="16" t="n"/>
      <c r="AB391" s="139" t="n"/>
      <c r="AC391" s="16" t="n"/>
      <c r="AD391" s="139" t="n"/>
      <c r="AE391" s="16">
        <f>(W391+Y391+AA391+AC391)</f>
        <v/>
      </c>
      <c r="AF391" s="16" t="n"/>
      <c r="AG391" s="138" t="n"/>
      <c r="AH391" s="16" t="n"/>
      <c r="AI391" s="138" t="n"/>
      <c r="AJ391" s="16" t="n"/>
      <c r="AK391" s="138" t="n"/>
      <c r="AL391" s="16" t="n"/>
      <c r="AM391" s="138" t="n"/>
      <c r="AN391" s="16" t="n"/>
      <c r="AO391" s="138" t="n"/>
      <c r="AP391" s="16" t="n"/>
      <c r="AQ391" s="138" t="n"/>
      <c r="AR391" s="16" t="n"/>
      <c r="AS391" s="138" t="n"/>
      <c r="AT391" s="16" t="n"/>
      <c r="AU391" s="138" t="n"/>
      <c r="AV391" s="16" t="n"/>
      <c r="AW391" s="138" t="n"/>
      <c r="AX391" s="16" t="n"/>
      <c r="AY391" s="138" t="n"/>
      <c r="AZ391" s="16">
        <f>AF391+AH391+AJ391+AL391+AN391+AP391+AR391+AT391+AV391+AX391</f>
        <v/>
      </c>
      <c r="BA391" s="16" t="n"/>
      <c r="BB391" s="139" t="n"/>
      <c r="BC391" s="16" t="n"/>
      <c r="BD391" s="139" t="n"/>
      <c r="BE391" s="16">
        <f>(BA391+BC391)</f>
        <v/>
      </c>
    </row>
    <row r="392">
      <c r="A392" s="9" t="n"/>
      <c r="B392" s="136" t="inlineStr">
        <is>
          <t>배터리</t>
        </is>
      </c>
      <c r="C392" s="137" t="inlineStr">
        <is>
          <t>ADX6000</t>
        </is>
      </c>
      <c r="D392" s="63" t="inlineStr">
        <is>
          <t>외부 배터리</t>
        </is>
      </c>
      <c r="E392" s="13" t="inlineStr">
        <is>
          <t>LIP1902A_5035127SH25</t>
        </is>
      </c>
      <c r="F392" s="99" t="n"/>
      <c r="G392" s="9" t="n"/>
      <c r="H392" s="9" t="inlineStr">
        <is>
          <t>비앤테크</t>
        </is>
      </c>
      <c r="I392" s="14" t="n"/>
      <c r="J392" s="14" t="n"/>
      <c r="K392" s="12" t="n">
        <v>0</v>
      </c>
      <c r="L392" s="9" t="n"/>
      <c r="M392" s="9" t="n"/>
      <c r="N392" s="9" t="n"/>
      <c r="O392" s="40">
        <f>K392+V392-AE392-AZ392</f>
        <v/>
      </c>
      <c r="P392" s="12" t="n"/>
      <c r="Q392" s="138" t="n"/>
      <c r="R392" s="16" t="n"/>
      <c r="S392" s="139" t="n"/>
      <c r="T392" s="16" t="n"/>
      <c r="U392" s="139" t="n"/>
      <c r="V392" s="16">
        <f>P392+R392+T392</f>
        <v/>
      </c>
      <c r="W392" s="16" t="n"/>
      <c r="X392" s="139" t="n"/>
      <c r="Y392" s="16" t="n"/>
      <c r="Z392" s="139" t="n"/>
      <c r="AA392" s="16" t="n"/>
      <c r="AB392" s="139" t="n"/>
      <c r="AC392" s="16" t="n"/>
      <c r="AD392" s="139" t="n"/>
      <c r="AE392" s="16">
        <f>(W392+Y392+AA392+AC392)</f>
        <v/>
      </c>
      <c r="AF392" s="16" t="n"/>
      <c r="AG392" s="138" t="n"/>
      <c r="AH392" s="16" t="n"/>
      <c r="AI392" s="138" t="n"/>
      <c r="AJ392" s="16" t="n"/>
      <c r="AK392" s="138" t="n"/>
      <c r="AL392" s="16" t="n"/>
      <c r="AM392" s="138" t="n"/>
      <c r="AN392" s="16" t="n"/>
      <c r="AO392" s="138" t="n"/>
      <c r="AP392" s="16" t="n"/>
      <c r="AQ392" s="138" t="n"/>
      <c r="AR392" s="16" t="n"/>
      <c r="AS392" s="138" t="n"/>
      <c r="AT392" s="16" t="n"/>
      <c r="AU392" s="138" t="n"/>
      <c r="AV392" s="16" t="n"/>
      <c r="AW392" s="138" t="n"/>
      <c r="AX392" s="16" t="n"/>
      <c r="AY392" s="138" t="n"/>
      <c r="AZ392" s="16">
        <f>AF392+AH392+AJ392+AL392+AN392+AP392+AR392+AT392+AV392+AX392</f>
        <v/>
      </c>
      <c r="BA392" s="16" t="n"/>
      <c r="BB392" s="139" t="n"/>
      <c r="BC392" s="16" t="n"/>
      <c r="BD392" s="139" t="n"/>
      <c r="BE392" s="16">
        <f>(BA392+BC392)</f>
        <v/>
      </c>
    </row>
    <row r="393">
      <c r="A393" s="9" t="n"/>
      <c r="B393" s="136" t="inlineStr">
        <is>
          <t>CORD</t>
        </is>
      </c>
      <c r="C393" s="142" t="inlineStr">
        <is>
          <t>공용</t>
        </is>
      </c>
      <c r="D393" s="89" t="inlineStr">
        <is>
          <t>2구 AC코드 C타입</t>
        </is>
      </c>
      <c r="E393" s="13" t="inlineStr">
        <is>
          <t>220V</t>
        </is>
      </c>
      <c r="F393" s="99" t="n"/>
      <c r="G393" s="9" t="n"/>
      <c r="H393" s="9" t="inlineStr">
        <is>
          <t>브리지파워</t>
        </is>
      </c>
      <c r="I393" s="14" t="n"/>
      <c r="J393" s="14" t="n"/>
      <c r="K393" s="12" t="n">
        <v>1300</v>
      </c>
      <c r="L393" s="9" t="n"/>
      <c r="M393" s="9" t="n"/>
      <c r="N393" s="9" t="n"/>
      <c r="O393" s="40">
        <f>K393+V393-AE393-AZ393</f>
        <v/>
      </c>
      <c r="P393" s="12" t="n"/>
      <c r="Q393" s="138" t="n"/>
      <c r="R393" s="16" t="n"/>
      <c r="S393" s="139" t="n"/>
      <c r="T393" s="16" t="n"/>
      <c r="U393" s="139" t="n"/>
      <c r="V393" s="16">
        <f>P393+R393+T393</f>
        <v/>
      </c>
      <c r="W393" s="16" t="n"/>
      <c r="X393" s="139" t="n"/>
      <c r="Y393" s="16" t="n"/>
      <c r="Z393" s="139" t="n"/>
      <c r="AA393" s="16" t="n"/>
      <c r="AB393" s="139" t="n"/>
      <c r="AC393" s="16" t="n"/>
      <c r="AD393" s="139" t="n"/>
      <c r="AE393" s="16">
        <f>(W393+Y393+AA393+AC393)</f>
        <v/>
      </c>
      <c r="AF393" s="16" t="n"/>
      <c r="AG393" s="138" t="n"/>
      <c r="AH393" s="16" t="n"/>
      <c r="AI393" s="138" t="n"/>
      <c r="AJ393" s="16" t="n"/>
      <c r="AK393" s="138" t="n"/>
      <c r="AL393" s="16" t="n"/>
      <c r="AM393" s="138" t="n"/>
      <c r="AN393" s="16" t="n"/>
      <c r="AO393" s="138" t="n"/>
      <c r="AP393" s="16" t="n"/>
      <c r="AQ393" s="138" t="n"/>
      <c r="AR393" s="16" t="n"/>
      <c r="AS393" s="138" t="n"/>
      <c r="AT393" s="16" t="n"/>
      <c r="AU393" s="138" t="n"/>
      <c r="AV393" s="16" t="n"/>
      <c r="AW393" s="138" t="n"/>
      <c r="AX393" s="16" t="n"/>
      <c r="AY393" s="138" t="n"/>
      <c r="AZ393" s="16">
        <f>AF393+AH393+AJ393+AL393+AN393+AP393+AR393+AT393+AV393+AX393</f>
        <v/>
      </c>
      <c r="BA393" s="16" t="n"/>
      <c r="BB393" s="139" t="n"/>
      <c r="BC393" s="16" t="n"/>
      <c r="BD393" s="139" t="n"/>
      <c r="BE393" s="16">
        <f>(BA393+BC393)</f>
        <v/>
      </c>
    </row>
    <row r="394">
      <c r="A394" s="9" t="n"/>
      <c r="B394" s="136" t="inlineStr">
        <is>
          <t>CORD</t>
        </is>
      </c>
      <c r="C394" s="142" t="inlineStr">
        <is>
          <t>공용</t>
        </is>
      </c>
      <c r="D394" s="63" t="inlineStr">
        <is>
          <t>2구 AC코드 A타입</t>
        </is>
      </c>
      <c r="E394" s="13" t="inlineStr">
        <is>
          <t>일본용, 110V</t>
        </is>
      </c>
      <c r="F394" s="99" t="n"/>
      <c r="G394" s="9" t="n"/>
      <c r="H394" s="9" t="inlineStr">
        <is>
          <t>브리지파워</t>
        </is>
      </c>
      <c r="I394" s="14" t="n"/>
      <c r="J394" s="14" t="n"/>
      <c r="K394" s="12" t="n">
        <v>0</v>
      </c>
      <c r="L394" s="9" t="n"/>
      <c r="M394" s="9" t="n"/>
      <c r="N394" s="9" t="n"/>
      <c r="O394" s="40">
        <f>K394+V394-AE394-AZ394</f>
        <v/>
      </c>
      <c r="P394" s="12" t="n"/>
      <c r="Q394" s="138" t="n"/>
      <c r="R394" s="16" t="n"/>
      <c r="S394" s="139" t="n"/>
      <c r="T394" s="16" t="n"/>
      <c r="U394" s="139" t="n"/>
      <c r="V394" s="16">
        <f>P394+R394+T394</f>
        <v/>
      </c>
      <c r="W394" s="16" t="n"/>
      <c r="X394" s="139" t="n"/>
      <c r="Y394" s="16" t="n"/>
      <c r="Z394" s="139" t="n"/>
      <c r="AA394" s="16" t="n"/>
      <c r="AB394" s="139" t="n"/>
      <c r="AC394" s="16" t="n"/>
      <c r="AD394" s="139" t="n"/>
      <c r="AE394" s="16">
        <f>(W394+Y394+AA394+AC394)</f>
        <v/>
      </c>
      <c r="AF394" s="16" t="n"/>
      <c r="AG394" s="138" t="n"/>
      <c r="AH394" s="16" t="n"/>
      <c r="AI394" s="138" t="n"/>
      <c r="AJ394" s="16" t="n"/>
      <c r="AK394" s="138" t="n"/>
      <c r="AL394" s="16" t="n"/>
      <c r="AM394" s="138" t="n"/>
      <c r="AN394" s="16" t="n"/>
      <c r="AO394" s="138" t="n"/>
      <c r="AP394" s="16" t="n"/>
      <c r="AQ394" s="138" t="n"/>
      <c r="AR394" s="16" t="n"/>
      <c r="AS394" s="138" t="n"/>
      <c r="AT394" s="16" t="n"/>
      <c r="AU394" s="138" t="n"/>
      <c r="AV394" s="16" t="n"/>
      <c r="AW394" s="138" t="n"/>
      <c r="AX394" s="16" t="n"/>
      <c r="AY394" s="138" t="n"/>
      <c r="AZ394" s="16">
        <f>AF394+AH394+AJ394+AL394+AN394+AP394+AR394+AT394+AV394+AX394</f>
        <v/>
      </c>
      <c r="BA394" s="16" t="n"/>
      <c r="BB394" s="139" t="n"/>
      <c r="BC394" s="16" t="n"/>
      <c r="BD394" s="139" t="n"/>
      <c r="BE394" s="16">
        <f>(BA394+BC394)</f>
        <v/>
      </c>
    </row>
    <row r="395">
      <c r="A395" s="9" t="n"/>
      <c r="B395" s="136" t="inlineStr">
        <is>
          <t>CORD</t>
        </is>
      </c>
      <c r="C395" s="142" t="inlineStr">
        <is>
          <t>공용</t>
        </is>
      </c>
      <c r="D395" s="63" t="inlineStr">
        <is>
          <t>3구 접지 AC 코드</t>
        </is>
      </c>
      <c r="E395" s="13" t="inlineStr">
        <is>
          <t>유럽용, 220V</t>
        </is>
      </c>
      <c r="F395" s="99" t="n"/>
      <c r="G395" s="9" t="n"/>
      <c r="H395" s="9" t="inlineStr">
        <is>
          <t>브리지파워</t>
        </is>
      </c>
      <c r="I395" s="14" t="n"/>
      <c r="J395" s="14" t="n"/>
      <c r="K395" s="12" t="n">
        <v>208</v>
      </c>
      <c r="L395" s="9" t="n"/>
      <c r="M395" s="9" t="n"/>
      <c r="N395" s="9" t="n"/>
      <c r="O395" s="40">
        <f>K395+V395-AE395-AZ395</f>
        <v/>
      </c>
      <c r="P395" s="12" t="n"/>
      <c r="Q395" s="138" t="n"/>
      <c r="R395" s="16" t="n"/>
      <c r="S395" s="139" t="n"/>
      <c r="T395" s="16" t="n"/>
      <c r="U395" s="139" t="n"/>
      <c r="V395" s="16">
        <f>P395+R395+T395</f>
        <v/>
      </c>
      <c r="W395" s="16" t="n"/>
      <c r="X395" s="139" t="n"/>
      <c r="Y395" s="16" t="n"/>
      <c r="Z395" s="139" t="n"/>
      <c r="AA395" s="16" t="n"/>
      <c r="AB395" s="139" t="n"/>
      <c r="AC395" s="16" t="n"/>
      <c r="AD395" s="139" t="n"/>
      <c r="AE395" s="16">
        <f>(W395+Y395+AA395+AC395)</f>
        <v/>
      </c>
      <c r="AF395" s="16" t="n"/>
      <c r="AG395" s="138" t="n"/>
      <c r="AH395" s="16" t="n"/>
      <c r="AI395" s="138" t="n"/>
      <c r="AJ395" s="16" t="n"/>
      <c r="AK395" s="138" t="n"/>
      <c r="AL395" s="16" t="n"/>
      <c r="AM395" s="138" t="n"/>
      <c r="AN395" s="16" t="n"/>
      <c r="AO395" s="138" t="n"/>
      <c r="AP395" s="16" t="n"/>
      <c r="AQ395" s="138" t="n"/>
      <c r="AR395" s="16" t="n"/>
      <c r="AS395" s="138" t="n"/>
      <c r="AT395" s="16" t="n"/>
      <c r="AU395" s="138" t="n"/>
      <c r="AV395" s="16" t="n"/>
      <c r="AW395" s="138" t="n"/>
      <c r="AX395" s="16" t="n"/>
      <c r="AY395" s="138" t="n"/>
      <c r="AZ395" s="16">
        <f>AF395+AH395+AJ395+AL395+AN395+AP395+AR395+AT395+AV395+AX395</f>
        <v/>
      </c>
      <c r="BA395" s="16" t="n"/>
      <c r="BB395" s="139" t="n"/>
      <c r="BC395" s="16" t="n"/>
      <c r="BD395" s="139" t="n"/>
      <c r="BE395" s="16">
        <f>(BA395+BC395)</f>
        <v/>
      </c>
    </row>
    <row r="396">
      <c r="A396" s="9" t="n"/>
      <c r="B396" s="136" t="inlineStr">
        <is>
          <t>CORD</t>
        </is>
      </c>
      <c r="C396" s="142" t="inlineStr">
        <is>
          <t>공용</t>
        </is>
      </c>
      <c r="D396" s="63" t="inlineStr">
        <is>
          <t>3구 접지 AC 코드 A타입</t>
        </is>
      </c>
      <c r="E396" s="13" t="inlineStr">
        <is>
          <t>일본용, 110V</t>
        </is>
      </c>
      <c r="F396" s="99" t="n"/>
      <c r="G396" s="9" t="n"/>
      <c r="H396" s="9" t="inlineStr">
        <is>
          <t>브리지파워</t>
        </is>
      </c>
      <c r="I396" s="14" t="n"/>
      <c r="J396" s="14" t="n"/>
      <c r="K396" s="12" t="n">
        <v>96</v>
      </c>
      <c r="L396" s="9" t="n"/>
      <c r="M396" s="9" t="n"/>
      <c r="N396" s="9" t="n"/>
      <c r="O396" s="40">
        <f>K396+V396-AE396-AZ396</f>
        <v/>
      </c>
      <c r="P396" s="12" t="n"/>
      <c r="Q396" s="138" t="n"/>
      <c r="R396" s="16" t="n"/>
      <c r="S396" s="139" t="n"/>
      <c r="T396" s="16" t="n"/>
      <c r="U396" s="139" t="n"/>
      <c r="V396" s="16">
        <f>P396+R396+T396</f>
        <v/>
      </c>
      <c r="W396" s="16" t="n"/>
      <c r="X396" s="139" t="n"/>
      <c r="Y396" s="16" t="n"/>
      <c r="Z396" s="139" t="n"/>
      <c r="AA396" s="16" t="n"/>
      <c r="AB396" s="139" t="n"/>
      <c r="AC396" s="16" t="n"/>
      <c r="AD396" s="139" t="n"/>
      <c r="AE396" s="16">
        <f>(W396+Y396+AA396+AC396)</f>
        <v/>
      </c>
      <c r="AF396" s="16" t="n"/>
      <c r="AG396" s="138" t="n"/>
      <c r="AH396" s="16" t="n"/>
      <c r="AI396" s="138" t="n"/>
      <c r="AJ396" s="16" t="n"/>
      <c r="AK396" s="138" t="n"/>
      <c r="AL396" s="16" t="n"/>
      <c r="AM396" s="138" t="n"/>
      <c r="AN396" s="16" t="n"/>
      <c r="AO396" s="138" t="n"/>
      <c r="AP396" s="16" t="n"/>
      <c r="AQ396" s="138" t="n"/>
      <c r="AR396" s="16" t="n"/>
      <c r="AS396" s="138" t="n"/>
      <c r="AT396" s="16" t="n"/>
      <c r="AU396" s="138" t="n"/>
      <c r="AV396" s="16" t="n"/>
      <c r="AW396" s="138" t="n"/>
      <c r="AX396" s="16" t="n"/>
      <c r="AY396" s="138" t="n"/>
      <c r="AZ396" s="16">
        <f>AF396+AH396+AJ396+AL396+AN396+AP396+AR396+AT396+AV396+AX396</f>
        <v/>
      </c>
      <c r="BA396" s="16" t="n"/>
      <c r="BB396" s="139" t="n"/>
      <c r="BC396" s="16" t="n"/>
      <c r="BD396" s="139" t="n"/>
      <c r="BE396" s="16">
        <f>(BA396+BC396)</f>
        <v/>
      </c>
    </row>
    <row r="397">
      <c r="A397" s="9" t="n"/>
      <c r="B397" s="136" t="inlineStr">
        <is>
          <t>CORD</t>
        </is>
      </c>
      <c r="C397" s="142" t="inlineStr">
        <is>
          <t>공용</t>
        </is>
      </c>
      <c r="D397" s="63" t="inlineStr">
        <is>
          <t>3구 접지 AC코드 B타입</t>
        </is>
      </c>
      <c r="E397" s="13" t="inlineStr">
        <is>
          <t>미국용</t>
        </is>
      </c>
      <c r="F397" s="99" t="n"/>
      <c r="G397" s="9" t="n"/>
      <c r="H397" s="9" t="inlineStr">
        <is>
          <t>브리지파워</t>
        </is>
      </c>
      <c r="I397" s="14" t="n"/>
      <c r="J397" s="14" t="n"/>
      <c r="K397" s="12" t="n">
        <v>600</v>
      </c>
      <c r="L397" s="9" t="n"/>
      <c r="M397" s="9" t="n"/>
      <c r="N397" s="9" t="n"/>
      <c r="O397" s="40">
        <f>K397+V397-AE397-AZ397</f>
        <v/>
      </c>
      <c r="P397" s="12" t="n"/>
      <c r="Q397" s="138" t="n"/>
      <c r="R397" s="16" t="n"/>
      <c r="S397" s="139" t="n"/>
      <c r="T397" s="16" t="n"/>
      <c r="U397" s="139" t="n"/>
      <c r="V397" s="16">
        <f>P397+R397+T397</f>
        <v/>
      </c>
      <c r="W397" s="16" t="n"/>
      <c r="X397" s="139" t="n"/>
      <c r="Y397" s="16" t="n"/>
      <c r="Z397" s="139" t="n"/>
      <c r="AA397" s="16" t="n"/>
      <c r="AB397" s="139" t="n"/>
      <c r="AC397" s="16" t="n"/>
      <c r="AD397" s="139" t="n"/>
      <c r="AE397" s="16">
        <f>(W397+Y397+AA397+AC397)</f>
        <v/>
      </c>
      <c r="AF397" s="16" t="n"/>
      <c r="AG397" s="138" t="n"/>
      <c r="AH397" s="16" t="n"/>
      <c r="AI397" s="138" t="n"/>
      <c r="AJ397" s="16" t="n"/>
      <c r="AK397" s="138" t="n"/>
      <c r="AL397" s="16" t="n"/>
      <c r="AM397" s="138" t="n"/>
      <c r="AN397" s="16" t="n"/>
      <c r="AO397" s="138" t="n"/>
      <c r="AP397" s="16" t="n"/>
      <c r="AQ397" s="138" t="n"/>
      <c r="AR397" s="16" t="n"/>
      <c r="AS397" s="138" t="n"/>
      <c r="AT397" s="16" t="n"/>
      <c r="AU397" s="138" t="n"/>
      <c r="AV397" s="16" t="n"/>
      <c r="AW397" s="138" t="n"/>
      <c r="AX397" s="16" t="n"/>
      <c r="AY397" s="138" t="n"/>
      <c r="AZ397" s="16">
        <f>AF397+AH397+AJ397+AL397+AN397+AP397+AR397+AT397+AV397+AX397</f>
        <v/>
      </c>
      <c r="BA397" s="16" t="n"/>
      <c r="BB397" s="139" t="n"/>
      <c r="BC397" s="16" t="n"/>
      <c r="BD397" s="139" t="n"/>
      <c r="BE397" s="16">
        <f>(BA397+BC397)</f>
        <v/>
      </c>
    </row>
    <row r="398">
      <c r="A398" s="9" t="n"/>
      <c r="B398" s="136" t="inlineStr">
        <is>
          <t>CORD</t>
        </is>
      </c>
      <c r="C398" s="142" t="inlineStr">
        <is>
          <t>공용</t>
        </is>
      </c>
      <c r="D398" s="63" t="inlineStr">
        <is>
          <t>3구 접지 AC코드 I타입</t>
        </is>
      </c>
      <c r="E398" s="13" t="inlineStr">
        <is>
          <t>호주, 중국 공용</t>
        </is>
      </c>
      <c r="F398" s="99" t="n"/>
      <c r="G398" s="9" t="n"/>
      <c r="H398" s="9" t="inlineStr">
        <is>
          <t>브리지파워</t>
        </is>
      </c>
      <c r="I398" s="14" t="n"/>
      <c r="J398" s="14" t="n"/>
      <c r="K398" s="12" t="n">
        <v>190</v>
      </c>
      <c r="L398" s="9" t="n"/>
      <c r="M398" s="9" t="n"/>
      <c r="N398" s="9" t="n"/>
      <c r="O398" s="40">
        <f>K398+V398-AE398-AZ398</f>
        <v/>
      </c>
      <c r="P398" s="12" t="n"/>
      <c r="Q398" s="138" t="n"/>
      <c r="R398" s="16" t="n"/>
      <c r="S398" s="139" t="n"/>
      <c r="T398" s="16" t="n"/>
      <c r="U398" s="139" t="n"/>
      <c r="V398" s="16">
        <f>P398+R398+T398</f>
        <v/>
      </c>
      <c r="W398" s="16" t="n"/>
      <c r="X398" s="139" t="n"/>
      <c r="Y398" s="16" t="n"/>
      <c r="Z398" s="139" t="n"/>
      <c r="AA398" s="16" t="n"/>
      <c r="AB398" s="139" t="n"/>
      <c r="AC398" s="16" t="n"/>
      <c r="AD398" s="139" t="n"/>
      <c r="AE398" s="16">
        <f>(W398+Y398+AA398+AC398)</f>
        <v/>
      </c>
      <c r="AF398" s="16" t="n"/>
      <c r="AG398" s="138" t="n"/>
      <c r="AH398" s="16" t="n"/>
      <c r="AI398" s="138" t="n"/>
      <c r="AJ398" s="16" t="n"/>
      <c r="AK398" s="138" t="n"/>
      <c r="AL398" s="16" t="n"/>
      <c r="AM398" s="138" t="n"/>
      <c r="AN398" s="16" t="n"/>
      <c r="AO398" s="138" t="n"/>
      <c r="AP398" s="16" t="n"/>
      <c r="AQ398" s="138" t="n"/>
      <c r="AR398" s="16" t="n"/>
      <c r="AS398" s="138" t="n"/>
      <c r="AT398" s="16" t="n"/>
      <c r="AU398" s="138" t="n"/>
      <c r="AV398" s="16" t="n"/>
      <c r="AW398" s="138" t="n"/>
      <c r="AX398" s="16" t="n"/>
      <c r="AY398" s="138" t="n"/>
      <c r="AZ398" s="16">
        <f>AF398+AH398+AJ398+AL398+AN398+AP398+AR398+AT398+AV398+AX398</f>
        <v/>
      </c>
      <c r="BA398" s="16" t="n"/>
      <c r="BB398" s="139" t="n"/>
      <c r="BC398" s="16" t="n"/>
      <c r="BD398" s="139" t="n"/>
      <c r="BE398" s="16">
        <f>(BA398+BC398)</f>
        <v/>
      </c>
    </row>
    <row r="399">
      <c r="A399" s="9" t="n"/>
      <c r="B399" s="136" t="inlineStr">
        <is>
          <t>CORD</t>
        </is>
      </c>
      <c r="C399" s="142" t="inlineStr">
        <is>
          <t>공용</t>
        </is>
      </c>
      <c r="D399" s="60" t="inlineStr">
        <is>
          <t>3구 접지 AC코드 G타입</t>
        </is>
      </c>
      <c r="E399" s="13" t="inlineStr">
        <is>
          <t>영국용</t>
        </is>
      </c>
      <c r="F399" s="99" t="n"/>
      <c r="G399" s="9" t="n"/>
      <c r="H399" s="9" t="inlineStr">
        <is>
          <t>브리지파워</t>
        </is>
      </c>
      <c r="I399" s="14" t="n"/>
      <c r="J399" s="14" t="n"/>
      <c r="K399" s="12" t="n">
        <v>300</v>
      </c>
      <c r="L399" s="9" t="n"/>
      <c r="M399" s="9" t="n"/>
      <c r="N399" s="9" t="n"/>
      <c r="O399" s="40">
        <f>K399+V399-AE399-AZ399</f>
        <v/>
      </c>
      <c r="P399" s="12" t="n"/>
      <c r="Q399" s="138" t="n"/>
      <c r="R399" s="16" t="n"/>
      <c r="S399" s="139" t="n"/>
      <c r="T399" s="16" t="n"/>
      <c r="U399" s="139" t="n"/>
      <c r="V399" s="16">
        <f>P399+R399+T399</f>
        <v/>
      </c>
      <c r="W399" s="16" t="n"/>
      <c r="X399" s="139" t="n"/>
      <c r="Y399" s="16" t="n"/>
      <c r="Z399" s="139" t="n"/>
      <c r="AA399" s="16" t="n"/>
      <c r="AB399" s="139" t="n"/>
      <c r="AC399" s="16" t="n"/>
      <c r="AD399" s="139" t="n"/>
      <c r="AE399" s="16">
        <f>(W399+Y399+AA399+AC399)</f>
        <v/>
      </c>
      <c r="AF399" s="16" t="n"/>
      <c r="AG399" s="138" t="n"/>
      <c r="AH399" s="16" t="n"/>
      <c r="AI399" s="138" t="n"/>
      <c r="AJ399" s="16" t="n"/>
      <c r="AK399" s="138" t="n"/>
      <c r="AL399" s="16" t="n"/>
      <c r="AM399" s="138" t="n"/>
      <c r="AN399" s="16" t="n"/>
      <c r="AO399" s="138" t="n"/>
      <c r="AP399" s="16" t="n"/>
      <c r="AQ399" s="138" t="n"/>
      <c r="AR399" s="16" t="n"/>
      <c r="AS399" s="138" t="n"/>
      <c r="AT399" s="16" t="n"/>
      <c r="AU399" s="138" t="n"/>
      <c r="AV399" s="16" t="n"/>
      <c r="AW399" s="138" t="n"/>
      <c r="AX399" s="16" t="n"/>
      <c r="AY399" s="138" t="n"/>
      <c r="AZ399" s="16">
        <f>AF399+AH399+AJ399+AL399+AN399+AP399+AR399+AT399+AV399+AX399</f>
        <v/>
      </c>
      <c r="BA399" s="16" t="n"/>
      <c r="BB399" s="139" t="n"/>
      <c r="BC399" s="16" t="n"/>
      <c r="BD399" s="139" t="n"/>
      <c r="BE399" s="16">
        <f>(BA399+BC399)</f>
        <v/>
      </c>
    </row>
    <row r="400">
      <c r="A400" s="9" t="n"/>
      <c r="B400" s="136" t="inlineStr">
        <is>
          <t>ADAPTER</t>
        </is>
      </c>
      <c r="C400" s="142" t="inlineStr">
        <is>
          <t>공용</t>
        </is>
      </c>
      <c r="D400" s="60" t="inlineStr">
        <is>
          <t>2구 충전기</t>
        </is>
      </c>
      <c r="E400" s="13" t="inlineStr">
        <is>
          <t>BPL910S16N01, 220V</t>
        </is>
      </c>
      <c r="F400" s="99" t="n"/>
      <c r="G400" s="9" t="n"/>
      <c r="H400" s="9" t="inlineStr">
        <is>
          <t>브리지파워</t>
        </is>
      </c>
      <c r="I400" s="14" t="n"/>
      <c r="J400" s="14" t="n"/>
      <c r="K400" s="12" t="n">
        <v>560</v>
      </c>
      <c r="L400" s="9" t="n"/>
      <c r="M400" s="9" t="n"/>
      <c r="N400" s="9" t="n"/>
      <c r="O400" s="40">
        <f>K400+V400-AE400-AZ400</f>
        <v/>
      </c>
      <c r="P400" s="12" t="n"/>
      <c r="Q400" s="138" t="n"/>
      <c r="R400" s="16" t="n"/>
      <c r="S400" s="139" t="n"/>
      <c r="T400" s="16" t="n"/>
      <c r="U400" s="139" t="n"/>
      <c r="V400" s="16">
        <f>P400+R400+T400</f>
        <v/>
      </c>
      <c r="W400" s="16" t="n"/>
      <c r="X400" s="139" t="n"/>
      <c r="Y400" s="16" t="n"/>
      <c r="Z400" s="139" t="n"/>
      <c r="AA400" s="16" t="n"/>
      <c r="AB400" s="139" t="n"/>
      <c r="AC400" s="16" t="n"/>
      <c r="AD400" s="139" t="n"/>
      <c r="AE400" s="16">
        <f>(W400+Y400+AA400+AC400)</f>
        <v/>
      </c>
      <c r="AF400" s="16" t="n"/>
      <c r="AG400" s="138" t="n"/>
      <c r="AH400" s="16" t="n"/>
      <c r="AI400" s="138" t="n"/>
      <c r="AJ400" s="16" t="n"/>
      <c r="AK400" s="138" t="n"/>
      <c r="AL400" s="16" t="n"/>
      <c r="AM400" s="138" t="n"/>
      <c r="AN400" s="16" t="n"/>
      <c r="AO400" s="138" t="n"/>
      <c r="AP400" s="16" t="n"/>
      <c r="AQ400" s="138" t="n"/>
      <c r="AR400" s="16" t="n"/>
      <c r="AS400" s="138" t="n"/>
      <c r="AT400" s="16" t="n"/>
      <c r="AU400" s="138" t="n"/>
      <c r="AV400" s="16" t="n"/>
      <c r="AW400" s="138" t="n"/>
      <c r="AX400" s="16" t="n"/>
      <c r="AY400" s="138" t="n"/>
      <c r="AZ400" s="16">
        <f>AF400+AH400+AJ400+AL400+AN400+AP400+AR400+AT400+AV400+AX400</f>
        <v/>
      </c>
      <c r="BA400" s="16" t="n"/>
      <c r="BB400" s="139" t="n"/>
      <c r="BC400" s="16" t="n"/>
      <c r="BD400" s="139" t="n"/>
      <c r="BE400" s="16">
        <f>(BA400+BC400)</f>
        <v/>
      </c>
    </row>
    <row r="401">
      <c r="A401" s="9" t="n"/>
      <c r="B401" s="136" t="inlineStr">
        <is>
          <t>ADAPTER</t>
        </is>
      </c>
      <c r="C401" s="142" t="inlineStr">
        <is>
          <t>공용</t>
        </is>
      </c>
      <c r="D401" s="60" t="inlineStr">
        <is>
          <t>3구 충전기</t>
        </is>
      </c>
      <c r="E401" s="13" t="inlineStr">
        <is>
          <t>BPL910S16F01, (미국, 호주 공용)</t>
        </is>
      </c>
      <c r="F401" s="99" t="n"/>
      <c r="G401" s="9" t="n"/>
      <c r="H401" s="9" t="inlineStr">
        <is>
          <t>브리지파워</t>
        </is>
      </c>
      <c r="I401" s="14" t="n"/>
      <c r="J401" s="14" t="n"/>
      <c r="K401" s="12" t="n">
        <v>560</v>
      </c>
      <c r="L401" s="9" t="n"/>
      <c r="M401" s="9" t="n"/>
      <c r="N401" s="9" t="n"/>
      <c r="O401" s="40">
        <f>K401+V401-AE401-AZ401</f>
        <v/>
      </c>
      <c r="P401" s="12" t="n"/>
      <c r="Q401" s="138" t="n"/>
      <c r="R401" s="16" t="n"/>
      <c r="S401" s="139" t="n"/>
      <c r="T401" s="16" t="n"/>
      <c r="U401" s="139" t="n"/>
      <c r="V401" s="16">
        <f>P401+R401+T401</f>
        <v/>
      </c>
      <c r="W401" s="16" t="n"/>
      <c r="X401" s="139" t="n"/>
      <c r="Y401" s="16" t="n"/>
      <c r="Z401" s="139" t="n"/>
      <c r="AA401" s="16" t="n"/>
      <c r="AB401" s="139" t="n"/>
      <c r="AC401" s="16" t="n"/>
      <c r="AD401" s="139" t="n"/>
      <c r="AE401" s="16">
        <f>(W401+Y401+AA401+AC401)</f>
        <v/>
      </c>
      <c r="AF401" s="16" t="n"/>
      <c r="AG401" s="138" t="n"/>
      <c r="AH401" s="16" t="n"/>
      <c r="AI401" s="138" t="n"/>
      <c r="AJ401" s="16" t="n"/>
      <c r="AK401" s="138" t="n"/>
      <c r="AL401" s="16" t="n"/>
      <c r="AM401" s="138" t="n"/>
      <c r="AN401" s="16" t="n"/>
      <c r="AO401" s="138" t="n"/>
      <c r="AP401" s="16" t="n"/>
      <c r="AQ401" s="138" t="n"/>
      <c r="AR401" s="16" t="n"/>
      <c r="AS401" s="138" t="n"/>
      <c r="AT401" s="16" t="n"/>
      <c r="AU401" s="138" t="n"/>
      <c r="AV401" s="16" t="n"/>
      <c r="AW401" s="138" t="n"/>
      <c r="AX401" s="16" t="n"/>
      <c r="AY401" s="138" t="n"/>
      <c r="AZ401" s="16">
        <f>AF401+AH401+AJ401+AL401+AN401+AP401+AR401+AT401+AV401+AX401</f>
        <v/>
      </c>
      <c r="BA401" s="16" t="n"/>
      <c r="BB401" s="139" t="n"/>
      <c r="BC401" s="16" t="n"/>
      <c r="BD401" s="139" t="n"/>
      <c r="BE401" s="16">
        <f>(BA401+BC401)</f>
        <v/>
      </c>
    </row>
    <row r="402">
      <c r="A402" s="9" t="n"/>
      <c r="B402" s="136" t="inlineStr">
        <is>
          <t>ADAPTER</t>
        </is>
      </c>
      <c r="C402" s="137" t="inlineStr">
        <is>
          <t>ADX6000</t>
        </is>
      </c>
      <c r="D402" s="65" t="inlineStr">
        <is>
          <t>20.7V 1.7A 충전기</t>
        </is>
      </c>
      <c r="E402" s="13" t="inlineStr">
        <is>
          <t>5S 어댑터</t>
        </is>
      </c>
      <c r="F402" s="99" t="n"/>
      <c r="G402" s="9" t="n"/>
      <c r="H402" s="9" t="inlineStr">
        <is>
          <t>브리지파워</t>
        </is>
      </c>
      <c r="I402" s="14" t="n"/>
      <c r="J402" s="14" t="n"/>
      <c r="K402" s="12" t="n">
        <v>1040</v>
      </c>
      <c r="L402" s="9" t="n"/>
      <c r="M402" s="9" t="n"/>
      <c r="N402" s="9" t="n"/>
      <c r="O402" s="40">
        <f>K402+V402-AE402-AZ402</f>
        <v/>
      </c>
      <c r="P402" s="12" t="n"/>
      <c r="Q402" s="138" t="n"/>
      <c r="R402" s="16" t="n"/>
      <c r="S402" s="139" t="n"/>
      <c r="T402" s="16" t="n"/>
      <c r="U402" s="139" t="n"/>
      <c r="V402" s="16">
        <f>P402+R402+T402</f>
        <v/>
      </c>
      <c r="W402" s="16" t="n"/>
      <c r="X402" s="139" t="n"/>
      <c r="Y402" s="16" t="n"/>
      <c r="Z402" s="139" t="n"/>
      <c r="AA402" s="16" t="n"/>
      <c r="AB402" s="139" t="n"/>
      <c r="AC402" s="16" t="n"/>
      <c r="AD402" s="139" t="n"/>
      <c r="AE402" s="16">
        <f>(W402+Y402+AA402+AC402)</f>
        <v/>
      </c>
      <c r="AF402" s="16" t="n"/>
      <c r="AG402" s="138" t="n"/>
      <c r="AH402" s="16" t="n"/>
      <c r="AI402" s="138" t="n"/>
      <c r="AJ402" s="16" t="n"/>
      <c r="AK402" s="138" t="n"/>
      <c r="AL402" s="16" t="n"/>
      <c r="AM402" s="138" t="n"/>
      <c r="AN402" s="16" t="n"/>
      <c r="AO402" s="138" t="n"/>
      <c r="AP402" s="16" t="n"/>
      <c r="AQ402" s="138" t="n"/>
      <c r="AR402" s="16" t="n"/>
      <c r="AS402" s="138" t="n"/>
      <c r="AT402" s="16" t="n"/>
      <c r="AU402" s="138" t="n"/>
      <c r="AV402" s="16" t="n"/>
      <c r="AW402" s="138" t="n"/>
      <c r="AX402" s="16" t="n"/>
      <c r="AY402" s="138" t="n"/>
      <c r="AZ402" s="16">
        <f>AF402+AH402+AJ402+AL402+AN402+AP402+AR402+AT402+AV402+AX402</f>
        <v/>
      </c>
      <c r="BA402" s="16" t="n"/>
      <c r="BB402" s="139" t="n"/>
      <c r="BC402" s="16" t="n"/>
      <c r="BD402" s="139" t="n"/>
      <c r="BE402" s="16">
        <f>(BA402+BC402)</f>
        <v/>
      </c>
    </row>
    <row r="403">
      <c r="A403" s="9" t="n"/>
      <c r="B403" s="136" t="inlineStr">
        <is>
          <t>ADAPTER</t>
        </is>
      </c>
      <c r="C403" s="137" t="inlineStr">
        <is>
          <t>ADX6000</t>
        </is>
      </c>
      <c r="D403" s="60" t="inlineStr">
        <is>
          <t>25.2V 1.7A 충전기</t>
        </is>
      </c>
      <c r="E403" s="13" t="inlineStr">
        <is>
          <t>6S 어댑터 (중국용)</t>
        </is>
      </c>
      <c r="F403" s="99" t="n"/>
      <c r="G403" s="9" t="n"/>
      <c r="H403" s="9" t="inlineStr">
        <is>
          <t>브리지파워</t>
        </is>
      </c>
      <c r="I403" s="14" t="n"/>
      <c r="J403" s="14" t="n"/>
      <c r="K403" s="12" t="n">
        <v>7</v>
      </c>
      <c r="L403" s="9" t="n"/>
      <c r="M403" s="9" t="n"/>
      <c r="N403" s="9" t="n"/>
      <c r="O403" s="40">
        <f>K403+V403-AE403-AZ403</f>
        <v/>
      </c>
      <c r="P403" s="12" t="n"/>
      <c r="Q403" s="138" t="n"/>
      <c r="R403" s="16" t="n"/>
      <c r="S403" s="139" t="n"/>
      <c r="T403" s="16" t="n"/>
      <c r="U403" s="139" t="n"/>
      <c r="V403" s="16">
        <f>P403+R403+T403</f>
        <v/>
      </c>
      <c r="W403" s="16" t="n"/>
      <c r="X403" s="139" t="n"/>
      <c r="Y403" s="16" t="n"/>
      <c r="Z403" s="139" t="n"/>
      <c r="AA403" s="16" t="n"/>
      <c r="AB403" s="139" t="n"/>
      <c r="AC403" s="16" t="n"/>
      <c r="AD403" s="139" t="n"/>
      <c r="AE403" s="16">
        <f>(W403+Y403+AA403+AC403)</f>
        <v/>
      </c>
      <c r="AF403" s="16" t="n"/>
      <c r="AG403" s="138" t="n"/>
      <c r="AH403" s="16" t="n"/>
      <c r="AI403" s="138" t="n"/>
      <c r="AJ403" s="16" t="n"/>
      <c r="AK403" s="138" t="n"/>
      <c r="AL403" s="16" t="n"/>
      <c r="AM403" s="138" t="n"/>
      <c r="AN403" s="16" t="n"/>
      <c r="AO403" s="138" t="n"/>
      <c r="AP403" s="16" t="n"/>
      <c r="AQ403" s="138" t="n"/>
      <c r="AR403" s="16" t="n"/>
      <c r="AS403" s="138" t="n"/>
      <c r="AT403" s="16" t="n"/>
      <c r="AU403" s="138" t="n"/>
      <c r="AV403" s="16" t="n"/>
      <c r="AW403" s="138" t="n"/>
      <c r="AX403" s="16" t="n"/>
      <c r="AY403" s="138" t="n"/>
      <c r="AZ403" s="16">
        <f>AF403+AH403+AJ403+AL403+AN403+AP403+AR403+AT403+AV403+AX403</f>
        <v/>
      </c>
      <c r="BA403" s="16" t="n"/>
      <c r="BB403" s="139" t="n"/>
      <c r="BC403" s="16" t="n"/>
      <c r="BD403" s="139" t="n"/>
      <c r="BE403" s="16">
        <f>(BA403+BC403)</f>
        <v/>
      </c>
    </row>
    <row r="404">
      <c r="A404" s="9" t="n"/>
      <c r="B404" s="136" t="inlineStr">
        <is>
          <t>ADAPTER</t>
        </is>
      </c>
      <c r="C404" s="142" t="inlineStr">
        <is>
          <t>공용</t>
        </is>
      </c>
      <c r="D404" s="60" t="inlineStr">
        <is>
          <t>15V 1.0A 충전기</t>
        </is>
      </c>
      <c r="E404" s="13" t="inlineStr">
        <is>
          <t>220V</t>
        </is>
      </c>
      <c r="F404" s="99" t="n"/>
      <c r="G404" s="9" t="n"/>
      <c r="H404" s="9" t="inlineStr">
        <is>
          <t>브리지파워</t>
        </is>
      </c>
      <c r="I404" s="14" t="n"/>
      <c r="J404" s="14" t="n"/>
      <c r="K404" s="12" t="n">
        <v>0</v>
      </c>
      <c r="L404" s="9" t="n"/>
      <c r="M404" s="9" t="n"/>
      <c r="N404" s="9" t="n"/>
      <c r="O404" s="40">
        <f>K404+V404-AE404-AZ404</f>
        <v/>
      </c>
      <c r="P404" s="12" t="n"/>
      <c r="Q404" s="138" t="n"/>
      <c r="R404" s="16" t="n"/>
      <c r="S404" s="139" t="n"/>
      <c r="T404" s="16" t="n"/>
      <c r="U404" s="139" t="n"/>
      <c r="V404" s="16">
        <f>P404+R404+T404</f>
        <v/>
      </c>
      <c r="W404" s="16" t="n"/>
      <c r="X404" s="139" t="n"/>
      <c r="Y404" s="16" t="n"/>
      <c r="Z404" s="139" t="n"/>
      <c r="AA404" s="16" t="n"/>
      <c r="AB404" s="139" t="n"/>
      <c r="AC404" s="16" t="n"/>
      <c r="AD404" s="139" t="n"/>
      <c r="AE404" s="16">
        <f>(W404+Y404+AA404+AC404)</f>
        <v/>
      </c>
      <c r="AF404" s="16" t="n"/>
      <c r="AG404" s="138" t="n"/>
      <c r="AH404" s="16" t="n"/>
      <c r="AI404" s="138" t="n"/>
      <c r="AJ404" s="16" t="n"/>
      <c r="AK404" s="138" t="n"/>
      <c r="AL404" s="16" t="n"/>
      <c r="AM404" s="138" t="n"/>
      <c r="AN404" s="16" t="n"/>
      <c r="AO404" s="138" t="n"/>
      <c r="AP404" s="16" t="n"/>
      <c r="AQ404" s="138" t="n"/>
      <c r="AR404" s="16" t="n"/>
      <c r="AS404" s="138" t="n"/>
      <c r="AT404" s="16" t="n"/>
      <c r="AU404" s="138" t="n"/>
      <c r="AV404" s="16" t="n"/>
      <c r="AW404" s="138" t="n"/>
      <c r="AX404" s="16" t="n"/>
      <c r="AY404" s="138" t="n"/>
      <c r="AZ404" s="16">
        <f>AF404+AH404+AJ404+AL404+AN404+AP404+AR404+AT404+AV404+AX404</f>
        <v/>
      </c>
      <c r="BA404" s="16" t="n"/>
      <c r="BB404" s="139" t="n"/>
      <c r="BC404" s="16" t="n"/>
      <c r="BD404" s="139" t="n"/>
      <c r="BE404" s="16">
        <f>(BA404+BC404)</f>
        <v/>
      </c>
    </row>
    <row r="405">
      <c r="A405" s="9" t="n"/>
      <c r="B405" s="136" t="inlineStr">
        <is>
          <t>ADAPTER</t>
        </is>
      </c>
      <c r="C405" s="142" t="inlineStr">
        <is>
          <t>공용</t>
        </is>
      </c>
      <c r="D405" s="63" t="inlineStr">
        <is>
          <t>15V 1.0A 충전기</t>
        </is>
      </c>
      <c r="E405" s="13" t="inlineStr">
        <is>
          <t>110V</t>
        </is>
      </c>
      <c r="F405" s="99" t="n"/>
      <c r="G405" s="9" t="n"/>
      <c r="H405" s="9" t="inlineStr">
        <is>
          <t>브리지파워</t>
        </is>
      </c>
      <c r="I405" s="14" t="n"/>
      <c r="J405" s="14" t="n"/>
      <c r="K405" s="12" t="n">
        <v>0</v>
      </c>
      <c r="L405" s="9" t="n"/>
      <c r="M405" s="9" t="n"/>
      <c r="N405" s="9" t="n"/>
      <c r="O405" s="40">
        <f>K405+V405-AE405-AZ405</f>
        <v/>
      </c>
      <c r="P405" s="12" t="n"/>
      <c r="Q405" s="138" t="n"/>
      <c r="R405" s="16" t="n"/>
      <c r="S405" s="139" t="n"/>
      <c r="T405" s="16" t="n"/>
      <c r="U405" s="139" t="n"/>
      <c r="V405" s="16">
        <f>P405+R405+T405</f>
        <v/>
      </c>
      <c r="W405" s="16" t="n"/>
      <c r="X405" s="139" t="n"/>
      <c r="Y405" s="16" t="n"/>
      <c r="Z405" s="139" t="n"/>
      <c r="AA405" s="16" t="n"/>
      <c r="AB405" s="139" t="n"/>
      <c r="AC405" s="16" t="n"/>
      <c r="AD405" s="139" t="n"/>
      <c r="AE405" s="16">
        <f>(W405+Y405+AA405+AC405)</f>
        <v/>
      </c>
      <c r="AF405" s="16" t="n"/>
      <c r="AG405" s="138" t="n"/>
      <c r="AH405" s="16" t="n"/>
      <c r="AI405" s="138" t="n"/>
      <c r="AJ405" s="16" t="n"/>
      <c r="AK405" s="138" t="n"/>
      <c r="AL405" s="16" t="n"/>
      <c r="AM405" s="138" t="n"/>
      <c r="AN405" s="16" t="n"/>
      <c r="AO405" s="138" t="n"/>
      <c r="AP405" s="16" t="n"/>
      <c r="AQ405" s="138" t="n"/>
      <c r="AR405" s="16" t="n"/>
      <c r="AS405" s="138" t="n"/>
      <c r="AT405" s="16" t="n"/>
      <c r="AU405" s="138" t="n"/>
      <c r="AV405" s="16" t="n"/>
      <c r="AW405" s="138" t="n"/>
      <c r="AX405" s="16" t="n"/>
      <c r="AY405" s="138" t="n"/>
      <c r="AZ405" s="16">
        <f>AF405+AH405+AJ405+AL405+AN405+AP405+AR405+AT405+AV405+AX405</f>
        <v/>
      </c>
      <c r="BA405" s="16" t="n"/>
      <c r="BB405" s="139" t="n"/>
      <c r="BC405" s="16" t="n"/>
      <c r="BD405" s="139" t="n"/>
      <c r="BE405" s="16">
        <f>(BA405+BC405)</f>
        <v/>
      </c>
    </row>
    <row r="406">
      <c r="A406" s="9" t="n"/>
      <c r="B406" s="136" t="inlineStr">
        <is>
          <t>충전 변환 젠더</t>
        </is>
      </c>
      <c r="C406" s="142" t="inlineStr">
        <is>
          <t>공용</t>
        </is>
      </c>
      <c r="D406" s="63" t="inlineStr">
        <is>
          <t>외부배터리 충전용 잭</t>
        </is>
      </c>
      <c r="E406" s="13" t="n"/>
      <c r="F406" s="99" t="n"/>
      <c r="G406" s="9" t="n"/>
      <c r="H406" s="9" t="inlineStr">
        <is>
          <t>직구</t>
        </is>
      </c>
      <c r="I406" s="14" t="n"/>
      <c r="J406" s="14" t="n"/>
      <c r="K406" s="12" t="n">
        <v>0</v>
      </c>
      <c r="L406" s="9" t="n"/>
      <c r="M406" s="9" t="n"/>
      <c r="N406" s="9" t="n"/>
      <c r="O406" s="40">
        <f>K406+V406-AE406-AZ406</f>
        <v/>
      </c>
      <c r="P406" s="12" t="n"/>
      <c r="Q406" s="138" t="n"/>
      <c r="R406" s="16" t="n"/>
      <c r="S406" s="139" t="n"/>
      <c r="T406" s="16" t="n"/>
      <c r="U406" s="139" t="n"/>
      <c r="V406" s="16">
        <f>P406+R406+T406</f>
        <v/>
      </c>
      <c r="W406" s="16" t="n"/>
      <c r="X406" s="139" t="n"/>
      <c r="Y406" s="16" t="n"/>
      <c r="Z406" s="139" t="n"/>
      <c r="AA406" s="16" t="n"/>
      <c r="AB406" s="139" t="n"/>
      <c r="AC406" s="16" t="n"/>
      <c r="AD406" s="139" t="n"/>
      <c r="AE406" s="16">
        <f>(W406+Y406+AA406+AC406)</f>
        <v/>
      </c>
      <c r="AF406" s="16" t="n"/>
      <c r="AG406" s="138" t="n"/>
      <c r="AH406" s="16" t="n"/>
      <c r="AI406" s="138" t="n"/>
      <c r="AJ406" s="16" t="n"/>
      <c r="AK406" s="138" t="n"/>
      <c r="AL406" s="16" t="n"/>
      <c r="AM406" s="138" t="n"/>
      <c r="AN406" s="16" t="n"/>
      <c r="AO406" s="138" t="n"/>
      <c r="AP406" s="16" t="n"/>
      <c r="AQ406" s="138" t="n"/>
      <c r="AR406" s="16" t="n"/>
      <c r="AS406" s="138" t="n"/>
      <c r="AT406" s="16" t="n"/>
      <c r="AU406" s="138" t="n"/>
      <c r="AV406" s="16" t="n"/>
      <c r="AW406" s="138" t="n"/>
      <c r="AX406" s="16" t="n"/>
      <c r="AY406" s="138" t="n"/>
      <c r="AZ406" s="16">
        <f>AF406+AH406+AJ406+AL406+AN406+AP406+AR406+AT406+AV406+AX406</f>
        <v/>
      </c>
      <c r="BA406" s="16" t="n"/>
      <c r="BB406" s="139" t="n"/>
      <c r="BC406" s="16" t="n"/>
      <c r="BD406" s="139" t="n"/>
      <c r="BE406" s="16">
        <f>(BA406+BC406)</f>
        <v/>
      </c>
    </row>
    <row r="407" ht="24" customHeight="1" s="122">
      <c r="A407" s="9" t="n"/>
      <c r="B407" s="136" t="inlineStr">
        <is>
          <t>배터리 충전기</t>
        </is>
      </c>
      <c r="C407" s="137" t="inlineStr">
        <is>
          <t>DX3000, ADX4000W</t>
        </is>
      </c>
      <c r="D407" s="60" t="inlineStr">
        <is>
          <t>거치대</t>
        </is>
      </c>
      <c r="E407" s="13" t="inlineStr">
        <is>
          <t>D-910</t>
        </is>
      </c>
      <c r="F407" s="99" t="n"/>
      <c r="G407" s="9" t="n"/>
      <c r="H407" s="9" t="inlineStr">
        <is>
          <t>HLP</t>
        </is>
      </c>
      <c r="I407" s="14" t="n"/>
      <c r="J407" s="14" t="n"/>
      <c r="K407" s="12" t="n">
        <v>0</v>
      </c>
      <c r="L407" s="9" t="n"/>
      <c r="M407" s="9" t="n"/>
      <c r="N407" s="9" t="n"/>
      <c r="O407" s="40">
        <f>K407+V407-AE407-AZ407</f>
        <v/>
      </c>
      <c r="P407" s="12" t="n"/>
      <c r="Q407" s="138" t="n"/>
      <c r="R407" s="16" t="n"/>
      <c r="S407" s="139" t="n"/>
      <c r="T407" s="16" t="n"/>
      <c r="U407" s="139" t="n"/>
      <c r="V407" s="16">
        <f>P407+R407+T407</f>
        <v/>
      </c>
      <c r="W407" s="16" t="n"/>
      <c r="X407" s="139" t="n"/>
      <c r="Y407" s="16" t="n"/>
      <c r="Z407" s="139" t="n"/>
      <c r="AA407" s="16" t="n"/>
      <c r="AB407" s="139" t="n"/>
      <c r="AC407" s="16" t="n"/>
      <c r="AD407" s="139" t="n"/>
      <c r="AE407" s="16">
        <f>(W407+Y407+AA407+AC407)</f>
        <v/>
      </c>
      <c r="AF407" s="16" t="n"/>
      <c r="AG407" s="138" t="n"/>
      <c r="AH407" s="16" t="n"/>
      <c r="AI407" s="138" t="n"/>
      <c r="AJ407" s="16" t="n"/>
      <c r="AK407" s="138" t="n"/>
      <c r="AL407" s="16" t="n"/>
      <c r="AM407" s="138" t="n"/>
      <c r="AN407" s="16" t="n"/>
      <c r="AO407" s="138" t="n"/>
      <c r="AP407" s="16" t="n"/>
      <c r="AQ407" s="138" t="n"/>
      <c r="AR407" s="16" t="n"/>
      <c r="AS407" s="138" t="n"/>
      <c r="AT407" s="16" t="n"/>
      <c r="AU407" s="138" t="n"/>
      <c r="AV407" s="16" t="n"/>
      <c r="AW407" s="138" t="n"/>
      <c r="AX407" s="16" t="n"/>
      <c r="AY407" s="138" t="n"/>
      <c r="AZ407" s="16">
        <f>AF407+AH407+AJ407+AL407+AN407+AP407+AR407+AT407+AV407+AX407</f>
        <v/>
      </c>
      <c r="BA407" s="16" t="n"/>
      <c r="BB407" s="139" t="n"/>
      <c r="BC407" s="16" t="n"/>
      <c r="BD407" s="139" t="n"/>
      <c r="BE407" s="16">
        <f>(BA407+BC407)</f>
        <v/>
      </c>
    </row>
    <row r="408">
      <c r="A408" s="9" t="n"/>
      <c r="B408" s="136" t="inlineStr">
        <is>
          <t>CABLE</t>
        </is>
      </c>
      <c r="C408" s="142" t="inlineStr">
        <is>
          <t>공용</t>
        </is>
      </c>
      <c r="D408" s="63" t="inlineStr">
        <is>
          <t>외부 배터리 와이어 케이블</t>
        </is>
      </c>
      <c r="E408" s="13" t="n"/>
      <c r="F408" s="99" t="n"/>
      <c r="G408" s="9" t="n"/>
      <c r="H408" s="9" t="inlineStr">
        <is>
          <t>HLP</t>
        </is>
      </c>
      <c r="I408" s="14" t="n"/>
      <c r="J408" s="14" t="n"/>
      <c r="K408" s="12" t="n">
        <v>0</v>
      </c>
      <c r="L408" s="9" t="n"/>
      <c r="M408" s="9" t="n"/>
      <c r="N408" s="9" t="n"/>
      <c r="O408" s="40">
        <f>K408+V408-AE408-AZ408</f>
        <v/>
      </c>
      <c r="P408" s="12" t="n"/>
      <c r="Q408" s="138" t="n"/>
      <c r="R408" s="16" t="n"/>
      <c r="S408" s="139" t="n"/>
      <c r="T408" s="16" t="n"/>
      <c r="U408" s="139" t="n"/>
      <c r="V408" s="16">
        <f>P408+R408+T408</f>
        <v/>
      </c>
      <c r="W408" s="16" t="n"/>
      <c r="X408" s="139" t="n"/>
      <c r="Y408" s="16" t="n"/>
      <c r="Z408" s="139" t="n"/>
      <c r="AA408" s="16" t="n"/>
      <c r="AB408" s="139" t="n"/>
      <c r="AC408" s="16" t="n"/>
      <c r="AD408" s="139" t="n"/>
      <c r="AE408" s="16">
        <f>(W408+Y408+AA408+AC408)</f>
        <v/>
      </c>
      <c r="AF408" s="16" t="n"/>
      <c r="AG408" s="138" t="n"/>
      <c r="AH408" s="16" t="n"/>
      <c r="AI408" s="138" t="n"/>
      <c r="AJ408" s="16" t="n"/>
      <c r="AK408" s="138" t="n"/>
      <c r="AL408" s="16" t="n"/>
      <c r="AM408" s="138" t="n"/>
      <c r="AN408" s="16" t="n"/>
      <c r="AO408" s="138" t="n"/>
      <c r="AP408" s="16" t="n"/>
      <c r="AQ408" s="138" t="n"/>
      <c r="AR408" s="16" t="n"/>
      <c r="AS408" s="138" t="n"/>
      <c r="AT408" s="16" t="n"/>
      <c r="AU408" s="138" t="n"/>
      <c r="AV408" s="16" t="n"/>
      <c r="AW408" s="138" t="n"/>
      <c r="AX408" s="16" t="n"/>
      <c r="AY408" s="138" t="n"/>
      <c r="AZ408" s="16">
        <f>AF408+AH408+AJ408+AL408+AN408+AP408+AR408+AT408+AV408+AX408</f>
        <v/>
      </c>
      <c r="BA408" s="16" t="n"/>
      <c r="BB408" s="139" t="n"/>
      <c r="BC408" s="16" t="n"/>
      <c r="BD408" s="139" t="n"/>
      <c r="BE408" s="16">
        <f>(BA408+BC408)</f>
        <v/>
      </c>
    </row>
    <row r="409">
      <c r="A409" s="9" t="n"/>
      <c r="B409" s="136" t="inlineStr">
        <is>
          <t>CABLE</t>
        </is>
      </c>
      <c r="C409" s="137" t="inlineStr">
        <is>
          <t>ADX4000W</t>
        </is>
      </c>
      <c r="D409" s="63" t="inlineStr">
        <is>
          <t>USB 2.0 CABLE</t>
        </is>
      </c>
      <c r="E409" s="13" t="inlineStr">
        <is>
          <t>U-30136, 3m</t>
        </is>
      </c>
      <c r="F409" s="99" t="n"/>
      <c r="G409" s="9" t="n"/>
      <c r="H409" s="9" t="inlineStr">
        <is>
          <t>유그린</t>
        </is>
      </c>
      <c r="I409" s="14" t="n"/>
      <c r="J409" s="14" t="n"/>
      <c r="K409" s="12" t="n">
        <v>0</v>
      </c>
      <c r="L409" s="9" t="n"/>
      <c r="M409" s="9" t="n"/>
      <c r="N409" s="9" t="n"/>
      <c r="O409" s="40">
        <f>K409+V409-AE409-AZ409</f>
        <v/>
      </c>
      <c r="P409" s="12" t="n"/>
      <c r="Q409" s="138" t="n"/>
      <c r="R409" s="16" t="n"/>
      <c r="S409" s="139" t="n"/>
      <c r="T409" s="16" t="n"/>
      <c r="U409" s="139" t="n"/>
      <c r="V409" s="16">
        <f>P409+R409+T409</f>
        <v/>
      </c>
      <c r="W409" s="16" t="n"/>
      <c r="X409" s="139" t="n"/>
      <c r="Y409" s="16" t="n"/>
      <c r="Z409" s="139" t="n"/>
      <c r="AA409" s="16" t="n"/>
      <c r="AB409" s="139" t="n"/>
      <c r="AC409" s="16" t="n"/>
      <c r="AD409" s="139" t="n"/>
      <c r="AE409" s="16">
        <f>(W409+Y409+AA409+AC409)</f>
        <v/>
      </c>
      <c r="AF409" s="16" t="n"/>
      <c r="AG409" s="138" t="n"/>
      <c r="AH409" s="16" t="n"/>
      <c r="AI409" s="138" t="n"/>
      <c r="AJ409" s="16" t="n"/>
      <c r="AK409" s="138" t="n"/>
      <c r="AL409" s="16" t="n"/>
      <c r="AM409" s="138" t="n"/>
      <c r="AN409" s="16" t="n"/>
      <c r="AO409" s="138" t="n"/>
      <c r="AP409" s="16" t="n"/>
      <c r="AQ409" s="138" t="n"/>
      <c r="AR409" s="16" t="n"/>
      <c r="AS409" s="138" t="n"/>
      <c r="AT409" s="16" t="n"/>
      <c r="AU409" s="138" t="n"/>
      <c r="AV409" s="16" t="n"/>
      <c r="AW409" s="138" t="n"/>
      <c r="AX409" s="16" t="n"/>
      <c r="AY409" s="138" t="n"/>
      <c r="AZ409" s="16">
        <f>AF409+AH409+AJ409+AL409+AN409+AP409+AR409+AT409+AV409+AX409</f>
        <v/>
      </c>
      <c r="BA409" s="16" t="n"/>
      <c r="BB409" s="139" t="n"/>
      <c r="BC409" s="16" t="n"/>
      <c r="BD409" s="139" t="n"/>
      <c r="BE409" s="16">
        <f>(BA409+BC409)</f>
        <v/>
      </c>
    </row>
    <row r="410">
      <c r="A410" s="9" t="n"/>
      <c r="B410" s="136" t="inlineStr">
        <is>
          <t>CABLE</t>
        </is>
      </c>
      <c r="C410" s="137" t="inlineStr">
        <is>
          <t>ADX4000W</t>
        </is>
      </c>
      <c r="D410" s="60" t="inlineStr">
        <is>
          <t>USB 2.0 CABLE</t>
        </is>
      </c>
      <c r="E410" s="13" t="inlineStr">
        <is>
          <t>PMM369-0200, 2m</t>
        </is>
      </c>
      <c r="F410" s="99" t="n"/>
      <c r="G410" s="9" t="n"/>
      <c r="H410" s="9" t="inlineStr">
        <is>
          <t>강원전자</t>
        </is>
      </c>
      <c r="I410" s="14" t="n"/>
      <c r="J410" s="14" t="n"/>
      <c r="K410" s="12" t="n">
        <v>0</v>
      </c>
      <c r="L410" s="9" t="n"/>
      <c r="M410" s="9" t="n"/>
      <c r="N410" s="9" t="n"/>
      <c r="O410" s="40">
        <f>K410+V410-AE410-AZ410</f>
        <v/>
      </c>
      <c r="P410" s="12" t="n"/>
      <c r="Q410" s="138" t="n"/>
      <c r="R410" s="16" t="n"/>
      <c r="S410" s="139" t="n"/>
      <c r="T410" s="16" t="n"/>
      <c r="U410" s="139" t="n"/>
      <c r="V410" s="16">
        <f>P410+R410+T410</f>
        <v/>
      </c>
      <c r="W410" s="16" t="n"/>
      <c r="X410" s="139" t="n"/>
      <c r="Y410" s="16" t="n"/>
      <c r="Z410" s="139" t="n"/>
      <c r="AA410" s="16" t="n"/>
      <c r="AB410" s="139" t="n"/>
      <c r="AC410" s="16" t="n"/>
      <c r="AD410" s="139" t="n"/>
      <c r="AE410" s="16">
        <f>(W410+Y410+AA410+AC410)</f>
        <v/>
      </c>
      <c r="AF410" s="16" t="n"/>
      <c r="AG410" s="138" t="n"/>
      <c r="AH410" s="16" t="n"/>
      <c r="AI410" s="138" t="n"/>
      <c r="AJ410" s="16" t="n"/>
      <c r="AK410" s="138" t="n"/>
      <c r="AL410" s="16" t="n"/>
      <c r="AM410" s="138" t="n"/>
      <c r="AN410" s="16" t="n"/>
      <c r="AO410" s="138" t="n"/>
      <c r="AP410" s="16" t="n"/>
      <c r="AQ410" s="138" t="n"/>
      <c r="AR410" s="16" t="n"/>
      <c r="AS410" s="138" t="n"/>
      <c r="AT410" s="16" t="n"/>
      <c r="AU410" s="138" t="n"/>
      <c r="AV410" s="16" t="n"/>
      <c r="AW410" s="138" t="n"/>
      <c r="AX410" s="16" t="n"/>
      <c r="AY410" s="138" t="n"/>
      <c r="AZ410" s="16">
        <f>AF410+AH410+AJ410+AL410+AN410+AP410+AR410+AT410+AV410+AX410</f>
        <v/>
      </c>
      <c r="BA410" s="16" t="n"/>
      <c r="BB410" s="139" t="n"/>
      <c r="BC410" s="16" t="n"/>
      <c r="BD410" s="139" t="n"/>
      <c r="BE410" s="16">
        <f>(BA410+BC410)</f>
        <v/>
      </c>
    </row>
    <row r="411">
      <c r="A411" s="9" t="n"/>
      <c r="B411" s="136" t="inlineStr">
        <is>
          <t>CABLE</t>
        </is>
      </c>
      <c r="C411" s="137" t="inlineStr">
        <is>
          <t>ADX4000W</t>
        </is>
      </c>
      <c r="D411" s="60" t="inlineStr">
        <is>
          <t>USB 2.0 CABLE</t>
        </is>
      </c>
      <c r="E411" s="13" t="inlineStr">
        <is>
          <t>PMM369-0100, 1m</t>
        </is>
      </c>
      <c r="F411" s="99" t="n"/>
      <c r="G411" s="9" t="n"/>
      <c r="H411" s="9" t="inlineStr">
        <is>
          <t>강원전자</t>
        </is>
      </c>
      <c r="I411" s="14" t="n"/>
      <c r="J411" s="14" t="n"/>
      <c r="K411" s="12" t="n">
        <v>0</v>
      </c>
      <c r="L411" s="9" t="n"/>
      <c r="M411" s="9" t="n"/>
      <c r="N411" s="9" t="n"/>
      <c r="O411" s="40">
        <f>K411+V411-AE411-AZ411</f>
        <v/>
      </c>
      <c r="P411" s="12" t="n"/>
      <c r="Q411" s="138" t="n"/>
      <c r="R411" s="16" t="n"/>
      <c r="S411" s="139" t="n"/>
      <c r="T411" s="16" t="n"/>
      <c r="U411" s="139" t="n"/>
      <c r="V411" s="16">
        <f>P411+R411+T411</f>
        <v/>
      </c>
      <c r="W411" s="16" t="n"/>
      <c r="X411" s="139" t="n"/>
      <c r="Y411" s="16" t="n"/>
      <c r="Z411" s="139" t="n"/>
      <c r="AA411" s="16" t="n"/>
      <c r="AB411" s="139" t="n"/>
      <c r="AC411" s="16" t="n"/>
      <c r="AD411" s="139" t="n"/>
      <c r="AE411" s="16">
        <f>(W411+Y411+AA411+AC411)</f>
        <v/>
      </c>
      <c r="AF411" s="16" t="n"/>
      <c r="AG411" s="138" t="n"/>
      <c r="AH411" s="16" t="n"/>
      <c r="AI411" s="138" t="n"/>
      <c r="AJ411" s="16" t="n"/>
      <c r="AK411" s="138" t="n"/>
      <c r="AL411" s="16" t="n"/>
      <c r="AM411" s="138" t="n"/>
      <c r="AN411" s="16" t="n"/>
      <c r="AO411" s="138" t="n"/>
      <c r="AP411" s="16" t="n"/>
      <c r="AQ411" s="138" t="n"/>
      <c r="AR411" s="16" t="n"/>
      <c r="AS411" s="138" t="n"/>
      <c r="AT411" s="16" t="n"/>
      <c r="AU411" s="138" t="n"/>
      <c r="AV411" s="16" t="n"/>
      <c r="AW411" s="138" t="n"/>
      <c r="AX411" s="16" t="n"/>
      <c r="AY411" s="138" t="n"/>
      <c r="AZ411" s="16">
        <f>AF411+AH411+AJ411+AL411+AN411+AP411+AR411+AT411+AV411+AX411</f>
        <v/>
      </c>
      <c r="BA411" s="16" t="n"/>
      <c r="BB411" s="139" t="n"/>
      <c r="BC411" s="16" t="n"/>
      <c r="BD411" s="139" t="n"/>
      <c r="BE411" s="16">
        <f>(BA411+BC411)</f>
        <v/>
      </c>
    </row>
    <row r="412">
      <c r="A412" s="9" t="n"/>
      <c r="B412" s="136" t="inlineStr">
        <is>
          <t>CABLE</t>
        </is>
      </c>
      <c r="C412" s="137" t="inlineStr">
        <is>
          <t>ADX6000</t>
        </is>
      </c>
      <c r="D412" s="60" t="inlineStr">
        <is>
          <t>PC Link Cable</t>
        </is>
      </c>
      <c r="E412" s="13" t="n"/>
      <c r="F412" s="99" t="n"/>
      <c r="G412" s="9" t="n"/>
      <c r="H412" s="9" t="inlineStr">
        <is>
          <t>직구</t>
        </is>
      </c>
      <c r="I412" s="14" t="n"/>
      <c r="J412" s="14" t="n"/>
      <c r="K412" s="12" t="n">
        <v>27</v>
      </c>
      <c r="L412" s="9" t="n"/>
      <c r="M412" s="9" t="n"/>
      <c r="N412" s="9" t="n"/>
      <c r="O412" s="40">
        <f>K412+V412-AE412-AZ412</f>
        <v/>
      </c>
      <c r="P412" s="12" t="n"/>
      <c r="Q412" s="138" t="n"/>
      <c r="R412" s="16" t="n"/>
      <c r="S412" s="139" t="n"/>
      <c r="T412" s="16" t="n"/>
      <c r="U412" s="139" t="n"/>
      <c r="V412" s="16">
        <f>P412+R412+T412</f>
        <v/>
      </c>
      <c r="W412" s="16" t="n"/>
      <c r="X412" s="139" t="n"/>
      <c r="Y412" s="16" t="n"/>
      <c r="Z412" s="139" t="n"/>
      <c r="AA412" s="16" t="n"/>
      <c r="AB412" s="139" t="n"/>
      <c r="AC412" s="16" t="n"/>
      <c r="AD412" s="139" t="n"/>
      <c r="AE412" s="16">
        <f>(W412+Y412+AA412+AC412)</f>
        <v/>
      </c>
      <c r="AF412" s="16" t="n"/>
      <c r="AG412" s="138" t="n"/>
      <c r="AH412" s="16" t="n"/>
      <c r="AI412" s="138" t="n"/>
      <c r="AJ412" s="16" t="n"/>
      <c r="AK412" s="138" t="n"/>
      <c r="AL412" s="16" t="n"/>
      <c r="AM412" s="138" t="n"/>
      <c r="AN412" s="16" t="n"/>
      <c r="AO412" s="138" t="n"/>
      <c r="AP412" s="16" t="n"/>
      <c r="AQ412" s="138" t="n"/>
      <c r="AR412" s="16" t="n"/>
      <c r="AS412" s="138" t="n"/>
      <c r="AT412" s="16" t="n"/>
      <c r="AU412" s="138" t="n"/>
      <c r="AV412" s="16" t="n"/>
      <c r="AW412" s="138" t="n"/>
      <c r="AX412" s="16" t="n"/>
      <c r="AY412" s="138" t="n"/>
      <c r="AZ412" s="16">
        <f>AF412+AH412+AJ412+AL412+AN412+AP412+AR412+AT412+AV412+AX412</f>
        <v/>
      </c>
      <c r="BA412" s="16" t="n"/>
      <c r="BB412" s="139" t="n"/>
      <c r="BC412" s="16" t="n"/>
      <c r="BD412" s="139" t="n"/>
      <c r="BE412" s="16">
        <f>(BA412+BC412)</f>
        <v/>
      </c>
    </row>
    <row r="413">
      <c r="A413" s="9" t="n"/>
      <c r="B413" s="136" t="inlineStr">
        <is>
          <t>PCB</t>
        </is>
      </c>
      <c r="C413" s="142" t="inlineStr">
        <is>
          <t>공용</t>
        </is>
      </c>
      <c r="D413" s="63" t="inlineStr">
        <is>
          <t>외부 배터리 쪽 보드</t>
        </is>
      </c>
      <c r="E413" s="13" t="inlineStr">
        <is>
          <t>EX BATTERY BD</t>
        </is>
      </c>
      <c r="F413" s="99" t="n"/>
      <c r="G413" s="9" t="n"/>
      <c r="H413" s="9" t="inlineStr">
        <is>
          <t>HLP</t>
        </is>
      </c>
      <c r="I413" s="14" t="n"/>
      <c r="J413" s="14" t="n"/>
      <c r="K413" s="12" t="n">
        <v>0</v>
      </c>
      <c r="L413" s="9" t="n"/>
      <c r="M413" s="9" t="n"/>
      <c r="N413" s="9" t="n"/>
      <c r="O413" s="40">
        <f>K413+V413-AE413-AZ413</f>
        <v/>
      </c>
      <c r="P413" s="12" t="n"/>
      <c r="Q413" s="138" t="n"/>
      <c r="R413" s="16" t="n"/>
      <c r="S413" s="139" t="n"/>
      <c r="T413" s="16" t="n"/>
      <c r="U413" s="139" t="n"/>
      <c r="V413" s="16">
        <f>P413+R413+T413</f>
        <v/>
      </c>
      <c r="W413" s="16" t="n"/>
      <c r="X413" s="139" t="n"/>
      <c r="Y413" s="16" t="n"/>
      <c r="Z413" s="139" t="n"/>
      <c r="AA413" s="16" t="n"/>
      <c r="AB413" s="139" t="n"/>
      <c r="AC413" s="16" t="n"/>
      <c r="AD413" s="139" t="n"/>
      <c r="AE413" s="16">
        <f>(W413+Y413+AA413+AC413)</f>
        <v/>
      </c>
      <c r="AF413" s="16" t="n"/>
      <c r="AG413" s="138" t="n"/>
      <c r="AH413" s="16" t="n"/>
      <c r="AI413" s="138" t="n"/>
      <c r="AJ413" s="16" t="n"/>
      <c r="AK413" s="138" t="n"/>
      <c r="AL413" s="16" t="n"/>
      <c r="AM413" s="138" t="n"/>
      <c r="AN413" s="16" t="n"/>
      <c r="AO413" s="138" t="n"/>
      <c r="AP413" s="16" t="n"/>
      <c r="AQ413" s="138" t="n"/>
      <c r="AR413" s="16" t="n"/>
      <c r="AS413" s="138" t="n"/>
      <c r="AT413" s="16" t="n"/>
      <c r="AU413" s="138" t="n"/>
      <c r="AV413" s="16" t="n"/>
      <c r="AW413" s="138" t="n"/>
      <c r="AX413" s="16" t="n"/>
      <c r="AY413" s="138" t="n"/>
      <c r="AZ413" s="16">
        <f>AF413+AH413+AJ413+AL413+AN413+AP413+AR413+AT413+AV413+AX413</f>
        <v/>
      </c>
      <c r="BA413" s="16" t="n"/>
      <c r="BB413" s="139" t="n"/>
      <c r="BC413" s="16" t="n"/>
      <c r="BD413" s="139" t="n"/>
      <c r="BE413" s="16">
        <f>(BA413+BC413)</f>
        <v/>
      </c>
    </row>
    <row r="414">
      <c r="A414" s="9" t="n"/>
      <c r="B414" s="136" t="inlineStr">
        <is>
          <t>가방</t>
        </is>
      </c>
      <c r="C414" s="137" t="inlineStr">
        <is>
          <t>DX3000</t>
        </is>
      </c>
      <c r="D414" s="63" t="inlineStr">
        <is>
          <t>가방+내부 FOAM(계란판)</t>
        </is>
      </c>
      <c r="E414" s="13" t="n"/>
      <c r="F414" s="99" t="n"/>
      <c r="G414" s="9" t="n"/>
      <c r="H414" s="9" t="inlineStr">
        <is>
          <t>굿모닝코리아유통</t>
        </is>
      </c>
      <c r="I414" s="14" t="n"/>
      <c r="J414" s="14" t="n"/>
      <c r="K414" s="12" t="n">
        <v>0</v>
      </c>
      <c r="L414" s="9" t="n"/>
      <c r="M414" s="9" t="n"/>
      <c r="N414" s="9" t="n"/>
      <c r="O414" s="40">
        <f>K414+V414-AE414-AZ414</f>
        <v/>
      </c>
      <c r="P414" s="12" t="n"/>
      <c r="Q414" s="138" t="n"/>
      <c r="R414" s="16" t="n"/>
      <c r="S414" s="139" t="n"/>
      <c r="T414" s="16" t="n"/>
      <c r="U414" s="139" t="n"/>
      <c r="V414" s="16">
        <f>P414+R414+T414</f>
        <v/>
      </c>
      <c r="W414" s="16" t="n"/>
      <c r="X414" s="139" t="n"/>
      <c r="Y414" s="16" t="n"/>
      <c r="Z414" s="139" t="n"/>
      <c r="AA414" s="16" t="n"/>
      <c r="AB414" s="139" t="n"/>
      <c r="AC414" s="16" t="n"/>
      <c r="AD414" s="139" t="n"/>
      <c r="AE414" s="16">
        <f>(W414+Y414+AA414+AC414)</f>
        <v/>
      </c>
      <c r="AF414" s="16" t="n"/>
      <c r="AG414" s="138" t="n"/>
      <c r="AH414" s="16" t="n"/>
      <c r="AI414" s="138" t="n"/>
      <c r="AJ414" s="16" t="n"/>
      <c r="AK414" s="138" t="n"/>
      <c r="AL414" s="16" t="n"/>
      <c r="AM414" s="138" t="n"/>
      <c r="AN414" s="16" t="n"/>
      <c r="AO414" s="138" t="n"/>
      <c r="AP414" s="16" t="n"/>
      <c r="AQ414" s="138" t="n"/>
      <c r="AR414" s="16" t="n"/>
      <c r="AS414" s="138" t="n"/>
      <c r="AT414" s="16" t="n"/>
      <c r="AU414" s="138" t="n"/>
      <c r="AV414" s="16" t="n"/>
      <c r="AW414" s="138" t="n"/>
      <c r="AX414" s="16" t="n"/>
      <c r="AY414" s="138" t="n"/>
      <c r="AZ414" s="16">
        <f>AF414+AH414+AJ414+AL414+AN414+AP414+AR414+AT414+AV414+AX414</f>
        <v/>
      </c>
      <c r="BA414" s="16" t="n"/>
      <c r="BB414" s="139" t="n"/>
      <c r="BC414" s="16" t="n"/>
      <c r="BD414" s="139" t="n"/>
      <c r="BE414" s="16">
        <f>(BA414+BC414)</f>
        <v/>
      </c>
    </row>
    <row r="415">
      <c r="A415" s="9" t="n"/>
      <c r="B415" s="136" t="inlineStr">
        <is>
          <t>가방</t>
        </is>
      </c>
      <c r="C415" s="137" t="inlineStr">
        <is>
          <t>DX3000</t>
        </is>
      </c>
      <c r="D415" s="65" t="inlineStr">
        <is>
          <t>가방+내장재 X</t>
        </is>
      </c>
      <c r="E415" s="13" t="n"/>
      <c r="F415" s="99" t="n"/>
      <c r="G415" s="9" t="n"/>
      <c r="H415" s="9" t="inlineStr">
        <is>
          <t>굿모닝코리아유통</t>
        </is>
      </c>
      <c r="I415" s="14" t="n"/>
      <c r="J415" s="14" t="n"/>
      <c r="K415" s="12" t="n">
        <v>0</v>
      </c>
      <c r="L415" s="9" t="n"/>
      <c r="M415" s="9" t="n"/>
      <c r="N415" s="9" t="n"/>
      <c r="O415" s="40">
        <f>K415+V415-AE415-AZ415</f>
        <v/>
      </c>
      <c r="P415" s="12" t="n"/>
      <c r="Q415" s="138" t="n"/>
      <c r="R415" s="16" t="n"/>
      <c r="S415" s="139" t="n"/>
      <c r="T415" s="16" t="n"/>
      <c r="U415" s="139" t="n"/>
      <c r="V415" s="16">
        <f>P415+R415+T415</f>
        <v/>
      </c>
      <c r="W415" s="16" t="n"/>
      <c r="X415" s="139" t="n"/>
      <c r="Y415" s="16" t="n"/>
      <c r="Z415" s="139" t="n"/>
      <c r="AA415" s="16" t="n"/>
      <c r="AB415" s="139" t="n"/>
      <c r="AC415" s="16" t="n"/>
      <c r="AD415" s="139" t="n"/>
      <c r="AE415" s="16">
        <f>(W415+Y415+AA415+AC415)</f>
        <v/>
      </c>
      <c r="AF415" s="16" t="n"/>
      <c r="AG415" s="138" t="n"/>
      <c r="AH415" s="16" t="n"/>
      <c r="AI415" s="138" t="n"/>
      <c r="AJ415" s="16" t="n"/>
      <c r="AK415" s="138" t="n"/>
      <c r="AL415" s="16" t="n"/>
      <c r="AM415" s="138" t="n"/>
      <c r="AN415" s="16" t="n"/>
      <c r="AO415" s="138" t="n"/>
      <c r="AP415" s="16" t="n"/>
      <c r="AQ415" s="138" t="n"/>
      <c r="AR415" s="16" t="n"/>
      <c r="AS415" s="138" t="n"/>
      <c r="AT415" s="16" t="n"/>
      <c r="AU415" s="138" t="n"/>
      <c r="AV415" s="16" t="n"/>
      <c r="AW415" s="138" t="n"/>
      <c r="AX415" s="16" t="n"/>
      <c r="AY415" s="138" t="n"/>
      <c r="AZ415" s="16">
        <f>AF415+AH415+AJ415+AL415+AN415+AP415+AR415+AT415+AV415+AX415</f>
        <v/>
      </c>
      <c r="BA415" s="16" t="n"/>
      <c r="BB415" s="139" t="n"/>
      <c r="BC415" s="16" t="n"/>
      <c r="BD415" s="139" t="n"/>
      <c r="BE415" s="16">
        <f>(BA415+BC415)</f>
        <v/>
      </c>
    </row>
    <row r="416">
      <c r="A416" s="9" t="n"/>
      <c r="B416" s="136" t="inlineStr">
        <is>
          <t>가방</t>
        </is>
      </c>
      <c r="C416" s="137" t="inlineStr">
        <is>
          <t>DX3000</t>
        </is>
      </c>
      <c r="D416" s="65" t="inlineStr">
        <is>
          <t>가방(로고 없는것)+내부 FOAM(계란판)</t>
        </is>
      </c>
      <c r="E416" s="13" t="n"/>
      <c r="F416" s="99" t="n"/>
      <c r="G416" s="9" t="n"/>
      <c r="H416" s="9" t="inlineStr">
        <is>
          <t>굿모닝코리아유통</t>
        </is>
      </c>
      <c r="I416" s="14" t="n"/>
      <c r="J416" s="14" t="n"/>
      <c r="K416" s="12" t="n">
        <v>0</v>
      </c>
      <c r="L416" s="9" t="n"/>
      <c r="M416" s="9" t="n"/>
      <c r="N416" s="9" t="n"/>
      <c r="O416" s="40">
        <f>K416+V416-AE416-AZ416</f>
        <v/>
      </c>
      <c r="P416" s="12" t="n"/>
      <c r="Q416" s="138" t="n"/>
      <c r="R416" s="16" t="n"/>
      <c r="S416" s="139" t="n"/>
      <c r="T416" s="16" t="n"/>
      <c r="U416" s="139" t="n"/>
      <c r="V416" s="16">
        <f>P416+R416+T416</f>
        <v/>
      </c>
      <c r="W416" s="16" t="n"/>
      <c r="X416" s="139" t="n"/>
      <c r="Y416" s="16" t="n"/>
      <c r="Z416" s="139" t="n"/>
      <c r="AA416" s="16" t="n"/>
      <c r="AB416" s="139" t="n"/>
      <c r="AC416" s="16" t="n"/>
      <c r="AD416" s="139" t="n"/>
      <c r="AE416" s="16">
        <f>(W416+Y416+AA416+AC416)</f>
        <v/>
      </c>
      <c r="AF416" s="16" t="n"/>
      <c r="AG416" s="138" t="n"/>
      <c r="AH416" s="16" t="n"/>
      <c r="AI416" s="138" t="n"/>
      <c r="AJ416" s="16" t="n"/>
      <c r="AK416" s="138" t="n"/>
      <c r="AL416" s="16" t="n"/>
      <c r="AM416" s="138" t="n"/>
      <c r="AN416" s="16" t="n"/>
      <c r="AO416" s="138" t="n"/>
      <c r="AP416" s="16" t="n"/>
      <c r="AQ416" s="138" t="n"/>
      <c r="AR416" s="16" t="n"/>
      <c r="AS416" s="138" t="n"/>
      <c r="AT416" s="16" t="n"/>
      <c r="AU416" s="138" t="n"/>
      <c r="AV416" s="16" t="n"/>
      <c r="AW416" s="138" t="n"/>
      <c r="AX416" s="16" t="n"/>
      <c r="AY416" s="138" t="n"/>
      <c r="AZ416" s="16">
        <f>AF416+AH416+AJ416+AL416+AN416+AP416+AR416+AT416+AV416+AX416</f>
        <v/>
      </c>
      <c r="BA416" s="16" t="n"/>
      <c r="BB416" s="139" t="n"/>
      <c r="BC416" s="16" t="n"/>
      <c r="BD416" s="139" t="n"/>
      <c r="BE416" s="16">
        <f>(BA416+BC416)</f>
        <v/>
      </c>
    </row>
    <row r="417">
      <c r="A417" s="9" t="n"/>
      <c r="B417" s="136" t="inlineStr">
        <is>
          <t>가방</t>
        </is>
      </c>
      <c r="C417" s="137" t="inlineStr">
        <is>
          <t>DX3000</t>
        </is>
      </c>
      <c r="D417" s="65" t="inlineStr">
        <is>
          <t>가방(로고 없는것)+내장재 X</t>
        </is>
      </c>
      <c r="E417" s="13" t="n"/>
      <c r="F417" s="99" t="n"/>
      <c r="G417" s="9" t="n"/>
      <c r="H417" s="9" t="inlineStr">
        <is>
          <t>굿모닝코리아유통</t>
        </is>
      </c>
      <c r="I417" s="14" t="n"/>
      <c r="J417" s="14" t="n"/>
      <c r="K417" s="12" t="n">
        <v>0</v>
      </c>
      <c r="L417" s="9" t="n"/>
      <c r="M417" s="9" t="n"/>
      <c r="N417" s="9" t="n"/>
      <c r="O417" s="40">
        <f>K417+V417-AE417-AZ417</f>
        <v/>
      </c>
      <c r="P417" s="12" t="n"/>
      <c r="Q417" s="138" t="n"/>
      <c r="R417" s="16" t="n"/>
      <c r="S417" s="139" t="n"/>
      <c r="T417" s="16" t="n"/>
      <c r="U417" s="139" t="n"/>
      <c r="V417" s="16">
        <f>P417+R417+T417</f>
        <v/>
      </c>
      <c r="W417" s="16" t="n"/>
      <c r="X417" s="139" t="n"/>
      <c r="Y417" s="16" t="n"/>
      <c r="Z417" s="139" t="n"/>
      <c r="AA417" s="16" t="n"/>
      <c r="AB417" s="139" t="n"/>
      <c r="AC417" s="16" t="n"/>
      <c r="AD417" s="139" t="n"/>
      <c r="AE417" s="16">
        <f>(W417+Y417+AA417+AC417)</f>
        <v/>
      </c>
      <c r="AF417" s="16" t="n"/>
      <c r="AG417" s="138" t="n"/>
      <c r="AH417" s="16" t="n"/>
      <c r="AI417" s="138" t="n"/>
      <c r="AJ417" s="16" t="n"/>
      <c r="AK417" s="138" t="n"/>
      <c r="AL417" s="16" t="n"/>
      <c r="AM417" s="138" t="n"/>
      <c r="AN417" s="16" t="n"/>
      <c r="AO417" s="138" t="n"/>
      <c r="AP417" s="16" t="n"/>
      <c r="AQ417" s="138" t="n"/>
      <c r="AR417" s="16" t="n"/>
      <c r="AS417" s="138" t="n"/>
      <c r="AT417" s="16" t="n"/>
      <c r="AU417" s="138" t="n"/>
      <c r="AV417" s="16" t="n"/>
      <c r="AW417" s="138" t="n"/>
      <c r="AX417" s="16" t="n"/>
      <c r="AY417" s="138" t="n"/>
      <c r="AZ417" s="16">
        <f>AF417+AH417+AJ417+AL417+AN417+AP417+AR417+AT417+AV417+AX417</f>
        <v/>
      </c>
      <c r="BA417" s="16" t="n"/>
      <c r="BB417" s="139" t="n"/>
      <c r="BC417" s="16" t="n"/>
      <c r="BD417" s="139" t="n"/>
      <c r="BE417" s="16">
        <f>(BA417+BC417)</f>
        <v/>
      </c>
    </row>
    <row r="418">
      <c r="A418" s="9" t="n"/>
      <c r="B418" s="136" t="inlineStr">
        <is>
          <t>가방</t>
        </is>
      </c>
      <c r="C418" s="137" t="inlineStr">
        <is>
          <t>COCOON</t>
        </is>
      </c>
      <c r="D418" s="65" t="inlineStr">
        <is>
          <t>가방+내부FOAM(계란판)_공용</t>
        </is>
      </c>
      <c r="E418" s="13" t="n"/>
      <c r="F418" s="99" t="n"/>
      <c r="G418" s="9" t="n"/>
      <c r="H418" s="9" t="inlineStr">
        <is>
          <t>굿모닝코리아유통</t>
        </is>
      </c>
      <c r="I418" s="14" t="n"/>
      <c r="J418" s="14" t="n"/>
      <c r="K418" s="12" t="n">
        <v>0</v>
      </c>
      <c r="L418" s="9" t="n"/>
      <c r="M418" s="9" t="n"/>
      <c r="N418" s="9" t="n"/>
      <c r="O418" s="40">
        <f>K418+V418-AE418-AZ418</f>
        <v/>
      </c>
      <c r="P418" s="12" t="n"/>
      <c r="Q418" s="138" t="n"/>
      <c r="R418" s="16" t="n"/>
      <c r="S418" s="139" t="n"/>
      <c r="T418" s="16" t="n"/>
      <c r="U418" s="139" t="n"/>
      <c r="V418" s="16">
        <f>P418+R418+T418</f>
        <v/>
      </c>
      <c r="W418" s="16" t="n"/>
      <c r="X418" s="139" t="n"/>
      <c r="Y418" s="16" t="n"/>
      <c r="Z418" s="139" t="n"/>
      <c r="AA418" s="16" t="n"/>
      <c r="AB418" s="139" t="n"/>
      <c r="AC418" s="16" t="n"/>
      <c r="AD418" s="139" t="n"/>
      <c r="AE418" s="16">
        <f>(W418+Y418+AA418+AC418)</f>
        <v/>
      </c>
      <c r="AF418" s="16" t="n"/>
      <c r="AG418" s="138" t="n"/>
      <c r="AH418" s="16" t="n"/>
      <c r="AI418" s="138" t="n"/>
      <c r="AJ418" s="16" t="n"/>
      <c r="AK418" s="138" t="n"/>
      <c r="AL418" s="16" t="n"/>
      <c r="AM418" s="138" t="n"/>
      <c r="AN418" s="16" t="n"/>
      <c r="AO418" s="138" t="n"/>
      <c r="AP418" s="16" t="n"/>
      <c r="AQ418" s="138" t="n"/>
      <c r="AR418" s="16" t="n"/>
      <c r="AS418" s="138" t="n"/>
      <c r="AT418" s="16" t="n"/>
      <c r="AU418" s="138" t="n"/>
      <c r="AV418" s="16" t="n"/>
      <c r="AW418" s="138" t="n"/>
      <c r="AX418" s="16" t="n"/>
      <c r="AY418" s="138" t="n"/>
      <c r="AZ418" s="16">
        <f>AF418+AH418+AJ418+AL418+AN418+AP418+AR418+AT418+AV418+AX418</f>
        <v/>
      </c>
      <c r="BA418" s="16" t="n"/>
      <c r="BB418" s="139" t="n"/>
      <c r="BC418" s="16" t="n"/>
      <c r="BD418" s="139" t="n"/>
      <c r="BE418" s="16">
        <f>(BA418+BC418)</f>
        <v/>
      </c>
    </row>
    <row r="419">
      <c r="A419" s="9" t="n"/>
      <c r="B419" s="136" t="inlineStr">
        <is>
          <t>가방</t>
        </is>
      </c>
      <c r="C419" s="137" t="inlineStr">
        <is>
          <t>COCOON</t>
        </is>
      </c>
      <c r="D419" s="65" t="inlineStr">
        <is>
          <t>가방(로고 없는것)+내부 FOAM(계란판)</t>
        </is>
      </c>
      <c r="E419" s="13" t="n"/>
      <c r="F419" s="99" t="n"/>
      <c r="G419" s="9" t="n"/>
      <c r="H419" s="9" t="inlineStr">
        <is>
          <t>굿모닝코리아유통</t>
        </is>
      </c>
      <c r="I419" s="14" t="n"/>
      <c r="J419" s="14" t="n"/>
      <c r="K419" s="12" t="n">
        <v>0</v>
      </c>
      <c r="L419" s="9" t="n"/>
      <c r="M419" s="9" t="n"/>
      <c r="N419" s="9" t="n"/>
      <c r="O419" s="40">
        <f>K419+V419-AE419-AZ419</f>
        <v/>
      </c>
      <c r="P419" s="12" t="n"/>
      <c r="Q419" s="138" t="n"/>
      <c r="R419" s="16" t="n"/>
      <c r="S419" s="139" t="n"/>
      <c r="T419" s="16" t="n"/>
      <c r="U419" s="139" t="n"/>
      <c r="V419" s="16">
        <f>P419+R419+T419</f>
        <v/>
      </c>
      <c r="W419" s="16" t="n"/>
      <c r="X419" s="139" t="n"/>
      <c r="Y419" s="16" t="n"/>
      <c r="Z419" s="139" t="n"/>
      <c r="AA419" s="16" t="n"/>
      <c r="AB419" s="139" t="n"/>
      <c r="AC419" s="16" t="n"/>
      <c r="AD419" s="139" t="n"/>
      <c r="AE419" s="16">
        <f>(W419+Y419+AA419+AC419)</f>
        <v/>
      </c>
      <c r="AF419" s="16" t="n"/>
      <c r="AG419" s="138" t="n"/>
      <c r="AH419" s="16" t="n"/>
      <c r="AI419" s="138" t="n"/>
      <c r="AJ419" s="16" t="n"/>
      <c r="AK419" s="138" t="n"/>
      <c r="AL419" s="16" t="n"/>
      <c r="AM419" s="138" t="n"/>
      <c r="AN419" s="16" t="n"/>
      <c r="AO419" s="138" t="n"/>
      <c r="AP419" s="16" t="n"/>
      <c r="AQ419" s="138" t="n"/>
      <c r="AR419" s="16" t="n"/>
      <c r="AS419" s="138" t="n"/>
      <c r="AT419" s="16" t="n"/>
      <c r="AU419" s="138" t="n"/>
      <c r="AV419" s="16" t="n"/>
      <c r="AW419" s="138" t="n"/>
      <c r="AX419" s="16" t="n"/>
      <c r="AY419" s="138" t="n"/>
      <c r="AZ419" s="16">
        <f>AF419+AH419+AJ419+AL419+AN419+AP419+AR419+AT419+AV419+AX419</f>
        <v/>
      </c>
      <c r="BA419" s="16" t="n"/>
      <c r="BB419" s="139" t="n"/>
      <c r="BC419" s="16" t="n"/>
      <c r="BD419" s="139" t="n"/>
      <c r="BE419" s="16">
        <f>(BA419+BC419)</f>
        <v/>
      </c>
    </row>
    <row r="420">
      <c r="A420" s="9" t="n"/>
      <c r="B420" s="136" t="inlineStr">
        <is>
          <t>가방</t>
        </is>
      </c>
      <c r="C420" s="137" t="inlineStr">
        <is>
          <t>COCOON</t>
        </is>
      </c>
      <c r="D420" s="63" t="inlineStr">
        <is>
          <t>가방(로고 없는것)+내장재 X</t>
        </is>
      </c>
      <c r="E420" s="13" t="n"/>
      <c r="F420" s="99" t="n"/>
      <c r="G420" s="9" t="n"/>
      <c r="H420" s="9" t="inlineStr">
        <is>
          <t>굿모닝코리아유통</t>
        </is>
      </c>
      <c r="I420" s="14" t="n"/>
      <c r="J420" s="14" t="n"/>
      <c r="K420" s="12" t="n">
        <v>0</v>
      </c>
      <c r="L420" s="9" t="n"/>
      <c r="M420" s="9" t="n"/>
      <c r="N420" s="9" t="n"/>
      <c r="O420" s="40">
        <f>K420+V420-AE420-AZ420</f>
        <v/>
      </c>
      <c r="P420" s="12" t="n"/>
      <c r="Q420" s="138" t="n"/>
      <c r="R420" s="16" t="n"/>
      <c r="S420" s="139" t="n"/>
      <c r="T420" s="16" t="n"/>
      <c r="U420" s="139" t="n"/>
      <c r="V420" s="16">
        <f>P420+R420+T420</f>
        <v/>
      </c>
      <c r="W420" s="16" t="n"/>
      <c r="X420" s="139" t="n"/>
      <c r="Y420" s="16" t="n"/>
      <c r="Z420" s="139" t="n"/>
      <c r="AA420" s="16" t="n"/>
      <c r="AB420" s="139" t="n"/>
      <c r="AC420" s="16" t="n"/>
      <c r="AD420" s="139" t="n"/>
      <c r="AE420" s="16">
        <f>(W420+Y420+AA420+AC420)</f>
        <v/>
      </c>
      <c r="AF420" s="16" t="n"/>
      <c r="AG420" s="138" t="n"/>
      <c r="AH420" s="16" t="n"/>
      <c r="AI420" s="138" t="n"/>
      <c r="AJ420" s="16" t="n"/>
      <c r="AK420" s="138" t="n"/>
      <c r="AL420" s="16" t="n"/>
      <c r="AM420" s="138" t="n"/>
      <c r="AN420" s="16" t="n"/>
      <c r="AO420" s="138" t="n"/>
      <c r="AP420" s="16" t="n"/>
      <c r="AQ420" s="138" t="n"/>
      <c r="AR420" s="16" t="n"/>
      <c r="AS420" s="138" t="n"/>
      <c r="AT420" s="16" t="n"/>
      <c r="AU420" s="138" t="n"/>
      <c r="AV420" s="16" t="n"/>
      <c r="AW420" s="138" t="n"/>
      <c r="AX420" s="16" t="n"/>
      <c r="AY420" s="138" t="n"/>
      <c r="AZ420" s="16">
        <f>AF420+AH420+AJ420+AL420+AN420+AP420+AR420+AT420+AV420+AX420</f>
        <v/>
      </c>
      <c r="BA420" s="16" t="n"/>
      <c r="BB420" s="139" t="n"/>
      <c r="BC420" s="16" t="n"/>
      <c r="BD420" s="139" t="n"/>
      <c r="BE420" s="16">
        <f>(BA420+BC420)</f>
        <v/>
      </c>
    </row>
    <row r="421">
      <c r="A421" s="9" t="n"/>
      <c r="B421" s="136" t="inlineStr">
        <is>
          <t>가방</t>
        </is>
      </c>
      <c r="C421" s="137" t="inlineStr">
        <is>
          <t>ADX6000</t>
        </is>
      </c>
      <c r="D421" s="63" t="inlineStr">
        <is>
          <t>가방+내부FOAM(계란판)_공용</t>
        </is>
      </c>
      <c r="E421" s="18" t="n"/>
      <c r="F421" s="99" t="n"/>
      <c r="G421" s="9" t="n"/>
      <c r="H421" s="9" t="inlineStr">
        <is>
          <t>굿모닝코리아유통</t>
        </is>
      </c>
      <c r="I421" s="14" t="n"/>
      <c r="J421" s="14" t="n"/>
      <c r="K421" s="12" t="n">
        <v>0</v>
      </c>
      <c r="L421" s="9" t="n"/>
      <c r="M421" s="9" t="n"/>
      <c r="N421" s="9" t="n"/>
      <c r="O421" s="40">
        <f>K421+V421-AE421-AZ421</f>
        <v/>
      </c>
      <c r="P421" s="12" t="n"/>
      <c r="Q421" s="138" t="n"/>
      <c r="R421" s="16" t="n"/>
      <c r="S421" s="139" t="n"/>
      <c r="T421" s="16" t="n"/>
      <c r="U421" s="139" t="n"/>
      <c r="V421" s="16">
        <f>P421+R421+T421</f>
        <v/>
      </c>
      <c r="W421" s="16" t="n"/>
      <c r="X421" s="139" t="n"/>
      <c r="Y421" s="16" t="n"/>
      <c r="Z421" s="139" t="n"/>
      <c r="AA421" s="16" t="n"/>
      <c r="AB421" s="139" t="n"/>
      <c r="AC421" s="16" t="n"/>
      <c r="AD421" s="139" t="n"/>
      <c r="AE421" s="16">
        <f>(W421+Y421+AA421+AC421)</f>
        <v/>
      </c>
      <c r="AF421" s="16" t="n"/>
      <c r="AG421" s="138" t="n"/>
      <c r="AH421" s="16" t="n"/>
      <c r="AI421" s="138" t="n"/>
      <c r="AJ421" s="16" t="n"/>
      <c r="AK421" s="138" t="n"/>
      <c r="AL421" s="16" t="n"/>
      <c r="AM421" s="138" t="n"/>
      <c r="AN421" s="16" t="n"/>
      <c r="AO421" s="138" t="n"/>
      <c r="AP421" s="16" t="n"/>
      <c r="AQ421" s="138" t="n"/>
      <c r="AR421" s="16" t="n"/>
      <c r="AS421" s="138" t="n"/>
      <c r="AT421" s="16" t="n"/>
      <c r="AU421" s="138" t="n"/>
      <c r="AV421" s="16" t="n"/>
      <c r="AW421" s="138" t="n"/>
      <c r="AX421" s="16" t="n"/>
      <c r="AY421" s="138" t="n"/>
      <c r="AZ421" s="16">
        <f>AF421+AH421+AJ421+AL421+AN421+AP421+AR421+AT421+AV421+AX421</f>
        <v/>
      </c>
      <c r="BA421" s="16" t="n"/>
      <c r="BB421" s="139" t="n"/>
      <c r="BC421" s="16" t="n"/>
      <c r="BD421" s="139" t="n"/>
      <c r="BE421" s="16">
        <f>(BA421+BC421)</f>
        <v/>
      </c>
    </row>
    <row r="422">
      <c r="A422" s="9" t="n"/>
      <c r="B422" s="136" t="inlineStr">
        <is>
          <t>가방</t>
        </is>
      </c>
      <c r="C422" s="137" t="inlineStr">
        <is>
          <t>ADX6000</t>
        </is>
      </c>
      <c r="D422" s="63" t="inlineStr">
        <is>
          <t>가방 (뱅가드)</t>
        </is>
      </c>
      <c r="E422" s="13" t="n"/>
      <c r="F422" s="99" t="n"/>
      <c r="G422" s="9" t="n"/>
      <c r="H422" s="9" t="inlineStr">
        <is>
          <t>수프림</t>
        </is>
      </c>
      <c r="I422" s="14" t="n"/>
      <c r="J422" s="14" t="n"/>
      <c r="K422" s="12" t="n">
        <v>0</v>
      </c>
      <c r="L422" s="9" t="n"/>
      <c r="M422" s="9" t="n"/>
      <c r="N422" s="9" t="n"/>
      <c r="O422" s="40">
        <f>K422+V422-AE422-AZ422</f>
        <v/>
      </c>
      <c r="P422" s="12" t="n"/>
      <c r="Q422" s="138" t="n"/>
      <c r="R422" s="16" t="n"/>
      <c r="S422" s="139" t="n"/>
      <c r="T422" s="16" t="n"/>
      <c r="U422" s="139" t="n"/>
      <c r="V422" s="16">
        <f>P422+R422+T422</f>
        <v/>
      </c>
      <c r="W422" s="16" t="n"/>
      <c r="X422" s="139" t="n"/>
      <c r="Y422" s="16" t="n"/>
      <c r="Z422" s="139" t="n"/>
      <c r="AA422" s="16" t="n"/>
      <c r="AB422" s="139" t="n"/>
      <c r="AC422" s="16" t="n"/>
      <c r="AD422" s="139" t="n"/>
      <c r="AE422" s="16">
        <f>(W422+Y422+AA422+AC422)</f>
        <v/>
      </c>
      <c r="AF422" s="16" t="n"/>
      <c r="AG422" s="138" t="n"/>
      <c r="AH422" s="16" t="n"/>
      <c r="AI422" s="138" t="n"/>
      <c r="AJ422" s="16" t="n"/>
      <c r="AK422" s="138" t="n"/>
      <c r="AL422" s="16" t="n"/>
      <c r="AM422" s="138" t="n"/>
      <c r="AN422" s="16" t="n"/>
      <c r="AO422" s="138" t="n"/>
      <c r="AP422" s="16" t="n"/>
      <c r="AQ422" s="138" t="n"/>
      <c r="AR422" s="16" t="n"/>
      <c r="AS422" s="138" t="n"/>
      <c r="AT422" s="16" t="n"/>
      <c r="AU422" s="138" t="n"/>
      <c r="AV422" s="16" t="n"/>
      <c r="AW422" s="138" t="n"/>
      <c r="AX422" s="16" t="n"/>
      <c r="AY422" s="138" t="n"/>
      <c r="AZ422" s="16">
        <f>AF422+AH422+AJ422+AL422+AN422+AP422+AR422+AT422+AV422+AX422</f>
        <v/>
      </c>
      <c r="BA422" s="16" t="n"/>
      <c r="BB422" s="139" t="n"/>
      <c r="BC422" s="16" t="n"/>
      <c r="BD422" s="139" t="n"/>
      <c r="BE422" s="16">
        <f>(BA422+BC422)</f>
        <v/>
      </c>
    </row>
    <row r="423">
      <c r="A423" s="9" t="n"/>
      <c r="B423" s="136" t="inlineStr">
        <is>
          <t>가방</t>
        </is>
      </c>
      <c r="C423" s="137" t="inlineStr">
        <is>
          <t>ADX6000</t>
        </is>
      </c>
      <c r="D423" s="63" t="inlineStr">
        <is>
          <t>FDXD-810 센서 가방 (뱅가드)</t>
        </is>
      </c>
      <c r="E423" s="13" t="n"/>
      <c r="F423" s="99" t="n"/>
      <c r="G423" s="9" t="n"/>
      <c r="H423" s="9" t="inlineStr">
        <is>
          <t>굿모닝코리아유통</t>
        </is>
      </c>
      <c r="I423" s="14" t="n"/>
      <c r="J423" s="14" t="n"/>
      <c r="K423" s="12" t="n">
        <v>0</v>
      </c>
      <c r="L423" s="9" t="n"/>
      <c r="M423" s="9" t="n"/>
      <c r="N423" s="9" t="n"/>
      <c r="O423" s="40">
        <f>K423+V423-AE423-AZ423</f>
        <v/>
      </c>
      <c r="P423" s="12" t="n"/>
      <c r="Q423" s="138" t="n"/>
      <c r="R423" s="16" t="n"/>
      <c r="S423" s="139" t="n"/>
      <c r="T423" s="16" t="n"/>
      <c r="U423" s="139" t="n"/>
      <c r="V423" s="16">
        <f>P423+R423+T423</f>
        <v/>
      </c>
      <c r="W423" s="16" t="n"/>
      <c r="X423" s="139" t="n"/>
      <c r="Y423" s="16" t="n"/>
      <c r="Z423" s="139" t="n"/>
      <c r="AA423" s="16" t="n"/>
      <c r="AB423" s="139" t="n"/>
      <c r="AC423" s="16" t="n"/>
      <c r="AD423" s="139" t="n"/>
      <c r="AE423" s="16">
        <f>(W423+Y423+AA423+AC423)</f>
        <v/>
      </c>
      <c r="AF423" s="16" t="n"/>
      <c r="AG423" s="138" t="n"/>
      <c r="AH423" s="16" t="n"/>
      <c r="AI423" s="138" t="n"/>
      <c r="AJ423" s="16" t="n"/>
      <c r="AK423" s="138" t="n"/>
      <c r="AL423" s="16" t="n"/>
      <c r="AM423" s="138" t="n"/>
      <c r="AN423" s="16" t="n"/>
      <c r="AO423" s="138" t="n"/>
      <c r="AP423" s="16" t="n"/>
      <c r="AQ423" s="138" t="n"/>
      <c r="AR423" s="16" t="n"/>
      <c r="AS423" s="138" t="n"/>
      <c r="AT423" s="16" t="n"/>
      <c r="AU423" s="138" t="n"/>
      <c r="AV423" s="16" t="n"/>
      <c r="AW423" s="138" t="n"/>
      <c r="AX423" s="16" t="n"/>
      <c r="AY423" s="138" t="n"/>
      <c r="AZ423" s="16">
        <f>AF423+AH423+AJ423+AL423+AN423+AP423+AR423+AT423+AV423+AX423</f>
        <v/>
      </c>
      <c r="BA423" s="16" t="n"/>
      <c r="BB423" s="139" t="n"/>
      <c r="BC423" s="16" t="n"/>
      <c r="BD423" s="139" t="n"/>
      <c r="BE423" s="16">
        <f>(BA423+BC423)</f>
        <v/>
      </c>
    </row>
    <row r="424" ht="24" customHeight="1" s="122">
      <c r="A424" s="9" t="n"/>
      <c r="B424" s="136" t="inlineStr">
        <is>
          <t>PU FOAM</t>
        </is>
      </c>
      <c r="C424" s="137" t="inlineStr">
        <is>
          <t>DX3000, ADX4000W</t>
        </is>
      </c>
      <c r="D424" s="65" t="inlineStr">
        <is>
          <t>계란판</t>
        </is>
      </c>
      <c r="E424" s="13" t="n"/>
      <c r="F424" s="99" t="n"/>
      <c r="G424" s="9" t="n"/>
      <c r="H424" s="9" t="inlineStr">
        <is>
          <t>굿모닝코리아유통</t>
        </is>
      </c>
      <c r="I424" s="14" t="n"/>
      <c r="J424" s="14" t="n"/>
      <c r="K424" s="12" t="n">
        <v>0</v>
      </c>
      <c r="L424" s="9" t="n"/>
      <c r="M424" s="9" t="n"/>
      <c r="N424" s="9" t="n"/>
      <c r="O424" s="40">
        <f>K424+V424-AE424-AZ424</f>
        <v/>
      </c>
      <c r="P424" s="12" t="n"/>
      <c r="Q424" s="138" t="n"/>
      <c r="R424" s="16" t="n"/>
      <c r="S424" s="139" t="n"/>
      <c r="T424" s="16" t="n"/>
      <c r="U424" s="139" t="n"/>
      <c r="V424" s="16">
        <f>P424+R424+T424</f>
        <v/>
      </c>
      <c r="W424" s="16" t="n"/>
      <c r="X424" s="139" t="n"/>
      <c r="Y424" s="16" t="n"/>
      <c r="Z424" s="139" t="n"/>
      <c r="AA424" s="16" t="n"/>
      <c r="AB424" s="139" t="n"/>
      <c r="AC424" s="16" t="n"/>
      <c r="AD424" s="139" t="n"/>
      <c r="AE424" s="16">
        <f>(W424+Y424+AA424+AC424)</f>
        <v/>
      </c>
      <c r="AF424" s="16" t="n"/>
      <c r="AG424" s="138" t="n"/>
      <c r="AH424" s="16" t="n"/>
      <c r="AI424" s="138" t="n"/>
      <c r="AJ424" s="16" t="n"/>
      <c r="AK424" s="138" t="n"/>
      <c r="AL424" s="16" t="n"/>
      <c r="AM424" s="138" t="n"/>
      <c r="AN424" s="16" t="n"/>
      <c r="AO424" s="138" t="n"/>
      <c r="AP424" s="16" t="n"/>
      <c r="AQ424" s="138" t="n"/>
      <c r="AR424" s="16" t="n"/>
      <c r="AS424" s="138" t="n"/>
      <c r="AT424" s="16" t="n"/>
      <c r="AU424" s="138" t="n"/>
      <c r="AV424" s="16" t="n"/>
      <c r="AW424" s="138" t="n"/>
      <c r="AX424" s="16" t="n"/>
      <c r="AY424" s="138" t="n"/>
      <c r="AZ424" s="16">
        <f>AF424+AH424+AJ424+AL424+AN424+AP424+AR424+AT424+AV424+AX424</f>
        <v/>
      </c>
      <c r="BA424" s="16" t="n"/>
      <c r="BB424" s="139" t="n"/>
      <c r="BC424" s="16" t="n"/>
      <c r="BD424" s="139" t="n"/>
      <c r="BE424" s="16">
        <f>(BA424+BC424)</f>
        <v/>
      </c>
    </row>
    <row r="425" ht="24" customHeight="1" s="122">
      <c r="A425" s="9" t="n"/>
      <c r="B425" s="136" t="inlineStr">
        <is>
          <t>PU FOAM</t>
        </is>
      </c>
      <c r="C425" s="137" t="inlineStr">
        <is>
          <t>COCOON, ADX6000</t>
        </is>
      </c>
      <c r="D425" s="63" t="inlineStr">
        <is>
          <t>계란판</t>
        </is>
      </c>
      <c r="E425" s="13" t="n"/>
      <c r="F425" s="99" t="n"/>
      <c r="G425" s="9" t="n"/>
      <c r="H425" s="9" t="inlineStr">
        <is>
          <t>굿모닝코리아유통</t>
        </is>
      </c>
      <c r="I425" s="14" t="n"/>
      <c r="J425" s="14" t="n"/>
      <c r="K425" s="12" t="n">
        <v>0</v>
      </c>
      <c r="L425" s="9" t="n"/>
      <c r="M425" s="9" t="n"/>
      <c r="N425" s="9" t="n"/>
      <c r="O425" s="40">
        <f>K425+V425-AE425-AZ425</f>
        <v/>
      </c>
      <c r="P425" s="12" t="n"/>
      <c r="Q425" s="138" t="n"/>
      <c r="R425" s="16" t="n"/>
      <c r="S425" s="139" t="n"/>
      <c r="T425" s="16" t="n"/>
      <c r="U425" s="139" t="n"/>
      <c r="V425" s="16">
        <f>P425+R425+T425</f>
        <v/>
      </c>
      <c r="W425" s="16" t="n"/>
      <c r="X425" s="139" t="n"/>
      <c r="Y425" s="16" t="n"/>
      <c r="Z425" s="139" t="n"/>
      <c r="AA425" s="16" t="n"/>
      <c r="AB425" s="139" t="n"/>
      <c r="AC425" s="16" t="n"/>
      <c r="AD425" s="139" t="n"/>
      <c r="AE425" s="16">
        <f>(W425+Y425+AA425+AC425)</f>
        <v/>
      </c>
      <c r="AF425" s="16" t="n"/>
      <c r="AG425" s="138" t="n"/>
      <c r="AH425" s="16" t="n"/>
      <c r="AI425" s="138" t="n"/>
      <c r="AJ425" s="16" t="n"/>
      <c r="AK425" s="138" t="n"/>
      <c r="AL425" s="16" t="n"/>
      <c r="AM425" s="138" t="n"/>
      <c r="AN425" s="16" t="n"/>
      <c r="AO425" s="138" t="n"/>
      <c r="AP425" s="16" t="n"/>
      <c r="AQ425" s="138" t="n"/>
      <c r="AR425" s="16" t="n"/>
      <c r="AS425" s="138" t="n"/>
      <c r="AT425" s="16" t="n"/>
      <c r="AU425" s="138" t="n"/>
      <c r="AV425" s="16" t="n"/>
      <c r="AW425" s="138" t="n"/>
      <c r="AX425" s="16" t="n"/>
      <c r="AY425" s="138" t="n"/>
      <c r="AZ425" s="16">
        <f>AF425+AH425+AJ425+AL425+AN425+AP425+AR425+AT425+AV425+AX425</f>
        <v/>
      </c>
      <c r="BA425" s="16" t="n"/>
      <c r="BB425" s="139" t="n"/>
      <c r="BC425" s="16" t="n"/>
      <c r="BD425" s="139" t="n"/>
      <c r="BE425" s="16">
        <f>(BA425+BC425)</f>
        <v/>
      </c>
    </row>
    <row r="426">
      <c r="A426" s="9" t="n"/>
      <c r="B426" s="136" t="inlineStr">
        <is>
          <t>PU FOAM</t>
        </is>
      </c>
      <c r="C426" s="137" t="inlineStr">
        <is>
          <t>DX3000</t>
        </is>
      </c>
      <c r="D426" s="63" t="inlineStr">
        <is>
          <t>가방 내부 폼</t>
        </is>
      </c>
      <c r="E426" s="13" t="inlineStr">
        <is>
          <t>15cm cone</t>
        </is>
      </c>
      <c r="F426" s="99" t="n"/>
      <c r="G426" s="9" t="n"/>
      <c r="H426" s="9" t="inlineStr">
        <is>
          <t>굿모닝코리아유통</t>
        </is>
      </c>
      <c r="I426" s="14" t="n"/>
      <c r="J426" s="14" t="n"/>
      <c r="K426" s="12" t="n">
        <v>0</v>
      </c>
      <c r="L426" s="9" t="n"/>
      <c r="M426" s="9" t="n"/>
      <c r="N426" s="9" t="n"/>
      <c r="O426" s="40">
        <f>K426+V426-AE426-AZ426</f>
        <v/>
      </c>
      <c r="P426" s="12" t="n"/>
      <c r="Q426" s="138" t="n"/>
      <c r="R426" s="16" t="n"/>
      <c r="S426" s="139" t="n"/>
      <c r="T426" s="16" t="n"/>
      <c r="U426" s="139" t="n"/>
      <c r="V426" s="16">
        <f>P426+R426+T426</f>
        <v/>
      </c>
      <c r="W426" s="16" t="n"/>
      <c r="X426" s="139" t="n"/>
      <c r="Y426" s="16" t="n"/>
      <c r="Z426" s="139" t="n"/>
      <c r="AA426" s="16" t="n"/>
      <c r="AB426" s="139" t="n"/>
      <c r="AC426" s="16" t="n"/>
      <c r="AD426" s="139" t="n"/>
      <c r="AE426" s="16">
        <f>(W426+Y426+AA426+AC426)</f>
        <v/>
      </c>
      <c r="AF426" s="16" t="n"/>
      <c r="AG426" s="138" t="n"/>
      <c r="AH426" s="16" t="n"/>
      <c r="AI426" s="138" t="n"/>
      <c r="AJ426" s="16" t="n"/>
      <c r="AK426" s="138" t="n"/>
      <c r="AL426" s="16" t="n"/>
      <c r="AM426" s="138" t="n"/>
      <c r="AN426" s="16" t="n"/>
      <c r="AO426" s="138" t="n"/>
      <c r="AP426" s="16" t="n"/>
      <c r="AQ426" s="138" t="n"/>
      <c r="AR426" s="16" t="n"/>
      <c r="AS426" s="138" t="n"/>
      <c r="AT426" s="16" t="n"/>
      <c r="AU426" s="138" t="n"/>
      <c r="AV426" s="16" t="n"/>
      <c r="AW426" s="138" t="n"/>
      <c r="AX426" s="16" t="n"/>
      <c r="AY426" s="138" t="n"/>
      <c r="AZ426" s="16">
        <f>AF426+AH426+AJ426+AL426+AN426+AP426+AR426+AT426+AV426+AX426</f>
        <v/>
      </c>
      <c r="BA426" s="16" t="n"/>
      <c r="BB426" s="139" t="n"/>
      <c r="BC426" s="16" t="n"/>
      <c r="BD426" s="139" t="n"/>
      <c r="BE426" s="16">
        <f>(BA426+BC426)</f>
        <v/>
      </c>
    </row>
    <row r="427">
      <c r="A427" s="9" t="n"/>
      <c r="B427" s="136" t="inlineStr">
        <is>
          <t>PU FOAM</t>
        </is>
      </c>
      <c r="C427" s="137" t="inlineStr">
        <is>
          <t>DX3000</t>
        </is>
      </c>
      <c r="D427" s="90" t="inlineStr">
        <is>
          <t>가방 내부 폼</t>
        </is>
      </c>
      <c r="E427" s="13" t="inlineStr">
        <is>
          <t>20cm cone용, 20 * 80</t>
        </is>
      </c>
      <c r="F427" s="99" t="n"/>
      <c r="G427" s="9" t="n"/>
      <c r="H427" s="9" t="inlineStr">
        <is>
          <t>굿모닝코리아유통</t>
        </is>
      </c>
      <c r="I427" s="14" t="n"/>
      <c r="J427" s="14" t="n"/>
      <c r="K427" s="12" t="n">
        <v>0</v>
      </c>
      <c r="L427" s="9" t="n"/>
      <c r="M427" s="9" t="n"/>
      <c r="N427" s="9" t="n"/>
      <c r="O427" s="40">
        <f>K427+V427-AE427-AZ427</f>
        <v/>
      </c>
      <c r="P427" s="12" t="n"/>
      <c r="Q427" s="138" t="n"/>
      <c r="R427" s="16" t="n"/>
      <c r="S427" s="139" t="n"/>
      <c r="T427" s="16" t="n"/>
      <c r="U427" s="139" t="n"/>
      <c r="V427" s="16">
        <f>P427+R427+T427</f>
        <v/>
      </c>
      <c r="W427" s="16" t="n"/>
      <c r="X427" s="139" t="n"/>
      <c r="Y427" s="16" t="n"/>
      <c r="Z427" s="139" t="n"/>
      <c r="AA427" s="16" t="n"/>
      <c r="AB427" s="139" t="n"/>
      <c r="AC427" s="16" t="n"/>
      <c r="AD427" s="139" t="n"/>
      <c r="AE427" s="16">
        <f>(W427+Y427+AA427+AC427)</f>
        <v/>
      </c>
      <c r="AF427" s="16" t="n"/>
      <c r="AG427" s="138" t="n"/>
      <c r="AH427" s="16" t="n"/>
      <c r="AI427" s="138" t="n"/>
      <c r="AJ427" s="16" t="n"/>
      <c r="AK427" s="138" t="n"/>
      <c r="AL427" s="16" t="n"/>
      <c r="AM427" s="138" t="n"/>
      <c r="AN427" s="16" t="n"/>
      <c r="AO427" s="138" t="n"/>
      <c r="AP427" s="16" t="n"/>
      <c r="AQ427" s="138" t="n"/>
      <c r="AR427" s="16" t="n"/>
      <c r="AS427" s="138" t="n"/>
      <c r="AT427" s="16" t="n"/>
      <c r="AU427" s="138" t="n"/>
      <c r="AV427" s="16" t="n"/>
      <c r="AW427" s="138" t="n"/>
      <c r="AX427" s="16" t="n"/>
      <c r="AY427" s="138" t="n"/>
      <c r="AZ427" s="16">
        <f>AF427+AH427+AJ427+AL427+AN427+AP427+AR427+AT427+AV427+AX427</f>
        <v/>
      </c>
      <c r="BA427" s="16" t="n"/>
      <c r="BB427" s="139" t="n"/>
      <c r="BC427" s="16" t="n"/>
      <c r="BD427" s="139" t="n"/>
      <c r="BE427" s="16">
        <f>(BA427+BC427)</f>
        <v/>
      </c>
    </row>
    <row r="428">
      <c r="A428" s="9" t="n"/>
      <c r="B428" s="136" t="inlineStr">
        <is>
          <t>PU FOAM</t>
        </is>
      </c>
      <c r="C428" s="137" t="inlineStr">
        <is>
          <t>ADX4000W</t>
        </is>
      </c>
      <c r="D428" s="63" t="inlineStr">
        <is>
          <t>가방 내부 폼</t>
        </is>
      </c>
      <c r="E428" s="13" t="inlineStr">
        <is>
          <t>15cm cone</t>
        </is>
      </c>
      <c r="F428" s="99" t="n"/>
      <c r="G428" s="9" t="n"/>
      <c r="H428" s="9" t="inlineStr">
        <is>
          <t>굿모닝코리아유통</t>
        </is>
      </c>
      <c r="I428" s="14" t="n"/>
      <c r="J428" s="14" t="n"/>
      <c r="K428" s="12" t="n">
        <v>0</v>
      </c>
      <c r="L428" s="9" t="n"/>
      <c r="M428" s="9" t="n"/>
      <c r="N428" s="9" t="n"/>
      <c r="O428" s="40">
        <f>K428+V428-AE428-AZ428</f>
        <v/>
      </c>
      <c r="P428" s="12" t="n"/>
      <c r="Q428" s="138" t="n"/>
      <c r="R428" s="16" t="n"/>
      <c r="S428" s="139" t="n"/>
      <c r="T428" s="16" t="n"/>
      <c r="U428" s="139" t="n"/>
      <c r="V428" s="16">
        <f>P428+R428+T428</f>
        <v/>
      </c>
      <c r="W428" s="16" t="n"/>
      <c r="X428" s="139" t="n"/>
      <c r="Y428" s="16" t="n"/>
      <c r="Z428" s="139" t="n"/>
      <c r="AA428" s="16" t="n"/>
      <c r="AB428" s="139" t="n"/>
      <c r="AC428" s="16" t="n"/>
      <c r="AD428" s="139" t="n"/>
      <c r="AE428" s="16">
        <f>(W428+Y428+AA428+AC428)</f>
        <v/>
      </c>
      <c r="AF428" s="16" t="n"/>
      <c r="AG428" s="138" t="n"/>
      <c r="AH428" s="16" t="n"/>
      <c r="AI428" s="138" t="n"/>
      <c r="AJ428" s="16" t="n"/>
      <c r="AK428" s="138" t="n"/>
      <c r="AL428" s="16" t="n"/>
      <c r="AM428" s="138" t="n"/>
      <c r="AN428" s="16" t="n"/>
      <c r="AO428" s="138" t="n"/>
      <c r="AP428" s="16" t="n"/>
      <c r="AQ428" s="138" t="n"/>
      <c r="AR428" s="16" t="n"/>
      <c r="AS428" s="138" t="n"/>
      <c r="AT428" s="16" t="n"/>
      <c r="AU428" s="138" t="n"/>
      <c r="AV428" s="16" t="n"/>
      <c r="AW428" s="138" t="n"/>
      <c r="AX428" s="16" t="n"/>
      <c r="AY428" s="138" t="n"/>
      <c r="AZ428" s="16">
        <f>AF428+AH428+AJ428+AL428+AN428+AP428+AR428+AT428+AV428+AX428</f>
        <v/>
      </c>
      <c r="BA428" s="16" t="n"/>
      <c r="BB428" s="139" t="n"/>
      <c r="BC428" s="16" t="n"/>
      <c r="BD428" s="139" t="n"/>
      <c r="BE428" s="16">
        <f>(BA428+BC428)</f>
        <v/>
      </c>
    </row>
    <row r="429">
      <c r="A429" s="9" t="n"/>
      <c r="B429" s="136" t="inlineStr">
        <is>
          <t>PU FOAM</t>
        </is>
      </c>
      <c r="C429" s="137" t="inlineStr">
        <is>
          <t>ADX4000W</t>
        </is>
      </c>
      <c r="D429" s="63" t="inlineStr">
        <is>
          <t>가방 내부 폼</t>
        </is>
      </c>
      <c r="E429" s="13" t="inlineStr">
        <is>
          <t>20cm cone용, 40 * 60</t>
        </is>
      </c>
      <c r="F429" s="99" t="n"/>
      <c r="G429" s="9" t="n"/>
      <c r="H429" s="9" t="inlineStr">
        <is>
          <t>굿모닝코리아유통</t>
        </is>
      </c>
      <c r="I429" s="14" t="n"/>
      <c r="J429" s="14" t="n"/>
      <c r="K429" s="12" t="n">
        <v>0</v>
      </c>
      <c r="L429" s="9" t="n"/>
      <c r="M429" s="9" t="n"/>
      <c r="N429" s="9" t="n"/>
      <c r="O429" s="40">
        <f>K429+V429-AE429-AZ429</f>
        <v/>
      </c>
      <c r="P429" s="12" t="n"/>
      <c r="Q429" s="138" t="n"/>
      <c r="R429" s="16" t="n"/>
      <c r="S429" s="139" t="n"/>
      <c r="T429" s="16" t="n"/>
      <c r="U429" s="139" t="n"/>
      <c r="V429" s="16">
        <f>P429+R429+T429</f>
        <v/>
      </c>
      <c r="W429" s="16" t="n"/>
      <c r="X429" s="139" t="n"/>
      <c r="Y429" s="16" t="n"/>
      <c r="Z429" s="139" t="n"/>
      <c r="AA429" s="16" t="n"/>
      <c r="AB429" s="139" t="n"/>
      <c r="AC429" s="16" t="n"/>
      <c r="AD429" s="139" t="n"/>
      <c r="AE429" s="16">
        <f>(W429+Y429+AA429+AC429)</f>
        <v/>
      </c>
      <c r="AF429" s="16" t="n"/>
      <c r="AG429" s="138" t="n"/>
      <c r="AH429" s="16" t="n"/>
      <c r="AI429" s="138" t="n"/>
      <c r="AJ429" s="16" t="n"/>
      <c r="AK429" s="138" t="n"/>
      <c r="AL429" s="16" t="n"/>
      <c r="AM429" s="138" t="n"/>
      <c r="AN429" s="16" t="n"/>
      <c r="AO429" s="138" t="n"/>
      <c r="AP429" s="16" t="n"/>
      <c r="AQ429" s="138" t="n"/>
      <c r="AR429" s="16" t="n"/>
      <c r="AS429" s="138" t="n"/>
      <c r="AT429" s="16" t="n"/>
      <c r="AU429" s="138" t="n"/>
      <c r="AV429" s="16" t="n"/>
      <c r="AW429" s="138" t="n"/>
      <c r="AX429" s="16" t="n"/>
      <c r="AY429" s="138" t="n"/>
      <c r="AZ429" s="16">
        <f>AF429+AH429+AJ429+AL429+AN429+AP429+AR429+AT429+AV429+AX429</f>
        <v/>
      </c>
      <c r="BA429" s="16" t="n"/>
      <c r="BB429" s="139" t="n"/>
      <c r="BC429" s="16" t="n"/>
      <c r="BD429" s="139" t="n"/>
      <c r="BE429" s="16">
        <f>(BA429+BC429)</f>
        <v/>
      </c>
    </row>
    <row r="430">
      <c r="A430" s="9" t="n"/>
      <c r="B430" s="136" t="inlineStr">
        <is>
          <t>PU FOAM</t>
        </is>
      </c>
      <c r="C430" s="137" t="inlineStr">
        <is>
          <t>COCOON</t>
        </is>
      </c>
      <c r="D430" s="60" t="inlineStr">
        <is>
          <t>가방 내부 폼 상판</t>
        </is>
      </c>
      <c r="E430" s="13" t="inlineStr">
        <is>
          <t>18cm</t>
        </is>
      </c>
      <c r="F430" s="99" t="n"/>
      <c r="G430" s="9" t="n"/>
      <c r="H430" s="9" t="inlineStr">
        <is>
          <t>굿모닝코리아유통</t>
        </is>
      </c>
      <c r="I430" s="14" t="n"/>
      <c r="J430" s="14" t="n"/>
      <c r="K430" s="12" t="n">
        <v>0</v>
      </c>
      <c r="L430" s="9" t="n"/>
      <c r="M430" s="9" t="n"/>
      <c r="N430" s="9" t="n"/>
      <c r="O430" s="40">
        <f>K430+V430-AE430-AZ430</f>
        <v/>
      </c>
      <c r="P430" s="12" t="n"/>
      <c r="Q430" s="138" t="n"/>
      <c r="R430" s="16" t="n"/>
      <c r="S430" s="139" t="n"/>
      <c r="T430" s="16" t="n"/>
      <c r="U430" s="139" t="n"/>
      <c r="V430" s="16">
        <f>P430+R430+T430</f>
        <v/>
      </c>
      <c r="W430" s="16" t="n"/>
      <c r="X430" s="139" t="n"/>
      <c r="Y430" s="16" t="n"/>
      <c r="Z430" s="139" t="n"/>
      <c r="AA430" s="16" t="n"/>
      <c r="AB430" s="139" t="n"/>
      <c r="AC430" s="16" t="n"/>
      <c r="AD430" s="139" t="n"/>
      <c r="AE430" s="16">
        <f>(W430+Y430+AA430+AC430)</f>
        <v/>
      </c>
      <c r="AF430" s="16" t="n"/>
      <c r="AG430" s="138" t="n"/>
      <c r="AH430" s="16" t="n"/>
      <c r="AI430" s="138" t="n"/>
      <c r="AJ430" s="16" t="n"/>
      <c r="AK430" s="138" t="n"/>
      <c r="AL430" s="16" t="n"/>
      <c r="AM430" s="138" t="n"/>
      <c r="AN430" s="16" t="n"/>
      <c r="AO430" s="138" t="n"/>
      <c r="AP430" s="16" t="n"/>
      <c r="AQ430" s="138" t="n"/>
      <c r="AR430" s="16" t="n"/>
      <c r="AS430" s="138" t="n"/>
      <c r="AT430" s="16" t="n"/>
      <c r="AU430" s="138" t="n"/>
      <c r="AV430" s="16" t="n"/>
      <c r="AW430" s="138" t="n"/>
      <c r="AX430" s="16" t="n"/>
      <c r="AY430" s="138" t="n"/>
      <c r="AZ430" s="16">
        <f>AF430+AH430+AJ430+AL430+AN430+AP430+AR430+AT430+AV430+AX430</f>
        <v/>
      </c>
      <c r="BA430" s="16" t="n"/>
      <c r="BB430" s="139" t="n"/>
      <c r="BC430" s="16" t="n"/>
      <c r="BD430" s="139" t="n"/>
      <c r="BE430" s="16">
        <f>(BA430+BC430)</f>
        <v/>
      </c>
    </row>
    <row r="431">
      <c r="A431" s="9" t="n"/>
      <c r="B431" s="136" t="inlineStr">
        <is>
          <t>PU FOAM</t>
        </is>
      </c>
      <c r="C431" s="137" t="inlineStr">
        <is>
          <t>COCOON</t>
        </is>
      </c>
      <c r="D431" s="60" t="inlineStr">
        <is>
          <t>가방 내부 폼 하판</t>
        </is>
      </c>
      <c r="E431" s="13" t="inlineStr">
        <is>
          <t>18cm</t>
        </is>
      </c>
      <c r="F431" s="99" t="n"/>
      <c r="G431" s="9" t="n"/>
      <c r="H431" s="9" t="inlineStr">
        <is>
          <t>굿모닝코리아유통</t>
        </is>
      </c>
      <c r="I431" s="14" t="n"/>
      <c r="J431" s="14" t="n"/>
      <c r="K431" s="12" t="n">
        <v>0</v>
      </c>
      <c r="L431" s="9" t="n"/>
      <c r="M431" s="9" t="n"/>
      <c r="N431" s="9" t="n"/>
      <c r="O431" s="40">
        <f>K431+V431-AE431-AZ431</f>
        <v/>
      </c>
      <c r="P431" s="12" t="n"/>
      <c r="Q431" s="138" t="n"/>
      <c r="R431" s="16" t="n"/>
      <c r="S431" s="139" t="n"/>
      <c r="T431" s="16" t="n"/>
      <c r="U431" s="139" t="n"/>
      <c r="V431" s="16">
        <f>P431+R431+T431</f>
        <v/>
      </c>
      <c r="W431" s="16" t="n"/>
      <c r="X431" s="139" t="n"/>
      <c r="Y431" s="16" t="n"/>
      <c r="Z431" s="139" t="n"/>
      <c r="AA431" s="16" t="n"/>
      <c r="AB431" s="139" t="n"/>
      <c r="AC431" s="16" t="n"/>
      <c r="AD431" s="139" t="n"/>
      <c r="AE431" s="16">
        <f>(W431+Y431+AA431+AC431)</f>
        <v/>
      </c>
      <c r="AF431" s="16" t="n"/>
      <c r="AG431" s="138" t="n"/>
      <c r="AH431" s="16" t="n"/>
      <c r="AI431" s="138" t="n"/>
      <c r="AJ431" s="16" t="n"/>
      <c r="AK431" s="138" t="n"/>
      <c r="AL431" s="16" t="n"/>
      <c r="AM431" s="138" t="n"/>
      <c r="AN431" s="16" t="n"/>
      <c r="AO431" s="138" t="n"/>
      <c r="AP431" s="16" t="n"/>
      <c r="AQ431" s="138" t="n"/>
      <c r="AR431" s="16" t="n"/>
      <c r="AS431" s="138" t="n"/>
      <c r="AT431" s="16" t="n"/>
      <c r="AU431" s="138" t="n"/>
      <c r="AV431" s="16" t="n"/>
      <c r="AW431" s="138" t="n"/>
      <c r="AX431" s="16" t="n"/>
      <c r="AY431" s="138" t="n"/>
      <c r="AZ431" s="16">
        <f>AF431+AH431+AJ431+AL431+AN431+AP431+AR431+AT431+AV431+AX431</f>
        <v/>
      </c>
      <c r="BA431" s="16" t="n"/>
      <c r="BB431" s="139" t="n"/>
      <c r="BC431" s="16" t="n"/>
      <c r="BD431" s="139" t="n"/>
      <c r="BE431" s="16">
        <f>(BA431+BC431)</f>
        <v/>
      </c>
    </row>
    <row r="432">
      <c r="A432" s="9" t="n"/>
      <c r="B432" s="136" t="inlineStr">
        <is>
          <t>PU FOAM</t>
        </is>
      </c>
      <c r="C432" s="137" t="inlineStr">
        <is>
          <t>COCOON</t>
        </is>
      </c>
      <c r="D432" s="60" t="inlineStr">
        <is>
          <t>가방 내부 폼 상판</t>
        </is>
      </c>
      <c r="E432" s="13" t="inlineStr">
        <is>
          <t>20cm</t>
        </is>
      </c>
      <c r="F432" s="99" t="n"/>
      <c r="G432" s="9" t="n"/>
      <c r="H432" s="9" t="inlineStr">
        <is>
          <t>굿모닝코리아유통</t>
        </is>
      </c>
      <c r="I432" s="14" t="n"/>
      <c r="J432" s="14" t="n"/>
      <c r="K432" s="12" t="n">
        <v>0</v>
      </c>
      <c r="L432" s="9" t="n"/>
      <c r="M432" s="9" t="n"/>
      <c r="N432" s="9" t="n"/>
      <c r="O432" s="40">
        <f>K432+V432-AE432-AZ432</f>
        <v/>
      </c>
      <c r="P432" s="12" t="n"/>
      <c r="Q432" s="138" t="n"/>
      <c r="R432" s="16" t="n"/>
      <c r="S432" s="139" t="n"/>
      <c r="T432" s="16" t="n"/>
      <c r="U432" s="139" t="n"/>
      <c r="V432" s="16">
        <f>P432+R432+T432</f>
        <v/>
      </c>
      <c r="W432" s="16" t="n"/>
      <c r="X432" s="139" t="n"/>
      <c r="Y432" s="16" t="n"/>
      <c r="Z432" s="139" t="n"/>
      <c r="AA432" s="16" t="n"/>
      <c r="AB432" s="139" t="n"/>
      <c r="AC432" s="16" t="n"/>
      <c r="AD432" s="139" t="n"/>
      <c r="AE432" s="16">
        <f>(W432+Y432+AA432+AC432)</f>
        <v/>
      </c>
      <c r="AF432" s="16" t="n"/>
      <c r="AG432" s="138" t="n"/>
      <c r="AH432" s="16" t="n"/>
      <c r="AI432" s="138" t="n"/>
      <c r="AJ432" s="16" t="n"/>
      <c r="AK432" s="138" t="n"/>
      <c r="AL432" s="16" t="n"/>
      <c r="AM432" s="138" t="n"/>
      <c r="AN432" s="16" t="n"/>
      <c r="AO432" s="138" t="n"/>
      <c r="AP432" s="16" t="n"/>
      <c r="AQ432" s="138" t="n"/>
      <c r="AR432" s="16" t="n"/>
      <c r="AS432" s="138" t="n"/>
      <c r="AT432" s="16" t="n"/>
      <c r="AU432" s="138" t="n"/>
      <c r="AV432" s="16" t="n"/>
      <c r="AW432" s="138" t="n"/>
      <c r="AX432" s="16" t="n"/>
      <c r="AY432" s="138" t="n"/>
      <c r="AZ432" s="16">
        <f>AF432+AH432+AJ432+AL432+AN432+AP432+AR432+AT432+AV432+AX432</f>
        <v/>
      </c>
      <c r="BA432" s="16" t="n"/>
      <c r="BB432" s="139" t="n"/>
      <c r="BC432" s="16" t="n"/>
      <c r="BD432" s="139" t="n"/>
      <c r="BE432" s="16">
        <f>(BA432+BC432)</f>
        <v/>
      </c>
    </row>
    <row r="433">
      <c r="A433" s="9" t="n"/>
      <c r="B433" s="136" t="inlineStr">
        <is>
          <t>PU FOAM</t>
        </is>
      </c>
      <c r="C433" s="137" t="inlineStr">
        <is>
          <t>COCOON</t>
        </is>
      </c>
      <c r="D433" s="60" t="inlineStr">
        <is>
          <t>가방 내부 폼 하판</t>
        </is>
      </c>
      <c r="E433" s="13" t="inlineStr">
        <is>
          <t>20cm</t>
        </is>
      </c>
      <c r="F433" s="99" t="n"/>
      <c r="G433" s="9" t="n"/>
      <c r="H433" s="9" t="inlineStr">
        <is>
          <t>굿모닝코리아유통</t>
        </is>
      </c>
      <c r="I433" s="14" t="n"/>
      <c r="J433" s="14" t="n"/>
      <c r="K433" s="12" t="n">
        <v>0</v>
      </c>
      <c r="L433" s="9" t="n"/>
      <c r="M433" s="9" t="n"/>
      <c r="N433" s="9" t="n"/>
      <c r="O433" s="40">
        <f>K433+V433-AE433-AZ433</f>
        <v/>
      </c>
      <c r="P433" s="12" t="n"/>
      <c r="Q433" s="138" t="n"/>
      <c r="R433" s="16" t="n"/>
      <c r="S433" s="139" t="n"/>
      <c r="T433" s="16" t="n"/>
      <c r="U433" s="139" t="n"/>
      <c r="V433" s="16">
        <f>P433+R433+T433</f>
        <v/>
      </c>
      <c r="W433" s="16" t="n"/>
      <c r="X433" s="139" t="n"/>
      <c r="Y433" s="16" t="n"/>
      <c r="Z433" s="139" t="n"/>
      <c r="AA433" s="16" t="n"/>
      <c r="AB433" s="139" t="n"/>
      <c r="AC433" s="16" t="n"/>
      <c r="AD433" s="139" t="n"/>
      <c r="AE433" s="16">
        <f>(W433+Y433+AA433+AC433)</f>
        <v/>
      </c>
      <c r="AF433" s="16" t="n"/>
      <c r="AG433" s="138" t="n"/>
      <c r="AH433" s="16" t="n"/>
      <c r="AI433" s="138" t="n"/>
      <c r="AJ433" s="16" t="n"/>
      <c r="AK433" s="138" t="n"/>
      <c r="AL433" s="16" t="n"/>
      <c r="AM433" s="138" t="n"/>
      <c r="AN433" s="16" t="n"/>
      <c r="AO433" s="138" t="n"/>
      <c r="AP433" s="16" t="n"/>
      <c r="AQ433" s="138" t="n"/>
      <c r="AR433" s="16" t="n"/>
      <c r="AS433" s="138" t="n"/>
      <c r="AT433" s="16" t="n"/>
      <c r="AU433" s="138" t="n"/>
      <c r="AV433" s="16" t="n"/>
      <c r="AW433" s="138" t="n"/>
      <c r="AX433" s="16" t="n"/>
      <c r="AY433" s="138" t="n"/>
      <c r="AZ433" s="16">
        <f>AF433+AH433+AJ433+AL433+AN433+AP433+AR433+AT433+AV433+AX433</f>
        <v/>
      </c>
      <c r="BA433" s="16" t="n"/>
      <c r="BB433" s="139" t="n"/>
      <c r="BC433" s="16" t="n"/>
      <c r="BD433" s="139" t="n"/>
      <c r="BE433" s="16">
        <f>(BA433+BC433)</f>
        <v/>
      </c>
    </row>
    <row r="434">
      <c r="A434" s="9" t="n"/>
      <c r="B434" s="136" t="inlineStr">
        <is>
          <t>PU FOAM</t>
        </is>
      </c>
      <c r="C434" s="137" t="inlineStr">
        <is>
          <t>ADX6000FB</t>
        </is>
      </c>
      <c r="D434" s="65" t="inlineStr">
        <is>
          <t>가방 내부 폼 상판 (신형)</t>
        </is>
      </c>
      <c r="E434" s="13" t="n"/>
      <c r="F434" s="99" t="n"/>
      <c r="G434" s="9" t="n"/>
      <c r="H434" s="9" t="inlineStr">
        <is>
          <t>굿모닝코리아유통</t>
        </is>
      </c>
      <c r="I434" s="14" t="n"/>
      <c r="J434" s="14" t="n"/>
      <c r="K434" s="12" t="n">
        <v>0</v>
      </c>
      <c r="L434" s="9" t="n"/>
      <c r="M434" s="9" t="n"/>
      <c r="N434" s="9" t="n"/>
      <c r="O434" s="40">
        <f>K434+V434-AE434-AZ434</f>
        <v/>
      </c>
      <c r="P434" s="12" t="n"/>
      <c r="Q434" s="138" t="n"/>
      <c r="R434" s="16" t="n"/>
      <c r="S434" s="139" t="n"/>
      <c r="T434" s="16" t="n"/>
      <c r="U434" s="139" t="n"/>
      <c r="V434" s="16">
        <f>P434+R434+T434</f>
        <v/>
      </c>
      <c r="W434" s="16" t="n"/>
      <c r="X434" s="139" t="n"/>
      <c r="Y434" s="16" t="n"/>
      <c r="Z434" s="139" t="n"/>
      <c r="AA434" s="16" t="n"/>
      <c r="AB434" s="139" t="n"/>
      <c r="AC434" s="16" t="n"/>
      <c r="AD434" s="139" t="n"/>
      <c r="AE434" s="16">
        <f>(W434+Y434+AA434+AC434)</f>
        <v/>
      </c>
      <c r="AF434" s="16" t="n"/>
      <c r="AG434" s="138" t="n"/>
      <c r="AH434" s="16" t="n"/>
      <c r="AI434" s="138" t="n"/>
      <c r="AJ434" s="16" t="n"/>
      <c r="AK434" s="138" t="n"/>
      <c r="AL434" s="16" t="n"/>
      <c r="AM434" s="138" t="n"/>
      <c r="AN434" s="16" t="n"/>
      <c r="AO434" s="138" t="n"/>
      <c r="AP434" s="16" t="n"/>
      <c r="AQ434" s="138" t="n"/>
      <c r="AR434" s="16" t="n"/>
      <c r="AS434" s="138" t="n"/>
      <c r="AT434" s="16" t="n"/>
      <c r="AU434" s="138" t="n"/>
      <c r="AV434" s="16" t="n"/>
      <c r="AW434" s="138" t="n"/>
      <c r="AX434" s="16" t="n"/>
      <c r="AY434" s="138" t="n"/>
      <c r="AZ434" s="16">
        <f>AF434+AH434+AJ434+AL434+AN434+AP434+AR434+AT434+AV434+AX434</f>
        <v/>
      </c>
      <c r="BA434" s="16" t="n"/>
      <c r="BB434" s="139" t="n"/>
      <c r="BC434" s="16" t="n"/>
      <c r="BD434" s="139" t="n"/>
      <c r="BE434" s="16">
        <f>(BA434+BC434)</f>
        <v/>
      </c>
    </row>
    <row r="435">
      <c r="A435" s="9" t="n"/>
      <c r="B435" s="136" t="inlineStr">
        <is>
          <t>PU FOAM</t>
        </is>
      </c>
      <c r="C435" s="137" t="inlineStr">
        <is>
          <t>ADX6000FB</t>
        </is>
      </c>
      <c r="D435" s="65" t="inlineStr">
        <is>
          <t>가방 내부 폼 중간판 (신형)</t>
        </is>
      </c>
      <c r="E435" s="13" t="n"/>
      <c r="F435" s="99" t="n"/>
      <c r="G435" s="9" t="n"/>
      <c r="H435" s="9" t="inlineStr">
        <is>
          <t>굿모닝코리아유통</t>
        </is>
      </c>
      <c r="I435" s="14" t="n"/>
      <c r="J435" s="14" t="n"/>
      <c r="K435" s="12" t="n">
        <v>0</v>
      </c>
      <c r="L435" s="9" t="n"/>
      <c r="M435" s="9" t="n"/>
      <c r="N435" s="9" t="n"/>
      <c r="O435" s="40">
        <f>K435+V435-AE435-AZ435</f>
        <v/>
      </c>
      <c r="P435" s="12" t="n"/>
      <c r="Q435" s="138" t="n"/>
      <c r="R435" s="16" t="n"/>
      <c r="S435" s="139" t="n"/>
      <c r="T435" s="16" t="n"/>
      <c r="U435" s="139" t="n"/>
      <c r="V435" s="16">
        <f>P435+R435+T435</f>
        <v/>
      </c>
      <c r="W435" s="16" t="n"/>
      <c r="X435" s="139" t="n"/>
      <c r="Y435" s="16" t="n"/>
      <c r="Z435" s="139" t="n"/>
      <c r="AA435" s="16" t="n"/>
      <c r="AB435" s="139" t="n"/>
      <c r="AC435" s="16" t="n"/>
      <c r="AD435" s="139" t="n"/>
      <c r="AE435" s="16">
        <f>(W435+Y435+AA435+AC435)</f>
        <v/>
      </c>
      <c r="AF435" s="16" t="n"/>
      <c r="AG435" s="138" t="n"/>
      <c r="AH435" s="16" t="n"/>
      <c r="AI435" s="138" t="n"/>
      <c r="AJ435" s="16" t="n"/>
      <c r="AK435" s="138" t="n"/>
      <c r="AL435" s="16" t="n"/>
      <c r="AM435" s="138" t="n"/>
      <c r="AN435" s="16" t="n"/>
      <c r="AO435" s="138" t="n"/>
      <c r="AP435" s="16" t="n"/>
      <c r="AQ435" s="138" t="n"/>
      <c r="AR435" s="16" t="n"/>
      <c r="AS435" s="138" t="n"/>
      <c r="AT435" s="16" t="n"/>
      <c r="AU435" s="138" t="n"/>
      <c r="AV435" s="16" t="n"/>
      <c r="AW435" s="138" t="n"/>
      <c r="AX435" s="16" t="n"/>
      <c r="AY435" s="138" t="n"/>
      <c r="AZ435" s="16">
        <f>AF435+AH435+AJ435+AL435+AN435+AP435+AR435+AT435+AV435+AX435</f>
        <v/>
      </c>
      <c r="BA435" s="16" t="n"/>
      <c r="BB435" s="139" t="n"/>
      <c r="BC435" s="16" t="n"/>
      <c r="BD435" s="139" t="n"/>
      <c r="BE435" s="16">
        <f>(BA435+BC435)</f>
        <v/>
      </c>
    </row>
    <row r="436">
      <c r="A436" s="9" t="n"/>
      <c r="B436" s="136" t="inlineStr">
        <is>
          <t>PU FOAM</t>
        </is>
      </c>
      <c r="C436" s="137" t="inlineStr">
        <is>
          <t>ADX6000FB</t>
        </is>
      </c>
      <c r="D436" s="65" t="inlineStr">
        <is>
          <t>가방 내부 폼 하판 (신형)</t>
        </is>
      </c>
      <c r="E436" s="13" t="n"/>
      <c r="F436" s="99" t="n"/>
      <c r="G436" s="9" t="n"/>
      <c r="H436" s="9" t="inlineStr">
        <is>
          <t>굿모닝코리아유통</t>
        </is>
      </c>
      <c r="I436" s="14" t="n"/>
      <c r="J436" s="14" t="n"/>
      <c r="K436" s="12" t="n">
        <v>0</v>
      </c>
      <c r="L436" s="9" t="n"/>
      <c r="M436" s="9" t="n"/>
      <c r="N436" s="9" t="n"/>
      <c r="O436" s="40">
        <f>K436+V436-AE436-AZ436</f>
        <v/>
      </c>
      <c r="P436" s="12" t="n"/>
      <c r="Q436" s="138" t="n"/>
      <c r="R436" s="16" t="n"/>
      <c r="S436" s="139" t="n"/>
      <c r="T436" s="16" t="n"/>
      <c r="U436" s="139" t="n"/>
      <c r="V436" s="16">
        <f>P436+R436+T436</f>
        <v/>
      </c>
      <c r="W436" s="16" t="n"/>
      <c r="X436" s="139" t="n"/>
      <c r="Y436" s="16" t="n"/>
      <c r="Z436" s="139" t="n"/>
      <c r="AA436" s="16" t="n"/>
      <c r="AB436" s="139" t="n"/>
      <c r="AC436" s="16" t="n"/>
      <c r="AD436" s="139" t="n"/>
      <c r="AE436" s="16">
        <f>(W436+Y436+AA436+AC436)</f>
        <v/>
      </c>
      <c r="AF436" s="16" t="n"/>
      <c r="AG436" s="138" t="n"/>
      <c r="AH436" s="16" t="n"/>
      <c r="AI436" s="138" t="n"/>
      <c r="AJ436" s="16" t="n"/>
      <c r="AK436" s="138" t="n"/>
      <c r="AL436" s="16" t="n"/>
      <c r="AM436" s="138" t="n"/>
      <c r="AN436" s="16" t="n"/>
      <c r="AO436" s="138" t="n"/>
      <c r="AP436" s="16" t="n"/>
      <c r="AQ436" s="138" t="n"/>
      <c r="AR436" s="16" t="n"/>
      <c r="AS436" s="138" t="n"/>
      <c r="AT436" s="16" t="n"/>
      <c r="AU436" s="138" t="n"/>
      <c r="AV436" s="16" t="n"/>
      <c r="AW436" s="138" t="n"/>
      <c r="AX436" s="16" t="n"/>
      <c r="AY436" s="138" t="n"/>
      <c r="AZ436" s="16">
        <f>AF436+AH436+AJ436+AL436+AN436+AP436+AR436+AT436+AV436+AX436</f>
        <v/>
      </c>
      <c r="BA436" s="16" t="n"/>
      <c r="BB436" s="139" t="n"/>
      <c r="BC436" s="16" t="n"/>
      <c r="BD436" s="139" t="n"/>
      <c r="BE436" s="16">
        <f>(BA436+BC436)</f>
        <v/>
      </c>
    </row>
    <row r="437">
      <c r="A437" s="9" t="n"/>
      <c r="B437" s="136" t="inlineStr">
        <is>
          <t>PU FOAM</t>
        </is>
      </c>
      <c r="C437" s="137" t="inlineStr">
        <is>
          <t>ADX6000</t>
        </is>
      </c>
      <c r="D437" s="65" t="inlineStr">
        <is>
          <t>가방 내장재</t>
        </is>
      </c>
      <c r="E437" s="13" t="inlineStr">
        <is>
          <t>47 * 36.5 * 2.5T</t>
        </is>
      </c>
      <c r="F437" s="99" t="n"/>
      <c r="G437" s="9" t="n"/>
      <c r="H437" s="9" t="inlineStr">
        <is>
          <t>굿모닝코리아유통</t>
        </is>
      </c>
      <c r="I437" s="14" t="n"/>
      <c r="J437" s="14" t="n"/>
      <c r="K437" s="12" t="n">
        <v>0</v>
      </c>
      <c r="L437" s="9" t="n"/>
      <c r="M437" s="9" t="n"/>
      <c r="N437" s="9" t="n"/>
      <c r="O437" s="40">
        <f>K437+V437-AE437-AZ437</f>
        <v/>
      </c>
      <c r="P437" s="12" t="n"/>
      <c r="Q437" s="138" t="n"/>
      <c r="R437" s="16" t="n"/>
      <c r="S437" s="139" t="n"/>
      <c r="T437" s="16" t="n"/>
      <c r="U437" s="139" t="n"/>
      <c r="V437" s="16">
        <f>P437+R437+T437</f>
        <v/>
      </c>
      <c r="W437" s="16" t="n"/>
      <c r="X437" s="139" t="n"/>
      <c r="Y437" s="16" t="n"/>
      <c r="Z437" s="139" t="n"/>
      <c r="AA437" s="16" t="n"/>
      <c r="AB437" s="139" t="n"/>
      <c r="AC437" s="16" t="n"/>
      <c r="AD437" s="139" t="n"/>
      <c r="AE437" s="16">
        <f>(W437+Y437+AA437+AC437)</f>
        <v/>
      </c>
      <c r="AF437" s="16" t="n"/>
      <c r="AG437" s="138" t="n"/>
      <c r="AH437" s="16" t="n"/>
      <c r="AI437" s="138" t="n"/>
      <c r="AJ437" s="16" t="n"/>
      <c r="AK437" s="138" t="n"/>
      <c r="AL437" s="16" t="n"/>
      <c r="AM437" s="138" t="n"/>
      <c r="AN437" s="16" t="n"/>
      <c r="AO437" s="138" t="n"/>
      <c r="AP437" s="16" t="n"/>
      <c r="AQ437" s="138" t="n"/>
      <c r="AR437" s="16" t="n"/>
      <c r="AS437" s="138" t="n"/>
      <c r="AT437" s="16" t="n"/>
      <c r="AU437" s="138" t="n"/>
      <c r="AV437" s="16" t="n"/>
      <c r="AW437" s="138" t="n"/>
      <c r="AX437" s="16" t="n"/>
      <c r="AY437" s="138" t="n"/>
      <c r="AZ437" s="16">
        <f>AF437+AH437+AJ437+AL437+AN437+AP437+AR437+AT437+AV437+AX437</f>
        <v/>
      </c>
      <c r="BA437" s="16" t="n"/>
      <c r="BB437" s="139" t="n"/>
      <c r="BC437" s="16" t="n"/>
      <c r="BD437" s="139" t="n"/>
      <c r="BE437" s="16">
        <f>(BA437+BC437)</f>
        <v/>
      </c>
    </row>
    <row r="438">
      <c r="A438" s="9" t="n"/>
      <c r="B438" s="136" t="inlineStr">
        <is>
          <t>PU FOAM</t>
        </is>
      </c>
      <c r="C438" s="137" t="inlineStr">
        <is>
          <t>ADX6000</t>
        </is>
      </c>
      <c r="D438" s="65" t="inlineStr">
        <is>
          <t>가방 내장재</t>
        </is>
      </c>
      <c r="E438" s="13" t="inlineStr">
        <is>
          <t>47 * 36.5 * 5.5T</t>
        </is>
      </c>
      <c r="F438" s="99" t="n"/>
      <c r="G438" s="9" t="n"/>
      <c r="H438" s="9" t="inlineStr">
        <is>
          <t>굿모닝코리아유통</t>
        </is>
      </c>
      <c r="I438" s="14" t="n"/>
      <c r="J438" s="14" t="n"/>
      <c r="K438" s="12" t="n">
        <v>0</v>
      </c>
      <c r="L438" s="9" t="n"/>
      <c r="M438" s="9" t="n"/>
      <c r="N438" s="9" t="n"/>
      <c r="O438" s="40">
        <f>K438+V438-AE438-AZ438</f>
        <v/>
      </c>
      <c r="P438" s="12" t="n"/>
      <c r="Q438" s="138" t="n"/>
      <c r="R438" s="16" t="n"/>
      <c r="S438" s="139" t="n"/>
      <c r="T438" s="16" t="n"/>
      <c r="U438" s="139" t="n"/>
      <c r="V438" s="16">
        <f>P438+R438+T438</f>
        <v/>
      </c>
      <c r="W438" s="16" t="n"/>
      <c r="X438" s="139" t="n"/>
      <c r="Y438" s="16" t="n"/>
      <c r="Z438" s="139" t="n"/>
      <c r="AA438" s="16" t="n"/>
      <c r="AB438" s="139" t="n"/>
      <c r="AC438" s="16" t="n"/>
      <c r="AD438" s="139" t="n"/>
      <c r="AE438" s="16">
        <f>(W438+Y438+AA438+AC438)</f>
        <v/>
      </c>
      <c r="AF438" s="16" t="n"/>
      <c r="AG438" s="138" t="n"/>
      <c r="AH438" s="16" t="n"/>
      <c r="AI438" s="138" t="n"/>
      <c r="AJ438" s="16" t="n"/>
      <c r="AK438" s="138" t="n"/>
      <c r="AL438" s="16" t="n"/>
      <c r="AM438" s="138" t="n"/>
      <c r="AN438" s="16" t="n"/>
      <c r="AO438" s="138" t="n"/>
      <c r="AP438" s="16" t="n"/>
      <c r="AQ438" s="138" t="n"/>
      <c r="AR438" s="16" t="n"/>
      <c r="AS438" s="138" t="n"/>
      <c r="AT438" s="16" t="n"/>
      <c r="AU438" s="138" t="n"/>
      <c r="AV438" s="16" t="n"/>
      <c r="AW438" s="138" t="n"/>
      <c r="AX438" s="16" t="n"/>
      <c r="AY438" s="138" t="n"/>
      <c r="AZ438" s="16">
        <f>AF438+AH438+AJ438+AL438+AN438+AP438+AR438+AT438+AV438+AX438</f>
        <v/>
      </c>
      <c r="BA438" s="16" t="n"/>
      <c r="BB438" s="139" t="n"/>
      <c r="BC438" s="16" t="n"/>
      <c r="BD438" s="139" t="n"/>
      <c r="BE438" s="16">
        <f>(BA438+BC438)</f>
        <v/>
      </c>
    </row>
    <row r="439">
      <c r="A439" s="9" t="n"/>
      <c r="B439" s="136" t="inlineStr">
        <is>
          <t>PU FOAM</t>
        </is>
      </c>
      <c r="C439" s="137" t="inlineStr">
        <is>
          <t>ADX6000</t>
        </is>
      </c>
      <c r="D439" s="65" t="inlineStr">
        <is>
          <t>가방 내장재</t>
        </is>
      </c>
      <c r="E439" s="13" t="inlineStr">
        <is>
          <t>47 * 36.5 * 7.5T</t>
        </is>
      </c>
      <c r="F439" s="99" t="n"/>
      <c r="G439" s="9" t="n"/>
      <c r="H439" s="9" t="inlineStr">
        <is>
          <t>굿모닝코리아유통</t>
        </is>
      </c>
      <c r="I439" s="14" t="n"/>
      <c r="J439" s="14" t="n"/>
      <c r="K439" s="12" t="n">
        <v>0</v>
      </c>
      <c r="L439" s="9" t="n"/>
      <c r="M439" s="9" t="n"/>
      <c r="N439" s="9" t="n"/>
      <c r="O439" s="40">
        <f>K439+V439-AE439-AZ439</f>
        <v/>
      </c>
      <c r="P439" s="12" t="n"/>
      <c r="Q439" s="138" t="n"/>
      <c r="R439" s="16" t="n"/>
      <c r="S439" s="139" t="n"/>
      <c r="T439" s="16" t="n"/>
      <c r="U439" s="139" t="n"/>
      <c r="V439" s="16">
        <f>P439+R439+T439</f>
        <v/>
      </c>
      <c r="W439" s="16" t="n"/>
      <c r="X439" s="139" t="n"/>
      <c r="Y439" s="16" t="n"/>
      <c r="Z439" s="139" t="n"/>
      <c r="AA439" s="16" t="n"/>
      <c r="AB439" s="139" t="n"/>
      <c r="AC439" s="16" t="n"/>
      <c r="AD439" s="139" t="n"/>
      <c r="AE439" s="16">
        <f>(W439+Y439+AA439+AC439)</f>
        <v/>
      </c>
      <c r="AF439" s="16" t="n"/>
      <c r="AG439" s="138" t="n"/>
      <c r="AH439" s="16" t="n"/>
      <c r="AI439" s="138" t="n"/>
      <c r="AJ439" s="16" t="n"/>
      <c r="AK439" s="138" t="n"/>
      <c r="AL439" s="16" t="n"/>
      <c r="AM439" s="138" t="n"/>
      <c r="AN439" s="16" t="n"/>
      <c r="AO439" s="138" t="n"/>
      <c r="AP439" s="16" t="n"/>
      <c r="AQ439" s="138" t="n"/>
      <c r="AR439" s="16" t="n"/>
      <c r="AS439" s="138" t="n"/>
      <c r="AT439" s="16" t="n"/>
      <c r="AU439" s="138" t="n"/>
      <c r="AV439" s="16" t="n"/>
      <c r="AW439" s="138" t="n"/>
      <c r="AX439" s="16" t="n"/>
      <c r="AY439" s="138" t="n"/>
      <c r="AZ439" s="16">
        <f>AF439+AH439+AJ439+AL439+AN439+AP439+AR439+AT439+AV439+AX439</f>
        <v/>
      </c>
      <c r="BA439" s="16" t="n"/>
      <c r="BB439" s="139" t="n"/>
      <c r="BC439" s="16" t="n"/>
      <c r="BD439" s="139" t="n"/>
      <c r="BE439" s="16">
        <f>(BA439+BC439)</f>
        <v/>
      </c>
    </row>
    <row r="440">
      <c r="A440" s="9" t="n"/>
      <c r="B440" s="136" t="inlineStr">
        <is>
          <t>PU FOAM</t>
        </is>
      </c>
      <c r="C440" s="137" t="inlineStr">
        <is>
          <t>공용</t>
        </is>
      </c>
      <c r="D440" s="65" t="inlineStr">
        <is>
          <t>센서 내장재 상단</t>
        </is>
      </c>
      <c r="E440" s="13" t="inlineStr">
        <is>
          <t>45 * 55.5 * 2T, 접착 O</t>
        </is>
      </c>
      <c r="F440" s="99" t="n"/>
      <c r="G440" s="9" t="n"/>
      <c r="H440" s="9" t="inlineStr">
        <is>
          <t>굿모닝코리아유통</t>
        </is>
      </c>
      <c r="I440" s="14" t="n"/>
      <c r="J440" s="14" t="n"/>
      <c r="K440" s="12" t="n">
        <v>0</v>
      </c>
      <c r="L440" s="9" t="n"/>
      <c r="M440" s="9" t="n"/>
      <c r="N440" s="9" t="n"/>
      <c r="O440" s="40">
        <f>K440+V440-AE440-AZ440</f>
        <v/>
      </c>
      <c r="P440" s="12" t="n"/>
      <c r="Q440" s="138" t="n"/>
      <c r="R440" s="16" t="n"/>
      <c r="S440" s="139" t="n"/>
      <c r="T440" s="16" t="n"/>
      <c r="U440" s="139" t="n"/>
      <c r="V440" s="16">
        <f>P440+R440+T440</f>
        <v/>
      </c>
      <c r="W440" s="16" t="n"/>
      <c r="X440" s="139" t="n"/>
      <c r="Y440" s="16" t="n"/>
      <c r="Z440" s="139" t="n"/>
      <c r="AA440" s="16" t="n"/>
      <c r="AB440" s="139" t="n"/>
      <c r="AC440" s="16" t="n"/>
      <c r="AD440" s="139" t="n"/>
      <c r="AE440" s="16">
        <f>(W440+Y440+AA440+AC440)</f>
        <v/>
      </c>
      <c r="AF440" s="16" t="n"/>
      <c r="AG440" s="138" t="n"/>
      <c r="AH440" s="16" t="n"/>
      <c r="AI440" s="138" t="n"/>
      <c r="AJ440" s="16" t="n"/>
      <c r="AK440" s="138" t="n"/>
      <c r="AL440" s="16" t="n"/>
      <c r="AM440" s="138" t="n"/>
      <c r="AN440" s="16" t="n"/>
      <c r="AO440" s="138" t="n"/>
      <c r="AP440" s="16" t="n"/>
      <c r="AQ440" s="138" t="n"/>
      <c r="AR440" s="16" t="n"/>
      <c r="AS440" s="138" t="n"/>
      <c r="AT440" s="16" t="n"/>
      <c r="AU440" s="138" t="n"/>
      <c r="AV440" s="16" t="n"/>
      <c r="AW440" s="138" t="n"/>
      <c r="AX440" s="16" t="n"/>
      <c r="AY440" s="138" t="n"/>
      <c r="AZ440" s="16">
        <f>AF440+AH440+AJ440+AL440+AN440+AP440+AR440+AT440+AV440+AX440</f>
        <v/>
      </c>
      <c r="BA440" s="16" t="n"/>
      <c r="BB440" s="139" t="n"/>
      <c r="BC440" s="16" t="n"/>
      <c r="BD440" s="139" t="n"/>
      <c r="BE440" s="16">
        <f>(BA440+BC440)</f>
        <v/>
      </c>
    </row>
    <row r="441">
      <c r="A441" s="9" t="n"/>
      <c r="B441" s="136" t="inlineStr">
        <is>
          <t>PU FOAM</t>
        </is>
      </c>
      <c r="C441" s="137" t="inlineStr">
        <is>
          <t>공용</t>
        </is>
      </c>
      <c r="D441" s="60" t="inlineStr">
        <is>
          <t>센서 내장재 중간</t>
        </is>
      </c>
      <c r="E441" s="13" t="inlineStr">
        <is>
          <t>45 * 55.5 * 2T, 접착 X</t>
        </is>
      </c>
      <c r="F441" s="99" t="n"/>
      <c r="G441" s="9" t="n"/>
      <c r="H441" s="9" t="inlineStr">
        <is>
          <t>굿모닝코리아유통</t>
        </is>
      </c>
      <c r="I441" s="14" t="n"/>
      <c r="J441" s="14" t="n"/>
      <c r="K441" s="12" t="n">
        <v>0</v>
      </c>
      <c r="L441" s="9" t="n"/>
      <c r="M441" s="9" t="n"/>
      <c r="N441" s="9" t="n"/>
      <c r="O441" s="40">
        <f>K441+V441-AE441-AZ441</f>
        <v/>
      </c>
      <c r="P441" s="12" t="n"/>
      <c r="Q441" s="138" t="n"/>
      <c r="R441" s="16" t="n"/>
      <c r="S441" s="139" t="n"/>
      <c r="T441" s="16" t="n"/>
      <c r="U441" s="139" t="n"/>
      <c r="V441" s="16">
        <f>P441+R441+T441</f>
        <v/>
      </c>
      <c r="W441" s="16" t="n"/>
      <c r="X441" s="139" t="n"/>
      <c r="Y441" s="16" t="n"/>
      <c r="Z441" s="139" t="n"/>
      <c r="AA441" s="16" t="n"/>
      <c r="AB441" s="139" t="n"/>
      <c r="AC441" s="16" t="n"/>
      <c r="AD441" s="139" t="n"/>
      <c r="AE441" s="16">
        <f>(W441+Y441+AA441+AC441)</f>
        <v/>
      </c>
      <c r="AF441" s="16" t="n"/>
      <c r="AG441" s="138" t="n"/>
      <c r="AH441" s="16" t="n"/>
      <c r="AI441" s="138" t="n"/>
      <c r="AJ441" s="16" t="n"/>
      <c r="AK441" s="138" t="n"/>
      <c r="AL441" s="16" t="n"/>
      <c r="AM441" s="138" t="n"/>
      <c r="AN441" s="16" t="n"/>
      <c r="AO441" s="138" t="n"/>
      <c r="AP441" s="16" t="n"/>
      <c r="AQ441" s="138" t="n"/>
      <c r="AR441" s="16" t="n"/>
      <c r="AS441" s="138" t="n"/>
      <c r="AT441" s="16" t="n"/>
      <c r="AU441" s="138" t="n"/>
      <c r="AV441" s="16" t="n"/>
      <c r="AW441" s="138" t="n"/>
      <c r="AX441" s="16" t="n"/>
      <c r="AY441" s="138" t="n"/>
      <c r="AZ441" s="16">
        <f>AF441+AH441+AJ441+AL441+AN441+AP441+AR441+AT441+AV441+AX441</f>
        <v/>
      </c>
      <c r="BA441" s="16" t="n"/>
      <c r="BB441" s="139" t="n"/>
      <c r="BC441" s="16" t="n"/>
      <c r="BD441" s="139" t="n"/>
      <c r="BE441" s="16">
        <f>(BA441+BC441)</f>
        <v/>
      </c>
    </row>
    <row r="442">
      <c r="A442" s="9" t="n"/>
      <c r="B442" s="136" t="inlineStr">
        <is>
          <t>PU FOAM</t>
        </is>
      </c>
      <c r="C442" s="137" t="inlineStr">
        <is>
          <t>공용</t>
        </is>
      </c>
      <c r="D442" s="60" t="inlineStr">
        <is>
          <t>센서 내장재 하단</t>
        </is>
      </c>
      <c r="E442" s="13" t="inlineStr">
        <is>
          <t>45 * 55.5 * 8T</t>
        </is>
      </c>
      <c r="F442" s="99" t="n"/>
      <c r="G442" s="9" t="n"/>
      <c r="H442" s="9" t="inlineStr">
        <is>
          <t>굿모닝코리아유통</t>
        </is>
      </c>
      <c r="I442" s="14" t="n"/>
      <c r="J442" s="14" t="n"/>
      <c r="K442" s="12" t="n">
        <v>0</v>
      </c>
      <c r="L442" s="9" t="n"/>
      <c r="M442" s="9" t="n"/>
      <c r="N442" s="9" t="n"/>
      <c r="O442" s="40">
        <f>K442+V442-AE442-AZ442</f>
        <v/>
      </c>
      <c r="P442" s="12" t="n"/>
      <c r="Q442" s="138" t="n"/>
      <c r="R442" s="16" t="n"/>
      <c r="S442" s="139" t="n"/>
      <c r="T442" s="16" t="n"/>
      <c r="U442" s="139" t="n"/>
      <c r="V442" s="16">
        <f>P442+R442+T442</f>
        <v/>
      </c>
      <c r="W442" s="16" t="n"/>
      <c r="X442" s="139" t="n"/>
      <c r="Y442" s="16" t="n"/>
      <c r="Z442" s="139" t="n"/>
      <c r="AA442" s="16" t="n"/>
      <c r="AB442" s="139" t="n"/>
      <c r="AC442" s="16" t="n"/>
      <c r="AD442" s="139" t="n"/>
      <c r="AE442" s="16">
        <f>(W442+Y442+AA442+AC442)</f>
        <v/>
      </c>
      <c r="AF442" s="16" t="n"/>
      <c r="AG442" s="138" t="n"/>
      <c r="AH442" s="16" t="n"/>
      <c r="AI442" s="138" t="n"/>
      <c r="AJ442" s="16" t="n"/>
      <c r="AK442" s="138" t="n"/>
      <c r="AL442" s="16" t="n"/>
      <c r="AM442" s="138" t="n"/>
      <c r="AN442" s="16" t="n"/>
      <c r="AO442" s="138" t="n"/>
      <c r="AP442" s="16" t="n"/>
      <c r="AQ442" s="138" t="n"/>
      <c r="AR442" s="16" t="n"/>
      <c r="AS442" s="138" t="n"/>
      <c r="AT442" s="16" t="n"/>
      <c r="AU442" s="138" t="n"/>
      <c r="AV442" s="16" t="n"/>
      <c r="AW442" s="138" t="n"/>
      <c r="AX442" s="16" t="n"/>
      <c r="AY442" s="138" t="n"/>
      <c r="AZ442" s="16">
        <f>AF442+AH442+AJ442+AL442+AN442+AP442+AR442+AT442+AV442+AX442</f>
        <v/>
      </c>
      <c r="BA442" s="16" t="n"/>
      <c r="BB442" s="139" t="n"/>
      <c r="BC442" s="16" t="n"/>
      <c r="BD442" s="139" t="n"/>
      <c r="BE442" s="16">
        <f>(BA442+BC442)</f>
        <v/>
      </c>
    </row>
    <row r="443">
      <c r="A443" s="9" t="n"/>
      <c r="B443" s="136" t="inlineStr">
        <is>
          <t>PE FOAM</t>
        </is>
      </c>
      <c r="C443" s="137" t="inlineStr">
        <is>
          <t>공용</t>
        </is>
      </c>
      <c r="D443" s="60" t="inlineStr">
        <is>
          <t>체스트 &amp; 베드 스탠드 박스 내장재 상, 하판</t>
        </is>
      </c>
      <c r="E443" s="13" t="inlineStr">
        <is>
          <t>230 * 130 * 30T</t>
        </is>
      </c>
      <c r="F443" s="99" t="n"/>
      <c r="G443" s="9" t="n"/>
      <c r="H443" s="9" t="inlineStr">
        <is>
          <t>에이팩산업</t>
        </is>
      </c>
      <c r="I443" s="14" t="n"/>
      <c r="J443" s="14" t="n"/>
      <c r="K443" s="12" t="n">
        <v>0</v>
      </c>
      <c r="L443" s="9" t="n"/>
      <c r="M443" s="9" t="n"/>
      <c r="N443" s="9" t="n"/>
      <c r="O443" s="40">
        <f>K443+V443-AE443-AZ443</f>
        <v/>
      </c>
      <c r="P443" s="12" t="n"/>
      <c r="Q443" s="138" t="n"/>
      <c r="R443" s="16" t="n"/>
      <c r="S443" s="139" t="n"/>
      <c r="T443" s="16" t="n"/>
      <c r="U443" s="139" t="n"/>
      <c r="V443" s="16">
        <f>P443+R443+T443</f>
        <v/>
      </c>
      <c r="W443" s="16" t="n"/>
      <c r="X443" s="139" t="n"/>
      <c r="Y443" s="16" t="n"/>
      <c r="Z443" s="139" t="n"/>
      <c r="AA443" s="16" t="n"/>
      <c r="AB443" s="139" t="n"/>
      <c r="AC443" s="16" t="n"/>
      <c r="AD443" s="139" t="n"/>
      <c r="AE443" s="16">
        <f>(W443+Y443+AA443+AC443)</f>
        <v/>
      </c>
      <c r="AF443" s="16" t="n"/>
      <c r="AG443" s="138" t="n"/>
      <c r="AH443" s="16" t="n"/>
      <c r="AI443" s="138" t="n"/>
      <c r="AJ443" s="16" t="n"/>
      <c r="AK443" s="138" t="n"/>
      <c r="AL443" s="16" t="n"/>
      <c r="AM443" s="138" t="n"/>
      <c r="AN443" s="16" t="n"/>
      <c r="AO443" s="138" t="n"/>
      <c r="AP443" s="16" t="n"/>
      <c r="AQ443" s="138" t="n"/>
      <c r="AR443" s="16" t="n"/>
      <c r="AS443" s="138" t="n"/>
      <c r="AT443" s="16" t="n"/>
      <c r="AU443" s="138" t="n"/>
      <c r="AV443" s="16" t="n"/>
      <c r="AW443" s="138" t="n"/>
      <c r="AX443" s="16" t="n"/>
      <c r="AY443" s="138" t="n"/>
      <c r="AZ443" s="16">
        <f>AF443+AH443+AJ443+AL443+AN443+AP443+AR443+AT443+AV443+AX443</f>
        <v/>
      </c>
      <c r="BA443" s="16" t="n"/>
      <c r="BB443" s="139" t="n"/>
      <c r="BC443" s="16" t="n"/>
      <c r="BD443" s="139" t="n"/>
      <c r="BE443" s="16">
        <f>(BA443+BC443)</f>
        <v/>
      </c>
    </row>
    <row r="444">
      <c r="A444" s="9" t="n"/>
      <c r="B444" s="136" t="inlineStr">
        <is>
          <t>PE FOAM</t>
        </is>
      </c>
      <c r="C444" s="137" t="inlineStr">
        <is>
          <t>공용</t>
        </is>
      </c>
      <c r="D444" s="60" t="inlineStr">
        <is>
          <t>체스트 &amp; 베드 스탠드 박스 내장재 좌, 우판</t>
        </is>
      </c>
      <c r="E444" s="13" t="inlineStr">
        <is>
          <t>130 * 980 * 30T</t>
        </is>
      </c>
      <c r="F444" s="99" t="n"/>
      <c r="G444" s="9" t="n"/>
      <c r="H444" s="9" t="inlineStr">
        <is>
          <t>에이팩산업</t>
        </is>
      </c>
      <c r="I444" s="14" t="n"/>
      <c r="J444" s="14" t="n"/>
      <c r="K444" s="12" t="n">
        <v>0</v>
      </c>
      <c r="L444" s="9" t="n"/>
      <c r="M444" s="9" t="n"/>
      <c r="N444" s="9" t="n"/>
      <c r="O444" s="40">
        <f>K444+V444-AE444-AZ444</f>
        <v/>
      </c>
      <c r="P444" s="12" t="n"/>
      <c r="Q444" s="138" t="n"/>
      <c r="R444" s="16" t="n"/>
      <c r="S444" s="139" t="n"/>
      <c r="T444" s="16" t="n"/>
      <c r="U444" s="139" t="n"/>
      <c r="V444" s="16">
        <f>P444+R444+T444</f>
        <v/>
      </c>
      <c r="W444" s="16" t="n"/>
      <c r="X444" s="139" t="n"/>
      <c r="Y444" s="16" t="n"/>
      <c r="Z444" s="139" t="n"/>
      <c r="AA444" s="16" t="n"/>
      <c r="AB444" s="139" t="n"/>
      <c r="AC444" s="16" t="n"/>
      <c r="AD444" s="139" t="n"/>
      <c r="AE444" s="16">
        <f>(W444+Y444+AA444+AC444)</f>
        <v/>
      </c>
      <c r="AF444" s="16" t="n"/>
      <c r="AG444" s="138" t="n"/>
      <c r="AH444" s="16" t="n"/>
      <c r="AI444" s="138" t="n"/>
      <c r="AJ444" s="16" t="n"/>
      <c r="AK444" s="138" t="n"/>
      <c r="AL444" s="16" t="n"/>
      <c r="AM444" s="138" t="n"/>
      <c r="AN444" s="16" t="n"/>
      <c r="AO444" s="138" t="n"/>
      <c r="AP444" s="16" t="n"/>
      <c r="AQ444" s="138" t="n"/>
      <c r="AR444" s="16" t="n"/>
      <c r="AS444" s="138" t="n"/>
      <c r="AT444" s="16" t="n"/>
      <c r="AU444" s="138" t="n"/>
      <c r="AV444" s="16" t="n"/>
      <c r="AW444" s="138" t="n"/>
      <c r="AX444" s="16" t="n"/>
      <c r="AY444" s="138" t="n"/>
      <c r="AZ444" s="16">
        <f>AF444+AH444+AJ444+AL444+AN444+AP444+AR444+AT444+AV444+AX444</f>
        <v/>
      </c>
      <c r="BA444" s="16" t="n"/>
      <c r="BB444" s="139" t="n"/>
      <c r="BC444" s="16" t="n"/>
      <c r="BD444" s="139" t="n"/>
      <c r="BE444" s="16">
        <f>(BA444+BC444)</f>
        <v/>
      </c>
    </row>
    <row r="445">
      <c r="A445" s="9" t="n"/>
      <c r="B445" s="136" t="inlineStr">
        <is>
          <t>PE FOAM</t>
        </is>
      </c>
      <c r="C445" s="137" t="inlineStr">
        <is>
          <t>공용</t>
        </is>
      </c>
      <c r="D445" s="60" t="inlineStr">
        <is>
          <t>체스트 &amp; 베드 스탠드 박스 내장재 전, 후판</t>
        </is>
      </c>
      <c r="E445" s="13" t="inlineStr">
        <is>
          <t>230 * 920 * 30T</t>
        </is>
      </c>
      <c r="F445" s="99" t="n"/>
      <c r="G445" s="9" t="n"/>
      <c r="H445" s="9" t="inlineStr">
        <is>
          <t>에이팩산업</t>
        </is>
      </c>
      <c r="I445" s="14" t="n"/>
      <c r="J445" s="14" t="n"/>
      <c r="K445" s="12" t="n">
        <v>0</v>
      </c>
      <c r="L445" s="9" t="n"/>
      <c r="M445" s="9" t="n"/>
      <c r="N445" s="9" t="n"/>
      <c r="O445" s="40">
        <f>K445+V445-AE445-AZ445</f>
        <v/>
      </c>
      <c r="P445" s="12" t="n"/>
      <c r="Q445" s="138" t="n"/>
      <c r="R445" s="16" t="n"/>
      <c r="S445" s="139" t="n"/>
      <c r="T445" s="16" t="n"/>
      <c r="U445" s="139" t="n"/>
      <c r="V445" s="16">
        <f>P445+R445+T445</f>
        <v/>
      </c>
      <c r="W445" s="16" t="n"/>
      <c r="X445" s="139" t="n"/>
      <c r="Y445" s="16" t="n"/>
      <c r="Z445" s="139" t="n"/>
      <c r="AA445" s="16" t="n"/>
      <c r="AB445" s="139" t="n"/>
      <c r="AC445" s="16" t="n"/>
      <c r="AD445" s="139" t="n"/>
      <c r="AE445" s="16">
        <f>(W445+Y445+AA445+AC445)</f>
        <v/>
      </c>
      <c r="AF445" s="16" t="n"/>
      <c r="AG445" s="138" t="n"/>
      <c r="AH445" s="16" t="n"/>
      <c r="AI445" s="138" t="n"/>
      <c r="AJ445" s="16" t="n"/>
      <c r="AK445" s="138" t="n"/>
      <c r="AL445" s="16" t="n"/>
      <c r="AM445" s="138" t="n"/>
      <c r="AN445" s="16" t="n"/>
      <c r="AO445" s="138" t="n"/>
      <c r="AP445" s="16" t="n"/>
      <c r="AQ445" s="138" t="n"/>
      <c r="AR445" s="16" t="n"/>
      <c r="AS445" s="138" t="n"/>
      <c r="AT445" s="16" t="n"/>
      <c r="AU445" s="138" t="n"/>
      <c r="AV445" s="16" t="n"/>
      <c r="AW445" s="138" t="n"/>
      <c r="AX445" s="16" t="n"/>
      <c r="AY445" s="138" t="n"/>
      <c r="AZ445" s="16">
        <f>AF445+AH445+AJ445+AL445+AN445+AP445+AR445+AT445+AV445+AX445</f>
        <v/>
      </c>
      <c r="BA445" s="16" t="n"/>
      <c r="BB445" s="139" t="n"/>
      <c r="BC445" s="16" t="n"/>
      <c r="BD445" s="139" t="n"/>
      <c r="BE445" s="16">
        <f>(BA445+BC445)</f>
        <v/>
      </c>
    </row>
    <row r="446" ht="24" customHeight="1" s="122">
      <c r="A446" s="9" t="n"/>
      <c r="B446" s="136" t="inlineStr">
        <is>
          <t>BOX</t>
        </is>
      </c>
      <c r="C446" s="137" t="inlineStr">
        <is>
          <t>DX3000, ADX4000W</t>
        </is>
      </c>
      <c r="D446" s="60" t="inlineStr">
        <is>
          <t>카톤 박스</t>
        </is>
      </c>
      <c r="E446" s="13" t="inlineStr">
        <is>
          <t>495 * 472 * 380</t>
        </is>
      </c>
      <c r="F446" s="99" t="n"/>
      <c r="G446" s="9" t="n"/>
      <c r="H446" s="9" t="inlineStr">
        <is>
          <t>대성칼라</t>
        </is>
      </c>
      <c r="I446" s="14" t="n"/>
      <c r="J446" s="14" t="n"/>
      <c r="K446" s="12" t="n">
        <v>0</v>
      </c>
      <c r="L446" s="9" t="n"/>
      <c r="M446" s="9" t="n"/>
      <c r="N446" s="9" t="n"/>
      <c r="O446" s="40">
        <f>K446+V446-AE446-AZ446</f>
        <v/>
      </c>
      <c r="P446" s="12" t="n"/>
      <c r="Q446" s="138" t="n"/>
      <c r="R446" s="16" t="n"/>
      <c r="S446" s="139" t="n"/>
      <c r="T446" s="16" t="n"/>
      <c r="U446" s="139" t="n"/>
      <c r="V446" s="16">
        <f>P446+R446+T446</f>
        <v/>
      </c>
      <c r="W446" s="16" t="n"/>
      <c r="X446" s="139" t="n"/>
      <c r="Y446" s="16" t="n"/>
      <c r="Z446" s="139" t="n"/>
      <c r="AA446" s="16" t="n"/>
      <c r="AB446" s="139" t="n"/>
      <c r="AC446" s="16" t="n"/>
      <c r="AD446" s="139" t="n"/>
      <c r="AE446" s="16">
        <f>(W446+Y446+AA446+AC446)</f>
        <v/>
      </c>
      <c r="AF446" s="16" t="n"/>
      <c r="AG446" s="138" t="n"/>
      <c r="AH446" s="16" t="n"/>
      <c r="AI446" s="138" t="n"/>
      <c r="AJ446" s="16" t="n"/>
      <c r="AK446" s="138" t="n"/>
      <c r="AL446" s="16" t="n"/>
      <c r="AM446" s="138" t="n"/>
      <c r="AN446" s="16" t="n"/>
      <c r="AO446" s="138" t="n"/>
      <c r="AP446" s="16" t="n"/>
      <c r="AQ446" s="138" t="n"/>
      <c r="AR446" s="16" t="n"/>
      <c r="AS446" s="138" t="n"/>
      <c r="AT446" s="16" t="n"/>
      <c r="AU446" s="138" t="n"/>
      <c r="AV446" s="16" t="n"/>
      <c r="AW446" s="138" t="n"/>
      <c r="AX446" s="16" t="n"/>
      <c r="AY446" s="138" t="n"/>
      <c r="AZ446" s="16">
        <f>AF446+AH446+AJ446+AL446+AN446+AP446+AR446+AT446+AV446+AX446</f>
        <v/>
      </c>
      <c r="BA446" s="16" t="n"/>
      <c r="BB446" s="139" t="n"/>
      <c r="BC446" s="16" t="n"/>
      <c r="BD446" s="139" t="n"/>
      <c r="BE446" s="16">
        <f>(BA446+BC446)</f>
        <v/>
      </c>
    </row>
    <row r="447" ht="24" customHeight="1" s="122">
      <c r="A447" s="9" t="n"/>
      <c r="B447" s="136" t="inlineStr">
        <is>
          <t>BOX</t>
        </is>
      </c>
      <c r="C447" s="137" t="inlineStr">
        <is>
          <t>DX3000, ADX4000W</t>
        </is>
      </c>
      <c r="D447" s="63" t="inlineStr">
        <is>
          <t>영문 박스</t>
        </is>
      </c>
      <c r="E447" s="13" t="inlineStr">
        <is>
          <t>450 * 240 * 360</t>
        </is>
      </c>
      <c r="F447" s="99" t="n"/>
      <c r="G447" s="9" t="n"/>
      <c r="H447" s="9" t="inlineStr">
        <is>
          <t>대성칼라</t>
        </is>
      </c>
      <c r="I447" s="14" t="n"/>
      <c r="J447" s="14" t="n"/>
      <c r="K447" s="12" t="n">
        <v>0</v>
      </c>
      <c r="L447" s="9" t="n"/>
      <c r="M447" s="9" t="n"/>
      <c r="N447" s="9" t="n"/>
      <c r="O447" s="40">
        <f>K447+V447-AE447-AZ447</f>
        <v/>
      </c>
      <c r="P447" s="12" t="n"/>
      <c r="Q447" s="138" t="n"/>
      <c r="R447" s="16" t="n"/>
      <c r="S447" s="139" t="n"/>
      <c r="T447" s="16" t="n"/>
      <c r="U447" s="139" t="n"/>
      <c r="V447" s="16">
        <f>P447+R447+T447</f>
        <v/>
      </c>
      <c r="W447" s="16" t="n"/>
      <c r="X447" s="139" t="n"/>
      <c r="Y447" s="16" t="n"/>
      <c r="Z447" s="139" t="n"/>
      <c r="AA447" s="16" t="n"/>
      <c r="AB447" s="139" t="n"/>
      <c r="AC447" s="16" t="n"/>
      <c r="AD447" s="139" t="n"/>
      <c r="AE447" s="16">
        <f>(W447+Y447+AA447+AC447)</f>
        <v/>
      </c>
      <c r="AF447" s="16" t="n"/>
      <c r="AG447" s="138" t="n"/>
      <c r="AH447" s="16" t="n"/>
      <c r="AI447" s="138" t="n"/>
      <c r="AJ447" s="16" t="n"/>
      <c r="AK447" s="138" t="n"/>
      <c r="AL447" s="16" t="n"/>
      <c r="AM447" s="138" t="n"/>
      <c r="AN447" s="16" t="n"/>
      <c r="AO447" s="138" t="n"/>
      <c r="AP447" s="16" t="n"/>
      <c r="AQ447" s="138" t="n"/>
      <c r="AR447" s="16" t="n"/>
      <c r="AS447" s="138" t="n"/>
      <c r="AT447" s="16" t="n"/>
      <c r="AU447" s="138" t="n"/>
      <c r="AV447" s="16" t="n"/>
      <c r="AW447" s="138" t="n"/>
      <c r="AX447" s="16" t="n"/>
      <c r="AY447" s="138" t="n"/>
      <c r="AZ447" s="16">
        <f>AF447+AH447+AJ447+AL447+AN447+AP447+AR447+AT447+AV447+AX447</f>
        <v/>
      </c>
      <c r="BA447" s="16" t="n"/>
      <c r="BB447" s="139" t="n"/>
      <c r="BC447" s="16" t="n"/>
      <c r="BD447" s="139" t="n"/>
      <c r="BE447" s="16">
        <f>(BA447+BC447)</f>
        <v/>
      </c>
    </row>
    <row r="448">
      <c r="A448" s="9" t="n"/>
      <c r="B448" s="136" t="inlineStr">
        <is>
          <t>BOX</t>
        </is>
      </c>
      <c r="C448" s="137" t="inlineStr">
        <is>
          <t>COCOON</t>
        </is>
      </c>
      <c r="D448" s="60" t="inlineStr">
        <is>
          <t>카톤 박스</t>
        </is>
      </c>
      <c r="E448" s="13" t="inlineStr">
        <is>
          <t>500 * 460 * 520</t>
        </is>
      </c>
      <c r="F448" s="99" t="n"/>
      <c r="G448" s="9" t="n"/>
      <c r="H448" s="9" t="inlineStr">
        <is>
          <t>대성칼라</t>
        </is>
      </c>
      <c r="I448" s="14" t="n"/>
      <c r="J448" s="14" t="n"/>
      <c r="K448" s="12" t="n">
        <v>0</v>
      </c>
      <c r="L448" s="9" t="n"/>
      <c r="M448" s="9" t="n"/>
      <c r="N448" s="9" t="n"/>
      <c r="O448" s="40">
        <f>K448+V448-AE448-AZ448</f>
        <v/>
      </c>
      <c r="P448" s="12" t="n"/>
      <c r="Q448" s="138" t="n"/>
      <c r="R448" s="16" t="n"/>
      <c r="S448" s="139" t="n"/>
      <c r="T448" s="16" t="n"/>
      <c r="U448" s="139" t="n"/>
      <c r="V448" s="16">
        <f>P448+R448+T448</f>
        <v/>
      </c>
      <c r="W448" s="16" t="n"/>
      <c r="X448" s="139" t="n"/>
      <c r="Y448" s="16" t="n"/>
      <c r="Z448" s="139" t="n"/>
      <c r="AA448" s="16" t="n"/>
      <c r="AB448" s="139" t="n"/>
      <c r="AC448" s="16" t="n"/>
      <c r="AD448" s="139" t="n"/>
      <c r="AE448" s="16">
        <f>(W448+Y448+AA448+AC448)</f>
        <v/>
      </c>
      <c r="AF448" s="16" t="n"/>
      <c r="AG448" s="138" t="n"/>
      <c r="AH448" s="16" t="n"/>
      <c r="AI448" s="138" t="n"/>
      <c r="AJ448" s="16" t="n"/>
      <c r="AK448" s="138" t="n"/>
      <c r="AL448" s="16" t="n"/>
      <c r="AM448" s="138" t="n"/>
      <c r="AN448" s="16" t="n"/>
      <c r="AO448" s="138" t="n"/>
      <c r="AP448" s="16" t="n"/>
      <c r="AQ448" s="138" t="n"/>
      <c r="AR448" s="16" t="n"/>
      <c r="AS448" s="138" t="n"/>
      <c r="AT448" s="16" t="n"/>
      <c r="AU448" s="138" t="n"/>
      <c r="AV448" s="16" t="n"/>
      <c r="AW448" s="138" t="n"/>
      <c r="AX448" s="16" t="n"/>
      <c r="AY448" s="138" t="n"/>
      <c r="AZ448" s="16">
        <f>AF448+AH448+AJ448+AL448+AN448+AP448+AR448+AT448+AV448+AX448</f>
        <v/>
      </c>
      <c r="BA448" s="16" t="n"/>
      <c r="BB448" s="139" t="n"/>
      <c r="BC448" s="16" t="n"/>
      <c r="BD448" s="139" t="n"/>
      <c r="BE448" s="16">
        <f>(BA448+BC448)</f>
        <v/>
      </c>
    </row>
    <row r="449">
      <c r="A449" s="9" t="n"/>
      <c r="B449" s="136" t="inlineStr">
        <is>
          <t>BOX</t>
        </is>
      </c>
      <c r="C449" s="137" t="inlineStr">
        <is>
          <t>COCOON</t>
        </is>
      </c>
      <c r="D449" s="63" t="inlineStr">
        <is>
          <t>영문 박스</t>
        </is>
      </c>
      <c r="E449" s="13" t="inlineStr">
        <is>
          <t>450 * 240 * 490</t>
        </is>
      </c>
      <c r="F449" s="99" t="n"/>
      <c r="G449" s="9" t="n"/>
      <c r="H449" s="9" t="inlineStr">
        <is>
          <t>대성칼라</t>
        </is>
      </c>
      <c r="I449" s="14" t="n"/>
      <c r="J449" s="14" t="n"/>
      <c r="K449" s="12" t="n">
        <v>0</v>
      </c>
      <c r="L449" s="9" t="n"/>
      <c r="M449" s="9" t="n"/>
      <c r="N449" s="9" t="n"/>
      <c r="O449" s="40">
        <f>K449+V449-AE449-AZ449</f>
        <v/>
      </c>
      <c r="P449" s="12" t="n"/>
      <c r="Q449" s="138" t="n"/>
      <c r="R449" s="16" t="n"/>
      <c r="S449" s="139" t="n"/>
      <c r="T449" s="16" t="n"/>
      <c r="U449" s="139" t="n"/>
      <c r="V449" s="16">
        <f>P449+R449+T449</f>
        <v/>
      </c>
      <c r="W449" s="16" t="n"/>
      <c r="X449" s="139" t="n"/>
      <c r="Y449" s="16" t="n"/>
      <c r="Z449" s="139" t="n"/>
      <c r="AA449" s="16" t="n"/>
      <c r="AB449" s="139" t="n"/>
      <c r="AC449" s="16" t="n"/>
      <c r="AD449" s="139" t="n"/>
      <c r="AE449" s="16">
        <f>(W449+Y449+AA449+AC449)</f>
        <v/>
      </c>
      <c r="AF449" s="16" t="n"/>
      <c r="AG449" s="138" t="n"/>
      <c r="AH449" s="16" t="n"/>
      <c r="AI449" s="138" t="n"/>
      <c r="AJ449" s="16" t="n"/>
      <c r="AK449" s="138" t="n"/>
      <c r="AL449" s="16" t="n"/>
      <c r="AM449" s="138" t="n"/>
      <c r="AN449" s="16" t="n"/>
      <c r="AO449" s="138" t="n"/>
      <c r="AP449" s="16" t="n"/>
      <c r="AQ449" s="138" t="n"/>
      <c r="AR449" s="16" t="n"/>
      <c r="AS449" s="138" t="n"/>
      <c r="AT449" s="16" t="n"/>
      <c r="AU449" s="138" t="n"/>
      <c r="AV449" s="16" t="n"/>
      <c r="AW449" s="138" t="n"/>
      <c r="AX449" s="16" t="n"/>
      <c r="AY449" s="138" t="n"/>
      <c r="AZ449" s="16">
        <f>AF449+AH449+AJ449+AL449+AN449+AP449+AR449+AT449+AV449+AX449</f>
        <v/>
      </c>
      <c r="BA449" s="16" t="n"/>
      <c r="BB449" s="139" t="n"/>
      <c r="BC449" s="16" t="n"/>
      <c r="BD449" s="139" t="n"/>
      <c r="BE449" s="16">
        <f>(BA449+BC449)</f>
        <v/>
      </c>
    </row>
    <row r="450">
      <c r="A450" s="9" t="n"/>
      <c r="B450" s="136" t="inlineStr">
        <is>
          <t>BOX</t>
        </is>
      </c>
      <c r="C450" s="137" t="inlineStr">
        <is>
          <t>SOLO</t>
        </is>
      </c>
      <c r="D450" s="63" t="inlineStr">
        <is>
          <t>제품박스(I/N BOX)</t>
        </is>
      </c>
      <c r="E450" s="13" t="inlineStr">
        <is>
          <t>KLB.K.KLB (B) 410 * 390 *180</t>
        </is>
      </c>
      <c r="F450" s="99" t="n"/>
      <c r="G450" s="9" t="n"/>
      <c r="H450" s="9" t="inlineStr">
        <is>
          <t>지성수출포장</t>
        </is>
      </c>
      <c r="I450" s="14" t="n"/>
      <c r="J450" s="14" t="n"/>
      <c r="K450" s="12" t="n">
        <v>0</v>
      </c>
      <c r="L450" s="9" t="n"/>
      <c r="M450" s="9" t="n"/>
      <c r="N450" s="9" t="n"/>
      <c r="O450" s="40">
        <f>K450+V450-AE450-AZ450</f>
        <v/>
      </c>
      <c r="P450" s="12" t="n"/>
      <c r="Q450" s="138" t="n"/>
      <c r="R450" s="16" t="n"/>
      <c r="S450" s="139" t="n"/>
      <c r="T450" s="16" t="n"/>
      <c r="U450" s="139" t="n"/>
      <c r="V450" s="16">
        <f>P450+R450+T450</f>
        <v/>
      </c>
      <c r="W450" s="16" t="n"/>
      <c r="X450" s="139" t="n"/>
      <c r="Y450" s="16" t="n"/>
      <c r="Z450" s="139" t="n"/>
      <c r="AA450" s="16" t="n"/>
      <c r="AB450" s="139" t="n"/>
      <c r="AC450" s="16" t="n"/>
      <c r="AD450" s="139" t="n"/>
      <c r="AE450" s="16">
        <f>(W450+Y450+AA450+AC450)</f>
        <v/>
      </c>
      <c r="AF450" s="16" t="n"/>
      <c r="AG450" s="138" t="n"/>
      <c r="AH450" s="16" t="n"/>
      <c r="AI450" s="138" t="n"/>
      <c r="AJ450" s="16" t="n"/>
      <c r="AK450" s="138" t="n"/>
      <c r="AL450" s="16" t="n"/>
      <c r="AM450" s="138" t="n"/>
      <c r="AN450" s="16" t="n"/>
      <c r="AO450" s="138" t="n"/>
      <c r="AP450" s="16" t="n"/>
      <c r="AQ450" s="138" t="n"/>
      <c r="AR450" s="16" t="n"/>
      <c r="AS450" s="138" t="n"/>
      <c r="AT450" s="16" t="n"/>
      <c r="AU450" s="138" t="n"/>
      <c r="AV450" s="16" t="n"/>
      <c r="AW450" s="138" t="n"/>
      <c r="AX450" s="16" t="n"/>
      <c r="AY450" s="138" t="n"/>
      <c r="AZ450" s="16">
        <f>AF450+AH450+AJ450+AL450+AN450+AP450+AR450+AT450+AV450+AX450</f>
        <v/>
      </c>
      <c r="BA450" s="16" t="n"/>
      <c r="BB450" s="139" t="n"/>
      <c r="BC450" s="16" t="n"/>
      <c r="BD450" s="139" t="n"/>
      <c r="BE450" s="16">
        <f>(BA450+BC450)</f>
        <v/>
      </c>
    </row>
    <row r="451">
      <c r="A451" s="9" t="n"/>
      <c r="B451" s="136" t="inlineStr">
        <is>
          <t>BOX</t>
        </is>
      </c>
      <c r="C451" s="137" t="inlineStr">
        <is>
          <t>SOLO</t>
        </is>
      </c>
      <c r="D451" s="60" t="inlineStr">
        <is>
          <t>카톤박스(C/T BOX)</t>
        </is>
      </c>
      <c r="E451" s="13" t="inlineStr">
        <is>
          <t>KLB.4K (BA/W) 430 * 380 * 420</t>
        </is>
      </c>
      <c r="F451" s="99" t="n"/>
      <c r="G451" s="9" t="n"/>
      <c r="H451" s="9" t="inlineStr">
        <is>
          <t>지성수출포장</t>
        </is>
      </c>
      <c r="I451" s="14" t="n"/>
      <c r="J451" s="14" t="n"/>
      <c r="K451" s="12" t="n">
        <v>0</v>
      </c>
      <c r="L451" s="9" t="n"/>
      <c r="M451" s="9" t="n"/>
      <c r="N451" s="9" t="n"/>
      <c r="O451" s="40">
        <f>K451+V451-AE451-AZ451</f>
        <v/>
      </c>
      <c r="P451" s="12" t="n"/>
      <c r="Q451" s="138" t="n"/>
      <c r="R451" s="16" t="n"/>
      <c r="S451" s="139" t="n"/>
      <c r="T451" s="16" t="n"/>
      <c r="U451" s="139" t="n"/>
      <c r="V451" s="16">
        <f>P451+R451+T451</f>
        <v/>
      </c>
      <c r="W451" s="16" t="n"/>
      <c r="X451" s="139" t="n"/>
      <c r="Y451" s="16" t="n"/>
      <c r="Z451" s="139" t="n"/>
      <c r="AA451" s="16" t="n"/>
      <c r="AB451" s="139" t="n"/>
      <c r="AC451" s="16" t="n"/>
      <c r="AD451" s="139" t="n"/>
      <c r="AE451" s="16">
        <f>(W451+Y451+AA451+AC451)</f>
        <v/>
      </c>
      <c r="AF451" s="16" t="n"/>
      <c r="AG451" s="138" t="n"/>
      <c r="AH451" s="16" t="n"/>
      <c r="AI451" s="138" t="n"/>
      <c r="AJ451" s="16" t="n"/>
      <c r="AK451" s="138" t="n"/>
      <c r="AL451" s="16" t="n"/>
      <c r="AM451" s="138" t="n"/>
      <c r="AN451" s="16" t="n"/>
      <c r="AO451" s="138" t="n"/>
      <c r="AP451" s="16" t="n"/>
      <c r="AQ451" s="138" t="n"/>
      <c r="AR451" s="16" t="n"/>
      <c r="AS451" s="138" t="n"/>
      <c r="AT451" s="16" t="n"/>
      <c r="AU451" s="138" t="n"/>
      <c r="AV451" s="16" t="n"/>
      <c r="AW451" s="138" t="n"/>
      <c r="AX451" s="16" t="n"/>
      <c r="AY451" s="138" t="n"/>
      <c r="AZ451" s="16">
        <f>AF451+AH451+AJ451+AL451+AN451+AP451+AR451+AT451+AV451+AX451</f>
        <v/>
      </c>
      <c r="BA451" s="16" t="n"/>
      <c r="BB451" s="139" t="n"/>
      <c r="BC451" s="16" t="n"/>
      <c r="BD451" s="139" t="n"/>
      <c r="BE451" s="16">
        <f>(BA451+BC451)</f>
        <v/>
      </c>
    </row>
    <row r="452">
      <c r="A452" s="9" t="n"/>
      <c r="B452" s="136" t="inlineStr">
        <is>
          <t>BOX</t>
        </is>
      </c>
      <c r="C452" s="137" t="inlineStr">
        <is>
          <t>ADX6000</t>
        </is>
      </c>
      <c r="D452" s="60" t="inlineStr">
        <is>
          <t>카톤 박스</t>
        </is>
      </c>
      <c r="E452" s="13" t="n"/>
      <c r="F452" s="99" t="n"/>
      <c r="G452" s="9" t="n"/>
      <c r="H452" s="9" t="inlineStr">
        <is>
          <t>제이디자인</t>
        </is>
      </c>
      <c r="I452" s="14" t="n"/>
      <c r="J452" s="14" t="n"/>
      <c r="K452" s="12" t="n">
        <v>0</v>
      </c>
      <c r="L452" s="9" t="n"/>
      <c r="M452" s="9" t="n"/>
      <c r="N452" s="9" t="n"/>
      <c r="O452" s="40">
        <f>K452+V452-AE452-AZ452</f>
        <v/>
      </c>
      <c r="P452" s="12" t="n"/>
      <c r="Q452" s="138" t="n"/>
      <c r="R452" s="16" t="n"/>
      <c r="S452" s="139" t="n"/>
      <c r="T452" s="16" t="n"/>
      <c r="U452" s="139" t="n"/>
      <c r="V452" s="16">
        <f>P452+R452+T452</f>
        <v/>
      </c>
      <c r="W452" s="16" t="n"/>
      <c r="X452" s="139" t="n"/>
      <c r="Y452" s="16" t="n"/>
      <c r="Z452" s="139" t="n"/>
      <c r="AA452" s="16" t="n"/>
      <c r="AB452" s="139" t="n"/>
      <c r="AC452" s="16" t="n"/>
      <c r="AD452" s="139" t="n"/>
      <c r="AE452" s="16">
        <f>(W452+Y452+AA452+AC452)</f>
        <v/>
      </c>
      <c r="AF452" s="16" t="n"/>
      <c r="AG452" s="138" t="n"/>
      <c r="AH452" s="16" t="n"/>
      <c r="AI452" s="138" t="n"/>
      <c r="AJ452" s="16" t="n"/>
      <c r="AK452" s="138" t="n"/>
      <c r="AL452" s="16" t="n"/>
      <c r="AM452" s="138" t="n"/>
      <c r="AN452" s="16" t="n"/>
      <c r="AO452" s="138" t="n"/>
      <c r="AP452" s="16" t="n"/>
      <c r="AQ452" s="138" t="n"/>
      <c r="AR452" s="16" t="n"/>
      <c r="AS452" s="138" t="n"/>
      <c r="AT452" s="16" t="n"/>
      <c r="AU452" s="138" t="n"/>
      <c r="AV452" s="16" t="n"/>
      <c r="AW452" s="138" t="n"/>
      <c r="AX452" s="16" t="n"/>
      <c r="AY452" s="138" t="n"/>
      <c r="AZ452" s="16">
        <f>AF452+AH452+AJ452+AL452+AN452+AP452+AR452+AT452+AV452+AX452</f>
        <v/>
      </c>
      <c r="BA452" s="16" t="n"/>
      <c r="BB452" s="139" t="n"/>
      <c r="BC452" s="16" t="n"/>
      <c r="BD452" s="139" t="n"/>
      <c r="BE452" s="16">
        <f>(BA452+BC452)</f>
        <v/>
      </c>
    </row>
    <row r="453">
      <c r="A453" s="9" t="n"/>
      <c r="B453" s="136" t="inlineStr">
        <is>
          <t>BOX</t>
        </is>
      </c>
      <c r="C453" s="137" t="inlineStr">
        <is>
          <t>ADX6000S</t>
        </is>
      </c>
      <c r="D453" s="60" t="inlineStr">
        <is>
          <t>카톤 박스</t>
        </is>
      </c>
      <c r="E453" s="13" t="n"/>
      <c r="F453" s="99" t="n"/>
      <c r="G453" s="9" t="n"/>
      <c r="H453" s="9" t="inlineStr">
        <is>
          <t>제이디자인</t>
        </is>
      </c>
      <c r="I453" s="14" t="n"/>
      <c r="J453" s="14" t="n"/>
      <c r="K453" s="12" t="n">
        <v>0</v>
      </c>
      <c r="L453" s="9" t="n"/>
      <c r="M453" s="9" t="n"/>
      <c r="N453" s="9" t="n"/>
      <c r="O453" s="40">
        <f>K453+V453-AE453-AZ453</f>
        <v/>
      </c>
      <c r="P453" s="12" t="n"/>
      <c r="Q453" s="138" t="n"/>
      <c r="R453" s="16" t="n"/>
      <c r="S453" s="139" t="n"/>
      <c r="T453" s="16" t="n"/>
      <c r="U453" s="139" t="n"/>
      <c r="V453" s="16">
        <f>P453+R453+T453</f>
        <v/>
      </c>
      <c r="W453" s="16" t="n"/>
      <c r="X453" s="139" t="n"/>
      <c r="Y453" s="16" t="n"/>
      <c r="Z453" s="139" t="n"/>
      <c r="AA453" s="16" t="n"/>
      <c r="AB453" s="139" t="n"/>
      <c r="AC453" s="16" t="n"/>
      <c r="AD453" s="139" t="n"/>
      <c r="AE453" s="16">
        <f>(W453+Y453+AA453+AC453)</f>
        <v/>
      </c>
      <c r="AF453" s="16" t="n"/>
      <c r="AG453" s="138" t="n"/>
      <c r="AH453" s="16" t="n"/>
      <c r="AI453" s="138" t="n"/>
      <c r="AJ453" s="16" t="n"/>
      <c r="AK453" s="138" t="n"/>
      <c r="AL453" s="16" t="n"/>
      <c r="AM453" s="138" t="n"/>
      <c r="AN453" s="16" t="n"/>
      <c r="AO453" s="138" t="n"/>
      <c r="AP453" s="16" t="n"/>
      <c r="AQ453" s="138" t="n"/>
      <c r="AR453" s="16" t="n"/>
      <c r="AS453" s="138" t="n"/>
      <c r="AT453" s="16" t="n"/>
      <c r="AU453" s="138" t="n"/>
      <c r="AV453" s="16" t="n"/>
      <c r="AW453" s="138" t="n"/>
      <c r="AX453" s="16" t="n"/>
      <c r="AY453" s="138" t="n"/>
      <c r="AZ453" s="16">
        <f>AF453+AH453+AJ453+AL453+AN453+AP453+AR453+AT453+AV453+AX453</f>
        <v/>
      </c>
      <c r="BA453" s="16" t="n"/>
      <c r="BB453" s="139" t="n"/>
      <c r="BC453" s="16" t="n"/>
      <c r="BD453" s="139" t="n"/>
      <c r="BE453" s="16">
        <f>(BA453+BC453)</f>
        <v/>
      </c>
    </row>
    <row r="454">
      <c r="A454" s="9" t="n"/>
      <c r="B454" s="136" t="inlineStr">
        <is>
          <t>BOX</t>
        </is>
      </c>
      <c r="C454" s="137" t="inlineStr">
        <is>
          <t>ADX6000S</t>
        </is>
      </c>
      <c r="D454" s="63" t="inlineStr">
        <is>
          <t>제품 박스</t>
        </is>
      </c>
      <c r="E454" s="13" t="n"/>
      <c r="F454" s="99" t="n"/>
      <c r="G454" s="9" t="n"/>
      <c r="H454" s="9" t="inlineStr">
        <is>
          <t>제이디자인</t>
        </is>
      </c>
      <c r="I454" s="14" t="n"/>
      <c r="J454" s="14" t="n"/>
      <c r="K454" s="12" t="n">
        <v>0</v>
      </c>
      <c r="L454" s="9" t="n"/>
      <c r="M454" s="9" t="n"/>
      <c r="N454" s="9" t="n"/>
      <c r="O454" s="40">
        <f>K454+V454-AE454-AZ454</f>
        <v/>
      </c>
      <c r="P454" s="12" t="n"/>
      <c r="Q454" s="138" t="n"/>
      <c r="R454" s="16" t="n"/>
      <c r="S454" s="139" t="n"/>
      <c r="T454" s="16" t="n"/>
      <c r="U454" s="139" t="n"/>
      <c r="V454" s="16">
        <f>P454+R454+T454</f>
        <v/>
      </c>
      <c r="W454" s="16" t="n"/>
      <c r="X454" s="139" t="n"/>
      <c r="Y454" s="16" t="n"/>
      <c r="Z454" s="139" t="n"/>
      <c r="AA454" s="16" t="n"/>
      <c r="AB454" s="139" t="n"/>
      <c r="AC454" s="16" t="n"/>
      <c r="AD454" s="139" t="n"/>
      <c r="AE454" s="16">
        <f>(W454+Y454+AA454+AC454)</f>
        <v/>
      </c>
      <c r="AF454" s="16" t="n"/>
      <c r="AG454" s="138" t="n"/>
      <c r="AH454" s="16" t="n"/>
      <c r="AI454" s="138" t="n"/>
      <c r="AJ454" s="16" t="n"/>
      <c r="AK454" s="138" t="n"/>
      <c r="AL454" s="16" t="n"/>
      <c r="AM454" s="138" t="n"/>
      <c r="AN454" s="16" t="n"/>
      <c r="AO454" s="138" t="n"/>
      <c r="AP454" s="16" t="n"/>
      <c r="AQ454" s="138" t="n"/>
      <c r="AR454" s="16" t="n"/>
      <c r="AS454" s="138" t="n"/>
      <c r="AT454" s="16" t="n"/>
      <c r="AU454" s="138" t="n"/>
      <c r="AV454" s="16" t="n"/>
      <c r="AW454" s="138" t="n"/>
      <c r="AX454" s="16" t="n"/>
      <c r="AY454" s="138" t="n"/>
      <c r="AZ454" s="16">
        <f>AF454+AH454+AJ454+AL454+AN454+AP454+AR454+AT454+AV454+AX454</f>
        <v/>
      </c>
      <c r="BA454" s="16" t="n"/>
      <c r="BB454" s="139" t="n"/>
      <c r="BC454" s="16" t="n"/>
      <c r="BD454" s="139" t="n"/>
      <c r="BE454" s="16">
        <f>(BA454+BC454)</f>
        <v/>
      </c>
    </row>
    <row r="455">
      <c r="A455" s="9" t="n"/>
      <c r="B455" s="136" t="inlineStr">
        <is>
          <t>BOX</t>
        </is>
      </c>
      <c r="C455" s="137" t="inlineStr">
        <is>
          <t>공용</t>
        </is>
      </c>
      <c r="D455" s="63" t="inlineStr">
        <is>
          <t>저가 제품 박스 (小)</t>
        </is>
      </c>
      <c r="E455" s="13" t="n"/>
      <c r="F455" s="99" t="n"/>
      <c r="G455" s="9" t="n"/>
      <c r="H455" s="9" t="inlineStr">
        <is>
          <t>제이디자인</t>
        </is>
      </c>
      <c r="I455" s="14" t="n"/>
      <c r="J455" s="14" t="n"/>
      <c r="K455" s="12" t="n">
        <v>0</v>
      </c>
      <c r="L455" s="9" t="n"/>
      <c r="M455" s="9" t="n"/>
      <c r="N455" s="9" t="n"/>
      <c r="O455" s="40">
        <f>K455+V455-AE455-AZ455</f>
        <v/>
      </c>
      <c r="P455" s="12" t="n"/>
      <c r="Q455" s="138" t="n"/>
      <c r="R455" s="16" t="n"/>
      <c r="S455" s="139" t="n"/>
      <c r="T455" s="16" t="n"/>
      <c r="U455" s="139" t="n"/>
      <c r="V455" s="16">
        <f>P455+R455+T455</f>
        <v/>
      </c>
      <c r="W455" s="16" t="n"/>
      <c r="X455" s="139" t="n"/>
      <c r="Y455" s="16" t="n"/>
      <c r="Z455" s="139" t="n"/>
      <c r="AA455" s="16" t="n"/>
      <c r="AB455" s="139" t="n"/>
      <c r="AC455" s="16" t="n"/>
      <c r="AD455" s="139" t="n"/>
      <c r="AE455" s="16">
        <f>(W455+Y455+AA455+AC455)</f>
        <v/>
      </c>
      <c r="AF455" s="16" t="n"/>
      <c r="AG455" s="138" t="n"/>
      <c r="AH455" s="16" t="n"/>
      <c r="AI455" s="138" t="n"/>
      <c r="AJ455" s="16" t="n"/>
      <c r="AK455" s="138" t="n"/>
      <c r="AL455" s="16" t="n"/>
      <c r="AM455" s="138" t="n"/>
      <c r="AN455" s="16" t="n"/>
      <c r="AO455" s="138" t="n"/>
      <c r="AP455" s="16" t="n"/>
      <c r="AQ455" s="138" t="n"/>
      <c r="AR455" s="16" t="n"/>
      <c r="AS455" s="138" t="n"/>
      <c r="AT455" s="16" t="n"/>
      <c r="AU455" s="138" t="n"/>
      <c r="AV455" s="16" t="n"/>
      <c r="AW455" s="138" t="n"/>
      <c r="AX455" s="16" t="n"/>
      <c r="AY455" s="138" t="n"/>
      <c r="AZ455" s="16">
        <f>AF455+AH455+AJ455+AL455+AN455+AP455+AR455+AT455+AV455+AX455</f>
        <v/>
      </c>
      <c r="BA455" s="16" t="n"/>
      <c r="BB455" s="139" t="n"/>
      <c r="BC455" s="16" t="n"/>
      <c r="BD455" s="139" t="n"/>
      <c r="BE455" s="16">
        <f>(BA455+BC455)</f>
        <v/>
      </c>
    </row>
    <row r="456">
      <c r="A456" s="9" t="n"/>
      <c r="B456" s="136" t="inlineStr">
        <is>
          <t>BOX</t>
        </is>
      </c>
      <c r="C456" s="137" t="inlineStr">
        <is>
          <t>공용</t>
        </is>
      </c>
      <c r="D456" s="63" t="inlineStr">
        <is>
          <t>무지 박스 1개</t>
        </is>
      </c>
      <c r="E456" s="13" t="inlineStr">
        <is>
          <t>450 * 260 * 510(H)mm</t>
        </is>
      </c>
      <c r="F456" s="99" t="n"/>
      <c r="G456" s="9" t="n"/>
      <c r="H456" s="9" t="inlineStr">
        <is>
          <t>박스바다</t>
        </is>
      </c>
      <c r="I456" s="14" t="n"/>
      <c r="J456" s="14" t="n"/>
      <c r="K456" s="12" t="n">
        <v>0</v>
      </c>
      <c r="L456" s="9" t="n"/>
      <c r="M456" s="9" t="n"/>
      <c r="N456" s="9" t="n"/>
      <c r="O456" s="40">
        <f>K456+V456-AE456-AZ456</f>
        <v/>
      </c>
      <c r="P456" s="12" t="n"/>
      <c r="Q456" s="138" t="n"/>
      <c r="R456" s="16" t="n"/>
      <c r="S456" s="139" t="n"/>
      <c r="T456" s="16" t="n"/>
      <c r="U456" s="139" t="n"/>
      <c r="V456" s="16">
        <f>P456+R456+T456</f>
        <v/>
      </c>
      <c r="W456" s="16" t="n"/>
      <c r="X456" s="139" t="n"/>
      <c r="Y456" s="16" t="n"/>
      <c r="Z456" s="139" t="n"/>
      <c r="AA456" s="16" t="n"/>
      <c r="AB456" s="139" t="n"/>
      <c r="AC456" s="16" t="n"/>
      <c r="AD456" s="139" t="n"/>
      <c r="AE456" s="16">
        <f>(W456+Y456+AA456+AC456)</f>
        <v/>
      </c>
      <c r="AF456" s="16" t="n"/>
      <c r="AG456" s="138" t="n"/>
      <c r="AH456" s="16" t="n"/>
      <c r="AI456" s="138" t="n"/>
      <c r="AJ456" s="16" t="n"/>
      <c r="AK456" s="138" t="n"/>
      <c r="AL456" s="16" t="n"/>
      <c r="AM456" s="138" t="n"/>
      <c r="AN456" s="16" t="n"/>
      <c r="AO456" s="138" t="n"/>
      <c r="AP456" s="16" t="n"/>
      <c r="AQ456" s="138" t="n"/>
      <c r="AR456" s="16" t="n"/>
      <c r="AS456" s="138" t="n"/>
      <c r="AT456" s="16" t="n"/>
      <c r="AU456" s="138" t="n"/>
      <c r="AV456" s="16" t="n"/>
      <c r="AW456" s="138" t="n"/>
      <c r="AX456" s="16" t="n"/>
      <c r="AY456" s="138" t="n"/>
      <c r="AZ456" s="16">
        <f>AF456+AH456+AJ456+AL456+AN456+AP456+AR456+AT456+AV456+AX456</f>
        <v/>
      </c>
      <c r="BA456" s="16" t="n"/>
      <c r="BB456" s="139" t="n"/>
      <c r="BC456" s="16" t="n"/>
      <c r="BD456" s="139" t="n"/>
      <c r="BE456" s="16">
        <f>(BA456+BC456)</f>
        <v/>
      </c>
    </row>
    <row r="457">
      <c r="A457" s="9" t="n"/>
      <c r="B457" s="136" t="inlineStr">
        <is>
          <t>BOX</t>
        </is>
      </c>
      <c r="C457" s="137" t="inlineStr">
        <is>
          <t>공용</t>
        </is>
      </c>
      <c r="D457" s="63" t="inlineStr">
        <is>
          <t>무지 박스 2개</t>
        </is>
      </c>
      <c r="E457" s="13" t="inlineStr">
        <is>
          <t>475 * 295 * 220(H)mm</t>
        </is>
      </c>
      <c r="F457" s="99" t="n"/>
      <c r="G457" s="9" t="n"/>
      <c r="H457" s="9" t="inlineStr">
        <is>
          <t>박스바다</t>
        </is>
      </c>
      <c r="I457" s="14" t="n"/>
      <c r="J457" s="14" t="n"/>
      <c r="K457" s="12" t="n">
        <v>0</v>
      </c>
      <c r="L457" s="9" t="n"/>
      <c r="M457" s="9" t="n"/>
      <c r="N457" s="9" t="n"/>
      <c r="O457" s="40">
        <f>K457+V457-AE457-AZ457</f>
        <v/>
      </c>
      <c r="P457" s="12" t="n"/>
      <c r="Q457" s="138" t="n"/>
      <c r="R457" s="16" t="n"/>
      <c r="S457" s="139" t="n"/>
      <c r="T457" s="16" t="n"/>
      <c r="U457" s="139" t="n"/>
      <c r="V457" s="16">
        <f>P457+R457+T457</f>
        <v/>
      </c>
      <c r="W457" s="16" t="n"/>
      <c r="X457" s="139" t="n"/>
      <c r="Y457" s="16" t="n"/>
      <c r="Z457" s="139" t="n"/>
      <c r="AA457" s="16" t="n"/>
      <c r="AB457" s="139" t="n"/>
      <c r="AC457" s="16" t="n"/>
      <c r="AD457" s="139" t="n"/>
      <c r="AE457" s="16">
        <f>(W457+Y457+AA457+AC457)</f>
        <v/>
      </c>
      <c r="AF457" s="16" t="n"/>
      <c r="AG457" s="138" t="n"/>
      <c r="AH457" s="16" t="n"/>
      <c r="AI457" s="138" t="n"/>
      <c r="AJ457" s="16" t="n"/>
      <c r="AK457" s="138" t="n"/>
      <c r="AL457" s="16" t="n"/>
      <c r="AM457" s="138" t="n"/>
      <c r="AN457" s="16" t="n"/>
      <c r="AO457" s="138" t="n"/>
      <c r="AP457" s="16" t="n"/>
      <c r="AQ457" s="138" t="n"/>
      <c r="AR457" s="16" t="n"/>
      <c r="AS457" s="138" t="n"/>
      <c r="AT457" s="16" t="n"/>
      <c r="AU457" s="138" t="n"/>
      <c r="AV457" s="16" t="n"/>
      <c r="AW457" s="138" t="n"/>
      <c r="AX457" s="16" t="n"/>
      <c r="AY457" s="138" t="n"/>
      <c r="AZ457" s="16">
        <f>AF457+AH457+AJ457+AL457+AN457+AP457+AR457+AT457+AV457+AX457</f>
        <v/>
      </c>
      <c r="BA457" s="16" t="n"/>
      <c r="BB457" s="139" t="n"/>
      <c r="BC457" s="16" t="n"/>
      <c r="BD457" s="139" t="n"/>
      <c r="BE457" s="16">
        <f>(BA457+BC457)</f>
        <v/>
      </c>
    </row>
    <row r="458">
      <c r="A458" s="9" t="n"/>
      <c r="B458" s="136" t="inlineStr">
        <is>
          <t>BOX</t>
        </is>
      </c>
      <c r="C458" s="137" t="inlineStr">
        <is>
          <t>공용</t>
        </is>
      </c>
      <c r="D458" s="63" t="inlineStr">
        <is>
          <t>무지 박스 4개</t>
        </is>
      </c>
      <c r="E458" s="13" t="inlineStr">
        <is>
          <t>475 * 295 * 430(H)mm</t>
        </is>
      </c>
      <c r="F458" s="99" t="n"/>
      <c r="G458" s="9" t="n"/>
      <c r="H458" s="9" t="inlineStr">
        <is>
          <t>박스바다</t>
        </is>
      </c>
      <c r="I458" s="14" t="n"/>
      <c r="J458" s="14" t="n"/>
      <c r="K458" s="12" t="n">
        <v>0</v>
      </c>
      <c r="L458" s="9" t="n"/>
      <c r="M458" s="9" t="n"/>
      <c r="N458" s="9" t="n"/>
      <c r="O458" s="40">
        <f>K458+V458-AE458-AZ458</f>
        <v/>
      </c>
      <c r="P458" s="12" t="n"/>
      <c r="Q458" s="138" t="n"/>
      <c r="R458" s="16" t="n"/>
      <c r="S458" s="139" t="n"/>
      <c r="T458" s="16" t="n"/>
      <c r="U458" s="139" t="n"/>
      <c r="V458" s="16">
        <f>P458+R458+T458</f>
        <v/>
      </c>
      <c r="W458" s="16" t="n"/>
      <c r="X458" s="139" t="n"/>
      <c r="Y458" s="16" t="n"/>
      <c r="Z458" s="139" t="n"/>
      <c r="AA458" s="16" t="n"/>
      <c r="AB458" s="139" t="n"/>
      <c r="AC458" s="16" t="n"/>
      <c r="AD458" s="139" t="n"/>
      <c r="AE458" s="16">
        <f>(W458+Y458+AA458+AC458)</f>
        <v/>
      </c>
      <c r="AF458" s="16" t="n"/>
      <c r="AG458" s="138" t="n"/>
      <c r="AH458" s="16" t="n"/>
      <c r="AI458" s="138" t="n"/>
      <c r="AJ458" s="16" t="n"/>
      <c r="AK458" s="138" t="n"/>
      <c r="AL458" s="16" t="n"/>
      <c r="AM458" s="138" t="n"/>
      <c r="AN458" s="16" t="n"/>
      <c r="AO458" s="138" t="n"/>
      <c r="AP458" s="16" t="n"/>
      <c r="AQ458" s="138" t="n"/>
      <c r="AR458" s="16" t="n"/>
      <c r="AS458" s="138" t="n"/>
      <c r="AT458" s="16" t="n"/>
      <c r="AU458" s="138" t="n"/>
      <c r="AV458" s="16" t="n"/>
      <c r="AW458" s="138" t="n"/>
      <c r="AX458" s="16" t="n"/>
      <c r="AY458" s="138" t="n"/>
      <c r="AZ458" s="16">
        <f>AF458+AH458+AJ458+AL458+AN458+AP458+AR458+AT458+AV458+AX458</f>
        <v/>
      </c>
      <c r="BA458" s="16" t="n"/>
      <c r="BB458" s="139" t="n"/>
      <c r="BC458" s="16" t="n"/>
      <c r="BD458" s="139" t="n"/>
      <c r="BE458" s="16">
        <f>(BA458+BC458)</f>
        <v/>
      </c>
    </row>
    <row r="459">
      <c r="A459" s="9" t="n"/>
      <c r="B459" s="136" t="inlineStr">
        <is>
          <t>BOX</t>
        </is>
      </c>
      <c r="C459" s="137" t="inlineStr">
        <is>
          <t>공용</t>
        </is>
      </c>
      <c r="D459" s="63" t="inlineStr">
        <is>
          <t>무지 박스 6개</t>
        </is>
      </c>
      <c r="E459" s="13" t="inlineStr">
        <is>
          <t>700 * 300 * 430(H)mm</t>
        </is>
      </c>
      <c r="F459" s="99" t="n"/>
      <c r="G459" s="9" t="n"/>
      <c r="H459" s="9" t="inlineStr">
        <is>
          <t>박스바다</t>
        </is>
      </c>
      <c r="I459" s="14" t="n"/>
      <c r="J459" s="14" t="n"/>
      <c r="K459" s="12" t="n">
        <v>0</v>
      </c>
      <c r="L459" s="9" t="n"/>
      <c r="M459" s="9" t="n"/>
      <c r="N459" s="9" t="n"/>
      <c r="O459" s="40">
        <f>K459+V459-AE459-AZ459</f>
        <v/>
      </c>
      <c r="P459" s="12" t="n"/>
      <c r="Q459" s="138" t="n"/>
      <c r="R459" s="16" t="n"/>
      <c r="S459" s="139" t="n"/>
      <c r="T459" s="16" t="n"/>
      <c r="U459" s="139" t="n"/>
      <c r="V459" s="16">
        <f>P459+R459+T459</f>
        <v/>
      </c>
      <c r="W459" s="16" t="n"/>
      <c r="X459" s="139" t="n"/>
      <c r="Y459" s="16" t="n"/>
      <c r="Z459" s="139" t="n"/>
      <c r="AA459" s="16" t="n"/>
      <c r="AB459" s="139" t="n"/>
      <c r="AC459" s="16" t="n"/>
      <c r="AD459" s="139" t="n"/>
      <c r="AE459" s="16">
        <f>(W459+Y459+AA459+AC459)</f>
        <v/>
      </c>
      <c r="AF459" s="16" t="n"/>
      <c r="AG459" s="138" t="n"/>
      <c r="AH459" s="16" t="n"/>
      <c r="AI459" s="138" t="n"/>
      <c r="AJ459" s="16" t="n"/>
      <c r="AK459" s="138" t="n"/>
      <c r="AL459" s="16" t="n"/>
      <c r="AM459" s="138" t="n"/>
      <c r="AN459" s="16" t="n"/>
      <c r="AO459" s="138" t="n"/>
      <c r="AP459" s="16" t="n"/>
      <c r="AQ459" s="138" t="n"/>
      <c r="AR459" s="16" t="n"/>
      <c r="AS459" s="138" t="n"/>
      <c r="AT459" s="16" t="n"/>
      <c r="AU459" s="138" t="n"/>
      <c r="AV459" s="16" t="n"/>
      <c r="AW459" s="138" t="n"/>
      <c r="AX459" s="16" t="n"/>
      <c r="AY459" s="138" t="n"/>
      <c r="AZ459" s="16">
        <f>AF459+AH459+AJ459+AL459+AN459+AP459+AR459+AT459+AV459+AX459</f>
        <v/>
      </c>
      <c r="BA459" s="16" t="n"/>
      <c r="BB459" s="139" t="n"/>
      <c r="BC459" s="16" t="n"/>
      <c r="BD459" s="139" t="n"/>
      <c r="BE459" s="16">
        <f>(BA459+BC459)</f>
        <v/>
      </c>
    </row>
    <row r="460">
      <c r="A460" s="9" t="n"/>
      <c r="B460" s="136" t="inlineStr">
        <is>
          <t>BOX</t>
        </is>
      </c>
      <c r="C460" s="137" t="inlineStr">
        <is>
          <t>공용</t>
        </is>
      </c>
      <c r="D460" s="63" t="inlineStr">
        <is>
          <t>Rex 구강 카메라 박스</t>
        </is>
      </c>
      <c r="E460" s="13" t="n"/>
      <c r="F460" s="99" t="n"/>
      <c r="G460" s="9" t="n"/>
      <c r="H460" s="9" t="inlineStr">
        <is>
          <t>제이디자인</t>
        </is>
      </c>
      <c r="I460" s="14" t="n"/>
      <c r="J460" s="14" t="n"/>
      <c r="K460" s="12" t="n">
        <v>0</v>
      </c>
      <c r="L460" s="9" t="n"/>
      <c r="M460" s="9" t="n"/>
      <c r="N460" s="9" t="n"/>
      <c r="O460" s="40">
        <f>K460+V460-AE460-AZ460</f>
        <v/>
      </c>
      <c r="P460" s="12" t="n"/>
      <c r="Q460" s="138" t="n"/>
      <c r="R460" s="16" t="n"/>
      <c r="S460" s="139" t="n"/>
      <c r="T460" s="16" t="n"/>
      <c r="U460" s="139" t="n"/>
      <c r="V460" s="16">
        <f>P460+R460+T460</f>
        <v/>
      </c>
      <c r="W460" s="16" t="n"/>
      <c r="X460" s="139" t="n"/>
      <c r="Y460" s="16" t="n"/>
      <c r="Z460" s="139" t="n"/>
      <c r="AA460" s="16" t="n"/>
      <c r="AB460" s="139" t="n"/>
      <c r="AC460" s="16" t="n"/>
      <c r="AD460" s="139" t="n"/>
      <c r="AE460" s="16">
        <f>(W460+Y460+AA460+AC460)</f>
        <v/>
      </c>
      <c r="AF460" s="16" t="n"/>
      <c r="AG460" s="138" t="n"/>
      <c r="AH460" s="16" t="n"/>
      <c r="AI460" s="138" t="n"/>
      <c r="AJ460" s="16" t="n"/>
      <c r="AK460" s="138" t="n"/>
      <c r="AL460" s="16" t="n"/>
      <c r="AM460" s="138" t="n"/>
      <c r="AN460" s="16" t="n"/>
      <c r="AO460" s="138" t="n"/>
      <c r="AP460" s="16" t="n"/>
      <c r="AQ460" s="138" t="n"/>
      <c r="AR460" s="16" t="n"/>
      <c r="AS460" s="138" t="n"/>
      <c r="AT460" s="16" t="n"/>
      <c r="AU460" s="138" t="n"/>
      <c r="AV460" s="16" t="n"/>
      <c r="AW460" s="138" t="n"/>
      <c r="AX460" s="16" t="n"/>
      <c r="AY460" s="138" t="n"/>
      <c r="AZ460" s="16">
        <f>AF460+AH460+AJ460+AL460+AN460+AP460+AR460+AT460+AV460+AX460</f>
        <v/>
      </c>
      <c r="BA460" s="16" t="n"/>
      <c r="BB460" s="139" t="n"/>
      <c r="BC460" s="16" t="n"/>
      <c r="BD460" s="139" t="n"/>
      <c r="BE460" s="16">
        <f>(BA460+BC460)</f>
        <v/>
      </c>
    </row>
    <row r="461">
      <c r="A461" s="9" t="n"/>
      <c r="B461" s="136" t="inlineStr">
        <is>
          <t>BOX</t>
        </is>
      </c>
      <c r="C461" s="137" t="inlineStr">
        <is>
          <t>공용</t>
        </is>
      </c>
      <c r="D461" s="63" t="inlineStr">
        <is>
          <t>Rex2 센서 박스</t>
        </is>
      </c>
      <c r="E461" s="13" t="n"/>
      <c r="F461" s="99" t="n"/>
      <c r="G461" s="9" t="n"/>
      <c r="H461" s="9" t="inlineStr">
        <is>
          <t>제이디자인</t>
        </is>
      </c>
      <c r="I461" s="14" t="n"/>
      <c r="J461" s="14" t="n"/>
      <c r="K461" s="12" t="n">
        <v>0</v>
      </c>
      <c r="L461" s="9" t="n"/>
      <c r="M461" s="9" t="n"/>
      <c r="N461" s="9" t="n"/>
      <c r="O461" s="40">
        <f>K461+V461-AE461-AZ461</f>
        <v/>
      </c>
      <c r="P461" s="12" t="n"/>
      <c r="Q461" s="138" t="n"/>
      <c r="R461" s="16" t="n"/>
      <c r="S461" s="139" t="n"/>
      <c r="T461" s="16" t="n"/>
      <c r="U461" s="139" t="n"/>
      <c r="V461" s="16">
        <f>P461+R461+T461</f>
        <v/>
      </c>
      <c r="W461" s="16" t="n"/>
      <c r="X461" s="139" t="n"/>
      <c r="Y461" s="16" t="n"/>
      <c r="Z461" s="139" t="n"/>
      <c r="AA461" s="16" t="n"/>
      <c r="AB461" s="139" t="n"/>
      <c r="AC461" s="16" t="n"/>
      <c r="AD461" s="139" t="n"/>
      <c r="AE461" s="16">
        <f>(W461+Y461+AA461+AC461)</f>
        <v/>
      </c>
      <c r="AF461" s="16" t="n"/>
      <c r="AG461" s="138" t="n"/>
      <c r="AH461" s="16" t="n"/>
      <c r="AI461" s="138" t="n"/>
      <c r="AJ461" s="16" t="n"/>
      <c r="AK461" s="138" t="n"/>
      <c r="AL461" s="16" t="n"/>
      <c r="AM461" s="138" t="n"/>
      <c r="AN461" s="16" t="n"/>
      <c r="AO461" s="138" t="n"/>
      <c r="AP461" s="16" t="n"/>
      <c r="AQ461" s="138" t="n"/>
      <c r="AR461" s="16" t="n"/>
      <c r="AS461" s="138" t="n"/>
      <c r="AT461" s="16" t="n"/>
      <c r="AU461" s="138" t="n"/>
      <c r="AV461" s="16" t="n"/>
      <c r="AW461" s="138" t="n"/>
      <c r="AX461" s="16" t="n"/>
      <c r="AY461" s="138" t="n"/>
      <c r="AZ461" s="16">
        <f>AF461+AH461+AJ461+AL461+AN461+AP461+AR461+AT461+AV461+AX461</f>
        <v/>
      </c>
      <c r="BA461" s="16" t="n"/>
      <c r="BB461" s="139" t="n"/>
      <c r="BC461" s="16" t="n"/>
      <c r="BD461" s="139" t="n"/>
      <c r="BE461" s="16">
        <f>(BA461+BC461)</f>
        <v/>
      </c>
    </row>
    <row r="462">
      <c r="A462" s="9" t="n"/>
      <c r="B462" s="136" t="inlineStr">
        <is>
          <t>BOX</t>
        </is>
      </c>
      <c r="C462" s="137" t="inlineStr">
        <is>
          <t>공용</t>
        </is>
      </c>
      <c r="D462" s="63" t="inlineStr">
        <is>
          <t>ADX6000 센서 무지 박스</t>
        </is>
      </c>
      <c r="E462" s="13" t="n"/>
      <c r="F462" s="99" t="n"/>
      <c r="G462" s="9" t="n"/>
      <c r="H462" s="9" t="inlineStr">
        <is>
          <t>박스바다</t>
        </is>
      </c>
      <c r="I462" s="14" t="n"/>
      <c r="J462" s="14" t="n"/>
      <c r="K462" s="12" t="n">
        <v>0</v>
      </c>
      <c r="L462" s="9" t="n"/>
      <c r="M462" s="9" t="n"/>
      <c r="N462" s="9" t="n"/>
      <c r="O462" s="40">
        <f>K462+V462-AE462-AZ462</f>
        <v/>
      </c>
      <c r="P462" s="12" t="n"/>
      <c r="Q462" s="138" t="n"/>
      <c r="R462" s="16" t="n"/>
      <c r="S462" s="139" t="n"/>
      <c r="T462" s="16" t="n"/>
      <c r="U462" s="139" t="n"/>
      <c r="V462" s="16">
        <f>P462+R462+T462</f>
        <v/>
      </c>
      <c r="W462" s="16" t="n"/>
      <c r="X462" s="139" t="n"/>
      <c r="Y462" s="16" t="n"/>
      <c r="Z462" s="139" t="n"/>
      <c r="AA462" s="16" t="n"/>
      <c r="AB462" s="139" t="n"/>
      <c r="AC462" s="16" t="n"/>
      <c r="AD462" s="139" t="n"/>
      <c r="AE462" s="16">
        <f>(W462+Y462+AA462+AC462)</f>
        <v/>
      </c>
      <c r="AF462" s="16" t="n"/>
      <c r="AG462" s="138" t="n"/>
      <c r="AH462" s="16" t="n"/>
      <c r="AI462" s="138" t="n"/>
      <c r="AJ462" s="16" t="n"/>
      <c r="AK462" s="138" t="n"/>
      <c r="AL462" s="16" t="n"/>
      <c r="AM462" s="138" t="n"/>
      <c r="AN462" s="16" t="n"/>
      <c r="AO462" s="138" t="n"/>
      <c r="AP462" s="16" t="n"/>
      <c r="AQ462" s="138" t="n"/>
      <c r="AR462" s="16" t="n"/>
      <c r="AS462" s="138" t="n"/>
      <c r="AT462" s="16" t="n"/>
      <c r="AU462" s="138" t="n"/>
      <c r="AV462" s="16" t="n"/>
      <c r="AW462" s="138" t="n"/>
      <c r="AX462" s="16" t="n"/>
      <c r="AY462" s="138" t="n"/>
      <c r="AZ462" s="16">
        <f>AF462+AH462+AJ462+AL462+AN462+AP462+AR462+AT462+AV462+AX462</f>
        <v/>
      </c>
      <c r="BA462" s="16" t="n"/>
      <c r="BB462" s="139" t="n"/>
      <c r="BC462" s="16" t="n"/>
      <c r="BD462" s="139" t="n"/>
      <c r="BE462" s="16">
        <f>(BA462+BC462)</f>
        <v/>
      </c>
    </row>
    <row r="463">
      <c r="A463" s="9" t="n"/>
      <c r="B463" s="136" t="inlineStr">
        <is>
          <t>BOX</t>
        </is>
      </c>
      <c r="C463" s="137" t="inlineStr">
        <is>
          <t>공용</t>
        </is>
      </c>
      <c r="D463" s="63" t="inlineStr">
        <is>
          <t>체스트 &amp; 베드 스탠드 박스</t>
        </is>
      </c>
      <c r="E463" s="13" t="inlineStr">
        <is>
          <t>1000 * 300 * 150</t>
        </is>
      </c>
      <c r="F463" s="99" t="n"/>
      <c r="G463" s="9" t="n"/>
      <c r="H463" s="9" t="inlineStr">
        <is>
          <t>지성수출포장</t>
        </is>
      </c>
      <c r="I463" s="14" t="n"/>
      <c r="J463" s="14" t="n"/>
      <c r="K463" s="12" t="n">
        <v>0</v>
      </c>
      <c r="L463" s="9" t="n"/>
      <c r="M463" s="9" t="n"/>
      <c r="N463" s="9" t="n"/>
      <c r="O463" s="40">
        <f>K463+V463-AE463-AZ463</f>
        <v/>
      </c>
      <c r="P463" s="12" t="n"/>
      <c r="Q463" s="138" t="n"/>
      <c r="R463" s="16" t="n"/>
      <c r="S463" s="139" t="n"/>
      <c r="T463" s="16" t="n"/>
      <c r="U463" s="139" t="n"/>
      <c r="V463" s="16">
        <f>P463+R463+T463</f>
        <v/>
      </c>
      <c r="W463" s="16" t="n"/>
      <c r="X463" s="139" t="n"/>
      <c r="Y463" s="16" t="n"/>
      <c r="Z463" s="139" t="n"/>
      <c r="AA463" s="16" t="n"/>
      <c r="AB463" s="139" t="n"/>
      <c r="AC463" s="16" t="n"/>
      <c r="AD463" s="139" t="n"/>
      <c r="AE463" s="16">
        <f>(W463+Y463+AA463+AC463)</f>
        <v/>
      </c>
      <c r="AF463" s="16" t="n"/>
      <c r="AG463" s="138" t="n"/>
      <c r="AH463" s="16" t="n"/>
      <c r="AI463" s="138" t="n"/>
      <c r="AJ463" s="16" t="n"/>
      <c r="AK463" s="138" t="n"/>
      <c r="AL463" s="16" t="n"/>
      <c r="AM463" s="138" t="n"/>
      <c r="AN463" s="16" t="n"/>
      <c r="AO463" s="138" t="n"/>
      <c r="AP463" s="16" t="n"/>
      <c r="AQ463" s="138" t="n"/>
      <c r="AR463" s="16" t="n"/>
      <c r="AS463" s="138" t="n"/>
      <c r="AT463" s="16" t="n"/>
      <c r="AU463" s="138" t="n"/>
      <c r="AV463" s="16" t="n"/>
      <c r="AW463" s="138" t="n"/>
      <c r="AX463" s="16" t="n"/>
      <c r="AY463" s="138" t="n"/>
      <c r="AZ463" s="16">
        <f>AF463+AH463+AJ463+AL463+AN463+AP463+AR463+AT463+AV463+AX463</f>
        <v/>
      </c>
      <c r="BA463" s="16" t="n"/>
      <c r="BB463" s="139" t="n"/>
      <c r="BC463" s="16" t="n"/>
      <c r="BD463" s="139" t="n"/>
      <c r="BE463" s="16">
        <f>(BA463+BC463)</f>
        <v/>
      </c>
    </row>
    <row r="464">
      <c r="A464" s="9" t="n"/>
      <c r="B464" s="136" t="inlineStr">
        <is>
          <t>스티로폼</t>
        </is>
      </c>
      <c r="C464" s="137" t="inlineStr">
        <is>
          <t>ADX6000</t>
        </is>
      </c>
      <c r="D464" s="60" t="inlineStr">
        <is>
          <t>제품박스 상, 하 스티로폼</t>
        </is>
      </c>
      <c r="E464" s="13" t="inlineStr">
        <is>
          <t>60.5 * 27.5 * 3T</t>
        </is>
      </c>
      <c r="F464" s="99" t="n"/>
      <c r="G464" s="9" t="n"/>
      <c r="H464" s="9" t="inlineStr">
        <is>
          <t>굿모닝코리아유통</t>
        </is>
      </c>
      <c r="I464" s="14" t="n"/>
      <c r="J464" s="14" t="n"/>
      <c r="K464" s="12" t="n">
        <v>0</v>
      </c>
      <c r="L464" s="9" t="n"/>
      <c r="M464" s="9" t="n"/>
      <c r="N464" s="9" t="n"/>
      <c r="O464" s="40">
        <f>K464+V464-AE464-AZ464</f>
        <v/>
      </c>
      <c r="P464" s="12" t="n"/>
      <c r="Q464" s="138" t="n"/>
      <c r="R464" s="16" t="n"/>
      <c r="S464" s="139" t="n"/>
      <c r="T464" s="16" t="n"/>
      <c r="U464" s="139" t="n"/>
      <c r="V464" s="16">
        <f>P464+R464+T464</f>
        <v/>
      </c>
      <c r="W464" s="16" t="n"/>
      <c r="X464" s="139" t="n"/>
      <c r="Y464" s="16" t="n"/>
      <c r="Z464" s="139" t="n"/>
      <c r="AA464" s="16" t="n"/>
      <c r="AB464" s="139" t="n"/>
      <c r="AC464" s="16" t="n"/>
      <c r="AD464" s="139" t="n"/>
      <c r="AE464" s="16">
        <f>(W464+Y464+AA464+AC464)</f>
        <v/>
      </c>
      <c r="AF464" s="16" t="n"/>
      <c r="AG464" s="138" t="n"/>
      <c r="AH464" s="16" t="n"/>
      <c r="AI464" s="138" t="n"/>
      <c r="AJ464" s="16" t="n"/>
      <c r="AK464" s="138" t="n"/>
      <c r="AL464" s="16" t="n"/>
      <c r="AM464" s="138" t="n"/>
      <c r="AN464" s="16" t="n"/>
      <c r="AO464" s="138" t="n"/>
      <c r="AP464" s="16" t="n"/>
      <c r="AQ464" s="138" t="n"/>
      <c r="AR464" s="16" t="n"/>
      <c r="AS464" s="138" t="n"/>
      <c r="AT464" s="16" t="n"/>
      <c r="AU464" s="138" t="n"/>
      <c r="AV464" s="16" t="n"/>
      <c r="AW464" s="138" t="n"/>
      <c r="AX464" s="16" t="n"/>
      <c r="AY464" s="138" t="n"/>
      <c r="AZ464" s="16">
        <f>AF464+AH464+AJ464+AL464+AN464+AP464+AR464+AT464+AV464+AX464</f>
        <v/>
      </c>
      <c r="BA464" s="16" t="n"/>
      <c r="BB464" s="139" t="n"/>
      <c r="BC464" s="16" t="n"/>
      <c r="BD464" s="139" t="n"/>
      <c r="BE464" s="16">
        <f>(BA464+BC464)</f>
        <v/>
      </c>
    </row>
    <row r="465">
      <c r="A465" s="9" t="n"/>
      <c r="B465" s="136" t="inlineStr">
        <is>
          <t>스티로폼</t>
        </is>
      </c>
      <c r="C465" s="137" t="inlineStr">
        <is>
          <t>ADX6000</t>
        </is>
      </c>
      <c r="D465" s="63" t="inlineStr">
        <is>
          <t>제품박스 좁은 스티로폼</t>
        </is>
      </c>
      <c r="E465" s="13" t="inlineStr">
        <is>
          <t>42.5 * 27.5 * 3T</t>
        </is>
      </c>
      <c r="F465" s="99" t="n"/>
      <c r="G465" s="9" t="n"/>
      <c r="H465" s="9" t="inlineStr">
        <is>
          <t>굿모닝코리아유통</t>
        </is>
      </c>
      <c r="I465" s="14" t="n"/>
      <c r="J465" s="14" t="n"/>
      <c r="K465" s="12" t="n">
        <v>0</v>
      </c>
      <c r="L465" s="9" t="n"/>
      <c r="M465" s="9" t="n"/>
      <c r="N465" s="9" t="n"/>
      <c r="O465" s="40">
        <f>K465+V465-AE465-AZ465</f>
        <v/>
      </c>
      <c r="P465" s="12" t="n"/>
      <c r="Q465" s="138" t="n"/>
      <c r="R465" s="16" t="n"/>
      <c r="S465" s="139" t="n"/>
      <c r="T465" s="16" t="n"/>
      <c r="U465" s="139" t="n"/>
      <c r="V465" s="16">
        <f>P465+R465+T465</f>
        <v/>
      </c>
      <c r="W465" s="16" t="n"/>
      <c r="X465" s="139" t="n"/>
      <c r="Y465" s="16" t="n"/>
      <c r="Z465" s="139" t="n"/>
      <c r="AA465" s="16" t="n"/>
      <c r="AB465" s="139" t="n"/>
      <c r="AC465" s="16" t="n"/>
      <c r="AD465" s="139" t="n"/>
      <c r="AE465" s="16">
        <f>(W465+Y465+AA465+AC465)</f>
        <v/>
      </c>
      <c r="AF465" s="16" t="n"/>
      <c r="AG465" s="138" t="n"/>
      <c r="AH465" s="16" t="n"/>
      <c r="AI465" s="138" t="n"/>
      <c r="AJ465" s="16" t="n"/>
      <c r="AK465" s="138" t="n"/>
      <c r="AL465" s="16" t="n"/>
      <c r="AM465" s="138" t="n"/>
      <c r="AN465" s="16" t="n"/>
      <c r="AO465" s="138" t="n"/>
      <c r="AP465" s="16" t="n"/>
      <c r="AQ465" s="138" t="n"/>
      <c r="AR465" s="16" t="n"/>
      <c r="AS465" s="138" t="n"/>
      <c r="AT465" s="16" t="n"/>
      <c r="AU465" s="138" t="n"/>
      <c r="AV465" s="16" t="n"/>
      <c r="AW465" s="138" t="n"/>
      <c r="AX465" s="16" t="n"/>
      <c r="AY465" s="138" t="n"/>
      <c r="AZ465" s="16">
        <f>AF465+AH465+AJ465+AL465+AN465+AP465+AR465+AT465+AV465+AX465</f>
        <v/>
      </c>
      <c r="BA465" s="16" t="n"/>
      <c r="BB465" s="139" t="n"/>
      <c r="BC465" s="16" t="n"/>
      <c r="BD465" s="139" t="n"/>
      <c r="BE465" s="16">
        <f>(BA465+BC465)</f>
        <v/>
      </c>
    </row>
    <row r="466">
      <c r="A466" s="9" t="n"/>
      <c r="B466" s="136" t="inlineStr">
        <is>
          <t>스티로폼</t>
        </is>
      </c>
      <c r="C466" s="137" t="inlineStr">
        <is>
          <t>ADX6000</t>
        </is>
      </c>
      <c r="D466" s="65" t="inlineStr">
        <is>
          <t>제품박스 넒은 스티로폼</t>
        </is>
      </c>
      <c r="E466" s="13" t="inlineStr">
        <is>
          <t>42.5 * 55 * 3.5T</t>
        </is>
      </c>
      <c r="F466" s="99" t="n"/>
      <c r="G466" s="9" t="n"/>
      <c r="H466" s="9" t="inlineStr">
        <is>
          <t>굿모닝코리아유통</t>
        </is>
      </c>
      <c r="I466" s="14" t="n"/>
      <c r="J466" s="14" t="n"/>
      <c r="K466" s="12" t="n">
        <v>0</v>
      </c>
      <c r="L466" s="9" t="n"/>
      <c r="M466" s="9" t="n"/>
      <c r="N466" s="9" t="n"/>
      <c r="O466" s="40">
        <f>K466+V466-AE466-AZ466</f>
        <v/>
      </c>
      <c r="P466" s="12" t="n"/>
      <c r="Q466" s="138" t="n"/>
      <c r="R466" s="16" t="n"/>
      <c r="S466" s="139" t="n"/>
      <c r="T466" s="16" t="n"/>
      <c r="U466" s="139" t="n"/>
      <c r="V466" s="16">
        <f>P466+R466+T466</f>
        <v/>
      </c>
      <c r="W466" s="16" t="n"/>
      <c r="X466" s="139" t="n"/>
      <c r="Y466" s="16" t="n"/>
      <c r="Z466" s="139" t="n"/>
      <c r="AA466" s="16" t="n"/>
      <c r="AB466" s="139" t="n"/>
      <c r="AC466" s="16" t="n"/>
      <c r="AD466" s="139" t="n"/>
      <c r="AE466" s="16">
        <f>(W466+Y466+AA466+AC466)</f>
        <v/>
      </c>
      <c r="AF466" s="16" t="n"/>
      <c r="AG466" s="138" t="n"/>
      <c r="AH466" s="16" t="n"/>
      <c r="AI466" s="138" t="n"/>
      <c r="AJ466" s="16" t="n"/>
      <c r="AK466" s="138" t="n"/>
      <c r="AL466" s="16" t="n"/>
      <c r="AM466" s="138" t="n"/>
      <c r="AN466" s="16" t="n"/>
      <c r="AO466" s="138" t="n"/>
      <c r="AP466" s="16" t="n"/>
      <c r="AQ466" s="138" t="n"/>
      <c r="AR466" s="16" t="n"/>
      <c r="AS466" s="138" t="n"/>
      <c r="AT466" s="16" t="n"/>
      <c r="AU466" s="138" t="n"/>
      <c r="AV466" s="16" t="n"/>
      <c r="AW466" s="138" t="n"/>
      <c r="AX466" s="16" t="n"/>
      <c r="AY466" s="138" t="n"/>
      <c r="AZ466" s="16">
        <f>AF466+AH466+AJ466+AL466+AN466+AP466+AR466+AT466+AV466+AX466</f>
        <v/>
      </c>
      <c r="BA466" s="16" t="n"/>
      <c r="BB466" s="139" t="n"/>
      <c r="BC466" s="16" t="n"/>
      <c r="BD466" s="139" t="n"/>
      <c r="BE466" s="16">
        <f>(BA466+BC466)</f>
        <v/>
      </c>
    </row>
    <row r="467">
      <c r="A467" s="9" t="n"/>
      <c r="B467" s="136" t="inlineStr">
        <is>
          <t>스티로폼</t>
        </is>
      </c>
      <c r="C467" s="137" t="inlineStr">
        <is>
          <t>공용</t>
        </is>
      </c>
      <c r="D467" s="65" t="inlineStr">
        <is>
          <t>DR Tech 센서 상, 하 스티로폼</t>
        </is>
      </c>
      <c r="E467" s="13" t="inlineStr">
        <is>
          <t>45.5 * 42 * 3T</t>
        </is>
      </c>
      <c r="F467" s="99" t="n"/>
      <c r="G467" s="9" t="n"/>
      <c r="H467" s="9" t="inlineStr">
        <is>
          <t>굿모닝코리아유통</t>
        </is>
      </c>
      <c r="I467" s="14" t="n"/>
      <c r="J467" s="14" t="n"/>
      <c r="K467" s="12" t="n">
        <v>0</v>
      </c>
      <c r="L467" s="9" t="n"/>
      <c r="M467" s="9" t="n"/>
      <c r="N467" s="9" t="n"/>
      <c r="O467" s="40">
        <f>K467+V467-AE467-AZ467</f>
        <v/>
      </c>
      <c r="P467" s="12" t="n"/>
      <c r="Q467" s="138" t="n"/>
      <c r="R467" s="16" t="n"/>
      <c r="S467" s="139" t="n"/>
      <c r="T467" s="16" t="n"/>
      <c r="U467" s="139" t="n"/>
      <c r="V467" s="16">
        <f>P467+R467+T467</f>
        <v/>
      </c>
      <c r="W467" s="16" t="n"/>
      <c r="X467" s="139" t="n"/>
      <c r="Y467" s="16" t="n"/>
      <c r="Z467" s="139" t="n"/>
      <c r="AA467" s="16" t="n"/>
      <c r="AB467" s="139" t="n"/>
      <c r="AC467" s="16" t="n"/>
      <c r="AD467" s="139" t="n"/>
      <c r="AE467" s="16">
        <f>(W467+Y467+AA467+AC467)</f>
        <v/>
      </c>
      <c r="AF467" s="16" t="n"/>
      <c r="AG467" s="138" t="n"/>
      <c r="AH467" s="16" t="n"/>
      <c r="AI467" s="138" t="n"/>
      <c r="AJ467" s="16" t="n"/>
      <c r="AK467" s="138" t="n"/>
      <c r="AL467" s="16" t="n"/>
      <c r="AM467" s="138" t="n"/>
      <c r="AN467" s="16" t="n"/>
      <c r="AO467" s="138" t="n"/>
      <c r="AP467" s="16" t="n"/>
      <c r="AQ467" s="138" t="n"/>
      <c r="AR467" s="16" t="n"/>
      <c r="AS467" s="138" t="n"/>
      <c r="AT467" s="16" t="n"/>
      <c r="AU467" s="138" t="n"/>
      <c r="AV467" s="16" t="n"/>
      <c r="AW467" s="138" t="n"/>
      <c r="AX467" s="16" t="n"/>
      <c r="AY467" s="138" t="n"/>
      <c r="AZ467" s="16">
        <f>AF467+AH467+AJ467+AL467+AN467+AP467+AR467+AT467+AV467+AX467</f>
        <v/>
      </c>
      <c r="BA467" s="16" t="n"/>
      <c r="BB467" s="139" t="n"/>
      <c r="BC467" s="16" t="n"/>
      <c r="BD467" s="139" t="n"/>
      <c r="BE467" s="16">
        <f>(BA467+BC467)</f>
        <v/>
      </c>
    </row>
    <row r="468">
      <c r="A468" s="9" t="n"/>
      <c r="B468" s="136" t="inlineStr">
        <is>
          <t>내부폼</t>
        </is>
      </c>
      <c r="C468" s="137" t="inlineStr">
        <is>
          <t>SOLO</t>
        </is>
      </c>
      <c r="D468" s="65" t="inlineStr">
        <is>
          <t>내부폼 (가교 PAD) SET</t>
        </is>
      </c>
      <c r="E468" s="13" t="n"/>
      <c r="F468" s="99" t="n"/>
      <c r="G468" s="9" t="n"/>
      <c r="H468" s="9" t="inlineStr">
        <is>
          <t>에이팩산업</t>
        </is>
      </c>
      <c r="I468" s="14" t="n"/>
      <c r="J468" s="14" t="n"/>
      <c r="K468" s="12" t="n">
        <v>0</v>
      </c>
      <c r="L468" s="9" t="n"/>
      <c r="M468" s="9" t="n"/>
      <c r="N468" s="9" t="n"/>
      <c r="O468" s="40">
        <f>K468+V468-AE468-AZ468</f>
        <v/>
      </c>
      <c r="P468" s="12" t="n"/>
      <c r="Q468" s="138" t="n"/>
      <c r="R468" s="16" t="n"/>
      <c r="S468" s="139" t="n"/>
      <c r="T468" s="16" t="n"/>
      <c r="U468" s="139" t="n"/>
      <c r="V468" s="16">
        <f>P468+R468+T468</f>
        <v/>
      </c>
      <c r="W468" s="16" t="n"/>
      <c r="X468" s="139" t="n"/>
      <c r="Y468" s="16" t="n"/>
      <c r="Z468" s="139" t="n"/>
      <c r="AA468" s="16" t="n"/>
      <c r="AB468" s="139" t="n"/>
      <c r="AC468" s="16" t="n"/>
      <c r="AD468" s="139" t="n"/>
      <c r="AE468" s="16">
        <f>(W468+Y468+AA468+AC468)</f>
        <v/>
      </c>
      <c r="AF468" s="16" t="n"/>
      <c r="AG468" s="138" t="n"/>
      <c r="AH468" s="16" t="n"/>
      <c r="AI468" s="138" t="n"/>
      <c r="AJ468" s="16" t="n"/>
      <c r="AK468" s="138" t="n"/>
      <c r="AL468" s="16" t="n"/>
      <c r="AM468" s="138" t="n"/>
      <c r="AN468" s="16" t="n"/>
      <c r="AO468" s="138" t="n"/>
      <c r="AP468" s="16" t="n"/>
      <c r="AQ468" s="138" t="n"/>
      <c r="AR468" s="16" t="n"/>
      <c r="AS468" s="138" t="n"/>
      <c r="AT468" s="16" t="n"/>
      <c r="AU468" s="138" t="n"/>
      <c r="AV468" s="16" t="n"/>
      <c r="AW468" s="138" t="n"/>
      <c r="AX468" s="16" t="n"/>
      <c r="AY468" s="138" t="n"/>
      <c r="AZ468" s="16">
        <f>AF468+AH468+AJ468+AL468+AN468+AP468+AR468+AT468+AV468+AX468</f>
        <v/>
      </c>
      <c r="BA468" s="16" t="n"/>
      <c r="BB468" s="139" t="n"/>
      <c r="BC468" s="16" t="n"/>
      <c r="BD468" s="139" t="n"/>
      <c r="BE468" s="16">
        <f>(BA468+BC468)</f>
        <v/>
      </c>
    </row>
    <row r="469">
      <c r="A469" s="9" t="n"/>
      <c r="B469" s="136" t="inlineStr">
        <is>
          <t>에어셀</t>
        </is>
      </c>
      <c r="C469" s="137" t="inlineStr">
        <is>
          <t>DX3000</t>
        </is>
      </c>
      <c r="D469" s="65" t="inlineStr">
        <is>
          <t>에어셀 TOP</t>
        </is>
      </c>
      <c r="E469" s="13" t="inlineStr">
        <is>
          <t>JD010211-02</t>
        </is>
      </c>
      <c r="F469" s="99" t="n"/>
      <c r="G469" s="9" t="n"/>
      <c r="H469" s="9" t="inlineStr">
        <is>
          <t>에어패킹</t>
        </is>
      </c>
      <c r="I469" s="14" t="n"/>
      <c r="J469" s="14" t="n"/>
      <c r="K469" s="12" t="n">
        <v>0</v>
      </c>
      <c r="L469" s="9" t="n"/>
      <c r="M469" s="9" t="n"/>
      <c r="N469" s="9" t="n"/>
      <c r="O469" s="40">
        <f>K469+V469-AE469-AZ469</f>
        <v/>
      </c>
      <c r="P469" s="12" t="n"/>
      <c r="Q469" s="138" t="n"/>
      <c r="R469" s="16" t="n"/>
      <c r="S469" s="139" t="n"/>
      <c r="T469" s="16" t="n"/>
      <c r="U469" s="139" t="n"/>
      <c r="V469" s="16">
        <f>P469+R469+T469</f>
        <v/>
      </c>
      <c r="W469" s="16" t="n"/>
      <c r="X469" s="139" t="n"/>
      <c r="Y469" s="16" t="n"/>
      <c r="Z469" s="139" t="n"/>
      <c r="AA469" s="16" t="n"/>
      <c r="AB469" s="139" t="n"/>
      <c r="AC469" s="16" t="n"/>
      <c r="AD469" s="139" t="n"/>
      <c r="AE469" s="16">
        <f>(W469+Y469+AA469+AC469)</f>
        <v/>
      </c>
      <c r="AF469" s="16" t="n"/>
      <c r="AG469" s="138" t="n"/>
      <c r="AH469" s="16" t="n"/>
      <c r="AI469" s="138" t="n"/>
      <c r="AJ469" s="16" t="n"/>
      <c r="AK469" s="138" t="n"/>
      <c r="AL469" s="16" t="n"/>
      <c r="AM469" s="138" t="n"/>
      <c r="AN469" s="16" t="n"/>
      <c r="AO469" s="138" t="n"/>
      <c r="AP469" s="16" t="n"/>
      <c r="AQ469" s="138" t="n"/>
      <c r="AR469" s="16" t="n"/>
      <c r="AS469" s="138" t="n"/>
      <c r="AT469" s="16" t="n"/>
      <c r="AU469" s="138" t="n"/>
      <c r="AV469" s="16" t="n"/>
      <c r="AW469" s="138" t="n"/>
      <c r="AX469" s="16" t="n"/>
      <c r="AY469" s="138" t="n"/>
      <c r="AZ469" s="16">
        <f>AF469+AH469+AJ469+AL469+AN469+AP469+AR469+AT469+AV469+AX469</f>
        <v/>
      </c>
      <c r="BA469" s="16" t="n"/>
      <c r="BB469" s="139" t="n"/>
      <c r="BC469" s="16" t="n"/>
      <c r="BD469" s="139" t="n"/>
      <c r="BE469" s="16">
        <f>(BA469+BC469)</f>
        <v/>
      </c>
    </row>
    <row r="470">
      <c r="A470" s="9" t="n"/>
      <c r="B470" s="136" t="inlineStr">
        <is>
          <t>에어셀</t>
        </is>
      </c>
      <c r="C470" s="137" t="inlineStr">
        <is>
          <t>DX3000</t>
        </is>
      </c>
      <c r="D470" s="65" t="inlineStr">
        <is>
          <t>에어셀 BOTTOM</t>
        </is>
      </c>
      <c r="E470" s="13" t="inlineStr">
        <is>
          <t>JD010212-02</t>
        </is>
      </c>
      <c r="F470" s="99" t="n"/>
      <c r="G470" s="9" t="n"/>
      <c r="H470" s="9" t="inlineStr">
        <is>
          <t>에어패킹</t>
        </is>
      </c>
      <c r="I470" s="14" t="n"/>
      <c r="J470" s="14" t="n"/>
      <c r="K470" s="12" t="n">
        <v>0</v>
      </c>
      <c r="L470" s="9" t="n"/>
      <c r="M470" s="9" t="n"/>
      <c r="N470" s="9" t="n"/>
      <c r="O470" s="40">
        <f>K470+V470-AE470-AZ470</f>
        <v/>
      </c>
      <c r="P470" s="12" t="n"/>
      <c r="Q470" s="138" t="n"/>
      <c r="R470" s="16" t="n"/>
      <c r="S470" s="139" t="n"/>
      <c r="T470" s="16" t="n"/>
      <c r="U470" s="139" t="n"/>
      <c r="V470" s="16">
        <f>P470+R470+T470</f>
        <v/>
      </c>
      <c r="W470" s="16" t="n"/>
      <c r="X470" s="139" t="n"/>
      <c r="Y470" s="16" t="n"/>
      <c r="Z470" s="139" t="n"/>
      <c r="AA470" s="16" t="n"/>
      <c r="AB470" s="139" t="n"/>
      <c r="AC470" s="16" t="n"/>
      <c r="AD470" s="139" t="n"/>
      <c r="AE470" s="16">
        <f>(W470+Y470+AA470+AC470)</f>
        <v/>
      </c>
      <c r="AF470" s="16" t="n"/>
      <c r="AG470" s="138" t="n"/>
      <c r="AH470" s="16" t="n"/>
      <c r="AI470" s="138" t="n"/>
      <c r="AJ470" s="16" t="n"/>
      <c r="AK470" s="138" t="n"/>
      <c r="AL470" s="16" t="n"/>
      <c r="AM470" s="138" t="n"/>
      <c r="AN470" s="16" t="n"/>
      <c r="AO470" s="138" t="n"/>
      <c r="AP470" s="16" t="n"/>
      <c r="AQ470" s="138" t="n"/>
      <c r="AR470" s="16" t="n"/>
      <c r="AS470" s="138" t="n"/>
      <c r="AT470" s="16" t="n"/>
      <c r="AU470" s="138" t="n"/>
      <c r="AV470" s="16" t="n"/>
      <c r="AW470" s="138" t="n"/>
      <c r="AX470" s="16" t="n"/>
      <c r="AY470" s="138" t="n"/>
      <c r="AZ470" s="16">
        <f>AF470+AH470+AJ470+AL470+AN470+AP470+AR470+AT470+AV470+AX470</f>
        <v/>
      </c>
      <c r="BA470" s="16" t="n"/>
      <c r="BB470" s="139" t="n"/>
      <c r="BC470" s="16" t="n"/>
      <c r="BD470" s="139" t="n"/>
      <c r="BE470" s="16">
        <f>(BA470+BC470)</f>
        <v/>
      </c>
    </row>
    <row r="471">
      <c r="A471" s="9" t="n"/>
      <c r="B471" s="136" t="inlineStr">
        <is>
          <t>에어셀</t>
        </is>
      </c>
      <c r="C471" s="137" t="inlineStr">
        <is>
          <t>COCOON</t>
        </is>
      </c>
      <c r="D471" s="65" t="inlineStr">
        <is>
          <t>에어셀 TOP</t>
        </is>
      </c>
      <c r="E471" s="13" t="inlineStr">
        <is>
          <t>JD010311-01</t>
        </is>
      </c>
      <c r="F471" s="99" t="n"/>
      <c r="G471" s="9" t="n"/>
      <c r="H471" s="9" t="inlineStr">
        <is>
          <t>인디스에어</t>
        </is>
      </c>
      <c r="I471" s="14" t="n"/>
      <c r="J471" s="14" t="n"/>
      <c r="K471" s="12" t="n">
        <v>0</v>
      </c>
      <c r="L471" s="9" t="n"/>
      <c r="M471" s="9" t="n"/>
      <c r="N471" s="9" t="n"/>
      <c r="O471" s="40">
        <f>K471+V471-AE471-AZ471</f>
        <v/>
      </c>
      <c r="P471" s="12" t="n"/>
      <c r="Q471" s="138" t="n"/>
      <c r="R471" s="16" t="n"/>
      <c r="S471" s="139" t="n"/>
      <c r="T471" s="16" t="n"/>
      <c r="U471" s="139" t="n"/>
      <c r="V471" s="16">
        <f>P471+R471+T471</f>
        <v/>
      </c>
      <c r="W471" s="16" t="n"/>
      <c r="X471" s="139" t="n"/>
      <c r="Y471" s="16" t="n"/>
      <c r="Z471" s="139" t="n"/>
      <c r="AA471" s="16" t="n"/>
      <c r="AB471" s="139" t="n"/>
      <c r="AC471" s="16" t="n"/>
      <c r="AD471" s="139" t="n"/>
      <c r="AE471" s="16">
        <f>(W471+Y471+AA471+AC471)</f>
        <v/>
      </c>
      <c r="AF471" s="16" t="n"/>
      <c r="AG471" s="138" t="n"/>
      <c r="AH471" s="16" t="n"/>
      <c r="AI471" s="138" t="n"/>
      <c r="AJ471" s="16" t="n"/>
      <c r="AK471" s="138" t="n"/>
      <c r="AL471" s="16" t="n"/>
      <c r="AM471" s="138" t="n"/>
      <c r="AN471" s="16" t="n"/>
      <c r="AO471" s="138" t="n"/>
      <c r="AP471" s="16" t="n"/>
      <c r="AQ471" s="138" t="n"/>
      <c r="AR471" s="16" t="n"/>
      <c r="AS471" s="138" t="n"/>
      <c r="AT471" s="16" t="n"/>
      <c r="AU471" s="138" t="n"/>
      <c r="AV471" s="16" t="n"/>
      <c r="AW471" s="138" t="n"/>
      <c r="AX471" s="16" t="n"/>
      <c r="AY471" s="138" t="n"/>
      <c r="AZ471" s="16">
        <f>AF471+AH471+AJ471+AL471+AN471+AP471+AR471+AT471+AV471+AX471</f>
        <v/>
      </c>
      <c r="BA471" s="16" t="n"/>
      <c r="BB471" s="139" t="n"/>
      <c r="BC471" s="16" t="n"/>
      <c r="BD471" s="139" t="n"/>
      <c r="BE471" s="16">
        <f>(BA471+BC471)</f>
        <v/>
      </c>
    </row>
    <row r="472">
      <c r="A472" s="9" t="n"/>
      <c r="B472" s="136" t="inlineStr">
        <is>
          <t>에어셀</t>
        </is>
      </c>
      <c r="C472" s="137" t="inlineStr">
        <is>
          <t>COCOON</t>
        </is>
      </c>
      <c r="D472" s="65" t="inlineStr">
        <is>
          <t>에어셀 BOTTOM</t>
        </is>
      </c>
      <c r="E472" s="13" t="inlineStr">
        <is>
          <t>JD010312-01</t>
        </is>
      </c>
      <c r="F472" s="99" t="n"/>
      <c r="G472" s="9" t="n"/>
      <c r="H472" s="9" t="inlineStr">
        <is>
          <t>인디스에어</t>
        </is>
      </c>
      <c r="I472" s="14" t="n"/>
      <c r="J472" s="14" t="n"/>
      <c r="K472" s="12" t="n">
        <v>0</v>
      </c>
      <c r="L472" s="9" t="n"/>
      <c r="M472" s="9" t="n"/>
      <c r="N472" s="9" t="n"/>
      <c r="O472" s="40">
        <f>K472+V472-AE472-AZ472</f>
        <v/>
      </c>
      <c r="P472" s="12" t="n"/>
      <c r="Q472" s="138" t="n"/>
      <c r="R472" s="16" t="n"/>
      <c r="S472" s="139" t="n"/>
      <c r="T472" s="16" t="n"/>
      <c r="U472" s="139" t="n"/>
      <c r="V472" s="16">
        <f>P472+R472+T472</f>
        <v/>
      </c>
      <c r="W472" s="16" t="n"/>
      <c r="X472" s="139" t="n"/>
      <c r="Y472" s="16" t="n"/>
      <c r="Z472" s="139" t="n"/>
      <c r="AA472" s="16" t="n"/>
      <c r="AB472" s="139" t="n"/>
      <c r="AC472" s="16" t="n"/>
      <c r="AD472" s="139" t="n"/>
      <c r="AE472" s="16">
        <f>(W472+Y472+AA472+AC472)</f>
        <v/>
      </c>
      <c r="AF472" s="16" t="n"/>
      <c r="AG472" s="138" t="n"/>
      <c r="AH472" s="16" t="n"/>
      <c r="AI472" s="138" t="n"/>
      <c r="AJ472" s="16" t="n"/>
      <c r="AK472" s="138" t="n"/>
      <c r="AL472" s="16" t="n"/>
      <c r="AM472" s="138" t="n"/>
      <c r="AN472" s="16" t="n"/>
      <c r="AO472" s="138" t="n"/>
      <c r="AP472" s="16" t="n"/>
      <c r="AQ472" s="138" t="n"/>
      <c r="AR472" s="16" t="n"/>
      <c r="AS472" s="138" t="n"/>
      <c r="AT472" s="16" t="n"/>
      <c r="AU472" s="138" t="n"/>
      <c r="AV472" s="16" t="n"/>
      <c r="AW472" s="138" t="n"/>
      <c r="AX472" s="16" t="n"/>
      <c r="AY472" s="138" t="n"/>
      <c r="AZ472" s="16">
        <f>AF472+AH472+AJ472+AL472+AN472+AP472+AR472+AT472+AV472+AX472</f>
        <v/>
      </c>
      <c r="BA472" s="16" t="n"/>
      <c r="BB472" s="139" t="n"/>
      <c r="BC472" s="16" t="n"/>
      <c r="BD472" s="139" t="n"/>
      <c r="BE472" s="16">
        <f>(BA472+BC472)</f>
        <v/>
      </c>
    </row>
    <row r="473">
      <c r="A473" s="9" t="n"/>
      <c r="B473" s="136" t="inlineStr">
        <is>
          <t>에어셀</t>
        </is>
      </c>
      <c r="C473" s="137" t="inlineStr">
        <is>
          <t>공용</t>
        </is>
      </c>
      <c r="D473" s="65" t="inlineStr">
        <is>
          <t>저가 박스  에어셀 Main</t>
        </is>
      </c>
      <c r="E473" s="13" t="inlineStr">
        <is>
          <t>JD010411-01</t>
        </is>
      </c>
      <c r="F473" s="99" t="n"/>
      <c r="G473" s="9" t="n"/>
      <c r="H473" s="9" t="inlineStr">
        <is>
          <t>인디스에어</t>
        </is>
      </c>
      <c r="I473" s="14" t="n"/>
      <c r="J473" s="14" t="n"/>
      <c r="K473" s="12" t="n">
        <v>0</v>
      </c>
      <c r="L473" s="9" t="n"/>
      <c r="M473" s="9" t="n"/>
      <c r="N473" s="9" t="n"/>
      <c r="O473" s="40">
        <f>K473+V473-AE473-AZ473</f>
        <v/>
      </c>
      <c r="P473" s="12" t="n"/>
      <c r="Q473" s="138" t="n"/>
      <c r="R473" s="16" t="n"/>
      <c r="S473" s="139" t="n"/>
      <c r="T473" s="16" t="n"/>
      <c r="U473" s="139" t="n"/>
      <c r="V473" s="16">
        <f>P473+R473+T473</f>
        <v/>
      </c>
      <c r="W473" s="16" t="n"/>
      <c r="X473" s="139" t="n"/>
      <c r="Y473" s="16" t="n"/>
      <c r="Z473" s="139" t="n"/>
      <c r="AA473" s="16" t="n"/>
      <c r="AB473" s="139" t="n"/>
      <c r="AC473" s="16" t="n"/>
      <c r="AD473" s="139" t="n"/>
      <c r="AE473" s="16">
        <f>(W473+Y473+AA473+AC473)</f>
        <v/>
      </c>
      <c r="AF473" s="16" t="n"/>
      <c r="AG473" s="138" t="n"/>
      <c r="AH473" s="16" t="n"/>
      <c r="AI473" s="138" t="n"/>
      <c r="AJ473" s="16" t="n"/>
      <c r="AK473" s="138" t="n"/>
      <c r="AL473" s="16" t="n"/>
      <c r="AM473" s="138" t="n"/>
      <c r="AN473" s="16" t="n"/>
      <c r="AO473" s="138" t="n"/>
      <c r="AP473" s="16" t="n"/>
      <c r="AQ473" s="138" t="n"/>
      <c r="AR473" s="16" t="n"/>
      <c r="AS473" s="138" t="n"/>
      <c r="AT473" s="16" t="n"/>
      <c r="AU473" s="138" t="n"/>
      <c r="AV473" s="16" t="n"/>
      <c r="AW473" s="138" t="n"/>
      <c r="AX473" s="16" t="n"/>
      <c r="AY473" s="138" t="n"/>
      <c r="AZ473" s="16">
        <f>AF473+AH473+AJ473+AL473+AN473+AP473+AR473+AT473+AV473+AX473</f>
        <v/>
      </c>
      <c r="BA473" s="16" t="n"/>
      <c r="BB473" s="139" t="n"/>
      <c r="BC473" s="16" t="n"/>
      <c r="BD473" s="139" t="n"/>
      <c r="BE473" s="16">
        <f>(BA473+BC473)</f>
        <v/>
      </c>
    </row>
    <row r="474">
      <c r="A474" s="9" t="n"/>
      <c r="B474" s="136" t="inlineStr">
        <is>
          <t>에어셀</t>
        </is>
      </c>
      <c r="C474" s="137" t="inlineStr">
        <is>
          <t>공용</t>
        </is>
      </c>
      <c r="D474" s="60" t="inlineStr">
        <is>
          <t>저가 박스  에어셀 ACC</t>
        </is>
      </c>
      <c r="E474" s="13" t="inlineStr">
        <is>
          <t>JD010412-01</t>
        </is>
      </c>
      <c r="F474" s="99" t="n"/>
      <c r="G474" s="9" t="n"/>
      <c r="H474" s="9" t="inlineStr">
        <is>
          <t>인디스에어</t>
        </is>
      </c>
      <c r="I474" s="14" t="n"/>
      <c r="J474" s="14" t="n"/>
      <c r="K474" s="12" t="n">
        <v>0</v>
      </c>
      <c r="L474" s="9" t="n"/>
      <c r="M474" s="9" t="n"/>
      <c r="N474" s="9" t="n"/>
      <c r="O474" s="40">
        <f>K474+V474-AE474-AZ474</f>
        <v/>
      </c>
      <c r="P474" s="12" t="n"/>
      <c r="Q474" s="138" t="n"/>
      <c r="R474" s="16" t="n"/>
      <c r="S474" s="139" t="n"/>
      <c r="T474" s="16" t="n"/>
      <c r="U474" s="139" t="n"/>
      <c r="V474" s="16">
        <f>P474+R474+T474</f>
        <v/>
      </c>
      <c r="W474" s="16" t="n"/>
      <c r="X474" s="139" t="n"/>
      <c r="Y474" s="16" t="n"/>
      <c r="Z474" s="139" t="n"/>
      <c r="AA474" s="16" t="n"/>
      <c r="AB474" s="139" t="n"/>
      <c r="AC474" s="16" t="n"/>
      <c r="AD474" s="139" t="n"/>
      <c r="AE474" s="16">
        <f>(W474+Y474+AA474+AC474)</f>
        <v/>
      </c>
      <c r="AF474" s="16" t="n"/>
      <c r="AG474" s="138" t="n"/>
      <c r="AH474" s="16" t="n"/>
      <c r="AI474" s="138" t="n"/>
      <c r="AJ474" s="16" t="n"/>
      <c r="AK474" s="138" t="n"/>
      <c r="AL474" s="16" t="n"/>
      <c r="AM474" s="138" t="n"/>
      <c r="AN474" s="16" t="n"/>
      <c r="AO474" s="138" t="n"/>
      <c r="AP474" s="16" t="n"/>
      <c r="AQ474" s="138" t="n"/>
      <c r="AR474" s="16" t="n"/>
      <c r="AS474" s="138" t="n"/>
      <c r="AT474" s="16" t="n"/>
      <c r="AU474" s="138" t="n"/>
      <c r="AV474" s="16" t="n"/>
      <c r="AW474" s="138" t="n"/>
      <c r="AX474" s="16" t="n"/>
      <c r="AY474" s="138" t="n"/>
      <c r="AZ474" s="16">
        <f>AF474+AH474+AJ474+AL474+AN474+AP474+AR474+AT474+AV474+AX474</f>
        <v/>
      </c>
      <c r="BA474" s="16" t="n"/>
      <c r="BB474" s="139" t="n"/>
      <c r="BC474" s="16" t="n"/>
      <c r="BD474" s="139" t="n"/>
      <c r="BE474" s="16">
        <f>(BA474+BC474)</f>
        <v/>
      </c>
    </row>
    <row r="475">
      <c r="A475" s="9" t="n"/>
      <c r="B475" s="136" t="inlineStr">
        <is>
          <t>넥스트랩</t>
        </is>
      </c>
      <c r="C475" s="137" t="inlineStr">
        <is>
          <t>공용</t>
        </is>
      </c>
      <c r="D475" s="63" t="inlineStr">
        <is>
          <t>넥스트 랩</t>
        </is>
      </c>
      <c r="E475" s="13" t="inlineStr">
        <is>
          <t>포켓</t>
        </is>
      </c>
      <c r="F475" s="99" t="n"/>
      <c r="G475" s="9" t="n"/>
      <c r="H475" s="9" t="inlineStr">
        <is>
          <t>피엔에스</t>
        </is>
      </c>
      <c r="I475" s="14" t="n"/>
      <c r="J475" s="14" t="n"/>
      <c r="K475" s="12" t="n">
        <v>0</v>
      </c>
      <c r="L475" s="9" t="n"/>
      <c r="M475" s="9" t="n"/>
      <c r="N475" s="9" t="n"/>
      <c r="O475" s="40">
        <f>K475+V475-AE475-AZ475</f>
        <v/>
      </c>
      <c r="P475" s="12" t="n"/>
      <c r="Q475" s="138" t="n"/>
      <c r="R475" s="16" t="n"/>
      <c r="S475" s="139" t="n"/>
      <c r="T475" s="16" t="n"/>
      <c r="U475" s="139" t="n"/>
      <c r="V475" s="16">
        <f>P475+R475+T475</f>
        <v/>
      </c>
      <c r="W475" s="16" t="n"/>
      <c r="X475" s="139" t="n"/>
      <c r="Y475" s="16" t="n"/>
      <c r="Z475" s="139" t="n"/>
      <c r="AA475" s="16" t="n"/>
      <c r="AB475" s="139" t="n"/>
      <c r="AC475" s="16" t="n"/>
      <c r="AD475" s="139" t="n"/>
      <c r="AE475" s="16">
        <f>(W475+Y475+AA475+AC475)</f>
        <v/>
      </c>
      <c r="AF475" s="16" t="n"/>
      <c r="AG475" s="138" t="n"/>
      <c r="AH475" s="16" t="n"/>
      <c r="AI475" s="138" t="n"/>
      <c r="AJ475" s="16" t="n"/>
      <c r="AK475" s="138" t="n"/>
      <c r="AL475" s="16" t="n"/>
      <c r="AM475" s="138" t="n"/>
      <c r="AN475" s="16" t="n"/>
      <c r="AO475" s="138" t="n"/>
      <c r="AP475" s="16" t="n"/>
      <c r="AQ475" s="138" t="n"/>
      <c r="AR475" s="16" t="n"/>
      <c r="AS475" s="138" t="n"/>
      <c r="AT475" s="16" t="n"/>
      <c r="AU475" s="138" t="n"/>
      <c r="AV475" s="16" t="n"/>
      <c r="AW475" s="138" t="n"/>
      <c r="AX475" s="16" t="n"/>
      <c r="AY475" s="138" t="n"/>
      <c r="AZ475" s="16">
        <f>AF475+AH475+AJ475+AL475+AN475+AP475+AR475+AT475+AV475+AX475</f>
        <v/>
      </c>
      <c r="BA475" s="16" t="n"/>
      <c r="BB475" s="139" t="n"/>
      <c r="BC475" s="16" t="n"/>
      <c r="BD475" s="139" t="n"/>
      <c r="BE475" s="16">
        <f>(BA475+BC475)</f>
        <v/>
      </c>
    </row>
    <row r="476">
      <c r="A476" s="9" t="n"/>
      <c r="B476" s="136" t="inlineStr">
        <is>
          <t>넥스트랩</t>
        </is>
      </c>
      <c r="C476" s="137" t="inlineStr">
        <is>
          <t>공용</t>
        </is>
      </c>
      <c r="D476" s="63" t="inlineStr">
        <is>
          <t>넥스트 랩</t>
        </is>
      </c>
      <c r="E476" s="13" t="inlineStr">
        <is>
          <t>포켓 구형</t>
        </is>
      </c>
      <c r="F476" s="99" t="n"/>
      <c r="G476" s="9" t="n"/>
      <c r="H476" s="9" t="inlineStr">
        <is>
          <t>씨티무역</t>
        </is>
      </c>
      <c r="I476" s="14" t="n"/>
      <c r="J476" s="14" t="n"/>
      <c r="K476" s="12" t="n">
        <v>0</v>
      </c>
      <c r="L476" s="9" t="n"/>
      <c r="M476" s="9" t="n"/>
      <c r="N476" s="9" t="n"/>
      <c r="O476" s="40">
        <f>K476+V476-AE476-AZ476</f>
        <v/>
      </c>
      <c r="P476" s="12" t="n"/>
      <c r="Q476" s="138" t="n"/>
      <c r="R476" s="16" t="n"/>
      <c r="S476" s="139" t="n"/>
      <c r="T476" s="16" t="n"/>
      <c r="U476" s="139" t="n"/>
      <c r="V476" s="16">
        <f>P476+R476+T476</f>
        <v/>
      </c>
      <c r="W476" s="16" t="n"/>
      <c r="X476" s="139" t="n"/>
      <c r="Y476" s="16" t="n"/>
      <c r="Z476" s="139" t="n"/>
      <c r="AA476" s="16" t="n"/>
      <c r="AB476" s="139" t="n"/>
      <c r="AC476" s="16" t="n"/>
      <c r="AD476" s="139" t="n"/>
      <c r="AE476" s="16">
        <f>(W476+Y476+AA476+AC476)</f>
        <v/>
      </c>
      <c r="AF476" s="16" t="n"/>
      <c r="AG476" s="138" t="n"/>
      <c r="AH476" s="16" t="n"/>
      <c r="AI476" s="138" t="n"/>
      <c r="AJ476" s="16" t="n"/>
      <c r="AK476" s="138" t="n"/>
      <c r="AL476" s="16" t="n"/>
      <c r="AM476" s="138" t="n"/>
      <c r="AN476" s="16" t="n"/>
      <c r="AO476" s="138" t="n"/>
      <c r="AP476" s="16" t="n"/>
      <c r="AQ476" s="138" t="n"/>
      <c r="AR476" s="16" t="n"/>
      <c r="AS476" s="138" t="n"/>
      <c r="AT476" s="16" t="n"/>
      <c r="AU476" s="138" t="n"/>
      <c r="AV476" s="16" t="n"/>
      <c r="AW476" s="138" t="n"/>
      <c r="AX476" s="16" t="n"/>
      <c r="AY476" s="138" t="n"/>
      <c r="AZ476" s="16">
        <f>AF476+AH476+AJ476+AL476+AN476+AP476+AR476+AT476+AV476+AX476</f>
        <v/>
      </c>
      <c r="BA476" s="16" t="n"/>
      <c r="BB476" s="139" t="n"/>
      <c r="BC476" s="16" t="n"/>
      <c r="BD476" s="139" t="n"/>
      <c r="BE476" s="16">
        <f>(BA476+BC476)</f>
        <v/>
      </c>
    </row>
    <row r="477">
      <c r="A477" s="9" t="n"/>
      <c r="B477" s="136" t="inlineStr">
        <is>
          <t>넥스트랩</t>
        </is>
      </c>
      <c r="C477" s="137" t="inlineStr">
        <is>
          <t>공용</t>
        </is>
      </c>
      <c r="D477" s="65" t="inlineStr">
        <is>
          <t>넥스트 랩</t>
        </is>
      </c>
      <c r="E477" s="13" t="inlineStr">
        <is>
          <t>포켓 X</t>
        </is>
      </c>
      <c r="F477" s="99" t="n"/>
      <c r="G477" s="9" t="n"/>
      <c r="H477" s="9" t="inlineStr">
        <is>
          <t>씨티무역</t>
        </is>
      </c>
      <c r="I477" s="14" t="n"/>
      <c r="J477" s="14" t="n"/>
      <c r="K477" s="12" t="n">
        <v>24</v>
      </c>
      <c r="L477" s="9" t="n"/>
      <c r="M477" s="9" t="n"/>
      <c r="N477" s="9" t="n"/>
      <c r="O477" s="40">
        <f>K477+V477-AE477-AZ477</f>
        <v/>
      </c>
      <c r="P477" s="12" t="n"/>
      <c r="Q477" s="138" t="n"/>
      <c r="R477" s="16" t="n"/>
      <c r="S477" s="139" t="n"/>
      <c r="T477" s="16" t="n"/>
      <c r="U477" s="139" t="n"/>
      <c r="V477" s="16">
        <f>P477+R477+T477</f>
        <v/>
      </c>
      <c r="W477" s="16" t="n"/>
      <c r="X477" s="139" t="n"/>
      <c r="Y477" s="16" t="n"/>
      <c r="Z477" s="139" t="n"/>
      <c r="AA477" s="16" t="n"/>
      <c r="AB477" s="139" t="n"/>
      <c r="AC477" s="16" t="n"/>
      <c r="AD477" s="139" t="n"/>
      <c r="AE477" s="16">
        <f>(W477+Y477+AA477+AC477)</f>
        <v/>
      </c>
      <c r="AF477" s="16" t="n"/>
      <c r="AG477" s="138" t="n"/>
      <c r="AH477" s="16" t="n"/>
      <c r="AI477" s="138" t="n"/>
      <c r="AJ477" s="16" t="n"/>
      <c r="AK477" s="138" t="n"/>
      <c r="AL477" s="16" t="n"/>
      <c r="AM477" s="138" t="n"/>
      <c r="AN477" s="16" t="n"/>
      <c r="AO477" s="138" t="n"/>
      <c r="AP477" s="16" t="n"/>
      <c r="AQ477" s="138" t="n"/>
      <c r="AR477" s="16" t="n"/>
      <c r="AS477" s="138" t="n"/>
      <c r="AT477" s="16" t="n"/>
      <c r="AU477" s="138" t="n"/>
      <c r="AV477" s="16" t="n"/>
      <c r="AW477" s="138" t="n"/>
      <c r="AX477" s="16" t="n"/>
      <c r="AY477" s="138" t="n"/>
      <c r="AZ477" s="16">
        <f>AF477+AH477+AJ477+AL477+AN477+AP477+AR477+AT477+AV477+AX477</f>
        <v/>
      </c>
      <c r="BA477" s="16" t="n"/>
      <c r="BB477" s="139" t="n"/>
      <c r="BC477" s="16" t="n"/>
      <c r="BD477" s="139" t="n"/>
      <c r="BE477" s="16">
        <f>(BA477+BC477)</f>
        <v/>
      </c>
    </row>
    <row r="478">
      <c r="A478" s="9" t="n"/>
      <c r="B478" s="136" t="inlineStr">
        <is>
          <t>숄더스트랩</t>
        </is>
      </c>
      <c r="C478" s="137" t="inlineStr">
        <is>
          <t>DX3000</t>
        </is>
      </c>
      <c r="D478" s="63" t="inlineStr">
        <is>
          <t>제품 어깨끈</t>
        </is>
      </c>
      <c r="E478" s="13" t="inlineStr">
        <is>
          <t>구형</t>
        </is>
      </c>
      <c r="F478" s="99" t="n"/>
      <c r="G478" s="9" t="n"/>
      <c r="H478" s="9" t="inlineStr">
        <is>
          <t>굿모닝코리아유통</t>
        </is>
      </c>
      <c r="I478" s="14" t="n"/>
      <c r="J478" s="14" t="n"/>
      <c r="K478" s="12" t="n">
        <v>77</v>
      </c>
      <c r="L478" s="9" t="n"/>
      <c r="M478" s="9" t="n"/>
      <c r="N478" s="9" t="n"/>
      <c r="O478" s="40">
        <f>K478+V478-AE478-AZ478</f>
        <v/>
      </c>
      <c r="P478" s="12" t="n"/>
      <c r="Q478" s="138" t="n"/>
      <c r="R478" s="16" t="n"/>
      <c r="S478" s="139" t="n"/>
      <c r="T478" s="16" t="n"/>
      <c r="U478" s="139" t="n"/>
      <c r="V478" s="16">
        <f>P478+R478+T478</f>
        <v/>
      </c>
      <c r="W478" s="16" t="n"/>
      <c r="X478" s="139" t="n"/>
      <c r="Y478" s="16" t="n"/>
      <c r="Z478" s="139" t="n"/>
      <c r="AA478" s="16" t="n"/>
      <c r="AB478" s="139" t="n"/>
      <c r="AC478" s="16" t="n"/>
      <c r="AD478" s="139" t="n"/>
      <c r="AE478" s="16">
        <f>(W478+Y478+AA478+AC478)</f>
        <v/>
      </c>
      <c r="AF478" s="16" t="n"/>
      <c r="AG478" s="138" t="n"/>
      <c r="AH478" s="16" t="n"/>
      <c r="AI478" s="138" t="n"/>
      <c r="AJ478" s="16" t="n"/>
      <c r="AK478" s="138" t="n"/>
      <c r="AL478" s="16" t="n"/>
      <c r="AM478" s="138" t="n"/>
      <c r="AN478" s="16" t="n"/>
      <c r="AO478" s="138" t="n"/>
      <c r="AP478" s="16" t="n"/>
      <c r="AQ478" s="138" t="n"/>
      <c r="AR478" s="16" t="n"/>
      <c r="AS478" s="138" t="n"/>
      <c r="AT478" s="16" t="n"/>
      <c r="AU478" s="138" t="n"/>
      <c r="AV478" s="16" t="n"/>
      <c r="AW478" s="138" t="n"/>
      <c r="AX478" s="16" t="n"/>
      <c r="AY478" s="138" t="n"/>
      <c r="AZ478" s="16">
        <f>AF478+AH478+AJ478+AL478+AN478+AP478+AR478+AT478+AV478+AX478</f>
        <v/>
      </c>
      <c r="BA478" s="16" t="n"/>
      <c r="BB478" s="139" t="n"/>
      <c r="BC478" s="16" t="n"/>
      <c r="BD478" s="139" t="n"/>
      <c r="BE478" s="16">
        <f>(BA478+BC478)</f>
        <v/>
      </c>
    </row>
    <row r="479">
      <c r="A479" s="9" t="n"/>
      <c r="B479" s="136" t="inlineStr">
        <is>
          <t>숄더스트랩</t>
        </is>
      </c>
      <c r="C479" s="137" t="inlineStr">
        <is>
          <t>DX3000</t>
        </is>
      </c>
      <c r="D479" s="60" t="inlineStr">
        <is>
          <t>가방끈</t>
        </is>
      </c>
      <c r="E479" s="13" t="inlineStr">
        <is>
          <t>일본용</t>
        </is>
      </c>
      <c r="F479" s="99" t="n"/>
      <c r="G479" s="9" t="n"/>
      <c r="H479" s="9" t="inlineStr">
        <is>
          <t>굿모닝코리아유통</t>
        </is>
      </c>
      <c r="I479" s="14" t="n"/>
      <c r="J479" s="14" t="n"/>
      <c r="K479" s="12" t="n">
        <v>20</v>
      </c>
      <c r="L479" s="9" t="n"/>
      <c r="M479" s="9" t="n"/>
      <c r="N479" s="9" t="n"/>
      <c r="O479" s="40">
        <f>K479+V479-AE479-AZ479</f>
        <v/>
      </c>
      <c r="P479" s="12" t="n"/>
      <c r="Q479" s="138" t="n"/>
      <c r="R479" s="16" t="n"/>
      <c r="S479" s="139" t="n"/>
      <c r="T479" s="16" t="n"/>
      <c r="U479" s="139" t="n"/>
      <c r="V479" s="16">
        <f>P479+R479+T479</f>
        <v/>
      </c>
      <c r="W479" s="16" t="n"/>
      <c r="X479" s="139" t="n"/>
      <c r="Y479" s="16" t="n"/>
      <c r="Z479" s="139" t="n"/>
      <c r="AA479" s="16" t="n"/>
      <c r="AB479" s="139" t="n"/>
      <c r="AC479" s="16" t="n"/>
      <c r="AD479" s="139" t="n"/>
      <c r="AE479" s="16">
        <f>(W479+Y479+AA479+AC479)</f>
        <v/>
      </c>
      <c r="AF479" s="16" t="n"/>
      <c r="AG479" s="138" t="n"/>
      <c r="AH479" s="16" t="n"/>
      <c r="AI479" s="138" t="n"/>
      <c r="AJ479" s="16" t="n"/>
      <c r="AK479" s="138" t="n"/>
      <c r="AL479" s="16" t="n"/>
      <c r="AM479" s="138" t="n"/>
      <c r="AN479" s="16" t="n"/>
      <c r="AO479" s="138" t="n"/>
      <c r="AP479" s="16" t="n"/>
      <c r="AQ479" s="138" t="n"/>
      <c r="AR479" s="16" t="n"/>
      <c r="AS479" s="138" t="n"/>
      <c r="AT479" s="16" t="n"/>
      <c r="AU479" s="138" t="n"/>
      <c r="AV479" s="16" t="n"/>
      <c r="AW479" s="138" t="n"/>
      <c r="AX479" s="16" t="n"/>
      <c r="AY479" s="138" t="n"/>
      <c r="AZ479" s="16">
        <f>AF479+AH479+AJ479+AL479+AN479+AP479+AR479+AT479+AV479+AX479</f>
        <v/>
      </c>
      <c r="BA479" s="16" t="n"/>
      <c r="BB479" s="139" t="n"/>
      <c r="BC479" s="16" t="n"/>
      <c r="BD479" s="139" t="n"/>
      <c r="BE479" s="16">
        <f>(BA479+BC479)</f>
        <v/>
      </c>
    </row>
    <row r="480">
      <c r="A480" s="9" t="n"/>
      <c r="B480" s="136" t="inlineStr">
        <is>
          <t>스트랩</t>
        </is>
      </c>
      <c r="C480" s="137" t="inlineStr">
        <is>
          <t>DX3000</t>
        </is>
      </c>
      <c r="D480" s="63" t="inlineStr">
        <is>
          <t>DX3000 핸드 스트랩</t>
        </is>
      </c>
      <c r="E480" s="13" t="n"/>
      <c r="F480" s="99" t="n"/>
      <c r="G480" s="9" t="n"/>
      <c r="H480" s="9" t="inlineStr">
        <is>
          <t>굿모닝코리아유통</t>
        </is>
      </c>
      <c r="I480" s="14" t="n"/>
      <c r="J480" s="14" t="n"/>
      <c r="K480" s="12" t="n">
        <v>0</v>
      </c>
      <c r="L480" s="9" t="n"/>
      <c r="M480" s="9" t="n"/>
      <c r="N480" s="9" t="n"/>
      <c r="O480" s="40">
        <f>K480+V480-AE480-AZ480</f>
        <v/>
      </c>
      <c r="P480" s="12" t="n"/>
      <c r="Q480" s="138" t="n"/>
      <c r="R480" s="16" t="n"/>
      <c r="S480" s="139" t="n"/>
      <c r="T480" s="16" t="n"/>
      <c r="U480" s="139" t="n"/>
      <c r="V480" s="16">
        <f>P480+R480+T480</f>
        <v/>
      </c>
      <c r="W480" s="16" t="n"/>
      <c r="X480" s="139" t="n"/>
      <c r="Y480" s="16" t="n"/>
      <c r="Z480" s="139" t="n"/>
      <c r="AA480" s="16" t="n"/>
      <c r="AB480" s="139" t="n"/>
      <c r="AC480" s="16" t="n"/>
      <c r="AD480" s="139" t="n"/>
      <c r="AE480" s="16">
        <f>(W480+Y480+AA480+AC480)</f>
        <v/>
      </c>
      <c r="AF480" s="16" t="n"/>
      <c r="AG480" s="138" t="n"/>
      <c r="AH480" s="16" t="n"/>
      <c r="AI480" s="138" t="n"/>
      <c r="AJ480" s="16" t="n"/>
      <c r="AK480" s="138" t="n"/>
      <c r="AL480" s="16" t="n"/>
      <c r="AM480" s="138" t="n"/>
      <c r="AN480" s="16" t="n"/>
      <c r="AO480" s="138" t="n"/>
      <c r="AP480" s="16" t="n"/>
      <c r="AQ480" s="138" t="n"/>
      <c r="AR480" s="16" t="n"/>
      <c r="AS480" s="138" t="n"/>
      <c r="AT480" s="16" t="n"/>
      <c r="AU480" s="138" t="n"/>
      <c r="AV480" s="16" t="n"/>
      <c r="AW480" s="138" t="n"/>
      <c r="AX480" s="16" t="n"/>
      <c r="AY480" s="138" t="n"/>
      <c r="AZ480" s="16">
        <f>AF480+AH480+AJ480+AL480+AN480+AP480+AR480+AT480+AV480+AX480</f>
        <v/>
      </c>
      <c r="BA480" s="16" t="n"/>
      <c r="BB480" s="139" t="n"/>
      <c r="BC480" s="16" t="n"/>
      <c r="BD480" s="139" t="n"/>
      <c r="BE480" s="16">
        <f>(BA480+BC480)</f>
        <v/>
      </c>
    </row>
    <row r="481">
      <c r="A481" s="9" t="n"/>
      <c r="B481" s="136" t="inlineStr">
        <is>
          <t>연아크릴</t>
        </is>
      </c>
      <c r="C481" s="137" t="inlineStr">
        <is>
          <t>공용</t>
        </is>
      </c>
      <c r="D481" s="63" t="inlineStr">
        <is>
          <t>연아크릴 쉴드 8T</t>
        </is>
      </c>
      <c r="E481" s="13" t="inlineStr">
        <is>
          <t>153 * ∮65 * 8T</t>
        </is>
      </c>
      <c r="F481" s="99" t="n"/>
      <c r="G481" s="9" t="n"/>
      <c r="H481" s="9" t="inlineStr">
        <is>
          <t>선일쉴드텍</t>
        </is>
      </c>
      <c r="I481" s="14" t="n"/>
      <c r="J481" s="14" t="n"/>
      <c r="K481" s="12" t="n">
        <v>194</v>
      </c>
      <c r="L481" s="9" t="n"/>
      <c r="M481" s="9" t="n"/>
      <c r="N481" s="9" t="n"/>
      <c r="O481" s="40">
        <f>K481+V481-AE481-AZ481</f>
        <v/>
      </c>
      <c r="P481" s="12" t="n"/>
      <c r="Q481" s="138" t="n"/>
      <c r="R481" s="16" t="n"/>
      <c r="S481" s="139" t="n"/>
      <c r="T481" s="16" t="n"/>
      <c r="U481" s="139" t="n"/>
      <c r="V481" s="16">
        <f>P481+R481+T481</f>
        <v/>
      </c>
      <c r="W481" s="16" t="n"/>
      <c r="X481" s="139" t="n"/>
      <c r="Y481" s="16" t="n"/>
      <c r="Z481" s="139" t="n"/>
      <c r="AA481" s="16" t="n"/>
      <c r="AB481" s="139" t="n"/>
      <c r="AC481" s="16" t="n"/>
      <c r="AD481" s="139" t="n"/>
      <c r="AE481" s="16">
        <f>(W481+Y481+AA481+AC481)</f>
        <v/>
      </c>
      <c r="AF481" s="16" t="n"/>
      <c r="AG481" s="138" t="n"/>
      <c r="AH481" s="16" t="n"/>
      <c r="AI481" s="138" t="n"/>
      <c r="AJ481" s="16" t="n"/>
      <c r="AK481" s="138" t="n"/>
      <c r="AL481" s="16" t="n"/>
      <c r="AM481" s="138" t="n"/>
      <c r="AN481" s="16" t="n"/>
      <c r="AO481" s="138" t="n"/>
      <c r="AP481" s="16" t="n"/>
      <c r="AQ481" s="138" t="n"/>
      <c r="AR481" s="16" t="n"/>
      <c r="AS481" s="138" t="n"/>
      <c r="AT481" s="16" t="n"/>
      <c r="AU481" s="138" t="n"/>
      <c r="AV481" s="16" t="n"/>
      <c r="AW481" s="138" t="n"/>
      <c r="AX481" s="16" t="n"/>
      <c r="AY481" s="138" t="n"/>
      <c r="AZ481" s="16">
        <f>AF481+AH481+AJ481+AL481+AN481+AP481+AR481+AT481+AV481+AX481</f>
        <v/>
      </c>
      <c r="BA481" s="16" t="n"/>
      <c r="BB481" s="139" t="n"/>
      <c r="BC481" s="16" t="n"/>
      <c r="BD481" s="139" t="n"/>
      <c r="BE481" s="16">
        <f>(BA481+BC481)</f>
        <v/>
      </c>
    </row>
    <row r="482">
      <c r="A482" s="9" t="n"/>
      <c r="B482" s="136" t="inlineStr">
        <is>
          <t>연아크릴</t>
        </is>
      </c>
      <c r="C482" s="137" t="inlineStr">
        <is>
          <t>공용</t>
        </is>
      </c>
      <c r="D482" s="63" t="inlineStr">
        <is>
          <t>연아크릴 쉴드 8T</t>
        </is>
      </c>
      <c r="E482" s="13" t="inlineStr">
        <is>
          <t>153 * ∮65 * 8T</t>
        </is>
      </c>
      <c r="F482" s="99" t="n"/>
      <c r="G482" s="9" t="n"/>
      <c r="H482" s="9" t="inlineStr">
        <is>
          <t>중국</t>
        </is>
      </c>
      <c r="I482" s="14" t="n"/>
      <c r="J482" s="14" t="n"/>
      <c r="K482" s="12" t="n">
        <v>442</v>
      </c>
      <c r="L482" s="9" t="n"/>
      <c r="M482" s="9" t="n"/>
      <c r="N482" s="9" t="n"/>
      <c r="O482" s="40">
        <f>K482+V482-AE482-AZ482</f>
        <v/>
      </c>
      <c r="P482" s="12" t="n"/>
      <c r="Q482" s="138" t="n"/>
      <c r="R482" s="16" t="n"/>
      <c r="S482" s="139" t="n"/>
      <c r="T482" s="16" t="n"/>
      <c r="U482" s="139" t="n"/>
      <c r="V482" s="16">
        <f>P482+R482+T482</f>
        <v/>
      </c>
      <c r="W482" s="16" t="n"/>
      <c r="X482" s="139" t="n"/>
      <c r="Y482" s="16" t="n"/>
      <c r="Z482" s="139" t="n"/>
      <c r="AA482" s="16" t="n"/>
      <c r="AB482" s="139" t="n"/>
      <c r="AC482" s="16" t="n"/>
      <c r="AD482" s="139" t="n"/>
      <c r="AE482" s="16">
        <f>(W482+Y482+AA482+AC482)</f>
        <v/>
      </c>
      <c r="AF482" s="16" t="n"/>
      <c r="AG482" s="138" t="n"/>
      <c r="AH482" s="16" t="n"/>
      <c r="AI482" s="138" t="n"/>
      <c r="AJ482" s="16" t="n"/>
      <c r="AK482" s="138" t="n"/>
      <c r="AL482" s="16" t="n"/>
      <c r="AM482" s="138" t="n"/>
      <c r="AN482" s="16" t="n"/>
      <c r="AO482" s="138" t="n"/>
      <c r="AP482" s="16" t="n"/>
      <c r="AQ482" s="138" t="n"/>
      <c r="AR482" s="16" t="n"/>
      <c r="AS482" s="138" t="n"/>
      <c r="AT482" s="16" t="n"/>
      <c r="AU482" s="138" t="n"/>
      <c r="AV482" s="16" t="n"/>
      <c r="AW482" s="138" t="n"/>
      <c r="AX482" s="16" t="n"/>
      <c r="AY482" s="138" t="n"/>
      <c r="AZ482" s="16">
        <f>AF482+AH482+AJ482+AL482+AN482+AP482+AR482+AT482+AV482+AX482</f>
        <v/>
      </c>
      <c r="BA482" s="16" t="n"/>
      <c r="BB482" s="139" t="n"/>
      <c r="BC482" s="16" t="n"/>
      <c r="BD482" s="139" t="n"/>
      <c r="BE482" s="16">
        <f>(BA482+BC482)</f>
        <v/>
      </c>
    </row>
    <row r="483">
      <c r="A483" s="9" t="n"/>
      <c r="B483" s="136" t="inlineStr">
        <is>
          <t>연아크릴</t>
        </is>
      </c>
      <c r="C483" s="137" t="inlineStr">
        <is>
          <t>공용</t>
        </is>
      </c>
      <c r="D483" s="63" t="inlineStr">
        <is>
          <t>연아크릴 쉴드 12T</t>
        </is>
      </c>
      <c r="E483" s="13" t="inlineStr">
        <is>
          <t>153 * ∮65 * 12T</t>
        </is>
      </c>
      <c r="F483" s="99" t="n"/>
      <c r="G483" s="9" t="n"/>
      <c r="H483" s="9" t="inlineStr">
        <is>
          <t>선일쉴드텍</t>
        </is>
      </c>
      <c r="I483" s="14" t="n"/>
      <c r="J483" s="14" t="n"/>
      <c r="K483" s="12" t="n">
        <v>24</v>
      </c>
      <c r="L483" s="9" t="n"/>
      <c r="M483" s="9" t="n"/>
      <c r="N483" s="9" t="n"/>
      <c r="O483" s="40">
        <f>K483+V483-AE483-AZ483</f>
        <v/>
      </c>
      <c r="P483" s="12" t="n"/>
      <c r="Q483" s="138" t="n"/>
      <c r="R483" s="16" t="n"/>
      <c r="S483" s="139" t="n"/>
      <c r="T483" s="16" t="n"/>
      <c r="U483" s="139" t="n"/>
      <c r="V483" s="16">
        <f>P483+R483+T483</f>
        <v/>
      </c>
      <c r="W483" s="16" t="n"/>
      <c r="X483" s="139" t="n"/>
      <c r="Y483" s="16" t="n"/>
      <c r="Z483" s="139" t="n"/>
      <c r="AA483" s="16" t="n"/>
      <c r="AB483" s="139" t="n"/>
      <c r="AC483" s="16" t="n"/>
      <c r="AD483" s="139" t="n"/>
      <c r="AE483" s="16">
        <f>(W483+Y483+AA483+AC483)</f>
        <v/>
      </c>
      <c r="AF483" s="16" t="n"/>
      <c r="AG483" s="138" t="n"/>
      <c r="AH483" s="16" t="n"/>
      <c r="AI483" s="138" t="n"/>
      <c r="AJ483" s="16" t="n"/>
      <c r="AK483" s="138" t="n"/>
      <c r="AL483" s="16" t="n"/>
      <c r="AM483" s="138" t="n"/>
      <c r="AN483" s="16" t="n"/>
      <c r="AO483" s="138" t="n"/>
      <c r="AP483" s="16" t="n"/>
      <c r="AQ483" s="138" t="n"/>
      <c r="AR483" s="16" t="n"/>
      <c r="AS483" s="138" t="n"/>
      <c r="AT483" s="16" t="n"/>
      <c r="AU483" s="138" t="n"/>
      <c r="AV483" s="16" t="n"/>
      <c r="AW483" s="138" t="n"/>
      <c r="AX483" s="16" t="n"/>
      <c r="AY483" s="138" t="n"/>
      <c r="AZ483" s="16">
        <f>AF483+AH483+AJ483+AL483+AN483+AP483+AR483+AT483+AV483+AX483</f>
        <v/>
      </c>
      <c r="BA483" s="16" t="n"/>
      <c r="BB483" s="139" t="n"/>
      <c r="BC483" s="16" t="n"/>
      <c r="BD483" s="139" t="n"/>
      <c r="BE483" s="16">
        <f>(BA483+BC483)</f>
        <v/>
      </c>
    </row>
    <row r="484">
      <c r="A484" s="9" t="n"/>
      <c r="B484" s="136" t="inlineStr">
        <is>
          <t>연아크릴</t>
        </is>
      </c>
      <c r="C484" s="137" t="inlineStr">
        <is>
          <t>공용</t>
        </is>
      </c>
      <c r="D484" s="63" t="inlineStr">
        <is>
          <t>연아크릴 쉴드 12T</t>
        </is>
      </c>
      <c r="E484" s="13" t="inlineStr">
        <is>
          <t>153 * ∮65 * 12T</t>
        </is>
      </c>
      <c r="F484" s="99" t="n"/>
      <c r="G484" s="9" t="n"/>
      <c r="H484" s="9" t="inlineStr">
        <is>
          <t>중국</t>
        </is>
      </c>
      <c r="I484" s="14" t="n"/>
      <c r="J484" s="14" t="n"/>
      <c r="K484" s="12" t="n">
        <v>274</v>
      </c>
      <c r="L484" s="9" t="n"/>
      <c r="M484" s="9" t="n"/>
      <c r="N484" s="9" t="n"/>
      <c r="O484" s="40">
        <f>K484+V484-AE484-AZ484</f>
        <v/>
      </c>
      <c r="P484" s="12" t="n"/>
      <c r="Q484" s="138" t="n"/>
      <c r="R484" s="16" t="n"/>
      <c r="S484" s="139" t="n"/>
      <c r="T484" s="16" t="n"/>
      <c r="U484" s="139" t="n"/>
      <c r="V484" s="16">
        <f>P484+R484+T484</f>
        <v/>
      </c>
      <c r="W484" s="16" t="n"/>
      <c r="X484" s="139" t="n"/>
      <c r="Y484" s="16" t="n"/>
      <c r="Z484" s="139" t="n"/>
      <c r="AA484" s="16" t="n"/>
      <c r="AB484" s="139" t="n"/>
      <c r="AC484" s="16" t="n"/>
      <c r="AD484" s="139" t="n"/>
      <c r="AE484" s="16">
        <f>(W484+Y484+AA484+AC484)</f>
        <v/>
      </c>
      <c r="AF484" s="16" t="n"/>
      <c r="AG484" s="138" t="n"/>
      <c r="AH484" s="16" t="n"/>
      <c r="AI484" s="138" t="n"/>
      <c r="AJ484" s="16" t="n"/>
      <c r="AK484" s="138" t="n"/>
      <c r="AL484" s="16" t="n"/>
      <c r="AM484" s="138" t="n"/>
      <c r="AN484" s="16" t="n"/>
      <c r="AO484" s="138" t="n"/>
      <c r="AP484" s="16" t="n"/>
      <c r="AQ484" s="138" t="n"/>
      <c r="AR484" s="16" t="n"/>
      <c r="AS484" s="138" t="n"/>
      <c r="AT484" s="16" t="n"/>
      <c r="AU484" s="138" t="n"/>
      <c r="AV484" s="16" t="n"/>
      <c r="AW484" s="138" t="n"/>
      <c r="AX484" s="16" t="n"/>
      <c r="AY484" s="138" t="n"/>
      <c r="AZ484" s="16">
        <f>AF484+AH484+AJ484+AL484+AN484+AP484+AR484+AT484+AV484+AX484</f>
        <v/>
      </c>
      <c r="BA484" s="16" t="n"/>
      <c r="BB484" s="139" t="n"/>
      <c r="BC484" s="16" t="n"/>
      <c r="BD484" s="139" t="n"/>
      <c r="BE484" s="16">
        <f>(BA484+BC484)</f>
        <v/>
      </c>
    </row>
    <row r="485">
      <c r="A485" s="9" t="n"/>
      <c r="B485" s="136" t="inlineStr">
        <is>
          <t>연아크릴</t>
        </is>
      </c>
      <c r="C485" s="137" t="inlineStr">
        <is>
          <t>공용</t>
        </is>
      </c>
      <c r="D485" s="60" t="inlineStr">
        <is>
          <t>연아크릴 쉴드 12T</t>
        </is>
      </c>
      <c r="E485" s="13" t="inlineStr">
        <is>
          <t>153 * ∮60 * 12T</t>
        </is>
      </c>
      <c r="F485" s="99" t="n"/>
      <c r="G485" s="9" t="n"/>
      <c r="H485" s="9" t="inlineStr">
        <is>
          <t>선일쉴드텍</t>
        </is>
      </c>
      <c r="I485" s="14" t="n"/>
      <c r="J485" s="14" t="n"/>
      <c r="K485" s="12" t="n">
        <v>0</v>
      </c>
      <c r="L485" s="9" t="n"/>
      <c r="M485" s="9" t="n"/>
      <c r="N485" s="9" t="n"/>
      <c r="O485" s="40">
        <f>K485+V485-AE485-AZ485</f>
        <v/>
      </c>
      <c r="P485" s="12" t="n"/>
      <c r="Q485" s="138" t="n"/>
      <c r="R485" s="16" t="n"/>
      <c r="S485" s="139" t="n"/>
      <c r="T485" s="16" t="n"/>
      <c r="U485" s="139" t="n"/>
      <c r="V485" s="16">
        <f>P485+R485+T485</f>
        <v/>
      </c>
      <c r="W485" s="16" t="n"/>
      <c r="X485" s="139" t="n"/>
      <c r="Y485" s="16" t="n"/>
      <c r="Z485" s="139" t="n"/>
      <c r="AA485" s="16" t="n"/>
      <c r="AB485" s="139" t="n"/>
      <c r="AC485" s="16" t="n"/>
      <c r="AD485" s="139" t="n"/>
      <c r="AE485" s="16">
        <f>(W485+Y485+AA485+AC485)</f>
        <v/>
      </c>
      <c r="AF485" s="16" t="n"/>
      <c r="AG485" s="138" t="n"/>
      <c r="AH485" s="16" t="n"/>
      <c r="AI485" s="138" t="n"/>
      <c r="AJ485" s="16" t="n"/>
      <c r="AK485" s="138" t="n"/>
      <c r="AL485" s="16" t="n"/>
      <c r="AM485" s="138" t="n"/>
      <c r="AN485" s="16" t="n"/>
      <c r="AO485" s="138" t="n"/>
      <c r="AP485" s="16" t="n"/>
      <c r="AQ485" s="138" t="n"/>
      <c r="AR485" s="16" t="n"/>
      <c r="AS485" s="138" t="n"/>
      <c r="AT485" s="16" t="n"/>
      <c r="AU485" s="138" t="n"/>
      <c r="AV485" s="16" t="n"/>
      <c r="AW485" s="138" t="n"/>
      <c r="AX485" s="16" t="n"/>
      <c r="AY485" s="138" t="n"/>
      <c r="AZ485" s="16">
        <f>AF485+AH485+AJ485+AL485+AN485+AP485+AR485+AT485+AV485+AX485</f>
        <v/>
      </c>
      <c r="BA485" s="16" t="n"/>
      <c r="BB485" s="139" t="n"/>
      <c r="BC485" s="16" t="n"/>
      <c r="BD485" s="139" t="n"/>
      <c r="BE485" s="16">
        <f>(BA485+BC485)</f>
        <v/>
      </c>
    </row>
    <row r="486">
      <c r="A486" s="9" t="n"/>
      <c r="B486" s="136" t="inlineStr">
        <is>
          <t>연아크릴</t>
        </is>
      </c>
      <c r="C486" s="137" t="inlineStr">
        <is>
          <t>공용</t>
        </is>
      </c>
      <c r="D486" s="60" t="inlineStr">
        <is>
          <t>연아크릴 쉴드 12T</t>
        </is>
      </c>
      <c r="E486" s="13" t="inlineStr">
        <is>
          <t>153 * ∮60 * 12T</t>
        </is>
      </c>
      <c r="F486" s="99" t="n"/>
      <c r="G486" s="9" t="n"/>
      <c r="H486" s="9" t="inlineStr">
        <is>
          <t>중국</t>
        </is>
      </c>
      <c r="I486" s="14" t="n"/>
      <c r="J486" s="14" t="n"/>
      <c r="K486" s="12" t="n">
        <v>80</v>
      </c>
      <c r="L486" s="9" t="n"/>
      <c r="M486" s="9" t="n"/>
      <c r="N486" s="9" t="n"/>
      <c r="O486" s="40">
        <f>K486+V486-AE486-AZ486</f>
        <v/>
      </c>
      <c r="P486" s="12" t="n"/>
      <c r="Q486" s="138" t="n"/>
      <c r="R486" s="16" t="n"/>
      <c r="S486" s="139" t="n"/>
      <c r="T486" s="16" t="n"/>
      <c r="U486" s="139" t="n"/>
      <c r="V486" s="16">
        <f>P486+R486+T486</f>
        <v/>
      </c>
      <c r="W486" s="16" t="n"/>
      <c r="X486" s="139" t="n"/>
      <c r="Y486" s="16" t="n"/>
      <c r="Z486" s="139" t="n"/>
      <c r="AA486" s="16" t="n"/>
      <c r="AB486" s="139" t="n"/>
      <c r="AC486" s="16" t="n"/>
      <c r="AD486" s="139" t="n"/>
      <c r="AE486" s="16">
        <f>(W486+Y486+AA486+AC486)</f>
        <v/>
      </c>
      <c r="AF486" s="16" t="n"/>
      <c r="AG486" s="138" t="n"/>
      <c r="AH486" s="16" t="n"/>
      <c r="AI486" s="138" t="n"/>
      <c r="AJ486" s="16" t="n"/>
      <c r="AK486" s="138" t="n"/>
      <c r="AL486" s="16" t="n"/>
      <c r="AM486" s="138" t="n"/>
      <c r="AN486" s="16" t="n"/>
      <c r="AO486" s="138" t="n"/>
      <c r="AP486" s="16" t="n"/>
      <c r="AQ486" s="138" t="n"/>
      <c r="AR486" s="16" t="n"/>
      <c r="AS486" s="138" t="n"/>
      <c r="AT486" s="16" t="n"/>
      <c r="AU486" s="138" t="n"/>
      <c r="AV486" s="16" t="n"/>
      <c r="AW486" s="138" t="n"/>
      <c r="AX486" s="16" t="n"/>
      <c r="AY486" s="138" t="n"/>
      <c r="AZ486" s="16">
        <f>AF486+AH486+AJ486+AL486+AN486+AP486+AR486+AT486+AV486+AX486</f>
        <v/>
      </c>
      <c r="BA486" s="16" t="n"/>
      <c r="BB486" s="139" t="n"/>
      <c r="BC486" s="16" t="n"/>
      <c r="BD486" s="139" t="n"/>
      <c r="BE486" s="16">
        <f>(BA486+BC486)</f>
        <v/>
      </c>
    </row>
    <row r="487">
      <c r="A487" s="9" t="n"/>
      <c r="B487" s="136" t="inlineStr">
        <is>
          <t>연아크릴</t>
        </is>
      </c>
      <c r="C487" s="137" t="inlineStr">
        <is>
          <t>ADX6000</t>
        </is>
      </c>
      <c r="D487" s="60" t="inlineStr">
        <is>
          <t>사각 연아크릴 쉴드</t>
        </is>
      </c>
      <c r="E487" s="13" t="inlineStr">
        <is>
          <t>직사각형, 215 * 199mm 8T</t>
        </is>
      </c>
      <c r="F487" s="99" t="n"/>
      <c r="G487" s="9" t="n"/>
      <c r="H487" s="9" t="inlineStr">
        <is>
          <t>선일쉴드텍</t>
        </is>
      </c>
      <c r="I487" s="14" t="n"/>
      <c r="J487" s="14" t="n"/>
      <c r="K487" s="12" t="n">
        <v>0</v>
      </c>
      <c r="L487" s="9" t="n"/>
      <c r="M487" s="9" t="n"/>
      <c r="N487" s="9" t="n"/>
      <c r="O487" s="40">
        <f>K487+V487-AE487-AZ487</f>
        <v/>
      </c>
      <c r="P487" s="12" t="n"/>
      <c r="Q487" s="138" t="n"/>
      <c r="R487" s="16" t="n"/>
      <c r="S487" s="139" t="n"/>
      <c r="T487" s="16" t="n"/>
      <c r="U487" s="139" t="n"/>
      <c r="V487" s="16">
        <f>P487+R487+T487</f>
        <v/>
      </c>
      <c r="W487" s="16" t="n"/>
      <c r="X487" s="139" t="n"/>
      <c r="Y487" s="16" t="n"/>
      <c r="Z487" s="139" t="n"/>
      <c r="AA487" s="16" t="n"/>
      <c r="AB487" s="139" t="n"/>
      <c r="AC487" s="16" t="n"/>
      <c r="AD487" s="139" t="n"/>
      <c r="AE487" s="16">
        <f>(W487+Y487+AA487+AC487)</f>
        <v/>
      </c>
      <c r="AF487" s="16" t="n"/>
      <c r="AG487" s="138" t="n"/>
      <c r="AH487" s="16" t="n"/>
      <c r="AI487" s="138" t="n"/>
      <c r="AJ487" s="16" t="n"/>
      <c r="AK487" s="138" t="n"/>
      <c r="AL487" s="16" t="n"/>
      <c r="AM487" s="138" t="n"/>
      <c r="AN487" s="16" t="n"/>
      <c r="AO487" s="138" t="n"/>
      <c r="AP487" s="16" t="n"/>
      <c r="AQ487" s="138" t="n"/>
      <c r="AR487" s="16" t="n"/>
      <c r="AS487" s="138" t="n"/>
      <c r="AT487" s="16" t="n"/>
      <c r="AU487" s="138" t="n"/>
      <c r="AV487" s="16" t="n"/>
      <c r="AW487" s="138" t="n"/>
      <c r="AX487" s="16" t="n"/>
      <c r="AY487" s="138" t="n"/>
      <c r="AZ487" s="16">
        <f>AF487+AH487+AJ487+AL487+AN487+AP487+AR487+AT487+AV487+AX487</f>
        <v/>
      </c>
      <c r="BA487" s="16" t="n"/>
      <c r="BB487" s="139" t="n"/>
      <c r="BC487" s="16" t="n"/>
      <c r="BD487" s="139" t="n"/>
      <c r="BE487" s="16">
        <f>(BA487+BC487)</f>
        <v/>
      </c>
    </row>
    <row r="488">
      <c r="A488" s="9" t="n"/>
      <c r="B488" s="136" t="inlineStr">
        <is>
          <t>연아크릴</t>
        </is>
      </c>
      <c r="C488" s="137" t="inlineStr">
        <is>
          <t>ADX6000</t>
        </is>
      </c>
      <c r="D488" s="60" t="inlineStr">
        <is>
          <t>사각 연아크릴 쉴드</t>
        </is>
      </c>
      <c r="E488" s="13" t="inlineStr">
        <is>
          <t>직사각형, 215 * 199mm 8T</t>
        </is>
      </c>
      <c r="F488" s="99" t="n"/>
      <c r="G488" s="9" t="n"/>
      <c r="H488" s="9" t="inlineStr">
        <is>
          <t>중국</t>
        </is>
      </c>
      <c r="I488" s="14" t="n"/>
      <c r="J488" s="14" t="n"/>
      <c r="K488" s="12" t="n">
        <v>59</v>
      </c>
      <c r="L488" s="9" t="n"/>
      <c r="M488" s="9" t="n"/>
      <c r="N488" s="9" t="n"/>
      <c r="O488" s="40">
        <f>K488+V488-AE488-AZ488</f>
        <v/>
      </c>
      <c r="P488" s="12" t="n"/>
      <c r="Q488" s="138" t="n"/>
      <c r="R488" s="16" t="n"/>
      <c r="S488" s="139" t="n"/>
      <c r="T488" s="16" t="n"/>
      <c r="U488" s="139" t="n"/>
      <c r="V488" s="16">
        <f>P488+R488+T488</f>
        <v/>
      </c>
      <c r="W488" s="16" t="n"/>
      <c r="X488" s="139" t="n"/>
      <c r="Y488" s="16" t="n"/>
      <c r="Z488" s="139" t="n"/>
      <c r="AA488" s="16" t="n"/>
      <c r="AB488" s="139" t="n"/>
      <c r="AC488" s="16" t="n"/>
      <c r="AD488" s="139" t="n"/>
      <c r="AE488" s="16">
        <f>(W488+Y488+AA488+AC488)</f>
        <v/>
      </c>
      <c r="AF488" s="16" t="n"/>
      <c r="AG488" s="138" t="n"/>
      <c r="AH488" s="16" t="n"/>
      <c r="AI488" s="138" t="n"/>
      <c r="AJ488" s="16" t="n"/>
      <c r="AK488" s="138" t="n"/>
      <c r="AL488" s="16" t="n"/>
      <c r="AM488" s="138" t="n"/>
      <c r="AN488" s="16" t="n"/>
      <c r="AO488" s="138" t="n"/>
      <c r="AP488" s="16" t="n"/>
      <c r="AQ488" s="138" t="n"/>
      <c r="AR488" s="16" t="n"/>
      <c r="AS488" s="138" t="n"/>
      <c r="AT488" s="16" t="n"/>
      <c r="AU488" s="138" t="n"/>
      <c r="AV488" s="16" t="n"/>
      <c r="AW488" s="138" t="n"/>
      <c r="AX488" s="16" t="n"/>
      <c r="AY488" s="138" t="n"/>
      <c r="AZ488" s="16">
        <f>AF488+AH488+AJ488+AL488+AN488+AP488+AR488+AT488+AV488+AX488</f>
        <v/>
      </c>
      <c r="BA488" s="16" t="n"/>
      <c r="BB488" s="139" t="n"/>
      <c r="BC488" s="16" t="n"/>
      <c r="BD488" s="139" t="n"/>
      <c r="BE488" s="16">
        <f>(BA488+BC488)</f>
        <v/>
      </c>
    </row>
    <row r="489">
      <c r="A489" s="9" t="n"/>
      <c r="B489" s="136" t="inlineStr">
        <is>
          <t>연아크릴</t>
        </is>
      </c>
      <c r="C489" s="137" t="inlineStr">
        <is>
          <t>ADX6000</t>
        </is>
      </c>
      <c r="D489" s="60" t="inlineStr">
        <is>
          <t>사각 연아크릴 쉴드</t>
        </is>
      </c>
      <c r="E489" s="13" t="inlineStr">
        <is>
          <t>정사각형, 215 * 205mm</t>
        </is>
      </c>
      <c r="F489" s="99" t="n"/>
      <c r="G489" s="9" t="n"/>
      <c r="H489" s="9" t="inlineStr">
        <is>
          <t>선일쉴드텍</t>
        </is>
      </c>
      <c r="I489" s="14" t="n"/>
      <c r="J489" s="14" t="n"/>
      <c r="K489" s="12" t="n">
        <v>0</v>
      </c>
      <c r="L489" s="9" t="n"/>
      <c r="M489" s="9" t="n"/>
      <c r="N489" s="9" t="n"/>
      <c r="O489" s="40">
        <f>K489+V489-AE489-AZ489</f>
        <v/>
      </c>
      <c r="P489" s="12" t="n"/>
      <c r="Q489" s="138" t="n"/>
      <c r="R489" s="16" t="n"/>
      <c r="S489" s="139" t="n"/>
      <c r="T489" s="16" t="n"/>
      <c r="U489" s="139" t="n"/>
      <c r="V489" s="16">
        <f>P489+R489+T489</f>
        <v/>
      </c>
      <c r="W489" s="16" t="n"/>
      <c r="X489" s="139" t="n"/>
      <c r="Y489" s="16" t="n"/>
      <c r="Z489" s="139" t="n"/>
      <c r="AA489" s="16" t="n"/>
      <c r="AB489" s="139" t="n"/>
      <c r="AC489" s="16" t="n"/>
      <c r="AD489" s="139" t="n"/>
      <c r="AE489" s="16">
        <f>(W489+Y489+AA489+AC489)</f>
        <v/>
      </c>
      <c r="AF489" s="16" t="n"/>
      <c r="AG489" s="138" t="n"/>
      <c r="AH489" s="16" t="n"/>
      <c r="AI489" s="138" t="n"/>
      <c r="AJ489" s="16" t="n"/>
      <c r="AK489" s="138" t="n"/>
      <c r="AL489" s="16" t="n"/>
      <c r="AM489" s="138" t="n"/>
      <c r="AN489" s="16" t="n"/>
      <c r="AO489" s="138" t="n"/>
      <c r="AP489" s="16" t="n"/>
      <c r="AQ489" s="138" t="n"/>
      <c r="AR489" s="16" t="n"/>
      <c r="AS489" s="138" t="n"/>
      <c r="AT489" s="16" t="n"/>
      <c r="AU489" s="138" t="n"/>
      <c r="AV489" s="16" t="n"/>
      <c r="AW489" s="138" t="n"/>
      <c r="AX489" s="16" t="n"/>
      <c r="AY489" s="138" t="n"/>
      <c r="AZ489" s="16">
        <f>AF489+AH489+AJ489+AL489+AN489+AP489+AR489+AT489+AV489+AX489</f>
        <v/>
      </c>
      <c r="BA489" s="16" t="n"/>
      <c r="BB489" s="139" t="n"/>
      <c r="BC489" s="16" t="n"/>
      <c r="BD489" s="139" t="n"/>
      <c r="BE489" s="16">
        <f>(BA489+BC489)</f>
        <v/>
      </c>
    </row>
    <row r="490">
      <c r="A490" s="9" t="n"/>
      <c r="B490" s="136" t="inlineStr">
        <is>
          <t>오링</t>
        </is>
      </c>
      <c r="C490" s="137" t="inlineStr">
        <is>
          <t>ADX6000</t>
        </is>
      </c>
      <c r="D490" s="60" t="inlineStr">
        <is>
          <t xml:space="preserve">연아크릴 실리콘 오링 </t>
        </is>
      </c>
      <c r="E490" s="13" t="n"/>
      <c r="F490" s="99" t="n"/>
      <c r="G490" s="9" t="n"/>
      <c r="H490" s="9" t="inlineStr">
        <is>
          <t>직구</t>
        </is>
      </c>
      <c r="I490" s="14" t="n"/>
      <c r="J490" s="14" t="n"/>
      <c r="K490" s="12" t="n">
        <v>50</v>
      </c>
      <c r="L490" s="9" t="n"/>
      <c r="M490" s="9" t="n"/>
      <c r="N490" s="9" t="n"/>
      <c r="O490" s="40">
        <f>K490+V490-AE490-AZ490</f>
        <v/>
      </c>
      <c r="P490" s="12" t="n"/>
      <c r="Q490" s="138" t="n"/>
      <c r="R490" s="16" t="n"/>
      <c r="S490" s="139" t="n"/>
      <c r="T490" s="16" t="n"/>
      <c r="U490" s="139" t="n"/>
      <c r="V490" s="16">
        <f>P490+R490+T490</f>
        <v/>
      </c>
      <c r="W490" s="16" t="n"/>
      <c r="X490" s="139" t="n"/>
      <c r="Y490" s="16" t="n"/>
      <c r="Z490" s="139" t="n"/>
      <c r="AA490" s="16" t="n"/>
      <c r="AB490" s="139" t="n"/>
      <c r="AC490" s="16" t="n"/>
      <c r="AD490" s="139" t="n"/>
      <c r="AE490" s="16">
        <f>(W490+Y490+AA490+AC490)</f>
        <v/>
      </c>
      <c r="AF490" s="16" t="n"/>
      <c r="AG490" s="138" t="n"/>
      <c r="AH490" s="16" t="n"/>
      <c r="AI490" s="138" t="n"/>
      <c r="AJ490" s="16" t="n"/>
      <c r="AK490" s="138" t="n"/>
      <c r="AL490" s="16" t="n"/>
      <c r="AM490" s="138" t="n"/>
      <c r="AN490" s="16" t="n"/>
      <c r="AO490" s="138" t="n"/>
      <c r="AP490" s="16" t="n"/>
      <c r="AQ490" s="138" t="n"/>
      <c r="AR490" s="16" t="n"/>
      <c r="AS490" s="138" t="n"/>
      <c r="AT490" s="16" t="n"/>
      <c r="AU490" s="138" t="n"/>
      <c r="AV490" s="16" t="n"/>
      <c r="AW490" s="138" t="n"/>
      <c r="AX490" s="16" t="n"/>
      <c r="AY490" s="138" t="n"/>
      <c r="AZ490" s="16">
        <f>AF490+AH490+AJ490+AL490+AN490+AP490+AR490+AT490+AV490+AX490</f>
        <v/>
      </c>
      <c r="BA490" s="16" t="n"/>
      <c r="BB490" s="139" t="n"/>
      <c r="BC490" s="16" t="n"/>
      <c r="BD490" s="139" t="n"/>
      <c r="BE490" s="16">
        <f>(BA490+BC490)</f>
        <v/>
      </c>
    </row>
    <row r="491">
      <c r="A491" s="9" t="n"/>
      <c r="B491" s="136" t="inlineStr">
        <is>
          <t>오링</t>
        </is>
      </c>
      <c r="C491" s="137" t="inlineStr">
        <is>
          <t xml:space="preserve">DX3000 </t>
        </is>
      </c>
      <c r="D491" s="60" t="inlineStr">
        <is>
          <t xml:space="preserve">연아크릴 실리콘 오링 </t>
        </is>
      </c>
      <c r="E491" s="13" t="n"/>
      <c r="F491" s="99" t="n"/>
      <c r="G491" s="9" t="n"/>
      <c r="H491" s="9" t="inlineStr">
        <is>
          <t>직구</t>
        </is>
      </c>
      <c r="I491" s="14" t="n"/>
      <c r="J491" s="14" t="n"/>
      <c r="K491" s="12" t="n">
        <v>100</v>
      </c>
      <c r="L491" s="9" t="n"/>
      <c r="M491" s="9" t="n"/>
      <c r="N491" s="9" t="n"/>
      <c r="O491" s="40">
        <f>K491+V491-AE491-AZ491</f>
        <v/>
      </c>
      <c r="P491" s="12" t="n"/>
      <c r="Q491" s="138" t="n"/>
      <c r="R491" s="16" t="n"/>
      <c r="S491" s="139" t="n"/>
      <c r="T491" s="16" t="n"/>
      <c r="U491" s="139" t="n"/>
      <c r="V491" s="16">
        <f>P491+R491+T491</f>
        <v/>
      </c>
      <c r="W491" s="16" t="n"/>
      <c r="X491" s="139" t="n"/>
      <c r="Y491" s="16" t="n"/>
      <c r="Z491" s="139" t="n"/>
      <c r="AA491" s="16" t="n"/>
      <c r="AB491" s="139" t="n"/>
      <c r="AC491" s="16" t="n"/>
      <c r="AD491" s="139" t="n"/>
      <c r="AE491" s="16">
        <f>(W491+Y491+AA491+AC491)</f>
        <v/>
      </c>
      <c r="AF491" s="16" t="n"/>
      <c r="AG491" s="138" t="n"/>
      <c r="AH491" s="16" t="n"/>
      <c r="AI491" s="138" t="n"/>
      <c r="AJ491" s="16" t="n"/>
      <c r="AK491" s="138" t="n"/>
      <c r="AL491" s="16" t="n"/>
      <c r="AM491" s="138" t="n"/>
      <c r="AN491" s="16" t="n"/>
      <c r="AO491" s="138" t="n"/>
      <c r="AP491" s="16" t="n"/>
      <c r="AQ491" s="138" t="n"/>
      <c r="AR491" s="16" t="n"/>
      <c r="AS491" s="138" t="n"/>
      <c r="AT491" s="16" t="n"/>
      <c r="AU491" s="138" t="n"/>
      <c r="AV491" s="16" t="n"/>
      <c r="AW491" s="138" t="n"/>
      <c r="AX491" s="16" t="n"/>
      <c r="AY491" s="138" t="n"/>
      <c r="AZ491" s="16">
        <f>AF491+AH491+AJ491+AL491+AN491+AP491+AR491+AT491+AV491+AX491</f>
        <v/>
      </c>
      <c r="BA491" s="16" t="n"/>
      <c r="BB491" s="139" t="n"/>
      <c r="BC491" s="16" t="n"/>
      <c r="BD491" s="139" t="n"/>
      <c r="BE491" s="16">
        <f>(BA491+BC491)</f>
        <v/>
      </c>
    </row>
    <row r="492">
      <c r="A492" s="9" t="n"/>
      <c r="B492" s="136" t="inlineStr">
        <is>
          <t>오링</t>
        </is>
      </c>
      <c r="C492" s="137" t="inlineStr">
        <is>
          <t>ADX4000W</t>
        </is>
      </c>
      <c r="D492" s="63" t="inlineStr">
        <is>
          <t xml:space="preserve">연아크릴 실리콘 오링 </t>
        </is>
      </c>
      <c r="E492" s="13" t="n"/>
      <c r="F492" s="99" t="n"/>
      <c r="G492" s="9" t="n"/>
      <c r="H492" s="9" t="inlineStr">
        <is>
          <t>직구</t>
        </is>
      </c>
      <c r="I492" s="14" t="n"/>
      <c r="J492" s="14" t="n"/>
      <c r="K492" s="12" t="n">
        <v>0</v>
      </c>
      <c r="L492" s="9" t="n"/>
      <c r="M492" s="9" t="n"/>
      <c r="N492" s="9" t="n"/>
      <c r="O492" s="40">
        <f>K492+V492-AE492-AZ492</f>
        <v/>
      </c>
      <c r="P492" s="12" t="n"/>
      <c r="Q492" s="138" t="n"/>
      <c r="R492" s="16" t="n"/>
      <c r="S492" s="139" t="n"/>
      <c r="T492" s="16" t="n"/>
      <c r="U492" s="139" t="n"/>
      <c r="V492" s="16">
        <f>P492+R492+T492</f>
        <v/>
      </c>
      <c r="W492" s="16" t="n"/>
      <c r="X492" s="139" t="n"/>
      <c r="Y492" s="16" t="n"/>
      <c r="Z492" s="139" t="n"/>
      <c r="AA492" s="16" t="n"/>
      <c r="AB492" s="139" t="n"/>
      <c r="AC492" s="16" t="n"/>
      <c r="AD492" s="139" t="n"/>
      <c r="AE492" s="16">
        <f>(W492+Y492+AA492+AC492)</f>
        <v/>
      </c>
      <c r="AF492" s="16" t="n"/>
      <c r="AG492" s="138" t="n"/>
      <c r="AH492" s="16" t="n"/>
      <c r="AI492" s="138" t="n"/>
      <c r="AJ492" s="16" t="n"/>
      <c r="AK492" s="138" t="n"/>
      <c r="AL492" s="16" t="n"/>
      <c r="AM492" s="138" t="n"/>
      <c r="AN492" s="16" t="n"/>
      <c r="AO492" s="138" t="n"/>
      <c r="AP492" s="16" t="n"/>
      <c r="AQ492" s="138" t="n"/>
      <c r="AR492" s="16" t="n"/>
      <c r="AS492" s="138" t="n"/>
      <c r="AT492" s="16" t="n"/>
      <c r="AU492" s="138" t="n"/>
      <c r="AV492" s="16" t="n"/>
      <c r="AW492" s="138" t="n"/>
      <c r="AX492" s="16" t="n"/>
      <c r="AY492" s="138" t="n"/>
      <c r="AZ492" s="16">
        <f>AF492+AH492+AJ492+AL492+AN492+AP492+AR492+AT492+AV492+AX492</f>
        <v/>
      </c>
      <c r="BA492" s="16" t="n"/>
      <c r="BB492" s="139" t="n"/>
      <c r="BC492" s="16" t="n"/>
      <c r="BD492" s="139" t="n"/>
      <c r="BE492" s="16">
        <f>(BA492+BC492)</f>
        <v/>
      </c>
    </row>
    <row r="493">
      <c r="A493" s="9" t="n"/>
      <c r="B493" s="136" t="inlineStr">
        <is>
          <t>AL 스티커</t>
        </is>
      </c>
      <c r="C493" s="137" t="inlineStr">
        <is>
          <t xml:space="preserve">DX3000 </t>
        </is>
      </c>
      <c r="D493" s="63" t="inlineStr">
        <is>
          <t>IRay D3 NAME PLATE</t>
        </is>
      </c>
      <c r="E493" s="13" t="n"/>
      <c r="F493" s="99" t="n"/>
      <c r="G493" s="9" t="n"/>
      <c r="H493" s="9" t="inlineStr">
        <is>
          <t>에덴상공사</t>
        </is>
      </c>
      <c r="I493" s="14" t="n"/>
      <c r="J493" s="14" t="n"/>
      <c r="K493" s="12" t="n">
        <v>0</v>
      </c>
      <c r="L493" s="9" t="n"/>
      <c r="M493" s="9" t="n"/>
      <c r="N493" s="9" t="n"/>
      <c r="O493" s="40">
        <f>K493+V493-AE493-AZ493</f>
        <v/>
      </c>
      <c r="P493" s="12" t="n"/>
      <c r="Q493" s="138" t="n"/>
      <c r="R493" s="16" t="n"/>
      <c r="S493" s="139" t="n"/>
      <c r="T493" s="16" t="n"/>
      <c r="U493" s="139" t="n"/>
      <c r="V493" s="16">
        <f>P493+R493+T493</f>
        <v/>
      </c>
      <c r="W493" s="16" t="n"/>
      <c r="X493" s="139" t="n"/>
      <c r="Y493" s="16" t="n"/>
      <c r="Z493" s="139" t="n"/>
      <c r="AA493" s="16" t="n"/>
      <c r="AB493" s="139" t="n"/>
      <c r="AC493" s="16" t="n"/>
      <c r="AD493" s="139" t="n"/>
      <c r="AE493" s="16">
        <f>(W493+Y493+AA493+AC493)</f>
        <v/>
      </c>
      <c r="AF493" s="16" t="n"/>
      <c r="AG493" s="138" t="n"/>
      <c r="AH493" s="16" t="n"/>
      <c r="AI493" s="138" t="n"/>
      <c r="AJ493" s="16" t="n"/>
      <c r="AK493" s="138" t="n"/>
      <c r="AL493" s="16" t="n"/>
      <c r="AM493" s="138" t="n"/>
      <c r="AN493" s="16" t="n"/>
      <c r="AO493" s="138" t="n"/>
      <c r="AP493" s="16" t="n"/>
      <c r="AQ493" s="138" t="n"/>
      <c r="AR493" s="16" t="n"/>
      <c r="AS493" s="138" t="n"/>
      <c r="AT493" s="16" t="n"/>
      <c r="AU493" s="138" t="n"/>
      <c r="AV493" s="16" t="n"/>
      <c r="AW493" s="138" t="n"/>
      <c r="AX493" s="16" t="n"/>
      <c r="AY493" s="138" t="n"/>
      <c r="AZ493" s="16">
        <f>AF493+AH493+AJ493+AL493+AN493+AP493+AR493+AT493+AV493+AX493</f>
        <v/>
      </c>
      <c r="BA493" s="16" t="n"/>
      <c r="BB493" s="139" t="n"/>
      <c r="BC493" s="16" t="n"/>
      <c r="BD493" s="139" t="n"/>
      <c r="BE493" s="16">
        <f>(BA493+BC493)</f>
        <v/>
      </c>
    </row>
    <row r="494">
      <c r="A494" s="9" t="n"/>
      <c r="B494" s="136" t="inlineStr">
        <is>
          <t>AL 스티커</t>
        </is>
      </c>
      <c r="C494" s="137" t="inlineStr">
        <is>
          <t>DX3000</t>
        </is>
      </c>
      <c r="D494" s="65" t="inlineStr">
        <is>
          <t>NAME PLATE</t>
        </is>
      </c>
      <c r="E494" s="13" t="n"/>
      <c r="F494" s="99" t="n"/>
      <c r="G494" s="9" t="n"/>
      <c r="H494" s="9" t="inlineStr">
        <is>
          <t>에덴상공사</t>
        </is>
      </c>
      <c r="I494" s="14" t="n"/>
      <c r="J494" s="14" t="n"/>
      <c r="K494" s="12" t="n">
        <v>0</v>
      </c>
      <c r="L494" s="9" t="n"/>
      <c r="M494" s="9" t="n"/>
      <c r="N494" s="9" t="n"/>
      <c r="O494" s="40">
        <f>K494+V494-AE494-AZ494</f>
        <v/>
      </c>
      <c r="P494" s="12" t="n"/>
      <c r="Q494" s="138" t="n"/>
      <c r="R494" s="16" t="n"/>
      <c r="S494" s="139" t="n"/>
      <c r="T494" s="16" t="n"/>
      <c r="U494" s="139" t="n"/>
      <c r="V494" s="16">
        <f>P494+R494+T494</f>
        <v/>
      </c>
      <c r="W494" s="16" t="n"/>
      <c r="X494" s="139" t="n"/>
      <c r="Y494" s="16" t="n"/>
      <c r="Z494" s="139" t="n"/>
      <c r="AA494" s="16" t="n"/>
      <c r="AB494" s="139" t="n"/>
      <c r="AC494" s="16" t="n"/>
      <c r="AD494" s="139" t="n"/>
      <c r="AE494" s="16">
        <f>(W494+Y494+AA494+AC494)</f>
        <v/>
      </c>
      <c r="AF494" s="16" t="n"/>
      <c r="AG494" s="138" t="n"/>
      <c r="AH494" s="16" t="n"/>
      <c r="AI494" s="138" t="n"/>
      <c r="AJ494" s="16" t="n"/>
      <c r="AK494" s="138" t="n"/>
      <c r="AL494" s="16" t="n"/>
      <c r="AM494" s="138" t="n"/>
      <c r="AN494" s="16" t="n"/>
      <c r="AO494" s="138" t="n"/>
      <c r="AP494" s="16" t="n"/>
      <c r="AQ494" s="138" t="n"/>
      <c r="AR494" s="16" t="n"/>
      <c r="AS494" s="138" t="n"/>
      <c r="AT494" s="16" t="n"/>
      <c r="AU494" s="138" t="n"/>
      <c r="AV494" s="16" t="n"/>
      <c r="AW494" s="138" t="n"/>
      <c r="AX494" s="16" t="n"/>
      <c r="AY494" s="138" t="n"/>
      <c r="AZ494" s="16">
        <f>AF494+AH494+AJ494+AL494+AN494+AP494+AR494+AT494+AV494+AX494</f>
        <v/>
      </c>
      <c r="BA494" s="16" t="n"/>
      <c r="BB494" s="139" t="n"/>
      <c r="BC494" s="16" t="n"/>
      <c r="BD494" s="139" t="n"/>
      <c r="BE494" s="16">
        <f>(BA494+BC494)</f>
        <v/>
      </c>
    </row>
    <row r="495">
      <c r="A495" s="9" t="n"/>
      <c r="B495" s="136" t="inlineStr">
        <is>
          <t>AL 스티커</t>
        </is>
      </c>
      <c r="C495" s="137" t="inlineStr">
        <is>
          <t>DX3000</t>
        </is>
      </c>
      <c r="D495" s="63" t="inlineStr">
        <is>
          <t>우루과이 NAME PLATE</t>
        </is>
      </c>
      <c r="E495" s="13" t="n"/>
      <c r="F495" s="99" t="n"/>
      <c r="G495" s="9" t="n"/>
      <c r="H495" s="9" t="inlineStr">
        <is>
          <t>에덴상공사</t>
        </is>
      </c>
      <c r="I495" s="14" t="n"/>
      <c r="J495" s="14" t="n"/>
      <c r="K495" s="12" t="n">
        <v>0</v>
      </c>
      <c r="L495" s="9" t="n"/>
      <c r="M495" s="9" t="n"/>
      <c r="N495" s="9" t="n"/>
      <c r="O495" s="40">
        <f>K495+V495-AE495-AZ495</f>
        <v/>
      </c>
      <c r="P495" s="12" t="n"/>
      <c r="Q495" s="138" t="n"/>
      <c r="R495" s="16" t="n"/>
      <c r="S495" s="139" t="n"/>
      <c r="T495" s="16" t="n"/>
      <c r="U495" s="139" t="n"/>
      <c r="V495" s="16">
        <f>P495+R495+T495</f>
        <v/>
      </c>
      <c r="W495" s="16" t="n"/>
      <c r="X495" s="139" t="n"/>
      <c r="Y495" s="16" t="n"/>
      <c r="Z495" s="139" t="n"/>
      <c r="AA495" s="16" t="n"/>
      <c r="AB495" s="139" t="n"/>
      <c r="AC495" s="16" t="n"/>
      <c r="AD495" s="139" t="n"/>
      <c r="AE495" s="16">
        <f>(W495+Y495+AA495+AC495)</f>
        <v/>
      </c>
      <c r="AF495" s="16" t="n"/>
      <c r="AG495" s="138" t="n"/>
      <c r="AH495" s="16" t="n"/>
      <c r="AI495" s="138" t="n"/>
      <c r="AJ495" s="16" t="n"/>
      <c r="AK495" s="138" t="n"/>
      <c r="AL495" s="16" t="n"/>
      <c r="AM495" s="138" t="n"/>
      <c r="AN495" s="16" t="n"/>
      <c r="AO495" s="138" t="n"/>
      <c r="AP495" s="16" t="n"/>
      <c r="AQ495" s="138" t="n"/>
      <c r="AR495" s="16" t="n"/>
      <c r="AS495" s="138" t="n"/>
      <c r="AT495" s="16" t="n"/>
      <c r="AU495" s="138" t="n"/>
      <c r="AV495" s="16" t="n"/>
      <c r="AW495" s="138" t="n"/>
      <c r="AX495" s="16" t="n"/>
      <c r="AY495" s="138" t="n"/>
      <c r="AZ495" s="16">
        <f>AF495+AH495+AJ495+AL495+AN495+AP495+AR495+AT495+AV495+AX495</f>
        <v/>
      </c>
      <c r="BA495" s="16" t="n"/>
      <c r="BB495" s="139" t="n"/>
      <c r="BC495" s="16" t="n"/>
      <c r="BD495" s="139" t="n"/>
      <c r="BE495" s="16">
        <f>(BA495+BC495)</f>
        <v/>
      </c>
    </row>
    <row r="496">
      <c r="A496" s="9" t="n"/>
      <c r="B496" s="136" t="inlineStr">
        <is>
          <t>AL 스티커</t>
        </is>
      </c>
      <c r="C496" s="137" t="inlineStr">
        <is>
          <t>ADX4000W</t>
        </is>
      </c>
      <c r="D496" s="63" t="inlineStr">
        <is>
          <t>NAME PLATE</t>
        </is>
      </c>
      <c r="E496" s="13" t="n"/>
      <c r="F496" s="99" t="n"/>
      <c r="G496" s="9" t="n"/>
      <c r="H496" s="9" t="inlineStr">
        <is>
          <t>에덴상공사</t>
        </is>
      </c>
      <c r="I496" s="14" t="n"/>
      <c r="J496" s="14" t="n"/>
      <c r="K496" s="12" t="n">
        <v>0</v>
      </c>
      <c r="L496" s="9" t="n"/>
      <c r="M496" s="9" t="n"/>
      <c r="N496" s="9" t="n"/>
      <c r="O496" s="40">
        <f>K496+V496-AE496-AZ496</f>
        <v/>
      </c>
      <c r="P496" s="12" t="n"/>
      <c r="Q496" s="138" t="n"/>
      <c r="R496" s="16" t="n"/>
      <c r="S496" s="139" t="n"/>
      <c r="T496" s="16" t="n"/>
      <c r="U496" s="139" t="n"/>
      <c r="V496" s="16">
        <f>P496+R496+T496</f>
        <v/>
      </c>
      <c r="W496" s="16" t="n"/>
      <c r="X496" s="139" t="n"/>
      <c r="Y496" s="16" t="n"/>
      <c r="Z496" s="139" t="n"/>
      <c r="AA496" s="16" t="n"/>
      <c r="AB496" s="139" t="n"/>
      <c r="AC496" s="16" t="n"/>
      <c r="AD496" s="139" t="n"/>
      <c r="AE496" s="16">
        <f>(W496+Y496+AA496+AC496)</f>
        <v/>
      </c>
      <c r="AF496" s="16" t="n"/>
      <c r="AG496" s="138" t="n"/>
      <c r="AH496" s="16" t="n"/>
      <c r="AI496" s="138" t="n"/>
      <c r="AJ496" s="16" t="n"/>
      <c r="AK496" s="138" t="n"/>
      <c r="AL496" s="16" t="n"/>
      <c r="AM496" s="138" t="n"/>
      <c r="AN496" s="16" t="n"/>
      <c r="AO496" s="138" t="n"/>
      <c r="AP496" s="16" t="n"/>
      <c r="AQ496" s="138" t="n"/>
      <c r="AR496" s="16" t="n"/>
      <c r="AS496" s="138" t="n"/>
      <c r="AT496" s="16" t="n"/>
      <c r="AU496" s="138" t="n"/>
      <c r="AV496" s="16" t="n"/>
      <c r="AW496" s="138" t="n"/>
      <c r="AX496" s="16" t="n"/>
      <c r="AY496" s="138" t="n"/>
      <c r="AZ496" s="16">
        <f>AF496+AH496+AJ496+AL496+AN496+AP496+AR496+AT496+AV496+AX496</f>
        <v/>
      </c>
      <c r="BA496" s="16" t="n"/>
      <c r="BB496" s="139" t="n"/>
      <c r="BC496" s="16" t="n"/>
      <c r="BD496" s="139" t="n"/>
      <c r="BE496" s="16">
        <f>(BA496+BC496)</f>
        <v/>
      </c>
    </row>
    <row r="497">
      <c r="A497" s="9" t="n"/>
      <c r="B497" s="136" t="inlineStr">
        <is>
          <t>AL 스티커</t>
        </is>
      </c>
      <c r="C497" s="137" t="inlineStr">
        <is>
          <t>ADX6000</t>
        </is>
      </c>
      <c r="D497" s="63" t="inlineStr">
        <is>
          <t>ADX6000 NAME PLATE</t>
        </is>
      </c>
      <c r="E497" s="13" t="n"/>
      <c r="F497" s="99" t="n"/>
      <c r="G497" s="9" t="n"/>
      <c r="H497" s="9" t="inlineStr">
        <is>
          <t>에덴상공사</t>
        </is>
      </c>
      <c r="I497" s="14" t="n"/>
      <c r="J497" s="14" t="n"/>
      <c r="K497" s="12" t="n">
        <v>993</v>
      </c>
      <c r="L497" s="9" t="n"/>
      <c r="M497" s="9" t="n"/>
      <c r="N497" s="9" t="n"/>
      <c r="O497" s="40">
        <f>K497+V497-AE497-AZ497</f>
        <v/>
      </c>
      <c r="P497" s="12" t="n"/>
      <c r="Q497" s="138" t="n"/>
      <c r="R497" s="16" t="n"/>
      <c r="S497" s="139" t="n"/>
      <c r="T497" s="16" t="n"/>
      <c r="U497" s="139" t="n"/>
      <c r="V497" s="16">
        <f>P497+R497+T497</f>
        <v/>
      </c>
      <c r="W497" s="16" t="n"/>
      <c r="X497" s="139" t="n"/>
      <c r="Y497" s="16" t="n"/>
      <c r="Z497" s="139" t="n"/>
      <c r="AA497" s="16" t="n"/>
      <c r="AB497" s="139" t="n"/>
      <c r="AC497" s="16" t="n"/>
      <c r="AD497" s="139" t="n"/>
      <c r="AE497" s="16">
        <f>(W497+Y497+AA497+AC497)</f>
        <v/>
      </c>
      <c r="AF497" s="16" t="n"/>
      <c r="AG497" s="138" t="n"/>
      <c r="AH497" s="16" t="n"/>
      <c r="AI497" s="138" t="n"/>
      <c r="AJ497" s="16" t="n"/>
      <c r="AK497" s="138" t="n"/>
      <c r="AL497" s="16" t="n"/>
      <c r="AM497" s="138" t="n"/>
      <c r="AN497" s="16" t="n"/>
      <c r="AO497" s="138" t="n"/>
      <c r="AP497" s="16" t="n"/>
      <c r="AQ497" s="138" t="n"/>
      <c r="AR497" s="16" t="n"/>
      <c r="AS497" s="138" t="n"/>
      <c r="AT497" s="16" t="n"/>
      <c r="AU497" s="138" t="n"/>
      <c r="AV497" s="16" t="n"/>
      <c r="AW497" s="138" t="n"/>
      <c r="AX497" s="16" t="n"/>
      <c r="AY497" s="138" t="n"/>
      <c r="AZ497" s="16">
        <f>AF497+AH497+AJ497+AL497+AN497+AP497+AR497+AT497+AV497+AX497</f>
        <v/>
      </c>
      <c r="BA497" s="16" t="n"/>
      <c r="BB497" s="139" t="n"/>
      <c r="BC497" s="16" t="n"/>
      <c r="BD497" s="139" t="n"/>
      <c r="BE497" s="16">
        <f>(BA497+BC497)</f>
        <v/>
      </c>
    </row>
    <row r="498">
      <c r="A498" s="9" t="n"/>
      <c r="B498" s="136" t="inlineStr">
        <is>
          <t>AL 스티커</t>
        </is>
      </c>
      <c r="C498" s="137" t="inlineStr">
        <is>
          <t>ADX6000</t>
        </is>
      </c>
      <c r="D498" s="79" t="inlineStr">
        <is>
          <t>IRay A6 NAME PLATE</t>
        </is>
      </c>
      <c r="E498" s="13" t="n"/>
      <c r="F498" s="99" t="n"/>
      <c r="G498" s="9" t="n"/>
      <c r="H498" s="9" t="inlineStr">
        <is>
          <t>에덴상공사</t>
        </is>
      </c>
      <c r="I498" s="14" t="n"/>
      <c r="J498" s="14" t="n"/>
      <c r="K498" s="12" t="n">
        <v>789</v>
      </c>
      <c r="L498" s="9" t="n"/>
      <c r="M498" s="9" t="n"/>
      <c r="N498" s="9" t="n"/>
      <c r="O498" s="40">
        <f>K498+V498-AE498-AZ498</f>
        <v/>
      </c>
      <c r="P498" s="12" t="n"/>
      <c r="Q498" s="138" t="n"/>
      <c r="R498" s="16" t="n"/>
      <c r="S498" s="139" t="n"/>
      <c r="T498" s="16" t="n"/>
      <c r="U498" s="139" t="n"/>
      <c r="V498" s="16">
        <f>P498+R498+T498</f>
        <v/>
      </c>
      <c r="W498" s="16" t="n"/>
      <c r="X498" s="139" t="n"/>
      <c r="Y498" s="16" t="n"/>
      <c r="Z498" s="139" t="n"/>
      <c r="AA498" s="16" t="n"/>
      <c r="AB498" s="139" t="n"/>
      <c r="AC498" s="16" t="n"/>
      <c r="AD498" s="139" t="n"/>
      <c r="AE498" s="16">
        <f>(W498+Y498+AA498+AC498)</f>
        <v/>
      </c>
      <c r="AF498" s="16" t="n"/>
      <c r="AG498" s="138" t="n"/>
      <c r="AH498" s="16" t="n"/>
      <c r="AI498" s="138" t="n"/>
      <c r="AJ498" s="16" t="n"/>
      <c r="AK498" s="138" t="n"/>
      <c r="AL498" s="16" t="n"/>
      <c r="AM498" s="138" t="n"/>
      <c r="AN498" s="16" t="n"/>
      <c r="AO498" s="138" t="n"/>
      <c r="AP498" s="16" t="n"/>
      <c r="AQ498" s="138" t="n"/>
      <c r="AR498" s="16" t="n"/>
      <c r="AS498" s="138" t="n"/>
      <c r="AT498" s="16" t="n"/>
      <c r="AU498" s="138" t="n"/>
      <c r="AV498" s="16" t="n"/>
      <c r="AW498" s="138" t="n"/>
      <c r="AX498" s="16" t="n"/>
      <c r="AY498" s="138" t="n"/>
      <c r="AZ498" s="16">
        <f>AF498+AH498+AJ498+AL498+AN498+AP498+AR498+AT498+AV498+AX498</f>
        <v/>
      </c>
      <c r="BA498" s="16" t="n"/>
      <c r="BB498" s="139" t="n"/>
      <c r="BC498" s="16" t="n"/>
      <c r="BD498" s="139" t="n"/>
      <c r="BE498" s="16">
        <f>(BA498+BC498)</f>
        <v/>
      </c>
    </row>
    <row r="499">
      <c r="A499" s="9" t="n"/>
      <c r="B499" s="136" t="inlineStr">
        <is>
          <t>AL 스티커</t>
        </is>
      </c>
      <c r="C499" s="137" t="inlineStr">
        <is>
          <t>ADX6000</t>
        </is>
      </c>
      <c r="D499" s="91" t="inlineStr">
        <is>
          <t>IRay A6S NAME PLATE</t>
        </is>
      </c>
      <c r="E499" s="13" t="n"/>
      <c r="F499" s="99" t="n"/>
      <c r="G499" s="9" t="n"/>
      <c r="H499" s="9" t="inlineStr">
        <is>
          <t>에덴상공사</t>
        </is>
      </c>
      <c r="I499" s="14" t="n"/>
      <c r="J499" s="14" t="n"/>
      <c r="K499" s="12" t="n">
        <v>893</v>
      </c>
      <c r="L499" s="9" t="n"/>
      <c r="M499" s="9" t="n"/>
      <c r="N499" s="9" t="n"/>
      <c r="O499" s="40">
        <f>K499+V499-AE499-AZ499</f>
        <v/>
      </c>
      <c r="P499" s="12" t="n"/>
      <c r="Q499" s="138" t="n"/>
      <c r="R499" s="16" t="n"/>
      <c r="S499" s="139" t="n"/>
      <c r="T499" s="16" t="n"/>
      <c r="U499" s="139" t="n"/>
      <c r="V499" s="16">
        <f>P499+R499+T499</f>
        <v/>
      </c>
      <c r="W499" s="16" t="n"/>
      <c r="X499" s="139" t="n"/>
      <c r="Y499" s="16" t="n"/>
      <c r="Z499" s="139" t="n"/>
      <c r="AA499" s="16" t="n"/>
      <c r="AB499" s="139" t="n"/>
      <c r="AC499" s="16" t="n"/>
      <c r="AD499" s="139" t="n"/>
      <c r="AE499" s="16">
        <f>(W499+Y499+AA499+AC499)</f>
        <v/>
      </c>
      <c r="AF499" s="16" t="n"/>
      <c r="AG499" s="138" t="n"/>
      <c r="AH499" s="16" t="n"/>
      <c r="AI499" s="138" t="n"/>
      <c r="AJ499" s="16" t="n"/>
      <c r="AK499" s="138" t="n"/>
      <c r="AL499" s="16" t="n"/>
      <c r="AM499" s="138" t="n"/>
      <c r="AN499" s="16" t="n"/>
      <c r="AO499" s="138" t="n"/>
      <c r="AP499" s="16" t="n"/>
      <c r="AQ499" s="138" t="n"/>
      <c r="AR499" s="16" t="n"/>
      <c r="AS499" s="138" t="n"/>
      <c r="AT499" s="16" t="n"/>
      <c r="AU499" s="138" t="n"/>
      <c r="AV499" s="16" t="n"/>
      <c r="AW499" s="138" t="n"/>
      <c r="AX499" s="16" t="n"/>
      <c r="AY499" s="138" t="n"/>
      <c r="AZ499" s="16">
        <f>AF499+AH499+AJ499+AL499+AN499+AP499+AR499+AT499+AV499+AX499</f>
        <v/>
      </c>
      <c r="BA499" s="16" t="n"/>
      <c r="BB499" s="139" t="n"/>
      <c r="BC499" s="16" t="n"/>
      <c r="BD499" s="139" t="n"/>
      <c r="BE499" s="16">
        <f>(BA499+BC499)</f>
        <v/>
      </c>
    </row>
    <row r="500">
      <c r="A500" s="9" t="n"/>
      <c r="B500" s="136" t="inlineStr">
        <is>
          <t>AL 스티커</t>
        </is>
      </c>
      <c r="C500" s="137" t="inlineStr">
        <is>
          <t>ADX6000</t>
        </is>
      </c>
      <c r="D500" s="79" t="inlineStr">
        <is>
          <t>DEXCOWIN NAME PLATE</t>
        </is>
      </c>
      <c r="E500" s="13" t="inlineStr">
        <is>
          <t>FDXD-810 디텍터용</t>
        </is>
      </c>
      <c r="F500" s="99" t="n"/>
      <c r="G500" s="9" t="n"/>
      <c r="H500" s="9" t="inlineStr">
        <is>
          <t>에덴상공사</t>
        </is>
      </c>
      <c r="I500" s="14" t="n"/>
      <c r="J500" s="14" t="n"/>
      <c r="K500" s="12" t="n">
        <v>216</v>
      </c>
      <c r="L500" s="9" t="n"/>
      <c r="M500" s="9" t="n"/>
      <c r="N500" s="9" t="n"/>
      <c r="O500" s="40">
        <f>K500+V500-AE500-AZ500</f>
        <v/>
      </c>
      <c r="P500" s="12" t="n"/>
      <c r="Q500" s="138" t="n"/>
      <c r="R500" s="16" t="n"/>
      <c r="S500" s="139" t="n"/>
      <c r="T500" s="16" t="n"/>
      <c r="U500" s="139" t="n"/>
      <c r="V500" s="16">
        <f>P500+R500+T500</f>
        <v/>
      </c>
      <c r="W500" s="16" t="n"/>
      <c r="X500" s="139" t="n"/>
      <c r="Y500" s="16" t="n"/>
      <c r="Z500" s="139" t="n"/>
      <c r="AA500" s="16" t="n"/>
      <c r="AB500" s="139" t="n"/>
      <c r="AC500" s="16" t="n"/>
      <c r="AD500" s="139" t="n"/>
      <c r="AE500" s="16">
        <f>(W500+Y500+AA500+AC500)</f>
        <v/>
      </c>
      <c r="AF500" s="16" t="n"/>
      <c r="AG500" s="138" t="n"/>
      <c r="AH500" s="16" t="n"/>
      <c r="AI500" s="138" t="n"/>
      <c r="AJ500" s="16" t="n"/>
      <c r="AK500" s="138" t="n"/>
      <c r="AL500" s="16" t="n"/>
      <c r="AM500" s="138" t="n"/>
      <c r="AN500" s="16" t="n"/>
      <c r="AO500" s="138" t="n"/>
      <c r="AP500" s="16" t="n"/>
      <c r="AQ500" s="138" t="n"/>
      <c r="AR500" s="16" t="n"/>
      <c r="AS500" s="138" t="n"/>
      <c r="AT500" s="16" t="n"/>
      <c r="AU500" s="138" t="n"/>
      <c r="AV500" s="16" t="n"/>
      <c r="AW500" s="138" t="n"/>
      <c r="AX500" s="16" t="n"/>
      <c r="AY500" s="138" t="n"/>
      <c r="AZ500" s="16">
        <f>AF500+AH500+AJ500+AL500+AN500+AP500+AR500+AT500+AV500+AX500</f>
        <v/>
      </c>
      <c r="BA500" s="16" t="n"/>
      <c r="BB500" s="139" t="n"/>
      <c r="BC500" s="16" t="n"/>
      <c r="BD500" s="139" t="n"/>
      <c r="BE500" s="16">
        <f>(BA500+BC500)</f>
        <v/>
      </c>
    </row>
    <row r="501">
      <c r="A501" s="9" t="n"/>
      <c r="B501" s="136" t="inlineStr">
        <is>
          <t>AL 스티커</t>
        </is>
      </c>
      <c r="C501" s="137" t="inlineStr">
        <is>
          <t>ADX6000</t>
        </is>
      </c>
      <c r="D501" s="79" t="inlineStr">
        <is>
          <t>DEXCOWIN NAME PLATE</t>
        </is>
      </c>
      <c r="E501" s="13" t="inlineStr">
        <is>
          <t>뱅가드 가방용</t>
        </is>
      </c>
      <c r="F501" s="99" t="n"/>
      <c r="G501" s="9" t="n"/>
      <c r="H501" s="9" t="inlineStr">
        <is>
          <t>에덴상공사</t>
        </is>
      </c>
      <c r="I501" s="14" t="n"/>
      <c r="J501" s="14" t="n"/>
      <c r="K501" s="12" t="n">
        <v>57</v>
      </c>
      <c r="L501" s="9" t="n"/>
      <c r="M501" s="9" t="n"/>
      <c r="N501" s="9" t="n"/>
      <c r="O501" s="40">
        <f>K501+V501-AE501-AZ501</f>
        <v/>
      </c>
      <c r="P501" s="12" t="n"/>
      <c r="Q501" s="138" t="n"/>
      <c r="R501" s="16" t="n"/>
      <c r="S501" s="139" t="n"/>
      <c r="T501" s="16" t="n"/>
      <c r="U501" s="139" t="n"/>
      <c r="V501" s="16">
        <f>P501+R501+T501</f>
        <v/>
      </c>
      <c r="W501" s="16" t="n"/>
      <c r="X501" s="139" t="n"/>
      <c r="Y501" s="16" t="n"/>
      <c r="Z501" s="139" t="n"/>
      <c r="AA501" s="16" t="n"/>
      <c r="AB501" s="139" t="n"/>
      <c r="AC501" s="16" t="n"/>
      <c r="AD501" s="139" t="n"/>
      <c r="AE501" s="16">
        <f>(W501+Y501+AA501+AC501)</f>
        <v/>
      </c>
      <c r="AF501" s="16" t="n"/>
      <c r="AG501" s="138" t="n"/>
      <c r="AH501" s="16" t="n"/>
      <c r="AI501" s="138" t="n"/>
      <c r="AJ501" s="16" t="n"/>
      <c r="AK501" s="138" t="n"/>
      <c r="AL501" s="16" t="n"/>
      <c r="AM501" s="138" t="n"/>
      <c r="AN501" s="16" t="n"/>
      <c r="AO501" s="138" t="n"/>
      <c r="AP501" s="16" t="n"/>
      <c r="AQ501" s="138" t="n"/>
      <c r="AR501" s="16" t="n"/>
      <c r="AS501" s="138" t="n"/>
      <c r="AT501" s="16" t="n"/>
      <c r="AU501" s="138" t="n"/>
      <c r="AV501" s="16" t="n"/>
      <c r="AW501" s="138" t="n"/>
      <c r="AX501" s="16" t="n"/>
      <c r="AY501" s="138" t="n"/>
      <c r="AZ501" s="16">
        <f>AF501+AH501+AJ501+AL501+AN501+AP501+AR501+AT501+AV501+AX501</f>
        <v/>
      </c>
      <c r="BA501" s="16" t="n"/>
      <c r="BB501" s="139" t="n"/>
      <c r="BC501" s="16" t="n"/>
      <c r="BD501" s="139" t="n"/>
      <c r="BE501" s="16">
        <f>(BA501+BC501)</f>
        <v/>
      </c>
    </row>
    <row r="502">
      <c r="A502" s="9" t="n"/>
      <c r="B502" s="136" t="inlineStr">
        <is>
          <t>AL 스티커</t>
        </is>
      </c>
      <c r="C502" s="137" t="inlineStr">
        <is>
          <t>공용</t>
        </is>
      </c>
      <c r="D502" s="79" t="inlineStr">
        <is>
          <t>SUS PLATE</t>
        </is>
      </c>
      <c r="E502" s="13" t="n"/>
      <c r="F502" s="99" t="n"/>
      <c r="G502" s="9" t="n"/>
      <c r="H502" s="9" t="inlineStr">
        <is>
          <t>에덴상공사</t>
        </is>
      </c>
      <c r="I502" s="14" t="n"/>
      <c r="J502" s="14" t="n"/>
      <c r="K502" s="12" t="n">
        <v>0</v>
      </c>
      <c r="L502" s="9" t="n"/>
      <c r="M502" s="9" t="n"/>
      <c r="N502" s="9" t="n"/>
      <c r="O502" s="40">
        <f>K502+V502-AE502-AZ502</f>
        <v/>
      </c>
      <c r="P502" s="12" t="n"/>
      <c r="Q502" s="138" t="n"/>
      <c r="R502" s="16" t="n"/>
      <c r="S502" s="139" t="n"/>
      <c r="T502" s="16" t="n"/>
      <c r="U502" s="139" t="n"/>
      <c r="V502" s="16">
        <f>P502+R502+T502</f>
        <v/>
      </c>
      <c r="W502" s="16" t="n"/>
      <c r="X502" s="139" t="n"/>
      <c r="Y502" s="16" t="n"/>
      <c r="Z502" s="139" t="n"/>
      <c r="AA502" s="16" t="n"/>
      <c r="AB502" s="139" t="n"/>
      <c r="AC502" s="16" t="n"/>
      <c r="AD502" s="139" t="n"/>
      <c r="AE502" s="16">
        <f>(W502+Y502+AA502+AC502)</f>
        <v/>
      </c>
      <c r="AF502" s="16" t="n"/>
      <c r="AG502" s="138" t="n"/>
      <c r="AH502" s="16" t="n"/>
      <c r="AI502" s="138" t="n"/>
      <c r="AJ502" s="16" t="n"/>
      <c r="AK502" s="138" t="n"/>
      <c r="AL502" s="16" t="n"/>
      <c r="AM502" s="138" t="n"/>
      <c r="AN502" s="16" t="n"/>
      <c r="AO502" s="138" t="n"/>
      <c r="AP502" s="16" t="n"/>
      <c r="AQ502" s="138" t="n"/>
      <c r="AR502" s="16" t="n"/>
      <c r="AS502" s="138" t="n"/>
      <c r="AT502" s="16" t="n"/>
      <c r="AU502" s="138" t="n"/>
      <c r="AV502" s="16" t="n"/>
      <c r="AW502" s="138" t="n"/>
      <c r="AX502" s="16" t="n"/>
      <c r="AY502" s="138" t="n"/>
      <c r="AZ502" s="16">
        <f>AF502+AH502+AJ502+AL502+AN502+AP502+AR502+AT502+AV502+AX502</f>
        <v/>
      </c>
      <c r="BA502" s="16" t="n"/>
      <c r="BB502" s="139" t="n"/>
      <c r="BC502" s="16" t="n"/>
      <c r="BD502" s="139" t="n"/>
      <c r="BE502" s="16">
        <f>(BA502+BC502)</f>
        <v/>
      </c>
    </row>
    <row r="503">
      <c r="A503" s="9" t="n"/>
      <c r="B503" s="136" t="inlineStr">
        <is>
          <t>AL 스티커</t>
        </is>
      </c>
      <c r="C503" s="137" t="inlineStr">
        <is>
          <t>공용</t>
        </is>
      </c>
      <c r="D503" s="79" t="inlineStr">
        <is>
          <t>DEXCOWIN NAME PLATE</t>
        </is>
      </c>
      <c r="E503" s="13" t="inlineStr">
        <is>
          <t>DR Tech 센서용</t>
        </is>
      </c>
      <c r="F503" s="99" t="n"/>
      <c r="G503" s="9" t="n"/>
      <c r="H503" s="9" t="inlineStr">
        <is>
          <t>에덴상공사</t>
        </is>
      </c>
      <c r="I503" s="14" t="n"/>
      <c r="J503" s="14" t="n"/>
      <c r="K503" s="12" t="n">
        <v>0</v>
      </c>
      <c r="L503" s="9" t="n"/>
      <c r="M503" s="9" t="n"/>
      <c r="N503" s="9" t="n"/>
      <c r="O503" s="40">
        <f>K503+V503-AE503-AZ503</f>
        <v/>
      </c>
      <c r="P503" s="12" t="n"/>
      <c r="Q503" s="138" t="n"/>
      <c r="R503" s="16" t="n"/>
      <c r="S503" s="139" t="n"/>
      <c r="T503" s="16" t="n"/>
      <c r="U503" s="139" t="n"/>
      <c r="V503" s="16">
        <f>P503+R503+T503</f>
        <v/>
      </c>
      <c r="W503" s="16" t="n"/>
      <c r="X503" s="139" t="n"/>
      <c r="Y503" s="16" t="n"/>
      <c r="Z503" s="139" t="n"/>
      <c r="AA503" s="16" t="n"/>
      <c r="AB503" s="139" t="n"/>
      <c r="AC503" s="16" t="n"/>
      <c r="AD503" s="139" t="n"/>
      <c r="AE503" s="16">
        <f>(W503+Y503+AA503+AC503)</f>
        <v/>
      </c>
      <c r="AF503" s="16" t="n"/>
      <c r="AG503" s="138" t="n"/>
      <c r="AH503" s="16" t="n"/>
      <c r="AI503" s="138" t="n"/>
      <c r="AJ503" s="16" t="n"/>
      <c r="AK503" s="138" t="n"/>
      <c r="AL503" s="16" t="n"/>
      <c r="AM503" s="138" t="n"/>
      <c r="AN503" s="16" t="n"/>
      <c r="AO503" s="138" t="n"/>
      <c r="AP503" s="16" t="n"/>
      <c r="AQ503" s="138" t="n"/>
      <c r="AR503" s="16" t="n"/>
      <c r="AS503" s="138" t="n"/>
      <c r="AT503" s="16" t="n"/>
      <c r="AU503" s="138" t="n"/>
      <c r="AV503" s="16" t="n"/>
      <c r="AW503" s="138" t="n"/>
      <c r="AX503" s="16" t="n"/>
      <c r="AY503" s="138" t="n"/>
      <c r="AZ503" s="16">
        <f>AF503+AH503+AJ503+AL503+AN503+AP503+AR503+AT503+AV503+AX503</f>
        <v/>
      </c>
      <c r="BA503" s="16" t="n"/>
      <c r="BB503" s="139" t="n"/>
      <c r="BC503" s="16" t="n"/>
      <c r="BD503" s="139" t="n"/>
      <c r="BE503" s="16">
        <f>(BA503+BC503)</f>
        <v/>
      </c>
    </row>
    <row r="504">
      <c r="A504" s="9" t="n"/>
      <c r="B504" s="136" t="inlineStr">
        <is>
          <t>AL 스티커</t>
        </is>
      </c>
      <c r="C504" s="137" t="inlineStr">
        <is>
          <t>공용</t>
        </is>
      </c>
      <c r="D504" s="79" t="inlineStr">
        <is>
          <t>DEXCOWIN NAME PLATE</t>
        </is>
      </c>
      <c r="E504" s="13" t="inlineStr">
        <is>
          <t>가방용</t>
        </is>
      </c>
      <c r="F504" s="99" t="n"/>
      <c r="G504" s="9" t="n"/>
      <c r="H504" s="9" t="inlineStr">
        <is>
          <t>에덴상공사</t>
        </is>
      </c>
      <c r="I504" s="14" t="n"/>
      <c r="J504" s="14" t="n"/>
      <c r="K504" s="12" t="n">
        <v>0</v>
      </c>
      <c r="L504" s="9" t="n"/>
      <c r="M504" s="9" t="n"/>
      <c r="N504" s="9" t="n"/>
      <c r="O504" s="40">
        <f>K504+V504-AE504-AZ504</f>
        <v/>
      </c>
      <c r="P504" s="12" t="n"/>
      <c r="Q504" s="138" t="n"/>
      <c r="R504" s="16" t="n"/>
      <c r="S504" s="139" t="n"/>
      <c r="T504" s="16" t="n"/>
      <c r="U504" s="139" t="n"/>
      <c r="V504" s="16">
        <f>P504+R504+T504</f>
        <v/>
      </c>
      <c r="W504" s="16" t="n"/>
      <c r="X504" s="139" t="n"/>
      <c r="Y504" s="16" t="n"/>
      <c r="Z504" s="139" t="n"/>
      <c r="AA504" s="16" t="n"/>
      <c r="AB504" s="139" t="n"/>
      <c r="AC504" s="16" t="n"/>
      <c r="AD504" s="139" t="n"/>
      <c r="AE504" s="16">
        <f>(W504+Y504+AA504+AC504)</f>
        <v/>
      </c>
      <c r="AF504" s="16" t="n"/>
      <c r="AG504" s="138" t="n"/>
      <c r="AH504" s="16" t="n"/>
      <c r="AI504" s="138" t="n"/>
      <c r="AJ504" s="16" t="n"/>
      <c r="AK504" s="138" t="n"/>
      <c r="AL504" s="16" t="n"/>
      <c r="AM504" s="138" t="n"/>
      <c r="AN504" s="16" t="n"/>
      <c r="AO504" s="138" t="n"/>
      <c r="AP504" s="16" t="n"/>
      <c r="AQ504" s="138" t="n"/>
      <c r="AR504" s="16" t="n"/>
      <c r="AS504" s="138" t="n"/>
      <c r="AT504" s="16" t="n"/>
      <c r="AU504" s="138" t="n"/>
      <c r="AV504" s="16" t="n"/>
      <c r="AW504" s="138" t="n"/>
      <c r="AX504" s="16" t="n"/>
      <c r="AY504" s="138" t="n"/>
      <c r="AZ504" s="16">
        <f>AF504+AH504+AJ504+AL504+AN504+AP504+AR504+AT504+AV504+AX504</f>
        <v/>
      </c>
      <c r="BA504" s="16" t="n"/>
      <c r="BB504" s="139" t="n"/>
      <c r="BC504" s="16" t="n"/>
      <c r="BD504" s="139" t="n"/>
      <c r="BE504" s="16">
        <f>(BA504+BC504)</f>
        <v/>
      </c>
    </row>
    <row r="505">
      <c r="A505" s="9" t="n"/>
      <c r="B505" s="136" t="inlineStr">
        <is>
          <t>에폭시 스티커</t>
        </is>
      </c>
      <c r="C505" s="137" t="inlineStr">
        <is>
          <t>ADX6000S</t>
        </is>
      </c>
      <c r="D505" s="65" t="inlineStr">
        <is>
          <t>손잡이 에폭시 스티커</t>
        </is>
      </c>
      <c r="E505" s="13" t="n"/>
      <c r="F505" s="99" t="n"/>
      <c r="G505" s="9" t="n"/>
      <c r="H505" s="24" t="inlineStr">
        <is>
          <t>거광에폭시</t>
        </is>
      </c>
      <c r="I505" s="14" t="n"/>
      <c r="J505" s="14" t="n"/>
      <c r="K505" s="12" t="n">
        <v>0</v>
      </c>
      <c r="L505" s="9" t="n"/>
      <c r="M505" s="9" t="n"/>
      <c r="N505" s="9" t="n"/>
      <c r="O505" s="40">
        <f>K505+V505-AE505-AZ505</f>
        <v/>
      </c>
      <c r="P505" s="12" t="n"/>
      <c r="Q505" s="138" t="n"/>
      <c r="R505" s="16" t="n"/>
      <c r="S505" s="139" t="n"/>
      <c r="T505" s="16" t="n"/>
      <c r="U505" s="139" t="n"/>
      <c r="V505" s="16">
        <f>P505+R505+T505</f>
        <v/>
      </c>
      <c r="W505" s="16" t="n"/>
      <c r="X505" s="139" t="n"/>
      <c r="Y505" s="16" t="n"/>
      <c r="Z505" s="139" t="n"/>
      <c r="AA505" s="16" t="n"/>
      <c r="AB505" s="139" t="n"/>
      <c r="AC505" s="16" t="n"/>
      <c r="AD505" s="139" t="n"/>
      <c r="AE505" s="16">
        <f>(W505+Y505+AA505+AC505)</f>
        <v/>
      </c>
      <c r="AF505" s="16" t="n"/>
      <c r="AG505" s="138" t="n"/>
      <c r="AH505" s="16" t="n"/>
      <c r="AI505" s="138" t="n"/>
      <c r="AJ505" s="16" t="n"/>
      <c r="AK505" s="138" t="n"/>
      <c r="AL505" s="16" t="n"/>
      <c r="AM505" s="138" t="n"/>
      <c r="AN505" s="16" t="n"/>
      <c r="AO505" s="138" t="n"/>
      <c r="AP505" s="16" t="n"/>
      <c r="AQ505" s="138" t="n"/>
      <c r="AR505" s="16" t="n"/>
      <c r="AS505" s="138" t="n"/>
      <c r="AT505" s="16" t="n"/>
      <c r="AU505" s="138" t="n"/>
      <c r="AV505" s="16" t="n"/>
      <c r="AW505" s="138" t="n"/>
      <c r="AX505" s="16" t="n"/>
      <c r="AY505" s="138" t="n"/>
      <c r="AZ505" s="16">
        <f>AF505+AH505+AJ505+AL505+AN505+AP505+AR505+AT505+AV505+AX505</f>
        <v/>
      </c>
      <c r="BA505" s="16" t="n"/>
      <c r="BB505" s="139" t="n"/>
      <c r="BC505" s="16" t="n"/>
      <c r="BD505" s="139" t="n"/>
      <c r="BE505" s="16">
        <f>(BA505+BC505)</f>
        <v/>
      </c>
    </row>
    <row r="506">
      <c r="A506" s="9" t="n"/>
      <c r="B506" s="136" t="inlineStr">
        <is>
          <t>패드</t>
        </is>
      </c>
      <c r="C506" s="137" t="inlineStr">
        <is>
          <t>공용</t>
        </is>
      </c>
      <c r="D506" s="65" t="inlineStr">
        <is>
          <t>패드</t>
        </is>
      </c>
      <c r="E506" s="13" t="n"/>
      <c r="F506" s="99" t="n"/>
      <c r="G506" s="9" t="n"/>
      <c r="H506" s="9" t="inlineStr">
        <is>
          <t>가온패드</t>
        </is>
      </c>
      <c r="I506" s="14" t="n"/>
      <c r="J506" s="14" t="n"/>
      <c r="K506" s="12" t="n">
        <v>0</v>
      </c>
      <c r="L506" s="9" t="n"/>
      <c r="M506" s="9" t="n"/>
      <c r="N506" s="9" t="n"/>
      <c r="O506" s="40">
        <f>K506+V506-AE506-AZ506</f>
        <v/>
      </c>
      <c r="P506" s="12" t="n"/>
      <c r="Q506" s="138" t="n"/>
      <c r="R506" s="16" t="n"/>
      <c r="S506" s="139" t="n"/>
      <c r="T506" s="16" t="n"/>
      <c r="U506" s="139" t="n"/>
      <c r="V506" s="16">
        <f>P506+R506+T506</f>
        <v/>
      </c>
      <c r="W506" s="16" t="n"/>
      <c r="X506" s="139" t="n"/>
      <c r="Y506" s="16" t="n"/>
      <c r="Z506" s="139" t="n"/>
      <c r="AA506" s="16" t="n"/>
      <c r="AB506" s="139" t="n"/>
      <c r="AC506" s="16" t="n"/>
      <c r="AD506" s="139" t="n"/>
      <c r="AE506" s="16">
        <f>(W506+Y506+AA506+AC506)</f>
        <v/>
      </c>
      <c r="AF506" s="16" t="n"/>
      <c r="AG506" s="138" t="n"/>
      <c r="AH506" s="16" t="n"/>
      <c r="AI506" s="138" t="n"/>
      <c r="AJ506" s="16" t="n"/>
      <c r="AK506" s="138" t="n"/>
      <c r="AL506" s="16" t="n"/>
      <c r="AM506" s="138" t="n"/>
      <c r="AN506" s="16" t="n"/>
      <c r="AO506" s="138" t="n"/>
      <c r="AP506" s="16" t="n"/>
      <c r="AQ506" s="138" t="n"/>
      <c r="AR506" s="16" t="n"/>
      <c r="AS506" s="138" t="n"/>
      <c r="AT506" s="16" t="n"/>
      <c r="AU506" s="138" t="n"/>
      <c r="AV506" s="16" t="n"/>
      <c r="AW506" s="138" t="n"/>
      <c r="AX506" s="16" t="n"/>
      <c r="AY506" s="138" t="n"/>
      <c r="AZ506" s="16">
        <f>AF506+AH506+AJ506+AL506+AN506+AP506+AR506+AT506+AV506+AX506</f>
        <v/>
      </c>
      <c r="BA506" s="16" t="n"/>
      <c r="BB506" s="139" t="n"/>
      <c r="BC506" s="16" t="n"/>
      <c r="BD506" s="139" t="n"/>
      <c r="BE506" s="16">
        <f>(BA506+BC506)</f>
        <v/>
      </c>
    </row>
    <row r="507">
      <c r="A507" s="9" t="n"/>
      <c r="B507" s="136" t="inlineStr">
        <is>
          <t>카메라</t>
        </is>
      </c>
      <c r="C507" s="137" t="inlineStr">
        <is>
          <t>공용</t>
        </is>
      </c>
      <c r="D507" s="63" t="inlineStr">
        <is>
          <t>구강 카메라</t>
        </is>
      </c>
      <c r="E507" s="13" t="n"/>
      <c r="F507" s="99" t="n"/>
      <c r="G507" s="9" t="n"/>
      <c r="H507" s="9" t="n"/>
      <c r="I507" s="14" t="n"/>
      <c r="J507" s="14" t="n"/>
      <c r="K507" s="12" t="n">
        <v>0</v>
      </c>
      <c r="L507" s="9" t="n"/>
      <c r="M507" s="9" t="n"/>
      <c r="N507" s="9" t="n"/>
      <c r="O507" s="40">
        <f>K507+V507-AE507-AZ507</f>
        <v/>
      </c>
      <c r="P507" s="12" t="n"/>
      <c r="Q507" s="138" t="n"/>
      <c r="R507" s="16" t="n"/>
      <c r="S507" s="139" t="n"/>
      <c r="T507" s="16" t="n"/>
      <c r="U507" s="139" t="n"/>
      <c r="V507" s="16">
        <f>P507+R507+T507</f>
        <v/>
      </c>
      <c r="W507" s="16" t="n"/>
      <c r="X507" s="139" t="n"/>
      <c r="Y507" s="16" t="n"/>
      <c r="Z507" s="139" t="n"/>
      <c r="AA507" s="16" t="n"/>
      <c r="AB507" s="139" t="n"/>
      <c r="AC507" s="16" t="n"/>
      <c r="AD507" s="139" t="n"/>
      <c r="AE507" s="16">
        <f>(W507+Y507+AA507+AC507)</f>
        <v/>
      </c>
      <c r="AF507" s="16" t="n"/>
      <c r="AG507" s="138" t="n"/>
      <c r="AH507" s="16" t="n"/>
      <c r="AI507" s="138" t="n"/>
      <c r="AJ507" s="16" t="n"/>
      <c r="AK507" s="138" t="n"/>
      <c r="AL507" s="16" t="n"/>
      <c r="AM507" s="138" t="n"/>
      <c r="AN507" s="16" t="n"/>
      <c r="AO507" s="138" t="n"/>
      <c r="AP507" s="16" t="n"/>
      <c r="AQ507" s="138" t="n"/>
      <c r="AR507" s="16" t="n"/>
      <c r="AS507" s="138" t="n"/>
      <c r="AT507" s="16" t="n"/>
      <c r="AU507" s="138" t="n"/>
      <c r="AV507" s="16" t="n"/>
      <c r="AW507" s="138" t="n"/>
      <c r="AX507" s="16" t="n"/>
      <c r="AY507" s="138" t="n"/>
      <c r="AZ507" s="16">
        <f>AF507+AH507+AJ507+AL507+AN507+AP507+AR507+AT507+AV507+AX507</f>
        <v/>
      </c>
      <c r="BA507" s="16" t="n"/>
      <c r="BB507" s="139" t="n"/>
      <c r="BC507" s="16" t="n"/>
      <c r="BD507" s="139" t="n"/>
      <c r="BE507" s="16">
        <f>(BA507+BC507)</f>
        <v/>
      </c>
    </row>
    <row r="508">
      <c r="A508" s="9" t="n"/>
      <c r="B508" s="136" t="inlineStr">
        <is>
          <t>센서 케이스</t>
        </is>
      </c>
      <c r="C508" s="137" t="inlineStr">
        <is>
          <t>공용</t>
        </is>
      </c>
      <c r="D508" s="60" t="inlineStr">
        <is>
          <t>330N 센서 케이스</t>
        </is>
      </c>
      <c r="E508" s="13" t="n"/>
      <c r="F508" s="99" t="n"/>
      <c r="G508" s="9" t="n"/>
      <c r="H508" s="9" t="inlineStr">
        <is>
          <t>다우정밀</t>
        </is>
      </c>
      <c r="I508" s="14" t="n"/>
      <c r="J508" s="14" t="n"/>
      <c r="K508" s="12" t="n">
        <v>0</v>
      </c>
      <c r="L508" s="9" t="n"/>
      <c r="M508" s="9" t="n"/>
      <c r="N508" s="9" t="n"/>
      <c r="O508" s="40">
        <f>K508+V508-AE508-AZ508</f>
        <v/>
      </c>
      <c r="P508" s="12" t="n"/>
      <c r="Q508" s="138" t="n"/>
      <c r="R508" s="16" t="n"/>
      <c r="S508" s="139" t="n"/>
      <c r="T508" s="16" t="n"/>
      <c r="U508" s="139" t="n"/>
      <c r="V508" s="16">
        <f>P508+R508+T508</f>
        <v/>
      </c>
      <c r="W508" s="16" t="n"/>
      <c r="X508" s="139" t="n"/>
      <c r="Y508" s="16" t="n"/>
      <c r="Z508" s="139" t="n"/>
      <c r="AA508" s="16" t="n"/>
      <c r="AB508" s="139" t="n"/>
      <c r="AC508" s="16" t="n"/>
      <c r="AD508" s="139" t="n"/>
      <c r="AE508" s="16">
        <f>(W508+Y508+AA508+AC508)</f>
        <v/>
      </c>
      <c r="AF508" s="16" t="n"/>
      <c r="AG508" s="138" t="n"/>
      <c r="AH508" s="16" t="n"/>
      <c r="AI508" s="138" t="n"/>
      <c r="AJ508" s="16" t="n"/>
      <c r="AK508" s="138" t="n"/>
      <c r="AL508" s="16" t="n"/>
      <c r="AM508" s="138" t="n"/>
      <c r="AN508" s="16" t="n"/>
      <c r="AO508" s="138" t="n"/>
      <c r="AP508" s="16" t="n"/>
      <c r="AQ508" s="138" t="n"/>
      <c r="AR508" s="16" t="n"/>
      <c r="AS508" s="138" t="n"/>
      <c r="AT508" s="16" t="n"/>
      <c r="AU508" s="138" t="n"/>
      <c r="AV508" s="16" t="n"/>
      <c r="AW508" s="138" t="n"/>
      <c r="AX508" s="16" t="n"/>
      <c r="AY508" s="138" t="n"/>
      <c r="AZ508" s="16">
        <f>AF508+AH508+AJ508+AL508+AN508+AP508+AR508+AT508+AV508+AX508</f>
        <v/>
      </c>
      <c r="BA508" s="16" t="n"/>
      <c r="BB508" s="139" t="n"/>
      <c r="BC508" s="16" t="n"/>
      <c r="BD508" s="139" t="n"/>
      <c r="BE508" s="16">
        <f>(BA508+BC508)</f>
        <v/>
      </c>
    </row>
    <row r="509">
      <c r="A509" s="9" t="n"/>
      <c r="B509" s="136" t="inlineStr">
        <is>
          <t>센서</t>
        </is>
      </c>
      <c r="C509" s="137" t="inlineStr">
        <is>
          <t>공용</t>
        </is>
      </c>
      <c r="D509" s="60" t="inlineStr">
        <is>
          <t>17*17 DRTECH 센서</t>
        </is>
      </c>
      <c r="E509" s="13" t="n"/>
      <c r="F509" s="99" t="n"/>
      <c r="G509" s="9" t="n"/>
      <c r="H509" s="9" t="inlineStr">
        <is>
          <t>디알텍</t>
        </is>
      </c>
      <c r="I509" s="14" t="n"/>
      <c r="J509" s="14" t="n"/>
      <c r="K509" s="12" t="n">
        <v>0</v>
      </c>
      <c r="L509" s="9" t="n"/>
      <c r="M509" s="9" t="n"/>
      <c r="N509" s="9" t="n"/>
      <c r="O509" s="40">
        <f>K509+V509-AE509-AZ509</f>
        <v/>
      </c>
      <c r="P509" s="12" t="n"/>
      <c r="Q509" s="138" t="n"/>
      <c r="R509" s="16" t="n"/>
      <c r="S509" s="139" t="n"/>
      <c r="T509" s="16" t="n"/>
      <c r="U509" s="139" t="n"/>
      <c r="V509" s="16">
        <f>P509+R509+T509</f>
        <v/>
      </c>
      <c r="W509" s="16" t="n"/>
      <c r="X509" s="139" t="n"/>
      <c r="Y509" s="16" t="n"/>
      <c r="Z509" s="139" t="n"/>
      <c r="AA509" s="16" t="n"/>
      <c r="AB509" s="139" t="n"/>
      <c r="AC509" s="16" t="n"/>
      <c r="AD509" s="139" t="n"/>
      <c r="AE509" s="16">
        <f>(W509+Y509+AA509+AC509)</f>
        <v/>
      </c>
      <c r="AF509" s="16" t="n"/>
      <c r="AG509" s="138" t="n"/>
      <c r="AH509" s="16" t="n"/>
      <c r="AI509" s="138" t="n"/>
      <c r="AJ509" s="16" t="n"/>
      <c r="AK509" s="138" t="n"/>
      <c r="AL509" s="16" t="n"/>
      <c r="AM509" s="138" t="n"/>
      <c r="AN509" s="16" t="n"/>
      <c r="AO509" s="138" t="n"/>
      <c r="AP509" s="16" t="n"/>
      <c r="AQ509" s="138" t="n"/>
      <c r="AR509" s="16" t="n"/>
      <c r="AS509" s="138" t="n"/>
      <c r="AT509" s="16" t="n"/>
      <c r="AU509" s="138" t="n"/>
      <c r="AV509" s="16" t="n"/>
      <c r="AW509" s="138" t="n"/>
      <c r="AX509" s="16" t="n"/>
      <c r="AY509" s="138" t="n"/>
      <c r="AZ509" s="16">
        <f>AF509+AH509+AJ509+AL509+AN509+AP509+AR509+AT509+AV509+AX509</f>
        <v/>
      </c>
      <c r="BA509" s="16" t="n"/>
      <c r="BB509" s="139" t="n"/>
      <c r="BC509" s="16" t="n"/>
      <c r="BD509" s="139" t="n"/>
      <c r="BE509" s="16">
        <f>(BA509+BC509)</f>
        <v/>
      </c>
    </row>
    <row r="510">
      <c r="A510" s="9" t="n"/>
      <c r="B510" s="136" t="inlineStr">
        <is>
          <t>센서</t>
        </is>
      </c>
      <c r="C510" s="137" t="inlineStr">
        <is>
          <t>공용</t>
        </is>
      </c>
      <c r="D510" s="60" t="inlineStr">
        <is>
          <t>330N DRTECH 센서</t>
        </is>
      </c>
      <c r="E510" s="13" t="n"/>
      <c r="F510" s="99" t="n"/>
      <c r="G510" s="9" t="n"/>
      <c r="H510" s="9" t="inlineStr">
        <is>
          <t>디알텍</t>
        </is>
      </c>
      <c r="I510" s="14" t="n"/>
      <c r="J510" s="14" t="n"/>
      <c r="K510" s="12" t="n">
        <v>0</v>
      </c>
      <c r="L510" s="9" t="n"/>
      <c r="M510" s="9" t="n"/>
      <c r="N510" s="9" t="n"/>
      <c r="O510" s="40">
        <f>K510+V510-AE510-AZ510</f>
        <v/>
      </c>
      <c r="P510" s="12" t="n"/>
      <c r="Q510" s="138" t="n"/>
      <c r="R510" s="16" t="n"/>
      <c r="S510" s="139" t="n"/>
      <c r="T510" s="16" t="n"/>
      <c r="U510" s="139" t="n"/>
      <c r="V510" s="16">
        <f>P510+R510+T510</f>
        <v/>
      </c>
      <c r="W510" s="16" t="n"/>
      <c r="X510" s="139" t="n"/>
      <c r="Y510" s="16" t="n"/>
      <c r="Z510" s="139" t="n"/>
      <c r="AA510" s="16" t="n"/>
      <c r="AB510" s="139" t="n"/>
      <c r="AC510" s="16" t="n"/>
      <c r="AD510" s="139" t="n"/>
      <c r="AE510" s="16">
        <f>(W510+Y510+AA510+AC510)</f>
        <v/>
      </c>
      <c r="AF510" s="16" t="n"/>
      <c r="AG510" s="138" t="n"/>
      <c r="AH510" s="16" t="n"/>
      <c r="AI510" s="138" t="n"/>
      <c r="AJ510" s="16" t="n"/>
      <c r="AK510" s="138" t="n"/>
      <c r="AL510" s="16" t="n"/>
      <c r="AM510" s="138" t="n"/>
      <c r="AN510" s="16" t="n"/>
      <c r="AO510" s="138" t="n"/>
      <c r="AP510" s="16" t="n"/>
      <c r="AQ510" s="138" t="n"/>
      <c r="AR510" s="16" t="n"/>
      <c r="AS510" s="138" t="n"/>
      <c r="AT510" s="16" t="n"/>
      <c r="AU510" s="138" t="n"/>
      <c r="AV510" s="16" t="n"/>
      <c r="AW510" s="138" t="n"/>
      <c r="AX510" s="16" t="n"/>
      <c r="AY510" s="138" t="n"/>
      <c r="AZ510" s="16">
        <f>AF510+AH510+AJ510+AL510+AN510+AP510+AR510+AT510+AV510+AX510</f>
        <v/>
      </c>
      <c r="BA510" s="16" t="n"/>
      <c r="BB510" s="139" t="n"/>
      <c r="BC510" s="16" t="n"/>
      <c r="BD510" s="139" t="n"/>
      <c r="BE510" s="16">
        <f>(BA510+BC510)</f>
        <v/>
      </c>
    </row>
    <row r="511">
      <c r="A511" s="9" t="n"/>
      <c r="B511" s="136" t="inlineStr">
        <is>
          <t>센서</t>
        </is>
      </c>
      <c r="C511" s="137" t="inlineStr">
        <is>
          <t>공용</t>
        </is>
      </c>
      <c r="D511" s="60" t="inlineStr">
        <is>
          <t>810 DRTECH 센서</t>
        </is>
      </c>
      <c r="E511" s="13" t="n"/>
      <c r="F511" s="99" t="n"/>
      <c r="G511" s="9" t="n"/>
      <c r="H511" s="9" t="inlineStr">
        <is>
          <t>디알텍</t>
        </is>
      </c>
      <c r="I511" s="14" t="n"/>
      <c r="J511" s="14" t="n"/>
      <c r="K511" s="12" t="n">
        <v>0</v>
      </c>
      <c r="L511" s="9" t="n"/>
      <c r="M511" s="9" t="n"/>
      <c r="N511" s="9" t="n"/>
      <c r="O511" s="40">
        <f>K511+V511-AE511-AZ511</f>
        <v/>
      </c>
      <c r="P511" s="12" t="n"/>
      <c r="Q511" s="138" t="n"/>
      <c r="R511" s="16" t="n"/>
      <c r="S511" s="139" t="n"/>
      <c r="T511" s="16" t="n"/>
      <c r="U511" s="139" t="n"/>
      <c r="V511" s="16">
        <f>P511+R511+T511</f>
        <v/>
      </c>
      <c r="W511" s="16" t="n"/>
      <c r="X511" s="139" t="n"/>
      <c r="Y511" s="16" t="n"/>
      <c r="Z511" s="139" t="n"/>
      <c r="AA511" s="16" t="n"/>
      <c r="AB511" s="139" t="n"/>
      <c r="AC511" s="16" t="n"/>
      <c r="AD511" s="139" t="n"/>
      <c r="AE511" s="16">
        <f>(W511+Y511+AA511+AC511)</f>
        <v/>
      </c>
      <c r="AF511" s="16" t="n"/>
      <c r="AG511" s="138" t="n"/>
      <c r="AH511" s="16" t="n"/>
      <c r="AI511" s="138" t="n"/>
      <c r="AJ511" s="16" t="n"/>
      <c r="AK511" s="138" t="n"/>
      <c r="AL511" s="16" t="n"/>
      <c r="AM511" s="138" t="n"/>
      <c r="AN511" s="16" t="n"/>
      <c r="AO511" s="138" t="n"/>
      <c r="AP511" s="16" t="n"/>
      <c r="AQ511" s="138" t="n"/>
      <c r="AR511" s="16" t="n"/>
      <c r="AS511" s="138" t="n"/>
      <c r="AT511" s="16" t="n"/>
      <c r="AU511" s="138" t="n"/>
      <c r="AV511" s="16" t="n"/>
      <c r="AW511" s="138" t="n"/>
      <c r="AX511" s="16" t="n"/>
      <c r="AY511" s="138" t="n"/>
      <c r="AZ511" s="16">
        <f>AF511+AH511+AJ511+AL511+AN511+AP511+AR511+AT511+AV511+AX511</f>
        <v/>
      </c>
      <c r="BA511" s="16" t="n"/>
      <c r="BB511" s="139" t="n"/>
      <c r="BC511" s="16" t="n"/>
      <c r="BD511" s="139" t="n"/>
      <c r="BE511" s="16">
        <f>(BA511+BC511)</f>
        <v/>
      </c>
    </row>
    <row r="512">
      <c r="A512" s="9" t="n"/>
      <c r="B512" s="136" t="inlineStr">
        <is>
          <t>센서</t>
        </is>
      </c>
      <c r="C512" s="137" t="inlineStr">
        <is>
          <t>공용</t>
        </is>
      </c>
      <c r="D512" s="60" t="inlineStr">
        <is>
          <t>HDI 1000 [Rex2 Classic/1.5]</t>
        </is>
      </c>
      <c r="E512" s="13" t="n"/>
      <c r="F512" s="99" t="n"/>
      <c r="G512" s="9" t="n"/>
      <c r="H512" s="9" t="inlineStr">
        <is>
          <t>레이언스</t>
        </is>
      </c>
      <c r="I512" s="14" t="n"/>
      <c r="J512" s="14" t="n"/>
      <c r="K512" s="12" t="n">
        <v>0</v>
      </c>
      <c r="L512" s="9" t="n"/>
      <c r="M512" s="9" t="n"/>
      <c r="N512" s="9" t="n"/>
      <c r="O512" s="40">
        <f>K512+V512-AE512-AZ512</f>
        <v/>
      </c>
      <c r="P512" s="12" t="n"/>
      <c r="Q512" s="138" t="n"/>
      <c r="R512" s="16" t="n"/>
      <c r="S512" s="139" t="n"/>
      <c r="T512" s="16" t="n"/>
      <c r="U512" s="139" t="n"/>
      <c r="V512" s="16">
        <f>P512+R512+T512</f>
        <v/>
      </c>
      <c r="W512" s="16" t="n"/>
      <c r="X512" s="139" t="n"/>
      <c r="Y512" s="16" t="n"/>
      <c r="Z512" s="139" t="n"/>
      <c r="AA512" s="16" t="n"/>
      <c r="AB512" s="139" t="n"/>
      <c r="AC512" s="16" t="n"/>
      <c r="AD512" s="139" t="n"/>
      <c r="AE512" s="16">
        <f>(W512+Y512+AA512+AC512)</f>
        <v/>
      </c>
      <c r="AF512" s="16" t="n"/>
      <c r="AG512" s="138" t="n"/>
      <c r="AH512" s="16" t="n"/>
      <c r="AI512" s="138" t="n"/>
      <c r="AJ512" s="16" t="n"/>
      <c r="AK512" s="138" t="n"/>
      <c r="AL512" s="16" t="n"/>
      <c r="AM512" s="138" t="n"/>
      <c r="AN512" s="16" t="n"/>
      <c r="AO512" s="138" t="n"/>
      <c r="AP512" s="16" t="n"/>
      <c r="AQ512" s="138" t="n"/>
      <c r="AR512" s="16" t="n"/>
      <c r="AS512" s="138" t="n"/>
      <c r="AT512" s="16" t="n"/>
      <c r="AU512" s="138" t="n"/>
      <c r="AV512" s="16" t="n"/>
      <c r="AW512" s="138" t="n"/>
      <c r="AX512" s="16" t="n"/>
      <c r="AY512" s="138" t="n"/>
      <c r="AZ512" s="16">
        <f>AF512+AH512+AJ512+AL512+AN512+AP512+AR512+AT512+AV512+AX512</f>
        <v/>
      </c>
      <c r="BA512" s="16" t="n"/>
      <c r="BB512" s="139" t="n"/>
      <c r="BC512" s="16" t="n"/>
      <c r="BD512" s="139" t="n"/>
      <c r="BE512" s="16">
        <f>(BA512+BC512)</f>
        <v/>
      </c>
    </row>
    <row r="513">
      <c r="A513" s="9" t="n"/>
      <c r="B513" s="136" t="inlineStr">
        <is>
          <t>센서</t>
        </is>
      </c>
      <c r="C513" s="137" t="inlineStr">
        <is>
          <t>공용</t>
        </is>
      </c>
      <c r="D513" s="60" t="inlineStr">
        <is>
          <t>HDI 2000 [Rex2 Premium/1.5]</t>
        </is>
      </c>
      <c r="E513" s="13" t="n"/>
      <c r="F513" s="99" t="n"/>
      <c r="G513" s="9" t="n"/>
      <c r="H513" s="9" t="inlineStr">
        <is>
          <t>레이언스</t>
        </is>
      </c>
      <c r="I513" s="14" t="n"/>
      <c r="J513" s="14" t="n"/>
      <c r="K513" s="12" t="n">
        <v>0</v>
      </c>
      <c r="L513" s="9" t="n"/>
      <c r="M513" s="9" t="n"/>
      <c r="N513" s="9" t="n"/>
      <c r="O513" s="40">
        <f>K513+V513-AE513-AZ513</f>
        <v/>
      </c>
      <c r="P513" s="12" t="n"/>
      <c r="Q513" s="138" t="n"/>
      <c r="R513" s="16" t="n"/>
      <c r="S513" s="139" t="n"/>
      <c r="T513" s="16" t="n"/>
      <c r="U513" s="139" t="n"/>
      <c r="V513" s="16">
        <f>P513+R513+T513</f>
        <v/>
      </c>
      <c r="W513" s="16" t="n"/>
      <c r="X513" s="139" t="n"/>
      <c r="Y513" s="16" t="n"/>
      <c r="Z513" s="139" t="n"/>
      <c r="AA513" s="16" t="n"/>
      <c r="AB513" s="139" t="n"/>
      <c r="AC513" s="16" t="n"/>
      <c r="AD513" s="139" t="n"/>
      <c r="AE513" s="16">
        <f>(W513+Y513+AA513+AC513)</f>
        <v/>
      </c>
      <c r="AF513" s="16" t="n"/>
      <c r="AG513" s="138" t="n"/>
      <c r="AH513" s="16" t="n"/>
      <c r="AI513" s="138" t="n"/>
      <c r="AJ513" s="16" t="n"/>
      <c r="AK513" s="138" t="n"/>
      <c r="AL513" s="16" t="n"/>
      <c r="AM513" s="138" t="n"/>
      <c r="AN513" s="16" t="n"/>
      <c r="AO513" s="138" t="n"/>
      <c r="AP513" s="16" t="n"/>
      <c r="AQ513" s="138" t="n"/>
      <c r="AR513" s="16" t="n"/>
      <c r="AS513" s="138" t="n"/>
      <c r="AT513" s="16" t="n"/>
      <c r="AU513" s="138" t="n"/>
      <c r="AV513" s="16" t="n"/>
      <c r="AW513" s="138" t="n"/>
      <c r="AX513" s="16" t="n"/>
      <c r="AY513" s="138" t="n"/>
      <c r="AZ513" s="16">
        <f>AF513+AH513+AJ513+AL513+AN513+AP513+AR513+AT513+AV513+AX513</f>
        <v/>
      </c>
      <c r="BA513" s="16" t="n"/>
      <c r="BB513" s="139" t="n"/>
      <c r="BC513" s="16" t="n"/>
      <c r="BD513" s="139" t="n"/>
      <c r="BE513" s="16">
        <f>(BA513+BC513)</f>
        <v/>
      </c>
    </row>
    <row r="514">
      <c r="A514" s="9" t="n"/>
      <c r="B514" s="136" t="inlineStr">
        <is>
          <t>센서</t>
        </is>
      </c>
      <c r="C514" s="137" t="inlineStr">
        <is>
          <t>공용</t>
        </is>
      </c>
      <c r="D514" s="60" t="inlineStr">
        <is>
          <t>HDI 2000 [Rex2 Premium/2.0]</t>
        </is>
      </c>
      <c r="E514" s="13" t="n"/>
      <c r="F514" s="99" t="n"/>
      <c r="G514" s="9" t="n"/>
      <c r="H514" s="9" t="inlineStr">
        <is>
          <t>레이언스</t>
        </is>
      </c>
      <c r="I514" s="14" t="n"/>
      <c r="J514" s="14" t="n"/>
      <c r="K514" s="12" t="n">
        <v>0</v>
      </c>
      <c r="L514" s="9" t="n"/>
      <c r="M514" s="9" t="n"/>
      <c r="N514" s="9" t="n"/>
      <c r="O514" s="40">
        <f>K514+V514-AE514-AZ514</f>
        <v/>
      </c>
      <c r="P514" s="12" t="n"/>
      <c r="Q514" s="138" t="n"/>
      <c r="R514" s="16" t="n"/>
      <c r="S514" s="139" t="n"/>
      <c r="T514" s="16" t="n"/>
      <c r="U514" s="139" t="n"/>
      <c r="V514" s="16">
        <f>P514+R514+T514</f>
        <v/>
      </c>
      <c r="W514" s="16" t="n"/>
      <c r="X514" s="139" t="n"/>
      <c r="Y514" s="16" t="n"/>
      <c r="Z514" s="139" t="n"/>
      <c r="AA514" s="16" t="n"/>
      <c r="AB514" s="139" t="n"/>
      <c r="AC514" s="16" t="n"/>
      <c r="AD514" s="139" t="n"/>
      <c r="AE514" s="16">
        <f>(W514+Y514+AA514+AC514)</f>
        <v/>
      </c>
      <c r="AF514" s="16" t="n"/>
      <c r="AG514" s="138" t="n"/>
      <c r="AH514" s="16" t="n"/>
      <c r="AI514" s="138" t="n"/>
      <c r="AJ514" s="16" t="n"/>
      <c r="AK514" s="138" t="n"/>
      <c r="AL514" s="16" t="n"/>
      <c r="AM514" s="138" t="n"/>
      <c r="AN514" s="16" t="n"/>
      <c r="AO514" s="138" t="n"/>
      <c r="AP514" s="16" t="n"/>
      <c r="AQ514" s="138" t="n"/>
      <c r="AR514" s="16" t="n"/>
      <c r="AS514" s="138" t="n"/>
      <c r="AT514" s="16" t="n"/>
      <c r="AU514" s="138" t="n"/>
      <c r="AV514" s="16" t="n"/>
      <c r="AW514" s="138" t="n"/>
      <c r="AX514" s="16" t="n"/>
      <c r="AY514" s="138" t="n"/>
      <c r="AZ514" s="16">
        <f>AF514+AH514+AJ514+AL514+AN514+AP514+AR514+AT514+AV514+AX514</f>
        <v/>
      </c>
      <c r="BA514" s="16" t="n"/>
      <c r="BB514" s="139" t="n"/>
      <c r="BC514" s="16" t="n"/>
      <c r="BD514" s="139" t="n"/>
      <c r="BE514" s="16">
        <f>(BA514+BC514)</f>
        <v/>
      </c>
    </row>
    <row r="515">
      <c r="A515" s="9" t="n"/>
      <c r="B515" s="136" t="inlineStr">
        <is>
          <t>센서</t>
        </is>
      </c>
      <c r="C515" s="137" t="inlineStr">
        <is>
          <t>공용</t>
        </is>
      </c>
      <c r="D515" s="60" t="inlineStr">
        <is>
          <t>HDI-S [Rex2 Premium/1.0]</t>
        </is>
      </c>
      <c r="E515" s="13" t="n"/>
      <c r="F515" s="99" t="n"/>
      <c r="G515" s="9" t="n"/>
      <c r="H515" s="9" t="inlineStr">
        <is>
          <t>레이언스</t>
        </is>
      </c>
      <c r="I515" s="14" t="n"/>
      <c r="J515" s="14" t="n"/>
      <c r="K515" s="12" t="n">
        <v>0</v>
      </c>
      <c r="L515" s="9" t="n"/>
      <c r="M515" s="9" t="n"/>
      <c r="N515" s="9" t="n"/>
      <c r="O515" s="40">
        <f>K515+V515-AE515-AZ515</f>
        <v/>
      </c>
      <c r="P515" s="12" t="n"/>
      <c r="Q515" s="138" t="n"/>
      <c r="R515" s="16" t="n"/>
      <c r="S515" s="139" t="n"/>
      <c r="T515" s="16" t="n"/>
      <c r="U515" s="139" t="n"/>
      <c r="V515" s="16">
        <f>P515+R515+T515</f>
        <v/>
      </c>
      <c r="W515" s="16" t="n"/>
      <c r="X515" s="139" t="n"/>
      <c r="Y515" s="16" t="n"/>
      <c r="Z515" s="139" t="n"/>
      <c r="AA515" s="16" t="n"/>
      <c r="AB515" s="139" t="n"/>
      <c r="AC515" s="16" t="n"/>
      <c r="AD515" s="139" t="n"/>
      <c r="AE515" s="16">
        <f>(W515+Y515+AA515+AC515)</f>
        <v/>
      </c>
      <c r="AF515" s="16" t="n"/>
      <c r="AG515" s="138" t="n"/>
      <c r="AH515" s="16" t="n"/>
      <c r="AI515" s="138" t="n"/>
      <c r="AJ515" s="16" t="n"/>
      <c r="AK515" s="138" t="n"/>
      <c r="AL515" s="16" t="n"/>
      <c r="AM515" s="138" t="n"/>
      <c r="AN515" s="16" t="n"/>
      <c r="AO515" s="138" t="n"/>
      <c r="AP515" s="16" t="n"/>
      <c r="AQ515" s="138" t="n"/>
      <c r="AR515" s="16" t="n"/>
      <c r="AS515" s="138" t="n"/>
      <c r="AT515" s="16" t="n"/>
      <c r="AU515" s="138" t="n"/>
      <c r="AV515" s="16" t="n"/>
      <c r="AW515" s="138" t="n"/>
      <c r="AX515" s="16" t="n"/>
      <c r="AY515" s="138" t="n"/>
      <c r="AZ515" s="16">
        <f>AF515+AH515+AJ515+AL515+AN515+AP515+AR515+AT515+AV515+AX515</f>
        <v/>
      </c>
      <c r="BA515" s="16" t="n"/>
      <c r="BB515" s="139" t="n"/>
      <c r="BC515" s="16" t="n"/>
      <c r="BD515" s="139" t="n"/>
      <c r="BE515" s="16">
        <f>(BA515+BC515)</f>
        <v/>
      </c>
    </row>
    <row r="516">
      <c r="A516" s="9" t="n"/>
      <c r="B516" s="136" t="inlineStr">
        <is>
          <t>센서</t>
        </is>
      </c>
      <c r="C516" s="137" t="inlineStr">
        <is>
          <t>공용</t>
        </is>
      </c>
      <c r="D516" s="60" t="inlineStr">
        <is>
          <t>HDI-S [Rex2 Premium/1.5]</t>
        </is>
      </c>
      <c r="E516" s="13" t="n"/>
      <c r="F516" s="99" t="n"/>
      <c r="G516" s="9" t="n"/>
      <c r="H516" s="9" t="inlineStr">
        <is>
          <t>레이언스</t>
        </is>
      </c>
      <c r="I516" s="14" t="n"/>
      <c r="J516" s="14" t="n"/>
      <c r="K516" s="12" t="n">
        <v>0</v>
      </c>
      <c r="L516" s="9" t="n"/>
      <c r="M516" s="9" t="n"/>
      <c r="N516" s="9" t="n"/>
      <c r="O516" s="40">
        <f>K516+V516-AE516-AZ516</f>
        <v/>
      </c>
      <c r="P516" s="12" t="n"/>
      <c r="Q516" s="138" t="n"/>
      <c r="R516" s="16" t="n"/>
      <c r="S516" s="139" t="n"/>
      <c r="T516" s="16" t="n"/>
      <c r="U516" s="139" t="n"/>
      <c r="V516" s="16">
        <f>P516+R516+T516</f>
        <v/>
      </c>
      <c r="W516" s="16" t="n"/>
      <c r="X516" s="139" t="n"/>
      <c r="Y516" s="16" t="n"/>
      <c r="Z516" s="139" t="n"/>
      <c r="AA516" s="16" t="n"/>
      <c r="AB516" s="139" t="n"/>
      <c r="AC516" s="16" t="n"/>
      <c r="AD516" s="139" t="n"/>
      <c r="AE516" s="16">
        <f>(W516+Y516+AA516+AC516)</f>
        <v/>
      </c>
      <c r="AF516" s="16" t="n"/>
      <c r="AG516" s="138" t="n"/>
      <c r="AH516" s="16" t="n"/>
      <c r="AI516" s="138" t="n"/>
      <c r="AJ516" s="16" t="n"/>
      <c r="AK516" s="138" t="n"/>
      <c r="AL516" s="16" t="n"/>
      <c r="AM516" s="138" t="n"/>
      <c r="AN516" s="16" t="n"/>
      <c r="AO516" s="138" t="n"/>
      <c r="AP516" s="16" t="n"/>
      <c r="AQ516" s="138" t="n"/>
      <c r="AR516" s="16" t="n"/>
      <c r="AS516" s="138" t="n"/>
      <c r="AT516" s="16" t="n"/>
      <c r="AU516" s="138" t="n"/>
      <c r="AV516" s="16" t="n"/>
      <c r="AW516" s="138" t="n"/>
      <c r="AX516" s="16" t="n"/>
      <c r="AY516" s="138" t="n"/>
      <c r="AZ516" s="16">
        <f>AF516+AH516+AJ516+AL516+AN516+AP516+AR516+AT516+AV516+AX516</f>
        <v/>
      </c>
      <c r="BA516" s="16" t="n"/>
      <c r="BB516" s="139" t="n"/>
      <c r="BC516" s="16" t="n"/>
      <c r="BD516" s="139" t="n"/>
      <c r="BE516" s="16">
        <f>(BA516+BC516)</f>
        <v/>
      </c>
    </row>
    <row r="517">
      <c r="A517" s="9" t="n"/>
      <c r="B517" s="136" t="inlineStr">
        <is>
          <t>센서</t>
        </is>
      </c>
      <c r="C517" s="137" t="inlineStr">
        <is>
          <t>공용</t>
        </is>
      </c>
      <c r="D517" s="60" t="inlineStr">
        <is>
          <t>HDI-S [Rex2 Premium/2.0]</t>
        </is>
      </c>
      <c r="E517" s="13" t="n"/>
      <c r="F517" s="99" t="n"/>
      <c r="G517" s="9" t="n"/>
      <c r="H517" s="9" t="inlineStr">
        <is>
          <t>레이언스</t>
        </is>
      </c>
      <c r="I517" s="14" t="n"/>
      <c r="J517" s="14" t="n"/>
      <c r="K517" s="12" t="n">
        <v>0</v>
      </c>
      <c r="L517" s="9" t="n"/>
      <c r="M517" s="9" t="n"/>
      <c r="N517" s="9" t="n"/>
      <c r="O517" s="40">
        <f>K517+V517-AE517-AZ517</f>
        <v/>
      </c>
      <c r="P517" s="12" t="n"/>
      <c r="Q517" s="138" t="n"/>
      <c r="R517" s="16" t="n"/>
      <c r="S517" s="139" t="n"/>
      <c r="T517" s="16" t="n"/>
      <c r="U517" s="139" t="n"/>
      <c r="V517" s="16">
        <f>P517+R517+T517</f>
        <v/>
      </c>
      <c r="W517" s="16" t="n"/>
      <c r="X517" s="139" t="n"/>
      <c r="Y517" s="16" t="n"/>
      <c r="Z517" s="139" t="n"/>
      <c r="AA517" s="16" t="n"/>
      <c r="AB517" s="139" t="n"/>
      <c r="AC517" s="16" t="n"/>
      <c r="AD517" s="139" t="n"/>
      <c r="AE517" s="16">
        <f>(W517+Y517+AA517+AC517)</f>
        <v/>
      </c>
      <c r="AF517" s="16" t="n"/>
      <c r="AG517" s="138" t="n"/>
      <c r="AH517" s="16" t="n"/>
      <c r="AI517" s="138" t="n"/>
      <c r="AJ517" s="16" t="n"/>
      <c r="AK517" s="138" t="n"/>
      <c r="AL517" s="16" t="n"/>
      <c r="AM517" s="138" t="n"/>
      <c r="AN517" s="16" t="n"/>
      <c r="AO517" s="138" t="n"/>
      <c r="AP517" s="16" t="n"/>
      <c r="AQ517" s="138" t="n"/>
      <c r="AR517" s="16" t="n"/>
      <c r="AS517" s="138" t="n"/>
      <c r="AT517" s="16" t="n"/>
      <c r="AU517" s="138" t="n"/>
      <c r="AV517" s="16" t="n"/>
      <c r="AW517" s="138" t="n"/>
      <c r="AX517" s="16" t="n"/>
      <c r="AY517" s="138" t="n"/>
      <c r="AZ517" s="16">
        <f>AF517+AH517+AJ517+AL517+AN517+AP517+AR517+AT517+AV517+AX517</f>
        <v/>
      </c>
      <c r="BA517" s="16" t="n"/>
      <c r="BB517" s="139" t="n"/>
      <c r="BC517" s="16" t="n"/>
      <c r="BD517" s="139" t="n"/>
      <c r="BE517" s="16">
        <f>(BA517+BC517)</f>
        <v/>
      </c>
    </row>
    <row r="518">
      <c r="A518" s="9" t="n"/>
      <c r="B518" s="136" t="inlineStr">
        <is>
          <t>센서</t>
        </is>
      </c>
      <c r="C518" s="137" t="inlineStr">
        <is>
          <t>공용</t>
        </is>
      </c>
      <c r="D518" s="60" t="inlineStr">
        <is>
          <t>CMOS 센서 (#1)</t>
        </is>
      </c>
      <c r="E518" s="13" t="inlineStr">
        <is>
          <t>EV71JU215A-C-00B1</t>
        </is>
      </c>
      <c r="F518" s="99" t="n"/>
      <c r="G518" s="9" t="n"/>
      <c r="H518" s="9" t="inlineStr">
        <is>
          <t>E2V</t>
        </is>
      </c>
      <c r="I518" s="14" t="n"/>
      <c r="J518" s="14" t="n"/>
      <c r="K518" s="12" t="n">
        <v>0</v>
      </c>
      <c r="L518" s="9" t="n"/>
      <c r="M518" s="9" t="n"/>
      <c r="N518" s="9" t="n"/>
      <c r="O518" s="40">
        <f>K518+V518-AE518-AZ518</f>
        <v/>
      </c>
      <c r="P518" s="12" t="n"/>
      <c r="Q518" s="138" t="n"/>
      <c r="R518" s="16" t="n"/>
      <c r="S518" s="139" t="n"/>
      <c r="T518" s="16" t="n"/>
      <c r="U518" s="139" t="n"/>
      <c r="V518" s="16">
        <f>P518+R518+T518</f>
        <v/>
      </c>
      <c r="W518" s="16" t="n"/>
      <c r="X518" s="139" t="n"/>
      <c r="Y518" s="16" t="n"/>
      <c r="Z518" s="139" t="n"/>
      <c r="AA518" s="16" t="n"/>
      <c r="AB518" s="139" t="n"/>
      <c r="AC518" s="16" t="n"/>
      <c r="AD518" s="139" t="n"/>
      <c r="AE518" s="16">
        <f>(W518+Y518+AA518+AC518)</f>
        <v/>
      </c>
      <c r="AF518" s="16" t="n"/>
      <c r="AG518" s="138" t="n"/>
      <c r="AH518" s="16" t="n"/>
      <c r="AI518" s="138" t="n"/>
      <c r="AJ518" s="16" t="n"/>
      <c r="AK518" s="138" t="n"/>
      <c r="AL518" s="16" t="n"/>
      <c r="AM518" s="138" t="n"/>
      <c r="AN518" s="16" t="n"/>
      <c r="AO518" s="138" t="n"/>
      <c r="AP518" s="16" t="n"/>
      <c r="AQ518" s="138" t="n"/>
      <c r="AR518" s="16" t="n"/>
      <c r="AS518" s="138" t="n"/>
      <c r="AT518" s="16" t="n"/>
      <c r="AU518" s="138" t="n"/>
      <c r="AV518" s="16" t="n"/>
      <c r="AW518" s="138" t="n"/>
      <c r="AX518" s="16" t="n"/>
      <c r="AY518" s="138" t="n"/>
      <c r="AZ518" s="16">
        <f>AF518+AH518+AJ518+AL518+AN518+AP518+AR518+AT518+AV518+AX518</f>
        <v/>
      </c>
      <c r="BA518" s="16" t="n"/>
      <c r="BB518" s="139" t="n"/>
      <c r="BC518" s="16" t="n"/>
      <c r="BD518" s="139" t="n"/>
      <c r="BE518" s="16">
        <f>(BA518+BC518)</f>
        <v/>
      </c>
    </row>
    <row r="519">
      <c r="A519" s="9" t="n"/>
      <c r="B519" s="136" t="inlineStr">
        <is>
          <t>센서</t>
        </is>
      </c>
      <c r="C519" s="137" t="inlineStr">
        <is>
          <t>공용</t>
        </is>
      </c>
      <c r="D519" s="60" t="inlineStr">
        <is>
          <t>CMOS 센서 (#2)</t>
        </is>
      </c>
      <c r="E519" s="13" t="inlineStr">
        <is>
          <t>EV71JU213A-C-00B1</t>
        </is>
      </c>
      <c r="F519" s="99" t="n"/>
      <c r="G519" s="9" t="n"/>
      <c r="H519" s="9" t="inlineStr">
        <is>
          <t>E2V</t>
        </is>
      </c>
      <c r="I519" s="14" t="n"/>
      <c r="J519" s="14" t="n"/>
      <c r="K519" s="12" t="n">
        <v>0</v>
      </c>
      <c r="L519" s="9" t="n"/>
      <c r="M519" s="9" t="n"/>
      <c r="N519" s="9" t="n"/>
      <c r="O519" s="40">
        <f>K519+V519-AE519-AZ519</f>
        <v/>
      </c>
      <c r="P519" s="12" t="n"/>
      <c r="Q519" s="138" t="n"/>
      <c r="R519" s="16" t="n"/>
      <c r="S519" s="139" t="n"/>
      <c r="T519" s="16" t="n"/>
      <c r="U519" s="139" t="n"/>
      <c r="V519" s="16">
        <f>P519+R519+T519</f>
        <v/>
      </c>
      <c r="W519" s="16" t="n"/>
      <c r="X519" s="139" t="n"/>
      <c r="Y519" s="16" t="n"/>
      <c r="Z519" s="139" t="n"/>
      <c r="AA519" s="16" t="n"/>
      <c r="AB519" s="139" t="n"/>
      <c r="AC519" s="16" t="n"/>
      <c r="AD519" s="139" t="n"/>
      <c r="AE519" s="16">
        <f>(W519+Y519+AA519+AC519)</f>
        <v/>
      </c>
      <c r="AF519" s="16" t="n"/>
      <c r="AG519" s="138" t="n"/>
      <c r="AH519" s="16" t="n"/>
      <c r="AI519" s="138" t="n"/>
      <c r="AJ519" s="16" t="n"/>
      <c r="AK519" s="138" t="n"/>
      <c r="AL519" s="16" t="n"/>
      <c r="AM519" s="138" t="n"/>
      <c r="AN519" s="16" t="n"/>
      <c r="AO519" s="138" t="n"/>
      <c r="AP519" s="16" t="n"/>
      <c r="AQ519" s="138" t="n"/>
      <c r="AR519" s="16" t="n"/>
      <c r="AS519" s="138" t="n"/>
      <c r="AT519" s="16" t="n"/>
      <c r="AU519" s="138" t="n"/>
      <c r="AV519" s="16" t="n"/>
      <c r="AW519" s="138" t="n"/>
      <c r="AX519" s="16" t="n"/>
      <c r="AY519" s="138" t="n"/>
      <c r="AZ519" s="16">
        <f>AF519+AH519+AJ519+AL519+AN519+AP519+AR519+AT519+AV519+AX519</f>
        <v/>
      </c>
      <c r="BA519" s="16" t="n"/>
      <c r="BB519" s="139" t="n"/>
      <c r="BC519" s="16" t="n"/>
      <c r="BD519" s="139" t="n"/>
      <c r="BE519" s="16">
        <f>(BA519+BC519)</f>
        <v/>
      </c>
    </row>
    <row r="520">
      <c r="A520" s="9" t="n"/>
      <c r="B520" s="136" t="inlineStr">
        <is>
          <t>RUBBER</t>
        </is>
      </c>
      <c r="C520" s="137" t="inlineStr">
        <is>
          <t>공용</t>
        </is>
      </c>
      <c r="D520" s="60" t="inlineStr">
        <is>
          <t>SCREW CAP</t>
        </is>
      </c>
      <c r="E520" s="13" t="inlineStr">
        <is>
          <t>RUBBER</t>
        </is>
      </c>
      <c r="F520" s="99" t="n"/>
      <c r="G520" s="9" t="n"/>
      <c r="H520" s="9" t="inlineStr">
        <is>
          <t>남경화학</t>
        </is>
      </c>
      <c r="I520" s="14" t="n"/>
      <c r="J520" s="14" t="n"/>
      <c r="K520" s="12" t="n">
        <v>0</v>
      </c>
      <c r="L520" s="9" t="n"/>
      <c r="M520" s="9" t="n"/>
      <c r="N520" s="9" t="n"/>
      <c r="O520" s="40">
        <f>K520+V520-AE520-AZ520</f>
        <v/>
      </c>
      <c r="P520" s="12" t="n"/>
      <c r="Q520" s="138" t="n"/>
      <c r="R520" s="16" t="n"/>
      <c r="S520" s="139" t="n"/>
      <c r="T520" s="16" t="n"/>
      <c r="U520" s="139" t="n"/>
      <c r="V520" s="16">
        <f>P520+R520+T520</f>
        <v/>
      </c>
      <c r="W520" s="16" t="n"/>
      <c r="X520" s="139" t="n"/>
      <c r="Y520" s="16" t="n"/>
      <c r="Z520" s="139" t="n"/>
      <c r="AA520" s="16" t="n"/>
      <c r="AB520" s="139" t="n"/>
      <c r="AC520" s="16" t="n"/>
      <c r="AD520" s="139" t="n"/>
      <c r="AE520" s="16">
        <f>(W520+Y520+AA520+AC520)</f>
        <v/>
      </c>
      <c r="AF520" s="16" t="n"/>
      <c r="AG520" s="138" t="n"/>
      <c r="AH520" s="16" t="n"/>
      <c r="AI520" s="138" t="n"/>
      <c r="AJ520" s="16" t="n"/>
      <c r="AK520" s="138" t="n"/>
      <c r="AL520" s="16" t="n"/>
      <c r="AM520" s="138" t="n"/>
      <c r="AN520" s="16" t="n"/>
      <c r="AO520" s="138" t="n"/>
      <c r="AP520" s="16" t="n"/>
      <c r="AQ520" s="138" t="n"/>
      <c r="AR520" s="16" t="n"/>
      <c r="AS520" s="138" t="n"/>
      <c r="AT520" s="16" t="n"/>
      <c r="AU520" s="138" t="n"/>
      <c r="AV520" s="16" t="n"/>
      <c r="AW520" s="138" t="n"/>
      <c r="AX520" s="16" t="n"/>
      <c r="AY520" s="138" t="n"/>
      <c r="AZ520" s="16">
        <f>AF520+AH520+AJ520+AL520+AN520+AP520+AR520+AT520+AV520+AX520</f>
        <v/>
      </c>
      <c r="BA520" s="16" t="n"/>
      <c r="BB520" s="139" t="n"/>
      <c r="BC520" s="16" t="n"/>
      <c r="BD520" s="139" t="n"/>
      <c r="BE520" s="16">
        <f>(BA520+BC520)</f>
        <v/>
      </c>
    </row>
    <row r="521">
      <c r="A521" s="9" t="n"/>
      <c r="B521" s="136" t="inlineStr">
        <is>
          <t>RUBBER</t>
        </is>
      </c>
      <c r="C521" s="137" t="inlineStr">
        <is>
          <t>ADX6000</t>
        </is>
      </c>
      <c r="D521" s="60" t="inlineStr">
        <is>
          <t>Cradle RUBBER</t>
        </is>
      </c>
      <c r="E521" s="13" t="inlineStr">
        <is>
          <t>FOOT RUBBER</t>
        </is>
      </c>
      <c r="F521" s="99" t="n"/>
      <c r="G521" s="9" t="n"/>
      <c r="H521" s="9" t="inlineStr">
        <is>
          <t>남경화학</t>
        </is>
      </c>
      <c r="I521" s="14" t="n"/>
      <c r="J521" s="14" t="n"/>
      <c r="K521" s="12" t="n">
        <v>0</v>
      </c>
      <c r="L521" s="9" t="n"/>
      <c r="M521" s="9" t="n"/>
      <c r="N521" s="9" t="n"/>
      <c r="O521" s="40">
        <f>K521+V521-AE521-AZ521</f>
        <v/>
      </c>
      <c r="P521" s="12" t="n"/>
      <c r="Q521" s="138" t="n"/>
      <c r="R521" s="16" t="n"/>
      <c r="S521" s="139" t="n"/>
      <c r="T521" s="16" t="n"/>
      <c r="U521" s="139" t="n"/>
      <c r="V521" s="16">
        <f>P521+R521+T521</f>
        <v/>
      </c>
      <c r="W521" s="16" t="n"/>
      <c r="X521" s="139" t="n"/>
      <c r="Y521" s="16" t="n"/>
      <c r="Z521" s="139" t="n"/>
      <c r="AA521" s="16" t="n"/>
      <c r="AB521" s="139" t="n"/>
      <c r="AC521" s="16" t="n"/>
      <c r="AD521" s="139" t="n"/>
      <c r="AE521" s="16">
        <f>(W521+Y521+AA521+AC521)</f>
        <v/>
      </c>
      <c r="AF521" s="16" t="n"/>
      <c r="AG521" s="138" t="n"/>
      <c r="AH521" s="16" t="n"/>
      <c r="AI521" s="138" t="n"/>
      <c r="AJ521" s="16" t="n"/>
      <c r="AK521" s="138" t="n"/>
      <c r="AL521" s="16" t="n"/>
      <c r="AM521" s="138" t="n"/>
      <c r="AN521" s="16" t="n"/>
      <c r="AO521" s="138" t="n"/>
      <c r="AP521" s="16" t="n"/>
      <c r="AQ521" s="138" t="n"/>
      <c r="AR521" s="16" t="n"/>
      <c r="AS521" s="138" t="n"/>
      <c r="AT521" s="16" t="n"/>
      <c r="AU521" s="138" t="n"/>
      <c r="AV521" s="16" t="n"/>
      <c r="AW521" s="138" t="n"/>
      <c r="AX521" s="16" t="n"/>
      <c r="AY521" s="138" t="n"/>
      <c r="AZ521" s="16">
        <f>AF521+AH521+AJ521+AL521+AN521+AP521+AR521+AT521+AV521+AX521</f>
        <v/>
      </c>
      <c r="BA521" s="16" t="n"/>
      <c r="BB521" s="139" t="n"/>
      <c r="BC521" s="16" t="n"/>
      <c r="BD521" s="139" t="n"/>
      <c r="BE521" s="16">
        <f>(BA521+BC521)</f>
        <v/>
      </c>
    </row>
    <row r="522">
      <c r="A522" s="9" t="n"/>
      <c r="B522" s="136" t="inlineStr">
        <is>
          <t>볼트캡</t>
        </is>
      </c>
      <c r="C522" s="137" t="inlineStr">
        <is>
          <t>공용</t>
        </is>
      </c>
      <c r="D522" s="60" t="inlineStr">
        <is>
          <t>볼트마개</t>
        </is>
      </c>
      <c r="E522" s="13" t="n"/>
      <c r="F522" s="99" t="n"/>
      <c r="G522" s="9" t="n"/>
      <c r="H522" s="9" t="inlineStr">
        <is>
          <t>직구</t>
        </is>
      </c>
      <c r="I522" s="14" t="n"/>
      <c r="J522" s="14" t="n"/>
      <c r="K522" s="12" t="n">
        <v>0</v>
      </c>
      <c r="L522" s="9" t="n"/>
      <c r="M522" s="9" t="n"/>
      <c r="N522" s="9" t="n"/>
      <c r="O522" s="40">
        <f>K522+V522-AE522-AZ522</f>
        <v/>
      </c>
      <c r="P522" s="12" t="n"/>
      <c r="Q522" s="138" t="n"/>
      <c r="R522" s="16" t="n"/>
      <c r="S522" s="139" t="n"/>
      <c r="T522" s="16" t="n"/>
      <c r="U522" s="139" t="n"/>
      <c r="V522" s="16">
        <f>P522+R522+T522</f>
        <v/>
      </c>
      <c r="W522" s="16" t="n"/>
      <c r="X522" s="139" t="n"/>
      <c r="Y522" s="16" t="n"/>
      <c r="Z522" s="139" t="n"/>
      <c r="AA522" s="16" t="n"/>
      <c r="AB522" s="139" t="n"/>
      <c r="AC522" s="16" t="n"/>
      <c r="AD522" s="139" t="n"/>
      <c r="AE522" s="16">
        <f>(W522+Y522+AA522+AC522)</f>
        <v/>
      </c>
      <c r="AF522" s="16" t="n"/>
      <c r="AG522" s="138" t="n"/>
      <c r="AH522" s="16" t="n"/>
      <c r="AI522" s="138" t="n"/>
      <c r="AJ522" s="16" t="n"/>
      <c r="AK522" s="138" t="n"/>
      <c r="AL522" s="16" t="n"/>
      <c r="AM522" s="138" t="n"/>
      <c r="AN522" s="16" t="n"/>
      <c r="AO522" s="138" t="n"/>
      <c r="AP522" s="16" t="n"/>
      <c r="AQ522" s="138" t="n"/>
      <c r="AR522" s="16" t="n"/>
      <c r="AS522" s="138" t="n"/>
      <c r="AT522" s="16" t="n"/>
      <c r="AU522" s="138" t="n"/>
      <c r="AV522" s="16" t="n"/>
      <c r="AW522" s="138" t="n"/>
      <c r="AX522" s="16" t="n"/>
      <c r="AY522" s="138" t="n"/>
      <c r="AZ522" s="16">
        <f>AF522+AH522+AJ522+AL522+AN522+AP522+AR522+AT522+AV522+AX522</f>
        <v/>
      </c>
      <c r="BA522" s="16" t="n"/>
      <c r="BB522" s="139" t="n"/>
      <c r="BC522" s="16" t="n"/>
      <c r="BD522" s="139" t="n"/>
      <c r="BE522" s="16">
        <f>(BA522+BC522)</f>
        <v/>
      </c>
    </row>
    <row r="523">
      <c r="A523" s="9" t="n"/>
      <c r="B523" s="136" t="inlineStr">
        <is>
          <t>합지</t>
        </is>
      </c>
      <c r="C523" s="137" t="n"/>
      <c r="D523" s="60" t="inlineStr">
        <is>
          <t>CD 케이스</t>
        </is>
      </c>
      <c r="E523" s="13" t="inlineStr">
        <is>
          <t>COCOON</t>
        </is>
      </c>
      <c r="F523" s="99" t="n"/>
      <c r="G523" s="9" t="n"/>
      <c r="H523" s="9" t="inlineStr">
        <is>
          <t>제이디자인</t>
        </is>
      </c>
      <c r="I523" s="14" t="n"/>
      <c r="J523" s="14" t="n"/>
      <c r="K523" s="12" t="n">
        <v>240</v>
      </c>
      <c r="L523" s="9" t="n"/>
      <c r="M523" s="9" t="n"/>
      <c r="N523" s="9" t="n"/>
      <c r="O523" s="40">
        <f>K523+V523-AE523-AZ523</f>
        <v/>
      </c>
      <c r="P523" s="12" t="n"/>
      <c r="Q523" s="138" t="n"/>
      <c r="R523" s="16" t="n"/>
      <c r="S523" s="139" t="n"/>
      <c r="T523" s="16" t="n"/>
      <c r="U523" s="139" t="n"/>
      <c r="V523" s="16">
        <f>P523+R523+T523</f>
        <v/>
      </c>
      <c r="W523" s="16" t="n"/>
      <c r="X523" s="139" t="n"/>
      <c r="Y523" s="16" t="n"/>
      <c r="Z523" s="139" t="n"/>
      <c r="AA523" s="16" t="n"/>
      <c r="AB523" s="139" t="n"/>
      <c r="AC523" s="16" t="n"/>
      <c r="AD523" s="139" t="n"/>
      <c r="AE523" s="16">
        <f>(W523+Y523+AA523+AC523)</f>
        <v/>
      </c>
      <c r="AF523" s="16" t="n"/>
      <c r="AG523" s="138" t="n"/>
      <c r="AH523" s="16" t="n"/>
      <c r="AI523" s="138" t="n"/>
      <c r="AJ523" s="16" t="n"/>
      <c r="AK523" s="138" t="n"/>
      <c r="AL523" s="16" t="n"/>
      <c r="AM523" s="138" t="n"/>
      <c r="AN523" s="16" t="n"/>
      <c r="AO523" s="138" t="n"/>
      <c r="AP523" s="16" t="n"/>
      <c r="AQ523" s="138" t="n"/>
      <c r="AR523" s="16" t="n"/>
      <c r="AS523" s="138" t="n"/>
      <c r="AT523" s="16" t="n"/>
      <c r="AU523" s="138" t="n"/>
      <c r="AV523" s="16" t="n"/>
      <c r="AW523" s="138" t="n"/>
      <c r="AX523" s="16" t="n"/>
      <c r="AY523" s="138" t="n"/>
      <c r="AZ523" s="16">
        <f>AF523+AH523+AJ523+AL523+AN523+AP523+AR523+AT523+AV523+AX523</f>
        <v/>
      </c>
      <c r="BA523" s="16" t="n"/>
      <c r="BB523" s="139" t="n"/>
      <c r="BC523" s="16" t="n"/>
      <c r="BD523" s="139" t="n"/>
      <c r="BE523" s="16">
        <f>(BA523+BC523)</f>
        <v/>
      </c>
    </row>
    <row r="524">
      <c r="A524" s="9" t="n"/>
      <c r="B524" s="136" t="inlineStr">
        <is>
          <t>ABS</t>
        </is>
      </c>
      <c r="C524" s="137" t="n"/>
      <c r="D524" s="60" t="inlineStr">
        <is>
          <t>공 CD</t>
        </is>
      </c>
      <c r="E524" s="13" t="n"/>
      <c r="F524" s="99" t="n"/>
      <c r="G524" s="9" t="n"/>
      <c r="H524" s="9" t="inlineStr">
        <is>
          <t>제이디자인</t>
        </is>
      </c>
      <c r="I524" s="14" t="n"/>
      <c r="J524" s="14" t="n"/>
      <c r="K524" s="12" t="n">
        <v>0</v>
      </c>
      <c r="L524" s="9" t="n"/>
      <c r="M524" s="9" t="n"/>
      <c r="N524" s="9" t="n"/>
      <c r="O524" s="40">
        <f>K524+V524-AE524-AZ524</f>
        <v/>
      </c>
      <c r="P524" s="12" t="n"/>
      <c r="Q524" s="138" t="n"/>
      <c r="R524" s="16" t="n"/>
      <c r="S524" s="139" t="n"/>
      <c r="T524" s="16" t="n"/>
      <c r="U524" s="139" t="n"/>
      <c r="V524" s="16">
        <f>P524+R524+T524</f>
        <v/>
      </c>
      <c r="W524" s="16" t="n"/>
      <c r="X524" s="139" t="n"/>
      <c r="Y524" s="16" t="n"/>
      <c r="Z524" s="139" t="n"/>
      <c r="AA524" s="16" t="n"/>
      <c r="AB524" s="139" t="n"/>
      <c r="AC524" s="16" t="n"/>
      <c r="AD524" s="139" t="n"/>
      <c r="AE524" s="16">
        <f>(W524+Y524+AA524+AC524)</f>
        <v/>
      </c>
      <c r="AF524" s="16" t="n"/>
      <c r="AG524" s="138" t="n"/>
      <c r="AH524" s="16" t="n"/>
      <c r="AI524" s="138" t="n"/>
      <c r="AJ524" s="16" t="n"/>
      <c r="AK524" s="138" t="n"/>
      <c r="AL524" s="16" t="n"/>
      <c r="AM524" s="138" t="n"/>
      <c r="AN524" s="16" t="n"/>
      <c r="AO524" s="138" t="n"/>
      <c r="AP524" s="16" t="n"/>
      <c r="AQ524" s="138" t="n"/>
      <c r="AR524" s="16" t="n"/>
      <c r="AS524" s="138" t="n"/>
      <c r="AT524" s="16" t="n"/>
      <c r="AU524" s="138" t="n"/>
      <c r="AV524" s="16" t="n"/>
      <c r="AW524" s="138" t="n"/>
      <c r="AX524" s="16" t="n"/>
      <c r="AY524" s="138" t="n"/>
      <c r="AZ524" s="16">
        <f>AF524+AH524+AJ524+AL524+AN524+AP524+AR524+AT524+AV524+AX524</f>
        <v/>
      </c>
      <c r="BA524" s="16" t="n"/>
      <c r="BB524" s="139" t="n"/>
      <c r="BC524" s="16" t="n"/>
      <c r="BD524" s="139" t="n"/>
      <c r="BE524" s="16">
        <f>(BA524+BC524)</f>
        <v/>
      </c>
    </row>
    <row r="525">
      <c r="A525" s="9" t="n"/>
      <c r="B525" s="136" t="inlineStr">
        <is>
          <t>ABS</t>
        </is>
      </c>
      <c r="C525" s="137" t="n"/>
      <c r="D525" s="63" t="inlineStr">
        <is>
          <t>터치 팬</t>
        </is>
      </c>
      <c r="E525" s="13" t="n"/>
      <c r="F525" s="99" t="n"/>
      <c r="G525" s="9" t="n"/>
      <c r="H525" s="9" t="inlineStr">
        <is>
          <t>직구</t>
        </is>
      </c>
      <c r="I525" s="14" t="n"/>
      <c r="J525" s="14" t="n"/>
      <c r="K525" s="12" t="n">
        <v>0</v>
      </c>
      <c r="L525" s="9" t="n"/>
      <c r="M525" s="9" t="n"/>
      <c r="N525" s="9" t="n"/>
      <c r="O525" s="40">
        <f>K525+V525-AE525-AZ525</f>
        <v/>
      </c>
      <c r="P525" s="12" t="n"/>
      <c r="Q525" s="138" t="n"/>
      <c r="R525" s="16" t="n"/>
      <c r="S525" s="139" t="n"/>
      <c r="T525" s="16" t="n"/>
      <c r="U525" s="139" t="n"/>
      <c r="V525" s="16">
        <f>P525+R525+T525</f>
        <v/>
      </c>
      <c r="W525" s="16" t="n"/>
      <c r="X525" s="139" t="n"/>
      <c r="Y525" s="16" t="n"/>
      <c r="Z525" s="139" t="n"/>
      <c r="AA525" s="16" t="n"/>
      <c r="AB525" s="139" t="n"/>
      <c r="AC525" s="16" t="n"/>
      <c r="AD525" s="139" t="n"/>
      <c r="AE525" s="16">
        <f>(W525+Y525+AA525+AC525)</f>
        <v/>
      </c>
      <c r="AF525" s="16" t="n"/>
      <c r="AG525" s="138" t="n"/>
      <c r="AH525" s="16" t="n"/>
      <c r="AI525" s="138" t="n"/>
      <c r="AJ525" s="16" t="n"/>
      <c r="AK525" s="138" t="n"/>
      <c r="AL525" s="16" t="n"/>
      <c r="AM525" s="138" t="n"/>
      <c r="AN525" s="16" t="n"/>
      <c r="AO525" s="138" t="n"/>
      <c r="AP525" s="16" t="n"/>
      <c r="AQ525" s="138" t="n"/>
      <c r="AR525" s="16" t="n"/>
      <c r="AS525" s="138" t="n"/>
      <c r="AT525" s="16" t="n"/>
      <c r="AU525" s="138" t="n"/>
      <c r="AV525" s="16" t="n"/>
      <c r="AW525" s="138" t="n"/>
      <c r="AX525" s="16" t="n"/>
      <c r="AY525" s="138" t="n"/>
      <c r="AZ525" s="16">
        <f>AF525+AH525+AJ525+AL525+AN525+AP525+AR525+AT525+AV525+AX525</f>
        <v/>
      </c>
      <c r="BA525" s="16" t="n"/>
      <c r="BB525" s="139" t="n"/>
      <c r="BC525" s="16" t="n"/>
      <c r="BD525" s="139" t="n"/>
      <c r="BE525" s="16">
        <f>(BA525+BC525)</f>
        <v/>
      </c>
    </row>
    <row r="526">
      <c r="A526" s="9" t="n"/>
      <c r="B526" s="136" t="inlineStr">
        <is>
          <t>ABS</t>
        </is>
      </c>
      <c r="C526" s="137" t="n"/>
      <c r="D526" s="91" t="inlineStr">
        <is>
          <t>틸트 암 부쉬</t>
        </is>
      </c>
      <c r="E526" s="13" t="n"/>
      <c r="F526" s="99" t="n"/>
      <c r="G526" s="9" t="n"/>
      <c r="H526" s="9" t="inlineStr">
        <is>
          <t>에이스힌지텍</t>
        </is>
      </c>
      <c r="I526" s="14" t="n"/>
      <c r="J526" s="14" t="n"/>
      <c r="K526" s="12" t="n">
        <v>0</v>
      </c>
      <c r="L526" s="9" t="n"/>
      <c r="M526" s="9" t="n"/>
      <c r="N526" s="9" t="n"/>
      <c r="O526" s="40">
        <f>K526+V526-AE526-AZ526</f>
        <v/>
      </c>
      <c r="P526" s="12" t="n"/>
      <c r="Q526" s="138" t="n"/>
      <c r="R526" s="16" t="n"/>
      <c r="S526" s="139" t="n"/>
      <c r="T526" s="16" t="n"/>
      <c r="U526" s="139" t="n"/>
      <c r="V526" s="16">
        <f>P526+R526+T526</f>
        <v/>
      </c>
      <c r="W526" s="16" t="n"/>
      <c r="X526" s="139" t="n"/>
      <c r="Y526" s="16" t="n"/>
      <c r="Z526" s="139" t="n"/>
      <c r="AA526" s="16" t="n"/>
      <c r="AB526" s="139" t="n"/>
      <c r="AC526" s="16" t="n"/>
      <c r="AD526" s="139" t="n"/>
      <c r="AE526" s="16">
        <f>(W526+Y526+AA526+AC526)</f>
        <v/>
      </c>
      <c r="AF526" s="16" t="n"/>
      <c r="AG526" s="138" t="n"/>
      <c r="AH526" s="16" t="n"/>
      <c r="AI526" s="138" t="n"/>
      <c r="AJ526" s="16" t="n"/>
      <c r="AK526" s="138" t="n"/>
      <c r="AL526" s="16" t="n"/>
      <c r="AM526" s="138" t="n"/>
      <c r="AN526" s="16" t="n"/>
      <c r="AO526" s="138" t="n"/>
      <c r="AP526" s="16" t="n"/>
      <c r="AQ526" s="138" t="n"/>
      <c r="AR526" s="16" t="n"/>
      <c r="AS526" s="138" t="n"/>
      <c r="AT526" s="16" t="n"/>
      <c r="AU526" s="138" t="n"/>
      <c r="AV526" s="16" t="n"/>
      <c r="AW526" s="138" t="n"/>
      <c r="AX526" s="16" t="n"/>
      <c r="AY526" s="138" t="n"/>
      <c r="AZ526" s="16">
        <f>AF526+AH526+AJ526+AL526+AN526+AP526+AR526+AT526+AV526+AX526</f>
        <v/>
      </c>
      <c r="BA526" s="16" t="n"/>
      <c r="BB526" s="139" t="n"/>
      <c r="BC526" s="16" t="n"/>
      <c r="BD526" s="139" t="n"/>
      <c r="BE526" s="16">
        <f>(BA526+BC526)</f>
        <v/>
      </c>
    </row>
    <row r="527">
      <c r="A527" s="9" t="n"/>
      <c r="B527" s="136" t="inlineStr">
        <is>
          <t>ABS</t>
        </is>
      </c>
      <c r="C527" s="137" t="inlineStr">
        <is>
          <t>ADX6000</t>
        </is>
      </c>
      <c r="D527" s="60" t="inlineStr">
        <is>
          <t>스탠드 부속품 (바-부쉬)</t>
        </is>
      </c>
      <c r="E527" s="13" t="n"/>
      <c r="F527" s="99" t="n"/>
      <c r="G527" s="9" t="n"/>
      <c r="H527" s="9" t="inlineStr">
        <is>
          <t>에이스힌지텍</t>
        </is>
      </c>
      <c r="I527" s="14" t="n"/>
      <c r="J527" s="14" t="n"/>
      <c r="K527" s="12" t="n">
        <v>7</v>
      </c>
      <c r="L527" s="9" t="n"/>
      <c r="M527" s="9" t="n"/>
      <c r="N527" s="9" t="n"/>
      <c r="O527" s="40">
        <f>K527+V527-AE527-AZ527</f>
        <v/>
      </c>
      <c r="P527" s="12" t="n"/>
      <c r="Q527" s="138" t="n"/>
      <c r="R527" s="16" t="n"/>
      <c r="S527" s="139" t="n"/>
      <c r="T527" s="16" t="n"/>
      <c r="U527" s="139" t="n"/>
      <c r="V527" s="16">
        <f>P527+R527+T527</f>
        <v/>
      </c>
      <c r="W527" s="16" t="n"/>
      <c r="X527" s="139" t="n"/>
      <c r="Y527" s="16" t="n"/>
      <c r="Z527" s="139" t="n"/>
      <c r="AA527" s="16" t="n"/>
      <c r="AB527" s="139" t="n"/>
      <c r="AC527" s="16" t="n"/>
      <c r="AD527" s="139" t="n"/>
      <c r="AE527" s="16">
        <f>(W527+Y527+AA527+AC527)</f>
        <v/>
      </c>
      <c r="AF527" s="16" t="n"/>
      <c r="AG527" s="138" t="n"/>
      <c r="AH527" s="16" t="n"/>
      <c r="AI527" s="138" t="n"/>
      <c r="AJ527" s="16" t="n"/>
      <c r="AK527" s="138" t="n"/>
      <c r="AL527" s="16" t="n"/>
      <c r="AM527" s="138" t="n"/>
      <c r="AN527" s="16" t="n"/>
      <c r="AO527" s="138" t="n"/>
      <c r="AP527" s="16" t="n"/>
      <c r="AQ527" s="138" t="n"/>
      <c r="AR527" s="16" t="n"/>
      <c r="AS527" s="138" t="n"/>
      <c r="AT527" s="16" t="n"/>
      <c r="AU527" s="138" t="n"/>
      <c r="AV527" s="16" t="n"/>
      <c r="AW527" s="138" t="n"/>
      <c r="AX527" s="16" t="n"/>
      <c r="AY527" s="138" t="n"/>
      <c r="AZ527" s="16">
        <f>AF527+AH527+AJ527+AL527+AN527+AP527+AR527+AT527+AV527+AX527</f>
        <v/>
      </c>
      <c r="BA527" s="16" t="n"/>
      <c r="BB527" s="139" t="n"/>
      <c r="BC527" s="16" t="n"/>
      <c r="BD527" s="139" t="n"/>
      <c r="BE527" s="16">
        <f>(BA527+BC527)</f>
        <v/>
      </c>
    </row>
    <row r="528">
      <c r="A528" s="9" t="n"/>
      <c r="B528" s="136" t="inlineStr">
        <is>
          <t>SUS</t>
        </is>
      </c>
      <c r="C528" s="137" t="inlineStr">
        <is>
          <t>ADX6000</t>
        </is>
      </c>
      <c r="D528" s="60" t="inlineStr">
        <is>
          <t>스탠드 부속품 (바-부쉬링)</t>
        </is>
      </c>
      <c r="E528" s="13" t="n"/>
      <c r="F528" s="99" t="n"/>
      <c r="G528" s="9" t="n"/>
      <c r="H528" s="9" t="inlineStr">
        <is>
          <t>에이스힌지텍</t>
        </is>
      </c>
      <c r="I528" s="14" t="n"/>
      <c r="J528" s="14" t="n"/>
      <c r="K528" s="12" t="n">
        <v>10</v>
      </c>
      <c r="L528" s="9" t="n"/>
      <c r="M528" s="9" t="n"/>
      <c r="N528" s="9" t="n"/>
      <c r="O528" s="40">
        <f>K528+V528-AE528-AZ528</f>
        <v/>
      </c>
      <c r="P528" s="12" t="n"/>
      <c r="Q528" s="138" t="n"/>
      <c r="R528" s="16" t="n"/>
      <c r="S528" s="139" t="n"/>
      <c r="T528" s="16" t="n"/>
      <c r="U528" s="139" t="n"/>
      <c r="V528" s="16">
        <f>P528+R528+T528</f>
        <v/>
      </c>
      <c r="W528" s="16" t="n"/>
      <c r="X528" s="139" t="n"/>
      <c r="Y528" s="16" t="n"/>
      <c r="Z528" s="139" t="n"/>
      <c r="AA528" s="16" t="n"/>
      <c r="AB528" s="139" t="n"/>
      <c r="AC528" s="16" t="n"/>
      <c r="AD528" s="139" t="n"/>
      <c r="AE528" s="16">
        <f>(W528+Y528+AA528+AC528)</f>
        <v/>
      </c>
      <c r="AF528" s="16" t="n"/>
      <c r="AG528" s="138" t="n"/>
      <c r="AH528" s="16" t="n"/>
      <c r="AI528" s="138" t="n"/>
      <c r="AJ528" s="16" t="n"/>
      <c r="AK528" s="138" t="n"/>
      <c r="AL528" s="16" t="n"/>
      <c r="AM528" s="138" t="n"/>
      <c r="AN528" s="16" t="n"/>
      <c r="AO528" s="138" t="n"/>
      <c r="AP528" s="16" t="n"/>
      <c r="AQ528" s="138" t="n"/>
      <c r="AR528" s="16" t="n"/>
      <c r="AS528" s="138" t="n"/>
      <c r="AT528" s="16" t="n"/>
      <c r="AU528" s="138" t="n"/>
      <c r="AV528" s="16" t="n"/>
      <c r="AW528" s="138" t="n"/>
      <c r="AX528" s="16" t="n"/>
      <c r="AY528" s="138" t="n"/>
      <c r="AZ528" s="16">
        <f>AF528+AH528+AJ528+AL528+AN528+AP528+AR528+AT528+AV528+AX528</f>
        <v/>
      </c>
      <c r="BA528" s="16" t="n"/>
      <c r="BB528" s="139" t="n"/>
      <c r="BC528" s="16" t="n"/>
      <c r="BD528" s="139" t="n"/>
      <c r="BE528" s="16">
        <f>(BA528+BC528)</f>
        <v/>
      </c>
    </row>
    <row r="529">
      <c r="A529" s="9" t="n"/>
      <c r="B529" s="136" t="inlineStr">
        <is>
          <t>브라켓</t>
        </is>
      </c>
      <c r="C529" s="137" t="inlineStr">
        <is>
          <t>ADX6000</t>
        </is>
      </c>
      <c r="D529" s="63" t="inlineStr">
        <is>
          <t>스탠드 브라켓(암연결용)</t>
        </is>
      </c>
      <c r="E529" s="13" t="n"/>
      <c r="F529" s="99" t="n"/>
      <c r="G529" s="9" t="n"/>
      <c r="H529" s="9" t="inlineStr">
        <is>
          <t>에이스힌지텍</t>
        </is>
      </c>
      <c r="I529" s="14" t="n"/>
      <c r="J529" s="14" t="n"/>
      <c r="K529" s="12" t="n">
        <v>0</v>
      </c>
      <c r="L529" s="9" t="n"/>
      <c r="M529" s="9" t="n"/>
      <c r="N529" s="9" t="n"/>
      <c r="O529" s="40">
        <f>K529+V529-AE529-AZ529</f>
        <v/>
      </c>
      <c r="P529" s="12" t="n"/>
      <c r="Q529" s="138" t="n"/>
      <c r="R529" s="16" t="n"/>
      <c r="S529" s="139" t="n"/>
      <c r="T529" s="16" t="n"/>
      <c r="U529" s="139" t="n"/>
      <c r="V529" s="16">
        <f>P529+R529+T529</f>
        <v/>
      </c>
      <c r="W529" s="16" t="n"/>
      <c r="X529" s="139" t="n"/>
      <c r="Y529" s="16" t="n"/>
      <c r="Z529" s="139" t="n"/>
      <c r="AA529" s="16" t="n"/>
      <c r="AB529" s="139" t="n"/>
      <c r="AC529" s="16" t="n"/>
      <c r="AD529" s="139" t="n"/>
      <c r="AE529" s="16">
        <f>(W529+Y529+AA529+AC529)</f>
        <v/>
      </c>
      <c r="AF529" s="16" t="n"/>
      <c r="AG529" s="138" t="n"/>
      <c r="AH529" s="16" t="n"/>
      <c r="AI529" s="138" t="n"/>
      <c r="AJ529" s="16" t="n"/>
      <c r="AK529" s="138" t="n"/>
      <c r="AL529" s="16" t="n"/>
      <c r="AM529" s="138" t="n"/>
      <c r="AN529" s="16" t="n"/>
      <c r="AO529" s="138" t="n"/>
      <c r="AP529" s="16" t="n"/>
      <c r="AQ529" s="138" t="n"/>
      <c r="AR529" s="16" t="n"/>
      <c r="AS529" s="138" t="n"/>
      <c r="AT529" s="16" t="n"/>
      <c r="AU529" s="138" t="n"/>
      <c r="AV529" s="16" t="n"/>
      <c r="AW529" s="138" t="n"/>
      <c r="AX529" s="16" t="n"/>
      <c r="AY529" s="138" t="n"/>
      <c r="AZ529" s="16">
        <f>AF529+AH529+AJ529+AL529+AN529+AP529+AR529+AT529+AV529+AX529</f>
        <v/>
      </c>
      <c r="BA529" s="16" t="n"/>
      <c r="BB529" s="139" t="n"/>
      <c r="BC529" s="16" t="n"/>
      <c r="BD529" s="139" t="n"/>
      <c r="BE529" s="16">
        <f>(BA529+BC529)</f>
        <v/>
      </c>
    </row>
    <row r="530">
      <c r="A530" s="9" t="n"/>
      <c r="B530" s="136" t="inlineStr">
        <is>
          <t>브라켓</t>
        </is>
      </c>
      <c r="C530" s="137" t="inlineStr">
        <is>
          <t>ADX6000</t>
        </is>
      </c>
      <c r="D530" s="63" t="inlineStr">
        <is>
          <t>스탠드 브라켓(제품용)</t>
        </is>
      </c>
      <c r="E530" s="13" t="n"/>
      <c r="F530" s="99" t="n"/>
      <c r="G530" s="9" t="n"/>
      <c r="H530" s="9" t="inlineStr">
        <is>
          <t>다우정밀</t>
        </is>
      </c>
      <c r="I530" s="14" t="n"/>
      <c r="J530" s="14" t="n"/>
      <c r="K530" s="12" t="n">
        <v>0</v>
      </c>
      <c r="L530" s="9" t="n"/>
      <c r="M530" s="9" t="n"/>
      <c r="N530" s="9" t="n"/>
      <c r="O530" s="40">
        <f>K530+V530-AE530-AZ530</f>
        <v/>
      </c>
      <c r="P530" s="12" t="n"/>
      <c r="Q530" s="138" t="n"/>
      <c r="R530" s="16" t="n"/>
      <c r="S530" s="139" t="n"/>
      <c r="T530" s="16" t="n"/>
      <c r="U530" s="139" t="n"/>
      <c r="V530" s="16">
        <f>P530+R530+T530</f>
        <v/>
      </c>
      <c r="W530" s="16" t="n"/>
      <c r="X530" s="139" t="n"/>
      <c r="Y530" s="16" t="n"/>
      <c r="Z530" s="139" t="n"/>
      <c r="AA530" s="16" t="n"/>
      <c r="AB530" s="139" t="n"/>
      <c r="AC530" s="16" t="n"/>
      <c r="AD530" s="139" t="n"/>
      <c r="AE530" s="16">
        <f>(W530+Y530+AA530+AC530)</f>
        <v/>
      </c>
      <c r="AF530" s="16" t="n"/>
      <c r="AG530" s="138" t="n"/>
      <c r="AH530" s="16" t="n"/>
      <c r="AI530" s="138" t="n"/>
      <c r="AJ530" s="16" t="n"/>
      <c r="AK530" s="138" t="n"/>
      <c r="AL530" s="16" t="n"/>
      <c r="AM530" s="138" t="n"/>
      <c r="AN530" s="16" t="n"/>
      <c r="AO530" s="138" t="n"/>
      <c r="AP530" s="16" t="n"/>
      <c r="AQ530" s="138" t="n"/>
      <c r="AR530" s="16" t="n"/>
      <c r="AS530" s="138" t="n"/>
      <c r="AT530" s="16" t="n"/>
      <c r="AU530" s="138" t="n"/>
      <c r="AV530" s="16" t="n"/>
      <c r="AW530" s="138" t="n"/>
      <c r="AX530" s="16" t="n"/>
      <c r="AY530" s="138" t="n"/>
      <c r="AZ530" s="16">
        <f>AF530+AH530+AJ530+AL530+AN530+AP530+AR530+AT530+AV530+AX530</f>
        <v/>
      </c>
      <c r="BA530" s="16" t="n"/>
      <c r="BB530" s="139" t="n"/>
      <c r="BC530" s="16" t="n"/>
      <c r="BD530" s="139" t="n"/>
      <c r="BE530" s="16">
        <f>(BA530+BC530)</f>
        <v/>
      </c>
    </row>
    <row r="531">
      <c r="A531" s="9" t="n"/>
      <c r="B531" s="136" t="inlineStr">
        <is>
          <t>제품 거치대</t>
        </is>
      </c>
      <c r="C531" s="137" t="inlineStr">
        <is>
          <t>ADX4000W</t>
        </is>
      </c>
      <c r="D531" s="63" t="inlineStr">
        <is>
          <t>스탠드홀드</t>
        </is>
      </c>
      <c r="E531" s="13" t="inlineStr">
        <is>
          <t>은색</t>
        </is>
      </c>
      <c r="F531" s="99" t="n"/>
      <c r="G531" s="9" t="n"/>
      <c r="H531" s="9" t="inlineStr">
        <is>
          <t>제이케이시스템</t>
        </is>
      </c>
      <c r="I531" s="14" t="n"/>
      <c r="J531" s="14" t="n"/>
      <c r="K531" s="12" t="n">
        <v>0</v>
      </c>
      <c r="L531" s="9" t="n"/>
      <c r="M531" s="9" t="n"/>
      <c r="N531" s="9" t="n"/>
      <c r="O531" s="40">
        <f>K531+V531-AE531-AZ531</f>
        <v/>
      </c>
      <c r="P531" s="12" t="n"/>
      <c r="Q531" s="138" t="n"/>
      <c r="R531" s="16" t="n"/>
      <c r="S531" s="139" t="n"/>
      <c r="T531" s="16" t="n"/>
      <c r="U531" s="139" t="n"/>
      <c r="V531" s="16">
        <f>P531+R531+T531</f>
        <v/>
      </c>
      <c r="W531" s="16" t="n"/>
      <c r="X531" s="139" t="n"/>
      <c r="Y531" s="16" t="n"/>
      <c r="Z531" s="139" t="n"/>
      <c r="AA531" s="16" t="n"/>
      <c r="AB531" s="139" t="n"/>
      <c r="AC531" s="16" t="n"/>
      <c r="AD531" s="139" t="n"/>
      <c r="AE531" s="16">
        <f>(W531+Y531+AA531+AC531)</f>
        <v/>
      </c>
      <c r="AF531" s="16" t="n"/>
      <c r="AG531" s="138" t="n"/>
      <c r="AH531" s="16" t="n"/>
      <c r="AI531" s="138" t="n"/>
      <c r="AJ531" s="16" t="n"/>
      <c r="AK531" s="138" t="n"/>
      <c r="AL531" s="16" t="n"/>
      <c r="AM531" s="138" t="n"/>
      <c r="AN531" s="16" t="n"/>
      <c r="AO531" s="138" t="n"/>
      <c r="AP531" s="16" t="n"/>
      <c r="AQ531" s="138" t="n"/>
      <c r="AR531" s="16" t="n"/>
      <c r="AS531" s="138" t="n"/>
      <c r="AT531" s="16" t="n"/>
      <c r="AU531" s="138" t="n"/>
      <c r="AV531" s="16" t="n"/>
      <c r="AW531" s="138" t="n"/>
      <c r="AX531" s="16" t="n"/>
      <c r="AY531" s="138" t="n"/>
      <c r="AZ531" s="16">
        <f>AF531+AH531+AJ531+AL531+AN531+AP531+AR531+AT531+AV531+AX531</f>
        <v/>
      </c>
      <c r="BA531" s="16" t="n"/>
      <c r="BB531" s="139" t="n"/>
      <c r="BC531" s="16" t="n"/>
      <c r="BD531" s="139" t="n"/>
      <c r="BE531" s="16">
        <f>(BA531+BC531)</f>
        <v/>
      </c>
    </row>
    <row r="532">
      <c r="A532" s="9" t="n"/>
      <c r="B532" s="136" t="inlineStr">
        <is>
          <t>제품 거치대</t>
        </is>
      </c>
      <c r="C532" s="137" t="inlineStr">
        <is>
          <t>DX3000</t>
        </is>
      </c>
      <c r="D532" s="63" t="inlineStr">
        <is>
          <t>스탠드홀드</t>
        </is>
      </c>
      <c r="E532" s="13" t="n"/>
      <c r="F532" s="99" t="n"/>
      <c r="G532" s="9" t="n"/>
      <c r="H532" s="9" t="inlineStr">
        <is>
          <t>제이케이시스템</t>
        </is>
      </c>
      <c r="I532" s="14" t="n"/>
      <c r="J532" s="14" t="n"/>
      <c r="K532" s="12" t="n">
        <v>0</v>
      </c>
      <c r="L532" s="9" t="n"/>
      <c r="M532" s="9" t="n"/>
      <c r="N532" s="9" t="n"/>
      <c r="O532" s="40">
        <f>K532+V532-AE532-AZ532</f>
        <v/>
      </c>
      <c r="P532" s="12" t="n"/>
      <c r="Q532" s="138" t="n"/>
      <c r="R532" s="16" t="n"/>
      <c r="S532" s="139" t="n"/>
      <c r="T532" s="16" t="n"/>
      <c r="U532" s="139" t="n"/>
      <c r="V532" s="16">
        <f>P532+R532+T532</f>
        <v/>
      </c>
      <c r="W532" s="16" t="n"/>
      <c r="X532" s="139" t="n"/>
      <c r="Y532" s="16" t="n"/>
      <c r="Z532" s="139" t="n"/>
      <c r="AA532" s="16" t="n"/>
      <c r="AB532" s="139" t="n"/>
      <c r="AC532" s="16" t="n"/>
      <c r="AD532" s="139" t="n"/>
      <c r="AE532" s="16">
        <f>(W532+Y532+AA532+AC532)</f>
        <v/>
      </c>
      <c r="AF532" s="16" t="n"/>
      <c r="AG532" s="138" t="n"/>
      <c r="AH532" s="16" t="n"/>
      <c r="AI532" s="138" t="n"/>
      <c r="AJ532" s="16" t="n"/>
      <c r="AK532" s="138" t="n"/>
      <c r="AL532" s="16" t="n"/>
      <c r="AM532" s="138" t="n"/>
      <c r="AN532" s="16" t="n"/>
      <c r="AO532" s="138" t="n"/>
      <c r="AP532" s="16" t="n"/>
      <c r="AQ532" s="138" t="n"/>
      <c r="AR532" s="16" t="n"/>
      <c r="AS532" s="138" t="n"/>
      <c r="AT532" s="16" t="n"/>
      <c r="AU532" s="138" t="n"/>
      <c r="AV532" s="16" t="n"/>
      <c r="AW532" s="138" t="n"/>
      <c r="AX532" s="16" t="n"/>
      <c r="AY532" s="138" t="n"/>
      <c r="AZ532" s="16">
        <f>AF532+AH532+AJ532+AL532+AN532+AP532+AR532+AT532+AV532+AX532</f>
        <v/>
      </c>
      <c r="BA532" s="16" t="n"/>
      <c r="BB532" s="139" t="n"/>
      <c r="BC532" s="16" t="n"/>
      <c r="BD532" s="139" t="n"/>
      <c r="BE532" s="16">
        <f>(BA532+BC532)</f>
        <v/>
      </c>
    </row>
    <row r="533">
      <c r="A533" s="9" t="n"/>
      <c r="B533" s="136" t="inlineStr">
        <is>
          <t>제품 거치대</t>
        </is>
      </c>
      <c r="C533" s="137" t="inlineStr">
        <is>
          <t>ADX4000W</t>
        </is>
      </c>
      <c r="D533" s="60" t="inlineStr">
        <is>
          <t>스탠드홀드(신형)</t>
        </is>
      </c>
      <c r="E533" s="13" t="inlineStr">
        <is>
          <t>흰색</t>
        </is>
      </c>
      <c r="F533" s="99" t="n"/>
      <c r="G533" s="9" t="n"/>
      <c r="H533" s="9" t="inlineStr">
        <is>
          <t>제이케이시스템</t>
        </is>
      </c>
      <c r="I533" s="14" t="n"/>
      <c r="J533" s="14" t="n"/>
      <c r="K533" s="12" t="n">
        <v>0</v>
      </c>
      <c r="L533" s="9" t="n"/>
      <c r="M533" s="9" t="n"/>
      <c r="N533" s="9" t="n"/>
      <c r="O533" s="40">
        <f>K533+V533-AE533-AZ533</f>
        <v/>
      </c>
      <c r="P533" s="12" t="n"/>
      <c r="Q533" s="138" t="n"/>
      <c r="R533" s="16" t="n"/>
      <c r="S533" s="139" t="n"/>
      <c r="T533" s="16" t="n"/>
      <c r="U533" s="139" t="n"/>
      <c r="V533" s="16">
        <f>P533+R533+T533</f>
        <v/>
      </c>
      <c r="W533" s="16" t="n"/>
      <c r="X533" s="139" t="n"/>
      <c r="Y533" s="16" t="n"/>
      <c r="Z533" s="139" t="n"/>
      <c r="AA533" s="16" t="n"/>
      <c r="AB533" s="139" t="n"/>
      <c r="AC533" s="16" t="n"/>
      <c r="AD533" s="139" t="n"/>
      <c r="AE533" s="16">
        <f>(W533+Y533+AA533+AC533)</f>
        <v/>
      </c>
      <c r="AF533" s="16" t="n"/>
      <c r="AG533" s="138" t="n"/>
      <c r="AH533" s="16" t="n"/>
      <c r="AI533" s="138" t="n"/>
      <c r="AJ533" s="16" t="n"/>
      <c r="AK533" s="138" t="n"/>
      <c r="AL533" s="16" t="n"/>
      <c r="AM533" s="138" t="n"/>
      <c r="AN533" s="16" t="n"/>
      <c r="AO533" s="138" t="n"/>
      <c r="AP533" s="16" t="n"/>
      <c r="AQ533" s="138" t="n"/>
      <c r="AR533" s="16" t="n"/>
      <c r="AS533" s="138" t="n"/>
      <c r="AT533" s="16" t="n"/>
      <c r="AU533" s="138" t="n"/>
      <c r="AV533" s="16" t="n"/>
      <c r="AW533" s="138" t="n"/>
      <c r="AX533" s="16" t="n"/>
      <c r="AY533" s="138" t="n"/>
      <c r="AZ533" s="16">
        <f>AF533+AH533+AJ533+AL533+AN533+AP533+AR533+AT533+AV533+AX533</f>
        <v/>
      </c>
      <c r="BA533" s="16" t="n"/>
      <c r="BB533" s="139" t="n"/>
      <c r="BC533" s="16" t="n"/>
      <c r="BD533" s="139" t="n"/>
      <c r="BE533" s="16">
        <f>(BA533+BC533)</f>
        <v/>
      </c>
    </row>
    <row r="534" ht="24" customHeight="1" s="122">
      <c r="A534" s="9" t="n"/>
      <c r="B534" s="136" t="inlineStr">
        <is>
          <t>ABS 난연</t>
        </is>
      </c>
      <c r="C534" s="137" t="inlineStr">
        <is>
          <t>DX3000, ADX4000W</t>
        </is>
      </c>
      <c r="D534" s="60" t="inlineStr">
        <is>
          <t>배터리 거치대 사출 SETS</t>
        </is>
      </c>
      <c r="E534" s="13" t="n"/>
      <c r="F534" s="99" t="n"/>
      <c r="G534" s="9" t="n"/>
      <c r="H534" s="9" t="inlineStr">
        <is>
          <t>다성 ENG</t>
        </is>
      </c>
      <c r="I534" s="14" t="n"/>
      <c r="J534" s="14" t="n"/>
      <c r="K534" s="12" t="n">
        <v>0</v>
      </c>
      <c r="L534" s="9" t="n"/>
      <c r="M534" s="9" t="n"/>
      <c r="N534" s="9" t="n"/>
      <c r="O534" s="40">
        <f>K534+V534-AE534-AZ534</f>
        <v/>
      </c>
      <c r="P534" s="12" t="n"/>
      <c r="Q534" s="138" t="n"/>
      <c r="R534" s="16" t="n"/>
      <c r="S534" s="139" t="n"/>
      <c r="T534" s="16" t="n"/>
      <c r="U534" s="139" t="n"/>
      <c r="V534" s="16">
        <f>P534+R534+T534</f>
        <v/>
      </c>
      <c r="W534" s="16" t="n"/>
      <c r="X534" s="139" t="n"/>
      <c r="Y534" s="16" t="n"/>
      <c r="Z534" s="139" t="n"/>
      <c r="AA534" s="16" t="n"/>
      <c r="AB534" s="139" t="n"/>
      <c r="AC534" s="16" t="n"/>
      <c r="AD534" s="139" t="n"/>
      <c r="AE534" s="16">
        <f>(W534+Y534+AA534+AC534)</f>
        <v/>
      </c>
      <c r="AF534" s="16" t="n"/>
      <c r="AG534" s="138" t="n"/>
      <c r="AH534" s="16" t="n"/>
      <c r="AI534" s="138" t="n"/>
      <c r="AJ534" s="16" t="n"/>
      <c r="AK534" s="138" t="n"/>
      <c r="AL534" s="16" t="n"/>
      <c r="AM534" s="138" t="n"/>
      <c r="AN534" s="16" t="n"/>
      <c r="AO534" s="138" t="n"/>
      <c r="AP534" s="16" t="n"/>
      <c r="AQ534" s="138" t="n"/>
      <c r="AR534" s="16" t="n"/>
      <c r="AS534" s="138" t="n"/>
      <c r="AT534" s="16" t="n"/>
      <c r="AU534" s="138" t="n"/>
      <c r="AV534" s="16" t="n"/>
      <c r="AW534" s="138" t="n"/>
      <c r="AX534" s="16" t="n"/>
      <c r="AY534" s="138" t="n"/>
      <c r="AZ534" s="16">
        <f>AF534+AH534+AJ534+AL534+AN534+AP534+AR534+AT534+AV534+AX534</f>
        <v/>
      </c>
      <c r="BA534" s="16" t="n"/>
      <c r="BB534" s="139" t="n"/>
      <c r="BC534" s="16" t="n"/>
      <c r="BD534" s="139" t="n"/>
      <c r="BE534" s="16">
        <f>(BA534+BC534)</f>
        <v/>
      </c>
    </row>
    <row r="535" ht="24" customHeight="1" s="122">
      <c r="A535" s="9" t="n"/>
      <c r="B535" s="136" t="inlineStr">
        <is>
          <t>신주</t>
        </is>
      </c>
      <c r="C535" s="137" t="inlineStr">
        <is>
          <t>DX3000, ADX4000W</t>
        </is>
      </c>
      <c r="D535" s="63" t="inlineStr">
        <is>
          <t>배터리 거치대용 신주핀</t>
        </is>
      </c>
      <c r="E535" s="13" t="n"/>
      <c r="F535" s="99" t="n"/>
      <c r="G535" s="9" t="n"/>
      <c r="H535" s="9" t="inlineStr">
        <is>
          <t>다우정밀</t>
        </is>
      </c>
      <c r="I535" s="14" t="n"/>
      <c r="J535" s="14" t="n"/>
      <c r="K535" s="12" t="n">
        <v>0</v>
      </c>
      <c r="L535" s="9" t="n"/>
      <c r="M535" s="9" t="n"/>
      <c r="N535" s="9" t="n"/>
      <c r="O535" s="40">
        <f>K535+V535-AE535-AZ535</f>
        <v/>
      </c>
      <c r="P535" s="12" t="n"/>
      <c r="Q535" s="138" t="n"/>
      <c r="R535" s="16" t="n"/>
      <c r="S535" s="139" t="n"/>
      <c r="T535" s="16" t="n"/>
      <c r="U535" s="139" t="n"/>
      <c r="V535" s="16">
        <f>P535+R535+T535</f>
        <v/>
      </c>
      <c r="W535" s="16" t="n"/>
      <c r="X535" s="139" t="n"/>
      <c r="Y535" s="16" t="n"/>
      <c r="Z535" s="139" t="n"/>
      <c r="AA535" s="16" t="n"/>
      <c r="AB535" s="139" t="n"/>
      <c r="AC535" s="16" t="n"/>
      <c r="AD535" s="139" t="n"/>
      <c r="AE535" s="16">
        <f>(W535+Y535+AA535+AC535)</f>
        <v/>
      </c>
      <c r="AF535" s="16" t="n"/>
      <c r="AG535" s="138" t="n"/>
      <c r="AH535" s="16" t="n"/>
      <c r="AI535" s="138" t="n"/>
      <c r="AJ535" s="16" t="n"/>
      <c r="AK535" s="138" t="n"/>
      <c r="AL535" s="16" t="n"/>
      <c r="AM535" s="138" t="n"/>
      <c r="AN535" s="16" t="n"/>
      <c r="AO535" s="138" t="n"/>
      <c r="AP535" s="16" t="n"/>
      <c r="AQ535" s="138" t="n"/>
      <c r="AR535" s="16" t="n"/>
      <c r="AS535" s="138" t="n"/>
      <c r="AT535" s="16" t="n"/>
      <c r="AU535" s="138" t="n"/>
      <c r="AV535" s="16" t="n"/>
      <c r="AW535" s="138" t="n"/>
      <c r="AX535" s="16" t="n"/>
      <c r="AY535" s="138" t="n"/>
      <c r="AZ535" s="16">
        <f>AF535+AH535+AJ535+AL535+AN535+AP535+AR535+AT535+AV535+AX535</f>
        <v/>
      </c>
      <c r="BA535" s="16" t="n"/>
      <c r="BB535" s="139" t="n"/>
      <c r="BC535" s="16" t="n"/>
      <c r="BD535" s="139" t="n"/>
      <c r="BE535" s="16">
        <f>(BA535+BC535)</f>
        <v/>
      </c>
    </row>
    <row r="536">
      <c r="A536" s="9" t="n"/>
      <c r="B536" s="136" t="inlineStr">
        <is>
          <t>브라켓</t>
        </is>
      </c>
      <c r="C536" s="137" t="inlineStr">
        <is>
          <t>공용</t>
        </is>
      </c>
      <c r="D536" s="63" t="inlineStr">
        <is>
          <t>스탠드 브라켓 조인트 셋트</t>
        </is>
      </c>
      <c r="E536" s="13" t="n"/>
      <c r="F536" s="99" t="n"/>
      <c r="G536" s="9" t="n"/>
      <c r="H536" s="9" t="inlineStr">
        <is>
          <t>제이케이시스템</t>
        </is>
      </c>
      <c r="I536" s="14" t="n"/>
      <c r="J536" s="14" t="n"/>
      <c r="K536" s="12" t="n">
        <v>0</v>
      </c>
      <c r="L536" s="9" t="n"/>
      <c r="M536" s="9" t="n"/>
      <c r="N536" s="9" t="n"/>
      <c r="O536" s="40">
        <f>K536+V536-AE536-AZ536</f>
        <v/>
      </c>
      <c r="P536" s="12" t="n"/>
      <c r="Q536" s="138" t="n"/>
      <c r="R536" s="16" t="n"/>
      <c r="S536" s="139" t="n"/>
      <c r="T536" s="16" t="n"/>
      <c r="U536" s="139" t="n"/>
      <c r="V536" s="16">
        <f>P536+R536+T536</f>
        <v/>
      </c>
      <c r="W536" s="16" t="n"/>
      <c r="X536" s="139" t="n"/>
      <c r="Y536" s="16" t="n"/>
      <c r="Z536" s="139" t="n"/>
      <c r="AA536" s="16" t="n"/>
      <c r="AB536" s="139" t="n"/>
      <c r="AC536" s="16" t="n"/>
      <c r="AD536" s="139" t="n"/>
      <c r="AE536" s="16">
        <f>(W536+Y536+AA536+AC536)</f>
        <v/>
      </c>
      <c r="AF536" s="16" t="n"/>
      <c r="AG536" s="138" t="n"/>
      <c r="AH536" s="16" t="n"/>
      <c r="AI536" s="138" t="n"/>
      <c r="AJ536" s="16" t="n"/>
      <c r="AK536" s="138" t="n"/>
      <c r="AL536" s="16" t="n"/>
      <c r="AM536" s="138" t="n"/>
      <c r="AN536" s="16" t="n"/>
      <c r="AO536" s="138" t="n"/>
      <c r="AP536" s="16" t="n"/>
      <c r="AQ536" s="138" t="n"/>
      <c r="AR536" s="16" t="n"/>
      <c r="AS536" s="138" t="n"/>
      <c r="AT536" s="16" t="n"/>
      <c r="AU536" s="138" t="n"/>
      <c r="AV536" s="16" t="n"/>
      <c r="AW536" s="138" t="n"/>
      <c r="AX536" s="16" t="n"/>
      <c r="AY536" s="138" t="n"/>
      <c r="AZ536" s="16">
        <f>AF536+AH536+AJ536+AL536+AN536+AP536+AR536+AT536+AV536+AX536</f>
        <v/>
      </c>
      <c r="BA536" s="16" t="n"/>
      <c r="BB536" s="139" t="n"/>
      <c r="BC536" s="16" t="n"/>
      <c r="BD536" s="139" t="n"/>
      <c r="BE536" s="16">
        <f>(BA536+BC536)</f>
        <v/>
      </c>
    </row>
    <row r="537">
      <c r="A537" s="9" t="n"/>
      <c r="B537" s="136" t="inlineStr">
        <is>
          <t>브라켓</t>
        </is>
      </c>
      <c r="C537" s="137" t="inlineStr">
        <is>
          <t>공용</t>
        </is>
      </c>
      <c r="D537" s="63" t="inlineStr">
        <is>
          <t>스탠드 브라켓 족의학용</t>
        </is>
      </c>
      <c r="E537" s="13" t="n"/>
      <c r="F537" s="99" t="n"/>
      <c r="G537" s="9" t="n"/>
      <c r="H537" s="9" t="inlineStr">
        <is>
          <t>제이케이시스템</t>
        </is>
      </c>
      <c r="I537" s="14" t="n"/>
      <c r="J537" s="14" t="n"/>
      <c r="K537" s="12" t="n">
        <v>0</v>
      </c>
      <c r="L537" s="9" t="n"/>
      <c r="M537" s="9" t="n"/>
      <c r="N537" s="9" t="n"/>
      <c r="O537" s="40">
        <f>K537+V537-AE537-AZ537</f>
        <v/>
      </c>
      <c r="P537" s="12" t="n"/>
      <c r="Q537" s="138" t="n"/>
      <c r="R537" s="16" t="n"/>
      <c r="S537" s="139" t="n"/>
      <c r="T537" s="16" t="n"/>
      <c r="U537" s="139" t="n"/>
      <c r="V537" s="16">
        <f>P537+R537+T537</f>
        <v/>
      </c>
      <c r="W537" s="16" t="n"/>
      <c r="X537" s="139" t="n"/>
      <c r="Y537" s="16" t="n"/>
      <c r="Z537" s="139" t="n"/>
      <c r="AA537" s="16" t="n"/>
      <c r="AB537" s="139" t="n"/>
      <c r="AC537" s="16" t="n"/>
      <c r="AD537" s="139" t="n"/>
      <c r="AE537" s="16">
        <f>(W537+Y537+AA537+AC537)</f>
        <v/>
      </c>
      <c r="AF537" s="16" t="n"/>
      <c r="AG537" s="138" t="n"/>
      <c r="AH537" s="16" t="n"/>
      <c r="AI537" s="138" t="n"/>
      <c r="AJ537" s="16" t="n"/>
      <c r="AK537" s="138" t="n"/>
      <c r="AL537" s="16" t="n"/>
      <c r="AM537" s="138" t="n"/>
      <c r="AN537" s="16" t="n"/>
      <c r="AO537" s="138" t="n"/>
      <c r="AP537" s="16" t="n"/>
      <c r="AQ537" s="138" t="n"/>
      <c r="AR537" s="16" t="n"/>
      <c r="AS537" s="138" t="n"/>
      <c r="AT537" s="16" t="n"/>
      <c r="AU537" s="138" t="n"/>
      <c r="AV537" s="16" t="n"/>
      <c r="AW537" s="138" t="n"/>
      <c r="AX537" s="16" t="n"/>
      <c r="AY537" s="138" t="n"/>
      <c r="AZ537" s="16">
        <f>AF537+AH537+AJ537+AL537+AN537+AP537+AR537+AT537+AV537+AX537</f>
        <v/>
      </c>
      <c r="BA537" s="16" t="n"/>
      <c r="BB537" s="139" t="n"/>
      <c r="BC537" s="16" t="n"/>
      <c r="BD537" s="139" t="n"/>
      <c r="BE537" s="16">
        <f>(BA537+BC537)</f>
        <v/>
      </c>
    </row>
    <row r="538">
      <c r="A538" s="9" t="n"/>
      <c r="B538" s="136" t="inlineStr">
        <is>
          <t>브라켓</t>
        </is>
      </c>
      <c r="C538" s="137" t="inlineStr">
        <is>
          <t>ADX6000</t>
        </is>
      </c>
      <c r="D538" s="63" t="inlineStr">
        <is>
          <t>국내용 스탠드 브라켓 1. BLOCK</t>
        </is>
      </c>
      <c r="E538" s="13" t="n"/>
      <c r="F538" s="99" t="n"/>
      <c r="G538" s="9" t="n"/>
      <c r="H538" s="9" t="inlineStr">
        <is>
          <t>제이케이시스템</t>
        </is>
      </c>
      <c r="I538" s="14" t="n"/>
      <c r="J538" s="14" t="n"/>
      <c r="K538" s="12" t="n">
        <v>0</v>
      </c>
      <c r="L538" s="9" t="n"/>
      <c r="M538" s="9" t="n"/>
      <c r="N538" s="9" t="n"/>
      <c r="O538" s="40">
        <f>K538+V538-AE538-AZ538</f>
        <v/>
      </c>
      <c r="P538" s="12" t="n"/>
      <c r="Q538" s="138" t="n"/>
      <c r="R538" s="16" t="n"/>
      <c r="S538" s="139" t="n"/>
      <c r="T538" s="16" t="n"/>
      <c r="U538" s="139" t="n"/>
      <c r="V538" s="16">
        <f>P538+R538+T538</f>
        <v/>
      </c>
      <c r="W538" s="16" t="n"/>
      <c r="X538" s="139" t="n"/>
      <c r="Y538" s="16" t="n"/>
      <c r="Z538" s="139" t="n"/>
      <c r="AA538" s="16" t="n"/>
      <c r="AB538" s="139" t="n"/>
      <c r="AC538" s="16" t="n"/>
      <c r="AD538" s="139" t="n"/>
      <c r="AE538" s="16">
        <f>(W538+Y538+AA538+AC538)</f>
        <v/>
      </c>
      <c r="AF538" s="16" t="n"/>
      <c r="AG538" s="138" t="n"/>
      <c r="AH538" s="16" t="n"/>
      <c r="AI538" s="138" t="n"/>
      <c r="AJ538" s="16" t="n"/>
      <c r="AK538" s="138" t="n"/>
      <c r="AL538" s="16" t="n"/>
      <c r="AM538" s="138" t="n"/>
      <c r="AN538" s="16" t="n"/>
      <c r="AO538" s="138" t="n"/>
      <c r="AP538" s="16" t="n"/>
      <c r="AQ538" s="138" t="n"/>
      <c r="AR538" s="16" t="n"/>
      <c r="AS538" s="138" t="n"/>
      <c r="AT538" s="16" t="n"/>
      <c r="AU538" s="138" t="n"/>
      <c r="AV538" s="16" t="n"/>
      <c r="AW538" s="138" t="n"/>
      <c r="AX538" s="16" t="n"/>
      <c r="AY538" s="138" t="n"/>
      <c r="AZ538" s="16">
        <f>AF538+AH538+AJ538+AL538+AN538+AP538+AR538+AT538+AV538+AX538</f>
        <v/>
      </c>
      <c r="BA538" s="16" t="n"/>
      <c r="BB538" s="139" t="n"/>
      <c r="BC538" s="16" t="n"/>
      <c r="BD538" s="139" t="n"/>
      <c r="BE538" s="16">
        <f>(BA538+BC538)</f>
        <v/>
      </c>
    </row>
    <row r="539">
      <c r="A539" s="9" t="n"/>
      <c r="B539" s="136" t="inlineStr">
        <is>
          <t>브라켓</t>
        </is>
      </c>
      <c r="C539" s="137" t="inlineStr">
        <is>
          <t>ADX6000</t>
        </is>
      </c>
      <c r="D539" s="60" t="inlineStr">
        <is>
          <t>국내용 스탠드 브라켓 2. ARM</t>
        </is>
      </c>
      <c r="E539" s="13" t="n"/>
      <c r="F539" s="99" t="n"/>
      <c r="G539" s="9" t="n"/>
      <c r="H539" s="9" t="inlineStr">
        <is>
          <t>제이케이시스템</t>
        </is>
      </c>
      <c r="I539" s="14" t="n"/>
      <c r="J539" s="14" t="n"/>
      <c r="K539" s="12" t="n">
        <v>0</v>
      </c>
      <c r="L539" s="9" t="n"/>
      <c r="M539" s="9" t="n"/>
      <c r="N539" s="9" t="n"/>
      <c r="O539" s="40">
        <f>K539+V539-AE539-AZ539</f>
        <v/>
      </c>
      <c r="P539" s="12" t="n"/>
      <c r="Q539" s="138" t="n"/>
      <c r="R539" s="16" t="n"/>
      <c r="S539" s="139" t="n"/>
      <c r="T539" s="16" t="n"/>
      <c r="U539" s="139" t="n"/>
      <c r="V539" s="16">
        <f>P539+R539+T539</f>
        <v/>
      </c>
      <c r="W539" s="16" t="n"/>
      <c r="X539" s="139" t="n"/>
      <c r="Y539" s="16" t="n"/>
      <c r="Z539" s="139" t="n"/>
      <c r="AA539" s="16" t="n"/>
      <c r="AB539" s="139" t="n"/>
      <c r="AC539" s="16" t="n"/>
      <c r="AD539" s="139" t="n"/>
      <c r="AE539" s="16">
        <f>(W539+Y539+AA539+AC539)</f>
        <v/>
      </c>
      <c r="AF539" s="16" t="n"/>
      <c r="AG539" s="138" t="n"/>
      <c r="AH539" s="16" t="n"/>
      <c r="AI539" s="138" t="n"/>
      <c r="AJ539" s="16" t="n"/>
      <c r="AK539" s="138" t="n"/>
      <c r="AL539" s="16" t="n"/>
      <c r="AM539" s="138" t="n"/>
      <c r="AN539" s="16" t="n"/>
      <c r="AO539" s="138" t="n"/>
      <c r="AP539" s="16" t="n"/>
      <c r="AQ539" s="138" t="n"/>
      <c r="AR539" s="16" t="n"/>
      <c r="AS539" s="138" t="n"/>
      <c r="AT539" s="16" t="n"/>
      <c r="AU539" s="138" t="n"/>
      <c r="AV539" s="16" t="n"/>
      <c r="AW539" s="138" t="n"/>
      <c r="AX539" s="16" t="n"/>
      <c r="AY539" s="138" t="n"/>
      <c r="AZ539" s="16">
        <f>AF539+AH539+AJ539+AL539+AN539+AP539+AR539+AT539+AV539+AX539</f>
        <v/>
      </c>
      <c r="BA539" s="16" t="n"/>
      <c r="BB539" s="139" t="n"/>
      <c r="BC539" s="16" t="n"/>
      <c r="BD539" s="139" t="n"/>
      <c r="BE539" s="16">
        <f>(BA539+BC539)</f>
        <v/>
      </c>
    </row>
    <row r="540">
      <c r="A540" s="9" t="n"/>
      <c r="B540" s="136" t="inlineStr">
        <is>
          <t>브라켓</t>
        </is>
      </c>
      <c r="C540" s="137" t="inlineStr">
        <is>
          <t>ADX6000</t>
        </is>
      </c>
      <c r="D540" s="60" t="inlineStr">
        <is>
          <t>국내용 스탠드 브라켓 3. TILT BODY</t>
        </is>
      </c>
      <c r="E540" s="13" t="n"/>
      <c r="F540" s="99" t="n"/>
      <c r="G540" s="9" t="n"/>
      <c r="H540" s="9" t="inlineStr">
        <is>
          <t>제이케이시스템</t>
        </is>
      </c>
      <c r="I540" s="14" t="n"/>
      <c r="J540" s="14" t="n"/>
      <c r="K540" s="12" t="n">
        <v>0</v>
      </c>
      <c r="L540" s="9" t="n"/>
      <c r="M540" s="9" t="n"/>
      <c r="N540" s="9" t="n"/>
      <c r="O540" s="40">
        <f>K540+V540-AE540-AZ540</f>
        <v/>
      </c>
      <c r="P540" s="12" t="n"/>
      <c r="Q540" s="138" t="n"/>
      <c r="R540" s="16" t="n"/>
      <c r="S540" s="139" t="n"/>
      <c r="T540" s="16" t="n"/>
      <c r="U540" s="139" t="n"/>
      <c r="V540" s="16">
        <f>P540+R540+T540</f>
        <v/>
      </c>
      <c r="W540" s="16" t="n"/>
      <c r="X540" s="139" t="n"/>
      <c r="Y540" s="16" t="n"/>
      <c r="Z540" s="139" t="n"/>
      <c r="AA540" s="16" t="n"/>
      <c r="AB540" s="139" t="n"/>
      <c r="AC540" s="16" t="n"/>
      <c r="AD540" s="139" t="n"/>
      <c r="AE540" s="16">
        <f>(W540+Y540+AA540+AC540)</f>
        <v/>
      </c>
      <c r="AF540" s="16" t="n"/>
      <c r="AG540" s="138" t="n"/>
      <c r="AH540" s="16" t="n"/>
      <c r="AI540" s="138" t="n"/>
      <c r="AJ540" s="16" t="n"/>
      <c r="AK540" s="138" t="n"/>
      <c r="AL540" s="16" t="n"/>
      <c r="AM540" s="138" t="n"/>
      <c r="AN540" s="16" t="n"/>
      <c r="AO540" s="138" t="n"/>
      <c r="AP540" s="16" t="n"/>
      <c r="AQ540" s="138" t="n"/>
      <c r="AR540" s="16" t="n"/>
      <c r="AS540" s="138" t="n"/>
      <c r="AT540" s="16" t="n"/>
      <c r="AU540" s="138" t="n"/>
      <c r="AV540" s="16" t="n"/>
      <c r="AW540" s="138" t="n"/>
      <c r="AX540" s="16" t="n"/>
      <c r="AY540" s="138" t="n"/>
      <c r="AZ540" s="16">
        <f>AF540+AH540+AJ540+AL540+AN540+AP540+AR540+AT540+AV540+AX540</f>
        <v/>
      </c>
      <c r="BA540" s="16" t="n"/>
      <c r="BB540" s="139" t="n"/>
      <c r="BC540" s="16" t="n"/>
      <c r="BD540" s="139" t="n"/>
      <c r="BE540" s="16">
        <f>(BA540+BC540)</f>
        <v/>
      </c>
    </row>
    <row r="541">
      <c r="A541" s="9" t="n"/>
      <c r="B541" s="136" t="inlineStr">
        <is>
          <t>브라켓</t>
        </is>
      </c>
      <c r="C541" s="137" t="inlineStr">
        <is>
          <t>ADX6000</t>
        </is>
      </c>
      <c r="D541" s="60" t="inlineStr">
        <is>
          <t>국내용 스탠드 브라켓 4. BASE</t>
        </is>
      </c>
      <c r="E541" s="13" t="n"/>
      <c r="F541" s="99" t="n"/>
      <c r="G541" s="9" t="n"/>
      <c r="H541" s="9" t="inlineStr">
        <is>
          <t>제이케이시스템</t>
        </is>
      </c>
      <c r="I541" s="14" t="n"/>
      <c r="J541" s="14" t="n"/>
      <c r="K541" s="12" t="n">
        <v>0</v>
      </c>
      <c r="L541" s="9" t="n"/>
      <c r="M541" s="9" t="n"/>
      <c r="N541" s="9" t="n"/>
      <c r="O541" s="40">
        <f>K541+V541-AE541-AZ541</f>
        <v/>
      </c>
      <c r="P541" s="12" t="n"/>
      <c r="Q541" s="138" t="n"/>
      <c r="R541" s="16" t="n"/>
      <c r="S541" s="139" t="n"/>
      <c r="T541" s="16" t="n"/>
      <c r="U541" s="139" t="n"/>
      <c r="V541" s="16">
        <f>P541+R541+T541</f>
        <v/>
      </c>
      <c r="W541" s="16" t="n"/>
      <c r="X541" s="139" t="n"/>
      <c r="Y541" s="16" t="n"/>
      <c r="Z541" s="139" t="n"/>
      <c r="AA541" s="16" t="n"/>
      <c r="AB541" s="139" t="n"/>
      <c r="AC541" s="16" t="n"/>
      <c r="AD541" s="139" t="n"/>
      <c r="AE541" s="16">
        <f>(W541+Y541+AA541+AC541)</f>
        <v/>
      </c>
      <c r="AF541" s="16" t="n"/>
      <c r="AG541" s="138" t="n"/>
      <c r="AH541" s="16" t="n"/>
      <c r="AI541" s="138" t="n"/>
      <c r="AJ541" s="16" t="n"/>
      <c r="AK541" s="138" t="n"/>
      <c r="AL541" s="16" t="n"/>
      <c r="AM541" s="138" t="n"/>
      <c r="AN541" s="16" t="n"/>
      <c r="AO541" s="138" t="n"/>
      <c r="AP541" s="16" t="n"/>
      <c r="AQ541" s="138" t="n"/>
      <c r="AR541" s="16" t="n"/>
      <c r="AS541" s="138" t="n"/>
      <c r="AT541" s="16" t="n"/>
      <c r="AU541" s="138" t="n"/>
      <c r="AV541" s="16" t="n"/>
      <c r="AW541" s="138" t="n"/>
      <c r="AX541" s="16" t="n"/>
      <c r="AY541" s="138" t="n"/>
      <c r="AZ541" s="16">
        <f>AF541+AH541+AJ541+AL541+AN541+AP541+AR541+AT541+AV541+AX541</f>
        <v/>
      </c>
      <c r="BA541" s="16" t="n"/>
      <c r="BB541" s="139" t="n"/>
      <c r="BC541" s="16" t="n"/>
      <c r="BD541" s="139" t="n"/>
      <c r="BE541" s="16">
        <f>(BA541+BC541)</f>
        <v/>
      </c>
    </row>
    <row r="542">
      <c r="A542" s="9" t="n"/>
      <c r="B542" s="136" t="inlineStr">
        <is>
          <t>브라켓</t>
        </is>
      </c>
      <c r="C542" s="137" t="inlineStr">
        <is>
          <t>ADX6000</t>
        </is>
      </c>
      <c r="D542" s="60" t="inlineStr">
        <is>
          <t>국내용 스탠드 브라켓 5. SHAFT</t>
        </is>
      </c>
      <c r="E542" s="13" t="n"/>
      <c r="F542" s="99" t="n"/>
      <c r="G542" s="9" t="n"/>
      <c r="H542" s="9" t="inlineStr">
        <is>
          <t>제이케이시스템</t>
        </is>
      </c>
      <c r="I542" s="14" t="n"/>
      <c r="J542" s="14" t="n"/>
      <c r="K542" s="12" t="n">
        <v>0</v>
      </c>
      <c r="L542" s="9" t="n"/>
      <c r="M542" s="9" t="n"/>
      <c r="N542" s="9" t="n"/>
      <c r="O542" s="40">
        <f>K542+V542-AE542-AZ542</f>
        <v/>
      </c>
      <c r="P542" s="12" t="n"/>
      <c r="Q542" s="138" t="n"/>
      <c r="R542" s="16" t="n"/>
      <c r="S542" s="139" t="n"/>
      <c r="T542" s="16" t="n"/>
      <c r="U542" s="139" t="n"/>
      <c r="V542" s="16">
        <f>P542+R542+T542</f>
        <v/>
      </c>
      <c r="W542" s="16" t="n"/>
      <c r="X542" s="139" t="n"/>
      <c r="Y542" s="16" t="n"/>
      <c r="Z542" s="139" t="n"/>
      <c r="AA542" s="16" t="n"/>
      <c r="AB542" s="139" t="n"/>
      <c r="AC542" s="16" t="n"/>
      <c r="AD542" s="139" t="n"/>
      <c r="AE542" s="16">
        <f>(W542+Y542+AA542+AC542)</f>
        <v/>
      </c>
      <c r="AF542" s="16" t="n"/>
      <c r="AG542" s="138" t="n"/>
      <c r="AH542" s="16" t="n"/>
      <c r="AI542" s="138" t="n"/>
      <c r="AJ542" s="16" t="n"/>
      <c r="AK542" s="138" t="n"/>
      <c r="AL542" s="16" t="n"/>
      <c r="AM542" s="138" t="n"/>
      <c r="AN542" s="16" t="n"/>
      <c r="AO542" s="138" t="n"/>
      <c r="AP542" s="16" t="n"/>
      <c r="AQ542" s="138" t="n"/>
      <c r="AR542" s="16" t="n"/>
      <c r="AS542" s="138" t="n"/>
      <c r="AT542" s="16" t="n"/>
      <c r="AU542" s="138" t="n"/>
      <c r="AV542" s="16" t="n"/>
      <c r="AW542" s="138" t="n"/>
      <c r="AX542" s="16" t="n"/>
      <c r="AY542" s="138" t="n"/>
      <c r="AZ542" s="16">
        <f>AF542+AH542+AJ542+AL542+AN542+AP542+AR542+AT542+AV542+AX542</f>
        <v/>
      </c>
      <c r="BA542" s="16" t="n"/>
      <c r="BB542" s="139" t="n"/>
      <c r="BC542" s="16" t="n"/>
      <c r="BD542" s="139" t="n"/>
      <c r="BE542" s="16">
        <f>(BA542+BC542)</f>
        <v/>
      </c>
    </row>
    <row r="543">
      <c r="A543" s="9" t="n"/>
      <c r="B543" s="136" t="inlineStr">
        <is>
          <t>브라켓</t>
        </is>
      </c>
      <c r="C543" s="137" t="inlineStr">
        <is>
          <t>ADX6000</t>
        </is>
      </c>
      <c r="D543" s="63" t="inlineStr">
        <is>
          <t>국내용 스탠드 브라켓 6. PUSH PLATE</t>
        </is>
      </c>
      <c r="E543" s="13" t="n"/>
      <c r="F543" s="99" t="n"/>
      <c r="G543" s="9" t="n"/>
      <c r="H543" s="9" t="inlineStr">
        <is>
          <t>제이케이시스템</t>
        </is>
      </c>
      <c r="I543" s="14" t="n"/>
      <c r="J543" s="14" t="n"/>
      <c r="K543" s="12" t="n">
        <v>0</v>
      </c>
      <c r="L543" s="9" t="n"/>
      <c r="M543" s="9" t="n"/>
      <c r="N543" s="9" t="n"/>
      <c r="O543" s="40">
        <f>K543+V543-AE543-AZ543</f>
        <v/>
      </c>
      <c r="P543" s="12" t="n"/>
      <c r="Q543" s="138" t="n"/>
      <c r="R543" s="16" t="n"/>
      <c r="S543" s="139" t="n"/>
      <c r="T543" s="16" t="n"/>
      <c r="U543" s="139" t="n"/>
      <c r="V543" s="16">
        <f>P543+R543+T543</f>
        <v/>
      </c>
      <c r="W543" s="16" t="n"/>
      <c r="X543" s="139" t="n"/>
      <c r="Y543" s="16" t="n"/>
      <c r="Z543" s="139" t="n"/>
      <c r="AA543" s="16" t="n"/>
      <c r="AB543" s="139" t="n"/>
      <c r="AC543" s="16" t="n"/>
      <c r="AD543" s="139" t="n"/>
      <c r="AE543" s="16">
        <f>(W543+Y543+AA543+AC543)</f>
        <v/>
      </c>
      <c r="AF543" s="16" t="n"/>
      <c r="AG543" s="138" t="n"/>
      <c r="AH543" s="16" t="n"/>
      <c r="AI543" s="138" t="n"/>
      <c r="AJ543" s="16" t="n"/>
      <c r="AK543" s="138" t="n"/>
      <c r="AL543" s="16" t="n"/>
      <c r="AM543" s="138" t="n"/>
      <c r="AN543" s="16" t="n"/>
      <c r="AO543" s="138" t="n"/>
      <c r="AP543" s="16" t="n"/>
      <c r="AQ543" s="138" t="n"/>
      <c r="AR543" s="16" t="n"/>
      <c r="AS543" s="138" t="n"/>
      <c r="AT543" s="16" t="n"/>
      <c r="AU543" s="138" t="n"/>
      <c r="AV543" s="16" t="n"/>
      <c r="AW543" s="138" t="n"/>
      <c r="AX543" s="16" t="n"/>
      <c r="AY543" s="138" t="n"/>
      <c r="AZ543" s="16">
        <f>AF543+AH543+AJ543+AL543+AN543+AP543+AR543+AT543+AV543+AX543</f>
        <v/>
      </c>
      <c r="BA543" s="16" t="n"/>
      <c r="BB543" s="139" t="n"/>
      <c r="BC543" s="16" t="n"/>
      <c r="BD543" s="139" t="n"/>
      <c r="BE543" s="16">
        <f>(BA543+BC543)</f>
        <v/>
      </c>
    </row>
    <row r="544">
      <c r="A544" s="9" t="n"/>
      <c r="B544" s="136" t="inlineStr">
        <is>
          <t>브라켓</t>
        </is>
      </c>
      <c r="C544" s="137" t="inlineStr">
        <is>
          <t>ADX6000</t>
        </is>
      </c>
      <c r="D544" s="63" t="inlineStr">
        <is>
          <t>국내용 스탠드 브라켓 7. EASY LOCK PLATE</t>
        </is>
      </c>
      <c r="E544" s="13" t="n"/>
      <c r="F544" s="99" t="n"/>
      <c r="G544" s="9" t="n"/>
      <c r="H544" s="9" t="inlineStr">
        <is>
          <t>제이케이시스템</t>
        </is>
      </c>
      <c r="I544" s="14" t="n"/>
      <c r="J544" s="14" t="n"/>
      <c r="K544" s="12" t="n">
        <v>0</v>
      </c>
      <c r="L544" s="9" t="n"/>
      <c r="M544" s="9" t="n"/>
      <c r="N544" s="9" t="n"/>
      <c r="O544" s="40">
        <f>K544+V544-AE544-AZ544</f>
        <v/>
      </c>
      <c r="P544" s="12" t="n"/>
      <c r="Q544" s="138" t="n"/>
      <c r="R544" s="16" t="n"/>
      <c r="S544" s="139" t="n"/>
      <c r="T544" s="16" t="n"/>
      <c r="U544" s="139" t="n"/>
      <c r="V544" s="16">
        <f>P544+R544+T544</f>
        <v/>
      </c>
      <c r="W544" s="16" t="n"/>
      <c r="X544" s="139" t="n"/>
      <c r="Y544" s="16" t="n"/>
      <c r="Z544" s="139" t="n"/>
      <c r="AA544" s="16" t="n"/>
      <c r="AB544" s="139" t="n"/>
      <c r="AC544" s="16" t="n"/>
      <c r="AD544" s="139" t="n"/>
      <c r="AE544" s="16">
        <f>(W544+Y544+AA544+AC544)</f>
        <v/>
      </c>
      <c r="AF544" s="16" t="n"/>
      <c r="AG544" s="138" t="n"/>
      <c r="AH544" s="16" t="n"/>
      <c r="AI544" s="138" t="n"/>
      <c r="AJ544" s="16" t="n"/>
      <c r="AK544" s="138" t="n"/>
      <c r="AL544" s="16" t="n"/>
      <c r="AM544" s="138" t="n"/>
      <c r="AN544" s="16" t="n"/>
      <c r="AO544" s="138" t="n"/>
      <c r="AP544" s="16" t="n"/>
      <c r="AQ544" s="138" t="n"/>
      <c r="AR544" s="16" t="n"/>
      <c r="AS544" s="138" t="n"/>
      <c r="AT544" s="16" t="n"/>
      <c r="AU544" s="138" t="n"/>
      <c r="AV544" s="16" t="n"/>
      <c r="AW544" s="138" t="n"/>
      <c r="AX544" s="16" t="n"/>
      <c r="AY544" s="138" t="n"/>
      <c r="AZ544" s="16">
        <f>AF544+AH544+AJ544+AL544+AN544+AP544+AR544+AT544+AV544+AX544</f>
        <v/>
      </c>
      <c r="BA544" s="16" t="n"/>
      <c r="BB544" s="139" t="n"/>
      <c r="BC544" s="16" t="n"/>
      <c r="BD544" s="139" t="n"/>
      <c r="BE544" s="16">
        <f>(BA544+BC544)</f>
        <v/>
      </c>
    </row>
    <row r="545">
      <c r="A545" s="9" t="n"/>
      <c r="B545" s="136" t="inlineStr">
        <is>
          <t>브라켓</t>
        </is>
      </c>
      <c r="C545" s="137" t="inlineStr">
        <is>
          <t>ADX6000</t>
        </is>
      </c>
      <c r="D545" s="79" t="inlineStr">
        <is>
          <t>국내용 스탠드 브라켓 8. MOUNT</t>
        </is>
      </c>
      <c r="E545" s="13" t="n"/>
      <c r="F545" s="99" t="n"/>
      <c r="G545" s="9" t="n"/>
      <c r="H545" s="9" t="inlineStr">
        <is>
          <t>제이케이시스템</t>
        </is>
      </c>
      <c r="I545" s="14" t="n"/>
      <c r="J545" s="14" t="n"/>
      <c r="K545" s="12" t="n">
        <v>0</v>
      </c>
      <c r="L545" s="9" t="n"/>
      <c r="M545" s="9" t="n"/>
      <c r="N545" s="9" t="n"/>
      <c r="O545" s="40">
        <f>K545+V545-AE545-AZ545</f>
        <v/>
      </c>
      <c r="P545" s="12" t="n"/>
      <c r="Q545" s="138" t="n"/>
      <c r="R545" s="16" t="n"/>
      <c r="S545" s="139" t="n"/>
      <c r="T545" s="16" t="n"/>
      <c r="U545" s="139" t="n"/>
      <c r="V545" s="16">
        <f>P545+R545+T545</f>
        <v/>
      </c>
      <c r="W545" s="16" t="n"/>
      <c r="X545" s="139" t="n"/>
      <c r="Y545" s="16" t="n"/>
      <c r="Z545" s="139" t="n"/>
      <c r="AA545" s="16" t="n"/>
      <c r="AB545" s="139" t="n"/>
      <c r="AC545" s="16" t="n"/>
      <c r="AD545" s="139" t="n"/>
      <c r="AE545" s="16">
        <f>(W545+Y545+AA545+AC545)</f>
        <v/>
      </c>
      <c r="AF545" s="16" t="n"/>
      <c r="AG545" s="138" t="n"/>
      <c r="AH545" s="16" t="n"/>
      <c r="AI545" s="138" t="n"/>
      <c r="AJ545" s="16" t="n"/>
      <c r="AK545" s="138" t="n"/>
      <c r="AL545" s="16" t="n"/>
      <c r="AM545" s="138" t="n"/>
      <c r="AN545" s="16" t="n"/>
      <c r="AO545" s="138" t="n"/>
      <c r="AP545" s="16" t="n"/>
      <c r="AQ545" s="138" t="n"/>
      <c r="AR545" s="16" t="n"/>
      <c r="AS545" s="138" t="n"/>
      <c r="AT545" s="16" t="n"/>
      <c r="AU545" s="138" t="n"/>
      <c r="AV545" s="16" t="n"/>
      <c r="AW545" s="138" t="n"/>
      <c r="AX545" s="16" t="n"/>
      <c r="AY545" s="138" t="n"/>
      <c r="AZ545" s="16">
        <f>AF545+AH545+AJ545+AL545+AN545+AP545+AR545+AT545+AV545+AX545</f>
        <v/>
      </c>
      <c r="BA545" s="16" t="n"/>
      <c r="BB545" s="139" t="n"/>
      <c r="BC545" s="16" t="n"/>
      <c r="BD545" s="139" t="n"/>
      <c r="BE545" s="16">
        <f>(BA545+BC545)</f>
        <v/>
      </c>
    </row>
    <row r="546">
      <c r="A546" s="9" t="n"/>
      <c r="B546" s="136" t="inlineStr">
        <is>
          <t>브라켓</t>
        </is>
      </c>
      <c r="C546" s="137" t="inlineStr">
        <is>
          <t>ADX6000</t>
        </is>
      </c>
      <c r="D546" s="91" t="inlineStr">
        <is>
          <t>국내용 스탠드 브라켓 9. 조임 손잡이</t>
        </is>
      </c>
      <c r="E546" s="13" t="n"/>
      <c r="F546" s="99" t="n"/>
      <c r="G546" s="9" t="n"/>
      <c r="H546" s="9" t="inlineStr">
        <is>
          <t>제이케이시스템</t>
        </is>
      </c>
      <c r="I546" s="14" t="n"/>
      <c r="J546" s="14" t="n"/>
      <c r="K546" s="12" t="n">
        <v>0</v>
      </c>
      <c r="L546" s="9" t="n"/>
      <c r="M546" s="9" t="n"/>
      <c r="N546" s="9" t="n"/>
      <c r="O546" s="40">
        <f>K546+V546-AE546-AZ546</f>
        <v/>
      </c>
      <c r="P546" s="12" t="n"/>
      <c r="Q546" s="138" t="n"/>
      <c r="R546" s="16" t="n"/>
      <c r="S546" s="139" t="n"/>
      <c r="T546" s="16" t="n"/>
      <c r="U546" s="139" t="n"/>
      <c r="V546" s="16">
        <f>P546+R546+T546</f>
        <v/>
      </c>
      <c r="W546" s="16" t="n"/>
      <c r="X546" s="139" t="n"/>
      <c r="Y546" s="16" t="n"/>
      <c r="Z546" s="139" t="n"/>
      <c r="AA546" s="16" t="n"/>
      <c r="AB546" s="139" t="n"/>
      <c r="AC546" s="16" t="n"/>
      <c r="AD546" s="139" t="n"/>
      <c r="AE546" s="16">
        <f>(W546+Y546+AA546+AC546)</f>
        <v/>
      </c>
      <c r="AF546" s="16" t="n"/>
      <c r="AG546" s="138" t="n"/>
      <c r="AH546" s="16" t="n"/>
      <c r="AI546" s="138" t="n"/>
      <c r="AJ546" s="16" t="n"/>
      <c r="AK546" s="138" t="n"/>
      <c r="AL546" s="16" t="n"/>
      <c r="AM546" s="138" t="n"/>
      <c r="AN546" s="16" t="n"/>
      <c r="AO546" s="138" t="n"/>
      <c r="AP546" s="16" t="n"/>
      <c r="AQ546" s="138" t="n"/>
      <c r="AR546" s="16" t="n"/>
      <c r="AS546" s="138" t="n"/>
      <c r="AT546" s="16" t="n"/>
      <c r="AU546" s="138" t="n"/>
      <c r="AV546" s="16" t="n"/>
      <c r="AW546" s="138" t="n"/>
      <c r="AX546" s="16" t="n"/>
      <c r="AY546" s="138" t="n"/>
      <c r="AZ546" s="16">
        <f>AF546+AH546+AJ546+AL546+AN546+AP546+AR546+AT546+AV546+AX546</f>
        <v/>
      </c>
      <c r="BA546" s="16" t="n"/>
      <c r="BB546" s="139" t="n"/>
      <c r="BC546" s="16" t="n"/>
      <c r="BD546" s="139" t="n"/>
      <c r="BE546" s="16">
        <f>(BA546+BC546)</f>
        <v/>
      </c>
    </row>
    <row r="547">
      <c r="A547" s="9" t="n"/>
      <c r="B547" s="136" t="inlineStr">
        <is>
          <t>전자 각도기</t>
        </is>
      </c>
      <c r="C547" s="137" t="inlineStr">
        <is>
          <t>ADX6000S</t>
        </is>
      </c>
      <c r="D547" s="79" t="inlineStr">
        <is>
          <t>전자 각도기</t>
        </is>
      </c>
      <c r="E547" s="13" t="n"/>
      <c r="F547" s="99" t="n"/>
      <c r="G547" s="9" t="n"/>
      <c r="H547" s="9" t="inlineStr">
        <is>
          <t>제이케이시스템</t>
        </is>
      </c>
      <c r="I547" s="14" t="n"/>
      <c r="J547" s="14" t="n"/>
      <c r="K547" s="12" t="n">
        <v>0</v>
      </c>
      <c r="L547" s="9" t="n"/>
      <c r="M547" s="9" t="n"/>
      <c r="N547" s="9" t="n"/>
      <c r="O547" s="40">
        <f>K547+V547-AE547-AZ547</f>
        <v/>
      </c>
      <c r="P547" s="12" t="n"/>
      <c r="Q547" s="138" t="n"/>
      <c r="R547" s="16" t="n"/>
      <c r="S547" s="139" t="n"/>
      <c r="T547" s="16" t="n"/>
      <c r="U547" s="139" t="n"/>
      <c r="V547" s="16">
        <f>P547+R547+T547</f>
        <v/>
      </c>
      <c r="W547" s="16" t="n"/>
      <c r="X547" s="139" t="n"/>
      <c r="Y547" s="16" t="n"/>
      <c r="Z547" s="139" t="n"/>
      <c r="AA547" s="16" t="n"/>
      <c r="AB547" s="139" t="n"/>
      <c r="AC547" s="16" t="n"/>
      <c r="AD547" s="139" t="n"/>
      <c r="AE547" s="16">
        <f>(W547+Y547+AA547+AC547)</f>
        <v/>
      </c>
      <c r="AF547" s="16" t="n"/>
      <c r="AG547" s="138" t="n"/>
      <c r="AH547" s="16" t="n"/>
      <c r="AI547" s="138" t="n"/>
      <c r="AJ547" s="16" t="n"/>
      <c r="AK547" s="138" t="n"/>
      <c r="AL547" s="16" t="n"/>
      <c r="AM547" s="138" t="n"/>
      <c r="AN547" s="16" t="n"/>
      <c r="AO547" s="138" t="n"/>
      <c r="AP547" s="16" t="n"/>
      <c r="AQ547" s="138" t="n"/>
      <c r="AR547" s="16" t="n"/>
      <c r="AS547" s="138" t="n"/>
      <c r="AT547" s="16" t="n"/>
      <c r="AU547" s="138" t="n"/>
      <c r="AV547" s="16" t="n"/>
      <c r="AW547" s="138" t="n"/>
      <c r="AX547" s="16" t="n"/>
      <c r="AY547" s="138" t="n"/>
      <c r="AZ547" s="16">
        <f>AF547+AH547+AJ547+AL547+AN547+AP547+AR547+AT547+AV547+AX547</f>
        <v/>
      </c>
      <c r="BA547" s="16" t="n"/>
      <c r="BB547" s="139" t="n"/>
      <c r="BC547" s="16" t="n"/>
      <c r="BD547" s="139" t="n"/>
      <c r="BE547" s="16">
        <f>(BA547+BC547)</f>
        <v/>
      </c>
    </row>
    <row r="548">
      <c r="A548" s="9" t="n"/>
      <c r="B548" s="136" t="inlineStr">
        <is>
          <t>AL 거치대</t>
        </is>
      </c>
      <c r="C548" s="137" t="inlineStr">
        <is>
          <t>ADX6000</t>
        </is>
      </c>
      <c r="D548" s="79" t="inlineStr">
        <is>
          <t>각도기 거치대</t>
        </is>
      </c>
      <c r="E548" s="13" t="n"/>
      <c r="F548" s="99" t="n"/>
      <c r="G548" s="9" t="n"/>
      <c r="H548" s="9" t="inlineStr">
        <is>
          <t>다우정밀</t>
        </is>
      </c>
      <c r="I548" s="14" t="n"/>
      <c r="J548" s="14" t="n"/>
      <c r="K548" s="12" t="n">
        <v>37</v>
      </c>
      <c r="L548" s="9" t="n"/>
      <c r="M548" s="9" t="n"/>
      <c r="N548" s="9" t="n"/>
      <c r="O548" s="40">
        <f>K548+V548-AE548-AZ548</f>
        <v/>
      </c>
      <c r="P548" s="12" t="n"/>
      <c r="Q548" s="138" t="n"/>
      <c r="R548" s="16" t="n"/>
      <c r="S548" s="139" t="n"/>
      <c r="T548" s="16" t="n"/>
      <c r="U548" s="139" t="n"/>
      <c r="V548" s="16">
        <f>P548+R548+T548</f>
        <v/>
      </c>
      <c r="W548" s="16" t="n"/>
      <c r="X548" s="139" t="n"/>
      <c r="Y548" s="16" t="n"/>
      <c r="Z548" s="139" t="n"/>
      <c r="AA548" s="16" t="n"/>
      <c r="AB548" s="139" t="n"/>
      <c r="AC548" s="16" t="n"/>
      <c r="AD548" s="139" t="n"/>
      <c r="AE548" s="16">
        <f>(W548+Y548+AA548+AC548)</f>
        <v/>
      </c>
      <c r="AF548" s="16" t="n"/>
      <c r="AG548" s="138" t="n"/>
      <c r="AH548" s="16" t="n"/>
      <c r="AI548" s="138" t="n"/>
      <c r="AJ548" s="16" t="n"/>
      <c r="AK548" s="138" t="n"/>
      <c r="AL548" s="16" t="n"/>
      <c r="AM548" s="138" t="n"/>
      <c r="AN548" s="16" t="n"/>
      <c r="AO548" s="138" t="n"/>
      <c r="AP548" s="16" t="n"/>
      <c r="AQ548" s="138" t="n"/>
      <c r="AR548" s="16" t="n"/>
      <c r="AS548" s="138" t="n"/>
      <c r="AT548" s="16" t="n"/>
      <c r="AU548" s="138" t="n"/>
      <c r="AV548" s="16" t="n"/>
      <c r="AW548" s="138" t="n"/>
      <c r="AX548" s="16" t="n"/>
      <c r="AY548" s="138" t="n"/>
      <c r="AZ548" s="16">
        <f>AF548+AH548+AJ548+AL548+AN548+AP548+AR548+AT548+AV548+AX548</f>
        <v/>
      </c>
      <c r="BA548" s="16" t="n"/>
      <c r="BB548" s="139" t="n"/>
      <c r="BC548" s="16" t="n"/>
      <c r="BD548" s="139" t="n"/>
      <c r="BE548" s="16">
        <f>(BA548+BC548)</f>
        <v/>
      </c>
    </row>
    <row r="549">
      <c r="A549" s="9" t="n"/>
      <c r="B549" s="136" t="inlineStr">
        <is>
          <t>SUS</t>
        </is>
      </c>
      <c r="C549" s="137" t="inlineStr">
        <is>
          <t>ADX6000</t>
        </is>
      </c>
      <c r="D549" s="79" t="inlineStr">
        <is>
          <t>각도기 내부 철판</t>
        </is>
      </c>
      <c r="E549" s="13" t="n"/>
      <c r="F549" s="99" t="n"/>
      <c r="G549" s="9" t="n"/>
      <c r="H549" s="9" t="inlineStr">
        <is>
          <t>다우정밀</t>
        </is>
      </c>
      <c r="I549" s="14" t="n"/>
      <c r="J549" s="14" t="n"/>
      <c r="K549" s="12" t="n">
        <v>91</v>
      </c>
      <c r="L549" s="9" t="n"/>
      <c r="M549" s="9" t="n"/>
      <c r="N549" s="9" t="n"/>
      <c r="O549" s="40">
        <f>K549+V549-AE549-AZ549</f>
        <v/>
      </c>
      <c r="P549" s="12" t="n"/>
      <c r="Q549" s="138" t="n"/>
      <c r="R549" s="16" t="n"/>
      <c r="S549" s="139" t="n"/>
      <c r="T549" s="16" t="n"/>
      <c r="U549" s="139" t="n"/>
      <c r="V549" s="16">
        <f>P549+R549+T549</f>
        <v/>
      </c>
      <c r="W549" s="16" t="n"/>
      <c r="X549" s="139" t="n"/>
      <c r="Y549" s="16" t="n"/>
      <c r="Z549" s="139" t="n"/>
      <c r="AA549" s="16" t="n"/>
      <c r="AB549" s="139" t="n"/>
      <c r="AC549" s="16" t="n"/>
      <c r="AD549" s="139" t="n"/>
      <c r="AE549" s="16">
        <f>(W549+Y549+AA549+AC549)</f>
        <v/>
      </c>
      <c r="AF549" s="16" t="n"/>
      <c r="AG549" s="138" t="n"/>
      <c r="AH549" s="16" t="n"/>
      <c r="AI549" s="138" t="n"/>
      <c r="AJ549" s="16" t="n"/>
      <c r="AK549" s="138" t="n"/>
      <c r="AL549" s="16" t="n"/>
      <c r="AM549" s="138" t="n"/>
      <c r="AN549" s="16" t="n"/>
      <c r="AO549" s="138" t="n"/>
      <c r="AP549" s="16" t="n"/>
      <c r="AQ549" s="138" t="n"/>
      <c r="AR549" s="16" t="n"/>
      <c r="AS549" s="138" t="n"/>
      <c r="AT549" s="16" t="n"/>
      <c r="AU549" s="138" t="n"/>
      <c r="AV549" s="16" t="n"/>
      <c r="AW549" s="138" t="n"/>
      <c r="AX549" s="16" t="n"/>
      <c r="AY549" s="138" t="n"/>
      <c r="AZ549" s="16">
        <f>AF549+AH549+AJ549+AL549+AN549+AP549+AR549+AT549+AV549+AX549</f>
        <v/>
      </c>
      <c r="BA549" s="16" t="n"/>
      <c r="BB549" s="139" t="n"/>
      <c r="BC549" s="16" t="n"/>
      <c r="BD549" s="139" t="n"/>
      <c r="BE549" s="16">
        <f>(BA549+BC549)</f>
        <v/>
      </c>
    </row>
    <row r="550">
      <c r="A550" s="9" t="n"/>
      <c r="B550" s="136" t="inlineStr">
        <is>
          <t>ABS 난연</t>
        </is>
      </c>
      <c r="C550" s="137" t="inlineStr">
        <is>
          <t>ADX6000</t>
        </is>
      </c>
      <c r="D550" s="65" t="inlineStr">
        <is>
          <t>각도기 홀더</t>
        </is>
      </c>
      <c r="E550" s="13" t="n"/>
      <c r="F550" s="99" t="n"/>
      <c r="G550" s="9" t="n"/>
      <c r="H550" s="24" t="inlineStr">
        <is>
          <t>제이케이시스템</t>
        </is>
      </c>
      <c r="I550" s="14" t="n"/>
      <c r="J550" s="14" t="n"/>
      <c r="K550" s="12" t="n">
        <v>0</v>
      </c>
      <c r="L550" s="9" t="n"/>
      <c r="M550" s="9" t="n"/>
      <c r="N550" s="9" t="n"/>
      <c r="O550" s="40">
        <f>K550+V550-AE550-AZ550</f>
        <v/>
      </c>
      <c r="P550" s="12" t="n"/>
      <c r="Q550" s="138" t="n"/>
      <c r="R550" s="16" t="n"/>
      <c r="S550" s="139" t="n"/>
      <c r="T550" s="16" t="n"/>
      <c r="U550" s="139" t="n"/>
      <c r="V550" s="16">
        <f>P550+R550+T550</f>
        <v/>
      </c>
      <c r="W550" s="16" t="n"/>
      <c r="X550" s="139" t="n"/>
      <c r="Y550" s="16" t="n"/>
      <c r="Z550" s="139" t="n"/>
      <c r="AA550" s="16" t="n"/>
      <c r="AB550" s="139" t="n"/>
      <c r="AC550" s="16" t="n"/>
      <c r="AD550" s="139" t="n"/>
      <c r="AE550" s="16">
        <f>(W550+Y550+AA550+AC550)</f>
        <v/>
      </c>
      <c r="AF550" s="16" t="n"/>
      <c r="AG550" s="138" t="n"/>
      <c r="AH550" s="16" t="n"/>
      <c r="AI550" s="138" t="n"/>
      <c r="AJ550" s="16" t="n"/>
      <c r="AK550" s="138" t="n"/>
      <c r="AL550" s="16" t="n"/>
      <c r="AM550" s="138" t="n"/>
      <c r="AN550" s="16" t="n"/>
      <c r="AO550" s="138" t="n"/>
      <c r="AP550" s="16" t="n"/>
      <c r="AQ550" s="138" t="n"/>
      <c r="AR550" s="16" t="n"/>
      <c r="AS550" s="138" t="n"/>
      <c r="AT550" s="16" t="n"/>
      <c r="AU550" s="138" t="n"/>
      <c r="AV550" s="16" t="n"/>
      <c r="AW550" s="138" t="n"/>
      <c r="AX550" s="16" t="n"/>
      <c r="AY550" s="138" t="n"/>
      <c r="AZ550" s="16">
        <f>AF550+AH550+AJ550+AL550+AN550+AP550+AR550+AT550+AV550+AX550</f>
        <v/>
      </c>
      <c r="BA550" s="16" t="n"/>
      <c r="BB550" s="139" t="n"/>
      <c r="BC550" s="16" t="n"/>
      <c r="BD550" s="139" t="n"/>
      <c r="BE550" s="16">
        <f>(BA550+BC550)</f>
        <v/>
      </c>
    </row>
    <row r="551">
      <c r="A551" s="9" t="n"/>
      <c r="B551" s="136" t="inlineStr">
        <is>
          <t>아크릴</t>
        </is>
      </c>
      <c r="C551" s="137" t="inlineStr">
        <is>
          <t>ADX6000S</t>
        </is>
      </c>
      <c r="D551" s="65" t="inlineStr">
        <is>
          <t>사각 줄자 가이드</t>
        </is>
      </c>
      <c r="E551" s="13" t="n"/>
      <c r="F551" s="99" t="n"/>
      <c r="G551" s="9" t="n"/>
      <c r="H551" s="9" t="inlineStr">
        <is>
          <t>아크릴최가</t>
        </is>
      </c>
      <c r="I551" s="14" t="n"/>
      <c r="J551" s="14" t="n"/>
      <c r="K551" s="12" t="n">
        <v>53</v>
      </c>
      <c r="L551" s="9" t="n"/>
      <c r="M551" s="9" t="n"/>
      <c r="N551" s="9" t="n"/>
      <c r="O551" s="40">
        <f>K551+V551-AE551-AZ551</f>
        <v/>
      </c>
      <c r="P551" s="12" t="n"/>
      <c r="Q551" s="138" t="n"/>
      <c r="R551" s="16" t="n"/>
      <c r="S551" s="139" t="n"/>
      <c r="T551" s="16" t="n"/>
      <c r="U551" s="139" t="n"/>
      <c r="V551" s="16">
        <f>P551+R551+T551</f>
        <v/>
      </c>
      <c r="W551" s="16" t="n"/>
      <c r="X551" s="139" t="n"/>
      <c r="Y551" s="16" t="n"/>
      <c r="Z551" s="139" t="n"/>
      <c r="AA551" s="16" t="n"/>
      <c r="AB551" s="139" t="n"/>
      <c r="AC551" s="16" t="n"/>
      <c r="AD551" s="139" t="n"/>
      <c r="AE551" s="16">
        <f>(W551+Y551+AA551+AC551)</f>
        <v/>
      </c>
      <c r="AF551" s="16" t="n"/>
      <c r="AG551" s="138" t="n"/>
      <c r="AH551" s="16" t="n"/>
      <c r="AI551" s="138" t="n"/>
      <c r="AJ551" s="16" t="n"/>
      <c r="AK551" s="138" t="n"/>
      <c r="AL551" s="16" t="n"/>
      <c r="AM551" s="138" t="n"/>
      <c r="AN551" s="16" t="n"/>
      <c r="AO551" s="138" t="n"/>
      <c r="AP551" s="16" t="n"/>
      <c r="AQ551" s="138" t="n"/>
      <c r="AR551" s="16" t="n"/>
      <c r="AS551" s="138" t="n"/>
      <c r="AT551" s="16" t="n"/>
      <c r="AU551" s="138" t="n"/>
      <c r="AV551" s="16" t="n"/>
      <c r="AW551" s="138" t="n"/>
      <c r="AX551" s="16" t="n"/>
      <c r="AY551" s="138" t="n"/>
      <c r="AZ551" s="16">
        <f>AF551+AH551+AJ551+AL551+AN551+AP551+AR551+AT551+AV551+AX551</f>
        <v/>
      </c>
      <c r="BA551" s="16" t="n"/>
      <c r="BB551" s="139" t="n"/>
      <c r="BC551" s="16" t="n"/>
      <c r="BD551" s="139" t="n"/>
      <c r="BE551" s="16">
        <f>(BA551+BC551)</f>
        <v/>
      </c>
    </row>
    <row r="552">
      <c r="A552" s="9" t="n"/>
      <c r="B552" s="136" t="inlineStr">
        <is>
          <t>완제품</t>
        </is>
      </c>
      <c r="C552" s="137" t="inlineStr">
        <is>
          <t>공용</t>
        </is>
      </c>
      <c r="D552" s="63" t="inlineStr">
        <is>
          <t>AlmyT STAND BODY SET</t>
        </is>
      </c>
      <c r="E552" s="13" t="n"/>
      <c r="F552" s="99" t="n"/>
      <c r="G552" s="9" t="n"/>
      <c r="H552" s="9" t="inlineStr">
        <is>
          <t>에이스힌지텍</t>
        </is>
      </c>
      <c r="I552" s="14" t="n"/>
      <c r="J552" s="14" t="n"/>
      <c r="K552" s="12" t="n">
        <v>0</v>
      </c>
      <c r="L552" s="9" t="n"/>
      <c r="M552" s="9" t="n"/>
      <c r="N552" s="9" t="n"/>
      <c r="O552" s="40">
        <f>K552+V552-AE552-AZ552</f>
        <v/>
      </c>
      <c r="P552" s="12" t="n"/>
      <c r="Q552" s="138" t="n"/>
      <c r="R552" s="16" t="n"/>
      <c r="S552" s="139" t="n"/>
      <c r="T552" s="16" t="n"/>
      <c r="U552" s="139" t="n"/>
      <c r="V552" s="16">
        <f>P552+R552+T552</f>
        <v/>
      </c>
      <c r="W552" s="16" t="n"/>
      <c r="X552" s="139" t="n"/>
      <c r="Y552" s="16" t="n"/>
      <c r="Z552" s="139" t="n"/>
      <c r="AA552" s="16" t="n"/>
      <c r="AB552" s="139" t="n"/>
      <c r="AC552" s="16" t="n"/>
      <c r="AD552" s="139" t="n"/>
      <c r="AE552" s="16">
        <f>(W552+Y552+AA552+AC552)</f>
        <v/>
      </c>
      <c r="AF552" s="16" t="n"/>
      <c r="AG552" s="138" t="n"/>
      <c r="AH552" s="16" t="n"/>
      <c r="AI552" s="138" t="n"/>
      <c r="AJ552" s="16" t="n"/>
      <c r="AK552" s="138" t="n"/>
      <c r="AL552" s="16" t="n"/>
      <c r="AM552" s="138" t="n"/>
      <c r="AN552" s="16" t="n"/>
      <c r="AO552" s="138" t="n"/>
      <c r="AP552" s="16" t="n"/>
      <c r="AQ552" s="138" t="n"/>
      <c r="AR552" s="16" t="n"/>
      <c r="AS552" s="138" t="n"/>
      <c r="AT552" s="16" t="n"/>
      <c r="AU552" s="138" t="n"/>
      <c r="AV552" s="16" t="n"/>
      <c r="AW552" s="138" t="n"/>
      <c r="AX552" s="16" t="n"/>
      <c r="AY552" s="138" t="n"/>
      <c r="AZ552" s="16">
        <f>AF552+AH552+AJ552+AL552+AN552+AP552+AR552+AT552+AV552+AX552</f>
        <v/>
      </c>
      <c r="BA552" s="16" t="n"/>
      <c r="BB552" s="139" t="n"/>
      <c r="BC552" s="16" t="n"/>
      <c r="BD552" s="139" t="n"/>
      <c r="BE552" s="16">
        <f>(BA552+BC552)</f>
        <v/>
      </c>
    </row>
    <row r="553">
      <c r="A553" s="9" t="n"/>
      <c r="B553" s="136" t="inlineStr">
        <is>
          <t>완제품</t>
        </is>
      </c>
      <c r="C553" s="137" t="inlineStr">
        <is>
          <t>공용</t>
        </is>
      </c>
      <c r="D553" s="60" t="inlineStr">
        <is>
          <t>AlmyT STAND ACC SET</t>
        </is>
      </c>
      <c r="E553" s="13" t="n"/>
      <c r="F553" s="99" t="n"/>
      <c r="G553" s="9" t="n"/>
      <c r="H553" s="9" t="inlineStr">
        <is>
          <t>에이스힌지텍</t>
        </is>
      </c>
      <c r="I553" s="14" t="n"/>
      <c r="J553" s="14" t="n"/>
      <c r="K553" s="12" t="n">
        <v>0</v>
      </c>
      <c r="L553" s="9" t="n"/>
      <c r="M553" s="9" t="n"/>
      <c r="N553" s="9" t="n"/>
      <c r="O553" s="40">
        <f>K553+V553-AE553-AZ553</f>
        <v/>
      </c>
      <c r="P553" s="12" t="n"/>
      <c r="Q553" s="138" t="n"/>
      <c r="R553" s="16" t="n"/>
      <c r="S553" s="139" t="n"/>
      <c r="T553" s="16" t="n"/>
      <c r="U553" s="139" t="n"/>
      <c r="V553" s="16">
        <f>P553+R553+T553</f>
        <v/>
      </c>
      <c r="W553" s="16" t="n"/>
      <c r="X553" s="139" t="n"/>
      <c r="Y553" s="16" t="n"/>
      <c r="Z553" s="139" t="n"/>
      <c r="AA553" s="16" t="n"/>
      <c r="AB553" s="139" t="n"/>
      <c r="AC553" s="16" t="n"/>
      <c r="AD553" s="139" t="n"/>
      <c r="AE553" s="16">
        <f>(W553+Y553+AA553+AC553)</f>
        <v/>
      </c>
      <c r="AF553" s="16" t="n"/>
      <c r="AG553" s="138" t="n"/>
      <c r="AH553" s="16" t="n"/>
      <c r="AI553" s="138" t="n"/>
      <c r="AJ553" s="16" t="n"/>
      <c r="AK553" s="138" t="n"/>
      <c r="AL553" s="16" t="n"/>
      <c r="AM553" s="138" t="n"/>
      <c r="AN553" s="16" t="n"/>
      <c r="AO553" s="138" t="n"/>
      <c r="AP553" s="16" t="n"/>
      <c r="AQ553" s="138" t="n"/>
      <c r="AR553" s="16" t="n"/>
      <c r="AS553" s="138" t="n"/>
      <c r="AT553" s="16" t="n"/>
      <c r="AU553" s="138" t="n"/>
      <c r="AV553" s="16" t="n"/>
      <c r="AW553" s="138" t="n"/>
      <c r="AX553" s="16" t="n"/>
      <c r="AY553" s="138" t="n"/>
      <c r="AZ553" s="16">
        <f>AF553+AH553+AJ553+AL553+AN553+AP553+AR553+AT553+AV553+AX553</f>
        <v/>
      </c>
      <c r="BA553" s="16" t="n"/>
      <c r="BB553" s="139" t="n"/>
      <c r="BC553" s="16" t="n"/>
      <c r="BD553" s="139" t="n"/>
      <c r="BE553" s="16">
        <f>(BA553+BC553)</f>
        <v/>
      </c>
    </row>
    <row r="554">
      <c r="A554" s="9" t="n"/>
      <c r="B554" s="136" t="inlineStr">
        <is>
          <t>완제품</t>
        </is>
      </c>
      <c r="C554" s="137" t="inlineStr">
        <is>
          <t>공용</t>
        </is>
      </c>
      <c r="D554" s="63" t="inlineStr">
        <is>
          <t>체스트 &amp; 베드 스탠드</t>
        </is>
      </c>
      <c r="E554" s="13" t="n"/>
      <c r="F554" s="99" t="n"/>
      <c r="G554" s="9" t="n"/>
      <c r="H554" s="9" t="inlineStr">
        <is>
          <t>로움텍</t>
        </is>
      </c>
      <c r="I554" s="14" t="n"/>
      <c r="J554" s="14" t="n"/>
      <c r="K554" s="12" t="n">
        <v>0</v>
      </c>
      <c r="L554" s="9" t="n"/>
      <c r="M554" s="9" t="n"/>
      <c r="N554" s="9" t="n"/>
      <c r="O554" s="40">
        <f>K554+V554-AE554-AZ554</f>
        <v/>
      </c>
      <c r="P554" s="12" t="n"/>
      <c r="Q554" s="138" t="n"/>
      <c r="R554" s="16" t="n"/>
      <c r="S554" s="139" t="n"/>
      <c r="T554" s="16" t="n"/>
      <c r="U554" s="139" t="n"/>
      <c r="V554" s="16">
        <f>P554+R554+T554</f>
        <v/>
      </c>
      <c r="W554" s="16" t="n"/>
      <c r="X554" s="139" t="n"/>
      <c r="Y554" s="16" t="n"/>
      <c r="Z554" s="139" t="n"/>
      <c r="AA554" s="16" t="n"/>
      <c r="AB554" s="139" t="n"/>
      <c r="AC554" s="16" t="n"/>
      <c r="AD554" s="139" t="n"/>
      <c r="AE554" s="16">
        <f>(W554+Y554+AA554+AC554)</f>
        <v/>
      </c>
      <c r="AF554" s="16" t="n"/>
      <c r="AG554" s="138" t="n"/>
      <c r="AH554" s="16" t="n"/>
      <c r="AI554" s="138" t="n"/>
      <c r="AJ554" s="16" t="n"/>
      <c r="AK554" s="138" t="n"/>
      <c r="AL554" s="16" t="n"/>
      <c r="AM554" s="138" t="n"/>
      <c r="AN554" s="16" t="n"/>
      <c r="AO554" s="138" t="n"/>
      <c r="AP554" s="16" t="n"/>
      <c r="AQ554" s="138" t="n"/>
      <c r="AR554" s="16" t="n"/>
      <c r="AS554" s="138" t="n"/>
      <c r="AT554" s="16" t="n"/>
      <c r="AU554" s="138" t="n"/>
      <c r="AV554" s="16" t="n"/>
      <c r="AW554" s="138" t="n"/>
      <c r="AX554" s="16" t="n"/>
      <c r="AY554" s="138" t="n"/>
      <c r="AZ554" s="16">
        <f>AF554+AH554+AJ554+AL554+AN554+AP554+AR554+AT554+AV554+AX554</f>
        <v/>
      </c>
      <c r="BA554" s="16" t="n"/>
      <c r="BB554" s="139" t="n"/>
      <c r="BC554" s="16" t="n"/>
      <c r="BD554" s="139" t="n"/>
      <c r="BE554" s="16">
        <f>(BA554+BC554)</f>
        <v/>
      </c>
    </row>
    <row r="555">
      <c r="A555" s="9" t="n"/>
      <c r="B555" s="136" t="inlineStr">
        <is>
          <t>완제품</t>
        </is>
      </c>
      <c r="C555" s="137" t="inlineStr">
        <is>
          <t>공용</t>
        </is>
      </c>
      <c r="D555" s="63" t="inlineStr">
        <is>
          <t>체스트 &amp; 베드 암 파이프</t>
        </is>
      </c>
      <c r="E555" s="13" t="n"/>
      <c r="F555" s="99" t="n"/>
      <c r="G555" s="9" t="n"/>
      <c r="H555" s="9" t="inlineStr">
        <is>
          <t>로움텍</t>
        </is>
      </c>
      <c r="I555" s="14" t="n"/>
      <c r="J555" s="14" t="n"/>
      <c r="K555" s="12" t="n">
        <v>0</v>
      </c>
      <c r="L555" s="9" t="n"/>
      <c r="M555" s="9" t="n"/>
      <c r="N555" s="9" t="n"/>
      <c r="O555" s="40">
        <f>K555+V555-AE555-AZ555</f>
        <v/>
      </c>
      <c r="P555" s="12" t="n"/>
      <c r="Q555" s="138" t="n"/>
      <c r="R555" s="16" t="n"/>
      <c r="S555" s="139" t="n"/>
      <c r="T555" s="16" t="n"/>
      <c r="U555" s="139" t="n"/>
      <c r="V555" s="16">
        <f>P555+R555+T555</f>
        <v/>
      </c>
      <c r="W555" s="16" t="n"/>
      <c r="X555" s="139" t="n"/>
      <c r="Y555" s="16" t="n"/>
      <c r="Z555" s="139" t="n"/>
      <c r="AA555" s="16" t="n"/>
      <c r="AB555" s="139" t="n"/>
      <c r="AC555" s="16" t="n"/>
      <c r="AD555" s="139" t="n"/>
      <c r="AE555" s="16">
        <f>(W555+Y555+AA555+AC555)</f>
        <v/>
      </c>
      <c r="AF555" s="16" t="n"/>
      <c r="AG555" s="138" t="n"/>
      <c r="AH555" s="16" t="n"/>
      <c r="AI555" s="138" t="n"/>
      <c r="AJ555" s="16" t="n"/>
      <c r="AK555" s="138" t="n"/>
      <c r="AL555" s="16" t="n"/>
      <c r="AM555" s="138" t="n"/>
      <c r="AN555" s="16" t="n"/>
      <c r="AO555" s="138" t="n"/>
      <c r="AP555" s="16" t="n"/>
      <c r="AQ555" s="138" t="n"/>
      <c r="AR555" s="16" t="n"/>
      <c r="AS555" s="138" t="n"/>
      <c r="AT555" s="16" t="n"/>
      <c r="AU555" s="138" t="n"/>
      <c r="AV555" s="16" t="n"/>
      <c r="AW555" s="138" t="n"/>
      <c r="AX555" s="16" t="n"/>
      <c r="AY555" s="138" t="n"/>
      <c r="AZ555" s="16">
        <f>AF555+AH555+AJ555+AL555+AN555+AP555+AR555+AT555+AV555+AX555</f>
        <v/>
      </c>
      <c r="BA555" s="16" t="n"/>
      <c r="BB555" s="139" t="n"/>
      <c r="BC555" s="16" t="n"/>
      <c r="BD555" s="139" t="n"/>
      <c r="BE555" s="16">
        <f>(BA555+BC555)</f>
        <v/>
      </c>
    </row>
    <row r="556">
      <c r="A556" s="9" t="n"/>
      <c r="B556" s="136" t="inlineStr">
        <is>
          <t>완제품</t>
        </is>
      </c>
      <c r="C556" s="137" t="inlineStr">
        <is>
          <t>공용</t>
        </is>
      </c>
      <c r="D556" s="63" t="inlineStr">
        <is>
          <t>체스트 &amp; 베드 조인트 암</t>
        </is>
      </c>
      <c r="E556" s="13" t="n"/>
      <c r="F556" s="99" t="n"/>
      <c r="G556" s="9" t="n"/>
      <c r="H556" s="9" t="inlineStr">
        <is>
          <t>로움텍</t>
        </is>
      </c>
      <c r="I556" s="14" t="n"/>
      <c r="J556" s="14" t="n"/>
      <c r="K556" s="12" t="n">
        <v>0</v>
      </c>
      <c r="L556" s="9" t="n"/>
      <c r="M556" s="9" t="n"/>
      <c r="N556" s="9" t="n"/>
      <c r="O556" s="40">
        <f>K556+V556-AE556-AZ556</f>
        <v/>
      </c>
      <c r="P556" s="12" t="n"/>
      <c r="Q556" s="138" t="n"/>
      <c r="R556" s="16" t="n"/>
      <c r="S556" s="139" t="n"/>
      <c r="T556" s="16" t="n"/>
      <c r="U556" s="139" t="n"/>
      <c r="V556" s="16">
        <f>P556+R556+T556</f>
        <v/>
      </c>
      <c r="W556" s="16" t="n"/>
      <c r="X556" s="139" t="n"/>
      <c r="Y556" s="16" t="n"/>
      <c r="Z556" s="139" t="n"/>
      <c r="AA556" s="16" t="n"/>
      <c r="AB556" s="139" t="n"/>
      <c r="AC556" s="16" t="n"/>
      <c r="AD556" s="139" t="n"/>
      <c r="AE556" s="16">
        <f>(W556+Y556+AA556+AC556)</f>
        <v/>
      </c>
      <c r="AF556" s="16" t="n"/>
      <c r="AG556" s="138" t="n"/>
      <c r="AH556" s="16" t="n"/>
      <c r="AI556" s="138" t="n"/>
      <c r="AJ556" s="16" t="n"/>
      <c r="AK556" s="138" t="n"/>
      <c r="AL556" s="16" t="n"/>
      <c r="AM556" s="138" t="n"/>
      <c r="AN556" s="16" t="n"/>
      <c r="AO556" s="138" t="n"/>
      <c r="AP556" s="16" t="n"/>
      <c r="AQ556" s="138" t="n"/>
      <c r="AR556" s="16" t="n"/>
      <c r="AS556" s="138" t="n"/>
      <c r="AT556" s="16" t="n"/>
      <c r="AU556" s="138" t="n"/>
      <c r="AV556" s="16" t="n"/>
      <c r="AW556" s="138" t="n"/>
      <c r="AX556" s="16" t="n"/>
      <c r="AY556" s="138" t="n"/>
      <c r="AZ556" s="16">
        <f>AF556+AH556+AJ556+AL556+AN556+AP556+AR556+AT556+AV556+AX556</f>
        <v/>
      </c>
      <c r="BA556" s="16" t="n"/>
      <c r="BB556" s="139" t="n"/>
      <c r="BC556" s="16" t="n"/>
      <c r="BD556" s="139" t="n"/>
      <c r="BE556" s="16">
        <f>(BA556+BC556)</f>
        <v/>
      </c>
    </row>
    <row r="557">
      <c r="A557" s="9" t="n"/>
      <c r="B557" s="136" t="inlineStr">
        <is>
          <t>완제품</t>
        </is>
      </c>
      <c r="C557" s="137" t="inlineStr">
        <is>
          <t>공용</t>
        </is>
      </c>
      <c r="D557" s="63" t="inlineStr">
        <is>
          <t>체스트 &amp; 베드 픽스 블럭 A, B (육각 렌치 3, 5)</t>
        </is>
      </c>
      <c r="E557" s="13" t="n"/>
      <c r="F557" s="99" t="n"/>
      <c r="G557" s="9" t="n"/>
      <c r="H557" s="9" t="inlineStr">
        <is>
          <t>로움텍</t>
        </is>
      </c>
      <c r="I557" s="14" t="n"/>
      <c r="J557" s="14" t="n"/>
      <c r="K557" s="12" t="n">
        <v>0</v>
      </c>
      <c r="L557" s="9" t="n"/>
      <c r="M557" s="9" t="n"/>
      <c r="N557" s="9" t="n"/>
      <c r="O557" s="40">
        <f>K557+V557-AE557-AZ557</f>
        <v/>
      </c>
      <c r="P557" s="12" t="n"/>
      <c r="Q557" s="138" t="n"/>
      <c r="R557" s="16" t="n"/>
      <c r="S557" s="139" t="n"/>
      <c r="T557" s="16" t="n"/>
      <c r="U557" s="139" t="n"/>
      <c r="V557" s="16">
        <f>P557+R557+T557</f>
        <v/>
      </c>
      <c r="W557" s="16" t="n"/>
      <c r="X557" s="139" t="n"/>
      <c r="Y557" s="16" t="n"/>
      <c r="Z557" s="139" t="n"/>
      <c r="AA557" s="16" t="n"/>
      <c r="AB557" s="139" t="n"/>
      <c r="AC557" s="16" t="n"/>
      <c r="AD557" s="139" t="n"/>
      <c r="AE557" s="16">
        <f>(W557+Y557+AA557+AC557)</f>
        <v/>
      </c>
      <c r="AF557" s="16" t="n"/>
      <c r="AG557" s="138" t="n"/>
      <c r="AH557" s="16" t="n"/>
      <c r="AI557" s="138" t="n"/>
      <c r="AJ557" s="16" t="n"/>
      <c r="AK557" s="138" t="n"/>
      <c r="AL557" s="16" t="n"/>
      <c r="AM557" s="138" t="n"/>
      <c r="AN557" s="16" t="n"/>
      <c r="AO557" s="138" t="n"/>
      <c r="AP557" s="16" t="n"/>
      <c r="AQ557" s="138" t="n"/>
      <c r="AR557" s="16" t="n"/>
      <c r="AS557" s="138" t="n"/>
      <c r="AT557" s="16" t="n"/>
      <c r="AU557" s="138" t="n"/>
      <c r="AV557" s="16" t="n"/>
      <c r="AW557" s="138" t="n"/>
      <c r="AX557" s="16" t="n"/>
      <c r="AY557" s="138" t="n"/>
      <c r="AZ557" s="16">
        <f>AF557+AH557+AJ557+AL557+AN557+AP557+AR557+AT557+AV557+AX557</f>
        <v/>
      </c>
      <c r="BA557" s="16" t="n"/>
      <c r="BB557" s="139" t="n"/>
      <c r="BC557" s="16" t="n"/>
      <c r="BD557" s="139" t="n"/>
      <c r="BE557" s="16">
        <f>(BA557+BC557)</f>
        <v/>
      </c>
    </row>
    <row r="558">
      <c r="A558" s="9" t="n"/>
      <c r="B558" s="136" t="inlineStr">
        <is>
          <t>완제품</t>
        </is>
      </c>
      <c r="C558" s="137" t="inlineStr">
        <is>
          <t>공용</t>
        </is>
      </c>
      <c r="D558" s="60" t="inlineStr">
        <is>
          <t>접이식 스탠드 SET</t>
        </is>
      </c>
      <c r="E558" s="13" t="inlineStr">
        <is>
          <t>정형외과용</t>
        </is>
      </c>
      <c r="F558" s="99" t="n"/>
      <c r="G558" s="9" t="n"/>
      <c r="H558" s="9" t="inlineStr">
        <is>
          <t>로움텍</t>
        </is>
      </c>
      <c r="I558" s="14" t="n"/>
      <c r="J558" s="14" t="n"/>
      <c r="K558" s="12" t="n">
        <v>0</v>
      </c>
      <c r="L558" s="9" t="n"/>
      <c r="M558" s="9" t="n"/>
      <c r="N558" s="9" t="n"/>
      <c r="O558" s="40">
        <f>K558+V558-AE558-AZ558</f>
        <v/>
      </c>
      <c r="P558" s="12" t="n"/>
      <c r="Q558" s="138" t="n"/>
      <c r="R558" s="16" t="n"/>
      <c r="S558" s="139" t="n"/>
      <c r="T558" s="16" t="n"/>
      <c r="U558" s="139" t="n"/>
      <c r="V558" s="16">
        <f>P558+R558+T558</f>
        <v/>
      </c>
      <c r="W558" s="16" t="n"/>
      <c r="X558" s="139" t="n"/>
      <c r="Y558" s="16" t="n"/>
      <c r="Z558" s="139" t="n"/>
      <c r="AA558" s="16" t="n"/>
      <c r="AB558" s="139" t="n"/>
      <c r="AC558" s="16" t="n"/>
      <c r="AD558" s="139" t="n"/>
      <c r="AE558" s="16">
        <f>(W558+Y558+AA558+AC558)</f>
        <v/>
      </c>
      <c r="AF558" s="16" t="n"/>
      <c r="AG558" s="138" t="n"/>
      <c r="AH558" s="16" t="n"/>
      <c r="AI558" s="138" t="n"/>
      <c r="AJ558" s="16" t="n"/>
      <c r="AK558" s="138" t="n"/>
      <c r="AL558" s="16" t="n"/>
      <c r="AM558" s="138" t="n"/>
      <c r="AN558" s="16" t="n"/>
      <c r="AO558" s="138" t="n"/>
      <c r="AP558" s="16" t="n"/>
      <c r="AQ558" s="138" t="n"/>
      <c r="AR558" s="16" t="n"/>
      <c r="AS558" s="138" t="n"/>
      <c r="AT558" s="16" t="n"/>
      <c r="AU558" s="138" t="n"/>
      <c r="AV558" s="16" t="n"/>
      <c r="AW558" s="138" t="n"/>
      <c r="AX558" s="16" t="n"/>
      <c r="AY558" s="138" t="n"/>
      <c r="AZ558" s="16">
        <f>AF558+AH558+AJ558+AL558+AN558+AP558+AR558+AT558+AV558+AX558</f>
        <v/>
      </c>
      <c r="BA558" s="16" t="n"/>
      <c r="BB558" s="139" t="n"/>
      <c r="BC558" s="16" t="n"/>
      <c r="BD558" s="139" t="n"/>
      <c r="BE558" s="16">
        <f>(BA558+BC558)</f>
        <v/>
      </c>
    </row>
    <row r="559">
      <c r="A559" s="9" t="n"/>
      <c r="B559" s="136" t="inlineStr">
        <is>
          <t>유선리모콘</t>
        </is>
      </c>
      <c r="C559" s="137" t="inlineStr">
        <is>
          <t>공용</t>
        </is>
      </c>
      <c r="D559" s="60" t="inlineStr">
        <is>
          <t>REMOTE CONTROL</t>
        </is>
      </c>
      <c r="E559" s="13" t="inlineStr">
        <is>
          <t>RW20, 3m  + 샘플 1EA</t>
        </is>
      </c>
      <c r="F559" s="99" t="n"/>
      <c r="G559" s="9" t="n"/>
      <c r="H559" s="9" t="inlineStr">
        <is>
          <t>중국</t>
        </is>
      </c>
      <c r="I559" s="14" t="n"/>
      <c r="J559" s="14" t="n"/>
      <c r="K559" s="12" t="n">
        <v>0</v>
      </c>
      <c r="L559" s="9" t="n"/>
      <c r="M559" s="9" t="n"/>
      <c r="N559" s="9" t="n"/>
      <c r="O559" s="40">
        <f>K559+V559-AE559-AZ559</f>
        <v/>
      </c>
      <c r="P559" s="12" t="n"/>
      <c r="Q559" s="138" t="n"/>
      <c r="R559" s="16" t="n"/>
      <c r="S559" s="139" t="n"/>
      <c r="T559" s="16" t="n"/>
      <c r="U559" s="139" t="n"/>
      <c r="V559" s="16">
        <f>P559+R559+T559</f>
        <v/>
      </c>
      <c r="W559" s="16" t="n"/>
      <c r="X559" s="139" t="n"/>
      <c r="Y559" s="16" t="n"/>
      <c r="Z559" s="139" t="n"/>
      <c r="AA559" s="16" t="n"/>
      <c r="AB559" s="139" t="n"/>
      <c r="AC559" s="16" t="n"/>
      <c r="AD559" s="139" t="n"/>
      <c r="AE559" s="16">
        <f>(W559+Y559+AA559+AC559)</f>
        <v/>
      </c>
      <c r="AF559" s="16" t="n"/>
      <c r="AG559" s="138" t="n"/>
      <c r="AH559" s="16" t="n"/>
      <c r="AI559" s="138" t="n"/>
      <c r="AJ559" s="16" t="n"/>
      <c r="AK559" s="138" t="n"/>
      <c r="AL559" s="16" t="n"/>
      <c r="AM559" s="138" t="n"/>
      <c r="AN559" s="16" t="n"/>
      <c r="AO559" s="138" t="n"/>
      <c r="AP559" s="16" t="n"/>
      <c r="AQ559" s="138" t="n"/>
      <c r="AR559" s="16" t="n"/>
      <c r="AS559" s="138" t="n"/>
      <c r="AT559" s="16" t="n"/>
      <c r="AU559" s="138" t="n"/>
      <c r="AV559" s="16" t="n"/>
      <c r="AW559" s="138" t="n"/>
      <c r="AX559" s="16" t="n"/>
      <c r="AY559" s="138" t="n"/>
      <c r="AZ559" s="16">
        <f>AF559+AH559+AJ559+AL559+AN559+AP559+AR559+AT559+AV559+AX559</f>
        <v/>
      </c>
      <c r="BA559" s="16" t="n"/>
      <c r="BB559" s="139" t="n"/>
      <c r="BC559" s="16" t="n"/>
      <c r="BD559" s="139" t="n"/>
      <c r="BE559" s="16">
        <f>(BA559+BC559)</f>
        <v/>
      </c>
    </row>
    <row r="560">
      <c r="A560" s="9" t="n"/>
      <c r="B560" s="136" t="inlineStr">
        <is>
          <t>유선리모콘</t>
        </is>
      </c>
      <c r="C560" s="137" t="inlineStr">
        <is>
          <t>공용</t>
        </is>
      </c>
      <c r="D560" s="60" t="inlineStr">
        <is>
          <t>FOOT SWITCH</t>
        </is>
      </c>
      <c r="E560" s="13" t="n"/>
      <c r="F560" s="99" t="n"/>
      <c r="G560" s="9" t="n"/>
      <c r="H560" s="9" t="inlineStr">
        <is>
          <t>직구</t>
        </is>
      </c>
      <c r="I560" s="14" t="n"/>
      <c r="J560" s="14" t="n"/>
      <c r="K560" s="12" t="n">
        <v>0</v>
      </c>
      <c r="L560" s="9" t="n"/>
      <c r="M560" s="9" t="n"/>
      <c r="N560" s="9" t="n"/>
      <c r="O560" s="40">
        <f>K560+V560-AE560-AZ560</f>
        <v/>
      </c>
      <c r="P560" s="12" t="n"/>
      <c r="Q560" s="138" t="n"/>
      <c r="R560" s="16" t="n"/>
      <c r="S560" s="139" t="n"/>
      <c r="T560" s="16" t="n"/>
      <c r="U560" s="139" t="n"/>
      <c r="V560" s="16">
        <f>P560+R560+T560</f>
        <v/>
      </c>
      <c r="W560" s="16" t="n"/>
      <c r="X560" s="139" t="n"/>
      <c r="Y560" s="16" t="n"/>
      <c r="Z560" s="139" t="n"/>
      <c r="AA560" s="16" t="n"/>
      <c r="AB560" s="139" t="n"/>
      <c r="AC560" s="16" t="n"/>
      <c r="AD560" s="139" t="n"/>
      <c r="AE560" s="16">
        <f>(W560+Y560+AA560+AC560)</f>
        <v/>
      </c>
      <c r="AF560" s="16" t="n"/>
      <c r="AG560" s="138" t="n"/>
      <c r="AH560" s="16" t="n"/>
      <c r="AI560" s="138" t="n"/>
      <c r="AJ560" s="16" t="n"/>
      <c r="AK560" s="138" t="n"/>
      <c r="AL560" s="16" t="n"/>
      <c r="AM560" s="138" t="n"/>
      <c r="AN560" s="16" t="n"/>
      <c r="AO560" s="138" t="n"/>
      <c r="AP560" s="16" t="n"/>
      <c r="AQ560" s="138" t="n"/>
      <c r="AR560" s="16" t="n"/>
      <c r="AS560" s="138" t="n"/>
      <c r="AT560" s="16" t="n"/>
      <c r="AU560" s="138" t="n"/>
      <c r="AV560" s="16" t="n"/>
      <c r="AW560" s="138" t="n"/>
      <c r="AX560" s="16" t="n"/>
      <c r="AY560" s="138" t="n"/>
      <c r="AZ560" s="16">
        <f>AF560+AH560+AJ560+AL560+AN560+AP560+AR560+AT560+AV560+AX560</f>
        <v/>
      </c>
      <c r="BA560" s="16" t="n"/>
      <c r="BB560" s="139" t="n"/>
      <c r="BC560" s="16" t="n"/>
      <c r="BD560" s="139" t="n"/>
      <c r="BE560" s="16">
        <f>(BA560+BC560)</f>
        <v/>
      </c>
    </row>
    <row r="561">
      <c r="A561" s="9" t="n"/>
      <c r="B561" s="136" t="inlineStr">
        <is>
          <t>스위치</t>
        </is>
      </c>
      <c r="C561" s="137" t="inlineStr">
        <is>
          <t>공용</t>
        </is>
      </c>
      <c r="D561" s="60" t="inlineStr">
        <is>
          <t>리드스위치</t>
        </is>
      </c>
      <c r="E561" s="13" t="n"/>
      <c r="F561" s="99" t="n"/>
      <c r="G561" s="9" t="n"/>
      <c r="H561" s="9" t="inlineStr">
        <is>
          <t>HLP</t>
        </is>
      </c>
      <c r="I561" s="14" t="n"/>
      <c r="J561" s="14" t="n"/>
      <c r="K561" s="12" t="n">
        <v>0</v>
      </c>
      <c r="L561" s="9" t="n"/>
      <c r="M561" s="9" t="n"/>
      <c r="N561" s="9" t="n"/>
      <c r="O561" s="40">
        <f>K561+V561-AE561-AZ561</f>
        <v/>
      </c>
      <c r="P561" s="12" t="n"/>
      <c r="Q561" s="138" t="n"/>
      <c r="R561" s="16" t="n"/>
      <c r="S561" s="139" t="n"/>
      <c r="T561" s="16" t="n"/>
      <c r="U561" s="139" t="n"/>
      <c r="V561" s="16">
        <f>P561+R561+T561</f>
        <v/>
      </c>
      <c r="W561" s="16" t="n"/>
      <c r="X561" s="139" t="n"/>
      <c r="Y561" s="16" t="n"/>
      <c r="Z561" s="139" t="n"/>
      <c r="AA561" s="16" t="n"/>
      <c r="AB561" s="139" t="n"/>
      <c r="AC561" s="16" t="n"/>
      <c r="AD561" s="139" t="n"/>
      <c r="AE561" s="16">
        <f>(W561+Y561+AA561+AC561)</f>
        <v/>
      </c>
      <c r="AF561" s="16" t="n"/>
      <c r="AG561" s="138" t="n"/>
      <c r="AH561" s="16" t="n"/>
      <c r="AI561" s="138" t="n"/>
      <c r="AJ561" s="16" t="n"/>
      <c r="AK561" s="138" t="n"/>
      <c r="AL561" s="16" t="n"/>
      <c r="AM561" s="138" t="n"/>
      <c r="AN561" s="16" t="n"/>
      <c r="AO561" s="138" t="n"/>
      <c r="AP561" s="16" t="n"/>
      <c r="AQ561" s="138" t="n"/>
      <c r="AR561" s="16" t="n"/>
      <c r="AS561" s="138" t="n"/>
      <c r="AT561" s="16" t="n"/>
      <c r="AU561" s="138" t="n"/>
      <c r="AV561" s="16" t="n"/>
      <c r="AW561" s="138" t="n"/>
      <c r="AX561" s="16" t="n"/>
      <c r="AY561" s="138" t="n"/>
      <c r="AZ561" s="16">
        <f>AF561+AH561+AJ561+AL561+AN561+AP561+AR561+AT561+AV561+AX561</f>
        <v/>
      </c>
      <c r="BA561" s="16" t="n"/>
      <c r="BB561" s="139" t="n"/>
      <c r="BC561" s="16" t="n"/>
      <c r="BD561" s="139" t="n"/>
      <c r="BE561" s="16">
        <f>(BA561+BC561)</f>
        <v/>
      </c>
    </row>
    <row r="562">
      <c r="A562" s="9" t="n"/>
      <c r="B562" s="136" t="inlineStr">
        <is>
          <t>오링</t>
        </is>
      </c>
      <c r="C562" s="137" t="inlineStr">
        <is>
          <t>공용</t>
        </is>
      </c>
      <c r="D562" s="63" t="inlineStr">
        <is>
          <t>쉴드 오링</t>
        </is>
      </c>
      <c r="E562" s="13" t="inlineStr">
        <is>
          <t>AN-036, 60∮</t>
        </is>
      </c>
      <c r="F562" s="99" t="n"/>
      <c r="G562" s="9" t="n"/>
      <c r="H562" s="9" t="inlineStr">
        <is>
          <t>직구</t>
        </is>
      </c>
      <c r="I562" s="14" t="n"/>
      <c r="J562" s="14" t="n"/>
      <c r="K562" s="12" t="n">
        <v>0</v>
      </c>
      <c r="L562" s="9" t="n"/>
      <c r="M562" s="9" t="n"/>
      <c r="N562" s="9" t="n"/>
      <c r="O562" s="40">
        <f>K562+V562-AE562-AZ562</f>
        <v/>
      </c>
      <c r="P562" s="12" t="n"/>
      <c r="Q562" s="138" t="n"/>
      <c r="R562" s="16" t="n"/>
      <c r="S562" s="139" t="n"/>
      <c r="T562" s="16" t="n"/>
      <c r="U562" s="139" t="n"/>
      <c r="V562" s="16">
        <f>P562+R562+T562</f>
        <v/>
      </c>
      <c r="W562" s="16" t="n"/>
      <c r="X562" s="139" t="n"/>
      <c r="Y562" s="16" t="n"/>
      <c r="Z562" s="139" t="n"/>
      <c r="AA562" s="16" t="n"/>
      <c r="AB562" s="139" t="n"/>
      <c r="AC562" s="16" t="n"/>
      <c r="AD562" s="139" t="n"/>
      <c r="AE562" s="16">
        <f>(W562+Y562+AA562+AC562)</f>
        <v/>
      </c>
      <c r="AF562" s="16" t="n"/>
      <c r="AG562" s="138" t="n"/>
      <c r="AH562" s="16" t="n"/>
      <c r="AI562" s="138" t="n"/>
      <c r="AJ562" s="16" t="n"/>
      <c r="AK562" s="138" t="n"/>
      <c r="AL562" s="16" t="n"/>
      <c r="AM562" s="138" t="n"/>
      <c r="AN562" s="16" t="n"/>
      <c r="AO562" s="138" t="n"/>
      <c r="AP562" s="16" t="n"/>
      <c r="AQ562" s="138" t="n"/>
      <c r="AR562" s="16" t="n"/>
      <c r="AS562" s="138" t="n"/>
      <c r="AT562" s="16" t="n"/>
      <c r="AU562" s="138" t="n"/>
      <c r="AV562" s="16" t="n"/>
      <c r="AW562" s="138" t="n"/>
      <c r="AX562" s="16" t="n"/>
      <c r="AY562" s="138" t="n"/>
      <c r="AZ562" s="16">
        <f>AF562+AH562+AJ562+AL562+AN562+AP562+AR562+AT562+AV562+AX562</f>
        <v/>
      </c>
      <c r="BA562" s="16" t="n"/>
      <c r="BB562" s="139" t="n"/>
      <c r="BC562" s="16" t="n"/>
      <c r="BD562" s="139" t="n"/>
      <c r="BE562" s="16">
        <f>(BA562+BC562)</f>
        <v/>
      </c>
    </row>
    <row r="563">
      <c r="A563" s="9" t="n"/>
      <c r="B563" s="136" t="inlineStr">
        <is>
          <t>라벨</t>
        </is>
      </c>
      <c r="C563" s="137" t="inlineStr">
        <is>
          <t>ADX4000W</t>
        </is>
      </c>
      <c r="D563" s="90" t="inlineStr">
        <is>
          <t>OS라이센서 라벨</t>
        </is>
      </c>
      <c r="E563" s="13" t="inlineStr">
        <is>
          <t>Windows Embedded Standard 7 "E"</t>
        </is>
      </c>
      <c r="F563" s="99" t="n"/>
      <c r="G563" s="9" t="n"/>
      <c r="H563" s="9" t="inlineStr">
        <is>
          <t>한컴MDS</t>
        </is>
      </c>
      <c r="I563" s="14" t="n"/>
      <c r="J563" s="14" t="n"/>
      <c r="K563" s="12" t="n">
        <v>0</v>
      </c>
      <c r="L563" s="9" t="n"/>
      <c r="M563" s="9" t="n"/>
      <c r="N563" s="9" t="n"/>
      <c r="O563" s="40">
        <f>K563+V563-AE563-AZ563</f>
        <v/>
      </c>
      <c r="P563" s="12" t="n"/>
      <c r="Q563" s="138" t="n"/>
      <c r="R563" s="16" t="n"/>
      <c r="S563" s="139" t="n"/>
      <c r="T563" s="16" t="n"/>
      <c r="U563" s="139" t="n"/>
      <c r="V563" s="16">
        <f>P563+R563+T563</f>
        <v/>
      </c>
      <c r="W563" s="16" t="n"/>
      <c r="X563" s="139" t="n"/>
      <c r="Y563" s="16" t="n"/>
      <c r="Z563" s="139" t="n"/>
      <c r="AA563" s="16" t="n"/>
      <c r="AB563" s="139" t="n"/>
      <c r="AC563" s="16" t="n"/>
      <c r="AD563" s="139" t="n"/>
      <c r="AE563" s="16">
        <f>(W563+Y563+AA563+AC563)</f>
        <v/>
      </c>
      <c r="AF563" s="16" t="n"/>
      <c r="AG563" s="138" t="n"/>
      <c r="AH563" s="16" t="n"/>
      <c r="AI563" s="138" t="n"/>
      <c r="AJ563" s="16" t="n"/>
      <c r="AK563" s="138" t="n"/>
      <c r="AL563" s="16" t="n"/>
      <c r="AM563" s="138" t="n"/>
      <c r="AN563" s="16" t="n"/>
      <c r="AO563" s="138" t="n"/>
      <c r="AP563" s="16" t="n"/>
      <c r="AQ563" s="138" t="n"/>
      <c r="AR563" s="16" t="n"/>
      <c r="AS563" s="138" t="n"/>
      <c r="AT563" s="16" t="n"/>
      <c r="AU563" s="138" t="n"/>
      <c r="AV563" s="16" t="n"/>
      <c r="AW563" s="138" t="n"/>
      <c r="AX563" s="16" t="n"/>
      <c r="AY563" s="138" t="n"/>
      <c r="AZ563" s="16">
        <f>AF563+AH563+AJ563+AL563+AN563+AP563+AR563+AT563+AV563+AX563</f>
        <v/>
      </c>
      <c r="BA563" s="16" t="n"/>
      <c r="BB563" s="139" t="n"/>
      <c r="BC563" s="16" t="n"/>
      <c r="BD563" s="139" t="n"/>
      <c r="BE563" s="16">
        <f>(BA563+BC563)</f>
        <v/>
      </c>
    </row>
    <row r="564">
      <c r="A564" s="9" t="n"/>
      <c r="B564" s="136" t="inlineStr">
        <is>
          <t>실리콘</t>
        </is>
      </c>
      <c r="C564" s="137" t="inlineStr">
        <is>
          <t>DX3000</t>
        </is>
      </c>
      <c r="D564" s="60" t="inlineStr">
        <is>
          <t>실리콘 캡</t>
        </is>
      </c>
      <c r="E564" s="13" t="inlineStr">
        <is>
          <t>LSR 투명 실리콘</t>
        </is>
      </c>
      <c r="F564" s="99" t="n"/>
      <c r="G564" s="9" t="n"/>
      <c r="H564" s="9" t="inlineStr">
        <is>
          <t>가연테크</t>
        </is>
      </c>
      <c r="I564" s="14" t="n"/>
      <c r="J564" s="14" t="n"/>
      <c r="K564" s="12" t="n">
        <v>1200</v>
      </c>
      <c r="L564" s="9" t="n"/>
      <c r="M564" s="9" t="n"/>
      <c r="N564" s="9" t="n"/>
      <c r="O564" s="40">
        <f>K564+V564-AE564-AZ564</f>
        <v/>
      </c>
      <c r="P564" s="12" t="n"/>
      <c r="Q564" s="138" t="n"/>
      <c r="R564" s="16" t="n"/>
      <c r="S564" s="139" t="n"/>
      <c r="T564" s="16" t="n"/>
      <c r="U564" s="139" t="n"/>
      <c r="V564" s="16">
        <f>P564+R564+T564</f>
        <v/>
      </c>
      <c r="W564" s="16" t="n"/>
      <c r="X564" s="139" t="n"/>
      <c r="Y564" s="16" t="n"/>
      <c r="Z564" s="139" t="n"/>
      <c r="AA564" s="16" t="n"/>
      <c r="AB564" s="139" t="n"/>
      <c r="AC564" s="16" t="n"/>
      <c r="AD564" s="139" t="n"/>
      <c r="AE564" s="16">
        <f>(W564+Y564+AA564+AC564)</f>
        <v/>
      </c>
      <c r="AF564" s="16" t="n"/>
      <c r="AG564" s="138" t="n"/>
      <c r="AH564" s="16" t="n"/>
      <c r="AI564" s="138" t="n"/>
      <c r="AJ564" s="16" t="n"/>
      <c r="AK564" s="138" t="n"/>
      <c r="AL564" s="16" t="n"/>
      <c r="AM564" s="138" t="n"/>
      <c r="AN564" s="16" t="n"/>
      <c r="AO564" s="138" t="n"/>
      <c r="AP564" s="16" t="n"/>
      <c r="AQ564" s="138" t="n"/>
      <c r="AR564" s="16" t="n"/>
      <c r="AS564" s="138" t="n"/>
      <c r="AT564" s="16" t="n"/>
      <c r="AU564" s="138" t="n"/>
      <c r="AV564" s="16" t="n"/>
      <c r="AW564" s="138" t="n"/>
      <c r="AX564" s="16" t="n"/>
      <c r="AY564" s="138" t="n"/>
      <c r="AZ564" s="16">
        <f>AF564+AH564+AJ564+AL564+AN564+AP564+AR564+AT564+AV564+AX564</f>
        <v/>
      </c>
      <c r="BA564" s="16" t="n"/>
      <c r="BB564" s="139" t="n"/>
      <c r="BC564" s="16" t="n"/>
      <c r="BD564" s="139" t="n"/>
      <c r="BE564" s="16">
        <f>(BA564+BC564)</f>
        <v/>
      </c>
    </row>
    <row r="565">
      <c r="A565" s="9" t="n"/>
      <c r="B565" s="151" t="n"/>
      <c r="C565" s="152" t="n"/>
      <c r="D565" s="92" t="n"/>
      <c r="E565" s="51" t="n"/>
      <c r="F565" s="52" t="n"/>
      <c r="G565" s="49" t="n"/>
      <c r="H565" s="49" t="n"/>
      <c r="I565" s="53" t="n"/>
      <c r="J565" s="53" t="n"/>
      <c r="K565" s="12" t="n">
        <v>0</v>
      </c>
      <c r="L565" s="49" t="n"/>
      <c r="M565" s="49" t="n"/>
      <c r="N565" s="49" t="n"/>
      <c r="O565" s="153" t="n"/>
      <c r="P565" s="52" t="n"/>
      <c r="Q565" s="154" t="n"/>
      <c r="R565" s="58" t="n"/>
      <c r="S565" s="155" t="n"/>
      <c r="T565" s="58" t="n"/>
      <c r="U565" s="155" t="n"/>
      <c r="V565" s="58" t="n"/>
      <c r="W565" s="58" t="n"/>
      <c r="X565" s="155" t="n"/>
      <c r="Y565" s="58" t="n"/>
      <c r="Z565" s="155" t="n"/>
      <c r="AA565" s="58" t="n"/>
      <c r="AB565" s="155" t="n"/>
      <c r="AC565" s="58" t="n"/>
      <c r="AD565" s="155" t="n"/>
      <c r="AE565" s="58" t="n"/>
      <c r="AF565" s="58" t="n"/>
      <c r="AG565" s="154" t="n"/>
      <c r="AH565" s="58" t="n"/>
      <c r="AI565" s="154" t="n"/>
      <c r="AJ565" s="58" t="n"/>
      <c r="AK565" s="154" t="n"/>
      <c r="AL565" s="58" t="n"/>
      <c r="AM565" s="154" t="n"/>
      <c r="AN565" s="58" t="n"/>
      <c r="AO565" s="154" t="n"/>
      <c r="AP565" s="58" t="n"/>
      <c r="AQ565" s="154" t="n"/>
      <c r="AR565" s="58" t="n"/>
      <c r="AS565" s="154" t="n"/>
      <c r="AT565" s="58" t="n"/>
      <c r="AU565" s="154" t="n"/>
      <c r="AV565" s="58" t="n"/>
      <c r="AW565" s="154" t="n"/>
      <c r="AX565" s="58" t="n"/>
      <c r="AY565" s="154" t="n"/>
      <c r="AZ565" s="58" t="n"/>
      <c r="BA565" s="58" t="n"/>
      <c r="BB565" s="155" t="n"/>
      <c r="BC565" s="58" t="n"/>
      <c r="BD565" s="155" t="n"/>
      <c r="BE565" s="58" t="n"/>
    </row>
    <row r="566">
      <c r="A566" s="9" t="n">
        <v>999</v>
      </c>
      <c r="B566" s="136" t="inlineStr">
        <is>
          <t>ABS 난연</t>
        </is>
      </c>
      <c r="C566" s="137" t="inlineStr">
        <is>
          <t>DX3000</t>
        </is>
      </c>
      <c r="D566" s="60" t="inlineStr">
        <is>
          <t>Battery Pack</t>
        </is>
      </c>
      <c r="E566" s="11" t="inlineStr">
        <is>
          <t xml:space="preserve">사급자재 </t>
        </is>
      </c>
      <c r="F566" s="12" t="n"/>
      <c r="G566" s="9" t="n"/>
      <c r="H566" s="9" t="inlineStr">
        <is>
          <t>천우</t>
        </is>
      </c>
      <c r="I566" s="14" t="n"/>
      <c r="J566" s="14" t="n"/>
      <c r="K566" s="12" t="n">
        <v>0</v>
      </c>
      <c r="L566" s="9" t="n"/>
      <c r="M566" s="9" t="n"/>
      <c r="N566" s="9" t="n"/>
      <c r="O566" s="40">
        <f>K566+V566-AE566-AZ566</f>
        <v/>
      </c>
      <c r="P566" s="12" t="n"/>
      <c r="Q566" s="138" t="n"/>
      <c r="R566" s="16" t="n"/>
      <c r="S566" s="139" t="n"/>
      <c r="T566" s="16" t="n"/>
      <c r="U566" s="139" t="n"/>
      <c r="V566" s="16">
        <f>P566+R566+T566</f>
        <v/>
      </c>
      <c r="W566" s="16" t="n"/>
      <c r="X566" s="139" t="n"/>
      <c r="Y566" s="16" t="n"/>
      <c r="Z566" s="139" t="n"/>
      <c r="AA566" s="16" t="n"/>
      <c r="AB566" s="139" t="n"/>
      <c r="AC566" s="16" t="n"/>
      <c r="AD566" s="139" t="n"/>
      <c r="AE566" s="16">
        <f>(W566+Y566+AA566+AC566)</f>
        <v/>
      </c>
      <c r="AF566" s="16" t="n"/>
      <c r="AG566" s="138" t="n"/>
      <c r="AH566" s="16" t="n"/>
      <c r="AI566" s="138" t="n"/>
      <c r="AJ566" s="16" t="n"/>
      <c r="AK566" s="138" t="n"/>
      <c r="AL566" s="16" t="n"/>
      <c r="AM566" s="138" t="n"/>
      <c r="AN566" s="16" t="n"/>
      <c r="AO566" s="138" t="n"/>
      <c r="AP566" s="16" t="n"/>
      <c r="AQ566" s="138" t="n"/>
      <c r="AR566" s="16" t="n"/>
      <c r="AS566" s="138" t="n"/>
      <c r="AT566" s="16" t="n"/>
      <c r="AU566" s="138" t="n"/>
      <c r="AV566" s="16" t="n"/>
      <c r="AW566" s="138" t="n"/>
      <c r="AX566" s="16" t="n"/>
      <c r="AY566" s="138" t="n"/>
      <c r="AZ566" s="16">
        <f>AF566+AH566+AJ566+AL566+AN566+AP566+AR566+AT566+AV566+AX566</f>
        <v/>
      </c>
      <c r="BA566" s="16" t="n"/>
      <c r="BB566" s="139" t="n"/>
      <c r="BC566" s="16" t="n"/>
      <c r="BD566" s="139" t="n"/>
      <c r="BE566" s="16">
        <f>(BA566+BC566)</f>
        <v/>
      </c>
    </row>
    <row r="567">
      <c r="A567" s="9" t="n">
        <v>999</v>
      </c>
      <c r="B567" s="136" t="inlineStr">
        <is>
          <t>ABS 난연</t>
        </is>
      </c>
      <c r="C567" s="137" t="inlineStr">
        <is>
          <t>DX3000</t>
        </is>
      </c>
      <c r="D567" s="60" t="inlineStr">
        <is>
          <t>Battery Case</t>
        </is>
      </c>
      <c r="E567" s="11" t="inlineStr">
        <is>
          <t xml:space="preserve">사급자재 </t>
        </is>
      </c>
      <c r="F567" s="12" t="n"/>
      <c r="G567" s="9" t="n"/>
      <c r="H567" s="9" t="inlineStr">
        <is>
          <t>천우</t>
        </is>
      </c>
      <c r="I567" s="14" t="n"/>
      <c r="J567" s="14" t="n"/>
      <c r="K567" s="12" t="n">
        <v>0</v>
      </c>
      <c r="L567" s="9" t="n"/>
      <c r="M567" s="9" t="n"/>
      <c r="N567" s="9" t="n"/>
      <c r="O567" s="40">
        <f>K567+V567-AE567-AZ567</f>
        <v/>
      </c>
      <c r="P567" s="12" t="n"/>
      <c r="Q567" s="138" t="n"/>
      <c r="R567" s="16" t="n"/>
      <c r="S567" s="139" t="n"/>
      <c r="T567" s="16" t="n"/>
      <c r="U567" s="139" t="n"/>
      <c r="V567" s="16">
        <f>P567+R567+T567</f>
        <v/>
      </c>
      <c r="W567" s="16" t="n"/>
      <c r="X567" s="139" t="n"/>
      <c r="Y567" s="16" t="n"/>
      <c r="Z567" s="139" t="n"/>
      <c r="AA567" s="16" t="n"/>
      <c r="AB567" s="139" t="n"/>
      <c r="AC567" s="16" t="n"/>
      <c r="AD567" s="139" t="n"/>
      <c r="AE567" s="16">
        <f>(W567+Y567+AA567+AC567)</f>
        <v/>
      </c>
      <c r="AF567" s="16" t="n"/>
      <c r="AG567" s="138" t="n"/>
      <c r="AH567" s="16" t="n"/>
      <c r="AI567" s="138" t="n"/>
      <c r="AJ567" s="16" t="n"/>
      <c r="AK567" s="138" t="n"/>
      <c r="AL567" s="16" t="n"/>
      <c r="AM567" s="138" t="n"/>
      <c r="AN567" s="16" t="n"/>
      <c r="AO567" s="138" t="n"/>
      <c r="AP567" s="16" t="n"/>
      <c r="AQ567" s="138" t="n"/>
      <c r="AR567" s="16" t="n"/>
      <c r="AS567" s="138" t="n"/>
      <c r="AT567" s="16" t="n"/>
      <c r="AU567" s="138" t="n"/>
      <c r="AV567" s="16" t="n"/>
      <c r="AW567" s="138" t="n"/>
      <c r="AX567" s="16" t="n"/>
      <c r="AY567" s="138" t="n"/>
      <c r="AZ567" s="16">
        <f>AF567+AH567+AJ567+AL567+AN567+AP567+AR567+AT567+AV567+AX567</f>
        <v/>
      </c>
      <c r="BA567" s="16" t="n"/>
      <c r="BB567" s="139" t="n"/>
      <c r="BC567" s="16" t="n"/>
      <c r="BD567" s="139" t="n"/>
      <c r="BE567" s="16">
        <f>(BA567+BC567)</f>
        <v/>
      </c>
    </row>
    <row r="568">
      <c r="A568" s="9" t="n">
        <v>999</v>
      </c>
      <c r="B568" s="136" t="inlineStr">
        <is>
          <t>신주</t>
        </is>
      </c>
      <c r="C568" s="137" t="inlineStr">
        <is>
          <t>공용</t>
        </is>
      </c>
      <c r="D568" s="60" t="inlineStr">
        <is>
          <t>배터리 내부 단자</t>
        </is>
      </c>
      <c r="E568" s="11" t="inlineStr">
        <is>
          <t xml:space="preserve">사급자재 </t>
        </is>
      </c>
      <c r="F568" s="12" t="n"/>
      <c r="G568" s="9" t="n"/>
      <c r="H568" s="9" t="inlineStr">
        <is>
          <t>해진정밀</t>
        </is>
      </c>
      <c r="I568" s="14" t="n"/>
      <c r="J568" s="14" t="n"/>
      <c r="K568" s="12" t="n">
        <v>0</v>
      </c>
      <c r="L568" s="9" t="n"/>
      <c r="M568" s="9" t="n"/>
      <c r="N568" s="9" t="n"/>
      <c r="O568" s="40">
        <f>K568+V568-AE568-AZ568</f>
        <v/>
      </c>
      <c r="P568" s="12" t="n"/>
      <c r="Q568" s="138" t="n"/>
      <c r="R568" s="16" t="n"/>
      <c r="S568" s="139" t="n"/>
      <c r="T568" s="16" t="n"/>
      <c r="U568" s="139" t="n"/>
      <c r="V568" s="16">
        <f>P568+R568+T568</f>
        <v/>
      </c>
      <c r="W568" s="16" t="n"/>
      <c r="X568" s="139" t="n"/>
      <c r="Y568" s="16" t="n"/>
      <c r="Z568" s="139" t="n"/>
      <c r="AA568" s="16" t="n"/>
      <c r="AB568" s="139" t="n"/>
      <c r="AC568" s="16" t="n"/>
      <c r="AD568" s="139" t="n"/>
      <c r="AE568" s="16">
        <f>(W568+Y568+AA568+AC568)</f>
        <v/>
      </c>
      <c r="AF568" s="16" t="n"/>
      <c r="AG568" s="138" t="n"/>
      <c r="AH568" s="16" t="n"/>
      <c r="AI568" s="138" t="n"/>
      <c r="AJ568" s="16" t="n"/>
      <c r="AK568" s="138" t="n"/>
      <c r="AL568" s="16" t="n"/>
      <c r="AM568" s="138" t="n"/>
      <c r="AN568" s="16" t="n"/>
      <c r="AO568" s="138" t="n"/>
      <c r="AP568" s="16" t="n"/>
      <c r="AQ568" s="138" t="n"/>
      <c r="AR568" s="16" t="n"/>
      <c r="AS568" s="138" t="n"/>
      <c r="AT568" s="16" t="n"/>
      <c r="AU568" s="138" t="n"/>
      <c r="AV568" s="16" t="n"/>
      <c r="AW568" s="138" t="n"/>
      <c r="AX568" s="16" t="n"/>
      <c r="AY568" s="138" t="n"/>
      <c r="AZ568" s="16">
        <f>AF568+AH568+AJ568+AL568+AN568+AP568+AR568+AT568+AV568+AX568</f>
        <v/>
      </c>
      <c r="BA568" s="16" t="n"/>
      <c r="BB568" s="139" t="n"/>
      <c r="BC568" s="16" t="n"/>
      <c r="BD568" s="139" t="n"/>
      <c r="BE568" s="16">
        <f>(BA568+BC568)</f>
        <v/>
      </c>
    </row>
    <row r="569">
      <c r="A569" s="9" t="n">
        <v>32</v>
      </c>
      <c r="B569" s="136" t="inlineStr">
        <is>
          <t>BOARD</t>
        </is>
      </c>
      <c r="C569" s="137" t="inlineStr">
        <is>
          <t>ADX6000</t>
        </is>
      </c>
      <c r="D569" s="64" t="inlineStr">
        <is>
          <t>고압베어 B/D</t>
        </is>
      </c>
      <c r="E569" s="11" t="inlineStr">
        <is>
          <t>구형 고압보드</t>
        </is>
      </c>
      <c r="F569" s="99" t="n"/>
      <c r="G569" s="9" t="n"/>
      <c r="H569" s="9" t="inlineStr">
        <is>
          <t>한샘디지텍</t>
        </is>
      </c>
      <c r="I569" s="14" t="n"/>
      <c r="J569" s="14" t="n"/>
      <c r="K569" s="12" t="n">
        <v>0</v>
      </c>
      <c r="L569" s="9" t="n"/>
      <c r="M569" s="9" t="n"/>
      <c r="N569" s="9" t="n"/>
      <c r="O569" s="40">
        <f>K569+V569-AE569-AZ569</f>
        <v/>
      </c>
      <c r="P569" s="12" t="n"/>
      <c r="Q569" s="138" t="n"/>
      <c r="R569" s="16" t="n"/>
      <c r="S569" s="139" t="n"/>
      <c r="T569" s="16" t="n"/>
      <c r="U569" s="139" t="n"/>
      <c r="V569" s="16">
        <f>P569+R569+T569</f>
        <v/>
      </c>
      <c r="W569" s="16" t="n"/>
      <c r="X569" s="139" t="n"/>
      <c r="Y569" s="16" t="n"/>
      <c r="Z569" s="139" t="n"/>
      <c r="AA569" s="16" t="n"/>
      <c r="AB569" s="139" t="n"/>
      <c r="AC569" s="16" t="n"/>
      <c r="AD569" s="139" t="n"/>
      <c r="AE569" s="16">
        <f>(W569+Y569+AA569+AC569)</f>
        <v/>
      </c>
      <c r="AF569" s="16" t="n"/>
      <c r="AG569" s="138" t="n"/>
      <c r="AH569" s="16" t="n"/>
      <c r="AI569" s="138" t="n"/>
      <c r="AJ569" s="16" t="n"/>
      <c r="AK569" s="138" t="n"/>
      <c r="AL569" s="16" t="n"/>
      <c r="AM569" s="138" t="n"/>
      <c r="AN569" s="16" t="n"/>
      <c r="AO569" s="138" t="n"/>
      <c r="AP569" s="16" t="n"/>
      <c r="AQ569" s="138" t="n"/>
      <c r="AR569" s="16" t="n"/>
      <c r="AS569" s="138" t="n"/>
      <c r="AT569" s="16" t="n"/>
      <c r="AU569" s="138" t="n"/>
      <c r="AV569" s="16" t="n"/>
      <c r="AW569" s="138" t="n"/>
      <c r="AX569" s="16" t="n"/>
      <c r="AY569" s="138" t="n"/>
      <c r="AZ569" s="16">
        <f>AF569+AH569+AJ569+AL569+AN569+AP569+AR569+AT569+AV569+AX569</f>
        <v/>
      </c>
      <c r="BA569" s="16" t="n"/>
      <c r="BB569" s="139" t="n"/>
      <c r="BC569" s="16" t="n"/>
      <c r="BD569" s="139" t="n"/>
      <c r="BE569" s="16">
        <f>(BA569+BC569)</f>
        <v/>
      </c>
    </row>
    <row r="570">
      <c r="A570" s="9" t="n">
        <v>60</v>
      </c>
      <c r="B570" s="141" t="inlineStr">
        <is>
          <t>BOARD</t>
        </is>
      </c>
      <c r="C570" s="137" t="inlineStr">
        <is>
          <t>ADX6000</t>
        </is>
      </c>
      <c r="D570" s="62" t="inlineStr">
        <is>
          <t>8핀 B/D</t>
        </is>
      </c>
      <c r="E570" s="36" t="inlineStr">
        <is>
          <t>구형 8핀 보드</t>
        </is>
      </c>
      <c r="F570" s="99" t="n"/>
      <c r="G570" s="22" t="n"/>
      <c r="H570" s="22" t="inlineStr">
        <is>
          <t>한샘디지텍</t>
        </is>
      </c>
      <c r="I570" s="14" t="n"/>
      <c r="J570" s="14" t="n"/>
      <c r="K570" s="12" t="n">
        <v>0</v>
      </c>
      <c r="L570" s="9" t="n"/>
      <c r="M570" s="9" t="n"/>
      <c r="N570" s="9" t="n"/>
      <c r="O570" s="40">
        <f>K570+V570-AE570-AZ570</f>
        <v/>
      </c>
      <c r="P570" s="12" t="n"/>
      <c r="Q570" s="138" t="n"/>
      <c r="R570" s="16" t="n"/>
      <c r="S570" s="139" t="n"/>
      <c r="T570" s="16" t="n"/>
      <c r="U570" s="139" t="n"/>
      <c r="V570" s="16">
        <f>P570+R570+T570</f>
        <v/>
      </c>
      <c r="W570" s="16" t="n"/>
      <c r="X570" s="139" t="n"/>
      <c r="Y570" s="16" t="n"/>
      <c r="Z570" s="139" t="n"/>
      <c r="AA570" s="16" t="n"/>
      <c r="AB570" s="139" t="n"/>
      <c r="AC570" s="16" t="n"/>
      <c r="AD570" s="139" t="n"/>
      <c r="AE570" s="16">
        <f>(W570+Y570+AA570+AC570)</f>
        <v/>
      </c>
      <c r="AF570" s="16" t="n"/>
      <c r="AG570" s="138" t="n"/>
      <c r="AH570" s="16" t="n"/>
      <c r="AI570" s="138" t="n"/>
      <c r="AJ570" s="16" t="n"/>
      <c r="AK570" s="138" t="n"/>
      <c r="AL570" s="16" t="n"/>
      <c r="AM570" s="138" t="n"/>
      <c r="AN570" s="16" t="n"/>
      <c r="AO570" s="138" t="n"/>
      <c r="AP570" s="16" t="n"/>
      <c r="AQ570" s="138" t="n"/>
      <c r="AR570" s="16" t="n"/>
      <c r="AS570" s="138" t="n"/>
      <c r="AT570" s="16" t="n"/>
      <c r="AU570" s="138" t="n"/>
      <c r="AV570" s="16" t="n"/>
      <c r="AW570" s="138" t="n"/>
      <c r="AX570" s="16" t="n"/>
      <c r="AY570" s="138" t="n"/>
      <c r="AZ570" s="16">
        <f>AF570+AH570+AJ570+AL570+AN570+AP570+AR570+AT570+AV570+AX570</f>
        <v/>
      </c>
      <c r="BA570" s="16" t="n"/>
      <c r="BB570" s="139" t="n"/>
      <c r="BC570" s="16" t="n"/>
      <c r="BD570" s="139" t="n"/>
      <c r="BE570" s="16">
        <f>(BA570+BC570)</f>
        <v/>
      </c>
    </row>
    <row r="571">
      <c r="A571" s="9" t="n">
        <v>999</v>
      </c>
      <c r="B571" s="136" t="inlineStr">
        <is>
          <t>다이오드</t>
        </is>
      </c>
      <c r="C571" s="137" t="inlineStr">
        <is>
          <t>SOLO</t>
        </is>
      </c>
      <c r="D571" s="60" t="inlineStr">
        <is>
          <t>고압 다이오드</t>
        </is>
      </c>
      <c r="E571" s="11" t="inlineStr">
        <is>
          <t>SPF01-15</t>
        </is>
      </c>
      <c r="F571" s="12" t="n"/>
      <c r="G571" s="9" t="n"/>
      <c r="H571" s="9" t="inlineStr">
        <is>
          <t>비지티</t>
        </is>
      </c>
      <c r="I571" s="14" t="n"/>
      <c r="J571" s="14" t="n"/>
      <c r="K571" s="12" t="n">
        <v>0</v>
      </c>
      <c r="L571" s="9" t="n"/>
      <c r="M571" s="9" t="n"/>
      <c r="N571" s="9" t="n"/>
      <c r="O571" s="40">
        <f>K571+V571-AE571-AZ571</f>
        <v/>
      </c>
      <c r="P571" s="12" t="n"/>
      <c r="Q571" s="138" t="n"/>
      <c r="R571" s="16" t="n"/>
      <c r="S571" s="139" t="n"/>
      <c r="T571" s="16" t="n"/>
      <c r="U571" s="139" t="n"/>
      <c r="V571" s="16">
        <f>P571+R571+T571</f>
        <v/>
      </c>
      <c r="W571" s="16" t="n"/>
      <c r="X571" s="139" t="n"/>
      <c r="Y571" s="16" t="n"/>
      <c r="Z571" s="139" t="n"/>
      <c r="AA571" s="16" t="n"/>
      <c r="AB571" s="139" t="n"/>
      <c r="AC571" s="16" t="n"/>
      <c r="AD571" s="139" t="n"/>
      <c r="AE571" s="16">
        <f>(W571+Y571+AA571+AC571)</f>
        <v/>
      </c>
      <c r="AF571" s="16" t="n"/>
      <c r="AG571" s="138" t="n"/>
      <c r="AH571" s="16" t="n"/>
      <c r="AI571" s="138" t="n"/>
      <c r="AJ571" s="16" t="n"/>
      <c r="AK571" s="138" t="n"/>
      <c r="AL571" s="16" t="n"/>
      <c r="AM571" s="138" t="n"/>
      <c r="AN571" s="16" t="n"/>
      <c r="AO571" s="138" t="n"/>
      <c r="AP571" s="16" t="n"/>
      <c r="AQ571" s="138" t="n"/>
      <c r="AR571" s="16" t="n"/>
      <c r="AS571" s="138" t="n"/>
      <c r="AT571" s="16" t="n"/>
      <c r="AU571" s="138" t="n"/>
      <c r="AV571" s="16" t="n"/>
      <c r="AW571" s="138" t="n"/>
      <c r="AX571" s="16" t="n"/>
      <c r="AY571" s="138" t="n"/>
      <c r="AZ571" s="16">
        <f>AF571+AH571+AJ571+AL571+AN571+AP571+AR571+AT571+AV571+AX571</f>
        <v/>
      </c>
      <c r="BA571" s="16" t="n"/>
      <c r="BB571" s="139" t="n"/>
      <c r="BC571" s="16" t="n"/>
      <c r="BD571" s="139" t="n"/>
      <c r="BE571" s="16">
        <f>(BA571+BC571)</f>
        <v/>
      </c>
    </row>
    <row r="572">
      <c r="A572" s="9" t="n">
        <v>999</v>
      </c>
      <c r="B572" s="136" t="inlineStr">
        <is>
          <t>세라믹</t>
        </is>
      </c>
      <c r="C572" s="137" t="inlineStr">
        <is>
          <t>SOLO</t>
        </is>
      </c>
      <c r="D572" s="60" t="inlineStr">
        <is>
          <t>고압용 칩 세라믹 콘덴서</t>
        </is>
      </c>
      <c r="E572" s="11" t="inlineStr">
        <is>
          <t>2220J6K00222KXT</t>
        </is>
      </c>
      <c r="F572" s="12" t="n"/>
      <c r="G572" s="9" t="n"/>
      <c r="H572" s="9" t="inlineStr">
        <is>
          <t>비지티</t>
        </is>
      </c>
      <c r="I572" s="14" t="n"/>
      <c r="J572" s="14" t="n"/>
      <c r="K572" s="12" t="n">
        <v>0</v>
      </c>
      <c r="L572" s="9" t="n"/>
      <c r="M572" s="9" t="n"/>
      <c r="N572" s="9" t="n"/>
      <c r="O572" s="40">
        <f>K572+V572-AE572-AZ572</f>
        <v/>
      </c>
      <c r="P572" s="12" t="n"/>
      <c r="Q572" s="138" t="n"/>
      <c r="R572" s="16" t="n"/>
      <c r="S572" s="139" t="n"/>
      <c r="T572" s="16" t="n"/>
      <c r="U572" s="139" t="n"/>
      <c r="V572" s="16">
        <f>P572+R572+T572</f>
        <v/>
      </c>
      <c r="W572" s="16" t="n"/>
      <c r="X572" s="139" t="n"/>
      <c r="Y572" s="16" t="n"/>
      <c r="Z572" s="139" t="n"/>
      <c r="AA572" s="16" t="n"/>
      <c r="AB572" s="139" t="n"/>
      <c r="AC572" s="16" t="n"/>
      <c r="AD572" s="139" t="n"/>
      <c r="AE572" s="16">
        <f>(W572+Y572+AA572+AC572)</f>
        <v/>
      </c>
      <c r="AF572" s="16" t="n"/>
      <c r="AG572" s="138" t="n"/>
      <c r="AH572" s="16" t="n"/>
      <c r="AI572" s="138" t="n"/>
      <c r="AJ572" s="16" t="n"/>
      <c r="AK572" s="138" t="n"/>
      <c r="AL572" s="16" t="n"/>
      <c r="AM572" s="138" t="n"/>
      <c r="AN572" s="16" t="n"/>
      <c r="AO572" s="138" t="n"/>
      <c r="AP572" s="16" t="n"/>
      <c r="AQ572" s="138" t="n"/>
      <c r="AR572" s="16" t="n"/>
      <c r="AS572" s="138" t="n"/>
      <c r="AT572" s="16" t="n"/>
      <c r="AU572" s="138" t="n"/>
      <c r="AV572" s="16" t="n"/>
      <c r="AW572" s="138" t="n"/>
      <c r="AX572" s="16" t="n"/>
      <c r="AY572" s="138" t="n"/>
      <c r="AZ572" s="16">
        <f>AF572+AH572+AJ572+AL572+AN572+AP572+AR572+AT572+AV572+AX572</f>
        <v/>
      </c>
      <c r="BA572" s="16" t="n"/>
      <c r="BB572" s="139" t="n"/>
      <c r="BC572" s="16" t="n"/>
      <c r="BD572" s="139" t="n"/>
      <c r="BE572" s="16">
        <f>(BA572+BC572)</f>
        <v/>
      </c>
    </row>
    <row r="573">
      <c r="A573" s="9" t="n">
        <v>999</v>
      </c>
      <c r="B573" s="141" t="inlineStr">
        <is>
          <t>HDPE</t>
        </is>
      </c>
      <c r="C573" s="142" t="inlineStr">
        <is>
          <t>SOLO</t>
        </is>
      </c>
      <c r="D573" s="62" t="inlineStr">
        <is>
          <t>세라믹 튜브 하우징 파이프</t>
        </is>
      </c>
      <c r="E573" s="36" t="inlineStr">
        <is>
          <t>HDPE</t>
        </is>
      </c>
      <c r="F573" s="21" t="n"/>
      <c r="G573" s="22" t="n"/>
      <c r="H573" s="22" t="inlineStr">
        <is>
          <t>용봉화학</t>
        </is>
      </c>
      <c r="I573" s="14" t="n"/>
      <c r="J573" s="14" t="n"/>
      <c r="K573" s="12" t="n">
        <v>0</v>
      </c>
      <c r="L573" s="9" t="n"/>
      <c r="M573" s="9" t="n"/>
      <c r="N573" s="9" t="n"/>
      <c r="O573" s="40">
        <f>K573+V573-AE573-AZ573</f>
        <v/>
      </c>
      <c r="P573" s="12" t="n"/>
      <c r="Q573" s="138" t="n"/>
      <c r="R573" s="16" t="n"/>
      <c r="S573" s="139" t="n"/>
      <c r="T573" s="16" t="n"/>
      <c r="U573" s="139" t="n"/>
      <c r="V573" s="16">
        <f>P573+R573+T573</f>
        <v/>
      </c>
      <c r="W573" s="16" t="n"/>
      <c r="X573" s="139" t="n"/>
      <c r="Y573" s="16" t="n"/>
      <c r="Z573" s="139" t="n"/>
      <c r="AA573" s="16" t="n"/>
      <c r="AB573" s="139" t="n"/>
      <c r="AC573" s="16" t="n"/>
      <c r="AD573" s="139" t="n"/>
      <c r="AE573" s="16">
        <f>(W573+Y573+AA573+AC573)</f>
        <v/>
      </c>
      <c r="AF573" s="16" t="n"/>
      <c r="AG573" s="138" t="n"/>
      <c r="AH573" s="16" t="n"/>
      <c r="AI573" s="138" t="n"/>
      <c r="AJ573" s="16" t="n"/>
      <c r="AK573" s="138" t="n"/>
      <c r="AL573" s="16" t="n"/>
      <c r="AM573" s="138" t="n"/>
      <c r="AN573" s="16" t="n"/>
      <c r="AO573" s="138" t="n"/>
      <c r="AP573" s="16" t="n"/>
      <c r="AQ573" s="138" t="n"/>
      <c r="AR573" s="16" t="n"/>
      <c r="AS573" s="138" t="n"/>
      <c r="AT573" s="16" t="n"/>
      <c r="AU573" s="138" t="n"/>
      <c r="AV573" s="16" t="n"/>
      <c r="AW573" s="138" t="n"/>
      <c r="AX573" s="16" t="n"/>
      <c r="AY573" s="138" t="n"/>
      <c r="AZ573" s="16">
        <f>AF573+AH573+AJ573+AL573+AN573+AP573+AR573+AT573+AV573+AX573</f>
        <v/>
      </c>
      <c r="BA573" s="16" t="n"/>
      <c r="BB573" s="139" t="n"/>
      <c r="BC573" s="16" t="n"/>
      <c r="BD573" s="139" t="n"/>
      <c r="BE573" s="16">
        <f>(BA573+BC573)</f>
        <v/>
      </c>
    </row>
    <row r="574">
      <c r="A574" s="9" t="n">
        <v>999</v>
      </c>
      <c r="B574" s="141" t="inlineStr">
        <is>
          <t>HDPE</t>
        </is>
      </c>
      <c r="C574" s="142" t="inlineStr">
        <is>
          <t>SOLO</t>
        </is>
      </c>
      <c r="D574" s="62" t="inlineStr">
        <is>
          <t>내부 케이스</t>
        </is>
      </c>
      <c r="E574" s="36" t="inlineStr">
        <is>
          <t>HDPE</t>
        </is>
      </c>
      <c r="F574" s="21" t="n"/>
      <c r="G574" s="22" t="n"/>
      <c r="H574" s="22" t="inlineStr">
        <is>
          <t>용봉화학</t>
        </is>
      </c>
      <c r="I574" s="14" t="n"/>
      <c r="J574" s="14" t="n"/>
      <c r="K574" s="12" t="n">
        <v>0</v>
      </c>
      <c r="L574" s="9" t="n"/>
      <c r="M574" s="9" t="n"/>
      <c r="N574" s="9" t="n"/>
      <c r="O574" s="40">
        <f>K574+V574-AE574-AZ574</f>
        <v/>
      </c>
      <c r="P574" s="12" t="n"/>
      <c r="Q574" s="138" t="n"/>
      <c r="R574" s="16" t="n"/>
      <c r="S574" s="139" t="n"/>
      <c r="T574" s="16" t="n"/>
      <c r="U574" s="139" t="n"/>
      <c r="V574" s="16">
        <f>P574+R574+T574</f>
        <v/>
      </c>
      <c r="W574" s="16" t="n"/>
      <c r="X574" s="139" t="n"/>
      <c r="Y574" s="16" t="n"/>
      <c r="Z574" s="139" t="n"/>
      <c r="AA574" s="16" t="n"/>
      <c r="AB574" s="139" t="n"/>
      <c r="AC574" s="16" t="n"/>
      <c r="AD574" s="139" t="n"/>
      <c r="AE574" s="16">
        <f>(W574+Y574+AA574+AC574)</f>
        <v/>
      </c>
      <c r="AF574" s="16" t="n"/>
      <c r="AG574" s="138" t="n"/>
      <c r="AH574" s="16" t="n"/>
      <c r="AI574" s="138" t="n"/>
      <c r="AJ574" s="16" t="n"/>
      <c r="AK574" s="138" t="n"/>
      <c r="AL574" s="16" t="n"/>
      <c r="AM574" s="138" t="n"/>
      <c r="AN574" s="16" t="n"/>
      <c r="AO574" s="138" t="n"/>
      <c r="AP574" s="16" t="n"/>
      <c r="AQ574" s="138" t="n"/>
      <c r="AR574" s="16" t="n"/>
      <c r="AS574" s="138" t="n"/>
      <c r="AT574" s="16" t="n"/>
      <c r="AU574" s="138" t="n"/>
      <c r="AV574" s="16" t="n"/>
      <c r="AW574" s="138" t="n"/>
      <c r="AX574" s="16" t="n"/>
      <c r="AY574" s="138" t="n"/>
      <c r="AZ574" s="16">
        <f>AF574+AH574+AJ574+AL574+AN574+AP574+AR574+AT574+AV574+AX574</f>
        <v/>
      </c>
      <c r="BA574" s="16" t="n"/>
      <c r="BB574" s="139" t="n"/>
      <c r="BC574" s="16" t="n"/>
      <c r="BD574" s="139" t="n"/>
      <c r="BE574" s="16">
        <f>(BA574+BC574)</f>
        <v/>
      </c>
    </row>
    <row r="575">
      <c r="A575" s="9" t="n">
        <v>999</v>
      </c>
      <c r="B575" s="141" t="inlineStr">
        <is>
          <t>HDPE</t>
        </is>
      </c>
      <c r="C575" s="142" t="inlineStr">
        <is>
          <t>SOLO</t>
        </is>
      </c>
      <c r="D575" s="62" t="inlineStr">
        <is>
          <t>고압 격벽</t>
        </is>
      </c>
      <c r="E575" s="36" t="inlineStr">
        <is>
          <t>HDPE</t>
        </is>
      </c>
      <c r="F575" s="21" t="n"/>
      <c r="G575" s="22" t="n"/>
      <c r="H575" s="22" t="inlineStr">
        <is>
          <t>용봉화학</t>
        </is>
      </c>
      <c r="I575" s="14" t="n"/>
      <c r="J575" s="14" t="n"/>
      <c r="K575" s="12" t="n">
        <v>0</v>
      </c>
      <c r="L575" s="9" t="n"/>
      <c r="M575" s="9" t="n"/>
      <c r="N575" s="9" t="n"/>
      <c r="O575" s="40">
        <f>K575+V575-AE575-AZ575</f>
        <v/>
      </c>
      <c r="P575" s="12" t="n"/>
      <c r="Q575" s="138" t="n"/>
      <c r="R575" s="16" t="n"/>
      <c r="S575" s="139" t="n"/>
      <c r="T575" s="16" t="n"/>
      <c r="U575" s="139" t="n"/>
      <c r="V575" s="16">
        <f>P575+R575+T575</f>
        <v/>
      </c>
      <c r="W575" s="16" t="n"/>
      <c r="X575" s="139" t="n"/>
      <c r="Y575" s="16" t="n"/>
      <c r="Z575" s="139" t="n"/>
      <c r="AA575" s="16" t="n"/>
      <c r="AB575" s="139" t="n"/>
      <c r="AC575" s="16" t="n"/>
      <c r="AD575" s="139" t="n"/>
      <c r="AE575" s="16">
        <f>(W575+Y575+AA575+AC575)</f>
        <v/>
      </c>
      <c r="AF575" s="16" t="n"/>
      <c r="AG575" s="138" t="n"/>
      <c r="AH575" s="16" t="n"/>
      <c r="AI575" s="138" t="n"/>
      <c r="AJ575" s="16" t="n"/>
      <c r="AK575" s="138" t="n"/>
      <c r="AL575" s="16" t="n"/>
      <c r="AM575" s="138" t="n"/>
      <c r="AN575" s="16" t="n"/>
      <c r="AO575" s="138" t="n"/>
      <c r="AP575" s="16" t="n"/>
      <c r="AQ575" s="138" t="n"/>
      <c r="AR575" s="16" t="n"/>
      <c r="AS575" s="138" t="n"/>
      <c r="AT575" s="16" t="n"/>
      <c r="AU575" s="138" t="n"/>
      <c r="AV575" s="16" t="n"/>
      <c r="AW575" s="138" t="n"/>
      <c r="AX575" s="16" t="n"/>
      <c r="AY575" s="138" t="n"/>
      <c r="AZ575" s="16">
        <f>AF575+AH575+AJ575+AL575+AN575+AP575+AR575+AT575+AV575+AX575</f>
        <v/>
      </c>
      <c r="BA575" s="16" t="n"/>
      <c r="BB575" s="139" t="n"/>
      <c r="BC575" s="16" t="n"/>
      <c r="BD575" s="139" t="n"/>
      <c r="BE575" s="16">
        <f>(BA575+BC575)</f>
        <v/>
      </c>
    </row>
    <row r="576">
      <c r="A576" s="9" t="n">
        <v>999</v>
      </c>
      <c r="B576" s="136" t="inlineStr">
        <is>
          <t>AL</t>
        </is>
      </c>
      <c r="C576" s="137" t="inlineStr">
        <is>
          <t>SOLO</t>
        </is>
      </c>
      <c r="D576" s="83" t="inlineStr">
        <is>
          <t>에이밍 필터</t>
        </is>
      </c>
      <c r="E576" s="13" t="inlineStr">
        <is>
          <t>0.5T * Φ40 에이밍 은경 추가 필터</t>
        </is>
      </c>
      <c r="F576" s="100" t="n"/>
      <c r="G576" s="9" t="n"/>
      <c r="H576" s="9" t="n"/>
      <c r="I576" s="14" t="n"/>
      <c r="J576" s="14" t="n"/>
      <c r="K576" s="12" t="n">
        <v>0</v>
      </c>
      <c r="L576" s="9" t="n"/>
      <c r="M576" s="9" t="n"/>
      <c r="N576" s="9" t="n"/>
      <c r="O576" s="40">
        <f>K576+V576-AE576-AZ576</f>
        <v/>
      </c>
      <c r="P576" s="12" t="n"/>
      <c r="Q576" s="138" t="n"/>
      <c r="R576" s="16" t="n"/>
      <c r="S576" s="139" t="n"/>
      <c r="T576" s="16" t="n"/>
      <c r="U576" s="139" t="n"/>
      <c r="V576" s="16">
        <f>P576+R576+T576</f>
        <v/>
      </c>
      <c r="W576" s="16" t="n"/>
      <c r="X576" s="139" t="n"/>
      <c r="Y576" s="16" t="n"/>
      <c r="Z576" s="139" t="n"/>
      <c r="AA576" s="16" t="n"/>
      <c r="AB576" s="139" t="n"/>
      <c r="AC576" s="16" t="n"/>
      <c r="AD576" s="139" t="n"/>
      <c r="AE576" s="16">
        <f>(W576+Y576+AA576+AC576)</f>
        <v/>
      </c>
      <c r="AF576" s="16" t="n"/>
      <c r="AG576" s="138" t="n"/>
      <c r="AH576" s="16" t="n"/>
      <c r="AI576" s="138" t="n"/>
      <c r="AJ576" s="16" t="n"/>
      <c r="AK576" s="138" t="n"/>
      <c r="AL576" s="16" t="n"/>
      <c r="AM576" s="138" t="n"/>
      <c r="AN576" s="16" t="n"/>
      <c r="AO576" s="138" t="n"/>
      <c r="AP576" s="16" t="n"/>
      <c r="AQ576" s="138" t="n"/>
      <c r="AR576" s="16" t="n"/>
      <c r="AS576" s="138" t="n"/>
      <c r="AT576" s="16" t="n"/>
      <c r="AU576" s="138" t="n"/>
      <c r="AV576" s="16" t="n"/>
      <c r="AW576" s="138" t="n"/>
      <c r="AX576" s="16" t="n"/>
      <c r="AY576" s="138" t="n"/>
      <c r="AZ576" s="16">
        <f>AF576+AH576+AJ576+AL576+AN576+AP576+AR576+AT576+AV576+AX576</f>
        <v/>
      </c>
      <c r="BA576" s="16" t="n"/>
      <c r="BB576" s="139" t="n"/>
      <c r="BC576" s="16" t="n"/>
      <c r="BD576" s="139" t="n"/>
      <c r="BE576" s="16">
        <f>(BA576+BC576)</f>
        <v/>
      </c>
    </row>
    <row r="577">
      <c r="A577" s="9" t="n">
        <v>999</v>
      </c>
      <c r="B577" s="141" t="inlineStr">
        <is>
          <t>PCB</t>
        </is>
      </c>
      <c r="C577" s="137" t="inlineStr">
        <is>
          <t>COCOON</t>
        </is>
      </c>
      <c r="D577" s="70" t="inlineStr">
        <is>
          <t xml:space="preserve">CTR B/D (ST용) </t>
        </is>
      </c>
      <c r="E577" s="36" t="n"/>
      <c r="F577" s="21" t="n"/>
      <c r="G577" s="22" t="n"/>
      <c r="H577" s="22" t="inlineStr">
        <is>
          <t>HLP</t>
        </is>
      </c>
      <c r="I577" s="14" t="n"/>
      <c r="J577" s="14" t="n"/>
      <c r="K577" s="12" t="n">
        <v>0</v>
      </c>
      <c r="L577" s="9" t="n"/>
      <c r="M577" s="9" t="n"/>
      <c r="N577" s="9" t="n"/>
      <c r="O577" s="40">
        <f>K577+V577-AE577-AZ577</f>
        <v/>
      </c>
      <c r="P577" s="12" t="n"/>
      <c r="Q577" s="138" t="n"/>
      <c r="R577" s="16" t="n"/>
      <c r="S577" s="139" t="n"/>
      <c r="T577" s="16" t="n"/>
      <c r="U577" s="139" t="n"/>
      <c r="V577" s="16">
        <f>P577+R577+T577</f>
        <v/>
      </c>
      <c r="W577" s="16" t="n"/>
      <c r="X577" s="139" t="n"/>
      <c r="Y577" s="16" t="n"/>
      <c r="Z577" s="139" t="n"/>
      <c r="AA577" s="16" t="n"/>
      <c r="AB577" s="139" t="n"/>
      <c r="AC577" s="16" t="n"/>
      <c r="AD577" s="139" t="n"/>
      <c r="AE577" s="16">
        <f>(W577+Y577+AA577+AC577)</f>
        <v/>
      </c>
      <c r="AF577" s="16" t="n"/>
      <c r="AG577" s="138" t="n"/>
      <c r="AH577" s="16" t="n"/>
      <c r="AI577" s="138" t="n"/>
      <c r="AJ577" s="16" t="n"/>
      <c r="AK577" s="138" t="n"/>
      <c r="AL577" s="16" t="n"/>
      <c r="AM577" s="138" t="n"/>
      <c r="AN577" s="16" t="n"/>
      <c r="AO577" s="138" t="n"/>
      <c r="AP577" s="16" t="n"/>
      <c r="AQ577" s="138" t="n"/>
      <c r="AR577" s="16" t="n"/>
      <c r="AS577" s="138" t="n"/>
      <c r="AT577" s="16" t="n"/>
      <c r="AU577" s="138" t="n"/>
      <c r="AV577" s="16" t="n"/>
      <c r="AW577" s="138" t="n"/>
      <c r="AX577" s="16" t="n"/>
      <c r="AY577" s="138" t="n"/>
      <c r="AZ577" s="16">
        <f>AF577+AH577+AJ577+AL577+AN577+AP577+AR577+AT577+AV577+AX577</f>
        <v/>
      </c>
      <c r="BA577" s="16" t="n"/>
      <c r="BB577" s="139" t="n"/>
      <c r="BC577" s="16" t="n"/>
      <c r="BD577" s="139" t="n"/>
      <c r="BE577" s="16">
        <f>(BA577+BC577)</f>
        <v/>
      </c>
    </row>
    <row r="578">
      <c r="A578" s="9" t="n">
        <v>999</v>
      </c>
      <c r="B578" s="141" t="inlineStr">
        <is>
          <t>PCB</t>
        </is>
      </c>
      <c r="C578" s="137" t="inlineStr">
        <is>
          <t>ADX4000W</t>
        </is>
      </c>
      <c r="D578" s="62" t="inlineStr">
        <is>
          <t>CTR B/D (구형)</t>
        </is>
      </c>
      <c r="E578" s="36" t="n"/>
      <c r="F578" s="21" t="n"/>
      <c r="G578" s="22" t="n"/>
      <c r="H578" s="22" t="n"/>
      <c r="I578" s="14" t="n"/>
      <c r="J578" s="14" t="n"/>
      <c r="K578" s="12" t="n">
        <v>0</v>
      </c>
      <c r="L578" s="9" t="n"/>
      <c r="M578" s="9" t="n"/>
      <c r="N578" s="9" t="n"/>
      <c r="O578" s="40">
        <f>K578+V578-AE578-AZ578</f>
        <v/>
      </c>
      <c r="P578" s="12" t="n"/>
      <c r="Q578" s="138" t="n"/>
      <c r="R578" s="16" t="n"/>
      <c r="S578" s="139" t="n"/>
      <c r="T578" s="16" t="n"/>
      <c r="U578" s="139" t="n"/>
      <c r="V578" s="16" t="n"/>
      <c r="W578" s="16" t="n"/>
      <c r="X578" s="139" t="n"/>
      <c r="Y578" s="16" t="n"/>
      <c r="Z578" s="139" t="n"/>
      <c r="AA578" s="16" t="n"/>
      <c r="AB578" s="139" t="n"/>
      <c r="AC578" s="16" t="n"/>
      <c r="AD578" s="139" t="n"/>
      <c r="AE578" s="16" t="n"/>
      <c r="AF578" s="16" t="n"/>
      <c r="AG578" s="138" t="n"/>
      <c r="AH578" s="16" t="n"/>
      <c r="AI578" s="138" t="n"/>
      <c r="AJ578" s="16" t="n"/>
      <c r="AK578" s="138" t="n"/>
      <c r="AL578" s="16" t="n"/>
      <c r="AM578" s="138" t="n"/>
      <c r="AN578" s="16" t="n"/>
      <c r="AO578" s="138" t="n"/>
      <c r="AP578" s="16" t="n"/>
      <c r="AQ578" s="138" t="n"/>
      <c r="AR578" s="16" t="n"/>
      <c r="AS578" s="138" t="n"/>
      <c r="AT578" s="16" t="n"/>
      <c r="AU578" s="138" t="n"/>
      <c r="AV578" s="16" t="n"/>
      <c r="AW578" s="138" t="n"/>
      <c r="AX578" s="16" t="n"/>
      <c r="AY578" s="138" t="n"/>
      <c r="AZ578" s="16" t="n"/>
      <c r="BA578" s="16" t="n"/>
      <c r="BB578" s="139" t="n"/>
      <c r="BC578" s="16" t="n"/>
      <c r="BD578" s="139" t="n"/>
      <c r="BE578" s="16" t="n"/>
    </row>
    <row r="579">
      <c r="A579" s="9" t="n">
        <v>999</v>
      </c>
      <c r="B579" s="141" t="inlineStr">
        <is>
          <t>PANEL</t>
        </is>
      </c>
      <c r="C579" s="137" t="inlineStr">
        <is>
          <t>DX3000</t>
        </is>
      </c>
      <c r="D579" s="62" t="inlineStr">
        <is>
          <t>OLED PANEL</t>
        </is>
      </c>
      <c r="E579" s="36" t="n"/>
      <c r="F579" s="21" t="n"/>
      <c r="G579" s="22" t="n"/>
      <c r="H579" s="22" t="inlineStr">
        <is>
          <t>HLP</t>
        </is>
      </c>
      <c r="I579" s="14" t="n"/>
      <c r="J579" s="14" t="n"/>
      <c r="K579" s="12" t="n">
        <v>0</v>
      </c>
      <c r="L579" s="9" t="n"/>
      <c r="M579" s="9" t="n"/>
      <c r="N579" s="9" t="n"/>
      <c r="O579" s="40">
        <f>K579+V579-AE579-AZ579</f>
        <v/>
      </c>
      <c r="P579" s="12" t="n"/>
      <c r="Q579" s="138" t="n"/>
      <c r="R579" s="16" t="n"/>
      <c r="S579" s="139" t="n"/>
      <c r="T579" s="16" t="n"/>
      <c r="U579" s="139" t="n"/>
      <c r="V579" s="16">
        <f>P579+R579+T579</f>
        <v/>
      </c>
      <c r="W579" s="16" t="n"/>
      <c r="X579" s="139" t="n"/>
      <c r="Y579" s="16" t="n"/>
      <c r="Z579" s="139" t="n"/>
      <c r="AA579" s="16" t="n"/>
      <c r="AB579" s="139" t="n"/>
      <c r="AC579" s="16" t="n"/>
      <c r="AD579" s="139" t="n"/>
      <c r="AE579" s="16">
        <f>(W579+Y579+AA579+AC579)</f>
        <v/>
      </c>
      <c r="AF579" s="16" t="n"/>
      <c r="AG579" s="138" t="n"/>
      <c r="AH579" s="16" t="n"/>
      <c r="AI579" s="138" t="n"/>
      <c r="AJ579" s="16" t="n"/>
      <c r="AK579" s="138" t="n"/>
      <c r="AL579" s="16" t="n"/>
      <c r="AM579" s="138" t="n"/>
      <c r="AN579" s="16" t="n"/>
      <c r="AO579" s="138" t="n"/>
      <c r="AP579" s="16" t="n"/>
      <c r="AQ579" s="138" t="n"/>
      <c r="AR579" s="16" t="n"/>
      <c r="AS579" s="138" t="n"/>
      <c r="AT579" s="16" t="n"/>
      <c r="AU579" s="138" t="n"/>
      <c r="AV579" s="16" t="n"/>
      <c r="AW579" s="138" t="n"/>
      <c r="AX579" s="16" t="n"/>
      <c r="AY579" s="138" t="n"/>
      <c r="AZ579" s="16">
        <f>AF579+AH579+AJ579+AL579+AN579+AP579+AR579+AT579+AV579+AX579</f>
        <v/>
      </c>
      <c r="BA579" s="16" t="n"/>
      <c r="BB579" s="139" t="n"/>
      <c r="BC579" s="16" t="n"/>
      <c r="BD579" s="139" t="n"/>
      <c r="BE579" s="16">
        <f>(BA579+BC579)</f>
        <v/>
      </c>
    </row>
    <row r="580">
      <c r="A580" s="9" t="n">
        <v>999</v>
      </c>
      <c r="B580" s="141" t="inlineStr">
        <is>
          <t>ABS 난연</t>
        </is>
      </c>
      <c r="C580" s="137" t="inlineStr">
        <is>
          <t>DX3000</t>
        </is>
      </c>
      <c r="D580" s="62" t="inlineStr">
        <is>
          <t>OLED GUIDE</t>
        </is>
      </c>
      <c r="E580" s="36" t="inlineStr">
        <is>
          <t>ABS 난연 블랙</t>
        </is>
      </c>
      <c r="F580" s="21" t="n"/>
      <c r="G580" s="22" t="n"/>
      <c r="H580" s="22" t="inlineStr">
        <is>
          <t>뉴퓨처</t>
        </is>
      </c>
      <c r="I580" s="14" t="n"/>
      <c r="J580" s="14" t="n"/>
      <c r="K580" s="12" t="n">
        <v>0</v>
      </c>
      <c r="L580" s="9" t="n"/>
      <c r="M580" s="9" t="n"/>
      <c r="N580" s="9" t="n"/>
      <c r="O580" s="40">
        <f>K580+V580-AE580-AZ580</f>
        <v/>
      </c>
      <c r="P580" s="12" t="n"/>
      <c r="Q580" s="138" t="n"/>
      <c r="R580" s="16" t="n"/>
      <c r="S580" s="139" t="n"/>
      <c r="T580" s="16" t="n"/>
      <c r="U580" s="139" t="n"/>
      <c r="V580" s="16">
        <f>P580+R580+T580</f>
        <v/>
      </c>
      <c r="W580" s="16" t="n"/>
      <c r="X580" s="139" t="n"/>
      <c r="Y580" s="16" t="n"/>
      <c r="Z580" s="139" t="n"/>
      <c r="AA580" s="16" t="n"/>
      <c r="AB580" s="139" t="n"/>
      <c r="AC580" s="16" t="n"/>
      <c r="AD580" s="139" t="n"/>
      <c r="AE580" s="16">
        <f>(W580+Y580+AA580+AC580)</f>
        <v/>
      </c>
      <c r="AF580" s="16" t="n"/>
      <c r="AG580" s="138" t="n"/>
      <c r="AH580" s="16" t="n"/>
      <c r="AI580" s="138" t="n"/>
      <c r="AJ580" s="16" t="n"/>
      <c r="AK580" s="138" t="n"/>
      <c r="AL580" s="16" t="n"/>
      <c r="AM580" s="138" t="n"/>
      <c r="AN580" s="16" t="n"/>
      <c r="AO580" s="138" t="n"/>
      <c r="AP580" s="16" t="n"/>
      <c r="AQ580" s="138" t="n"/>
      <c r="AR580" s="16" t="n"/>
      <c r="AS580" s="138" t="n"/>
      <c r="AT580" s="16" t="n"/>
      <c r="AU580" s="138" t="n"/>
      <c r="AV580" s="16" t="n"/>
      <c r="AW580" s="138" t="n"/>
      <c r="AX580" s="16" t="n"/>
      <c r="AY580" s="138" t="n"/>
      <c r="AZ580" s="16">
        <f>AF580+AH580+AJ580+AL580+AN580+AP580+AR580+AT580+AV580+AX580</f>
        <v/>
      </c>
      <c r="BA580" s="16" t="n"/>
      <c r="BB580" s="139" t="n"/>
      <c r="BC580" s="16" t="n"/>
      <c r="BD580" s="139" t="n"/>
      <c r="BE580" s="16">
        <f>(BA580+BC580)</f>
        <v/>
      </c>
    </row>
    <row r="581">
      <c r="A581" s="9" t="n">
        <v>999</v>
      </c>
      <c r="B581" s="141" t="inlineStr">
        <is>
          <t>PCB</t>
        </is>
      </c>
      <c r="C581" s="137" t="inlineStr">
        <is>
          <t>DX3000</t>
        </is>
      </c>
      <c r="D581" s="62" t="inlineStr">
        <is>
          <t>EX B/D (원버턴)</t>
        </is>
      </c>
      <c r="E581" s="20" t="n"/>
      <c r="F581" s="21" t="n"/>
      <c r="G581" s="22" t="n"/>
      <c r="H581" s="22" t="inlineStr">
        <is>
          <t>HLP</t>
        </is>
      </c>
      <c r="I581" s="14" t="n"/>
      <c r="J581" s="14" t="n"/>
      <c r="K581" s="12" t="n">
        <v>0</v>
      </c>
      <c r="L581" s="9" t="n"/>
      <c r="M581" s="9" t="n"/>
      <c r="N581" s="9" t="n"/>
      <c r="O581" s="40">
        <f>K581+V581-AE581-AZ581</f>
        <v/>
      </c>
      <c r="P581" s="12" t="n"/>
      <c r="Q581" s="138" t="n"/>
      <c r="R581" s="16" t="n"/>
      <c r="S581" s="139" t="n"/>
      <c r="T581" s="16" t="n"/>
      <c r="U581" s="139" t="n"/>
      <c r="V581" s="16">
        <f>P581+R581+T581</f>
        <v/>
      </c>
      <c r="W581" s="16" t="n"/>
      <c r="X581" s="139" t="n"/>
      <c r="Y581" s="16" t="n"/>
      <c r="Z581" s="139" t="n"/>
      <c r="AA581" s="16" t="n"/>
      <c r="AB581" s="139" t="n"/>
      <c r="AC581" s="16" t="n"/>
      <c r="AD581" s="139" t="n"/>
      <c r="AE581" s="16">
        <f>(W581+Y581+AA581+AC581)</f>
        <v/>
      </c>
      <c r="AF581" s="16" t="n"/>
      <c r="AG581" s="138" t="n"/>
      <c r="AH581" s="16" t="n"/>
      <c r="AI581" s="138" t="n"/>
      <c r="AJ581" s="16" t="n"/>
      <c r="AK581" s="138" t="n"/>
      <c r="AL581" s="16" t="n"/>
      <c r="AM581" s="138" t="n"/>
      <c r="AN581" s="16" t="n"/>
      <c r="AO581" s="138" t="n"/>
      <c r="AP581" s="16" t="n"/>
      <c r="AQ581" s="138" t="n"/>
      <c r="AR581" s="16" t="n"/>
      <c r="AS581" s="138" t="n"/>
      <c r="AT581" s="16" t="n"/>
      <c r="AU581" s="138" t="n"/>
      <c r="AV581" s="16" t="n"/>
      <c r="AW581" s="138" t="n"/>
      <c r="AX581" s="16" t="n"/>
      <c r="AY581" s="138" t="n"/>
      <c r="AZ581" s="16">
        <f>AF581+AH581+AJ581+AL581+AN581+AP581+AR581+AT581+AV581+AX581</f>
        <v/>
      </c>
      <c r="BA581" s="16" t="n"/>
      <c r="BB581" s="139" t="n"/>
      <c r="BC581" s="16" t="n"/>
      <c r="BD581" s="139" t="n"/>
      <c r="BE581" s="16">
        <f>(BA581+BC581)</f>
        <v/>
      </c>
    </row>
    <row r="582">
      <c r="A582" s="9" t="n">
        <v>999</v>
      </c>
      <c r="B582" s="141" t="inlineStr">
        <is>
          <t>CABLE</t>
        </is>
      </c>
      <c r="C582" s="137" t="inlineStr">
        <is>
          <t>DX3000</t>
        </is>
      </c>
      <c r="D582" s="62" t="inlineStr">
        <is>
          <t>FFC 10핀</t>
        </is>
      </c>
      <c r="E582" s="36" t="n"/>
      <c r="F582" s="21" t="n"/>
      <c r="G582" s="22" t="n"/>
      <c r="H582" s="22" t="inlineStr">
        <is>
          <t>HLP</t>
        </is>
      </c>
      <c r="I582" s="14" t="n"/>
      <c r="J582" s="14" t="n"/>
      <c r="K582" s="12" t="n">
        <v>0</v>
      </c>
      <c r="L582" s="9" t="n"/>
      <c r="M582" s="9" t="n"/>
      <c r="N582" s="9" t="n"/>
      <c r="O582" s="40">
        <f>K582+V582-AE582-AZ582</f>
        <v/>
      </c>
      <c r="P582" s="12" t="n"/>
      <c r="Q582" s="138" t="n"/>
      <c r="R582" s="16" t="n"/>
      <c r="S582" s="139" t="n"/>
      <c r="T582" s="16" t="n"/>
      <c r="U582" s="139" t="n"/>
      <c r="V582" s="16">
        <f>P582+R582+T582</f>
        <v/>
      </c>
      <c r="W582" s="16" t="n"/>
      <c r="X582" s="139" t="n"/>
      <c r="Y582" s="16" t="n"/>
      <c r="Z582" s="139" t="n"/>
      <c r="AA582" s="16" t="n"/>
      <c r="AB582" s="139" t="n"/>
      <c r="AC582" s="16" t="n"/>
      <c r="AD582" s="139" t="n"/>
      <c r="AE582" s="16">
        <f>(W582+Y582+AA582+AC582)</f>
        <v/>
      </c>
      <c r="AF582" s="16" t="n"/>
      <c r="AG582" s="138" t="n"/>
      <c r="AH582" s="16" t="n"/>
      <c r="AI582" s="138" t="n"/>
      <c r="AJ582" s="16" t="n"/>
      <c r="AK582" s="138" t="n"/>
      <c r="AL582" s="16" t="n"/>
      <c r="AM582" s="138" t="n"/>
      <c r="AN582" s="16" t="n"/>
      <c r="AO582" s="138" t="n"/>
      <c r="AP582" s="16" t="n"/>
      <c r="AQ582" s="138" t="n"/>
      <c r="AR582" s="16" t="n"/>
      <c r="AS582" s="138" t="n"/>
      <c r="AT582" s="16" t="n"/>
      <c r="AU582" s="138" t="n"/>
      <c r="AV582" s="16" t="n"/>
      <c r="AW582" s="138" t="n"/>
      <c r="AX582" s="16" t="n"/>
      <c r="AY582" s="138" t="n"/>
      <c r="AZ582" s="16">
        <f>AF582+AH582+AJ582+AL582+AN582+AP582+AR582+AT582+AV582+AX582</f>
        <v/>
      </c>
      <c r="BA582" s="16" t="n"/>
      <c r="BB582" s="139" t="n"/>
      <c r="BC582" s="16" t="n"/>
      <c r="BD582" s="139" t="n"/>
      <c r="BE582" s="16">
        <f>(BA582+BC582)</f>
        <v/>
      </c>
    </row>
    <row r="583">
      <c r="A583" s="9" t="n">
        <v>999</v>
      </c>
      <c r="B583" s="136" t="inlineStr">
        <is>
          <t>CABLE</t>
        </is>
      </c>
      <c r="C583" s="137" t="inlineStr">
        <is>
          <t>COCOON</t>
        </is>
      </c>
      <c r="D583" s="78" t="inlineStr">
        <is>
          <t>하네스 3-1번</t>
        </is>
      </c>
      <c r="E583" s="13" t="inlineStr">
        <is>
          <t>FFC CABLE 1mm*30P*200*A CTR BD*OP BD FFC CABLE (같은 방향) (구형, 신형)</t>
        </is>
      </c>
      <c r="F583" s="12" t="n"/>
      <c r="G583" s="9" t="n"/>
      <c r="H583" s="9" t="inlineStr">
        <is>
          <t>HLP</t>
        </is>
      </c>
      <c r="I583" s="14" t="n"/>
      <c r="J583" s="14" t="n"/>
      <c r="K583" s="12" t="n">
        <v>0</v>
      </c>
      <c r="L583" s="9" t="n"/>
      <c r="M583" s="9" t="n"/>
      <c r="N583" s="9" t="n"/>
      <c r="O583" s="40">
        <f>K583+V583-AE583-AZ583</f>
        <v/>
      </c>
      <c r="P583" s="12" t="n"/>
      <c r="Q583" s="138" t="n"/>
      <c r="R583" s="16" t="n"/>
      <c r="S583" s="139" t="n"/>
      <c r="T583" s="16" t="n"/>
      <c r="U583" s="139" t="n"/>
      <c r="V583" s="16">
        <f>P583+R583+T583</f>
        <v/>
      </c>
      <c r="W583" s="16" t="n"/>
      <c r="X583" s="139" t="n"/>
      <c r="Y583" s="16" t="n"/>
      <c r="Z583" s="139" t="n"/>
      <c r="AA583" s="16" t="n"/>
      <c r="AB583" s="139" t="n"/>
      <c r="AC583" s="16" t="n"/>
      <c r="AD583" s="139" t="n"/>
      <c r="AE583" s="16">
        <f>(W583+Y583+AA583+AC583)</f>
        <v/>
      </c>
      <c r="AF583" s="16" t="n"/>
      <c r="AG583" s="138" t="n"/>
      <c r="AH583" s="16" t="n"/>
      <c r="AI583" s="138" t="n"/>
      <c r="AJ583" s="16" t="n"/>
      <c r="AK583" s="138" t="n"/>
      <c r="AL583" s="16" t="n"/>
      <c r="AM583" s="138" t="n"/>
      <c r="AN583" s="16" t="n"/>
      <c r="AO583" s="138" t="n"/>
      <c r="AP583" s="16" t="n"/>
      <c r="AQ583" s="138" t="n"/>
      <c r="AR583" s="16" t="n"/>
      <c r="AS583" s="138" t="n"/>
      <c r="AT583" s="16" t="n"/>
      <c r="AU583" s="138" t="n"/>
      <c r="AV583" s="16" t="n"/>
      <c r="AW583" s="138" t="n"/>
      <c r="AX583" s="16" t="n"/>
      <c r="AY583" s="138" t="n"/>
      <c r="AZ583" s="16">
        <f>AF583+AH583+AJ583+AL583+AN583+AP583+AR583+AT583+AV583+AX583</f>
        <v/>
      </c>
      <c r="BA583" s="16" t="n"/>
      <c r="BB583" s="139" t="n"/>
      <c r="BC583" s="16" t="n"/>
      <c r="BD583" s="139" t="n"/>
      <c r="BE583" s="16">
        <f>(BA583+BC583)</f>
        <v/>
      </c>
    </row>
    <row r="584">
      <c r="A584" s="9" t="n">
        <v>999</v>
      </c>
      <c r="B584" s="136" t="inlineStr">
        <is>
          <t>CABLE</t>
        </is>
      </c>
      <c r="C584" s="137" t="inlineStr">
        <is>
          <t>COCOON</t>
        </is>
      </c>
      <c r="D584" s="145" t="inlineStr">
        <is>
          <t>하네스 12번</t>
        </is>
      </c>
      <c r="E584" s="13" t="inlineStr">
        <is>
          <t>FLAT 30P 2.0mm, L=205mm, 1:1 CTR BD * OP BD 연결 30핀</t>
        </is>
      </c>
      <c r="F584" s="12" t="n"/>
      <c r="G584" s="9" t="n"/>
      <c r="H584" s="9" t="inlineStr">
        <is>
          <t>HLP</t>
        </is>
      </c>
      <c r="I584" s="14" t="n"/>
      <c r="J584" s="14" t="n"/>
      <c r="K584" s="12" t="n">
        <v>0</v>
      </c>
      <c r="L584" s="9" t="n"/>
      <c r="M584" s="9" t="n"/>
      <c r="N584" s="9" t="n"/>
      <c r="O584" s="40">
        <f>K584+V584-AE584-AZ584</f>
        <v/>
      </c>
      <c r="P584" s="12" t="n"/>
      <c r="Q584" s="138" t="n"/>
      <c r="R584" s="16" t="n"/>
      <c r="S584" s="139" t="n"/>
      <c r="T584" s="16" t="n"/>
      <c r="U584" s="139" t="n"/>
      <c r="V584" s="16">
        <f>P584+R584+T584</f>
        <v/>
      </c>
      <c r="W584" s="16" t="n"/>
      <c r="X584" s="139" t="n"/>
      <c r="Y584" s="16" t="n"/>
      <c r="Z584" s="139" t="n"/>
      <c r="AA584" s="16" t="n"/>
      <c r="AB584" s="139" t="n"/>
      <c r="AC584" s="16" t="n"/>
      <c r="AD584" s="139" t="n"/>
      <c r="AE584" s="16">
        <f>(W584+Y584+AA584+AC584)</f>
        <v/>
      </c>
      <c r="AF584" s="16" t="n"/>
      <c r="AG584" s="138" t="n"/>
      <c r="AH584" s="16" t="n"/>
      <c r="AI584" s="138" t="n"/>
      <c r="AJ584" s="16" t="n"/>
      <c r="AK584" s="138" t="n"/>
      <c r="AL584" s="16" t="n"/>
      <c r="AM584" s="138" t="n"/>
      <c r="AN584" s="16" t="n"/>
      <c r="AO584" s="138" t="n"/>
      <c r="AP584" s="16" t="n"/>
      <c r="AQ584" s="138" t="n"/>
      <c r="AR584" s="16" t="n"/>
      <c r="AS584" s="138" t="n"/>
      <c r="AT584" s="16" t="n"/>
      <c r="AU584" s="138" t="n"/>
      <c r="AV584" s="16" t="n"/>
      <c r="AW584" s="138" t="n"/>
      <c r="AX584" s="16" t="n"/>
      <c r="AY584" s="138" t="n"/>
      <c r="AZ584" s="16">
        <f>AF584+AH584+AJ584+AL584+AN584+AP584+AR584+AT584+AV584+AX584</f>
        <v/>
      </c>
      <c r="BA584" s="16" t="n"/>
      <c r="BB584" s="139" t="n"/>
      <c r="BC584" s="16" t="n"/>
      <c r="BD584" s="139" t="n"/>
      <c r="BE584" s="16">
        <f>(BA584+BC584)</f>
        <v/>
      </c>
    </row>
    <row r="585">
      <c r="A585" s="9" t="n">
        <v>999</v>
      </c>
      <c r="B585" s="136" t="inlineStr">
        <is>
          <t>CABLE</t>
        </is>
      </c>
      <c r="C585" s="137" t="inlineStr">
        <is>
          <t>COCOON</t>
        </is>
      </c>
      <c r="D585" s="145" t="inlineStr">
        <is>
          <t>하네스 7-1번</t>
        </is>
      </c>
      <c r="E585" s="13" t="inlineStr">
        <is>
          <t>12505HS-05 70mm OP BD+TOUCH BD 5핀</t>
        </is>
      </c>
      <c r="F585" s="12" t="n"/>
      <c r="G585" s="9" t="n"/>
      <c r="H585" s="9" t="inlineStr">
        <is>
          <t>HLP</t>
        </is>
      </c>
      <c r="I585" s="14" t="n"/>
      <c r="J585" s="14" t="n"/>
      <c r="K585" s="12" t="n">
        <v>0</v>
      </c>
      <c r="L585" s="9" t="n"/>
      <c r="M585" s="9" t="n"/>
      <c r="N585" s="9" t="n"/>
      <c r="O585" s="40">
        <f>K585+V585-AE585-AZ585</f>
        <v/>
      </c>
      <c r="P585" s="12" t="n"/>
      <c r="Q585" s="138" t="n"/>
      <c r="R585" s="16" t="n"/>
      <c r="S585" s="139" t="n"/>
      <c r="T585" s="16" t="n"/>
      <c r="U585" s="139" t="n"/>
      <c r="V585" s="16">
        <f>P585+R585+T585</f>
        <v/>
      </c>
      <c r="W585" s="16" t="n"/>
      <c r="X585" s="139" t="n"/>
      <c r="Y585" s="16" t="n"/>
      <c r="Z585" s="139" t="n"/>
      <c r="AA585" s="16" t="n"/>
      <c r="AB585" s="139" t="n"/>
      <c r="AC585" s="16" t="n"/>
      <c r="AD585" s="139" t="n"/>
      <c r="AE585" s="16">
        <f>(W585+Y585+AA585+AC585)</f>
        <v/>
      </c>
      <c r="AF585" s="16" t="n"/>
      <c r="AG585" s="138" t="n"/>
      <c r="AH585" s="16" t="n"/>
      <c r="AI585" s="138" t="n"/>
      <c r="AJ585" s="16" t="n"/>
      <c r="AK585" s="138" t="n"/>
      <c r="AL585" s="16" t="n"/>
      <c r="AM585" s="138" t="n"/>
      <c r="AN585" s="16" t="n"/>
      <c r="AO585" s="138" t="n"/>
      <c r="AP585" s="16" t="n"/>
      <c r="AQ585" s="138" t="n"/>
      <c r="AR585" s="16" t="n"/>
      <c r="AS585" s="138" t="n"/>
      <c r="AT585" s="16" t="n"/>
      <c r="AU585" s="138" t="n"/>
      <c r="AV585" s="16" t="n"/>
      <c r="AW585" s="138" t="n"/>
      <c r="AX585" s="16" t="n"/>
      <c r="AY585" s="138" t="n"/>
      <c r="AZ585" s="16">
        <f>AF585+AH585+AJ585+AL585+AN585+AP585+AR585+AT585+AV585+AX585</f>
        <v/>
      </c>
      <c r="BA585" s="16" t="n"/>
      <c r="BB585" s="139" t="n"/>
      <c r="BC585" s="16" t="n"/>
      <c r="BD585" s="139" t="n"/>
      <c r="BE585" s="16">
        <f>(BA585+BC585)</f>
        <v/>
      </c>
    </row>
    <row r="586">
      <c r="A586" s="9" t="n">
        <v>999</v>
      </c>
      <c r="B586" s="136" t="inlineStr">
        <is>
          <t>PCB</t>
        </is>
      </c>
      <c r="C586" s="137" t="inlineStr">
        <is>
          <t>COCOON</t>
        </is>
      </c>
      <c r="D586" s="145" t="inlineStr">
        <is>
          <t>POWER BD</t>
        </is>
      </c>
      <c r="E586" s="13" t="n"/>
      <c r="F586" s="12" t="n"/>
      <c r="G586" s="9" t="n"/>
      <c r="H586" s="9" t="inlineStr">
        <is>
          <t>HLP</t>
        </is>
      </c>
      <c r="I586" s="14" t="n"/>
      <c r="J586" s="14" t="n"/>
      <c r="K586" s="12" t="n">
        <v>0</v>
      </c>
      <c r="L586" s="9" t="n"/>
      <c r="M586" s="9" t="n"/>
      <c r="N586" s="9" t="n"/>
      <c r="O586" s="40">
        <f>K586+V586-AE586-AZ586</f>
        <v/>
      </c>
      <c r="P586" s="12" t="n"/>
      <c r="Q586" s="138" t="n"/>
      <c r="R586" s="16" t="n"/>
      <c r="S586" s="139" t="n"/>
      <c r="T586" s="16" t="n"/>
      <c r="U586" s="139" t="n"/>
      <c r="V586" s="16">
        <f>P586+R586+T586</f>
        <v/>
      </c>
      <c r="W586" s="16" t="n"/>
      <c r="X586" s="139" t="n"/>
      <c r="Y586" s="16" t="n"/>
      <c r="Z586" s="139" t="n"/>
      <c r="AA586" s="16" t="n"/>
      <c r="AB586" s="139" t="n"/>
      <c r="AC586" s="16" t="n"/>
      <c r="AD586" s="139" t="n"/>
      <c r="AE586" s="16">
        <f>(W586+Y586+AA586+AC586)</f>
        <v/>
      </c>
      <c r="AF586" s="16" t="n"/>
      <c r="AG586" s="138" t="n"/>
      <c r="AH586" s="16" t="n"/>
      <c r="AI586" s="138" t="n"/>
      <c r="AJ586" s="16" t="n"/>
      <c r="AK586" s="138" t="n"/>
      <c r="AL586" s="16" t="n"/>
      <c r="AM586" s="138" t="n"/>
      <c r="AN586" s="16" t="n"/>
      <c r="AO586" s="138" t="n"/>
      <c r="AP586" s="16" t="n"/>
      <c r="AQ586" s="138" t="n"/>
      <c r="AR586" s="16" t="n"/>
      <c r="AS586" s="138" t="n"/>
      <c r="AT586" s="16" t="n"/>
      <c r="AU586" s="138" t="n"/>
      <c r="AV586" s="16" t="n"/>
      <c r="AW586" s="138" t="n"/>
      <c r="AX586" s="16" t="n"/>
      <c r="AY586" s="138" t="n"/>
      <c r="AZ586" s="16">
        <f>AF586+AH586+AJ586+AL586+AN586+AP586+AR586+AT586+AV586+AX586</f>
        <v/>
      </c>
      <c r="BA586" s="16" t="n"/>
      <c r="BB586" s="139" t="n"/>
      <c r="BC586" s="16" t="n"/>
      <c r="BD586" s="139" t="n"/>
      <c r="BE586" s="16">
        <f>(BA586+BC586)</f>
        <v/>
      </c>
    </row>
    <row r="587">
      <c r="A587" s="9" t="n"/>
      <c r="B587" s="141" t="inlineStr">
        <is>
          <t>PCB</t>
        </is>
      </c>
      <c r="C587" s="137" t="inlineStr">
        <is>
          <t>ADX6000</t>
        </is>
      </c>
      <c r="D587" s="62" t="inlineStr">
        <is>
          <t>CTR B/D</t>
        </is>
      </c>
      <c r="E587" s="36" t="n"/>
      <c r="F587" s="100" t="n"/>
      <c r="G587" s="22" t="n"/>
      <c r="H587" s="22" t="inlineStr">
        <is>
          <t>HLP</t>
        </is>
      </c>
      <c r="I587" s="14" t="n"/>
      <c r="J587" s="14" t="n"/>
      <c r="K587" s="12" t="n">
        <v>0</v>
      </c>
      <c r="L587" s="9" t="n"/>
      <c r="M587" s="9" t="n"/>
      <c r="N587" s="9" t="n"/>
      <c r="O587" s="40">
        <f>K587+V587-AE587-AZ587</f>
        <v/>
      </c>
      <c r="P587" s="12" t="n"/>
      <c r="Q587" s="138" t="n"/>
      <c r="R587" s="16" t="n"/>
      <c r="S587" s="139" t="n"/>
      <c r="T587" s="16" t="n"/>
      <c r="U587" s="139" t="n"/>
      <c r="V587" s="16">
        <f>P587+R587+T587</f>
        <v/>
      </c>
      <c r="W587" s="16" t="n"/>
      <c r="X587" s="139" t="n"/>
      <c r="Y587" s="16" t="n"/>
      <c r="Z587" s="139" t="n"/>
      <c r="AA587" s="16" t="n"/>
      <c r="AB587" s="139" t="n"/>
      <c r="AC587" s="16" t="n"/>
      <c r="AD587" s="139" t="n"/>
      <c r="AE587" s="16">
        <f>(W587+Y587+AA587+AC587)</f>
        <v/>
      </c>
      <c r="AF587" s="16" t="n"/>
      <c r="AG587" s="138" t="n"/>
      <c r="AH587" s="16" t="n"/>
      <c r="AI587" s="138" t="n"/>
      <c r="AJ587" s="16" t="n"/>
      <c r="AK587" s="138" t="n"/>
      <c r="AL587" s="16" t="n"/>
      <c r="AM587" s="138" t="n"/>
      <c r="AN587" s="16" t="n"/>
      <c r="AO587" s="138" t="n"/>
      <c r="AP587" s="16" t="n"/>
      <c r="AQ587" s="138" t="n"/>
      <c r="AR587" s="16" t="n"/>
      <c r="AS587" s="138" t="n"/>
      <c r="AT587" s="16" t="n"/>
      <c r="AU587" s="138" t="n"/>
      <c r="AV587" s="16" t="n"/>
      <c r="AW587" s="138" t="n"/>
      <c r="AX587" s="16" t="n"/>
      <c r="AY587" s="138" t="n"/>
      <c r="AZ587" s="16">
        <f>AF587+AH587+AJ587+AL587+AN587+AP587+AR587+AT587+AV587+AX587</f>
        <v/>
      </c>
      <c r="BA587" s="16" t="n"/>
      <c r="BB587" s="139" t="n"/>
      <c r="BC587" s="16" t="n"/>
      <c r="BD587" s="139" t="n"/>
      <c r="BE587" s="16">
        <f>(BA587+BC587)</f>
        <v/>
      </c>
    </row>
    <row r="588">
      <c r="A588" s="9" t="n"/>
      <c r="B588" s="141" t="inlineStr">
        <is>
          <t>PCB</t>
        </is>
      </c>
      <c r="C588" s="137" t="inlineStr">
        <is>
          <t>ADX6000</t>
        </is>
      </c>
      <c r="D588" s="71" t="inlineStr">
        <is>
          <t>INNER USB B/D</t>
        </is>
      </c>
      <c r="E588" s="36" t="n"/>
      <c r="F588" s="100" t="n"/>
      <c r="G588" s="22" t="n"/>
      <c r="H588" s="22" t="inlineStr">
        <is>
          <t>HLP</t>
        </is>
      </c>
      <c r="I588" s="14" t="n"/>
      <c r="J588" s="14" t="n"/>
      <c r="K588" s="12" t="n">
        <v>0</v>
      </c>
      <c r="L588" s="9" t="n"/>
      <c r="M588" s="9" t="n"/>
      <c r="N588" s="9" t="n"/>
      <c r="O588" s="40">
        <f>K588+V588-AE588-AZ588</f>
        <v/>
      </c>
      <c r="P588" s="12" t="n"/>
      <c r="Q588" s="138" t="n"/>
      <c r="R588" s="16" t="n"/>
      <c r="S588" s="139" t="n"/>
      <c r="T588" s="16" t="n"/>
      <c r="U588" s="139" t="n"/>
      <c r="V588" s="16">
        <f>P588+R588+T588</f>
        <v/>
      </c>
      <c r="W588" s="16" t="n"/>
      <c r="X588" s="139" t="n"/>
      <c r="Y588" s="16" t="n"/>
      <c r="Z588" s="139" t="n"/>
      <c r="AA588" s="16" t="n"/>
      <c r="AB588" s="139" t="n"/>
      <c r="AC588" s="16" t="n"/>
      <c r="AD588" s="139" t="n"/>
      <c r="AE588" s="16">
        <f>(W588+Y588+AA588+AC588)</f>
        <v/>
      </c>
      <c r="AF588" s="16" t="n"/>
      <c r="AG588" s="138" t="n"/>
      <c r="AH588" s="16" t="n"/>
      <c r="AI588" s="138" t="n"/>
      <c r="AJ588" s="16" t="n"/>
      <c r="AK588" s="138" t="n"/>
      <c r="AL588" s="16" t="n"/>
      <c r="AM588" s="138" t="n"/>
      <c r="AN588" s="16" t="n"/>
      <c r="AO588" s="138" t="n"/>
      <c r="AP588" s="16" t="n"/>
      <c r="AQ588" s="138" t="n"/>
      <c r="AR588" s="16" t="n"/>
      <c r="AS588" s="138" t="n"/>
      <c r="AT588" s="16" t="n"/>
      <c r="AU588" s="138" t="n"/>
      <c r="AV588" s="16" t="n"/>
      <c r="AW588" s="138" t="n"/>
      <c r="AX588" s="16" t="n"/>
      <c r="AY588" s="138" t="n"/>
      <c r="AZ588" s="16">
        <f>AF588+AH588+AJ588+AL588+AN588+AP588+AR588+AT588+AV588+AX588</f>
        <v/>
      </c>
      <c r="BA588" s="16" t="n"/>
      <c r="BB588" s="139" t="n"/>
      <c r="BC588" s="16" t="n"/>
      <c r="BD588" s="139" t="n"/>
      <c r="BE588" s="16">
        <f>(BA588+BC588)</f>
        <v/>
      </c>
    </row>
    <row r="589">
      <c r="A589" s="9" t="n"/>
      <c r="B589" s="136" t="inlineStr">
        <is>
          <t>PCB</t>
        </is>
      </c>
      <c r="C589" s="137" t="inlineStr">
        <is>
          <t>ADX6000</t>
        </is>
      </c>
      <c r="D589" s="84" t="inlineStr">
        <is>
          <t>LCD B/D</t>
        </is>
      </c>
      <c r="E589" s="13" t="n"/>
      <c r="F589" s="100" t="n"/>
      <c r="G589" s="9" t="n"/>
      <c r="H589" s="9" t="inlineStr">
        <is>
          <t>HLP</t>
        </is>
      </c>
      <c r="I589" s="14" t="n"/>
      <c r="J589" s="14" t="n"/>
      <c r="K589" s="12" t="n">
        <v>0</v>
      </c>
      <c r="L589" s="9" t="n"/>
      <c r="M589" s="9" t="n"/>
      <c r="N589" s="9" t="n"/>
      <c r="O589" s="40">
        <f>K589+V589-AE589-AZ589</f>
        <v/>
      </c>
      <c r="P589" s="12" t="n"/>
      <c r="Q589" s="138" t="n"/>
      <c r="R589" s="16" t="n"/>
      <c r="S589" s="139" t="n"/>
      <c r="T589" s="16" t="n"/>
      <c r="U589" s="139" t="n"/>
      <c r="V589" s="16">
        <f>P589+R589+T589</f>
        <v/>
      </c>
      <c r="W589" s="16" t="n"/>
      <c r="X589" s="139" t="n"/>
      <c r="Y589" s="16" t="n"/>
      <c r="Z589" s="139" t="n"/>
      <c r="AA589" s="16" t="n"/>
      <c r="AB589" s="139" t="n"/>
      <c r="AC589" s="16" t="n"/>
      <c r="AD589" s="139" t="n"/>
      <c r="AE589" s="16">
        <f>(W589+Y589+AA589+AC589)</f>
        <v/>
      </c>
      <c r="AF589" s="16" t="n"/>
      <c r="AG589" s="138" t="n"/>
      <c r="AH589" s="16" t="n"/>
      <c r="AI589" s="138" t="n"/>
      <c r="AJ589" s="16" t="n"/>
      <c r="AK589" s="138" t="n"/>
      <c r="AL589" s="16" t="n"/>
      <c r="AM589" s="138" t="n"/>
      <c r="AN589" s="16" t="n"/>
      <c r="AO589" s="138" t="n"/>
      <c r="AP589" s="16" t="n"/>
      <c r="AQ589" s="138" t="n"/>
      <c r="AR589" s="16" t="n"/>
      <c r="AS589" s="138" t="n"/>
      <c r="AT589" s="16" t="n"/>
      <c r="AU589" s="138" t="n"/>
      <c r="AV589" s="16" t="n"/>
      <c r="AW589" s="138" t="n"/>
      <c r="AX589" s="16" t="n"/>
      <c r="AY589" s="138" t="n"/>
      <c r="AZ589" s="16">
        <f>AF589+AH589+AJ589+AL589+AN589+AP589+AR589+AT589+AV589+AX589</f>
        <v/>
      </c>
      <c r="BA589" s="16" t="n"/>
      <c r="BB589" s="139" t="n"/>
      <c r="BC589" s="16" t="n"/>
      <c r="BD589" s="139" t="n"/>
      <c r="BE589" s="16">
        <f>(BA589+BC589)</f>
        <v/>
      </c>
    </row>
    <row r="590">
      <c r="A590" s="9" t="n"/>
      <c r="B590" s="136" t="inlineStr">
        <is>
          <t>PCB</t>
        </is>
      </c>
      <c r="C590" s="137" t="inlineStr">
        <is>
          <t>ADX6000</t>
        </is>
      </c>
      <c r="D590" s="65" t="inlineStr">
        <is>
          <t>Carrier B/D (구형 KONTRON)</t>
        </is>
      </c>
      <c r="E590" s="13" t="n"/>
      <c r="F590" s="100" t="n"/>
      <c r="G590" s="9" t="n"/>
      <c r="H590" s="9" t="inlineStr">
        <is>
          <t>비씨엠테크</t>
        </is>
      </c>
      <c r="I590" s="14" t="n"/>
      <c r="J590" s="14" t="n"/>
      <c r="K590" s="12" t="n">
        <v>0</v>
      </c>
      <c r="L590" s="9" t="n"/>
      <c r="M590" s="9" t="n"/>
      <c r="N590" s="9" t="n"/>
      <c r="O590" s="40">
        <f>K590+V590-AE590-AZ590</f>
        <v/>
      </c>
      <c r="P590" s="12" t="n"/>
      <c r="Q590" s="138" t="n"/>
      <c r="R590" s="16" t="n"/>
      <c r="S590" s="139" t="n"/>
      <c r="T590" s="16" t="n"/>
      <c r="U590" s="139" t="n"/>
      <c r="V590" s="16">
        <f>P590+R590+T590</f>
        <v/>
      </c>
      <c r="W590" s="16" t="n"/>
      <c r="X590" s="139" t="n"/>
      <c r="Y590" s="16" t="n"/>
      <c r="Z590" s="139" t="n"/>
      <c r="AA590" s="16" t="n"/>
      <c r="AB590" s="139" t="n"/>
      <c r="AC590" s="16" t="n"/>
      <c r="AD590" s="139" t="n"/>
      <c r="AE590" s="16">
        <f>(W590+Y590+AA590+AC590)</f>
        <v/>
      </c>
      <c r="AF590" s="16" t="n"/>
      <c r="AG590" s="138" t="n"/>
      <c r="AH590" s="16" t="n"/>
      <c r="AI590" s="138" t="n"/>
      <c r="AJ590" s="16" t="n"/>
      <c r="AK590" s="138" t="n"/>
      <c r="AL590" s="16" t="n"/>
      <c r="AM590" s="138" t="n"/>
      <c r="AN590" s="16" t="n"/>
      <c r="AO590" s="138" t="n"/>
      <c r="AP590" s="16" t="n"/>
      <c r="AQ590" s="138" t="n"/>
      <c r="AR590" s="16" t="n"/>
      <c r="AS590" s="138" t="n"/>
      <c r="AT590" s="16" t="n"/>
      <c r="AU590" s="138" t="n"/>
      <c r="AV590" s="16" t="n"/>
      <c r="AW590" s="138" t="n"/>
      <c r="AX590" s="16" t="n"/>
      <c r="AY590" s="138" t="n"/>
      <c r="AZ590" s="16">
        <f>AF590+AH590+AJ590+AL590+AN590+AP590+AR590+AT590+AV590+AX590</f>
        <v/>
      </c>
      <c r="BA590" s="16" t="n"/>
      <c r="BB590" s="139" t="n"/>
      <c r="BC590" s="16" t="n"/>
      <c r="BD590" s="139" t="n"/>
      <c r="BE590" s="16">
        <f>(BA590+BC590)</f>
        <v/>
      </c>
    </row>
    <row r="591">
      <c r="A591" s="9" t="n"/>
      <c r="B591" s="136" t="inlineStr">
        <is>
          <t>PCB</t>
        </is>
      </c>
      <c r="C591" s="137" t="inlineStr">
        <is>
          <t>ADX6000</t>
        </is>
      </c>
      <c r="D591" s="84" t="inlineStr">
        <is>
          <t>Carrier B/D (신형 DFI)</t>
        </is>
      </c>
      <c r="E591" s="13" t="n"/>
      <c r="F591" s="100" t="n"/>
      <c r="G591" s="9" t="n"/>
      <c r="H591" s="9" t="inlineStr">
        <is>
          <t>비씨엠테크</t>
        </is>
      </c>
      <c r="I591" s="14" t="n"/>
      <c r="J591" s="14" t="n"/>
      <c r="K591" s="12" t="n">
        <v>0</v>
      </c>
      <c r="L591" s="9" t="n"/>
      <c r="M591" s="9" t="n"/>
      <c r="N591" s="9" t="n"/>
      <c r="O591" s="40">
        <f>K591+V591-AE591-AZ591</f>
        <v/>
      </c>
      <c r="P591" s="12" t="n"/>
      <c r="Q591" s="138" t="n"/>
      <c r="R591" s="16" t="n"/>
      <c r="S591" s="139" t="n"/>
      <c r="T591" s="16" t="n"/>
      <c r="U591" s="139" t="n"/>
      <c r="V591" s="16">
        <f>P591+R591+T591</f>
        <v/>
      </c>
      <c r="W591" s="16" t="n"/>
      <c r="X591" s="139" t="n"/>
      <c r="Y591" s="16" t="n"/>
      <c r="Z591" s="139" t="n"/>
      <c r="AA591" s="16" t="n"/>
      <c r="AB591" s="139" t="n"/>
      <c r="AC591" s="16" t="n"/>
      <c r="AD591" s="139" t="n"/>
      <c r="AE591" s="16">
        <f>(W591+Y591+AA591+AC591)</f>
        <v/>
      </c>
      <c r="AF591" s="16" t="n"/>
      <c r="AG591" s="138" t="n"/>
      <c r="AH591" s="16" t="n"/>
      <c r="AI591" s="138" t="n"/>
      <c r="AJ591" s="16" t="n"/>
      <c r="AK591" s="138" t="n"/>
      <c r="AL591" s="16" t="n"/>
      <c r="AM591" s="138" t="n"/>
      <c r="AN591" s="16" t="n"/>
      <c r="AO591" s="138" t="n"/>
      <c r="AP591" s="16" t="n"/>
      <c r="AQ591" s="138" t="n"/>
      <c r="AR591" s="16" t="n"/>
      <c r="AS591" s="138" t="n"/>
      <c r="AT591" s="16" t="n"/>
      <c r="AU591" s="138" t="n"/>
      <c r="AV591" s="16" t="n"/>
      <c r="AW591" s="138" t="n"/>
      <c r="AX591" s="16" t="n"/>
      <c r="AY591" s="138" t="n"/>
      <c r="AZ591" s="16">
        <f>AF591+AH591+AJ591+AL591+AN591+AP591+AR591+AT591+AV591+AX591</f>
        <v/>
      </c>
      <c r="BA591" s="16" t="n"/>
      <c r="BB591" s="139" t="n"/>
      <c r="BC591" s="16" t="n"/>
      <c r="BD591" s="139" t="n"/>
      <c r="BE591" s="16">
        <f>(BA591+BC591)</f>
        <v/>
      </c>
    </row>
    <row r="592">
      <c r="A592" s="9" t="n"/>
      <c r="B592" s="136" t="inlineStr">
        <is>
          <t>PCB</t>
        </is>
      </c>
      <c r="C592" s="137" t="inlineStr">
        <is>
          <t>ADX6000S</t>
        </is>
      </c>
      <c r="D592" s="88" t="inlineStr">
        <is>
          <t>ETC CARRIER BD</t>
        </is>
      </c>
      <c r="E592" s="13" t="n"/>
      <c r="F592" s="100" t="n"/>
      <c r="G592" s="9" t="n"/>
      <c r="H592" s="9" t="inlineStr">
        <is>
          <t>HLP</t>
        </is>
      </c>
      <c r="I592" s="14" t="n"/>
      <c r="J592" s="14" t="n"/>
      <c r="K592" s="12" t="n">
        <v>0</v>
      </c>
      <c r="L592" s="9" t="n"/>
      <c r="M592" s="9" t="n"/>
      <c r="N592" s="9" t="n"/>
      <c r="O592" s="40">
        <f>K592+V592-AE592-AZ592</f>
        <v/>
      </c>
      <c r="P592" s="12" t="n"/>
      <c r="Q592" s="138" t="n"/>
      <c r="R592" s="16" t="n"/>
      <c r="S592" s="139" t="n"/>
      <c r="T592" s="16" t="n"/>
      <c r="U592" s="139" t="n"/>
      <c r="V592" s="16">
        <f>P592+R592+T592</f>
        <v/>
      </c>
      <c r="W592" s="16" t="n"/>
      <c r="X592" s="139" t="n"/>
      <c r="Y592" s="16" t="n"/>
      <c r="Z592" s="139" t="n"/>
      <c r="AA592" s="16" t="n"/>
      <c r="AB592" s="139" t="n"/>
      <c r="AC592" s="16" t="n"/>
      <c r="AD592" s="139" t="n"/>
      <c r="AE592" s="16">
        <f>(W592+Y592+AA592+AC592)</f>
        <v/>
      </c>
      <c r="AF592" s="16" t="n"/>
      <c r="AG592" s="138" t="n"/>
      <c r="AH592" s="16" t="n"/>
      <c r="AI592" s="138" t="n"/>
      <c r="AJ592" s="16" t="n"/>
      <c r="AK592" s="138" t="n"/>
      <c r="AL592" s="16" t="n"/>
      <c r="AM592" s="138" t="n"/>
      <c r="AN592" s="16" t="n"/>
      <c r="AO592" s="138" t="n"/>
      <c r="AP592" s="16" t="n"/>
      <c r="AQ592" s="138" t="n"/>
      <c r="AR592" s="16" t="n"/>
      <c r="AS592" s="138" t="n"/>
      <c r="AT592" s="16" t="n"/>
      <c r="AU592" s="138" t="n"/>
      <c r="AV592" s="16" t="n"/>
      <c r="AW592" s="138" t="n"/>
      <c r="AX592" s="16" t="n"/>
      <c r="AY592" s="138" t="n"/>
      <c r="AZ592" s="16">
        <f>AF592+AH592+AJ592+AL592+AN592+AP592+AR592+AT592+AV592+AX592</f>
        <v/>
      </c>
      <c r="BA592" s="16" t="n"/>
      <c r="BB592" s="139" t="n"/>
      <c r="BC592" s="16" t="n"/>
      <c r="BD592" s="139" t="n"/>
      <c r="BE592" s="16">
        <f>(BA592+BC592)</f>
        <v/>
      </c>
    </row>
    <row r="593">
      <c r="A593" s="9" t="n"/>
      <c r="B593" s="136" t="inlineStr">
        <is>
          <t>PCB</t>
        </is>
      </c>
      <c r="C593" s="137" t="inlineStr">
        <is>
          <t>ADX6000S</t>
        </is>
      </c>
      <c r="D593" s="88" t="inlineStr">
        <is>
          <t>ETC CARRIER MINI BD</t>
        </is>
      </c>
      <c r="E593" s="13" t="n"/>
      <c r="F593" s="100" t="n"/>
      <c r="G593" s="9" t="n"/>
      <c r="H593" s="9" t="inlineStr">
        <is>
          <t>HLP</t>
        </is>
      </c>
      <c r="I593" s="14" t="n"/>
      <c r="J593" s="14" t="n"/>
      <c r="K593" s="12" t="n">
        <v>0</v>
      </c>
      <c r="L593" s="9" t="n"/>
      <c r="M593" s="9" t="n"/>
      <c r="N593" s="9" t="n"/>
      <c r="O593" s="40">
        <f>K593+V593-AE593-AZ593</f>
        <v/>
      </c>
      <c r="P593" s="12" t="n"/>
      <c r="Q593" s="138" t="n"/>
      <c r="R593" s="16" t="n"/>
      <c r="S593" s="139" t="n"/>
      <c r="T593" s="16" t="n"/>
      <c r="U593" s="139" t="n"/>
      <c r="V593" s="16">
        <f>P593+R593+T593</f>
        <v/>
      </c>
      <c r="W593" s="16" t="n"/>
      <c r="X593" s="139" t="n"/>
      <c r="Y593" s="16" t="n"/>
      <c r="Z593" s="139" t="n"/>
      <c r="AA593" s="16" t="n"/>
      <c r="AB593" s="139" t="n"/>
      <c r="AC593" s="16" t="n"/>
      <c r="AD593" s="139" t="n"/>
      <c r="AE593" s="16">
        <f>(W593+Y593+AA593+AC593)</f>
        <v/>
      </c>
      <c r="AF593" s="16" t="n"/>
      <c r="AG593" s="138" t="n"/>
      <c r="AH593" s="16" t="n"/>
      <c r="AI593" s="138" t="n"/>
      <c r="AJ593" s="16" t="n"/>
      <c r="AK593" s="138" t="n"/>
      <c r="AL593" s="16" t="n"/>
      <c r="AM593" s="138" t="n"/>
      <c r="AN593" s="16" t="n"/>
      <c r="AO593" s="138" t="n"/>
      <c r="AP593" s="16" t="n"/>
      <c r="AQ593" s="138" t="n"/>
      <c r="AR593" s="16" t="n"/>
      <c r="AS593" s="138" t="n"/>
      <c r="AT593" s="16" t="n"/>
      <c r="AU593" s="138" t="n"/>
      <c r="AV593" s="16" t="n"/>
      <c r="AW593" s="138" t="n"/>
      <c r="AX593" s="16" t="n"/>
      <c r="AY593" s="138" t="n"/>
      <c r="AZ593" s="16">
        <f>AF593+AH593+AJ593+AL593+AN593+AP593+AR593+AT593+AV593+AX593</f>
        <v/>
      </c>
      <c r="BA593" s="16" t="n"/>
      <c r="BB593" s="139" t="n"/>
      <c r="BC593" s="16" t="n"/>
      <c r="BD593" s="139" t="n"/>
      <c r="BE593" s="16">
        <f>(BA593+BC593)</f>
        <v/>
      </c>
    </row>
    <row r="594">
      <c r="A594" s="9" t="n"/>
      <c r="B594" s="136" t="inlineStr">
        <is>
          <t>PCB</t>
        </is>
      </c>
      <c r="C594" s="137" t="inlineStr">
        <is>
          <t>ADX6000</t>
        </is>
      </c>
      <c r="D594" s="88" t="inlineStr">
        <is>
          <t>Front Micro B/D</t>
        </is>
      </c>
      <c r="E594" s="13" t="n"/>
      <c r="F594" s="100" t="n"/>
      <c r="G594" s="9" t="n"/>
      <c r="H594" s="9" t="inlineStr">
        <is>
          <t>HLP</t>
        </is>
      </c>
      <c r="I594" s="14" t="n"/>
      <c r="J594" s="14" t="n"/>
      <c r="K594" s="12" t="n">
        <v>0</v>
      </c>
      <c r="L594" s="9" t="n"/>
      <c r="M594" s="9" t="n"/>
      <c r="N594" s="9" t="n"/>
      <c r="O594" s="40">
        <f>K594+V594-AE594-AZ594</f>
        <v/>
      </c>
      <c r="P594" s="12" t="n"/>
      <c r="Q594" s="138" t="n"/>
      <c r="R594" s="16" t="n"/>
      <c r="S594" s="139" t="n"/>
      <c r="T594" s="16" t="n"/>
      <c r="U594" s="139" t="n"/>
      <c r="V594" s="16">
        <f>P594+R594+T594</f>
        <v/>
      </c>
      <c r="W594" s="16" t="n"/>
      <c r="X594" s="139" t="n"/>
      <c r="Y594" s="16" t="n"/>
      <c r="Z594" s="139" t="n"/>
      <c r="AA594" s="16" t="n"/>
      <c r="AB594" s="139" t="n"/>
      <c r="AC594" s="16" t="n"/>
      <c r="AD594" s="139" t="n"/>
      <c r="AE594" s="16">
        <f>(W594+Y594+AA594+AC594)</f>
        <v/>
      </c>
      <c r="AF594" s="16" t="n"/>
      <c r="AG594" s="138" t="n"/>
      <c r="AH594" s="16" t="n"/>
      <c r="AI594" s="138" t="n"/>
      <c r="AJ594" s="16" t="n"/>
      <c r="AK594" s="138" t="n"/>
      <c r="AL594" s="16" t="n"/>
      <c r="AM594" s="138" t="n"/>
      <c r="AN594" s="16" t="n"/>
      <c r="AO594" s="138" t="n"/>
      <c r="AP594" s="16" t="n"/>
      <c r="AQ594" s="138" t="n"/>
      <c r="AR594" s="16" t="n"/>
      <c r="AS594" s="138" t="n"/>
      <c r="AT594" s="16" t="n"/>
      <c r="AU594" s="138" t="n"/>
      <c r="AV594" s="16" t="n"/>
      <c r="AW594" s="138" t="n"/>
      <c r="AX594" s="16" t="n"/>
      <c r="AY594" s="138" t="n"/>
      <c r="AZ594" s="16">
        <f>AF594+AH594+AJ594+AL594+AN594+AP594+AR594+AT594+AV594+AX594</f>
        <v/>
      </c>
      <c r="BA594" s="16" t="n"/>
      <c r="BB594" s="139" t="n"/>
      <c r="BC594" s="16" t="n"/>
      <c r="BD594" s="139" t="n"/>
      <c r="BE594" s="16">
        <f>(BA594+BC594)</f>
        <v/>
      </c>
    </row>
    <row r="595">
      <c r="A595" s="9" t="n"/>
      <c r="B595" s="136" t="inlineStr">
        <is>
          <t>PCB</t>
        </is>
      </c>
      <c r="C595" s="137" t="inlineStr">
        <is>
          <t>ADX6000</t>
        </is>
      </c>
      <c r="D595" s="88" t="inlineStr">
        <is>
          <t>Front Connector B/D</t>
        </is>
      </c>
      <c r="E595" s="13" t="n"/>
      <c r="F595" s="100" t="n"/>
      <c r="G595" s="9" t="n"/>
      <c r="H595" s="9" t="inlineStr">
        <is>
          <t>HLP</t>
        </is>
      </c>
      <c r="I595" s="14" t="n"/>
      <c r="J595" s="14" t="n"/>
      <c r="K595" s="12" t="n">
        <v>0</v>
      </c>
      <c r="L595" s="9" t="n"/>
      <c r="M595" s="9" t="n"/>
      <c r="N595" s="9" t="n"/>
      <c r="O595" s="40">
        <f>K595+V595-AE595-AZ595</f>
        <v/>
      </c>
      <c r="P595" s="12" t="n"/>
      <c r="Q595" s="138" t="n"/>
      <c r="R595" s="16" t="n"/>
      <c r="S595" s="139" t="n"/>
      <c r="T595" s="16" t="n"/>
      <c r="U595" s="139" t="n"/>
      <c r="V595" s="16">
        <f>P595+R595+T595</f>
        <v/>
      </c>
      <c r="W595" s="16" t="n"/>
      <c r="X595" s="139" t="n"/>
      <c r="Y595" s="16" t="n"/>
      <c r="Z595" s="139" t="n"/>
      <c r="AA595" s="16" t="n"/>
      <c r="AB595" s="139" t="n"/>
      <c r="AC595" s="16" t="n"/>
      <c r="AD595" s="139" t="n"/>
      <c r="AE595" s="16">
        <f>(W595+Y595+AA595+AC595)</f>
        <v/>
      </c>
      <c r="AF595" s="16" t="n"/>
      <c r="AG595" s="138" t="n"/>
      <c r="AH595" s="16" t="n"/>
      <c r="AI595" s="138" t="n"/>
      <c r="AJ595" s="16" t="n"/>
      <c r="AK595" s="138" t="n"/>
      <c r="AL595" s="16" t="n"/>
      <c r="AM595" s="138" t="n"/>
      <c r="AN595" s="16" t="n"/>
      <c r="AO595" s="138" t="n"/>
      <c r="AP595" s="16" t="n"/>
      <c r="AQ595" s="138" t="n"/>
      <c r="AR595" s="16" t="n"/>
      <c r="AS595" s="138" t="n"/>
      <c r="AT595" s="16" t="n"/>
      <c r="AU595" s="138" t="n"/>
      <c r="AV595" s="16" t="n"/>
      <c r="AW595" s="138" t="n"/>
      <c r="AX595" s="16" t="n"/>
      <c r="AY595" s="138" t="n"/>
      <c r="AZ595" s="16">
        <f>AF595+AH595+AJ595+AL595+AN595+AP595+AR595+AT595+AV595+AX595</f>
        <v/>
      </c>
      <c r="BA595" s="16" t="n"/>
      <c r="BB595" s="139" t="n"/>
      <c r="BC595" s="16" t="n"/>
      <c r="BD595" s="139" t="n"/>
      <c r="BE595" s="16">
        <f>(BA595+BC595)</f>
        <v/>
      </c>
    </row>
    <row r="596">
      <c r="A596" s="9" t="n"/>
      <c r="B596" s="136" t="inlineStr">
        <is>
          <t>PCB</t>
        </is>
      </c>
      <c r="C596" s="137" t="inlineStr">
        <is>
          <t>ADX6000S</t>
        </is>
      </c>
      <c r="D596" s="88" t="inlineStr">
        <is>
          <t xml:space="preserve">ETC FRONT BD </t>
        </is>
      </c>
      <c r="E596" s="13" t="n"/>
      <c r="F596" s="100" t="n"/>
      <c r="G596" s="9" t="n"/>
      <c r="H596" s="9" t="inlineStr">
        <is>
          <t>HLP</t>
        </is>
      </c>
      <c r="I596" s="14" t="n"/>
      <c r="J596" s="14" t="n"/>
      <c r="K596" s="12" t="n">
        <v>0</v>
      </c>
      <c r="L596" s="9" t="n"/>
      <c r="M596" s="9" t="n"/>
      <c r="N596" s="9" t="n"/>
      <c r="O596" s="40">
        <f>K596+V596-AE596-AZ596</f>
        <v/>
      </c>
      <c r="P596" s="12" t="n"/>
      <c r="Q596" s="138" t="n"/>
      <c r="R596" s="16" t="n"/>
      <c r="S596" s="139" t="n"/>
      <c r="T596" s="16" t="n"/>
      <c r="U596" s="139" t="n"/>
      <c r="V596" s="16">
        <f>P596+R596+T596</f>
        <v/>
      </c>
      <c r="W596" s="16" t="n"/>
      <c r="X596" s="139" t="n"/>
      <c r="Y596" s="16" t="n"/>
      <c r="Z596" s="139" t="n"/>
      <c r="AA596" s="16" t="n"/>
      <c r="AB596" s="139" t="n"/>
      <c r="AC596" s="16" t="n"/>
      <c r="AD596" s="139" t="n"/>
      <c r="AE596" s="16">
        <f>(W596+Y596+AA596+AC596)</f>
        <v/>
      </c>
      <c r="AF596" s="16" t="n"/>
      <c r="AG596" s="138" t="n"/>
      <c r="AH596" s="16" t="n"/>
      <c r="AI596" s="138" t="n"/>
      <c r="AJ596" s="16" t="n"/>
      <c r="AK596" s="138" t="n"/>
      <c r="AL596" s="16" t="n"/>
      <c r="AM596" s="138" t="n"/>
      <c r="AN596" s="16" t="n"/>
      <c r="AO596" s="138" t="n"/>
      <c r="AP596" s="16" t="n"/>
      <c r="AQ596" s="138" t="n"/>
      <c r="AR596" s="16" t="n"/>
      <c r="AS596" s="138" t="n"/>
      <c r="AT596" s="16" t="n"/>
      <c r="AU596" s="138" t="n"/>
      <c r="AV596" s="16" t="n"/>
      <c r="AW596" s="138" t="n"/>
      <c r="AX596" s="16" t="n"/>
      <c r="AY596" s="138" t="n"/>
      <c r="AZ596" s="16">
        <f>AF596+AH596+AJ596+AL596+AN596+AP596+AR596+AT596+AV596+AX596</f>
        <v/>
      </c>
      <c r="BA596" s="16" t="n"/>
      <c r="BB596" s="139" t="n"/>
      <c r="BC596" s="16" t="n"/>
      <c r="BD596" s="139" t="n"/>
      <c r="BE596" s="16">
        <f>(BA596+BC596)</f>
        <v/>
      </c>
    </row>
    <row r="597">
      <c r="A597" s="9" t="n"/>
      <c r="B597" s="136" t="inlineStr">
        <is>
          <t>PCB</t>
        </is>
      </c>
      <c r="C597" s="137" t="inlineStr">
        <is>
          <t>ADX6000S</t>
        </is>
      </c>
      <c r="D597" s="84" t="inlineStr">
        <is>
          <t>ETC FRONT BD</t>
        </is>
      </c>
      <c r="E597" s="13" t="inlineStr">
        <is>
          <t>리모콘 포트 수정 신형</t>
        </is>
      </c>
      <c r="F597" s="100" t="n"/>
      <c r="G597" s="9" t="n"/>
      <c r="H597" s="9" t="inlineStr">
        <is>
          <t>HLP</t>
        </is>
      </c>
      <c r="I597" s="14" t="n"/>
      <c r="J597" s="14" t="n"/>
      <c r="K597" s="12" t="n">
        <v>0</v>
      </c>
      <c r="L597" s="9" t="n"/>
      <c r="M597" s="9" t="n"/>
      <c r="N597" s="9" t="n"/>
      <c r="O597" s="40">
        <f>K597+V597-AE597-AZ597</f>
        <v/>
      </c>
      <c r="P597" s="12" t="n"/>
      <c r="Q597" s="138" t="n"/>
      <c r="R597" s="16" t="n"/>
      <c r="S597" s="139" t="n"/>
      <c r="T597" s="16" t="n"/>
      <c r="U597" s="139" t="n"/>
      <c r="V597" s="16">
        <f>P597+R597+T597</f>
        <v/>
      </c>
      <c r="W597" s="16" t="n"/>
      <c r="X597" s="139" t="n"/>
      <c r="Y597" s="16" t="n"/>
      <c r="Z597" s="139" t="n"/>
      <c r="AA597" s="16" t="n"/>
      <c r="AB597" s="139" t="n"/>
      <c r="AC597" s="16" t="n"/>
      <c r="AD597" s="139" t="n"/>
      <c r="AE597" s="16">
        <f>(W597+Y597+AA597+AC597)</f>
        <v/>
      </c>
      <c r="AF597" s="16" t="n"/>
      <c r="AG597" s="138" t="n"/>
      <c r="AH597" s="16" t="n"/>
      <c r="AI597" s="138" t="n"/>
      <c r="AJ597" s="16" t="n"/>
      <c r="AK597" s="138" t="n"/>
      <c r="AL597" s="16" t="n"/>
      <c r="AM597" s="138" t="n"/>
      <c r="AN597" s="16" t="n"/>
      <c r="AO597" s="138" t="n"/>
      <c r="AP597" s="16" t="n"/>
      <c r="AQ597" s="138" t="n"/>
      <c r="AR597" s="16" t="n"/>
      <c r="AS597" s="138" t="n"/>
      <c r="AT597" s="16" t="n"/>
      <c r="AU597" s="138" t="n"/>
      <c r="AV597" s="16" t="n"/>
      <c r="AW597" s="138" t="n"/>
      <c r="AX597" s="16" t="n"/>
      <c r="AY597" s="138" t="n"/>
      <c r="AZ597" s="16">
        <f>AF597+AH597+AJ597+AL597+AN597+AP597+AR597+AT597+AV597+AX597</f>
        <v/>
      </c>
      <c r="BA597" s="16" t="n"/>
      <c r="BB597" s="139" t="n"/>
      <c r="BC597" s="16" t="n"/>
      <c r="BD597" s="139" t="n"/>
      <c r="BE597" s="16">
        <f>(BA597+BC597)</f>
        <v/>
      </c>
    </row>
    <row r="598">
      <c r="A598" s="9" t="n"/>
      <c r="B598" s="136" t="inlineStr">
        <is>
          <t>PCB</t>
        </is>
      </c>
      <c r="C598" s="137" t="inlineStr">
        <is>
          <t>ADX6000</t>
        </is>
      </c>
      <c r="D598" s="65" t="inlineStr">
        <is>
          <t>컬리메이터 LED B/D</t>
        </is>
      </c>
      <c r="E598" s="13" t="inlineStr">
        <is>
          <t>신형 LED 작은것</t>
        </is>
      </c>
      <c r="F598" s="100" t="n"/>
      <c r="G598" s="9" t="n"/>
      <c r="H598" s="9" t="inlineStr">
        <is>
          <t>HLP</t>
        </is>
      </c>
      <c r="I598" s="14" t="n"/>
      <c r="J598" s="14" t="n"/>
      <c r="K598" s="12" t="n">
        <v>0</v>
      </c>
      <c r="L598" s="9" t="n"/>
      <c r="M598" s="9" t="n"/>
      <c r="N598" s="9" t="n"/>
      <c r="O598" s="40">
        <f>K598+V598-AE598-AZ598</f>
        <v/>
      </c>
      <c r="P598" s="12" t="n"/>
      <c r="Q598" s="138" t="n"/>
      <c r="R598" s="16" t="n"/>
      <c r="S598" s="139" t="n"/>
      <c r="T598" s="16" t="n"/>
      <c r="U598" s="139" t="n"/>
      <c r="V598" s="16">
        <f>P598+R598+T598</f>
        <v/>
      </c>
      <c r="W598" s="16" t="n"/>
      <c r="X598" s="139" t="n"/>
      <c r="Y598" s="16" t="n"/>
      <c r="Z598" s="139" t="n"/>
      <c r="AA598" s="16" t="n"/>
      <c r="AB598" s="139" t="n"/>
      <c r="AC598" s="16" t="n"/>
      <c r="AD598" s="139" t="n"/>
      <c r="AE598" s="16">
        <f>(W598+Y598+AA598+AC598)</f>
        <v/>
      </c>
      <c r="AF598" s="16" t="n"/>
      <c r="AG598" s="138" t="n"/>
      <c r="AH598" s="16" t="n"/>
      <c r="AI598" s="138" t="n"/>
      <c r="AJ598" s="16" t="n"/>
      <c r="AK598" s="138" t="n"/>
      <c r="AL598" s="16" t="n"/>
      <c r="AM598" s="138" t="n"/>
      <c r="AN598" s="16" t="n"/>
      <c r="AO598" s="138" t="n"/>
      <c r="AP598" s="16" t="n"/>
      <c r="AQ598" s="138" t="n"/>
      <c r="AR598" s="16" t="n"/>
      <c r="AS598" s="138" t="n"/>
      <c r="AT598" s="16" t="n"/>
      <c r="AU598" s="138" t="n"/>
      <c r="AV598" s="16" t="n"/>
      <c r="AW598" s="138" t="n"/>
      <c r="AX598" s="16" t="n"/>
      <c r="AY598" s="138" t="n"/>
      <c r="AZ598" s="16">
        <f>AF598+AH598+AJ598+AL598+AN598+AP598+AR598+AT598+AV598+AX598</f>
        <v/>
      </c>
      <c r="BA598" s="16" t="n"/>
      <c r="BB598" s="139" t="n"/>
      <c r="BC598" s="16" t="n"/>
      <c r="BD598" s="139" t="n"/>
      <c r="BE598" s="16">
        <f>(BA598+BC598)</f>
        <v/>
      </c>
    </row>
    <row r="599">
      <c r="A599" s="9" t="n"/>
      <c r="B599" s="136" t="inlineStr">
        <is>
          <t>PCB</t>
        </is>
      </c>
      <c r="C599" s="137" t="inlineStr">
        <is>
          <t>ADX6000</t>
        </is>
      </c>
      <c r="D599" s="65" t="inlineStr">
        <is>
          <t>컬리메이터 LED B/D</t>
        </is>
      </c>
      <c r="E599" s="13" t="inlineStr">
        <is>
          <t>신형 LED, 밝기 수정</t>
        </is>
      </c>
      <c r="F599" s="100" t="n"/>
      <c r="G599" s="9" t="n"/>
      <c r="H599" s="9" t="inlineStr">
        <is>
          <t>HLP</t>
        </is>
      </c>
      <c r="I599" s="14" t="n"/>
      <c r="J599" s="14" t="n"/>
      <c r="K599" s="12" t="n">
        <v>0</v>
      </c>
      <c r="L599" s="9" t="n"/>
      <c r="M599" s="9" t="n"/>
      <c r="N599" s="9" t="n"/>
      <c r="O599" s="40">
        <f>K599+V599-AE599-AZ599</f>
        <v/>
      </c>
      <c r="P599" s="12" t="n"/>
      <c r="Q599" s="138" t="n"/>
      <c r="R599" s="16" t="n"/>
      <c r="S599" s="139" t="n"/>
      <c r="T599" s="16" t="n"/>
      <c r="U599" s="139" t="n"/>
      <c r="V599" s="16">
        <f>P599+R599+T599</f>
        <v/>
      </c>
      <c r="W599" s="16" t="n"/>
      <c r="X599" s="139" t="n"/>
      <c r="Y599" s="16" t="n"/>
      <c r="Z599" s="139" t="n"/>
      <c r="AA599" s="16" t="n"/>
      <c r="AB599" s="139" t="n"/>
      <c r="AC599" s="16" t="n"/>
      <c r="AD599" s="139" t="n"/>
      <c r="AE599" s="16">
        <f>(W599+Y599+AA599+AC599)</f>
        <v/>
      </c>
      <c r="AF599" s="16" t="n"/>
      <c r="AG599" s="138" t="n"/>
      <c r="AH599" s="16" t="n"/>
      <c r="AI599" s="138" t="n"/>
      <c r="AJ599" s="16" t="n"/>
      <c r="AK599" s="138" t="n"/>
      <c r="AL599" s="16" t="n"/>
      <c r="AM599" s="138" t="n"/>
      <c r="AN599" s="16" t="n"/>
      <c r="AO599" s="138" t="n"/>
      <c r="AP599" s="16" t="n"/>
      <c r="AQ599" s="138" t="n"/>
      <c r="AR599" s="16" t="n"/>
      <c r="AS599" s="138" t="n"/>
      <c r="AT599" s="16" t="n"/>
      <c r="AU599" s="138" t="n"/>
      <c r="AV599" s="16" t="n"/>
      <c r="AW599" s="138" t="n"/>
      <c r="AX599" s="16" t="n"/>
      <c r="AY599" s="138" t="n"/>
      <c r="AZ599" s="16">
        <f>AF599+AH599+AJ599+AL599+AN599+AP599+AR599+AT599+AV599+AX599</f>
        <v/>
      </c>
      <c r="BA599" s="16" t="n"/>
      <c r="BB599" s="139" t="n"/>
      <c r="BC599" s="16" t="n"/>
      <c r="BD599" s="139" t="n"/>
      <c r="BE599" s="16">
        <f>(BA599+BC599)</f>
        <v/>
      </c>
    </row>
    <row r="600">
      <c r="A600" s="9" t="n"/>
      <c r="B600" s="136" t="inlineStr">
        <is>
          <t>PCB</t>
        </is>
      </c>
      <c r="C600" s="137" t="inlineStr">
        <is>
          <t>ADX6000</t>
        </is>
      </c>
      <c r="D600" s="84" t="inlineStr">
        <is>
          <t>ETC EX BATTERY BD</t>
        </is>
      </c>
      <c r="E600" s="13" t="n"/>
      <c r="F600" s="100" t="n"/>
      <c r="G600" s="9" t="n"/>
      <c r="H600" s="9" t="inlineStr">
        <is>
          <t>HLP</t>
        </is>
      </c>
      <c r="I600" s="14" t="n"/>
      <c r="J600" s="14" t="n"/>
      <c r="K600" s="12" t="n">
        <v>0</v>
      </c>
      <c r="L600" s="9" t="n"/>
      <c r="M600" s="9" t="n"/>
      <c r="N600" s="9" t="n"/>
      <c r="O600" s="40">
        <f>K600+V600-AE600-AZ600</f>
        <v/>
      </c>
      <c r="P600" s="12" t="n"/>
      <c r="Q600" s="138" t="n"/>
      <c r="R600" s="16" t="n"/>
      <c r="S600" s="139" t="n"/>
      <c r="T600" s="16" t="n"/>
      <c r="U600" s="139" t="n"/>
      <c r="V600" s="16">
        <f>P600+R600+T600</f>
        <v/>
      </c>
      <c r="W600" s="16" t="n"/>
      <c r="X600" s="139" t="n"/>
      <c r="Y600" s="16" t="n"/>
      <c r="Z600" s="139" t="n"/>
      <c r="AA600" s="16" t="n"/>
      <c r="AB600" s="139" t="n"/>
      <c r="AC600" s="16" t="n"/>
      <c r="AD600" s="139" t="n"/>
      <c r="AE600" s="16">
        <f>(W600+Y600+AA600+AC600)</f>
        <v/>
      </c>
      <c r="AF600" s="16" t="n"/>
      <c r="AG600" s="138" t="n"/>
      <c r="AH600" s="16" t="n"/>
      <c r="AI600" s="138" t="n"/>
      <c r="AJ600" s="16" t="n"/>
      <c r="AK600" s="138" t="n"/>
      <c r="AL600" s="16" t="n"/>
      <c r="AM600" s="138" t="n"/>
      <c r="AN600" s="16" t="n"/>
      <c r="AO600" s="138" t="n"/>
      <c r="AP600" s="16" t="n"/>
      <c r="AQ600" s="138" t="n"/>
      <c r="AR600" s="16" t="n"/>
      <c r="AS600" s="138" t="n"/>
      <c r="AT600" s="16" t="n"/>
      <c r="AU600" s="138" t="n"/>
      <c r="AV600" s="16" t="n"/>
      <c r="AW600" s="138" t="n"/>
      <c r="AX600" s="16" t="n"/>
      <c r="AY600" s="138" t="n"/>
      <c r="AZ600" s="16">
        <f>AF600+AH600+AJ600+AL600+AN600+AP600+AR600+AT600+AV600+AX600</f>
        <v/>
      </c>
      <c r="BA600" s="16" t="n"/>
      <c r="BB600" s="139" t="n"/>
      <c r="BC600" s="16" t="n"/>
      <c r="BD600" s="139" t="n"/>
      <c r="BE600" s="16">
        <f>(BA600+BC600)</f>
        <v/>
      </c>
    </row>
    <row r="601">
      <c r="A601" s="9" t="n"/>
      <c r="B601" s="136" t="inlineStr">
        <is>
          <t>PCB</t>
        </is>
      </c>
      <c r="C601" s="137" t="inlineStr">
        <is>
          <t>ADX6000</t>
        </is>
      </c>
      <c r="D601" s="84" t="inlineStr">
        <is>
          <t>ETC RESIST BD</t>
        </is>
      </c>
      <c r="E601" s="13" t="n"/>
      <c r="F601" s="100" t="n"/>
      <c r="G601" s="9" t="n"/>
      <c r="H601" s="9" t="inlineStr">
        <is>
          <t>HLP</t>
        </is>
      </c>
      <c r="I601" s="14" t="n"/>
      <c r="J601" s="14" t="n"/>
      <c r="K601" s="12" t="n">
        <v>0</v>
      </c>
      <c r="L601" s="9" t="n"/>
      <c r="M601" s="9" t="n"/>
      <c r="N601" s="9" t="n"/>
      <c r="O601" s="40">
        <f>K601+V601-AE601-AZ601</f>
        <v/>
      </c>
      <c r="P601" s="12" t="n"/>
      <c r="Q601" s="138" t="n"/>
      <c r="R601" s="16" t="n"/>
      <c r="S601" s="139" t="n"/>
      <c r="T601" s="16" t="n"/>
      <c r="U601" s="139" t="n"/>
      <c r="V601" s="16">
        <f>P601+R601+T601</f>
        <v/>
      </c>
      <c r="W601" s="16" t="n"/>
      <c r="X601" s="139" t="n"/>
      <c r="Y601" s="16" t="n"/>
      <c r="Z601" s="139" t="n"/>
      <c r="AA601" s="16" t="n"/>
      <c r="AB601" s="139" t="n"/>
      <c r="AC601" s="16" t="n"/>
      <c r="AD601" s="139" t="n"/>
      <c r="AE601" s="16">
        <f>(W601+Y601+AA601+AC601)</f>
        <v/>
      </c>
      <c r="AF601" s="16" t="n"/>
      <c r="AG601" s="138" t="n"/>
      <c r="AH601" s="16" t="n"/>
      <c r="AI601" s="138" t="n"/>
      <c r="AJ601" s="16" t="n"/>
      <c r="AK601" s="138" t="n"/>
      <c r="AL601" s="16" t="n"/>
      <c r="AM601" s="138" t="n"/>
      <c r="AN601" s="16" t="n"/>
      <c r="AO601" s="138" t="n"/>
      <c r="AP601" s="16" t="n"/>
      <c r="AQ601" s="138" t="n"/>
      <c r="AR601" s="16" t="n"/>
      <c r="AS601" s="138" t="n"/>
      <c r="AT601" s="16" t="n"/>
      <c r="AU601" s="138" t="n"/>
      <c r="AV601" s="16" t="n"/>
      <c r="AW601" s="138" t="n"/>
      <c r="AX601" s="16" t="n"/>
      <c r="AY601" s="138" t="n"/>
      <c r="AZ601" s="16">
        <f>AF601+AH601+AJ601+AL601+AN601+AP601+AR601+AT601+AV601+AX601</f>
        <v/>
      </c>
      <c r="BA601" s="16" t="n"/>
      <c r="BB601" s="139" t="n"/>
      <c r="BC601" s="16" t="n"/>
      <c r="BD601" s="139" t="n"/>
      <c r="BE601" s="16">
        <f>(BA601+BC601)</f>
        <v/>
      </c>
    </row>
    <row r="602">
      <c r="A602" s="9" t="n"/>
      <c r="B602" s="136" t="inlineStr">
        <is>
          <t>PCB</t>
        </is>
      </c>
      <c r="C602" s="137" t="inlineStr">
        <is>
          <t>ADX6000</t>
        </is>
      </c>
      <c r="D602" s="84" t="inlineStr">
        <is>
          <t>ETC CAP BANK BD</t>
        </is>
      </c>
      <c r="E602" s="13" t="n"/>
      <c r="F602" s="100" t="n"/>
      <c r="G602" s="9" t="n"/>
      <c r="H602" s="9" t="inlineStr">
        <is>
          <t>HLP</t>
        </is>
      </c>
      <c r="I602" s="14" t="n"/>
      <c r="J602" s="14" t="n"/>
      <c r="K602" s="12" t="n">
        <v>0</v>
      </c>
      <c r="L602" s="9" t="n"/>
      <c r="M602" s="9" t="n"/>
      <c r="N602" s="9" t="n"/>
      <c r="O602" s="40">
        <f>K602+V602-AE602-AZ602</f>
        <v/>
      </c>
      <c r="P602" s="12" t="n"/>
      <c r="Q602" s="138" t="n"/>
      <c r="R602" s="16" t="n"/>
      <c r="S602" s="139" t="n"/>
      <c r="T602" s="16" t="n"/>
      <c r="U602" s="139" t="n"/>
      <c r="V602" s="16">
        <f>P602+R602+T602</f>
        <v/>
      </c>
      <c r="W602" s="16" t="n"/>
      <c r="X602" s="139" t="n"/>
      <c r="Y602" s="16" t="n"/>
      <c r="Z602" s="139" t="n"/>
      <c r="AA602" s="16" t="n"/>
      <c r="AB602" s="139" t="n"/>
      <c r="AC602" s="16" t="n"/>
      <c r="AD602" s="139" t="n"/>
      <c r="AE602" s="16">
        <f>(W602+Y602+AA602+AC602)</f>
        <v/>
      </c>
      <c r="AF602" s="16" t="n"/>
      <c r="AG602" s="138" t="n"/>
      <c r="AH602" s="16" t="n"/>
      <c r="AI602" s="138" t="n"/>
      <c r="AJ602" s="16" t="n"/>
      <c r="AK602" s="138" t="n"/>
      <c r="AL602" s="16" t="n"/>
      <c r="AM602" s="138" t="n"/>
      <c r="AN602" s="16" t="n"/>
      <c r="AO602" s="138" t="n"/>
      <c r="AP602" s="16" t="n"/>
      <c r="AQ602" s="138" t="n"/>
      <c r="AR602" s="16" t="n"/>
      <c r="AS602" s="138" t="n"/>
      <c r="AT602" s="16" t="n"/>
      <c r="AU602" s="138" t="n"/>
      <c r="AV602" s="16" t="n"/>
      <c r="AW602" s="138" t="n"/>
      <c r="AX602" s="16" t="n"/>
      <c r="AY602" s="138" t="n"/>
      <c r="AZ602" s="16">
        <f>AF602+AH602+AJ602+AL602+AN602+AP602+AR602+AT602+AV602+AX602</f>
        <v/>
      </c>
      <c r="BA602" s="16" t="n"/>
      <c r="BB602" s="139" t="n"/>
      <c r="BC602" s="16" t="n"/>
      <c r="BD602" s="139" t="n"/>
      <c r="BE602" s="16">
        <f>(BA602+BC602)</f>
        <v/>
      </c>
    </row>
    <row r="603">
      <c r="A603" s="9" t="n"/>
      <c r="B603" s="136" t="inlineStr">
        <is>
          <t>PCB</t>
        </is>
      </c>
      <c r="C603" s="137" t="inlineStr">
        <is>
          <t>ADX6000</t>
        </is>
      </c>
      <c r="D603" s="84" t="inlineStr">
        <is>
          <t>LED DRIVER B/D</t>
        </is>
      </c>
      <c r="E603" s="13" t="inlineStr">
        <is>
          <t>V1.0.0</t>
        </is>
      </c>
      <c r="F603" s="100" t="n"/>
      <c r="G603" s="9" t="n"/>
      <c r="H603" s="9" t="inlineStr">
        <is>
          <t>HLP</t>
        </is>
      </c>
      <c r="I603" s="14" t="n"/>
      <c r="J603" s="14" t="n"/>
      <c r="K603" s="12" t="n">
        <v>0</v>
      </c>
      <c r="L603" s="9" t="n"/>
      <c r="M603" s="9" t="n"/>
      <c r="N603" s="9" t="n"/>
      <c r="O603" s="40">
        <f>K603+V603-AE603-AZ603</f>
        <v/>
      </c>
      <c r="P603" s="12" t="n"/>
      <c r="Q603" s="138" t="n"/>
      <c r="R603" s="16" t="n"/>
      <c r="S603" s="139" t="n"/>
      <c r="T603" s="16" t="n"/>
      <c r="U603" s="139" t="n"/>
      <c r="V603" s="16">
        <f>P603+R603+T603</f>
        <v/>
      </c>
      <c r="W603" s="16" t="n"/>
      <c r="X603" s="139" t="n"/>
      <c r="Y603" s="16" t="n"/>
      <c r="Z603" s="139" t="n"/>
      <c r="AA603" s="16" t="n"/>
      <c r="AB603" s="139" t="n"/>
      <c r="AC603" s="16" t="n"/>
      <c r="AD603" s="139" t="n"/>
      <c r="AE603" s="16">
        <f>(W603+Y603+AA603+AC603)</f>
        <v/>
      </c>
      <c r="AF603" s="16" t="n"/>
      <c r="AG603" s="138" t="n"/>
      <c r="AH603" s="16" t="n"/>
      <c r="AI603" s="138" t="n"/>
      <c r="AJ603" s="16" t="n"/>
      <c r="AK603" s="138" t="n"/>
      <c r="AL603" s="16" t="n"/>
      <c r="AM603" s="138" t="n"/>
      <c r="AN603" s="16" t="n"/>
      <c r="AO603" s="138" t="n"/>
      <c r="AP603" s="16" t="n"/>
      <c r="AQ603" s="138" t="n"/>
      <c r="AR603" s="16" t="n"/>
      <c r="AS603" s="138" t="n"/>
      <c r="AT603" s="16" t="n"/>
      <c r="AU603" s="138" t="n"/>
      <c r="AV603" s="16" t="n"/>
      <c r="AW603" s="138" t="n"/>
      <c r="AX603" s="16" t="n"/>
      <c r="AY603" s="138" t="n"/>
      <c r="AZ603" s="16">
        <f>AF603+AH603+AJ603+AL603+AN603+AP603+AR603+AT603+AV603+AX603</f>
        <v/>
      </c>
      <c r="BA603" s="16" t="n"/>
      <c r="BB603" s="139" t="n"/>
      <c r="BC603" s="16" t="n"/>
      <c r="BD603" s="139" t="n"/>
      <c r="BE603" s="16">
        <f>(BA603+BC603)</f>
        <v/>
      </c>
    </row>
    <row r="604">
      <c r="A604" s="9" t="n"/>
      <c r="B604" s="136" t="inlineStr">
        <is>
          <t>PCB</t>
        </is>
      </c>
      <c r="C604" s="137" t="inlineStr">
        <is>
          <t>ADX6000</t>
        </is>
      </c>
      <c r="D604" s="84" t="inlineStr">
        <is>
          <t>DRTech FDXD-810, FLAATZ-N330 CTR Battery B/D</t>
        </is>
      </c>
      <c r="E604" s="13" t="inlineStr">
        <is>
          <t>구형</t>
        </is>
      </c>
      <c r="F604" s="100" t="n"/>
      <c r="G604" s="9" t="n"/>
      <c r="H604" s="9" t="inlineStr">
        <is>
          <t>HLP</t>
        </is>
      </c>
      <c r="I604" s="14" t="n"/>
      <c r="J604" s="14" t="n"/>
      <c r="K604" s="12" t="n">
        <v>0</v>
      </c>
      <c r="L604" s="9" t="n"/>
      <c r="M604" s="9" t="n"/>
      <c r="N604" s="9" t="n"/>
      <c r="O604" s="40">
        <f>K604+V604-AE604-AZ604</f>
        <v/>
      </c>
      <c r="P604" s="12" t="n"/>
      <c r="Q604" s="138" t="n"/>
      <c r="R604" s="16" t="n"/>
      <c r="S604" s="139" t="n"/>
      <c r="T604" s="16" t="n"/>
      <c r="U604" s="139" t="n"/>
      <c r="V604" s="16">
        <f>P604+R604+T604</f>
        <v/>
      </c>
      <c r="W604" s="16" t="n"/>
      <c r="X604" s="139" t="n"/>
      <c r="Y604" s="16" t="n"/>
      <c r="Z604" s="139" t="n"/>
      <c r="AA604" s="16" t="n"/>
      <c r="AB604" s="139" t="n"/>
      <c r="AC604" s="16" t="n"/>
      <c r="AD604" s="139" t="n"/>
      <c r="AE604" s="16">
        <f>(W604+Y604+AA604+AC604)</f>
        <v/>
      </c>
      <c r="AF604" s="16" t="n"/>
      <c r="AG604" s="138" t="n"/>
      <c r="AH604" s="16" t="n"/>
      <c r="AI604" s="138" t="n"/>
      <c r="AJ604" s="16" t="n"/>
      <c r="AK604" s="138" t="n"/>
      <c r="AL604" s="16" t="n"/>
      <c r="AM604" s="138" t="n"/>
      <c r="AN604" s="16" t="n"/>
      <c r="AO604" s="138" t="n"/>
      <c r="AP604" s="16" t="n"/>
      <c r="AQ604" s="138" t="n"/>
      <c r="AR604" s="16" t="n"/>
      <c r="AS604" s="138" t="n"/>
      <c r="AT604" s="16" t="n"/>
      <c r="AU604" s="138" t="n"/>
      <c r="AV604" s="16" t="n"/>
      <c r="AW604" s="138" t="n"/>
      <c r="AX604" s="16" t="n"/>
      <c r="AY604" s="138" t="n"/>
      <c r="AZ604" s="16">
        <f>AF604+AH604+AJ604+AL604+AN604+AP604+AR604+AT604+AV604+AX604</f>
        <v/>
      </c>
      <c r="BA604" s="16" t="n"/>
      <c r="BB604" s="139" t="n"/>
      <c r="BC604" s="16" t="n"/>
      <c r="BD604" s="139" t="n"/>
      <c r="BE604" s="16">
        <f>(BA604+BC604)</f>
        <v/>
      </c>
    </row>
    <row r="605">
      <c r="A605" s="9" t="n"/>
      <c r="B605" s="136" t="inlineStr">
        <is>
          <t>PCB</t>
        </is>
      </c>
      <c r="C605" s="137" t="inlineStr">
        <is>
          <t>ADX6000</t>
        </is>
      </c>
      <c r="D605" s="84" t="inlineStr">
        <is>
          <t>DRTech FDXD-810, FLAATZ-N330 CTR Battery B/D</t>
        </is>
      </c>
      <c r="E605" s="13" t="inlineStr">
        <is>
          <t>신형</t>
        </is>
      </c>
      <c r="F605" s="100" t="n"/>
      <c r="G605" s="9" t="n"/>
      <c r="H605" s="9" t="inlineStr">
        <is>
          <t>HLP</t>
        </is>
      </c>
      <c r="I605" s="14" t="n"/>
      <c r="J605" s="14" t="n"/>
      <c r="K605" s="12" t="n">
        <v>0</v>
      </c>
      <c r="L605" s="9" t="n"/>
      <c r="M605" s="9" t="n"/>
      <c r="N605" s="9" t="n"/>
      <c r="O605" s="40">
        <f>K605+V605-AE605-AZ605</f>
        <v/>
      </c>
      <c r="P605" s="12" t="n"/>
      <c r="Q605" s="138" t="n"/>
      <c r="R605" s="16" t="n"/>
      <c r="S605" s="139" t="n"/>
      <c r="T605" s="16" t="n"/>
      <c r="U605" s="139" t="n"/>
      <c r="V605" s="16">
        <f>P605+R605+T605</f>
        <v/>
      </c>
      <c r="W605" s="16" t="n"/>
      <c r="X605" s="139" t="n"/>
      <c r="Y605" s="16" t="n"/>
      <c r="Z605" s="139" t="n"/>
      <c r="AA605" s="16" t="n"/>
      <c r="AB605" s="139" t="n"/>
      <c r="AC605" s="16" t="n"/>
      <c r="AD605" s="139" t="n"/>
      <c r="AE605" s="16">
        <f>(W605+Y605+AA605+AC605)</f>
        <v/>
      </c>
      <c r="AF605" s="16" t="n"/>
      <c r="AG605" s="138" t="n"/>
      <c r="AH605" s="16" t="n"/>
      <c r="AI605" s="138" t="n"/>
      <c r="AJ605" s="16" t="n"/>
      <c r="AK605" s="138" t="n"/>
      <c r="AL605" s="16" t="n"/>
      <c r="AM605" s="138" t="n"/>
      <c r="AN605" s="16" t="n"/>
      <c r="AO605" s="138" t="n"/>
      <c r="AP605" s="16" t="n"/>
      <c r="AQ605" s="138" t="n"/>
      <c r="AR605" s="16" t="n"/>
      <c r="AS605" s="138" t="n"/>
      <c r="AT605" s="16" t="n"/>
      <c r="AU605" s="138" t="n"/>
      <c r="AV605" s="16" t="n"/>
      <c r="AW605" s="138" t="n"/>
      <c r="AX605" s="16" t="n"/>
      <c r="AY605" s="138" t="n"/>
      <c r="AZ605" s="16">
        <f>AF605+AH605+AJ605+AL605+AN605+AP605+AR605+AT605+AV605+AX605</f>
        <v/>
      </c>
      <c r="BA605" s="16" t="n"/>
      <c r="BB605" s="139" t="n"/>
      <c r="BC605" s="16" t="n"/>
      <c r="BD605" s="139" t="n"/>
      <c r="BE605" s="16">
        <f>(BA605+BC605)</f>
        <v/>
      </c>
    </row>
    <row r="606">
      <c r="A606" s="9" t="n"/>
      <c r="B606" s="136" t="inlineStr">
        <is>
          <t>CABLE</t>
        </is>
      </c>
      <c r="C606" s="137" t="inlineStr">
        <is>
          <t>ADX6000</t>
        </is>
      </c>
      <c r="D606" s="60" t="inlineStr">
        <is>
          <t>FFC (16핀)</t>
        </is>
      </c>
      <c r="E606" s="13" t="inlineStr">
        <is>
          <t>82mm</t>
        </is>
      </c>
      <c r="F606" s="100" t="n"/>
      <c r="G606" s="9" t="n"/>
      <c r="H606" s="9" t="inlineStr">
        <is>
          <t>HLP</t>
        </is>
      </c>
      <c r="I606" s="14" t="n"/>
      <c r="J606" s="14" t="n"/>
      <c r="K606" s="12" t="n">
        <v>0</v>
      </c>
      <c r="L606" s="9" t="n"/>
      <c r="M606" s="9" t="n"/>
      <c r="N606" s="9" t="n"/>
      <c r="O606" s="40">
        <f>K606+V606-AE606-AZ606</f>
        <v/>
      </c>
      <c r="P606" s="12" t="n"/>
      <c r="Q606" s="138" t="n"/>
      <c r="R606" s="16" t="n"/>
      <c r="S606" s="139" t="n"/>
      <c r="T606" s="16" t="n"/>
      <c r="U606" s="139" t="n"/>
      <c r="V606" s="16">
        <f>P606+R606+T606</f>
        <v/>
      </c>
      <c r="W606" s="16" t="n"/>
      <c r="X606" s="139" t="n"/>
      <c r="Y606" s="16" t="n"/>
      <c r="Z606" s="139" t="n"/>
      <c r="AA606" s="16" t="n"/>
      <c r="AB606" s="139" t="n"/>
      <c r="AC606" s="16" t="n"/>
      <c r="AD606" s="139" t="n"/>
      <c r="AE606" s="16">
        <f>(W606+Y606+AA606+AC606)</f>
        <v/>
      </c>
      <c r="AF606" s="16" t="n"/>
      <c r="AG606" s="138" t="n"/>
      <c r="AH606" s="16" t="n"/>
      <c r="AI606" s="138" t="n"/>
      <c r="AJ606" s="16" t="n"/>
      <c r="AK606" s="138" t="n"/>
      <c r="AL606" s="16" t="n"/>
      <c r="AM606" s="138" t="n"/>
      <c r="AN606" s="16" t="n"/>
      <c r="AO606" s="138" t="n"/>
      <c r="AP606" s="16" t="n"/>
      <c r="AQ606" s="138" t="n"/>
      <c r="AR606" s="16" t="n"/>
      <c r="AS606" s="138" t="n"/>
      <c r="AT606" s="16" t="n"/>
      <c r="AU606" s="138" t="n"/>
      <c r="AV606" s="16" t="n"/>
      <c r="AW606" s="138" t="n"/>
      <c r="AX606" s="16" t="n"/>
      <c r="AY606" s="138" t="n"/>
      <c r="AZ606" s="16">
        <f>AF606+AH606+AJ606+AL606+AN606+AP606+AR606+AT606+AV606+AX606</f>
        <v/>
      </c>
      <c r="BA606" s="16" t="n"/>
      <c r="BB606" s="139" t="n"/>
      <c r="BC606" s="16" t="n"/>
      <c r="BD606" s="139" t="n"/>
      <c r="BE606" s="16">
        <f>(BA606+BC606)</f>
        <v/>
      </c>
    </row>
    <row r="607">
      <c r="A607" s="9" t="n"/>
      <c r="B607" s="136" t="inlineStr">
        <is>
          <t>CABLE</t>
        </is>
      </c>
      <c r="C607" s="137" t="inlineStr">
        <is>
          <t>ADX6000</t>
        </is>
      </c>
      <c r="D607" s="84" t="inlineStr">
        <is>
          <t>하네스 8번</t>
        </is>
      </c>
      <c r="E607" s="13" t="inlineStr">
        <is>
          <t>YH396-04V - 2EA CAP BANK 케이블 / 120mm</t>
        </is>
      </c>
      <c r="F607" s="100" t="n"/>
      <c r="G607" s="9" t="n"/>
      <c r="H607" s="9" t="inlineStr">
        <is>
          <t>HLP</t>
        </is>
      </c>
      <c r="I607" s="14" t="n"/>
      <c r="J607" s="14" t="n"/>
      <c r="K607" s="12" t="n">
        <v>0</v>
      </c>
      <c r="L607" s="9" t="n"/>
      <c r="M607" s="9" t="n"/>
      <c r="N607" s="9" t="n"/>
      <c r="O607" s="40">
        <f>K607+V607-AE607-AZ607</f>
        <v/>
      </c>
      <c r="P607" s="12" t="n"/>
      <c r="Q607" s="138" t="n"/>
      <c r="R607" s="16" t="n"/>
      <c r="S607" s="139" t="n"/>
      <c r="T607" s="16" t="n"/>
      <c r="U607" s="139" t="n"/>
      <c r="V607" s="16">
        <f>P607+R607+T607</f>
        <v/>
      </c>
      <c r="W607" s="16" t="n"/>
      <c r="X607" s="139" t="n"/>
      <c r="Y607" s="16" t="n"/>
      <c r="Z607" s="139" t="n"/>
      <c r="AA607" s="16" t="n"/>
      <c r="AB607" s="139" t="n"/>
      <c r="AC607" s="16" t="n"/>
      <c r="AD607" s="139" t="n"/>
      <c r="AE607" s="16">
        <f>(W607+Y607+AA607+AC607)</f>
        <v/>
      </c>
      <c r="AF607" s="16" t="n"/>
      <c r="AG607" s="138" t="n"/>
      <c r="AH607" s="16" t="n"/>
      <c r="AI607" s="138" t="n"/>
      <c r="AJ607" s="16" t="n"/>
      <c r="AK607" s="138" t="n"/>
      <c r="AL607" s="16" t="n"/>
      <c r="AM607" s="138" t="n"/>
      <c r="AN607" s="16" t="n"/>
      <c r="AO607" s="138" t="n"/>
      <c r="AP607" s="16" t="n"/>
      <c r="AQ607" s="138" t="n"/>
      <c r="AR607" s="16" t="n"/>
      <c r="AS607" s="138" t="n"/>
      <c r="AT607" s="16" t="n"/>
      <c r="AU607" s="138" t="n"/>
      <c r="AV607" s="16" t="n"/>
      <c r="AW607" s="138" t="n"/>
      <c r="AX607" s="16" t="n"/>
      <c r="AY607" s="138" t="n"/>
      <c r="AZ607" s="16">
        <f>AF607+AH607+AJ607+AL607+AN607+AP607+AR607+AT607+AV607+AX607</f>
        <v/>
      </c>
      <c r="BA607" s="16" t="n"/>
      <c r="BB607" s="139" t="n"/>
      <c r="BC607" s="16" t="n"/>
      <c r="BD607" s="139" t="n"/>
      <c r="BE607" s="16">
        <f>(BA607+BC607)</f>
        <v/>
      </c>
    </row>
    <row r="608">
      <c r="A608" s="9" t="n"/>
      <c r="B608" s="136" t="inlineStr">
        <is>
          <t>CABLE</t>
        </is>
      </c>
      <c r="C608" s="137" t="inlineStr">
        <is>
          <t>ADX6000S</t>
        </is>
      </c>
      <c r="D608" s="84" t="inlineStr">
        <is>
          <t>하네스 9번</t>
        </is>
      </c>
      <c r="E608" s="13" t="inlineStr">
        <is>
          <t>12505HS-03 Carrier Mini BD 케이블 / 100mm</t>
        </is>
      </c>
      <c r="F608" s="100" t="n"/>
      <c r="G608" s="9" t="n"/>
      <c r="H608" s="9" t="inlineStr">
        <is>
          <t>HLP</t>
        </is>
      </c>
      <c r="I608" s="14" t="n"/>
      <c r="J608" s="14" t="n"/>
      <c r="K608" s="12" t="n">
        <v>0</v>
      </c>
      <c r="L608" s="9" t="n"/>
      <c r="M608" s="9" t="n"/>
      <c r="N608" s="9" t="n"/>
      <c r="O608" s="40">
        <f>K608+V608-AE608-AZ608</f>
        <v/>
      </c>
      <c r="P608" s="12" t="n"/>
      <c r="Q608" s="138" t="n"/>
      <c r="R608" s="16" t="n"/>
      <c r="S608" s="139" t="n"/>
      <c r="T608" s="16" t="n"/>
      <c r="U608" s="139" t="n"/>
      <c r="V608" s="16">
        <f>P608+R608+T608</f>
        <v/>
      </c>
      <c r="W608" s="16" t="n"/>
      <c r="X608" s="139" t="n"/>
      <c r="Y608" s="16" t="n"/>
      <c r="Z608" s="139" t="n"/>
      <c r="AA608" s="16" t="n"/>
      <c r="AB608" s="139" t="n"/>
      <c r="AC608" s="16" t="n"/>
      <c r="AD608" s="139" t="n"/>
      <c r="AE608" s="16">
        <f>(W608+Y608+AA608+AC608)</f>
        <v/>
      </c>
      <c r="AF608" s="16" t="n"/>
      <c r="AG608" s="138" t="n"/>
      <c r="AH608" s="16" t="n"/>
      <c r="AI608" s="138" t="n"/>
      <c r="AJ608" s="16" t="n"/>
      <c r="AK608" s="138" t="n"/>
      <c r="AL608" s="16" t="n"/>
      <c r="AM608" s="138" t="n"/>
      <c r="AN608" s="16" t="n"/>
      <c r="AO608" s="138" t="n"/>
      <c r="AP608" s="16" t="n"/>
      <c r="AQ608" s="138" t="n"/>
      <c r="AR608" s="16" t="n"/>
      <c r="AS608" s="138" t="n"/>
      <c r="AT608" s="16" t="n"/>
      <c r="AU608" s="138" t="n"/>
      <c r="AV608" s="16" t="n"/>
      <c r="AW608" s="138" t="n"/>
      <c r="AX608" s="16" t="n"/>
      <c r="AY608" s="138" t="n"/>
      <c r="AZ608" s="16">
        <f>AF608+AH608+AJ608+AL608+AN608+AP608+AR608+AT608+AV608+AX608</f>
        <v/>
      </c>
      <c r="BA608" s="16" t="n"/>
      <c r="BB608" s="139" t="n"/>
      <c r="BC608" s="16" t="n"/>
      <c r="BD608" s="139" t="n"/>
      <c r="BE608" s="16">
        <f>(BA608+BC608)</f>
        <v/>
      </c>
    </row>
    <row r="609">
      <c r="A609" s="9" t="n"/>
      <c r="B609" s="136" t="inlineStr">
        <is>
          <t>CABLE</t>
        </is>
      </c>
      <c r="C609" s="137" t="inlineStr">
        <is>
          <t>ADX6000</t>
        </is>
      </c>
      <c r="D609" s="84" t="inlineStr">
        <is>
          <t>하네스 12번</t>
        </is>
      </c>
      <c r="E609" s="13" t="inlineStr">
        <is>
          <t>YH396-04V - 1EA 외부단자 케이블 / 200mm</t>
        </is>
      </c>
      <c r="F609" s="100" t="n"/>
      <c r="G609" s="9" t="n"/>
      <c r="H609" s="9" t="inlineStr">
        <is>
          <t>HLP</t>
        </is>
      </c>
      <c r="I609" s="14" t="n"/>
      <c r="J609" s="14" t="n"/>
      <c r="K609" s="12" t="n">
        <v>0</v>
      </c>
      <c r="L609" s="9" t="n"/>
      <c r="M609" s="9" t="n"/>
      <c r="N609" s="9" t="n"/>
      <c r="O609" s="40">
        <f>K609+V609-AE609-AZ609</f>
        <v/>
      </c>
      <c r="P609" s="12" t="n"/>
      <c r="Q609" s="138" t="n"/>
      <c r="R609" s="16" t="n"/>
      <c r="S609" s="139" t="n"/>
      <c r="T609" s="16" t="n"/>
      <c r="U609" s="139" t="n"/>
      <c r="V609" s="16">
        <f>P609+R609+T609</f>
        <v/>
      </c>
      <c r="W609" s="16" t="n"/>
      <c r="X609" s="139" t="n"/>
      <c r="Y609" s="16" t="n"/>
      <c r="Z609" s="139" t="n"/>
      <c r="AA609" s="16" t="n"/>
      <c r="AB609" s="139" t="n"/>
      <c r="AC609" s="16" t="n"/>
      <c r="AD609" s="139" t="n"/>
      <c r="AE609" s="16">
        <f>(W609+Y609+AA609+AC609)</f>
        <v/>
      </c>
      <c r="AF609" s="16" t="n"/>
      <c r="AG609" s="138" t="n"/>
      <c r="AH609" s="16" t="n"/>
      <c r="AI609" s="138" t="n"/>
      <c r="AJ609" s="16" t="n"/>
      <c r="AK609" s="138" t="n"/>
      <c r="AL609" s="16" t="n"/>
      <c r="AM609" s="138" t="n"/>
      <c r="AN609" s="16" t="n"/>
      <c r="AO609" s="138" t="n"/>
      <c r="AP609" s="16" t="n"/>
      <c r="AQ609" s="138" t="n"/>
      <c r="AR609" s="16" t="n"/>
      <c r="AS609" s="138" t="n"/>
      <c r="AT609" s="16" t="n"/>
      <c r="AU609" s="138" t="n"/>
      <c r="AV609" s="16" t="n"/>
      <c r="AW609" s="138" t="n"/>
      <c r="AX609" s="16" t="n"/>
      <c r="AY609" s="138" t="n"/>
      <c r="AZ609" s="16">
        <f>AF609+AH609+AJ609+AL609+AN609+AP609+AR609+AT609+AV609+AX609</f>
        <v/>
      </c>
      <c r="BA609" s="16" t="n"/>
      <c r="BB609" s="139" t="n"/>
      <c r="BC609" s="16" t="n"/>
      <c r="BD609" s="139" t="n"/>
      <c r="BE609" s="16">
        <f>(BA609+BC609)</f>
        <v/>
      </c>
    </row>
    <row r="610">
      <c r="A610" s="9" t="n"/>
      <c r="B610" s="136" t="inlineStr">
        <is>
          <t>CABLE</t>
        </is>
      </c>
      <c r="C610" s="137" t="inlineStr">
        <is>
          <t>ADX6000</t>
        </is>
      </c>
      <c r="D610" s="84" t="inlineStr">
        <is>
          <t>하네스 13번</t>
        </is>
      </c>
      <c r="E610" s="13" t="inlineStr">
        <is>
          <t>DC Connector Cable 외부배터리 케이블 / 360mm</t>
        </is>
      </c>
      <c r="F610" s="100" t="n"/>
      <c r="G610" s="9" t="n"/>
      <c r="H610" s="9" t="inlineStr">
        <is>
          <t>HLP</t>
        </is>
      </c>
      <c r="I610" s="14" t="n"/>
      <c r="J610" s="14" t="n"/>
      <c r="K610" s="12" t="n">
        <v>0</v>
      </c>
      <c r="L610" s="9" t="n"/>
      <c r="M610" s="9" t="n"/>
      <c r="N610" s="9" t="n"/>
      <c r="O610" s="40">
        <f>K610+V610-AE610-AZ610</f>
        <v/>
      </c>
      <c r="P610" s="12" t="n"/>
      <c r="Q610" s="138" t="n"/>
      <c r="R610" s="16" t="n"/>
      <c r="S610" s="139" t="n"/>
      <c r="T610" s="16" t="n"/>
      <c r="U610" s="139" t="n"/>
      <c r="V610" s="16">
        <f>P610+R610+T610</f>
        <v/>
      </c>
      <c r="W610" s="16" t="n"/>
      <c r="X610" s="139" t="n"/>
      <c r="Y610" s="16" t="n"/>
      <c r="Z610" s="139" t="n"/>
      <c r="AA610" s="16" t="n"/>
      <c r="AB610" s="139" t="n"/>
      <c r="AC610" s="16" t="n"/>
      <c r="AD610" s="139" t="n"/>
      <c r="AE610" s="16">
        <f>(W610+Y610+AA610+AC610)</f>
        <v/>
      </c>
      <c r="AF610" s="16" t="n"/>
      <c r="AG610" s="138" t="n"/>
      <c r="AH610" s="16" t="n"/>
      <c r="AI610" s="138" t="n"/>
      <c r="AJ610" s="16" t="n"/>
      <c r="AK610" s="138" t="n"/>
      <c r="AL610" s="16" t="n"/>
      <c r="AM610" s="138" t="n"/>
      <c r="AN610" s="16" t="n"/>
      <c r="AO610" s="138" t="n"/>
      <c r="AP610" s="16" t="n"/>
      <c r="AQ610" s="138" t="n"/>
      <c r="AR610" s="16" t="n"/>
      <c r="AS610" s="138" t="n"/>
      <c r="AT610" s="16" t="n"/>
      <c r="AU610" s="138" t="n"/>
      <c r="AV610" s="16" t="n"/>
      <c r="AW610" s="138" t="n"/>
      <c r="AX610" s="16" t="n"/>
      <c r="AY610" s="138" t="n"/>
      <c r="AZ610" s="16">
        <f>AF610+AH610+AJ610+AL610+AN610+AP610+AR610+AT610+AV610+AX610</f>
        <v/>
      </c>
      <c r="BA610" s="16" t="n"/>
      <c r="BB610" s="139" t="n"/>
      <c r="BC610" s="16" t="n"/>
      <c r="BD610" s="139" t="n"/>
      <c r="BE610" s="16">
        <f>(BA610+BC610)</f>
        <v/>
      </c>
    </row>
    <row r="611" ht="60" customHeight="1" s="122">
      <c r="A611" s="9" t="n"/>
      <c r="B611" s="136" t="inlineStr">
        <is>
          <t>CABLE</t>
        </is>
      </c>
      <c r="C611" s="137" t="inlineStr">
        <is>
          <t>ADX6000</t>
        </is>
      </c>
      <c r="D611" s="87" t="inlineStr">
        <is>
          <t>USB Connector Wire Harness (4핀)</t>
        </is>
      </c>
      <c r="E611" s="13" t="inlineStr">
        <is>
          <t>100mm</t>
        </is>
      </c>
      <c r="F611" s="100" t="n"/>
      <c r="G611" s="9" t="n"/>
      <c r="H611" s="9" t="inlineStr">
        <is>
          <t>HLP</t>
        </is>
      </c>
      <c r="I611" s="14" t="n"/>
      <c r="J611" s="14" t="n"/>
      <c r="K611" s="12" t="n">
        <v>0</v>
      </c>
      <c r="L611" s="9" t="n"/>
      <c r="M611" s="9" t="n"/>
      <c r="N611" s="9" t="n"/>
      <c r="O611" s="40">
        <f>K611+V611-AE611-AZ611</f>
        <v/>
      </c>
      <c r="P611" s="12" t="n"/>
      <c r="Q611" s="138" t="n"/>
      <c r="R611" s="16" t="n"/>
      <c r="S611" s="139" t="n"/>
      <c r="T611" s="16" t="n"/>
      <c r="U611" s="139" t="n"/>
      <c r="V611" s="16">
        <f>P611+R611+T611</f>
        <v/>
      </c>
      <c r="W611" s="16" t="n"/>
      <c r="X611" s="139" t="n"/>
      <c r="Y611" s="16" t="n"/>
      <c r="Z611" s="139" t="n"/>
      <c r="AA611" s="16" t="n"/>
      <c r="AB611" s="139" t="n"/>
      <c r="AC611" s="16" t="n"/>
      <c r="AD611" s="139" t="n"/>
      <c r="AE611" s="16">
        <f>(W611+Y611+AA611+AC611)</f>
        <v/>
      </c>
      <c r="AF611" s="16" t="n"/>
      <c r="AG611" s="138" t="n"/>
      <c r="AH611" s="16" t="n"/>
      <c r="AI611" s="138" t="n"/>
      <c r="AJ611" s="16" t="n"/>
      <c r="AK611" s="138" t="n"/>
      <c r="AL611" s="16" t="n"/>
      <c r="AM611" s="138" t="n"/>
      <c r="AN611" s="16" t="n"/>
      <c r="AO611" s="138" t="n"/>
      <c r="AP611" s="16" t="n"/>
      <c r="AQ611" s="138" t="n"/>
      <c r="AR611" s="16" t="n"/>
      <c r="AS611" s="138" t="n"/>
      <c r="AT611" s="16" t="n"/>
      <c r="AU611" s="138" t="n"/>
      <c r="AV611" s="16" t="n"/>
      <c r="AW611" s="138" t="n"/>
      <c r="AX611" s="16" t="n"/>
      <c r="AY611" s="138" t="n"/>
      <c r="AZ611" s="16">
        <f>AF611+AH611+AJ611+AL611+AN611+AP611+AR611+AT611+AV611+AX611</f>
        <v/>
      </c>
      <c r="BA611" s="16" t="n"/>
      <c r="BB611" s="139" t="n"/>
      <c r="BC611" s="16" t="n"/>
      <c r="BD611" s="139" t="n"/>
      <c r="BE611" s="16">
        <f>(BA611+BC611)</f>
        <v/>
      </c>
    </row>
    <row r="612">
      <c r="A612" s="9" t="n"/>
      <c r="B612" s="136" t="inlineStr">
        <is>
          <t>CABLE</t>
        </is>
      </c>
      <c r="C612" s="137" t="inlineStr">
        <is>
          <t>ADX6000</t>
        </is>
      </c>
      <c r="D612" s="60" t="inlineStr">
        <is>
          <t>Front USB Wire Harness (4핀)</t>
        </is>
      </c>
      <c r="E612" s="13" t="inlineStr">
        <is>
          <t>80mm</t>
        </is>
      </c>
      <c r="F612" s="100" t="n"/>
      <c r="G612" s="9" t="n"/>
      <c r="H612" s="9" t="inlineStr">
        <is>
          <t>HLP</t>
        </is>
      </c>
      <c r="I612" s="14" t="n"/>
      <c r="J612" s="14" t="n"/>
      <c r="K612" s="12" t="n">
        <v>0</v>
      </c>
      <c r="L612" s="9" t="n"/>
      <c r="M612" s="9" t="n"/>
      <c r="N612" s="9" t="n"/>
      <c r="O612" s="40">
        <f>K612+V612-AE612-AZ612</f>
        <v/>
      </c>
      <c r="P612" s="12" t="n"/>
      <c r="Q612" s="138" t="n"/>
      <c r="R612" s="16" t="n"/>
      <c r="S612" s="139" t="n"/>
      <c r="T612" s="16" t="n"/>
      <c r="U612" s="139" t="n"/>
      <c r="V612" s="16">
        <f>P612+R612+T612</f>
        <v/>
      </c>
      <c r="W612" s="16" t="n"/>
      <c r="X612" s="139" t="n"/>
      <c r="Y612" s="16" t="n"/>
      <c r="Z612" s="139" t="n"/>
      <c r="AA612" s="16" t="n"/>
      <c r="AB612" s="139" t="n"/>
      <c r="AC612" s="16" t="n"/>
      <c r="AD612" s="139" t="n"/>
      <c r="AE612" s="16">
        <f>(W612+Y612+AA612+AC612)</f>
        <v/>
      </c>
      <c r="AF612" s="16" t="n"/>
      <c r="AG612" s="138" t="n"/>
      <c r="AH612" s="16" t="n"/>
      <c r="AI612" s="138" t="n"/>
      <c r="AJ612" s="16" t="n"/>
      <c r="AK612" s="138" t="n"/>
      <c r="AL612" s="16" t="n"/>
      <c r="AM612" s="138" t="n"/>
      <c r="AN612" s="16" t="n"/>
      <c r="AO612" s="138" t="n"/>
      <c r="AP612" s="16" t="n"/>
      <c r="AQ612" s="138" t="n"/>
      <c r="AR612" s="16" t="n"/>
      <c r="AS612" s="138" t="n"/>
      <c r="AT612" s="16" t="n"/>
      <c r="AU612" s="138" t="n"/>
      <c r="AV612" s="16" t="n"/>
      <c r="AW612" s="138" t="n"/>
      <c r="AX612" s="16" t="n"/>
      <c r="AY612" s="138" t="n"/>
      <c r="AZ612" s="16">
        <f>AF612+AH612+AJ612+AL612+AN612+AP612+AR612+AT612+AV612+AX612</f>
        <v/>
      </c>
      <c r="BA612" s="16" t="n"/>
      <c r="BB612" s="139" t="n"/>
      <c r="BC612" s="16" t="n"/>
      <c r="BD612" s="139" t="n"/>
      <c r="BE612" s="16">
        <f>(BA612+BC612)</f>
        <v/>
      </c>
    </row>
    <row r="613">
      <c r="A613" s="9" t="n"/>
      <c r="B613" s="136" t="inlineStr">
        <is>
          <t>CABLE</t>
        </is>
      </c>
      <c r="C613" s="137" t="inlineStr">
        <is>
          <t>ADX6000</t>
        </is>
      </c>
      <c r="D613" s="60" t="inlineStr">
        <is>
          <t>RS422 통신 Wire Harness (6핀)</t>
        </is>
      </c>
      <c r="E613" s="13" t="inlineStr">
        <is>
          <t>120mm</t>
        </is>
      </c>
      <c r="F613" s="100" t="n"/>
      <c r="G613" s="9" t="n"/>
      <c r="H613" s="9" t="inlineStr">
        <is>
          <t>HLP</t>
        </is>
      </c>
      <c r="I613" s="14" t="n"/>
      <c r="J613" s="14" t="n"/>
      <c r="K613" s="12" t="n">
        <v>0</v>
      </c>
      <c r="L613" s="9" t="n"/>
      <c r="M613" s="9" t="n"/>
      <c r="N613" s="9" t="n"/>
      <c r="O613" s="40">
        <f>K613+V613-AE613-AZ613</f>
        <v/>
      </c>
      <c r="P613" s="12" t="n"/>
      <c r="Q613" s="138" t="n"/>
      <c r="R613" s="16" t="n"/>
      <c r="S613" s="139" t="n"/>
      <c r="T613" s="16" t="n"/>
      <c r="U613" s="139" t="n"/>
      <c r="V613" s="16">
        <f>P613+R613+T613</f>
        <v/>
      </c>
      <c r="W613" s="16" t="n"/>
      <c r="X613" s="139" t="n"/>
      <c r="Y613" s="16" t="n"/>
      <c r="Z613" s="139" t="n"/>
      <c r="AA613" s="16" t="n"/>
      <c r="AB613" s="139" t="n"/>
      <c r="AC613" s="16" t="n"/>
      <c r="AD613" s="139" t="n"/>
      <c r="AE613" s="16">
        <f>(W613+Y613+AA613+AC613)</f>
        <v/>
      </c>
      <c r="AF613" s="16" t="n"/>
      <c r="AG613" s="138" t="n"/>
      <c r="AH613" s="16" t="n"/>
      <c r="AI613" s="138" t="n"/>
      <c r="AJ613" s="16" t="n"/>
      <c r="AK613" s="138" t="n"/>
      <c r="AL613" s="16" t="n"/>
      <c r="AM613" s="138" t="n"/>
      <c r="AN613" s="16" t="n"/>
      <c r="AO613" s="138" t="n"/>
      <c r="AP613" s="16" t="n"/>
      <c r="AQ613" s="138" t="n"/>
      <c r="AR613" s="16" t="n"/>
      <c r="AS613" s="138" t="n"/>
      <c r="AT613" s="16" t="n"/>
      <c r="AU613" s="138" t="n"/>
      <c r="AV613" s="16" t="n"/>
      <c r="AW613" s="138" t="n"/>
      <c r="AX613" s="16" t="n"/>
      <c r="AY613" s="138" t="n"/>
      <c r="AZ613" s="16">
        <f>AF613+AH613+AJ613+AL613+AN613+AP613+AR613+AT613+AV613+AX613</f>
        <v/>
      </c>
      <c r="BA613" s="16" t="n"/>
      <c r="BB613" s="139" t="n"/>
      <c r="BC613" s="16" t="n"/>
      <c r="BD613" s="139" t="n"/>
      <c r="BE613" s="16">
        <f>(BA613+BC613)</f>
        <v/>
      </c>
    </row>
    <row r="614">
      <c r="A614" s="9" t="n"/>
      <c r="B614" s="136" t="inlineStr">
        <is>
          <t>CABLE</t>
        </is>
      </c>
      <c r="C614" s="137" t="inlineStr">
        <is>
          <t>ADX6000</t>
        </is>
      </c>
      <c r="D614" s="60" t="inlineStr">
        <is>
          <t>PC Connector Wire Harness (7핀)</t>
        </is>
      </c>
      <c r="E614" s="13" t="inlineStr">
        <is>
          <t>100mm, 140mm, 200mm</t>
        </is>
      </c>
      <c r="F614" s="100" t="n"/>
      <c r="G614" s="9" t="n"/>
      <c r="H614" s="9" t="inlineStr">
        <is>
          <t>HLP</t>
        </is>
      </c>
      <c r="I614" s="14" t="n"/>
      <c r="J614" s="14" t="n"/>
      <c r="K614" s="12" t="n">
        <v>0</v>
      </c>
      <c r="L614" s="9" t="n"/>
      <c r="M614" s="9" t="n"/>
      <c r="N614" s="9" t="n"/>
      <c r="O614" s="40">
        <f>K614+V614-AE614-AZ614</f>
        <v/>
      </c>
      <c r="P614" s="12" t="n"/>
      <c r="Q614" s="138" t="n"/>
      <c r="R614" s="16" t="n"/>
      <c r="S614" s="139" t="n"/>
      <c r="T614" s="16" t="n"/>
      <c r="U614" s="139" t="n"/>
      <c r="V614" s="16">
        <f>P614+R614+T614</f>
        <v/>
      </c>
      <c r="W614" s="16" t="n"/>
      <c r="X614" s="139" t="n"/>
      <c r="Y614" s="16" t="n"/>
      <c r="Z614" s="139" t="n"/>
      <c r="AA614" s="16" t="n"/>
      <c r="AB614" s="139" t="n"/>
      <c r="AC614" s="16" t="n"/>
      <c r="AD614" s="139" t="n"/>
      <c r="AE614" s="16">
        <f>(W614+Y614+AA614+AC614)</f>
        <v/>
      </c>
      <c r="AF614" s="16" t="n"/>
      <c r="AG614" s="138" t="n"/>
      <c r="AH614" s="16" t="n"/>
      <c r="AI614" s="138" t="n"/>
      <c r="AJ614" s="16" t="n"/>
      <c r="AK614" s="138" t="n"/>
      <c r="AL614" s="16" t="n"/>
      <c r="AM614" s="138" t="n"/>
      <c r="AN614" s="16" t="n"/>
      <c r="AO614" s="138" t="n"/>
      <c r="AP614" s="16" t="n"/>
      <c r="AQ614" s="138" t="n"/>
      <c r="AR614" s="16" t="n"/>
      <c r="AS614" s="138" t="n"/>
      <c r="AT614" s="16" t="n"/>
      <c r="AU614" s="138" t="n"/>
      <c r="AV614" s="16" t="n"/>
      <c r="AW614" s="138" t="n"/>
      <c r="AX614" s="16" t="n"/>
      <c r="AY614" s="138" t="n"/>
      <c r="AZ614" s="16">
        <f>AF614+AH614+AJ614+AL614+AN614+AP614+AR614+AT614+AV614+AX614</f>
        <v/>
      </c>
      <c r="BA614" s="16" t="n"/>
      <c r="BB614" s="139" t="n"/>
      <c r="BC614" s="16" t="n"/>
      <c r="BD614" s="139" t="n"/>
      <c r="BE614" s="16">
        <f>(BA614+BC614)</f>
        <v/>
      </c>
    </row>
    <row r="615">
      <c r="A615" s="9" t="n"/>
      <c r="B615" s="136" t="inlineStr">
        <is>
          <t>PANEL</t>
        </is>
      </c>
      <c r="C615" s="137" t="inlineStr">
        <is>
          <t>ADX6000S</t>
        </is>
      </c>
      <c r="D615" s="84" t="inlineStr">
        <is>
          <t>4.3" LCD</t>
        </is>
      </c>
      <c r="E615" s="13" t="inlineStr">
        <is>
          <t>IEC266lite-43, OS 영문</t>
        </is>
      </c>
      <c r="F615" s="100" t="n"/>
      <c r="G615" s="9" t="n"/>
      <c r="H615" s="9" t="inlineStr">
        <is>
          <t>에이치앤에스</t>
        </is>
      </c>
      <c r="I615" s="14" t="n"/>
      <c r="J615" s="14" t="n"/>
      <c r="K615" s="12" t="n">
        <v>0</v>
      </c>
      <c r="L615" s="9" t="n"/>
      <c r="M615" s="9" t="n"/>
      <c r="N615" s="9" t="n"/>
      <c r="O615" s="40">
        <f>K615+V615-AE615-AZ615</f>
        <v/>
      </c>
      <c r="P615" s="12" t="n"/>
      <c r="Q615" s="138" t="n"/>
      <c r="R615" s="16" t="n"/>
      <c r="S615" s="139" t="n"/>
      <c r="T615" s="16" t="n"/>
      <c r="U615" s="139" t="n"/>
      <c r="V615" s="16">
        <f>P615+R615+T615</f>
        <v/>
      </c>
      <c r="W615" s="16" t="n"/>
      <c r="X615" s="139" t="n"/>
      <c r="Y615" s="16" t="n"/>
      <c r="Z615" s="139" t="n"/>
      <c r="AA615" s="16" t="n"/>
      <c r="AB615" s="139" t="n"/>
      <c r="AC615" s="16" t="n"/>
      <c r="AD615" s="139" t="n"/>
      <c r="AE615" s="16">
        <f>(W615+Y615+AA615+AC615)</f>
        <v/>
      </c>
      <c r="AF615" s="16" t="n"/>
      <c r="AG615" s="138" t="n"/>
      <c r="AH615" s="16" t="n"/>
      <c r="AI615" s="138" t="n"/>
      <c r="AJ615" s="16" t="n"/>
      <c r="AK615" s="138" t="n"/>
      <c r="AL615" s="16" t="n"/>
      <c r="AM615" s="138" t="n"/>
      <c r="AN615" s="16" t="n"/>
      <c r="AO615" s="138" t="n"/>
      <c r="AP615" s="16" t="n"/>
      <c r="AQ615" s="138" t="n"/>
      <c r="AR615" s="16" t="n"/>
      <c r="AS615" s="138" t="n"/>
      <c r="AT615" s="16" t="n"/>
      <c r="AU615" s="138" t="n"/>
      <c r="AV615" s="16" t="n"/>
      <c r="AW615" s="138" t="n"/>
      <c r="AX615" s="16" t="n"/>
      <c r="AY615" s="138" t="n"/>
      <c r="AZ615" s="16">
        <f>AF615+AH615+AJ615+AL615+AN615+AP615+AR615+AT615+AV615+AX615</f>
        <v/>
      </c>
      <c r="BA615" s="16" t="n"/>
      <c r="BB615" s="139" t="n"/>
      <c r="BC615" s="16" t="n"/>
      <c r="BD615" s="139" t="n"/>
      <c r="BE615" s="16">
        <f>(BA615+BC615)</f>
        <v/>
      </c>
    </row>
    <row r="616">
      <c r="A616" s="9" t="n"/>
      <c r="B616" s="136" t="inlineStr">
        <is>
          <t>MODULE</t>
        </is>
      </c>
      <c r="C616" s="137" t="inlineStr">
        <is>
          <t>ADX6000S</t>
        </is>
      </c>
      <c r="D616" s="84" t="inlineStr">
        <is>
          <t>4.3" Module</t>
        </is>
      </c>
      <c r="E616" s="13" t="inlineStr">
        <is>
          <t>IEC266lite-43, OS 영문</t>
        </is>
      </c>
      <c r="F616" s="100" t="n"/>
      <c r="G616" s="9" t="n"/>
      <c r="H616" s="9" t="inlineStr">
        <is>
          <t>에이치앤에스</t>
        </is>
      </c>
      <c r="I616" s="14" t="n"/>
      <c r="J616" s="14" t="n"/>
      <c r="K616" s="12" t="n">
        <v>0</v>
      </c>
      <c r="L616" s="9" t="n"/>
      <c r="M616" s="9" t="n"/>
      <c r="N616" s="9" t="n"/>
      <c r="O616" s="40">
        <f>K616+V616-AE616-AZ616</f>
        <v/>
      </c>
      <c r="P616" s="12" t="n"/>
      <c r="Q616" s="138" t="n"/>
      <c r="R616" s="16" t="n"/>
      <c r="S616" s="139" t="n"/>
      <c r="T616" s="16" t="n"/>
      <c r="U616" s="139" t="n"/>
      <c r="V616" s="16">
        <f>P616+R616+T616</f>
        <v/>
      </c>
      <c r="W616" s="16" t="n"/>
      <c r="X616" s="139" t="n"/>
      <c r="Y616" s="16" t="n"/>
      <c r="Z616" s="139" t="n"/>
      <c r="AA616" s="16" t="n"/>
      <c r="AB616" s="139" t="n"/>
      <c r="AC616" s="16" t="n"/>
      <c r="AD616" s="139" t="n"/>
      <c r="AE616" s="16">
        <f>(W616+Y616+AA616+AC616)</f>
        <v/>
      </c>
      <c r="AF616" s="16" t="n"/>
      <c r="AG616" s="138" t="n"/>
      <c r="AH616" s="16" t="n"/>
      <c r="AI616" s="138" t="n"/>
      <c r="AJ616" s="16" t="n"/>
      <c r="AK616" s="138" t="n"/>
      <c r="AL616" s="16" t="n"/>
      <c r="AM616" s="138" t="n"/>
      <c r="AN616" s="16" t="n"/>
      <c r="AO616" s="138" t="n"/>
      <c r="AP616" s="16" t="n"/>
      <c r="AQ616" s="138" t="n"/>
      <c r="AR616" s="16" t="n"/>
      <c r="AS616" s="138" t="n"/>
      <c r="AT616" s="16" t="n"/>
      <c r="AU616" s="138" t="n"/>
      <c r="AV616" s="16" t="n"/>
      <c r="AW616" s="138" t="n"/>
      <c r="AX616" s="16" t="n"/>
      <c r="AY616" s="138" t="n"/>
      <c r="AZ616" s="16">
        <f>AF616+AH616+AJ616+AL616+AN616+AP616+AR616+AT616+AV616+AX616</f>
        <v/>
      </c>
      <c r="BA616" s="16" t="n"/>
      <c r="BB616" s="139" t="n"/>
      <c r="BC616" s="16" t="n"/>
      <c r="BD616" s="139" t="n"/>
      <c r="BE616" s="16">
        <f>(BA616+BC616)</f>
        <v/>
      </c>
    </row>
    <row r="617">
      <c r="A617" s="9" t="n"/>
      <c r="B617" s="136" t="inlineStr">
        <is>
          <t>ABS 난연</t>
        </is>
      </c>
      <c r="C617" s="137" t="inlineStr">
        <is>
          <t>ADX6000</t>
        </is>
      </c>
      <c r="D617" s="84" t="inlineStr">
        <is>
          <t>컬리메이터 REAR 사출</t>
        </is>
      </c>
      <c r="E617" s="13" t="inlineStr">
        <is>
          <t>ABS 난연 화이트 + 스프레이</t>
        </is>
      </c>
      <c r="F617" s="100" t="n"/>
      <c r="G617" s="9" t="n"/>
      <c r="H617" s="9" t="inlineStr">
        <is>
          <t>천우</t>
        </is>
      </c>
      <c r="I617" s="14" t="n"/>
      <c r="J617" s="14" t="n"/>
      <c r="K617" s="12" t="n">
        <v>0</v>
      </c>
      <c r="L617" s="9" t="n"/>
      <c r="M617" s="9" t="n"/>
      <c r="N617" s="9" t="n"/>
      <c r="O617" s="40">
        <f>K617+V617-AE617-AZ617</f>
        <v/>
      </c>
      <c r="P617" s="12" t="n"/>
      <c r="Q617" s="138" t="n"/>
      <c r="R617" s="16" t="n"/>
      <c r="S617" s="139" t="n"/>
      <c r="T617" s="16" t="n"/>
      <c r="U617" s="139" t="n"/>
      <c r="V617" s="16">
        <f>P617+R617+T617</f>
        <v/>
      </c>
      <c r="W617" s="16" t="n"/>
      <c r="X617" s="139" t="n"/>
      <c r="Y617" s="16" t="n"/>
      <c r="Z617" s="139" t="n"/>
      <c r="AA617" s="16" t="n"/>
      <c r="AB617" s="139" t="n"/>
      <c r="AC617" s="16" t="n"/>
      <c r="AD617" s="139" t="n"/>
      <c r="AE617" s="16">
        <f>(W617+Y617+AA617+AC617)</f>
        <v/>
      </c>
      <c r="AF617" s="16" t="n"/>
      <c r="AG617" s="138" t="n"/>
      <c r="AH617" s="16" t="n"/>
      <c r="AI617" s="138" t="n"/>
      <c r="AJ617" s="16" t="n"/>
      <c r="AK617" s="138" t="n"/>
      <c r="AL617" s="16" t="n"/>
      <c r="AM617" s="138" t="n"/>
      <c r="AN617" s="16" t="n"/>
      <c r="AO617" s="138" t="n"/>
      <c r="AP617" s="16" t="n"/>
      <c r="AQ617" s="138" t="n"/>
      <c r="AR617" s="16" t="n"/>
      <c r="AS617" s="138" t="n"/>
      <c r="AT617" s="16" t="n"/>
      <c r="AU617" s="138" t="n"/>
      <c r="AV617" s="16" t="n"/>
      <c r="AW617" s="138" t="n"/>
      <c r="AX617" s="16" t="n"/>
      <c r="AY617" s="138" t="n"/>
      <c r="AZ617" s="16">
        <f>AF617+AH617+AJ617+AL617+AN617+AP617+AR617+AT617+AV617+AX617</f>
        <v/>
      </c>
      <c r="BA617" s="16" t="n"/>
      <c r="BB617" s="139" t="n"/>
      <c r="BC617" s="16" t="n"/>
      <c r="BD617" s="139" t="n"/>
      <c r="BE617" s="16">
        <f>(BA617+BC617)</f>
        <v/>
      </c>
    </row>
    <row r="618">
      <c r="A618" s="9" t="n"/>
      <c r="B618" s="136" t="inlineStr">
        <is>
          <t>ABS 난연</t>
        </is>
      </c>
      <c r="C618" s="137" t="inlineStr">
        <is>
          <t>ADX6000</t>
        </is>
      </c>
      <c r="D618" s="84" t="inlineStr">
        <is>
          <t>컬리메이터 내부하우징 사출</t>
        </is>
      </c>
      <c r="E618" s="13" t="inlineStr">
        <is>
          <t>ABS 난연 화이트 + 스프레이</t>
        </is>
      </c>
      <c r="F618" s="100" t="n"/>
      <c r="G618" s="9" t="n"/>
      <c r="H618" s="9" t="inlineStr">
        <is>
          <t>천우</t>
        </is>
      </c>
      <c r="I618" s="14" t="n"/>
      <c r="J618" s="14" t="n"/>
      <c r="K618" s="12" t="n">
        <v>0</v>
      </c>
      <c r="L618" s="9" t="n"/>
      <c r="M618" s="9" t="n"/>
      <c r="N618" s="9" t="n"/>
      <c r="O618" s="40">
        <f>K618+V618-AE618-AZ618</f>
        <v/>
      </c>
      <c r="P618" s="12" t="n"/>
      <c r="Q618" s="138" t="n"/>
      <c r="R618" s="16" t="n"/>
      <c r="S618" s="139" t="n"/>
      <c r="T618" s="16" t="n"/>
      <c r="U618" s="139" t="n"/>
      <c r="V618" s="16">
        <f>P618+R618+T618</f>
        <v/>
      </c>
      <c r="W618" s="16" t="n"/>
      <c r="X618" s="139" t="n"/>
      <c r="Y618" s="16" t="n"/>
      <c r="Z618" s="139" t="n"/>
      <c r="AA618" s="16" t="n"/>
      <c r="AB618" s="139" t="n"/>
      <c r="AC618" s="16" t="n"/>
      <c r="AD618" s="139" t="n"/>
      <c r="AE618" s="16">
        <f>(W618+Y618+AA618+AC618)</f>
        <v/>
      </c>
      <c r="AF618" s="16" t="n"/>
      <c r="AG618" s="138" t="n"/>
      <c r="AH618" s="16" t="n"/>
      <c r="AI618" s="138" t="n"/>
      <c r="AJ618" s="16" t="n"/>
      <c r="AK618" s="138" t="n"/>
      <c r="AL618" s="16" t="n"/>
      <c r="AM618" s="138" t="n"/>
      <c r="AN618" s="16" t="n"/>
      <c r="AO618" s="138" t="n"/>
      <c r="AP618" s="16" t="n"/>
      <c r="AQ618" s="138" t="n"/>
      <c r="AR618" s="16" t="n"/>
      <c r="AS618" s="138" t="n"/>
      <c r="AT618" s="16" t="n"/>
      <c r="AU618" s="138" t="n"/>
      <c r="AV618" s="16" t="n"/>
      <c r="AW618" s="138" t="n"/>
      <c r="AX618" s="16" t="n"/>
      <c r="AY618" s="138" t="n"/>
      <c r="AZ618" s="16">
        <f>AF618+AH618+AJ618+AL618+AN618+AP618+AR618+AT618+AV618+AX618</f>
        <v/>
      </c>
      <c r="BA618" s="16" t="n"/>
      <c r="BB618" s="139" t="n"/>
      <c r="BC618" s="16" t="n"/>
      <c r="BD618" s="139" t="n"/>
      <c r="BE618" s="16">
        <f>(BA618+BC618)</f>
        <v/>
      </c>
    </row>
    <row r="619">
      <c r="A619" s="9" t="n"/>
      <c r="B619" s="136" t="inlineStr">
        <is>
          <t>ABS 난연</t>
        </is>
      </c>
      <c r="C619" s="137" t="inlineStr">
        <is>
          <t>ADX6000</t>
        </is>
      </c>
      <c r="D619" s="84" t="inlineStr">
        <is>
          <t>컬리메이터 내부브릿지 사출</t>
        </is>
      </c>
      <c r="E619" s="13" t="inlineStr">
        <is>
          <t>ABS 난연 화이트 + 스프레이</t>
        </is>
      </c>
      <c r="F619" s="100" t="n"/>
      <c r="G619" s="9" t="n"/>
      <c r="H619" s="9" t="inlineStr">
        <is>
          <t>천우</t>
        </is>
      </c>
      <c r="I619" s="14" t="n"/>
      <c r="J619" s="14" t="n"/>
      <c r="K619" s="12" t="n">
        <v>0</v>
      </c>
      <c r="L619" s="9" t="n"/>
      <c r="M619" s="9" t="n"/>
      <c r="N619" s="9" t="n"/>
      <c r="O619" s="40">
        <f>K619+V619-AE619-AZ619</f>
        <v/>
      </c>
      <c r="P619" s="12" t="n"/>
      <c r="Q619" s="138" t="n"/>
      <c r="R619" s="16" t="n"/>
      <c r="S619" s="139" t="n"/>
      <c r="T619" s="16" t="n"/>
      <c r="U619" s="139" t="n"/>
      <c r="V619" s="16">
        <f>P619+R619+T619</f>
        <v/>
      </c>
      <c r="W619" s="16" t="n"/>
      <c r="X619" s="139" t="n"/>
      <c r="Y619" s="16" t="n"/>
      <c r="Z619" s="139" t="n"/>
      <c r="AA619" s="16" t="n"/>
      <c r="AB619" s="139" t="n"/>
      <c r="AC619" s="16" t="n"/>
      <c r="AD619" s="139" t="n"/>
      <c r="AE619" s="16">
        <f>(W619+Y619+AA619+AC619)</f>
        <v/>
      </c>
      <c r="AF619" s="16" t="n"/>
      <c r="AG619" s="138" t="n"/>
      <c r="AH619" s="16" t="n"/>
      <c r="AI619" s="138" t="n"/>
      <c r="AJ619" s="16" t="n"/>
      <c r="AK619" s="138" t="n"/>
      <c r="AL619" s="16" t="n"/>
      <c r="AM619" s="138" t="n"/>
      <c r="AN619" s="16" t="n"/>
      <c r="AO619" s="138" t="n"/>
      <c r="AP619" s="16" t="n"/>
      <c r="AQ619" s="138" t="n"/>
      <c r="AR619" s="16" t="n"/>
      <c r="AS619" s="138" t="n"/>
      <c r="AT619" s="16" t="n"/>
      <c r="AU619" s="138" t="n"/>
      <c r="AV619" s="16" t="n"/>
      <c r="AW619" s="138" t="n"/>
      <c r="AX619" s="16" t="n"/>
      <c r="AY619" s="138" t="n"/>
      <c r="AZ619" s="16">
        <f>AF619+AH619+AJ619+AL619+AN619+AP619+AR619+AT619+AV619+AX619</f>
        <v/>
      </c>
      <c r="BA619" s="16" t="n"/>
      <c r="BB619" s="139" t="n"/>
      <c r="BC619" s="16" t="n"/>
      <c r="BD619" s="139" t="n"/>
      <c r="BE619" s="16">
        <f>(BA619+BC619)</f>
        <v/>
      </c>
    </row>
    <row r="620">
      <c r="A620" s="9" t="n"/>
      <c r="B620" s="136" t="inlineStr">
        <is>
          <t>ABS 난연</t>
        </is>
      </c>
      <c r="C620" s="137" t="inlineStr">
        <is>
          <t>ADX6000</t>
        </is>
      </c>
      <c r="D620" s="84" t="inlineStr">
        <is>
          <t>컬리메이터 MIRROR 거치대 사출</t>
        </is>
      </c>
      <c r="E620" s="13" t="inlineStr">
        <is>
          <t>ABS 난연 화이트 + 스프레이  블랙</t>
        </is>
      </c>
      <c r="F620" s="100" t="n"/>
      <c r="G620" s="9" t="n"/>
      <c r="H620" s="9" t="inlineStr">
        <is>
          <t>천우</t>
        </is>
      </c>
      <c r="I620" s="14" t="n"/>
      <c r="J620" s="14" t="n"/>
      <c r="K620" s="12" t="n">
        <v>0</v>
      </c>
      <c r="L620" s="9" t="n"/>
      <c r="M620" s="9" t="n"/>
      <c r="N620" s="9" t="n"/>
      <c r="O620" s="40">
        <f>K620+V620-AE620-AZ620</f>
        <v/>
      </c>
      <c r="P620" s="12" t="n"/>
      <c r="Q620" s="138" t="n"/>
      <c r="R620" s="16" t="n"/>
      <c r="S620" s="139" t="n"/>
      <c r="T620" s="16" t="n"/>
      <c r="U620" s="139" t="n"/>
      <c r="V620" s="16">
        <f>P620+R620+T620</f>
        <v/>
      </c>
      <c r="W620" s="16" t="n"/>
      <c r="X620" s="139" t="n"/>
      <c r="Y620" s="16" t="n"/>
      <c r="Z620" s="139" t="n"/>
      <c r="AA620" s="16" t="n"/>
      <c r="AB620" s="139" t="n"/>
      <c r="AC620" s="16" t="n"/>
      <c r="AD620" s="139" t="n"/>
      <c r="AE620" s="16">
        <f>(W620+Y620+AA620+AC620)</f>
        <v/>
      </c>
      <c r="AF620" s="16" t="n"/>
      <c r="AG620" s="138" t="n"/>
      <c r="AH620" s="16" t="n"/>
      <c r="AI620" s="138" t="n"/>
      <c r="AJ620" s="16" t="n"/>
      <c r="AK620" s="138" t="n"/>
      <c r="AL620" s="16" t="n"/>
      <c r="AM620" s="138" t="n"/>
      <c r="AN620" s="16" t="n"/>
      <c r="AO620" s="138" t="n"/>
      <c r="AP620" s="16" t="n"/>
      <c r="AQ620" s="138" t="n"/>
      <c r="AR620" s="16" t="n"/>
      <c r="AS620" s="138" t="n"/>
      <c r="AT620" s="16" t="n"/>
      <c r="AU620" s="138" t="n"/>
      <c r="AV620" s="16" t="n"/>
      <c r="AW620" s="138" t="n"/>
      <c r="AX620" s="16" t="n"/>
      <c r="AY620" s="138" t="n"/>
      <c r="AZ620" s="16">
        <f>AF620+AH620+AJ620+AL620+AN620+AP620+AR620+AT620+AV620+AX620</f>
        <v/>
      </c>
      <c r="BA620" s="16" t="n"/>
      <c r="BB620" s="139" t="n"/>
      <c r="BC620" s="16" t="n"/>
      <c r="BD620" s="139" t="n"/>
      <c r="BE620" s="16">
        <f>(BA620+BC620)</f>
        <v/>
      </c>
    </row>
    <row r="621" ht="36" customHeight="1" s="122">
      <c r="A621" s="9" t="n"/>
      <c r="B621" s="136" t="inlineStr">
        <is>
          <t>ABS 난연</t>
        </is>
      </c>
      <c r="C621" s="137" t="inlineStr">
        <is>
          <t>ADX6000</t>
        </is>
      </c>
      <c r="D621" s="86" t="inlineStr">
        <is>
          <t>Micro USB 사출 가이드</t>
        </is>
      </c>
      <c r="E621" s="23" t="inlineStr">
        <is>
          <t>ABS 난연 화이트 + 스프레이</t>
        </is>
      </c>
      <c r="F621" s="100" t="n"/>
      <c r="G621" s="9" t="n"/>
      <c r="H621" s="9" t="inlineStr">
        <is>
          <t>천우</t>
        </is>
      </c>
      <c r="I621" s="14" t="n"/>
      <c r="J621" s="14" t="n"/>
      <c r="K621" s="12" t="n">
        <v>0</v>
      </c>
      <c r="L621" s="9" t="n"/>
      <c r="M621" s="9" t="n"/>
      <c r="N621" s="9" t="n"/>
      <c r="O621" s="40">
        <f>K621+V621-AE621-AZ621</f>
        <v/>
      </c>
      <c r="P621" s="12" t="n"/>
      <c r="Q621" s="138" t="n"/>
      <c r="R621" s="16" t="n"/>
      <c r="S621" s="139" t="n"/>
      <c r="T621" s="16" t="n"/>
      <c r="U621" s="139" t="n"/>
      <c r="V621" s="16">
        <f>P621+R621+T621</f>
        <v/>
      </c>
      <c r="W621" s="16" t="n"/>
      <c r="X621" s="139" t="n"/>
      <c r="Y621" s="16" t="n"/>
      <c r="Z621" s="139" t="n"/>
      <c r="AA621" s="16" t="n"/>
      <c r="AB621" s="139" t="n"/>
      <c r="AC621" s="16" t="n"/>
      <c r="AD621" s="139" t="n"/>
      <c r="AE621" s="16">
        <f>(W621+Y621+AA621+AC621)</f>
        <v/>
      </c>
      <c r="AF621" s="16" t="n"/>
      <c r="AG621" s="138" t="n"/>
      <c r="AH621" s="16" t="n"/>
      <c r="AI621" s="138" t="n"/>
      <c r="AJ621" s="16" t="n"/>
      <c r="AK621" s="138" t="n"/>
      <c r="AL621" s="16" t="n"/>
      <c r="AM621" s="138" t="n"/>
      <c r="AN621" s="16" t="n"/>
      <c r="AO621" s="138" t="n"/>
      <c r="AP621" s="16" t="n"/>
      <c r="AQ621" s="138" t="n"/>
      <c r="AR621" s="16" t="n"/>
      <c r="AS621" s="138" t="n"/>
      <c r="AT621" s="16" t="n"/>
      <c r="AU621" s="138" t="n"/>
      <c r="AV621" s="16" t="n"/>
      <c r="AW621" s="138" t="n"/>
      <c r="AX621" s="16" t="n"/>
      <c r="AY621" s="138" t="n"/>
      <c r="AZ621" s="16">
        <f>AF621+AH621+AJ621+AL621+AN621+AP621+AR621+AT621+AV621+AX621</f>
        <v/>
      </c>
      <c r="BA621" s="16" t="n"/>
      <c r="BB621" s="139" t="n"/>
      <c r="BC621" s="16" t="n"/>
      <c r="BD621" s="139" t="n"/>
      <c r="BE621" s="16">
        <f>(BA621+BC621)</f>
        <v/>
      </c>
    </row>
    <row r="622" ht="24" customHeight="1" s="122">
      <c r="A622" s="9" t="n"/>
      <c r="B622" s="136" t="inlineStr">
        <is>
          <t>아크릴</t>
        </is>
      </c>
      <c r="C622" s="137" t="inlineStr">
        <is>
          <t>ADX6000</t>
        </is>
      </c>
      <c r="D622" s="86" t="inlineStr">
        <is>
          <t>아크릴 은경</t>
        </is>
      </c>
      <c r="E622" s="23" t="inlineStr">
        <is>
          <t>아크릴 + 불량42</t>
        </is>
      </c>
      <c r="F622" s="100" t="n"/>
      <c r="G622" s="9" t="n"/>
      <c r="H622" s="9" t="inlineStr">
        <is>
          <t>아크릴최가</t>
        </is>
      </c>
      <c r="I622" s="14" t="n"/>
      <c r="J622" s="14" t="n"/>
      <c r="K622" s="12" t="n">
        <v>0</v>
      </c>
      <c r="L622" s="9" t="n"/>
      <c r="M622" s="9" t="n"/>
      <c r="N622" s="9" t="n"/>
      <c r="O622" s="40">
        <f>K622+V622-AE622-AZ622</f>
        <v/>
      </c>
      <c r="P622" s="12" t="n"/>
      <c r="Q622" s="138" t="n"/>
      <c r="R622" s="16" t="n"/>
      <c r="S622" s="139" t="n"/>
      <c r="T622" s="16" t="n"/>
      <c r="U622" s="139" t="n"/>
      <c r="V622" s="16">
        <f>P622+R622+T622</f>
        <v/>
      </c>
      <c r="W622" s="16" t="n"/>
      <c r="X622" s="139" t="n"/>
      <c r="Y622" s="16" t="n"/>
      <c r="Z622" s="139" t="n"/>
      <c r="AA622" s="16" t="n"/>
      <c r="AB622" s="139" t="n"/>
      <c r="AC622" s="16" t="n"/>
      <c r="AD622" s="139" t="n"/>
      <c r="AE622" s="16">
        <f>(W622+Y622+AA622+AC622)</f>
        <v/>
      </c>
      <c r="AF622" s="16" t="n"/>
      <c r="AG622" s="138" t="n"/>
      <c r="AH622" s="16" t="n"/>
      <c r="AI622" s="138" t="n"/>
      <c r="AJ622" s="16" t="n"/>
      <c r="AK622" s="138" t="n"/>
      <c r="AL622" s="16" t="n"/>
      <c r="AM622" s="138" t="n"/>
      <c r="AN622" s="16" t="n"/>
      <c r="AO622" s="138" t="n"/>
      <c r="AP622" s="16" t="n"/>
      <c r="AQ622" s="138" t="n"/>
      <c r="AR622" s="16" t="n"/>
      <c r="AS622" s="138" t="n"/>
      <c r="AT622" s="16" t="n"/>
      <c r="AU622" s="138" t="n"/>
      <c r="AV622" s="16" t="n"/>
      <c r="AW622" s="138" t="n"/>
      <c r="AX622" s="16" t="n"/>
      <c r="AY622" s="138" t="n"/>
      <c r="AZ622" s="16">
        <f>AF622+AH622+AJ622+AL622+AN622+AP622+AR622+AT622+AV622+AX622</f>
        <v/>
      </c>
      <c r="BA622" s="16" t="n"/>
      <c r="BB622" s="139" t="n"/>
      <c r="BC622" s="16" t="n"/>
      <c r="BD622" s="139" t="n"/>
      <c r="BE622" s="16">
        <f>(BA622+BC622)</f>
        <v/>
      </c>
    </row>
    <row r="623">
      <c r="A623" s="9" t="n"/>
      <c r="B623" s="136" t="inlineStr">
        <is>
          <t>AL + STEEL</t>
        </is>
      </c>
      <c r="C623" s="137" t="inlineStr">
        <is>
          <t>ADX6000</t>
        </is>
      </c>
      <c r="D623" s="84" t="inlineStr">
        <is>
          <t>스킨가드 FRAME</t>
        </is>
      </c>
      <c r="E623" s="13" t="inlineStr">
        <is>
          <t>AL 가공 + 흑색 아노다이징</t>
        </is>
      </c>
      <c r="F623" s="100" t="n"/>
      <c r="G623" s="9" t="n"/>
      <c r="H623" s="9" t="inlineStr">
        <is>
          <t>제이케이시스템</t>
        </is>
      </c>
      <c r="I623" s="14" t="n"/>
      <c r="J623" s="14" t="n"/>
      <c r="K623" s="12" t="n">
        <v>0</v>
      </c>
      <c r="L623" s="9" t="n"/>
      <c r="M623" s="9" t="n"/>
      <c r="N623" s="9" t="n"/>
      <c r="O623" s="40">
        <f>K623+V623-AE623-AZ623</f>
        <v/>
      </c>
      <c r="P623" s="12" t="n"/>
      <c r="Q623" s="138" t="n"/>
      <c r="R623" s="16" t="n"/>
      <c r="S623" s="139" t="n"/>
      <c r="T623" s="16" t="n"/>
      <c r="U623" s="139" t="n"/>
      <c r="V623" s="16">
        <f>P623+R623+T623</f>
        <v/>
      </c>
      <c r="W623" s="16" t="n"/>
      <c r="X623" s="139" t="n"/>
      <c r="Y623" s="16" t="n"/>
      <c r="Z623" s="139" t="n"/>
      <c r="AA623" s="16" t="n"/>
      <c r="AB623" s="139" t="n"/>
      <c r="AC623" s="16" t="n"/>
      <c r="AD623" s="139" t="n"/>
      <c r="AE623" s="16">
        <f>(W623+Y623+AA623+AC623)</f>
        <v/>
      </c>
      <c r="AF623" s="16" t="n"/>
      <c r="AG623" s="138" t="n"/>
      <c r="AH623" s="16" t="n"/>
      <c r="AI623" s="138" t="n"/>
      <c r="AJ623" s="16" t="n"/>
      <c r="AK623" s="138" t="n"/>
      <c r="AL623" s="16" t="n"/>
      <c r="AM623" s="138" t="n"/>
      <c r="AN623" s="16" t="n"/>
      <c r="AO623" s="138" t="n"/>
      <c r="AP623" s="16" t="n"/>
      <c r="AQ623" s="138" t="n"/>
      <c r="AR623" s="16" t="n"/>
      <c r="AS623" s="138" t="n"/>
      <c r="AT623" s="16" t="n"/>
      <c r="AU623" s="138" t="n"/>
      <c r="AV623" s="16" t="n"/>
      <c r="AW623" s="138" t="n"/>
      <c r="AX623" s="16" t="n"/>
      <c r="AY623" s="138" t="n"/>
      <c r="AZ623" s="16">
        <f>AF623+AH623+AJ623+AL623+AN623+AP623+AR623+AT623+AV623+AX623</f>
        <v/>
      </c>
      <c r="BA623" s="16" t="n"/>
      <c r="BB623" s="139" t="n"/>
      <c r="BC623" s="16" t="n"/>
      <c r="BD623" s="139" t="n"/>
      <c r="BE623" s="16">
        <f>(BA623+BC623)</f>
        <v/>
      </c>
    </row>
    <row r="624">
      <c r="A624" s="9" t="n"/>
      <c r="B624" s="136" t="inlineStr">
        <is>
          <t>AL + STEEL</t>
        </is>
      </c>
      <c r="C624" s="137" t="inlineStr">
        <is>
          <t>ADX6000</t>
        </is>
      </c>
      <c r="D624" s="60" t="inlineStr">
        <is>
          <t>스킨가드 BODY</t>
        </is>
      </c>
      <c r="E624" s="13" t="inlineStr">
        <is>
          <t>벨크로, AL 가공</t>
        </is>
      </c>
      <c r="F624" s="100" t="n"/>
      <c r="G624" s="9" t="n"/>
      <c r="H624" s="9" t="inlineStr">
        <is>
          <t>제이케이시스템</t>
        </is>
      </c>
      <c r="I624" s="14" t="n"/>
      <c r="J624" s="14" t="n"/>
      <c r="K624" s="12" t="n">
        <v>0</v>
      </c>
      <c r="L624" s="9" t="n"/>
      <c r="M624" s="9" t="n"/>
      <c r="N624" s="9" t="n"/>
      <c r="O624" s="40">
        <f>K624+V624-AE624-AZ624</f>
        <v/>
      </c>
      <c r="P624" s="12" t="n"/>
      <c r="Q624" s="138" t="n"/>
      <c r="R624" s="16" t="n"/>
      <c r="S624" s="139" t="n"/>
      <c r="T624" s="16" t="n"/>
      <c r="U624" s="139" t="n"/>
      <c r="V624" s="16">
        <f>P624+R624+T624</f>
        <v/>
      </c>
      <c r="W624" s="16" t="n"/>
      <c r="X624" s="139" t="n"/>
      <c r="Y624" s="16" t="n"/>
      <c r="Z624" s="139" t="n"/>
      <c r="AA624" s="16" t="n"/>
      <c r="AB624" s="139" t="n"/>
      <c r="AC624" s="16" t="n"/>
      <c r="AD624" s="139" t="n"/>
      <c r="AE624" s="16">
        <f>(W624+Y624+AA624+AC624)</f>
        <v/>
      </c>
      <c r="AF624" s="16" t="n"/>
      <c r="AG624" s="138" t="n"/>
      <c r="AH624" s="16" t="n"/>
      <c r="AI624" s="138" t="n"/>
      <c r="AJ624" s="16" t="n"/>
      <c r="AK624" s="138" t="n"/>
      <c r="AL624" s="16" t="n"/>
      <c r="AM624" s="138" t="n"/>
      <c r="AN624" s="16" t="n"/>
      <c r="AO624" s="138" t="n"/>
      <c r="AP624" s="16" t="n"/>
      <c r="AQ624" s="138" t="n"/>
      <c r="AR624" s="16" t="n"/>
      <c r="AS624" s="138" t="n"/>
      <c r="AT624" s="16" t="n"/>
      <c r="AU624" s="138" t="n"/>
      <c r="AV624" s="16" t="n"/>
      <c r="AW624" s="138" t="n"/>
      <c r="AX624" s="16" t="n"/>
      <c r="AY624" s="138" t="n"/>
      <c r="AZ624" s="16">
        <f>AF624+AH624+AJ624+AL624+AN624+AP624+AR624+AT624+AV624+AX624</f>
        <v/>
      </c>
      <c r="BA624" s="16" t="n"/>
      <c r="BB624" s="139" t="n"/>
      <c r="BC624" s="16" t="n"/>
      <c r="BD624" s="139" t="n"/>
      <c r="BE624" s="16">
        <f>(BA624+BC624)</f>
        <v/>
      </c>
    </row>
    <row r="625">
      <c r="A625" s="9" t="n"/>
      <c r="B625" s="136" t="inlineStr">
        <is>
          <t>AL + STEEL</t>
        </is>
      </c>
      <c r="C625" s="137" t="inlineStr">
        <is>
          <t>ADX6000</t>
        </is>
      </c>
      <c r="D625" s="60" t="inlineStr">
        <is>
          <t>스킨가드 구형</t>
        </is>
      </c>
      <c r="E625" s="13" t="n"/>
      <c r="F625" s="100" t="n"/>
      <c r="G625" s="9" t="n"/>
      <c r="H625" s="9" t="inlineStr">
        <is>
          <t>제이케이시스템</t>
        </is>
      </c>
      <c r="I625" s="14" t="n"/>
      <c r="J625" s="14" t="n"/>
      <c r="K625" s="12" t="n">
        <v>23</v>
      </c>
      <c r="L625" s="9" t="n"/>
      <c r="M625" s="9" t="n"/>
      <c r="N625" s="9" t="n"/>
      <c r="O625" s="40">
        <f>K625+V625-AE625-AZ625</f>
        <v/>
      </c>
      <c r="P625" s="12" t="n"/>
      <c r="Q625" s="138" t="n"/>
      <c r="R625" s="16" t="n"/>
      <c r="S625" s="139" t="n"/>
      <c r="T625" s="16" t="n"/>
      <c r="U625" s="139" t="n"/>
      <c r="V625" s="16">
        <f>P625+R625+T625</f>
        <v/>
      </c>
      <c r="W625" s="16" t="n"/>
      <c r="X625" s="139" t="n"/>
      <c r="Y625" s="16" t="n"/>
      <c r="Z625" s="139" t="n"/>
      <c r="AA625" s="16" t="n"/>
      <c r="AB625" s="139" t="n"/>
      <c r="AC625" s="16" t="n"/>
      <c r="AD625" s="139" t="n"/>
      <c r="AE625" s="16">
        <f>(W625+Y625+AA625+AC625)</f>
        <v/>
      </c>
      <c r="AF625" s="16" t="n"/>
      <c r="AG625" s="138" t="n"/>
      <c r="AH625" s="16" t="n"/>
      <c r="AI625" s="138" t="n"/>
      <c r="AJ625" s="16" t="n"/>
      <c r="AK625" s="138" t="n"/>
      <c r="AL625" s="16" t="n"/>
      <c r="AM625" s="138" t="n"/>
      <c r="AN625" s="16" t="n"/>
      <c r="AO625" s="138" t="n"/>
      <c r="AP625" s="16" t="n"/>
      <c r="AQ625" s="138" t="n"/>
      <c r="AR625" s="16" t="n"/>
      <c r="AS625" s="138" t="n"/>
      <c r="AT625" s="16" t="n"/>
      <c r="AU625" s="138" t="n"/>
      <c r="AV625" s="16" t="n"/>
      <c r="AW625" s="138" t="n"/>
      <c r="AX625" s="16" t="n"/>
      <c r="AY625" s="138" t="n"/>
      <c r="AZ625" s="16">
        <f>AF625+AH625+AJ625+AL625+AN625+AP625+AR625+AT625+AV625+AX625</f>
        <v/>
      </c>
      <c r="BA625" s="16" t="n"/>
      <c r="BB625" s="139" t="n"/>
      <c r="BC625" s="16" t="n"/>
      <c r="BD625" s="139" t="n"/>
      <c r="BE625" s="16">
        <f>(BA625+BC625)</f>
        <v/>
      </c>
    </row>
    <row r="626">
      <c r="A626" s="9" t="n"/>
      <c r="B626" s="136" t="inlineStr">
        <is>
          <t>AL</t>
        </is>
      </c>
      <c r="C626" s="137" t="inlineStr">
        <is>
          <t>ADX6000</t>
        </is>
      </c>
      <c r="D626" s="60" t="inlineStr">
        <is>
          <t>Top Block</t>
        </is>
      </c>
      <c r="E626" s="13" t="inlineStr">
        <is>
          <t>AL 가공 + 흑색 아노다이징</t>
        </is>
      </c>
      <c r="F626" s="100" t="n"/>
      <c r="G626" s="9" t="n"/>
      <c r="H626" s="9" t="inlineStr">
        <is>
          <t>제이케이시스템</t>
        </is>
      </c>
      <c r="I626" s="14" t="n"/>
      <c r="J626" s="14" t="n"/>
      <c r="K626" s="12" t="n">
        <v>0</v>
      </c>
      <c r="L626" s="9" t="n"/>
      <c r="M626" s="9" t="n"/>
      <c r="N626" s="9" t="n"/>
      <c r="O626" s="40">
        <f>K626+V626-AE626-AZ626</f>
        <v/>
      </c>
      <c r="P626" s="12" t="n"/>
      <c r="Q626" s="138" t="n"/>
      <c r="R626" s="16" t="n"/>
      <c r="S626" s="139" t="n"/>
      <c r="T626" s="16" t="n"/>
      <c r="U626" s="139" t="n"/>
      <c r="V626" s="16">
        <f>P626+R626+T626</f>
        <v/>
      </c>
      <c r="W626" s="16" t="n"/>
      <c r="X626" s="139" t="n"/>
      <c r="Y626" s="16" t="n"/>
      <c r="Z626" s="139" t="n"/>
      <c r="AA626" s="16" t="n"/>
      <c r="AB626" s="139" t="n"/>
      <c r="AC626" s="16" t="n"/>
      <c r="AD626" s="139" t="n"/>
      <c r="AE626" s="16">
        <f>(W626+Y626+AA626+AC626)</f>
        <v/>
      </c>
      <c r="AF626" s="16" t="n"/>
      <c r="AG626" s="138" t="n"/>
      <c r="AH626" s="16" t="n"/>
      <c r="AI626" s="138" t="n"/>
      <c r="AJ626" s="16" t="n"/>
      <c r="AK626" s="138" t="n"/>
      <c r="AL626" s="16" t="n"/>
      <c r="AM626" s="138" t="n"/>
      <c r="AN626" s="16" t="n"/>
      <c r="AO626" s="138" t="n"/>
      <c r="AP626" s="16" t="n"/>
      <c r="AQ626" s="138" t="n"/>
      <c r="AR626" s="16" t="n"/>
      <c r="AS626" s="138" t="n"/>
      <c r="AT626" s="16" t="n"/>
      <c r="AU626" s="138" t="n"/>
      <c r="AV626" s="16" t="n"/>
      <c r="AW626" s="138" t="n"/>
      <c r="AX626" s="16" t="n"/>
      <c r="AY626" s="138" t="n"/>
      <c r="AZ626" s="16">
        <f>AF626+AH626+AJ626+AL626+AN626+AP626+AR626+AT626+AV626+AX626</f>
        <v/>
      </c>
      <c r="BA626" s="16" t="n"/>
      <c r="BB626" s="139" t="n"/>
      <c r="BC626" s="16" t="n"/>
      <c r="BD626" s="139" t="n"/>
      <c r="BE626" s="16">
        <f>(BA626+BC626)</f>
        <v/>
      </c>
    </row>
    <row r="627">
      <c r="A627" s="9" t="n"/>
      <c r="B627" s="136" t="inlineStr">
        <is>
          <t>AL</t>
        </is>
      </c>
      <c r="C627" s="137" t="inlineStr">
        <is>
          <t>ADX6000</t>
        </is>
      </c>
      <c r="D627" s="63" t="inlineStr">
        <is>
          <t>알루미늄 브라켓 4 hole</t>
        </is>
      </c>
      <c r="E627" s="13" t="inlineStr">
        <is>
          <t>AL 가공 + 백색 아노다이징</t>
        </is>
      </c>
      <c r="F627" s="100" t="n"/>
      <c r="G627" s="9" t="n"/>
      <c r="H627" s="9" t="inlineStr">
        <is>
          <t>제이케이시스템</t>
        </is>
      </c>
      <c r="I627" s="14" t="n"/>
      <c r="J627" s="14" t="n"/>
      <c r="K627" s="12" t="n">
        <v>0</v>
      </c>
      <c r="L627" s="9" t="n"/>
      <c r="M627" s="9" t="n"/>
      <c r="N627" s="9" t="n"/>
      <c r="O627" s="40">
        <f>K627+V627-AE627-AZ627</f>
        <v/>
      </c>
      <c r="P627" s="12" t="n"/>
      <c r="Q627" s="138" t="n"/>
      <c r="R627" s="16" t="n"/>
      <c r="S627" s="139" t="n"/>
      <c r="T627" s="16" t="n"/>
      <c r="U627" s="139" t="n"/>
      <c r="V627" s="16">
        <f>P627+R627+T627</f>
        <v/>
      </c>
      <c r="W627" s="16" t="n"/>
      <c r="X627" s="139" t="n"/>
      <c r="Y627" s="16" t="n"/>
      <c r="Z627" s="139" t="n"/>
      <c r="AA627" s="16" t="n"/>
      <c r="AB627" s="139" t="n"/>
      <c r="AC627" s="16" t="n"/>
      <c r="AD627" s="139" t="n"/>
      <c r="AE627" s="16">
        <f>(W627+Y627+AA627+AC627)</f>
        <v/>
      </c>
      <c r="AF627" s="16" t="n"/>
      <c r="AG627" s="138" t="n"/>
      <c r="AH627" s="16" t="n"/>
      <c r="AI627" s="138" t="n"/>
      <c r="AJ627" s="16" t="n"/>
      <c r="AK627" s="138" t="n"/>
      <c r="AL627" s="16" t="n"/>
      <c r="AM627" s="138" t="n"/>
      <c r="AN627" s="16" t="n"/>
      <c r="AO627" s="138" t="n"/>
      <c r="AP627" s="16" t="n"/>
      <c r="AQ627" s="138" t="n"/>
      <c r="AR627" s="16" t="n"/>
      <c r="AS627" s="138" t="n"/>
      <c r="AT627" s="16" t="n"/>
      <c r="AU627" s="138" t="n"/>
      <c r="AV627" s="16" t="n"/>
      <c r="AW627" s="138" t="n"/>
      <c r="AX627" s="16" t="n"/>
      <c r="AY627" s="138" t="n"/>
      <c r="AZ627" s="16">
        <f>AF627+AH627+AJ627+AL627+AN627+AP627+AR627+AT627+AV627+AX627</f>
        <v/>
      </c>
      <c r="BA627" s="16" t="n"/>
      <c r="BB627" s="139" t="n"/>
      <c r="BC627" s="16" t="n"/>
      <c r="BD627" s="139" t="n"/>
      <c r="BE627" s="16">
        <f>(BA627+BC627)</f>
        <v/>
      </c>
    </row>
    <row r="628">
      <c r="A628" s="9" t="n"/>
      <c r="B628" s="136" t="inlineStr">
        <is>
          <t>AL</t>
        </is>
      </c>
      <c r="C628" s="137" t="inlineStr">
        <is>
          <t>ADX6000</t>
        </is>
      </c>
      <c r="D628" s="63" t="inlineStr">
        <is>
          <t>컬리메이터 LED 알루미늄 가이드</t>
        </is>
      </c>
      <c r="E628" s="13" t="inlineStr">
        <is>
          <t>AL 가공 + 흑색 아노다이징</t>
        </is>
      </c>
      <c r="F628" s="100" t="n"/>
      <c r="G628" s="9" t="n"/>
      <c r="H628" s="9" t="inlineStr">
        <is>
          <t>다우정밀</t>
        </is>
      </c>
      <c r="I628" s="14" t="n"/>
      <c r="J628" s="14" t="n"/>
      <c r="K628" s="12" t="n">
        <v>0</v>
      </c>
      <c r="L628" s="9" t="n"/>
      <c r="M628" s="9" t="n"/>
      <c r="N628" s="9" t="n"/>
      <c r="O628" s="40">
        <f>K628+V628-AE628-AZ628</f>
        <v/>
      </c>
      <c r="P628" s="12" t="n"/>
      <c r="Q628" s="138" t="n"/>
      <c r="R628" s="16" t="n"/>
      <c r="S628" s="139" t="n"/>
      <c r="T628" s="16" t="n"/>
      <c r="U628" s="139" t="n"/>
      <c r="V628" s="16">
        <f>P628+R628+T628</f>
        <v/>
      </c>
      <c r="W628" s="16" t="n"/>
      <c r="X628" s="139" t="n"/>
      <c r="Y628" s="16" t="n"/>
      <c r="Z628" s="139" t="n"/>
      <c r="AA628" s="16" t="n"/>
      <c r="AB628" s="139" t="n"/>
      <c r="AC628" s="16" t="n"/>
      <c r="AD628" s="139" t="n"/>
      <c r="AE628" s="16">
        <f>(W628+Y628+AA628+AC628)</f>
        <v/>
      </c>
      <c r="AF628" s="16" t="n"/>
      <c r="AG628" s="138" t="n"/>
      <c r="AH628" s="16" t="n"/>
      <c r="AI628" s="138" t="n"/>
      <c r="AJ628" s="16" t="n"/>
      <c r="AK628" s="138" t="n"/>
      <c r="AL628" s="16" t="n"/>
      <c r="AM628" s="138" t="n"/>
      <c r="AN628" s="16" t="n"/>
      <c r="AO628" s="138" t="n"/>
      <c r="AP628" s="16" t="n"/>
      <c r="AQ628" s="138" t="n"/>
      <c r="AR628" s="16" t="n"/>
      <c r="AS628" s="138" t="n"/>
      <c r="AT628" s="16" t="n"/>
      <c r="AU628" s="138" t="n"/>
      <c r="AV628" s="16" t="n"/>
      <c r="AW628" s="138" t="n"/>
      <c r="AX628" s="16" t="n"/>
      <c r="AY628" s="138" t="n"/>
      <c r="AZ628" s="16">
        <f>AF628+AH628+AJ628+AL628+AN628+AP628+AR628+AT628+AV628+AX628</f>
        <v/>
      </c>
      <c r="BA628" s="16" t="n"/>
      <c r="BB628" s="139" t="n"/>
      <c r="BC628" s="16" t="n"/>
      <c r="BD628" s="139" t="n"/>
      <c r="BE628" s="16">
        <f>(BA628+BC628)</f>
        <v/>
      </c>
    </row>
    <row r="629">
      <c r="A629" s="9" t="n"/>
      <c r="B629" s="136" t="inlineStr">
        <is>
          <t>RUBBER</t>
        </is>
      </c>
      <c r="C629" s="137" t="inlineStr">
        <is>
          <t>ADX6000</t>
        </is>
      </c>
      <c r="D629" s="60" t="inlineStr">
        <is>
          <t>외부전원 연결 DC잭 고무링</t>
        </is>
      </c>
      <c r="E629" s="13" t="inlineStr">
        <is>
          <t>RUBBER</t>
        </is>
      </c>
      <c r="F629" s="100" t="n"/>
      <c r="G629" s="9" t="n"/>
      <c r="H629" s="9" t="inlineStr">
        <is>
          <t>직구</t>
        </is>
      </c>
      <c r="I629" s="14" t="n"/>
      <c r="J629" s="14" t="n"/>
      <c r="K629" s="12" t="n">
        <v>0</v>
      </c>
      <c r="L629" s="9" t="n"/>
      <c r="M629" s="9" t="n"/>
      <c r="N629" s="9" t="n"/>
      <c r="O629" s="40">
        <f>K629+V629-AE629-AZ629</f>
        <v/>
      </c>
      <c r="P629" s="12" t="n"/>
      <c r="Q629" s="138" t="n"/>
      <c r="R629" s="16" t="n"/>
      <c r="S629" s="139" t="n"/>
      <c r="T629" s="16" t="n"/>
      <c r="U629" s="139" t="n"/>
      <c r="V629" s="16">
        <f>P629+R629+T629</f>
        <v/>
      </c>
      <c r="W629" s="16" t="n"/>
      <c r="X629" s="139" t="n"/>
      <c r="Y629" s="16" t="n"/>
      <c r="Z629" s="139" t="n"/>
      <c r="AA629" s="16" t="n"/>
      <c r="AB629" s="139" t="n"/>
      <c r="AC629" s="16" t="n"/>
      <c r="AD629" s="139" t="n"/>
      <c r="AE629" s="16">
        <f>(W629+Y629+AA629+AC629)</f>
        <v/>
      </c>
      <c r="AF629" s="16" t="n"/>
      <c r="AG629" s="138" t="n"/>
      <c r="AH629" s="16" t="n"/>
      <c r="AI629" s="138" t="n"/>
      <c r="AJ629" s="16" t="n"/>
      <c r="AK629" s="138" t="n"/>
      <c r="AL629" s="16" t="n"/>
      <c r="AM629" s="138" t="n"/>
      <c r="AN629" s="16" t="n"/>
      <c r="AO629" s="138" t="n"/>
      <c r="AP629" s="16" t="n"/>
      <c r="AQ629" s="138" t="n"/>
      <c r="AR629" s="16" t="n"/>
      <c r="AS629" s="138" t="n"/>
      <c r="AT629" s="16" t="n"/>
      <c r="AU629" s="138" t="n"/>
      <c r="AV629" s="16" t="n"/>
      <c r="AW629" s="138" t="n"/>
      <c r="AX629" s="16" t="n"/>
      <c r="AY629" s="138" t="n"/>
      <c r="AZ629" s="16">
        <f>AF629+AH629+AJ629+AL629+AN629+AP629+AR629+AT629+AV629+AX629</f>
        <v/>
      </c>
      <c r="BA629" s="16" t="n"/>
      <c r="BB629" s="139" t="n"/>
      <c r="BC629" s="16" t="n"/>
      <c r="BD629" s="139" t="n"/>
      <c r="BE629" s="16">
        <f>(BA629+BC629)</f>
        <v/>
      </c>
    </row>
    <row r="630">
      <c r="A630" s="9" t="n"/>
      <c r="B630" s="136" t="inlineStr">
        <is>
          <t>RUBBER</t>
        </is>
      </c>
      <c r="C630" s="137" t="inlineStr">
        <is>
          <t>ADX6000</t>
        </is>
      </c>
      <c r="D630" s="60" t="inlineStr">
        <is>
          <t>외부전원 연결 DC잭 너트</t>
        </is>
      </c>
      <c r="E630" s="13" t="n"/>
      <c r="F630" s="100" t="n"/>
      <c r="G630" s="9" t="n"/>
      <c r="H630" s="9" t="inlineStr">
        <is>
          <t>직구</t>
        </is>
      </c>
      <c r="I630" s="14" t="n"/>
      <c r="J630" s="14" t="n"/>
      <c r="K630" s="12" t="n">
        <v>0</v>
      </c>
      <c r="L630" s="9" t="n"/>
      <c r="M630" s="9" t="n"/>
      <c r="N630" s="9" t="n"/>
      <c r="O630" s="40">
        <f>K630+V630-AE630-AZ630</f>
        <v/>
      </c>
      <c r="P630" s="12" t="n"/>
      <c r="Q630" s="138" t="n"/>
      <c r="R630" s="16" t="n"/>
      <c r="S630" s="139" t="n"/>
      <c r="T630" s="16" t="n"/>
      <c r="U630" s="139" t="n"/>
      <c r="V630" s="16">
        <f>P630+R630+T630</f>
        <v/>
      </c>
      <c r="W630" s="16" t="n"/>
      <c r="X630" s="139" t="n"/>
      <c r="Y630" s="16" t="n"/>
      <c r="Z630" s="139" t="n"/>
      <c r="AA630" s="16" t="n"/>
      <c r="AB630" s="139" t="n"/>
      <c r="AC630" s="16" t="n"/>
      <c r="AD630" s="139" t="n"/>
      <c r="AE630" s="16">
        <f>(W630+Y630+AA630+AC630)</f>
        <v/>
      </c>
      <c r="AF630" s="16" t="n"/>
      <c r="AG630" s="138" t="n"/>
      <c r="AH630" s="16" t="n"/>
      <c r="AI630" s="138" t="n"/>
      <c r="AJ630" s="16" t="n"/>
      <c r="AK630" s="138" t="n"/>
      <c r="AL630" s="16" t="n"/>
      <c r="AM630" s="138" t="n"/>
      <c r="AN630" s="16" t="n"/>
      <c r="AO630" s="138" t="n"/>
      <c r="AP630" s="16" t="n"/>
      <c r="AQ630" s="138" t="n"/>
      <c r="AR630" s="16" t="n"/>
      <c r="AS630" s="138" t="n"/>
      <c r="AT630" s="16" t="n"/>
      <c r="AU630" s="138" t="n"/>
      <c r="AV630" s="16" t="n"/>
      <c r="AW630" s="138" t="n"/>
      <c r="AX630" s="16" t="n"/>
      <c r="AY630" s="138" t="n"/>
      <c r="AZ630" s="16">
        <f>AF630+AH630+AJ630+AL630+AN630+AP630+AR630+AT630+AV630+AX630</f>
        <v/>
      </c>
      <c r="BA630" s="16" t="n"/>
      <c r="BB630" s="139" t="n"/>
      <c r="BC630" s="16" t="n"/>
      <c r="BD630" s="139" t="n"/>
      <c r="BE630" s="16">
        <f>(BA630+BC630)</f>
        <v/>
      </c>
    </row>
    <row r="631">
      <c r="A631" s="9" t="n"/>
      <c r="B631" s="136" t="inlineStr">
        <is>
          <t>스티커</t>
        </is>
      </c>
      <c r="C631" s="137" t="inlineStr">
        <is>
          <t>ADX6000</t>
        </is>
      </c>
      <c r="D631" s="63" t="inlineStr">
        <is>
          <t>Front Port Sticker</t>
        </is>
      </c>
      <c r="E631" s="13" t="n"/>
      <c r="F631" s="100" t="n"/>
      <c r="G631" s="9" t="n"/>
      <c r="H631" s="9" t="inlineStr">
        <is>
          <t>그라피아스크린</t>
        </is>
      </c>
      <c r="I631" s="14" t="n"/>
      <c r="J631" s="14" t="n"/>
      <c r="K631" s="12" t="n">
        <v>0</v>
      </c>
      <c r="L631" s="9" t="n"/>
      <c r="M631" s="9" t="n"/>
      <c r="N631" s="9" t="n"/>
      <c r="O631" s="40">
        <f>K631+V631-AE631-AZ631</f>
        <v/>
      </c>
      <c r="P631" s="12" t="n"/>
      <c r="Q631" s="138" t="n"/>
      <c r="R631" s="16" t="n"/>
      <c r="S631" s="139" t="n"/>
      <c r="T631" s="16" t="n"/>
      <c r="U631" s="139" t="n"/>
      <c r="V631" s="16">
        <f>P631+R631+T631</f>
        <v/>
      </c>
      <c r="W631" s="16" t="n"/>
      <c r="X631" s="139" t="n"/>
      <c r="Y631" s="16" t="n"/>
      <c r="Z631" s="139" t="n"/>
      <c r="AA631" s="16" t="n"/>
      <c r="AB631" s="139" t="n"/>
      <c r="AC631" s="16" t="n"/>
      <c r="AD631" s="139" t="n"/>
      <c r="AE631" s="16">
        <f>(W631+Y631+AA631+AC631)</f>
        <v/>
      </c>
      <c r="AF631" s="16" t="n"/>
      <c r="AG631" s="138" t="n"/>
      <c r="AH631" s="16" t="n"/>
      <c r="AI631" s="138" t="n"/>
      <c r="AJ631" s="16" t="n"/>
      <c r="AK631" s="138" t="n"/>
      <c r="AL631" s="16" t="n"/>
      <c r="AM631" s="138" t="n"/>
      <c r="AN631" s="16" t="n"/>
      <c r="AO631" s="138" t="n"/>
      <c r="AP631" s="16" t="n"/>
      <c r="AQ631" s="138" t="n"/>
      <c r="AR631" s="16" t="n"/>
      <c r="AS631" s="138" t="n"/>
      <c r="AT631" s="16" t="n"/>
      <c r="AU631" s="138" t="n"/>
      <c r="AV631" s="16" t="n"/>
      <c r="AW631" s="138" t="n"/>
      <c r="AX631" s="16" t="n"/>
      <c r="AY631" s="138" t="n"/>
      <c r="AZ631" s="16">
        <f>AF631+AH631+AJ631+AL631+AN631+AP631+AR631+AT631+AV631+AX631</f>
        <v/>
      </c>
      <c r="BA631" s="16" t="n"/>
      <c r="BB631" s="139" t="n"/>
      <c r="BC631" s="16" t="n"/>
      <c r="BD631" s="139" t="n"/>
      <c r="BE631" s="16">
        <f>(BA631+BC631)</f>
        <v/>
      </c>
    </row>
    <row r="632">
      <c r="A632" s="9" t="n"/>
      <c r="B632" s="136" t="inlineStr">
        <is>
          <t>스티커</t>
        </is>
      </c>
      <c r="C632" s="137" t="inlineStr">
        <is>
          <t>ADX6000S</t>
        </is>
      </c>
      <c r="D632" s="60" t="inlineStr">
        <is>
          <t>Front Port Sticker</t>
        </is>
      </c>
      <c r="E632" s="13" t="n"/>
      <c r="F632" s="100" t="n"/>
      <c r="G632" s="9" t="n"/>
      <c r="H632" s="9" t="inlineStr">
        <is>
          <t>그라피아스크린</t>
        </is>
      </c>
      <c r="I632" s="14" t="n"/>
      <c r="J632" s="14" t="n"/>
      <c r="K632" s="12" t="n">
        <v>0</v>
      </c>
      <c r="L632" s="9" t="n"/>
      <c r="M632" s="9" t="n"/>
      <c r="N632" s="9" t="n"/>
      <c r="O632" s="40">
        <f>K632+V632-AE632-AZ632</f>
        <v/>
      </c>
      <c r="P632" s="12" t="n"/>
      <c r="Q632" s="138" t="n"/>
      <c r="R632" s="16" t="n"/>
      <c r="S632" s="139" t="n"/>
      <c r="T632" s="16" t="n"/>
      <c r="U632" s="139" t="n"/>
      <c r="V632" s="16">
        <f>P632+R632+T632</f>
        <v/>
      </c>
      <c r="W632" s="16" t="n"/>
      <c r="X632" s="139" t="n"/>
      <c r="Y632" s="16" t="n"/>
      <c r="Z632" s="139" t="n"/>
      <c r="AA632" s="16" t="n"/>
      <c r="AB632" s="139" t="n"/>
      <c r="AC632" s="16" t="n"/>
      <c r="AD632" s="139" t="n"/>
      <c r="AE632" s="16">
        <f>(W632+Y632+AA632+AC632)</f>
        <v/>
      </c>
      <c r="AF632" s="16" t="n"/>
      <c r="AG632" s="138" t="n"/>
      <c r="AH632" s="16" t="n"/>
      <c r="AI632" s="138" t="n"/>
      <c r="AJ632" s="16" t="n"/>
      <c r="AK632" s="138" t="n"/>
      <c r="AL632" s="16" t="n"/>
      <c r="AM632" s="138" t="n"/>
      <c r="AN632" s="16" t="n"/>
      <c r="AO632" s="138" t="n"/>
      <c r="AP632" s="16" t="n"/>
      <c r="AQ632" s="138" t="n"/>
      <c r="AR632" s="16" t="n"/>
      <c r="AS632" s="138" t="n"/>
      <c r="AT632" s="16" t="n"/>
      <c r="AU632" s="138" t="n"/>
      <c r="AV632" s="16" t="n"/>
      <c r="AW632" s="138" t="n"/>
      <c r="AX632" s="16" t="n"/>
      <c r="AY632" s="138" t="n"/>
      <c r="AZ632" s="16">
        <f>AF632+AH632+AJ632+AL632+AN632+AP632+AR632+AT632+AV632+AX632</f>
        <v/>
      </c>
      <c r="BA632" s="16" t="n"/>
      <c r="BB632" s="139" t="n"/>
      <c r="BC632" s="16" t="n"/>
      <c r="BD632" s="139" t="n"/>
      <c r="BE632" s="16">
        <f>(BA632+BC632)</f>
        <v/>
      </c>
    </row>
    <row r="633">
      <c r="A633" s="9" t="n"/>
      <c r="B633" s="136" t="inlineStr">
        <is>
          <t>스티커</t>
        </is>
      </c>
      <c r="C633" s="137" t="inlineStr">
        <is>
          <t>ADX6000S</t>
        </is>
      </c>
      <c r="D633" s="63" t="inlineStr">
        <is>
          <t>Front Port Sticker</t>
        </is>
      </c>
      <c r="E633" s="13" t="inlineStr">
        <is>
          <t>USB 포트 제거형</t>
        </is>
      </c>
      <c r="F633" s="100" t="n"/>
      <c r="G633" s="9" t="n"/>
      <c r="H633" s="9" t="inlineStr">
        <is>
          <t>그라피아스크린</t>
        </is>
      </c>
      <c r="I633" s="14" t="n"/>
      <c r="J633" s="14" t="n"/>
      <c r="K633" s="12" t="n">
        <v>0</v>
      </c>
      <c r="L633" s="9" t="n"/>
      <c r="M633" s="9" t="n"/>
      <c r="N633" s="9" t="n"/>
      <c r="O633" s="40">
        <f>K633+V633-AE633-AZ633</f>
        <v/>
      </c>
      <c r="P633" s="12" t="n"/>
      <c r="Q633" s="138" t="n"/>
      <c r="R633" s="16" t="n"/>
      <c r="S633" s="139" t="n"/>
      <c r="T633" s="16" t="n"/>
      <c r="U633" s="139" t="n"/>
      <c r="V633" s="16">
        <f>P633+R633+T633</f>
        <v/>
      </c>
      <c r="W633" s="16" t="n"/>
      <c r="X633" s="139" t="n"/>
      <c r="Y633" s="16" t="n"/>
      <c r="Z633" s="139" t="n"/>
      <c r="AA633" s="16" t="n"/>
      <c r="AB633" s="139" t="n"/>
      <c r="AC633" s="16" t="n"/>
      <c r="AD633" s="139" t="n"/>
      <c r="AE633" s="16">
        <f>(W633+Y633+AA633+AC633)</f>
        <v/>
      </c>
      <c r="AF633" s="16" t="n"/>
      <c r="AG633" s="138" t="n"/>
      <c r="AH633" s="16" t="n"/>
      <c r="AI633" s="138" t="n"/>
      <c r="AJ633" s="16" t="n"/>
      <c r="AK633" s="138" t="n"/>
      <c r="AL633" s="16" t="n"/>
      <c r="AM633" s="138" t="n"/>
      <c r="AN633" s="16" t="n"/>
      <c r="AO633" s="138" t="n"/>
      <c r="AP633" s="16" t="n"/>
      <c r="AQ633" s="138" t="n"/>
      <c r="AR633" s="16" t="n"/>
      <c r="AS633" s="138" t="n"/>
      <c r="AT633" s="16" t="n"/>
      <c r="AU633" s="138" t="n"/>
      <c r="AV633" s="16" t="n"/>
      <c r="AW633" s="138" t="n"/>
      <c r="AX633" s="16" t="n"/>
      <c r="AY633" s="138" t="n"/>
      <c r="AZ633" s="16">
        <f>AF633+AH633+AJ633+AL633+AN633+AP633+AR633+AT633+AV633+AX633</f>
        <v/>
      </c>
      <c r="BA633" s="16" t="n"/>
      <c r="BB633" s="139" t="n"/>
      <c r="BC633" s="16" t="n"/>
      <c r="BD633" s="139" t="n"/>
      <c r="BE633" s="16">
        <f>(BA633+BC633)</f>
        <v/>
      </c>
    </row>
    <row r="634">
      <c r="A634" s="9" t="n"/>
      <c r="B634" s="136" t="inlineStr">
        <is>
          <t>인조가죽</t>
        </is>
      </c>
      <c r="C634" s="137" t="inlineStr">
        <is>
          <t>ADX6000</t>
        </is>
      </c>
      <c r="D634" s="63" t="inlineStr">
        <is>
          <t>가죽 손잡이 (탈착배터리 터치펜 O)</t>
        </is>
      </c>
      <c r="E634" s="13" t="inlineStr">
        <is>
          <t>인조 가죽</t>
        </is>
      </c>
      <c r="F634" s="100" t="n"/>
      <c r="G634" s="9" t="n"/>
      <c r="H634" s="9" t="inlineStr">
        <is>
          <t>굿모닝코리아유통</t>
        </is>
      </c>
      <c r="I634" s="14" t="n"/>
      <c r="J634" s="14" t="n"/>
      <c r="K634" s="12" t="n">
        <v>0</v>
      </c>
      <c r="L634" s="9" t="n"/>
      <c r="M634" s="9" t="n"/>
      <c r="N634" s="9" t="n"/>
      <c r="O634" s="40">
        <f>K634+V634-AE634-AZ634</f>
        <v/>
      </c>
      <c r="P634" s="12" t="n"/>
      <c r="Q634" s="138" t="n"/>
      <c r="R634" s="16" t="n"/>
      <c r="S634" s="139" t="n"/>
      <c r="T634" s="16" t="n"/>
      <c r="U634" s="139" t="n"/>
      <c r="V634" s="16">
        <f>P634+R634+T634</f>
        <v/>
      </c>
      <c r="W634" s="16" t="n"/>
      <c r="X634" s="139" t="n"/>
      <c r="Y634" s="16" t="n"/>
      <c r="Z634" s="139" t="n"/>
      <c r="AA634" s="16" t="n"/>
      <c r="AB634" s="139" t="n"/>
      <c r="AC634" s="16" t="n"/>
      <c r="AD634" s="139" t="n"/>
      <c r="AE634" s="16">
        <f>(W634+Y634+AA634+AC634)</f>
        <v/>
      </c>
      <c r="AF634" s="16" t="n"/>
      <c r="AG634" s="138" t="n"/>
      <c r="AH634" s="16" t="n"/>
      <c r="AI634" s="138" t="n"/>
      <c r="AJ634" s="16" t="n"/>
      <c r="AK634" s="138" t="n"/>
      <c r="AL634" s="16" t="n"/>
      <c r="AM634" s="138" t="n"/>
      <c r="AN634" s="16" t="n"/>
      <c r="AO634" s="138" t="n"/>
      <c r="AP634" s="16" t="n"/>
      <c r="AQ634" s="138" t="n"/>
      <c r="AR634" s="16" t="n"/>
      <c r="AS634" s="138" t="n"/>
      <c r="AT634" s="16" t="n"/>
      <c r="AU634" s="138" t="n"/>
      <c r="AV634" s="16" t="n"/>
      <c r="AW634" s="138" t="n"/>
      <c r="AX634" s="16" t="n"/>
      <c r="AY634" s="138" t="n"/>
      <c r="AZ634" s="16">
        <f>AF634+AH634+AJ634+AL634+AN634+AP634+AR634+AT634+AV634+AX634</f>
        <v/>
      </c>
      <c r="BA634" s="16" t="n"/>
      <c r="BB634" s="139" t="n"/>
      <c r="BC634" s="16" t="n"/>
      <c r="BD634" s="139" t="n"/>
      <c r="BE634" s="16">
        <f>(BA634+BC634)</f>
        <v/>
      </c>
    </row>
    <row r="635">
      <c r="A635" s="9" t="n"/>
      <c r="B635" s="136" t="inlineStr">
        <is>
          <t>인조가죽</t>
        </is>
      </c>
      <c r="C635" s="137" t="inlineStr">
        <is>
          <t>ADX6000</t>
        </is>
      </c>
      <c r="D635" s="60" t="inlineStr">
        <is>
          <t>가죽 손잡이 (외부배터리)</t>
        </is>
      </c>
      <c r="E635" s="13" t="inlineStr">
        <is>
          <t>인조 가죽</t>
        </is>
      </c>
      <c r="F635" s="100" t="n"/>
      <c r="G635" s="9" t="n"/>
      <c r="H635" s="9" t="inlineStr">
        <is>
          <t>굿모닝코리아유통</t>
        </is>
      </c>
      <c r="I635" s="14" t="n"/>
      <c r="J635" s="14" t="n"/>
      <c r="K635" s="12" t="n">
        <v>0</v>
      </c>
      <c r="L635" s="9" t="n"/>
      <c r="M635" s="9" t="n"/>
      <c r="N635" s="9" t="n"/>
      <c r="O635" s="40">
        <f>K635+V635-AE635-AZ635</f>
        <v/>
      </c>
      <c r="P635" s="12" t="n"/>
      <c r="Q635" s="138" t="n"/>
      <c r="R635" s="16" t="n"/>
      <c r="S635" s="139" t="n"/>
      <c r="T635" s="16" t="n"/>
      <c r="U635" s="139" t="n"/>
      <c r="V635" s="16">
        <f>P635+R635+T635</f>
        <v/>
      </c>
      <c r="W635" s="16" t="n"/>
      <c r="X635" s="139" t="n"/>
      <c r="Y635" s="16" t="n"/>
      <c r="Z635" s="139" t="n"/>
      <c r="AA635" s="16" t="n"/>
      <c r="AB635" s="139" t="n"/>
      <c r="AC635" s="16" t="n"/>
      <c r="AD635" s="139" t="n"/>
      <c r="AE635" s="16">
        <f>(W635+Y635+AA635+AC635)</f>
        <v/>
      </c>
      <c r="AF635" s="16" t="n"/>
      <c r="AG635" s="138" t="n"/>
      <c r="AH635" s="16" t="n"/>
      <c r="AI635" s="138" t="n"/>
      <c r="AJ635" s="16" t="n"/>
      <c r="AK635" s="138" t="n"/>
      <c r="AL635" s="16" t="n"/>
      <c r="AM635" s="138" t="n"/>
      <c r="AN635" s="16" t="n"/>
      <c r="AO635" s="138" t="n"/>
      <c r="AP635" s="16" t="n"/>
      <c r="AQ635" s="138" t="n"/>
      <c r="AR635" s="16" t="n"/>
      <c r="AS635" s="138" t="n"/>
      <c r="AT635" s="16" t="n"/>
      <c r="AU635" s="138" t="n"/>
      <c r="AV635" s="16" t="n"/>
      <c r="AW635" s="138" t="n"/>
      <c r="AX635" s="16" t="n"/>
      <c r="AY635" s="138" t="n"/>
      <c r="AZ635" s="16">
        <f>AF635+AH635+AJ635+AL635+AN635+AP635+AR635+AT635+AV635+AX635</f>
        <v/>
      </c>
      <c r="BA635" s="16" t="n"/>
      <c r="BB635" s="139" t="n"/>
      <c r="BC635" s="16" t="n"/>
      <c r="BD635" s="139" t="n"/>
      <c r="BE635" s="16">
        <f>(BA635+BC635)</f>
        <v/>
      </c>
    </row>
    <row r="636">
      <c r="A636" s="9" t="n">
        <v>999</v>
      </c>
      <c r="B636" s="136" t="inlineStr">
        <is>
          <t>ABS 난연</t>
        </is>
      </c>
      <c r="C636" s="137" t="inlineStr">
        <is>
          <t>ADX6000</t>
        </is>
      </c>
      <c r="D636" s="60" t="inlineStr">
        <is>
          <t xml:space="preserve">BODY LEFT 사출(외부배터리 사출커팅) </t>
        </is>
      </c>
      <c r="E636" s="13" t="inlineStr">
        <is>
          <t>ABS 난연 화이트 + 스프레이 AS용</t>
        </is>
      </c>
      <c r="F636" s="100" t="n"/>
      <c r="G636" s="9" t="n"/>
      <c r="H636" s="9" t="inlineStr">
        <is>
          <t>천우</t>
        </is>
      </c>
      <c r="I636" s="14" t="n"/>
      <c r="J636" s="14" t="n"/>
      <c r="K636" s="12" t="n">
        <v>0</v>
      </c>
      <c r="L636" s="9" t="n"/>
      <c r="M636" s="9" t="n"/>
      <c r="N636" s="9" t="n"/>
      <c r="O636" s="40">
        <f>K636+V636-AE636-AZ636</f>
        <v/>
      </c>
      <c r="P636" s="12" t="n"/>
      <c r="Q636" s="138" t="n"/>
      <c r="R636" s="16" t="n"/>
      <c r="S636" s="139" t="n"/>
      <c r="T636" s="16" t="n"/>
      <c r="U636" s="139" t="n"/>
      <c r="V636" s="16">
        <f>P636+R636+T636</f>
        <v/>
      </c>
      <c r="W636" s="16" t="n"/>
      <c r="X636" s="139" t="n"/>
      <c r="Y636" s="16" t="n"/>
      <c r="Z636" s="139" t="n"/>
      <c r="AA636" s="16" t="n"/>
      <c r="AB636" s="139" t="n"/>
      <c r="AC636" s="16" t="n"/>
      <c r="AD636" s="139" t="n"/>
      <c r="AE636" s="16">
        <f>(W636+Y636+AA636+AC636)</f>
        <v/>
      </c>
      <c r="AF636" s="16" t="n"/>
      <c r="AG636" s="138" t="n"/>
      <c r="AH636" s="16" t="n"/>
      <c r="AI636" s="138" t="n"/>
      <c r="AJ636" s="16" t="n"/>
      <c r="AK636" s="138" t="n"/>
      <c r="AL636" s="16" t="n"/>
      <c r="AM636" s="138" t="n"/>
      <c r="AN636" s="16" t="n"/>
      <c r="AO636" s="138" t="n"/>
      <c r="AP636" s="16" t="n"/>
      <c r="AQ636" s="138" t="n"/>
      <c r="AR636" s="16" t="n"/>
      <c r="AS636" s="138" t="n"/>
      <c r="AT636" s="16" t="n"/>
      <c r="AU636" s="138" t="n"/>
      <c r="AV636" s="16" t="n"/>
      <c r="AW636" s="138" t="n"/>
      <c r="AX636" s="16" t="n"/>
      <c r="AY636" s="138" t="n"/>
      <c r="AZ636" s="16">
        <f>AF636+AH636+AJ636+AL636+AN636+AP636+AR636+AT636+AV636+AX636</f>
        <v/>
      </c>
      <c r="BA636" s="16" t="n"/>
      <c r="BB636" s="139" t="n"/>
      <c r="BC636" s="16" t="n"/>
      <c r="BD636" s="139" t="n"/>
      <c r="BE636" s="16">
        <f>(BA636+BC636)</f>
        <v/>
      </c>
    </row>
    <row r="637">
      <c r="A637" s="9" t="n">
        <v>999</v>
      </c>
      <c r="B637" s="136" t="inlineStr">
        <is>
          <t>ABS 난연</t>
        </is>
      </c>
      <c r="C637" s="137" t="inlineStr">
        <is>
          <t>ADX6000</t>
        </is>
      </c>
      <c r="D637" s="60" t="inlineStr">
        <is>
          <t>BODY RIGHT 사출(외부배터리용)</t>
        </is>
      </c>
      <c r="E637" s="13" t="inlineStr">
        <is>
          <t>ABS 난연 화이트 + 스프레이 AS용</t>
        </is>
      </c>
      <c r="F637" s="100" t="n"/>
      <c r="G637" s="9" t="n"/>
      <c r="H637" s="9" t="inlineStr">
        <is>
          <t>천우</t>
        </is>
      </c>
      <c r="I637" s="14" t="n"/>
      <c r="J637" s="14" t="n"/>
      <c r="K637" s="12" t="n">
        <v>0</v>
      </c>
      <c r="L637" s="9" t="n"/>
      <c r="M637" s="9" t="n"/>
      <c r="N637" s="9" t="n"/>
      <c r="O637" s="40">
        <f>K637+V637-AE637-AZ637</f>
        <v/>
      </c>
      <c r="P637" s="12" t="n"/>
      <c r="Q637" s="138" t="n"/>
      <c r="R637" s="16" t="n"/>
      <c r="S637" s="139" t="n"/>
      <c r="T637" s="16" t="n"/>
      <c r="U637" s="139" t="n"/>
      <c r="V637" s="16">
        <f>P637+R637+T637</f>
        <v/>
      </c>
      <c r="W637" s="16" t="n"/>
      <c r="X637" s="139" t="n"/>
      <c r="Y637" s="16" t="n"/>
      <c r="Z637" s="139" t="n"/>
      <c r="AA637" s="16" t="n"/>
      <c r="AB637" s="139" t="n"/>
      <c r="AC637" s="16" t="n"/>
      <c r="AD637" s="139" t="n"/>
      <c r="AE637" s="16">
        <f>(W637+Y637+AA637+AC637)</f>
        <v/>
      </c>
      <c r="AF637" s="16" t="n"/>
      <c r="AG637" s="138" t="n"/>
      <c r="AH637" s="16" t="n"/>
      <c r="AI637" s="138" t="n"/>
      <c r="AJ637" s="16" t="n"/>
      <c r="AK637" s="138" t="n"/>
      <c r="AL637" s="16" t="n"/>
      <c r="AM637" s="138" t="n"/>
      <c r="AN637" s="16" t="n"/>
      <c r="AO637" s="138" t="n"/>
      <c r="AP637" s="16" t="n"/>
      <c r="AQ637" s="138" t="n"/>
      <c r="AR637" s="16" t="n"/>
      <c r="AS637" s="138" t="n"/>
      <c r="AT637" s="16" t="n"/>
      <c r="AU637" s="138" t="n"/>
      <c r="AV637" s="16" t="n"/>
      <c r="AW637" s="138" t="n"/>
      <c r="AX637" s="16" t="n"/>
      <c r="AY637" s="138" t="n"/>
      <c r="AZ637" s="16">
        <f>AF637+AH637+AJ637+AL637+AN637+AP637+AR637+AT637+AV637+AX637</f>
        <v/>
      </c>
      <c r="BA637" s="16" t="n"/>
      <c r="BB637" s="139" t="n"/>
      <c r="BC637" s="16" t="n"/>
      <c r="BD637" s="139" t="n"/>
      <c r="BE637" s="16">
        <f>(BA637+BC637)</f>
        <v/>
      </c>
    </row>
    <row r="638">
      <c r="A638" s="9" t="n">
        <v>999</v>
      </c>
      <c r="B638" s="136" t="inlineStr">
        <is>
          <t>재공품</t>
        </is>
      </c>
      <c r="C638" s="137" t="inlineStr">
        <is>
          <t>ADX6000S</t>
        </is>
      </c>
      <c r="D638" s="60" t="inlineStr">
        <is>
          <t>RIGHT Ass'y</t>
        </is>
      </c>
      <c r="E638" s="13" t="inlineStr">
        <is>
          <t xml:space="preserve"> </t>
        </is>
      </c>
      <c r="F638" s="12" t="n"/>
      <c r="G638" s="9" t="n"/>
      <c r="H638" s="9" t="inlineStr">
        <is>
          <t>덱스코윈</t>
        </is>
      </c>
      <c r="I638" s="14" t="n"/>
      <c r="J638" s="14" t="n"/>
      <c r="K638" s="12" t="n">
        <v>0</v>
      </c>
      <c r="L638" s="9" t="n"/>
      <c r="M638" s="9" t="n"/>
      <c r="N638" s="9" t="n"/>
      <c r="O638" s="40">
        <f>K638+V638-AE638-AZ638</f>
        <v/>
      </c>
      <c r="P638" s="12" t="n"/>
      <c r="Q638" s="138" t="n"/>
      <c r="R638" s="16" t="n"/>
      <c r="S638" s="139" t="n"/>
      <c r="T638" s="16" t="n"/>
      <c r="U638" s="139" t="n"/>
      <c r="V638" s="16">
        <f>P638+R638+T638</f>
        <v/>
      </c>
      <c r="W638" s="16" t="n"/>
      <c r="X638" s="139" t="n"/>
      <c r="Y638" s="16" t="n"/>
      <c r="Z638" s="139" t="n"/>
      <c r="AA638" s="16" t="n"/>
      <c r="AB638" s="139" t="n"/>
      <c r="AC638" s="16" t="n"/>
      <c r="AD638" s="139" t="n"/>
      <c r="AE638" s="16">
        <f>(W638+Y638+AA638+AC638)</f>
        <v/>
      </c>
      <c r="AF638" s="16" t="n"/>
      <c r="AG638" s="138" t="n"/>
      <c r="AH638" s="16" t="n"/>
      <c r="AI638" s="138" t="n"/>
      <c r="AJ638" s="16" t="n"/>
      <c r="AK638" s="138" t="n"/>
      <c r="AL638" s="16" t="n"/>
      <c r="AM638" s="138" t="n"/>
      <c r="AN638" s="16" t="n"/>
      <c r="AO638" s="138" t="n"/>
      <c r="AP638" s="16" t="n"/>
      <c r="AQ638" s="138" t="n"/>
      <c r="AR638" s="16" t="n"/>
      <c r="AS638" s="138" t="n"/>
      <c r="AT638" s="16" t="n"/>
      <c r="AU638" s="138" t="n"/>
      <c r="AV638" s="16" t="n"/>
      <c r="AW638" s="138" t="n"/>
      <c r="AX638" s="16" t="n"/>
      <c r="AY638" s="138" t="n"/>
      <c r="AZ638" s="16">
        <f>AF638+AH638+AJ638+AL638+AN638+AP638+AR638+AT638+AV638+AX638</f>
        <v/>
      </c>
      <c r="BA638" s="16" t="n"/>
      <c r="BB638" s="139" t="n"/>
      <c r="BC638" s="16" t="n"/>
      <c r="BD638" s="139" t="n"/>
      <c r="BE638" s="16">
        <f>(BA638+BC638)</f>
        <v/>
      </c>
    </row>
    <row r="639">
      <c r="A639" s="9" t="n">
        <v>999</v>
      </c>
      <c r="B639" s="136" t="inlineStr">
        <is>
          <t>재공품</t>
        </is>
      </c>
      <c r="C639" s="137" t="inlineStr">
        <is>
          <t>ADX6000S</t>
        </is>
      </c>
      <c r="D639" s="60" t="inlineStr">
        <is>
          <t>컬리메이터 내부하우징 사출 + 납</t>
        </is>
      </c>
      <c r="E639" s="13" t="n"/>
      <c r="F639" s="12" t="n"/>
      <c r="G639" s="9" t="n"/>
      <c r="H639" s="9" t="inlineStr">
        <is>
          <t>덱스코윈</t>
        </is>
      </c>
      <c r="I639" s="14" t="n"/>
      <c r="J639" s="14" t="n"/>
      <c r="K639" s="12" t="n">
        <v>0</v>
      </c>
      <c r="L639" s="9" t="n"/>
      <c r="M639" s="9" t="n"/>
      <c r="N639" s="9" t="n"/>
      <c r="O639" s="40">
        <f>K639+V639-AE639-AZ639</f>
        <v/>
      </c>
      <c r="P639" s="12" t="n"/>
      <c r="Q639" s="138" t="n"/>
      <c r="R639" s="16" t="n"/>
      <c r="S639" s="139" t="n"/>
      <c r="T639" s="16" t="n"/>
      <c r="U639" s="139" t="n"/>
      <c r="V639" s="16">
        <f>P639+R639+T639</f>
        <v/>
      </c>
      <c r="W639" s="16" t="n"/>
      <c r="X639" s="139" t="n"/>
      <c r="Y639" s="16" t="n"/>
      <c r="Z639" s="139" t="n"/>
      <c r="AA639" s="16" t="n"/>
      <c r="AB639" s="139" t="n"/>
      <c r="AC639" s="16" t="n"/>
      <c r="AD639" s="139" t="n"/>
      <c r="AE639" s="16">
        <f>(W639+Y639+AA639+AC639)</f>
        <v/>
      </c>
      <c r="AF639" s="16" t="n"/>
      <c r="AG639" s="138" t="n"/>
      <c r="AH639" s="16" t="n"/>
      <c r="AI639" s="138" t="n"/>
      <c r="AJ639" s="16" t="n"/>
      <c r="AK639" s="138" t="n"/>
      <c r="AL639" s="16" t="n"/>
      <c r="AM639" s="138" t="n"/>
      <c r="AN639" s="16" t="n"/>
      <c r="AO639" s="138" t="n"/>
      <c r="AP639" s="16" t="n"/>
      <c r="AQ639" s="138" t="n"/>
      <c r="AR639" s="16" t="n"/>
      <c r="AS639" s="138" t="n"/>
      <c r="AT639" s="16" t="n"/>
      <c r="AU639" s="138" t="n"/>
      <c r="AV639" s="16" t="n"/>
      <c r="AW639" s="138" t="n"/>
      <c r="AX639" s="16" t="n"/>
      <c r="AY639" s="138" t="n"/>
      <c r="AZ639" s="16">
        <f>AF639+AH639+AJ639+AL639+AN639+AP639+AR639+AT639+AV639+AX639</f>
        <v/>
      </c>
      <c r="BA639" s="16" t="n"/>
      <c r="BB639" s="139" t="n"/>
      <c r="BC639" s="16" t="n"/>
      <c r="BD639" s="139" t="n"/>
      <c r="BE639" s="16">
        <f>(BA639+BC639)</f>
        <v/>
      </c>
    </row>
    <row r="640">
      <c r="A640" s="9" t="n">
        <v>999</v>
      </c>
      <c r="B640" s="136" t="inlineStr">
        <is>
          <t>CABLE</t>
        </is>
      </c>
      <c r="C640" s="137" t="n"/>
      <c r="D640" s="84" t="inlineStr">
        <is>
          <t>330N 센서 하네스 1번 (배터리팩 4핀)</t>
        </is>
      </c>
      <c r="E640" s="13" t="n"/>
      <c r="F640" s="12" t="n"/>
      <c r="G640" s="9" t="n"/>
      <c r="H640" s="9" t="inlineStr">
        <is>
          <t>HLP</t>
        </is>
      </c>
      <c r="I640" s="14" t="n"/>
      <c r="J640" s="14" t="n"/>
      <c r="K640" s="12" t="n">
        <v>0</v>
      </c>
      <c r="L640" s="9" t="n"/>
      <c r="M640" s="9" t="n"/>
      <c r="N640" s="9" t="n"/>
      <c r="O640" s="40">
        <f>K640+V640-AE640-AZ640</f>
        <v/>
      </c>
      <c r="P640" s="12" t="n"/>
      <c r="Q640" s="138" t="n"/>
      <c r="R640" s="16" t="n"/>
      <c r="S640" s="139" t="n"/>
      <c r="T640" s="16" t="n"/>
      <c r="U640" s="139" t="n"/>
      <c r="V640" s="16">
        <f>P640+R640+T640</f>
        <v/>
      </c>
      <c r="W640" s="16" t="n"/>
      <c r="X640" s="139" t="n"/>
      <c r="Y640" s="16" t="n"/>
      <c r="Z640" s="139" t="n"/>
      <c r="AA640" s="16" t="n"/>
      <c r="AB640" s="139" t="n"/>
      <c r="AC640" s="16" t="n"/>
      <c r="AD640" s="139" t="n"/>
      <c r="AE640" s="16">
        <f>(W640+Y640+AA640+AC640)</f>
        <v/>
      </c>
      <c r="AF640" s="16" t="n"/>
      <c r="AG640" s="138" t="n"/>
      <c r="AH640" s="16" t="n"/>
      <c r="AI640" s="138" t="n"/>
      <c r="AJ640" s="16" t="n"/>
      <c r="AK640" s="138" t="n"/>
      <c r="AL640" s="16" t="n"/>
      <c r="AM640" s="138" t="n"/>
      <c r="AN640" s="16" t="n"/>
      <c r="AO640" s="138" t="n"/>
      <c r="AP640" s="16" t="n"/>
      <c r="AQ640" s="138" t="n"/>
      <c r="AR640" s="16" t="n"/>
      <c r="AS640" s="138" t="n"/>
      <c r="AT640" s="16" t="n"/>
      <c r="AU640" s="138" t="n"/>
      <c r="AV640" s="16" t="n"/>
      <c r="AW640" s="138" t="n"/>
      <c r="AX640" s="16" t="n"/>
      <c r="AY640" s="138" t="n"/>
      <c r="AZ640" s="16">
        <f>AF640+AH640+AJ640+AL640+AN640+AP640+AR640+AT640+AV640+AX640</f>
        <v/>
      </c>
      <c r="BA640" s="16" t="n"/>
      <c r="BB640" s="139" t="n"/>
      <c r="BC640" s="16" t="n"/>
      <c r="BD640" s="139" t="n"/>
      <c r="BE640" s="16">
        <f>(BA640+BC640)</f>
        <v/>
      </c>
    </row>
    <row r="641">
      <c r="A641" s="9" t="n">
        <v>999</v>
      </c>
      <c r="B641" s="136" t="inlineStr">
        <is>
          <t>CABLE</t>
        </is>
      </c>
      <c r="C641" s="137" t="n"/>
      <c r="D641" s="84" t="inlineStr">
        <is>
          <t>330N 센서 하네스 2번 (전원 스위치 2핀)</t>
        </is>
      </c>
      <c r="E641" s="13" t="n"/>
      <c r="F641" s="12" t="n"/>
      <c r="G641" s="9" t="n"/>
      <c r="H641" s="9" t="inlineStr">
        <is>
          <t>HLP</t>
        </is>
      </c>
      <c r="I641" s="14" t="n"/>
      <c r="J641" s="14" t="n"/>
      <c r="K641" s="12" t="n">
        <v>0</v>
      </c>
      <c r="L641" s="9" t="n"/>
      <c r="M641" s="9" t="n"/>
      <c r="N641" s="9" t="n"/>
      <c r="O641" s="40">
        <f>K641+V641-AE641-AZ641</f>
        <v/>
      </c>
      <c r="P641" s="12" t="n"/>
      <c r="Q641" s="138" t="n"/>
      <c r="R641" s="16" t="n"/>
      <c r="S641" s="139" t="n"/>
      <c r="T641" s="16" t="n"/>
      <c r="U641" s="139" t="n"/>
      <c r="V641" s="16">
        <f>P641+R641+T641</f>
        <v/>
      </c>
      <c r="W641" s="16" t="n"/>
      <c r="X641" s="139" t="n"/>
      <c r="Y641" s="16" t="n"/>
      <c r="Z641" s="139" t="n"/>
      <c r="AA641" s="16" t="n"/>
      <c r="AB641" s="139" t="n"/>
      <c r="AC641" s="16" t="n"/>
      <c r="AD641" s="139" t="n"/>
      <c r="AE641" s="16">
        <f>(W641+Y641+AA641+AC641)</f>
        <v/>
      </c>
      <c r="AF641" s="16" t="n"/>
      <c r="AG641" s="138" t="n"/>
      <c r="AH641" s="16" t="n"/>
      <c r="AI641" s="138" t="n"/>
      <c r="AJ641" s="16" t="n"/>
      <c r="AK641" s="138" t="n"/>
      <c r="AL641" s="16" t="n"/>
      <c r="AM641" s="138" t="n"/>
      <c r="AN641" s="16" t="n"/>
      <c r="AO641" s="138" t="n"/>
      <c r="AP641" s="16" t="n"/>
      <c r="AQ641" s="138" t="n"/>
      <c r="AR641" s="16" t="n"/>
      <c r="AS641" s="138" t="n"/>
      <c r="AT641" s="16" t="n"/>
      <c r="AU641" s="138" t="n"/>
      <c r="AV641" s="16" t="n"/>
      <c r="AW641" s="138" t="n"/>
      <c r="AX641" s="16" t="n"/>
      <c r="AY641" s="138" t="n"/>
      <c r="AZ641" s="16">
        <f>AF641+AH641+AJ641+AL641+AN641+AP641+AR641+AT641+AV641+AX641</f>
        <v/>
      </c>
      <c r="BA641" s="16" t="n"/>
      <c r="BB641" s="139" t="n"/>
      <c r="BC641" s="16" t="n"/>
      <c r="BD641" s="139" t="n"/>
      <c r="BE641" s="16">
        <f>(BA641+BC641)</f>
        <v/>
      </c>
    </row>
    <row r="642">
      <c r="A642" s="9" t="n">
        <v>999</v>
      </c>
      <c r="B642" s="136" t="inlineStr">
        <is>
          <t>CABLE</t>
        </is>
      </c>
      <c r="C642" s="137" t="n"/>
      <c r="D642" s="84" t="inlineStr">
        <is>
          <t>330N 센서 하네스 3번 (플랫 24핀)</t>
        </is>
      </c>
      <c r="E642" s="13" t="n"/>
      <c r="F642" s="12" t="n"/>
      <c r="G642" s="9" t="n"/>
      <c r="H642" s="9" t="inlineStr">
        <is>
          <t>HLP</t>
        </is>
      </c>
      <c r="I642" s="14" t="n"/>
      <c r="J642" s="14" t="n"/>
      <c r="K642" s="12" t="n">
        <v>0</v>
      </c>
      <c r="L642" s="9" t="n"/>
      <c r="M642" s="9" t="n"/>
      <c r="N642" s="9" t="n"/>
      <c r="O642" s="40">
        <f>K642+V642-AE642-AZ642</f>
        <v/>
      </c>
      <c r="P642" s="12" t="n"/>
      <c r="Q642" s="138" t="n"/>
      <c r="R642" s="16" t="n"/>
      <c r="S642" s="139" t="n"/>
      <c r="T642" s="16" t="n"/>
      <c r="U642" s="139" t="n"/>
      <c r="V642" s="16">
        <f>P642+R642+T642</f>
        <v/>
      </c>
      <c r="W642" s="16" t="n"/>
      <c r="X642" s="139" t="n"/>
      <c r="Y642" s="16" t="n"/>
      <c r="Z642" s="139" t="n"/>
      <c r="AA642" s="16" t="n"/>
      <c r="AB642" s="139" t="n"/>
      <c r="AC642" s="16" t="n"/>
      <c r="AD642" s="139" t="n"/>
      <c r="AE642" s="16">
        <f>(W642+Y642+AA642+AC642)</f>
        <v/>
      </c>
      <c r="AF642" s="16" t="n"/>
      <c r="AG642" s="138" t="n"/>
      <c r="AH642" s="16" t="n"/>
      <c r="AI642" s="138" t="n"/>
      <c r="AJ642" s="16" t="n"/>
      <c r="AK642" s="138" t="n"/>
      <c r="AL642" s="16" t="n"/>
      <c r="AM642" s="138" t="n"/>
      <c r="AN642" s="16" t="n"/>
      <c r="AO642" s="138" t="n"/>
      <c r="AP642" s="16" t="n"/>
      <c r="AQ642" s="138" t="n"/>
      <c r="AR642" s="16" t="n"/>
      <c r="AS642" s="138" t="n"/>
      <c r="AT642" s="16" t="n"/>
      <c r="AU642" s="138" t="n"/>
      <c r="AV642" s="16" t="n"/>
      <c r="AW642" s="138" t="n"/>
      <c r="AX642" s="16" t="n"/>
      <c r="AY642" s="138" t="n"/>
      <c r="AZ642" s="16">
        <f>AF642+AH642+AJ642+AL642+AN642+AP642+AR642+AT642+AV642+AX642</f>
        <v/>
      </c>
      <c r="BA642" s="16" t="n"/>
      <c r="BB642" s="139" t="n"/>
      <c r="BC642" s="16" t="n"/>
      <c r="BD642" s="139" t="n"/>
      <c r="BE642" s="16">
        <f>(BA642+BC642)</f>
        <v/>
      </c>
    </row>
    <row r="643">
      <c r="A643" s="9" t="n">
        <v>999</v>
      </c>
      <c r="B643" s="136" t="inlineStr">
        <is>
          <t>CABLE</t>
        </is>
      </c>
      <c r="C643" s="137" t="n"/>
      <c r="D643" s="84" t="inlineStr">
        <is>
          <t>330N 센서 하네스 4번 (8핀)</t>
        </is>
      </c>
      <c r="E643" s="13" t="n"/>
      <c r="F643" s="12" t="n"/>
      <c r="G643" s="9" t="n"/>
      <c r="H643" s="9" t="inlineStr">
        <is>
          <t>HLP</t>
        </is>
      </c>
      <c r="I643" s="14" t="n"/>
      <c r="J643" s="14" t="n"/>
      <c r="K643" s="12" t="n">
        <v>0</v>
      </c>
      <c r="L643" s="9" t="n"/>
      <c r="M643" s="9" t="n"/>
      <c r="N643" s="9" t="n"/>
      <c r="O643" s="40">
        <f>K643+V643-AE643-AZ643</f>
        <v/>
      </c>
      <c r="P643" s="12" t="n"/>
      <c r="Q643" s="138" t="n"/>
      <c r="R643" s="16" t="n"/>
      <c r="S643" s="139" t="n"/>
      <c r="T643" s="16" t="n"/>
      <c r="U643" s="139" t="n"/>
      <c r="V643" s="16">
        <f>P643+R643+T643</f>
        <v/>
      </c>
      <c r="W643" s="16" t="n"/>
      <c r="X643" s="139" t="n"/>
      <c r="Y643" s="16" t="n"/>
      <c r="Z643" s="139" t="n"/>
      <c r="AA643" s="16" t="n"/>
      <c r="AB643" s="139" t="n"/>
      <c r="AC643" s="16" t="n"/>
      <c r="AD643" s="139" t="n"/>
      <c r="AE643" s="16">
        <f>(W643+Y643+AA643+AC643)</f>
        <v/>
      </c>
      <c r="AF643" s="16" t="n"/>
      <c r="AG643" s="138" t="n"/>
      <c r="AH643" s="16" t="n"/>
      <c r="AI643" s="138" t="n"/>
      <c r="AJ643" s="16" t="n"/>
      <c r="AK643" s="138" t="n"/>
      <c r="AL643" s="16" t="n"/>
      <c r="AM643" s="138" t="n"/>
      <c r="AN643" s="16" t="n"/>
      <c r="AO643" s="138" t="n"/>
      <c r="AP643" s="16" t="n"/>
      <c r="AQ643" s="138" t="n"/>
      <c r="AR643" s="16" t="n"/>
      <c r="AS643" s="138" t="n"/>
      <c r="AT643" s="16" t="n"/>
      <c r="AU643" s="138" t="n"/>
      <c r="AV643" s="16" t="n"/>
      <c r="AW643" s="138" t="n"/>
      <c r="AX643" s="16" t="n"/>
      <c r="AY643" s="138" t="n"/>
      <c r="AZ643" s="16">
        <f>AF643+AH643+AJ643+AL643+AN643+AP643+AR643+AT643+AV643+AX643</f>
        <v/>
      </c>
      <c r="BA643" s="16" t="n"/>
      <c r="BB643" s="139" t="n"/>
      <c r="BC643" s="16" t="n"/>
      <c r="BD643" s="139" t="n"/>
      <c r="BE643" s="16">
        <f>(BA643+BC643)</f>
        <v/>
      </c>
    </row>
    <row r="644">
      <c r="A644" s="9" t="n">
        <v>999</v>
      </c>
      <c r="B644" s="136" t="inlineStr">
        <is>
          <t>CABLE</t>
        </is>
      </c>
      <c r="C644" s="137" t="n"/>
      <c r="D644" s="84" t="inlineStr">
        <is>
          <t>330N 센서 하네스 5번 (인터페이스 케이블)</t>
        </is>
      </c>
      <c r="E644" s="13" t="n"/>
      <c r="F644" s="12" t="n"/>
      <c r="G644" s="9" t="n"/>
      <c r="H644" s="9" t="inlineStr">
        <is>
          <t>HLP</t>
        </is>
      </c>
      <c r="I644" s="14" t="n"/>
      <c r="J644" s="14" t="n"/>
      <c r="K644" s="12" t="n">
        <v>0</v>
      </c>
      <c r="L644" s="9" t="n"/>
      <c r="M644" s="9" t="n"/>
      <c r="N644" s="9" t="n"/>
      <c r="O644" s="40">
        <f>K644+V644-AE644-AZ644</f>
        <v/>
      </c>
      <c r="P644" s="12" t="n"/>
      <c r="Q644" s="138" t="n"/>
      <c r="R644" s="16" t="n"/>
      <c r="S644" s="139" t="n"/>
      <c r="T644" s="16" t="n"/>
      <c r="U644" s="139" t="n"/>
      <c r="V644" s="16">
        <f>P644+R644+T644</f>
        <v/>
      </c>
      <c r="W644" s="16" t="n"/>
      <c r="X644" s="139" t="n"/>
      <c r="Y644" s="16" t="n"/>
      <c r="Z644" s="139" t="n"/>
      <c r="AA644" s="16" t="n"/>
      <c r="AB644" s="139" t="n"/>
      <c r="AC644" s="16" t="n"/>
      <c r="AD644" s="139" t="n"/>
      <c r="AE644" s="16">
        <f>(W644+Y644+AA644+AC644)</f>
        <v/>
      </c>
      <c r="AF644" s="16" t="n"/>
      <c r="AG644" s="138" t="n"/>
      <c r="AH644" s="16" t="n"/>
      <c r="AI644" s="138" t="n"/>
      <c r="AJ644" s="16" t="n"/>
      <c r="AK644" s="138" t="n"/>
      <c r="AL644" s="16" t="n"/>
      <c r="AM644" s="138" t="n"/>
      <c r="AN644" s="16" t="n"/>
      <c r="AO644" s="138" t="n"/>
      <c r="AP644" s="16" t="n"/>
      <c r="AQ644" s="138" t="n"/>
      <c r="AR644" s="16" t="n"/>
      <c r="AS644" s="138" t="n"/>
      <c r="AT644" s="16" t="n"/>
      <c r="AU644" s="138" t="n"/>
      <c r="AV644" s="16" t="n"/>
      <c r="AW644" s="138" t="n"/>
      <c r="AX644" s="16" t="n"/>
      <c r="AY644" s="138" t="n"/>
      <c r="AZ644" s="16">
        <f>AF644+AH644+AJ644+AL644+AN644+AP644+AR644+AT644+AV644+AX644</f>
        <v/>
      </c>
      <c r="BA644" s="16" t="n"/>
      <c r="BB644" s="139" t="n"/>
      <c r="BC644" s="16" t="n"/>
      <c r="BD644" s="139" t="n"/>
      <c r="BE644" s="16">
        <f>(BA644+BC644)</f>
        <v/>
      </c>
    </row>
    <row r="645">
      <c r="A645" s="9" t="n">
        <v>999</v>
      </c>
      <c r="B645" s="136" t="inlineStr">
        <is>
          <t>RUBBER</t>
        </is>
      </c>
      <c r="C645" s="137" t="n"/>
      <c r="D645" s="60" t="inlineStr">
        <is>
          <t>330N 센서 고무발</t>
        </is>
      </c>
      <c r="E645" s="13" t="n"/>
      <c r="F645" s="12" t="n"/>
      <c r="G645" s="9" t="n"/>
      <c r="H645" s="9" t="inlineStr">
        <is>
          <t>직구</t>
        </is>
      </c>
      <c r="I645" s="14" t="n"/>
      <c r="J645" s="14" t="n"/>
      <c r="K645" s="12" t="n">
        <v>0</v>
      </c>
      <c r="L645" s="9" t="n"/>
      <c r="M645" s="9" t="n"/>
      <c r="N645" s="9" t="n"/>
      <c r="O645" s="40">
        <f>K645+V645-AE645-AZ645</f>
        <v/>
      </c>
      <c r="P645" s="12" t="n"/>
      <c r="Q645" s="138" t="n"/>
      <c r="R645" s="16" t="n"/>
      <c r="S645" s="139" t="n"/>
      <c r="T645" s="16" t="n"/>
      <c r="U645" s="139" t="n"/>
      <c r="V645" s="16">
        <f>P645+R645+T645</f>
        <v/>
      </c>
      <c r="W645" s="16" t="n"/>
      <c r="X645" s="139" t="n"/>
      <c r="Y645" s="16" t="n"/>
      <c r="Z645" s="139" t="n"/>
      <c r="AA645" s="16" t="n"/>
      <c r="AB645" s="139" t="n"/>
      <c r="AC645" s="16" t="n"/>
      <c r="AD645" s="139" t="n"/>
      <c r="AE645" s="16">
        <f>(W645+Y645+AA645+AC645)</f>
        <v/>
      </c>
      <c r="AF645" s="16" t="n"/>
      <c r="AG645" s="138" t="n"/>
      <c r="AH645" s="16" t="n"/>
      <c r="AI645" s="138" t="n"/>
      <c r="AJ645" s="16" t="n"/>
      <c r="AK645" s="138" t="n"/>
      <c r="AL645" s="16" t="n"/>
      <c r="AM645" s="138" t="n"/>
      <c r="AN645" s="16" t="n"/>
      <c r="AO645" s="138" t="n"/>
      <c r="AP645" s="16" t="n"/>
      <c r="AQ645" s="138" t="n"/>
      <c r="AR645" s="16" t="n"/>
      <c r="AS645" s="138" t="n"/>
      <c r="AT645" s="16" t="n"/>
      <c r="AU645" s="138" t="n"/>
      <c r="AV645" s="16" t="n"/>
      <c r="AW645" s="138" t="n"/>
      <c r="AX645" s="16" t="n"/>
      <c r="AY645" s="138" t="n"/>
      <c r="AZ645" s="16">
        <f>AF645+AH645+AJ645+AL645+AN645+AP645+AR645+AT645+AV645+AX645</f>
        <v/>
      </c>
      <c r="BA645" s="16" t="n"/>
      <c r="BB645" s="139" t="n"/>
      <c r="BC645" s="16" t="n"/>
      <c r="BD645" s="139" t="n"/>
      <c r="BE645" s="16">
        <f>(BA645+BC645)</f>
        <v/>
      </c>
    </row>
    <row r="646">
      <c r="A646" s="9" t="n">
        <v>999</v>
      </c>
      <c r="B646" s="136" t="inlineStr">
        <is>
          <t>AL + STEEL</t>
        </is>
      </c>
      <c r="C646" s="137" t="inlineStr">
        <is>
          <t>DX3000</t>
        </is>
      </c>
      <c r="D646" s="143" t="inlineStr">
        <is>
          <t>SKIN GUARD FRAME</t>
        </is>
      </c>
      <c r="E646" s="13" t="n"/>
      <c r="F646" s="12" t="n"/>
      <c r="G646" s="9" t="n"/>
      <c r="H646" s="9" t="inlineStr">
        <is>
          <t>제이케이시스템</t>
        </is>
      </c>
      <c r="I646" s="14" t="n"/>
      <c r="J646" s="14" t="n"/>
      <c r="K646" s="12" t="n">
        <v>0</v>
      </c>
      <c r="L646" s="9" t="n"/>
      <c r="M646" s="9" t="n"/>
      <c r="N646" s="9" t="n"/>
      <c r="O646" s="40">
        <f>K646+V646-AE646-AZ646</f>
        <v/>
      </c>
      <c r="P646" s="12" t="n"/>
      <c r="Q646" s="138" t="n"/>
      <c r="R646" s="16" t="n"/>
      <c r="S646" s="139" t="n"/>
      <c r="T646" s="16" t="n"/>
      <c r="U646" s="139" t="n"/>
      <c r="V646" s="16">
        <f>P646+R646+T646</f>
        <v/>
      </c>
      <c r="W646" s="16" t="n"/>
      <c r="X646" s="139" t="n"/>
      <c r="Y646" s="16" t="n"/>
      <c r="Z646" s="139" t="n"/>
      <c r="AA646" s="16" t="n"/>
      <c r="AB646" s="139" t="n"/>
      <c r="AC646" s="16" t="n"/>
      <c r="AD646" s="139" t="n"/>
      <c r="AE646" s="16">
        <f>(W646+Y646+AA646+AC646)</f>
        <v/>
      </c>
      <c r="AF646" s="16" t="n"/>
      <c r="AG646" s="138" t="n"/>
      <c r="AH646" s="16" t="n"/>
      <c r="AI646" s="138" t="n"/>
      <c r="AJ646" s="16" t="n"/>
      <c r="AK646" s="138" t="n"/>
      <c r="AL646" s="16" t="n"/>
      <c r="AM646" s="138" t="n"/>
      <c r="AN646" s="16" t="n"/>
      <c r="AO646" s="138" t="n"/>
      <c r="AP646" s="16" t="n"/>
      <c r="AQ646" s="138" t="n"/>
      <c r="AR646" s="16" t="n"/>
      <c r="AS646" s="138" t="n"/>
      <c r="AT646" s="16" t="n"/>
      <c r="AU646" s="138" t="n"/>
      <c r="AV646" s="16" t="n"/>
      <c r="AW646" s="138" t="n"/>
      <c r="AX646" s="16" t="n"/>
      <c r="AY646" s="138" t="n"/>
      <c r="AZ646" s="16">
        <f>AF646+AH646+AJ646+AL646+AN646+AP646+AR646+AT646+AV646+AX646</f>
        <v/>
      </c>
      <c r="BA646" s="16" t="n"/>
      <c r="BB646" s="139" t="n"/>
      <c r="BC646" s="16" t="n"/>
      <c r="BD646" s="139" t="n"/>
      <c r="BE646" s="16">
        <f>(BA646+BC646)</f>
        <v/>
      </c>
    </row>
    <row r="647">
      <c r="A647" s="9" t="n">
        <v>999</v>
      </c>
      <c r="B647" s="136" t="inlineStr">
        <is>
          <t>AL + STEEL</t>
        </is>
      </c>
      <c r="C647" s="137" t="inlineStr">
        <is>
          <t>DX3000</t>
        </is>
      </c>
      <c r="D647" s="143" t="inlineStr">
        <is>
          <t>BOTTOM BLOCK</t>
        </is>
      </c>
      <c r="E647" s="13" t="n"/>
      <c r="F647" s="12" t="n"/>
      <c r="G647" s="9" t="n"/>
      <c r="H647" s="9" t="inlineStr">
        <is>
          <t>제이케이시스템</t>
        </is>
      </c>
      <c r="I647" s="14" t="n"/>
      <c r="J647" s="14" t="n"/>
      <c r="K647" s="12" t="n">
        <v>0</v>
      </c>
      <c r="L647" s="9" t="n"/>
      <c r="M647" s="9" t="n"/>
      <c r="N647" s="9" t="n"/>
      <c r="O647" s="40">
        <f>K647+V647-AE647-AZ647</f>
        <v/>
      </c>
      <c r="P647" s="12" t="n"/>
      <c r="Q647" s="138" t="n"/>
      <c r="R647" s="16" t="n"/>
      <c r="S647" s="139" t="n"/>
      <c r="T647" s="16" t="n"/>
      <c r="U647" s="139" t="n"/>
      <c r="V647" s="16">
        <f>P647+R647+T647</f>
        <v/>
      </c>
      <c r="W647" s="16" t="n"/>
      <c r="X647" s="139" t="n"/>
      <c r="Y647" s="16" t="n"/>
      <c r="Z647" s="139" t="n"/>
      <c r="AA647" s="16" t="n"/>
      <c r="AB647" s="139" t="n"/>
      <c r="AC647" s="16" t="n"/>
      <c r="AD647" s="139" t="n"/>
      <c r="AE647" s="16">
        <f>(W647+Y647+AA647+AC647)</f>
        <v/>
      </c>
      <c r="AF647" s="16" t="n"/>
      <c r="AG647" s="138" t="n"/>
      <c r="AH647" s="16" t="n"/>
      <c r="AI647" s="138" t="n"/>
      <c r="AJ647" s="16" t="n"/>
      <c r="AK647" s="138" t="n"/>
      <c r="AL647" s="16" t="n"/>
      <c r="AM647" s="138" t="n"/>
      <c r="AN647" s="16" t="n"/>
      <c r="AO647" s="138" t="n"/>
      <c r="AP647" s="16" t="n"/>
      <c r="AQ647" s="138" t="n"/>
      <c r="AR647" s="16" t="n"/>
      <c r="AS647" s="138" t="n"/>
      <c r="AT647" s="16" t="n"/>
      <c r="AU647" s="138" t="n"/>
      <c r="AV647" s="16" t="n"/>
      <c r="AW647" s="138" t="n"/>
      <c r="AX647" s="16" t="n"/>
      <c r="AY647" s="138" t="n"/>
      <c r="AZ647" s="16">
        <f>AF647+AH647+AJ647+AL647+AN647+AP647+AR647+AT647+AV647+AX647</f>
        <v/>
      </c>
      <c r="BA647" s="16" t="n"/>
      <c r="BB647" s="139" t="n"/>
      <c r="BC647" s="16" t="n"/>
      <c r="BD647" s="139" t="n"/>
      <c r="BE647" s="16">
        <f>(BA647+BC647)</f>
        <v/>
      </c>
    </row>
    <row r="648">
      <c r="A648" s="9" t="n">
        <v>999</v>
      </c>
      <c r="B648" s="136" t="inlineStr">
        <is>
          <t>ADAPTER</t>
        </is>
      </c>
      <c r="C648" s="137" t="n"/>
      <c r="D648" s="60" t="inlineStr">
        <is>
          <t>SMPS (PSU)</t>
        </is>
      </c>
      <c r="E648" s="13" t="inlineStr">
        <is>
          <t>DEX-A085-M, 17V,5A(85W)</t>
        </is>
      </c>
      <c r="F648" s="12" t="n"/>
      <c r="G648" s="9" t="n"/>
      <c r="H648" s="9" t="inlineStr">
        <is>
          <t>두앤비무역</t>
        </is>
      </c>
      <c r="I648" s="14" t="n"/>
      <c r="J648" s="14" t="n"/>
      <c r="K648" s="12" t="n">
        <v>0</v>
      </c>
      <c r="L648" s="9" t="n"/>
      <c r="M648" s="9" t="n"/>
      <c r="N648" s="9" t="n"/>
      <c r="O648" s="40">
        <f>K648+V648-AE648-AZ648</f>
        <v/>
      </c>
      <c r="P648" s="12" t="n"/>
      <c r="Q648" s="138" t="n"/>
      <c r="R648" s="16" t="n"/>
      <c r="S648" s="139" t="n"/>
      <c r="T648" s="16" t="n"/>
      <c r="U648" s="139" t="n"/>
      <c r="V648" s="16">
        <f>P648+R648+T648</f>
        <v/>
      </c>
      <c r="W648" s="16" t="n"/>
      <c r="X648" s="139" t="n"/>
      <c r="Y648" s="16" t="n"/>
      <c r="Z648" s="139" t="n"/>
      <c r="AA648" s="16" t="n"/>
      <c r="AB648" s="139" t="n"/>
      <c r="AC648" s="16" t="n"/>
      <c r="AD648" s="139" t="n"/>
      <c r="AE648" s="16">
        <f>(W648+Y648+AA648+AC648)</f>
        <v/>
      </c>
      <c r="AF648" s="16" t="n"/>
      <c r="AG648" s="138" t="n"/>
      <c r="AH648" s="16" t="n"/>
      <c r="AI648" s="138" t="n"/>
      <c r="AJ648" s="16" t="n"/>
      <c r="AK648" s="138" t="n"/>
      <c r="AL648" s="16" t="n"/>
      <c r="AM648" s="138" t="n"/>
      <c r="AN648" s="16" t="n"/>
      <c r="AO648" s="138" t="n"/>
      <c r="AP648" s="16" t="n"/>
      <c r="AQ648" s="138" t="n"/>
      <c r="AR648" s="16" t="n"/>
      <c r="AS648" s="138" t="n"/>
      <c r="AT648" s="16" t="n"/>
      <c r="AU648" s="138" t="n"/>
      <c r="AV648" s="16" t="n"/>
      <c r="AW648" s="138" t="n"/>
      <c r="AX648" s="16" t="n"/>
      <c r="AY648" s="138" t="n"/>
      <c r="AZ648" s="16">
        <f>AF648+AH648+AJ648+AL648+AN648+AP648+AR648+AT648+AV648+AX648</f>
        <v/>
      </c>
      <c r="BA648" s="16" t="n"/>
      <c r="BB648" s="139" t="n"/>
      <c r="BC648" s="16" t="n"/>
      <c r="BD648" s="139" t="n"/>
      <c r="BE648" s="16">
        <f>(BA648+BC648)</f>
        <v/>
      </c>
    </row>
    <row r="649">
      <c r="A649" s="9" t="n">
        <v>999</v>
      </c>
      <c r="B649" s="136" t="inlineStr">
        <is>
          <t>CABLE</t>
        </is>
      </c>
      <c r="C649" s="137" t="n"/>
      <c r="D649" s="60" t="inlineStr">
        <is>
          <t>마그네틱 젠더</t>
        </is>
      </c>
      <c r="E649" s="13" t="n"/>
      <c r="F649" s="12" t="n"/>
      <c r="G649" s="9" t="n"/>
      <c r="H649" s="9" t="inlineStr">
        <is>
          <t>HLP</t>
        </is>
      </c>
      <c r="I649" s="14" t="n"/>
      <c r="J649" s="14" t="n"/>
      <c r="K649" s="12" t="n">
        <v>0</v>
      </c>
      <c r="L649" s="9" t="n"/>
      <c r="M649" s="9" t="n"/>
      <c r="N649" s="9" t="n"/>
      <c r="O649" s="40">
        <f>K649+V649-AE649-AZ649</f>
        <v/>
      </c>
      <c r="P649" s="12" t="n"/>
      <c r="Q649" s="138" t="n"/>
      <c r="R649" s="16" t="n"/>
      <c r="S649" s="139" t="n"/>
      <c r="T649" s="16" t="n"/>
      <c r="U649" s="139" t="n"/>
      <c r="V649" s="16">
        <f>P649+R649+T649</f>
        <v/>
      </c>
      <c r="W649" s="16" t="n"/>
      <c r="X649" s="139" t="n"/>
      <c r="Y649" s="16" t="n"/>
      <c r="Z649" s="139" t="n"/>
      <c r="AA649" s="16" t="n"/>
      <c r="AB649" s="139" t="n"/>
      <c r="AC649" s="16" t="n"/>
      <c r="AD649" s="139" t="n"/>
      <c r="AE649" s="16">
        <f>(W649+Y649+AA649+AC649)</f>
        <v/>
      </c>
      <c r="AF649" s="16" t="n"/>
      <c r="AG649" s="138" t="n"/>
      <c r="AH649" s="16" t="n"/>
      <c r="AI649" s="138" t="n"/>
      <c r="AJ649" s="16" t="n"/>
      <c r="AK649" s="138" t="n"/>
      <c r="AL649" s="16" t="n"/>
      <c r="AM649" s="138" t="n"/>
      <c r="AN649" s="16" t="n"/>
      <c r="AO649" s="138" t="n"/>
      <c r="AP649" s="16" t="n"/>
      <c r="AQ649" s="138" t="n"/>
      <c r="AR649" s="16" t="n"/>
      <c r="AS649" s="138" t="n"/>
      <c r="AT649" s="16" t="n"/>
      <c r="AU649" s="138" t="n"/>
      <c r="AV649" s="16" t="n"/>
      <c r="AW649" s="138" t="n"/>
      <c r="AX649" s="16" t="n"/>
      <c r="AY649" s="138" t="n"/>
      <c r="AZ649" s="16">
        <f>AF649+AH649+AJ649+AL649+AN649+AP649+AR649+AT649+AV649+AX649</f>
        <v/>
      </c>
      <c r="BA649" s="16" t="n"/>
      <c r="BB649" s="139" t="n"/>
      <c r="BC649" s="16" t="n"/>
      <c r="BD649" s="139" t="n"/>
      <c r="BE649" s="16">
        <f>(BA649+BC649)</f>
        <v/>
      </c>
    </row>
    <row r="650">
      <c r="A650" s="9" t="n">
        <v>999</v>
      </c>
      <c r="B650" s="136" t="inlineStr">
        <is>
          <t>스킨 가드</t>
        </is>
      </c>
      <c r="C650" s="137" t="n"/>
      <c r="D650" s="60" t="inlineStr">
        <is>
          <t>스킨가드</t>
        </is>
      </c>
      <c r="E650" s="13" t="inlineStr">
        <is>
          <t>구형, AL 가공 + 흑색 아노다이징</t>
        </is>
      </c>
      <c r="F650" s="12" t="n"/>
      <c r="G650" s="9" t="n"/>
      <c r="H650" s="9" t="inlineStr">
        <is>
          <t>제이케이시스템</t>
        </is>
      </c>
      <c r="I650" s="14" t="n"/>
      <c r="J650" s="14" t="n"/>
      <c r="K650" s="12" t="n">
        <v>0</v>
      </c>
      <c r="L650" s="9" t="n"/>
      <c r="M650" s="9" t="n"/>
      <c r="N650" s="9" t="n"/>
      <c r="O650" s="40">
        <f>K650+V650-AE650-AZ650</f>
        <v/>
      </c>
      <c r="P650" s="12" t="n"/>
      <c r="Q650" s="138" t="n"/>
      <c r="R650" s="16" t="n"/>
      <c r="S650" s="139" t="n"/>
      <c r="T650" s="16" t="n"/>
      <c r="U650" s="139" t="n"/>
      <c r="V650" s="16">
        <f>P650+R650+T650</f>
        <v/>
      </c>
      <c r="W650" s="16" t="n"/>
      <c r="X650" s="139" t="n"/>
      <c r="Y650" s="16" t="n"/>
      <c r="Z650" s="139" t="n"/>
      <c r="AA650" s="16" t="n"/>
      <c r="AB650" s="139" t="n"/>
      <c r="AC650" s="16" t="n"/>
      <c r="AD650" s="139" t="n"/>
      <c r="AE650" s="16">
        <f>(W650+Y650+AA650+AC650)</f>
        <v/>
      </c>
      <c r="AF650" s="16" t="n"/>
      <c r="AG650" s="138" t="n"/>
      <c r="AH650" s="16" t="n"/>
      <c r="AI650" s="138" t="n"/>
      <c r="AJ650" s="16" t="n"/>
      <c r="AK650" s="138" t="n"/>
      <c r="AL650" s="16" t="n"/>
      <c r="AM650" s="138" t="n"/>
      <c r="AN650" s="16" t="n"/>
      <c r="AO650" s="138" t="n"/>
      <c r="AP650" s="16" t="n"/>
      <c r="AQ650" s="138" t="n"/>
      <c r="AR650" s="16" t="n"/>
      <c r="AS650" s="138" t="n"/>
      <c r="AT650" s="16" t="n"/>
      <c r="AU650" s="138" t="n"/>
      <c r="AV650" s="16" t="n"/>
      <c r="AW650" s="138" t="n"/>
      <c r="AX650" s="16" t="n"/>
      <c r="AY650" s="138" t="n"/>
      <c r="AZ650" s="16">
        <f>AF650+AH650+AJ650+AL650+AN650+AP650+AR650+AT650+AV650+AX650</f>
        <v/>
      </c>
      <c r="BA650" s="16" t="n"/>
      <c r="BB650" s="139" t="n"/>
      <c r="BC650" s="16" t="n"/>
      <c r="BD650" s="139" t="n"/>
      <c r="BE650" s="16">
        <f>(BA650+BC650)</f>
        <v/>
      </c>
    </row>
    <row r="651">
      <c r="A651" s="9" t="n">
        <v>999</v>
      </c>
      <c r="B651" s="136" t="inlineStr">
        <is>
          <t>케이블 스토퍼</t>
        </is>
      </c>
      <c r="C651" s="137" t="n"/>
      <c r="D651" s="60" t="inlineStr">
        <is>
          <t>와이어 몰드</t>
        </is>
      </c>
      <c r="E651" s="13" t="n"/>
      <c r="F651" s="12" t="n"/>
      <c r="G651" s="9" t="n"/>
      <c r="H651" s="9" t="inlineStr">
        <is>
          <t>동양전자</t>
        </is>
      </c>
      <c r="I651" s="14" t="n"/>
      <c r="J651" s="14" t="n"/>
      <c r="K651" s="12" t="n">
        <v>0</v>
      </c>
      <c r="L651" s="9" t="n"/>
      <c r="M651" s="9" t="n"/>
      <c r="N651" s="9" t="n"/>
      <c r="O651" s="40">
        <f>K651+V651-AE651-AZ651</f>
        <v/>
      </c>
      <c r="P651" s="12" t="n"/>
      <c r="Q651" s="138" t="n"/>
      <c r="R651" s="16" t="n"/>
      <c r="S651" s="139" t="n"/>
      <c r="T651" s="16" t="n"/>
      <c r="U651" s="139" t="n"/>
      <c r="V651" s="16">
        <f>P651+R651+T651</f>
        <v/>
      </c>
      <c r="W651" s="16" t="n"/>
      <c r="X651" s="139" t="n"/>
      <c r="Y651" s="16" t="n"/>
      <c r="Z651" s="139" t="n"/>
      <c r="AA651" s="16" t="n"/>
      <c r="AB651" s="139" t="n"/>
      <c r="AC651" s="16" t="n"/>
      <c r="AD651" s="139" t="n"/>
      <c r="AE651" s="16">
        <f>(W651+Y651+AA651+AC651)</f>
        <v/>
      </c>
      <c r="AF651" s="16" t="n"/>
      <c r="AG651" s="138" t="n"/>
      <c r="AH651" s="16" t="n"/>
      <c r="AI651" s="138" t="n"/>
      <c r="AJ651" s="16" t="n"/>
      <c r="AK651" s="138" t="n"/>
      <c r="AL651" s="16" t="n"/>
      <c r="AM651" s="138" t="n"/>
      <c r="AN651" s="16" t="n"/>
      <c r="AO651" s="138" t="n"/>
      <c r="AP651" s="16" t="n"/>
      <c r="AQ651" s="138" t="n"/>
      <c r="AR651" s="16" t="n"/>
      <c r="AS651" s="138" t="n"/>
      <c r="AT651" s="16" t="n"/>
      <c r="AU651" s="138" t="n"/>
      <c r="AV651" s="16" t="n"/>
      <c r="AW651" s="138" t="n"/>
      <c r="AX651" s="16" t="n"/>
      <c r="AY651" s="138" t="n"/>
      <c r="AZ651" s="16">
        <f>AF651+AH651+AJ651+AL651+AN651+AP651+AR651+AT651+AV651+AX651</f>
        <v/>
      </c>
      <c r="BA651" s="16" t="n"/>
      <c r="BB651" s="139" t="n"/>
      <c r="BC651" s="16" t="n"/>
      <c r="BD651" s="139" t="n"/>
      <c r="BE651" s="16">
        <f>(BA651+BC651)</f>
        <v/>
      </c>
    </row>
  </sheetData>
  <mergeCells count="4">
    <mergeCell ref="P1:U1"/>
    <mergeCell ref="AF1:AY1"/>
    <mergeCell ref="BA1:BD1"/>
    <mergeCell ref="W1:AD1"/>
  </mergeCells>
  <conditionalFormatting sqref="O2:O651">
    <cfRule type="cellIs" priority="1" operator="lessThanOrEqual" dxfId="0">
      <formula>200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이황규</dc:creator>
  <dcterms:created xmlns:dcterms="http://purl.org/dc/terms/" xmlns:xsi="http://www.w3.org/2001/XMLSchema-instance" xsi:type="dcterms:W3CDTF">2024-01-12T01:53:44Z</dcterms:created>
  <dcterms:modified xmlns:dcterms="http://purl.org/dc/terms/" xmlns:xsi="http://www.w3.org/2001/XMLSchema-instance" xsi:type="dcterms:W3CDTF">2026-05-20T06:43:17Z</dcterms:modified>
  <cp:lastModifiedBy>승범 유</cp:lastModifiedBy>
  <cp:version>9.114.127.49115</cp:version>
  <cp:revision>3</cp:revision>
  <cp:lastPrinted>2024-12-02T00:39:42Z</cp:lastPrinted>
</cp:coreProperties>
</file>